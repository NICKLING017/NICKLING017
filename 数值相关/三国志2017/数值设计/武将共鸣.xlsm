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AE6BEEBF-CBCB-4E78-B26B-61D4DE223D9F}" xr6:coauthVersionLast="47" xr6:coauthVersionMax="47" xr10:uidLastSave="{00000000-0000-0000-0000-000000000000}"/>
  <bookViews>
    <workbookView xWindow="-120" yWindow="-120" windowWidth="29040" windowHeight="15840" tabRatio="899" firstSheet="1" activeTab="3" xr2:uid="{00000000-000D-0000-FFFF-FFFF00000000}"/>
  </bookViews>
  <sheets>
    <sheet name="资源-材料1" sheetId="55" state="hidden" r:id="rId1"/>
    <sheet name="节奏总纲" sheetId="65" r:id="rId2"/>
    <sheet name="基础状态预期" sheetId="67" r:id="rId3"/>
    <sheet name="协作币产出情况" sheetId="89" r:id="rId4"/>
    <sheet name="协作币产消关系" sheetId="86" r:id="rId5"/>
    <sheet name="食邑产出协作币" sheetId="87" r:id="rId6"/>
    <sheet name="村县营基础信息" sheetId="82" r:id="rId7"/>
  </sheets>
  <functionGroups builtInGroupCount="19"/>
  <externalReferences>
    <externalReference r:id="rId8"/>
    <externalReference r:id="rId9"/>
  </externalReferenc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1" i="86" l="1"/>
  <c r="I12" i="86"/>
  <c r="I13" i="86"/>
  <c r="I14" i="86"/>
  <c r="I15" i="86"/>
  <c r="I16" i="86"/>
  <c r="I17" i="86"/>
  <c r="I18" i="86"/>
  <c r="I19" i="86"/>
  <c r="I20" i="86"/>
  <c r="I21" i="86"/>
  <c r="I22" i="86"/>
  <c r="I23" i="86"/>
  <c r="I24" i="86"/>
  <c r="I25" i="86"/>
  <c r="I26" i="86"/>
  <c r="I27" i="86"/>
  <c r="I28" i="86"/>
  <c r="I10" i="86"/>
  <c r="G11" i="86" l="1"/>
  <c r="H11" i="86"/>
  <c r="G12" i="86"/>
  <c r="H12" i="86"/>
  <c r="G13" i="86"/>
  <c r="H13" i="86"/>
  <c r="G14" i="86"/>
  <c r="H14" i="86"/>
  <c r="G15" i="86"/>
  <c r="H15" i="86"/>
  <c r="G16" i="86"/>
  <c r="H16" i="86"/>
  <c r="G17" i="86"/>
  <c r="H17" i="86"/>
  <c r="G18" i="86"/>
  <c r="H18" i="86"/>
  <c r="G19" i="86"/>
  <c r="H19" i="86"/>
  <c r="G20" i="86"/>
  <c r="H20" i="86"/>
  <c r="G21" i="86"/>
  <c r="H21" i="86"/>
  <c r="G22" i="86"/>
  <c r="H22" i="86"/>
  <c r="G23" i="86"/>
  <c r="H23" i="86"/>
  <c r="G24" i="86"/>
  <c r="H24" i="86"/>
  <c r="G25" i="86"/>
  <c r="H25" i="86"/>
  <c r="G26" i="86"/>
  <c r="H26" i="86"/>
  <c r="G27" i="86"/>
  <c r="H27" i="86"/>
  <c r="G28" i="86"/>
  <c r="H28" i="86"/>
  <c r="H10" i="86"/>
  <c r="G10" i="86"/>
  <c r="B6" i="89"/>
  <c r="N9" i="67"/>
  <c r="N10" i="67" s="1"/>
  <c r="N11" i="67" s="1"/>
  <c r="N12" i="67" s="1"/>
  <c r="N13" i="67" s="1"/>
  <c r="N14" i="67" s="1"/>
  <c r="N15" i="67" s="1"/>
  <c r="N16" i="67" s="1"/>
  <c r="N17" i="67" s="1"/>
  <c r="N18" i="67" s="1"/>
  <c r="N19" i="67" s="1"/>
  <c r="N20" i="67" s="1"/>
  <c r="N21" i="67" s="1"/>
  <c r="N22" i="67" s="1"/>
  <c r="N23" i="67" s="1"/>
  <c r="N24" i="67" s="1"/>
  <c r="N25" i="67" s="1"/>
  <c r="N26" i="67" s="1"/>
  <c r="E12" i="86"/>
  <c r="E13" i="86"/>
  <c r="E14" i="86"/>
  <c r="E15" i="86"/>
  <c r="E16" i="86"/>
  <c r="E17" i="86"/>
  <c r="E18" i="86"/>
  <c r="E19" i="86"/>
  <c r="E20" i="86"/>
  <c r="E21" i="86"/>
  <c r="E22" i="86"/>
  <c r="E23" i="86"/>
  <c r="E24" i="86"/>
  <c r="E25" i="86"/>
  <c r="E26" i="86"/>
  <c r="E27" i="86"/>
  <c r="E28" i="86"/>
  <c r="E11" i="86"/>
  <c r="E10" i="86" l="1"/>
  <c r="F10" i="86" s="1"/>
  <c r="F15" i="86" l="1"/>
  <c r="F12" i="86"/>
  <c r="F14" i="86"/>
  <c r="F13" i="86"/>
  <c r="F11" i="86"/>
  <c r="F16" i="86"/>
  <c r="B11" i="67"/>
  <c r="B12" i="67"/>
  <c r="B13" i="67"/>
  <c r="B14" i="67"/>
  <c r="B15" i="67"/>
  <c r="B16" i="67"/>
  <c r="B17" i="67"/>
  <c r="B18" i="67"/>
  <c r="B19" i="67"/>
  <c r="B20" i="67"/>
  <c r="B21" i="67"/>
  <c r="B22" i="67"/>
  <c r="B23" i="67"/>
  <c r="B24" i="67"/>
  <c r="B25" i="67"/>
  <c r="B26" i="67"/>
  <c r="B10" i="67"/>
  <c r="D28" i="86"/>
  <c r="D12" i="86"/>
  <c r="D13" i="86"/>
  <c r="D14" i="86"/>
  <c r="D15" i="86"/>
  <c r="D16" i="86"/>
  <c r="D17" i="86"/>
  <c r="D18" i="86"/>
  <c r="D19" i="86"/>
  <c r="D20" i="86"/>
  <c r="D21" i="86"/>
  <c r="D22" i="86"/>
  <c r="D23" i="86"/>
  <c r="D24" i="86"/>
  <c r="D25" i="86"/>
  <c r="D26" i="86"/>
  <c r="D27" i="86"/>
  <c r="D11" i="86"/>
  <c r="F17" i="86" l="1"/>
  <c r="F20" i="86" l="1"/>
  <c r="F18" i="86"/>
  <c r="F26" i="86"/>
  <c r="F21" i="86"/>
  <c r="F28" i="86"/>
  <c r="F27" i="86"/>
  <c r="F22" i="86"/>
  <c r="F23" i="86"/>
  <c r="F24" i="86"/>
  <c r="F25" i="86"/>
  <c r="F19" i="86"/>
  <c r="B114" i="65"/>
  <c r="D114" i="65"/>
  <c r="H117" i="89" s="1"/>
  <c r="E114" i="65"/>
  <c r="I117" i="89" s="1"/>
  <c r="F114" i="65"/>
  <c r="J117" i="89" s="1"/>
  <c r="G114" i="65"/>
  <c r="K117" i="89" s="1"/>
  <c r="H114" i="65"/>
  <c r="L117" i="89" s="1"/>
  <c r="K114" i="65"/>
  <c r="L114" i="65"/>
  <c r="M114" i="65"/>
  <c r="N114" i="65"/>
  <c r="O114" i="65"/>
  <c r="B115" i="65"/>
  <c r="D115" i="65"/>
  <c r="H118" i="89" s="1"/>
  <c r="E115" i="65"/>
  <c r="I118" i="89" s="1"/>
  <c r="F115" i="65"/>
  <c r="J118" i="89" s="1"/>
  <c r="G115" i="65"/>
  <c r="K118" i="89" s="1"/>
  <c r="H115" i="65"/>
  <c r="L118" i="89" s="1"/>
  <c r="K115" i="65"/>
  <c r="L115" i="65"/>
  <c r="M115" i="65"/>
  <c r="N115" i="65"/>
  <c r="O115" i="65"/>
  <c r="B116" i="65"/>
  <c r="D116" i="65"/>
  <c r="H119" i="89" s="1"/>
  <c r="E116" i="65"/>
  <c r="I119" i="89" s="1"/>
  <c r="F116" i="65"/>
  <c r="J119" i="89" s="1"/>
  <c r="G116" i="65"/>
  <c r="K119" i="89" s="1"/>
  <c r="H116" i="65"/>
  <c r="L119" i="89" s="1"/>
  <c r="K116" i="65"/>
  <c r="L116" i="65"/>
  <c r="M116" i="65"/>
  <c r="N116" i="65"/>
  <c r="O116" i="65"/>
  <c r="B117" i="65"/>
  <c r="D117" i="65"/>
  <c r="H120" i="89" s="1"/>
  <c r="E117" i="65"/>
  <c r="I120" i="89" s="1"/>
  <c r="F117" i="65"/>
  <c r="J120" i="89" s="1"/>
  <c r="G117" i="65"/>
  <c r="K120" i="89" s="1"/>
  <c r="H117" i="65"/>
  <c r="L120" i="89" s="1"/>
  <c r="K117" i="65"/>
  <c r="L117" i="65"/>
  <c r="M117" i="65"/>
  <c r="N117" i="65"/>
  <c r="O117" i="65"/>
  <c r="B118" i="65"/>
  <c r="D118" i="65"/>
  <c r="H121" i="89" s="1"/>
  <c r="E118" i="65"/>
  <c r="I121" i="89" s="1"/>
  <c r="F118" i="65"/>
  <c r="J121" i="89" s="1"/>
  <c r="G118" i="65"/>
  <c r="K121" i="89" s="1"/>
  <c r="H118" i="65"/>
  <c r="L121" i="89" s="1"/>
  <c r="K118" i="65"/>
  <c r="L118" i="65"/>
  <c r="M118" i="65"/>
  <c r="N118" i="65"/>
  <c r="O118" i="65"/>
  <c r="B119" i="65"/>
  <c r="D119" i="65"/>
  <c r="H122" i="89" s="1"/>
  <c r="E119" i="65"/>
  <c r="I122" i="89" s="1"/>
  <c r="F119" i="65"/>
  <c r="J122" i="89" s="1"/>
  <c r="G119" i="65"/>
  <c r="K122" i="89" s="1"/>
  <c r="H119" i="65"/>
  <c r="L122" i="89" s="1"/>
  <c r="K119" i="65"/>
  <c r="L119" i="65"/>
  <c r="M119" i="65"/>
  <c r="N119" i="65"/>
  <c r="O119" i="65"/>
  <c r="B120" i="65"/>
  <c r="D120" i="65"/>
  <c r="H123" i="89" s="1"/>
  <c r="E120" i="65"/>
  <c r="I123" i="89" s="1"/>
  <c r="F120" i="65"/>
  <c r="J123" i="89" s="1"/>
  <c r="G120" i="65"/>
  <c r="K123" i="89" s="1"/>
  <c r="H120" i="65"/>
  <c r="L123" i="89" s="1"/>
  <c r="K120" i="65"/>
  <c r="L120" i="65"/>
  <c r="M120" i="65"/>
  <c r="N120" i="65"/>
  <c r="O120" i="65"/>
  <c r="B121" i="65"/>
  <c r="D121" i="65"/>
  <c r="H124" i="89" s="1"/>
  <c r="E121" i="65"/>
  <c r="I124" i="89" s="1"/>
  <c r="F121" i="65"/>
  <c r="J124" i="89" s="1"/>
  <c r="G121" i="65"/>
  <c r="K124" i="89" s="1"/>
  <c r="H121" i="65"/>
  <c r="L124" i="89" s="1"/>
  <c r="K121" i="65"/>
  <c r="L121" i="65"/>
  <c r="M121" i="65"/>
  <c r="N121" i="65"/>
  <c r="O121" i="65"/>
  <c r="B122" i="65"/>
  <c r="D122" i="65"/>
  <c r="H125" i="89" s="1"/>
  <c r="E122" i="65"/>
  <c r="I125" i="89" s="1"/>
  <c r="F122" i="65"/>
  <c r="J125" i="89" s="1"/>
  <c r="G122" i="65"/>
  <c r="K125" i="89" s="1"/>
  <c r="H122" i="65"/>
  <c r="L125" i="89" s="1"/>
  <c r="K122" i="65"/>
  <c r="L122" i="65"/>
  <c r="M122" i="65"/>
  <c r="N122" i="65"/>
  <c r="O122" i="65"/>
  <c r="B123" i="65"/>
  <c r="D123" i="65"/>
  <c r="H126" i="89" s="1"/>
  <c r="E123" i="65"/>
  <c r="I126" i="89" s="1"/>
  <c r="F123" i="65"/>
  <c r="J126" i="89" s="1"/>
  <c r="G123" i="65"/>
  <c r="K126" i="89" s="1"/>
  <c r="H123" i="65"/>
  <c r="L126" i="89" s="1"/>
  <c r="K123" i="65"/>
  <c r="L123" i="65"/>
  <c r="M123" i="65"/>
  <c r="N123" i="65"/>
  <c r="O123" i="65"/>
  <c r="B124" i="65"/>
  <c r="D124" i="65"/>
  <c r="H127" i="89" s="1"/>
  <c r="E124" i="65"/>
  <c r="I127" i="89" s="1"/>
  <c r="F124" i="65"/>
  <c r="J127" i="89" s="1"/>
  <c r="G124" i="65"/>
  <c r="K127" i="89" s="1"/>
  <c r="H124" i="65"/>
  <c r="L127" i="89" s="1"/>
  <c r="K124" i="65"/>
  <c r="L124" i="65"/>
  <c r="M124" i="65"/>
  <c r="N124" i="65"/>
  <c r="O124" i="65"/>
  <c r="B125" i="65"/>
  <c r="D125" i="65"/>
  <c r="H128" i="89" s="1"/>
  <c r="E125" i="65"/>
  <c r="I128" i="89" s="1"/>
  <c r="F125" i="65"/>
  <c r="J128" i="89" s="1"/>
  <c r="G125" i="65"/>
  <c r="K128" i="89" s="1"/>
  <c r="H125" i="65"/>
  <c r="L128" i="89" s="1"/>
  <c r="K125" i="65"/>
  <c r="L125" i="65"/>
  <c r="M125" i="65"/>
  <c r="N125" i="65"/>
  <c r="O125" i="65"/>
  <c r="B126" i="65"/>
  <c r="D126" i="65"/>
  <c r="H129" i="89" s="1"/>
  <c r="E126" i="65"/>
  <c r="I129" i="89" s="1"/>
  <c r="F126" i="65"/>
  <c r="J129" i="89" s="1"/>
  <c r="G126" i="65"/>
  <c r="K129" i="89" s="1"/>
  <c r="H126" i="65"/>
  <c r="L129" i="89" s="1"/>
  <c r="K126" i="65"/>
  <c r="L126" i="65"/>
  <c r="M126" i="65"/>
  <c r="N126" i="65"/>
  <c r="O126" i="65"/>
  <c r="B127" i="65"/>
  <c r="D127" i="65"/>
  <c r="H130" i="89" s="1"/>
  <c r="E127" i="65"/>
  <c r="I130" i="89" s="1"/>
  <c r="F127" i="65"/>
  <c r="J130" i="89" s="1"/>
  <c r="G127" i="65"/>
  <c r="K130" i="89" s="1"/>
  <c r="H127" i="65"/>
  <c r="L130" i="89" s="1"/>
  <c r="K127" i="65"/>
  <c r="L127" i="65"/>
  <c r="M127" i="65"/>
  <c r="N127" i="65"/>
  <c r="O127" i="65"/>
  <c r="B128" i="65"/>
  <c r="D128" i="65"/>
  <c r="H131" i="89" s="1"/>
  <c r="E128" i="65"/>
  <c r="I131" i="89" s="1"/>
  <c r="F128" i="65"/>
  <c r="J131" i="89" s="1"/>
  <c r="G128" i="65"/>
  <c r="K131" i="89" s="1"/>
  <c r="H128" i="65"/>
  <c r="L131" i="89" s="1"/>
  <c r="K128" i="65"/>
  <c r="L128" i="65"/>
  <c r="M128" i="65"/>
  <c r="N128" i="65"/>
  <c r="O128" i="65"/>
  <c r="B129" i="65"/>
  <c r="D129" i="65"/>
  <c r="H132" i="89" s="1"/>
  <c r="E129" i="65"/>
  <c r="I132" i="89" s="1"/>
  <c r="F129" i="65"/>
  <c r="J132" i="89" s="1"/>
  <c r="G129" i="65"/>
  <c r="K132" i="89" s="1"/>
  <c r="H129" i="65"/>
  <c r="L132" i="89" s="1"/>
  <c r="K129" i="65"/>
  <c r="L129" i="65"/>
  <c r="M129" i="65"/>
  <c r="N129" i="65"/>
  <c r="O129" i="65"/>
  <c r="B130" i="65"/>
  <c r="D130" i="65"/>
  <c r="H133" i="89" s="1"/>
  <c r="E130" i="65"/>
  <c r="I133" i="89" s="1"/>
  <c r="F130" i="65"/>
  <c r="J133" i="89" s="1"/>
  <c r="G130" i="65"/>
  <c r="K133" i="89" s="1"/>
  <c r="H130" i="65"/>
  <c r="L133" i="89" s="1"/>
  <c r="K130" i="65"/>
  <c r="L130" i="65"/>
  <c r="M130" i="65"/>
  <c r="N130" i="65"/>
  <c r="O130" i="65"/>
  <c r="B131" i="65"/>
  <c r="D131" i="65"/>
  <c r="H134" i="89" s="1"/>
  <c r="E131" i="65"/>
  <c r="I134" i="89" s="1"/>
  <c r="F131" i="65"/>
  <c r="J134" i="89" s="1"/>
  <c r="G131" i="65"/>
  <c r="K134" i="89" s="1"/>
  <c r="H131" i="65"/>
  <c r="L134" i="89" s="1"/>
  <c r="K131" i="65"/>
  <c r="L131" i="65"/>
  <c r="M131" i="65"/>
  <c r="N131" i="65"/>
  <c r="O131" i="65"/>
  <c r="B132" i="65"/>
  <c r="D132" i="65"/>
  <c r="H135" i="89" s="1"/>
  <c r="E132" i="65"/>
  <c r="I135" i="89" s="1"/>
  <c r="F132" i="65"/>
  <c r="J135" i="89" s="1"/>
  <c r="G132" i="65"/>
  <c r="K135" i="89" s="1"/>
  <c r="H132" i="65"/>
  <c r="L135" i="89" s="1"/>
  <c r="K132" i="65"/>
  <c r="L132" i="65"/>
  <c r="M132" i="65"/>
  <c r="N132" i="65"/>
  <c r="O132" i="65"/>
  <c r="B133" i="65"/>
  <c r="D133" i="65"/>
  <c r="H136" i="89" s="1"/>
  <c r="E133" i="65"/>
  <c r="I136" i="89" s="1"/>
  <c r="F133" i="65"/>
  <c r="J136" i="89" s="1"/>
  <c r="G133" i="65"/>
  <c r="K136" i="89" s="1"/>
  <c r="H133" i="65"/>
  <c r="L136" i="89" s="1"/>
  <c r="K133" i="65"/>
  <c r="L133" i="65"/>
  <c r="M133" i="65"/>
  <c r="N133" i="65"/>
  <c r="O133" i="65"/>
  <c r="B134" i="65"/>
  <c r="D134" i="65"/>
  <c r="H137" i="89" s="1"/>
  <c r="E134" i="65"/>
  <c r="I137" i="89" s="1"/>
  <c r="F134" i="65"/>
  <c r="J137" i="89" s="1"/>
  <c r="G134" i="65"/>
  <c r="K137" i="89" s="1"/>
  <c r="H134" i="65"/>
  <c r="L137" i="89" s="1"/>
  <c r="K134" i="65"/>
  <c r="L134" i="65"/>
  <c r="M134" i="65"/>
  <c r="N134" i="65"/>
  <c r="O134" i="65"/>
  <c r="B135" i="65"/>
  <c r="D135" i="65"/>
  <c r="H138" i="89" s="1"/>
  <c r="E135" i="65"/>
  <c r="I138" i="89" s="1"/>
  <c r="F135" i="65"/>
  <c r="J138" i="89" s="1"/>
  <c r="G135" i="65"/>
  <c r="K138" i="89" s="1"/>
  <c r="H135" i="65"/>
  <c r="L138" i="89" s="1"/>
  <c r="K135" i="65"/>
  <c r="L135" i="65"/>
  <c r="M135" i="65"/>
  <c r="N135" i="65"/>
  <c r="O135" i="65"/>
  <c r="B136" i="65"/>
  <c r="D136" i="65"/>
  <c r="H139" i="89" s="1"/>
  <c r="E136" i="65"/>
  <c r="I139" i="89" s="1"/>
  <c r="F136" i="65"/>
  <c r="J139" i="89" s="1"/>
  <c r="G136" i="65"/>
  <c r="K139" i="89" s="1"/>
  <c r="H136" i="65"/>
  <c r="L139" i="89" s="1"/>
  <c r="K136" i="65"/>
  <c r="L136" i="65"/>
  <c r="M136" i="65"/>
  <c r="N136" i="65"/>
  <c r="O136" i="65"/>
  <c r="B137" i="65"/>
  <c r="D137" i="65"/>
  <c r="H140" i="89" s="1"/>
  <c r="E137" i="65"/>
  <c r="I140" i="89" s="1"/>
  <c r="F137" i="65"/>
  <c r="J140" i="89" s="1"/>
  <c r="G137" i="65"/>
  <c r="K140" i="89" s="1"/>
  <c r="H137" i="65"/>
  <c r="L140" i="89" s="1"/>
  <c r="K137" i="65"/>
  <c r="L137" i="65"/>
  <c r="M137" i="65"/>
  <c r="N137" i="65"/>
  <c r="O137" i="65"/>
  <c r="B138" i="65"/>
  <c r="D138" i="65"/>
  <c r="H141" i="89" s="1"/>
  <c r="E138" i="65"/>
  <c r="I141" i="89" s="1"/>
  <c r="F138" i="65"/>
  <c r="J141" i="89" s="1"/>
  <c r="G138" i="65"/>
  <c r="K141" i="89" s="1"/>
  <c r="H138" i="65"/>
  <c r="L141" i="89" s="1"/>
  <c r="K138" i="65"/>
  <c r="L138" i="65"/>
  <c r="M138" i="65"/>
  <c r="N138" i="65"/>
  <c r="O138" i="65"/>
  <c r="B139" i="65"/>
  <c r="D139" i="65"/>
  <c r="H142" i="89" s="1"/>
  <c r="E139" i="65"/>
  <c r="I142" i="89" s="1"/>
  <c r="F139" i="65"/>
  <c r="J142" i="89" s="1"/>
  <c r="G139" i="65"/>
  <c r="K142" i="89" s="1"/>
  <c r="H139" i="65"/>
  <c r="L142" i="89" s="1"/>
  <c r="K139" i="65"/>
  <c r="L139" i="65"/>
  <c r="M139" i="65"/>
  <c r="N139" i="65"/>
  <c r="O139" i="65"/>
  <c r="B140" i="65"/>
  <c r="D140" i="65"/>
  <c r="H143" i="89" s="1"/>
  <c r="E140" i="65"/>
  <c r="I143" i="89" s="1"/>
  <c r="F140" i="65"/>
  <c r="J143" i="89" s="1"/>
  <c r="G140" i="65"/>
  <c r="K143" i="89" s="1"/>
  <c r="H140" i="65"/>
  <c r="L143" i="89" s="1"/>
  <c r="K140" i="65"/>
  <c r="L140" i="65"/>
  <c r="M140" i="65"/>
  <c r="N140" i="65"/>
  <c r="O140" i="65"/>
  <c r="B141" i="65"/>
  <c r="D141" i="65"/>
  <c r="H144" i="89" s="1"/>
  <c r="E141" i="65"/>
  <c r="I144" i="89" s="1"/>
  <c r="F141" i="65"/>
  <c r="J144" i="89" s="1"/>
  <c r="G141" i="65"/>
  <c r="K144" i="89" s="1"/>
  <c r="H141" i="65"/>
  <c r="L144" i="89" s="1"/>
  <c r="K141" i="65"/>
  <c r="L141" i="65"/>
  <c r="M141" i="65"/>
  <c r="N141" i="65"/>
  <c r="O141" i="65"/>
  <c r="B142" i="65"/>
  <c r="D142" i="65"/>
  <c r="H145" i="89" s="1"/>
  <c r="E142" i="65"/>
  <c r="I145" i="89" s="1"/>
  <c r="F142" i="65"/>
  <c r="J145" i="89" s="1"/>
  <c r="G142" i="65"/>
  <c r="K145" i="89" s="1"/>
  <c r="H142" i="65"/>
  <c r="L145" i="89" s="1"/>
  <c r="K142" i="65"/>
  <c r="L142" i="65"/>
  <c r="M142" i="65"/>
  <c r="N142" i="65"/>
  <c r="O142" i="65"/>
  <c r="B143" i="65"/>
  <c r="D143" i="65"/>
  <c r="H146" i="89" s="1"/>
  <c r="E143" i="65"/>
  <c r="I146" i="89" s="1"/>
  <c r="F143" i="65"/>
  <c r="J146" i="89" s="1"/>
  <c r="G143" i="65"/>
  <c r="K146" i="89" s="1"/>
  <c r="H143" i="65"/>
  <c r="L146" i="89" s="1"/>
  <c r="K143" i="65"/>
  <c r="L143" i="65"/>
  <c r="M143" i="65"/>
  <c r="N143" i="65"/>
  <c r="O143" i="65"/>
  <c r="B144" i="65"/>
  <c r="D144" i="65"/>
  <c r="H147" i="89" s="1"/>
  <c r="E144" i="65"/>
  <c r="I147" i="89" s="1"/>
  <c r="F144" i="65"/>
  <c r="J147" i="89" s="1"/>
  <c r="G144" i="65"/>
  <c r="K147" i="89" s="1"/>
  <c r="H144" i="65"/>
  <c r="L147" i="89" s="1"/>
  <c r="K144" i="65"/>
  <c r="L144" i="65"/>
  <c r="M144" i="65"/>
  <c r="N144" i="65"/>
  <c r="O144" i="65"/>
  <c r="B145" i="65"/>
  <c r="D145" i="65"/>
  <c r="H148" i="89" s="1"/>
  <c r="E145" i="65"/>
  <c r="I148" i="89" s="1"/>
  <c r="F145" i="65"/>
  <c r="J148" i="89" s="1"/>
  <c r="G145" i="65"/>
  <c r="K148" i="89" s="1"/>
  <c r="H145" i="65"/>
  <c r="L148" i="89" s="1"/>
  <c r="K145" i="65"/>
  <c r="L145" i="65"/>
  <c r="M145" i="65"/>
  <c r="N145" i="65"/>
  <c r="O145" i="65"/>
  <c r="B146" i="65"/>
  <c r="D146" i="65"/>
  <c r="H149" i="89" s="1"/>
  <c r="E146" i="65"/>
  <c r="I149" i="89" s="1"/>
  <c r="F146" i="65"/>
  <c r="J149" i="89" s="1"/>
  <c r="G146" i="65"/>
  <c r="K149" i="89" s="1"/>
  <c r="H146" i="65"/>
  <c r="L149" i="89" s="1"/>
  <c r="K146" i="65"/>
  <c r="L146" i="65"/>
  <c r="M146" i="65"/>
  <c r="N146" i="65"/>
  <c r="O146" i="65"/>
  <c r="B147" i="65"/>
  <c r="D147" i="65"/>
  <c r="H150" i="89" s="1"/>
  <c r="E147" i="65"/>
  <c r="I150" i="89" s="1"/>
  <c r="F147" i="65"/>
  <c r="J150" i="89" s="1"/>
  <c r="G147" i="65"/>
  <c r="K150" i="89" s="1"/>
  <c r="H147" i="65"/>
  <c r="L150" i="89" s="1"/>
  <c r="K147" i="65"/>
  <c r="L147" i="65"/>
  <c r="M147" i="65"/>
  <c r="N147" i="65"/>
  <c r="O147" i="65"/>
  <c r="B148" i="65"/>
  <c r="D148" i="65"/>
  <c r="H151" i="89" s="1"/>
  <c r="E148" i="65"/>
  <c r="I151" i="89" s="1"/>
  <c r="F148" i="65"/>
  <c r="J151" i="89" s="1"/>
  <c r="G148" i="65"/>
  <c r="K151" i="89" s="1"/>
  <c r="H148" i="65"/>
  <c r="L151" i="89" s="1"/>
  <c r="K148" i="65"/>
  <c r="L148" i="65"/>
  <c r="M148" i="65"/>
  <c r="N148" i="65"/>
  <c r="O148" i="65"/>
  <c r="B149" i="65"/>
  <c r="D149" i="65"/>
  <c r="H152" i="89" s="1"/>
  <c r="E149" i="65"/>
  <c r="I152" i="89" s="1"/>
  <c r="F149" i="65"/>
  <c r="J152" i="89" s="1"/>
  <c r="G149" i="65"/>
  <c r="K152" i="89" s="1"/>
  <c r="H149" i="65"/>
  <c r="L152" i="89" s="1"/>
  <c r="K149" i="65"/>
  <c r="L149" i="65"/>
  <c r="M149" i="65"/>
  <c r="N149" i="65"/>
  <c r="O149" i="65"/>
  <c r="B150" i="65"/>
  <c r="D150" i="65"/>
  <c r="H153" i="89" s="1"/>
  <c r="E150" i="65"/>
  <c r="I153" i="89" s="1"/>
  <c r="F150" i="65"/>
  <c r="J153" i="89" s="1"/>
  <c r="G150" i="65"/>
  <c r="K153" i="89" s="1"/>
  <c r="H150" i="65"/>
  <c r="L153" i="89" s="1"/>
  <c r="K150" i="65"/>
  <c r="L150" i="65"/>
  <c r="M150" i="65"/>
  <c r="N150" i="65"/>
  <c r="O150" i="65"/>
  <c r="B151" i="65"/>
  <c r="D151" i="65"/>
  <c r="H154" i="89" s="1"/>
  <c r="E151" i="65"/>
  <c r="I154" i="89" s="1"/>
  <c r="F151" i="65"/>
  <c r="J154" i="89" s="1"/>
  <c r="G151" i="65"/>
  <c r="K154" i="89" s="1"/>
  <c r="H151" i="65"/>
  <c r="L154" i="89" s="1"/>
  <c r="K151" i="65"/>
  <c r="L151" i="65"/>
  <c r="M151" i="65"/>
  <c r="N151" i="65"/>
  <c r="O151" i="65"/>
  <c r="B152" i="65"/>
  <c r="D152" i="65"/>
  <c r="H155" i="89" s="1"/>
  <c r="E152" i="65"/>
  <c r="I155" i="89" s="1"/>
  <c r="F152" i="65"/>
  <c r="J155" i="89" s="1"/>
  <c r="G152" i="65"/>
  <c r="K155" i="89" s="1"/>
  <c r="H152" i="65"/>
  <c r="L155" i="89" s="1"/>
  <c r="K152" i="65"/>
  <c r="L152" i="65"/>
  <c r="M152" i="65"/>
  <c r="N152" i="65"/>
  <c r="O152" i="65"/>
  <c r="B153" i="65"/>
  <c r="D153" i="65"/>
  <c r="H156" i="89" s="1"/>
  <c r="E153" i="65"/>
  <c r="I156" i="89" s="1"/>
  <c r="F153" i="65"/>
  <c r="J156" i="89" s="1"/>
  <c r="G153" i="65"/>
  <c r="K156" i="89" s="1"/>
  <c r="H153" i="65"/>
  <c r="L156" i="89" s="1"/>
  <c r="K153" i="65"/>
  <c r="L153" i="65"/>
  <c r="M153" i="65"/>
  <c r="N153" i="65"/>
  <c r="O153" i="65"/>
  <c r="B154" i="65"/>
  <c r="D154" i="65"/>
  <c r="H157" i="89" s="1"/>
  <c r="E154" i="65"/>
  <c r="I157" i="89" s="1"/>
  <c r="F154" i="65"/>
  <c r="J157" i="89" s="1"/>
  <c r="G154" i="65"/>
  <c r="K157" i="89" s="1"/>
  <c r="H154" i="65"/>
  <c r="L157" i="89" s="1"/>
  <c r="K154" i="65"/>
  <c r="L154" i="65"/>
  <c r="M154" i="65"/>
  <c r="N154" i="65"/>
  <c r="O154" i="65"/>
  <c r="B155" i="65"/>
  <c r="D155" i="65"/>
  <c r="H158" i="89" s="1"/>
  <c r="E155" i="65"/>
  <c r="I158" i="89" s="1"/>
  <c r="F155" i="65"/>
  <c r="J158" i="89" s="1"/>
  <c r="G155" i="65"/>
  <c r="K158" i="89" s="1"/>
  <c r="H155" i="65"/>
  <c r="L158" i="89" s="1"/>
  <c r="K155" i="65"/>
  <c r="L155" i="65"/>
  <c r="M155" i="65"/>
  <c r="N155" i="65"/>
  <c r="O155" i="65"/>
  <c r="B156" i="65"/>
  <c r="D156" i="65"/>
  <c r="H159" i="89" s="1"/>
  <c r="E156" i="65"/>
  <c r="I159" i="89" s="1"/>
  <c r="F156" i="65"/>
  <c r="J159" i="89" s="1"/>
  <c r="G156" i="65"/>
  <c r="K159" i="89" s="1"/>
  <c r="H156" i="65"/>
  <c r="L159" i="89" s="1"/>
  <c r="K156" i="65"/>
  <c r="L156" i="65"/>
  <c r="M156" i="65"/>
  <c r="N156" i="65"/>
  <c r="O156" i="65"/>
  <c r="B157" i="65"/>
  <c r="D157" i="65"/>
  <c r="H160" i="89" s="1"/>
  <c r="E157" i="65"/>
  <c r="I160" i="89" s="1"/>
  <c r="F157" i="65"/>
  <c r="J160" i="89" s="1"/>
  <c r="G157" i="65"/>
  <c r="K160" i="89" s="1"/>
  <c r="H157" i="65"/>
  <c r="L160" i="89" s="1"/>
  <c r="K157" i="65"/>
  <c r="L157" i="65"/>
  <c r="M157" i="65"/>
  <c r="N157" i="65"/>
  <c r="O157" i="65"/>
  <c r="B158" i="65"/>
  <c r="D158" i="65"/>
  <c r="H161" i="89" s="1"/>
  <c r="E158" i="65"/>
  <c r="I161" i="89" s="1"/>
  <c r="F158" i="65"/>
  <c r="J161" i="89" s="1"/>
  <c r="G158" i="65"/>
  <c r="K161" i="89" s="1"/>
  <c r="H158" i="65"/>
  <c r="L161" i="89" s="1"/>
  <c r="K158" i="65"/>
  <c r="L158" i="65"/>
  <c r="M158" i="65"/>
  <c r="N158" i="65"/>
  <c r="O158" i="65"/>
  <c r="B159" i="65"/>
  <c r="D159" i="65"/>
  <c r="H162" i="89" s="1"/>
  <c r="E159" i="65"/>
  <c r="I162" i="89" s="1"/>
  <c r="F159" i="65"/>
  <c r="J162" i="89" s="1"/>
  <c r="G159" i="65"/>
  <c r="K162" i="89" s="1"/>
  <c r="H159" i="65"/>
  <c r="L162" i="89" s="1"/>
  <c r="K159" i="65"/>
  <c r="L159" i="65"/>
  <c r="M159" i="65"/>
  <c r="N159" i="65"/>
  <c r="O159" i="65"/>
  <c r="B160" i="65"/>
  <c r="D160" i="65"/>
  <c r="H163" i="89" s="1"/>
  <c r="E160" i="65"/>
  <c r="I163" i="89" s="1"/>
  <c r="F160" i="65"/>
  <c r="J163" i="89" s="1"/>
  <c r="G160" i="65"/>
  <c r="K163" i="89" s="1"/>
  <c r="H160" i="65"/>
  <c r="L163" i="89" s="1"/>
  <c r="K160" i="65"/>
  <c r="L160" i="65"/>
  <c r="M160" i="65"/>
  <c r="N160" i="65"/>
  <c r="O160" i="65"/>
  <c r="B161" i="65"/>
  <c r="D161" i="65"/>
  <c r="H164" i="89" s="1"/>
  <c r="E161" i="65"/>
  <c r="I164" i="89" s="1"/>
  <c r="F161" i="65"/>
  <c r="J164" i="89" s="1"/>
  <c r="G161" i="65"/>
  <c r="K164" i="89" s="1"/>
  <c r="H161" i="65"/>
  <c r="L164" i="89" s="1"/>
  <c r="K161" i="65"/>
  <c r="L161" i="65"/>
  <c r="M161" i="65"/>
  <c r="N161" i="65"/>
  <c r="O161" i="65"/>
  <c r="B162" i="65"/>
  <c r="D162" i="65"/>
  <c r="H165" i="89" s="1"/>
  <c r="E162" i="65"/>
  <c r="I165" i="89" s="1"/>
  <c r="F162" i="65"/>
  <c r="J165" i="89" s="1"/>
  <c r="G162" i="65"/>
  <c r="K165" i="89" s="1"/>
  <c r="H162" i="65"/>
  <c r="L165" i="89" s="1"/>
  <c r="K162" i="65"/>
  <c r="L162" i="65"/>
  <c r="M162" i="65"/>
  <c r="N162" i="65"/>
  <c r="O162" i="65"/>
  <c r="B163" i="65"/>
  <c r="D163" i="65"/>
  <c r="H166" i="89" s="1"/>
  <c r="E163" i="65"/>
  <c r="I166" i="89" s="1"/>
  <c r="F163" i="65"/>
  <c r="J166" i="89" s="1"/>
  <c r="G163" i="65"/>
  <c r="K166" i="89" s="1"/>
  <c r="H163" i="65"/>
  <c r="L166" i="89" s="1"/>
  <c r="K163" i="65"/>
  <c r="L163" i="65"/>
  <c r="M163" i="65"/>
  <c r="N163" i="65"/>
  <c r="O163" i="65"/>
  <c r="R1945" i="65"/>
  <c r="S1945" i="65"/>
  <c r="T1945" i="65"/>
  <c r="U1945" i="65"/>
  <c r="V1945" i="65"/>
  <c r="R1946" i="65"/>
  <c r="S1946" i="65"/>
  <c r="T1946" i="65"/>
  <c r="U1946" i="65"/>
  <c r="V1946" i="65"/>
  <c r="R1947" i="65"/>
  <c r="S1947" i="65"/>
  <c r="T1947" i="65"/>
  <c r="U1947" i="65"/>
  <c r="V1947" i="65"/>
  <c r="R1948" i="65"/>
  <c r="S1948" i="65"/>
  <c r="T1948" i="65"/>
  <c r="U1948" i="65"/>
  <c r="V1948" i="65"/>
  <c r="R1949" i="65"/>
  <c r="S1949" i="65"/>
  <c r="T1949" i="65"/>
  <c r="U1949" i="65"/>
  <c r="V1949" i="65"/>
  <c r="R1950" i="65"/>
  <c r="S1950" i="65"/>
  <c r="T1950" i="65"/>
  <c r="U1950" i="65"/>
  <c r="V1950" i="65"/>
  <c r="R1951" i="65"/>
  <c r="S1951" i="65"/>
  <c r="T1951" i="65"/>
  <c r="U1951" i="65"/>
  <c r="V1951" i="65"/>
  <c r="R1952" i="65"/>
  <c r="S1952" i="65"/>
  <c r="T1952" i="65"/>
  <c r="U1952" i="65"/>
  <c r="V1952" i="65"/>
  <c r="R1953" i="65"/>
  <c r="S1953" i="65"/>
  <c r="T1953" i="65"/>
  <c r="U1953" i="65"/>
  <c r="V1953" i="65"/>
  <c r="R1954" i="65"/>
  <c r="S1954" i="65"/>
  <c r="T1954" i="65"/>
  <c r="U1954" i="65"/>
  <c r="V1954" i="65"/>
  <c r="R1955" i="65"/>
  <c r="S1955" i="65"/>
  <c r="T1955" i="65"/>
  <c r="U1955" i="65"/>
  <c r="V1955" i="65"/>
  <c r="R1956" i="65"/>
  <c r="S1956" i="65"/>
  <c r="T1956" i="65"/>
  <c r="U1956" i="65"/>
  <c r="V1956" i="65"/>
  <c r="R1957" i="65"/>
  <c r="S1957" i="65"/>
  <c r="T1957" i="65"/>
  <c r="U1957" i="65"/>
  <c r="V1957" i="65"/>
  <c r="R1958" i="65"/>
  <c r="S1958" i="65"/>
  <c r="T1958" i="65"/>
  <c r="U1958" i="65"/>
  <c r="V1958" i="65"/>
  <c r="R1959" i="65"/>
  <c r="S1959" i="65"/>
  <c r="T1959" i="65"/>
  <c r="U1959" i="65"/>
  <c r="V1959" i="65"/>
  <c r="R1960" i="65"/>
  <c r="S1960" i="65"/>
  <c r="T1960" i="65"/>
  <c r="U1960" i="65"/>
  <c r="V1960" i="65"/>
  <c r="R1961" i="65"/>
  <c r="S1961" i="65"/>
  <c r="T1961" i="65"/>
  <c r="U1961" i="65"/>
  <c r="V1961" i="65"/>
  <c r="R1962" i="65"/>
  <c r="S1962" i="65"/>
  <c r="T1962" i="65"/>
  <c r="U1962" i="65"/>
  <c r="V1962" i="65"/>
  <c r="R1963" i="65"/>
  <c r="S1963" i="65"/>
  <c r="T1963" i="65"/>
  <c r="U1963" i="65"/>
  <c r="V1963" i="65"/>
  <c r="R1964" i="65"/>
  <c r="S1964" i="65"/>
  <c r="T1964" i="65"/>
  <c r="U1964" i="65"/>
  <c r="V1964" i="65"/>
  <c r="R1965" i="65"/>
  <c r="S1965" i="65"/>
  <c r="T1965" i="65"/>
  <c r="U1965" i="65"/>
  <c r="V1965" i="65"/>
  <c r="R1966" i="65"/>
  <c r="S1966" i="65"/>
  <c r="T1966" i="65"/>
  <c r="U1966" i="65"/>
  <c r="V1966" i="65"/>
  <c r="R1967" i="65"/>
  <c r="S1967" i="65"/>
  <c r="T1967" i="65"/>
  <c r="U1967" i="65"/>
  <c r="V1967" i="65"/>
  <c r="R1968" i="65"/>
  <c r="S1968" i="65"/>
  <c r="T1968" i="65"/>
  <c r="U1968" i="65"/>
  <c r="V1968" i="65"/>
  <c r="R1969" i="65"/>
  <c r="S1969" i="65"/>
  <c r="T1969" i="65"/>
  <c r="U1969" i="65"/>
  <c r="V1969" i="65"/>
  <c r="R1970" i="65"/>
  <c r="S1970" i="65"/>
  <c r="T1970" i="65"/>
  <c r="U1970" i="65"/>
  <c r="V1970" i="65"/>
  <c r="R1971" i="65"/>
  <c r="S1971" i="65"/>
  <c r="T1971" i="65"/>
  <c r="U1971" i="65"/>
  <c r="V1971" i="65"/>
  <c r="R1972" i="65"/>
  <c r="S1972" i="65"/>
  <c r="T1972" i="65"/>
  <c r="U1972" i="65"/>
  <c r="V1972" i="65"/>
  <c r="R1973" i="65"/>
  <c r="S1973" i="65"/>
  <c r="T1973" i="65"/>
  <c r="U1973" i="65"/>
  <c r="V1973" i="65"/>
  <c r="R1974" i="65"/>
  <c r="S1974" i="65"/>
  <c r="T1974" i="65"/>
  <c r="U1974" i="65"/>
  <c r="V1974" i="65"/>
  <c r="R1975" i="65"/>
  <c r="S1975" i="65"/>
  <c r="T1975" i="65"/>
  <c r="U1975" i="65"/>
  <c r="V1975" i="65"/>
  <c r="R1976" i="65"/>
  <c r="S1976" i="65"/>
  <c r="T1976" i="65"/>
  <c r="U1976" i="65"/>
  <c r="V1976" i="65"/>
  <c r="R1977" i="65"/>
  <c r="S1977" i="65"/>
  <c r="T1977" i="65"/>
  <c r="U1977" i="65"/>
  <c r="V1977" i="65"/>
  <c r="R1978" i="65"/>
  <c r="S1978" i="65"/>
  <c r="T1978" i="65"/>
  <c r="U1978" i="65"/>
  <c r="V1978" i="65"/>
  <c r="R1979" i="65"/>
  <c r="S1979" i="65"/>
  <c r="T1979" i="65"/>
  <c r="U1979" i="65"/>
  <c r="V1979" i="65"/>
  <c r="R1980" i="65"/>
  <c r="S1980" i="65"/>
  <c r="T1980" i="65"/>
  <c r="U1980" i="65"/>
  <c r="V1980" i="65"/>
  <c r="R1981" i="65"/>
  <c r="S1981" i="65"/>
  <c r="T1981" i="65"/>
  <c r="U1981" i="65"/>
  <c r="V1981" i="65"/>
  <c r="R1982" i="65"/>
  <c r="S1982" i="65"/>
  <c r="T1982" i="65"/>
  <c r="U1982" i="65"/>
  <c r="V1982" i="65"/>
  <c r="R1983" i="65"/>
  <c r="S1983" i="65"/>
  <c r="T1983" i="65"/>
  <c r="U1983" i="65"/>
  <c r="V1983" i="65"/>
  <c r="R1984" i="65"/>
  <c r="S1984" i="65"/>
  <c r="T1984" i="65"/>
  <c r="U1984" i="65"/>
  <c r="V1984" i="65"/>
  <c r="R1985" i="65"/>
  <c r="S1985" i="65"/>
  <c r="T1985" i="65"/>
  <c r="U1985" i="65"/>
  <c r="V1985" i="65"/>
  <c r="R1986" i="65"/>
  <c r="S1986" i="65"/>
  <c r="T1986" i="65"/>
  <c r="U1986" i="65"/>
  <c r="V1986" i="65"/>
  <c r="R1987" i="65"/>
  <c r="S1987" i="65"/>
  <c r="T1987" i="65"/>
  <c r="U1987" i="65"/>
  <c r="V1987" i="65"/>
  <c r="R1988" i="65"/>
  <c r="S1988" i="65"/>
  <c r="T1988" i="65"/>
  <c r="U1988" i="65"/>
  <c r="V1988" i="65"/>
  <c r="R1989" i="65"/>
  <c r="S1989" i="65"/>
  <c r="T1989" i="65"/>
  <c r="U1989" i="65"/>
  <c r="V1989" i="65"/>
  <c r="R1990" i="65"/>
  <c r="S1990" i="65"/>
  <c r="T1990" i="65"/>
  <c r="U1990" i="65"/>
  <c r="V1990" i="65"/>
  <c r="R1991" i="65"/>
  <c r="S1991" i="65"/>
  <c r="T1991" i="65"/>
  <c r="U1991" i="65"/>
  <c r="V1991" i="65"/>
  <c r="R1992" i="65"/>
  <c r="S1992" i="65"/>
  <c r="T1992" i="65"/>
  <c r="U1992" i="65"/>
  <c r="V1992" i="65"/>
  <c r="R1993" i="65"/>
  <c r="S1993" i="65"/>
  <c r="T1993" i="65"/>
  <c r="U1993" i="65"/>
  <c r="V1993" i="65"/>
  <c r="R1994" i="65"/>
  <c r="S1994" i="65"/>
  <c r="T1994" i="65"/>
  <c r="U1994" i="65"/>
  <c r="V1994" i="65"/>
  <c r="R1995" i="65"/>
  <c r="S1995" i="65"/>
  <c r="T1995" i="65"/>
  <c r="U1995" i="65"/>
  <c r="V1995" i="65"/>
  <c r="R1996" i="65"/>
  <c r="S1996" i="65"/>
  <c r="T1996" i="65"/>
  <c r="U1996" i="65"/>
  <c r="V1996" i="65"/>
  <c r="R1997" i="65"/>
  <c r="S1997" i="65"/>
  <c r="T1997" i="65"/>
  <c r="U1997" i="65"/>
  <c r="V1997" i="65"/>
  <c r="R1998" i="65"/>
  <c r="S1998" i="65"/>
  <c r="T1998" i="65"/>
  <c r="U1998" i="65"/>
  <c r="V1998" i="65"/>
  <c r="R1999" i="65"/>
  <c r="S1999" i="65"/>
  <c r="T1999" i="65"/>
  <c r="U1999" i="65"/>
  <c r="V1999" i="65"/>
  <c r="R2000" i="65"/>
  <c r="S2000" i="65"/>
  <c r="T2000" i="65"/>
  <c r="U2000" i="65"/>
  <c r="V2000" i="65"/>
  <c r="R2001" i="65"/>
  <c r="S2001" i="65"/>
  <c r="T2001" i="65"/>
  <c r="U2001" i="65"/>
  <c r="V2001" i="65"/>
  <c r="R2002" i="65"/>
  <c r="S2002" i="65"/>
  <c r="T2002" i="65"/>
  <c r="U2002" i="65"/>
  <c r="V2002" i="65"/>
  <c r="R2003" i="65"/>
  <c r="S2003" i="65"/>
  <c r="T2003" i="65"/>
  <c r="U2003" i="65"/>
  <c r="V2003" i="65"/>
  <c r="R1484" i="65"/>
  <c r="S1484" i="65"/>
  <c r="T1484" i="65"/>
  <c r="U1484" i="65"/>
  <c r="V1484" i="65"/>
  <c r="R1485" i="65"/>
  <c r="S1485" i="65"/>
  <c r="T1485" i="65"/>
  <c r="U1485" i="65"/>
  <c r="V1485" i="65"/>
  <c r="R1486" i="65"/>
  <c r="S1486" i="65"/>
  <c r="T1486" i="65"/>
  <c r="U1486" i="65"/>
  <c r="V1486" i="65"/>
  <c r="R1487" i="65"/>
  <c r="S1487" i="65"/>
  <c r="T1487" i="65"/>
  <c r="U1487" i="65"/>
  <c r="V1487" i="65"/>
  <c r="R1488" i="65"/>
  <c r="S1488" i="65"/>
  <c r="T1488" i="65"/>
  <c r="U1488" i="65"/>
  <c r="V1488" i="65"/>
  <c r="R1489" i="65"/>
  <c r="S1489" i="65"/>
  <c r="T1489" i="65"/>
  <c r="U1489" i="65"/>
  <c r="V1489" i="65"/>
  <c r="R1490" i="65"/>
  <c r="S1490" i="65"/>
  <c r="T1490" i="65"/>
  <c r="U1490" i="65"/>
  <c r="V1490" i="65"/>
  <c r="R1491" i="65"/>
  <c r="S1491" i="65"/>
  <c r="T1491" i="65"/>
  <c r="U1491" i="65"/>
  <c r="V1491" i="65"/>
  <c r="R1492" i="65"/>
  <c r="S1492" i="65"/>
  <c r="T1492" i="65"/>
  <c r="U1492" i="65"/>
  <c r="V1492" i="65"/>
  <c r="R1493" i="65"/>
  <c r="S1493" i="65"/>
  <c r="T1493" i="65"/>
  <c r="U1493" i="65"/>
  <c r="V1493" i="65"/>
  <c r="R1494" i="65"/>
  <c r="S1494" i="65"/>
  <c r="T1494" i="65"/>
  <c r="U1494" i="65"/>
  <c r="V1494" i="65"/>
  <c r="R1495" i="65"/>
  <c r="S1495" i="65"/>
  <c r="T1495" i="65"/>
  <c r="U1495" i="65"/>
  <c r="V1495" i="65"/>
  <c r="R1496" i="65"/>
  <c r="S1496" i="65"/>
  <c r="T1496" i="65"/>
  <c r="U1496" i="65"/>
  <c r="V1496" i="65"/>
  <c r="R1497" i="65"/>
  <c r="S1497" i="65"/>
  <c r="T1497" i="65"/>
  <c r="U1497" i="65"/>
  <c r="V1497" i="65"/>
  <c r="R1498" i="65"/>
  <c r="S1498" i="65"/>
  <c r="T1498" i="65"/>
  <c r="U1498" i="65"/>
  <c r="V1498" i="65"/>
  <c r="R1499" i="65"/>
  <c r="S1499" i="65"/>
  <c r="T1499" i="65"/>
  <c r="U1499" i="65"/>
  <c r="V1499" i="65"/>
  <c r="R1500" i="65"/>
  <c r="S1500" i="65"/>
  <c r="T1500" i="65"/>
  <c r="U1500" i="65"/>
  <c r="V1500" i="65"/>
  <c r="R1501" i="65"/>
  <c r="S1501" i="65"/>
  <c r="T1501" i="65"/>
  <c r="U1501" i="65"/>
  <c r="V1501" i="65"/>
  <c r="R1502" i="65"/>
  <c r="S1502" i="65"/>
  <c r="T1502" i="65"/>
  <c r="U1502" i="65"/>
  <c r="V1502" i="65"/>
  <c r="R1503" i="65"/>
  <c r="S1503" i="65"/>
  <c r="T1503" i="65"/>
  <c r="U1503" i="65"/>
  <c r="V1503" i="65"/>
  <c r="R1504" i="65"/>
  <c r="S1504" i="65"/>
  <c r="T1504" i="65"/>
  <c r="U1504" i="65"/>
  <c r="V1504" i="65"/>
  <c r="R1505" i="65"/>
  <c r="S1505" i="65"/>
  <c r="T1505" i="65"/>
  <c r="U1505" i="65"/>
  <c r="V1505" i="65"/>
  <c r="R1506" i="65"/>
  <c r="S1506" i="65"/>
  <c r="T1506" i="65"/>
  <c r="U1506" i="65"/>
  <c r="V1506" i="65"/>
  <c r="R1507" i="65"/>
  <c r="S1507" i="65"/>
  <c r="T1507" i="65"/>
  <c r="U1507" i="65"/>
  <c r="V1507" i="65"/>
  <c r="R1508" i="65"/>
  <c r="S1508" i="65"/>
  <c r="T1508" i="65"/>
  <c r="U1508" i="65"/>
  <c r="V1508" i="65"/>
  <c r="R1509" i="65"/>
  <c r="S1509" i="65"/>
  <c r="T1509" i="65"/>
  <c r="U1509" i="65"/>
  <c r="V1509" i="65"/>
  <c r="R1510" i="65"/>
  <c r="S1510" i="65"/>
  <c r="T1510" i="65"/>
  <c r="U1510" i="65"/>
  <c r="V1510" i="65"/>
  <c r="R1511" i="65"/>
  <c r="S1511" i="65"/>
  <c r="T1511" i="65"/>
  <c r="U1511" i="65"/>
  <c r="V1511" i="65"/>
  <c r="R1512" i="65"/>
  <c r="S1512" i="65"/>
  <c r="T1512" i="65"/>
  <c r="U1512" i="65"/>
  <c r="V1512" i="65"/>
  <c r="R1513" i="65"/>
  <c r="S1513" i="65"/>
  <c r="T1513" i="65"/>
  <c r="U1513" i="65"/>
  <c r="V1513" i="65"/>
  <c r="R1514" i="65"/>
  <c r="S1514" i="65"/>
  <c r="T1514" i="65"/>
  <c r="U1514" i="65"/>
  <c r="V1514" i="65"/>
  <c r="R1515" i="65"/>
  <c r="S1515" i="65"/>
  <c r="T1515" i="65"/>
  <c r="U1515" i="65"/>
  <c r="V1515" i="65"/>
  <c r="R1516" i="65"/>
  <c r="S1516" i="65"/>
  <c r="T1516" i="65"/>
  <c r="U1516" i="65"/>
  <c r="V1516" i="65"/>
  <c r="R1517" i="65"/>
  <c r="S1517" i="65"/>
  <c r="T1517" i="65"/>
  <c r="U1517" i="65"/>
  <c r="V1517" i="65"/>
  <c r="R1518" i="65"/>
  <c r="S1518" i="65"/>
  <c r="T1518" i="65"/>
  <c r="U1518" i="65"/>
  <c r="V1518" i="65"/>
  <c r="R1519" i="65"/>
  <c r="S1519" i="65"/>
  <c r="T1519" i="65"/>
  <c r="U1519" i="65"/>
  <c r="V1519" i="65"/>
  <c r="R1520" i="65"/>
  <c r="S1520" i="65"/>
  <c r="T1520" i="65"/>
  <c r="U1520" i="65"/>
  <c r="V1520" i="65"/>
  <c r="R1521" i="65"/>
  <c r="S1521" i="65"/>
  <c r="T1521" i="65"/>
  <c r="U1521" i="65"/>
  <c r="V1521" i="65"/>
  <c r="R1522" i="65"/>
  <c r="S1522" i="65"/>
  <c r="T1522" i="65"/>
  <c r="U1522" i="65"/>
  <c r="V1522" i="65"/>
  <c r="R1523" i="65"/>
  <c r="S1523" i="65"/>
  <c r="T1523" i="65"/>
  <c r="U1523" i="65"/>
  <c r="V1523" i="65"/>
  <c r="R1524" i="65"/>
  <c r="S1524" i="65"/>
  <c r="T1524" i="65"/>
  <c r="U1524" i="65"/>
  <c r="V1524" i="65"/>
  <c r="R1525" i="65"/>
  <c r="S1525" i="65"/>
  <c r="T1525" i="65"/>
  <c r="U1525" i="65"/>
  <c r="V1525" i="65"/>
  <c r="R1526" i="65"/>
  <c r="S1526" i="65"/>
  <c r="T1526" i="65"/>
  <c r="U1526" i="65"/>
  <c r="V1526" i="65"/>
  <c r="R1527" i="65"/>
  <c r="S1527" i="65"/>
  <c r="T1527" i="65"/>
  <c r="U1527" i="65"/>
  <c r="V1527" i="65"/>
  <c r="R1528" i="65"/>
  <c r="S1528" i="65"/>
  <c r="T1528" i="65"/>
  <c r="U1528" i="65"/>
  <c r="V1528" i="65"/>
  <c r="R1529" i="65"/>
  <c r="S1529" i="65"/>
  <c r="T1529" i="65"/>
  <c r="U1529" i="65"/>
  <c r="V1529" i="65"/>
  <c r="R1530" i="65"/>
  <c r="S1530" i="65"/>
  <c r="T1530" i="65"/>
  <c r="U1530" i="65"/>
  <c r="V1530" i="65"/>
  <c r="R1531" i="65"/>
  <c r="S1531" i="65"/>
  <c r="T1531" i="65"/>
  <c r="U1531" i="65"/>
  <c r="V1531" i="65"/>
  <c r="R1532" i="65"/>
  <c r="S1532" i="65"/>
  <c r="T1532" i="65"/>
  <c r="U1532" i="65"/>
  <c r="V1532" i="65"/>
  <c r="R1533" i="65"/>
  <c r="S1533" i="65"/>
  <c r="T1533" i="65"/>
  <c r="U1533" i="65"/>
  <c r="V1533" i="65"/>
  <c r="R1534" i="65"/>
  <c r="S1534" i="65"/>
  <c r="T1534" i="65"/>
  <c r="U1534" i="65"/>
  <c r="V1534" i="65"/>
  <c r="R1535" i="65"/>
  <c r="S1535" i="65"/>
  <c r="T1535" i="65"/>
  <c r="U1535" i="65"/>
  <c r="V1535" i="65"/>
  <c r="R1536" i="65"/>
  <c r="S1536" i="65"/>
  <c r="T1536" i="65"/>
  <c r="U1536" i="65"/>
  <c r="V1536" i="65"/>
  <c r="R1537" i="65"/>
  <c r="S1537" i="65"/>
  <c r="T1537" i="65"/>
  <c r="U1537" i="65"/>
  <c r="V1537" i="65"/>
  <c r="R1538" i="65"/>
  <c r="S1538" i="65"/>
  <c r="T1538" i="65"/>
  <c r="U1538" i="65"/>
  <c r="V1538" i="65"/>
  <c r="R1539" i="65"/>
  <c r="S1539" i="65"/>
  <c r="T1539" i="65"/>
  <c r="U1539" i="65"/>
  <c r="V1539" i="65"/>
  <c r="R1540" i="65"/>
  <c r="S1540" i="65"/>
  <c r="T1540" i="65"/>
  <c r="U1540" i="65"/>
  <c r="V1540" i="65"/>
  <c r="R1541" i="65"/>
  <c r="S1541" i="65"/>
  <c r="T1541" i="65"/>
  <c r="U1541" i="65"/>
  <c r="V1541" i="65"/>
  <c r="R1542" i="65"/>
  <c r="S1542" i="65"/>
  <c r="T1542" i="65"/>
  <c r="U1542" i="65"/>
  <c r="V1542" i="65"/>
  <c r="R1543" i="65"/>
  <c r="S1543" i="65"/>
  <c r="T1543" i="65"/>
  <c r="U1543" i="65"/>
  <c r="V1543" i="65"/>
  <c r="R1544" i="65"/>
  <c r="S1544" i="65"/>
  <c r="T1544" i="65"/>
  <c r="U1544" i="65"/>
  <c r="V1544" i="65"/>
  <c r="R1545" i="65"/>
  <c r="S1545" i="65"/>
  <c r="T1545" i="65"/>
  <c r="U1545" i="65"/>
  <c r="V1545" i="65"/>
  <c r="R1546" i="65"/>
  <c r="S1546" i="65"/>
  <c r="T1546" i="65"/>
  <c r="U1546" i="65"/>
  <c r="V1546" i="65"/>
  <c r="R1547" i="65"/>
  <c r="S1547" i="65"/>
  <c r="T1547" i="65"/>
  <c r="U1547" i="65"/>
  <c r="V1547" i="65"/>
  <c r="R1548" i="65"/>
  <c r="S1548" i="65"/>
  <c r="T1548" i="65"/>
  <c r="U1548" i="65"/>
  <c r="V1548" i="65"/>
  <c r="R1549" i="65"/>
  <c r="S1549" i="65"/>
  <c r="T1549" i="65"/>
  <c r="U1549" i="65"/>
  <c r="V1549" i="65"/>
  <c r="R1550" i="65"/>
  <c r="S1550" i="65"/>
  <c r="T1550" i="65"/>
  <c r="U1550" i="65"/>
  <c r="V1550" i="65"/>
  <c r="R1551" i="65"/>
  <c r="S1551" i="65"/>
  <c r="T1551" i="65"/>
  <c r="U1551" i="65"/>
  <c r="V1551" i="65"/>
  <c r="R1552" i="65"/>
  <c r="S1552" i="65"/>
  <c r="T1552" i="65"/>
  <c r="U1552" i="65"/>
  <c r="V1552" i="65"/>
  <c r="R1553" i="65"/>
  <c r="S1553" i="65"/>
  <c r="T1553" i="65"/>
  <c r="U1553" i="65"/>
  <c r="V1553" i="65"/>
  <c r="R1554" i="65"/>
  <c r="S1554" i="65"/>
  <c r="T1554" i="65"/>
  <c r="U1554" i="65"/>
  <c r="V1554" i="65"/>
  <c r="R1555" i="65"/>
  <c r="S1555" i="65"/>
  <c r="T1555" i="65"/>
  <c r="U1555" i="65"/>
  <c r="V1555" i="65"/>
  <c r="R1556" i="65"/>
  <c r="S1556" i="65"/>
  <c r="T1556" i="65"/>
  <c r="U1556" i="65"/>
  <c r="V1556" i="65"/>
  <c r="R1557" i="65"/>
  <c r="S1557" i="65"/>
  <c r="T1557" i="65"/>
  <c r="U1557" i="65"/>
  <c r="V1557" i="65"/>
  <c r="R1558" i="65"/>
  <c r="S1558" i="65"/>
  <c r="T1558" i="65"/>
  <c r="U1558" i="65"/>
  <c r="V1558" i="65"/>
  <c r="R1559" i="65"/>
  <c r="S1559" i="65"/>
  <c r="T1559" i="65"/>
  <c r="U1559" i="65"/>
  <c r="V1559" i="65"/>
  <c r="R1560" i="65"/>
  <c r="S1560" i="65"/>
  <c r="T1560" i="65"/>
  <c r="U1560" i="65"/>
  <c r="V1560" i="65"/>
  <c r="R1561" i="65"/>
  <c r="S1561" i="65"/>
  <c r="T1561" i="65"/>
  <c r="U1561" i="65"/>
  <c r="V1561" i="65"/>
  <c r="R1562" i="65"/>
  <c r="S1562" i="65"/>
  <c r="T1562" i="65"/>
  <c r="U1562" i="65"/>
  <c r="V1562" i="65"/>
  <c r="R1563" i="65"/>
  <c r="S1563" i="65"/>
  <c r="T1563" i="65"/>
  <c r="U1563" i="65"/>
  <c r="V1563" i="65"/>
  <c r="R1564" i="65"/>
  <c r="S1564" i="65"/>
  <c r="T1564" i="65"/>
  <c r="U1564" i="65"/>
  <c r="V1564" i="65"/>
  <c r="R1565" i="65"/>
  <c r="S1565" i="65"/>
  <c r="T1565" i="65"/>
  <c r="U1565" i="65"/>
  <c r="V1565" i="65"/>
  <c r="R1566" i="65"/>
  <c r="S1566" i="65"/>
  <c r="T1566" i="65"/>
  <c r="U1566" i="65"/>
  <c r="V1566" i="65"/>
  <c r="R1567" i="65"/>
  <c r="S1567" i="65"/>
  <c r="T1567" i="65"/>
  <c r="U1567" i="65"/>
  <c r="V1567" i="65"/>
  <c r="R1568" i="65"/>
  <c r="S1568" i="65"/>
  <c r="T1568" i="65"/>
  <c r="U1568" i="65"/>
  <c r="V1568" i="65"/>
  <c r="R1569" i="65"/>
  <c r="S1569" i="65"/>
  <c r="T1569" i="65"/>
  <c r="U1569" i="65"/>
  <c r="V1569" i="65"/>
  <c r="R1570" i="65"/>
  <c r="S1570" i="65"/>
  <c r="T1570" i="65"/>
  <c r="U1570" i="65"/>
  <c r="V1570" i="65"/>
  <c r="R1571" i="65"/>
  <c r="S1571" i="65"/>
  <c r="T1571" i="65"/>
  <c r="U1571" i="65"/>
  <c r="V1571" i="65"/>
  <c r="R1572" i="65"/>
  <c r="S1572" i="65"/>
  <c r="T1572" i="65"/>
  <c r="U1572" i="65"/>
  <c r="V1572" i="65"/>
  <c r="R1573" i="65"/>
  <c r="S1573" i="65"/>
  <c r="T1573" i="65"/>
  <c r="U1573" i="65"/>
  <c r="V1573" i="65"/>
  <c r="R1574" i="65"/>
  <c r="S1574" i="65"/>
  <c r="T1574" i="65"/>
  <c r="U1574" i="65"/>
  <c r="V1574" i="65"/>
  <c r="R1575" i="65"/>
  <c r="S1575" i="65"/>
  <c r="T1575" i="65"/>
  <c r="U1575" i="65"/>
  <c r="V1575" i="65"/>
  <c r="R1576" i="65"/>
  <c r="S1576" i="65"/>
  <c r="T1576" i="65"/>
  <c r="U1576" i="65"/>
  <c r="V1576" i="65"/>
  <c r="R1577" i="65"/>
  <c r="S1577" i="65"/>
  <c r="T1577" i="65"/>
  <c r="U1577" i="65"/>
  <c r="V1577" i="65"/>
  <c r="R1578" i="65"/>
  <c r="S1578" i="65"/>
  <c r="T1578" i="65"/>
  <c r="U1578" i="65"/>
  <c r="V1578" i="65"/>
  <c r="R1579" i="65"/>
  <c r="S1579" i="65"/>
  <c r="T1579" i="65"/>
  <c r="U1579" i="65"/>
  <c r="V1579" i="65"/>
  <c r="R1580" i="65"/>
  <c r="S1580" i="65"/>
  <c r="T1580" i="65"/>
  <c r="U1580" i="65"/>
  <c r="V1580" i="65"/>
  <c r="R1581" i="65"/>
  <c r="S1581" i="65"/>
  <c r="T1581" i="65"/>
  <c r="U1581" i="65"/>
  <c r="V1581" i="65"/>
  <c r="R1582" i="65"/>
  <c r="S1582" i="65"/>
  <c r="T1582" i="65"/>
  <c r="U1582" i="65"/>
  <c r="V1582" i="65"/>
  <c r="R1583" i="65"/>
  <c r="S1583" i="65"/>
  <c r="T1583" i="65"/>
  <c r="U1583" i="65"/>
  <c r="V1583" i="65"/>
  <c r="R1584" i="65"/>
  <c r="S1584" i="65"/>
  <c r="T1584" i="65"/>
  <c r="U1584" i="65"/>
  <c r="V1584" i="65"/>
  <c r="R1585" i="65"/>
  <c r="S1585" i="65"/>
  <c r="T1585" i="65"/>
  <c r="U1585" i="65"/>
  <c r="V1585" i="65"/>
  <c r="R1586" i="65"/>
  <c r="S1586" i="65"/>
  <c r="T1586" i="65"/>
  <c r="U1586" i="65"/>
  <c r="V1586" i="65"/>
  <c r="R1587" i="65"/>
  <c r="S1587" i="65"/>
  <c r="T1587" i="65"/>
  <c r="U1587" i="65"/>
  <c r="V1587" i="65"/>
  <c r="R1588" i="65"/>
  <c r="S1588" i="65"/>
  <c r="T1588" i="65"/>
  <c r="U1588" i="65"/>
  <c r="V1588" i="65"/>
  <c r="R1589" i="65"/>
  <c r="S1589" i="65"/>
  <c r="T1589" i="65"/>
  <c r="U1589" i="65"/>
  <c r="V1589" i="65"/>
  <c r="R1590" i="65"/>
  <c r="S1590" i="65"/>
  <c r="T1590" i="65"/>
  <c r="U1590" i="65"/>
  <c r="V1590" i="65"/>
  <c r="R1591" i="65"/>
  <c r="S1591" i="65"/>
  <c r="T1591" i="65"/>
  <c r="U1591" i="65"/>
  <c r="V1591" i="65"/>
  <c r="R1592" i="65"/>
  <c r="S1592" i="65"/>
  <c r="T1592" i="65"/>
  <c r="U1592" i="65"/>
  <c r="V1592" i="65"/>
  <c r="R1593" i="65"/>
  <c r="S1593" i="65"/>
  <c r="T1593" i="65"/>
  <c r="U1593" i="65"/>
  <c r="V1593" i="65"/>
  <c r="R1594" i="65"/>
  <c r="S1594" i="65"/>
  <c r="T1594" i="65"/>
  <c r="U1594" i="65"/>
  <c r="V1594" i="65"/>
  <c r="R1595" i="65"/>
  <c r="S1595" i="65"/>
  <c r="T1595" i="65"/>
  <c r="U1595" i="65"/>
  <c r="V1595" i="65"/>
  <c r="R1596" i="65"/>
  <c r="S1596" i="65"/>
  <c r="T1596" i="65"/>
  <c r="U1596" i="65"/>
  <c r="V1596" i="65"/>
  <c r="R1597" i="65"/>
  <c r="S1597" i="65"/>
  <c r="T1597" i="65"/>
  <c r="U1597" i="65"/>
  <c r="V1597" i="65"/>
  <c r="R1598" i="65"/>
  <c r="S1598" i="65"/>
  <c r="T1598" i="65"/>
  <c r="U1598" i="65"/>
  <c r="V1598" i="65"/>
  <c r="R1599" i="65"/>
  <c r="S1599" i="65"/>
  <c r="T1599" i="65"/>
  <c r="U1599" i="65"/>
  <c r="V1599" i="65"/>
  <c r="R1600" i="65"/>
  <c r="S1600" i="65"/>
  <c r="T1600" i="65"/>
  <c r="U1600" i="65"/>
  <c r="V1600" i="65"/>
  <c r="R1601" i="65"/>
  <c r="S1601" i="65"/>
  <c r="T1601" i="65"/>
  <c r="U1601" i="65"/>
  <c r="V1601" i="65"/>
  <c r="R1602" i="65"/>
  <c r="S1602" i="65"/>
  <c r="T1602" i="65"/>
  <c r="U1602" i="65"/>
  <c r="V1602" i="65"/>
  <c r="R1603" i="65"/>
  <c r="S1603" i="65"/>
  <c r="T1603" i="65"/>
  <c r="U1603" i="65"/>
  <c r="V1603" i="65"/>
  <c r="R1604" i="65"/>
  <c r="S1604" i="65"/>
  <c r="T1604" i="65"/>
  <c r="U1604" i="65"/>
  <c r="V1604" i="65"/>
  <c r="R1605" i="65"/>
  <c r="S1605" i="65"/>
  <c r="T1605" i="65"/>
  <c r="U1605" i="65"/>
  <c r="V1605" i="65"/>
  <c r="R1606" i="65"/>
  <c r="S1606" i="65"/>
  <c r="T1606" i="65"/>
  <c r="U1606" i="65"/>
  <c r="V1606" i="65"/>
  <c r="R1607" i="65"/>
  <c r="S1607" i="65"/>
  <c r="T1607" i="65"/>
  <c r="U1607" i="65"/>
  <c r="V1607" i="65"/>
  <c r="R1608" i="65"/>
  <c r="S1608" i="65"/>
  <c r="T1608" i="65"/>
  <c r="U1608" i="65"/>
  <c r="V1608" i="65"/>
  <c r="R1609" i="65"/>
  <c r="S1609" i="65"/>
  <c r="T1609" i="65"/>
  <c r="U1609" i="65"/>
  <c r="V1609" i="65"/>
  <c r="R1610" i="65"/>
  <c r="S1610" i="65"/>
  <c r="T1610" i="65"/>
  <c r="U1610" i="65"/>
  <c r="V1610" i="65"/>
  <c r="R1611" i="65"/>
  <c r="S1611" i="65"/>
  <c r="T1611" i="65"/>
  <c r="U1611" i="65"/>
  <c r="V1611" i="65"/>
  <c r="R1612" i="65"/>
  <c r="S1612" i="65"/>
  <c r="T1612" i="65"/>
  <c r="U1612" i="65"/>
  <c r="V1612" i="65"/>
  <c r="R1613" i="65"/>
  <c r="S1613" i="65"/>
  <c r="T1613" i="65"/>
  <c r="U1613" i="65"/>
  <c r="V1613" i="65"/>
  <c r="R1614" i="65"/>
  <c r="S1614" i="65"/>
  <c r="T1614" i="65"/>
  <c r="U1614" i="65"/>
  <c r="V1614" i="65"/>
  <c r="R1615" i="65"/>
  <c r="S1615" i="65"/>
  <c r="T1615" i="65"/>
  <c r="U1615" i="65"/>
  <c r="V1615" i="65"/>
  <c r="R1616" i="65"/>
  <c r="S1616" i="65"/>
  <c r="T1616" i="65"/>
  <c r="U1616" i="65"/>
  <c r="V1616" i="65"/>
  <c r="R1617" i="65"/>
  <c r="S1617" i="65"/>
  <c r="T1617" i="65"/>
  <c r="U1617" i="65"/>
  <c r="V1617" i="65"/>
  <c r="R1618" i="65"/>
  <c r="S1618" i="65"/>
  <c r="T1618" i="65"/>
  <c r="U1618" i="65"/>
  <c r="V1618" i="65"/>
  <c r="R1619" i="65"/>
  <c r="S1619" i="65"/>
  <c r="T1619" i="65"/>
  <c r="U1619" i="65"/>
  <c r="V1619" i="65"/>
  <c r="R1620" i="65"/>
  <c r="S1620" i="65"/>
  <c r="T1620" i="65"/>
  <c r="U1620" i="65"/>
  <c r="V1620" i="65"/>
  <c r="R1621" i="65"/>
  <c r="S1621" i="65"/>
  <c r="T1621" i="65"/>
  <c r="U1621" i="65"/>
  <c r="V1621" i="65"/>
  <c r="R1622" i="65"/>
  <c r="S1622" i="65"/>
  <c r="T1622" i="65"/>
  <c r="U1622" i="65"/>
  <c r="V1622" i="65"/>
  <c r="R1623" i="65"/>
  <c r="S1623" i="65"/>
  <c r="T1623" i="65"/>
  <c r="U1623" i="65"/>
  <c r="V1623" i="65"/>
  <c r="R1624" i="65"/>
  <c r="S1624" i="65"/>
  <c r="T1624" i="65"/>
  <c r="U1624" i="65"/>
  <c r="V1624" i="65"/>
  <c r="R1625" i="65"/>
  <c r="S1625" i="65"/>
  <c r="T1625" i="65"/>
  <c r="U1625" i="65"/>
  <c r="V1625" i="65"/>
  <c r="R1626" i="65"/>
  <c r="S1626" i="65"/>
  <c r="T1626" i="65"/>
  <c r="U1626" i="65"/>
  <c r="V1626" i="65"/>
  <c r="R1627" i="65"/>
  <c r="S1627" i="65"/>
  <c r="T1627" i="65"/>
  <c r="U1627" i="65"/>
  <c r="V1627" i="65"/>
  <c r="R1628" i="65"/>
  <c r="S1628" i="65"/>
  <c r="T1628" i="65"/>
  <c r="U1628" i="65"/>
  <c r="V1628" i="65"/>
  <c r="R1629" i="65"/>
  <c r="S1629" i="65"/>
  <c r="T1629" i="65"/>
  <c r="U1629" i="65"/>
  <c r="V1629" i="65"/>
  <c r="R1630" i="65"/>
  <c r="S1630" i="65"/>
  <c r="T1630" i="65"/>
  <c r="U1630" i="65"/>
  <c r="V1630" i="65"/>
  <c r="R1631" i="65"/>
  <c r="S1631" i="65"/>
  <c r="T1631" i="65"/>
  <c r="U1631" i="65"/>
  <c r="V1631" i="65"/>
  <c r="R1632" i="65"/>
  <c r="S1632" i="65"/>
  <c r="T1632" i="65"/>
  <c r="U1632" i="65"/>
  <c r="V1632" i="65"/>
  <c r="R1633" i="65"/>
  <c r="S1633" i="65"/>
  <c r="T1633" i="65"/>
  <c r="U1633" i="65"/>
  <c r="V1633" i="65"/>
  <c r="R1634" i="65"/>
  <c r="S1634" i="65"/>
  <c r="T1634" i="65"/>
  <c r="U1634" i="65"/>
  <c r="V1634" i="65"/>
  <c r="R1635" i="65"/>
  <c r="S1635" i="65"/>
  <c r="T1635" i="65"/>
  <c r="U1635" i="65"/>
  <c r="V1635" i="65"/>
  <c r="R1636" i="65"/>
  <c r="S1636" i="65"/>
  <c r="T1636" i="65"/>
  <c r="U1636" i="65"/>
  <c r="V1636" i="65"/>
  <c r="R1637" i="65"/>
  <c r="S1637" i="65"/>
  <c r="T1637" i="65"/>
  <c r="U1637" i="65"/>
  <c r="V1637" i="65"/>
  <c r="R1638" i="65"/>
  <c r="S1638" i="65"/>
  <c r="T1638" i="65"/>
  <c r="U1638" i="65"/>
  <c r="V1638" i="65"/>
  <c r="R1639" i="65"/>
  <c r="S1639" i="65"/>
  <c r="T1639" i="65"/>
  <c r="U1639" i="65"/>
  <c r="V1639" i="65"/>
  <c r="R1640" i="65"/>
  <c r="S1640" i="65"/>
  <c r="T1640" i="65"/>
  <c r="U1640" i="65"/>
  <c r="V1640" i="65"/>
  <c r="R1641" i="65"/>
  <c r="S1641" i="65"/>
  <c r="T1641" i="65"/>
  <c r="U1641" i="65"/>
  <c r="V1641" i="65"/>
  <c r="R1642" i="65"/>
  <c r="S1642" i="65"/>
  <c r="T1642" i="65"/>
  <c r="U1642" i="65"/>
  <c r="V1642" i="65"/>
  <c r="R1643" i="65"/>
  <c r="S1643" i="65"/>
  <c r="T1643" i="65"/>
  <c r="U1643" i="65"/>
  <c r="V1643" i="65"/>
  <c r="R1644" i="65"/>
  <c r="S1644" i="65"/>
  <c r="T1644" i="65"/>
  <c r="U1644" i="65"/>
  <c r="V1644" i="65"/>
  <c r="R1645" i="65"/>
  <c r="S1645" i="65"/>
  <c r="T1645" i="65"/>
  <c r="U1645" i="65"/>
  <c r="V1645" i="65"/>
  <c r="R1646" i="65"/>
  <c r="S1646" i="65"/>
  <c r="T1646" i="65"/>
  <c r="U1646" i="65"/>
  <c r="V1646" i="65"/>
  <c r="R1647" i="65"/>
  <c r="S1647" i="65"/>
  <c r="T1647" i="65"/>
  <c r="U1647" i="65"/>
  <c r="V1647" i="65"/>
  <c r="R1648" i="65"/>
  <c r="S1648" i="65"/>
  <c r="T1648" i="65"/>
  <c r="U1648" i="65"/>
  <c r="V1648" i="65"/>
  <c r="R1649" i="65"/>
  <c r="S1649" i="65"/>
  <c r="T1649" i="65"/>
  <c r="U1649" i="65"/>
  <c r="V1649" i="65"/>
  <c r="R1650" i="65"/>
  <c r="S1650" i="65"/>
  <c r="T1650" i="65"/>
  <c r="U1650" i="65"/>
  <c r="V1650" i="65"/>
  <c r="R1651" i="65"/>
  <c r="S1651" i="65"/>
  <c r="T1651" i="65"/>
  <c r="U1651" i="65"/>
  <c r="V1651" i="65"/>
  <c r="R1652" i="65"/>
  <c r="S1652" i="65"/>
  <c r="T1652" i="65"/>
  <c r="U1652" i="65"/>
  <c r="V1652" i="65"/>
  <c r="R1653" i="65"/>
  <c r="S1653" i="65"/>
  <c r="T1653" i="65"/>
  <c r="U1653" i="65"/>
  <c r="V1653" i="65"/>
  <c r="R1654" i="65"/>
  <c r="S1654" i="65"/>
  <c r="T1654" i="65"/>
  <c r="U1654" i="65"/>
  <c r="V1654" i="65"/>
  <c r="R1655" i="65"/>
  <c r="S1655" i="65"/>
  <c r="T1655" i="65"/>
  <c r="U1655" i="65"/>
  <c r="V1655" i="65"/>
  <c r="R1656" i="65"/>
  <c r="S1656" i="65"/>
  <c r="T1656" i="65"/>
  <c r="U1656" i="65"/>
  <c r="V1656" i="65"/>
  <c r="R1657" i="65"/>
  <c r="S1657" i="65"/>
  <c r="T1657" i="65"/>
  <c r="U1657" i="65"/>
  <c r="V1657" i="65"/>
  <c r="R1658" i="65"/>
  <c r="S1658" i="65"/>
  <c r="T1658" i="65"/>
  <c r="U1658" i="65"/>
  <c r="V1658" i="65"/>
  <c r="R1659" i="65"/>
  <c r="S1659" i="65"/>
  <c r="T1659" i="65"/>
  <c r="U1659" i="65"/>
  <c r="V1659" i="65"/>
  <c r="R1660" i="65"/>
  <c r="S1660" i="65"/>
  <c r="T1660" i="65"/>
  <c r="U1660" i="65"/>
  <c r="V1660" i="65"/>
  <c r="R1661" i="65"/>
  <c r="S1661" i="65"/>
  <c r="T1661" i="65"/>
  <c r="U1661" i="65"/>
  <c r="V1661" i="65"/>
  <c r="R1662" i="65"/>
  <c r="S1662" i="65"/>
  <c r="T1662" i="65"/>
  <c r="U1662" i="65"/>
  <c r="V1662" i="65"/>
  <c r="R1663" i="65"/>
  <c r="S1663" i="65"/>
  <c r="T1663" i="65"/>
  <c r="U1663" i="65"/>
  <c r="V1663" i="65"/>
  <c r="R1664" i="65"/>
  <c r="S1664" i="65"/>
  <c r="T1664" i="65"/>
  <c r="U1664" i="65"/>
  <c r="V1664" i="65"/>
  <c r="R1665" i="65"/>
  <c r="S1665" i="65"/>
  <c r="T1665" i="65"/>
  <c r="U1665" i="65"/>
  <c r="V1665" i="65"/>
  <c r="R1666" i="65"/>
  <c r="S1666" i="65"/>
  <c r="T1666" i="65"/>
  <c r="U1666" i="65"/>
  <c r="V1666" i="65"/>
  <c r="R1667" i="65"/>
  <c r="S1667" i="65"/>
  <c r="T1667" i="65"/>
  <c r="U1667" i="65"/>
  <c r="V1667" i="65"/>
  <c r="R1668" i="65"/>
  <c r="S1668" i="65"/>
  <c r="T1668" i="65"/>
  <c r="U1668" i="65"/>
  <c r="V1668" i="65"/>
  <c r="R1669" i="65"/>
  <c r="S1669" i="65"/>
  <c r="T1669" i="65"/>
  <c r="U1669" i="65"/>
  <c r="V1669" i="65"/>
  <c r="R1670" i="65"/>
  <c r="S1670" i="65"/>
  <c r="T1670" i="65"/>
  <c r="U1670" i="65"/>
  <c r="V1670" i="65"/>
  <c r="R1671" i="65"/>
  <c r="S1671" i="65"/>
  <c r="T1671" i="65"/>
  <c r="U1671" i="65"/>
  <c r="V1671" i="65"/>
  <c r="R1672" i="65"/>
  <c r="S1672" i="65"/>
  <c r="T1672" i="65"/>
  <c r="U1672" i="65"/>
  <c r="V1672" i="65"/>
  <c r="R1673" i="65"/>
  <c r="S1673" i="65"/>
  <c r="T1673" i="65"/>
  <c r="U1673" i="65"/>
  <c r="V1673" i="65"/>
  <c r="R1674" i="65"/>
  <c r="S1674" i="65"/>
  <c r="T1674" i="65"/>
  <c r="U1674" i="65"/>
  <c r="V1674" i="65"/>
  <c r="R1675" i="65"/>
  <c r="S1675" i="65"/>
  <c r="T1675" i="65"/>
  <c r="U1675" i="65"/>
  <c r="V1675" i="65"/>
  <c r="R1676" i="65"/>
  <c r="S1676" i="65"/>
  <c r="T1676" i="65"/>
  <c r="U1676" i="65"/>
  <c r="V1676" i="65"/>
  <c r="R1677" i="65"/>
  <c r="S1677" i="65"/>
  <c r="T1677" i="65"/>
  <c r="U1677" i="65"/>
  <c r="V1677" i="65"/>
  <c r="R1678" i="65"/>
  <c r="S1678" i="65"/>
  <c r="T1678" i="65"/>
  <c r="U1678" i="65"/>
  <c r="V1678" i="65"/>
  <c r="R1679" i="65"/>
  <c r="S1679" i="65"/>
  <c r="T1679" i="65"/>
  <c r="U1679" i="65"/>
  <c r="V1679" i="65"/>
  <c r="R1680" i="65"/>
  <c r="S1680" i="65"/>
  <c r="T1680" i="65"/>
  <c r="U1680" i="65"/>
  <c r="V1680" i="65"/>
  <c r="R1681" i="65"/>
  <c r="S1681" i="65"/>
  <c r="T1681" i="65"/>
  <c r="U1681" i="65"/>
  <c r="V1681" i="65"/>
  <c r="R1682" i="65"/>
  <c r="S1682" i="65"/>
  <c r="T1682" i="65"/>
  <c r="U1682" i="65"/>
  <c r="V1682" i="65"/>
  <c r="R1683" i="65"/>
  <c r="S1683" i="65"/>
  <c r="T1683" i="65"/>
  <c r="U1683" i="65"/>
  <c r="V1683" i="65"/>
  <c r="R1684" i="65"/>
  <c r="S1684" i="65"/>
  <c r="T1684" i="65"/>
  <c r="U1684" i="65"/>
  <c r="V1684" i="65"/>
  <c r="R1685" i="65"/>
  <c r="S1685" i="65"/>
  <c r="T1685" i="65"/>
  <c r="U1685" i="65"/>
  <c r="V1685" i="65"/>
  <c r="R1686" i="65"/>
  <c r="S1686" i="65"/>
  <c r="T1686" i="65"/>
  <c r="U1686" i="65"/>
  <c r="V1686" i="65"/>
  <c r="R1687" i="65"/>
  <c r="S1687" i="65"/>
  <c r="T1687" i="65"/>
  <c r="U1687" i="65"/>
  <c r="V1687" i="65"/>
  <c r="R1688" i="65"/>
  <c r="S1688" i="65"/>
  <c r="T1688" i="65"/>
  <c r="U1688" i="65"/>
  <c r="V1688" i="65"/>
  <c r="R1689" i="65"/>
  <c r="S1689" i="65"/>
  <c r="T1689" i="65"/>
  <c r="U1689" i="65"/>
  <c r="V1689" i="65"/>
  <c r="R1690" i="65"/>
  <c r="S1690" i="65"/>
  <c r="T1690" i="65"/>
  <c r="U1690" i="65"/>
  <c r="V1690" i="65"/>
  <c r="R1691" i="65"/>
  <c r="S1691" i="65"/>
  <c r="T1691" i="65"/>
  <c r="U1691" i="65"/>
  <c r="V1691" i="65"/>
  <c r="R1692" i="65"/>
  <c r="S1692" i="65"/>
  <c r="T1692" i="65"/>
  <c r="U1692" i="65"/>
  <c r="V1692" i="65"/>
  <c r="R1693" i="65"/>
  <c r="S1693" i="65"/>
  <c r="T1693" i="65"/>
  <c r="U1693" i="65"/>
  <c r="V1693" i="65"/>
  <c r="R1694" i="65"/>
  <c r="S1694" i="65"/>
  <c r="T1694" i="65"/>
  <c r="U1694" i="65"/>
  <c r="V1694" i="65"/>
  <c r="R1695" i="65"/>
  <c r="S1695" i="65"/>
  <c r="T1695" i="65"/>
  <c r="U1695" i="65"/>
  <c r="V1695" i="65"/>
  <c r="R1696" i="65"/>
  <c r="S1696" i="65"/>
  <c r="T1696" i="65"/>
  <c r="U1696" i="65"/>
  <c r="V1696" i="65"/>
  <c r="R1697" i="65"/>
  <c r="S1697" i="65"/>
  <c r="T1697" i="65"/>
  <c r="U1697" i="65"/>
  <c r="V1697" i="65"/>
  <c r="R1698" i="65"/>
  <c r="S1698" i="65"/>
  <c r="T1698" i="65"/>
  <c r="U1698" i="65"/>
  <c r="V1698" i="65"/>
  <c r="R1699" i="65"/>
  <c r="S1699" i="65"/>
  <c r="T1699" i="65"/>
  <c r="U1699" i="65"/>
  <c r="V1699" i="65"/>
  <c r="R1700" i="65"/>
  <c r="S1700" i="65"/>
  <c r="T1700" i="65"/>
  <c r="U1700" i="65"/>
  <c r="V1700" i="65"/>
  <c r="R1701" i="65"/>
  <c r="S1701" i="65"/>
  <c r="T1701" i="65"/>
  <c r="U1701" i="65"/>
  <c r="V1701" i="65"/>
  <c r="R1702" i="65"/>
  <c r="S1702" i="65"/>
  <c r="T1702" i="65"/>
  <c r="U1702" i="65"/>
  <c r="V1702" i="65"/>
  <c r="R1703" i="65"/>
  <c r="S1703" i="65"/>
  <c r="T1703" i="65"/>
  <c r="U1703" i="65"/>
  <c r="V1703" i="65"/>
  <c r="R1704" i="65"/>
  <c r="S1704" i="65"/>
  <c r="T1704" i="65"/>
  <c r="U1704" i="65"/>
  <c r="V1704" i="65"/>
  <c r="R1705" i="65"/>
  <c r="S1705" i="65"/>
  <c r="T1705" i="65"/>
  <c r="U1705" i="65"/>
  <c r="V1705" i="65"/>
  <c r="R1706" i="65"/>
  <c r="S1706" i="65"/>
  <c r="T1706" i="65"/>
  <c r="U1706" i="65"/>
  <c r="V1706" i="65"/>
  <c r="R1707" i="65"/>
  <c r="S1707" i="65"/>
  <c r="T1707" i="65"/>
  <c r="U1707" i="65"/>
  <c r="V1707" i="65"/>
  <c r="R1708" i="65"/>
  <c r="S1708" i="65"/>
  <c r="T1708" i="65"/>
  <c r="U1708" i="65"/>
  <c r="V1708" i="65"/>
  <c r="R1709" i="65"/>
  <c r="S1709" i="65"/>
  <c r="T1709" i="65"/>
  <c r="U1709" i="65"/>
  <c r="V1709" i="65"/>
  <c r="R1710" i="65"/>
  <c r="S1710" i="65"/>
  <c r="T1710" i="65"/>
  <c r="U1710" i="65"/>
  <c r="V1710" i="65"/>
  <c r="R1711" i="65"/>
  <c r="S1711" i="65"/>
  <c r="T1711" i="65"/>
  <c r="U1711" i="65"/>
  <c r="V1711" i="65"/>
  <c r="R1712" i="65"/>
  <c r="S1712" i="65"/>
  <c r="T1712" i="65"/>
  <c r="U1712" i="65"/>
  <c r="V1712" i="65"/>
  <c r="R1713" i="65"/>
  <c r="S1713" i="65"/>
  <c r="T1713" i="65"/>
  <c r="U1713" i="65"/>
  <c r="V1713" i="65"/>
  <c r="R1714" i="65"/>
  <c r="S1714" i="65"/>
  <c r="T1714" i="65"/>
  <c r="U1714" i="65"/>
  <c r="V1714" i="65"/>
  <c r="R1715" i="65"/>
  <c r="S1715" i="65"/>
  <c r="T1715" i="65"/>
  <c r="U1715" i="65"/>
  <c r="V1715" i="65"/>
  <c r="R1716" i="65"/>
  <c r="S1716" i="65"/>
  <c r="T1716" i="65"/>
  <c r="U1716" i="65"/>
  <c r="V1716" i="65"/>
  <c r="R1717" i="65"/>
  <c r="S1717" i="65"/>
  <c r="T1717" i="65"/>
  <c r="U1717" i="65"/>
  <c r="V1717" i="65"/>
  <c r="R1718" i="65"/>
  <c r="S1718" i="65"/>
  <c r="T1718" i="65"/>
  <c r="U1718" i="65"/>
  <c r="V1718" i="65"/>
  <c r="R1719" i="65"/>
  <c r="S1719" i="65"/>
  <c r="T1719" i="65"/>
  <c r="U1719" i="65"/>
  <c r="V1719" i="65"/>
  <c r="R1720" i="65"/>
  <c r="S1720" i="65"/>
  <c r="T1720" i="65"/>
  <c r="U1720" i="65"/>
  <c r="V1720" i="65"/>
  <c r="R1721" i="65"/>
  <c r="S1721" i="65"/>
  <c r="T1721" i="65"/>
  <c r="U1721" i="65"/>
  <c r="V1721" i="65"/>
  <c r="R1722" i="65"/>
  <c r="S1722" i="65"/>
  <c r="T1722" i="65"/>
  <c r="U1722" i="65"/>
  <c r="V1722" i="65"/>
  <c r="R1723" i="65"/>
  <c r="S1723" i="65"/>
  <c r="T1723" i="65"/>
  <c r="U1723" i="65"/>
  <c r="V1723" i="65"/>
  <c r="R1724" i="65"/>
  <c r="S1724" i="65"/>
  <c r="T1724" i="65"/>
  <c r="U1724" i="65"/>
  <c r="V1724" i="65"/>
  <c r="R1725" i="65"/>
  <c r="S1725" i="65"/>
  <c r="T1725" i="65"/>
  <c r="U1725" i="65"/>
  <c r="V1725" i="65"/>
  <c r="R1726" i="65"/>
  <c r="S1726" i="65"/>
  <c r="T1726" i="65"/>
  <c r="U1726" i="65"/>
  <c r="V1726" i="65"/>
  <c r="R1727" i="65"/>
  <c r="S1727" i="65"/>
  <c r="T1727" i="65"/>
  <c r="U1727" i="65"/>
  <c r="V1727" i="65"/>
  <c r="R1728" i="65"/>
  <c r="S1728" i="65"/>
  <c r="T1728" i="65"/>
  <c r="U1728" i="65"/>
  <c r="V1728" i="65"/>
  <c r="R1729" i="65"/>
  <c r="S1729" i="65"/>
  <c r="T1729" i="65"/>
  <c r="U1729" i="65"/>
  <c r="V1729" i="65"/>
  <c r="R1730" i="65"/>
  <c r="S1730" i="65"/>
  <c r="T1730" i="65"/>
  <c r="U1730" i="65"/>
  <c r="V1730" i="65"/>
  <c r="R1731" i="65"/>
  <c r="S1731" i="65"/>
  <c r="T1731" i="65"/>
  <c r="U1731" i="65"/>
  <c r="V1731" i="65"/>
  <c r="R1732" i="65"/>
  <c r="S1732" i="65"/>
  <c r="T1732" i="65"/>
  <c r="U1732" i="65"/>
  <c r="V1732" i="65"/>
  <c r="R1733" i="65"/>
  <c r="S1733" i="65"/>
  <c r="T1733" i="65"/>
  <c r="U1733" i="65"/>
  <c r="V1733" i="65"/>
  <c r="R1734" i="65"/>
  <c r="S1734" i="65"/>
  <c r="T1734" i="65"/>
  <c r="U1734" i="65"/>
  <c r="V1734" i="65"/>
  <c r="R1735" i="65"/>
  <c r="S1735" i="65"/>
  <c r="T1735" i="65"/>
  <c r="U1735" i="65"/>
  <c r="V1735" i="65"/>
  <c r="R1736" i="65"/>
  <c r="S1736" i="65"/>
  <c r="T1736" i="65"/>
  <c r="U1736" i="65"/>
  <c r="V1736" i="65"/>
  <c r="R1737" i="65"/>
  <c r="S1737" i="65"/>
  <c r="T1737" i="65"/>
  <c r="U1737" i="65"/>
  <c r="V1737" i="65"/>
  <c r="R1738" i="65"/>
  <c r="S1738" i="65"/>
  <c r="T1738" i="65"/>
  <c r="U1738" i="65"/>
  <c r="V1738" i="65"/>
  <c r="R1739" i="65"/>
  <c r="S1739" i="65"/>
  <c r="T1739" i="65"/>
  <c r="U1739" i="65"/>
  <c r="V1739" i="65"/>
  <c r="R1740" i="65"/>
  <c r="S1740" i="65"/>
  <c r="T1740" i="65"/>
  <c r="U1740" i="65"/>
  <c r="V1740" i="65"/>
  <c r="R1741" i="65"/>
  <c r="S1741" i="65"/>
  <c r="T1741" i="65"/>
  <c r="U1741" i="65"/>
  <c r="V1741" i="65"/>
  <c r="R1742" i="65"/>
  <c r="S1742" i="65"/>
  <c r="T1742" i="65"/>
  <c r="U1742" i="65"/>
  <c r="V1742" i="65"/>
  <c r="R1743" i="65"/>
  <c r="S1743" i="65"/>
  <c r="T1743" i="65"/>
  <c r="U1743" i="65"/>
  <c r="V1743" i="65"/>
  <c r="R1744" i="65"/>
  <c r="S1744" i="65"/>
  <c r="T1744" i="65"/>
  <c r="U1744" i="65"/>
  <c r="V1744" i="65"/>
  <c r="R1745" i="65"/>
  <c r="S1745" i="65"/>
  <c r="T1745" i="65"/>
  <c r="U1745" i="65"/>
  <c r="V1745" i="65"/>
  <c r="R1746" i="65"/>
  <c r="S1746" i="65"/>
  <c r="T1746" i="65"/>
  <c r="U1746" i="65"/>
  <c r="V1746" i="65"/>
  <c r="R1747" i="65"/>
  <c r="S1747" i="65"/>
  <c r="T1747" i="65"/>
  <c r="U1747" i="65"/>
  <c r="V1747" i="65"/>
  <c r="R1748" i="65"/>
  <c r="S1748" i="65"/>
  <c r="T1748" i="65"/>
  <c r="U1748" i="65"/>
  <c r="V1748" i="65"/>
  <c r="R1749" i="65"/>
  <c r="S1749" i="65"/>
  <c r="T1749" i="65"/>
  <c r="U1749" i="65"/>
  <c r="V1749" i="65"/>
  <c r="R1750" i="65"/>
  <c r="S1750" i="65"/>
  <c r="T1750" i="65"/>
  <c r="U1750" i="65"/>
  <c r="V1750" i="65"/>
  <c r="R1751" i="65"/>
  <c r="S1751" i="65"/>
  <c r="T1751" i="65"/>
  <c r="U1751" i="65"/>
  <c r="V1751" i="65"/>
  <c r="R1752" i="65"/>
  <c r="S1752" i="65"/>
  <c r="T1752" i="65"/>
  <c r="U1752" i="65"/>
  <c r="V1752" i="65"/>
  <c r="R1753" i="65"/>
  <c r="S1753" i="65"/>
  <c r="T1753" i="65"/>
  <c r="U1753" i="65"/>
  <c r="V1753" i="65"/>
  <c r="R1754" i="65"/>
  <c r="S1754" i="65"/>
  <c r="T1754" i="65"/>
  <c r="U1754" i="65"/>
  <c r="V1754" i="65"/>
  <c r="R1755" i="65"/>
  <c r="S1755" i="65"/>
  <c r="T1755" i="65"/>
  <c r="U1755" i="65"/>
  <c r="V1755" i="65"/>
  <c r="R1756" i="65"/>
  <c r="S1756" i="65"/>
  <c r="T1756" i="65"/>
  <c r="U1756" i="65"/>
  <c r="V1756" i="65"/>
  <c r="R1757" i="65"/>
  <c r="S1757" i="65"/>
  <c r="T1757" i="65"/>
  <c r="U1757" i="65"/>
  <c r="V1757" i="65"/>
  <c r="R1758" i="65"/>
  <c r="S1758" i="65"/>
  <c r="T1758" i="65"/>
  <c r="U1758" i="65"/>
  <c r="V1758" i="65"/>
  <c r="R1759" i="65"/>
  <c r="S1759" i="65"/>
  <c r="T1759" i="65"/>
  <c r="U1759" i="65"/>
  <c r="V1759" i="65"/>
  <c r="R1760" i="65"/>
  <c r="S1760" i="65"/>
  <c r="T1760" i="65"/>
  <c r="U1760" i="65"/>
  <c r="V1760" i="65"/>
  <c r="R1761" i="65"/>
  <c r="S1761" i="65"/>
  <c r="T1761" i="65"/>
  <c r="U1761" i="65"/>
  <c r="V1761" i="65"/>
  <c r="R1762" i="65"/>
  <c r="S1762" i="65"/>
  <c r="T1762" i="65"/>
  <c r="U1762" i="65"/>
  <c r="V1762" i="65"/>
  <c r="R1763" i="65"/>
  <c r="S1763" i="65"/>
  <c r="T1763" i="65"/>
  <c r="U1763" i="65"/>
  <c r="V1763" i="65"/>
  <c r="R1764" i="65"/>
  <c r="S1764" i="65"/>
  <c r="T1764" i="65"/>
  <c r="U1764" i="65"/>
  <c r="V1764" i="65"/>
  <c r="R1765" i="65"/>
  <c r="S1765" i="65"/>
  <c r="T1765" i="65"/>
  <c r="U1765" i="65"/>
  <c r="V1765" i="65"/>
  <c r="R1766" i="65"/>
  <c r="S1766" i="65"/>
  <c r="T1766" i="65"/>
  <c r="U1766" i="65"/>
  <c r="V1766" i="65"/>
  <c r="R1767" i="65"/>
  <c r="S1767" i="65"/>
  <c r="T1767" i="65"/>
  <c r="U1767" i="65"/>
  <c r="V1767" i="65"/>
  <c r="R1768" i="65"/>
  <c r="S1768" i="65"/>
  <c r="T1768" i="65"/>
  <c r="U1768" i="65"/>
  <c r="V1768" i="65"/>
  <c r="R1769" i="65"/>
  <c r="S1769" i="65"/>
  <c r="T1769" i="65"/>
  <c r="U1769" i="65"/>
  <c r="V1769" i="65"/>
  <c r="R1770" i="65"/>
  <c r="S1770" i="65"/>
  <c r="T1770" i="65"/>
  <c r="U1770" i="65"/>
  <c r="V1770" i="65"/>
  <c r="R1771" i="65"/>
  <c r="S1771" i="65"/>
  <c r="T1771" i="65"/>
  <c r="U1771" i="65"/>
  <c r="V1771" i="65"/>
  <c r="R1772" i="65"/>
  <c r="S1772" i="65"/>
  <c r="T1772" i="65"/>
  <c r="U1772" i="65"/>
  <c r="V1772" i="65"/>
  <c r="R1773" i="65"/>
  <c r="S1773" i="65"/>
  <c r="T1773" i="65"/>
  <c r="U1773" i="65"/>
  <c r="V1773" i="65"/>
  <c r="R1774" i="65"/>
  <c r="S1774" i="65"/>
  <c r="T1774" i="65"/>
  <c r="U1774" i="65"/>
  <c r="V1774" i="65"/>
  <c r="R1775" i="65"/>
  <c r="S1775" i="65"/>
  <c r="T1775" i="65"/>
  <c r="U1775" i="65"/>
  <c r="V1775" i="65"/>
  <c r="R1776" i="65"/>
  <c r="S1776" i="65"/>
  <c r="T1776" i="65"/>
  <c r="U1776" i="65"/>
  <c r="V1776" i="65"/>
  <c r="R1777" i="65"/>
  <c r="S1777" i="65"/>
  <c r="T1777" i="65"/>
  <c r="U1777" i="65"/>
  <c r="V1777" i="65"/>
  <c r="R1778" i="65"/>
  <c r="S1778" i="65"/>
  <c r="T1778" i="65"/>
  <c r="U1778" i="65"/>
  <c r="V1778" i="65"/>
  <c r="R1779" i="65"/>
  <c r="S1779" i="65"/>
  <c r="T1779" i="65"/>
  <c r="U1779" i="65"/>
  <c r="V1779" i="65"/>
  <c r="R1780" i="65"/>
  <c r="S1780" i="65"/>
  <c r="T1780" i="65"/>
  <c r="U1780" i="65"/>
  <c r="V1780" i="65"/>
  <c r="R1781" i="65"/>
  <c r="S1781" i="65"/>
  <c r="T1781" i="65"/>
  <c r="U1781" i="65"/>
  <c r="V1781" i="65"/>
  <c r="R1782" i="65"/>
  <c r="S1782" i="65"/>
  <c r="T1782" i="65"/>
  <c r="U1782" i="65"/>
  <c r="V1782" i="65"/>
  <c r="R1783" i="65"/>
  <c r="S1783" i="65"/>
  <c r="T1783" i="65"/>
  <c r="U1783" i="65"/>
  <c r="V1783" i="65"/>
  <c r="R1784" i="65"/>
  <c r="S1784" i="65"/>
  <c r="T1784" i="65"/>
  <c r="U1784" i="65"/>
  <c r="V1784" i="65"/>
  <c r="R1785" i="65"/>
  <c r="S1785" i="65"/>
  <c r="T1785" i="65"/>
  <c r="U1785" i="65"/>
  <c r="V1785" i="65"/>
  <c r="R1786" i="65"/>
  <c r="S1786" i="65"/>
  <c r="T1786" i="65"/>
  <c r="U1786" i="65"/>
  <c r="V1786" i="65"/>
  <c r="R1787" i="65"/>
  <c r="S1787" i="65"/>
  <c r="T1787" i="65"/>
  <c r="U1787" i="65"/>
  <c r="V1787" i="65"/>
  <c r="R1788" i="65"/>
  <c r="S1788" i="65"/>
  <c r="T1788" i="65"/>
  <c r="U1788" i="65"/>
  <c r="V1788" i="65"/>
  <c r="R1789" i="65"/>
  <c r="S1789" i="65"/>
  <c r="T1789" i="65"/>
  <c r="U1789" i="65"/>
  <c r="V1789" i="65"/>
  <c r="R1790" i="65"/>
  <c r="S1790" i="65"/>
  <c r="T1790" i="65"/>
  <c r="U1790" i="65"/>
  <c r="V1790" i="65"/>
  <c r="R1791" i="65"/>
  <c r="S1791" i="65"/>
  <c r="T1791" i="65"/>
  <c r="U1791" i="65"/>
  <c r="V1791" i="65"/>
  <c r="R1792" i="65"/>
  <c r="S1792" i="65"/>
  <c r="T1792" i="65"/>
  <c r="U1792" i="65"/>
  <c r="V1792" i="65"/>
  <c r="R1793" i="65"/>
  <c r="S1793" i="65"/>
  <c r="T1793" i="65"/>
  <c r="U1793" i="65"/>
  <c r="V1793" i="65"/>
  <c r="R1794" i="65"/>
  <c r="S1794" i="65"/>
  <c r="T1794" i="65"/>
  <c r="U1794" i="65"/>
  <c r="V1794" i="65"/>
  <c r="R1795" i="65"/>
  <c r="S1795" i="65"/>
  <c r="T1795" i="65"/>
  <c r="U1795" i="65"/>
  <c r="V1795" i="65"/>
  <c r="R1796" i="65"/>
  <c r="S1796" i="65"/>
  <c r="T1796" i="65"/>
  <c r="U1796" i="65"/>
  <c r="V1796" i="65"/>
  <c r="R1797" i="65"/>
  <c r="S1797" i="65"/>
  <c r="T1797" i="65"/>
  <c r="U1797" i="65"/>
  <c r="V1797" i="65"/>
  <c r="R1798" i="65"/>
  <c r="S1798" i="65"/>
  <c r="T1798" i="65"/>
  <c r="U1798" i="65"/>
  <c r="V1798" i="65"/>
  <c r="R1799" i="65"/>
  <c r="S1799" i="65"/>
  <c r="T1799" i="65"/>
  <c r="U1799" i="65"/>
  <c r="V1799" i="65"/>
  <c r="R1800" i="65"/>
  <c r="S1800" i="65"/>
  <c r="T1800" i="65"/>
  <c r="U1800" i="65"/>
  <c r="V1800" i="65"/>
  <c r="R1801" i="65"/>
  <c r="S1801" i="65"/>
  <c r="T1801" i="65"/>
  <c r="U1801" i="65"/>
  <c r="V1801" i="65"/>
  <c r="R1802" i="65"/>
  <c r="S1802" i="65"/>
  <c r="T1802" i="65"/>
  <c r="U1802" i="65"/>
  <c r="V1802" i="65"/>
  <c r="R1803" i="65"/>
  <c r="S1803" i="65"/>
  <c r="T1803" i="65"/>
  <c r="U1803" i="65"/>
  <c r="V1803" i="65"/>
  <c r="R1804" i="65"/>
  <c r="S1804" i="65"/>
  <c r="T1804" i="65"/>
  <c r="U1804" i="65"/>
  <c r="V1804" i="65"/>
  <c r="R1805" i="65"/>
  <c r="S1805" i="65"/>
  <c r="T1805" i="65"/>
  <c r="U1805" i="65"/>
  <c r="V1805" i="65"/>
  <c r="R1806" i="65"/>
  <c r="S1806" i="65"/>
  <c r="T1806" i="65"/>
  <c r="U1806" i="65"/>
  <c r="V1806" i="65"/>
  <c r="R1807" i="65"/>
  <c r="S1807" i="65"/>
  <c r="T1807" i="65"/>
  <c r="U1807" i="65"/>
  <c r="V1807" i="65"/>
  <c r="R1808" i="65"/>
  <c r="S1808" i="65"/>
  <c r="T1808" i="65"/>
  <c r="U1808" i="65"/>
  <c r="V1808" i="65"/>
  <c r="R1809" i="65"/>
  <c r="S1809" i="65"/>
  <c r="T1809" i="65"/>
  <c r="U1809" i="65"/>
  <c r="V1809" i="65"/>
  <c r="R1810" i="65"/>
  <c r="S1810" i="65"/>
  <c r="T1810" i="65"/>
  <c r="U1810" i="65"/>
  <c r="V1810" i="65"/>
  <c r="R1811" i="65"/>
  <c r="S1811" i="65"/>
  <c r="T1811" i="65"/>
  <c r="U1811" i="65"/>
  <c r="V1811" i="65"/>
  <c r="R1812" i="65"/>
  <c r="S1812" i="65"/>
  <c r="T1812" i="65"/>
  <c r="U1812" i="65"/>
  <c r="V1812" i="65"/>
  <c r="R1813" i="65"/>
  <c r="S1813" i="65"/>
  <c r="T1813" i="65"/>
  <c r="U1813" i="65"/>
  <c r="V1813" i="65"/>
  <c r="R1814" i="65"/>
  <c r="S1814" i="65"/>
  <c r="T1814" i="65"/>
  <c r="U1814" i="65"/>
  <c r="V1814" i="65"/>
  <c r="R1815" i="65"/>
  <c r="S1815" i="65"/>
  <c r="T1815" i="65"/>
  <c r="U1815" i="65"/>
  <c r="V1815" i="65"/>
  <c r="R1816" i="65"/>
  <c r="S1816" i="65"/>
  <c r="T1816" i="65"/>
  <c r="U1816" i="65"/>
  <c r="V1816" i="65"/>
  <c r="R1817" i="65"/>
  <c r="S1817" i="65"/>
  <c r="T1817" i="65"/>
  <c r="U1817" i="65"/>
  <c r="V1817" i="65"/>
  <c r="R1818" i="65"/>
  <c r="S1818" i="65"/>
  <c r="T1818" i="65"/>
  <c r="U1818" i="65"/>
  <c r="V1818" i="65"/>
  <c r="R1819" i="65"/>
  <c r="S1819" i="65"/>
  <c r="T1819" i="65"/>
  <c r="U1819" i="65"/>
  <c r="V1819" i="65"/>
  <c r="R1820" i="65"/>
  <c r="S1820" i="65"/>
  <c r="T1820" i="65"/>
  <c r="U1820" i="65"/>
  <c r="V1820" i="65"/>
  <c r="R1821" i="65"/>
  <c r="S1821" i="65"/>
  <c r="T1821" i="65"/>
  <c r="U1821" i="65"/>
  <c r="V1821" i="65"/>
  <c r="R1822" i="65"/>
  <c r="S1822" i="65"/>
  <c r="T1822" i="65"/>
  <c r="U1822" i="65"/>
  <c r="V1822" i="65"/>
  <c r="R1823" i="65"/>
  <c r="S1823" i="65"/>
  <c r="T1823" i="65"/>
  <c r="U1823" i="65"/>
  <c r="V1823" i="65"/>
  <c r="R1824" i="65"/>
  <c r="S1824" i="65"/>
  <c r="T1824" i="65"/>
  <c r="U1824" i="65"/>
  <c r="V1824" i="65"/>
  <c r="R1825" i="65"/>
  <c r="S1825" i="65"/>
  <c r="T1825" i="65"/>
  <c r="U1825" i="65"/>
  <c r="V1825" i="65"/>
  <c r="R1826" i="65"/>
  <c r="S1826" i="65"/>
  <c r="T1826" i="65"/>
  <c r="U1826" i="65"/>
  <c r="V1826" i="65"/>
  <c r="R1827" i="65"/>
  <c r="S1827" i="65"/>
  <c r="T1827" i="65"/>
  <c r="U1827" i="65"/>
  <c r="V1827" i="65"/>
  <c r="R1828" i="65"/>
  <c r="S1828" i="65"/>
  <c r="T1828" i="65"/>
  <c r="U1828" i="65"/>
  <c r="V1828" i="65"/>
  <c r="R1829" i="65"/>
  <c r="S1829" i="65"/>
  <c r="T1829" i="65"/>
  <c r="U1829" i="65"/>
  <c r="V1829" i="65"/>
  <c r="R1830" i="65"/>
  <c r="S1830" i="65"/>
  <c r="T1830" i="65"/>
  <c r="U1830" i="65"/>
  <c r="V1830" i="65"/>
  <c r="R1831" i="65"/>
  <c r="S1831" i="65"/>
  <c r="T1831" i="65"/>
  <c r="U1831" i="65"/>
  <c r="V1831" i="65"/>
  <c r="R1832" i="65"/>
  <c r="S1832" i="65"/>
  <c r="T1832" i="65"/>
  <c r="U1832" i="65"/>
  <c r="V1832" i="65"/>
  <c r="R1833" i="65"/>
  <c r="S1833" i="65"/>
  <c r="T1833" i="65"/>
  <c r="U1833" i="65"/>
  <c r="V1833" i="65"/>
  <c r="R1834" i="65"/>
  <c r="S1834" i="65"/>
  <c r="T1834" i="65"/>
  <c r="U1834" i="65"/>
  <c r="V1834" i="65"/>
  <c r="R1835" i="65"/>
  <c r="S1835" i="65"/>
  <c r="T1835" i="65"/>
  <c r="U1835" i="65"/>
  <c r="V1835" i="65"/>
  <c r="R1836" i="65"/>
  <c r="S1836" i="65"/>
  <c r="T1836" i="65"/>
  <c r="U1836" i="65"/>
  <c r="V1836" i="65"/>
  <c r="R1837" i="65"/>
  <c r="S1837" i="65"/>
  <c r="T1837" i="65"/>
  <c r="U1837" i="65"/>
  <c r="V1837" i="65"/>
  <c r="R1838" i="65"/>
  <c r="S1838" i="65"/>
  <c r="T1838" i="65"/>
  <c r="U1838" i="65"/>
  <c r="V1838" i="65"/>
  <c r="R1839" i="65"/>
  <c r="S1839" i="65"/>
  <c r="T1839" i="65"/>
  <c r="U1839" i="65"/>
  <c r="V1839" i="65"/>
  <c r="R1840" i="65"/>
  <c r="S1840" i="65"/>
  <c r="T1840" i="65"/>
  <c r="U1840" i="65"/>
  <c r="V1840" i="65"/>
  <c r="R1841" i="65"/>
  <c r="S1841" i="65"/>
  <c r="T1841" i="65"/>
  <c r="U1841" i="65"/>
  <c r="V1841" i="65"/>
  <c r="R1842" i="65"/>
  <c r="S1842" i="65"/>
  <c r="T1842" i="65"/>
  <c r="U1842" i="65"/>
  <c r="V1842" i="65"/>
  <c r="R1843" i="65"/>
  <c r="S1843" i="65"/>
  <c r="T1843" i="65"/>
  <c r="U1843" i="65"/>
  <c r="V1843" i="65"/>
  <c r="R1844" i="65"/>
  <c r="S1844" i="65"/>
  <c r="T1844" i="65"/>
  <c r="U1844" i="65"/>
  <c r="V1844" i="65"/>
  <c r="R1845" i="65"/>
  <c r="S1845" i="65"/>
  <c r="T1845" i="65"/>
  <c r="U1845" i="65"/>
  <c r="V1845" i="65"/>
  <c r="R1846" i="65"/>
  <c r="S1846" i="65"/>
  <c r="T1846" i="65"/>
  <c r="U1846" i="65"/>
  <c r="V1846" i="65"/>
  <c r="R1847" i="65"/>
  <c r="S1847" i="65"/>
  <c r="T1847" i="65"/>
  <c r="U1847" i="65"/>
  <c r="V1847" i="65"/>
  <c r="R1848" i="65"/>
  <c r="S1848" i="65"/>
  <c r="T1848" i="65"/>
  <c r="U1848" i="65"/>
  <c r="V1848" i="65"/>
  <c r="R1849" i="65"/>
  <c r="S1849" i="65"/>
  <c r="T1849" i="65"/>
  <c r="U1849" i="65"/>
  <c r="V1849" i="65"/>
  <c r="R1850" i="65"/>
  <c r="S1850" i="65"/>
  <c r="T1850" i="65"/>
  <c r="U1850" i="65"/>
  <c r="V1850" i="65"/>
  <c r="R1851" i="65"/>
  <c r="S1851" i="65"/>
  <c r="T1851" i="65"/>
  <c r="U1851" i="65"/>
  <c r="V1851" i="65"/>
  <c r="R1852" i="65"/>
  <c r="S1852" i="65"/>
  <c r="T1852" i="65"/>
  <c r="U1852" i="65"/>
  <c r="V1852" i="65"/>
  <c r="R1853" i="65"/>
  <c r="S1853" i="65"/>
  <c r="T1853" i="65"/>
  <c r="U1853" i="65"/>
  <c r="V1853" i="65"/>
  <c r="R1854" i="65"/>
  <c r="S1854" i="65"/>
  <c r="T1854" i="65"/>
  <c r="U1854" i="65"/>
  <c r="V1854" i="65"/>
  <c r="R1855" i="65"/>
  <c r="S1855" i="65"/>
  <c r="T1855" i="65"/>
  <c r="U1855" i="65"/>
  <c r="V1855" i="65"/>
  <c r="R1856" i="65"/>
  <c r="S1856" i="65"/>
  <c r="T1856" i="65"/>
  <c r="U1856" i="65"/>
  <c r="V1856" i="65"/>
  <c r="R1857" i="65"/>
  <c r="S1857" i="65"/>
  <c r="T1857" i="65"/>
  <c r="U1857" i="65"/>
  <c r="V1857" i="65"/>
  <c r="R1858" i="65"/>
  <c r="S1858" i="65"/>
  <c r="T1858" i="65"/>
  <c r="U1858" i="65"/>
  <c r="V1858" i="65"/>
  <c r="R1859" i="65"/>
  <c r="S1859" i="65"/>
  <c r="T1859" i="65"/>
  <c r="U1859" i="65"/>
  <c r="V1859" i="65"/>
  <c r="R1860" i="65"/>
  <c r="S1860" i="65"/>
  <c r="T1860" i="65"/>
  <c r="U1860" i="65"/>
  <c r="V1860" i="65"/>
  <c r="R1861" i="65"/>
  <c r="S1861" i="65"/>
  <c r="T1861" i="65"/>
  <c r="U1861" i="65"/>
  <c r="V1861" i="65"/>
  <c r="R1862" i="65"/>
  <c r="S1862" i="65"/>
  <c r="T1862" i="65"/>
  <c r="U1862" i="65"/>
  <c r="V1862" i="65"/>
  <c r="R1863" i="65"/>
  <c r="S1863" i="65"/>
  <c r="T1863" i="65"/>
  <c r="U1863" i="65"/>
  <c r="V1863" i="65"/>
  <c r="R1864" i="65"/>
  <c r="S1864" i="65"/>
  <c r="T1864" i="65"/>
  <c r="U1864" i="65"/>
  <c r="V1864" i="65"/>
  <c r="R1865" i="65"/>
  <c r="S1865" i="65"/>
  <c r="T1865" i="65"/>
  <c r="U1865" i="65"/>
  <c r="V1865" i="65"/>
  <c r="R1866" i="65"/>
  <c r="S1866" i="65"/>
  <c r="T1866" i="65"/>
  <c r="U1866" i="65"/>
  <c r="V1866" i="65"/>
  <c r="R1867" i="65"/>
  <c r="S1867" i="65"/>
  <c r="T1867" i="65"/>
  <c r="U1867" i="65"/>
  <c r="V1867" i="65"/>
  <c r="R1868" i="65"/>
  <c r="S1868" i="65"/>
  <c r="T1868" i="65"/>
  <c r="U1868" i="65"/>
  <c r="V1868" i="65"/>
  <c r="R1869" i="65"/>
  <c r="S1869" i="65"/>
  <c r="T1869" i="65"/>
  <c r="U1869" i="65"/>
  <c r="V1869" i="65"/>
  <c r="R1870" i="65"/>
  <c r="S1870" i="65"/>
  <c r="T1870" i="65"/>
  <c r="U1870" i="65"/>
  <c r="V1870" i="65"/>
  <c r="R1871" i="65"/>
  <c r="S1871" i="65"/>
  <c r="T1871" i="65"/>
  <c r="U1871" i="65"/>
  <c r="V1871" i="65"/>
  <c r="R1872" i="65"/>
  <c r="S1872" i="65"/>
  <c r="T1872" i="65"/>
  <c r="U1872" i="65"/>
  <c r="V1872" i="65"/>
  <c r="R1873" i="65"/>
  <c r="S1873" i="65"/>
  <c r="T1873" i="65"/>
  <c r="U1873" i="65"/>
  <c r="V1873" i="65"/>
  <c r="R1874" i="65"/>
  <c r="S1874" i="65"/>
  <c r="T1874" i="65"/>
  <c r="U1874" i="65"/>
  <c r="V1874" i="65"/>
  <c r="R1875" i="65"/>
  <c r="S1875" i="65"/>
  <c r="T1875" i="65"/>
  <c r="U1875" i="65"/>
  <c r="V1875" i="65"/>
  <c r="R1876" i="65"/>
  <c r="S1876" i="65"/>
  <c r="T1876" i="65"/>
  <c r="U1876" i="65"/>
  <c r="V1876" i="65"/>
  <c r="R1877" i="65"/>
  <c r="S1877" i="65"/>
  <c r="T1877" i="65"/>
  <c r="U1877" i="65"/>
  <c r="V1877" i="65"/>
  <c r="R1878" i="65"/>
  <c r="S1878" i="65"/>
  <c r="T1878" i="65"/>
  <c r="U1878" i="65"/>
  <c r="V1878" i="65"/>
  <c r="R1879" i="65"/>
  <c r="S1879" i="65"/>
  <c r="T1879" i="65"/>
  <c r="U1879" i="65"/>
  <c r="V1879" i="65"/>
  <c r="R1880" i="65"/>
  <c r="S1880" i="65"/>
  <c r="T1880" i="65"/>
  <c r="U1880" i="65"/>
  <c r="V1880" i="65"/>
  <c r="R1881" i="65"/>
  <c r="S1881" i="65"/>
  <c r="T1881" i="65"/>
  <c r="U1881" i="65"/>
  <c r="V1881" i="65"/>
  <c r="R1882" i="65"/>
  <c r="S1882" i="65"/>
  <c r="T1882" i="65"/>
  <c r="U1882" i="65"/>
  <c r="V1882" i="65"/>
  <c r="R1883" i="65"/>
  <c r="S1883" i="65"/>
  <c r="T1883" i="65"/>
  <c r="U1883" i="65"/>
  <c r="V1883" i="65"/>
  <c r="R1884" i="65"/>
  <c r="S1884" i="65"/>
  <c r="T1884" i="65"/>
  <c r="U1884" i="65"/>
  <c r="V1884" i="65"/>
  <c r="R1885" i="65"/>
  <c r="S1885" i="65"/>
  <c r="T1885" i="65"/>
  <c r="U1885" i="65"/>
  <c r="V1885" i="65"/>
  <c r="R1886" i="65"/>
  <c r="S1886" i="65"/>
  <c r="T1886" i="65"/>
  <c r="U1886" i="65"/>
  <c r="V1886" i="65"/>
  <c r="R1887" i="65"/>
  <c r="S1887" i="65"/>
  <c r="T1887" i="65"/>
  <c r="U1887" i="65"/>
  <c r="V1887" i="65"/>
  <c r="R1888" i="65"/>
  <c r="S1888" i="65"/>
  <c r="T1888" i="65"/>
  <c r="U1888" i="65"/>
  <c r="V1888" i="65"/>
  <c r="R1889" i="65"/>
  <c r="S1889" i="65"/>
  <c r="T1889" i="65"/>
  <c r="U1889" i="65"/>
  <c r="V1889" i="65"/>
  <c r="R1890" i="65"/>
  <c r="S1890" i="65"/>
  <c r="T1890" i="65"/>
  <c r="U1890" i="65"/>
  <c r="V1890" i="65"/>
  <c r="R1891" i="65"/>
  <c r="S1891" i="65"/>
  <c r="T1891" i="65"/>
  <c r="U1891" i="65"/>
  <c r="V1891" i="65"/>
  <c r="R1892" i="65"/>
  <c r="S1892" i="65"/>
  <c r="T1892" i="65"/>
  <c r="U1892" i="65"/>
  <c r="V1892" i="65"/>
  <c r="R1893" i="65"/>
  <c r="S1893" i="65"/>
  <c r="T1893" i="65"/>
  <c r="U1893" i="65"/>
  <c r="V1893" i="65"/>
  <c r="R1894" i="65"/>
  <c r="S1894" i="65"/>
  <c r="T1894" i="65"/>
  <c r="U1894" i="65"/>
  <c r="V1894" i="65"/>
  <c r="R1895" i="65"/>
  <c r="S1895" i="65"/>
  <c r="T1895" i="65"/>
  <c r="U1895" i="65"/>
  <c r="V1895" i="65"/>
  <c r="R1896" i="65"/>
  <c r="S1896" i="65"/>
  <c r="T1896" i="65"/>
  <c r="U1896" i="65"/>
  <c r="V1896" i="65"/>
  <c r="R1897" i="65"/>
  <c r="S1897" i="65"/>
  <c r="T1897" i="65"/>
  <c r="U1897" i="65"/>
  <c r="V1897" i="65"/>
  <c r="R1898" i="65"/>
  <c r="S1898" i="65"/>
  <c r="T1898" i="65"/>
  <c r="U1898" i="65"/>
  <c r="V1898" i="65"/>
  <c r="R1899" i="65"/>
  <c r="S1899" i="65"/>
  <c r="T1899" i="65"/>
  <c r="U1899" i="65"/>
  <c r="V1899" i="65"/>
  <c r="R1900" i="65"/>
  <c r="S1900" i="65"/>
  <c r="T1900" i="65"/>
  <c r="U1900" i="65"/>
  <c r="V1900" i="65"/>
  <c r="R1901" i="65"/>
  <c r="S1901" i="65"/>
  <c r="T1901" i="65"/>
  <c r="U1901" i="65"/>
  <c r="V1901" i="65"/>
  <c r="R1902" i="65"/>
  <c r="S1902" i="65"/>
  <c r="T1902" i="65"/>
  <c r="U1902" i="65"/>
  <c r="V1902" i="65"/>
  <c r="R1903" i="65"/>
  <c r="S1903" i="65"/>
  <c r="T1903" i="65"/>
  <c r="U1903" i="65"/>
  <c r="V1903" i="65"/>
  <c r="R1904" i="65"/>
  <c r="S1904" i="65"/>
  <c r="T1904" i="65"/>
  <c r="U1904" i="65"/>
  <c r="V1904" i="65"/>
  <c r="R1905" i="65"/>
  <c r="S1905" i="65"/>
  <c r="T1905" i="65"/>
  <c r="U1905" i="65"/>
  <c r="V1905" i="65"/>
  <c r="R1906" i="65"/>
  <c r="S1906" i="65"/>
  <c r="T1906" i="65"/>
  <c r="U1906" i="65"/>
  <c r="V1906" i="65"/>
  <c r="R1907" i="65"/>
  <c r="S1907" i="65"/>
  <c r="T1907" i="65"/>
  <c r="U1907" i="65"/>
  <c r="V1907" i="65"/>
  <c r="R1908" i="65"/>
  <c r="S1908" i="65"/>
  <c r="T1908" i="65"/>
  <c r="U1908" i="65"/>
  <c r="V1908" i="65"/>
  <c r="R1909" i="65"/>
  <c r="S1909" i="65"/>
  <c r="T1909" i="65"/>
  <c r="U1909" i="65"/>
  <c r="V1909" i="65"/>
  <c r="R1910" i="65"/>
  <c r="S1910" i="65"/>
  <c r="T1910" i="65"/>
  <c r="U1910" i="65"/>
  <c r="V1910" i="65"/>
  <c r="R1911" i="65"/>
  <c r="S1911" i="65"/>
  <c r="T1911" i="65"/>
  <c r="U1911" i="65"/>
  <c r="V1911" i="65"/>
  <c r="R1912" i="65"/>
  <c r="S1912" i="65"/>
  <c r="T1912" i="65"/>
  <c r="U1912" i="65"/>
  <c r="V1912" i="65"/>
  <c r="R1913" i="65"/>
  <c r="S1913" i="65"/>
  <c r="T1913" i="65"/>
  <c r="U1913" i="65"/>
  <c r="V1913" i="65"/>
  <c r="R1914" i="65"/>
  <c r="S1914" i="65"/>
  <c r="T1914" i="65"/>
  <c r="U1914" i="65"/>
  <c r="V1914" i="65"/>
  <c r="R1915" i="65"/>
  <c r="S1915" i="65"/>
  <c r="T1915" i="65"/>
  <c r="U1915" i="65"/>
  <c r="V1915" i="65"/>
  <c r="R1916" i="65"/>
  <c r="S1916" i="65"/>
  <c r="T1916" i="65"/>
  <c r="U1916" i="65"/>
  <c r="V1916" i="65"/>
  <c r="R1917" i="65"/>
  <c r="S1917" i="65"/>
  <c r="T1917" i="65"/>
  <c r="U1917" i="65"/>
  <c r="V1917" i="65"/>
  <c r="R1918" i="65"/>
  <c r="S1918" i="65"/>
  <c r="T1918" i="65"/>
  <c r="U1918" i="65"/>
  <c r="V1918" i="65"/>
  <c r="R1919" i="65"/>
  <c r="S1919" i="65"/>
  <c r="T1919" i="65"/>
  <c r="U1919" i="65"/>
  <c r="V1919" i="65"/>
  <c r="R1920" i="65"/>
  <c r="S1920" i="65"/>
  <c r="T1920" i="65"/>
  <c r="U1920" i="65"/>
  <c r="V1920" i="65"/>
  <c r="R1921" i="65"/>
  <c r="S1921" i="65"/>
  <c r="T1921" i="65"/>
  <c r="U1921" i="65"/>
  <c r="V1921" i="65"/>
  <c r="R1922" i="65"/>
  <c r="S1922" i="65"/>
  <c r="T1922" i="65"/>
  <c r="U1922" i="65"/>
  <c r="V1922" i="65"/>
  <c r="R1923" i="65"/>
  <c r="S1923" i="65"/>
  <c r="T1923" i="65"/>
  <c r="U1923" i="65"/>
  <c r="V1923" i="65"/>
  <c r="R1924" i="65"/>
  <c r="S1924" i="65"/>
  <c r="T1924" i="65"/>
  <c r="U1924" i="65"/>
  <c r="V1924" i="65"/>
  <c r="R1925" i="65"/>
  <c r="S1925" i="65"/>
  <c r="T1925" i="65"/>
  <c r="U1925" i="65"/>
  <c r="V1925" i="65"/>
  <c r="R1926" i="65"/>
  <c r="S1926" i="65"/>
  <c r="T1926" i="65"/>
  <c r="U1926" i="65"/>
  <c r="V1926" i="65"/>
  <c r="R1927" i="65"/>
  <c r="S1927" i="65"/>
  <c r="T1927" i="65"/>
  <c r="U1927" i="65"/>
  <c r="V1927" i="65"/>
  <c r="R1928" i="65"/>
  <c r="S1928" i="65"/>
  <c r="T1928" i="65"/>
  <c r="U1928" i="65"/>
  <c r="V1928" i="65"/>
  <c r="R1929" i="65"/>
  <c r="S1929" i="65"/>
  <c r="T1929" i="65"/>
  <c r="U1929" i="65"/>
  <c r="V1929" i="65"/>
  <c r="R1930" i="65"/>
  <c r="S1930" i="65"/>
  <c r="T1930" i="65"/>
  <c r="U1930" i="65"/>
  <c r="V1930" i="65"/>
  <c r="R1931" i="65"/>
  <c r="S1931" i="65"/>
  <c r="T1931" i="65"/>
  <c r="U1931" i="65"/>
  <c r="V1931" i="65"/>
  <c r="R1932" i="65"/>
  <c r="S1932" i="65"/>
  <c r="T1932" i="65"/>
  <c r="U1932" i="65"/>
  <c r="V1932" i="65"/>
  <c r="R1933" i="65"/>
  <c r="S1933" i="65"/>
  <c r="T1933" i="65"/>
  <c r="U1933" i="65"/>
  <c r="V1933" i="65"/>
  <c r="R1934" i="65"/>
  <c r="S1934" i="65"/>
  <c r="T1934" i="65"/>
  <c r="U1934" i="65"/>
  <c r="V1934" i="65"/>
  <c r="R1935" i="65"/>
  <c r="S1935" i="65"/>
  <c r="T1935" i="65"/>
  <c r="U1935" i="65"/>
  <c r="V1935" i="65"/>
  <c r="R1936" i="65"/>
  <c r="S1936" i="65"/>
  <c r="T1936" i="65"/>
  <c r="U1936" i="65"/>
  <c r="V1936" i="65"/>
  <c r="R1937" i="65"/>
  <c r="S1937" i="65"/>
  <c r="T1937" i="65"/>
  <c r="U1937" i="65"/>
  <c r="V1937" i="65"/>
  <c r="R1938" i="65"/>
  <c r="S1938" i="65"/>
  <c r="T1938" i="65"/>
  <c r="U1938" i="65"/>
  <c r="V1938" i="65"/>
  <c r="R1939" i="65"/>
  <c r="S1939" i="65"/>
  <c r="T1939" i="65"/>
  <c r="U1939" i="65"/>
  <c r="V1939" i="65"/>
  <c r="R1940" i="65"/>
  <c r="S1940" i="65"/>
  <c r="T1940" i="65"/>
  <c r="U1940" i="65"/>
  <c r="V1940" i="65"/>
  <c r="R1941" i="65"/>
  <c r="S1941" i="65"/>
  <c r="T1941" i="65"/>
  <c r="U1941" i="65"/>
  <c r="V1941" i="65"/>
  <c r="R1942" i="65"/>
  <c r="S1942" i="65"/>
  <c r="T1942" i="65"/>
  <c r="U1942" i="65"/>
  <c r="V1942" i="65"/>
  <c r="R1943" i="65"/>
  <c r="S1943" i="65"/>
  <c r="T1943" i="65"/>
  <c r="U1943" i="65"/>
  <c r="V1943" i="65"/>
  <c r="R1944" i="65"/>
  <c r="S1944" i="65"/>
  <c r="T1944" i="65"/>
  <c r="U1944" i="65"/>
  <c r="V1944" i="65"/>
  <c r="R870" i="65"/>
  <c r="S870" i="65"/>
  <c r="T870" i="65"/>
  <c r="U870" i="65"/>
  <c r="V870" i="65"/>
  <c r="R871" i="65"/>
  <c r="S871" i="65"/>
  <c r="T871" i="65"/>
  <c r="U871" i="65"/>
  <c r="V871" i="65"/>
  <c r="R872" i="65"/>
  <c r="S872" i="65"/>
  <c r="T872" i="65"/>
  <c r="U872" i="65"/>
  <c r="V872" i="65"/>
  <c r="R873" i="65"/>
  <c r="S873" i="65"/>
  <c r="T873" i="65"/>
  <c r="U873" i="65"/>
  <c r="V873" i="65"/>
  <c r="R874" i="65"/>
  <c r="S874" i="65"/>
  <c r="T874" i="65"/>
  <c r="U874" i="65"/>
  <c r="V874" i="65"/>
  <c r="R875" i="65"/>
  <c r="S875" i="65"/>
  <c r="T875" i="65"/>
  <c r="U875" i="65"/>
  <c r="V875" i="65"/>
  <c r="R876" i="65"/>
  <c r="S876" i="65"/>
  <c r="T876" i="65"/>
  <c r="U876" i="65"/>
  <c r="V876" i="65"/>
  <c r="R877" i="65"/>
  <c r="S877" i="65"/>
  <c r="T877" i="65"/>
  <c r="U877" i="65"/>
  <c r="V877" i="65"/>
  <c r="R878" i="65"/>
  <c r="S878" i="65"/>
  <c r="T878" i="65"/>
  <c r="U878" i="65"/>
  <c r="V878" i="65"/>
  <c r="R879" i="65"/>
  <c r="S879" i="65"/>
  <c r="T879" i="65"/>
  <c r="U879" i="65"/>
  <c r="V879" i="65"/>
  <c r="R880" i="65"/>
  <c r="S880" i="65"/>
  <c r="T880" i="65"/>
  <c r="U880" i="65"/>
  <c r="V880" i="65"/>
  <c r="R881" i="65"/>
  <c r="S881" i="65"/>
  <c r="T881" i="65"/>
  <c r="U881" i="65"/>
  <c r="V881" i="65"/>
  <c r="R882" i="65"/>
  <c r="S882" i="65"/>
  <c r="T882" i="65"/>
  <c r="U882" i="65"/>
  <c r="V882" i="65"/>
  <c r="R883" i="65"/>
  <c r="S883" i="65"/>
  <c r="T883" i="65"/>
  <c r="U883" i="65"/>
  <c r="V883" i="65"/>
  <c r="R884" i="65"/>
  <c r="S884" i="65"/>
  <c r="T884" i="65"/>
  <c r="U884" i="65"/>
  <c r="V884" i="65"/>
  <c r="R885" i="65"/>
  <c r="S885" i="65"/>
  <c r="T885" i="65"/>
  <c r="U885" i="65"/>
  <c r="V885" i="65"/>
  <c r="R886" i="65"/>
  <c r="S886" i="65"/>
  <c r="T886" i="65"/>
  <c r="U886" i="65"/>
  <c r="V886" i="65"/>
  <c r="R887" i="65"/>
  <c r="S887" i="65"/>
  <c r="T887" i="65"/>
  <c r="U887" i="65"/>
  <c r="V887" i="65"/>
  <c r="R888" i="65"/>
  <c r="S888" i="65"/>
  <c r="T888" i="65"/>
  <c r="U888" i="65"/>
  <c r="V888" i="65"/>
  <c r="R889" i="65"/>
  <c r="S889" i="65"/>
  <c r="T889" i="65"/>
  <c r="U889" i="65"/>
  <c r="V889" i="65"/>
  <c r="R890" i="65"/>
  <c r="S890" i="65"/>
  <c r="T890" i="65"/>
  <c r="U890" i="65"/>
  <c r="V890" i="65"/>
  <c r="R891" i="65"/>
  <c r="S891" i="65"/>
  <c r="T891" i="65"/>
  <c r="U891" i="65"/>
  <c r="V891" i="65"/>
  <c r="R892" i="65"/>
  <c r="S892" i="65"/>
  <c r="T892" i="65"/>
  <c r="U892" i="65"/>
  <c r="V892" i="65"/>
  <c r="R893" i="65"/>
  <c r="S893" i="65"/>
  <c r="T893" i="65"/>
  <c r="U893" i="65"/>
  <c r="V893" i="65"/>
  <c r="R894" i="65"/>
  <c r="S894" i="65"/>
  <c r="T894" i="65"/>
  <c r="U894" i="65"/>
  <c r="V894" i="65"/>
  <c r="R895" i="65"/>
  <c r="S895" i="65"/>
  <c r="T895" i="65"/>
  <c r="U895" i="65"/>
  <c r="V895" i="65"/>
  <c r="R896" i="65"/>
  <c r="S896" i="65"/>
  <c r="T896" i="65"/>
  <c r="U896" i="65"/>
  <c r="V896" i="65"/>
  <c r="R897" i="65"/>
  <c r="S897" i="65"/>
  <c r="T897" i="65"/>
  <c r="U897" i="65"/>
  <c r="V897" i="65"/>
  <c r="R898" i="65"/>
  <c r="S898" i="65"/>
  <c r="T898" i="65"/>
  <c r="U898" i="65"/>
  <c r="V898" i="65"/>
  <c r="R899" i="65"/>
  <c r="S899" i="65"/>
  <c r="T899" i="65"/>
  <c r="U899" i="65"/>
  <c r="V899" i="65"/>
  <c r="R900" i="65"/>
  <c r="S900" i="65"/>
  <c r="T900" i="65"/>
  <c r="U900" i="65"/>
  <c r="V900" i="65"/>
  <c r="R901" i="65"/>
  <c r="S901" i="65"/>
  <c r="T901" i="65"/>
  <c r="U901" i="65"/>
  <c r="V901" i="65"/>
  <c r="R902" i="65"/>
  <c r="S902" i="65"/>
  <c r="T902" i="65"/>
  <c r="U902" i="65"/>
  <c r="V902" i="65"/>
  <c r="R903" i="65"/>
  <c r="S903" i="65"/>
  <c r="T903" i="65"/>
  <c r="U903" i="65"/>
  <c r="V903" i="65"/>
  <c r="R904" i="65"/>
  <c r="S904" i="65"/>
  <c r="T904" i="65"/>
  <c r="U904" i="65"/>
  <c r="V904" i="65"/>
  <c r="R905" i="65"/>
  <c r="S905" i="65"/>
  <c r="T905" i="65"/>
  <c r="U905" i="65"/>
  <c r="V905" i="65"/>
  <c r="R906" i="65"/>
  <c r="S906" i="65"/>
  <c r="T906" i="65"/>
  <c r="U906" i="65"/>
  <c r="V906" i="65"/>
  <c r="R907" i="65"/>
  <c r="S907" i="65"/>
  <c r="T907" i="65"/>
  <c r="U907" i="65"/>
  <c r="V907" i="65"/>
  <c r="R908" i="65"/>
  <c r="S908" i="65"/>
  <c r="T908" i="65"/>
  <c r="U908" i="65"/>
  <c r="V908" i="65"/>
  <c r="R909" i="65"/>
  <c r="S909" i="65"/>
  <c r="T909" i="65"/>
  <c r="U909" i="65"/>
  <c r="V909" i="65"/>
  <c r="R910" i="65"/>
  <c r="S910" i="65"/>
  <c r="T910" i="65"/>
  <c r="U910" i="65"/>
  <c r="V910" i="65"/>
  <c r="R911" i="65"/>
  <c r="S911" i="65"/>
  <c r="T911" i="65"/>
  <c r="U911" i="65"/>
  <c r="V911" i="65"/>
  <c r="R912" i="65"/>
  <c r="S912" i="65"/>
  <c r="T912" i="65"/>
  <c r="U912" i="65"/>
  <c r="V912" i="65"/>
  <c r="R913" i="65"/>
  <c r="S913" i="65"/>
  <c r="T913" i="65"/>
  <c r="U913" i="65"/>
  <c r="V913" i="65"/>
  <c r="R914" i="65"/>
  <c r="S914" i="65"/>
  <c r="T914" i="65"/>
  <c r="U914" i="65"/>
  <c r="V914" i="65"/>
  <c r="R915" i="65"/>
  <c r="S915" i="65"/>
  <c r="T915" i="65"/>
  <c r="U915" i="65"/>
  <c r="V915" i="65"/>
  <c r="R916" i="65"/>
  <c r="S916" i="65"/>
  <c r="T916" i="65"/>
  <c r="U916" i="65"/>
  <c r="V916" i="65"/>
  <c r="R917" i="65"/>
  <c r="S917" i="65"/>
  <c r="T917" i="65"/>
  <c r="U917" i="65"/>
  <c r="V917" i="65"/>
  <c r="R918" i="65"/>
  <c r="S918" i="65"/>
  <c r="T918" i="65"/>
  <c r="U918" i="65"/>
  <c r="V918" i="65"/>
  <c r="R919" i="65"/>
  <c r="S919" i="65"/>
  <c r="T919" i="65"/>
  <c r="U919" i="65"/>
  <c r="V919" i="65"/>
  <c r="R920" i="65"/>
  <c r="S920" i="65"/>
  <c r="T920" i="65"/>
  <c r="U920" i="65"/>
  <c r="V920" i="65"/>
  <c r="R921" i="65"/>
  <c r="S921" i="65"/>
  <c r="T921" i="65"/>
  <c r="U921" i="65"/>
  <c r="V921" i="65"/>
  <c r="R922" i="65"/>
  <c r="S922" i="65"/>
  <c r="T922" i="65"/>
  <c r="U922" i="65"/>
  <c r="V922" i="65"/>
  <c r="R923" i="65"/>
  <c r="S923" i="65"/>
  <c r="T923" i="65"/>
  <c r="U923" i="65"/>
  <c r="V923" i="65"/>
  <c r="R924" i="65"/>
  <c r="S924" i="65"/>
  <c r="T924" i="65"/>
  <c r="U924" i="65"/>
  <c r="V924" i="65"/>
  <c r="R925" i="65"/>
  <c r="S925" i="65"/>
  <c r="T925" i="65"/>
  <c r="U925" i="65"/>
  <c r="V925" i="65"/>
  <c r="R926" i="65"/>
  <c r="S926" i="65"/>
  <c r="T926" i="65"/>
  <c r="U926" i="65"/>
  <c r="V926" i="65"/>
  <c r="R927" i="65"/>
  <c r="S927" i="65"/>
  <c r="T927" i="65"/>
  <c r="U927" i="65"/>
  <c r="V927" i="65"/>
  <c r="R928" i="65"/>
  <c r="S928" i="65"/>
  <c r="T928" i="65"/>
  <c r="U928" i="65"/>
  <c r="V928" i="65"/>
  <c r="R929" i="65"/>
  <c r="S929" i="65"/>
  <c r="T929" i="65"/>
  <c r="U929" i="65"/>
  <c r="V929" i="65"/>
  <c r="R930" i="65"/>
  <c r="S930" i="65"/>
  <c r="T930" i="65"/>
  <c r="U930" i="65"/>
  <c r="V930" i="65"/>
  <c r="R931" i="65"/>
  <c r="S931" i="65"/>
  <c r="T931" i="65"/>
  <c r="U931" i="65"/>
  <c r="V931" i="65"/>
  <c r="R932" i="65"/>
  <c r="S932" i="65"/>
  <c r="T932" i="65"/>
  <c r="U932" i="65"/>
  <c r="V932" i="65"/>
  <c r="R933" i="65"/>
  <c r="S933" i="65"/>
  <c r="T933" i="65"/>
  <c r="U933" i="65"/>
  <c r="V933" i="65"/>
  <c r="R934" i="65"/>
  <c r="S934" i="65"/>
  <c r="T934" i="65"/>
  <c r="U934" i="65"/>
  <c r="V934" i="65"/>
  <c r="R935" i="65"/>
  <c r="S935" i="65"/>
  <c r="T935" i="65"/>
  <c r="U935" i="65"/>
  <c r="V935" i="65"/>
  <c r="R936" i="65"/>
  <c r="S936" i="65"/>
  <c r="T936" i="65"/>
  <c r="U936" i="65"/>
  <c r="V936" i="65"/>
  <c r="R937" i="65"/>
  <c r="S937" i="65"/>
  <c r="T937" i="65"/>
  <c r="U937" i="65"/>
  <c r="V937" i="65"/>
  <c r="R938" i="65"/>
  <c r="S938" i="65"/>
  <c r="T938" i="65"/>
  <c r="U938" i="65"/>
  <c r="V938" i="65"/>
  <c r="R939" i="65"/>
  <c r="S939" i="65"/>
  <c r="T939" i="65"/>
  <c r="U939" i="65"/>
  <c r="V939" i="65"/>
  <c r="R940" i="65"/>
  <c r="S940" i="65"/>
  <c r="T940" i="65"/>
  <c r="U940" i="65"/>
  <c r="V940" i="65"/>
  <c r="R941" i="65"/>
  <c r="S941" i="65"/>
  <c r="T941" i="65"/>
  <c r="U941" i="65"/>
  <c r="V941" i="65"/>
  <c r="R942" i="65"/>
  <c r="S942" i="65"/>
  <c r="T942" i="65"/>
  <c r="U942" i="65"/>
  <c r="V942" i="65"/>
  <c r="R943" i="65"/>
  <c r="S943" i="65"/>
  <c r="T943" i="65"/>
  <c r="U943" i="65"/>
  <c r="V943" i="65"/>
  <c r="R944" i="65"/>
  <c r="S944" i="65"/>
  <c r="T944" i="65"/>
  <c r="U944" i="65"/>
  <c r="V944" i="65"/>
  <c r="R945" i="65"/>
  <c r="S945" i="65"/>
  <c r="T945" i="65"/>
  <c r="U945" i="65"/>
  <c r="V945" i="65"/>
  <c r="R946" i="65"/>
  <c r="S946" i="65"/>
  <c r="T946" i="65"/>
  <c r="U946" i="65"/>
  <c r="V946" i="65"/>
  <c r="R947" i="65"/>
  <c r="S947" i="65"/>
  <c r="T947" i="65"/>
  <c r="U947" i="65"/>
  <c r="V947" i="65"/>
  <c r="R948" i="65"/>
  <c r="S948" i="65"/>
  <c r="T948" i="65"/>
  <c r="U948" i="65"/>
  <c r="V948" i="65"/>
  <c r="R949" i="65"/>
  <c r="S949" i="65"/>
  <c r="T949" i="65"/>
  <c r="U949" i="65"/>
  <c r="V949" i="65"/>
  <c r="R950" i="65"/>
  <c r="S950" i="65"/>
  <c r="T950" i="65"/>
  <c r="U950" i="65"/>
  <c r="V950" i="65"/>
  <c r="R951" i="65"/>
  <c r="S951" i="65"/>
  <c r="T951" i="65"/>
  <c r="U951" i="65"/>
  <c r="V951" i="65"/>
  <c r="R952" i="65"/>
  <c r="S952" i="65"/>
  <c r="T952" i="65"/>
  <c r="U952" i="65"/>
  <c r="V952" i="65"/>
  <c r="R953" i="65"/>
  <c r="S953" i="65"/>
  <c r="T953" i="65"/>
  <c r="U953" i="65"/>
  <c r="V953" i="65"/>
  <c r="R954" i="65"/>
  <c r="S954" i="65"/>
  <c r="T954" i="65"/>
  <c r="U954" i="65"/>
  <c r="V954" i="65"/>
  <c r="R955" i="65"/>
  <c r="S955" i="65"/>
  <c r="T955" i="65"/>
  <c r="U955" i="65"/>
  <c r="V955" i="65"/>
  <c r="R956" i="65"/>
  <c r="S956" i="65"/>
  <c r="T956" i="65"/>
  <c r="U956" i="65"/>
  <c r="V956" i="65"/>
  <c r="R957" i="65"/>
  <c r="S957" i="65"/>
  <c r="T957" i="65"/>
  <c r="U957" i="65"/>
  <c r="V957" i="65"/>
  <c r="R958" i="65"/>
  <c r="S958" i="65"/>
  <c r="T958" i="65"/>
  <c r="U958" i="65"/>
  <c r="V958" i="65"/>
  <c r="R959" i="65"/>
  <c r="S959" i="65"/>
  <c r="T959" i="65"/>
  <c r="U959" i="65"/>
  <c r="V959" i="65"/>
  <c r="R960" i="65"/>
  <c r="S960" i="65"/>
  <c r="T960" i="65"/>
  <c r="U960" i="65"/>
  <c r="V960" i="65"/>
  <c r="R961" i="65"/>
  <c r="S961" i="65"/>
  <c r="T961" i="65"/>
  <c r="U961" i="65"/>
  <c r="V961" i="65"/>
  <c r="R962" i="65"/>
  <c r="S962" i="65"/>
  <c r="T962" i="65"/>
  <c r="U962" i="65"/>
  <c r="V962" i="65"/>
  <c r="R963" i="65"/>
  <c r="S963" i="65"/>
  <c r="T963" i="65"/>
  <c r="U963" i="65"/>
  <c r="V963" i="65"/>
  <c r="R964" i="65"/>
  <c r="S964" i="65"/>
  <c r="T964" i="65"/>
  <c r="U964" i="65"/>
  <c r="V964" i="65"/>
  <c r="R965" i="65"/>
  <c r="S965" i="65"/>
  <c r="T965" i="65"/>
  <c r="U965" i="65"/>
  <c r="V965" i="65"/>
  <c r="R966" i="65"/>
  <c r="S966" i="65"/>
  <c r="T966" i="65"/>
  <c r="U966" i="65"/>
  <c r="V966" i="65"/>
  <c r="R967" i="65"/>
  <c r="S967" i="65"/>
  <c r="T967" i="65"/>
  <c r="U967" i="65"/>
  <c r="V967" i="65"/>
  <c r="R968" i="65"/>
  <c r="S968" i="65"/>
  <c r="T968" i="65"/>
  <c r="U968" i="65"/>
  <c r="V968" i="65"/>
  <c r="R969" i="65"/>
  <c r="S969" i="65"/>
  <c r="T969" i="65"/>
  <c r="U969" i="65"/>
  <c r="V969" i="65"/>
  <c r="R970" i="65"/>
  <c r="S970" i="65"/>
  <c r="T970" i="65"/>
  <c r="U970" i="65"/>
  <c r="V970" i="65"/>
  <c r="R971" i="65"/>
  <c r="S971" i="65"/>
  <c r="T971" i="65"/>
  <c r="U971" i="65"/>
  <c r="V971" i="65"/>
  <c r="R972" i="65"/>
  <c r="S972" i="65"/>
  <c r="T972" i="65"/>
  <c r="U972" i="65"/>
  <c r="V972" i="65"/>
  <c r="R973" i="65"/>
  <c r="S973" i="65"/>
  <c r="T973" i="65"/>
  <c r="U973" i="65"/>
  <c r="V973" i="65"/>
  <c r="R974" i="65"/>
  <c r="S974" i="65"/>
  <c r="T974" i="65"/>
  <c r="U974" i="65"/>
  <c r="V974" i="65"/>
  <c r="R975" i="65"/>
  <c r="S975" i="65"/>
  <c r="T975" i="65"/>
  <c r="U975" i="65"/>
  <c r="V975" i="65"/>
  <c r="R976" i="65"/>
  <c r="S976" i="65"/>
  <c r="T976" i="65"/>
  <c r="U976" i="65"/>
  <c r="V976" i="65"/>
  <c r="R977" i="65"/>
  <c r="S977" i="65"/>
  <c r="T977" i="65"/>
  <c r="U977" i="65"/>
  <c r="V977" i="65"/>
  <c r="R978" i="65"/>
  <c r="S978" i="65"/>
  <c r="T978" i="65"/>
  <c r="U978" i="65"/>
  <c r="V978" i="65"/>
  <c r="R979" i="65"/>
  <c r="S979" i="65"/>
  <c r="T979" i="65"/>
  <c r="U979" i="65"/>
  <c r="V979" i="65"/>
  <c r="R980" i="65"/>
  <c r="S980" i="65"/>
  <c r="T980" i="65"/>
  <c r="U980" i="65"/>
  <c r="V980" i="65"/>
  <c r="R981" i="65"/>
  <c r="S981" i="65"/>
  <c r="T981" i="65"/>
  <c r="U981" i="65"/>
  <c r="V981" i="65"/>
  <c r="R982" i="65"/>
  <c r="S982" i="65"/>
  <c r="T982" i="65"/>
  <c r="U982" i="65"/>
  <c r="V982" i="65"/>
  <c r="R983" i="65"/>
  <c r="S983" i="65"/>
  <c r="T983" i="65"/>
  <c r="U983" i="65"/>
  <c r="V983" i="65"/>
  <c r="R984" i="65"/>
  <c r="S984" i="65"/>
  <c r="T984" i="65"/>
  <c r="U984" i="65"/>
  <c r="V984" i="65"/>
  <c r="R985" i="65"/>
  <c r="S985" i="65"/>
  <c r="T985" i="65"/>
  <c r="U985" i="65"/>
  <c r="V985" i="65"/>
  <c r="R986" i="65"/>
  <c r="S986" i="65"/>
  <c r="T986" i="65"/>
  <c r="U986" i="65"/>
  <c r="V986" i="65"/>
  <c r="R987" i="65"/>
  <c r="S987" i="65"/>
  <c r="T987" i="65"/>
  <c r="U987" i="65"/>
  <c r="V987" i="65"/>
  <c r="R988" i="65"/>
  <c r="S988" i="65"/>
  <c r="T988" i="65"/>
  <c r="U988" i="65"/>
  <c r="V988" i="65"/>
  <c r="R989" i="65"/>
  <c r="S989" i="65"/>
  <c r="T989" i="65"/>
  <c r="U989" i="65"/>
  <c r="V989" i="65"/>
  <c r="R990" i="65"/>
  <c r="S990" i="65"/>
  <c r="T990" i="65"/>
  <c r="U990" i="65"/>
  <c r="V990" i="65"/>
  <c r="R991" i="65"/>
  <c r="S991" i="65"/>
  <c r="T991" i="65"/>
  <c r="U991" i="65"/>
  <c r="V991" i="65"/>
  <c r="R992" i="65"/>
  <c r="S992" i="65"/>
  <c r="T992" i="65"/>
  <c r="U992" i="65"/>
  <c r="V992" i="65"/>
  <c r="R993" i="65"/>
  <c r="S993" i="65"/>
  <c r="T993" i="65"/>
  <c r="U993" i="65"/>
  <c r="V993" i="65"/>
  <c r="R994" i="65"/>
  <c r="S994" i="65"/>
  <c r="T994" i="65"/>
  <c r="U994" i="65"/>
  <c r="V994" i="65"/>
  <c r="R995" i="65"/>
  <c r="S995" i="65"/>
  <c r="T995" i="65"/>
  <c r="U995" i="65"/>
  <c r="V995" i="65"/>
  <c r="R996" i="65"/>
  <c r="S996" i="65"/>
  <c r="T996" i="65"/>
  <c r="U996" i="65"/>
  <c r="V996" i="65"/>
  <c r="R997" i="65"/>
  <c r="S997" i="65"/>
  <c r="T997" i="65"/>
  <c r="U997" i="65"/>
  <c r="V997" i="65"/>
  <c r="R998" i="65"/>
  <c r="S998" i="65"/>
  <c r="T998" i="65"/>
  <c r="U998" i="65"/>
  <c r="V998" i="65"/>
  <c r="R999" i="65"/>
  <c r="S999" i="65"/>
  <c r="T999" i="65"/>
  <c r="U999" i="65"/>
  <c r="V999" i="65"/>
  <c r="R1000" i="65"/>
  <c r="S1000" i="65"/>
  <c r="T1000" i="65"/>
  <c r="U1000" i="65"/>
  <c r="V1000" i="65"/>
  <c r="R1001" i="65"/>
  <c r="S1001" i="65"/>
  <c r="T1001" i="65"/>
  <c r="U1001" i="65"/>
  <c r="V1001" i="65"/>
  <c r="R1002" i="65"/>
  <c r="S1002" i="65"/>
  <c r="T1002" i="65"/>
  <c r="U1002" i="65"/>
  <c r="V1002" i="65"/>
  <c r="R1003" i="65"/>
  <c r="S1003" i="65"/>
  <c r="T1003" i="65"/>
  <c r="U1003" i="65"/>
  <c r="V1003" i="65"/>
  <c r="R1004" i="65"/>
  <c r="S1004" i="65"/>
  <c r="T1004" i="65"/>
  <c r="U1004" i="65"/>
  <c r="V1004" i="65"/>
  <c r="R1005" i="65"/>
  <c r="S1005" i="65"/>
  <c r="T1005" i="65"/>
  <c r="U1005" i="65"/>
  <c r="V1005" i="65"/>
  <c r="R1006" i="65"/>
  <c r="S1006" i="65"/>
  <c r="T1006" i="65"/>
  <c r="U1006" i="65"/>
  <c r="V1006" i="65"/>
  <c r="R1007" i="65"/>
  <c r="S1007" i="65"/>
  <c r="T1007" i="65"/>
  <c r="U1007" i="65"/>
  <c r="V1007" i="65"/>
  <c r="R1008" i="65"/>
  <c r="S1008" i="65"/>
  <c r="T1008" i="65"/>
  <c r="U1008" i="65"/>
  <c r="V1008" i="65"/>
  <c r="R1009" i="65"/>
  <c r="S1009" i="65"/>
  <c r="T1009" i="65"/>
  <c r="U1009" i="65"/>
  <c r="V1009" i="65"/>
  <c r="R1010" i="65"/>
  <c r="S1010" i="65"/>
  <c r="T1010" i="65"/>
  <c r="U1010" i="65"/>
  <c r="V1010" i="65"/>
  <c r="R1011" i="65"/>
  <c r="S1011" i="65"/>
  <c r="T1011" i="65"/>
  <c r="U1011" i="65"/>
  <c r="V1011" i="65"/>
  <c r="R1012" i="65"/>
  <c r="S1012" i="65"/>
  <c r="T1012" i="65"/>
  <c r="U1012" i="65"/>
  <c r="V1012" i="65"/>
  <c r="R1013" i="65"/>
  <c r="S1013" i="65"/>
  <c r="T1013" i="65"/>
  <c r="U1013" i="65"/>
  <c r="V1013" i="65"/>
  <c r="R1014" i="65"/>
  <c r="S1014" i="65"/>
  <c r="T1014" i="65"/>
  <c r="U1014" i="65"/>
  <c r="V1014" i="65"/>
  <c r="R1015" i="65"/>
  <c r="S1015" i="65"/>
  <c r="T1015" i="65"/>
  <c r="U1015" i="65"/>
  <c r="V1015" i="65"/>
  <c r="R1016" i="65"/>
  <c r="S1016" i="65"/>
  <c r="T1016" i="65"/>
  <c r="U1016" i="65"/>
  <c r="V1016" i="65"/>
  <c r="R1017" i="65"/>
  <c r="S1017" i="65"/>
  <c r="T1017" i="65"/>
  <c r="U1017" i="65"/>
  <c r="V1017" i="65"/>
  <c r="R1018" i="65"/>
  <c r="S1018" i="65"/>
  <c r="T1018" i="65"/>
  <c r="U1018" i="65"/>
  <c r="V1018" i="65"/>
  <c r="R1019" i="65"/>
  <c r="S1019" i="65"/>
  <c r="T1019" i="65"/>
  <c r="U1019" i="65"/>
  <c r="V1019" i="65"/>
  <c r="R1020" i="65"/>
  <c r="S1020" i="65"/>
  <c r="T1020" i="65"/>
  <c r="U1020" i="65"/>
  <c r="V1020" i="65"/>
  <c r="R1021" i="65"/>
  <c r="S1021" i="65"/>
  <c r="T1021" i="65"/>
  <c r="U1021" i="65"/>
  <c r="V1021" i="65"/>
  <c r="R1022" i="65"/>
  <c r="S1022" i="65"/>
  <c r="T1022" i="65"/>
  <c r="U1022" i="65"/>
  <c r="V1022" i="65"/>
  <c r="R1023" i="65"/>
  <c r="S1023" i="65"/>
  <c r="T1023" i="65"/>
  <c r="U1023" i="65"/>
  <c r="V1023" i="65"/>
  <c r="R1024" i="65"/>
  <c r="S1024" i="65"/>
  <c r="T1024" i="65"/>
  <c r="U1024" i="65"/>
  <c r="V1024" i="65"/>
  <c r="R1025" i="65"/>
  <c r="S1025" i="65"/>
  <c r="T1025" i="65"/>
  <c r="U1025" i="65"/>
  <c r="V1025" i="65"/>
  <c r="R1026" i="65"/>
  <c r="S1026" i="65"/>
  <c r="T1026" i="65"/>
  <c r="U1026" i="65"/>
  <c r="V1026" i="65"/>
  <c r="R1027" i="65"/>
  <c r="S1027" i="65"/>
  <c r="T1027" i="65"/>
  <c r="U1027" i="65"/>
  <c r="V1027" i="65"/>
  <c r="R1028" i="65"/>
  <c r="S1028" i="65"/>
  <c r="T1028" i="65"/>
  <c r="U1028" i="65"/>
  <c r="V1028" i="65"/>
  <c r="R1029" i="65"/>
  <c r="S1029" i="65"/>
  <c r="T1029" i="65"/>
  <c r="U1029" i="65"/>
  <c r="V1029" i="65"/>
  <c r="R1030" i="65"/>
  <c r="S1030" i="65"/>
  <c r="T1030" i="65"/>
  <c r="U1030" i="65"/>
  <c r="V1030" i="65"/>
  <c r="R1031" i="65"/>
  <c r="S1031" i="65"/>
  <c r="T1031" i="65"/>
  <c r="U1031" i="65"/>
  <c r="V1031" i="65"/>
  <c r="R1032" i="65"/>
  <c r="S1032" i="65"/>
  <c r="T1032" i="65"/>
  <c r="U1032" i="65"/>
  <c r="V1032" i="65"/>
  <c r="R1033" i="65"/>
  <c r="S1033" i="65"/>
  <c r="T1033" i="65"/>
  <c r="U1033" i="65"/>
  <c r="V1033" i="65"/>
  <c r="R1034" i="65"/>
  <c r="S1034" i="65"/>
  <c r="T1034" i="65"/>
  <c r="U1034" i="65"/>
  <c r="V1034" i="65"/>
  <c r="R1035" i="65"/>
  <c r="S1035" i="65"/>
  <c r="T1035" i="65"/>
  <c r="U1035" i="65"/>
  <c r="V1035" i="65"/>
  <c r="R1036" i="65"/>
  <c r="S1036" i="65"/>
  <c r="T1036" i="65"/>
  <c r="U1036" i="65"/>
  <c r="V1036" i="65"/>
  <c r="R1037" i="65"/>
  <c r="S1037" i="65"/>
  <c r="T1037" i="65"/>
  <c r="U1037" i="65"/>
  <c r="V1037" i="65"/>
  <c r="R1038" i="65"/>
  <c r="S1038" i="65"/>
  <c r="T1038" i="65"/>
  <c r="U1038" i="65"/>
  <c r="V1038" i="65"/>
  <c r="R1039" i="65"/>
  <c r="S1039" i="65"/>
  <c r="T1039" i="65"/>
  <c r="U1039" i="65"/>
  <c r="V1039" i="65"/>
  <c r="R1040" i="65"/>
  <c r="S1040" i="65"/>
  <c r="T1040" i="65"/>
  <c r="U1040" i="65"/>
  <c r="V1040" i="65"/>
  <c r="R1041" i="65"/>
  <c r="S1041" i="65"/>
  <c r="T1041" i="65"/>
  <c r="U1041" i="65"/>
  <c r="V1041" i="65"/>
  <c r="R1042" i="65"/>
  <c r="S1042" i="65"/>
  <c r="T1042" i="65"/>
  <c r="U1042" i="65"/>
  <c r="V1042" i="65"/>
  <c r="R1043" i="65"/>
  <c r="S1043" i="65"/>
  <c r="T1043" i="65"/>
  <c r="U1043" i="65"/>
  <c r="V1043" i="65"/>
  <c r="R1044" i="65"/>
  <c r="S1044" i="65"/>
  <c r="T1044" i="65"/>
  <c r="U1044" i="65"/>
  <c r="V1044" i="65"/>
  <c r="R1045" i="65"/>
  <c r="S1045" i="65"/>
  <c r="T1045" i="65"/>
  <c r="U1045" i="65"/>
  <c r="V1045" i="65"/>
  <c r="R1046" i="65"/>
  <c r="S1046" i="65"/>
  <c r="T1046" i="65"/>
  <c r="U1046" i="65"/>
  <c r="V1046" i="65"/>
  <c r="R1047" i="65"/>
  <c r="S1047" i="65"/>
  <c r="T1047" i="65"/>
  <c r="U1047" i="65"/>
  <c r="V1047" i="65"/>
  <c r="R1048" i="65"/>
  <c r="S1048" i="65"/>
  <c r="T1048" i="65"/>
  <c r="U1048" i="65"/>
  <c r="V1048" i="65"/>
  <c r="R1049" i="65"/>
  <c r="S1049" i="65"/>
  <c r="T1049" i="65"/>
  <c r="U1049" i="65"/>
  <c r="V1049" i="65"/>
  <c r="R1050" i="65"/>
  <c r="S1050" i="65"/>
  <c r="T1050" i="65"/>
  <c r="U1050" i="65"/>
  <c r="V1050" i="65"/>
  <c r="R1051" i="65"/>
  <c r="S1051" i="65"/>
  <c r="T1051" i="65"/>
  <c r="U1051" i="65"/>
  <c r="V1051" i="65"/>
  <c r="R1052" i="65"/>
  <c r="S1052" i="65"/>
  <c r="T1052" i="65"/>
  <c r="U1052" i="65"/>
  <c r="V1052" i="65"/>
  <c r="R1053" i="65"/>
  <c r="S1053" i="65"/>
  <c r="T1053" i="65"/>
  <c r="U1053" i="65"/>
  <c r="V1053" i="65"/>
  <c r="R1054" i="65"/>
  <c r="S1054" i="65"/>
  <c r="T1054" i="65"/>
  <c r="U1054" i="65"/>
  <c r="V1054" i="65"/>
  <c r="R1055" i="65"/>
  <c r="S1055" i="65"/>
  <c r="T1055" i="65"/>
  <c r="U1055" i="65"/>
  <c r="V1055" i="65"/>
  <c r="R1056" i="65"/>
  <c r="S1056" i="65"/>
  <c r="T1056" i="65"/>
  <c r="U1056" i="65"/>
  <c r="V1056" i="65"/>
  <c r="R1057" i="65"/>
  <c r="S1057" i="65"/>
  <c r="T1057" i="65"/>
  <c r="U1057" i="65"/>
  <c r="V1057" i="65"/>
  <c r="R1058" i="65"/>
  <c r="S1058" i="65"/>
  <c r="T1058" i="65"/>
  <c r="U1058" i="65"/>
  <c r="V1058" i="65"/>
  <c r="R1059" i="65"/>
  <c r="S1059" i="65"/>
  <c r="T1059" i="65"/>
  <c r="U1059" i="65"/>
  <c r="V1059" i="65"/>
  <c r="R1060" i="65"/>
  <c r="S1060" i="65"/>
  <c r="T1060" i="65"/>
  <c r="U1060" i="65"/>
  <c r="V1060" i="65"/>
  <c r="R1061" i="65"/>
  <c r="S1061" i="65"/>
  <c r="T1061" i="65"/>
  <c r="U1061" i="65"/>
  <c r="V1061" i="65"/>
  <c r="R1062" i="65"/>
  <c r="S1062" i="65"/>
  <c r="T1062" i="65"/>
  <c r="U1062" i="65"/>
  <c r="V1062" i="65"/>
  <c r="R1063" i="65"/>
  <c r="S1063" i="65"/>
  <c r="T1063" i="65"/>
  <c r="U1063" i="65"/>
  <c r="V1063" i="65"/>
  <c r="R1064" i="65"/>
  <c r="S1064" i="65"/>
  <c r="T1064" i="65"/>
  <c r="U1064" i="65"/>
  <c r="V1064" i="65"/>
  <c r="R1065" i="65"/>
  <c r="S1065" i="65"/>
  <c r="T1065" i="65"/>
  <c r="U1065" i="65"/>
  <c r="V1065" i="65"/>
  <c r="R1066" i="65"/>
  <c r="S1066" i="65"/>
  <c r="T1066" i="65"/>
  <c r="U1066" i="65"/>
  <c r="V1066" i="65"/>
  <c r="R1067" i="65"/>
  <c r="S1067" i="65"/>
  <c r="T1067" i="65"/>
  <c r="U1067" i="65"/>
  <c r="V1067" i="65"/>
  <c r="R1068" i="65"/>
  <c r="S1068" i="65"/>
  <c r="T1068" i="65"/>
  <c r="U1068" i="65"/>
  <c r="V1068" i="65"/>
  <c r="R1069" i="65"/>
  <c r="S1069" i="65"/>
  <c r="T1069" i="65"/>
  <c r="U1069" i="65"/>
  <c r="V1069" i="65"/>
  <c r="R1070" i="65"/>
  <c r="S1070" i="65"/>
  <c r="T1070" i="65"/>
  <c r="U1070" i="65"/>
  <c r="V1070" i="65"/>
  <c r="R1071" i="65"/>
  <c r="S1071" i="65"/>
  <c r="T1071" i="65"/>
  <c r="U1071" i="65"/>
  <c r="V1071" i="65"/>
  <c r="R1072" i="65"/>
  <c r="S1072" i="65"/>
  <c r="T1072" i="65"/>
  <c r="U1072" i="65"/>
  <c r="V1072" i="65"/>
  <c r="R1073" i="65"/>
  <c r="S1073" i="65"/>
  <c r="T1073" i="65"/>
  <c r="U1073" i="65"/>
  <c r="V1073" i="65"/>
  <c r="R1074" i="65"/>
  <c r="S1074" i="65"/>
  <c r="T1074" i="65"/>
  <c r="U1074" i="65"/>
  <c r="V1074" i="65"/>
  <c r="R1075" i="65"/>
  <c r="S1075" i="65"/>
  <c r="T1075" i="65"/>
  <c r="U1075" i="65"/>
  <c r="V1075" i="65"/>
  <c r="R1076" i="65"/>
  <c r="S1076" i="65"/>
  <c r="T1076" i="65"/>
  <c r="U1076" i="65"/>
  <c r="V1076" i="65"/>
  <c r="R1077" i="65"/>
  <c r="S1077" i="65"/>
  <c r="T1077" i="65"/>
  <c r="U1077" i="65"/>
  <c r="V1077" i="65"/>
  <c r="R1078" i="65"/>
  <c r="S1078" i="65"/>
  <c r="T1078" i="65"/>
  <c r="U1078" i="65"/>
  <c r="V1078" i="65"/>
  <c r="R1079" i="65"/>
  <c r="S1079" i="65"/>
  <c r="T1079" i="65"/>
  <c r="U1079" i="65"/>
  <c r="V1079" i="65"/>
  <c r="R1080" i="65"/>
  <c r="S1080" i="65"/>
  <c r="T1080" i="65"/>
  <c r="U1080" i="65"/>
  <c r="V1080" i="65"/>
  <c r="R1081" i="65"/>
  <c r="S1081" i="65"/>
  <c r="T1081" i="65"/>
  <c r="U1081" i="65"/>
  <c r="V1081" i="65"/>
  <c r="R1082" i="65"/>
  <c r="S1082" i="65"/>
  <c r="T1082" i="65"/>
  <c r="U1082" i="65"/>
  <c r="V1082" i="65"/>
  <c r="R1083" i="65"/>
  <c r="S1083" i="65"/>
  <c r="T1083" i="65"/>
  <c r="U1083" i="65"/>
  <c r="V1083" i="65"/>
  <c r="R1084" i="65"/>
  <c r="S1084" i="65"/>
  <c r="T1084" i="65"/>
  <c r="U1084" i="65"/>
  <c r="V1084" i="65"/>
  <c r="R1085" i="65"/>
  <c r="S1085" i="65"/>
  <c r="T1085" i="65"/>
  <c r="U1085" i="65"/>
  <c r="V1085" i="65"/>
  <c r="R1086" i="65"/>
  <c r="S1086" i="65"/>
  <c r="T1086" i="65"/>
  <c r="U1086" i="65"/>
  <c r="V1086" i="65"/>
  <c r="R1087" i="65"/>
  <c r="S1087" i="65"/>
  <c r="T1087" i="65"/>
  <c r="U1087" i="65"/>
  <c r="V1087" i="65"/>
  <c r="R1088" i="65"/>
  <c r="S1088" i="65"/>
  <c r="T1088" i="65"/>
  <c r="U1088" i="65"/>
  <c r="V1088" i="65"/>
  <c r="R1089" i="65"/>
  <c r="S1089" i="65"/>
  <c r="T1089" i="65"/>
  <c r="U1089" i="65"/>
  <c r="V1089" i="65"/>
  <c r="R1090" i="65"/>
  <c r="S1090" i="65"/>
  <c r="T1090" i="65"/>
  <c r="U1090" i="65"/>
  <c r="V1090" i="65"/>
  <c r="R1091" i="65"/>
  <c r="S1091" i="65"/>
  <c r="T1091" i="65"/>
  <c r="U1091" i="65"/>
  <c r="V1091" i="65"/>
  <c r="R1092" i="65"/>
  <c r="S1092" i="65"/>
  <c r="T1092" i="65"/>
  <c r="U1092" i="65"/>
  <c r="V1092" i="65"/>
  <c r="R1093" i="65"/>
  <c r="S1093" i="65"/>
  <c r="T1093" i="65"/>
  <c r="U1093" i="65"/>
  <c r="V1093" i="65"/>
  <c r="R1094" i="65"/>
  <c r="S1094" i="65"/>
  <c r="T1094" i="65"/>
  <c r="U1094" i="65"/>
  <c r="V1094" i="65"/>
  <c r="R1095" i="65"/>
  <c r="S1095" i="65"/>
  <c r="T1095" i="65"/>
  <c r="U1095" i="65"/>
  <c r="V1095" i="65"/>
  <c r="R1096" i="65"/>
  <c r="S1096" i="65"/>
  <c r="T1096" i="65"/>
  <c r="U1096" i="65"/>
  <c r="V1096" i="65"/>
  <c r="R1097" i="65"/>
  <c r="S1097" i="65"/>
  <c r="T1097" i="65"/>
  <c r="U1097" i="65"/>
  <c r="V1097" i="65"/>
  <c r="R1098" i="65"/>
  <c r="S1098" i="65"/>
  <c r="T1098" i="65"/>
  <c r="U1098" i="65"/>
  <c r="V1098" i="65"/>
  <c r="R1099" i="65"/>
  <c r="S1099" i="65"/>
  <c r="T1099" i="65"/>
  <c r="U1099" i="65"/>
  <c r="V1099" i="65"/>
  <c r="R1100" i="65"/>
  <c r="S1100" i="65"/>
  <c r="T1100" i="65"/>
  <c r="U1100" i="65"/>
  <c r="V1100" i="65"/>
  <c r="R1101" i="65"/>
  <c r="S1101" i="65"/>
  <c r="T1101" i="65"/>
  <c r="U1101" i="65"/>
  <c r="V1101" i="65"/>
  <c r="R1102" i="65"/>
  <c r="S1102" i="65"/>
  <c r="T1102" i="65"/>
  <c r="U1102" i="65"/>
  <c r="V1102" i="65"/>
  <c r="R1103" i="65"/>
  <c r="S1103" i="65"/>
  <c r="T1103" i="65"/>
  <c r="U1103" i="65"/>
  <c r="V1103" i="65"/>
  <c r="R1104" i="65"/>
  <c r="S1104" i="65"/>
  <c r="T1104" i="65"/>
  <c r="U1104" i="65"/>
  <c r="V1104" i="65"/>
  <c r="R1105" i="65"/>
  <c r="S1105" i="65"/>
  <c r="T1105" i="65"/>
  <c r="U1105" i="65"/>
  <c r="V1105" i="65"/>
  <c r="R1106" i="65"/>
  <c r="S1106" i="65"/>
  <c r="T1106" i="65"/>
  <c r="U1106" i="65"/>
  <c r="V1106" i="65"/>
  <c r="R1107" i="65"/>
  <c r="S1107" i="65"/>
  <c r="T1107" i="65"/>
  <c r="U1107" i="65"/>
  <c r="V1107" i="65"/>
  <c r="R1108" i="65"/>
  <c r="S1108" i="65"/>
  <c r="T1108" i="65"/>
  <c r="U1108" i="65"/>
  <c r="V1108" i="65"/>
  <c r="R1109" i="65"/>
  <c r="S1109" i="65"/>
  <c r="T1109" i="65"/>
  <c r="U1109" i="65"/>
  <c r="V1109" i="65"/>
  <c r="R1110" i="65"/>
  <c r="S1110" i="65"/>
  <c r="T1110" i="65"/>
  <c r="U1110" i="65"/>
  <c r="V1110" i="65"/>
  <c r="R1111" i="65"/>
  <c r="S1111" i="65"/>
  <c r="T1111" i="65"/>
  <c r="U1111" i="65"/>
  <c r="V1111" i="65"/>
  <c r="R1112" i="65"/>
  <c r="S1112" i="65"/>
  <c r="T1112" i="65"/>
  <c r="U1112" i="65"/>
  <c r="V1112" i="65"/>
  <c r="R1113" i="65"/>
  <c r="S1113" i="65"/>
  <c r="T1113" i="65"/>
  <c r="U1113" i="65"/>
  <c r="V1113" i="65"/>
  <c r="R1114" i="65"/>
  <c r="S1114" i="65"/>
  <c r="T1114" i="65"/>
  <c r="U1114" i="65"/>
  <c r="V1114" i="65"/>
  <c r="R1115" i="65"/>
  <c r="S1115" i="65"/>
  <c r="T1115" i="65"/>
  <c r="U1115" i="65"/>
  <c r="V1115" i="65"/>
  <c r="R1116" i="65"/>
  <c r="S1116" i="65"/>
  <c r="T1116" i="65"/>
  <c r="U1116" i="65"/>
  <c r="V1116" i="65"/>
  <c r="R1117" i="65"/>
  <c r="S1117" i="65"/>
  <c r="T1117" i="65"/>
  <c r="U1117" i="65"/>
  <c r="V1117" i="65"/>
  <c r="R1118" i="65"/>
  <c r="S1118" i="65"/>
  <c r="T1118" i="65"/>
  <c r="U1118" i="65"/>
  <c r="V1118" i="65"/>
  <c r="R1119" i="65"/>
  <c r="S1119" i="65"/>
  <c r="T1119" i="65"/>
  <c r="U1119" i="65"/>
  <c r="V1119" i="65"/>
  <c r="R1120" i="65"/>
  <c r="S1120" i="65"/>
  <c r="T1120" i="65"/>
  <c r="U1120" i="65"/>
  <c r="V1120" i="65"/>
  <c r="R1121" i="65"/>
  <c r="S1121" i="65"/>
  <c r="T1121" i="65"/>
  <c r="U1121" i="65"/>
  <c r="V1121" i="65"/>
  <c r="R1122" i="65"/>
  <c r="S1122" i="65"/>
  <c r="T1122" i="65"/>
  <c r="U1122" i="65"/>
  <c r="V1122" i="65"/>
  <c r="R1123" i="65"/>
  <c r="S1123" i="65"/>
  <c r="T1123" i="65"/>
  <c r="U1123" i="65"/>
  <c r="V1123" i="65"/>
  <c r="R1124" i="65"/>
  <c r="S1124" i="65"/>
  <c r="T1124" i="65"/>
  <c r="U1124" i="65"/>
  <c r="V1124" i="65"/>
  <c r="R1125" i="65"/>
  <c r="S1125" i="65"/>
  <c r="T1125" i="65"/>
  <c r="U1125" i="65"/>
  <c r="V1125" i="65"/>
  <c r="R1126" i="65"/>
  <c r="S1126" i="65"/>
  <c r="T1126" i="65"/>
  <c r="U1126" i="65"/>
  <c r="V1126" i="65"/>
  <c r="R1127" i="65"/>
  <c r="S1127" i="65"/>
  <c r="T1127" i="65"/>
  <c r="U1127" i="65"/>
  <c r="V1127" i="65"/>
  <c r="R1128" i="65"/>
  <c r="S1128" i="65"/>
  <c r="T1128" i="65"/>
  <c r="U1128" i="65"/>
  <c r="V1128" i="65"/>
  <c r="R1129" i="65"/>
  <c r="S1129" i="65"/>
  <c r="T1129" i="65"/>
  <c r="U1129" i="65"/>
  <c r="V1129" i="65"/>
  <c r="R1130" i="65"/>
  <c r="S1130" i="65"/>
  <c r="T1130" i="65"/>
  <c r="U1130" i="65"/>
  <c r="V1130" i="65"/>
  <c r="R1131" i="65"/>
  <c r="S1131" i="65"/>
  <c r="T1131" i="65"/>
  <c r="U1131" i="65"/>
  <c r="V1131" i="65"/>
  <c r="R1132" i="65"/>
  <c r="S1132" i="65"/>
  <c r="T1132" i="65"/>
  <c r="U1132" i="65"/>
  <c r="V1132" i="65"/>
  <c r="R1133" i="65"/>
  <c r="S1133" i="65"/>
  <c r="T1133" i="65"/>
  <c r="U1133" i="65"/>
  <c r="V1133" i="65"/>
  <c r="R1134" i="65"/>
  <c r="S1134" i="65"/>
  <c r="T1134" i="65"/>
  <c r="U1134" i="65"/>
  <c r="V1134" i="65"/>
  <c r="R1135" i="65"/>
  <c r="S1135" i="65"/>
  <c r="T1135" i="65"/>
  <c r="U1135" i="65"/>
  <c r="V1135" i="65"/>
  <c r="R1136" i="65"/>
  <c r="S1136" i="65"/>
  <c r="T1136" i="65"/>
  <c r="U1136" i="65"/>
  <c r="V1136" i="65"/>
  <c r="R1137" i="65"/>
  <c r="S1137" i="65"/>
  <c r="T1137" i="65"/>
  <c r="U1137" i="65"/>
  <c r="V1137" i="65"/>
  <c r="R1138" i="65"/>
  <c r="S1138" i="65"/>
  <c r="T1138" i="65"/>
  <c r="U1138" i="65"/>
  <c r="V1138" i="65"/>
  <c r="R1139" i="65"/>
  <c r="S1139" i="65"/>
  <c r="T1139" i="65"/>
  <c r="U1139" i="65"/>
  <c r="V1139" i="65"/>
  <c r="R1140" i="65"/>
  <c r="S1140" i="65"/>
  <c r="T1140" i="65"/>
  <c r="U1140" i="65"/>
  <c r="V1140" i="65"/>
  <c r="R1141" i="65"/>
  <c r="S1141" i="65"/>
  <c r="T1141" i="65"/>
  <c r="U1141" i="65"/>
  <c r="V1141" i="65"/>
  <c r="R1142" i="65"/>
  <c r="S1142" i="65"/>
  <c r="T1142" i="65"/>
  <c r="U1142" i="65"/>
  <c r="V1142" i="65"/>
  <c r="R1143" i="65"/>
  <c r="S1143" i="65"/>
  <c r="T1143" i="65"/>
  <c r="U1143" i="65"/>
  <c r="V1143" i="65"/>
  <c r="R1144" i="65"/>
  <c r="S1144" i="65"/>
  <c r="T1144" i="65"/>
  <c r="U1144" i="65"/>
  <c r="V1144" i="65"/>
  <c r="R1145" i="65"/>
  <c r="S1145" i="65"/>
  <c r="T1145" i="65"/>
  <c r="U1145" i="65"/>
  <c r="V1145" i="65"/>
  <c r="R1146" i="65"/>
  <c r="S1146" i="65"/>
  <c r="T1146" i="65"/>
  <c r="U1146" i="65"/>
  <c r="V1146" i="65"/>
  <c r="R1147" i="65"/>
  <c r="S1147" i="65"/>
  <c r="T1147" i="65"/>
  <c r="U1147" i="65"/>
  <c r="V1147" i="65"/>
  <c r="R1148" i="65"/>
  <c r="S1148" i="65"/>
  <c r="T1148" i="65"/>
  <c r="U1148" i="65"/>
  <c r="V1148" i="65"/>
  <c r="R1149" i="65"/>
  <c r="S1149" i="65"/>
  <c r="T1149" i="65"/>
  <c r="U1149" i="65"/>
  <c r="V1149" i="65"/>
  <c r="R1150" i="65"/>
  <c r="S1150" i="65"/>
  <c r="T1150" i="65"/>
  <c r="U1150" i="65"/>
  <c r="V1150" i="65"/>
  <c r="R1151" i="65"/>
  <c r="S1151" i="65"/>
  <c r="T1151" i="65"/>
  <c r="U1151" i="65"/>
  <c r="V1151" i="65"/>
  <c r="R1152" i="65"/>
  <c r="S1152" i="65"/>
  <c r="T1152" i="65"/>
  <c r="U1152" i="65"/>
  <c r="V1152" i="65"/>
  <c r="R1153" i="65"/>
  <c r="S1153" i="65"/>
  <c r="T1153" i="65"/>
  <c r="U1153" i="65"/>
  <c r="V1153" i="65"/>
  <c r="R1154" i="65"/>
  <c r="S1154" i="65"/>
  <c r="T1154" i="65"/>
  <c r="U1154" i="65"/>
  <c r="V1154" i="65"/>
  <c r="R1155" i="65"/>
  <c r="S1155" i="65"/>
  <c r="T1155" i="65"/>
  <c r="U1155" i="65"/>
  <c r="V1155" i="65"/>
  <c r="R1156" i="65"/>
  <c r="S1156" i="65"/>
  <c r="T1156" i="65"/>
  <c r="U1156" i="65"/>
  <c r="V1156" i="65"/>
  <c r="R1157" i="65"/>
  <c r="S1157" i="65"/>
  <c r="T1157" i="65"/>
  <c r="U1157" i="65"/>
  <c r="V1157" i="65"/>
  <c r="R1158" i="65"/>
  <c r="S1158" i="65"/>
  <c r="T1158" i="65"/>
  <c r="U1158" i="65"/>
  <c r="V1158" i="65"/>
  <c r="R1159" i="65"/>
  <c r="S1159" i="65"/>
  <c r="T1159" i="65"/>
  <c r="U1159" i="65"/>
  <c r="V1159" i="65"/>
  <c r="R1160" i="65"/>
  <c r="S1160" i="65"/>
  <c r="T1160" i="65"/>
  <c r="U1160" i="65"/>
  <c r="V1160" i="65"/>
  <c r="R1161" i="65"/>
  <c r="S1161" i="65"/>
  <c r="T1161" i="65"/>
  <c r="U1161" i="65"/>
  <c r="V1161" i="65"/>
  <c r="R1162" i="65"/>
  <c r="S1162" i="65"/>
  <c r="T1162" i="65"/>
  <c r="U1162" i="65"/>
  <c r="V1162" i="65"/>
  <c r="R1163" i="65"/>
  <c r="S1163" i="65"/>
  <c r="T1163" i="65"/>
  <c r="U1163" i="65"/>
  <c r="V1163" i="65"/>
  <c r="R1164" i="65"/>
  <c r="S1164" i="65"/>
  <c r="T1164" i="65"/>
  <c r="U1164" i="65"/>
  <c r="V1164" i="65"/>
  <c r="R1165" i="65"/>
  <c r="S1165" i="65"/>
  <c r="T1165" i="65"/>
  <c r="U1165" i="65"/>
  <c r="V1165" i="65"/>
  <c r="R1166" i="65"/>
  <c r="S1166" i="65"/>
  <c r="T1166" i="65"/>
  <c r="U1166" i="65"/>
  <c r="V1166" i="65"/>
  <c r="R1167" i="65"/>
  <c r="S1167" i="65"/>
  <c r="T1167" i="65"/>
  <c r="U1167" i="65"/>
  <c r="V1167" i="65"/>
  <c r="R1168" i="65"/>
  <c r="S1168" i="65"/>
  <c r="T1168" i="65"/>
  <c r="U1168" i="65"/>
  <c r="V1168" i="65"/>
  <c r="R1169" i="65"/>
  <c r="S1169" i="65"/>
  <c r="T1169" i="65"/>
  <c r="U1169" i="65"/>
  <c r="V1169" i="65"/>
  <c r="R1170" i="65"/>
  <c r="S1170" i="65"/>
  <c r="T1170" i="65"/>
  <c r="U1170" i="65"/>
  <c r="V1170" i="65"/>
  <c r="R1171" i="65"/>
  <c r="S1171" i="65"/>
  <c r="T1171" i="65"/>
  <c r="U1171" i="65"/>
  <c r="V1171" i="65"/>
  <c r="R1172" i="65"/>
  <c r="S1172" i="65"/>
  <c r="T1172" i="65"/>
  <c r="U1172" i="65"/>
  <c r="V1172" i="65"/>
  <c r="R1173" i="65"/>
  <c r="S1173" i="65"/>
  <c r="T1173" i="65"/>
  <c r="U1173" i="65"/>
  <c r="V1173" i="65"/>
  <c r="R1174" i="65"/>
  <c r="S1174" i="65"/>
  <c r="T1174" i="65"/>
  <c r="U1174" i="65"/>
  <c r="V1174" i="65"/>
  <c r="R1175" i="65"/>
  <c r="S1175" i="65"/>
  <c r="T1175" i="65"/>
  <c r="U1175" i="65"/>
  <c r="V1175" i="65"/>
  <c r="R1176" i="65"/>
  <c r="S1176" i="65"/>
  <c r="T1176" i="65"/>
  <c r="U1176" i="65"/>
  <c r="V1176" i="65"/>
  <c r="R1177" i="65"/>
  <c r="S1177" i="65"/>
  <c r="T1177" i="65"/>
  <c r="U1177" i="65"/>
  <c r="V1177" i="65"/>
  <c r="R1178" i="65"/>
  <c r="S1178" i="65"/>
  <c r="T1178" i="65"/>
  <c r="U1178" i="65"/>
  <c r="V1178" i="65"/>
  <c r="R1179" i="65"/>
  <c r="S1179" i="65"/>
  <c r="T1179" i="65"/>
  <c r="U1179" i="65"/>
  <c r="V1179" i="65"/>
  <c r="R1180" i="65"/>
  <c r="S1180" i="65"/>
  <c r="T1180" i="65"/>
  <c r="U1180" i="65"/>
  <c r="V1180" i="65"/>
  <c r="R1181" i="65"/>
  <c r="S1181" i="65"/>
  <c r="T1181" i="65"/>
  <c r="U1181" i="65"/>
  <c r="V1181" i="65"/>
  <c r="R1182" i="65"/>
  <c r="S1182" i="65"/>
  <c r="T1182" i="65"/>
  <c r="U1182" i="65"/>
  <c r="V1182" i="65"/>
  <c r="R1183" i="65"/>
  <c r="S1183" i="65"/>
  <c r="T1183" i="65"/>
  <c r="U1183" i="65"/>
  <c r="V1183" i="65"/>
  <c r="R1184" i="65"/>
  <c r="S1184" i="65"/>
  <c r="T1184" i="65"/>
  <c r="U1184" i="65"/>
  <c r="V1184" i="65"/>
  <c r="R1185" i="65"/>
  <c r="S1185" i="65"/>
  <c r="T1185" i="65"/>
  <c r="U1185" i="65"/>
  <c r="V1185" i="65"/>
  <c r="R1186" i="65"/>
  <c r="S1186" i="65"/>
  <c r="T1186" i="65"/>
  <c r="U1186" i="65"/>
  <c r="V1186" i="65"/>
  <c r="R1187" i="65"/>
  <c r="S1187" i="65"/>
  <c r="T1187" i="65"/>
  <c r="U1187" i="65"/>
  <c r="V1187" i="65"/>
  <c r="R1188" i="65"/>
  <c r="S1188" i="65"/>
  <c r="T1188" i="65"/>
  <c r="U1188" i="65"/>
  <c r="V1188" i="65"/>
  <c r="R1189" i="65"/>
  <c r="S1189" i="65"/>
  <c r="T1189" i="65"/>
  <c r="U1189" i="65"/>
  <c r="V1189" i="65"/>
  <c r="R1190" i="65"/>
  <c r="S1190" i="65"/>
  <c r="T1190" i="65"/>
  <c r="U1190" i="65"/>
  <c r="V1190" i="65"/>
  <c r="R1191" i="65"/>
  <c r="S1191" i="65"/>
  <c r="T1191" i="65"/>
  <c r="U1191" i="65"/>
  <c r="V1191" i="65"/>
  <c r="R1192" i="65"/>
  <c r="S1192" i="65"/>
  <c r="T1192" i="65"/>
  <c r="U1192" i="65"/>
  <c r="V1192" i="65"/>
  <c r="R1193" i="65"/>
  <c r="S1193" i="65"/>
  <c r="T1193" i="65"/>
  <c r="U1193" i="65"/>
  <c r="V1193" i="65"/>
  <c r="R1194" i="65"/>
  <c r="S1194" i="65"/>
  <c r="T1194" i="65"/>
  <c r="U1194" i="65"/>
  <c r="V1194" i="65"/>
  <c r="R1195" i="65"/>
  <c r="S1195" i="65"/>
  <c r="T1195" i="65"/>
  <c r="U1195" i="65"/>
  <c r="V1195" i="65"/>
  <c r="R1196" i="65"/>
  <c r="S1196" i="65"/>
  <c r="T1196" i="65"/>
  <c r="U1196" i="65"/>
  <c r="V1196" i="65"/>
  <c r="R1197" i="65"/>
  <c r="S1197" i="65"/>
  <c r="T1197" i="65"/>
  <c r="U1197" i="65"/>
  <c r="V1197" i="65"/>
  <c r="R1198" i="65"/>
  <c r="S1198" i="65"/>
  <c r="T1198" i="65"/>
  <c r="U1198" i="65"/>
  <c r="V1198" i="65"/>
  <c r="R1199" i="65"/>
  <c r="S1199" i="65"/>
  <c r="T1199" i="65"/>
  <c r="U1199" i="65"/>
  <c r="V1199" i="65"/>
  <c r="R1200" i="65"/>
  <c r="S1200" i="65"/>
  <c r="T1200" i="65"/>
  <c r="U1200" i="65"/>
  <c r="V1200" i="65"/>
  <c r="R1201" i="65"/>
  <c r="S1201" i="65"/>
  <c r="T1201" i="65"/>
  <c r="U1201" i="65"/>
  <c r="V1201" i="65"/>
  <c r="R1202" i="65"/>
  <c r="S1202" i="65"/>
  <c r="T1202" i="65"/>
  <c r="U1202" i="65"/>
  <c r="V1202" i="65"/>
  <c r="R1203" i="65"/>
  <c r="S1203" i="65"/>
  <c r="T1203" i="65"/>
  <c r="U1203" i="65"/>
  <c r="V1203" i="65"/>
  <c r="R1204" i="65"/>
  <c r="S1204" i="65"/>
  <c r="T1204" i="65"/>
  <c r="U1204" i="65"/>
  <c r="V1204" i="65"/>
  <c r="R1205" i="65"/>
  <c r="S1205" i="65"/>
  <c r="T1205" i="65"/>
  <c r="U1205" i="65"/>
  <c r="V1205" i="65"/>
  <c r="R1206" i="65"/>
  <c r="S1206" i="65"/>
  <c r="T1206" i="65"/>
  <c r="U1206" i="65"/>
  <c r="V1206" i="65"/>
  <c r="R1207" i="65"/>
  <c r="S1207" i="65"/>
  <c r="T1207" i="65"/>
  <c r="U1207" i="65"/>
  <c r="V1207" i="65"/>
  <c r="R1208" i="65"/>
  <c r="S1208" i="65"/>
  <c r="T1208" i="65"/>
  <c r="U1208" i="65"/>
  <c r="V1208" i="65"/>
  <c r="R1209" i="65"/>
  <c r="S1209" i="65"/>
  <c r="T1209" i="65"/>
  <c r="U1209" i="65"/>
  <c r="V1209" i="65"/>
  <c r="R1210" i="65"/>
  <c r="S1210" i="65"/>
  <c r="T1210" i="65"/>
  <c r="U1210" i="65"/>
  <c r="V1210" i="65"/>
  <c r="R1211" i="65"/>
  <c r="S1211" i="65"/>
  <c r="T1211" i="65"/>
  <c r="U1211" i="65"/>
  <c r="V1211" i="65"/>
  <c r="R1212" i="65"/>
  <c r="S1212" i="65"/>
  <c r="T1212" i="65"/>
  <c r="U1212" i="65"/>
  <c r="V1212" i="65"/>
  <c r="R1213" i="65"/>
  <c r="S1213" i="65"/>
  <c r="T1213" i="65"/>
  <c r="U1213" i="65"/>
  <c r="V1213" i="65"/>
  <c r="R1214" i="65"/>
  <c r="S1214" i="65"/>
  <c r="T1214" i="65"/>
  <c r="U1214" i="65"/>
  <c r="V1214" i="65"/>
  <c r="R1215" i="65"/>
  <c r="S1215" i="65"/>
  <c r="T1215" i="65"/>
  <c r="U1215" i="65"/>
  <c r="V1215" i="65"/>
  <c r="R1216" i="65"/>
  <c r="S1216" i="65"/>
  <c r="T1216" i="65"/>
  <c r="U1216" i="65"/>
  <c r="V1216" i="65"/>
  <c r="R1217" i="65"/>
  <c r="S1217" i="65"/>
  <c r="T1217" i="65"/>
  <c r="U1217" i="65"/>
  <c r="V1217" i="65"/>
  <c r="R1218" i="65"/>
  <c r="S1218" i="65"/>
  <c r="T1218" i="65"/>
  <c r="U1218" i="65"/>
  <c r="V1218" i="65"/>
  <c r="R1219" i="65"/>
  <c r="S1219" i="65"/>
  <c r="T1219" i="65"/>
  <c r="U1219" i="65"/>
  <c r="V1219" i="65"/>
  <c r="R1220" i="65"/>
  <c r="S1220" i="65"/>
  <c r="T1220" i="65"/>
  <c r="U1220" i="65"/>
  <c r="V1220" i="65"/>
  <c r="R1221" i="65"/>
  <c r="S1221" i="65"/>
  <c r="T1221" i="65"/>
  <c r="U1221" i="65"/>
  <c r="V1221" i="65"/>
  <c r="R1222" i="65"/>
  <c r="S1222" i="65"/>
  <c r="T1222" i="65"/>
  <c r="U1222" i="65"/>
  <c r="V1222" i="65"/>
  <c r="R1223" i="65"/>
  <c r="S1223" i="65"/>
  <c r="T1223" i="65"/>
  <c r="U1223" i="65"/>
  <c r="V1223" i="65"/>
  <c r="R1224" i="65"/>
  <c r="S1224" i="65"/>
  <c r="T1224" i="65"/>
  <c r="U1224" i="65"/>
  <c r="V1224" i="65"/>
  <c r="R1225" i="65"/>
  <c r="S1225" i="65"/>
  <c r="T1225" i="65"/>
  <c r="U1225" i="65"/>
  <c r="V1225" i="65"/>
  <c r="R1226" i="65"/>
  <c r="S1226" i="65"/>
  <c r="T1226" i="65"/>
  <c r="U1226" i="65"/>
  <c r="V1226" i="65"/>
  <c r="R1227" i="65"/>
  <c r="S1227" i="65"/>
  <c r="T1227" i="65"/>
  <c r="U1227" i="65"/>
  <c r="V1227" i="65"/>
  <c r="R1228" i="65"/>
  <c r="S1228" i="65"/>
  <c r="T1228" i="65"/>
  <c r="U1228" i="65"/>
  <c r="V1228" i="65"/>
  <c r="R1229" i="65"/>
  <c r="S1229" i="65"/>
  <c r="T1229" i="65"/>
  <c r="U1229" i="65"/>
  <c r="V1229" i="65"/>
  <c r="R1230" i="65"/>
  <c r="S1230" i="65"/>
  <c r="T1230" i="65"/>
  <c r="U1230" i="65"/>
  <c r="V1230" i="65"/>
  <c r="R1231" i="65"/>
  <c r="S1231" i="65"/>
  <c r="T1231" i="65"/>
  <c r="U1231" i="65"/>
  <c r="V1231" i="65"/>
  <c r="R1232" i="65"/>
  <c r="S1232" i="65"/>
  <c r="T1232" i="65"/>
  <c r="U1232" i="65"/>
  <c r="V1232" i="65"/>
  <c r="R1233" i="65"/>
  <c r="S1233" i="65"/>
  <c r="T1233" i="65"/>
  <c r="U1233" i="65"/>
  <c r="V1233" i="65"/>
  <c r="R1234" i="65"/>
  <c r="S1234" i="65"/>
  <c r="T1234" i="65"/>
  <c r="U1234" i="65"/>
  <c r="V1234" i="65"/>
  <c r="R1235" i="65"/>
  <c r="S1235" i="65"/>
  <c r="T1235" i="65"/>
  <c r="U1235" i="65"/>
  <c r="V1235" i="65"/>
  <c r="R1236" i="65"/>
  <c r="S1236" i="65"/>
  <c r="T1236" i="65"/>
  <c r="U1236" i="65"/>
  <c r="V1236" i="65"/>
  <c r="R1237" i="65"/>
  <c r="S1237" i="65"/>
  <c r="T1237" i="65"/>
  <c r="U1237" i="65"/>
  <c r="V1237" i="65"/>
  <c r="R1238" i="65"/>
  <c r="S1238" i="65"/>
  <c r="T1238" i="65"/>
  <c r="U1238" i="65"/>
  <c r="V1238" i="65"/>
  <c r="R1239" i="65"/>
  <c r="S1239" i="65"/>
  <c r="T1239" i="65"/>
  <c r="U1239" i="65"/>
  <c r="V1239" i="65"/>
  <c r="R1240" i="65"/>
  <c r="S1240" i="65"/>
  <c r="T1240" i="65"/>
  <c r="U1240" i="65"/>
  <c r="V1240" i="65"/>
  <c r="R1241" i="65"/>
  <c r="S1241" i="65"/>
  <c r="T1241" i="65"/>
  <c r="U1241" i="65"/>
  <c r="V1241" i="65"/>
  <c r="R1242" i="65"/>
  <c r="S1242" i="65"/>
  <c r="T1242" i="65"/>
  <c r="U1242" i="65"/>
  <c r="V1242" i="65"/>
  <c r="R1243" i="65"/>
  <c r="S1243" i="65"/>
  <c r="T1243" i="65"/>
  <c r="U1243" i="65"/>
  <c r="V1243" i="65"/>
  <c r="R1244" i="65"/>
  <c r="S1244" i="65"/>
  <c r="T1244" i="65"/>
  <c r="U1244" i="65"/>
  <c r="V1244" i="65"/>
  <c r="R1245" i="65"/>
  <c r="S1245" i="65"/>
  <c r="T1245" i="65"/>
  <c r="U1245" i="65"/>
  <c r="V1245" i="65"/>
  <c r="R1246" i="65"/>
  <c r="S1246" i="65"/>
  <c r="T1246" i="65"/>
  <c r="U1246" i="65"/>
  <c r="V1246" i="65"/>
  <c r="R1247" i="65"/>
  <c r="S1247" i="65"/>
  <c r="T1247" i="65"/>
  <c r="U1247" i="65"/>
  <c r="V1247" i="65"/>
  <c r="R1248" i="65"/>
  <c r="S1248" i="65"/>
  <c r="T1248" i="65"/>
  <c r="U1248" i="65"/>
  <c r="V1248" i="65"/>
  <c r="R1249" i="65"/>
  <c r="S1249" i="65"/>
  <c r="T1249" i="65"/>
  <c r="U1249" i="65"/>
  <c r="V1249" i="65"/>
  <c r="R1250" i="65"/>
  <c r="S1250" i="65"/>
  <c r="T1250" i="65"/>
  <c r="U1250" i="65"/>
  <c r="V1250" i="65"/>
  <c r="R1251" i="65"/>
  <c r="S1251" i="65"/>
  <c r="T1251" i="65"/>
  <c r="U1251" i="65"/>
  <c r="V1251" i="65"/>
  <c r="R1252" i="65"/>
  <c r="S1252" i="65"/>
  <c r="T1252" i="65"/>
  <c r="U1252" i="65"/>
  <c r="V1252" i="65"/>
  <c r="R1253" i="65"/>
  <c r="S1253" i="65"/>
  <c r="T1253" i="65"/>
  <c r="U1253" i="65"/>
  <c r="V1253" i="65"/>
  <c r="R1254" i="65"/>
  <c r="S1254" i="65"/>
  <c r="T1254" i="65"/>
  <c r="U1254" i="65"/>
  <c r="V1254" i="65"/>
  <c r="R1255" i="65"/>
  <c r="S1255" i="65"/>
  <c r="T1255" i="65"/>
  <c r="U1255" i="65"/>
  <c r="V1255" i="65"/>
  <c r="R1256" i="65"/>
  <c r="S1256" i="65"/>
  <c r="T1256" i="65"/>
  <c r="U1256" i="65"/>
  <c r="V1256" i="65"/>
  <c r="R1257" i="65"/>
  <c r="S1257" i="65"/>
  <c r="T1257" i="65"/>
  <c r="U1257" i="65"/>
  <c r="V1257" i="65"/>
  <c r="R1258" i="65"/>
  <c r="S1258" i="65"/>
  <c r="T1258" i="65"/>
  <c r="U1258" i="65"/>
  <c r="V1258" i="65"/>
  <c r="R1259" i="65"/>
  <c r="S1259" i="65"/>
  <c r="T1259" i="65"/>
  <c r="U1259" i="65"/>
  <c r="V1259" i="65"/>
  <c r="R1260" i="65"/>
  <c r="S1260" i="65"/>
  <c r="T1260" i="65"/>
  <c r="U1260" i="65"/>
  <c r="V1260" i="65"/>
  <c r="R1261" i="65"/>
  <c r="S1261" i="65"/>
  <c r="T1261" i="65"/>
  <c r="U1261" i="65"/>
  <c r="V1261" i="65"/>
  <c r="R1262" i="65"/>
  <c r="S1262" i="65"/>
  <c r="T1262" i="65"/>
  <c r="U1262" i="65"/>
  <c r="V1262" i="65"/>
  <c r="R1263" i="65"/>
  <c r="S1263" i="65"/>
  <c r="T1263" i="65"/>
  <c r="U1263" i="65"/>
  <c r="V1263" i="65"/>
  <c r="R1264" i="65"/>
  <c r="S1264" i="65"/>
  <c r="T1264" i="65"/>
  <c r="U1264" i="65"/>
  <c r="V1264" i="65"/>
  <c r="R1265" i="65"/>
  <c r="S1265" i="65"/>
  <c r="T1265" i="65"/>
  <c r="U1265" i="65"/>
  <c r="V1265" i="65"/>
  <c r="R1266" i="65"/>
  <c r="S1266" i="65"/>
  <c r="T1266" i="65"/>
  <c r="U1266" i="65"/>
  <c r="V1266" i="65"/>
  <c r="R1267" i="65"/>
  <c r="S1267" i="65"/>
  <c r="T1267" i="65"/>
  <c r="U1267" i="65"/>
  <c r="V1267" i="65"/>
  <c r="R1268" i="65"/>
  <c r="S1268" i="65"/>
  <c r="T1268" i="65"/>
  <c r="U1268" i="65"/>
  <c r="V1268" i="65"/>
  <c r="R1269" i="65"/>
  <c r="S1269" i="65"/>
  <c r="T1269" i="65"/>
  <c r="U1269" i="65"/>
  <c r="V1269" i="65"/>
  <c r="R1270" i="65"/>
  <c r="S1270" i="65"/>
  <c r="T1270" i="65"/>
  <c r="U1270" i="65"/>
  <c r="V1270" i="65"/>
  <c r="R1271" i="65"/>
  <c r="S1271" i="65"/>
  <c r="T1271" i="65"/>
  <c r="U1271" i="65"/>
  <c r="V1271" i="65"/>
  <c r="R1272" i="65"/>
  <c r="S1272" i="65"/>
  <c r="T1272" i="65"/>
  <c r="U1272" i="65"/>
  <c r="V1272" i="65"/>
  <c r="R1273" i="65"/>
  <c r="S1273" i="65"/>
  <c r="T1273" i="65"/>
  <c r="U1273" i="65"/>
  <c r="V1273" i="65"/>
  <c r="R1274" i="65"/>
  <c r="S1274" i="65"/>
  <c r="T1274" i="65"/>
  <c r="U1274" i="65"/>
  <c r="V1274" i="65"/>
  <c r="R1275" i="65"/>
  <c r="S1275" i="65"/>
  <c r="T1275" i="65"/>
  <c r="U1275" i="65"/>
  <c r="V1275" i="65"/>
  <c r="R1276" i="65"/>
  <c r="S1276" i="65"/>
  <c r="T1276" i="65"/>
  <c r="U1276" i="65"/>
  <c r="V1276" i="65"/>
  <c r="R1277" i="65"/>
  <c r="S1277" i="65"/>
  <c r="T1277" i="65"/>
  <c r="U1277" i="65"/>
  <c r="V1277" i="65"/>
  <c r="R1278" i="65"/>
  <c r="S1278" i="65"/>
  <c r="T1278" i="65"/>
  <c r="U1278" i="65"/>
  <c r="V1278" i="65"/>
  <c r="R1279" i="65"/>
  <c r="S1279" i="65"/>
  <c r="T1279" i="65"/>
  <c r="U1279" i="65"/>
  <c r="V1279" i="65"/>
  <c r="R1280" i="65"/>
  <c r="S1280" i="65"/>
  <c r="T1280" i="65"/>
  <c r="U1280" i="65"/>
  <c r="V1280" i="65"/>
  <c r="R1281" i="65"/>
  <c r="S1281" i="65"/>
  <c r="T1281" i="65"/>
  <c r="U1281" i="65"/>
  <c r="V1281" i="65"/>
  <c r="R1282" i="65"/>
  <c r="S1282" i="65"/>
  <c r="T1282" i="65"/>
  <c r="U1282" i="65"/>
  <c r="V1282" i="65"/>
  <c r="R1283" i="65"/>
  <c r="S1283" i="65"/>
  <c r="T1283" i="65"/>
  <c r="U1283" i="65"/>
  <c r="V1283" i="65"/>
  <c r="R1284" i="65"/>
  <c r="S1284" i="65"/>
  <c r="T1284" i="65"/>
  <c r="U1284" i="65"/>
  <c r="V1284" i="65"/>
  <c r="R1285" i="65"/>
  <c r="S1285" i="65"/>
  <c r="T1285" i="65"/>
  <c r="U1285" i="65"/>
  <c r="V1285" i="65"/>
  <c r="R1286" i="65"/>
  <c r="S1286" i="65"/>
  <c r="T1286" i="65"/>
  <c r="U1286" i="65"/>
  <c r="V1286" i="65"/>
  <c r="R1287" i="65"/>
  <c r="S1287" i="65"/>
  <c r="T1287" i="65"/>
  <c r="U1287" i="65"/>
  <c r="V1287" i="65"/>
  <c r="R1288" i="65"/>
  <c r="S1288" i="65"/>
  <c r="T1288" i="65"/>
  <c r="U1288" i="65"/>
  <c r="V1288" i="65"/>
  <c r="R1289" i="65"/>
  <c r="S1289" i="65"/>
  <c r="T1289" i="65"/>
  <c r="U1289" i="65"/>
  <c r="V1289" i="65"/>
  <c r="R1290" i="65"/>
  <c r="S1290" i="65"/>
  <c r="T1290" i="65"/>
  <c r="U1290" i="65"/>
  <c r="V1290" i="65"/>
  <c r="R1291" i="65"/>
  <c r="S1291" i="65"/>
  <c r="T1291" i="65"/>
  <c r="U1291" i="65"/>
  <c r="V1291" i="65"/>
  <c r="R1292" i="65"/>
  <c r="S1292" i="65"/>
  <c r="T1292" i="65"/>
  <c r="U1292" i="65"/>
  <c r="V1292" i="65"/>
  <c r="R1293" i="65"/>
  <c r="S1293" i="65"/>
  <c r="T1293" i="65"/>
  <c r="U1293" i="65"/>
  <c r="V1293" i="65"/>
  <c r="R1294" i="65"/>
  <c r="S1294" i="65"/>
  <c r="T1294" i="65"/>
  <c r="U1294" i="65"/>
  <c r="V1294" i="65"/>
  <c r="R1295" i="65"/>
  <c r="S1295" i="65"/>
  <c r="T1295" i="65"/>
  <c r="U1295" i="65"/>
  <c r="V1295" i="65"/>
  <c r="R1296" i="65"/>
  <c r="S1296" i="65"/>
  <c r="T1296" i="65"/>
  <c r="U1296" i="65"/>
  <c r="V1296" i="65"/>
  <c r="R1297" i="65"/>
  <c r="S1297" i="65"/>
  <c r="T1297" i="65"/>
  <c r="U1297" i="65"/>
  <c r="V1297" i="65"/>
  <c r="R1298" i="65"/>
  <c r="S1298" i="65"/>
  <c r="T1298" i="65"/>
  <c r="U1298" i="65"/>
  <c r="V1298" i="65"/>
  <c r="R1299" i="65"/>
  <c r="S1299" i="65"/>
  <c r="T1299" i="65"/>
  <c r="U1299" i="65"/>
  <c r="V1299" i="65"/>
  <c r="R1300" i="65"/>
  <c r="S1300" i="65"/>
  <c r="T1300" i="65"/>
  <c r="U1300" i="65"/>
  <c r="V1300" i="65"/>
  <c r="R1301" i="65"/>
  <c r="S1301" i="65"/>
  <c r="T1301" i="65"/>
  <c r="U1301" i="65"/>
  <c r="V1301" i="65"/>
  <c r="R1302" i="65"/>
  <c r="S1302" i="65"/>
  <c r="T1302" i="65"/>
  <c r="U1302" i="65"/>
  <c r="V1302" i="65"/>
  <c r="R1303" i="65"/>
  <c r="S1303" i="65"/>
  <c r="T1303" i="65"/>
  <c r="U1303" i="65"/>
  <c r="V1303" i="65"/>
  <c r="R1304" i="65"/>
  <c r="S1304" i="65"/>
  <c r="T1304" i="65"/>
  <c r="U1304" i="65"/>
  <c r="V1304" i="65"/>
  <c r="R1305" i="65"/>
  <c r="S1305" i="65"/>
  <c r="T1305" i="65"/>
  <c r="U1305" i="65"/>
  <c r="V1305" i="65"/>
  <c r="R1306" i="65"/>
  <c r="S1306" i="65"/>
  <c r="T1306" i="65"/>
  <c r="U1306" i="65"/>
  <c r="V1306" i="65"/>
  <c r="R1307" i="65"/>
  <c r="S1307" i="65"/>
  <c r="T1307" i="65"/>
  <c r="U1307" i="65"/>
  <c r="V1307" i="65"/>
  <c r="R1308" i="65"/>
  <c r="S1308" i="65"/>
  <c r="T1308" i="65"/>
  <c r="U1308" i="65"/>
  <c r="V1308" i="65"/>
  <c r="R1309" i="65"/>
  <c r="S1309" i="65"/>
  <c r="T1309" i="65"/>
  <c r="U1309" i="65"/>
  <c r="V1309" i="65"/>
  <c r="R1310" i="65"/>
  <c r="S1310" i="65"/>
  <c r="T1310" i="65"/>
  <c r="U1310" i="65"/>
  <c r="V1310" i="65"/>
  <c r="R1311" i="65"/>
  <c r="S1311" i="65"/>
  <c r="T1311" i="65"/>
  <c r="U1311" i="65"/>
  <c r="V1311" i="65"/>
  <c r="R1312" i="65"/>
  <c r="S1312" i="65"/>
  <c r="T1312" i="65"/>
  <c r="U1312" i="65"/>
  <c r="V1312" i="65"/>
  <c r="R1313" i="65"/>
  <c r="S1313" i="65"/>
  <c r="T1313" i="65"/>
  <c r="U1313" i="65"/>
  <c r="V1313" i="65"/>
  <c r="R1314" i="65"/>
  <c r="S1314" i="65"/>
  <c r="T1314" i="65"/>
  <c r="U1314" i="65"/>
  <c r="V1314" i="65"/>
  <c r="R1315" i="65"/>
  <c r="S1315" i="65"/>
  <c r="T1315" i="65"/>
  <c r="U1315" i="65"/>
  <c r="V1315" i="65"/>
  <c r="R1316" i="65"/>
  <c r="S1316" i="65"/>
  <c r="T1316" i="65"/>
  <c r="U1316" i="65"/>
  <c r="V1316" i="65"/>
  <c r="R1317" i="65"/>
  <c r="S1317" i="65"/>
  <c r="T1317" i="65"/>
  <c r="U1317" i="65"/>
  <c r="V1317" i="65"/>
  <c r="R1318" i="65"/>
  <c r="S1318" i="65"/>
  <c r="T1318" i="65"/>
  <c r="U1318" i="65"/>
  <c r="V1318" i="65"/>
  <c r="R1319" i="65"/>
  <c r="S1319" i="65"/>
  <c r="T1319" i="65"/>
  <c r="U1319" i="65"/>
  <c r="V1319" i="65"/>
  <c r="R1320" i="65"/>
  <c r="S1320" i="65"/>
  <c r="T1320" i="65"/>
  <c r="U1320" i="65"/>
  <c r="V1320" i="65"/>
  <c r="R1321" i="65"/>
  <c r="S1321" i="65"/>
  <c r="T1321" i="65"/>
  <c r="U1321" i="65"/>
  <c r="V1321" i="65"/>
  <c r="R1322" i="65"/>
  <c r="S1322" i="65"/>
  <c r="T1322" i="65"/>
  <c r="U1322" i="65"/>
  <c r="V1322" i="65"/>
  <c r="R1323" i="65"/>
  <c r="S1323" i="65"/>
  <c r="T1323" i="65"/>
  <c r="U1323" i="65"/>
  <c r="V1323" i="65"/>
  <c r="R1324" i="65"/>
  <c r="S1324" i="65"/>
  <c r="T1324" i="65"/>
  <c r="U1324" i="65"/>
  <c r="V1324" i="65"/>
  <c r="R1325" i="65"/>
  <c r="S1325" i="65"/>
  <c r="T1325" i="65"/>
  <c r="U1325" i="65"/>
  <c r="V1325" i="65"/>
  <c r="R1326" i="65"/>
  <c r="S1326" i="65"/>
  <c r="T1326" i="65"/>
  <c r="U1326" i="65"/>
  <c r="V1326" i="65"/>
  <c r="R1327" i="65"/>
  <c r="S1327" i="65"/>
  <c r="T1327" i="65"/>
  <c r="U1327" i="65"/>
  <c r="V1327" i="65"/>
  <c r="R1328" i="65"/>
  <c r="S1328" i="65"/>
  <c r="T1328" i="65"/>
  <c r="U1328" i="65"/>
  <c r="V1328" i="65"/>
  <c r="R1329" i="65"/>
  <c r="S1329" i="65"/>
  <c r="T1329" i="65"/>
  <c r="U1329" i="65"/>
  <c r="V1329" i="65"/>
  <c r="R1330" i="65"/>
  <c r="S1330" i="65"/>
  <c r="T1330" i="65"/>
  <c r="U1330" i="65"/>
  <c r="V1330" i="65"/>
  <c r="R1331" i="65"/>
  <c r="S1331" i="65"/>
  <c r="T1331" i="65"/>
  <c r="U1331" i="65"/>
  <c r="V1331" i="65"/>
  <c r="R1332" i="65"/>
  <c r="S1332" i="65"/>
  <c r="T1332" i="65"/>
  <c r="U1332" i="65"/>
  <c r="V1332" i="65"/>
  <c r="R1333" i="65"/>
  <c r="S1333" i="65"/>
  <c r="T1333" i="65"/>
  <c r="U1333" i="65"/>
  <c r="V1333" i="65"/>
  <c r="R1334" i="65"/>
  <c r="S1334" i="65"/>
  <c r="T1334" i="65"/>
  <c r="U1334" i="65"/>
  <c r="V1334" i="65"/>
  <c r="R1335" i="65"/>
  <c r="S1335" i="65"/>
  <c r="T1335" i="65"/>
  <c r="U1335" i="65"/>
  <c r="V1335" i="65"/>
  <c r="R1336" i="65"/>
  <c r="S1336" i="65"/>
  <c r="T1336" i="65"/>
  <c r="U1336" i="65"/>
  <c r="V1336" i="65"/>
  <c r="R1337" i="65"/>
  <c r="S1337" i="65"/>
  <c r="T1337" i="65"/>
  <c r="U1337" i="65"/>
  <c r="V1337" i="65"/>
  <c r="R1338" i="65"/>
  <c r="S1338" i="65"/>
  <c r="T1338" i="65"/>
  <c r="U1338" i="65"/>
  <c r="V1338" i="65"/>
  <c r="R1339" i="65"/>
  <c r="S1339" i="65"/>
  <c r="T1339" i="65"/>
  <c r="U1339" i="65"/>
  <c r="V1339" i="65"/>
  <c r="R1340" i="65"/>
  <c r="S1340" i="65"/>
  <c r="T1340" i="65"/>
  <c r="U1340" i="65"/>
  <c r="V1340" i="65"/>
  <c r="R1341" i="65"/>
  <c r="S1341" i="65"/>
  <c r="T1341" i="65"/>
  <c r="U1341" i="65"/>
  <c r="V1341" i="65"/>
  <c r="R1342" i="65"/>
  <c r="S1342" i="65"/>
  <c r="T1342" i="65"/>
  <c r="U1342" i="65"/>
  <c r="V1342" i="65"/>
  <c r="R1343" i="65"/>
  <c r="S1343" i="65"/>
  <c r="T1343" i="65"/>
  <c r="U1343" i="65"/>
  <c r="V1343" i="65"/>
  <c r="R1344" i="65"/>
  <c r="S1344" i="65"/>
  <c r="T1344" i="65"/>
  <c r="U1344" i="65"/>
  <c r="V1344" i="65"/>
  <c r="R1345" i="65"/>
  <c r="S1345" i="65"/>
  <c r="T1345" i="65"/>
  <c r="U1345" i="65"/>
  <c r="V1345" i="65"/>
  <c r="R1346" i="65"/>
  <c r="S1346" i="65"/>
  <c r="T1346" i="65"/>
  <c r="U1346" i="65"/>
  <c r="V1346" i="65"/>
  <c r="R1347" i="65"/>
  <c r="S1347" i="65"/>
  <c r="T1347" i="65"/>
  <c r="U1347" i="65"/>
  <c r="V1347" i="65"/>
  <c r="R1348" i="65"/>
  <c r="S1348" i="65"/>
  <c r="T1348" i="65"/>
  <c r="U1348" i="65"/>
  <c r="V1348" i="65"/>
  <c r="R1349" i="65"/>
  <c r="S1349" i="65"/>
  <c r="T1349" i="65"/>
  <c r="U1349" i="65"/>
  <c r="V1349" i="65"/>
  <c r="R1350" i="65"/>
  <c r="S1350" i="65"/>
  <c r="T1350" i="65"/>
  <c r="U1350" i="65"/>
  <c r="V1350" i="65"/>
  <c r="R1351" i="65"/>
  <c r="S1351" i="65"/>
  <c r="T1351" i="65"/>
  <c r="U1351" i="65"/>
  <c r="V1351" i="65"/>
  <c r="R1352" i="65"/>
  <c r="S1352" i="65"/>
  <c r="T1352" i="65"/>
  <c r="U1352" i="65"/>
  <c r="V1352" i="65"/>
  <c r="R1353" i="65"/>
  <c r="S1353" i="65"/>
  <c r="T1353" i="65"/>
  <c r="U1353" i="65"/>
  <c r="V1353" i="65"/>
  <c r="R1354" i="65"/>
  <c r="S1354" i="65"/>
  <c r="T1354" i="65"/>
  <c r="U1354" i="65"/>
  <c r="V1354" i="65"/>
  <c r="R1355" i="65"/>
  <c r="S1355" i="65"/>
  <c r="T1355" i="65"/>
  <c r="U1355" i="65"/>
  <c r="V1355" i="65"/>
  <c r="R1356" i="65"/>
  <c r="S1356" i="65"/>
  <c r="T1356" i="65"/>
  <c r="U1356" i="65"/>
  <c r="V1356" i="65"/>
  <c r="R1357" i="65"/>
  <c r="S1357" i="65"/>
  <c r="T1357" i="65"/>
  <c r="U1357" i="65"/>
  <c r="V1357" i="65"/>
  <c r="R1358" i="65"/>
  <c r="S1358" i="65"/>
  <c r="T1358" i="65"/>
  <c r="U1358" i="65"/>
  <c r="V1358" i="65"/>
  <c r="R1359" i="65"/>
  <c r="S1359" i="65"/>
  <c r="T1359" i="65"/>
  <c r="U1359" i="65"/>
  <c r="V1359" i="65"/>
  <c r="R1360" i="65"/>
  <c r="S1360" i="65"/>
  <c r="T1360" i="65"/>
  <c r="U1360" i="65"/>
  <c r="V1360" i="65"/>
  <c r="R1361" i="65"/>
  <c r="S1361" i="65"/>
  <c r="T1361" i="65"/>
  <c r="U1361" i="65"/>
  <c r="V1361" i="65"/>
  <c r="R1362" i="65"/>
  <c r="S1362" i="65"/>
  <c r="T1362" i="65"/>
  <c r="U1362" i="65"/>
  <c r="V1362" i="65"/>
  <c r="R1363" i="65"/>
  <c r="S1363" i="65"/>
  <c r="T1363" i="65"/>
  <c r="U1363" i="65"/>
  <c r="V1363" i="65"/>
  <c r="R1364" i="65"/>
  <c r="S1364" i="65"/>
  <c r="T1364" i="65"/>
  <c r="U1364" i="65"/>
  <c r="V1364" i="65"/>
  <c r="R1365" i="65"/>
  <c r="S1365" i="65"/>
  <c r="T1365" i="65"/>
  <c r="U1365" i="65"/>
  <c r="V1365" i="65"/>
  <c r="R1366" i="65"/>
  <c r="S1366" i="65"/>
  <c r="T1366" i="65"/>
  <c r="U1366" i="65"/>
  <c r="V1366" i="65"/>
  <c r="R1367" i="65"/>
  <c r="S1367" i="65"/>
  <c r="T1367" i="65"/>
  <c r="U1367" i="65"/>
  <c r="V1367" i="65"/>
  <c r="R1368" i="65"/>
  <c r="S1368" i="65"/>
  <c r="T1368" i="65"/>
  <c r="U1368" i="65"/>
  <c r="V1368" i="65"/>
  <c r="R1369" i="65"/>
  <c r="S1369" i="65"/>
  <c r="T1369" i="65"/>
  <c r="U1369" i="65"/>
  <c r="V1369" i="65"/>
  <c r="R1370" i="65"/>
  <c r="S1370" i="65"/>
  <c r="T1370" i="65"/>
  <c r="U1370" i="65"/>
  <c r="V1370" i="65"/>
  <c r="R1371" i="65"/>
  <c r="S1371" i="65"/>
  <c r="T1371" i="65"/>
  <c r="U1371" i="65"/>
  <c r="V1371" i="65"/>
  <c r="R1372" i="65"/>
  <c r="S1372" i="65"/>
  <c r="T1372" i="65"/>
  <c r="U1372" i="65"/>
  <c r="V1372" i="65"/>
  <c r="R1373" i="65"/>
  <c r="S1373" i="65"/>
  <c r="T1373" i="65"/>
  <c r="U1373" i="65"/>
  <c r="V1373" i="65"/>
  <c r="R1374" i="65"/>
  <c r="S1374" i="65"/>
  <c r="T1374" i="65"/>
  <c r="U1374" i="65"/>
  <c r="V1374" i="65"/>
  <c r="R1375" i="65"/>
  <c r="S1375" i="65"/>
  <c r="T1375" i="65"/>
  <c r="U1375" i="65"/>
  <c r="V1375" i="65"/>
  <c r="R1376" i="65"/>
  <c r="S1376" i="65"/>
  <c r="T1376" i="65"/>
  <c r="U1376" i="65"/>
  <c r="V1376" i="65"/>
  <c r="R1377" i="65"/>
  <c r="S1377" i="65"/>
  <c r="T1377" i="65"/>
  <c r="U1377" i="65"/>
  <c r="V1377" i="65"/>
  <c r="R1378" i="65"/>
  <c r="S1378" i="65"/>
  <c r="T1378" i="65"/>
  <c r="U1378" i="65"/>
  <c r="V1378" i="65"/>
  <c r="R1379" i="65"/>
  <c r="S1379" i="65"/>
  <c r="T1379" i="65"/>
  <c r="U1379" i="65"/>
  <c r="V1379" i="65"/>
  <c r="R1380" i="65"/>
  <c r="S1380" i="65"/>
  <c r="T1380" i="65"/>
  <c r="U1380" i="65"/>
  <c r="V1380" i="65"/>
  <c r="R1381" i="65"/>
  <c r="S1381" i="65"/>
  <c r="T1381" i="65"/>
  <c r="U1381" i="65"/>
  <c r="V1381" i="65"/>
  <c r="R1382" i="65"/>
  <c r="S1382" i="65"/>
  <c r="T1382" i="65"/>
  <c r="U1382" i="65"/>
  <c r="V1382" i="65"/>
  <c r="R1383" i="65"/>
  <c r="S1383" i="65"/>
  <c r="T1383" i="65"/>
  <c r="U1383" i="65"/>
  <c r="V1383" i="65"/>
  <c r="R1384" i="65"/>
  <c r="S1384" i="65"/>
  <c r="T1384" i="65"/>
  <c r="U1384" i="65"/>
  <c r="V1384" i="65"/>
  <c r="R1385" i="65"/>
  <c r="S1385" i="65"/>
  <c r="T1385" i="65"/>
  <c r="U1385" i="65"/>
  <c r="V1385" i="65"/>
  <c r="R1386" i="65"/>
  <c r="S1386" i="65"/>
  <c r="T1386" i="65"/>
  <c r="U1386" i="65"/>
  <c r="V1386" i="65"/>
  <c r="R1387" i="65"/>
  <c r="S1387" i="65"/>
  <c r="T1387" i="65"/>
  <c r="U1387" i="65"/>
  <c r="V1387" i="65"/>
  <c r="R1388" i="65"/>
  <c r="S1388" i="65"/>
  <c r="T1388" i="65"/>
  <c r="U1388" i="65"/>
  <c r="V1388" i="65"/>
  <c r="R1389" i="65"/>
  <c r="S1389" i="65"/>
  <c r="T1389" i="65"/>
  <c r="U1389" i="65"/>
  <c r="V1389" i="65"/>
  <c r="R1390" i="65"/>
  <c r="S1390" i="65"/>
  <c r="T1390" i="65"/>
  <c r="U1390" i="65"/>
  <c r="V1390" i="65"/>
  <c r="R1391" i="65"/>
  <c r="S1391" i="65"/>
  <c r="T1391" i="65"/>
  <c r="U1391" i="65"/>
  <c r="V1391" i="65"/>
  <c r="R1392" i="65"/>
  <c r="S1392" i="65"/>
  <c r="T1392" i="65"/>
  <c r="U1392" i="65"/>
  <c r="V1392" i="65"/>
  <c r="R1393" i="65"/>
  <c r="S1393" i="65"/>
  <c r="T1393" i="65"/>
  <c r="U1393" i="65"/>
  <c r="V1393" i="65"/>
  <c r="R1394" i="65"/>
  <c r="S1394" i="65"/>
  <c r="T1394" i="65"/>
  <c r="U1394" i="65"/>
  <c r="V1394" i="65"/>
  <c r="R1395" i="65"/>
  <c r="S1395" i="65"/>
  <c r="T1395" i="65"/>
  <c r="U1395" i="65"/>
  <c r="V1395" i="65"/>
  <c r="R1396" i="65"/>
  <c r="S1396" i="65"/>
  <c r="T1396" i="65"/>
  <c r="U1396" i="65"/>
  <c r="V1396" i="65"/>
  <c r="R1397" i="65"/>
  <c r="S1397" i="65"/>
  <c r="T1397" i="65"/>
  <c r="U1397" i="65"/>
  <c r="V1397" i="65"/>
  <c r="R1398" i="65"/>
  <c r="S1398" i="65"/>
  <c r="T1398" i="65"/>
  <c r="U1398" i="65"/>
  <c r="V1398" i="65"/>
  <c r="R1399" i="65"/>
  <c r="S1399" i="65"/>
  <c r="T1399" i="65"/>
  <c r="U1399" i="65"/>
  <c r="V1399" i="65"/>
  <c r="R1400" i="65"/>
  <c r="S1400" i="65"/>
  <c r="T1400" i="65"/>
  <c r="U1400" i="65"/>
  <c r="V1400" i="65"/>
  <c r="R1401" i="65"/>
  <c r="S1401" i="65"/>
  <c r="T1401" i="65"/>
  <c r="U1401" i="65"/>
  <c r="V1401" i="65"/>
  <c r="R1402" i="65"/>
  <c r="S1402" i="65"/>
  <c r="T1402" i="65"/>
  <c r="U1402" i="65"/>
  <c r="V1402" i="65"/>
  <c r="R1403" i="65"/>
  <c r="S1403" i="65"/>
  <c r="T1403" i="65"/>
  <c r="U1403" i="65"/>
  <c r="V1403" i="65"/>
  <c r="R1404" i="65"/>
  <c r="S1404" i="65"/>
  <c r="T1404" i="65"/>
  <c r="U1404" i="65"/>
  <c r="V1404" i="65"/>
  <c r="R1405" i="65"/>
  <c r="S1405" i="65"/>
  <c r="T1405" i="65"/>
  <c r="U1405" i="65"/>
  <c r="V1405" i="65"/>
  <c r="R1406" i="65"/>
  <c r="S1406" i="65"/>
  <c r="T1406" i="65"/>
  <c r="U1406" i="65"/>
  <c r="V1406" i="65"/>
  <c r="R1407" i="65"/>
  <c r="S1407" i="65"/>
  <c r="T1407" i="65"/>
  <c r="U1407" i="65"/>
  <c r="V1407" i="65"/>
  <c r="R1408" i="65"/>
  <c r="S1408" i="65"/>
  <c r="T1408" i="65"/>
  <c r="U1408" i="65"/>
  <c r="V1408" i="65"/>
  <c r="R1409" i="65"/>
  <c r="S1409" i="65"/>
  <c r="T1409" i="65"/>
  <c r="U1409" i="65"/>
  <c r="V1409" i="65"/>
  <c r="R1410" i="65"/>
  <c r="S1410" i="65"/>
  <c r="T1410" i="65"/>
  <c r="U1410" i="65"/>
  <c r="V1410" i="65"/>
  <c r="R1411" i="65"/>
  <c r="S1411" i="65"/>
  <c r="T1411" i="65"/>
  <c r="U1411" i="65"/>
  <c r="V1411" i="65"/>
  <c r="R1412" i="65"/>
  <c r="S1412" i="65"/>
  <c r="T1412" i="65"/>
  <c r="U1412" i="65"/>
  <c r="V1412" i="65"/>
  <c r="R1413" i="65"/>
  <c r="S1413" i="65"/>
  <c r="T1413" i="65"/>
  <c r="U1413" i="65"/>
  <c r="V1413" i="65"/>
  <c r="R1414" i="65"/>
  <c r="S1414" i="65"/>
  <c r="T1414" i="65"/>
  <c r="U1414" i="65"/>
  <c r="V1414" i="65"/>
  <c r="R1415" i="65"/>
  <c r="S1415" i="65"/>
  <c r="T1415" i="65"/>
  <c r="U1415" i="65"/>
  <c r="V1415" i="65"/>
  <c r="R1416" i="65"/>
  <c r="S1416" i="65"/>
  <c r="T1416" i="65"/>
  <c r="U1416" i="65"/>
  <c r="V1416" i="65"/>
  <c r="R1417" i="65"/>
  <c r="S1417" i="65"/>
  <c r="T1417" i="65"/>
  <c r="U1417" i="65"/>
  <c r="V1417" i="65"/>
  <c r="R1418" i="65"/>
  <c r="S1418" i="65"/>
  <c r="T1418" i="65"/>
  <c r="U1418" i="65"/>
  <c r="V1418" i="65"/>
  <c r="R1419" i="65"/>
  <c r="S1419" i="65"/>
  <c r="T1419" i="65"/>
  <c r="U1419" i="65"/>
  <c r="V1419" i="65"/>
  <c r="R1420" i="65"/>
  <c r="S1420" i="65"/>
  <c r="T1420" i="65"/>
  <c r="U1420" i="65"/>
  <c r="V1420" i="65"/>
  <c r="R1421" i="65"/>
  <c r="S1421" i="65"/>
  <c r="T1421" i="65"/>
  <c r="U1421" i="65"/>
  <c r="V1421" i="65"/>
  <c r="R1422" i="65"/>
  <c r="S1422" i="65"/>
  <c r="T1422" i="65"/>
  <c r="U1422" i="65"/>
  <c r="V1422" i="65"/>
  <c r="R1423" i="65"/>
  <c r="S1423" i="65"/>
  <c r="T1423" i="65"/>
  <c r="U1423" i="65"/>
  <c r="V1423" i="65"/>
  <c r="R1424" i="65"/>
  <c r="S1424" i="65"/>
  <c r="T1424" i="65"/>
  <c r="U1424" i="65"/>
  <c r="V1424" i="65"/>
  <c r="R1425" i="65"/>
  <c r="S1425" i="65"/>
  <c r="T1425" i="65"/>
  <c r="U1425" i="65"/>
  <c r="V1425" i="65"/>
  <c r="R1426" i="65"/>
  <c r="S1426" i="65"/>
  <c r="T1426" i="65"/>
  <c r="U1426" i="65"/>
  <c r="V1426" i="65"/>
  <c r="R1427" i="65"/>
  <c r="S1427" i="65"/>
  <c r="T1427" i="65"/>
  <c r="U1427" i="65"/>
  <c r="V1427" i="65"/>
  <c r="R1428" i="65"/>
  <c r="S1428" i="65"/>
  <c r="T1428" i="65"/>
  <c r="U1428" i="65"/>
  <c r="V1428" i="65"/>
  <c r="R1429" i="65"/>
  <c r="S1429" i="65"/>
  <c r="T1429" i="65"/>
  <c r="U1429" i="65"/>
  <c r="V1429" i="65"/>
  <c r="R1430" i="65"/>
  <c r="S1430" i="65"/>
  <c r="T1430" i="65"/>
  <c r="U1430" i="65"/>
  <c r="V1430" i="65"/>
  <c r="R1431" i="65"/>
  <c r="S1431" i="65"/>
  <c r="T1431" i="65"/>
  <c r="U1431" i="65"/>
  <c r="V1431" i="65"/>
  <c r="R1432" i="65"/>
  <c r="S1432" i="65"/>
  <c r="T1432" i="65"/>
  <c r="U1432" i="65"/>
  <c r="V1432" i="65"/>
  <c r="R1433" i="65"/>
  <c r="S1433" i="65"/>
  <c r="T1433" i="65"/>
  <c r="U1433" i="65"/>
  <c r="V1433" i="65"/>
  <c r="R1434" i="65"/>
  <c r="S1434" i="65"/>
  <c r="T1434" i="65"/>
  <c r="U1434" i="65"/>
  <c r="V1434" i="65"/>
  <c r="R1435" i="65"/>
  <c r="S1435" i="65"/>
  <c r="T1435" i="65"/>
  <c r="U1435" i="65"/>
  <c r="V1435" i="65"/>
  <c r="R1436" i="65"/>
  <c r="S1436" i="65"/>
  <c r="T1436" i="65"/>
  <c r="U1436" i="65"/>
  <c r="V1436" i="65"/>
  <c r="R1437" i="65"/>
  <c r="S1437" i="65"/>
  <c r="T1437" i="65"/>
  <c r="U1437" i="65"/>
  <c r="V1437" i="65"/>
  <c r="R1438" i="65"/>
  <c r="S1438" i="65"/>
  <c r="T1438" i="65"/>
  <c r="U1438" i="65"/>
  <c r="V1438" i="65"/>
  <c r="R1439" i="65"/>
  <c r="S1439" i="65"/>
  <c r="T1439" i="65"/>
  <c r="U1439" i="65"/>
  <c r="V1439" i="65"/>
  <c r="R1440" i="65"/>
  <c r="S1440" i="65"/>
  <c r="T1440" i="65"/>
  <c r="U1440" i="65"/>
  <c r="V1440" i="65"/>
  <c r="R1441" i="65"/>
  <c r="S1441" i="65"/>
  <c r="T1441" i="65"/>
  <c r="U1441" i="65"/>
  <c r="V1441" i="65"/>
  <c r="R1442" i="65"/>
  <c r="S1442" i="65"/>
  <c r="T1442" i="65"/>
  <c r="U1442" i="65"/>
  <c r="V1442" i="65"/>
  <c r="R1443" i="65"/>
  <c r="S1443" i="65"/>
  <c r="T1443" i="65"/>
  <c r="U1443" i="65"/>
  <c r="V1443" i="65"/>
  <c r="R1444" i="65"/>
  <c r="S1444" i="65"/>
  <c r="T1444" i="65"/>
  <c r="U1444" i="65"/>
  <c r="V1444" i="65"/>
  <c r="R1445" i="65"/>
  <c r="S1445" i="65"/>
  <c r="T1445" i="65"/>
  <c r="U1445" i="65"/>
  <c r="V1445" i="65"/>
  <c r="R1446" i="65"/>
  <c r="S1446" i="65"/>
  <c r="T1446" i="65"/>
  <c r="U1446" i="65"/>
  <c r="V1446" i="65"/>
  <c r="R1447" i="65"/>
  <c r="S1447" i="65"/>
  <c r="T1447" i="65"/>
  <c r="U1447" i="65"/>
  <c r="V1447" i="65"/>
  <c r="R1448" i="65"/>
  <c r="S1448" i="65"/>
  <c r="T1448" i="65"/>
  <c r="U1448" i="65"/>
  <c r="V1448" i="65"/>
  <c r="R1449" i="65"/>
  <c r="S1449" i="65"/>
  <c r="T1449" i="65"/>
  <c r="U1449" i="65"/>
  <c r="V1449" i="65"/>
  <c r="R1450" i="65"/>
  <c r="S1450" i="65"/>
  <c r="T1450" i="65"/>
  <c r="U1450" i="65"/>
  <c r="V1450" i="65"/>
  <c r="R1451" i="65"/>
  <c r="S1451" i="65"/>
  <c r="T1451" i="65"/>
  <c r="U1451" i="65"/>
  <c r="V1451" i="65"/>
  <c r="R1452" i="65"/>
  <c r="S1452" i="65"/>
  <c r="T1452" i="65"/>
  <c r="U1452" i="65"/>
  <c r="V1452" i="65"/>
  <c r="R1453" i="65"/>
  <c r="S1453" i="65"/>
  <c r="T1453" i="65"/>
  <c r="U1453" i="65"/>
  <c r="V1453" i="65"/>
  <c r="R1454" i="65"/>
  <c r="S1454" i="65"/>
  <c r="T1454" i="65"/>
  <c r="U1454" i="65"/>
  <c r="V1454" i="65"/>
  <c r="R1455" i="65"/>
  <c r="S1455" i="65"/>
  <c r="T1455" i="65"/>
  <c r="U1455" i="65"/>
  <c r="V1455" i="65"/>
  <c r="R1456" i="65"/>
  <c r="S1456" i="65"/>
  <c r="T1456" i="65"/>
  <c r="U1456" i="65"/>
  <c r="V1456" i="65"/>
  <c r="R1457" i="65"/>
  <c r="S1457" i="65"/>
  <c r="T1457" i="65"/>
  <c r="U1457" i="65"/>
  <c r="V1457" i="65"/>
  <c r="R1458" i="65"/>
  <c r="S1458" i="65"/>
  <c r="T1458" i="65"/>
  <c r="U1458" i="65"/>
  <c r="V1458" i="65"/>
  <c r="R1459" i="65"/>
  <c r="S1459" i="65"/>
  <c r="T1459" i="65"/>
  <c r="U1459" i="65"/>
  <c r="V1459" i="65"/>
  <c r="R1460" i="65"/>
  <c r="S1460" i="65"/>
  <c r="T1460" i="65"/>
  <c r="U1460" i="65"/>
  <c r="V1460" i="65"/>
  <c r="R1461" i="65"/>
  <c r="S1461" i="65"/>
  <c r="T1461" i="65"/>
  <c r="U1461" i="65"/>
  <c r="V1461" i="65"/>
  <c r="R1462" i="65"/>
  <c r="S1462" i="65"/>
  <c r="T1462" i="65"/>
  <c r="U1462" i="65"/>
  <c r="V1462" i="65"/>
  <c r="R1463" i="65"/>
  <c r="S1463" i="65"/>
  <c r="T1463" i="65"/>
  <c r="U1463" i="65"/>
  <c r="V1463" i="65"/>
  <c r="R1464" i="65"/>
  <c r="S1464" i="65"/>
  <c r="T1464" i="65"/>
  <c r="U1464" i="65"/>
  <c r="V1464" i="65"/>
  <c r="R1465" i="65"/>
  <c r="S1465" i="65"/>
  <c r="T1465" i="65"/>
  <c r="U1465" i="65"/>
  <c r="V1465" i="65"/>
  <c r="R1466" i="65"/>
  <c r="S1466" i="65"/>
  <c r="T1466" i="65"/>
  <c r="U1466" i="65"/>
  <c r="V1466" i="65"/>
  <c r="R1467" i="65"/>
  <c r="S1467" i="65"/>
  <c r="T1467" i="65"/>
  <c r="U1467" i="65"/>
  <c r="V1467" i="65"/>
  <c r="R1468" i="65"/>
  <c r="S1468" i="65"/>
  <c r="T1468" i="65"/>
  <c r="U1468" i="65"/>
  <c r="V1468" i="65"/>
  <c r="R1469" i="65"/>
  <c r="S1469" i="65"/>
  <c r="T1469" i="65"/>
  <c r="U1469" i="65"/>
  <c r="V1469" i="65"/>
  <c r="R1470" i="65"/>
  <c r="S1470" i="65"/>
  <c r="T1470" i="65"/>
  <c r="U1470" i="65"/>
  <c r="V1470" i="65"/>
  <c r="R1471" i="65"/>
  <c r="S1471" i="65"/>
  <c r="T1471" i="65"/>
  <c r="U1471" i="65"/>
  <c r="V1471" i="65"/>
  <c r="R1472" i="65"/>
  <c r="S1472" i="65"/>
  <c r="T1472" i="65"/>
  <c r="U1472" i="65"/>
  <c r="V1472" i="65"/>
  <c r="R1473" i="65"/>
  <c r="S1473" i="65"/>
  <c r="T1473" i="65"/>
  <c r="U1473" i="65"/>
  <c r="V1473" i="65"/>
  <c r="R1474" i="65"/>
  <c r="S1474" i="65"/>
  <c r="T1474" i="65"/>
  <c r="U1474" i="65"/>
  <c r="V1474" i="65"/>
  <c r="R1475" i="65"/>
  <c r="S1475" i="65"/>
  <c r="T1475" i="65"/>
  <c r="U1475" i="65"/>
  <c r="V1475" i="65"/>
  <c r="R1476" i="65"/>
  <c r="S1476" i="65"/>
  <c r="T1476" i="65"/>
  <c r="U1476" i="65"/>
  <c r="V1476" i="65"/>
  <c r="R1477" i="65"/>
  <c r="S1477" i="65"/>
  <c r="T1477" i="65"/>
  <c r="U1477" i="65"/>
  <c r="V1477" i="65"/>
  <c r="R1478" i="65"/>
  <c r="S1478" i="65"/>
  <c r="T1478" i="65"/>
  <c r="U1478" i="65"/>
  <c r="V1478" i="65"/>
  <c r="R1479" i="65"/>
  <c r="S1479" i="65"/>
  <c r="T1479" i="65"/>
  <c r="U1479" i="65"/>
  <c r="V1479" i="65"/>
  <c r="R1480" i="65"/>
  <c r="S1480" i="65"/>
  <c r="T1480" i="65"/>
  <c r="U1480" i="65"/>
  <c r="V1480" i="65"/>
  <c r="R1481" i="65"/>
  <c r="S1481" i="65"/>
  <c r="T1481" i="65"/>
  <c r="U1481" i="65"/>
  <c r="V1481" i="65"/>
  <c r="R1482" i="65"/>
  <c r="S1482" i="65"/>
  <c r="T1482" i="65"/>
  <c r="U1482" i="65"/>
  <c r="V1482" i="65"/>
  <c r="R1483" i="65"/>
  <c r="S1483" i="65"/>
  <c r="T1483" i="65"/>
  <c r="U1483" i="65"/>
  <c r="V1483" i="65"/>
  <c r="R443" i="65"/>
  <c r="S443" i="65"/>
  <c r="T443" i="65"/>
  <c r="U443" i="65"/>
  <c r="V443" i="65"/>
  <c r="R444" i="65"/>
  <c r="S444" i="65"/>
  <c r="T444" i="65"/>
  <c r="U444" i="65"/>
  <c r="V444" i="65"/>
  <c r="R445" i="65"/>
  <c r="S445" i="65"/>
  <c r="T445" i="65"/>
  <c r="U445" i="65"/>
  <c r="V445" i="65"/>
  <c r="R446" i="65"/>
  <c r="S446" i="65"/>
  <c r="T446" i="65"/>
  <c r="U446" i="65"/>
  <c r="V446" i="65"/>
  <c r="R447" i="65"/>
  <c r="S447" i="65"/>
  <c r="T447" i="65"/>
  <c r="U447" i="65"/>
  <c r="V447" i="65"/>
  <c r="R448" i="65"/>
  <c r="S448" i="65"/>
  <c r="T448" i="65"/>
  <c r="U448" i="65"/>
  <c r="V448" i="65"/>
  <c r="R449" i="65"/>
  <c r="S449" i="65"/>
  <c r="T449" i="65"/>
  <c r="U449" i="65"/>
  <c r="V449" i="65"/>
  <c r="R450" i="65"/>
  <c r="S450" i="65"/>
  <c r="T450" i="65"/>
  <c r="U450" i="65"/>
  <c r="V450" i="65"/>
  <c r="R451" i="65"/>
  <c r="S451" i="65"/>
  <c r="T451" i="65"/>
  <c r="U451" i="65"/>
  <c r="V451" i="65"/>
  <c r="R452" i="65"/>
  <c r="S452" i="65"/>
  <c r="T452" i="65"/>
  <c r="U452" i="65"/>
  <c r="V452" i="65"/>
  <c r="R453" i="65"/>
  <c r="S453" i="65"/>
  <c r="T453" i="65"/>
  <c r="U453" i="65"/>
  <c r="V453" i="65"/>
  <c r="R454" i="65"/>
  <c r="S454" i="65"/>
  <c r="T454" i="65"/>
  <c r="U454" i="65"/>
  <c r="V454" i="65"/>
  <c r="R455" i="65"/>
  <c r="S455" i="65"/>
  <c r="T455" i="65"/>
  <c r="U455" i="65"/>
  <c r="V455" i="65"/>
  <c r="R456" i="65"/>
  <c r="S456" i="65"/>
  <c r="T456" i="65"/>
  <c r="U456" i="65"/>
  <c r="V456" i="65"/>
  <c r="R457" i="65"/>
  <c r="S457" i="65"/>
  <c r="T457" i="65"/>
  <c r="U457" i="65"/>
  <c r="V457" i="65"/>
  <c r="R458" i="65"/>
  <c r="S458" i="65"/>
  <c r="T458" i="65"/>
  <c r="U458" i="65"/>
  <c r="V458" i="65"/>
  <c r="R459" i="65"/>
  <c r="S459" i="65"/>
  <c r="T459" i="65"/>
  <c r="U459" i="65"/>
  <c r="V459" i="65"/>
  <c r="R460" i="65"/>
  <c r="S460" i="65"/>
  <c r="T460" i="65"/>
  <c r="U460" i="65"/>
  <c r="V460" i="65"/>
  <c r="R461" i="65"/>
  <c r="S461" i="65"/>
  <c r="T461" i="65"/>
  <c r="U461" i="65"/>
  <c r="V461" i="65"/>
  <c r="R462" i="65"/>
  <c r="S462" i="65"/>
  <c r="T462" i="65"/>
  <c r="U462" i="65"/>
  <c r="V462" i="65"/>
  <c r="R463" i="65"/>
  <c r="S463" i="65"/>
  <c r="T463" i="65"/>
  <c r="U463" i="65"/>
  <c r="V463" i="65"/>
  <c r="R464" i="65"/>
  <c r="S464" i="65"/>
  <c r="T464" i="65"/>
  <c r="U464" i="65"/>
  <c r="V464" i="65"/>
  <c r="R465" i="65"/>
  <c r="S465" i="65"/>
  <c r="T465" i="65"/>
  <c r="U465" i="65"/>
  <c r="V465" i="65"/>
  <c r="R466" i="65"/>
  <c r="S466" i="65"/>
  <c r="T466" i="65"/>
  <c r="U466" i="65"/>
  <c r="V466" i="65"/>
  <c r="R467" i="65"/>
  <c r="S467" i="65"/>
  <c r="T467" i="65"/>
  <c r="U467" i="65"/>
  <c r="V467" i="65"/>
  <c r="R468" i="65"/>
  <c r="S468" i="65"/>
  <c r="T468" i="65"/>
  <c r="U468" i="65"/>
  <c r="V468" i="65"/>
  <c r="R469" i="65"/>
  <c r="S469" i="65"/>
  <c r="T469" i="65"/>
  <c r="U469" i="65"/>
  <c r="V469" i="65"/>
  <c r="R470" i="65"/>
  <c r="S470" i="65"/>
  <c r="T470" i="65"/>
  <c r="U470" i="65"/>
  <c r="V470" i="65"/>
  <c r="R471" i="65"/>
  <c r="S471" i="65"/>
  <c r="T471" i="65"/>
  <c r="U471" i="65"/>
  <c r="V471" i="65"/>
  <c r="R472" i="65"/>
  <c r="S472" i="65"/>
  <c r="T472" i="65"/>
  <c r="U472" i="65"/>
  <c r="V472" i="65"/>
  <c r="R473" i="65"/>
  <c r="S473" i="65"/>
  <c r="T473" i="65"/>
  <c r="U473" i="65"/>
  <c r="V473" i="65"/>
  <c r="R474" i="65"/>
  <c r="S474" i="65"/>
  <c r="T474" i="65"/>
  <c r="U474" i="65"/>
  <c r="V474" i="65"/>
  <c r="R475" i="65"/>
  <c r="S475" i="65"/>
  <c r="T475" i="65"/>
  <c r="U475" i="65"/>
  <c r="V475" i="65"/>
  <c r="R476" i="65"/>
  <c r="S476" i="65"/>
  <c r="T476" i="65"/>
  <c r="U476" i="65"/>
  <c r="V476" i="65"/>
  <c r="R477" i="65"/>
  <c r="S477" i="65"/>
  <c r="T477" i="65"/>
  <c r="U477" i="65"/>
  <c r="V477" i="65"/>
  <c r="R478" i="65"/>
  <c r="S478" i="65"/>
  <c r="T478" i="65"/>
  <c r="U478" i="65"/>
  <c r="V478" i="65"/>
  <c r="R479" i="65"/>
  <c r="S479" i="65"/>
  <c r="T479" i="65"/>
  <c r="U479" i="65"/>
  <c r="V479" i="65"/>
  <c r="R480" i="65"/>
  <c r="S480" i="65"/>
  <c r="T480" i="65"/>
  <c r="U480" i="65"/>
  <c r="V480" i="65"/>
  <c r="R481" i="65"/>
  <c r="S481" i="65"/>
  <c r="T481" i="65"/>
  <c r="U481" i="65"/>
  <c r="V481" i="65"/>
  <c r="R482" i="65"/>
  <c r="S482" i="65"/>
  <c r="T482" i="65"/>
  <c r="U482" i="65"/>
  <c r="V482" i="65"/>
  <c r="R483" i="65"/>
  <c r="S483" i="65"/>
  <c r="T483" i="65"/>
  <c r="U483" i="65"/>
  <c r="V483" i="65"/>
  <c r="R484" i="65"/>
  <c r="S484" i="65"/>
  <c r="T484" i="65"/>
  <c r="U484" i="65"/>
  <c r="V484" i="65"/>
  <c r="R485" i="65"/>
  <c r="S485" i="65"/>
  <c r="T485" i="65"/>
  <c r="U485" i="65"/>
  <c r="V485" i="65"/>
  <c r="R486" i="65"/>
  <c r="S486" i="65"/>
  <c r="T486" i="65"/>
  <c r="U486" i="65"/>
  <c r="V486" i="65"/>
  <c r="R487" i="65"/>
  <c r="S487" i="65"/>
  <c r="T487" i="65"/>
  <c r="U487" i="65"/>
  <c r="V487" i="65"/>
  <c r="R488" i="65"/>
  <c r="S488" i="65"/>
  <c r="T488" i="65"/>
  <c r="U488" i="65"/>
  <c r="V488" i="65"/>
  <c r="R489" i="65"/>
  <c r="S489" i="65"/>
  <c r="T489" i="65"/>
  <c r="U489" i="65"/>
  <c r="V489" i="65"/>
  <c r="R490" i="65"/>
  <c r="S490" i="65"/>
  <c r="T490" i="65"/>
  <c r="U490" i="65"/>
  <c r="V490" i="65"/>
  <c r="R491" i="65"/>
  <c r="S491" i="65"/>
  <c r="T491" i="65"/>
  <c r="U491" i="65"/>
  <c r="V491" i="65"/>
  <c r="R492" i="65"/>
  <c r="S492" i="65"/>
  <c r="T492" i="65"/>
  <c r="U492" i="65"/>
  <c r="V492" i="65"/>
  <c r="R493" i="65"/>
  <c r="S493" i="65"/>
  <c r="T493" i="65"/>
  <c r="U493" i="65"/>
  <c r="V493" i="65"/>
  <c r="R494" i="65"/>
  <c r="S494" i="65"/>
  <c r="T494" i="65"/>
  <c r="U494" i="65"/>
  <c r="V494" i="65"/>
  <c r="R495" i="65"/>
  <c r="S495" i="65"/>
  <c r="T495" i="65"/>
  <c r="U495" i="65"/>
  <c r="V495" i="65"/>
  <c r="R496" i="65"/>
  <c r="S496" i="65"/>
  <c r="T496" i="65"/>
  <c r="U496" i="65"/>
  <c r="V496" i="65"/>
  <c r="R497" i="65"/>
  <c r="S497" i="65"/>
  <c r="T497" i="65"/>
  <c r="U497" i="65"/>
  <c r="V497" i="65"/>
  <c r="R498" i="65"/>
  <c r="S498" i="65"/>
  <c r="T498" i="65"/>
  <c r="U498" i="65"/>
  <c r="V498" i="65"/>
  <c r="R499" i="65"/>
  <c r="S499" i="65"/>
  <c r="T499" i="65"/>
  <c r="U499" i="65"/>
  <c r="V499" i="65"/>
  <c r="R500" i="65"/>
  <c r="S500" i="65"/>
  <c r="T500" i="65"/>
  <c r="U500" i="65"/>
  <c r="V500" i="65"/>
  <c r="R501" i="65"/>
  <c r="S501" i="65"/>
  <c r="T501" i="65"/>
  <c r="U501" i="65"/>
  <c r="V501" i="65"/>
  <c r="R502" i="65"/>
  <c r="S502" i="65"/>
  <c r="T502" i="65"/>
  <c r="U502" i="65"/>
  <c r="V502" i="65"/>
  <c r="R503" i="65"/>
  <c r="S503" i="65"/>
  <c r="T503" i="65"/>
  <c r="U503" i="65"/>
  <c r="V503" i="65"/>
  <c r="R504" i="65"/>
  <c r="S504" i="65"/>
  <c r="T504" i="65"/>
  <c r="U504" i="65"/>
  <c r="V504" i="65"/>
  <c r="R505" i="65"/>
  <c r="S505" i="65"/>
  <c r="T505" i="65"/>
  <c r="U505" i="65"/>
  <c r="V505" i="65"/>
  <c r="R506" i="65"/>
  <c r="S506" i="65"/>
  <c r="T506" i="65"/>
  <c r="U506" i="65"/>
  <c r="V506" i="65"/>
  <c r="R507" i="65"/>
  <c r="S507" i="65"/>
  <c r="T507" i="65"/>
  <c r="U507" i="65"/>
  <c r="V507" i="65"/>
  <c r="R508" i="65"/>
  <c r="S508" i="65"/>
  <c r="T508" i="65"/>
  <c r="U508" i="65"/>
  <c r="V508" i="65"/>
  <c r="R509" i="65"/>
  <c r="S509" i="65"/>
  <c r="T509" i="65"/>
  <c r="U509" i="65"/>
  <c r="V509" i="65"/>
  <c r="R510" i="65"/>
  <c r="S510" i="65"/>
  <c r="T510" i="65"/>
  <c r="U510" i="65"/>
  <c r="V510" i="65"/>
  <c r="R511" i="65"/>
  <c r="S511" i="65"/>
  <c r="T511" i="65"/>
  <c r="U511" i="65"/>
  <c r="V511" i="65"/>
  <c r="R512" i="65"/>
  <c r="S512" i="65"/>
  <c r="T512" i="65"/>
  <c r="U512" i="65"/>
  <c r="V512" i="65"/>
  <c r="R513" i="65"/>
  <c r="S513" i="65"/>
  <c r="T513" i="65"/>
  <c r="U513" i="65"/>
  <c r="V513" i="65"/>
  <c r="R514" i="65"/>
  <c r="S514" i="65"/>
  <c r="T514" i="65"/>
  <c r="U514" i="65"/>
  <c r="V514" i="65"/>
  <c r="R515" i="65"/>
  <c r="S515" i="65"/>
  <c r="T515" i="65"/>
  <c r="U515" i="65"/>
  <c r="V515" i="65"/>
  <c r="R516" i="65"/>
  <c r="S516" i="65"/>
  <c r="T516" i="65"/>
  <c r="U516" i="65"/>
  <c r="V516" i="65"/>
  <c r="R517" i="65"/>
  <c r="S517" i="65"/>
  <c r="T517" i="65"/>
  <c r="U517" i="65"/>
  <c r="V517" i="65"/>
  <c r="R518" i="65"/>
  <c r="S518" i="65"/>
  <c r="T518" i="65"/>
  <c r="U518" i="65"/>
  <c r="V518" i="65"/>
  <c r="R519" i="65"/>
  <c r="S519" i="65"/>
  <c r="T519" i="65"/>
  <c r="U519" i="65"/>
  <c r="V519" i="65"/>
  <c r="R520" i="65"/>
  <c r="S520" i="65"/>
  <c r="T520" i="65"/>
  <c r="U520" i="65"/>
  <c r="V520" i="65"/>
  <c r="R521" i="65"/>
  <c r="S521" i="65"/>
  <c r="T521" i="65"/>
  <c r="U521" i="65"/>
  <c r="V521" i="65"/>
  <c r="R522" i="65"/>
  <c r="S522" i="65"/>
  <c r="T522" i="65"/>
  <c r="U522" i="65"/>
  <c r="V522" i="65"/>
  <c r="R523" i="65"/>
  <c r="S523" i="65"/>
  <c r="T523" i="65"/>
  <c r="U523" i="65"/>
  <c r="V523" i="65"/>
  <c r="R524" i="65"/>
  <c r="S524" i="65"/>
  <c r="T524" i="65"/>
  <c r="U524" i="65"/>
  <c r="V524" i="65"/>
  <c r="R525" i="65"/>
  <c r="S525" i="65"/>
  <c r="T525" i="65"/>
  <c r="U525" i="65"/>
  <c r="V525" i="65"/>
  <c r="R526" i="65"/>
  <c r="S526" i="65"/>
  <c r="T526" i="65"/>
  <c r="U526" i="65"/>
  <c r="V526" i="65"/>
  <c r="R527" i="65"/>
  <c r="S527" i="65"/>
  <c r="T527" i="65"/>
  <c r="U527" i="65"/>
  <c r="V527" i="65"/>
  <c r="R528" i="65"/>
  <c r="S528" i="65"/>
  <c r="T528" i="65"/>
  <c r="U528" i="65"/>
  <c r="V528" i="65"/>
  <c r="R529" i="65"/>
  <c r="S529" i="65"/>
  <c r="T529" i="65"/>
  <c r="U529" i="65"/>
  <c r="V529" i="65"/>
  <c r="R530" i="65"/>
  <c r="S530" i="65"/>
  <c r="T530" i="65"/>
  <c r="U530" i="65"/>
  <c r="V530" i="65"/>
  <c r="R531" i="65"/>
  <c r="S531" i="65"/>
  <c r="T531" i="65"/>
  <c r="U531" i="65"/>
  <c r="V531" i="65"/>
  <c r="R532" i="65"/>
  <c r="S532" i="65"/>
  <c r="T532" i="65"/>
  <c r="U532" i="65"/>
  <c r="V532" i="65"/>
  <c r="R533" i="65"/>
  <c r="S533" i="65"/>
  <c r="T533" i="65"/>
  <c r="U533" i="65"/>
  <c r="V533" i="65"/>
  <c r="R534" i="65"/>
  <c r="S534" i="65"/>
  <c r="T534" i="65"/>
  <c r="U534" i="65"/>
  <c r="V534" i="65"/>
  <c r="R535" i="65"/>
  <c r="S535" i="65"/>
  <c r="T535" i="65"/>
  <c r="U535" i="65"/>
  <c r="V535" i="65"/>
  <c r="R536" i="65"/>
  <c r="S536" i="65"/>
  <c r="T536" i="65"/>
  <c r="U536" i="65"/>
  <c r="V536" i="65"/>
  <c r="R537" i="65"/>
  <c r="S537" i="65"/>
  <c r="T537" i="65"/>
  <c r="U537" i="65"/>
  <c r="V537" i="65"/>
  <c r="R538" i="65"/>
  <c r="S538" i="65"/>
  <c r="T538" i="65"/>
  <c r="U538" i="65"/>
  <c r="V538" i="65"/>
  <c r="R539" i="65"/>
  <c r="S539" i="65"/>
  <c r="T539" i="65"/>
  <c r="U539" i="65"/>
  <c r="V539" i="65"/>
  <c r="R540" i="65"/>
  <c r="S540" i="65"/>
  <c r="T540" i="65"/>
  <c r="U540" i="65"/>
  <c r="V540" i="65"/>
  <c r="R541" i="65"/>
  <c r="S541" i="65"/>
  <c r="T541" i="65"/>
  <c r="U541" i="65"/>
  <c r="V541" i="65"/>
  <c r="R542" i="65"/>
  <c r="S542" i="65"/>
  <c r="T542" i="65"/>
  <c r="U542" i="65"/>
  <c r="V542" i="65"/>
  <c r="R543" i="65"/>
  <c r="S543" i="65"/>
  <c r="T543" i="65"/>
  <c r="U543" i="65"/>
  <c r="V543" i="65"/>
  <c r="R544" i="65"/>
  <c r="S544" i="65"/>
  <c r="T544" i="65"/>
  <c r="U544" i="65"/>
  <c r="V544" i="65"/>
  <c r="R545" i="65"/>
  <c r="S545" i="65"/>
  <c r="T545" i="65"/>
  <c r="U545" i="65"/>
  <c r="V545" i="65"/>
  <c r="R546" i="65"/>
  <c r="S546" i="65"/>
  <c r="T546" i="65"/>
  <c r="U546" i="65"/>
  <c r="V546" i="65"/>
  <c r="R547" i="65"/>
  <c r="S547" i="65"/>
  <c r="T547" i="65"/>
  <c r="U547" i="65"/>
  <c r="V547" i="65"/>
  <c r="R548" i="65"/>
  <c r="S548" i="65"/>
  <c r="T548" i="65"/>
  <c r="U548" i="65"/>
  <c r="V548" i="65"/>
  <c r="R549" i="65"/>
  <c r="S549" i="65"/>
  <c r="T549" i="65"/>
  <c r="U549" i="65"/>
  <c r="V549" i="65"/>
  <c r="R550" i="65"/>
  <c r="S550" i="65"/>
  <c r="T550" i="65"/>
  <c r="U550" i="65"/>
  <c r="V550" i="65"/>
  <c r="R551" i="65"/>
  <c r="S551" i="65"/>
  <c r="T551" i="65"/>
  <c r="U551" i="65"/>
  <c r="V551" i="65"/>
  <c r="R552" i="65"/>
  <c r="S552" i="65"/>
  <c r="T552" i="65"/>
  <c r="U552" i="65"/>
  <c r="V552" i="65"/>
  <c r="R553" i="65"/>
  <c r="S553" i="65"/>
  <c r="T553" i="65"/>
  <c r="U553" i="65"/>
  <c r="V553" i="65"/>
  <c r="R554" i="65"/>
  <c r="S554" i="65"/>
  <c r="T554" i="65"/>
  <c r="U554" i="65"/>
  <c r="V554" i="65"/>
  <c r="R555" i="65"/>
  <c r="S555" i="65"/>
  <c r="T555" i="65"/>
  <c r="U555" i="65"/>
  <c r="V555" i="65"/>
  <c r="R556" i="65"/>
  <c r="S556" i="65"/>
  <c r="T556" i="65"/>
  <c r="U556" i="65"/>
  <c r="V556" i="65"/>
  <c r="R557" i="65"/>
  <c r="S557" i="65"/>
  <c r="T557" i="65"/>
  <c r="U557" i="65"/>
  <c r="V557" i="65"/>
  <c r="R558" i="65"/>
  <c r="S558" i="65"/>
  <c r="T558" i="65"/>
  <c r="U558" i="65"/>
  <c r="V558" i="65"/>
  <c r="R559" i="65"/>
  <c r="S559" i="65"/>
  <c r="T559" i="65"/>
  <c r="U559" i="65"/>
  <c r="V559" i="65"/>
  <c r="R560" i="65"/>
  <c r="S560" i="65"/>
  <c r="T560" i="65"/>
  <c r="U560" i="65"/>
  <c r="V560" i="65"/>
  <c r="R561" i="65"/>
  <c r="S561" i="65"/>
  <c r="T561" i="65"/>
  <c r="U561" i="65"/>
  <c r="V561" i="65"/>
  <c r="R562" i="65"/>
  <c r="S562" i="65"/>
  <c r="T562" i="65"/>
  <c r="U562" i="65"/>
  <c r="V562" i="65"/>
  <c r="R563" i="65"/>
  <c r="S563" i="65"/>
  <c r="T563" i="65"/>
  <c r="U563" i="65"/>
  <c r="V563" i="65"/>
  <c r="R564" i="65"/>
  <c r="S564" i="65"/>
  <c r="T564" i="65"/>
  <c r="U564" i="65"/>
  <c r="V564" i="65"/>
  <c r="R565" i="65"/>
  <c r="S565" i="65"/>
  <c r="T565" i="65"/>
  <c r="U565" i="65"/>
  <c r="V565" i="65"/>
  <c r="R566" i="65"/>
  <c r="S566" i="65"/>
  <c r="T566" i="65"/>
  <c r="U566" i="65"/>
  <c r="V566" i="65"/>
  <c r="R567" i="65"/>
  <c r="S567" i="65"/>
  <c r="T567" i="65"/>
  <c r="U567" i="65"/>
  <c r="V567" i="65"/>
  <c r="R568" i="65"/>
  <c r="S568" i="65"/>
  <c r="T568" i="65"/>
  <c r="U568" i="65"/>
  <c r="V568" i="65"/>
  <c r="R569" i="65"/>
  <c r="S569" i="65"/>
  <c r="T569" i="65"/>
  <c r="U569" i="65"/>
  <c r="V569" i="65"/>
  <c r="R570" i="65"/>
  <c r="S570" i="65"/>
  <c r="T570" i="65"/>
  <c r="U570" i="65"/>
  <c r="V570" i="65"/>
  <c r="R571" i="65"/>
  <c r="S571" i="65"/>
  <c r="T571" i="65"/>
  <c r="U571" i="65"/>
  <c r="V571" i="65"/>
  <c r="R572" i="65"/>
  <c r="S572" i="65"/>
  <c r="T572" i="65"/>
  <c r="U572" i="65"/>
  <c r="V572" i="65"/>
  <c r="R573" i="65"/>
  <c r="S573" i="65"/>
  <c r="T573" i="65"/>
  <c r="U573" i="65"/>
  <c r="V573" i="65"/>
  <c r="R574" i="65"/>
  <c r="S574" i="65"/>
  <c r="T574" i="65"/>
  <c r="U574" i="65"/>
  <c r="V574" i="65"/>
  <c r="R575" i="65"/>
  <c r="S575" i="65"/>
  <c r="T575" i="65"/>
  <c r="U575" i="65"/>
  <c r="V575" i="65"/>
  <c r="R576" i="65"/>
  <c r="S576" i="65"/>
  <c r="T576" i="65"/>
  <c r="U576" i="65"/>
  <c r="V576" i="65"/>
  <c r="R577" i="65"/>
  <c r="S577" i="65"/>
  <c r="T577" i="65"/>
  <c r="U577" i="65"/>
  <c r="V577" i="65"/>
  <c r="R578" i="65"/>
  <c r="S578" i="65"/>
  <c r="T578" i="65"/>
  <c r="U578" i="65"/>
  <c r="V578" i="65"/>
  <c r="R579" i="65"/>
  <c r="S579" i="65"/>
  <c r="T579" i="65"/>
  <c r="U579" i="65"/>
  <c r="V579" i="65"/>
  <c r="R580" i="65"/>
  <c r="S580" i="65"/>
  <c r="T580" i="65"/>
  <c r="U580" i="65"/>
  <c r="V580" i="65"/>
  <c r="R581" i="65"/>
  <c r="S581" i="65"/>
  <c r="T581" i="65"/>
  <c r="U581" i="65"/>
  <c r="V581" i="65"/>
  <c r="R582" i="65"/>
  <c r="S582" i="65"/>
  <c r="T582" i="65"/>
  <c r="U582" i="65"/>
  <c r="V582" i="65"/>
  <c r="R583" i="65"/>
  <c r="S583" i="65"/>
  <c r="T583" i="65"/>
  <c r="U583" i="65"/>
  <c r="V583" i="65"/>
  <c r="R584" i="65"/>
  <c r="S584" i="65"/>
  <c r="T584" i="65"/>
  <c r="U584" i="65"/>
  <c r="V584" i="65"/>
  <c r="R585" i="65"/>
  <c r="S585" i="65"/>
  <c r="T585" i="65"/>
  <c r="U585" i="65"/>
  <c r="V585" i="65"/>
  <c r="R586" i="65"/>
  <c r="S586" i="65"/>
  <c r="T586" i="65"/>
  <c r="U586" i="65"/>
  <c r="V586" i="65"/>
  <c r="R587" i="65"/>
  <c r="S587" i="65"/>
  <c r="T587" i="65"/>
  <c r="U587" i="65"/>
  <c r="V587" i="65"/>
  <c r="R588" i="65"/>
  <c r="S588" i="65"/>
  <c r="T588" i="65"/>
  <c r="U588" i="65"/>
  <c r="V588" i="65"/>
  <c r="R589" i="65"/>
  <c r="S589" i="65"/>
  <c r="T589" i="65"/>
  <c r="U589" i="65"/>
  <c r="V589" i="65"/>
  <c r="R590" i="65"/>
  <c r="S590" i="65"/>
  <c r="T590" i="65"/>
  <c r="U590" i="65"/>
  <c r="V590" i="65"/>
  <c r="R591" i="65"/>
  <c r="S591" i="65"/>
  <c r="T591" i="65"/>
  <c r="U591" i="65"/>
  <c r="V591" i="65"/>
  <c r="R592" i="65"/>
  <c r="S592" i="65"/>
  <c r="T592" i="65"/>
  <c r="U592" i="65"/>
  <c r="V592" i="65"/>
  <c r="R593" i="65"/>
  <c r="S593" i="65"/>
  <c r="T593" i="65"/>
  <c r="U593" i="65"/>
  <c r="V593" i="65"/>
  <c r="R594" i="65"/>
  <c r="S594" i="65"/>
  <c r="T594" i="65"/>
  <c r="U594" i="65"/>
  <c r="V594" i="65"/>
  <c r="R595" i="65"/>
  <c r="S595" i="65"/>
  <c r="T595" i="65"/>
  <c r="U595" i="65"/>
  <c r="V595" i="65"/>
  <c r="R596" i="65"/>
  <c r="S596" i="65"/>
  <c r="T596" i="65"/>
  <c r="U596" i="65"/>
  <c r="V596" i="65"/>
  <c r="R597" i="65"/>
  <c r="S597" i="65"/>
  <c r="T597" i="65"/>
  <c r="U597" i="65"/>
  <c r="V597" i="65"/>
  <c r="R598" i="65"/>
  <c r="S598" i="65"/>
  <c r="T598" i="65"/>
  <c r="U598" i="65"/>
  <c r="V598" i="65"/>
  <c r="R599" i="65"/>
  <c r="S599" i="65"/>
  <c r="T599" i="65"/>
  <c r="U599" i="65"/>
  <c r="V599" i="65"/>
  <c r="R600" i="65"/>
  <c r="S600" i="65"/>
  <c r="T600" i="65"/>
  <c r="U600" i="65"/>
  <c r="V600" i="65"/>
  <c r="R601" i="65"/>
  <c r="S601" i="65"/>
  <c r="T601" i="65"/>
  <c r="U601" i="65"/>
  <c r="V601" i="65"/>
  <c r="R602" i="65"/>
  <c r="S602" i="65"/>
  <c r="T602" i="65"/>
  <c r="U602" i="65"/>
  <c r="V602" i="65"/>
  <c r="R603" i="65"/>
  <c r="S603" i="65"/>
  <c r="T603" i="65"/>
  <c r="U603" i="65"/>
  <c r="V603" i="65"/>
  <c r="R604" i="65"/>
  <c r="S604" i="65"/>
  <c r="T604" i="65"/>
  <c r="U604" i="65"/>
  <c r="V604" i="65"/>
  <c r="R605" i="65"/>
  <c r="S605" i="65"/>
  <c r="T605" i="65"/>
  <c r="U605" i="65"/>
  <c r="V605" i="65"/>
  <c r="R606" i="65"/>
  <c r="S606" i="65"/>
  <c r="T606" i="65"/>
  <c r="U606" i="65"/>
  <c r="V606" i="65"/>
  <c r="R607" i="65"/>
  <c r="S607" i="65"/>
  <c r="T607" i="65"/>
  <c r="U607" i="65"/>
  <c r="V607" i="65"/>
  <c r="R608" i="65"/>
  <c r="S608" i="65"/>
  <c r="T608" i="65"/>
  <c r="U608" i="65"/>
  <c r="V608" i="65"/>
  <c r="R609" i="65"/>
  <c r="S609" i="65"/>
  <c r="T609" i="65"/>
  <c r="U609" i="65"/>
  <c r="V609" i="65"/>
  <c r="R610" i="65"/>
  <c r="S610" i="65"/>
  <c r="T610" i="65"/>
  <c r="U610" i="65"/>
  <c r="V610" i="65"/>
  <c r="R611" i="65"/>
  <c r="S611" i="65"/>
  <c r="T611" i="65"/>
  <c r="U611" i="65"/>
  <c r="V611" i="65"/>
  <c r="R612" i="65"/>
  <c r="S612" i="65"/>
  <c r="T612" i="65"/>
  <c r="U612" i="65"/>
  <c r="V612" i="65"/>
  <c r="R613" i="65"/>
  <c r="S613" i="65"/>
  <c r="T613" i="65"/>
  <c r="U613" i="65"/>
  <c r="V613" i="65"/>
  <c r="R614" i="65"/>
  <c r="S614" i="65"/>
  <c r="T614" i="65"/>
  <c r="U614" i="65"/>
  <c r="V614" i="65"/>
  <c r="R615" i="65"/>
  <c r="S615" i="65"/>
  <c r="T615" i="65"/>
  <c r="U615" i="65"/>
  <c r="V615" i="65"/>
  <c r="R616" i="65"/>
  <c r="S616" i="65"/>
  <c r="T616" i="65"/>
  <c r="U616" i="65"/>
  <c r="V616" i="65"/>
  <c r="R617" i="65"/>
  <c r="S617" i="65"/>
  <c r="T617" i="65"/>
  <c r="U617" i="65"/>
  <c r="V617" i="65"/>
  <c r="R618" i="65"/>
  <c r="S618" i="65"/>
  <c r="T618" i="65"/>
  <c r="U618" i="65"/>
  <c r="V618" i="65"/>
  <c r="R619" i="65"/>
  <c r="S619" i="65"/>
  <c r="T619" i="65"/>
  <c r="U619" i="65"/>
  <c r="V619" i="65"/>
  <c r="R620" i="65"/>
  <c r="S620" i="65"/>
  <c r="T620" i="65"/>
  <c r="U620" i="65"/>
  <c r="V620" i="65"/>
  <c r="R621" i="65"/>
  <c r="S621" i="65"/>
  <c r="T621" i="65"/>
  <c r="U621" i="65"/>
  <c r="V621" i="65"/>
  <c r="R622" i="65"/>
  <c r="S622" i="65"/>
  <c r="T622" i="65"/>
  <c r="U622" i="65"/>
  <c r="V622" i="65"/>
  <c r="R623" i="65"/>
  <c r="S623" i="65"/>
  <c r="T623" i="65"/>
  <c r="U623" i="65"/>
  <c r="V623" i="65"/>
  <c r="R624" i="65"/>
  <c r="S624" i="65"/>
  <c r="T624" i="65"/>
  <c r="U624" i="65"/>
  <c r="V624" i="65"/>
  <c r="R625" i="65"/>
  <c r="S625" i="65"/>
  <c r="T625" i="65"/>
  <c r="U625" i="65"/>
  <c r="V625" i="65"/>
  <c r="R626" i="65"/>
  <c r="S626" i="65"/>
  <c r="T626" i="65"/>
  <c r="U626" i="65"/>
  <c r="V626" i="65"/>
  <c r="R627" i="65"/>
  <c r="S627" i="65"/>
  <c r="T627" i="65"/>
  <c r="U627" i="65"/>
  <c r="V627" i="65"/>
  <c r="R628" i="65"/>
  <c r="S628" i="65"/>
  <c r="T628" i="65"/>
  <c r="U628" i="65"/>
  <c r="V628" i="65"/>
  <c r="R629" i="65"/>
  <c r="S629" i="65"/>
  <c r="T629" i="65"/>
  <c r="U629" i="65"/>
  <c r="V629" i="65"/>
  <c r="R630" i="65"/>
  <c r="S630" i="65"/>
  <c r="T630" i="65"/>
  <c r="U630" i="65"/>
  <c r="V630" i="65"/>
  <c r="R631" i="65"/>
  <c r="S631" i="65"/>
  <c r="T631" i="65"/>
  <c r="U631" i="65"/>
  <c r="V631" i="65"/>
  <c r="R632" i="65"/>
  <c r="S632" i="65"/>
  <c r="T632" i="65"/>
  <c r="U632" i="65"/>
  <c r="V632" i="65"/>
  <c r="R633" i="65"/>
  <c r="S633" i="65"/>
  <c r="T633" i="65"/>
  <c r="U633" i="65"/>
  <c r="V633" i="65"/>
  <c r="R634" i="65"/>
  <c r="S634" i="65"/>
  <c r="T634" i="65"/>
  <c r="U634" i="65"/>
  <c r="V634" i="65"/>
  <c r="R635" i="65"/>
  <c r="S635" i="65"/>
  <c r="T635" i="65"/>
  <c r="U635" i="65"/>
  <c r="V635" i="65"/>
  <c r="R636" i="65"/>
  <c r="S636" i="65"/>
  <c r="T636" i="65"/>
  <c r="U636" i="65"/>
  <c r="V636" i="65"/>
  <c r="R637" i="65"/>
  <c r="S637" i="65"/>
  <c r="T637" i="65"/>
  <c r="U637" i="65"/>
  <c r="V637" i="65"/>
  <c r="R638" i="65"/>
  <c r="S638" i="65"/>
  <c r="T638" i="65"/>
  <c r="U638" i="65"/>
  <c r="V638" i="65"/>
  <c r="R639" i="65"/>
  <c r="S639" i="65"/>
  <c r="T639" i="65"/>
  <c r="U639" i="65"/>
  <c r="V639" i="65"/>
  <c r="R640" i="65"/>
  <c r="S640" i="65"/>
  <c r="T640" i="65"/>
  <c r="U640" i="65"/>
  <c r="V640" i="65"/>
  <c r="R641" i="65"/>
  <c r="S641" i="65"/>
  <c r="T641" i="65"/>
  <c r="U641" i="65"/>
  <c r="V641" i="65"/>
  <c r="R642" i="65"/>
  <c r="S642" i="65"/>
  <c r="T642" i="65"/>
  <c r="U642" i="65"/>
  <c r="V642" i="65"/>
  <c r="R643" i="65"/>
  <c r="S643" i="65"/>
  <c r="T643" i="65"/>
  <c r="U643" i="65"/>
  <c r="V643" i="65"/>
  <c r="R644" i="65"/>
  <c r="S644" i="65"/>
  <c r="T644" i="65"/>
  <c r="U644" i="65"/>
  <c r="V644" i="65"/>
  <c r="R645" i="65"/>
  <c r="S645" i="65"/>
  <c r="T645" i="65"/>
  <c r="U645" i="65"/>
  <c r="V645" i="65"/>
  <c r="R646" i="65"/>
  <c r="S646" i="65"/>
  <c r="T646" i="65"/>
  <c r="U646" i="65"/>
  <c r="V646" i="65"/>
  <c r="R647" i="65"/>
  <c r="S647" i="65"/>
  <c r="T647" i="65"/>
  <c r="U647" i="65"/>
  <c r="V647" i="65"/>
  <c r="R648" i="65"/>
  <c r="S648" i="65"/>
  <c r="T648" i="65"/>
  <c r="U648" i="65"/>
  <c r="V648" i="65"/>
  <c r="R649" i="65"/>
  <c r="S649" i="65"/>
  <c r="T649" i="65"/>
  <c r="U649" i="65"/>
  <c r="V649" i="65"/>
  <c r="R650" i="65"/>
  <c r="S650" i="65"/>
  <c r="T650" i="65"/>
  <c r="U650" i="65"/>
  <c r="V650" i="65"/>
  <c r="R651" i="65"/>
  <c r="S651" i="65"/>
  <c r="T651" i="65"/>
  <c r="U651" i="65"/>
  <c r="V651" i="65"/>
  <c r="R652" i="65"/>
  <c r="S652" i="65"/>
  <c r="T652" i="65"/>
  <c r="U652" i="65"/>
  <c r="V652" i="65"/>
  <c r="R653" i="65"/>
  <c r="S653" i="65"/>
  <c r="T653" i="65"/>
  <c r="U653" i="65"/>
  <c r="V653" i="65"/>
  <c r="R654" i="65"/>
  <c r="S654" i="65"/>
  <c r="T654" i="65"/>
  <c r="U654" i="65"/>
  <c r="V654" i="65"/>
  <c r="R655" i="65"/>
  <c r="S655" i="65"/>
  <c r="T655" i="65"/>
  <c r="U655" i="65"/>
  <c r="V655" i="65"/>
  <c r="R656" i="65"/>
  <c r="S656" i="65"/>
  <c r="T656" i="65"/>
  <c r="U656" i="65"/>
  <c r="V656" i="65"/>
  <c r="R657" i="65"/>
  <c r="S657" i="65"/>
  <c r="T657" i="65"/>
  <c r="U657" i="65"/>
  <c r="V657" i="65"/>
  <c r="R658" i="65"/>
  <c r="S658" i="65"/>
  <c r="T658" i="65"/>
  <c r="U658" i="65"/>
  <c r="V658" i="65"/>
  <c r="R659" i="65"/>
  <c r="S659" i="65"/>
  <c r="T659" i="65"/>
  <c r="U659" i="65"/>
  <c r="V659" i="65"/>
  <c r="R660" i="65"/>
  <c r="S660" i="65"/>
  <c r="T660" i="65"/>
  <c r="U660" i="65"/>
  <c r="V660" i="65"/>
  <c r="R661" i="65"/>
  <c r="S661" i="65"/>
  <c r="T661" i="65"/>
  <c r="U661" i="65"/>
  <c r="V661" i="65"/>
  <c r="R662" i="65"/>
  <c r="S662" i="65"/>
  <c r="T662" i="65"/>
  <c r="U662" i="65"/>
  <c r="V662" i="65"/>
  <c r="R663" i="65"/>
  <c r="S663" i="65"/>
  <c r="T663" i="65"/>
  <c r="U663" i="65"/>
  <c r="V663" i="65"/>
  <c r="R664" i="65"/>
  <c r="S664" i="65"/>
  <c r="T664" i="65"/>
  <c r="U664" i="65"/>
  <c r="V664" i="65"/>
  <c r="R665" i="65"/>
  <c r="S665" i="65"/>
  <c r="T665" i="65"/>
  <c r="U665" i="65"/>
  <c r="V665" i="65"/>
  <c r="R666" i="65"/>
  <c r="S666" i="65"/>
  <c r="T666" i="65"/>
  <c r="U666" i="65"/>
  <c r="V666" i="65"/>
  <c r="R667" i="65"/>
  <c r="S667" i="65"/>
  <c r="T667" i="65"/>
  <c r="U667" i="65"/>
  <c r="V667" i="65"/>
  <c r="R668" i="65"/>
  <c r="S668" i="65"/>
  <c r="T668" i="65"/>
  <c r="U668" i="65"/>
  <c r="V668" i="65"/>
  <c r="R669" i="65"/>
  <c r="S669" i="65"/>
  <c r="T669" i="65"/>
  <c r="U669" i="65"/>
  <c r="V669" i="65"/>
  <c r="R670" i="65"/>
  <c r="S670" i="65"/>
  <c r="T670" i="65"/>
  <c r="U670" i="65"/>
  <c r="V670" i="65"/>
  <c r="R671" i="65"/>
  <c r="S671" i="65"/>
  <c r="T671" i="65"/>
  <c r="U671" i="65"/>
  <c r="V671" i="65"/>
  <c r="R672" i="65"/>
  <c r="S672" i="65"/>
  <c r="T672" i="65"/>
  <c r="U672" i="65"/>
  <c r="V672" i="65"/>
  <c r="R673" i="65"/>
  <c r="S673" i="65"/>
  <c r="T673" i="65"/>
  <c r="U673" i="65"/>
  <c r="V673" i="65"/>
  <c r="R674" i="65"/>
  <c r="S674" i="65"/>
  <c r="T674" i="65"/>
  <c r="U674" i="65"/>
  <c r="V674" i="65"/>
  <c r="R675" i="65"/>
  <c r="S675" i="65"/>
  <c r="T675" i="65"/>
  <c r="U675" i="65"/>
  <c r="V675" i="65"/>
  <c r="R676" i="65"/>
  <c r="S676" i="65"/>
  <c r="T676" i="65"/>
  <c r="U676" i="65"/>
  <c r="V676" i="65"/>
  <c r="R677" i="65"/>
  <c r="S677" i="65"/>
  <c r="T677" i="65"/>
  <c r="U677" i="65"/>
  <c r="V677" i="65"/>
  <c r="R678" i="65"/>
  <c r="S678" i="65"/>
  <c r="T678" i="65"/>
  <c r="U678" i="65"/>
  <c r="V678" i="65"/>
  <c r="R679" i="65"/>
  <c r="S679" i="65"/>
  <c r="T679" i="65"/>
  <c r="U679" i="65"/>
  <c r="V679" i="65"/>
  <c r="R680" i="65"/>
  <c r="S680" i="65"/>
  <c r="T680" i="65"/>
  <c r="U680" i="65"/>
  <c r="V680" i="65"/>
  <c r="R681" i="65"/>
  <c r="S681" i="65"/>
  <c r="T681" i="65"/>
  <c r="U681" i="65"/>
  <c r="V681" i="65"/>
  <c r="R682" i="65"/>
  <c r="S682" i="65"/>
  <c r="T682" i="65"/>
  <c r="U682" i="65"/>
  <c r="V682" i="65"/>
  <c r="R683" i="65"/>
  <c r="S683" i="65"/>
  <c r="T683" i="65"/>
  <c r="U683" i="65"/>
  <c r="V683" i="65"/>
  <c r="R684" i="65"/>
  <c r="S684" i="65"/>
  <c r="T684" i="65"/>
  <c r="U684" i="65"/>
  <c r="V684" i="65"/>
  <c r="R685" i="65"/>
  <c r="S685" i="65"/>
  <c r="T685" i="65"/>
  <c r="U685" i="65"/>
  <c r="V685" i="65"/>
  <c r="R686" i="65"/>
  <c r="S686" i="65"/>
  <c r="T686" i="65"/>
  <c r="U686" i="65"/>
  <c r="V686" i="65"/>
  <c r="R687" i="65"/>
  <c r="S687" i="65"/>
  <c r="T687" i="65"/>
  <c r="U687" i="65"/>
  <c r="V687" i="65"/>
  <c r="R688" i="65"/>
  <c r="S688" i="65"/>
  <c r="T688" i="65"/>
  <c r="U688" i="65"/>
  <c r="V688" i="65"/>
  <c r="R689" i="65"/>
  <c r="S689" i="65"/>
  <c r="T689" i="65"/>
  <c r="U689" i="65"/>
  <c r="V689" i="65"/>
  <c r="R690" i="65"/>
  <c r="S690" i="65"/>
  <c r="T690" i="65"/>
  <c r="U690" i="65"/>
  <c r="V690" i="65"/>
  <c r="R691" i="65"/>
  <c r="S691" i="65"/>
  <c r="T691" i="65"/>
  <c r="U691" i="65"/>
  <c r="V691" i="65"/>
  <c r="R692" i="65"/>
  <c r="S692" i="65"/>
  <c r="T692" i="65"/>
  <c r="U692" i="65"/>
  <c r="V692" i="65"/>
  <c r="R693" i="65"/>
  <c r="S693" i="65"/>
  <c r="T693" i="65"/>
  <c r="U693" i="65"/>
  <c r="V693" i="65"/>
  <c r="R694" i="65"/>
  <c r="S694" i="65"/>
  <c r="T694" i="65"/>
  <c r="U694" i="65"/>
  <c r="V694" i="65"/>
  <c r="R695" i="65"/>
  <c r="S695" i="65"/>
  <c r="T695" i="65"/>
  <c r="U695" i="65"/>
  <c r="V695" i="65"/>
  <c r="R696" i="65"/>
  <c r="S696" i="65"/>
  <c r="T696" i="65"/>
  <c r="U696" i="65"/>
  <c r="V696" i="65"/>
  <c r="R697" i="65"/>
  <c r="S697" i="65"/>
  <c r="T697" i="65"/>
  <c r="U697" i="65"/>
  <c r="V697" i="65"/>
  <c r="R698" i="65"/>
  <c r="S698" i="65"/>
  <c r="T698" i="65"/>
  <c r="U698" i="65"/>
  <c r="V698" i="65"/>
  <c r="R699" i="65"/>
  <c r="S699" i="65"/>
  <c r="T699" i="65"/>
  <c r="U699" i="65"/>
  <c r="V699" i="65"/>
  <c r="R700" i="65"/>
  <c r="S700" i="65"/>
  <c r="T700" i="65"/>
  <c r="U700" i="65"/>
  <c r="V700" i="65"/>
  <c r="R701" i="65"/>
  <c r="S701" i="65"/>
  <c r="T701" i="65"/>
  <c r="U701" i="65"/>
  <c r="V701" i="65"/>
  <c r="R702" i="65"/>
  <c r="S702" i="65"/>
  <c r="T702" i="65"/>
  <c r="U702" i="65"/>
  <c r="V702" i="65"/>
  <c r="R703" i="65"/>
  <c r="S703" i="65"/>
  <c r="T703" i="65"/>
  <c r="U703" i="65"/>
  <c r="V703" i="65"/>
  <c r="R704" i="65"/>
  <c r="S704" i="65"/>
  <c r="T704" i="65"/>
  <c r="U704" i="65"/>
  <c r="V704" i="65"/>
  <c r="R705" i="65"/>
  <c r="S705" i="65"/>
  <c r="T705" i="65"/>
  <c r="U705" i="65"/>
  <c r="V705" i="65"/>
  <c r="R706" i="65"/>
  <c r="S706" i="65"/>
  <c r="T706" i="65"/>
  <c r="U706" i="65"/>
  <c r="V706" i="65"/>
  <c r="R707" i="65"/>
  <c r="S707" i="65"/>
  <c r="T707" i="65"/>
  <c r="U707" i="65"/>
  <c r="V707" i="65"/>
  <c r="R708" i="65"/>
  <c r="S708" i="65"/>
  <c r="T708" i="65"/>
  <c r="U708" i="65"/>
  <c r="V708" i="65"/>
  <c r="R709" i="65"/>
  <c r="S709" i="65"/>
  <c r="T709" i="65"/>
  <c r="U709" i="65"/>
  <c r="V709" i="65"/>
  <c r="R710" i="65"/>
  <c r="S710" i="65"/>
  <c r="T710" i="65"/>
  <c r="U710" i="65"/>
  <c r="V710" i="65"/>
  <c r="R711" i="65"/>
  <c r="S711" i="65"/>
  <c r="T711" i="65"/>
  <c r="U711" i="65"/>
  <c r="V711" i="65"/>
  <c r="R712" i="65"/>
  <c r="S712" i="65"/>
  <c r="T712" i="65"/>
  <c r="U712" i="65"/>
  <c r="V712" i="65"/>
  <c r="R713" i="65"/>
  <c r="S713" i="65"/>
  <c r="T713" i="65"/>
  <c r="U713" i="65"/>
  <c r="V713" i="65"/>
  <c r="R714" i="65"/>
  <c r="S714" i="65"/>
  <c r="T714" i="65"/>
  <c r="U714" i="65"/>
  <c r="V714" i="65"/>
  <c r="R715" i="65"/>
  <c r="S715" i="65"/>
  <c r="T715" i="65"/>
  <c r="U715" i="65"/>
  <c r="V715" i="65"/>
  <c r="R716" i="65"/>
  <c r="S716" i="65"/>
  <c r="T716" i="65"/>
  <c r="U716" i="65"/>
  <c r="V716" i="65"/>
  <c r="R717" i="65"/>
  <c r="S717" i="65"/>
  <c r="T717" i="65"/>
  <c r="U717" i="65"/>
  <c r="V717" i="65"/>
  <c r="R718" i="65"/>
  <c r="S718" i="65"/>
  <c r="T718" i="65"/>
  <c r="U718" i="65"/>
  <c r="V718" i="65"/>
  <c r="R719" i="65"/>
  <c r="S719" i="65"/>
  <c r="T719" i="65"/>
  <c r="U719" i="65"/>
  <c r="V719" i="65"/>
  <c r="R720" i="65"/>
  <c r="S720" i="65"/>
  <c r="T720" i="65"/>
  <c r="U720" i="65"/>
  <c r="V720" i="65"/>
  <c r="R721" i="65"/>
  <c r="S721" i="65"/>
  <c r="T721" i="65"/>
  <c r="U721" i="65"/>
  <c r="V721" i="65"/>
  <c r="R722" i="65"/>
  <c r="S722" i="65"/>
  <c r="T722" i="65"/>
  <c r="U722" i="65"/>
  <c r="V722" i="65"/>
  <c r="R723" i="65"/>
  <c r="S723" i="65"/>
  <c r="T723" i="65"/>
  <c r="U723" i="65"/>
  <c r="V723" i="65"/>
  <c r="R724" i="65"/>
  <c r="S724" i="65"/>
  <c r="T724" i="65"/>
  <c r="U724" i="65"/>
  <c r="V724" i="65"/>
  <c r="R725" i="65"/>
  <c r="S725" i="65"/>
  <c r="T725" i="65"/>
  <c r="U725" i="65"/>
  <c r="V725" i="65"/>
  <c r="R726" i="65"/>
  <c r="S726" i="65"/>
  <c r="T726" i="65"/>
  <c r="U726" i="65"/>
  <c r="V726" i="65"/>
  <c r="R727" i="65"/>
  <c r="S727" i="65"/>
  <c r="T727" i="65"/>
  <c r="U727" i="65"/>
  <c r="V727" i="65"/>
  <c r="R728" i="65"/>
  <c r="S728" i="65"/>
  <c r="T728" i="65"/>
  <c r="U728" i="65"/>
  <c r="V728" i="65"/>
  <c r="R729" i="65"/>
  <c r="S729" i="65"/>
  <c r="T729" i="65"/>
  <c r="U729" i="65"/>
  <c r="V729" i="65"/>
  <c r="R730" i="65"/>
  <c r="S730" i="65"/>
  <c r="T730" i="65"/>
  <c r="U730" i="65"/>
  <c r="V730" i="65"/>
  <c r="R731" i="65"/>
  <c r="S731" i="65"/>
  <c r="T731" i="65"/>
  <c r="U731" i="65"/>
  <c r="V731" i="65"/>
  <c r="R732" i="65"/>
  <c r="S732" i="65"/>
  <c r="T732" i="65"/>
  <c r="U732" i="65"/>
  <c r="V732" i="65"/>
  <c r="R733" i="65"/>
  <c r="S733" i="65"/>
  <c r="T733" i="65"/>
  <c r="U733" i="65"/>
  <c r="V733" i="65"/>
  <c r="R734" i="65"/>
  <c r="S734" i="65"/>
  <c r="T734" i="65"/>
  <c r="U734" i="65"/>
  <c r="V734" i="65"/>
  <c r="R735" i="65"/>
  <c r="S735" i="65"/>
  <c r="T735" i="65"/>
  <c r="U735" i="65"/>
  <c r="V735" i="65"/>
  <c r="R736" i="65"/>
  <c r="S736" i="65"/>
  <c r="T736" i="65"/>
  <c r="U736" i="65"/>
  <c r="V736" i="65"/>
  <c r="R737" i="65"/>
  <c r="S737" i="65"/>
  <c r="T737" i="65"/>
  <c r="U737" i="65"/>
  <c r="V737" i="65"/>
  <c r="R738" i="65"/>
  <c r="S738" i="65"/>
  <c r="T738" i="65"/>
  <c r="U738" i="65"/>
  <c r="V738" i="65"/>
  <c r="R739" i="65"/>
  <c r="S739" i="65"/>
  <c r="T739" i="65"/>
  <c r="U739" i="65"/>
  <c r="V739" i="65"/>
  <c r="R740" i="65"/>
  <c r="S740" i="65"/>
  <c r="T740" i="65"/>
  <c r="U740" i="65"/>
  <c r="V740" i="65"/>
  <c r="R741" i="65"/>
  <c r="S741" i="65"/>
  <c r="T741" i="65"/>
  <c r="U741" i="65"/>
  <c r="V741" i="65"/>
  <c r="R742" i="65"/>
  <c r="S742" i="65"/>
  <c r="T742" i="65"/>
  <c r="U742" i="65"/>
  <c r="V742" i="65"/>
  <c r="R743" i="65"/>
  <c r="S743" i="65"/>
  <c r="T743" i="65"/>
  <c r="U743" i="65"/>
  <c r="V743" i="65"/>
  <c r="R744" i="65"/>
  <c r="S744" i="65"/>
  <c r="T744" i="65"/>
  <c r="U744" i="65"/>
  <c r="V744" i="65"/>
  <c r="R745" i="65"/>
  <c r="S745" i="65"/>
  <c r="T745" i="65"/>
  <c r="U745" i="65"/>
  <c r="V745" i="65"/>
  <c r="R746" i="65"/>
  <c r="S746" i="65"/>
  <c r="T746" i="65"/>
  <c r="U746" i="65"/>
  <c r="V746" i="65"/>
  <c r="R747" i="65"/>
  <c r="S747" i="65"/>
  <c r="T747" i="65"/>
  <c r="U747" i="65"/>
  <c r="V747" i="65"/>
  <c r="R748" i="65"/>
  <c r="S748" i="65"/>
  <c r="T748" i="65"/>
  <c r="U748" i="65"/>
  <c r="V748" i="65"/>
  <c r="R749" i="65"/>
  <c r="S749" i="65"/>
  <c r="T749" i="65"/>
  <c r="U749" i="65"/>
  <c r="V749" i="65"/>
  <c r="R750" i="65"/>
  <c r="S750" i="65"/>
  <c r="T750" i="65"/>
  <c r="U750" i="65"/>
  <c r="V750" i="65"/>
  <c r="R751" i="65"/>
  <c r="S751" i="65"/>
  <c r="T751" i="65"/>
  <c r="U751" i="65"/>
  <c r="V751" i="65"/>
  <c r="R752" i="65"/>
  <c r="S752" i="65"/>
  <c r="T752" i="65"/>
  <c r="U752" i="65"/>
  <c r="V752" i="65"/>
  <c r="R753" i="65"/>
  <c r="S753" i="65"/>
  <c r="T753" i="65"/>
  <c r="U753" i="65"/>
  <c r="V753" i="65"/>
  <c r="R754" i="65"/>
  <c r="S754" i="65"/>
  <c r="T754" i="65"/>
  <c r="U754" i="65"/>
  <c r="V754" i="65"/>
  <c r="R755" i="65"/>
  <c r="S755" i="65"/>
  <c r="T755" i="65"/>
  <c r="U755" i="65"/>
  <c r="V755" i="65"/>
  <c r="R756" i="65"/>
  <c r="S756" i="65"/>
  <c r="T756" i="65"/>
  <c r="U756" i="65"/>
  <c r="V756" i="65"/>
  <c r="R757" i="65"/>
  <c r="S757" i="65"/>
  <c r="T757" i="65"/>
  <c r="U757" i="65"/>
  <c r="V757" i="65"/>
  <c r="R758" i="65"/>
  <c r="S758" i="65"/>
  <c r="T758" i="65"/>
  <c r="U758" i="65"/>
  <c r="V758" i="65"/>
  <c r="R759" i="65"/>
  <c r="S759" i="65"/>
  <c r="T759" i="65"/>
  <c r="U759" i="65"/>
  <c r="V759" i="65"/>
  <c r="R760" i="65"/>
  <c r="S760" i="65"/>
  <c r="T760" i="65"/>
  <c r="U760" i="65"/>
  <c r="V760" i="65"/>
  <c r="R761" i="65"/>
  <c r="S761" i="65"/>
  <c r="T761" i="65"/>
  <c r="U761" i="65"/>
  <c r="V761" i="65"/>
  <c r="R762" i="65"/>
  <c r="S762" i="65"/>
  <c r="T762" i="65"/>
  <c r="U762" i="65"/>
  <c r="V762" i="65"/>
  <c r="R763" i="65"/>
  <c r="S763" i="65"/>
  <c r="T763" i="65"/>
  <c r="U763" i="65"/>
  <c r="V763" i="65"/>
  <c r="R764" i="65"/>
  <c r="S764" i="65"/>
  <c r="T764" i="65"/>
  <c r="U764" i="65"/>
  <c r="V764" i="65"/>
  <c r="R765" i="65"/>
  <c r="S765" i="65"/>
  <c r="T765" i="65"/>
  <c r="U765" i="65"/>
  <c r="V765" i="65"/>
  <c r="R766" i="65"/>
  <c r="S766" i="65"/>
  <c r="T766" i="65"/>
  <c r="U766" i="65"/>
  <c r="V766" i="65"/>
  <c r="R767" i="65"/>
  <c r="S767" i="65"/>
  <c r="T767" i="65"/>
  <c r="U767" i="65"/>
  <c r="V767" i="65"/>
  <c r="R768" i="65"/>
  <c r="S768" i="65"/>
  <c r="T768" i="65"/>
  <c r="U768" i="65"/>
  <c r="V768" i="65"/>
  <c r="R769" i="65"/>
  <c r="S769" i="65"/>
  <c r="T769" i="65"/>
  <c r="U769" i="65"/>
  <c r="V769" i="65"/>
  <c r="R770" i="65"/>
  <c r="S770" i="65"/>
  <c r="T770" i="65"/>
  <c r="U770" i="65"/>
  <c r="V770" i="65"/>
  <c r="R771" i="65"/>
  <c r="S771" i="65"/>
  <c r="T771" i="65"/>
  <c r="U771" i="65"/>
  <c r="V771" i="65"/>
  <c r="R772" i="65"/>
  <c r="S772" i="65"/>
  <c r="T772" i="65"/>
  <c r="U772" i="65"/>
  <c r="V772" i="65"/>
  <c r="R773" i="65"/>
  <c r="S773" i="65"/>
  <c r="T773" i="65"/>
  <c r="U773" i="65"/>
  <c r="V773" i="65"/>
  <c r="R774" i="65"/>
  <c r="S774" i="65"/>
  <c r="T774" i="65"/>
  <c r="U774" i="65"/>
  <c r="V774" i="65"/>
  <c r="R775" i="65"/>
  <c r="S775" i="65"/>
  <c r="T775" i="65"/>
  <c r="U775" i="65"/>
  <c r="V775" i="65"/>
  <c r="R776" i="65"/>
  <c r="S776" i="65"/>
  <c r="T776" i="65"/>
  <c r="U776" i="65"/>
  <c r="V776" i="65"/>
  <c r="R777" i="65"/>
  <c r="S777" i="65"/>
  <c r="T777" i="65"/>
  <c r="U777" i="65"/>
  <c r="V777" i="65"/>
  <c r="R778" i="65"/>
  <c r="S778" i="65"/>
  <c r="T778" i="65"/>
  <c r="U778" i="65"/>
  <c r="V778" i="65"/>
  <c r="R779" i="65"/>
  <c r="S779" i="65"/>
  <c r="T779" i="65"/>
  <c r="U779" i="65"/>
  <c r="V779" i="65"/>
  <c r="R780" i="65"/>
  <c r="S780" i="65"/>
  <c r="T780" i="65"/>
  <c r="U780" i="65"/>
  <c r="V780" i="65"/>
  <c r="R781" i="65"/>
  <c r="S781" i="65"/>
  <c r="T781" i="65"/>
  <c r="U781" i="65"/>
  <c r="V781" i="65"/>
  <c r="R782" i="65"/>
  <c r="S782" i="65"/>
  <c r="T782" i="65"/>
  <c r="U782" i="65"/>
  <c r="V782" i="65"/>
  <c r="R783" i="65"/>
  <c r="S783" i="65"/>
  <c r="T783" i="65"/>
  <c r="U783" i="65"/>
  <c r="V783" i="65"/>
  <c r="R784" i="65"/>
  <c r="S784" i="65"/>
  <c r="T784" i="65"/>
  <c r="U784" i="65"/>
  <c r="V784" i="65"/>
  <c r="R785" i="65"/>
  <c r="S785" i="65"/>
  <c r="T785" i="65"/>
  <c r="U785" i="65"/>
  <c r="V785" i="65"/>
  <c r="R786" i="65"/>
  <c r="S786" i="65"/>
  <c r="T786" i="65"/>
  <c r="U786" i="65"/>
  <c r="V786" i="65"/>
  <c r="R787" i="65"/>
  <c r="S787" i="65"/>
  <c r="T787" i="65"/>
  <c r="U787" i="65"/>
  <c r="V787" i="65"/>
  <c r="R788" i="65"/>
  <c r="S788" i="65"/>
  <c r="T788" i="65"/>
  <c r="U788" i="65"/>
  <c r="V788" i="65"/>
  <c r="R789" i="65"/>
  <c r="S789" i="65"/>
  <c r="T789" i="65"/>
  <c r="U789" i="65"/>
  <c r="V789" i="65"/>
  <c r="R790" i="65"/>
  <c r="S790" i="65"/>
  <c r="T790" i="65"/>
  <c r="U790" i="65"/>
  <c r="V790" i="65"/>
  <c r="R791" i="65"/>
  <c r="S791" i="65"/>
  <c r="T791" i="65"/>
  <c r="U791" i="65"/>
  <c r="V791" i="65"/>
  <c r="R792" i="65"/>
  <c r="S792" i="65"/>
  <c r="T792" i="65"/>
  <c r="U792" i="65"/>
  <c r="V792" i="65"/>
  <c r="R793" i="65"/>
  <c r="S793" i="65"/>
  <c r="T793" i="65"/>
  <c r="U793" i="65"/>
  <c r="V793" i="65"/>
  <c r="R794" i="65"/>
  <c r="S794" i="65"/>
  <c r="T794" i="65"/>
  <c r="U794" i="65"/>
  <c r="V794" i="65"/>
  <c r="R795" i="65"/>
  <c r="S795" i="65"/>
  <c r="T795" i="65"/>
  <c r="U795" i="65"/>
  <c r="V795" i="65"/>
  <c r="R796" i="65"/>
  <c r="S796" i="65"/>
  <c r="T796" i="65"/>
  <c r="U796" i="65"/>
  <c r="V796" i="65"/>
  <c r="R797" i="65"/>
  <c r="S797" i="65"/>
  <c r="T797" i="65"/>
  <c r="U797" i="65"/>
  <c r="V797" i="65"/>
  <c r="R798" i="65"/>
  <c r="S798" i="65"/>
  <c r="T798" i="65"/>
  <c r="U798" i="65"/>
  <c r="V798" i="65"/>
  <c r="R799" i="65"/>
  <c r="S799" i="65"/>
  <c r="T799" i="65"/>
  <c r="U799" i="65"/>
  <c r="V799" i="65"/>
  <c r="R800" i="65"/>
  <c r="S800" i="65"/>
  <c r="T800" i="65"/>
  <c r="U800" i="65"/>
  <c r="V800" i="65"/>
  <c r="R801" i="65"/>
  <c r="S801" i="65"/>
  <c r="T801" i="65"/>
  <c r="U801" i="65"/>
  <c r="V801" i="65"/>
  <c r="R802" i="65"/>
  <c r="S802" i="65"/>
  <c r="T802" i="65"/>
  <c r="U802" i="65"/>
  <c r="V802" i="65"/>
  <c r="R803" i="65"/>
  <c r="S803" i="65"/>
  <c r="T803" i="65"/>
  <c r="U803" i="65"/>
  <c r="V803" i="65"/>
  <c r="R804" i="65"/>
  <c r="S804" i="65"/>
  <c r="T804" i="65"/>
  <c r="U804" i="65"/>
  <c r="V804" i="65"/>
  <c r="R805" i="65"/>
  <c r="S805" i="65"/>
  <c r="T805" i="65"/>
  <c r="U805" i="65"/>
  <c r="V805" i="65"/>
  <c r="R806" i="65"/>
  <c r="S806" i="65"/>
  <c r="T806" i="65"/>
  <c r="U806" i="65"/>
  <c r="V806" i="65"/>
  <c r="R807" i="65"/>
  <c r="S807" i="65"/>
  <c r="T807" i="65"/>
  <c r="U807" i="65"/>
  <c r="V807" i="65"/>
  <c r="R808" i="65"/>
  <c r="S808" i="65"/>
  <c r="T808" i="65"/>
  <c r="U808" i="65"/>
  <c r="V808" i="65"/>
  <c r="R809" i="65"/>
  <c r="S809" i="65"/>
  <c r="T809" i="65"/>
  <c r="U809" i="65"/>
  <c r="V809" i="65"/>
  <c r="R810" i="65"/>
  <c r="S810" i="65"/>
  <c r="T810" i="65"/>
  <c r="U810" i="65"/>
  <c r="V810" i="65"/>
  <c r="R811" i="65"/>
  <c r="S811" i="65"/>
  <c r="T811" i="65"/>
  <c r="U811" i="65"/>
  <c r="V811" i="65"/>
  <c r="R812" i="65"/>
  <c r="S812" i="65"/>
  <c r="T812" i="65"/>
  <c r="U812" i="65"/>
  <c r="V812" i="65"/>
  <c r="R813" i="65"/>
  <c r="S813" i="65"/>
  <c r="T813" i="65"/>
  <c r="U813" i="65"/>
  <c r="V813" i="65"/>
  <c r="R814" i="65"/>
  <c r="S814" i="65"/>
  <c r="T814" i="65"/>
  <c r="U814" i="65"/>
  <c r="V814" i="65"/>
  <c r="R815" i="65"/>
  <c r="S815" i="65"/>
  <c r="T815" i="65"/>
  <c r="U815" i="65"/>
  <c r="V815" i="65"/>
  <c r="R816" i="65"/>
  <c r="S816" i="65"/>
  <c r="T816" i="65"/>
  <c r="U816" i="65"/>
  <c r="V816" i="65"/>
  <c r="R817" i="65"/>
  <c r="S817" i="65"/>
  <c r="T817" i="65"/>
  <c r="U817" i="65"/>
  <c r="V817" i="65"/>
  <c r="R818" i="65"/>
  <c r="S818" i="65"/>
  <c r="T818" i="65"/>
  <c r="U818" i="65"/>
  <c r="V818" i="65"/>
  <c r="R819" i="65"/>
  <c r="S819" i="65"/>
  <c r="T819" i="65"/>
  <c r="U819" i="65"/>
  <c r="V819" i="65"/>
  <c r="R820" i="65"/>
  <c r="S820" i="65"/>
  <c r="T820" i="65"/>
  <c r="U820" i="65"/>
  <c r="V820" i="65"/>
  <c r="R821" i="65"/>
  <c r="S821" i="65"/>
  <c r="T821" i="65"/>
  <c r="U821" i="65"/>
  <c r="V821" i="65"/>
  <c r="R822" i="65"/>
  <c r="S822" i="65"/>
  <c r="T822" i="65"/>
  <c r="U822" i="65"/>
  <c r="V822" i="65"/>
  <c r="R823" i="65"/>
  <c r="S823" i="65"/>
  <c r="T823" i="65"/>
  <c r="U823" i="65"/>
  <c r="V823" i="65"/>
  <c r="R824" i="65"/>
  <c r="S824" i="65"/>
  <c r="T824" i="65"/>
  <c r="U824" i="65"/>
  <c r="V824" i="65"/>
  <c r="R825" i="65"/>
  <c r="S825" i="65"/>
  <c r="T825" i="65"/>
  <c r="U825" i="65"/>
  <c r="V825" i="65"/>
  <c r="R826" i="65"/>
  <c r="S826" i="65"/>
  <c r="T826" i="65"/>
  <c r="U826" i="65"/>
  <c r="V826" i="65"/>
  <c r="R827" i="65"/>
  <c r="S827" i="65"/>
  <c r="T827" i="65"/>
  <c r="U827" i="65"/>
  <c r="V827" i="65"/>
  <c r="R828" i="65"/>
  <c r="S828" i="65"/>
  <c r="T828" i="65"/>
  <c r="U828" i="65"/>
  <c r="V828" i="65"/>
  <c r="R829" i="65"/>
  <c r="S829" i="65"/>
  <c r="T829" i="65"/>
  <c r="U829" i="65"/>
  <c r="V829" i="65"/>
  <c r="R830" i="65"/>
  <c r="S830" i="65"/>
  <c r="T830" i="65"/>
  <c r="U830" i="65"/>
  <c r="V830" i="65"/>
  <c r="R831" i="65"/>
  <c r="S831" i="65"/>
  <c r="T831" i="65"/>
  <c r="U831" i="65"/>
  <c r="V831" i="65"/>
  <c r="R832" i="65"/>
  <c r="S832" i="65"/>
  <c r="T832" i="65"/>
  <c r="U832" i="65"/>
  <c r="V832" i="65"/>
  <c r="R833" i="65"/>
  <c r="S833" i="65"/>
  <c r="T833" i="65"/>
  <c r="U833" i="65"/>
  <c r="V833" i="65"/>
  <c r="R834" i="65"/>
  <c r="S834" i="65"/>
  <c r="T834" i="65"/>
  <c r="U834" i="65"/>
  <c r="V834" i="65"/>
  <c r="R835" i="65"/>
  <c r="S835" i="65"/>
  <c r="T835" i="65"/>
  <c r="U835" i="65"/>
  <c r="V835" i="65"/>
  <c r="R836" i="65"/>
  <c r="S836" i="65"/>
  <c r="T836" i="65"/>
  <c r="U836" i="65"/>
  <c r="V836" i="65"/>
  <c r="R837" i="65"/>
  <c r="S837" i="65"/>
  <c r="T837" i="65"/>
  <c r="U837" i="65"/>
  <c r="V837" i="65"/>
  <c r="R838" i="65"/>
  <c r="S838" i="65"/>
  <c r="T838" i="65"/>
  <c r="U838" i="65"/>
  <c r="V838" i="65"/>
  <c r="R839" i="65"/>
  <c r="S839" i="65"/>
  <c r="T839" i="65"/>
  <c r="U839" i="65"/>
  <c r="V839" i="65"/>
  <c r="R840" i="65"/>
  <c r="S840" i="65"/>
  <c r="T840" i="65"/>
  <c r="U840" i="65"/>
  <c r="V840" i="65"/>
  <c r="R841" i="65"/>
  <c r="S841" i="65"/>
  <c r="T841" i="65"/>
  <c r="U841" i="65"/>
  <c r="V841" i="65"/>
  <c r="R842" i="65"/>
  <c r="S842" i="65"/>
  <c r="T842" i="65"/>
  <c r="U842" i="65"/>
  <c r="V842" i="65"/>
  <c r="R843" i="65"/>
  <c r="S843" i="65"/>
  <c r="T843" i="65"/>
  <c r="U843" i="65"/>
  <c r="V843" i="65"/>
  <c r="R844" i="65"/>
  <c r="S844" i="65"/>
  <c r="T844" i="65"/>
  <c r="U844" i="65"/>
  <c r="V844" i="65"/>
  <c r="R845" i="65"/>
  <c r="S845" i="65"/>
  <c r="T845" i="65"/>
  <c r="U845" i="65"/>
  <c r="V845" i="65"/>
  <c r="R846" i="65"/>
  <c r="S846" i="65"/>
  <c r="T846" i="65"/>
  <c r="U846" i="65"/>
  <c r="V846" i="65"/>
  <c r="R847" i="65"/>
  <c r="S847" i="65"/>
  <c r="T847" i="65"/>
  <c r="U847" i="65"/>
  <c r="V847" i="65"/>
  <c r="R848" i="65"/>
  <c r="S848" i="65"/>
  <c r="T848" i="65"/>
  <c r="U848" i="65"/>
  <c r="V848" i="65"/>
  <c r="R849" i="65"/>
  <c r="S849" i="65"/>
  <c r="T849" i="65"/>
  <c r="U849" i="65"/>
  <c r="V849" i="65"/>
  <c r="R850" i="65"/>
  <c r="S850" i="65"/>
  <c r="T850" i="65"/>
  <c r="U850" i="65"/>
  <c r="V850" i="65"/>
  <c r="R851" i="65"/>
  <c r="S851" i="65"/>
  <c r="T851" i="65"/>
  <c r="U851" i="65"/>
  <c r="V851" i="65"/>
  <c r="R852" i="65"/>
  <c r="S852" i="65"/>
  <c r="T852" i="65"/>
  <c r="U852" i="65"/>
  <c r="V852" i="65"/>
  <c r="R853" i="65"/>
  <c r="S853" i="65"/>
  <c r="T853" i="65"/>
  <c r="U853" i="65"/>
  <c r="V853" i="65"/>
  <c r="R854" i="65"/>
  <c r="S854" i="65"/>
  <c r="T854" i="65"/>
  <c r="U854" i="65"/>
  <c r="V854" i="65"/>
  <c r="R855" i="65"/>
  <c r="S855" i="65"/>
  <c r="T855" i="65"/>
  <c r="U855" i="65"/>
  <c r="V855" i="65"/>
  <c r="R856" i="65"/>
  <c r="S856" i="65"/>
  <c r="T856" i="65"/>
  <c r="U856" i="65"/>
  <c r="V856" i="65"/>
  <c r="R857" i="65"/>
  <c r="S857" i="65"/>
  <c r="T857" i="65"/>
  <c r="U857" i="65"/>
  <c r="V857" i="65"/>
  <c r="R858" i="65"/>
  <c r="S858" i="65"/>
  <c r="T858" i="65"/>
  <c r="U858" i="65"/>
  <c r="V858" i="65"/>
  <c r="R859" i="65"/>
  <c r="S859" i="65"/>
  <c r="T859" i="65"/>
  <c r="U859" i="65"/>
  <c r="V859" i="65"/>
  <c r="R860" i="65"/>
  <c r="S860" i="65"/>
  <c r="T860" i="65"/>
  <c r="U860" i="65"/>
  <c r="V860" i="65"/>
  <c r="R861" i="65"/>
  <c r="S861" i="65"/>
  <c r="T861" i="65"/>
  <c r="U861" i="65"/>
  <c r="V861" i="65"/>
  <c r="R862" i="65"/>
  <c r="S862" i="65"/>
  <c r="T862" i="65"/>
  <c r="U862" i="65"/>
  <c r="V862" i="65"/>
  <c r="R863" i="65"/>
  <c r="S863" i="65"/>
  <c r="T863" i="65"/>
  <c r="U863" i="65"/>
  <c r="V863" i="65"/>
  <c r="R864" i="65"/>
  <c r="S864" i="65"/>
  <c r="T864" i="65"/>
  <c r="U864" i="65"/>
  <c r="V864" i="65"/>
  <c r="R865" i="65"/>
  <c r="S865" i="65"/>
  <c r="T865" i="65"/>
  <c r="U865" i="65"/>
  <c r="V865" i="65"/>
  <c r="R866" i="65"/>
  <c r="S866" i="65"/>
  <c r="T866" i="65"/>
  <c r="U866" i="65"/>
  <c r="V866" i="65"/>
  <c r="R867" i="65"/>
  <c r="S867" i="65"/>
  <c r="T867" i="65"/>
  <c r="U867" i="65"/>
  <c r="V867" i="65"/>
  <c r="R868" i="65"/>
  <c r="S868" i="65"/>
  <c r="T868" i="65"/>
  <c r="U868" i="65"/>
  <c r="V868" i="65"/>
  <c r="R869" i="65"/>
  <c r="S869" i="65"/>
  <c r="T869" i="65"/>
  <c r="U869" i="65"/>
  <c r="V869" i="65"/>
  <c r="R369" i="65"/>
  <c r="S369" i="65"/>
  <c r="T369" i="65"/>
  <c r="U369" i="65"/>
  <c r="V369" i="65"/>
  <c r="R370" i="65"/>
  <c r="S370" i="65"/>
  <c r="T370" i="65"/>
  <c r="U370" i="65"/>
  <c r="V370" i="65"/>
  <c r="R371" i="65"/>
  <c r="S371" i="65"/>
  <c r="T371" i="65"/>
  <c r="U371" i="65"/>
  <c r="V371" i="65"/>
  <c r="R372" i="65"/>
  <c r="S372" i="65"/>
  <c r="T372" i="65"/>
  <c r="U372" i="65"/>
  <c r="V372" i="65"/>
  <c r="R373" i="65"/>
  <c r="S373" i="65"/>
  <c r="T373" i="65"/>
  <c r="U373" i="65"/>
  <c r="V373" i="65"/>
  <c r="R374" i="65"/>
  <c r="S374" i="65"/>
  <c r="T374" i="65"/>
  <c r="U374" i="65"/>
  <c r="V374" i="65"/>
  <c r="R375" i="65"/>
  <c r="S375" i="65"/>
  <c r="T375" i="65"/>
  <c r="U375" i="65"/>
  <c r="V375" i="65"/>
  <c r="R376" i="65"/>
  <c r="S376" i="65"/>
  <c r="T376" i="65"/>
  <c r="U376" i="65"/>
  <c r="V376" i="65"/>
  <c r="R377" i="65"/>
  <c r="S377" i="65"/>
  <c r="T377" i="65"/>
  <c r="U377" i="65"/>
  <c r="V377" i="65"/>
  <c r="R378" i="65"/>
  <c r="S378" i="65"/>
  <c r="T378" i="65"/>
  <c r="U378" i="65"/>
  <c r="V378" i="65"/>
  <c r="R379" i="65"/>
  <c r="S379" i="65"/>
  <c r="T379" i="65"/>
  <c r="U379" i="65"/>
  <c r="V379" i="65"/>
  <c r="R380" i="65"/>
  <c r="S380" i="65"/>
  <c r="T380" i="65"/>
  <c r="U380" i="65"/>
  <c r="V380" i="65"/>
  <c r="R381" i="65"/>
  <c r="S381" i="65"/>
  <c r="T381" i="65"/>
  <c r="U381" i="65"/>
  <c r="V381" i="65"/>
  <c r="R382" i="65"/>
  <c r="S382" i="65"/>
  <c r="T382" i="65"/>
  <c r="U382" i="65"/>
  <c r="V382" i="65"/>
  <c r="R383" i="65"/>
  <c r="S383" i="65"/>
  <c r="T383" i="65"/>
  <c r="U383" i="65"/>
  <c r="V383" i="65"/>
  <c r="R384" i="65"/>
  <c r="S384" i="65"/>
  <c r="T384" i="65"/>
  <c r="U384" i="65"/>
  <c r="V384" i="65"/>
  <c r="R385" i="65"/>
  <c r="S385" i="65"/>
  <c r="T385" i="65"/>
  <c r="U385" i="65"/>
  <c r="V385" i="65"/>
  <c r="R386" i="65"/>
  <c r="S386" i="65"/>
  <c r="T386" i="65"/>
  <c r="U386" i="65"/>
  <c r="V386" i="65"/>
  <c r="R387" i="65"/>
  <c r="S387" i="65"/>
  <c r="T387" i="65"/>
  <c r="U387" i="65"/>
  <c r="V387" i="65"/>
  <c r="R388" i="65"/>
  <c r="S388" i="65"/>
  <c r="T388" i="65"/>
  <c r="U388" i="65"/>
  <c r="V388" i="65"/>
  <c r="R389" i="65"/>
  <c r="S389" i="65"/>
  <c r="T389" i="65"/>
  <c r="U389" i="65"/>
  <c r="V389" i="65"/>
  <c r="R390" i="65"/>
  <c r="S390" i="65"/>
  <c r="T390" i="65"/>
  <c r="U390" i="65"/>
  <c r="V390" i="65"/>
  <c r="R391" i="65"/>
  <c r="S391" i="65"/>
  <c r="T391" i="65"/>
  <c r="U391" i="65"/>
  <c r="V391" i="65"/>
  <c r="R392" i="65"/>
  <c r="S392" i="65"/>
  <c r="T392" i="65"/>
  <c r="U392" i="65"/>
  <c r="V392" i="65"/>
  <c r="R393" i="65"/>
  <c r="S393" i="65"/>
  <c r="T393" i="65"/>
  <c r="U393" i="65"/>
  <c r="V393" i="65"/>
  <c r="R394" i="65"/>
  <c r="S394" i="65"/>
  <c r="T394" i="65"/>
  <c r="U394" i="65"/>
  <c r="V394" i="65"/>
  <c r="R395" i="65"/>
  <c r="S395" i="65"/>
  <c r="T395" i="65"/>
  <c r="U395" i="65"/>
  <c r="V395" i="65"/>
  <c r="R396" i="65"/>
  <c r="S396" i="65"/>
  <c r="T396" i="65"/>
  <c r="U396" i="65"/>
  <c r="V396" i="65"/>
  <c r="R397" i="65"/>
  <c r="S397" i="65"/>
  <c r="T397" i="65"/>
  <c r="U397" i="65"/>
  <c r="V397" i="65"/>
  <c r="R398" i="65"/>
  <c r="S398" i="65"/>
  <c r="T398" i="65"/>
  <c r="U398" i="65"/>
  <c r="V398" i="65"/>
  <c r="R399" i="65"/>
  <c r="S399" i="65"/>
  <c r="T399" i="65"/>
  <c r="U399" i="65"/>
  <c r="V399" i="65"/>
  <c r="R400" i="65"/>
  <c r="S400" i="65"/>
  <c r="T400" i="65"/>
  <c r="U400" i="65"/>
  <c r="V400" i="65"/>
  <c r="R401" i="65"/>
  <c r="S401" i="65"/>
  <c r="T401" i="65"/>
  <c r="U401" i="65"/>
  <c r="V401" i="65"/>
  <c r="R402" i="65"/>
  <c r="S402" i="65"/>
  <c r="T402" i="65"/>
  <c r="U402" i="65"/>
  <c r="V402" i="65"/>
  <c r="R403" i="65"/>
  <c r="S403" i="65"/>
  <c r="T403" i="65"/>
  <c r="U403" i="65"/>
  <c r="V403" i="65"/>
  <c r="R404" i="65"/>
  <c r="S404" i="65"/>
  <c r="T404" i="65"/>
  <c r="U404" i="65"/>
  <c r="V404" i="65"/>
  <c r="R405" i="65"/>
  <c r="S405" i="65"/>
  <c r="T405" i="65"/>
  <c r="U405" i="65"/>
  <c r="V405" i="65"/>
  <c r="R406" i="65"/>
  <c r="S406" i="65"/>
  <c r="T406" i="65"/>
  <c r="U406" i="65"/>
  <c r="V406" i="65"/>
  <c r="R407" i="65"/>
  <c r="S407" i="65"/>
  <c r="T407" i="65"/>
  <c r="U407" i="65"/>
  <c r="V407" i="65"/>
  <c r="R408" i="65"/>
  <c r="S408" i="65"/>
  <c r="T408" i="65"/>
  <c r="U408" i="65"/>
  <c r="V408" i="65"/>
  <c r="R409" i="65"/>
  <c r="S409" i="65"/>
  <c r="T409" i="65"/>
  <c r="U409" i="65"/>
  <c r="V409" i="65"/>
  <c r="R410" i="65"/>
  <c r="S410" i="65"/>
  <c r="T410" i="65"/>
  <c r="U410" i="65"/>
  <c r="V410" i="65"/>
  <c r="R411" i="65"/>
  <c r="S411" i="65"/>
  <c r="T411" i="65"/>
  <c r="U411" i="65"/>
  <c r="V411" i="65"/>
  <c r="R412" i="65"/>
  <c r="S412" i="65"/>
  <c r="T412" i="65"/>
  <c r="U412" i="65"/>
  <c r="V412" i="65"/>
  <c r="R413" i="65"/>
  <c r="S413" i="65"/>
  <c r="T413" i="65"/>
  <c r="U413" i="65"/>
  <c r="V413" i="65"/>
  <c r="R414" i="65"/>
  <c r="S414" i="65"/>
  <c r="T414" i="65"/>
  <c r="U414" i="65"/>
  <c r="V414" i="65"/>
  <c r="R415" i="65"/>
  <c r="S415" i="65"/>
  <c r="T415" i="65"/>
  <c r="U415" i="65"/>
  <c r="V415" i="65"/>
  <c r="R416" i="65"/>
  <c r="S416" i="65"/>
  <c r="T416" i="65"/>
  <c r="U416" i="65"/>
  <c r="V416" i="65"/>
  <c r="R417" i="65"/>
  <c r="S417" i="65"/>
  <c r="T417" i="65"/>
  <c r="U417" i="65"/>
  <c r="V417" i="65"/>
  <c r="R418" i="65"/>
  <c r="S418" i="65"/>
  <c r="T418" i="65"/>
  <c r="U418" i="65"/>
  <c r="V418" i="65"/>
  <c r="R419" i="65"/>
  <c r="S419" i="65"/>
  <c r="T419" i="65"/>
  <c r="U419" i="65"/>
  <c r="V419" i="65"/>
  <c r="R420" i="65"/>
  <c r="S420" i="65"/>
  <c r="T420" i="65"/>
  <c r="U420" i="65"/>
  <c r="V420" i="65"/>
  <c r="R421" i="65"/>
  <c r="S421" i="65"/>
  <c r="T421" i="65"/>
  <c r="U421" i="65"/>
  <c r="V421" i="65"/>
  <c r="R422" i="65"/>
  <c r="S422" i="65"/>
  <c r="T422" i="65"/>
  <c r="U422" i="65"/>
  <c r="V422" i="65"/>
  <c r="R423" i="65"/>
  <c r="S423" i="65"/>
  <c r="T423" i="65"/>
  <c r="U423" i="65"/>
  <c r="V423" i="65"/>
  <c r="R424" i="65"/>
  <c r="S424" i="65"/>
  <c r="T424" i="65"/>
  <c r="U424" i="65"/>
  <c r="V424" i="65"/>
  <c r="R425" i="65"/>
  <c r="S425" i="65"/>
  <c r="T425" i="65"/>
  <c r="U425" i="65"/>
  <c r="V425" i="65"/>
  <c r="R426" i="65"/>
  <c r="S426" i="65"/>
  <c r="T426" i="65"/>
  <c r="U426" i="65"/>
  <c r="V426" i="65"/>
  <c r="R427" i="65"/>
  <c r="S427" i="65"/>
  <c r="T427" i="65"/>
  <c r="U427" i="65"/>
  <c r="V427" i="65"/>
  <c r="R428" i="65"/>
  <c r="S428" i="65"/>
  <c r="T428" i="65"/>
  <c r="U428" i="65"/>
  <c r="V428" i="65"/>
  <c r="R429" i="65"/>
  <c r="S429" i="65"/>
  <c r="T429" i="65"/>
  <c r="U429" i="65"/>
  <c r="V429" i="65"/>
  <c r="R430" i="65"/>
  <c r="S430" i="65"/>
  <c r="T430" i="65"/>
  <c r="U430" i="65"/>
  <c r="V430" i="65"/>
  <c r="R431" i="65"/>
  <c r="S431" i="65"/>
  <c r="T431" i="65"/>
  <c r="U431" i="65"/>
  <c r="V431" i="65"/>
  <c r="R432" i="65"/>
  <c r="S432" i="65"/>
  <c r="T432" i="65"/>
  <c r="U432" i="65"/>
  <c r="V432" i="65"/>
  <c r="R433" i="65"/>
  <c r="S433" i="65"/>
  <c r="T433" i="65"/>
  <c r="U433" i="65"/>
  <c r="V433" i="65"/>
  <c r="R434" i="65"/>
  <c r="S434" i="65"/>
  <c r="T434" i="65"/>
  <c r="U434" i="65"/>
  <c r="V434" i="65"/>
  <c r="R435" i="65"/>
  <c r="S435" i="65"/>
  <c r="T435" i="65"/>
  <c r="U435" i="65"/>
  <c r="V435" i="65"/>
  <c r="R436" i="65"/>
  <c r="S436" i="65"/>
  <c r="T436" i="65"/>
  <c r="U436" i="65"/>
  <c r="V436" i="65"/>
  <c r="R437" i="65"/>
  <c r="S437" i="65"/>
  <c r="T437" i="65"/>
  <c r="U437" i="65"/>
  <c r="V437" i="65"/>
  <c r="R438" i="65"/>
  <c r="S438" i="65"/>
  <c r="T438" i="65"/>
  <c r="U438" i="65"/>
  <c r="V438" i="65"/>
  <c r="R439" i="65"/>
  <c r="S439" i="65"/>
  <c r="T439" i="65"/>
  <c r="U439" i="65"/>
  <c r="V439" i="65"/>
  <c r="R440" i="65"/>
  <c r="S440" i="65"/>
  <c r="T440" i="65"/>
  <c r="U440" i="65"/>
  <c r="V440" i="65"/>
  <c r="R441" i="65"/>
  <c r="S441" i="65"/>
  <c r="T441" i="65"/>
  <c r="U441" i="65"/>
  <c r="V441" i="65"/>
  <c r="R442" i="65"/>
  <c r="S442" i="65"/>
  <c r="T442" i="65"/>
  <c r="U442" i="65"/>
  <c r="V442" i="65"/>
  <c r="R363" i="65" l="1"/>
  <c r="S363" i="65"/>
  <c r="T363" i="65"/>
  <c r="U363" i="65"/>
  <c r="V363" i="65"/>
  <c r="R364" i="65"/>
  <c r="S364" i="65"/>
  <c r="T364" i="65"/>
  <c r="U364" i="65"/>
  <c r="V364" i="65"/>
  <c r="R365" i="65"/>
  <c r="S365" i="65"/>
  <c r="T365" i="65"/>
  <c r="U365" i="65"/>
  <c r="V365" i="65"/>
  <c r="R366" i="65"/>
  <c r="S366" i="65"/>
  <c r="T366" i="65"/>
  <c r="U366" i="65"/>
  <c r="V366" i="65"/>
  <c r="R367" i="65"/>
  <c r="S367" i="65"/>
  <c r="T367" i="65"/>
  <c r="U367" i="65"/>
  <c r="V367" i="65"/>
  <c r="R368" i="65"/>
  <c r="S368" i="65"/>
  <c r="T368" i="65"/>
  <c r="U368" i="65"/>
  <c r="V368" i="65"/>
  <c r="AN19" i="87" l="1"/>
  <c r="AN18" i="87"/>
  <c r="I17" i="87"/>
  <c r="AN17" i="87" s="1"/>
  <c r="AN20" i="87" l="1"/>
  <c r="AN21" i="87"/>
  <c r="AN22" i="87" l="1"/>
  <c r="AN23" i="87" l="1"/>
  <c r="AN24" i="87" l="1"/>
  <c r="AN25" i="87" l="1"/>
  <c r="AN26" i="87" l="1"/>
  <c r="AN27" i="87"/>
  <c r="F19" i="87" l="1"/>
  <c r="AL28" i="82"/>
  <c r="AL27" i="82"/>
  <c r="AL26" i="82"/>
  <c r="AL25" i="82"/>
  <c r="AL24" i="82"/>
  <c r="AL23" i="82"/>
  <c r="AL22" i="82"/>
  <c r="AL21" i="82"/>
  <c r="AL20" i="82"/>
  <c r="AL19" i="82"/>
  <c r="AL18" i="82"/>
  <c r="AL17" i="82"/>
  <c r="AL16" i="82"/>
  <c r="AL15" i="82"/>
  <c r="AL14" i="82"/>
  <c r="AL13" i="82"/>
  <c r="AL12" i="82"/>
  <c r="AL11" i="82"/>
  <c r="AL10" i="82"/>
  <c r="AL9" i="82"/>
  <c r="AL8" i="82"/>
  <c r="AG28" i="82"/>
  <c r="AF28" i="82"/>
  <c r="AE28" i="82"/>
  <c r="AD28" i="82"/>
  <c r="AC28" i="82"/>
  <c r="AG27" i="82"/>
  <c r="AF27" i="82"/>
  <c r="AE27" i="82"/>
  <c r="AD27" i="82"/>
  <c r="AC27" i="82"/>
  <c r="AG26" i="82"/>
  <c r="AF26" i="82"/>
  <c r="AE26" i="82"/>
  <c r="AD26" i="82"/>
  <c r="AC26" i="82"/>
  <c r="AG25" i="82"/>
  <c r="AF25" i="82"/>
  <c r="AE25" i="82"/>
  <c r="AD25" i="82"/>
  <c r="AC25" i="82"/>
  <c r="AG24" i="82"/>
  <c r="AF24" i="82"/>
  <c r="AE24" i="82"/>
  <c r="AD24" i="82"/>
  <c r="AC24" i="82"/>
  <c r="AG23" i="82"/>
  <c r="AF23" i="82"/>
  <c r="AE23" i="82"/>
  <c r="AD23" i="82"/>
  <c r="AC23" i="82"/>
  <c r="AG22" i="82"/>
  <c r="AF22" i="82"/>
  <c r="AE22" i="82"/>
  <c r="AD22" i="82"/>
  <c r="AC22" i="82"/>
  <c r="AG21" i="82"/>
  <c r="AF21" i="82"/>
  <c r="AE21" i="82"/>
  <c r="AD21" i="82"/>
  <c r="AC21" i="82"/>
  <c r="AG20" i="82"/>
  <c r="AF20" i="82"/>
  <c r="AE20" i="82"/>
  <c r="AD20" i="82"/>
  <c r="AC20" i="82"/>
  <c r="AG19" i="82"/>
  <c r="AF19" i="82"/>
  <c r="AE19" i="82"/>
  <c r="AD19" i="82"/>
  <c r="AC19" i="82"/>
  <c r="AG18" i="82"/>
  <c r="AF18" i="82"/>
  <c r="AE18" i="82"/>
  <c r="AD18" i="82"/>
  <c r="AC18" i="82"/>
  <c r="AG17" i="82"/>
  <c r="AF17" i="82"/>
  <c r="AE17" i="82"/>
  <c r="AD17" i="82"/>
  <c r="AC17" i="82"/>
  <c r="AG16" i="82"/>
  <c r="AF16" i="82"/>
  <c r="AE16" i="82"/>
  <c r="AD16" i="82"/>
  <c r="AC16" i="82"/>
  <c r="AG15" i="82"/>
  <c r="AF15" i="82"/>
  <c r="AE15" i="82"/>
  <c r="AD15" i="82"/>
  <c r="AC15" i="82"/>
  <c r="AG14" i="82"/>
  <c r="AF14" i="82"/>
  <c r="AE14" i="82"/>
  <c r="AD14" i="82"/>
  <c r="AC14" i="82"/>
  <c r="AG13" i="82"/>
  <c r="AF13" i="82"/>
  <c r="AE13" i="82"/>
  <c r="AD13" i="82"/>
  <c r="AC13" i="82"/>
  <c r="AG12" i="82"/>
  <c r="AF12" i="82"/>
  <c r="AE12" i="82"/>
  <c r="AD12" i="82"/>
  <c r="AC12" i="82"/>
  <c r="AG11" i="82"/>
  <c r="AF11" i="82"/>
  <c r="AE11" i="82"/>
  <c r="AD11" i="82"/>
  <c r="AC11" i="82"/>
  <c r="AG10" i="82"/>
  <c r="AF10" i="82"/>
  <c r="AE10" i="82"/>
  <c r="AD10" i="82"/>
  <c r="AC10" i="82"/>
  <c r="AG9" i="82"/>
  <c r="AF9" i="82"/>
  <c r="AE9" i="82"/>
  <c r="AD9" i="82"/>
  <c r="AC9" i="82"/>
  <c r="AG8" i="82"/>
  <c r="AF8" i="82"/>
  <c r="AE8" i="82"/>
  <c r="AD8" i="82"/>
  <c r="AC8" i="82"/>
  <c r="X28" i="82"/>
  <c r="W28" i="82"/>
  <c r="V28" i="82"/>
  <c r="U28" i="82"/>
  <c r="T28" i="82"/>
  <c r="X27" i="82"/>
  <c r="W27" i="82"/>
  <c r="V27" i="82"/>
  <c r="U27" i="82"/>
  <c r="T27" i="82"/>
  <c r="X26" i="82"/>
  <c r="W26" i="82"/>
  <c r="V26" i="82"/>
  <c r="U26" i="82"/>
  <c r="T26" i="82"/>
  <c r="X25" i="82"/>
  <c r="W25" i="82"/>
  <c r="V25" i="82"/>
  <c r="U25" i="82"/>
  <c r="T25" i="82"/>
  <c r="X24" i="82"/>
  <c r="W24" i="82"/>
  <c r="V24" i="82"/>
  <c r="U24" i="82"/>
  <c r="T24" i="82"/>
  <c r="X23" i="82"/>
  <c r="W23" i="82"/>
  <c r="V23" i="82"/>
  <c r="U23" i="82"/>
  <c r="T23" i="82"/>
  <c r="X22" i="82"/>
  <c r="W22" i="82"/>
  <c r="V22" i="82"/>
  <c r="U22" i="82"/>
  <c r="T22" i="82"/>
  <c r="X21" i="82"/>
  <c r="W21" i="82"/>
  <c r="V21" i="82"/>
  <c r="U21" i="82"/>
  <c r="T21" i="82"/>
  <c r="X20" i="82"/>
  <c r="W20" i="82"/>
  <c r="V20" i="82"/>
  <c r="U20" i="82"/>
  <c r="T20" i="82"/>
  <c r="X19" i="82"/>
  <c r="W19" i="82"/>
  <c r="V19" i="82"/>
  <c r="U19" i="82"/>
  <c r="T19" i="82"/>
  <c r="X18" i="82"/>
  <c r="W18" i="82"/>
  <c r="V18" i="82"/>
  <c r="U18" i="82"/>
  <c r="T18" i="82"/>
  <c r="X17" i="82"/>
  <c r="W17" i="82"/>
  <c r="V17" i="82"/>
  <c r="U17" i="82"/>
  <c r="T17" i="82"/>
  <c r="X16" i="82"/>
  <c r="W16" i="82"/>
  <c r="V16" i="82"/>
  <c r="U16" i="82"/>
  <c r="T16" i="82"/>
  <c r="X15" i="82"/>
  <c r="W15" i="82"/>
  <c r="V15" i="82"/>
  <c r="U15" i="82"/>
  <c r="T15" i="82"/>
  <c r="X14" i="82"/>
  <c r="W14" i="82"/>
  <c r="V14" i="82"/>
  <c r="U14" i="82"/>
  <c r="T14" i="82"/>
  <c r="X13" i="82"/>
  <c r="W13" i="82"/>
  <c r="V13" i="82"/>
  <c r="U13" i="82"/>
  <c r="T13" i="82"/>
  <c r="X12" i="82"/>
  <c r="W12" i="82"/>
  <c r="V12" i="82"/>
  <c r="U12" i="82"/>
  <c r="T12" i="82"/>
  <c r="X11" i="82"/>
  <c r="W11" i="82"/>
  <c r="V11" i="82"/>
  <c r="U11" i="82"/>
  <c r="T11" i="82"/>
  <c r="X10" i="82"/>
  <c r="W10" i="82"/>
  <c r="V10" i="82"/>
  <c r="U10" i="82"/>
  <c r="T10" i="82"/>
  <c r="X9" i="82"/>
  <c r="W9" i="82"/>
  <c r="V9" i="82"/>
  <c r="U9" i="82"/>
  <c r="T9" i="82"/>
  <c r="X8" i="82"/>
  <c r="W8" i="82"/>
  <c r="V8" i="82"/>
  <c r="U8" i="82"/>
  <c r="T8" i="82"/>
  <c r="K9" i="82"/>
  <c r="L9" i="82"/>
  <c r="M9" i="82"/>
  <c r="N9" i="82"/>
  <c r="O9" i="82"/>
  <c r="K10" i="82"/>
  <c r="L10" i="82"/>
  <c r="M10" i="82"/>
  <c r="N10" i="82"/>
  <c r="O10" i="82"/>
  <c r="K11" i="82"/>
  <c r="L11" i="82"/>
  <c r="M11" i="82"/>
  <c r="N11" i="82"/>
  <c r="O11" i="82"/>
  <c r="K12" i="82"/>
  <c r="L12" i="82"/>
  <c r="M12" i="82"/>
  <c r="N12" i="82"/>
  <c r="O12" i="82"/>
  <c r="K13" i="82"/>
  <c r="L13" i="82"/>
  <c r="M13" i="82"/>
  <c r="N13" i="82"/>
  <c r="O13" i="82"/>
  <c r="K14" i="82"/>
  <c r="L14" i="82"/>
  <c r="M14" i="82"/>
  <c r="N14" i="82"/>
  <c r="O14" i="82"/>
  <c r="K15" i="82"/>
  <c r="L15" i="82"/>
  <c r="M15" i="82"/>
  <c r="N15" i="82"/>
  <c r="O15" i="82"/>
  <c r="K16" i="82"/>
  <c r="L16" i="82"/>
  <c r="M16" i="82"/>
  <c r="N16" i="82"/>
  <c r="O16" i="82"/>
  <c r="K17" i="82"/>
  <c r="L17" i="82"/>
  <c r="M17" i="82"/>
  <c r="N17" i="82"/>
  <c r="O17" i="82"/>
  <c r="K18" i="82"/>
  <c r="L18" i="82"/>
  <c r="M18" i="82"/>
  <c r="N18" i="82"/>
  <c r="O18" i="82"/>
  <c r="K19" i="82"/>
  <c r="L19" i="82"/>
  <c r="M19" i="82"/>
  <c r="N19" i="82"/>
  <c r="O19" i="82"/>
  <c r="K20" i="82"/>
  <c r="L20" i="82"/>
  <c r="M20" i="82"/>
  <c r="N20" i="82"/>
  <c r="O20" i="82"/>
  <c r="K21" i="82"/>
  <c r="L21" i="82"/>
  <c r="M21" i="82"/>
  <c r="N21" i="82"/>
  <c r="O21" i="82"/>
  <c r="K22" i="82"/>
  <c r="L22" i="82"/>
  <c r="M22" i="82"/>
  <c r="N22" i="82"/>
  <c r="O22" i="82"/>
  <c r="K23" i="82"/>
  <c r="L23" i="82"/>
  <c r="M23" i="82"/>
  <c r="N23" i="82"/>
  <c r="O23" i="82"/>
  <c r="K24" i="82"/>
  <c r="L24" i="82"/>
  <c r="M24" i="82"/>
  <c r="N24" i="82"/>
  <c r="O24" i="82"/>
  <c r="K25" i="82"/>
  <c r="L25" i="82"/>
  <c r="M25" i="82"/>
  <c r="N25" i="82"/>
  <c r="O25" i="82"/>
  <c r="K26" i="82"/>
  <c r="L26" i="82"/>
  <c r="M26" i="82"/>
  <c r="N26" i="82"/>
  <c r="O26" i="82"/>
  <c r="K27" i="82"/>
  <c r="L27" i="82"/>
  <c r="M27" i="82"/>
  <c r="N27" i="82"/>
  <c r="O27" i="82"/>
  <c r="K28" i="82"/>
  <c r="L28" i="82"/>
  <c r="M28" i="82"/>
  <c r="N28" i="82"/>
  <c r="O28" i="82"/>
  <c r="L8" i="82"/>
  <c r="M8" i="82"/>
  <c r="N8" i="82"/>
  <c r="O8" i="82"/>
  <c r="K8" i="82"/>
  <c r="E8" i="82"/>
  <c r="X7" i="87" s="1"/>
  <c r="F8" i="82"/>
  <c r="AM7" i="87" s="1"/>
  <c r="G8" i="82"/>
  <c r="BF7" i="87" s="1"/>
  <c r="E9" i="82"/>
  <c r="X8" i="87" s="1"/>
  <c r="F9" i="82"/>
  <c r="AM8" i="87" s="1"/>
  <c r="AM34" i="87" s="1"/>
  <c r="G9" i="82"/>
  <c r="BF8" i="87" s="1"/>
  <c r="BF34" i="87" s="1"/>
  <c r="E10" i="82"/>
  <c r="X9" i="87" s="1"/>
  <c r="X35" i="87" s="1"/>
  <c r="F10" i="82"/>
  <c r="AM9" i="87" s="1"/>
  <c r="AM35" i="87" s="1"/>
  <c r="G10" i="82"/>
  <c r="BF9" i="87" s="1"/>
  <c r="BF35" i="87" s="1"/>
  <c r="E11" i="82"/>
  <c r="X10" i="87" s="1"/>
  <c r="X36" i="87" s="1"/>
  <c r="F11" i="82"/>
  <c r="AM10" i="87" s="1"/>
  <c r="AM36" i="87" s="1"/>
  <c r="G11" i="82"/>
  <c r="BF10" i="87" s="1"/>
  <c r="BF36" i="87" s="1"/>
  <c r="E12" i="82"/>
  <c r="X11" i="87" s="1"/>
  <c r="X37" i="87" s="1"/>
  <c r="F12" i="82"/>
  <c r="AM11" i="87" s="1"/>
  <c r="AM37" i="87" s="1"/>
  <c r="G12" i="82"/>
  <c r="BF11" i="87" s="1"/>
  <c r="BF37" i="87" s="1"/>
  <c r="E13" i="82"/>
  <c r="X12" i="87" s="1"/>
  <c r="X38" i="87" s="1"/>
  <c r="F13" i="82"/>
  <c r="AM12" i="87" s="1"/>
  <c r="AM38" i="87" s="1"/>
  <c r="G13" i="82"/>
  <c r="BF12" i="87" s="1"/>
  <c r="BF38" i="87" s="1"/>
  <c r="E14" i="82"/>
  <c r="X13" i="87" s="1"/>
  <c r="X39" i="87" s="1"/>
  <c r="F14" i="82"/>
  <c r="AM13" i="87" s="1"/>
  <c r="AM39" i="87" s="1"/>
  <c r="G14" i="82"/>
  <c r="BF13" i="87" s="1"/>
  <c r="BF39" i="87" s="1"/>
  <c r="E15" i="82"/>
  <c r="X14" i="87" s="1"/>
  <c r="X40" i="87" s="1"/>
  <c r="F15" i="82"/>
  <c r="AM14" i="87" s="1"/>
  <c r="AM40" i="87" s="1"/>
  <c r="G15" i="82"/>
  <c r="BF14" i="87" s="1"/>
  <c r="BF40" i="87" s="1"/>
  <c r="E16" i="82"/>
  <c r="X15" i="87" s="1"/>
  <c r="X41" i="87" s="1"/>
  <c r="F16" i="82"/>
  <c r="AM15" i="87" s="1"/>
  <c r="AM41" i="87" s="1"/>
  <c r="G16" i="82"/>
  <c r="BF15" i="87" s="1"/>
  <c r="BF41" i="87" s="1"/>
  <c r="E17" i="82"/>
  <c r="X16" i="87" s="1"/>
  <c r="X42" i="87" s="1"/>
  <c r="F17" i="82"/>
  <c r="AM16" i="87" s="1"/>
  <c r="AM42" i="87" s="1"/>
  <c r="G17" i="82"/>
  <c r="BF16" i="87" s="1"/>
  <c r="BF42" i="87" s="1"/>
  <c r="E18" i="82"/>
  <c r="X17" i="87" s="1"/>
  <c r="X43" i="87" s="1"/>
  <c r="F18" i="82"/>
  <c r="AM17" i="87" s="1"/>
  <c r="AM43" i="87" s="1"/>
  <c r="G18" i="82"/>
  <c r="BF17" i="87" s="1"/>
  <c r="BF43" i="87" s="1"/>
  <c r="E19" i="82"/>
  <c r="X18" i="87" s="1"/>
  <c r="X44" i="87" s="1"/>
  <c r="F19" i="82"/>
  <c r="AM18" i="87" s="1"/>
  <c r="AM44" i="87" s="1"/>
  <c r="G19" i="82"/>
  <c r="BF18" i="87" s="1"/>
  <c r="BF44" i="87" s="1"/>
  <c r="E20" i="82"/>
  <c r="X19" i="87" s="1"/>
  <c r="X45" i="87" s="1"/>
  <c r="F20" i="82"/>
  <c r="AM19" i="87" s="1"/>
  <c r="AM45" i="87" s="1"/>
  <c r="G20" i="82"/>
  <c r="BF19" i="87" s="1"/>
  <c r="BF45" i="87" s="1"/>
  <c r="E21" i="82"/>
  <c r="X20" i="87" s="1"/>
  <c r="X46" i="87" s="1"/>
  <c r="F21" i="82"/>
  <c r="AM20" i="87" s="1"/>
  <c r="AM46" i="87" s="1"/>
  <c r="G21" i="82"/>
  <c r="BF20" i="87" s="1"/>
  <c r="BF46" i="87" s="1"/>
  <c r="E22" i="82"/>
  <c r="X21" i="87" s="1"/>
  <c r="X47" i="87" s="1"/>
  <c r="F22" i="82"/>
  <c r="AM21" i="87" s="1"/>
  <c r="AM47" i="87" s="1"/>
  <c r="G22" i="82"/>
  <c r="BF21" i="87" s="1"/>
  <c r="BF47" i="87" s="1"/>
  <c r="E23" i="82"/>
  <c r="X22" i="87" s="1"/>
  <c r="X48" i="87" s="1"/>
  <c r="F23" i="82"/>
  <c r="AM22" i="87" s="1"/>
  <c r="AM48" i="87" s="1"/>
  <c r="G23" i="82"/>
  <c r="BF22" i="87" s="1"/>
  <c r="BF48" i="87" s="1"/>
  <c r="E24" i="82"/>
  <c r="X23" i="87" s="1"/>
  <c r="X49" i="87" s="1"/>
  <c r="F24" i="82"/>
  <c r="AM23" i="87" s="1"/>
  <c r="AM49" i="87" s="1"/>
  <c r="G24" i="82"/>
  <c r="BF23" i="87" s="1"/>
  <c r="BF49" i="87" s="1"/>
  <c r="E25" i="82"/>
  <c r="X24" i="87" s="1"/>
  <c r="X50" i="87" s="1"/>
  <c r="F25" i="82"/>
  <c r="AM24" i="87" s="1"/>
  <c r="AM50" i="87" s="1"/>
  <c r="G25" i="82"/>
  <c r="BF24" i="87" s="1"/>
  <c r="BF50" i="87" s="1"/>
  <c r="E26" i="82"/>
  <c r="X25" i="87" s="1"/>
  <c r="X51" i="87" s="1"/>
  <c r="F26" i="82"/>
  <c r="AM25" i="87" s="1"/>
  <c r="AM51" i="87" s="1"/>
  <c r="G26" i="82"/>
  <c r="BF25" i="87" s="1"/>
  <c r="BF51" i="87" s="1"/>
  <c r="E27" i="82"/>
  <c r="X26" i="87" s="1"/>
  <c r="X52" i="87" s="1"/>
  <c r="F27" i="82"/>
  <c r="AM26" i="87" s="1"/>
  <c r="AM52" i="87" s="1"/>
  <c r="G27" i="82"/>
  <c r="BF26" i="87" s="1"/>
  <c r="BF52" i="87" s="1"/>
  <c r="E28" i="82"/>
  <c r="X27" i="87" s="1"/>
  <c r="X53" i="87" s="1"/>
  <c r="F28" i="82"/>
  <c r="AM27" i="87" s="1"/>
  <c r="AM53" i="87" s="1"/>
  <c r="G28" i="82"/>
  <c r="BF27" i="87" s="1"/>
  <c r="BF53" i="87" s="1"/>
  <c r="D9" i="82"/>
  <c r="H8" i="87" s="1"/>
  <c r="H34" i="87" s="1"/>
  <c r="D10" i="82"/>
  <c r="H9" i="87" s="1"/>
  <c r="H35" i="87" s="1"/>
  <c r="D11" i="82"/>
  <c r="H10" i="87" s="1"/>
  <c r="H36" i="87" s="1"/>
  <c r="D12" i="82"/>
  <c r="H11" i="87" s="1"/>
  <c r="H37" i="87" s="1"/>
  <c r="D13" i="82"/>
  <c r="H12" i="87" s="1"/>
  <c r="H38" i="87" s="1"/>
  <c r="D14" i="82"/>
  <c r="H13" i="87" s="1"/>
  <c r="H39" i="87" s="1"/>
  <c r="D15" i="82"/>
  <c r="H14" i="87" s="1"/>
  <c r="H40" i="87" s="1"/>
  <c r="D16" i="82"/>
  <c r="H15" i="87" s="1"/>
  <c r="H41" i="87" s="1"/>
  <c r="D17" i="82"/>
  <c r="H16" i="87" s="1"/>
  <c r="H42" i="87" s="1"/>
  <c r="D18" i="82"/>
  <c r="H17" i="87" s="1"/>
  <c r="H43" i="87" s="1"/>
  <c r="D19" i="82"/>
  <c r="H18" i="87" s="1"/>
  <c r="H44" i="87" s="1"/>
  <c r="D20" i="82"/>
  <c r="H19" i="87" s="1"/>
  <c r="H45" i="87" s="1"/>
  <c r="D21" i="82"/>
  <c r="H20" i="87" s="1"/>
  <c r="H46" i="87" s="1"/>
  <c r="D22" i="82"/>
  <c r="H21" i="87" s="1"/>
  <c r="H47" i="87" s="1"/>
  <c r="D23" i="82"/>
  <c r="H22" i="87" s="1"/>
  <c r="H48" i="87" s="1"/>
  <c r="D24" i="82"/>
  <c r="H23" i="87" s="1"/>
  <c r="H49" i="87" s="1"/>
  <c r="D25" i="82"/>
  <c r="H24" i="87" s="1"/>
  <c r="H50" i="87" s="1"/>
  <c r="D26" i="82"/>
  <c r="H25" i="87" s="1"/>
  <c r="H51" i="87" s="1"/>
  <c r="D27" i="82"/>
  <c r="H26" i="87" s="1"/>
  <c r="H52" i="87" s="1"/>
  <c r="D28" i="82"/>
  <c r="H27" i="87" s="1"/>
  <c r="H53" i="87" s="1"/>
  <c r="D8" i="82"/>
  <c r="H7" i="87" s="1"/>
  <c r="AN35" i="87" l="1"/>
  <c r="Y34" i="87"/>
  <c r="I34" i="87"/>
  <c r="I40" i="87"/>
  <c r="I46" i="87"/>
  <c r="I52" i="87"/>
  <c r="I51" i="87"/>
  <c r="I35" i="87"/>
  <c r="I41" i="87"/>
  <c r="I47" i="87"/>
  <c r="I53" i="87"/>
  <c r="I39" i="87"/>
  <c r="I36" i="87"/>
  <c r="I42" i="87"/>
  <c r="I48" i="87"/>
  <c r="I45" i="87"/>
  <c r="I37" i="87"/>
  <c r="I43" i="87"/>
  <c r="I49" i="87"/>
  <c r="I38" i="87"/>
  <c r="I44" i="87"/>
  <c r="I50" i="87"/>
  <c r="X34" i="87"/>
  <c r="Y39" i="87"/>
  <c r="Y51" i="87"/>
  <c r="Y45" i="87"/>
  <c r="BG44" i="87"/>
  <c r="BG45" i="87"/>
  <c r="BG34" i="87"/>
  <c r="BG46" i="87"/>
  <c r="BG35" i="87"/>
  <c r="BG47" i="87"/>
  <c r="BG43" i="87"/>
  <c r="BG36" i="87"/>
  <c r="BG48" i="87"/>
  <c r="BG37" i="87"/>
  <c r="BG49" i="87"/>
  <c r="BG38" i="87"/>
  <c r="BG50" i="87"/>
  <c r="BG39" i="87"/>
  <c r="BG51" i="87"/>
  <c r="BG40" i="87"/>
  <c r="BG52" i="87"/>
  <c r="BG41" i="87"/>
  <c r="BG53" i="87"/>
  <c r="BG42" i="87"/>
  <c r="AN40" i="87"/>
  <c r="AN51" i="87"/>
  <c r="AN45" i="87"/>
  <c r="AN39" i="87"/>
  <c r="Y50" i="87"/>
  <c r="Y44" i="87"/>
  <c r="Y38" i="87"/>
  <c r="AN52" i="87"/>
  <c r="AN34" i="87"/>
  <c r="AN50" i="87"/>
  <c r="AN44" i="87"/>
  <c r="AN38" i="87"/>
  <c r="Y49" i="87"/>
  <c r="Y43" i="87"/>
  <c r="Y37" i="87"/>
  <c r="AN49" i="87"/>
  <c r="AN43" i="87"/>
  <c r="AN37" i="87"/>
  <c r="Y48" i="87"/>
  <c r="Y42" i="87"/>
  <c r="Y36" i="87"/>
  <c r="AN46" i="87"/>
  <c r="AN48" i="87"/>
  <c r="AN42" i="87"/>
  <c r="AN36" i="87"/>
  <c r="Y53" i="87"/>
  <c r="Y47" i="87"/>
  <c r="Y41" i="87"/>
  <c r="Y35" i="87"/>
  <c r="AN53" i="87"/>
  <c r="AN47" i="87"/>
  <c r="AN41" i="87"/>
  <c r="Y52" i="87"/>
  <c r="Y46" i="87"/>
  <c r="Y40" i="87"/>
  <c r="BE53" i="87" l="1"/>
  <c r="AL53" i="87"/>
  <c r="W53" i="87"/>
  <c r="G53" i="87"/>
  <c r="BE52" i="87"/>
  <c r="AL52" i="87"/>
  <c r="W52" i="87"/>
  <c r="G52" i="87"/>
  <c r="BE51" i="87"/>
  <c r="AL51" i="87"/>
  <c r="W51" i="87"/>
  <c r="G51" i="87"/>
  <c r="BE50" i="87"/>
  <c r="AL50" i="87"/>
  <c r="W50" i="87"/>
  <c r="G50" i="87"/>
  <c r="BE49" i="87"/>
  <c r="AL49" i="87"/>
  <c r="W49" i="87"/>
  <c r="G49" i="87"/>
  <c r="BE48" i="87"/>
  <c r="AL48" i="87"/>
  <c r="W48" i="87"/>
  <c r="G48" i="87"/>
  <c r="BE47" i="87"/>
  <c r="AL47" i="87"/>
  <c r="W47" i="87"/>
  <c r="G47" i="87"/>
  <c r="BE46" i="87"/>
  <c r="AL46" i="87"/>
  <c r="W46" i="87"/>
  <c r="G46" i="87"/>
  <c r="BE45" i="87"/>
  <c r="AL45" i="87"/>
  <c r="W45" i="87"/>
  <c r="G45" i="87"/>
  <c r="BE44" i="87"/>
  <c r="AL44" i="87"/>
  <c r="W44" i="87"/>
  <c r="G44" i="87"/>
  <c r="BE43" i="87"/>
  <c r="AL43" i="87"/>
  <c r="W43" i="87"/>
  <c r="G43" i="87"/>
  <c r="BE42" i="87"/>
  <c r="AL42" i="87"/>
  <c r="W42" i="87"/>
  <c r="G42" i="87"/>
  <c r="BE41" i="87"/>
  <c r="AL41" i="87"/>
  <c r="W41" i="87"/>
  <c r="G41" i="87"/>
  <c r="BE40" i="87"/>
  <c r="AL40" i="87"/>
  <c r="W40" i="87"/>
  <c r="G40" i="87"/>
  <c r="BE39" i="87"/>
  <c r="AL39" i="87"/>
  <c r="W39" i="87"/>
  <c r="G39" i="87"/>
  <c r="BE38" i="87"/>
  <c r="AL38" i="87"/>
  <c r="W38" i="87"/>
  <c r="G38" i="87"/>
  <c r="BE37" i="87"/>
  <c r="AL37" i="87"/>
  <c r="W37" i="87"/>
  <c r="G37" i="87"/>
  <c r="BE36" i="87"/>
  <c r="AL36" i="87"/>
  <c r="W36" i="87"/>
  <c r="G36" i="87"/>
  <c r="BE35" i="87"/>
  <c r="AL35" i="87"/>
  <c r="W35" i="87"/>
  <c r="G35" i="87"/>
  <c r="BE34" i="87"/>
  <c r="AL34" i="87"/>
  <c r="W34" i="87"/>
  <c r="G34" i="87"/>
  <c r="BE33" i="87"/>
  <c r="AL33" i="87"/>
  <c r="W33" i="87"/>
  <c r="G33" i="87"/>
  <c r="F27" i="87"/>
  <c r="F26" i="87"/>
  <c r="F25" i="87"/>
  <c r="F24" i="87"/>
  <c r="F23" i="87"/>
  <c r="F22" i="87"/>
  <c r="F21" i="87"/>
  <c r="F20" i="87"/>
  <c r="F18" i="87"/>
  <c r="F17" i="87"/>
  <c r="F16" i="87"/>
  <c r="F15" i="87"/>
  <c r="F14" i="87"/>
  <c r="F13" i="87"/>
  <c r="F12" i="87"/>
  <c r="F11" i="87"/>
  <c r="F10" i="87"/>
  <c r="F9" i="87"/>
  <c r="F8" i="87"/>
  <c r="BF33" i="87"/>
  <c r="F7" i="87"/>
  <c r="H33" i="87" l="1"/>
  <c r="I33" i="87"/>
  <c r="BG33" i="87"/>
  <c r="AN33" i="87"/>
  <c r="AM33" i="87"/>
  <c r="Y33" i="87"/>
  <c r="X33" i="87"/>
  <c r="K4" i="65"/>
  <c r="K5" i="65"/>
  <c r="K6" i="65"/>
  <c r="K7" i="65"/>
  <c r="K8" i="65"/>
  <c r="K9" i="65"/>
  <c r="K10" i="65"/>
  <c r="K11" i="65"/>
  <c r="K12" i="65"/>
  <c r="K13" i="65"/>
  <c r="K14" i="65"/>
  <c r="K15" i="65"/>
  <c r="K16" i="65"/>
  <c r="K17" i="65"/>
  <c r="K18" i="65"/>
  <c r="K19" i="65"/>
  <c r="K20" i="65"/>
  <c r="K21" i="65"/>
  <c r="K22" i="65"/>
  <c r="K23" i="65"/>
  <c r="K24" i="65"/>
  <c r="K25" i="65"/>
  <c r="K26" i="65"/>
  <c r="K27" i="65"/>
  <c r="K28" i="65"/>
  <c r="K29" i="65"/>
  <c r="K30" i="65"/>
  <c r="K31" i="65"/>
  <c r="K32" i="65"/>
  <c r="K33" i="65"/>
  <c r="K34" i="65"/>
  <c r="K35" i="65"/>
  <c r="K36" i="65"/>
  <c r="K37" i="65"/>
  <c r="K38" i="65"/>
  <c r="K39" i="65"/>
  <c r="K40" i="65"/>
  <c r="K41" i="65"/>
  <c r="K42" i="65"/>
  <c r="K43" i="65"/>
  <c r="K44" i="65"/>
  <c r="K45" i="65"/>
  <c r="K46" i="65"/>
  <c r="K47" i="65"/>
  <c r="K48" i="65"/>
  <c r="K49" i="65"/>
  <c r="K50" i="65"/>
  <c r="K51" i="65"/>
  <c r="K52" i="65"/>
  <c r="K53" i="65"/>
  <c r="K54" i="65"/>
  <c r="K55" i="65"/>
  <c r="K56" i="65"/>
  <c r="K57" i="65"/>
  <c r="K58" i="65"/>
  <c r="K59" i="65"/>
  <c r="K60" i="65"/>
  <c r="K61" i="65"/>
  <c r="K62" i="65"/>
  <c r="K63" i="65"/>
  <c r="K64" i="65"/>
  <c r="K65" i="65"/>
  <c r="K66" i="65"/>
  <c r="K67" i="65"/>
  <c r="K68" i="65"/>
  <c r="K69" i="65"/>
  <c r="K70" i="65"/>
  <c r="K71" i="65"/>
  <c r="K72" i="65"/>
  <c r="K73" i="65"/>
  <c r="K74" i="65"/>
  <c r="K75" i="65"/>
  <c r="K76" i="65"/>
  <c r="K77" i="65"/>
  <c r="K78" i="65"/>
  <c r="K79" i="65"/>
  <c r="K80" i="65"/>
  <c r="K81" i="65"/>
  <c r="K82" i="65"/>
  <c r="K83" i="65"/>
  <c r="K84" i="65"/>
  <c r="K85" i="65"/>
  <c r="K86" i="65"/>
  <c r="K87" i="65"/>
  <c r="K88" i="65"/>
  <c r="K89" i="65"/>
  <c r="K90" i="65"/>
  <c r="K91" i="65"/>
  <c r="K92" i="65"/>
  <c r="K93" i="65"/>
  <c r="K94" i="65"/>
  <c r="K95" i="65"/>
  <c r="K96" i="65"/>
  <c r="K97" i="65"/>
  <c r="K98" i="65"/>
  <c r="K99" i="65"/>
  <c r="K100" i="65"/>
  <c r="K101" i="65"/>
  <c r="K102" i="65"/>
  <c r="K103" i="65"/>
  <c r="L4" i="65"/>
  <c r="L5" i="65"/>
  <c r="L6" i="65"/>
  <c r="L7" i="65"/>
  <c r="L8" i="65"/>
  <c r="L9" i="65"/>
  <c r="L10" i="65"/>
  <c r="L11" i="65"/>
  <c r="L12" i="65"/>
  <c r="L13" i="65"/>
  <c r="L14" i="65"/>
  <c r="L15" i="65"/>
  <c r="L16" i="65"/>
  <c r="L17" i="65"/>
  <c r="L18" i="65"/>
  <c r="L19" i="65"/>
  <c r="L20" i="65"/>
  <c r="L21" i="65"/>
  <c r="L22" i="65"/>
  <c r="L23" i="65"/>
  <c r="L24" i="65"/>
  <c r="L25" i="65"/>
  <c r="L26" i="65"/>
  <c r="L27" i="65"/>
  <c r="L28" i="65"/>
  <c r="L29" i="65"/>
  <c r="L30" i="65"/>
  <c r="L31" i="65"/>
  <c r="M4" i="65"/>
  <c r="M5" i="65"/>
  <c r="M6" i="65"/>
  <c r="M7" i="65"/>
  <c r="M8" i="65"/>
  <c r="M9" i="65"/>
  <c r="M10" i="65"/>
  <c r="M11" i="65"/>
  <c r="M12" i="65"/>
  <c r="M13" i="65"/>
  <c r="M14" i="65"/>
  <c r="M15" i="65"/>
  <c r="M16" i="65"/>
  <c r="M17" i="65"/>
  <c r="M18" i="65"/>
  <c r="M19" i="65"/>
  <c r="M20" i="65"/>
  <c r="M21" i="65"/>
  <c r="M22" i="65"/>
  <c r="M23" i="65"/>
  <c r="M24" i="65"/>
  <c r="M25" i="65"/>
  <c r="M26" i="65"/>
  <c r="M27" i="65"/>
  <c r="M28" i="65"/>
  <c r="M29" i="65"/>
  <c r="M30" i="65"/>
  <c r="M31" i="65"/>
  <c r="N4" i="65"/>
  <c r="N5" i="65"/>
  <c r="N6" i="65"/>
  <c r="N7" i="65"/>
  <c r="N8" i="65"/>
  <c r="N9" i="65"/>
  <c r="N10" i="65"/>
  <c r="N11" i="65"/>
  <c r="N12" i="65"/>
  <c r="N13" i="65"/>
  <c r="N14" i="65"/>
  <c r="N15" i="65"/>
  <c r="N16" i="65"/>
  <c r="N17" i="65"/>
  <c r="N18" i="65"/>
  <c r="N19" i="65"/>
  <c r="N20" i="65"/>
  <c r="N21" i="65"/>
  <c r="N22" i="65"/>
  <c r="N23" i="65"/>
  <c r="N24" i="65"/>
  <c r="N25" i="65"/>
  <c r="N26" i="65"/>
  <c r="N27" i="65"/>
  <c r="N28" i="65"/>
  <c r="N29" i="65"/>
  <c r="N30" i="65"/>
  <c r="N31" i="65"/>
  <c r="O4" i="65"/>
  <c r="O5" i="65"/>
  <c r="O6" i="65"/>
  <c r="O7" i="65"/>
  <c r="O8" i="65"/>
  <c r="O9" i="65"/>
  <c r="O10" i="65"/>
  <c r="O11" i="65"/>
  <c r="O12" i="65"/>
  <c r="O13" i="65"/>
  <c r="O14" i="65"/>
  <c r="O15" i="65"/>
  <c r="O16" i="65"/>
  <c r="O17" i="65"/>
  <c r="O18" i="65"/>
  <c r="O19" i="65"/>
  <c r="O20" i="65"/>
  <c r="O21" i="65"/>
  <c r="O22" i="65"/>
  <c r="O23" i="65"/>
  <c r="O24" i="65"/>
  <c r="O25" i="65"/>
  <c r="O26" i="65"/>
  <c r="O27" i="65"/>
  <c r="O28" i="65"/>
  <c r="O29" i="65"/>
  <c r="O30" i="65"/>
  <c r="O31" i="65"/>
  <c r="L32" i="65"/>
  <c r="M32" i="65"/>
  <c r="N32" i="65"/>
  <c r="O32" i="65"/>
  <c r="L33" i="65"/>
  <c r="M33" i="65"/>
  <c r="N33" i="65"/>
  <c r="O33" i="65"/>
  <c r="L34" i="65"/>
  <c r="M34" i="65"/>
  <c r="N34" i="65"/>
  <c r="O34" i="65"/>
  <c r="L35" i="65"/>
  <c r="M35" i="65"/>
  <c r="N35" i="65"/>
  <c r="O35" i="65"/>
  <c r="L36" i="65"/>
  <c r="M36" i="65"/>
  <c r="N36" i="65"/>
  <c r="O36" i="65"/>
  <c r="L37" i="65"/>
  <c r="M37" i="65"/>
  <c r="N37" i="65"/>
  <c r="O37" i="65"/>
  <c r="L38" i="65"/>
  <c r="M38" i="65"/>
  <c r="N38" i="65"/>
  <c r="O38" i="65"/>
  <c r="L39" i="65"/>
  <c r="M39" i="65"/>
  <c r="N39" i="65"/>
  <c r="O39" i="65"/>
  <c r="L40" i="65"/>
  <c r="M40" i="65"/>
  <c r="N40" i="65"/>
  <c r="O40" i="65"/>
  <c r="L41" i="65"/>
  <c r="M41" i="65"/>
  <c r="N41" i="65"/>
  <c r="O41" i="65"/>
  <c r="L42" i="65"/>
  <c r="M42" i="65"/>
  <c r="N42" i="65"/>
  <c r="O42" i="65"/>
  <c r="L43" i="65"/>
  <c r="M43" i="65"/>
  <c r="N43" i="65"/>
  <c r="O43" i="65"/>
  <c r="L44" i="65"/>
  <c r="M44" i="65"/>
  <c r="N44" i="65"/>
  <c r="O44" i="65"/>
  <c r="L45" i="65"/>
  <c r="M45" i="65"/>
  <c r="N45" i="65"/>
  <c r="O45" i="65"/>
  <c r="N46" i="65"/>
  <c r="O46" i="65"/>
  <c r="O47" i="65"/>
  <c r="N47" i="65"/>
  <c r="N48" i="65"/>
  <c r="O48" i="65"/>
  <c r="N49" i="65"/>
  <c r="O49" i="65"/>
  <c r="N50" i="65"/>
  <c r="O50" i="65"/>
  <c r="O51" i="65"/>
  <c r="N51" i="65"/>
  <c r="O52" i="65"/>
  <c r="N52" i="65"/>
  <c r="N53" i="65"/>
  <c r="O53" i="65"/>
  <c r="N54" i="65"/>
  <c r="O54" i="65"/>
  <c r="O55" i="65"/>
  <c r="N55" i="65"/>
  <c r="N56" i="65"/>
  <c r="O56" i="65"/>
  <c r="O57" i="65"/>
  <c r="N57" i="65"/>
  <c r="O58" i="65"/>
  <c r="N58" i="65"/>
  <c r="O59" i="65"/>
  <c r="N59" i="65"/>
  <c r="N60" i="65"/>
  <c r="O60" i="65"/>
  <c r="N61" i="65"/>
  <c r="O61" i="65"/>
  <c r="O62" i="65"/>
  <c r="N62" i="65"/>
  <c r="L46" i="65"/>
  <c r="M46" i="65"/>
  <c r="O63" i="65"/>
  <c r="N63" i="65"/>
  <c r="M47" i="65"/>
  <c r="N64" i="65"/>
  <c r="L47" i="65"/>
  <c r="O64" i="65"/>
  <c r="L48" i="65"/>
  <c r="M48" i="65"/>
  <c r="O65" i="65"/>
  <c r="N65" i="65"/>
  <c r="N66" i="65"/>
  <c r="M49" i="65"/>
  <c r="O66" i="65"/>
  <c r="L49" i="65"/>
  <c r="N67" i="65"/>
  <c r="L50" i="65"/>
  <c r="M50" i="65"/>
  <c r="O67" i="65"/>
  <c r="M51" i="65"/>
  <c r="L51" i="65"/>
  <c r="O68" i="65"/>
  <c r="N68" i="65"/>
  <c r="N69" i="65"/>
  <c r="O69" i="65"/>
  <c r="L52" i="65"/>
  <c r="M52" i="65"/>
  <c r="L53" i="65"/>
  <c r="O70" i="65"/>
  <c r="M53" i="65"/>
  <c r="N70" i="65"/>
  <c r="M54" i="65"/>
  <c r="O71" i="65"/>
  <c r="N71" i="65"/>
  <c r="L54" i="65"/>
  <c r="M55" i="65"/>
  <c r="L55" i="65"/>
  <c r="N72" i="65"/>
  <c r="O72" i="65"/>
  <c r="L56" i="65"/>
  <c r="N73" i="65"/>
  <c r="M56" i="65"/>
  <c r="O73" i="65"/>
  <c r="M57" i="65"/>
  <c r="L57" i="65"/>
  <c r="N74" i="65"/>
  <c r="O74" i="65"/>
  <c r="M58" i="65"/>
  <c r="L58" i="65"/>
  <c r="O75" i="65"/>
  <c r="N75" i="65"/>
  <c r="L59" i="65"/>
  <c r="N76" i="65"/>
  <c r="O76" i="65"/>
  <c r="M59" i="65"/>
  <c r="M60" i="65"/>
  <c r="O77" i="65"/>
  <c r="L60" i="65"/>
  <c r="N77" i="65"/>
  <c r="L61" i="65"/>
  <c r="M61" i="65"/>
  <c r="N78" i="65"/>
  <c r="O78" i="65"/>
  <c r="N79" i="65"/>
  <c r="L62" i="65"/>
  <c r="M62" i="65"/>
  <c r="O79" i="65"/>
  <c r="O80" i="65"/>
  <c r="N80" i="65"/>
  <c r="M63" i="65"/>
  <c r="L63" i="65"/>
  <c r="L64" i="65"/>
  <c r="N81" i="65"/>
  <c r="M64" i="65"/>
  <c r="O81" i="65"/>
  <c r="O82" i="65"/>
  <c r="L65" i="65"/>
  <c r="N82" i="65"/>
  <c r="M65" i="65"/>
  <c r="M66" i="65"/>
  <c r="L66" i="65"/>
  <c r="N83" i="65"/>
  <c r="O83" i="65"/>
  <c r="L67" i="65"/>
  <c r="O84" i="65"/>
  <c r="N84" i="65"/>
  <c r="M67" i="65"/>
  <c r="M68" i="65"/>
  <c r="N85" i="65"/>
  <c r="L68" i="65"/>
  <c r="O85" i="65"/>
  <c r="N86" i="65"/>
  <c r="M69" i="65"/>
  <c r="L69" i="65"/>
  <c r="O86" i="65"/>
  <c r="L70" i="65"/>
  <c r="M70" i="65"/>
  <c r="O87" i="65"/>
  <c r="N87" i="65"/>
  <c r="M71" i="65"/>
  <c r="N88" i="65"/>
  <c r="L71" i="65"/>
  <c r="O88" i="65"/>
  <c r="L72" i="65"/>
  <c r="M72" i="65"/>
  <c r="N89" i="65"/>
  <c r="O89" i="65"/>
  <c r="O90" i="65"/>
  <c r="M73" i="65"/>
  <c r="N90" i="65"/>
  <c r="L73" i="65"/>
  <c r="L74" i="65"/>
  <c r="O91" i="65"/>
  <c r="M74" i="65"/>
  <c r="N91" i="65"/>
  <c r="N92" i="65"/>
  <c r="M75" i="65"/>
  <c r="O92" i="65"/>
  <c r="L75" i="65"/>
  <c r="L76" i="65"/>
  <c r="N93" i="65"/>
  <c r="O93" i="65"/>
  <c r="M76" i="65"/>
  <c r="K104" i="65"/>
  <c r="O94" i="65"/>
  <c r="K105" i="65"/>
  <c r="M77" i="65"/>
  <c r="N94" i="65"/>
  <c r="L77" i="65"/>
  <c r="M78" i="65"/>
  <c r="O95" i="65"/>
  <c r="L78" i="65"/>
  <c r="K106" i="65"/>
  <c r="N95" i="65"/>
  <c r="O96" i="65"/>
  <c r="K107" i="65"/>
  <c r="N96" i="65"/>
  <c r="L79" i="65"/>
  <c r="M79" i="65"/>
  <c r="M80" i="65"/>
  <c r="L80" i="65"/>
  <c r="K108" i="65"/>
  <c r="O97" i="65"/>
  <c r="N97" i="65"/>
  <c r="L81" i="65"/>
  <c r="K109" i="65"/>
  <c r="N98" i="65"/>
  <c r="O98" i="65"/>
  <c r="M81" i="65"/>
  <c r="K110" i="65"/>
  <c r="L82" i="65"/>
  <c r="O99" i="65"/>
  <c r="M82" i="65"/>
  <c r="N99" i="65"/>
  <c r="N100" i="65"/>
  <c r="L83" i="65"/>
  <c r="M83" i="65"/>
  <c r="K111" i="65"/>
  <c r="O100" i="65"/>
  <c r="M84" i="65"/>
  <c r="L84" i="65"/>
  <c r="K112" i="65"/>
  <c r="N101" i="65"/>
  <c r="O101" i="65"/>
  <c r="L85" i="65"/>
  <c r="M85" i="65"/>
  <c r="O102" i="65"/>
  <c r="K113" i="65"/>
  <c r="N102" i="65"/>
  <c r="M86" i="65"/>
  <c r="N103" i="65"/>
  <c r="L86" i="65"/>
  <c r="O103" i="65"/>
  <c r="M87" i="65"/>
  <c r="L87" i="65"/>
  <c r="L88" i="65"/>
  <c r="M88" i="65"/>
  <c r="M89" i="65"/>
  <c r="L89" i="65"/>
  <c r="M90" i="65"/>
  <c r="L90" i="65"/>
  <c r="L91" i="65"/>
  <c r="M91" i="65"/>
  <c r="M92" i="65"/>
  <c r="L92" i="65"/>
  <c r="L93" i="65"/>
  <c r="M93" i="65"/>
  <c r="O104" i="65"/>
  <c r="L94" i="65"/>
  <c r="M94" i="65"/>
  <c r="N104" i="65"/>
  <c r="L95" i="65"/>
  <c r="M95" i="65"/>
  <c r="N105" i="65"/>
  <c r="O105" i="65"/>
  <c r="O106" i="65"/>
  <c r="L96" i="65"/>
  <c r="M96" i="65"/>
  <c r="N106" i="65"/>
  <c r="N107" i="65"/>
  <c r="M97" i="65"/>
  <c r="L97" i="65"/>
  <c r="O107" i="65"/>
  <c r="M98" i="65"/>
  <c r="N108" i="65"/>
  <c r="O108" i="65"/>
  <c r="L98" i="65"/>
  <c r="L99" i="65"/>
  <c r="M99" i="65"/>
  <c r="O109" i="65"/>
  <c r="N109" i="65"/>
  <c r="M100" i="65"/>
  <c r="O110" i="65"/>
  <c r="L100" i="65"/>
  <c r="N110" i="65"/>
  <c r="M101" i="65"/>
  <c r="L101" i="65"/>
  <c r="N111" i="65"/>
  <c r="O111" i="65"/>
  <c r="L102" i="65"/>
  <c r="O112" i="65"/>
  <c r="N112" i="65"/>
  <c r="M102" i="65"/>
  <c r="M103" i="65"/>
  <c r="L103" i="65"/>
  <c r="N113" i="65"/>
  <c r="O113" i="65"/>
  <c r="L104" i="65"/>
  <c r="M104" i="65"/>
  <c r="L105" i="65"/>
  <c r="M105" i="65"/>
  <c r="M106" i="65"/>
  <c r="L106" i="65"/>
  <c r="L107" i="65"/>
  <c r="M107" i="65"/>
  <c r="M108" i="65"/>
  <c r="L108" i="65"/>
  <c r="L109" i="65"/>
  <c r="M109" i="65"/>
  <c r="M110" i="65"/>
  <c r="L110" i="65"/>
  <c r="M111" i="65"/>
  <c r="L111" i="65"/>
  <c r="L112" i="65"/>
  <c r="M112" i="65"/>
  <c r="L113" i="65"/>
  <c r="M113" i="65"/>
  <c r="B4" i="65"/>
  <c r="B5" i="6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25" i="65"/>
  <c r="B26" i="65"/>
  <c r="B27" i="65"/>
  <c r="B28" i="65"/>
  <c r="B29" i="65"/>
  <c r="B30" i="65"/>
  <c r="B31" i="65"/>
  <c r="B32" i="65"/>
  <c r="B33" i="65"/>
  <c r="B34" i="65"/>
  <c r="B35" i="65"/>
  <c r="B36" i="65"/>
  <c r="B37" i="65"/>
  <c r="B38" i="65"/>
  <c r="B39" i="65"/>
  <c r="B40" i="65"/>
  <c r="B41" i="65"/>
  <c r="B42" i="65"/>
  <c r="B43" i="65"/>
  <c r="B44" i="65"/>
  <c r="B45" i="65"/>
  <c r="B46" i="65"/>
  <c r="B47" i="65"/>
  <c r="B48" i="65"/>
  <c r="B49" i="65"/>
  <c r="B50" i="65"/>
  <c r="B51" i="65"/>
  <c r="B52" i="65"/>
  <c r="B53" i="65"/>
  <c r="B54" i="65"/>
  <c r="B55" i="65"/>
  <c r="B56" i="65"/>
  <c r="B57" i="65"/>
  <c r="B58" i="65"/>
  <c r="B59" i="65"/>
  <c r="B60" i="65"/>
  <c r="B61" i="65"/>
  <c r="B62" i="65"/>
  <c r="B63" i="65"/>
  <c r="B64" i="65"/>
  <c r="B65" i="65"/>
  <c r="B66" i="65"/>
  <c r="B67" i="65"/>
  <c r="B68" i="65"/>
  <c r="B69" i="65"/>
  <c r="B70" i="65"/>
  <c r="B71" i="65"/>
  <c r="B72" i="65"/>
  <c r="B73" i="65"/>
  <c r="B74" i="65"/>
  <c r="B75" i="65"/>
  <c r="B76" i="65"/>
  <c r="B77" i="65"/>
  <c r="B78" i="65"/>
  <c r="B79" i="65"/>
  <c r="B80" i="65"/>
  <c r="B81" i="65"/>
  <c r="B82" i="65"/>
  <c r="B83" i="65"/>
  <c r="B84" i="65"/>
  <c r="B85" i="65"/>
  <c r="B86" i="65"/>
  <c r="B87" i="65"/>
  <c r="B88" i="65"/>
  <c r="B89" i="65"/>
  <c r="B90" i="65"/>
  <c r="B91" i="65"/>
  <c r="B92" i="65"/>
  <c r="B93" i="65"/>
  <c r="B94" i="65"/>
  <c r="B95" i="65"/>
  <c r="B96" i="65"/>
  <c r="B97" i="65"/>
  <c r="B98" i="65"/>
  <c r="B99" i="65"/>
  <c r="B100" i="65"/>
  <c r="B101" i="65"/>
  <c r="B102" i="65"/>
  <c r="B103" i="65"/>
  <c r="B104" i="65"/>
  <c r="B105" i="65"/>
  <c r="B106" i="65"/>
  <c r="B107" i="65"/>
  <c r="B108" i="65"/>
  <c r="B109" i="65"/>
  <c r="B110" i="65"/>
  <c r="B111" i="65"/>
  <c r="B112" i="65"/>
  <c r="B113" i="65"/>
  <c r="B3" i="65"/>
  <c r="AN5" i="65"/>
  <c r="AN6" i="65"/>
  <c r="AN7" i="65"/>
  <c r="AN8" i="65"/>
  <c r="AN9" i="65"/>
  <c r="AN10" i="65"/>
  <c r="AN11" i="65"/>
  <c r="AN12" i="65"/>
  <c r="AN13" i="65"/>
  <c r="AN14" i="65"/>
  <c r="AN15" i="65"/>
  <c r="AN16" i="65"/>
  <c r="AN17" i="65"/>
  <c r="AN18" i="65"/>
  <c r="AN19" i="65"/>
  <c r="AN20" i="65"/>
  <c r="AN21" i="65"/>
  <c r="AN22" i="65"/>
  <c r="AN23" i="65"/>
  <c r="AN24" i="65"/>
  <c r="AN25" i="65"/>
  <c r="AN26" i="65"/>
  <c r="AN27" i="65"/>
  <c r="AN28" i="65"/>
  <c r="AN29" i="65"/>
  <c r="AN30" i="65"/>
  <c r="AN31" i="65"/>
  <c r="AN32" i="65"/>
  <c r="AN33" i="65"/>
  <c r="AN34" i="65"/>
  <c r="AN35" i="65"/>
  <c r="AN36" i="65"/>
  <c r="AN37" i="65"/>
  <c r="AN38" i="65"/>
  <c r="AN39" i="65"/>
  <c r="AN40" i="65"/>
  <c r="AN41" i="65"/>
  <c r="AN42" i="65"/>
  <c r="AN43" i="65"/>
  <c r="AN44" i="65"/>
  <c r="AN45" i="65"/>
  <c r="AN46" i="65"/>
  <c r="AN47" i="65"/>
  <c r="AN48" i="65"/>
  <c r="AN49" i="65"/>
  <c r="AN50" i="65"/>
  <c r="AN51" i="65"/>
  <c r="AN52" i="65"/>
  <c r="AN53" i="65"/>
  <c r="AN54" i="65"/>
  <c r="AN55" i="65"/>
  <c r="AN56" i="65"/>
  <c r="AN57" i="65"/>
  <c r="AN58" i="65"/>
  <c r="AN59" i="65"/>
  <c r="AN60" i="65"/>
  <c r="AN61" i="65"/>
  <c r="AN62" i="65"/>
  <c r="AN63" i="65"/>
  <c r="AN64" i="65"/>
  <c r="AN65" i="65"/>
  <c r="AN66" i="65"/>
  <c r="AN67" i="65"/>
  <c r="AN68" i="65"/>
  <c r="AN69" i="65"/>
  <c r="AN70" i="65"/>
  <c r="AN71" i="65"/>
  <c r="AN72" i="65"/>
  <c r="AN73" i="65"/>
  <c r="AN74" i="65"/>
  <c r="AN75" i="65"/>
  <c r="AN76" i="65"/>
  <c r="AN77" i="65"/>
  <c r="AN78" i="65"/>
  <c r="AN79" i="65"/>
  <c r="AN80" i="65"/>
  <c r="AN81" i="65"/>
  <c r="AN82" i="65"/>
  <c r="AN83" i="65"/>
  <c r="AN84" i="65"/>
  <c r="AN85" i="65"/>
  <c r="AN86" i="65"/>
  <c r="AN87" i="65"/>
  <c r="AN88" i="65"/>
  <c r="AN89" i="65"/>
  <c r="AN90" i="65"/>
  <c r="AN91" i="65"/>
  <c r="AN92" i="65"/>
  <c r="AN93" i="65"/>
  <c r="AN94" i="65"/>
  <c r="AN95" i="65"/>
  <c r="AN96" i="65"/>
  <c r="AN97" i="65"/>
  <c r="AN98" i="65"/>
  <c r="AN99" i="65"/>
  <c r="AN100" i="65"/>
  <c r="AN101" i="65"/>
  <c r="AN102" i="65"/>
  <c r="AN103" i="65"/>
  <c r="AN104" i="65"/>
  <c r="AN105" i="65"/>
  <c r="AN106" i="65"/>
  <c r="AN107" i="65"/>
  <c r="AN108" i="65"/>
  <c r="AN109" i="65"/>
  <c r="AN110" i="65"/>
  <c r="AN111" i="65"/>
  <c r="AN112" i="65"/>
  <c r="AN113" i="65"/>
  <c r="AN114" i="65"/>
  <c r="AN115" i="65"/>
  <c r="AN116" i="65"/>
  <c r="AN117" i="65"/>
  <c r="AN118" i="65"/>
  <c r="AN119" i="65"/>
  <c r="AN120" i="65"/>
  <c r="AN121" i="65"/>
  <c r="AN122" i="65"/>
  <c r="AN123" i="65"/>
  <c r="AN124" i="65"/>
  <c r="AN125" i="65"/>
  <c r="AN126" i="65"/>
  <c r="AN127" i="65"/>
  <c r="AN128" i="65"/>
  <c r="AN129" i="65"/>
  <c r="AN130" i="65"/>
  <c r="AN131" i="65"/>
  <c r="AN132" i="65"/>
  <c r="AN133" i="65"/>
  <c r="AN134" i="65"/>
  <c r="AN135" i="65"/>
  <c r="AN136" i="65"/>
  <c r="AN137" i="65"/>
  <c r="AN138" i="65"/>
  <c r="AN139" i="65"/>
  <c r="AN140" i="65"/>
  <c r="AN141" i="65"/>
  <c r="AN142" i="65"/>
  <c r="AN143" i="65"/>
  <c r="AN144" i="65"/>
  <c r="AN145" i="65"/>
  <c r="AN146" i="65"/>
  <c r="AN147" i="65"/>
  <c r="AN148" i="65"/>
  <c r="AN149" i="65"/>
  <c r="AN150" i="65"/>
  <c r="AN151" i="65"/>
  <c r="AN152" i="65"/>
  <c r="AN153" i="65"/>
  <c r="AN154" i="65"/>
  <c r="AN155" i="65"/>
  <c r="AN156" i="65"/>
  <c r="AN157" i="65"/>
  <c r="AN158" i="65"/>
  <c r="AN159" i="65"/>
  <c r="AN160" i="65"/>
  <c r="AN161" i="65"/>
  <c r="AN162" i="65"/>
  <c r="AN163" i="65"/>
  <c r="AN164" i="65"/>
  <c r="AN165" i="65"/>
  <c r="AN166" i="65"/>
  <c r="AN167" i="65"/>
  <c r="AN168" i="65"/>
  <c r="AN169" i="65"/>
  <c r="AN170" i="65"/>
  <c r="AN171" i="65"/>
  <c r="AN172" i="65"/>
  <c r="AN173" i="65"/>
  <c r="AN174" i="65"/>
  <c r="AN175" i="65"/>
  <c r="AN176" i="65"/>
  <c r="AN177" i="65"/>
  <c r="AN178" i="65"/>
  <c r="AN179" i="65"/>
  <c r="AN180" i="65"/>
  <c r="AN181" i="65"/>
  <c r="AN182" i="65"/>
  <c r="AN183" i="65"/>
  <c r="AN184" i="65"/>
  <c r="AN185" i="65"/>
  <c r="AN186" i="65"/>
  <c r="AN187" i="65"/>
  <c r="AN188" i="65"/>
  <c r="AN189" i="65"/>
  <c r="AN190" i="65"/>
  <c r="AN191" i="65"/>
  <c r="AN192" i="65"/>
  <c r="AN193" i="65"/>
  <c r="AN194" i="65"/>
  <c r="AN195" i="65"/>
  <c r="AN196" i="65"/>
  <c r="AN197" i="65"/>
  <c r="AN198" i="65"/>
  <c r="AN199" i="65"/>
  <c r="AN200" i="65"/>
  <c r="AN201" i="65"/>
  <c r="AN202" i="65"/>
  <c r="AN203" i="65"/>
  <c r="AN204" i="65"/>
  <c r="AN205" i="65"/>
  <c r="AN206" i="65"/>
  <c r="AN207" i="65"/>
  <c r="AN208" i="65"/>
  <c r="AN209" i="65"/>
  <c r="AN210" i="65"/>
  <c r="AN211" i="65"/>
  <c r="AN212" i="65"/>
  <c r="AN213" i="65"/>
  <c r="AN214" i="65"/>
  <c r="AN215" i="65"/>
  <c r="AN216" i="65"/>
  <c r="AN217" i="65"/>
  <c r="AN218" i="65"/>
  <c r="AN219" i="65"/>
  <c r="AN220" i="65"/>
  <c r="AN221" i="65"/>
  <c r="AN222" i="65"/>
  <c r="AN223" i="65"/>
  <c r="AN224" i="65"/>
  <c r="AN225" i="65"/>
  <c r="AN226" i="65"/>
  <c r="AN227" i="65"/>
  <c r="AN228" i="65"/>
  <c r="AN229" i="65"/>
  <c r="AN230" i="65"/>
  <c r="AN231" i="65"/>
  <c r="AN232" i="65"/>
  <c r="AN233" i="65"/>
  <c r="AN234" i="65"/>
  <c r="AN235" i="65"/>
  <c r="AN236" i="65"/>
  <c r="AN237" i="65"/>
  <c r="AN238" i="65"/>
  <c r="AN239" i="65"/>
  <c r="AN240" i="65"/>
  <c r="AN241" i="65"/>
  <c r="AN242" i="65"/>
  <c r="AN243" i="65"/>
  <c r="AN244" i="65"/>
  <c r="AN245" i="65"/>
  <c r="AN246" i="65"/>
  <c r="AN247" i="65"/>
  <c r="AN248" i="65"/>
  <c r="AN249" i="65"/>
  <c r="AN250" i="65"/>
  <c r="AN251" i="65"/>
  <c r="AN252" i="65"/>
  <c r="AN253" i="65"/>
  <c r="AN254" i="65"/>
  <c r="AN255" i="65"/>
  <c r="AN256" i="65"/>
  <c r="AN257" i="65"/>
  <c r="AN258" i="65"/>
  <c r="AN259" i="65"/>
  <c r="AN260" i="65"/>
  <c r="AN261" i="65"/>
  <c r="AN262" i="65"/>
  <c r="AN263" i="65"/>
  <c r="AN264" i="65"/>
  <c r="AN265" i="65"/>
  <c r="AN266" i="65"/>
  <c r="AN267" i="65"/>
  <c r="AN268" i="65"/>
  <c r="AN269" i="65"/>
  <c r="AN270" i="65"/>
  <c r="AN271" i="65"/>
  <c r="AN272" i="65"/>
  <c r="AN273" i="65"/>
  <c r="AN274" i="65"/>
  <c r="AN275" i="65"/>
  <c r="AN276" i="65"/>
  <c r="AN277" i="65"/>
  <c r="AN278" i="65"/>
  <c r="AN279" i="65"/>
  <c r="AN280" i="65"/>
  <c r="AN281" i="65"/>
  <c r="AN282" i="65"/>
  <c r="AN283" i="65"/>
  <c r="AN284" i="65"/>
  <c r="AN285" i="65"/>
  <c r="AN286" i="65"/>
  <c r="AN287" i="65"/>
  <c r="AN288" i="65"/>
  <c r="AN289" i="65"/>
  <c r="AN290" i="65"/>
  <c r="AN291" i="65"/>
  <c r="AN292" i="65"/>
  <c r="AN293" i="65"/>
  <c r="AN294" i="65"/>
  <c r="AN295" i="65"/>
  <c r="AN296" i="65"/>
  <c r="AN297" i="65"/>
  <c r="AN298" i="65"/>
  <c r="AN299" i="65"/>
  <c r="AN300" i="65"/>
  <c r="AN301" i="65"/>
  <c r="AN302" i="65"/>
  <c r="AN303" i="65"/>
  <c r="AN304" i="65"/>
  <c r="AN305" i="65"/>
  <c r="AN306" i="65"/>
  <c r="AN307" i="65"/>
  <c r="AN308" i="65"/>
  <c r="AN309" i="65"/>
  <c r="AN310" i="65"/>
  <c r="AN311" i="65"/>
  <c r="AN312" i="65"/>
  <c r="AN313" i="65"/>
  <c r="AN314" i="65"/>
  <c r="AN315" i="65"/>
  <c r="AN316" i="65"/>
  <c r="AN317" i="65"/>
  <c r="AN318" i="65"/>
  <c r="AN319" i="65"/>
  <c r="AN320" i="65"/>
  <c r="AN321" i="65"/>
  <c r="AN322" i="65"/>
  <c r="AN323" i="65"/>
  <c r="AN324" i="65"/>
  <c r="AN325" i="65"/>
  <c r="AN326" i="65"/>
  <c r="AN327" i="65"/>
  <c r="AN328" i="65"/>
  <c r="AN329" i="65"/>
  <c r="AN330" i="65"/>
  <c r="AN331" i="65"/>
  <c r="AN332" i="65"/>
  <c r="AN333" i="65"/>
  <c r="AN334" i="65"/>
  <c r="AN335" i="65"/>
  <c r="AN336" i="65"/>
  <c r="AN337" i="65"/>
  <c r="AN338" i="65"/>
  <c r="AN339" i="65"/>
  <c r="AN340" i="65"/>
  <c r="AN341" i="65"/>
  <c r="AN342" i="65"/>
  <c r="AN343" i="65"/>
  <c r="AN344" i="65"/>
  <c r="AN345" i="65"/>
  <c r="AN346" i="65"/>
  <c r="AN347" i="65"/>
  <c r="AN348" i="65"/>
  <c r="AN349" i="65"/>
  <c r="AN350" i="65"/>
  <c r="AN351" i="65"/>
  <c r="AN352" i="65"/>
  <c r="AN353" i="65"/>
  <c r="AN354" i="65"/>
  <c r="AN355" i="65"/>
  <c r="AN356" i="65"/>
  <c r="AN357" i="65"/>
  <c r="AN358" i="65"/>
  <c r="AN359" i="65"/>
  <c r="AN360" i="65"/>
  <c r="AN361" i="65"/>
  <c r="AN362" i="65"/>
  <c r="AN363" i="65"/>
  <c r="AN4" i="65"/>
  <c r="AG5" i="65"/>
  <c r="AH5" i="65"/>
  <c r="AI5" i="65"/>
  <c r="AJ5" i="65"/>
  <c r="AK5" i="65"/>
  <c r="AL5" i="65"/>
  <c r="AG6" i="65"/>
  <c r="AH6" i="65"/>
  <c r="AI6" i="65"/>
  <c r="AJ6" i="65"/>
  <c r="AK6" i="65"/>
  <c r="AL6" i="65"/>
  <c r="AG7" i="65"/>
  <c r="AH7" i="65"/>
  <c r="AI7" i="65"/>
  <c r="AJ7" i="65"/>
  <c r="AK7" i="65"/>
  <c r="AL7" i="65"/>
  <c r="AG8" i="65"/>
  <c r="AH8" i="65"/>
  <c r="AI8" i="65"/>
  <c r="AJ8" i="65"/>
  <c r="AK8" i="65"/>
  <c r="AL8" i="65"/>
  <c r="AG9" i="65"/>
  <c r="AH9" i="65"/>
  <c r="AI9" i="65"/>
  <c r="AJ9" i="65"/>
  <c r="AK9" i="65"/>
  <c r="AL9" i="65"/>
  <c r="AG10" i="65"/>
  <c r="AH10" i="65"/>
  <c r="AI10" i="65"/>
  <c r="AJ10" i="65"/>
  <c r="AK10" i="65"/>
  <c r="AL10" i="65"/>
  <c r="AG11" i="65"/>
  <c r="AH11" i="65"/>
  <c r="AI11" i="65"/>
  <c r="AJ11" i="65"/>
  <c r="AK11" i="65"/>
  <c r="AL11" i="65"/>
  <c r="AG12" i="65"/>
  <c r="AH12" i="65"/>
  <c r="AI12" i="65"/>
  <c r="AJ12" i="65"/>
  <c r="AK12" i="65"/>
  <c r="AL12" i="65"/>
  <c r="AG13" i="65"/>
  <c r="AH13" i="65"/>
  <c r="AI13" i="65"/>
  <c r="AJ13" i="65"/>
  <c r="AK13" i="65"/>
  <c r="AL13" i="65"/>
  <c r="AG14" i="65"/>
  <c r="AH14" i="65"/>
  <c r="AI14" i="65"/>
  <c r="AJ14" i="65"/>
  <c r="AK14" i="65"/>
  <c r="AL14" i="65"/>
  <c r="AG15" i="65"/>
  <c r="AH15" i="65"/>
  <c r="AI15" i="65"/>
  <c r="AJ15" i="65"/>
  <c r="AK15" i="65"/>
  <c r="AL15" i="65"/>
  <c r="AG16" i="65"/>
  <c r="AH16" i="65"/>
  <c r="AI16" i="65"/>
  <c r="AJ16" i="65"/>
  <c r="AK16" i="65"/>
  <c r="AL16" i="65"/>
  <c r="AG17" i="65"/>
  <c r="AH17" i="65"/>
  <c r="AI17" i="65"/>
  <c r="AJ17" i="65"/>
  <c r="AK17" i="65"/>
  <c r="AL17" i="65"/>
  <c r="AG18" i="65"/>
  <c r="AH18" i="65"/>
  <c r="AI18" i="65"/>
  <c r="AJ18" i="65"/>
  <c r="AK18" i="65"/>
  <c r="AL18" i="65"/>
  <c r="AG19" i="65"/>
  <c r="AH19" i="65"/>
  <c r="AI19" i="65"/>
  <c r="AJ19" i="65"/>
  <c r="AK19" i="65"/>
  <c r="AL19" i="65"/>
  <c r="AG20" i="65"/>
  <c r="AH20" i="65"/>
  <c r="AI20" i="65"/>
  <c r="AJ20" i="65"/>
  <c r="AK20" i="65"/>
  <c r="AL20" i="65"/>
  <c r="AG21" i="65"/>
  <c r="AH21" i="65"/>
  <c r="AI21" i="65"/>
  <c r="AJ21" i="65"/>
  <c r="AK21" i="65"/>
  <c r="AL21" i="65"/>
  <c r="AG22" i="65"/>
  <c r="AH22" i="65"/>
  <c r="AI22" i="65"/>
  <c r="AJ22" i="65"/>
  <c r="AK22" i="65"/>
  <c r="AL22" i="65"/>
  <c r="AG23" i="65"/>
  <c r="AH23" i="65"/>
  <c r="AI23" i="65"/>
  <c r="AJ23" i="65"/>
  <c r="AK23" i="65"/>
  <c r="AL23" i="65"/>
  <c r="AG24" i="65"/>
  <c r="AH24" i="65"/>
  <c r="AI24" i="65"/>
  <c r="AJ24" i="65"/>
  <c r="AK24" i="65"/>
  <c r="AL24" i="65"/>
  <c r="AG25" i="65"/>
  <c r="AH25" i="65"/>
  <c r="AI25" i="65"/>
  <c r="AJ25" i="65"/>
  <c r="AK25" i="65"/>
  <c r="AL25" i="65"/>
  <c r="AG26" i="65"/>
  <c r="AH26" i="65"/>
  <c r="AI26" i="65"/>
  <c r="AJ26" i="65"/>
  <c r="AK26" i="65"/>
  <c r="AL26" i="65"/>
  <c r="AG27" i="65"/>
  <c r="AH27" i="65"/>
  <c r="AI27" i="65"/>
  <c r="AJ27" i="65"/>
  <c r="AK27" i="65"/>
  <c r="AL27" i="65"/>
  <c r="AG28" i="65"/>
  <c r="AH28" i="65"/>
  <c r="AI28" i="65"/>
  <c r="AJ28" i="65"/>
  <c r="AK28" i="65"/>
  <c r="AL28" i="65"/>
  <c r="AG29" i="65"/>
  <c r="AH29" i="65"/>
  <c r="AI29" i="65"/>
  <c r="AJ29" i="65"/>
  <c r="AK29" i="65"/>
  <c r="AL29" i="65"/>
  <c r="AG30" i="65"/>
  <c r="AH30" i="65"/>
  <c r="AI30" i="65"/>
  <c r="AJ30" i="65"/>
  <c r="AK30" i="65"/>
  <c r="AL30" i="65"/>
  <c r="AG31" i="65"/>
  <c r="AH31" i="65"/>
  <c r="AI31" i="65"/>
  <c r="AJ31" i="65"/>
  <c r="AK31" i="65"/>
  <c r="AL31" i="65"/>
  <c r="AG32" i="65"/>
  <c r="AH32" i="65"/>
  <c r="AI32" i="65"/>
  <c r="AJ32" i="65"/>
  <c r="AK32" i="65"/>
  <c r="AL32" i="65"/>
  <c r="AG33" i="65"/>
  <c r="AH33" i="65"/>
  <c r="AI33" i="65"/>
  <c r="AJ33" i="65"/>
  <c r="AK33" i="65"/>
  <c r="AL33" i="65"/>
  <c r="AG34" i="65"/>
  <c r="AH34" i="65"/>
  <c r="AI34" i="65"/>
  <c r="AJ34" i="65"/>
  <c r="AK34" i="65"/>
  <c r="AL34" i="65"/>
  <c r="AG35" i="65"/>
  <c r="AH35" i="65"/>
  <c r="AI35" i="65"/>
  <c r="AJ35" i="65"/>
  <c r="AK35" i="65"/>
  <c r="AL35" i="65"/>
  <c r="AG36" i="65"/>
  <c r="AH36" i="65"/>
  <c r="AI36" i="65"/>
  <c r="AJ36" i="65"/>
  <c r="AK36" i="65"/>
  <c r="AL36" i="65"/>
  <c r="AG37" i="65"/>
  <c r="AH37" i="65"/>
  <c r="AI37" i="65"/>
  <c r="AJ37" i="65"/>
  <c r="AK37" i="65"/>
  <c r="AL37" i="65"/>
  <c r="AG38" i="65"/>
  <c r="AH38" i="65"/>
  <c r="AI38" i="65"/>
  <c r="AJ38" i="65"/>
  <c r="AK38" i="65"/>
  <c r="AL38" i="65"/>
  <c r="AG39" i="65"/>
  <c r="AH39" i="65"/>
  <c r="AI39" i="65"/>
  <c r="AJ39" i="65"/>
  <c r="AK39" i="65"/>
  <c r="AL39" i="65"/>
  <c r="AG40" i="65"/>
  <c r="AH40" i="65"/>
  <c r="AI40" i="65"/>
  <c r="AJ40" i="65"/>
  <c r="AK40" i="65"/>
  <c r="AL40" i="65"/>
  <c r="AG41" i="65"/>
  <c r="AH41" i="65"/>
  <c r="AI41" i="65"/>
  <c r="AJ41" i="65"/>
  <c r="AK41" i="65"/>
  <c r="AL41" i="65"/>
  <c r="AG42" i="65"/>
  <c r="AH42" i="65"/>
  <c r="AI42" i="65"/>
  <c r="AJ42" i="65"/>
  <c r="AK42" i="65"/>
  <c r="AL42" i="65"/>
  <c r="AG43" i="65"/>
  <c r="AH43" i="65"/>
  <c r="AI43" i="65"/>
  <c r="AJ43" i="65"/>
  <c r="AK43" i="65"/>
  <c r="AL43" i="65"/>
  <c r="AG44" i="65"/>
  <c r="AH44" i="65"/>
  <c r="AI44" i="65"/>
  <c r="AJ44" i="65"/>
  <c r="AK44" i="65"/>
  <c r="AL44" i="65"/>
  <c r="AG45" i="65"/>
  <c r="AH45" i="65"/>
  <c r="AI45" i="65"/>
  <c r="AJ45" i="65"/>
  <c r="AK45" i="65"/>
  <c r="AL45" i="65"/>
  <c r="AG46" i="65"/>
  <c r="AH46" i="65"/>
  <c r="AI46" i="65"/>
  <c r="AJ46" i="65"/>
  <c r="AK46" i="65"/>
  <c r="AL46" i="65"/>
  <c r="AG47" i="65"/>
  <c r="AH47" i="65"/>
  <c r="AI47" i="65"/>
  <c r="AJ47" i="65"/>
  <c r="AK47" i="65"/>
  <c r="AL47" i="65"/>
  <c r="AG48" i="65"/>
  <c r="AH48" i="65"/>
  <c r="AI48" i="65"/>
  <c r="AJ48" i="65"/>
  <c r="AK48" i="65"/>
  <c r="AL48" i="65"/>
  <c r="AG49" i="65"/>
  <c r="AH49" i="65"/>
  <c r="AI49" i="65"/>
  <c r="AJ49" i="65"/>
  <c r="AK49" i="65"/>
  <c r="AL49" i="65"/>
  <c r="AG50" i="65"/>
  <c r="AH50" i="65"/>
  <c r="AI50" i="65"/>
  <c r="AJ50" i="65"/>
  <c r="AK50" i="65"/>
  <c r="AL50" i="65"/>
  <c r="AG51" i="65"/>
  <c r="AH51" i="65"/>
  <c r="AI51" i="65"/>
  <c r="AJ51" i="65"/>
  <c r="AK51" i="65"/>
  <c r="AL51" i="65"/>
  <c r="AG52" i="65"/>
  <c r="AH52" i="65"/>
  <c r="AI52" i="65"/>
  <c r="AJ52" i="65"/>
  <c r="AK52" i="65"/>
  <c r="AL52" i="65"/>
  <c r="AG53" i="65"/>
  <c r="AH53" i="65"/>
  <c r="AI53" i="65"/>
  <c r="AJ53" i="65"/>
  <c r="AK53" i="65"/>
  <c r="AL53" i="65"/>
  <c r="AL4" i="65"/>
  <c r="AK4" i="65"/>
  <c r="AJ4" i="65"/>
  <c r="AI4" i="65"/>
  <c r="AH4" i="65"/>
  <c r="AG4" i="65"/>
  <c r="Z5" i="65"/>
  <c r="AA5" i="65"/>
  <c r="AB5" i="65"/>
  <c r="AC5" i="65"/>
  <c r="AD5" i="65"/>
  <c r="AE5" i="65"/>
  <c r="Z6" i="65"/>
  <c r="AA6" i="65"/>
  <c r="AB6" i="65"/>
  <c r="AC6" i="65"/>
  <c r="AD6" i="65"/>
  <c r="AE6" i="65"/>
  <c r="Z7" i="65"/>
  <c r="AA7" i="65"/>
  <c r="AB7" i="65"/>
  <c r="AC7" i="65"/>
  <c r="AD7" i="65"/>
  <c r="AE7" i="65"/>
  <c r="Z8" i="65"/>
  <c r="AA8" i="65"/>
  <c r="AB8" i="65"/>
  <c r="AC8" i="65"/>
  <c r="AD8" i="65"/>
  <c r="AE8" i="65"/>
  <c r="Z9" i="65"/>
  <c r="AA9" i="65"/>
  <c r="AB9" i="65"/>
  <c r="AC9" i="65"/>
  <c r="AD9" i="65"/>
  <c r="AE9" i="65"/>
  <c r="Z10" i="65"/>
  <c r="AA10" i="65"/>
  <c r="AB10" i="65"/>
  <c r="AC10" i="65"/>
  <c r="AD10" i="65"/>
  <c r="AE10" i="65"/>
  <c r="Z11" i="65"/>
  <c r="AA11" i="65"/>
  <c r="AB11" i="65"/>
  <c r="AC11" i="65"/>
  <c r="AD11" i="65"/>
  <c r="AE11" i="65"/>
  <c r="Z12" i="65"/>
  <c r="AA12" i="65"/>
  <c r="AB12" i="65"/>
  <c r="AC12" i="65"/>
  <c r="AD12" i="65"/>
  <c r="AE12" i="65"/>
  <c r="Z13" i="65"/>
  <c r="AA13" i="65"/>
  <c r="AB13" i="65"/>
  <c r="AC13" i="65"/>
  <c r="AD13" i="65"/>
  <c r="AE13" i="65"/>
  <c r="Z14" i="65"/>
  <c r="AA14" i="65"/>
  <c r="AB14" i="65"/>
  <c r="AC14" i="65"/>
  <c r="AD14" i="65"/>
  <c r="AE14" i="65"/>
  <c r="Z15" i="65"/>
  <c r="AA15" i="65"/>
  <c r="AB15" i="65"/>
  <c r="AC15" i="65"/>
  <c r="AD15" i="65"/>
  <c r="AE15" i="65"/>
  <c r="Z16" i="65"/>
  <c r="AA16" i="65"/>
  <c r="AB16" i="65"/>
  <c r="AC16" i="65"/>
  <c r="AD16" i="65"/>
  <c r="AE16" i="65"/>
  <c r="Z17" i="65"/>
  <c r="AA17" i="65"/>
  <c r="AB17" i="65"/>
  <c r="AC17" i="65"/>
  <c r="AD17" i="65"/>
  <c r="AE17" i="65"/>
  <c r="Z18" i="65"/>
  <c r="AA18" i="65"/>
  <c r="AB18" i="65"/>
  <c r="AC18" i="65"/>
  <c r="AD18" i="65"/>
  <c r="AE18" i="65"/>
  <c r="Z19" i="65"/>
  <c r="AA19" i="65"/>
  <c r="AB19" i="65"/>
  <c r="AC19" i="65"/>
  <c r="AD19" i="65"/>
  <c r="AE19" i="65"/>
  <c r="Z20" i="65"/>
  <c r="AA20" i="65"/>
  <c r="AB20" i="65"/>
  <c r="AC20" i="65"/>
  <c r="AD20" i="65"/>
  <c r="AE20" i="65"/>
  <c r="Z21" i="65"/>
  <c r="AA21" i="65"/>
  <c r="AB21" i="65"/>
  <c r="AC21" i="65"/>
  <c r="AD21" i="65"/>
  <c r="AE21" i="65"/>
  <c r="Z22" i="65"/>
  <c r="AA22" i="65"/>
  <c r="AB22" i="65"/>
  <c r="AC22" i="65"/>
  <c r="AD22" i="65"/>
  <c r="AE22" i="65"/>
  <c r="Z23" i="65"/>
  <c r="AA23" i="65"/>
  <c r="AB23" i="65"/>
  <c r="AC23" i="65"/>
  <c r="AD23" i="65"/>
  <c r="AE23" i="65"/>
  <c r="Z24" i="65"/>
  <c r="AA24" i="65"/>
  <c r="AB24" i="65"/>
  <c r="AC24" i="65"/>
  <c r="AD24" i="65"/>
  <c r="AE24" i="65"/>
  <c r="Z25" i="65"/>
  <c r="AA25" i="65"/>
  <c r="AB25" i="65"/>
  <c r="AC25" i="65"/>
  <c r="AD25" i="65"/>
  <c r="AE25" i="65"/>
  <c r="Z26" i="65"/>
  <c r="AA26" i="65"/>
  <c r="AB26" i="65"/>
  <c r="AC26" i="65"/>
  <c r="AD26" i="65"/>
  <c r="AE26" i="65"/>
  <c r="Z27" i="65"/>
  <c r="AA27" i="65"/>
  <c r="AB27" i="65"/>
  <c r="AC27" i="65"/>
  <c r="AD27" i="65"/>
  <c r="AE27" i="65"/>
  <c r="Z28" i="65"/>
  <c r="AA28" i="65"/>
  <c r="AB28" i="65"/>
  <c r="AC28" i="65"/>
  <c r="AD28" i="65"/>
  <c r="AE28" i="65"/>
  <c r="Z29" i="65"/>
  <c r="AA29" i="65"/>
  <c r="AB29" i="65"/>
  <c r="AC29" i="65"/>
  <c r="AD29" i="65"/>
  <c r="AE29" i="65"/>
  <c r="Z30" i="65"/>
  <c r="AA30" i="65"/>
  <c r="AB30" i="65"/>
  <c r="AC30" i="65"/>
  <c r="AD30" i="65"/>
  <c r="AE30" i="65"/>
  <c r="Z31" i="65"/>
  <c r="AA31" i="65"/>
  <c r="AB31" i="65"/>
  <c r="AC31" i="65"/>
  <c r="AD31" i="65"/>
  <c r="AE31" i="65"/>
  <c r="Z32" i="65"/>
  <c r="AA32" i="65"/>
  <c r="AB32" i="65"/>
  <c r="AC32" i="65"/>
  <c r="AD32" i="65"/>
  <c r="AE32" i="65"/>
  <c r="Z33" i="65"/>
  <c r="AA33" i="65"/>
  <c r="AB33" i="65"/>
  <c r="AC33" i="65"/>
  <c r="AD33" i="65"/>
  <c r="AE33" i="65"/>
  <c r="Z34" i="65"/>
  <c r="AA34" i="65"/>
  <c r="AB34" i="65"/>
  <c r="AC34" i="65"/>
  <c r="AD34" i="65"/>
  <c r="AE34" i="65"/>
  <c r="Z35" i="65"/>
  <c r="AA35" i="65"/>
  <c r="AB35" i="65"/>
  <c r="AC35" i="65"/>
  <c r="AD35" i="65"/>
  <c r="AE35" i="65"/>
  <c r="Z36" i="65"/>
  <c r="AA36" i="65"/>
  <c r="AB36" i="65"/>
  <c r="AC36" i="65"/>
  <c r="AD36" i="65"/>
  <c r="AE36" i="65"/>
  <c r="Z37" i="65"/>
  <c r="AA37" i="65"/>
  <c r="AB37" i="65"/>
  <c r="AC37" i="65"/>
  <c r="AD37" i="65"/>
  <c r="AE37" i="65"/>
  <c r="Z38" i="65"/>
  <c r="AA38" i="65"/>
  <c r="AB38" i="65"/>
  <c r="AC38" i="65"/>
  <c r="AD38" i="65"/>
  <c r="AE38" i="65"/>
  <c r="Z39" i="65"/>
  <c r="AA39" i="65"/>
  <c r="AB39" i="65"/>
  <c r="AC39" i="65"/>
  <c r="AD39" i="65"/>
  <c r="AE39" i="65"/>
  <c r="Z40" i="65"/>
  <c r="AA40" i="65"/>
  <c r="AB40" i="65"/>
  <c r="AC40" i="65"/>
  <c r="AD40" i="65"/>
  <c r="AE40" i="65"/>
  <c r="Z41" i="65"/>
  <c r="AA41" i="65"/>
  <c r="AB41" i="65"/>
  <c r="AC41" i="65"/>
  <c r="AD41" i="65"/>
  <c r="AE41" i="65"/>
  <c r="Z42" i="65"/>
  <c r="AA42" i="65"/>
  <c r="AB42" i="65"/>
  <c r="AC42" i="65"/>
  <c r="AD42" i="65"/>
  <c r="AE42" i="65"/>
  <c r="Z43" i="65"/>
  <c r="AA43" i="65"/>
  <c r="AB43" i="65"/>
  <c r="AC43" i="65"/>
  <c r="AD43" i="65"/>
  <c r="AE43" i="65"/>
  <c r="Z44" i="65"/>
  <c r="AA44" i="65"/>
  <c r="AB44" i="65"/>
  <c r="AC44" i="65"/>
  <c r="AD44" i="65"/>
  <c r="AE44" i="65"/>
  <c r="Z45" i="65"/>
  <c r="AA45" i="65"/>
  <c r="AB45" i="65"/>
  <c r="AC45" i="65"/>
  <c r="AD45" i="65"/>
  <c r="AE45" i="65"/>
  <c r="Z46" i="65"/>
  <c r="AA46" i="65"/>
  <c r="AB46" i="65"/>
  <c r="AC46" i="65"/>
  <c r="AD46" i="65"/>
  <c r="AE46" i="65"/>
  <c r="Z47" i="65"/>
  <c r="AA47" i="65"/>
  <c r="AB47" i="65"/>
  <c r="AC47" i="65"/>
  <c r="AD47" i="65"/>
  <c r="AE47" i="65"/>
  <c r="Z48" i="65"/>
  <c r="AA48" i="65"/>
  <c r="AB48" i="65"/>
  <c r="AC48" i="65"/>
  <c r="AD48" i="65"/>
  <c r="AE48" i="65"/>
  <c r="Z49" i="65"/>
  <c r="AA49" i="65"/>
  <c r="AB49" i="65"/>
  <c r="AC49" i="65"/>
  <c r="AD49" i="65"/>
  <c r="AE49" i="65"/>
  <c r="Z50" i="65"/>
  <c r="AA50" i="65"/>
  <c r="AB50" i="65"/>
  <c r="AC50" i="65"/>
  <c r="AD50" i="65"/>
  <c r="AE50" i="65"/>
  <c r="Z51" i="65"/>
  <c r="AA51" i="65"/>
  <c r="AB51" i="65"/>
  <c r="AC51" i="65"/>
  <c r="AD51" i="65"/>
  <c r="AE51" i="65"/>
  <c r="Z52" i="65"/>
  <c r="AA52" i="65"/>
  <c r="AB52" i="65"/>
  <c r="AC52" i="65"/>
  <c r="AD52" i="65"/>
  <c r="AE52" i="65"/>
  <c r="Z53" i="65"/>
  <c r="AA53" i="65"/>
  <c r="AB53" i="65"/>
  <c r="AC53" i="65"/>
  <c r="AD53" i="65"/>
  <c r="AE53" i="65"/>
  <c r="AA4" i="65"/>
  <c r="AB4" i="65"/>
  <c r="AC4" i="65"/>
  <c r="AD4" i="65"/>
  <c r="AE4" i="65"/>
  <c r="Z4" i="65"/>
  <c r="O6" i="55"/>
  <c r="U6" i="55" s="1"/>
  <c r="P6" i="55"/>
  <c r="AB6" i="55" s="1"/>
  <c r="V6" i="55"/>
  <c r="Q6" i="55"/>
  <c r="W6" i="55" s="1"/>
  <c r="R6" i="55"/>
  <c r="X6" i="55"/>
  <c r="S6" i="55"/>
  <c r="Y6" i="55"/>
  <c r="O7" i="55"/>
  <c r="U7" i="55" s="1"/>
  <c r="P7" i="55"/>
  <c r="V7" i="55"/>
  <c r="Q7" i="55"/>
  <c r="W7" i="55" s="1"/>
  <c r="R7" i="55"/>
  <c r="X7" i="55" s="1"/>
  <c r="S7" i="55"/>
  <c r="Y7" i="55"/>
  <c r="O8" i="55"/>
  <c r="U8" i="55"/>
  <c r="P8" i="55"/>
  <c r="V8" i="55" s="1"/>
  <c r="Q8" i="55"/>
  <c r="W8" i="55" s="1"/>
  <c r="R8" i="55"/>
  <c r="X8" i="55" s="1"/>
  <c r="S8" i="55"/>
  <c r="Y8" i="55" s="1"/>
  <c r="O9" i="55"/>
  <c r="U9" i="55"/>
  <c r="P9" i="55"/>
  <c r="V9" i="55" s="1"/>
  <c r="Q9" i="55"/>
  <c r="W9" i="55" s="1"/>
  <c r="R9" i="55"/>
  <c r="X9" i="55"/>
  <c r="S9" i="55"/>
  <c r="Y9" i="55"/>
  <c r="O10" i="55"/>
  <c r="U10" i="55" s="1"/>
  <c r="P10" i="55"/>
  <c r="V10" i="55" s="1"/>
  <c r="Q10" i="55"/>
  <c r="W10" i="55" s="1"/>
  <c r="R10" i="55"/>
  <c r="X10" i="55" s="1"/>
  <c r="S10" i="55"/>
  <c r="Y10" i="55"/>
  <c r="O11" i="55"/>
  <c r="AA11" i="55" s="1"/>
  <c r="U11" i="55"/>
  <c r="P11" i="55"/>
  <c r="V11" i="55" s="1"/>
  <c r="Q11" i="55"/>
  <c r="W11" i="55"/>
  <c r="R11" i="55"/>
  <c r="X11" i="55" s="1"/>
  <c r="S11" i="55"/>
  <c r="Y11" i="55" s="1"/>
  <c r="O12" i="55"/>
  <c r="AA12" i="55" s="1"/>
  <c r="U12" i="55"/>
  <c r="P12" i="55"/>
  <c r="V12" i="55" s="1"/>
  <c r="Q12" i="55"/>
  <c r="W12" i="55" s="1"/>
  <c r="R12" i="55"/>
  <c r="X12" i="55" s="1"/>
  <c r="S12" i="55"/>
  <c r="Y12" i="55"/>
  <c r="O13" i="55"/>
  <c r="U13" i="55" s="1"/>
  <c r="P13" i="55"/>
  <c r="V13" i="55" s="1"/>
  <c r="Q13" i="55"/>
  <c r="W13" i="55" s="1"/>
  <c r="R13" i="55"/>
  <c r="X13" i="55" s="1"/>
  <c r="S13" i="55"/>
  <c r="Y13" i="55"/>
  <c r="O14" i="55"/>
  <c r="U14" i="55" s="1"/>
  <c r="P14" i="55"/>
  <c r="V14" i="55" s="1"/>
  <c r="Q14" i="55"/>
  <c r="W14" i="55" s="1"/>
  <c r="R14" i="55"/>
  <c r="X14" i="55" s="1"/>
  <c r="S14" i="55"/>
  <c r="Y14" i="55" s="1"/>
  <c r="O15" i="55"/>
  <c r="U15" i="55" s="1"/>
  <c r="P15" i="55"/>
  <c r="V15" i="55" s="1"/>
  <c r="Q15" i="55"/>
  <c r="W15" i="55" s="1"/>
  <c r="R15" i="55"/>
  <c r="X15" i="55" s="1"/>
  <c r="S15" i="55"/>
  <c r="Y15" i="55"/>
  <c r="O16" i="55"/>
  <c r="U16" i="55" s="1"/>
  <c r="P16" i="55"/>
  <c r="V16" i="55"/>
  <c r="Q16" i="55"/>
  <c r="W16" i="55" s="1"/>
  <c r="R16" i="55"/>
  <c r="X16" i="55" s="1"/>
  <c r="S16" i="55"/>
  <c r="AE16" i="55" s="1"/>
  <c r="Y16" i="55"/>
  <c r="O17" i="55"/>
  <c r="U17" i="55" s="1"/>
  <c r="P17" i="55"/>
  <c r="V17" i="55" s="1"/>
  <c r="Q17" i="55"/>
  <c r="W17" i="55" s="1"/>
  <c r="R17" i="55"/>
  <c r="X17" i="55"/>
  <c r="S17" i="55"/>
  <c r="O18" i="55"/>
  <c r="U18" i="55"/>
  <c r="P18" i="55"/>
  <c r="V18" i="55" s="1"/>
  <c r="Q18" i="55"/>
  <c r="W18" i="55" s="1"/>
  <c r="R18" i="55"/>
  <c r="X18" i="55"/>
  <c r="S18" i="55"/>
  <c r="Y18" i="55" s="1"/>
  <c r="O19" i="55"/>
  <c r="U19" i="55" s="1"/>
  <c r="P19" i="55"/>
  <c r="V19" i="55" s="1"/>
  <c r="Q19" i="55"/>
  <c r="W19" i="55" s="1"/>
  <c r="R19" i="55"/>
  <c r="X19" i="55" s="1"/>
  <c r="S19" i="55"/>
  <c r="Y19" i="55" s="1"/>
  <c r="O20" i="55"/>
  <c r="U20" i="55" s="1"/>
  <c r="P20" i="55"/>
  <c r="V20" i="55" s="1"/>
  <c r="Q20" i="55"/>
  <c r="W20" i="55" s="1"/>
  <c r="R20" i="55"/>
  <c r="AD20" i="55" s="1"/>
  <c r="X20" i="55"/>
  <c r="S20" i="55"/>
  <c r="Y20" i="55" s="1"/>
  <c r="O21" i="55"/>
  <c r="U21" i="55" s="1"/>
  <c r="P21" i="55"/>
  <c r="V21" i="55" s="1"/>
  <c r="Q21" i="55"/>
  <c r="W21" i="55" s="1"/>
  <c r="R21" i="55"/>
  <c r="AD21" i="55" s="1"/>
  <c r="X21" i="55"/>
  <c r="S21" i="55"/>
  <c r="Y21" i="55"/>
  <c r="O22" i="55"/>
  <c r="U22" i="55" s="1"/>
  <c r="P22" i="55"/>
  <c r="V22" i="55"/>
  <c r="Q22" i="55"/>
  <c r="W22" i="55"/>
  <c r="R22" i="55"/>
  <c r="X22" i="55" s="1"/>
  <c r="S22" i="55"/>
  <c r="Y22" i="55"/>
  <c r="O23" i="55"/>
  <c r="U23" i="55" s="1"/>
  <c r="P23" i="55"/>
  <c r="V23" i="55" s="1"/>
  <c r="Q23" i="55"/>
  <c r="W23" i="55"/>
  <c r="R23" i="55"/>
  <c r="X23" i="55" s="1"/>
  <c r="S23" i="55"/>
  <c r="Y23" i="55" s="1"/>
  <c r="O24" i="55"/>
  <c r="U24" i="55" s="1"/>
  <c r="P24" i="55"/>
  <c r="V24" i="55" s="1"/>
  <c r="Q24" i="55"/>
  <c r="W24" i="55" s="1"/>
  <c r="R24" i="55"/>
  <c r="X24" i="55" s="1"/>
  <c r="S24" i="55"/>
  <c r="Y24" i="55" s="1"/>
  <c r="O25" i="55"/>
  <c r="U25" i="55" s="1"/>
  <c r="P25" i="55"/>
  <c r="V25" i="55" s="1"/>
  <c r="Q25" i="55"/>
  <c r="AC25" i="55" s="1"/>
  <c r="W25" i="55"/>
  <c r="R25" i="55"/>
  <c r="X25" i="55" s="1"/>
  <c r="S25" i="55"/>
  <c r="Y25" i="55" s="1"/>
  <c r="O26" i="55"/>
  <c r="U26" i="55" s="1"/>
  <c r="P26" i="55"/>
  <c r="V26" i="55" s="1"/>
  <c r="Q26" i="55"/>
  <c r="AC26" i="55" s="1"/>
  <c r="W26" i="55"/>
  <c r="R26" i="55"/>
  <c r="X26" i="55" s="1"/>
  <c r="S26" i="55"/>
  <c r="Y26" i="55" s="1"/>
  <c r="O27" i="55"/>
  <c r="U27" i="55" s="1"/>
  <c r="P27" i="55"/>
  <c r="V27" i="55"/>
  <c r="Q27" i="55"/>
  <c r="W27" i="55" s="1"/>
  <c r="R27" i="55"/>
  <c r="X27" i="55" s="1"/>
  <c r="S27" i="55"/>
  <c r="Y27" i="55"/>
  <c r="O28" i="55"/>
  <c r="U28" i="55" s="1"/>
  <c r="P28" i="55"/>
  <c r="V28" i="55"/>
  <c r="Q28" i="55"/>
  <c r="W28" i="55" s="1"/>
  <c r="R28" i="55"/>
  <c r="X28" i="55" s="1"/>
  <c r="S28" i="55"/>
  <c r="Y28" i="55" s="1"/>
  <c r="O29" i="55"/>
  <c r="U29" i="55" s="1"/>
  <c r="P29" i="55"/>
  <c r="V29" i="55" s="1"/>
  <c r="Q29" i="55"/>
  <c r="W29" i="55" s="1"/>
  <c r="R29" i="55"/>
  <c r="X29" i="55" s="1"/>
  <c r="S29" i="55"/>
  <c r="Y29" i="55" s="1"/>
  <c r="O30" i="55"/>
  <c r="U30" i="55" s="1"/>
  <c r="P30" i="55"/>
  <c r="V30" i="55"/>
  <c r="Q30" i="55"/>
  <c r="W30" i="55" s="1"/>
  <c r="R30" i="55"/>
  <c r="X30" i="55" s="1"/>
  <c r="S30" i="55"/>
  <c r="Y30" i="55" s="1"/>
  <c r="O31" i="55"/>
  <c r="U31" i="55" s="1"/>
  <c r="P31" i="55"/>
  <c r="V31" i="55"/>
  <c r="Q31" i="55"/>
  <c r="W31" i="55"/>
  <c r="R31" i="55"/>
  <c r="X31" i="55" s="1"/>
  <c r="S31" i="55"/>
  <c r="Y31" i="55"/>
  <c r="O32" i="55"/>
  <c r="U32" i="55"/>
  <c r="P32" i="55"/>
  <c r="V32" i="55" s="1"/>
  <c r="Q32" i="55"/>
  <c r="W32" i="55"/>
  <c r="R32" i="55"/>
  <c r="X32" i="55" s="1"/>
  <c r="S32" i="55"/>
  <c r="Y32" i="55" s="1"/>
  <c r="O33" i="55"/>
  <c r="U33" i="55"/>
  <c r="P33" i="55"/>
  <c r="V33" i="55" s="1"/>
  <c r="Q33" i="55"/>
  <c r="W33" i="55" s="1"/>
  <c r="R33" i="55"/>
  <c r="X33" i="55" s="1"/>
  <c r="S33" i="55"/>
  <c r="Y33" i="55"/>
  <c r="O34" i="55"/>
  <c r="U34" i="55" s="1"/>
  <c r="P34" i="55"/>
  <c r="V34" i="55" s="1"/>
  <c r="Q34" i="55"/>
  <c r="W34" i="55" s="1"/>
  <c r="R34" i="55"/>
  <c r="X34" i="55" s="1"/>
  <c r="S34" i="55"/>
  <c r="Y34" i="55"/>
  <c r="O35" i="55"/>
  <c r="AA35" i="55" s="1"/>
  <c r="U35" i="55"/>
  <c r="P35" i="55"/>
  <c r="V35" i="55" s="1"/>
  <c r="Q35" i="55"/>
  <c r="W35" i="55" s="1"/>
  <c r="R35" i="55"/>
  <c r="X35" i="55" s="1"/>
  <c r="S35" i="55"/>
  <c r="Y35" i="55" s="1"/>
  <c r="O36" i="55"/>
  <c r="AA36" i="55" s="1"/>
  <c r="U36" i="55"/>
  <c r="P36" i="55"/>
  <c r="V36" i="55" s="1"/>
  <c r="Q36" i="55"/>
  <c r="W36" i="55" s="1"/>
  <c r="R36" i="55"/>
  <c r="X36" i="55" s="1"/>
  <c r="S36" i="55"/>
  <c r="Y36" i="55"/>
  <c r="O37" i="55"/>
  <c r="P37" i="55"/>
  <c r="V37" i="55" s="1"/>
  <c r="Q37" i="55"/>
  <c r="W37" i="55"/>
  <c r="R37" i="55"/>
  <c r="X37" i="55" s="1"/>
  <c r="S37" i="55"/>
  <c r="Y37" i="55"/>
  <c r="O38" i="55"/>
  <c r="U38" i="55" s="1"/>
  <c r="P38" i="55"/>
  <c r="V38" i="55" s="1"/>
  <c r="Q38" i="55"/>
  <c r="W38" i="55" s="1"/>
  <c r="R38" i="55"/>
  <c r="X38" i="55"/>
  <c r="S38" i="55"/>
  <c r="Y38" i="55" s="1"/>
  <c r="O39" i="55"/>
  <c r="U39" i="55" s="1"/>
  <c r="P39" i="55"/>
  <c r="V39" i="55" s="1"/>
  <c r="Q39" i="55"/>
  <c r="W39" i="55" s="1"/>
  <c r="R39" i="55"/>
  <c r="X39" i="55"/>
  <c r="S39" i="55"/>
  <c r="AE39" i="55" s="1"/>
  <c r="Y39" i="55"/>
  <c r="O40" i="55"/>
  <c r="U40" i="55" s="1"/>
  <c r="P40" i="55"/>
  <c r="V40" i="55"/>
  <c r="Q40" i="55"/>
  <c r="W40" i="55" s="1"/>
  <c r="R40" i="55"/>
  <c r="X40" i="55" s="1"/>
  <c r="S40" i="55"/>
  <c r="AE40" i="55" s="1"/>
  <c r="Y40" i="55"/>
  <c r="O41" i="55"/>
  <c r="U41" i="55" s="1"/>
  <c r="P41" i="55"/>
  <c r="V41" i="55" s="1"/>
  <c r="Q41" i="55"/>
  <c r="W41" i="55" s="1"/>
  <c r="R41" i="55"/>
  <c r="X41" i="55"/>
  <c r="S41" i="55"/>
  <c r="Y41" i="55" s="1"/>
  <c r="O42" i="55"/>
  <c r="U42" i="55" s="1"/>
  <c r="P42" i="55"/>
  <c r="V42" i="55" s="1"/>
  <c r="Q42" i="55"/>
  <c r="W42" i="55" s="1"/>
  <c r="R42" i="55"/>
  <c r="X42" i="55"/>
  <c r="S42" i="55"/>
  <c r="Y42" i="55" s="1"/>
  <c r="O43" i="55"/>
  <c r="U43" i="55" s="1"/>
  <c r="P43" i="55"/>
  <c r="V43" i="55" s="1"/>
  <c r="Q43" i="55"/>
  <c r="W43" i="55" s="1"/>
  <c r="R43" i="55"/>
  <c r="X43" i="55" s="1"/>
  <c r="S43" i="55"/>
  <c r="Y43" i="55" s="1"/>
  <c r="O44" i="55"/>
  <c r="U44" i="55"/>
  <c r="P44" i="55"/>
  <c r="V44" i="55" s="1"/>
  <c r="Q44" i="55"/>
  <c r="W44" i="55" s="1"/>
  <c r="R44" i="55"/>
  <c r="AD44" i="55" s="1"/>
  <c r="X44" i="55"/>
  <c r="S44" i="55"/>
  <c r="Y44" i="55" s="1"/>
  <c r="O45" i="55"/>
  <c r="U45" i="55"/>
  <c r="P45" i="55"/>
  <c r="V45" i="55" s="1"/>
  <c r="Q45" i="55"/>
  <c r="W45" i="55" s="1"/>
  <c r="R45" i="55"/>
  <c r="X45" i="55"/>
  <c r="S45" i="55"/>
  <c r="Y45" i="55"/>
  <c r="O46" i="55"/>
  <c r="U46" i="55" s="1"/>
  <c r="P46" i="55"/>
  <c r="V46" i="55" s="1"/>
  <c r="Q46" i="55"/>
  <c r="W46" i="55"/>
  <c r="R46" i="55"/>
  <c r="X46" i="55" s="1"/>
  <c r="S46" i="55"/>
  <c r="Y46" i="55" s="1"/>
  <c r="O47" i="55"/>
  <c r="U47" i="55" s="1"/>
  <c r="P47" i="55"/>
  <c r="V47" i="55" s="1"/>
  <c r="Q47" i="55"/>
  <c r="W47" i="55"/>
  <c r="R47" i="55"/>
  <c r="X47" i="55" s="1"/>
  <c r="S47" i="55"/>
  <c r="Y47" i="55" s="1"/>
  <c r="O48" i="55"/>
  <c r="U48" i="55" s="1"/>
  <c r="P48" i="55"/>
  <c r="V48" i="55" s="1"/>
  <c r="Q48" i="55"/>
  <c r="W48" i="55" s="1"/>
  <c r="R48" i="55"/>
  <c r="X48" i="55" s="1"/>
  <c r="S48" i="55"/>
  <c r="Y48" i="55" s="1"/>
  <c r="O49" i="55"/>
  <c r="U49" i="55" s="1"/>
  <c r="P49" i="55"/>
  <c r="V49" i="55" s="1"/>
  <c r="Q49" i="55"/>
  <c r="W49" i="55"/>
  <c r="R49" i="55"/>
  <c r="X49" i="55" s="1"/>
  <c r="S49" i="55"/>
  <c r="Y49" i="55"/>
  <c r="O50" i="55"/>
  <c r="U50" i="55" s="1"/>
  <c r="P50" i="55"/>
  <c r="V50" i="55" s="1"/>
  <c r="Q50" i="55"/>
  <c r="AC50" i="55" s="1"/>
  <c r="W50" i="55"/>
  <c r="R50" i="55"/>
  <c r="X50" i="55" s="1"/>
  <c r="S50" i="55"/>
  <c r="Y50" i="55" s="1"/>
  <c r="O51" i="55"/>
  <c r="U51" i="55" s="1"/>
  <c r="P51" i="55"/>
  <c r="V51" i="55"/>
  <c r="Q51" i="55"/>
  <c r="W51" i="55" s="1"/>
  <c r="R51" i="55"/>
  <c r="X51" i="55" s="1"/>
  <c r="S51" i="55"/>
  <c r="Y51" i="55" s="1"/>
  <c r="O52" i="55"/>
  <c r="U52" i="55" s="1"/>
  <c r="P52" i="55"/>
  <c r="V52" i="55"/>
  <c r="Q52" i="55"/>
  <c r="W52" i="55" s="1"/>
  <c r="R52" i="55"/>
  <c r="X52" i="55" s="1"/>
  <c r="S52" i="55"/>
  <c r="Y52" i="55" s="1"/>
  <c r="O53" i="55"/>
  <c r="U53" i="55" s="1"/>
  <c r="P53" i="55"/>
  <c r="V53" i="55" s="1"/>
  <c r="Q53" i="55"/>
  <c r="W53" i="55" s="1"/>
  <c r="R53" i="55"/>
  <c r="X53" i="55" s="1"/>
  <c r="S53" i="55"/>
  <c r="Y53" i="55" s="1"/>
  <c r="O54" i="55"/>
  <c r="U54" i="55" s="1"/>
  <c r="P54" i="55"/>
  <c r="AB54" i="55" s="1"/>
  <c r="V54" i="55"/>
  <c r="Q54" i="55"/>
  <c r="W54" i="55" s="1"/>
  <c r="R54" i="55"/>
  <c r="X54" i="55" s="1"/>
  <c r="S54" i="55"/>
  <c r="Y54" i="55"/>
  <c r="O55" i="55"/>
  <c r="U55" i="55" s="1"/>
  <c r="P55" i="55"/>
  <c r="AB55" i="55" s="1"/>
  <c r="V55" i="55"/>
  <c r="Q55" i="55"/>
  <c r="W55" i="55" s="1"/>
  <c r="R55" i="55"/>
  <c r="X55" i="55" s="1"/>
  <c r="S55" i="55"/>
  <c r="Y55" i="55"/>
  <c r="O56" i="55"/>
  <c r="U56" i="55"/>
  <c r="P56" i="55"/>
  <c r="V56" i="55" s="1"/>
  <c r="Q56" i="55"/>
  <c r="W56" i="55"/>
  <c r="R56" i="55"/>
  <c r="X56" i="55" s="1"/>
  <c r="S56" i="55"/>
  <c r="Y56" i="55" s="1"/>
  <c r="O57" i="55"/>
  <c r="U57" i="55"/>
  <c r="P57" i="55"/>
  <c r="V57" i="55" s="1"/>
  <c r="Q57" i="55"/>
  <c r="W57" i="55" s="1"/>
  <c r="R57" i="55"/>
  <c r="X57" i="55" s="1"/>
  <c r="S57" i="55"/>
  <c r="Y57" i="55" s="1"/>
  <c r="O58" i="55"/>
  <c r="AA58" i="55" s="1"/>
  <c r="P58" i="55"/>
  <c r="V58" i="55" s="1"/>
  <c r="Q58" i="55"/>
  <c r="W58" i="55" s="1"/>
  <c r="R58" i="55"/>
  <c r="X58" i="55" s="1"/>
  <c r="S58" i="55"/>
  <c r="Y58" i="55" s="1"/>
  <c r="O59" i="55"/>
  <c r="U59" i="55" s="1"/>
  <c r="P59" i="55"/>
  <c r="V59" i="55" s="1"/>
  <c r="Q59" i="55"/>
  <c r="W59" i="55" s="1"/>
  <c r="R59" i="55"/>
  <c r="X59" i="55" s="1"/>
  <c r="S59" i="55"/>
  <c r="AE59" i="55" s="1"/>
  <c r="O60" i="55"/>
  <c r="U60" i="55" s="1"/>
  <c r="P60" i="55"/>
  <c r="V60" i="55" s="1"/>
  <c r="Q60" i="55"/>
  <c r="W60" i="55"/>
  <c r="R60" i="55"/>
  <c r="X60" i="55" s="1"/>
  <c r="S60" i="55"/>
  <c r="Y60" i="55" s="1"/>
  <c r="O61" i="55"/>
  <c r="U61" i="55" s="1"/>
  <c r="P61" i="55"/>
  <c r="V61" i="55" s="1"/>
  <c r="Q61" i="55"/>
  <c r="W61" i="55" s="1"/>
  <c r="R61" i="55"/>
  <c r="AD61" i="55" s="1"/>
  <c r="S61" i="55"/>
  <c r="Y61" i="55" s="1"/>
  <c r="O62" i="55"/>
  <c r="U62" i="55" s="1"/>
  <c r="P62" i="55"/>
  <c r="V62" i="55"/>
  <c r="Q62" i="55"/>
  <c r="W62" i="55" s="1"/>
  <c r="R62" i="55"/>
  <c r="X62" i="55" s="1"/>
  <c r="S62" i="55"/>
  <c r="Y62" i="55" s="1"/>
  <c r="O63" i="55"/>
  <c r="U63" i="55" s="1"/>
  <c r="P63" i="55"/>
  <c r="V63" i="55" s="1"/>
  <c r="Q63" i="55"/>
  <c r="W63" i="55" s="1"/>
  <c r="R63" i="55"/>
  <c r="X63" i="55" s="1"/>
  <c r="S63" i="55"/>
  <c r="Y63" i="55" s="1"/>
  <c r="O64" i="55"/>
  <c r="U64" i="55"/>
  <c r="P64" i="55"/>
  <c r="V64" i="55" s="1"/>
  <c r="Q64" i="55"/>
  <c r="W64" i="55" s="1"/>
  <c r="R64" i="55"/>
  <c r="X64" i="55" s="1"/>
  <c r="S64" i="55"/>
  <c r="Y64" i="55" s="1"/>
  <c r="O65" i="55"/>
  <c r="U65" i="55" s="1"/>
  <c r="P65" i="55"/>
  <c r="AB65" i="55" s="1"/>
  <c r="Q65" i="55"/>
  <c r="W65" i="55" s="1"/>
  <c r="R65" i="55"/>
  <c r="X65" i="55" s="1"/>
  <c r="S65" i="55"/>
  <c r="Y65" i="55" s="1"/>
  <c r="O66" i="55"/>
  <c r="U66" i="55" s="1"/>
  <c r="P66" i="55"/>
  <c r="V66" i="55" s="1"/>
  <c r="Q66" i="55"/>
  <c r="W66" i="55" s="1"/>
  <c r="R66" i="55"/>
  <c r="X66" i="55" s="1"/>
  <c r="S66" i="55"/>
  <c r="Y66" i="55" s="1"/>
  <c r="O67" i="55"/>
  <c r="AA67" i="55" s="1"/>
  <c r="P67" i="55"/>
  <c r="V67" i="55" s="1"/>
  <c r="Q67" i="55"/>
  <c r="W67" i="55" s="1"/>
  <c r="R67" i="55"/>
  <c r="X67" i="55" s="1"/>
  <c r="S67" i="55"/>
  <c r="Y67" i="55" s="1"/>
  <c r="O68" i="55"/>
  <c r="U68" i="55" s="1"/>
  <c r="P68" i="55"/>
  <c r="V68" i="55" s="1"/>
  <c r="Q68" i="55"/>
  <c r="W68" i="55" s="1"/>
  <c r="R68" i="55"/>
  <c r="X68" i="55" s="1"/>
  <c r="S68" i="55"/>
  <c r="Y68" i="55" s="1"/>
  <c r="O69" i="55"/>
  <c r="U69" i="55" s="1"/>
  <c r="P69" i="55"/>
  <c r="V69" i="55" s="1"/>
  <c r="Q69" i="55"/>
  <c r="W69" i="55" s="1"/>
  <c r="R69" i="55"/>
  <c r="X69" i="55" s="1"/>
  <c r="S69" i="55"/>
  <c r="Y69" i="55" s="1"/>
  <c r="O70" i="55"/>
  <c r="U70" i="55" s="1"/>
  <c r="P70" i="55"/>
  <c r="V70" i="55" s="1"/>
  <c r="Q70" i="55"/>
  <c r="W70" i="55" s="1"/>
  <c r="R70" i="55"/>
  <c r="AD70" i="55" s="1"/>
  <c r="S70" i="55"/>
  <c r="Y70" i="55" s="1"/>
  <c r="O71" i="55"/>
  <c r="U71" i="55" s="1"/>
  <c r="P71" i="55"/>
  <c r="V71" i="55"/>
  <c r="Q71" i="55"/>
  <c r="W71" i="55" s="1"/>
  <c r="R71" i="55"/>
  <c r="X71" i="55" s="1"/>
  <c r="S71" i="55"/>
  <c r="Y71" i="55" s="1"/>
  <c r="O72" i="55"/>
  <c r="U72" i="55" s="1"/>
  <c r="P72" i="55"/>
  <c r="V72" i="55" s="1"/>
  <c r="Q72" i="55"/>
  <c r="W72" i="55" s="1"/>
  <c r="R72" i="55"/>
  <c r="X72" i="55" s="1"/>
  <c r="S72" i="55"/>
  <c r="Y72" i="55" s="1"/>
  <c r="O73" i="55"/>
  <c r="U73" i="55" s="1"/>
  <c r="P73" i="55"/>
  <c r="V73" i="55" s="1"/>
  <c r="Q73" i="55"/>
  <c r="W73" i="55" s="1"/>
  <c r="R73" i="55"/>
  <c r="X73" i="55" s="1"/>
  <c r="S73" i="55"/>
  <c r="Y73" i="55" s="1"/>
  <c r="O74" i="55"/>
  <c r="U74" i="55" s="1"/>
  <c r="P74" i="55"/>
  <c r="V74" i="55" s="1"/>
  <c r="Q74" i="55"/>
  <c r="W74" i="55" s="1"/>
  <c r="R74" i="55"/>
  <c r="X74" i="55" s="1"/>
  <c r="S74" i="55"/>
  <c r="Y74" i="55"/>
  <c r="O75" i="55"/>
  <c r="U75" i="55" s="1"/>
  <c r="P75" i="55"/>
  <c r="V75" i="55" s="1"/>
  <c r="Q75" i="55"/>
  <c r="AC75" i="55" s="1"/>
  <c r="R75" i="55"/>
  <c r="X75" i="55" s="1"/>
  <c r="S75" i="55"/>
  <c r="Y75" i="55" s="1"/>
  <c r="O76" i="55"/>
  <c r="U76" i="55" s="1"/>
  <c r="P76" i="55"/>
  <c r="V76" i="55" s="1"/>
  <c r="Q76" i="55"/>
  <c r="W76" i="55" s="1"/>
  <c r="R76" i="55"/>
  <c r="X76" i="55" s="1"/>
  <c r="S76" i="55"/>
  <c r="Y76" i="55" s="1"/>
  <c r="O77" i="55"/>
  <c r="U77" i="55" s="1"/>
  <c r="P77" i="55"/>
  <c r="V77" i="55" s="1"/>
  <c r="Q77" i="55"/>
  <c r="W77" i="55" s="1"/>
  <c r="R77" i="55"/>
  <c r="X77" i="55" s="1"/>
  <c r="S77" i="55"/>
  <c r="AE77" i="55" s="1"/>
  <c r="O78" i="55"/>
  <c r="U78" i="55" s="1"/>
  <c r="P78" i="55"/>
  <c r="V78" i="55" s="1"/>
  <c r="Q78" i="55"/>
  <c r="W78" i="55"/>
  <c r="R78" i="55"/>
  <c r="X78" i="55" s="1"/>
  <c r="S78" i="55"/>
  <c r="Y78" i="55" s="1"/>
  <c r="O79" i="55"/>
  <c r="U79" i="55" s="1"/>
  <c r="P79" i="55"/>
  <c r="V79" i="55" s="1"/>
  <c r="Q79" i="55"/>
  <c r="W79" i="55" s="1"/>
  <c r="R79" i="55"/>
  <c r="AD79" i="55" s="1"/>
  <c r="S79" i="55"/>
  <c r="Y79" i="55" s="1"/>
  <c r="O80" i="55"/>
  <c r="U80" i="55" s="1"/>
  <c r="P80" i="55"/>
  <c r="V80" i="55" s="1"/>
  <c r="Q80" i="55"/>
  <c r="W80" i="55" s="1"/>
  <c r="R80" i="55"/>
  <c r="X80" i="55" s="1"/>
  <c r="S80" i="55"/>
  <c r="Y80" i="55" s="1"/>
  <c r="O81" i="55"/>
  <c r="U81" i="55" s="1"/>
  <c r="P81" i="55"/>
  <c r="V81" i="55" s="1"/>
  <c r="Q81" i="55"/>
  <c r="W81" i="55" s="1"/>
  <c r="R81" i="55"/>
  <c r="X81" i="55" s="1"/>
  <c r="S81" i="55"/>
  <c r="Y81" i="55" s="1"/>
  <c r="O82" i="55"/>
  <c r="U82" i="55" s="1"/>
  <c r="P82" i="55"/>
  <c r="V82" i="55" s="1"/>
  <c r="Q82" i="55"/>
  <c r="W82" i="55" s="1"/>
  <c r="R82" i="55"/>
  <c r="X82" i="55" s="1"/>
  <c r="S82" i="55"/>
  <c r="Y82" i="55" s="1"/>
  <c r="O83" i="55"/>
  <c r="U83" i="55" s="1"/>
  <c r="P83" i="55"/>
  <c r="AB83" i="55" s="1"/>
  <c r="Q83" i="55"/>
  <c r="W83" i="55" s="1"/>
  <c r="R83" i="55"/>
  <c r="X83" i="55" s="1"/>
  <c r="S83" i="55"/>
  <c r="Y83" i="55" s="1"/>
  <c r="O84" i="55"/>
  <c r="U84" i="55" s="1"/>
  <c r="P84" i="55"/>
  <c r="V84" i="55" s="1"/>
  <c r="Q84" i="55"/>
  <c r="W84" i="55" s="1"/>
  <c r="R84" i="55"/>
  <c r="X84" i="55" s="1"/>
  <c r="S84" i="55"/>
  <c r="Y84" i="55" s="1"/>
  <c r="O85" i="55"/>
  <c r="U85" i="55" s="1"/>
  <c r="P85" i="55"/>
  <c r="V85" i="55" s="1"/>
  <c r="Q85" i="55"/>
  <c r="W85" i="55"/>
  <c r="R85" i="55"/>
  <c r="X85" i="55" s="1"/>
  <c r="S85" i="55"/>
  <c r="Y85" i="55" s="1"/>
  <c r="O86" i="55"/>
  <c r="U86" i="55" s="1"/>
  <c r="P86" i="55"/>
  <c r="V86" i="55" s="1"/>
  <c r="Q86" i="55"/>
  <c r="W86" i="55" s="1"/>
  <c r="R86" i="55"/>
  <c r="X86" i="55" s="1"/>
  <c r="S86" i="55"/>
  <c r="Y86" i="55" s="1"/>
  <c r="O87" i="55"/>
  <c r="U87" i="55" s="1"/>
  <c r="P87" i="55"/>
  <c r="V87" i="55" s="1"/>
  <c r="Q87" i="55"/>
  <c r="W87" i="55" s="1"/>
  <c r="R87" i="55"/>
  <c r="X87" i="55" s="1"/>
  <c r="S87" i="55"/>
  <c r="AE87" i="55" s="1"/>
  <c r="O88" i="55"/>
  <c r="U88" i="55" s="1"/>
  <c r="P88" i="55"/>
  <c r="V88" i="55" s="1"/>
  <c r="Q88" i="55"/>
  <c r="W88" i="55" s="1"/>
  <c r="R88" i="55"/>
  <c r="X88" i="55"/>
  <c r="S88" i="55"/>
  <c r="Y88" i="55" s="1"/>
  <c r="O89" i="55"/>
  <c r="AA89" i="55" s="1"/>
  <c r="U89" i="55"/>
  <c r="P89" i="55"/>
  <c r="V89" i="55" s="1"/>
  <c r="Q89" i="55"/>
  <c r="W89" i="55" s="1"/>
  <c r="R89" i="55"/>
  <c r="X89" i="55" s="1"/>
  <c r="S89" i="55"/>
  <c r="Y89" i="55"/>
  <c r="O90" i="55"/>
  <c r="U90" i="55" s="1"/>
  <c r="P90" i="55"/>
  <c r="V90" i="55" s="1"/>
  <c r="Q90" i="55"/>
  <c r="W90" i="55" s="1"/>
  <c r="R90" i="55"/>
  <c r="X90" i="55" s="1"/>
  <c r="S90" i="55"/>
  <c r="Y90" i="55" s="1"/>
  <c r="O91" i="55"/>
  <c r="U91" i="55" s="1"/>
  <c r="P91" i="55"/>
  <c r="V91" i="55" s="1"/>
  <c r="Q91" i="55"/>
  <c r="AC91" i="55" s="1"/>
  <c r="R91" i="55"/>
  <c r="X91" i="55" s="1"/>
  <c r="S91" i="55"/>
  <c r="Y91" i="55" s="1"/>
  <c r="O92" i="55"/>
  <c r="U92" i="55"/>
  <c r="P92" i="55"/>
  <c r="V92" i="55"/>
  <c r="Q92" i="55"/>
  <c r="W92" i="55" s="1"/>
  <c r="R92" i="55"/>
  <c r="AD92" i="55" s="1"/>
  <c r="X92" i="55"/>
  <c r="S92" i="55"/>
  <c r="AE92" i="55" s="1"/>
  <c r="O93" i="55"/>
  <c r="U93" i="55" s="1"/>
  <c r="P93" i="55"/>
  <c r="V93" i="55" s="1"/>
  <c r="Q93" i="55"/>
  <c r="W93" i="55"/>
  <c r="R93" i="55"/>
  <c r="X93" i="55" s="1"/>
  <c r="S93" i="55"/>
  <c r="Y93" i="55" s="1"/>
  <c r="O94" i="55"/>
  <c r="U94" i="55" s="1"/>
  <c r="P94" i="55"/>
  <c r="V94" i="55" s="1"/>
  <c r="Q94" i="55"/>
  <c r="W94" i="55" s="1"/>
  <c r="R94" i="55"/>
  <c r="AD94" i="55" s="1"/>
  <c r="S94" i="55"/>
  <c r="Y94" i="55" s="1"/>
  <c r="O95" i="55"/>
  <c r="AA95" i="55" s="1"/>
  <c r="P95" i="55"/>
  <c r="V95" i="55" s="1"/>
  <c r="Q95" i="55"/>
  <c r="W95" i="55" s="1"/>
  <c r="R95" i="55"/>
  <c r="X95" i="55" s="1"/>
  <c r="S95" i="55"/>
  <c r="Y95" i="55"/>
  <c r="O96" i="55"/>
  <c r="U96" i="55" s="1"/>
  <c r="P96" i="55"/>
  <c r="AB96" i="55" s="1"/>
  <c r="V96" i="55"/>
  <c r="Q96" i="55"/>
  <c r="AC96" i="55" s="1"/>
  <c r="R96" i="55"/>
  <c r="X96" i="55" s="1"/>
  <c r="S96" i="55"/>
  <c r="Y96" i="55" s="1"/>
  <c r="O97" i="55"/>
  <c r="U97" i="55"/>
  <c r="P97" i="55"/>
  <c r="V97" i="55" s="1"/>
  <c r="Q97" i="55"/>
  <c r="W97" i="55" s="1"/>
  <c r="R97" i="55"/>
  <c r="X97" i="55" s="1"/>
  <c r="S97" i="55"/>
  <c r="Y97" i="55" s="1"/>
  <c r="O98" i="55"/>
  <c r="U98" i="55" s="1"/>
  <c r="P98" i="55"/>
  <c r="V98" i="55" s="1"/>
  <c r="Q98" i="55"/>
  <c r="W98" i="55" s="1"/>
  <c r="R98" i="55"/>
  <c r="X98" i="55" s="1"/>
  <c r="S98" i="55"/>
  <c r="Y98" i="55" s="1"/>
  <c r="O99" i="55"/>
  <c r="U99" i="55" s="1"/>
  <c r="P99" i="55"/>
  <c r="V99" i="55" s="1"/>
  <c r="Q99" i="55"/>
  <c r="W99" i="55"/>
  <c r="R99" i="55"/>
  <c r="X99" i="55" s="1"/>
  <c r="S99" i="55"/>
  <c r="AE99" i="55" s="1"/>
  <c r="Y99" i="55"/>
  <c r="O100" i="55"/>
  <c r="AA100" i="55" s="1"/>
  <c r="P100" i="55"/>
  <c r="V100" i="55" s="1"/>
  <c r="Q100" i="55"/>
  <c r="W100" i="55" s="1"/>
  <c r="R100" i="55"/>
  <c r="X100" i="55"/>
  <c r="S100" i="55"/>
  <c r="Y100" i="55" s="1"/>
  <c r="O101" i="55"/>
  <c r="U101" i="55" s="1"/>
  <c r="P101" i="55"/>
  <c r="V101" i="55" s="1"/>
  <c r="Q101" i="55"/>
  <c r="W101" i="55" s="1"/>
  <c r="R101" i="55"/>
  <c r="X101" i="55" s="1"/>
  <c r="S101" i="55"/>
  <c r="Y101" i="55" s="1"/>
  <c r="O102" i="55"/>
  <c r="U102" i="55" s="1"/>
  <c r="P102" i="55"/>
  <c r="V102" i="55" s="1"/>
  <c r="Q102" i="55"/>
  <c r="W102" i="55" s="1"/>
  <c r="R102" i="55"/>
  <c r="X102" i="55" s="1"/>
  <c r="S102" i="55"/>
  <c r="Y102" i="55" s="1"/>
  <c r="O103" i="55"/>
  <c r="U103" i="55"/>
  <c r="P103" i="55"/>
  <c r="V103" i="55" s="1"/>
  <c r="Q103" i="55"/>
  <c r="AC103" i="55" s="1"/>
  <c r="W103" i="55"/>
  <c r="R103" i="55"/>
  <c r="AD103" i="55" s="1"/>
  <c r="S103" i="55"/>
  <c r="Y103" i="55" s="1"/>
  <c r="O104" i="55"/>
  <c r="U104" i="55" s="1"/>
  <c r="P104" i="55"/>
  <c r="V104" i="55"/>
  <c r="Q104" i="55"/>
  <c r="W104" i="55" s="1"/>
  <c r="R104" i="55"/>
  <c r="X104" i="55" s="1"/>
  <c r="S104" i="55"/>
  <c r="Y104" i="55" s="1"/>
  <c r="P5" i="55"/>
  <c r="V5" i="55" s="1"/>
  <c r="Q5" i="55"/>
  <c r="W5" i="55" s="1"/>
  <c r="R5" i="55"/>
  <c r="X5" i="55" s="1"/>
  <c r="S5" i="55"/>
  <c r="Y5" i="55" s="1"/>
  <c r="O5" i="55"/>
  <c r="U5" i="55" s="1"/>
  <c r="AB104" i="55"/>
  <c r="AE97" i="55"/>
  <c r="AB88" i="55"/>
  <c r="AA85" i="55"/>
  <c r="AE81" i="55"/>
  <c r="AB72" i="55"/>
  <c r="AA69" i="55"/>
  <c r="AE65" i="55"/>
  <c r="AC59" i="55"/>
  <c r="AA53" i="55"/>
  <c r="AE49" i="55"/>
  <c r="AC43" i="55"/>
  <c r="AB40" i="55"/>
  <c r="AE33" i="55"/>
  <c r="AD30" i="55"/>
  <c r="AB24" i="55"/>
  <c r="AA21" i="55"/>
  <c r="AD14" i="55"/>
  <c r="AC11" i="55"/>
  <c r="AC100" i="55"/>
  <c r="AB97" i="55"/>
  <c r="AE90" i="55"/>
  <c r="AD87" i="55"/>
  <c r="AB81" i="55"/>
  <c r="AA78" i="55"/>
  <c r="AE74" i="55"/>
  <c r="AD71" i="55"/>
  <c r="AC68" i="55"/>
  <c r="AA62" i="55"/>
  <c r="AE58" i="55"/>
  <c r="AD55" i="55"/>
  <c r="AB49" i="55"/>
  <c r="AA46" i="55"/>
  <c r="AD39" i="55"/>
  <c r="AC36" i="55"/>
  <c r="AA30" i="55"/>
  <c r="AE26" i="55"/>
  <c r="AC20" i="55"/>
  <c r="AB17" i="55"/>
  <c r="AA14" i="55"/>
  <c r="AE10" i="55"/>
  <c r="AD7" i="55"/>
  <c r="AD102" i="55"/>
  <c r="AC99" i="55"/>
  <c r="AA93" i="55"/>
  <c r="AE89" i="55"/>
  <c r="AC83" i="55"/>
  <c r="AE73" i="55"/>
  <c r="AC67" i="55"/>
  <c r="AA61" i="55"/>
  <c r="AE57" i="55"/>
  <c r="AD54" i="55"/>
  <c r="AB48" i="55"/>
  <c r="AA45" i="55"/>
  <c r="AD38" i="55"/>
  <c r="AC35" i="55"/>
  <c r="AA29" i="55"/>
  <c r="AE25" i="55"/>
  <c r="AC19" i="55"/>
  <c r="AB16" i="55"/>
  <c r="AE9" i="55"/>
  <c r="AD6" i="55"/>
  <c r="AC5" i="55"/>
  <c r="AA102" i="55"/>
  <c r="AD95" i="55"/>
  <c r="AC92" i="55"/>
  <c r="AA86" i="55"/>
  <c r="AC76" i="55"/>
  <c r="AB73" i="55"/>
  <c r="AE66" i="55"/>
  <c r="AD63" i="55"/>
  <c r="AC60" i="55"/>
  <c r="AA54" i="55"/>
  <c r="AE50" i="55"/>
  <c r="AC44" i="55"/>
  <c r="AB41" i="55"/>
  <c r="AA38" i="55"/>
  <c r="AE34" i="55"/>
  <c r="AD31" i="55"/>
  <c r="AB25" i="55"/>
  <c r="AA22" i="55"/>
  <c r="AD15" i="55"/>
  <c r="AC12" i="55"/>
  <c r="AA6" i="55"/>
  <c r="AD5" i="55"/>
  <c r="AD100" i="55"/>
  <c r="AA99" i="55"/>
  <c r="AE95" i="55"/>
  <c r="AB94" i="55"/>
  <c r="AA91" i="55"/>
  <c r="AC89" i="55"/>
  <c r="AB86" i="55"/>
  <c r="AD84" i="55"/>
  <c r="AE79" i="55"/>
  <c r="AB78" i="55"/>
  <c r="AD76" i="55"/>
  <c r="AA75" i="55"/>
  <c r="AC73" i="55"/>
  <c r="AB70" i="55"/>
  <c r="AC65" i="55"/>
  <c r="AE63" i="55"/>
  <c r="AB62" i="55"/>
  <c r="AD60" i="55"/>
  <c r="AA59" i="55"/>
  <c r="AE55" i="55"/>
  <c r="AD52" i="55"/>
  <c r="AA51" i="55"/>
  <c r="AC49" i="55"/>
  <c r="AB46" i="55"/>
  <c r="AC41" i="55"/>
  <c r="AB38" i="55"/>
  <c r="AD36" i="55"/>
  <c r="AE31" i="55"/>
  <c r="AB30" i="55"/>
  <c r="AA27" i="55"/>
  <c r="AE23" i="55"/>
  <c r="AB22" i="55"/>
  <c r="AC17" i="55"/>
  <c r="AE15" i="55"/>
  <c r="AD12" i="55"/>
  <c r="AC9" i="55"/>
  <c r="AE7" i="55"/>
  <c r="AE5" i="55"/>
  <c r="AA104" i="55"/>
  <c r="AE100" i="55"/>
  <c r="AB99" i="55"/>
  <c r="AA96" i="55"/>
  <c r="AC94" i="55"/>
  <c r="AB91" i="55"/>
  <c r="AD89" i="55"/>
  <c r="AC86" i="55"/>
  <c r="AE84" i="55"/>
  <c r="AD81" i="55"/>
  <c r="AC78" i="55"/>
  <c r="AE76" i="55"/>
  <c r="AB75" i="55"/>
  <c r="AA72" i="55"/>
  <c r="AC70" i="55"/>
  <c r="AE68" i="55"/>
  <c r="AB67" i="55"/>
  <c r="AA64" i="55"/>
  <c r="AC62" i="55"/>
  <c r="AE60" i="55"/>
  <c r="AD57" i="55"/>
  <c r="AA56" i="55"/>
  <c r="AC54" i="55"/>
  <c r="AE52" i="55"/>
  <c r="AB51" i="55"/>
  <c r="AD49" i="55"/>
  <c r="AA48" i="55"/>
  <c r="AC46" i="55"/>
  <c r="AE44" i="55"/>
  <c r="AB43" i="55"/>
  <c r="AD41" i="55"/>
  <c r="AA40" i="55"/>
  <c r="AC38" i="55"/>
  <c r="AE36" i="55"/>
  <c r="AB35" i="55"/>
  <c r="AD33" i="55"/>
  <c r="AA32" i="55"/>
  <c r="AC30" i="55"/>
  <c r="AE28" i="55"/>
  <c r="AB27" i="55"/>
  <c r="AD25" i="55"/>
  <c r="AA24" i="55"/>
  <c r="AC22" i="55"/>
  <c r="AE20" i="55"/>
  <c r="AB19" i="55"/>
  <c r="AD17" i="55"/>
  <c r="AA16" i="55"/>
  <c r="AC14" i="55"/>
  <c r="AE12" i="55"/>
  <c r="AB11" i="55"/>
  <c r="AD9" i="55"/>
  <c r="AA8" i="55"/>
  <c r="AC6" i="55"/>
  <c r="AC104" i="55"/>
  <c r="AE102" i="55"/>
  <c r="AB101" i="55"/>
  <c r="AD99" i="55"/>
  <c r="AA98" i="55"/>
  <c r="AE94" i="55"/>
  <c r="AB93" i="55"/>
  <c r="AA90" i="55"/>
  <c r="AC88" i="55"/>
  <c r="AB85" i="55"/>
  <c r="AD83" i="55"/>
  <c r="AA82" i="55"/>
  <c r="AC80" i="55"/>
  <c r="AE78" i="55"/>
  <c r="AA74" i="55"/>
  <c r="AC72" i="55"/>
  <c r="AE70" i="55"/>
  <c r="AB69" i="55"/>
  <c r="AD67" i="55"/>
  <c r="AA66" i="55"/>
  <c r="AC64" i="55"/>
  <c r="AD59" i="55"/>
  <c r="AC56" i="55"/>
  <c r="AE54" i="55"/>
  <c r="AD51" i="55"/>
  <c r="AA50" i="55"/>
  <c r="AE46" i="55"/>
  <c r="AB45" i="55"/>
  <c r="AD43" i="55"/>
  <c r="AA42" i="55"/>
  <c r="AC40" i="55"/>
  <c r="AB37" i="55"/>
  <c r="AD35" i="55"/>
  <c r="AC32" i="55"/>
  <c r="AE30" i="55"/>
  <c r="AB29" i="55"/>
  <c r="AD27" i="55"/>
  <c r="AA26" i="55"/>
  <c r="AE22" i="55"/>
  <c r="AB21" i="55"/>
  <c r="AA18" i="55"/>
  <c r="AC16" i="55"/>
  <c r="AB13" i="55"/>
  <c r="AD11" i="55"/>
  <c r="AC8" i="55"/>
  <c r="AE6" i="55"/>
  <c r="AA103" i="55"/>
  <c r="AC101" i="55"/>
  <c r="AD96" i="55"/>
  <c r="AC93" i="55"/>
  <c r="AE91" i="55"/>
  <c r="AD88" i="55"/>
  <c r="AA87" i="55"/>
  <c r="AC85" i="55"/>
  <c r="AE83" i="55"/>
  <c r="AB82" i="55"/>
  <c r="AD80" i="55"/>
  <c r="AC77" i="55"/>
  <c r="AD72" i="55"/>
  <c r="AA71" i="55"/>
  <c r="AC69" i="55"/>
  <c r="AE67" i="55"/>
  <c r="AB66" i="55"/>
  <c r="AA63" i="55"/>
  <c r="AB58" i="55"/>
  <c r="AD56" i="55"/>
  <c r="AA55" i="55"/>
  <c r="AE51" i="55"/>
  <c r="AA47" i="55"/>
  <c r="AC45" i="55"/>
  <c r="AB42" i="55"/>
  <c r="AA39" i="55"/>
  <c r="AC37" i="55"/>
  <c r="AD32" i="55"/>
  <c r="AA31" i="55"/>
  <c r="AE27" i="55"/>
  <c r="AB26" i="55"/>
  <c r="AD24" i="55"/>
  <c r="AA23" i="55"/>
  <c r="AB18" i="55"/>
  <c r="AD16" i="55"/>
  <c r="AC13" i="55"/>
  <c r="AD8" i="55"/>
  <c r="AB103" i="55"/>
  <c r="AD101" i="55"/>
  <c r="AC98" i="55"/>
  <c r="AE96" i="55"/>
  <c r="AD93" i="55"/>
  <c r="AA92" i="55"/>
  <c r="AC90" i="55"/>
  <c r="AE88" i="55"/>
  <c r="AB87" i="55"/>
  <c r="AA84" i="55"/>
  <c r="AC82" i="55"/>
  <c r="AB79" i="55"/>
  <c r="AD77" i="55"/>
  <c r="AE72" i="55"/>
  <c r="AB71" i="55"/>
  <c r="AD69" i="55"/>
  <c r="AA68" i="55"/>
  <c r="AE64" i="55"/>
  <c r="AB63" i="55"/>
  <c r="AC58" i="55"/>
  <c r="AE56" i="55"/>
  <c r="AD53" i="55"/>
  <c r="AA52" i="55"/>
  <c r="AE48" i="55"/>
  <c r="AB47" i="55"/>
  <c r="AD45" i="55"/>
  <c r="AA44" i="55"/>
  <c r="AC42" i="55"/>
  <c r="AB39" i="55"/>
  <c r="AD37" i="55"/>
  <c r="AC34" i="55"/>
  <c r="AE32" i="55"/>
  <c r="AB31" i="55"/>
  <c r="AD29" i="55"/>
  <c r="AA28" i="55"/>
  <c r="AE24" i="55"/>
  <c r="AB23" i="55"/>
  <c r="AA20" i="55"/>
  <c r="AC18" i="55"/>
  <c r="AB15" i="55"/>
  <c r="AD13" i="55"/>
  <c r="AC10" i="55"/>
  <c r="AE8" i="55"/>
  <c r="AB7" i="55"/>
  <c r="AB98" i="55"/>
  <c r="AE101" i="55"/>
  <c r="AB100" i="55"/>
  <c r="AA97" i="55"/>
  <c r="AC95" i="55"/>
  <c r="AB92" i="55"/>
  <c r="AD90" i="55"/>
  <c r="AC87" i="55"/>
  <c r="AE85" i="55"/>
  <c r="AA81" i="55"/>
  <c r="AC79" i="55"/>
  <c r="AB76" i="55"/>
  <c r="AD74" i="55"/>
  <c r="AD66" i="55"/>
  <c r="AA65" i="55"/>
  <c r="AC63" i="55"/>
  <c r="AE61" i="55"/>
  <c r="AB60" i="55"/>
  <c r="AA57" i="55"/>
  <c r="AC55" i="55"/>
  <c r="AB52" i="55"/>
  <c r="AD50" i="55"/>
  <c r="AA49" i="55"/>
  <c r="AC47" i="55"/>
  <c r="AE45" i="55"/>
  <c r="AB44" i="55"/>
  <c r="AD42" i="55"/>
  <c r="AA41" i="55"/>
  <c r="AE37" i="55"/>
  <c r="AB36" i="55"/>
  <c r="AD34" i="55"/>
  <c r="AA33" i="55"/>
  <c r="AC31" i="55"/>
  <c r="AB28" i="55"/>
  <c r="AD26" i="55"/>
  <c r="AC23" i="55"/>
  <c r="AE21" i="55"/>
  <c r="AB20" i="55"/>
  <c r="AD18" i="55"/>
  <c r="AA17" i="55"/>
  <c r="AC15" i="55"/>
  <c r="AE13" i="55"/>
  <c r="AB12" i="55"/>
  <c r="AA9" i="55"/>
  <c r="AC7" i="55"/>
  <c r="AS6" i="55"/>
  <c r="AT6" i="55"/>
  <c r="AU6" i="55"/>
  <c r="AV6" i="55"/>
  <c r="AW6" i="55"/>
  <c r="AS7" i="55"/>
  <c r="AT7" i="55"/>
  <c r="AU7" i="55"/>
  <c r="AV7" i="55"/>
  <c r="AW7" i="55"/>
  <c r="AS8" i="55"/>
  <c r="AT8" i="55"/>
  <c r="AU8" i="55"/>
  <c r="AV8" i="55"/>
  <c r="AW8" i="55"/>
  <c r="AS9" i="55"/>
  <c r="AT9" i="55"/>
  <c r="AU9" i="55"/>
  <c r="AV9" i="55"/>
  <c r="AW9" i="55"/>
  <c r="AS10" i="55"/>
  <c r="AT10" i="55"/>
  <c r="AU10" i="55"/>
  <c r="AV10" i="55"/>
  <c r="AW10" i="55"/>
  <c r="AS11" i="55"/>
  <c r="AT11" i="55"/>
  <c r="AU11" i="55"/>
  <c r="AV11" i="55"/>
  <c r="AW11" i="55"/>
  <c r="AS12" i="55"/>
  <c r="AT12" i="55"/>
  <c r="AU12" i="55"/>
  <c r="AV12" i="55"/>
  <c r="AW12" i="55"/>
  <c r="AS13" i="55"/>
  <c r="AT13" i="55"/>
  <c r="AU13" i="55"/>
  <c r="AV13" i="55"/>
  <c r="AW13" i="55"/>
  <c r="AS14" i="55"/>
  <c r="AT14" i="55"/>
  <c r="AU14" i="55"/>
  <c r="AV14" i="55"/>
  <c r="AW14" i="55"/>
  <c r="AS15" i="55"/>
  <c r="AT15" i="55"/>
  <c r="AU15" i="55"/>
  <c r="AV15" i="55"/>
  <c r="AW15" i="55"/>
  <c r="AS16" i="55"/>
  <c r="AT16" i="55"/>
  <c r="AU16" i="55"/>
  <c r="AV16" i="55"/>
  <c r="AW16" i="55"/>
  <c r="AS17" i="55"/>
  <c r="AT17" i="55"/>
  <c r="AU17" i="55"/>
  <c r="AV17" i="55"/>
  <c r="AW17" i="55"/>
  <c r="AS18" i="55"/>
  <c r="AT18" i="55"/>
  <c r="AU18" i="55"/>
  <c r="AV18" i="55"/>
  <c r="AW18" i="55"/>
  <c r="AS19" i="55"/>
  <c r="AT19" i="55"/>
  <c r="AU19" i="55"/>
  <c r="AV19" i="55"/>
  <c r="AW19" i="55"/>
  <c r="AS20" i="55"/>
  <c r="AT20" i="55"/>
  <c r="AU20" i="55"/>
  <c r="AV20" i="55"/>
  <c r="AW20" i="55"/>
  <c r="AS21" i="55"/>
  <c r="AT21" i="55"/>
  <c r="AU21" i="55"/>
  <c r="AV21" i="55"/>
  <c r="AW21" i="55"/>
  <c r="AS22" i="55"/>
  <c r="AT22" i="55"/>
  <c r="AU22" i="55"/>
  <c r="AV22" i="55"/>
  <c r="AW22" i="55"/>
  <c r="AS23" i="55"/>
  <c r="AT23" i="55"/>
  <c r="AU23" i="55"/>
  <c r="AV23" i="55"/>
  <c r="AW23" i="55"/>
  <c r="AS24" i="55"/>
  <c r="AT24" i="55"/>
  <c r="AU24" i="55"/>
  <c r="AV24" i="55"/>
  <c r="AW24" i="55"/>
  <c r="AS25" i="55"/>
  <c r="AT25" i="55"/>
  <c r="AU25" i="55"/>
  <c r="AV25" i="55"/>
  <c r="AW25" i="55"/>
  <c r="AS26" i="55"/>
  <c r="AT26" i="55"/>
  <c r="AU26" i="55"/>
  <c r="AV26" i="55"/>
  <c r="AW26" i="55"/>
  <c r="AS27" i="55"/>
  <c r="AT27" i="55"/>
  <c r="AU27" i="55"/>
  <c r="AV27" i="55"/>
  <c r="AW27" i="55"/>
  <c r="AS28" i="55"/>
  <c r="AT28" i="55"/>
  <c r="AU28" i="55"/>
  <c r="AV28" i="55"/>
  <c r="AW28" i="55"/>
  <c r="AS29" i="55"/>
  <c r="AT29" i="55"/>
  <c r="AU29" i="55"/>
  <c r="AV29" i="55"/>
  <c r="AW29" i="55"/>
  <c r="AS30" i="55"/>
  <c r="AT30" i="55"/>
  <c r="AU30" i="55"/>
  <c r="AV30" i="55"/>
  <c r="AW30" i="55"/>
  <c r="AS31" i="55"/>
  <c r="AT31" i="55"/>
  <c r="AU31" i="55"/>
  <c r="AV31" i="55"/>
  <c r="AW31" i="55"/>
  <c r="AS32" i="55"/>
  <c r="AT32" i="55"/>
  <c r="AU32" i="55"/>
  <c r="AV32" i="55"/>
  <c r="AW32" i="55"/>
  <c r="AS33" i="55"/>
  <c r="AT33" i="55"/>
  <c r="AU33" i="55"/>
  <c r="AV33" i="55"/>
  <c r="AW33" i="55"/>
  <c r="AS34" i="55"/>
  <c r="AT34" i="55"/>
  <c r="AU34" i="55"/>
  <c r="AV34" i="55"/>
  <c r="AW34" i="55"/>
  <c r="AS35" i="55"/>
  <c r="AT35" i="55"/>
  <c r="AU35" i="55"/>
  <c r="AV35" i="55"/>
  <c r="AW35" i="55"/>
  <c r="AS36" i="55"/>
  <c r="AT36" i="55"/>
  <c r="AU36" i="55"/>
  <c r="AV36" i="55"/>
  <c r="AW36" i="55"/>
  <c r="AS37" i="55"/>
  <c r="AT37" i="55"/>
  <c r="AU37" i="55"/>
  <c r="AV37" i="55"/>
  <c r="AW37" i="55"/>
  <c r="AS38" i="55"/>
  <c r="AT38" i="55"/>
  <c r="AU38" i="55"/>
  <c r="AV38" i="55"/>
  <c r="AW38" i="55"/>
  <c r="AS39" i="55"/>
  <c r="AT39" i="55"/>
  <c r="AU39" i="55"/>
  <c r="AV39" i="55"/>
  <c r="AW39" i="55"/>
  <c r="AS40" i="55"/>
  <c r="AT40" i="55"/>
  <c r="AU40" i="55"/>
  <c r="AV40" i="55"/>
  <c r="AW40" i="55"/>
  <c r="AS41" i="55"/>
  <c r="AT41" i="55"/>
  <c r="AU41" i="55"/>
  <c r="AV41" i="55"/>
  <c r="AW41" i="55"/>
  <c r="AS42" i="55"/>
  <c r="AT42" i="55"/>
  <c r="AU42" i="55"/>
  <c r="AV42" i="55"/>
  <c r="AW42" i="55"/>
  <c r="AS43" i="55"/>
  <c r="AT43" i="55"/>
  <c r="AU43" i="55"/>
  <c r="AV43" i="55"/>
  <c r="AW43" i="55"/>
  <c r="AS44" i="55"/>
  <c r="AT44" i="55"/>
  <c r="AU44" i="55"/>
  <c r="AV44" i="55"/>
  <c r="AW44" i="55"/>
  <c r="AS45" i="55"/>
  <c r="AT45" i="55"/>
  <c r="AU45" i="55"/>
  <c r="AV45" i="55"/>
  <c r="AW45" i="55"/>
  <c r="AS46" i="55"/>
  <c r="AT46" i="55"/>
  <c r="AU46" i="55"/>
  <c r="AV46" i="55"/>
  <c r="AW46" i="55"/>
  <c r="AS47" i="55"/>
  <c r="AT47" i="55"/>
  <c r="AU47" i="55"/>
  <c r="AV47" i="55"/>
  <c r="AW47" i="55"/>
  <c r="AS48" i="55"/>
  <c r="AT48" i="55"/>
  <c r="AU48" i="55"/>
  <c r="AV48" i="55"/>
  <c r="AW48" i="55"/>
  <c r="AS49" i="55"/>
  <c r="AT49" i="55"/>
  <c r="AU49" i="55"/>
  <c r="AV49" i="55"/>
  <c r="AW49" i="55"/>
  <c r="AS50" i="55"/>
  <c r="AT50" i="55"/>
  <c r="AU50" i="55"/>
  <c r="AV50" i="55"/>
  <c r="AW50" i="55"/>
  <c r="AS51" i="55"/>
  <c r="AT51" i="55"/>
  <c r="AU51" i="55"/>
  <c r="AV51" i="55"/>
  <c r="AW51" i="55"/>
  <c r="AS52" i="55"/>
  <c r="AT52" i="55"/>
  <c r="AU52" i="55"/>
  <c r="AV52" i="55"/>
  <c r="AW52" i="55"/>
  <c r="AS53" i="55"/>
  <c r="AT53" i="55"/>
  <c r="AU53" i="55"/>
  <c r="AV53" i="55"/>
  <c r="AW53" i="55"/>
  <c r="AS54" i="55"/>
  <c r="AT54" i="55"/>
  <c r="AU54" i="55"/>
  <c r="AV54" i="55"/>
  <c r="AW54" i="55"/>
  <c r="AS55" i="55"/>
  <c r="AT55" i="55"/>
  <c r="AU55" i="55"/>
  <c r="AV55" i="55"/>
  <c r="AW55" i="55"/>
  <c r="AS56" i="55"/>
  <c r="AT56" i="55"/>
  <c r="AU56" i="55"/>
  <c r="AV56" i="55"/>
  <c r="AW56" i="55"/>
  <c r="AS57" i="55"/>
  <c r="AT57" i="55"/>
  <c r="AU57" i="55"/>
  <c r="AV57" i="55"/>
  <c r="AW57" i="55"/>
  <c r="AS58" i="55"/>
  <c r="AT58" i="55"/>
  <c r="AU58" i="55"/>
  <c r="AV58" i="55"/>
  <c r="AW58" i="55"/>
  <c r="AS59" i="55"/>
  <c r="AT59" i="55"/>
  <c r="AU59" i="55"/>
  <c r="AV59" i="55"/>
  <c r="AW59" i="55"/>
  <c r="AS60" i="55"/>
  <c r="AT60" i="55"/>
  <c r="AU60" i="55"/>
  <c r="AV60" i="55"/>
  <c r="AW60" i="55"/>
  <c r="AS61" i="55"/>
  <c r="AT61" i="55"/>
  <c r="AU61" i="55"/>
  <c r="AV61" i="55"/>
  <c r="AW61" i="55"/>
  <c r="AS62" i="55"/>
  <c r="AT62" i="55"/>
  <c r="AU62" i="55"/>
  <c r="AV62" i="55"/>
  <c r="AW62" i="55"/>
  <c r="AS63" i="55"/>
  <c r="AT63" i="55"/>
  <c r="AU63" i="55"/>
  <c r="AV63" i="55"/>
  <c r="AW63" i="55"/>
  <c r="AS64" i="55"/>
  <c r="AT64" i="55"/>
  <c r="AU64" i="55"/>
  <c r="AV64" i="55"/>
  <c r="AW64" i="55"/>
  <c r="AS65" i="55"/>
  <c r="AT65" i="55"/>
  <c r="AU65" i="55"/>
  <c r="AV65" i="55"/>
  <c r="AW65" i="55"/>
  <c r="AS66" i="55"/>
  <c r="AT66" i="55"/>
  <c r="AU66" i="55"/>
  <c r="AV66" i="55"/>
  <c r="AW66" i="55"/>
  <c r="AS67" i="55"/>
  <c r="AT67" i="55"/>
  <c r="AU67" i="55"/>
  <c r="AV67" i="55"/>
  <c r="AW67" i="55"/>
  <c r="AS68" i="55"/>
  <c r="AT68" i="55"/>
  <c r="AU68" i="55"/>
  <c r="AV68" i="55"/>
  <c r="AW68" i="55"/>
  <c r="AS69" i="55"/>
  <c r="AT69" i="55"/>
  <c r="AU69" i="55"/>
  <c r="AV69" i="55"/>
  <c r="AW69" i="55"/>
  <c r="AS70" i="55"/>
  <c r="AT70" i="55"/>
  <c r="AU70" i="55"/>
  <c r="AV70" i="55"/>
  <c r="AW70" i="55"/>
  <c r="AS71" i="55"/>
  <c r="AT71" i="55"/>
  <c r="AU71" i="55"/>
  <c r="AV71" i="55"/>
  <c r="AW71" i="55"/>
  <c r="AS72" i="55"/>
  <c r="AT72" i="55"/>
  <c r="AU72" i="55"/>
  <c r="AV72" i="55"/>
  <c r="AW72" i="55"/>
  <c r="AS73" i="55"/>
  <c r="AT73" i="55"/>
  <c r="AU73" i="55"/>
  <c r="AV73" i="55"/>
  <c r="AW73" i="55"/>
  <c r="AS74" i="55"/>
  <c r="AT74" i="55"/>
  <c r="AU74" i="55"/>
  <c r="AV74" i="55"/>
  <c r="AW74" i="55"/>
  <c r="AS75" i="55"/>
  <c r="AT75" i="55"/>
  <c r="AU75" i="55"/>
  <c r="AV75" i="55"/>
  <c r="AW75" i="55"/>
  <c r="AS76" i="55"/>
  <c r="AT76" i="55"/>
  <c r="AU76" i="55"/>
  <c r="AV76" i="55"/>
  <c r="AW76" i="55"/>
  <c r="AS77" i="55"/>
  <c r="AT77" i="55"/>
  <c r="AU77" i="55"/>
  <c r="AV77" i="55"/>
  <c r="AW77" i="55"/>
  <c r="AS78" i="55"/>
  <c r="AT78" i="55"/>
  <c r="AU78" i="55"/>
  <c r="AV78" i="55"/>
  <c r="AW78" i="55"/>
  <c r="AS79" i="55"/>
  <c r="AT79" i="55"/>
  <c r="AU79" i="55"/>
  <c r="AV79" i="55"/>
  <c r="AW79" i="55"/>
  <c r="AS80" i="55"/>
  <c r="AT80" i="55"/>
  <c r="AU80" i="55"/>
  <c r="AV80" i="55"/>
  <c r="AW80" i="55"/>
  <c r="AS81" i="55"/>
  <c r="AT81" i="55"/>
  <c r="AU81" i="55"/>
  <c r="AV81" i="55"/>
  <c r="AW81" i="55"/>
  <c r="AS82" i="55"/>
  <c r="AT82" i="55"/>
  <c r="AU82" i="55"/>
  <c r="AV82" i="55"/>
  <c r="AW82" i="55"/>
  <c r="AS83" i="55"/>
  <c r="AT83" i="55"/>
  <c r="AU83" i="55"/>
  <c r="AV83" i="55"/>
  <c r="AW83" i="55"/>
  <c r="AS84" i="55"/>
  <c r="AT84" i="55"/>
  <c r="AU84" i="55"/>
  <c r="AV84" i="55"/>
  <c r="AW84" i="55"/>
  <c r="AS85" i="55"/>
  <c r="AT85" i="55"/>
  <c r="AU85" i="55"/>
  <c r="AV85" i="55"/>
  <c r="AW85" i="55"/>
  <c r="AS86" i="55"/>
  <c r="AT86" i="55"/>
  <c r="AU86" i="55"/>
  <c r="AV86" i="55"/>
  <c r="AW86" i="55"/>
  <c r="AS87" i="55"/>
  <c r="AT87" i="55"/>
  <c r="AU87" i="55"/>
  <c r="AV87" i="55"/>
  <c r="AW87" i="55"/>
  <c r="AS88" i="55"/>
  <c r="AT88" i="55"/>
  <c r="AU88" i="55"/>
  <c r="AV88" i="55"/>
  <c r="AW88" i="55"/>
  <c r="AS89" i="55"/>
  <c r="AT89" i="55"/>
  <c r="AU89" i="55"/>
  <c r="AV89" i="55"/>
  <c r="AW89" i="55"/>
  <c r="AS90" i="55"/>
  <c r="AT90" i="55"/>
  <c r="AU90" i="55"/>
  <c r="AV90" i="55"/>
  <c r="AW90" i="55"/>
  <c r="AS91" i="55"/>
  <c r="AT91" i="55"/>
  <c r="AU91" i="55"/>
  <c r="AV91" i="55"/>
  <c r="AW91" i="55"/>
  <c r="AS92" i="55"/>
  <c r="AT92" i="55"/>
  <c r="AU92" i="55"/>
  <c r="AV92" i="55"/>
  <c r="AW92" i="55"/>
  <c r="AS93" i="55"/>
  <c r="AT93" i="55"/>
  <c r="AU93" i="55"/>
  <c r="AV93" i="55"/>
  <c r="AW93" i="55"/>
  <c r="AS94" i="55"/>
  <c r="AT94" i="55"/>
  <c r="AU94" i="55"/>
  <c r="AV94" i="55"/>
  <c r="AW94" i="55"/>
  <c r="AS95" i="55"/>
  <c r="AT95" i="55"/>
  <c r="AU95" i="55"/>
  <c r="AV95" i="55"/>
  <c r="AW95" i="55"/>
  <c r="AS96" i="55"/>
  <c r="AT96" i="55"/>
  <c r="AU96" i="55"/>
  <c r="AV96" i="55"/>
  <c r="AW96" i="55"/>
  <c r="AS97" i="55"/>
  <c r="AT97" i="55"/>
  <c r="AU97" i="55"/>
  <c r="AV97" i="55"/>
  <c r="AW97" i="55"/>
  <c r="AS98" i="55"/>
  <c r="AT98" i="55"/>
  <c r="AU98" i="55"/>
  <c r="AV98" i="55"/>
  <c r="AW98" i="55"/>
  <c r="AS99" i="55"/>
  <c r="AT99" i="55"/>
  <c r="AU99" i="55"/>
  <c r="AV99" i="55"/>
  <c r="AW99" i="55"/>
  <c r="AS100" i="55"/>
  <c r="AT100" i="55"/>
  <c r="AU100" i="55"/>
  <c r="AV100" i="55"/>
  <c r="AW100" i="55"/>
  <c r="AS101" i="55"/>
  <c r="AT101" i="55"/>
  <c r="AU101" i="55"/>
  <c r="AV101" i="55"/>
  <c r="AW101" i="55"/>
  <c r="AS102" i="55"/>
  <c r="AT102" i="55"/>
  <c r="AU102" i="55"/>
  <c r="AV102" i="55"/>
  <c r="AW102" i="55"/>
  <c r="AS103" i="55"/>
  <c r="AT103" i="55"/>
  <c r="AU103" i="55"/>
  <c r="AV103" i="55"/>
  <c r="AW103" i="55"/>
  <c r="AS104" i="55"/>
  <c r="AT104" i="55"/>
  <c r="AU104" i="55"/>
  <c r="AV104" i="55"/>
  <c r="AW104" i="55"/>
  <c r="AT5" i="55"/>
  <c r="AU5" i="55"/>
  <c r="AV5" i="55"/>
  <c r="AW5" i="55"/>
  <c r="AS5" i="55"/>
  <c r="AM6" i="55"/>
  <c r="AN6" i="55"/>
  <c r="AO6" i="55"/>
  <c r="AP6" i="55"/>
  <c r="AQ6" i="55"/>
  <c r="AM7" i="55"/>
  <c r="AN7" i="55"/>
  <c r="AO7" i="55"/>
  <c r="AP7" i="55"/>
  <c r="AQ7" i="55"/>
  <c r="AM8" i="55"/>
  <c r="AN8" i="55"/>
  <c r="AO8" i="55"/>
  <c r="AP8" i="55"/>
  <c r="AQ8" i="55"/>
  <c r="AM9" i="55"/>
  <c r="AN9" i="55"/>
  <c r="AO9" i="55"/>
  <c r="AP9" i="55"/>
  <c r="AQ9" i="55"/>
  <c r="AM10" i="55"/>
  <c r="AN10" i="55"/>
  <c r="AO10" i="55"/>
  <c r="AP10" i="55"/>
  <c r="AQ10" i="55"/>
  <c r="AM11" i="55"/>
  <c r="AN11" i="55"/>
  <c r="AO11" i="55"/>
  <c r="AP11" i="55"/>
  <c r="AQ11" i="55"/>
  <c r="AM12" i="55"/>
  <c r="AN12" i="55"/>
  <c r="AO12" i="55"/>
  <c r="AP12" i="55"/>
  <c r="AQ12" i="55"/>
  <c r="AM13" i="55"/>
  <c r="AN13" i="55"/>
  <c r="AO13" i="55"/>
  <c r="AP13" i="55"/>
  <c r="AQ13" i="55"/>
  <c r="AM14" i="55"/>
  <c r="AN14" i="55"/>
  <c r="AO14" i="55"/>
  <c r="AP14" i="55"/>
  <c r="AQ14" i="55"/>
  <c r="AM15" i="55"/>
  <c r="AN15" i="55"/>
  <c r="AO15" i="55"/>
  <c r="AP15" i="55"/>
  <c r="AQ15" i="55"/>
  <c r="AM16" i="55"/>
  <c r="AN16" i="55"/>
  <c r="AO16" i="55"/>
  <c r="AP16" i="55"/>
  <c r="AQ16" i="55"/>
  <c r="AM17" i="55"/>
  <c r="AN17" i="55"/>
  <c r="AO17" i="55"/>
  <c r="AP17" i="55"/>
  <c r="AQ17" i="55"/>
  <c r="AM18" i="55"/>
  <c r="AN18" i="55"/>
  <c r="AO18" i="55"/>
  <c r="AP18" i="55"/>
  <c r="AQ18" i="55"/>
  <c r="AM19" i="55"/>
  <c r="AN19" i="55"/>
  <c r="AO19" i="55"/>
  <c r="AP19" i="55"/>
  <c r="AQ19" i="55"/>
  <c r="AM20" i="55"/>
  <c r="AN20" i="55"/>
  <c r="AO20" i="55"/>
  <c r="AP20" i="55"/>
  <c r="AQ20" i="55"/>
  <c r="AM21" i="55"/>
  <c r="AN21" i="55"/>
  <c r="AO21" i="55"/>
  <c r="AP21" i="55"/>
  <c r="AQ21" i="55"/>
  <c r="AM22" i="55"/>
  <c r="AN22" i="55"/>
  <c r="AO22" i="55"/>
  <c r="AP22" i="55"/>
  <c r="AQ22" i="55"/>
  <c r="AM23" i="55"/>
  <c r="AN23" i="55"/>
  <c r="AO23" i="55"/>
  <c r="AP23" i="55"/>
  <c r="AQ23" i="55"/>
  <c r="AM24" i="55"/>
  <c r="AN24" i="55"/>
  <c r="AO24" i="55"/>
  <c r="AP24" i="55"/>
  <c r="AQ24" i="55"/>
  <c r="AM25" i="55"/>
  <c r="AN25" i="55"/>
  <c r="AO25" i="55"/>
  <c r="AP25" i="55"/>
  <c r="AQ25" i="55"/>
  <c r="AM26" i="55"/>
  <c r="AN26" i="55"/>
  <c r="AO26" i="55"/>
  <c r="AP26" i="55"/>
  <c r="AQ26" i="55"/>
  <c r="AM27" i="55"/>
  <c r="AN27" i="55"/>
  <c r="AO27" i="55"/>
  <c r="AP27" i="55"/>
  <c r="AQ27" i="55"/>
  <c r="AM28" i="55"/>
  <c r="AN28" i="55"/>
  <c r="AO28" i="55"/>
  <c r="AP28" i="55"/>
  <c r="AQ28" i="55"/>
  <c r="AM29" i="55"/>
  <c r="AN29" i="55"/>
  <c r="AO29" i="55"/>
  <c r="AP29" i="55"/>
  <c r="AQ29" i="55"/>
  <c r="AM30" i="55"/>
  <c r="AN30" i="55"/>
  <c r="AO30" i="55"/>
  <c r="AP30" i="55"/>
  <c r="AQ30" i="55"/>
  <c r="AM31" i="55"/>
  <c r="AN31" i="55"/>
  <c r="AO31" i="55"/>
  <c r="AP31" i="55"/>
  <c r="AQ31" i="55"/>
  <c r="AM32" i="55"/>
  <c r="AN32" i="55"/>
  <c r="AO32" i="55"/>
  <c r="AP32" i="55"/>
  <c r="AQ32" i="55"/>
  <c r="AM33" i="55"/>
  <c r="AN33" i="55"/>
  <c r="AO33" i="55"/>
  <c r="AP33" i="55"/>
  <c r="AQ33" i="55"/>
  <c r="AM34" i="55"/>
  <c r="AN34" i="55"/>
  <c r="AO34" i="55"/>
  <c r="AP34" i="55"/>
  <c r="AQ34" i="55"/>
  <c r="AM35" i="55"/>
  <c r="AN35" i="55"/>
  <c r="AO35" i="55"/>
  <c r="AP35" i="55"/>
  <c r="AQ35" i="55"/>
  <c r="AM36" i="55"/>
  <c r="AN36" i="55"/>
  <c r="AO36" i="55"/>
  <c r="AP36" i="55"/>
  <c r="AQ36" i="55"/>
  <c r="AM37" i="55"/>
  <c r="AN37" i="55"/>
  <c r="AO37" i="55"/>
  <c r="AP37" i="55"/>
  <c r="AQ37" i="55"/>
  <c r="AM38" i="55"/>
  <c r="AN38" i="55"/>
  <c r="AO38" i="55"/>
  <c r="AP38" i="55"/>
  <c r="AQ38" i="55"/>
  <c r="AM39" i="55"/>
  <c r="AN39" i="55"/>
  <c r="AO39" i="55"/>
  <c r="AP39" i="55"/>
  <c r="AQ39" i="55"/>
  <c r="AM40" i="55"/>
  <c r="AN40" i="55"/>
  <c r="AO40" i="55"/>
  <c r="AP40" i="55"/>
  <c r="AQ40" i="55"/>
  <c r="AM41" i="55"/>
  <c r="AN41" i="55"/>
  <c r="AO41" i="55"/>
  <c r="AP41" i="55"/>
  <c r="AQ41" i="55"/>
  <c r="AM42" i="55"/>
  <c r="AN42" i="55"/>
  <c r="AO42" i="55"/>
  <c r="AP42" i="55"/>
  <c r="AQ42" i="55"/>
  <c r="AM43" i="55"/>
  <c r="AN43" i="55"/>
  <c r="AO43" i="55"/>
  <c r="AP43" i="55"/>
  <c r="AQ43" i="55"/>
  <c r="AM44" i="55"/>
  <c r="AN44" i="55"/>
  <c r="AO44" i="55"/>
  <c r="AP44" i="55"/>
  <c r="AQ44" i="55"/>
  <c r="AM45" i="55"/>
  <c r="AN45" i="55"/>
  <c r="AO45" i="55"/>
  <c r="AP45" i="55"/>
  <c r="AQ45" i="55"/>
  <c r="AM46" i="55"/>
  <c r="AN46" i="55"/>
  <c r="AO46" i="55"/>
  <c r="AP46" i="55"/>
  <c r="AQ46" i="55"/>
  <c r="AM47" i="55"/>
  <c r="AN47" i="55"/>
  <c r="AO47" i="55"/>
  <c r="AP47" i="55"/>
  <c r="AQ47" i="55"/>
  <c r="AM48" i="55"/>
  <c r="AN48" i="55"/>
  <c r="AO48" i="55"/>
  <c r="AP48" i="55"/>
  <c r="AQ48" i="55"/>
  <c r="AM49" i="55"/>
  <c r="AN49" i="55"/>
  <c r="AO49" i="55"/>
  <c r="AP49" i="55"/>
  <c r="AQ49" i="55"/>
  <c r="AM50" i="55"/>
  <c r="AN50" i="55"/>
  <c r="AO50" i="55"/>
  <c r="AP50" i="55"/>
  <c r="AQ50" i="55"/>
  <c r="AM51" i="55"/>
  <c r="AN51" i="55"/>
  <c r="AO51" i="55"/>
  <c r="AP51" i="55"/>
  <c r="AQ51" i="55"/>
  <c r="AM52" i="55"/>
  <c r="AN52" i="55"/>
  <c r="AO52" i="55"/>
  <c r="AP52" i="55"/>
  <c r="AQ52" i="55"/>
  <c r="AM53" i="55"/>
  <c r="AN53" i="55"/>
  <c r="AO53" i="55"/>
  <c r="AP53" i="55"/>
  <c r="AQ53" i="55"/>
  <c r="AM54" i="55"/>
  <c r="AN54" i="55"/>
  <c r="AO54" i="55"/>
  <c r="AP54" i="55"/>
  <c r="AQ54" i="55"/>
  <c r="AM55" i="55"/>
  <c r="AN55" i="55"/>
  <c r="AO55" i="55"/>
  <c r="AP55" i="55"/>
  <c r="AQ55" i="55"/>
  <c r="AM56" i="55"/>
  <c r="AN56" i="55"/>
  <c r="AO56" i="55"/>
  <c r="AP56" i="55"/>
  <c r="AQ56" i="55"/>
  <c r="AM57" i="55"/>
  <c r="AN57" i="55"/>
  <c r="AO57" i="55"/>
  <c r="AP57" i="55"/>
  <c r="AQ57" i="55"/>
  <c r="AM58" i="55"/>
  <c r="AN58" i="55"/>
  <c r="AO58" i="55"/>
  <c r="AP58" i="55"/>
  <c r="AQ58" i="55"/>
  <c r="AM59" i="55"/>
  <c r="AN59" i="55"/>
  <c r="AO59" i="55"/>
  <c r="AP59" i="55"/>
  <c r="AQ59" i="55"/>
  <c r="AM60" i="55"/>
  <c r="AN60" i="55"/>
  <c r="AO60" i="55"/>
  <c r="AP60" i="55"/>
  <c r="AQ60" i="55"/>
  <c r="AM61" i="55"/>
  <c r="AN61" i="55"/>
  <c r="AO61" i="55"/>
  <c r="AP61" i="55"/>
  <c r="AQ61" i="55"/>
  <c r="AM62" i="55"/>
  <c r="AN62" i="55"/>
  <c r="AO62" i="55"/>
  <c r="AP62" i="55"/>
  <c r="AQ62" i="55"/>
  <c r="AM63" i="55"/>
  <c r="AN63" i="55"/>
  <c r="AO63" i="55"/>
  <c r="AP63" i="55"/>
  <c r="AQ63" i="55"/>
  <c r="AM64" i="55"/>
  <c r="AN64" i="55"/>
  <c r="AO64" i="55"/>
  <c r="AP64" i="55"/>
  <c r="AQ64" i="55"/>
  <c r="AM65" i="55"/>
  <c r="AN65" i="55"/>
  <c r="AO65" i="55"/>
  <c r="AP65" i="55"/>
  <c r="AQ65" i="55"/>
  <c r="AM66" i="55"/>
  <c r="AN66" i="55"/>
  <c r="AO66" i="55"/>
  <c r="AP66" i="55"/>
  <c r="AQ66" i="55"/>
  <c r="AM67" i="55"/>
  <c r="AN67" i="55"/>
  <c r="AO67" i="55"/>
  <c r="AP67" i="55"/>
  <c r="AQ67" i="55"/>
  <c r="AM68" i="55"/>
  <c r="AN68" i="55"/>
  <c r="AO68" i="55"/>
  <c r="AP68" i="55"/>
  <c r="AQ68" i="55"/>
  <c r="AM69" i="55"/>
  <c r="AN69" i="55"/>
  <c r="AO69" i="55"/>
  <c r="AP69" i="55"/>
  <c r="AQ69" i="55"/>
  <c r="AM70" i="55"/>
  <c r="AN70" i="55"/>
  <c r="AO70" i="55"/>
  <c r="AP70" i="55"/>
  <c r="AQ70" i="55"/>
  <c r="AM71" i="55"/>
  <c r="AN71" i="55"/>
  <c r="AO71" i="55"/>
  <c r="AP71" i="55"/>
  <c r="AQ71" i="55"/>
  <c r="AM72" i="55"/>
  <c r="AN72" i="55"/>
  <c r="AO72" i="55"/>
  <c r="AP72" i="55"/>
  <c r="AQ72" i="55"/>
  <c r="AM73" i="55"/>
  <c r="AN73" i="55"/>
  <c r="AO73" i="55"/>
  <c r="AP73" i="55"/>
  <c r="AQ73" i="55"/>
  <c r="AM74" i="55"/>
  <c r="AN74" i="55"/>
  <c r="AO74" i="55"/>
  <c r="AP74" i="55"/>
  <c r="AQ74" i="55"/>
  <c r="AM75" i="55"/>
  <c r="AN75" i="55"/>
  <c r="AO75" i="55"/>
  <c r="AP75" i="55"/>
  <c r="AQ75" i="55"/>
  <c r="AM76" i="55"/>
  <c r="AN76" i="55"/>
  <c r="AO76" i="55"/>
  <c r="AP76" i="55"/>
  <c r="AQ76" i="55"/>
  <c r="AM77" i="55"/>
  <c r="AN77" i="55"/>
  <c r="AO77" i="55"/>
  <c r="AP77" i="55"/>
  <c r="AQ77" i="55"/>
  <c r="AM78" i="55"/>
  <c r="AN78" i="55"/>
  <c r="AO78" i="55"/>
  <c r="AP78" i="55"/>
  <c r="AQ78" i="55"/>
  <c r="AM79" i="55"/>
  <c r="AN79" i="55"/>
  <c r="AO79" i="55"/>
  <c r="AP79" i="55"/>
  <c r="AQ79" i="55"/>
  <c r="AM80" i="55"/>
  <c r="AN80" i="55"/>
  <c r="AO80" i="55"/>
  <c r="AP80" i="55"/>
  <c r="AQ80" i="55"/>
  <c r="AM81" i="55"/>
  <c r="AN81" i="55"/>
  <c r="AO81" i="55"/>
  <c r="AP81" i="55"/>
  <c r="AQ81" i="55"/>
  <c r="AM82" i="55"/>
  <c r="AN82" i="55"/>
  <c r="AO82" i="55"/>
  <c r="AP82" i="55"/>
  <c r="AQ82" i="55"/>
  <c r="AM83" i="55"/>
  <c r="AN83" i="55"/>
  <c r="AO83" i="55"/>
  <c r="AP83" i="55"/>
  <c r="AQ83" i="55"/>
  <c r="AM84" i="55"/>
  <c r="AN84" i="55"/>
  <c r="AO84" i="55"/>
  <c r="AP84" i="55"/>
  <c r="AQ84" i="55"/>
  <c r="AM85" i="55"/>
  <c r="AN85" i="55"/>
  <c r="AO85" i="55"/>
  <c r="AP85" i="55"/>
  <c r="AQ85" i="55"/>
  <c r="AM86" i="55"/>
  <c r="AN86" i="55"/>
  <c r="AO86" i="55"/>
  <c r="AP86" i="55"/>
  <c r="AQ86" i="55"/>
  <c r="AM87" i="55"/>
  <c r="AN87" i="55"/>
  <c r="AO87" i="55"/>
  <c r="AP87" i="55"/>
  <c r="AQ87" i="55"/>
  <c r="AM88" i="55"/>
  <c r="AN88" i="55"/>
  <c r="AO88" i="55"/>
  <c r="AP88" i="55"/>
  <c r="AQ88" i="55"/>
  <c r="AM89" i="55"/>
  <c r="AN89" i="55"/>
  <c r="AO89" i="55"/>
  <c r="AP89" i="55"/>
  <c r="AQ89" i="55"/>
  <c r="AM90" i="55"/>
  <c r="AN90" i="55"/>
  <c r="AO90" i="55"/>
  <c r="AP90" i="55"/>
  <c r="AQ90" i="55"/>
  <c r="AM91" i="55"/>
  <c r="AN91" i="55"/>
  <c r="AO91" i="55"/>
  <c r="AP91" i="55"/>
  <c r="AQ91" i="55"/>
  <c r="AM92" i="55"/>
  <c r="AN92" i="55"/>
  <c r="AO92" i="55"/>
  <c r="AP92" i="55"/>
  <c r="AQ92" i="55"/>
  <c r="AM93" i="55"/>
  <c r="AN93" i="55"/>
  <c r="AO93" i="55"/>
  <c r="AP93" i="55"/>
  <c r="AQ93" i="55"/>
  <c r="AM94" i="55"/>
  <c r="AN94" i="55"/>
  <c r="AO94" i="55"/>
  <c r="AP94" i="55"/>
  <c r="AQ94" i="55"/>
  <c r="AM95" i="55"/>
  <c r="AN95" i="55"/>
  <c r="AO95" i="55"/>
  <c r="AP95" i="55"/>
  <c r="AQ95" i="55"/>
  <c r="AM96" i="55"/>
  <c r="AN96" i="55"/>
  <c r="AO96" i="55"/>
  <c r="AP96" i="55"/>
  <c r="AQ96" i="55"/>
  <c r="AM97" i="55"/>
  <c r="AN97" i="55"/>
  <c r="AO97" i="55"/>
  <c r="AP97" i="55"/>
  <c r="AQ97" i="55"/>
  <c r="AM98" i="55"/>
  <c r="AN98" i="55"/>
  <c r="AO98" i="55"/>
  <c r="AP98" i="55"/>
  <c r="AQ98" i="55"/>
  <c r="AM99" i="55"/>
  <c r="AN99" i="55"/>
  <c r="AO99" i="55"/>
  <c r="AP99" i="55"/>
  <c r="AQ99" i="55"/>
  <c r="AM100" i="55"/>
  <c r="AN100" i="55"/>
  <c r="AO100" i="55"/>
  <c r="AP100" i="55"/>
  <c r="AQ100" i="55"/>
  <c r="AM101" i="55"/>
  <c r="AN101" i="55"/>
  <c r="AO101" i="55"/>
  <c r="AP101" i="55"/>
  <c r="AQ101" i="55"/>
  <c r="AM102" i="55"/>
  <c r="AN102" i="55"/>
  <c r="AO102" i="55"/>
  <c r="AP102" i="55"/>
  <c r="AQ102" i="55"/>
  <c r="AM103" i="55"/>
  <c r="AN103" i="55"/>
  <c r="AO103" i="55"/>
  <c r="AP103" i="55"/>
  <c r="AQ103" i="55"/>
  <c r="AM104" i="55"/>
  <c r="AN104" i="55"/>
  <c r="AO104" i="55"/>
  <c r="AP104" i="55"/>
  <c r="AQ104" i="55"/>
  <c r="AN5" i="55"/>
  <c r="AO5" i="55"/>
  <c r="AP5" i="55"/>
  <c r="AQ5" i="55"/>
  <c r="AM5" i="55"/>
  <c r="D81" i="65"/>
  <c r="H84" i="89" s="1"/>
  <c r="D51" i="65"/>
  <c r="H54" i="89" s="1"/>
  <c r="D110" i="65"/>
  <c r="H113" i="89" s="1"/>
  <c r="D56" i="65"/>
  <c r="H59" i="89" s="1"/>
  <c r="D38" i="65"/>
  <c r="H41" i="89" s="1"/>
  <c r="D32" i="65"/>
  <c r="H35" i="89" s="1"/>
  <c r="D22" i="65"/>
  <c r="H25" i="89" s="1"/>
  <c r="D97" i="65"/>
  <c r="H100" i="89" s="1"/>
  <c r="D91" i="65"/>
  <c r="H94" i="89" s="1"/>
  <c r="D67" i="65"/>
  <c r="H70" i="89" s="1"/>
  <c r="D19" i="65"/>
  <c r="H22" i="89" s="1"/>
  <c r="D43" i="65"/>
  <c r="H46" i="89" s="1"/>
  <c r="D84" i="65"/>
  <c r="H87" i="89" s="1"/>
  <c r="D78" i="65"/>
  <c r="H81" i="89" s="1"/>
  <c r="D54" i="65"/>
  <c r="H57" i="89" s="1"/>
  <c r="D6" i="65"/>
  <c r="H9" i="89" s="1"/>
  <c r="D94" i="65"/>
  <c r="H97" i="89" s="1"/>
  <c r="D16" i="65"/>
  <c r="H19" i="89" s="1"/>
  <c r="D113" i="65"/>
  <c r="H116" i="89" s="1"/>
  <c r="D107" i="65"/>
  <c r="H110" i="89" s="1"/>
  <c r="D41" i="65"/>
  <c r="H44" i="89" s="1"/>
  <c r="D70" i="65"/>
  <c r="H73" i="89" s="1"/>
  <c r="D8" i="65"/>
  <c r="H11" i="89" s="1"/>
  <c r="D40" i="65"/>
  <c r="H43" i="89" s="1"/>
  <c r="D72" i="65"/>
  <c r="H75" i="89" s="1"/>
  <c r="D96" i="65"/>
  <c r="H99" i="89" s="1"/>
  <c r="D55" i="65"/>
  <c r="H58" i="89" s="1"/>
  <c r="D15" i="65"/>
  <c r="H18" i="89" s="1"/>
  <c r="D66" i="65"/>
  <c r="H69" i="89" s="1"/>
  <c r="D25" i="65"/>
  <c r="H28" i="89" s="1"/>
  <c r="D57" i="65"/>
  <c r="H60" i="89" s="1"/>
  <c r="D79" i="65"/>
  <c r="H82" i="89" s="1"/>
  <c r="D102" i="65"/>
  <c r="H105" i="89" s="1"/>
  <c r="D58" i="65"/>
  <c r="H61" i="89" s="1"/>
  <c r="D77" i="65"/>
  <c r="H80" i="89" s="1"/>
  <c r="D64" i="65"/>
  <c r="H67" i="89" s="1"/>
  <c r="D93" i="65"/>
  <c r="H96" i="89" s="1"/>
  <c r="D112" i="65"/>
  <c r="H115" i="89" s="1"/>
  <c r="D92" i="65"/>
  <c r="H95" i="89" s="1"/>
  <c r="D104" i="65"/>
  <c r="H107" i="89" s="1"/>
  <c r="D85" i="65"/>
  <c r="H88" i="89" s="1"/>
  <c r="D5" i="65"/>
  <c r="H8" i="89" s="1"/>
  <c r="D36" i="65"/>
  <c r="H39" i="89" s="1"/>
  <c r="D103" i="65"/>
  <c r="H106" i="89" s="1"/>
  <c r="D11" i="65"/>
  <c r="H14" i="89" s="1"/>
  <c r="D33" i="65"/>
  <c r="H36" i="89" s="1"/>
  <c r="D35" i="65"/>
  <c r="H38" i="89" s="1"/>
  <c r="D14" i="65"/>
  <c r="H17" i="89" s="1"/>
  <c r="D109" i="65"/>
  <c r="H112" i="89" s="1"/>
  <c r="D53" i="65"/>
  <c r="H56" i="89" s="1"/>
  <c r="D49" i="65"/>
  <c r="H52" i="89" s="1"/>
  <c r="D21" i="65"/>
  <c r="H24" i="89" s="1"/>
  <c r="D28" i="65"/>
  <c r="H31" i="89" s="1"/>
  <c r="D60" i="65"/>
  <c r="H63" i="89" s="1"/>
  <c r="D80" i="65"/>
  <c r="H83" i="89" s="1"/>
  <c r="D99" i="65"/>
  <c r="H102" i="89" s="1"/>
  <c r="D111" i="65"/>
  <c r="H114" i="89" s="1"/>
  <c r="D7" i="65"/>
  <c r="H10" i="89" s="1"/>
  <c r="D89" i="65"/>
  <c r="H92" i="89" s="1"/>
  <c r="D101" i="65"/>
  <c r="H104" i="89" s="1"/>
  <c r="D98" i="65"/>
  <c r="H101" i="89" s="1"/>
  <c r="D30" i="65"/>
  <c r="H33" i="89" s="1"/>
  <c r="D9" i="65"/>
  <c r="H12" i="89" s="1"/>
  <c r="D17" i="65"/>
  <c r="H20" i="89" s="1"/>
  <c r="D47" i="65"/>
  <c r="H50" i="89" s="1"/>
  <c r="D83" i="65"/>
  <c r="H86" i="89" s="1"/>
  <c r="D26" i="65"/>
  <c r="H29" i="89" s="1"/>
  <c r="D100" i="65"/>
  <c r="H103" i="89" s="1"/>
  <c r="D52" i="65"/>
  <c r="H55" i="89" s="1"/>
  <c r="D69" i="65"/>
  <c r="H72" i="89" s="1"/>
  <c r="D48" i="65"/>
  <c r="H51" i="89" s="1"/>
  <c r="D76" i="65"/>
  <c r="H79" i="89" s="1"/>
  <c r="D88" i="65"/>
  <c r="H91" i="89" s="1"/>
  <c r="D73" i="65"/>
  <c r="H76" i="89" s="1"/>
  <c r="D37" i="65"/>
  <c r="H40" i="89" s="1"/>
  <c r="D24" i="65"/>
  <c r="H27" i="89" s="1"/>
  <c r="D95" i="65"/>
  <c r="H98" i="89" s="1"/>
  <c r="D31" i="65"/>
  <c r="H34" i="89" s="1"/>
  <c r="D74" i="65"/>
  <c r="H77" i="89" s="1"/>
  <c r="D18" i="65"/>
  <c r="H21" i="89" s="1"/>
  <c r="D39" i="65"/>
  <c r="H42" i="89" s="1"/>
  <c r="D62" i="65"/>
  <c r="H65" i="89" s="1"/>
  <c r="D82" i="65"/>
  <c r="H85" i="89" s="1"/>
  <c r="D68" i="65"/>
  <c r="H71" i="89" s="1"/>
  <c r="D20" i="65"/>
  <c r="H23" i="89" s="1"/>
  <c r="D63" i="65"/>
  <c r="H66" i="89" s="1"/>
  <c r="D75" i="65"/>
  <c r="H78" i="89" s="1"/>
  <c r="D27" i="65"/>
  <c r="H30" i="89" s="1"/>
  <c r="D65" i="65"/>
  <c r="H68" i="89" s="1"/>
  <c r="D90" i="65"/>
  <c r="H93" i="89" s="1"/>
  <c r="D34" i="65"/>
  <c r="H37" i="89" s="1"/>
  <c r="D10" i="65"/>
  <c r="H13" i="89" s="1"/>
  <c r="D87" i="65"/>
  <c r="H90" i="89" s="1"/>
  <c r="D46" i="65"/>
  <c r="H49" i="89" s="1"/>
  <c r="D108" i="65"/>
  <c r="H111" i="89" s="1"/>
  <c r="D105" i="65"/>
  <c r="H108" i="89" s="1"/>
  <c r="D61" i="65"/>
  <c r="H64" i="89" s="1"/>
  <c r="D12" i="65"/>
  <c r="H15" i="89" s="1"/>
  <c r="D44" i="65"/>
  <c r="H47" i="89" s="1"/>
  <c r="D59" i="65"/>
  <c r="H62" i="89" s="1"/>
  <c r="D71" i="65"/>
  <c r="H74" i="89" s="1"/>
  <c r="D23" i="65"/>
  <c r="H26" i="89" s="1"/>
  <c r="D106" i="65"/>
  <c r="H109" i="89" s="1"/>
  <c r="D50" i="65"/>
  <c r="H53" i="89" s="1"/>
  <c r="D13" i="65"/>
  <c r="H16" i="89" s="1"/>
  <c r="D42" i="65"/>
  <c r="H45" i="89" s="1"/>
  <c r="D86" i="65"/>
  <c r="H89" i="89" s="1"/>
  <c r="D45" i="65"/>
  <c r="H48" i="89" s="1"/>
  <c r="D29" i="65"/>
  <c r="H32" i="89" s="1"/>
  <c r="D4" i="65"/>
  <c r="H7" i="89" s="1"/>
  <c r="G106" i="65"/>
  <c r="K109" i="89" s="1"/>
  <c r="G112" i="65"/>
  <c r="K115" i="89" s="1"/>
  <c r="H111" i="65"/>
  <c r="L114" i="89" s="1"/>
  <c r="H101" i="65"/>
  <c r="L104" i="89" s="1"/>
  <c r="H98" i="65"/>
  <c r="L101" i="89" s="1"/>
  <c r="G90" i="65"/>
  <c r="K93" i="89" s="1"/>
  <c r="G87" i="65"/>
  <c r="K90" i="89" s="1"/>
  <c r="H112" i="65"/>
  <c r="L115" i="89" s="1"/>
  <c r="H105" i="65"/>
  <c r="L108" i="89" s="1"/>
  <c r="G113" i="65"/>
  <c r="K116" i="89" s="1"/>
  <c r="G111" i="65"/>
  <c r="K114" i="89" s="1"/>
  <c r="H113" i="65"/>
  <c r="L116" i="89" s="1"/>
  <c r="H104" i="65"/>
  <c r="L107" i="89" s="1"/>
  <c r="H84" i="65"/>
  <c r="L87" i="89" s="1"/>
  <c r="G107" i="65"/>
  <c r="K110" i="89" s="1"/>
  <c r="H107" i="65"/>
  <c r="L110" i="89" s="1"/>
  <c r="G108" i="65"/>
  <c r="K111" i="89" s="1"/>
  <c r="G109" i="65"/>
  <c r="K112" i="89" s="1"/>
  <c r="H106" i="65"/>
  <c r="L109" i="89" s="1"/>
  <c r="H110" i="65"/>
  <c r="L113" i="89" s="1"/>
  <c r="H109" i="65"/>
  <c r="L112" i="89" s="1"/>
  <c r="G110" i="65"/>
  <c r="K113" i="89" s="1"/>
  <c r="G104" i="65"/>
  <c r="K107" i="89" s="1"/>
  <c r="G105" i="65"/>
  <c r="K108" i="89" s="1"/>
  <c r="H108" i="65"/>
  <c r="L111" i="89" s="1"/>
  <c r="G97" i="65"/>
  <c r="K100" i="89" s="1"/>
  <c r="H97" i="65"/>
  <c r="L100" i="89" s="1"/>
  <c r="G93" i="65"/>
  <c r="K96" i="89" s="1"/>
  <c r="H100" i="65"/>
  <c r="L103" i="89" s="1"/>
  <c r="G92" i="65"/>
  <c r="K95" i="89" s="1"/>
  <c r="G84" i="65"/>
  <c r="K87" i="89" s="1"/>
  <c r="G88" i="65"/>
  <c r="K91" i="89" s="1"/>
  <c r="H92" i="65"/>
  <c r="L95" i="89" s="1"/>
  <c r="H96" i="65"/>
  <c r="L99" i="89" s="1"/>
  <c r="G100" i="65"/>
  <c r="K103" i="89" s="1"/>
  <c r="H93" i="65"/>
  <c r="L96" i="89" s="1"/>
  <c r="G89" i="65"/>
  <c r="K92" i="89" s="1"/>
  <c r="G101" i="65"/>
  <c r="K104" i="89" s="1"/>
  <c r="H88" i="65"/>
  <c r="L91" i="89" s="1"/>
  <c r="G96" i="65"/>
  <c r="K99" i="89" s="1"/>
  <c r="H91" i="65"/>
  <c r="L94" i="89" s="1"/>
  <c r="H87" i="65"/>
  <c r="L90" i="89" s="1"/>
  <c r="H103" i="65"/>
  <c r="L106" i="89" s="1"/>
  <c r="H99" i="65"/>
  <c r="L102" i="89" s="1"/>
  <c r="G102" i="65"/>
  <c r="K105" i="89" s="1"/>
  <c r="H94" i="65"/>
  <c r="L97" i="89" s="1"/>
  <c r="G86" i="65"/>
  <c r="K89" i="89" s="1"/>
  <c r="H89" i="65"/>
  <c r="L92" i="89" s="1"/>
  <c r="G91" i="65"/>
  <c r="K94" i="89" s="1"/>
  <c r="H86" i="65"/>
  <c r="L89" i="89" s="1"/>
  <c r="G98" i="65"/>
  <c r="K101" i="89" s="1"/>
  <c r="G85" i="65"/>
  <c r="K88" i="89" s="1"/>
  <c r="H85" i="65"/>
  <c r="L88" i="89" s="1"/>
  <c r="G95" i="65"/>
  <c r="K98" i="89" s="1"/>
  <c r="H95" i="65"/>
  <c r="L98" i="89" s="1"/>
  <c r="G99" i="65"/>
  <c r="K102" i="89" s="1"/>
  <c r="G103" i="65"/>
  <c r="K106" i="89" s="1"/>
  <c r="G94" i="65"/>
  <c r="K97" i="89" s="1"/>
  <c r="H102" i="65"/>
  <c r="L105" i="89" s="1"/>
  <c r="H90" i="65"/>
  <c r="L93" i="89" s="1"/>
  <c r="E84" i="65"/>
  <c r="I87" i="89" s="1"/>
  <c r="E86" i="65"/>
  <c r="I89" i="89" s="1"/>
  <c r="E85" i="65"/>
  <c r="I88" i="89" s="1"/>
  <c r="F84" i="65"/>
  <c r="J87" i="89" s="1"/>
  <c r="F85" i="65"/>
  <c r="J88" i="89" s="1"/>
  <c r="E109" i="65"/>
  <c r="I112" i="89" s="1"/>
  <c r="E111" i="65"/>
  <c r="I114" i="89" s="1"/>
  <c r="E104" i="65"/>
  <c r="I107" i="89" s="1"/>
  <c r="E110" i="65"/>
  <c r="I113" i="89" s="1"/>
  <c r="E113" i="65"/>
  <c r="I116" i="89" s="1"/>
  <c r="E112" i="65"/>
  <c r="I115" i="89" s="1"/>
  <c r="E107" i="65"/>
  <c r="I110" i="89" s="1"/>
  <c r="E106" i="65"/>
  <c r="I109" i="89" s="1"/>
  <c r="E108" i="65"/>
  <c r="I111" i="89" s="1"/>
  <c r="E105" i="65"/>
  <c r="I108" i="89" s="1"/>
  <c r="E93" i="65"/>
  <c r="I96" i="89" s="1"/>
  <c r="E99" i="65"/>
  <c r="I102" i="89" s="1"/>
  <c r="E88" i="65"/>
  <c r="I91" i="89" s="1"/>
  <c r="E91" i="65"/>
  <c r="I94" i="89" s="1"/>
  <c r="E92" i="65"/>
  <c r="I95" i="89" s="1"/>
  <c r="E102" i="65"/>
  <c r="I105" i="89" s="1"/>
  <c r="E89" i="65"/>
  <c r="I92" i="89" s="1"/>
  <c r="E100" i="65"/>
  <c r="I103" i="89" s="1"/>
  <c r="E94" i="65"/>
  <c r="I97" i="89" s="1"/>
  <c r="E96" i="65"/>
  <c r="I99" i="89" s="1"/>
  <c r="E87" i="65"/>
  <c r="I90" i="89" s="1"/>
  <c r="E103" i="65"/>
  <c r="I106" i="89" s="1"/>
  <c r="E97" i="65"/>
  <c r="I100" i="89" s="1"/>
  <c r="E90" i="65"/>
  <c r="I93" i="89" s="1"/>
  <c r="E95" i="65"/>
  <c r="I98" i="89" s="1"/>
  <c r="E98" i="65"/>
  <c r="I101" i="89" s="1"/>
  <c r="E101" i="65"/>
  <c r="I104" i="89" s="1"/>
  <c r="F107" i="65"/>
  <c r="J110" i="89" s="1"/>
  <c r="F106" i="65"/>
  <c r="J109" i="89" s="1"/>
  <c r="F110" i="65"/>
  <c r="J113" i="89" s="1"/>
  <c r="F104" i="65"/>
  <c r="J107" i="89" s="1"/>
  <c r="F109" i="65"/>
  <c r="J112" i="89" s="1"/>
  <c r="F108" i="65"/>
  <c r="J111" i="89" s="1"/>
  <c r="F111" i="65"/>
  <c r="J114" i="89" s="1"/>
  <c r="F112" i="65"/>
  <c r="J115" i="89" s="1"/>
  <c r="F105" i="65"/>
  <c r="J108" i="89" s="1"/>
  <c r="F113" i="65"/>
  <c r="J116" i="89" s="1"/>
  <c r="F100" i="65"/>
  <c r="J103" i="89" s="1"/>
  <c r="F86" i="65"/>
  <c r="J89" i="89" s="1"/>
  <c r="F93" i="65"/>
  <c r="J96" i="89" s="1"/>
  <c r="F96" i="65"/>
  <c r="J99" i="89" s="1"/>
  <c r="F91" i="65"/>
  <c r="J94" i="89" s="1"/>
  <c r="F101" i="65"/>
  <c r="J104" i="89" s="1"/>
  <c r="F88" i="65"/>
  <c r="J91" i="89" s="1"/>
  <c r="F103" i="65"/>
  <c r="J106" i="89" s="1"/>
  <c r="F94" i="65"/>
  <c r="J97" i="89" s="1"/>
  <c r="F102" i="65"/>
  <c r="J105" i="89" s="1"/>
  <c r="F89" i="65"/>
  <c r="J92" i="89" s="1"/>
  <c r="F99" i="65"/>
  <c r="J102" i="89" s="1"/>
  <c r="F98" i="65"/>
  <c r="J101" i="89" s="1"/>
  <c r="F97" i="65"/>
  <c r="J100" i="89" s="1"/>
  <c r="F92" i="65"/>
  <c r="J95" i="89" s="1"/>
  <c r="F90" i="65"/>
  <c r="J93" i="89" s="1"/>
  <c r="F95" i="65"/>
  <c r="J98" i="89" s="1"/>
  <c r="F87" i="65"/>
  <c r="J90" i="89" s="1"/>
  <c r="G5" i="65"/>
  <c r="K8" i="89" s="1"/>
  <c r="H7" i="65"/>
  <c r="L10" i="89" s="1"/>
  <c r="G12" i="65"/>
  <c r="K15" i="89" s="1"/>
  <c r="H13" i="65"/>
  <c r="L16" i="89" s="1"/>
  <c r="G18" i="65"/>
  <c r="K21" i="89" s="1"/>
  <c r="H20" i="65"/>
  <c r="L23" i="89" s="1"/>
  <c r="H23" i="65"/>
  <c r="L26" i="89" s="1"/>
  <c r="G28" i="65"/>
  <c r="K31" i="89" s="1"/>
  <c r="H29" i="65"/>
  <c r="L32" i="89" s="1"/>
  <c r="G34" i="65"/>
  <c r="K37" i="89" s="1"/>
  <c r="H39" i="65"/>
  <c r="L42" i="89" s="1"/>
  <c r="H45" i="65"/>
  <c r="L48" i="89" s="1"/>
  <c r="G50" i="65"/>
  <c r="K53" i="89" s="1"/>
  <c r="G53" i="65"/>
  <c r="K56" i="89" s="1"/>
  <c r="H61" i="65"/>
  <c r="L64" i="89" s="1"/>
  <c r="H64" i="65"/>
  <c r="L67" i="89" s="1"/>
  <c r="G66" i="65"/>
  <c r="K69" i="89" s="1"/>
  <c r="G68" i="65"/>
  <c r="K71" i="89" s="1"/>
  <c r="G69" i="65"/>
  <c r="K72" i="89" s="1"/>
  <c r="H82" i="65"/>
  <c r="L85" i="89" s="1"/>
  <c r="H36" i="65"/>
  <c r="L39" i="89" s="1"/>
  <c r="H46" i="65"/>
  <c r="L49" i="89" s="1"/>
  <c r="G6" i="65"/>
  <c r="K9" i="89" s="1"/>
  <c r="H66" i="65"/>
  <c r="L69" i="89" s="1"/>
  <c r="H4" i="65"/>
  <c r="L7" i="89" s="1"/>
  <c r="G76" i="65"/>
  <c r="K79" i="89" s="1"/>
  <c r="G58" i="65"/>
  <c r="K61" i="89" s="1"/>
  <c r="G82" i="65"/>
  <c r="K85" i="89" s="1"/>
  <c r="H34" i="65"/>
  <c r="L37" i="89" s="1"/>
  <c r="G70" i="65"/>
  <c r="K73" i="89" s="1"/>
  <c r="H17" i="65"/>
  <c r="L20" i="89" s="1"/>
  <c r="G26" i="65"/>
  <c r="K29" i="89" s="1"/>
  <c r="G44" i="65"/>
  <c r="K47" i="89" s="1"/>
  <c r="H14" i="65"/>
  <c r="L17" i="89" s="1"/>
  <c r="G38" i="65"/>
  <c r="K41" i="89" s="1"/>
  <c r="H79" i="65"/>
  <c r="L82" i="89" s="1"/>
  <c r="H71" i="65"/>
  <c r="L74" i="89" s="1"/>
  <c r="G63" i="65"/>
  <c r="K66" i="89" s="1"/>
  <c r="H55" i="65"/>
  <c r="L58" i="89" s="1"/>
  <c r="G55" i="65"/>
  <c r="K58" i="89" s="1"/>
  <c r="H35" i="65"/>
  <c r="L38" i="89" s="1"/>
  <c r="H31" i="65"/>
  <c r="L34" i="89" s="1"/>
  <c r="H27" i="65"/>
  <c r="L30" i="89" s="1"/>
  <c r="G45" i="65"/>
  <c r="K48" i="89" s="1"/>
  <c r="H5" i="65"/>
  <c r="L8" i="89" s="1"/>
  <c r="G29" i="65"/>
  <c r="K32" i="89" s="1"/>
  <c r="H73" i="65"/>
  <c r="L76" i="89" s="1"/>
  <c r="G57" i="65"/>
  <c r="K60" i="89" s="1"/>
  <c r="G37" i="65"/>
  <c r="K40" i="89" s="1"/>
  <c r="H37" i="65"/>
  <c r="L40" i="89" s="1"/>
  <c r="G21" i="65"/>
  <c r="K24" i="89" s="1"/>
  <c r="G9" i="65"/>
  <c r="K12" i="89" s="1"/>
  <c r="G10" i="65"/>
  <c r="K13" i="89" s="1"/>
  <c r="H18" i="65"/>
  <c r="L21" i="89" s="1"/>
  <c r="G42" i="65"/>
  <c r="K45" i="89" s="1"/>
  <c r="H50" i="65"/>
  <c r="L53" i="89" s="1"/>
  <c r="G4" i="65"/>
  <c r="K7" i="89" s="1"/>
  <c r="G22" i="65"/>
  <c r="K25" i="89" s="1"/>
  <c r="H30" i="65"/>
  <c r="L33" i="89" s="1"/>
  <c r="G54" i="65"/>
  <c r="K57" i="89" s="1"/>
  <c r="H62" i="65"/>
  <c r="L65" i="89" s="1"/>
  <c r="G74" i="65"/>
  <c r="K77" i="89" s="1"/>
  <c r="G78" i="65"/>
  <c r="K81" i="89" s="1"/>
  <c r="G59" i="65"/>
  <c r="K62" i="89" s="1"/>
  <c r="G25" i="65"/>
  <c r="K28" i="89" s="1"/>
  <c r="H33" i="65"/>
  <c r="L36" i="89" s="1"/>
  <c r="H65" i="65"/>
  <c r="L68" i="89" s="1"/>
  <c r="H6" i="65"/>
  <c r="L9" i="89" s="1"/>
  <c r="G14" i="65"/>
  <c r="K17" i="89" s="1"/>
  <c r="H22" i="65"/>
  <c r="L25" i="89" s="1"/>
  <c r="G30" i="65"/>
  <c r="K33" i="89" s="1"/>
  <c r="H38" i="65"/>
  <c r="L41" i="89" s="1"/>
  <c r="G46" i="65"/>
  <c r="K49" i="89" s="1"/>
  <c r="H54" i="65"/>
  <c r="L57" i="89" s="1"/>
  <c r="G62" i="65"/>
  <c r="K65" i="89" s="1"/>
  <c r="H70" i="65"/>
  <c r="L73" i="89" s="1"/>
  <c r="H78" i="65"/>
  <c r="L81" i="89" s="1"/>
  <c r="G13" i="65"/>
  <c r="K16" i="89" s="1"/>
  <c r="H21" i="65"/>
  <c r="L24" i="89" s="1"/>
  <c r="H53" i="65"/>
  <c r="L56" i="89" s="1"/>
  <c r="H77" i="65"/>
  <c r="L80" i="89" s="1"/>
  <c r="H10" i="65"/>
  <c r="L13" i="89" s="1"/>
  <c r="H26" i="65"/>
  <c r="L29" i="89" s="1"/>
  <c r="H42" i="65"/>
  <c r="L45" i="89" s="1"/>
  <c r="H58" i="65"/>
  <c r="L61" i="89" s="1"/>
  <c r="H74" i="65"/>
  <c r="L77" i="89" s="1"/>
  <c r="H11" i="65"/>
  <c r="L14" i="89" s="1"/>
  <c r="H15" i="65"/>
  <c r="L18" i="89" s="1"/>
  <c r="H19" i="65"/>
  <c r="L22" i="89" s="1"/>
  <c r="G39" i="65"/>
  <c r="K42" i="89" s="1"/>
  <c r="G43" i="65"/>
  <c r="K46" i="89" s="1"/>
  <c r="G47" i="65"/>
  <c r="K50" i="89" s="1"/>
  <c r="H75" i="65"/>
  <c r="L78" i="89" s="1"/>
  <c r="G79" i="65"/>
  <c r="K82" i="89" s="1"/>
  <c r="G83" i="65"/>
  <c r="K86" i="89" s="1"/>
  <c r="G23" i="65"/>
  <c r="K26" i="89" s="1"/>
  <c r="G27" i="65"/>
  <c r="K30" i="89" s="1"/>
  <c r="G31" i="65"/>
  <c r="K34" i="89" s="1"/>
  <c r="H59" i="65"/>
  <c r="L62" i="89" s="1"/>
  <c r="H63" i="65"/>
  <c r="L66" i="89" s="1"/>
  <c r="H67" i="65"/>
  <c r="L70" i="89" s="1"/>
  <c r="G7" i="65"/>
  <c r="K10" i="89" s="1"/>
  <c r="G11" i="65"/>
  <c r="K14" i="89" s="1"/>
  <c r="G15" i="65"/>
  <c r="K18" i="89" s="1"/>
  <c r="H43" i="65"/>
  <c r="L46" i="89" s="1"/>
  <c r="H47" i="65"/>
  <c r="L50" i="89" s="1"/>
  <c r="H51" i="65"/>
  <c r="L54" i="89" s="1"/>
  <c r="G71" i="65"/>
  <c r="K74" i="89" s="1"/>
  <c r="G75" i="65"/>
  <c r="K78" i="89" s="1"/>
  <c r="H83" i="65"/>
  <c r="L86" i="89" s="1"/>
  <c r="G80" i="65"/>
  <c r="K83" i="89" s="1"/>
  <c r="G72" i="65"/>
  <c r="K75" i="89" s="1"/>
  <c r="H72" i="65"/>
  <c r="L75" i="89" s="1"/>
  <c r="H60" i="65"/>
  <c r="L63" i="89" s="1"/>
  <c r="G56" i="65"/>
  <c r="K59" i="89" s="1"/>
  <c r="G52" i="65"/>
  <c r="K55" i="89" s="1"/>
  <c r="H48" i="65"/>
  <c r="L51" i="89" s="1"/>
  <c r="H44" i="65"/>
  <c r="L47" i="89" s="1"/>
  <c r="G40" i="65"/>
  <c r="K43" i="89" s="1"/>
  <c r="H40" i="65"/>
  <c r="L43" i="89" s="1"/>
  <c r="G36" i="65"/>
  <c r="K39" i="89" s="1"/>
  <c r="H32" i="65"/>
  <c r="L35" i="89" s="1"/>
  <c r="G32" i="65"/>
  <c r="K35" i="89" s="1"/>
  <c r="H28" i="65"/>
  <c r="L31" i="89" s="1"/>
  <c r="G24" i="65"/>
  <c r="K27" i="89" s="1"/>
  <c r="H24" i="65"/>
  <c r="L27" i="89" s="1"/>
  <c r="G20" i="65"/>
  <c r="K23" i="89" s="1"/>
  <c r="H16" i="65"/>
  <c r="L19" i="89" s="1"/>
  <c r="G16" i="65"/>
  <c r="K19" i="89" s="1"/>
  <c r="H12" i="65"/>
  <c r="L15" i="89" s="1"/>
  <c r="G8" i="65"/>
  <c r="K11" i="89" s="1"/>
  <c r="H8" i="65"/>
  <c r="L11" i="89" s="1"/>
  <c r="H9" i="65"/>
  <c r="L12" i="89" s="1"/>
  <c r="G17" i="65"/>
  <c r="K20" i="89" s="1"/>
  <c r="H25" i="65"/>
  <c r="L28" i="89" s="1"/>
  <c r="G33" i="65"/>
  <c r="K36" i="89" s="1"/>
  <c r="G41" i="65"/>
  <c r="K44" i="89" s="1"/>
  <c r="H49" i="65"/>
  <c r="L52" i="89" s="1"/>
  <c r="G61" i="65"/>
  <c r="K64" i="89" s="1"/>
  <c r="H69" i="65"/>
  <c r="L72" i="89" s="1"/>
  <c r="G19" i="65"/>
  <c r="K22" i="89" s="1"/>
  <c r="G35" i="65"/>
  <c r="K38" i="89" s="1"/>
  <c r="G51" i="65"/>
  <c r="K54" i="89" s="1"/>
  <c r="G67" i="65"/>
  <c r="K70" i="89" s="1"/>
  <c r="H80" i="65"/>
  <c r="L83" i="89" s="1"/>
  <c r="H76" i="65"/>
  <c r="L79" i="89" s="1"/>
  <c r="H68" i="65"/>
  <c r="L71" i="89" s="1"/>
  <c r="G64" i="65"/>
  <c r="K67" i="89" s="1"/>
  <c r="G60" i="65"/>
  <c r="K63" i="89" s="1"/>
  <c r="H56" i="65"/>
  <c r="L59" i="89" s="1"/>
  <c r="H52" i="65"/>
  <c r="L55" i="89" s="1"/>
  <c r="G48" i="65"/>
  <c r="K51" i="89" s="1"/>
  <c r="H41" i="65"/>
  <c r="L44" i="89" s="1"/>
  <c r="G49" i="65"/>
  <c r="K52" i="89" s="1"/>
  <c r="H57" i="65"/>
  <c r="L60" i="89" s="1"/>
  <c r="G65" i="65"/>
  <c r="K68" i="89" s="1"/>
  <c r="G73" i="65"/>
  <c r="K76" i="89" s="1"/>
  <c r="G77" i="65"/>
  <c r="K80" i="89" s="1"/>
  <c r="H81" i="65"/>
  <c r="L84" i="89" s="1"/>
  <c r="G81" i="65"/>
  <c r="K84" i="89" s="1"/>
  <c r="E4" i="65"/>
  <c r="I7" i="89" s="1"/>
  <c r="F4" i="65"/>
  <c r="J7" i="89" s="1"/>
  <c r="E5" i="65"/>
  <c r="I8" i="89" s="1"/>
  <c r="E6" i="65"/>
  <c r="I9" i="89" s="1"/>
  <c r="F6" i="65"/>
  <c r="J9" i="89" s="1"/>
  <c r="E7" i="65"/>
  <c r="I10" i="89" s="1"/>
  <c r="F5" i="65"/>
  <c r="J8" i="89" s="1"/>
  <c r="F8" i="65"/>
  <c r="J11" i="89" s="1"/>
  <c r="E8" i="65"/>
  <c r="I11" i="89" s="1"/>
  <c r="F7" i="65"/>
  <c r="J10" i="89" s="1"/>
  <c r="F9" i="65"/>
  <c r="J12" i="89" s="1"/>
  <c r="E9" i="65"/>
  <c r="I12" i="89" s="1"/>
  <c r="E10" i="65"/>
  <c r="I13" i="89" s="1"/>
  <c r="F10" i="65"/>
  <c r="J13" i="89" s="1"/>
  <c r="F11" i="65"/>
  <c r="J14" i="89" s="1"/>
  <c r="E11" i="65"/>
  <c r="I14" i="89" s="1"/>
  <c r="E12" i="65"/>
  <c r="I15" i="89" s="1"/>
  <c r="F12" i="65"/>
  <c r="J15" i="89" s="1"/>
  <c r="E14" i="65"/>
  <c r="I17" i="89" s="1"/>
  <c r="F13" i="65"/>
  <c r="J16" i="89" s="1"/>
  <c r="E13" i="65"/>
  <c r="I16" i="89" s="1"/>
  <c r="E15" i="65"/>
  <c r="I18" i="89" s="1"/>
  <c r="E16" i="65"/>
  <c r="I19" i="89" s="1"/>
  <c r="E17" i="65"/>
  <c r="I20" i="89" s="1"/>
  <c r="F14" i="65"/>
  <c r="J17" i="89" s="1"/>
  <c r="F15" i="65"/>
  <c r="J18" i="89" s="1"/>
  <c r="F16" i="65"/>
  <c r="J19" i="89" s="1"/>
  <c r="F17" i="65"/>
  <c r="J20" i="89" s="1"/>
  <c r="E18" i="65"/>
  <c r="I21" i="89" s="1"/>
  <c r="F18" i="65"/>
  <c r="J21" i="89" s="1"/>
  <c r="E21" i="65"/>
  <c r="I24" i="89" s="1"/>
  <c r="E22" i="65"/>
  <c r="I25" i="89" s="1"/>
  <c r="E20" i="65"/>
  <c r="I23" i="89" s="1"/>
  <c r="E19" i="65"/>
  <c r="I22" i="89" s="1"/>
  <c r="F22" i="65"/>
  <c r="J25" i="89" s="1"/>
  <c r="F21" i="65"/>
  <c r="J24" i="89" s="1"/>
  <c r="F19" i="65"/>
  <c r="J22" i="89" s="1"/>
  <c r="F20" i="65"/>
  <c r="J23" i="89" s="1"/>
  <c r="E23" i="65"/>
  <c r="I26" i="89" s="1"/>
  <c r="F23" i="65"/>
  <c r="J26" i="89" s="1"/>
  <c r="E26" i="65"/>
  <c r="I29" i="89" s="1"/>
  <c r="E25" i="65"/>
  <c r="I28" i="89" s="1"/>
  <c r="E24" i="65"/>
  <c r="I27" i="89" s="1"/>
  <c r="F25" i="65"/>
  <c r="J28" i="89" s="1"/>
  <c r="E29" i="65"/>
  <c r="I32" i="89" s="1"/>
  <c r="E28" i="65"/>
  <c r="I31" i="89" s="1"/>
  <c r="F26" i="65"/>
  <c r="J29" i="89" s="1"/>
  <c r="F24" i="65"/>
  <c r="J27" i="89" s="1"/>
  <c r="E27" i="65"/>
  <c r="I30" i="89" s="1"/>
  <c r="F29" i="65"/>
  <c r="J32" i="89" s="1"/>
  <c r="F27" i="65"/>
  <c r="J30" i="89" s="1"/>
  <c r="F28" i="65"/>
  <c r="J31" i="89" s="1"/>
  <c r="E30" i="65"/>
  <c r="I33" i="89" s="1"/>
  <c r="E31" i="65"/>
  <c r="I34" i="89" s="1"/>
  <c r="E32" i="65"/>
  <c r="I35" i="89" s="1"/>
  <c r="E34" i="65"/>
  <c r="I37" i="89" s="1"/>
  <c r="F32" i="65"/>
  <c r="J35" i="89" s="1"/>
  <c r="E35" i="65"/>
  <c r="I38" i="89" s="1"/>
  <c r="E36" i="65"/>
  <c r="I39" i="89" s="1"/>
  <c r="F30" i="65"/>
  <c r="J33" i="89" s="1"/>
  <c r="F31" i="65"/>
  <c r="J34" i="89" s="1"/>
  <c r="E33" i="65"/>
  <c r="I36" i="89" s="1"/>
  <c r="F35" i="65"/>
  <c r="J38" i="89" s="1"/>
  <c r="F36" i="65"/>
  <c r="J39" i="89" s="1"/>
  <c r="F33" i="65"/>
  <c r="J36" i="89" s="1"/>
  <c r="F34" i="65"/>
  <c r="J37" i="89" s="1"/>
  <c r="E38" i="65"/>
  <c r="I41" i="89" s="1"/>
  <c r="E39" i="65"/>
  <c r="I42" i="89" s="1"/>
  <c r="E40" i="65"/>
  <c r="I43" i="89" s="1"/>
  <c r="E37" i="65"/>
  <c r="I40" i="89" s="1"/>
  <c r="E41" i="65"/>
  <c r="I44" i="89" s="1"/>
  <c r="F41" i="65"/>
  <c r="J44" i="89" s="1"/>
  <c r="F38" i="65"/>
  <c r="J41" i="89" s="1"/>
  <c r="F37" i="65"/>
  <c r="J40" i="89" s="1"/>
  <c r="F40" i="65"/>
  <c r="J43" i="89" s="1"/>
  <c r="F39" i="65"/>
  <c r="J42" i="89" s="1"/>
  <c r="E43" i="65"/>
  <c r="I46" i="89" s="1"/>
  <c r="E42" i="65"/>
  <c r="I45" i="89" s="1"/>
  <c r="E44" i="65"/>
  <c r="I47" i="89" s="1"/>
  <c r="F42" i="65"/>
  <c r="J45" i="89" s="1"/>
  <c r="F43" i="65"/>
  <c r="J46" i="89" s="1"/>
  <c r="E45" i="65"/>
  <c r="I48" i="89" s="1"/>
  <c r="F44" i="65"/>
  <c r="J47" i="89" s="1"/>
  <c r="E46" i="65"/>
  <c r="I49" i="89" s="1"/>
  <c r="F45" i="65"/>
  <c r="J48" i="89" s="1"/>
  <c r="E48" i="65"/>
  <c r="I51" i="89" s="1"/>
  <c r="E47" i="65"/>
  <c r="I50" i="89" s="1"/>
  <c r="E49" i="65"/>
  <c r="I52" i="89" s="1"/>
  <c r="F47" i="65"/>
  <c r="J50" i="89" s="1"/>
  <c r="F46" i="65"/>
  <c r="J49" i="89" s="1"/>
  <c r="E54" i="65"/>
  <c r="I57" i="89" s="1"/>
  <c r="E52" i="65"/>
  <c r="I55" i="89" s="1"/>
  <c r="E51" i="65"/>
  <c r="I54" i="89" s="1"/>
  <c r="F49" i="65"/>
  <c r="J52" i="89" s="1"/>
  <c r="E50" i="65"/>
  <c r="I53" i="89" s="1"/>
  <c r="E53" i="65"/>
  <c r="I56" i="89" s="1"/>
  <c r="F48" i="65"/>
  <c r="J51" i="89" s="1"/>
  <c r="F50" i="65"/>
  <c r="J53" i="89" s="1"/>
  <c r="F52" i="65"/>
  <c r="J55" i="89" s="1"/>
  <c r="F53" i="65"/>
  <c r="J56" i="89" s="1"/>
  <c r="F51" i="65"/>
  <c r="J54" i="89" s="1"/>
  <c r="E56" i="65"/>
  <c r="I59" i="89" s="1"/>
  <c r="E55" i="65"/>
  <c r="I58" i="89" s="1"/>
  <c r="E57" i="65"/>
  <c r="I60" i="89" s="1"/>
  <c r="E60" i="65"/>
  <c r="I63" i="89" s="1"/>
  <c r="E61" i="65"/>
  <c r="I64" i="89" s="1"/>
  <c r="E58" i="65"/>
  <c r="I61" i="89" s="1"/>
  <c r="E59" i="65"/>
  <c r="I62" i="89" s="1"/>
  <c r="F54" i="65"/>
  <c r="J57" i="89" s="1"/>
  <c r="F55" i="65"/>
  <c r="J58" i="89" s="1"/>
  <c r="F56" i="65"/>
  <c r="J59" i="89" s="1"/>
  <c r="F60" i="65"/>
  <c r="J63" i="89" s="1"/>
  <c r="F58" i="65"/>
  <c r="J61" i="89" s="1"/>
  <c r="F57" i="65"/>
  <c r="J60" i="89" s="1"/>
  <c r="F59" i="65"/>
  <c r="J62" i="89" s="1"/>
  <c r="F61" i="65"/>
  <c r="J64" i="89" s="1"/>
  <c r="E65" i="65"/>
  <c r="I68" i="89" s="1"/>
  <c r="E66" i="65"/>
  <c r="I69" i="89" s="1"/>
  <c r="E62" i="65"/>
  <c r="I65" i="89" s="1"/>
  <c r="E63" i="65"/>
  <c r="I66" i="89" s="1"/>
  <c r="E64" i="65"/>
  <c r="I67" i="89" s="1"/>
  <c r="E67" i="65"/>
  <c r="I70" i="89" s="1"/>
  <c r="F65" i="65"/>
  <c r="J68" i="89" s="1"/>
  <c r="F63" i="65"/>
  <c r="J66" i="89" s="1"/>
  <c r="F64" i="65"/>
  <c r="J67" i="89" s="1"/>
  <c r="F62" i="65"/>
  <c r="J65" i="89" s="1"/>
  <c r="F67" i="65"/>
  <c r="J70" i="89" s="1"/>
  <c r="F66" i="65"/>
  <c r="J69" i="89" s="1"/>
  <c r="E68" i="65"/>
  <c r="I71" i="89" s="1"/>
  <c r="E70" i="65"/>
  <c r="I73" i="89" s="1"/>
  <c r="E69" i="65"/>
  <c r="I72" i="89" s="1"/>
  <c r="E73" i="65"/>
  <c r="I76" i="89" s="1"/>
  <c r="E74" i="65"/>
  <c r="I77" i="89" s="1"/>
  <c r="E71" i="65"/>
  <c r="I74" i="89" s="1"/>
  <c r="E72" i="65"/>
  <c r="I75" i="89" s="1"/>
  <c r="F69" i="65"/>
  <c r="J72" i="89" s="1"/>
  <c r="F68" i="65"/>
  <c r="J71" i="89" s="1"/>
  <c r="F70" i="65"/>
  <c r="J73" i="89" s="1"/>
  <c r="F73" i="65"/>
  <c r="J76" i="89" s="1"/>
  <c r="F72" i="65"/>
  <c r="J75" i="89" s="1"/>
  <c r="F71" i="65"/>
  <c r="J74" i="89" s="1"/>
  <c r="F74" i="65"/>
  <c r="J77" i="89" s="1"/>
  <c r="E75" i="65"/>
  <c r="I78" i="89" s="1"/>
  <c r="E78" i="65"/>
  <c r="I81" i="89" s="1"/>
  <c r="E77" i="65"/>
  <c r="I80" i="89" s="1"/>
  <c r="E76" i="65"/>
  <c r="I79" i="89" s="1"/>
  <c r="F75" i="65"/>
  <c r="J78" i="89" s="1"/>
  <c r="E80" i="65"/>
  <c r="I83" i="89" s="1"/>
  <c r="E79" i="65"/>
  <c r="I82" i="89" s="1"/>
  <c r="F76" i="65"/>
  <c r="J79" i="89" s="1"/>
  <c r="E82" i="65"/>
  <c r="I85" i="89" s="1"/>
  <c r="F77" i="65"/>
  <c r="J80" i="89" s="1"/>
  <c r="F79" i="65"/>
  <c r="J82" i="89" s="1"/>
  <c r="E81" i="65"/>
  <c r="I84" i="89" s="1"/>
  <c r="E83" i="65"/>
  <c r="I86" i="89" s="1"/>
  <c r="F78" i="65"/>
  <c r="J81" i="89" s="1"/>
  <c r="F81" i="65"/>
  <c r="J84" i="89" s="1"/>
  <c r="F80" i="65"/>
  <c r="J83" i="89" s="1"/>
  <c r="F82" i="65"/>
  <c r="J85" i="89" s="1"/>
  <c r="F83" i="65"/>
  <c r="J86" i="89" s="1"/>
  <c r="V78" i="65"/>
  <c r="AQ257" i="65"/>
  <c r="AR66" i="65"/>
  <c r="V166" i="65"/>
  <c r="U81" i="65"/>
  <c r="AR119" i="65"/>
  <c r="AO9" i="65"/>
  <c r="V132" i="65"/>
  <c r="AP72" i="65"/>
  <c r="AO356" i="65"/>
  <c r="U5" i="65"/>
  <c r="V73" i="65"/>
  <c r="R255" i="65"/>
  <c r="AQ65" i="65"/>
  <c r="AQ197" i="65"/>
  <c r="U257" i="65"/>
  <c r="V206" i="65"/>
  <c r="U126" i="65"/>
  <c r="AR59" i="65"/>
  <c r="R238" i="65"/>
  <c r="AS220" i="65"/>
  <c r="U316" i="65"/>
  <c r="V81" i="65"/>
  <c r="V22" i="65"/>
  <c r="U227" i="65"/>
  <c r="R23" i="65"/>
  <c r="R28" i="65"/>
  <c r="V87" i="65"/>
  <c r="AP117" i="65"/>
  <c r="R123" i="65"/>
  <c r="AP363" i="65"/>
  <c r="U234" i="65"/>
  <c r="U180" i="65"/>
  <c r="V262" i="65"/>
  <c r="V339" i="65"/>
  <c r="V84" i="65"/>
  <c r="U358" i="65"/>
  <c r="R27" i="65"/>
  <c r="V115" i="65"/>
  <c r="V8" i="65"/>
  <c r="AP78" i="65"/>
  <c r="AQ234" i="65"/>
  <c r="AQ131" i="65"/>
  <c r="AS207" i="65"/>
  <c r="U11" i="65"/>
  <c r="AO298" i="65"/>
  <c r="V295" i="65"/>
  <c r="U137" i="65"/>
  <c r="AO57" i="65"/>
  <c r="AO252" i="65"/>
  <c r="AP102" i="65"/>
  <c r="V207" i="65"/>
  <c r="AO226" i="65"/>
  <c r="U10" i="65"/>
  <c r="AR240" i="65"/>
  <c r="R187" i="65"/>
  <c r="V205" i="65"/>
  <c r="AQ227" i="65"/>
  <c r="U288" i="65"/>
  <c r="V198" i="65"/>
  <c r="U64" i="65"/>
  <c r="AS175" i="65"/>
  <c r="U21" i="65"/>
  <c r="AQ42" i="65"/>
  <c r="V56" i="65"/>
  <c r="V178" i="65"/>
  <c r="U86" i="65"/>
  <c r="AR173" i="65"/>
  <c r="V67" i="65"/>
  <c r="U32" i="65"/>
  <c r="U91" i="65"/>
  <c r="U139" i="65"/>
  <c r="AR89" i="65"/>
  <c r="V105" i="65"/>
  <c r="AS148" i="65"/>
  <c r="AP94" i="65"/>
  <c r="U169" i="65"/>
  <c r="U263" i="65"/>
  <c r="V161" i="65"/>
  <c r="V15" i="65"/>
  <c r="AR85" i="65"/>
  <c r="V306" i="65"/>
  <c r="AO132" i="65"/>
  <c r="V195" i="65"/>
  <c r="AR346" i="65"/>
  <c r="U131" i="65"/>
  <c r="AP256" i="65"/>
  <c r="AP22" i="65"/>
  <c r="U15" i="65"/>
  <c r="U155" i="65"/>
  <c r="U317" i="65"/>
  <c r="AO23" i="65"/>
  <c r="V285" i="65"/>
  <c r="V248" i="65"/>
  <c r="U84" i="65"/>
  <c r="U172" i="65"/>
  <c r="V157" i="65"/>
  <c r="V108" i="65"/>
  <c r="AR4" i="65"/>
  <c r="AQ237" i="65"/>
  <c r="V109" i="65"/>
  <c r="U256" i="65"/>
  <c r="V71" i="65"/>
  <c r="U347" i="65"/>
  <c r="V152" i="65"/>
  <c r="V267" i="65"/>
  <c r="V53" i="65"/>
  <c r="U362" i="65"/>
  <c r="AQ287" i="65"/>
  <c r="V167" i="65"/>
  <c r="U52" i="65"/>
  <c r="U73" i="65"/>
  <c r="AQ4" i="65"/>
  <c r="V263" i="65"/>
  <c r="V217" i="65"/>
  <c r="V242" i="65"/>
  <c r="V121" i="65"/>
  <c r="V266" i="65"/>
  <c r="U244" i="65"/>
  <c r="AP55" i="65"/>
  <c r="U326" i="65"/>
  <c r="AQ87" i="65"/>
  <c r="AQ301" i="65"/>
  <c r="AP64" i="65"/>
  <c r="U228" i="65"/>
  <c r="AQ302" i="65"/>
  <c r="U145" i="65"/>
  <c r="V52" i="65"/>
  <c r="U324" i="65"/>
  <c r="U293" i="65"/>
  <c r="V284" i="65"/>
  <c r="AR37" i="65"/>
  <c r="AQ362" i="65"/>
  <c r="AS344" i="65"/>
  <c r="U147" i="65"/>
  <c r="R288" i="65"/>
  <c r="AO165" i="65"/>
  <c r="V126" i="65"/>
  <c r="AO138" i="65"/>
  <c r="V137" i="65"/>
  <c r="AR6" i="65"/>
  <c r="R290" i="65"/>
  <c r="R335" i="65"/>
  <c r="U194" i="65"/>
  <c r="V155" i="65"/>
  <c r="AO203" i="65"/>
  <c r="U291" i="65"/>
  <c r="R144" i="65"/>
  <c r="U168" i="65"/>
  <c r="AQ71" i="65"/>
  <c r="AR108" i="65"/>
  <c r="V255" i="65"/>
  <c r="V88" i="65"/>
  <c r="AQ35" i="65"/>
  <c r="AO22" i="65"/>
  <c r="V111" i="65"/>
  <c r="AP135" i="65"/>
  <c r="AO276" i="65"/>
  <c r="U353" i="65"/>
  <c r="V218" i="65"/>
  <c r="AQ110" i="65"/>
  <c r="AO15" i="65"/>
  <c r="V298" i="65"/>
  <c r="AO350" i="65"/>
  <c r="V141" i="65"/>
  <c r="U205" i="65"/>
  <c r="U43" i="65"/>
  <c r="U153" i="65"/>
  <c r="U239" i="65"/>
  <c r="U351" i="65"/>
  <c r="U305" i="65"/>
  <c r="V324" i="65"/>
  <c r="V307" i="65"/>
  <c r="V93" i="65"/>
  <c r="R360" i="65"/>
  <c r="AS86" i="65"/>
  <c r="U307" i="65"/>
  <c r="AQ59" i="65"/>
  <c r="U101" i="65"/>
  <c r="R86" i="65"/>
  <c r="U191" i="65"/>
  <c r="AS62" i="65"/>
  <c r="U92" i="65"/>
  <c r="V358" i="65"/>
  <c r="V282" i="65"/>
  <c r="AR227" i="65"/>
  <c r="U303" i="65"/>
  <c r="U350" i="65"/>
  <c r="AS61" i="65"/>
  <c r="U83" i="65"/>
  <c r="U238" i="65"/>
  <c r="AR105" i="65"/>
  <c r="V213" i="65"/>
  <c r="AR297" i="65"/>
  <c r="U360" i="65"/>
  <c r="U135" i="65"/>
  <c r="AQ171" i="65"/>
  <c r="U102" i="65"/>
  <c r="AP73" i="65"/>
  <c r="AP161" i="65"/>
  <c r="U87" i="65"/>
  <c r="AQ340" i="65"/>
  <c r="AO258" i="65"/>
  <c r="AP352" i="65"/>
  <c r="V296" i="65"/>
  <c r="U97" i="65"/>
  <c r="U197" i="65"/>
  <c r="AS36" i="65"/>
  <c r="V30" i="65"/>
  <c r="AS227" i="65"/>
  <c r="V327" i="65"/>
  <c r="V163" i="65"/>
  <c r="U266" i="65"/>
  <c r="AQ225" i="65"/>
  <c r="AR278" i="65"/>
  <c r="V119" i="65"/>
  <c r="R149" i="65"/>
  <c r="AQ213" i="65"/>
  <c r="U255" i="65"/>
  <c r="AR50" i="65"/>
  <c r="V27" i="65"/>
  <c r="AO102" i="65"/>
  <c r="U108" i="65"/>
  <c r="V118" i="65"/>
  <c r="AS115" i="65"/>
  <c r="AO295" i="65"/>
  <c r="U146" i="65"/>
  <c r="U240" i="65"/>
  <c r="V321" i="65"/>
  <c r="U157" i="65"/>
  <c r="AR262" i="65"/>
  <c r="R49" i="65"/>
  <c r="AS226" i="65"/>
  <c r="V64" i="65"/>
  <c r="U336" i="65"/>
  <c r="U116" i="65"/>
  <c r="V77" i="65"/>
  <c r="AR235" i="65"/>
  <c r="R154" i="65"/>
  <c r="V151" i="65"/>
  <c r="R53" i="65"/>
  <c r="V66" i="65"/>
  <c r="V277" i="65"/>
  <c r="U100" i="65"/>
  <c r="U284" i="65"/>
  <c r="V82" i="65"/>
  <c r="V253" i="65"/>
  <c r="R213" i="65"/>
  <c r="U36" i="65"/>
  <c r="V60" i="65"/>
  <c r="V209" i="65"/>
  <c r="V91" i="65"/>
  <c r="U129" i="65"/>
  <c r="V313" i="65"/>
  <c r="AQ230" i="65"/>
  <c r="AQ216" i="65"/>
  <c r="AR199" i="65"/>
  <c r="AR216" i="65"/>
  <c r="V94" i="65"/>
  <c r="AQ38" i="65"/>
  <c r="U33" i="65"/>
  <c r="V47" i="65"/>
  <c r="V212" i="65"/>
  <c r="AR322" i="65"/>
  <c r="AR121" i="65"/>
  <c r="AR239" i="65"/>
  <c r="U318" i="65"/>
  <c r="U77" i="65"/>
  <c r="AP121" i="65"/>
  <c r="AS137" i="65"/>
  <c r="U232" i="65"/>
  <c r="V325" i="65"/>
  <c r="U24" i="65"/>
  <c r="AQ86" i="65"/>
  <c r="AQ292" i="65"/>
  <c r="R341" i="65"/>
  <c r="U188" i="65"/>
  <c r="V179" i="65"/>
  <c r="U117" i="65"/>
  <c r="U112" i="65"/>
  <c r="V251" i="65"/>
  <c r="U310" i="65"/>
  <c r="U264" i="65"/>
  <c r="V92" i="65"/>
  <c r="AQ252" i="65"/>
  <c r="AS65" i="65"/>
  <c r="AP108" i="65"/>
  <c r="U211" i="65"/>
  <c r="U200" i="65"/>
  <c r="V154" i="65"/>
  <c r="U315" i="65"/>
  <c r="V276" i="65"/>
  <c r="V61" i="65"/>
  <c r="V142" i="65"/>
  <c r="AQ122" i="65"/>
  <c r="AP260" i="65"/>
  <c r="U140" i="65"/>
  <c r="V112" i="65"/>
  <c r="V344" i="65"/>
  <c r="U268" i="65"/>
  <c r="AO215" i="65"/>
  <c r="V143" i="65"/>
  <c r="AS268" i="65"/>
  <c r="U107" i="65"/>
  <c r="AQ231" i="65"/>
  <c r="V256" i="65"/>
  <c r="U47" i="65"/>
  <c r="U335" i="65"/>
  <c r="U325" i="65"/>
  <c r="V279" i="65"/>
  <c r="V234" i="65"/>
  <c r="V275" i="65"/>
  <c r="V89" i="65"/>
  <c r="U125" i="65"/>
  <c r="V192" i="65"/>
  <c r="R279" i="65"/>
  <c r="U215" i="65"/>
  <c r="V292" i="65"/>
  <c r="AQ93" i="65"/>
  <c r="AQ7" i="65"/>
  <c r="AO172" i="65"/>
  <c r="U167" i="65"/>
  <c r="AO48" i="65"/>
  <c r="U62" i="65"/>
  <c r="R215" i="65"/>
  <c r="U85" i="65"/>
  <c r="AQ22" i="65"/>
  <c r="V301" i="65"/>
  <c r="AS203" i="65"/>
  <c r="AO219" i="65"/>
  <c r="U233" i="65"/>
  <c r="U65" i="65"/>
  <c r="U222" i="65"/>
  <c r="AP228" i="65"/>
  <c r="V75" i="65"/>
  <c r="AP316" i="65"/>
  <c r="V5" i="65"/>
  <c r="U333" i="65"/>
  <c r="AP299" i="65"/>
  <c r="U356" i="65"/>
  <c r="U174" i="65"/>
  <c r="U327" i="65"/>
  <c r="AO317" i="65"/>
  <c r="U185" i="65"/>
  <c r="V26" i="65"/>
  <c r="AR350" i="65"/>
  <c r="AS6" i="65"/>
  <c r="AR16" i="65"/>
  <c r="U202" i="65"/>
  <c r="R109" i="65"/>
  <c r="U158" i="65"/>
  <c r="U72" i="65"/>
  <c r="U16" i="65"/>
  <c r="V219" i="65"/>
  <c r="V237" i="65"/>
  <c r="V355" i="65"/>
  <c r="AR212" i="65"/>
  <c r="AP348" i="65"/>
  <c r="AP38" i="65"/>
  <c r="V225" i="65"/>
  <c r="AQ296" i="65"/>
  <c r="V322" i="65"/>
  <c r="V264" i="65"/>
  <c r="U9" i="65"/>
  <c r="V318" i="65"/>
  <c r="V50" i="65"/>
  <c r="AO281" i="65"/>
  <c r="V6" i="65"/>
  <c r="U150" i="65"/>
  <c r="V38" i="65"/>
  <c r="U106" i="65"/>
  <c r="V33" i="65"/>
  <c r="U31" i="65"/>
  <c r="V85" i="65"/>
  <c r="V331" i="65"/>
  <c r="R257" i="65"/>
  <c r="AR81" i="65"/>
  <c r="AQ27" i="65"/>
  <c r="U328" i="65"/>
  <c r="AS189" i="65"/>
  <c r="R338" i="65"/>
  <c r="V305" i="65"/>
  <c r="V123" i="65"/>
  <c r="AP219" i="65"/>
  <c r="V18" i="65"/>
  <c r="U175" i="65"/>
  <c r="V172" i="65"/>
  <c r="U331" i="65"/>
  <c r="R306" i="65"/>
  <c r="V252" i="65"/>
  <c r="V101" i="65"/>
  <c r="AQ84" i="65"/>
  <c r="AQ210" i="65"/>
  <c r="U39" i="65"/>
  <c r="V270" i="65"/>
  <c r="V199" i="65"/>
  <c r="AO320" i="65"/>
  <c r="V312" i="65"/>
  <c r="U241" i="65"/>
  <c r="U69" i="65"/>
  <c r="AQ240" i="65"/>
  <c r="R286" i="65"/>
  <c r="V156" i="65"/>
  <c r="AS300" i="65"/>
  <c r="V133" i="65"/>
  <c r="U271" i="65"/>
  <c r="V232" i="65"/>
  <c r="V10" i="65"/>
  <c r="AQ117" i="65"/>
  <c r="U323" i="65"/>
  <c r="V304" i="65"/>
  <c r="V187" i="65"/>
  <c r="AR148" i="65"/>
  <c r="AS5" i="65"/>
  <c r="U79" i="65"/>
  <c r="V31" i="65"/>
  <c r="R18" i="65"/>
  <c r="AP319" i="65"/>
  <c r="R346" i="65"/>
  <c r="R260" i="65"/>
  <c r="U28" i="65"/>
  <c r="R90" i="65"/>
  <c r="V200" i="65"/>
  <c r="V201" i="65"/>
  <c r="U88" i="65"/>
  <c r="AO179" i="65"/>
  <c r="V194" i="65"/>
  <c r="U214" i="65"/>
  <c r="V349" i="65"/>
  <c r="V41" i="65"/>
  <c r="U283" i="65"/>
  <c r="AO325" i="65"/>
  <c r="V13" i="65"/>
  <c r="AS238" i="65"/>
  <c r="V319" i="65"/>
  <c r="AO124" i="65"/>
  <c r="V300" i="65"/>
  <c r="U321" i="65"/>
  <c r="AO277" i="65"/>
  <c r="V203" i="65"/>
  <c r="U159" i="65"/>
  <c r="U122" i="65"/>
  <c r="U352" i="65"/>
  <c r="U207" i="65"/>
  <c r="V315" i="65"/>
  <c r="U296" i="65"/>
  <c r="U51" i="65"/>
  <c r="V25" i="65"/>
  <c r="AS125" i="65"/>
  <c r="V21" i="65"/>
  <c r="U182" i="65"/>
  <c r="AQ273" i="65"/>
  <c r="U312" i="65"/>
  <c r="U259" i="65"/>
  <c r="U136" i="65"/>
  <c r="V196" i="65"/>
  <c r="AQ134" i="65"/>
  <c r="V136" i="65"/>
  <c r="V4" i="65"/>
  <c r="V135" i="65"/>
  <c r="V250" i="65"/>
  <c r="V23" i="65"/>
  <c r="U219" i="65"/>
  <c r="V289" i="65"/>
  <c r="U103" i="65"/>
  <c r="V168" i="65"/>
  <c r="U311" i="65"/>
  <c r="V210" i="65"/>
  <c r="U93" i="65"/>
  <c r="R61" i="65"/>
  <c r="V185" i="65"/>
  <c r="V354" i="65"/>
  <c r="AP51" i="65"/>
  <c r="V19" i="65"/>
  <c r="AR274" i="65"/>
  <c r="V63" i="65"/>
  <c r="AR27" i="65"/>
  <c r="AS75" i="65"/>
  <c r="AQ44" i="65"/>
  <c r="U236" i="65"/>
  <c r="AO314" i="65"/>
  <c r="R45" i="65"/>
  <c r="U27" i="65"/>
  <c r="U220" i="65"/>
  <c r="AP229" i="65"/>
  <c r="AO78" i="65"/>
  <c r="R68" i="65"/>
  <c r="V165" i="65"/>
  <c r="U96" i="65"/>
  <c r="AO256" i="65"/>
  <c r="U110" i="65"/>
  <c r="U121" i="65"/>
  <c r="V28" i="65"/>
  <c r="V107" i="65"/>
  <c r="AQ303" i="65"/>
  <c r="U34" i="65"/>
  <c r="U280" i="65"/>
  <c r="AR191" i="65"/>
  <c r="U141" i="65"/>
  <c r="U343" i="65"/>
  <c r="U29" i="65"/>
  <c r="V257" i="65"/>
  <c r="AO241" i="65"/>
  <c r="V171" i="65"/>
  <c r="AQ259" i="65"/>
  <c r="V159" i="65"/>
  <c r="U98" i="65"/>
  <c r="R311" i="65"/>
  <c r="U286" i="65"/>
  <c r="V83" i="65"/>
  <c r="AO62" i="65"/>
  <c r="U133" i="65"/>
  <c r="AQ269" i="65"/>
  <c r="V177" i="65"/>
  <c r="AS32" i="65"/>
  <c r="R125" i="65"/>
  <c r="V278" i="65"/>
  <c r="AS318" i="65"/>
  <c r="U306" i="65"/>
  <c r="U37" i="65"/>
  <c r="U163" i="65"/>
  <c r="AO97" i="65"/>
  <c r="V235" i="65"/>
  <c r="R264" i="65"/>
  <c r="AQ111" i="65"/>
  <c r="AO173" i="65"/>
  <c r="AP345" i="65"/>
  <c r="U26" i="65"/>
  <c r="R356" i="65"/>
  <c r="U223" i="65"/>
  <c r="V69" i="65"/>
  <c r="V55" i="65"/>
  <c r="U104" i="65"/>
  <c r="AR29" i="65"/>
  <c r="AQ308" i="65"/>
  <c r="R337" i="65"/>
  <c r="U19" i="65"/>
  <c r="V35" i="65"/>
  <c r="V134" i="65"/>
  <c r="V40" i="65"/>
  <c r="V36" i="65"/>
  <c r="U287" i="65"/>
  <c r="V247" i="65"/>
  <c r="U216" i="65"/>
  <c r="U252" i="65"/>
  <c r="U57" i="65"/>
  <c r="AP104" i="65"/>
  <c r="V188" i="65"/>
  <c r="AO290" i="65"/>
  <c r="V97" i="65"/>
  <c r="V233" i="65"/>
  <c r="AS161" i="65"/>
  <c r="AS58" i="65"/>
  <c r="V268" i="65"/>
  <c r="V330" i="65"/>
  <c r="AQ217" i="65"/>
  <c r="U281" i="65"/>
  <c r="V49" i="65"/>
  <c r="AP58" i="65"/>
  <c r="U127" i="65"/>
  <c r="AP6" i="65"/>
  <c r="U337" i="65"/>
  <c r="AO322" i="65"/>
  <c r="V104" i="65"/>
  <c r="R208" i="65"/>
  <c r="AS164" i="65"/>
  <c r="AP151" i="65"/>
  <c r="U75" i="65"/>
  <c r="AQ289" i="65"/>
  <c r="AO87" i="65"/>
  <c r="U118" i="65"/>
  <c r="U144" i="65"/>
  <c r="V229" i="65"/>
  <c r="R342" i="65"/>
  <c r="AS287" i="65"/>
  <c r="U251" i="65"/>
  <c r="U282" i="65"/>
  <c r="AO56" i="65"/>
  <c r="U261" i="65"/>
  <c r="V240" i="65"/>
  <c r="AR84" i="65"/>
  <c r="AR290" i="65"/>
  <c r="AS208" i="65"/>
  <c r="V236" i="65"/>
  <c r="AQ261" i="65"/>
  <c r="AS209" i="65"/>
  <c r="V86" i="65"/>
  <c r="V223" i="65"/>
  <c r="AQ164" i="65"/>
  <c r="AQ189" i="65"/>
  <c r="V303" i="65"/>
  <c r="U196" i="65"/>
  <c r="U357" i="65"/>
  <c r="V226" i="65"/>
  <c r="AS131" i="65"/>
  <c r="U339" i="65"/>
  <c r="AP166" i="65"/>
  <c r="AS337" i="65"/>
  <c r="R202" i="65"/>
  <c r="R43" i="65"/>
  <c r="AS205" i="65"/>
  <c r="U12" i="65"/>
  <c r="R312" i="65"/>
  <c r="V24" i="65"/>
  <c r="AO313" i="65"/>
  <c r="V160" i="65"/>
  <c r="AO160" i="65"/>
  <c r="V352" i="65"/>
  <c r="V265" i="65"/>
  <c r="V351" i="65"/>
  <c r="V16" i="65"/>
  <c r="U130" i="65"/>
  <c r="U275" i="65"/>
  <c r="V149" i="65"/>
  <c r="AQ235" i="65"/>
  <c r="AO347" i="65"/>
  <c r="U195" i="65"/>
  <c r="U78" i="65"/>
  <c r="AQ315" i="65"/>
  <c r="U44" i="65"/>
  <c r="R224" i="65"/>
  <c r="U209" i="65"/>
  <c r="AP318" i="65"/>
  <c r="V68" i="65"/>
  <c r="U330" i="65"/>
  <c r="AP250" i="65"/>
  <c r="V294" i="65"/>
  <c r="AS91" i="65"/>
  <c r="U279" i="65"/>
  <c r="V39" i="65"/>
  <c r="AS319" i="65"/>
  <c r="U192" i="65"/>
  <c r="V258" i="65"/>
  <c r="U213" i="65"/>
  <c r="U245" i="65"/>
  <c r="V180" i="65"/>
  <c r="AO343" i="65"/>
  <c r="AR129" i="65"/>
  <c r="V9" i="65"/>
  <c r="V153" i="65"/>
  <c r="AP126" i="65"/>
  <c r="V139" i="65"/>
  <c r="V297" i="65"/>
  <c r="U80" i="65"/>
  <c r="U292" i="65"/>
  <c r="AQ226" i="65"/>
  <c r="AS181" i="65"/>
  <c r="V272" i="65"/>
  <c r="U346" i="65"/>
  <c r="AR20" i="65"/>
  <c r="V62" i="65"/>
  <c r="V314" i="65"/>
  <c r="AS51" i="65"/>
  <c r="R296" i="65"/>
  <c r="R113" i="65"/>
  <c r="AQ168" i="65"/>
  <c r="V122" i="65"/>
  <c r="AP296" i="65"/>
  <c r="U105" i="65"/>
  <c r="V20" i="65"/>
  <c r="U156" i="65"/>
  <c r="AQ172" i="65"/>
  <c r="V32" i="65"/>
  <c r="V140" i="65"/>
  <c r="AQ236" i="65"/>
  <c r="U173" i="65"/>
  <c r="AO7" i="65"/>
  <c r="V44" i="65"/>
  <c r="V99" i="65"/>
  <c r="AS158" i="65"/>
  <c r="R50" i="65"/>
  <c r="AS348" i="65"/>
  <c r="U113" i="65"/>
  <c r="AO344" i="65"/>
  <c r="R246" i="65"/>
  <c r="AS126" i="65"/>
  <c r="R197" i="65"/>
  <c r="AP325" i="65"/>
  <c r="AS84" i="65"/>
  <c r="AR74" i="65"/>
  <c r="AS278" i="65"/>
  <c r="AP146" i="65"/>
  <c r="V230" i="65"/>
  <c r="AR117" i="65"/>
  <c r="AO275" i="65"/>
  <c r="AP255" i="65"/>
  <c r="AQ23" i="65"/>
  <c r="R135" i="65"/>
  <c r="AQ187" i="65"/>
  <c r="AR175" i="65"/>
  <c r="U334" i="65"/>
  <c r="AP285" i="65"/>
  <c r="U71" i="65"/>
  <c r="U235" i="65"/>
  <c r="AS229" i="65"/>
  <c r="U242" i="65"/>
  <c r="U128" i="65"/>
  <c r="U189" i="65"/>
  <c r="U285" i="65"/>
  <c r="AP16" i="65"/>
  <c r="AP307" i="65"/>
  <c r="U70" i="65"/>
  <c r="AR193" i="65"/>
  <c r="AS109" i="65"/>
  <c r="U203" i="65"/>
  <c r="V79" i="65"/>
  <c r="U123" i="65"/>
  <c r="AO117" i="65"/>
  <c r="R283" i="65"/>
  <c r="V243" i="65"/>
  <c r="AP125" i="65"/>
  <c r="AO107" i="65"/>
  <c r="U40" i="65"/>
  <c r="AQ278" i="65"/>
  <c r="U20" i="65"/>
  <c r="AR164" i="65"/>
  <c r="U54" i="65"/>
  <c r="U55" i="65"/>
  <c r="AO151" i="65"/>
  <c r="U23" i="65"/>
  <c r="U149" i="65"/>
  <c r="R158" i="65"/>
  <c r="AP105" i="65"/>
  <c r="U230" i="65"/>
  <c r="U258" i="65"/>
  <c r="AR351" i="65"/>
  <c r="AP124" i="65"/>
  <c r="V170" i="65"/>
  <c r="AR345" i="65"/>
  <c r="U225" i="65"/>
  <c r="AO35" i="65"/>
  <c r="U35" i="65"/>
  <c r="AR42" i="65"/>
  <c r="R207" i="65"/>
  <c r="V12" i="65"/>
  <c r="AP335" i="65"/>
  <c r="AQ205" i="65"/>
  <c r="V37" i="65"/>
  <c r="AR362" i="65"/>
  <c r="AP202" i="65"/>
  <c r="U181" i="65"/>
  <c r="R242" i="65"/>
  <c r="U270" i="65"/>
  <c r="V17" i="65"/>
  <c r="AP7" i="65"/>
  <c r="V345" i="65"/>
  <c r="U304" i="65"/>
  <c r="AS317" i="65"/>
  <c r="V241" i="65"/>
  <c r="AS123" i="65"/>
  <c r="U119" i="65"/>
  <c r="V174" i="65"/>
  <c r="V334" i="65"/>
  <c r="U148" i="65"/>
  <c r="R317" i="65"/>
  <c r="AR187" i="65"/>
  <c r="V100" i="65"/>
  <c r="U243" i="65"/>
  <c r="V42" i="65"/>
  <c r="R21" i="65"/>
  <c r="U58" i="65"/>
  <c r="AS345" i="65"/>
  <c r="U4" i="65"/>
  <c r="AS160" i="65"/>
  <c r="U38" i="65"/>
  <c r="AR232" i="65"/>
  <c r="R54" i="65"/>
  <c r="AO265" i="65"/>
  <c r="U198" i="65"/>
  <c r="AR88" i="65"/>
  <c r="R110" i="65"/>
  <c r="AQ288" i="65"/>
  <c r="R41" i="65"/>
  <c r="AP113" i="65"/>
  <c r="V271" i="65"/>
  <c r="AS170" i="65"/>
  <c r="AQ336" i="65"/>
  <c r="V158" i="65"/>
  <c r="R4" i="65"/>
  <c r="AO5" i="65"/>
  <c r="AQ355" i="65"/>
  <c r="AR140" i="65"/>
  <c r="AR327" i="65"/>
  <c r="V348" i="65"/>
  <c r="U246" i="65"/>
  <c r="AS290" i="65"/>
  <c r="U348" i="65"/>
  <c r="U267" i="65"/>
  <c r="U249" i="65"/>
  <c r="U66" i="65"/>
  <c r="AP273" i="65"/>
  <c r="U63" i="65"/>
  <c r="R75" i="65"/>
  <c r="AO225" i="65"/>
  <c r="AS201" i="65"/>
  <c r="V317" i="65"/>
  <c r="U272" i="65"/>
  <c r="AP210" i="65"/>
  <c r="R198" i="65"/>
  <c r="U300" i="65"/>
  <c r="AS279" i="65"/>
  <c r="U184" i="65"/>
  <c r="V106" i="65"/>
  <c r="AQ220" i="65"/>
  <c r="AP145" i="65"/>
  <c r="U217" i="65"/>
  <c r="V260" i="65"/>
  <c r="AP194" i="65"/>
  <c r="U294" i="65"/>
  <c r="AS200" i="65"/>
  <c r="V290" i="65"/>
  <c r="AR261" i="65"/>
  <c r="U95" i="65"/>
  <c r="V208" i="65"/>
  <c r="AR315" i="65"/>
  <c r="V129" i="65"/>
  <c r="R81" i="65"/>
  <c r="V302" i="65"/>
  <c r="U273" i="65"/>
  <c r="R108" i="65"/>
  <c r="U154" i="65"/>
  <c r="AP344" i="65"/>
  <c r="V164" i="65"/>
  <c r="U68" i="65"/>
  <c r="AP50" i="65"/>
  <c r="V173" i="65"/>
  <c r="AO318" i="65"/>
  <c r="U269" i="65"/>
  <c r="V11" i="65"/>
  <c r="AQ199" i="65"/>
  <c r="V360" i="65"/>
  <c r="V186" i="65"/>
  <c r="AR125" i="65"/>
  <c r="V326" i="65"/>
  <c r="U49" i="65"/>
  <c r="R150" i="65"/>
  <c r="U17" i="65"/>
  <c r="V58" i="65"/>
  <c r="AR313" i="65"/>
  <c r="AS50" i="65"/>
  <c r="AS48" i="65"/>
  <c r="U253" i="65"/>
  <c r="AR271" i="65"/>
  <c r="U30" i="65"/>
  <c r="R355" i="65"/>
  <c r="U61" i="65"/>
  <c r="V114" i="65"/>
  <c r="U48" i="65"/>
  <c r="AQ175" i="65"/>
  <c r="V221" i="65"/>
  <c r="AS82" i="65"/>
  <c r="AQ350" i="65"/>
  <c r="V176" i="65"/>
  <c r="U212" i="65"/>
  <c r="V308" i="65"/>
  <c r="AQ43" i="65"/>
  <c r="U164" i="65"/>
  <c r="V7" i="65"/>
  <c r="R240" i="65"/>
  <c r="U132" i="65"/>
  <c r="AO123" i="65"/>
  <c r="AR195" i="65"/>
  <c r="AR40" i="65"/>
  <c r="AO315" i="65"/>
  <c r="R56" i="65"/>
  <c r="R180" i="65"/>
  <c r="AQ344" i="65"/>
  <c r="R127" i="65"/>
  <c r="U60" i="65"/>
  <c r="AO84" i="65"/>
  <c r="AO167" i="65"/>
  <c r="AR154" i="65"/>
  <c r="AO55" i="65"/>
  <c r="U301" i="65"/>
  <c r="V138" i="65"/>
  <c r="AO169" i="65"/>
  <c r="V239" i="65"/>
  <c r="V280" i="65"/>
  <c r="V333" i="65"/>
  <c r="R79" i="65"/>
  <c r="U208" i="65"/>
  <c r="AQ363" i="65"/>
  <c r="R157" i="65"/>
  <c r="AS270" i="65"/>
  <c r="AS106" i="65"/>
  <c r="AS195" i="65"/>
  <c r="R16" i="65"/>
  <c r="R188" i="65"/>
  <c r="AO66" i="65"/>
  <c r="R205" i="65"/>
  <c r="AP177" i="65"/>
  <c r="AP97" i="65"/>
  <c r="R189" i="65"/>
  <c r="V211" i="65"/>
  <c r="V335" i="65"/>
  <c r="AR279" i="65"/>
  <c r="V34" i="65"/>
  <c r="AR243" i="65"/>
  <c r="V102" i="65"/>
  <c r="R308" i="65"/>
  <c r="AO246" i="65"/>
  <c r="V362" i="65"/>
  <c r="V222" i="65"/>
  <c r="AQ68" i="65"/>
  <c r="V320" i="65"/>
  <c r="AP322" i="65"/>
  <c r="AQ157" i="65"/>
  <c r="V45" i="65"/>
  <c r="U76" i="65"/>
  <c r="AP66" i="65"/>
  <c r="U90" i="65"/>
  <c r="V244" i="65"/>
  <c r="R287" i="65"/>
  <c r="U329" i="65"/>
  <c r="AP305" i="65"/>
  <c r="AO254" i="65"/>
  <c r="U22" i="65"/>
  <c r="R42" i="65"/>
  <c r="V346" i="65"/>
  <c r="V95" i="65"/>
  <c r="AS163" i="65"/>
  <c r="AQ120" i="65"/>
  <c r="AR165" i="65"/>
  <c r="V337" i="65"/>
  <c r="AS234" i="65"/>
  <c r="AQ82" i="65"/>
  <c r="U320" i="65"/>
  <c r="AQ360" i="65"/>
  <c r="U56" i="65"/>
  <c r="V274" i="65"/>
  <c r="V224" i="65"/>
  <c r="U170" i="65"/>
  <c r="AQ361" i="65"/>
  <c r="V342" i="65"/>
  <c r="AQ140" i="65"/>
  <c r="AS143" i="65"/>
  <c r="V65" i="65"/>
  <c r="R87" i="65"/>
  <c r="AR138" i="65"/>
  <c r="U177" i="65"/>
  <c r="U50" i="65"/>
  <c r="U124" i="65"/>
  <c r="AS255" i="65"/>
  <c r="AS242" i="65"/>
  <c r="AO236" i="65"/>
  <c r="AQ233" i="65"/>
  <c r="V357" i="65"/>
  <c r="AQ190" i="65"/>
  <c r="R31" i="65"/>
  <c r="AP342" i="65"/>
  <c r="V220" i="65"/>
  <c r="AP306" i="65"/>
  <c r="AP233" i="65"/>
  <c r="U152" i="65"/>
  <c r="V353" i="65"/>
  <c r="AO110" i="65"/>
  <c r="U18" i="65"/>
  <c r="R131" i="65"/>
  <c r="V336" i="65"/>
  <c r="AQ107" i="65"/>
  <c r="AS239" i="65"/>
  <c r="U99" i="65"/>
  <c r="V227" i="65"/>
  <c r="AR318" i="65"/>
  <c r="V127" i="65"/>
  <c r="V72" i="65"/>
  <c r="U226" i="65"/>
  <c r="AS151" i="65"/>
  <c r="AS66" i="65"/>
  <c r="R145" i="65"/>
  <c r="AR250" i="65"/>
  <c r="AS179" i="65"/>
  <c r="V184" i="65"/>
  <c r="R305" i="65"/>
  <c r="V191" i="65"/>
  <c r="V98" i="65"/>
  <c r="AO176" i="65"/>
  <c r="AO116" i="65"/>
  <c r="U176" i="65"/>
  <c r="AQ218" i="65"/>
  <c r="AR60" i="65"/>
  <c r="AS240" i="65"/>
  <c r="AS150" i="65"/>
  <c r="R64" i="65"/>
  <c r="U313" i="65"/>
  <c r="U25" i="65"/>
  <c r="AS81" i="65"/>
  <c r="AR211" i="65"/>
  <c r="AS285" i="65"/>
  <c r="R96" i="65"/>
  <c r="U74" i="65"/>
  <c r="U298" i="65"/>
  <c r="V259" i="65"/>
  <c r="V183" i="65"/>
  <c r="AR5" i="65"/>
  <c r="AS108" i="65"/>
  <c r="AP15" i="65"/>
  <c r="U231" i="65"/>
  <c r="AS177" i="65"/>
  <c r="AO243" i="65"/>
  <c r="V310" i="65"/>
  <c r="AP242" i="65"/>
  <c r="V311" i="65"/>
  <c r="R76" i="65"/>
  <c r="AS149" i="65"/>
  <c r="AO297" i="65"/>
  <c r="V147" i="65"/>
  <c r="V130" i="65"/>
  <c r="AS53" i="65"/>
  <c r="AS312" i="65"/>
  <c r="V145" i="65"/>
  <c r="AS314" i="65"/>
  <c r="V144" i="65"/>
  <c r="AQ88" i="65"/>
  <c r="AR10" i="65"/>
  <c r="V214" i="65"/>
  <c r="R124" i="65"/>
  <c r="U115" i="65"/>
  <c r="U8" i="65"/>
  <c r="AR334" i="65"/>
  <c r="AP266" i="65"/>
  <c r="U299" i="65"/>
  <c r="AS303" i="65"/>
  <c r="AS22" i="65"/>
  <c r="V261" i="65"/>
  <c r="U183" i="65"/>
  <c r="AS215" i="65"/>
  <c r="U224" i="65"/>
  <c r="U289" i="65"/>
  <c r="U354" i="65"/>
  <c r="AO171" i="65"/>
  <c r="AO42" i="65"/>
  <c r="V329" i="65"/>
  <c r="AO98" i="65"/>
  <c r="R203" i="65"/>
  <c r="R105" i="65"/>
  <c r="AS264" i="65"/>
  <c r="U151" i="65"/>
  <c r="AS198" i="65"/>
  <c r="AO209" i="65"/>
  <c r="AS16" i="65"/>
  <c r="AR324" i="65"/>
  <c r="AQ183" i="65"/>
  <c r="AR308" i="65"/>
  <c r="R348" i="65"/>
  <c r="AR80" i="65"/>
  <c r="R48" i="65"/>
  <c r="AO150" i="65"/>
  <c r="U143" i="65"/>
  <c r="AO8" i="65"/>
  <c r="V128" i="65"/>
  <c r="AO80" i="65"/>
  <c r="R52" i="65"/>
  <c r="R106" i="65"/>
  <c r="AP301" i="65"/>
  <c r="AO83" i="65"/>
  <c r="AO19" i="65"/>
  <c r="R206" i="65"/>
  <c r="AO247" i="65"/>
  <c r="R249" i="65"/>
  <c r="V287" i="65"/>
  <c r="AO340" i="65"/>
  <c r="R148" i="65"/>
  <c r="R227" i="65"/>
  <c r="V328" i="65"/>
  <c r="AR155" i="65"/>
  <c r="AO238" i="65"/>
  <c r="AQ24" i="65"/>
  <c r="AO224" i="65"/>
  <c r="R134" i="65"/>
  <c r="AO68" i="65"/>
  <c r="AQ85" i="65"/>
  <c r="V273" i="65"/>
  <c r="AS252" i="65"/>
  <c r="AS309" i="65"/>
  <c r="AP80" i="65"/>
  <c r="R163" i="65"/>
  <c r="AS52" i="65"/>
  <c r="AS63" i="65"/>
  <c r="AR214" i="65"/>
  <c r="AQ98" i="65"/>
  <c r="R95" i="65"/>
  <c r="AS327" i="65"/>
  <c r="R303" i="65"/>
  <c r="R318" i="65"/>
  <c r="AO180" i="65"/>
  <c r="AO235" i="65"/>
  <c r="AS190" i="65"/>
  <c r="AO331" i="65"/>
  <c r="R60" i="65"/>
  <c r="AQ247" i="65"/>
  <c r="AR158" i="65"/>
  <c r="AQ354" i="65"/>
  <c r="AO345" i="65"/>
  <c r="AR91" i="65"/>
  <c r="AR260" i="65"/>
  <c r="AR186" i="65"/>
  <c r="AQ194" i="65"/>
  <c r="AR101" i="65"/>
  <c r="AP40" i="65"/>
  <c r="AS110" i="65"/>
  <c r="R336" i="65"/>
  <c r="R9" i="65"/>
  <c r="AS102" i="65"/>
  <c r="AS30" i="65"/>
  <c r="AO205" i="65"/>
  <c r="AR126" i="65"/>
  <c r="AP267" i="65"/>
  <c r="R358" i="65"/>
  <c r="AO204" i="65"/>
  <c r="AQ316" i="65"/>
  <c r="V117" i="65"/>
  <c r="AR273" i="65"/>
  <c r="U46" i="65"/>
  <c r="V197" i="65"/>
  <c r="AQ212" i="65"/>
  <c r="AQ232" i="65"/>
  <c r="U53" i="65"/>
  <c r="AP205" i="65"/>
  <c r="U237" i="65"/>
  <c r="AP150" i="65"/>
  <c r="V14" i="65"/>
  <c r="AR328" i="65"/>
  <c r="V181" i="65"/>
  <c r="AP170" i="65"/>
  <c r="U134" i="65"/>
  <c r="AQ264" i="65"/>
  <c r="AS25" i="65"/>
  <c r="U295" i="65"/>
  <c r="AS154" i="65"/>
  <c r="U250" i="65"/>
  <c r="U204" i="65"/>
  <c r="AR255" i="65"/>
  <c r="AS336" i="65"/>
  <c r="AQ28" i="65"/>
  <c r="U221" i="65"/>
  <c r="U254" i="65"/>
  <c r="R7" i="65"/>
  <c r="AO217" i="65"/>
  <c r="R85" i="65"/>
  <c r="V90" i="65"/>
  <c r="AQ53" i="65"/>
  <c r="U277" i="65"/>
  <c r="AP49" i="65"/>
  <c r="AP332" i="65"/>
  <c r="V350" i="65"/>
  <c r="AR18" i="65"/>
  <c r="AP48" i="65"/>
  <c r="R139" i="65"/>
  <c r="U332" i="65"/>
  <c r="AS329" i="65"/>
  <c r="AQ245" i="65"/>
  <c r="R17" i="65"/>
  <c r="R300" i="65"/>
  <c r="U6" i="65"/>
  <c r="AO170" i="65"/>
  <c r="AO294" i="65"/>
  <c r="R278" i="65"/>
  <c r="V103" i="65"/>
  <c r="AR76" i="65"/>
  <c r="R280" i="65"/>
  <c r="AP257" i="65"/>
  <c r="AS80" i="65"/>
  <c r="AS342" i="65"/>
  <c r="R223" i="65"/>
  <c r="R243" i="65"/>
  <c r="AQ105" i="65"/>
  <c r="AP138" i="65"/>
  <c r="AP286" i="65"/>
  <c r="U290" i="65"/>
  <c r="R137" i="65"/>
  <c r="V74" i="65"/>
  <c r="AQ90" i="65"/>
  <c r="AS95" i="65"/>
  <c r="AS304" i="65"/>
  <c r="AR61" i="65"/>
  <c r="AS217" i="65"/>
  <c r="AO46" i="65"/>
  <c r="R170" i="65"/>
  <c r="R179" i="65"/>
  <c r="AO153" i="65"/>
  <c r="AQ47" i="65"/>
  <c r="AR21" i="65"/>
  <c r="U309" i="65"/>
  <c r="R15" i="65"/>
  <c r="AP17" i="65"/>
  <c r="V249" i="65"/>
  <c r="AS253" i="65"/>
  <c r="AO286" i="65"/>
  <c r="AS64" i="65"/>
  <c r="AQ184" i="65"/>
  <c r="AR64" i="65"/>
  <c r="AS182" i="65"/>
  <c r="AO357" i="65"/>
  <c r="AS346" i="65"/>
  <c r="AO30" i="65"/>
  <c r="AQ357" i="65"/>
  <c r="AP196" i="65"/>
  <c r="AR35" i="65"/>
  <c r="R143" i="65"/>
  <c r="AP302" i="65"/>
  <c r="AP238" i="65"/>
  <c r="AQ353" i="65"/>
  <c r="AP327" i="65"/>
  <c r="AQ25" i="65"/>
  <c r="AO36" i="65"/>
  <c r="AP252" i="65"/>
  <c r="AQ21" i="65"/>
  <c r="AP112" i="65"/>
  <c r="AQ286" i="65"/>
  <c r="AP103" i="65"/>
  <c r="AS132" i="65"/>
  <c r="AO168" i="65"/>
  <c r="R136" i="65"/>
  <c r="AP36" i="65"/>
  <c r="AS286" i="65"/>
  <c r="AO268" i="65"/>
  <c r="AO24" i="65"/>
  <c r="AS111" i="65"/>
  <c r="AP357" i="65"/>
  <c r="AR157" i="65"/>
  <c r="U67" i="65"/>
  <c r="U265" i="65"/>
  <c r="AP183" i="65"/>
  <c r="V359" i="65"/>
  <c r="AS224" i="65"/>
  <c r="V182" i="65"/>
  <c r="V269" i="65"/>
  <c r="AO213" i="65"/>
  <c r="AS7" i="65"/>
  <c r="AP198" i="65"/>
  <c r="U45" i="65"/>
  <c r="R282" i="65"/>
  <c r="V190" i="65"/>
  <c r="V110" i="65"/>
  <c r="AR300" i="65"/>
  <c r="U179" i="65"/>
  <c r="R271" i="65"/>
  <c r="AO194" i="65"/>
  <c r="AO227" i="65"/>
  <c r="AP35" i="65"/>
  <c r="R314" i="65"/>
  <c r="AP350" i="65"/>
  <c r="V113" i="65"/>
  <c r="V202" i="65"/>
  <c r="V70" i="65"/>
  <c r="R247" i="65"/>
  <c r="AR107" i="65"/>
  <c r="AS276" i="65"/>
  <c r="U341" i="65"/>
  <c r="V146" i="65"/>
  <c r="AS194" i="65"/>
  <c r="V246" i="65"/>
  <c r="AS293" i="65"/>
  <c r="AQ221" i="65"/>
  <c r="U206" i="65"/>
  <c r="AP328" i="65"/>
  <c r="V80" i="65"/>
  <c r="U276" i="65"/>
  <c r="U355" i="65"/>
  <c r="AP303" i="65"/>
  <c r="V291" i="65"/>
  <c r="U59" i="65"/>
  <c r="U229" i="65"/>
  <c r="R183" i="65"/>
  <c r="AQ255" i="65"/>
  <c r="R261" i="65"/>
  <c r="AP248" i="65"/>
  <c r="R165" i="65"/>
  <c r="AO342" i="65"/>
  <c r="U319" i="65"/>
  <c r="U260" i="65"/>
  <c r="AQ151" i="65"/>
  <c r="AP87" i="65"/>
  <c r="AO141" i="65"/>
  <c r="V120" i="65"/>
  <c r="V29" i="65"/>
  <c r="AS352" i="65"/>
  <c r="AO260" i="65"/>
  <c r="R304" i="65"/>
  <c r="AS85" i="65"/>
  <c r="AP89" i="65"/>
  <c r="AP168" i="65"/>
  <c r="AS78" i="65"/>
  <c r="AS233" i="65"/>
  <c r="AR55" i="65"/>
  <c r="V356" i="65"/>
  <c r="U186" i="65"/>
  <c r="AR176" i="65"/>
  <c r="V150" i="65"/>
  <c r="AO6" i="65"/>
  <c r="AR167" i="65"/>
  <c r="AP184" i="65"/>
  <c r="AR72" i="65"/>
  <c r="AO65" i="65"/>
  <c r="AP355" i="65"/>
  <c r="AR224" i="65"/>
  <c r="V286" i="65"/>
  <c r="AR109" i="65"/>
  <c r="AP24" i="65"/>
  <c r="AP277" i="65"/>
  <c r="AS197" i="65"/>
  <c r="AQ319" i="65"/>
  <c r="AQ80" i="65"/>
  <c r="AQ72" i="65"/>
  <c r="R193" i="65"/>
  <c r="AR359" i="65"/>
  <c r="AP182" i="65"/>
  <c r="U199" i="65"/>
  <c r="AP236" i="65"/>
  <c r="AS295" i="65"/>
  <c r="AQ74" i="65"/>
  <c r="R172" i="65"/>
  <c r="AQ337" i="65"/>
  <c r="R69" i="65"/>
  <c r="AQ291" i="65"/>
  <c r="R38" i="65"/>
  <c r="AP136" i="65"/>
  <c r="AQ118" i="65"/>
  <c r="AR43" i="65"/>
  <c r="AP297" i="65"/>
  <c r="AP43" i="65"/>
  <c r="AO211" i="65"/>
  <c r="AS282" i="65"/>
  <c r="AR330" i="65"/>
  <c r="AQ312" i="65"/>
  <c r="AQ17" i="65"/>
  <c r="R151" i="65"/>
  <c r="AR136" i="65"/>
  <c r="AO143" i="65"/>
  <c r="AR123" i="65"/>
  <c r="AS174" i="65"/>
  <c r="AR73" i="65"/>
  <c r="AR295" i="65"/>
  <c r="AP140" i="65"/>
  <c r="AQ200" i="65"/>
  <c r="AO94" i="65"/>
  <c r="AQ77" i="65"/>
  <c r="AR237" i="65"/>
  <c r="AQ268" i="65"/>
  <c r="AO201" i="65"/>
  <c r="V204" i="65"/>
  <c r="V323" i="65"/>
  <c r="AP361" i="65"/>
  <c r="R262" i="65"/>
  <c r="AR49" i="65"/>
  <c r="V293" i="65"/>
  <c r="AQ342" i="65"/>
  <c r="U322" i="65"/>
  <c r="U248" i="65"/>
  <c r="AP107" i="65"/>
  <c r="U162" i="65"/>
  <c r="V361" i="65"/>
  <c r="AO177" i="65"/>
  <c r="AR11" i="65"/>
  <c r="AR283" i="65"/>
  <c r="U297" i="65"/>
  <c r="AP90" i="65"/>
  <c r="V254" i="65"/>
  <c r="U13" i="65"/>
  <c r="AR39" i="65"/>
  <c r="AO261" i="65"/>
  <c r="AP190" i="65"/>
  <c r="AS199" i="65"/>
  <c r="AP176" i="65"/>
  <c r="V51" i="65"/>
  <c r="U114" i="65"/>
  <c r="AQ229" i="65"/>
  <c r="U111" i="65"/>
  <c r="U308" i="65"/>
  <c r="V215" i="65"/>
  <c r="AO216" i="65"/>
  <c r="R66" i="65"/>
  <c r="AR152" i="65"/>
  <c r="AR86" i="65"/>
  <c r="AR245" i="65"/>
  <c r="V338" i="65"/>
  <c r="AS291" i="65"/>
  <c r="V340" i="65"/>
  <c r="U109" i="65"/>
  <c r="V43" i="65"/>
  <c r="AP268" i="65"/>
  <c r="AR249" i="65"/>
  <c r="U178" i="65"/>
  <c r="AO186" i="65"/>
  <c r="V343" i="65"/>
  <c r="V347" i="65"/>
  <c r="AP46" i="65"/>
  <c r="AQ209" i="65"/>
  <c r="AO202" i="65"/>
  <c r="AP165" i="65"/>
  <c r="AO354" i="65"/>
  <c r="AS225" i="65"/>
  <c r="AR354" i="65"/>
  <c r="R62" i="65"/>
  <c r="AS212" i="65"/>
  <c r="U278" i="65"/>
  <c r="U359" i="65"/>
  <c r="U89" i="65"/>
  <c r="AP158" i="65"/>
  <c r="AS103" i="65"/>
  <c r="AP61" i="65"/>
  <c r="R83" i="65"/>
  <c r="AP75" i="65"/>
  <c r="AP324" i="65"/>
  <c r="U340" i="65"/>
  <c r="AS266" i="65"/>
  <c r="AR96" i="65"/>
  <c r="AQ349" i="65"/>
  <c r="AS59" i="65"/>
  <c r="AO255" i="65"/>
  <c r="AR254" i="65"/>
  <c r="V125" i="65"/>
  <c r="AR284" i="65"/>
  <c r="AP272" i="65"/>
  <c r="V189" i="65"/>
  <c r="AO348" i="65"/>
  <c r="AP181" i="65"/>
  <c r="AR291" i="65"/>
  <c r="AQ282" i="65"/>
  <c r="AR52" i="65"/>
  <c r="AO362" i="65"/>
  <c r="R12" i="65"/>
  <c r="AQ9" i="65"/>
  <c r="AQ13" i="65"/>
  <c r="R138" i="65"/>
  <c r="AP338" i="65"/>
  <c r="AR189" i="65"/>
  <c r="AR197" i="65"/>
  <c r="AQ92" i="65"/>
  <c r="R331" i="65"/>
  <c r="AQ14" i="65"/>
  <c r="AQ99" i="65"/>
  <c r="AO332" i="65"/>
  <c r="AS172" i="65"/>
  <c r="AO251" i="65"/>
  <c r="AR22" i="65"/>
  <c r="AR8" i="65"/>
  <c r="AR110" i="65"/>
  <c r="AS265" i="65"/>
  <c r="AO304" i="65"/>
  <c r="AR293" i="65"/>
  <c r="AO288" i="65"/>
  <c r="AP132" i="65"/>
  <c r="AS129" i="65"/>
  <c r="AQ317" i="65"/>
  <c r="R155" i="65"/>
  <c r="AQ179" i="65"/>
  <c r="AR289" i="65"/>
  <c r="AO192" i="65"/>
  <c r="V57" i="65"/>
  <c r="AR82" i="65"/>
  <c r="AS228" i="65"/>
  <c r="AO32" i="65"/>
  <c r="AR182" i="65"/>
  <c r="AS60" i="65"/>
  <c r="AP224" i="65"/>
  <c r="AO70" i="65"/>
  <c r="AO51" i="65"/>
  <c r="AR344" i="65"/>
  <c r="AQ277" i="65"/>
  <c r="AQ167" i="65"/>
  <c r="AR363" i="65"/>
  <c r="AQ31" i="65"/>
  <c r="AP354" i="65"/>
  <c r="R29" i="65"/>
  <c r="AR294" i="65"/>
  <c r="AQ136" i="65"/>
  <c r="R274" i="65"/>
  <c r="AS147" i="65"/>
  <c r="R221" i="65"/>
  <c r="AP192" i="65"/>
  <c r="AO146" i="65"/>
  <c r="AS69" i="65"/>
  <c r="AP215" i="65"/>
  <c r="AP41" i="65"/>
  <c r="AR124" i="65"/>
  <c r="AS335" i="65"/>
  <c r="AO73" i="65"/>
  <c r="AR238" i="65"/>
  <c r="AP310" i="65"/>
  <c r="U166" i="65"/>
  <c r="U171" i="65"/>
  <c r="AP98" i="65"/>
  <c r="U247" i="65"/>
  <c r="AP330" i="65"/>
  <c r="AS184" i="65"/>
  <c r="AQ324" i="65"/>
  <c r="V341" i="65"/>
  <c r="AQ262" i="65"/>
  <c r="AO137" i="65"/>
  <c r="AQ214" i="65"/>
  <c r="U161" i="65"/>
  <c r="U42" i="65"/>
  <c r="R152" i="65"/>
  <c r="U218" i="65"/>
  <c r="AP343" i="65"/>
  <c r="U349" i="65"/>
  <c r="U120" i="65"/>
  <c r="AR316" i="65"/>
  <c r="U7" i="65"/>
  <c r="AO161" i="65"/>
  <c r="AP129" i="65"/>
  <c r="AO135" i="65"/>
  <c r="U14" i="65"/>
  <c r="AR174" i="65"/>
  <c r="U262" i="65"/>
  <c r="V245" i="65"/>
  <c r="AQ76" i="65"/>
  <c r="R63" i="65"/>
  <c r="R212" i="65"/>
  <c r="R146" i="65"/>
  <c r="R130" i="65"/>
  <c r="AO359" i="65"/>
  <c r="AO25" i="65"/>
  <c r="R102" i="65"/>
  <c r="AQ173" i="65"/>
  <c r="AQ320" i="65"/>
  <c r="AS232" i="65"/>
  <c r="U187" i="65"/>
  <c r="U274" i="65"/>
  <c r="AQ228" i="65"/>
  <c r="AP28" i="65"/>
  <c r="V116" i="65"/>
  <c r="U345" i="65"/>
  <c r="R70" i="65"/>
  <c r="R8" i="65"/>
  <c r="AQ51" i="65"/>
  <c r="AR286" i="65"/>
  <c r="AQ293" i="65"/>
  <c r="AS104" i="65"/>
  <c r="AS28" i="65"/>
  <c r="R59" i="65"/>
  <c r="AS187" i="65"/>
  <c r="AR218" i="65"/>
  <c r="V76" i="65"/>
  <c r="AO319" i="65"/>
  <c r="AS191" i="65"/>
  <c r="V216" i="65"/>
  <c r="AP225" i="65"/>
  <c r="AP240" i="65"/>
  <c r="AP188" i="65"/>
  <c r="AO152" i="65"/>
  <c r="AP179" i="65"/>
  <c r="AS333" i="65"/>
  <c r="R88" i="65"/>
  <c r="V231" i="65"/>
  <c r="AQ78" i="65"/>
  <c r="AP155" i="65"/>
  <c r="R324" i="65"/>
  <c r="AP321" i="65"/>
  <c r="AO96" i="65"/>
  <c r="U344" i="65"/>
  <c r="AO127" i="65"/>
  <c r="AO199" i="65"/>
  <c r="AQ169" i="65"/>
  <c r="AO154" i="65"/>
  <c r="AQ266" i="65"/>
  <c r="AO272" i="65"/>
  <c r="AR67" i="65"/>
  <c r="R354" i="65"/>
  <c r="AP195" i="65"/>
  <c r="AO284" i="65"/>
  <c r="AR56" i="65"/>
  <c r="AS112" i="65"/>
  <c r="AP71" i="65"/>
  <c r="AO131" i="65"/>
  <c r="AQ96" i="65"/>
  <c r="R40" i="65"/>
  <c r="AS8" i="65"/>
  <c r="AO140" i="65"/>
  <c r="AR159" i="65"/>
  <c r="AQ133" i="65"/>
  <c r="AR282" i="65"/>
  <c r="AS323" i="65"/>
  <c r="AP313" i="65"/>
  <c r="AO61" i="65"/>
  <c r="AS316" i="65"/>
  <c r="AR314" i="65"/>
  <c r="AQ12" i="65"/>
  <c r="AQ204" i="65"/>
  <c r="AR116" i="65"/>
  <c r="AS118" i="65"/>
  <c r="AR306" i="65"/>
  <c r="AP186" i="65"/>
  <c r="AP69" i="65"/>
  <c r="V193" i="65"/>
  <c r="V332" i="65"/>
  <c r="AR112" i="65"/>
  <c r="AS294" i="65"/>
  <c r="AR178" i="65"/>
  <c r="AP77" i="65"/>
  <c r="R46" i="65"/>
  <c r="AO222" i="65"/>
  <c r="V54" i="65"/>
  <c r="U342" i="65"/>
  <c r="AP100" i="65"/>
  <c r="AR320" i="65"/>
  <c r="AS120" i="65"/>
  <c r="AQ125" i="65"/>
  <c r="U190" i="65"/>
  <c r="V169" i="65"/>
  <c r="R174" i="65"/>
  <c r="V46" i="65"/>
  <c r="AO334" i="65"/>
  <c r="AP62" i="65"/>
  <c r="AR311" i="65"/>
  <c r="AP254" i="65"/>
  <c r="AQ143" i="65"/>
  <c r="AR139" i="65"/>
  <c r="R104" i="65"/>
  <c r="R132" i="65"/>
  <c r="R297" i="65"/>
  <c r="R5" i="65"/>
  <c r="AP241" i="65"/>
  <c r="AR220" i="65"/>
  <c r="R167" i="65"/>
  <c r="AR217" i="65"/>
  <c r="AQ60" i="65"/>
  <c r="AQ253" i="65"/>
  <c r="AS280" i="65"/>
  <c r="R252" i="65"/>
  <c r="AO250" i="65"/>
  <c r="AS145" i="65"/>
  <c r="AS139" i="65"/>
  <c r="AS96" i="65"/>
  <c r="AP340" i="65"/>
  <c r="AR135" i="65"/>
  <c r="AR57" i="65"/>
  <c r="AO300" i="65"/>
  <c r="AQ141" i="65"/>
  <c r="AO175" i="65"/>
  <c r="AS107" i="65"/>
  <c r="AS326" i="65"/>
  <c r="AS178" i="65"/>
  <c r="AR209" i="65"/>
  <c r="AR233" i="65"/>
  <c r="AR78" i="65"/>
  <c r="AQ67" i="65"/>
  <c r="R328" i="65"/>
  <c r="AR343" i="65"/>
  <c r="R281" i="65"/>
  <c r="R133" i="65"/>
  <c r="AS356" i="65"/>
  <c r="AO262" i="65"/>
  <c r="AR122" i="65"/>
  <c r="AR161" i="65"/>
  <c r="AR223" i="65"/>
  <c r="AO181" i="65"/>
  <c r="AR169" i="65"/>
  <c r="AS124" i="65"/>
  <c r="AO28" i="65"/>
  <c r="AS26" i="65"/>
  <c r="R84" i="65"/>
  <c r="AR194" i="65"/>
  <c r="AR83" i="65"/>
  <c r="AP42" i="65"/>
  <c r="AO196" i="65"/>
  <c r="AQ119" i="65"/>
  <c r="AP157" i="65"/>
  <c r="AP258" i="65"/>
  <c r="R103" i="65"/>
  <c r="R196" i="65"/>
  <c r="AR215" i="65"/>
  <c r="AQ165" i="65"/>
  <c r="AR77" i="65"/>
  <c r="AR256" i="65"/>
  <c r="R357" i="65"/>
  <c r="AP234" i="65"/>
  <c r="AP323" i="65"/>
  <c r="AO149" i="65"/>
  <c r="R298" i="65"/>
  <c r="R313" i="65"/>
  <c r="AP31" i="65"/>
  <c r="AS269" i="65"/>
  <c r="AR347" i="65"/>
  <c r="AQ307" i="65"/>
  <c r="AQ55" i="65"/>
  <c r="AR205" i="65"/>
  <c r="AR204" i="65"/>
  <c r="AP291" i="65"/>
  <c r="AP10" i="65"/>
  <c r="AQ135" i="65"/>
  <c r="AP133" i="65"/>
  <c r="R10" i="65"/>
  <c r="AR340" i="65"/>
  <c r="AS284" i="65"/>
  <c r="AQ11" i="65"/>
  <c r="AQ329" i="65"/>
  <c r="AS90" i="65"/>
  <c r="R126" i="65"/>
  <c r="AQ206" i="65"/>
  <c r="AP270" i="65"/>
  <c r="AP70" i="65"/>
  <c r="AP67" i="65"/>
  <c r="AP25" i="65"/>
  <c r="AO90" i="65"/>
  <c r="AS44" i="65"/>
  <c r="AQ322" i="65"/>
  <c r="AP282" i="65"/>
  <c r="AP171" i="65"/>
  <c r="AR95" i="65"/>
  <c r="AR26" i="65"/>
  <c r="R316" i="65"/>
  <c r="AQ48" i="65"/>
  <c r="AO47" i="65"/>
  <c r="AR31" i="65"/>
  <c r="AO12" i="65"/>
  <c r="AR276" i="65"/>
  <c r="AQ37" i="65"/>
  <c r="AS168" i="65"/>
  <c r="AP39" i="65"/>
  <c r="R258" i="65"/>
  <c r="V283" i="65"/>
  <c r="AQ335" i="65"/>
  <c r="AR100" i="65"/>
  <c r="AO218" i="65"/>
  <c r="AP152" i="65"/>
  <c r="R339" i="65"/>
  <c r="AQ267" i="65"/>
  <c r="AO232" i="65"/>
  <c r="AS328" i="65"/>
  <c r="AQ325" i="65"/>
  <c r="AP122" i="65"/>
  <c r="AO353" i="65"/>
  <c r="AS43" i="65"/>
  <c r="AP293" i="65"/>
  <c r="V59" i="65"/>
  <c r="AR184" i="65"/>
  <c r="AS305" i="65"/>
  <c r="AS267" i="65"/>
  <c r="AO207" i="65"/>
  <c r="AR115" i="65"/>
  <c r="AP294" i="65"/>
  <c r="AS353" i="65"/>
  <c r="AR132" i="65"/>
  <c r="AP115" i="65"/>
  <c r="U361" i="65"/>
  <c r="U165" i="65"/>
  <c r="V48" i="65"/>
  <c r="AP189" i="65"/>
  <c r="R119" i="65"/>
  <c r="AO126" i="65"/>
  <c r="AP11" i="65"/>
  <c r="V309" i="65"/>
  <c r="U201" i="65"/>
  <c r="AS254" i="65"/>
  <c r="AP211" i="65"/>
  <c r="AQ75" i="65"/>
  <c r="AR71" i="65"/>
  <c r="AS230" i="65"/>
  <c r="AP47" i="65"/>
  <c r="AP79" i="65"/>
  <c r="V175" i="65"/>
  <c r="AR33" i="65"/>
  <c r="V316" i="65"/>
  <c r="V124" i="65"/>
  <c r="AP5" i="65"/>
  <c r="AP153" i="65"/>
  <c r="AR207" i="65"/>
  <c r="R111" i="65"/>
  <c r="AR234" i="65"/>
  <c r="AQ195" i="65"/>
  <c r="AQ121" i="65"/>
  <c r="AS263" i="65"/>
  <c r="AO164" i="65"/>
  <c r="AQ298" i="65"/>
  <c r="R72" i="65"/>
  <c r="AP295" i="65"/>
  <c r="AO321" i="65"/>
  <c r="AP76" i="65"/>
  <c r="AO248" i="65"/>
  <c r="AQ249" i="65"/>
  <c r="AP12" i="65"/>
  <c r="AR156" i="65"/>
  <c r="AO278" i="65"/>
  <c r="AO310" i="65"/>
  <c r="R13" i="65"/>
  <c r="R214" i="65"/>
  <c r="R266" i="65"/>
  <c r="AR183" i="65"/>
  <c r="R319" i="65"/>
  <c r="AS311" i="65"/>
  <c r="AS176" i="65"/>
  <c r="AS167" i="65"/>
  <c r="R216" i="65"/>
  <c r="AP213" i="65"/>
  <c r="R98" i="65"/>
  <c r="AS360" i="65"/>
  <c r="AP337" i="65"/>
  <c r="AS202" i="65"/>
  <c r="AQ290" i="65"/>
  <c r="U160" i="65"/>
  <c r="AQ323" i="65"/>
  <c r="R259" i="65"/>
  <c r="AP276" i="65"/>
  <c r="AP92" i="65"/>
  <c r="AQ321" i="65"/>
  <c r="R6" i="65"/>
  <c r="R204" i="65"/>
  <c r="AP141" i="65"/>
  <c r="AR32" i="65"/>
  <c r="AR63" i="65"/>
  <c r="U41" i="65"/>
  <c r="AP212" i="65"/>
  <c r="AQ326" i="65"/>
  <c r="AQ160" i="65"/>
  <c r="AR296" i="65"/>
  <c r="AP120" i="65"/>
  <c r="AO29" i="65"/>
  <c r="AS99" i="65"/>
  <c r="R347" i="65"/>
  <c r="AO234" i="65"/>
  <c r="AS306" i="65"/>
  <c r="R241" i="65"/>
  <c r="AP317" i="65"/>
  <c r="AR28" i="65"/>
  <c r="AQ106" i="65"/>
  <c r="AP101" i="65"/>
  <c r="AP33" i="65"/>
  <c r="AR106" i="65"/>
  <c r="AO306" i="65"/>
  <c r="AR180" i="65"/>
  <c r="AS24" i="65"/>
  <c r="AO223" i="65"/>
  <c r="AR219" i="65"/>
  <c r="AO273" i="65"/>
  <c r="AO112" i="65"/>
  <c r="AQ36" i="65"/>
  <c r="AO147" i="65"/>
  <c r="AQ330" i="65"/>
  <c r="AR118" i="65"/>
  <c r="R191" i="65"/>
  <c r="AR253" i="65"/>
  <c r="R120" i="65"/>
  <c r="AO142" i="65"/>
  <c r="AS173" i="65"/>
  <c r="AR44" i="65"/>
  <c r="AP290" i="65"/>
  <c r="AQ193" i="65"/>
  <c r="AQ310" i="65"/>
  <c r="AS298" i="65"/>
  <c r="AO257" i="65"/>
  <c r="AS76" i="65"/>
  <c r="AO139" i="65"/>
  <c r="AR181" i="65"/>
  <c r="AS93" i="65"/>
  <c r="AR288" i="65"/>
  <c r="AR361" i="65"/>
  <c r="R194" i="65"/>
  <c r="AO136" i="65"/>
  <c r="AP360" i="65"/>
  <c r="AQ246" i="65"/>
  <c r="AO360" i="65"/>
  <c r="AS128" i="65"/>
  <c r="AO259" i="65"/>
  <c r="AR94" i="65"/>
  <c r="AO178" i="65"/>
  <c r="AP253" i="65"/>
  <c r="AR312" i="65"/>
  <c r="AO237" i="65"/>
  <c r="AS340" i="65"/>
  <c r="R353" i="65"/>
  <c r="AR104" i="65"/>
  <c r="U138" i="65"/>
  <c r="V162" i="65"/>
  <c r="R175" i="65"/>
  <c r="U193" i="65"/>
  <c r="AO16" i="65"/>
  <c r="R329" i="65"/>
  <c r="AS236" i="65"/>
  <c r="R142" i="65"/>
  <c r="AP137" i="65"/>
  <c r="AQ124" i="65"/>
  <c r="AQ238" i="65"/>
  <c r="R161" i="65"/>
  <c r="AP245" i="65"/>
  <c r="V96" i="65"/>
  <c r="AR360" i="65"/>
  <c r="V131" i="65"/>
  <c r="U302" i="65"/>
  <c r="AQ41" i="65"/>
  <c r="AP206" i="65"/>
  <c r="AS299" i="65"/>
  <c r="AR200" i="65"/>
  <c r="AS361" i="65"/>
  <c r="AO210" i="65"/>
  <c r="AO49" i="65"/>
  <c r="R89" i="65"/>
  <c r="V281" i="65"/>
  <c r="AO266" i="65"/>
  <c r="AQ156" i="65"/>
  <c r="AS357" i="65"/>
  <c r="R210" i="65"/>
  <c r="AP298" i="65"/>
  <c r="R100" i="65"/>
  <c r="R147" i="65"/>
  <c r="AS94" i="65"/>
  <c r="AO289" i="65"/>
  <c r="AS332" i="65"/>
  <c r="R299" i="65"/>
  <c r="AR228" i="65"/>
  <c r="AR79" i="65"/>
  <c r="AQ224" i="65"/>
  <c r="AS171" i="65"/>
  <c r="AS222" i="65"/>
  <c r="AQ150" i="65"/>
  <c r="AQ203" i="65"/>
  <c r="AQ333" i="65"/>
  <c r="AO79" i="65"/>
  <c r="AQ63" i="65"/>
  <c r="AQ198" i="65"/>
  <c r="AO190" i="65"/>
  <c r="AR307" i="65"/>
  <c r="AR299" i="65"/>
  <c r="AQ32" i="65"/>
  <c r="AP110" i="65"/>
  <c r="AQ265" i="65"/>
  <c r="R184" i="65"/>
  <c r="AP160" i="65"/>
  <c r="AS257" i="65"/>
  <c r="AR58" i="65"/>
  <c r="AP143" i="65"/>
  <c r="AQ26" i="65"/>
  <c r="AR267" i="65"/>
  <c r="AP59" i="65"/>
  <c r="AP118" i="65"/>
  <c r="AR342" i="65"/>
  <c r="R272" i="65"/>
  <c r="AP239" i="65"/>
  <c r="AP311" i="65"/>
  <c r="AO100" i="65"/>
  <c r="AP216" i="65"/>
  <c r="AQ313" i="65"/>
  <c r="AQ186" i="65"/>
  <c r="AO316" i="65"/>
  <c r="AS251" i="65"/>
  <c r="AR131" i="65"/>
  <c r="AO195" i="65"/>
  <c r="R182" i="65"/>
  <c r="AO311" i="65"/>
  <c r="AS260" i="65"/>
  <c r="AQ64" i="65"/>
  <c r="AR206" i="65"/>
  <c r="AO197" i="65"/>
  <c r="AS218" i="65"/>
  <c r="AO191" i="65"/>
  <c r="AR236" i="65"/>
  <c r="AR221" i="65"/>
  <c r="R166" i="65"/>
  <c r="AS324" i="65"/>
  <c r="AP289" i="65"/>
  <c r="AO103" i="65"/>
  <c r="AS68" i="65"/>
  <c r="AO229" i="65"/>
  <c r="AR302" i="65"/>
  <c r="AO99" i="65"/>
  <c r="AS315" i="65"/>
  <c r="AR102" i="65"/>
  <c r="AP148" i="65"/>
  <c r="AP174" i="65"/>
  <c r="AS216" i="65"/>
  <c r="AQ314" i="65"/>
  <c r="AO106" i="65"/>
  <c r="AR34" i="65"/>
  <c r="AP21" i="65"/>
  <c r="R251" i="65"/>
  <c r="AS320" i="65"/>
  <c r="AP275" i="65"/>
  <c r="AS330" i="65"/>
  <c r="AR137" i="65"/>
  <c r="AQ242" i="65"/>
  <c r="AO129" i="65"/>
  <c r="AO81" i="65"/>
  <c r="AR146" i="65"/>
  <c r="AR309" i="65"/>
  <c r="R343" i="65"/>
  <c r="AP214" i="65"/>
  <c r="AQ112" i="65"/>
  <c r="AO38" i="65"/>
  <c r="AP197" i="65"/>
  <c r="R256" i="65"/>
  <c r="AS243" i="65"/>
  <c r="AR305" i="65"/>
  <c r="AS74" i="65"/>
  <c r="AQ152" i="65"/>
  <c r="AO242" i="65"/>
  <c r="AR30" i="65"/>
  <c r="R321" i="65"/>
  <c r="AO174" i="65"/>
  <c r="AP191" i="65"/>
  <c r="AQ163" i="65"/>
  <c r="AS138" i="65"/>
  <c r="R35" i="65"/>
  <c r="AQ222" i="65"/>
  <c r="AR153" i="65"/>
  <c r="AS247" i="65"/>
  <c r="AP329" i="65"/>
  <c r="AR355" i="65"/>
  <c r="AO166" i="65"/>
  <c r="AP304" i="65"/>
  <c r="R159" i="65"/>
  <c r="AS141" i="65"/>
  <c r="AQ62" i="65"/>
  <c r="AP274" i="65"/>
  <c r="AR15" i="65"/>
  <c r="V299" i="65"/>
  <c r="V228" i="65"/>
  <c r="AP284" i="65"/>
  <c r="AR133" i="65"/>
  <c r="AQ116" i="65"/>
  <c r="AO305" i="65"/>
  <c r="AO60" i="65"/>
  <c r="AO264" i="65"/>
  <c r="AO58" i="65"/>
  <c r="AQ191" i="65"/>
  <c r="U210" i="65"/>
  <c r="AO233" i="65"/>
  <c r="AQ178" i="65"/>
  <c r="AR281" i="65"/>
  <c r="AR317" i="65"/>
  <c r="R236" i="65"/>
  <c r="R107" i="65"/>
  <c r="AQ137" i="65"/>
  <c r="R310" i="65"/>
  <c r="R11" i="65"/>
  <c r="AQ73" i="65"/>
  <c r="AO188" i="65"/>
  <c r="U142" i="65"/>
  <c r="R217" i="65"/>
  <c r="U338" i="65"/>
  <c r="U94" i="65"/>
  <c r="V288" i="65"/>
  <c r="AR303" i="65"/>
  <c r="AS341" i="65"/>
  <c r="R222" i="65"/>
  <c r="AS142" i="65"/>
  <c r="R218" i="65"/>
  <c r="AR201" i="65"/>
  <c r="AO145" i="65"/>
  <c r="AQ254" i="65"/>
  <c r="AP262" i="65"/>
  <c r="AP180" i="65"/>
  <c r="AQ328" i="65"/>
  <c r="R351" i="65"/>
  <c r="AP221" i="65"/>
  <c r="AQ101" i="65"/>
  <c r="R185" i="65"/>
  <c r="R268" i="65"/>
  <c r="AQ338" i="65"/>
  <c r="AO338" i="65"/>
  <c r="AO86" i="65"/>
  <c r="AQ250" i="65"/>
  <c r="AO17" i="65"/>
  <c r="AS9" i="65"/>
  <c r="AP269" i="65"/>
  <c r="AP34" i="65"/>
  <c r="AQ155" i="65"/>
  <c r="AS35" i="65"/>
  <c r="AS355" i="65"/>
  <c r="AS73" i="65"/>
  <c r="R121" i="65"/>
  <c r="R39" i="65"/>
  <c r="AQ33" i="65"/>
  <c r="AO206" i="65"/>
  <c r="AR358" i="65"/>
  <c r="R97" i="65"/>
  <c r="AR19" i="65"/>
  <c r="AS41" i="65"/>
  <c r="AQ356" i="65"/>
  <c r="AS350" i="65"/>
  <c r="AQ66" i="65"/>
  <c r="R200" i="65"/>
  <c r="AQ345" i="65"/>
  <c r="R122" i="65"/>
  <c r="AO282" i="65"/>
  <c r="AO13" i="65"/>
  <c r="AR92" i="65"/>
  <c r="R334" i="65"/>
  <c r="R80" i="65"/>
  <c r="AP218" i="65"/>
  <c r="AR127" i="65"/>
  <c r="AR24" i="65"/>
  <c r="AO92" i="65"/>
  <c r="R171" i="65"/>
  <c r="AQ142" i="65"/>
  <c r="AO158" i="65"/>
  <c r="AQ244" i="65"/>
  <c r="AQ57" i="65"/>
  <c r="AS358" i="65"/>
  <c r="AQ126" i="65"/>
  <c r="AQ297" i="65"/>
  <c r="R292" i="65"/>
  <c r="AP259" i="65"/>
  <c r="AS321" i="65"/>
  <c r="AS162" i="65"/>
  <c r="AO214" i="65"/>
  <c r="AP265" i="65"/>
  <c r="AO119" i="65"/>
  <c r="AO312" i="65"/>
  <c r="AO263" i="65"/>
  <c r="AP30" i="65"/>
  <c r="AS97" i="65"/>
  <c r="R24" i="65"/>
  <c r="AQ207" i="65"/>
  <c r="R82" i="65"/>
  <c r="AS359" i="65"/>
  <c r="AR213" i="65"/>
  <c r="AO59" i="65"/>
  <c r="AO33" i="65"/>
  <c r="AO200" i="65"/>
  <c r="AQ19" i="65"/>
  <c r="AS119" i="65"/>
  <c r="AO157" i="65"/>
  <c r="AQ34" i="65"/>
  <c r="AR7" i="65"/>
  <c r="AS105" i="65"/>
  <c r="AS250" i="65"/>
  <c r="R47" i="65"/>
  <c r="AS235" i="65"/>
  <c r="AR162" i="65"/>
  <c r="AP37" i="65"/>
  <c r="R178" i="65"/>
  <c r="R177" i="65"/>
  <c r="AP185" i="65"/>
  <c r="AR41" i="65"/>
  <c r="AO111" i="65"/>
  <c r="AQ147" i="65"/>
  <c r="R359" i="65"/>
  <c r="R237" i="65"/>
  <c r="R20" i="65"/>
  <c r="AP167" i="65"/>
  <c r="AQ132" i="65"/>
  <c r="AO303" i="65"/>
  <c r="AP4" i="65"/>
  <c r="AO244" i="65"/>
  <c r="AS67" i="65"/>
  <c r="AQ358" i="65"/>
  <c r="AP251" i="65"/>
  <c r="AQ130" i="65"/>
  <c r="AP175" i="65"/>
  <c r="AQ275" i="65"/>
  <c r="AR172" i="65"/>
  <c r="AS277" i="65"/>
  <c r="AQ327" i="65"/>
  <c r="R114" i="65"/>
  <c r="AR202" i="65"/>
  <c r="AQ347" i="65"/>
  <c r="AQ260" i="65"/>
  <c r="AO193" i="65"/>
  <c r="AP203" i="65"/>
  <c r="AR99" i="65"/>
  <c r="AQ243" i="65"/>
  <c r="AP99" i="65"/>
  <c r="AS281" i="65"/>
  <c r="R315" i="65"/>
  <c r="AO18" i="65"/>
  <c r="AP235" i="65"/>
  <c r="AQ276" i="65"/>
  <c r="AS322" i="65"/>
  <c r="AQ346" i="65"/>
  <c r="R263" i="65"/>
  <c r="AR241" i="65"/>
  <c r="AS71" i="65"/>
  <c r="AQ10" i="65"/>
  <c r="AP45" i="65"/>
  <c r="AR53" i="65"/>
  <c r="AR336" i="65"/>
  <c r="AO105" i="65"/>
  <c r="AO270" i="65"/>
  <c r="AQ359" i="65"/>
  <c r="AR301" i="65"/>
  <c r="AR149" i="65"/>
  <c r="AP26" i="65"/>
  <c r="AR339" i="65"/>
  <c r="R250" i="65"/>
  <c r="R118" i="65"/>
  <c r="AR292" i="65"/>
  <c r="AR190" i="65"/>
  <c r="AQ181" i="65"/>
  <c r="R344" i="65"/>
  <c r="R248" i="65"/>
  <c r="AR47" i="65"/>
  <c r="AR65" i="65"/>
  <c r="R277" i="65"/>
  <c r="AO323" i="65"/>
  <c r="AS206" i="65"/>
  <c r="AO21" i="65"/>
  <c r="AO40" i="65"/>
  <c r="AS325" i="65"/>
  <c r="AS347" i="65"/>
  <c r="AQ300" i="65"/>
  <c r="AO324" i="65"/>
  <c r="AO355" i="65"/>
  <c r="AP223" i="65"/>
  <c r="R349" i="65"/>
  <c r="R77" i="65"/>
  <c r="R209" i="65"/>
  <c r="AR62" i="65"/>
  <c r="AP8" i="65"/>
  <c r="AS292" i="65"/>
  <c r="AO299" i="65"/>
  <c r="AR160" i="65"/>
  <c r="R285" i="65"/>
  <c r="AQ343" i="65"/>
  <c r="AS157" i="65"/>
  <c r="AR229" i="65"/>
  <c r="R129" i="65"/>
  <c r="AO271" i="65"/>
  <c r="AS87" i="65"/>
  <c r="AS339" i="65"/>
  <c r="R141" i="65"/>
  <c r="AP91" i="65"/>
  <c r="AQ294" i="65"/>
  <c r="AQ91" i="65"/>
  <c r="AQ281" i="65"/>
  <c r="AR17" i="65"/>
  <c r="AQ129" i="65"/>
  <c r="AP29" i="65"/>
  <c r="AQ295" i="65"/>
  <c r="AR335" i="65"/>
  <c r="AR9" i="65"/>
  <c r="R19" i="65"/>
  <c r="AP320" i="65"/>
  <c r="R244" i="65"/>
  <c r="AR338" i="65"/>
  <c r="AR185" i="65"/>
  <c r="R245" i="65"/>
  <c r="AQ154" i="65"/>
  <c r="R51" i="65"/>
  <c r="AS134" i="65"/>
  <c r="AR70" i="65"/>
  <c r="R228" i="65"/>
  <c r="R295" i="65"/>
  <c r="AP333" i="65"/>
  <c r="R333" i="65"/>
  <c r="AR252" i="65"/>
  <c r="AS100" i="65"/>
  <c r="AS88" i="65"/>
  <c r="AS262" i="65"/>
  <c r="AQ158" i="65"/>
  <c r="R232" i="65"/>
  <c r="R239" i="65"/>
  <c r="AQ284" i="65"/>
  <c r="AO352" i="65"/>
  <c r="AS55" i="65"/>
  <c r="AP349" i="65"/>
  <c r="AO118" i="65"/>
  <c r="AS363" i="65"/>
  <c r="AR54" i="65"/>
  <c r="AO34" i="65"/>
  <c r="AS33" i="65"/>
  <c r="AQ18" i="65"/>
  <c r="AR87" i="65"/>
  <c r="AP264" i="65"/>
  <c r="R275" i="65"/>
  <c r="AP209" i="65"/>
  <c r="AS17" i="65"/>
  <c r="AQ54" i="65"/>
  <c r="AO43" i="65"/>
  <c r="AR113" i="65"/>
  <c r="AO122" i="65"/>
  <c r="AP18" i="65"/>
  <c r="AO101" i="65"/>
  <c r="AR45" i="65"/>
  <c r="AO208" i="65"/>
  <c r="AO292" i="65"/>
  <c r="AP139" i="65"/>
  <c r="R22" i="65"/>
  <c r="AS113" i="65"/>
  <c r="AP226" i="65"/>
  <c r="AO280" i="65"/>
  <c r="AO133" i="65"/>
  <c r="AS72" i="65"/>
  <c r="AR12" i="65"/>
  <c r="AQ180" i="65"/>
  <c r="AS248" i="65"/>
  <c r="AP127" i="65"/>
  <c r="AQ146" i="65"/>
  <c r="R30" i="65"/>
  <c r="AP106" i="65"/>
  <c r="AS261" i="65"/>
  <c r="AO113" i="65"/>
  <c r="AP54" i="65"/>
  <c r="AP86" i="65"/>
  <c r="AO10" i="65"/>
  <c r="AR75" i="65"/>
  <c r="AR14" i="65"/>
  <c r="AR198" i="65"/>
  <c r="AP271" i="65"/>
  <c r="AP326" i="65"/>
  <c r="AO45" i="65"/>
  <c r="AR98" i="65"/>
  <c r="AP287" i="65"/>
  <c r="AO337" i="65"/>
  <c r="AR144" i="65"/>
  <c r="AR13" i="65"/>
  <c r="AP154" i="65"/>
  <c r="R57" i="65"/>
  <c r="AP247" i="65"/>
  <c r="R226" i="65"/>
  <c r="AR319" i="65"/>
  <c r="AP334" i="65"/>
  <c r="AO159" i="65"/>
  <c r="AQ272" i="65"/>
  <c r="AS307" i="65"/>
  <c r="AO184" i="65"/>
  <c r="AO130" i="65"/>
  <c r="AQ331" i="65"/>
  <c r="AP63" i="65"/>
  <c r="AS130" i="65"/>
  <c r="AS331" i="65"/>
  <c r="AO274" i="65"/>
  <c r="AP116" i="65"/>
  <c r="AP44" i="65"/>
  <c r="AO162" i="65"/>
  <c r="AS244" i="65"/>
  <c r="AP312" i="65"/>
  <c r="AQ285" i="65"/>
  <c r="AP114" i="65"/>
  <c r="AP85" i="65"/>
  <c r="AS223" i="65"/>
  <c r="AR285" i="65"/>
  <c r="AP20" i="65"/>
  <c r="AO358" i="65"/>
  <c r="AO239" i="65"/>
  <c r="AO198" i="65"/>
  <c r="AS297" i="65"/>
  <c r="AO41" i="65"/>
  <c r="AQ20" i="65"/>
  <c r="AR120" i="65"/>
  <c r="AQ52" i="65"/>
  <c r="AP149" i="65"/>
  <c r="AR225" i="65"/>
  <c r="AS204" i="65"/>
  <c r="AR141" i="65"/>
  <c r="AQ352" i="65"/>
  <c r="AP83" i="65"/>
  <c r="AQ97" i="65"/>
  <c r="R273" i="65"/>
  <c r="AP84" i="65"/>
  <c r="AR103" i="65"/>
  <c r="V148" i="65"/>
  <c r="R293" i="65"/>
  <c r="R78" i="65"/>
  <c r="AR349" i="65"/>
  <c r="R199" i="65"/>
  <c r="AP147" i="65"/>
  <c r="AO240" i="65"/>
  <c r="AR170" i="65"/>
  <c r="AO44" i="65"/>
  <c r="AP309" i="65"/>
  <c r="AQ306" i="65"/>
  <c r="R74" i="65"/>
  <c r="AP278" i="65"/>
  <c r="AR326" i="65"/>
  <c r="AP52" i="65"/>
  <c r="AO20" i="65"/>
  <c r="AP144" i="65"/>
  <c r="R345" i="65"/>
  <c r="AO82" i="65"/>
  <c r="AQ280" i="65"/>
  <c r="AS152" i="65"/>
  <c r="AS249" i="65"/>
  <c r="AR287" i="65"/>
  <c r="R36" i="65"/>
  <c r="AR251" i="65"/>
  <c r="AS275" i="65"/>
  <c r="AR51" i="65"/>
  <c r="AR179" i="65"/>
  <c r="AR244" i="65"/>
  <c r="AO293" i="65"/>
  <c r="R160" i="65"/>
  <c r="AS221" i="65"/>
  <c r="AS144" i="65"/>
  <c r="AP208" i="65"/>
  <c r="AR242" i="65"/>
  <c r="R270" i="65"/>
  <c r="AP246" i="65"/>
  <c r="R25" i="65"/>
  <c r="AS42" i="65"/>
  <c r="AP130" i="65"/>
  <c r="R58" i="65"/>
  <c r="AQ108" i="65"/>
  <c r="AP123" i="65"/>
  <c r="AO336" i="65"/>
  <c r="AP217" i="65"/>
  <c r="AP187" i="65"/>
  <c r="AQ29" i="65"/>
  <c r="AO253" i="65"/>
  <c r="AQ174" i="65"/>
  <c r="AP142" i="65"/>
  <c r="AP164" i="65"/>
  <c r="AQ299" i="65"/>
  <c r="R140" i="65"/>
  <c r="AR246" i="65"/>
  <c r="R26" i="65"/>
  <c r="AO349" i="65"/>
  <c r="AO185" i="65"/>
  <c r="AS19" i="65"/>
  <c r="AP172" i="65"/>
  <c r="AQ69" i="65"/>
  <c r="AO221" i="65"/>
  <c r="AQ148" i="65"/>
  <c r="AR275" i="65"/>
  <c r="AR332" i="65"/>
  <c r="AO120" i="65"/>
  <c r="AQ100" i="65"/>
  <c r="R117" i="65"/>
  <c r="AS56" i="65"/>
  <c r="R211" i="65"/>
  <c r="AR321" i="65"/>
  <c r="AS10" i="65"/>
  <c r="AO269" i="65"/>
  <c r="AS362" i="65"/>
  <c r="AS13" i="65"/>
  <c r="AP300" i="65"/>
  <c r="AQ211" i="65"/>
  <c r="R332" i="65"/>
  <c r="R307" i="65"/>
  <c r="AR310" i="65"/>
  <c r="R361" i="65"/>
  <c r="AO52" i="65"/>
  <c r="AS83" i="65"/>
  <c r="AP88" i="65"/>
  <c r="AQ5" i="65"/>
  <c r="AP314" i="65"/>
  <c r="AQ219" i="65"/>
  <c r="AQ102" i="65"/>
  <c r="AQ61" i="65"/>
  <c r="AR268" i="65"/>
  <c r="AS288" i="65"/>
  <c r="AP13" i="65"/>
  <c r="AO287" i="65"/>
  <c r="AO307" i="65"/>
  <c r="AO228" i="65"/>
  <c r="R37" i="65"/>
  <c r="R269" i="65"/>
  <c r="AP111" i="65"/>
  <c r="AP93" i="65"/>
  <c r="AS219" i="65"/>
  <c r="AP220" i="65"/>
  <c r="AQ109" i="65"/>
  <c r="R294" i="65"/>
  <c r="AO93" i="65"/>
  <c r="R91" i="65"/>
  <c r="AR248" i="65"/>
  <c r="AS283" i="65"/>
  <c r="AO155" i="65"/>
  <c r="AO346" i="65"/>
  <c r="R195" i="65"/>
  <c r="AS153" i="65"/>
  <c r="AR130" i="65"/>
  <c r="R309" i="65"/>
  <c r="AR348" i="65"/>
  <c r="AQ103" i="65"/>
  <c r="AS98" i="65"/>
  <c r="AO104" i="65"/>
  <c r="AQ113" i="65"/>
  <c r="R67" i="65"/>
  <c r="AO26" i="65"/>
  <c r="AR46" i="65"/>
  <c r="AS23" i="65"/>
  <c r="AQ145" i="65"/>
  <c r="AS185" i="65"/>
  <c r="AP14" i="65"/>
  <c r="AP131" i="65"/>
  <c r="AS12" i="65"/>
  <c r="AO67" i="65"/>
  <c r="AS274" i="65"/>
  <c r="AR247" i="65"/>
  <c r="AS70" i="65"/>
  <c r="AP207" i="65"/>
  <c r="AP81" i="65"/>
  <c r="AS121" i="65"/>
  <c r="AS343" i="65"/>
  <c r="AP261" i="65"/>
  <c r="R181" i="65"/>
  <c r="R94" i="65"/>
  <c r="AO108" i="65"/>
  <c r="AR134" i="65"/>
  <c r="AO291" i="65"/>
  <c r="AS210" i="65"/>
  <c r="AP109" i="65"/>
  <c r="AP9" i="65"/>
  <c r="R164" i="65"/>
  <c r="AS258" i="65"/>
  <c r="AQ58" i="65"/>
  <c r="AR333" i="65"/>
  <c r="AR272" i="65"/>
  <c r="AQ202" i="65"/>
  <c r="AR147" i="65"/>
  <c r="R350" i="65"/>
  <c r="AO144" i="65"/>
  <c r="AQ332" i="65"/>
  <c r="R34" i="65"/>
  <c r="AQ192" i="65"/>
  <c r="AR114" i="65"/>
  <c r="R231" i="65"/>
  <c r="AR352" i="65"/>
  <c r="AP288" i="65"/>
  <c r="AS39" i="65"/>
  <c r="R116" i="65"/>
  <c r="AO328" i="65"/>
  <c r="R253" i="65"/>
  <c r="R330" i="65"/>
  <c r="R327" i="65"/>
  <c r="R65" i="65"/>
  <c r="AQ30" i="65"/>
  <c r="AS117" i="65"/>
  <c r="AQ176" i="65"/>
  <c r="AR226" i="65"/>
  <c r="AR265" i="65"/>
  <c r="AQ162" i="65"/>
  <c r="AO339" i="65"/>
  <c r="AQ239" i="65"/>
  <c r="R233" i="65"/>
  <c r="AO163" i="65"/>
  <c r="AR145" i="65"/>
  <c r="AO245" i="65"/>
  <c r="AS196" i="65"/>
  <c r="AS140" i="65"/>
  <c r="AR356" i="65"/>
  <c r="AQ104" i="65"/>
  <c r="AP336" i="65"/>
  <c r="AR151" i="65"/>
  <c r="AO31" i="65"/>
  <c r="AS301" i="65"/>
  <c r="AR331" i="65"/>
  <c r="AP292" i="65"/>
  <c r="AP68" i="65"/>
  <c r="AS46" i="65"/>
  <c r="AR196" i="65"/>
  <c r="AO72" i="65"/>
  <c r="AS180" i="65"/>
  <c r="AQ56" i="65"/>
  <c r="AR270" i="65"/>
  <c r="AP23" i="65"/>
  <c r="AS135" i="65"/>
  <c r="AP358" i="65"/>
  <c r="AO296" i="65"/>
  <c r="R267" i="65"/>
  <c r="R173" i="65"/>
  <c r="AP119" i="65"/>
  <c r="R301" i="65"/>
  <c r="AQ318" i="65"/>
  <c r="R55" i="65"/>
  <c r="R276" i="65"/>
  <c r="AP263" i="65"/>
  <c r="AO114" i="65"/>
  <c r="R32" i="65"/>
  <c r="R190" i="65"/>
  <c r="AS169" i="65"/>
  <c r="AS159" i="65"/>
  <c r="AS156" i="65"/>
  <c r="AQ270" i="65"/>
  <c r="AS29" i="65"/>
  <c r="AR93" i="65"/>
  <c r="AR264" i="65"/>
  <c r="AR230" i="65"/>
  <c r="AQ283" i="65"/>
  <c r="AQ114" i="65"/>
  <c r="AR69" i="65"/>
  <c r="AP351" i="65"/>
  <c r="AQ215" i="65"/>
  <c r="AO88" i="65"/>
  <c r="AP163" i="65"/>
  <c r="AO115" i="65"/>
  <c r="AS116" i="65"/>
  <c r="AP199" i="65"/>
  <c r="AP60" i="65"/>
  <c r="AR143" i="65"/>
  <c r="AO4" i="65"/>
  <c r="AQ208" i="65"/>
  <c r="AR97" i="65"/>
  <c r="AO148" i="65"/>
  <c r="AS15" i="65"/>
  <c r="AS11" i="65"/>
  <c r="AO283" i="65"/>
  <c r="AP162" i="65"/>
  <c r="AQ348" i="65"/>
  <c r="AS45" i="65"/>
  <c r="R44" i="65"/>
  <c r="R362" i="65"/>
  <c r="AO50" i="65"/>
  <c r="AO89" i="65"/>
  <c r="AS192" i="65"/>
  <c r="AO134" i="65"/>
  <c r="AS302" i="65"/>
  <c r="AO37" i="65"/>
  <c r="AR128" i="65"/>
  <c r="AS256" i="65"/>
  <c r="AP222" i="65"/>
  <c r="AS241" i="65"/>
  <c r="AP281" i="65"/>
  <c r="AQ263" i="65"/>
  <c r="AO75" i="65"/>
  <c r="AR337" i="65"/>
  <c r="AR257" i="65"/>
  <c r="AP57" i="65"/>
  <c r="AP362" i="65"/>
  <c r="AR168" i="65"/>
  <c r="AP315" i="65"/>
  <c r="AR353" i="65"/>
  <c r="AS49" i="65"/>
  <c r="AQ15" i="65"/>
  <c r="AP200" i="65"/>
  <c r="AQ279" i="65"/>
  <c r="R230" i="65"/>
  <c r="AQ49" i="65"/>
  <c r="AS166" i="65"/>
  <c r="AP308" i="65"/>
  <c r="AO156" i="65"/>
  <c r="AQ115" i="65"/>
  <c r="AR280" i="65"/>
  <c r="AR142" i="65"/>
  <c r="AR269" i="65"/>
  <c r="R73" i="65"/>
  <c r="AR171" i="65"/>
  <c r="AS47" i="65"/>
  <c r="AS273" i="65"/>
  <c r="AP193" i="65"/>
  <c r="AR266" i="65"/>
  <c r="AR263" i="65"/>
  <c r="AQ309" i="65"/>
  <c r="AR259" i="65"/>
  <c r="AR323" i="65"/>
  <c r="AS231" i="65"/>
  <c r="AS214" i="65"/>
  <c r="R99" i="65"/>
  <c r="AS133" i="65"/>
  <c r="R284" i="65"/>
  <c r="AQ16" i="65"/>
  <c r="AS245" i="65"/>
  <c r="AS54" i="65"/>
  <c r="AS351" i="65"/>
  <c r="AQ274" i="65"/>
  <c r="AQ161" i="65"/>
  <c r="AQ89" i="65"/>
  <c r="AQ177" i="65"/>
  <c r="AQ258" i="65"/>
  <c r="AS296" i="65"/>
  <c r="AR203" i="65"/>
  <c r="AS213" i="65"/>
  <c r="AQ8" i="65"/>
  <c r="AO220" i="65"/>
  <c r="AS354" i="65"/>
  <c r="AO212" i="65"/>
  <c r="AP359" i="65"/>
  <c r="AS79" i="65"/>
  <c r="R219" i="65"/>
  <c r="AS183" i="65"/>
  <c r="AS127" i="65"/>
  <c r="AP159" i="65"/>
  <c r="AP32" i="65"/>
  <c r="AQ185" i="65"/>
  <c r="AO54" i="65"/>
  <c r="AQ341" i="65"/>
  <c r="AR177" i="65"/>
  <c r="R229" i="65"/>
  <c r="AS146" i="65"/>
  <c r="AQ159" i="65"/>
  <c r="AO341" i="65"/>
  <c r="AQ70" i="65"/>
  <c r="AP19" i="65"/>
  <c r="AO69" i="65"/>
  <c r="AS27" i="65"/>
  <c r="AS193" i="65"/>
  <c r="AO363" i="65"/>
  <c r="R162" i="65"/>
  <c r="AO183" i="65"/>
  <c r="R220" i="65"/>
  <c r="AO64" i="65"/>
  <c r="AP249" i="65"/>
  <c r="AO361" i="65"/>
  <c r="R192" i="65"/>
  <c r="R33" i="65"/>
  <c r="AP244" i="65"/>
  <c r="AO326" i="65"/>
  <c r="AQ39" i="65"/>
  <c r="AP201" i="65"/>
  <c r="AQ139" i="65"/>
  <c r="AR258" i="65"/>
  <c r="AQ45" i="65"/>
  <c r="AO301" i="65"/>
  <c r="AP346" i="65"/>
  <c r="AR325" i="65"/>
  <c r="AS165" i="65"/>
  <c r="AR188" i="65"/>
  <c r="AQ81" i="65"/>
  <c r="AQ138" i="65"/>
  <c r="AS155" i="65"/>
  <c r="AQ201" i="65"/>
  <c r="AR111" i="65"/>
  <c r="R156" i="65"/>
  <c r="AQ256" i="65"/>
  <c r="AS101" i="65"/>
  <c r="AO76" i="65"/>
  <c r="R326" i="65"/>
  <c r="R14" i="65"/>
  <c r="AP279" i="65"/>
  <c r="R128" i="65"/>
  <c r="AO71" i="65"/>
  <c r="AQ241" i="65"/>
  <c r="R235" i="65"/>
  <c r="AS122" i="65"/>
  <c r="AP331" i="65"/>
  <c r="AS349" i="65"/>
  <c r="AQ223" i="65"/>
  <c r="AS188" i="65"/>
  <c r="AR304" i="65"/>
  <c r="AR298" i="65"/>
  <c r="AQ50" i="65"/>
  <c r="R186" i="65"/>
  <c r="AP134" i="65"/>
  <c r="AO329" i="65"/>
  <c r="AO74" i="65"/>
  <c r="AO327" i="65"/>
  <c r="R93" i="65"/>
  <c r="AO95" i="65"/>
  <c r="AR210" i="65"/>
  <c r="AP65" i="65"/>
  <c r="AS334" i="65"/>
  <c r="AO125" i="65"/>
  <c r="AS89" i="65"/>
  <c r="AO63" i="65"/>
  <c r="AP283" i="65"/>
  <c r="AS308" i="65"/>
  <c r="AR38" i="65"/>
  <c r="V238" i="65"/>
  <c r="AS38" i="65"/>
  <c r="AO231" i="65"/>
  <c r="AQ311" i="65"/>
  <c r="AS246" i="65"/>
  <c r="AS34" i="65"/>
  <c r="AR277" i="65"/>
  <c r="R112" i="65"/>
  <c r="AQ46" i="65"/>
  <c r="AQ182" i="65"/>
  <c r="AS313" i="65"/>
  <c r="AO230" i="65"/>
  <c r="R323" i="65"/>
  <c r="AS136" i="65"/>
  <c r="AR208" i="65"/>
  <c r="AO351" i="65"/>
  <c r="R115" i="65"/>
  <c r="AO335" i="65"/>
  <c r="AP173" i="65"/>
  <c r="R153" i="65"/>
  <c r="AS338" i="65"/>
  <c r="R176" i="65"/>
  <c r="AQ196" i="65"/>
  <c r="AQ6" i="65"/>
  <c r="AP341" i="65"/>
  <c r="AP178" i="65"/>
  <c r="AR341" i="65"/>
  <c r="AR222" i="65"/>
  <c r="AS289" i="65"/>
  <c r="AS21" i="65"/>
  <c r="R291" i="65"/>
  <c r="R201" i="65"/>
  <c r="AS4" i="65"/>
  <c r="AS186" i="65"/>
  <c r="AO85" i="65"/>
  <c r="R289" i="65"/>
  <c r="AQ166" i="65"/>
  <c r="AO128" i="65"/>
  <c r="AS114" i="65"/>
  <c r="AR231" i="65"/>
  <c r="AS37" i="65"/>
  <c r="AO109" i="65"/>
  <c r="U82" i="65"/>
  <c r="AS77" i="65"/>
  <c r="AO333" i="65"/>
  <c r="AR36" i="65"/>
  <c r="AS310" i="65"/>
  <c r="AS18" i="65"/>
  <c r="AS31" i="65"/>
  <c r="AQ40" i="65"/>
  <c r="AQ149" i="65"/>
  <c r="AR163" i="65"/>
  <c r="AQ123" i="65"/>
  <c r="R325" i="65"/>
  <c r="AS237" i="65"/>
  <c r="AR329" i="65"/>
  <c r="R92" i="65"/>
  <c r="AQ339" i="65"/>
  <c r="AQ271" i="65"/>
  <c r="AP356" i="65"/>
  <c r="AQ170" i="65"/>
  <c r="AR150" i="65"/>
  <c r="AP96" i="65"/>
  <c r="AP230" i="65"/>
  <c r="R320" i="65"/>
  <c r="AS57" i="65"/>
  <c r="R265" i="65"/>
  <c r="AR192" i="65"/>
  <c r="AO14" i="65"/>
  <c r="AP231" i="65"/>
  <c r="AO121" i="65"/>
  <c r="U314" i="65"/>
  <c r="AO189" i="65"/>
  <c r="AS259" i="65"/>
  <c r="AQ79" i="65"/>
  <c r="AP156" i="65"/>
  <c r="AR68" i="65"/>
  <c r="AP204" i="65"/>
  <c r="AO309" i="65"/>
  <c r="R302" i="65"/>
  <c r="R101" i="65"/>
  <c r="AO308" i="65"/>
  <c r="AQ334" i="65"/>
  <c r="AQ304" i="65"/>
  <c r="AO267" i="65"/>
  <c r="R254" i="65"/>
  <c r="AO330" i="65"/>
  <c r="AO182" i="65"/>
  <c r="AQ128" i="65"/>
  <c r="AP339" i="65"/>
  <c r="AP53" i="65"/>
  <c r="AQ83" i="65"/>
  <c r="R71" i="65"/>
  <c r="AP227" i="65"/>
  <c r="AO302" i="65"/>
  <c r="AP280" i="65"/>
  <c r="AP82" i="65"/>
  <c r="AQ248" i="65"/>
  <c r="AP237" i="65"/>
  <c r="AS14" i="65"/>
  <c r="AO279" i="65"/>
  <c r="AP95" i="65"/>
  <c r="AS92" i="65"/>
  <c r="AR166" i="65"/>
  <c r="AR23" i="65"/>
  <c r="AO39" i="65"/>
  <c r="AQ251" i="65"/>
  <c r="AS20" i="65"/>
  <c r="AR357" i="65"/>
  <c r="AQ144" i="65"/>
  <c r="AO91" i="65"/>
  <c r="AP347" i="65"/>
  <c r="AP353" i="65"/>
  <c r="AS271" i="65"/>
  <c r="AS272" i="65"/>
  <c r="AP27" i="65"/>
  <c r="AO53" i="65"/>
  <c r="R168" i="65"/>
  <c r="AR48" i="65"/>
  <c r="AP128" i="65"/>
  <c r="R234" i="65"/>
  <c r="AS40" i="65"/>
  <c r="R352" i="65"/>
  <c r="AQ94" i="65"/>
  <c r="AP74" i="65"/>
  <c r="AQ351" i="65"/>
  <c r="AO249" i="65"/>
  <c r="AR90" i="65"/>
  <c r="AQ153" i="65"/>
  <c r="AS211" i="65"/>
  <c r="AO77" i="65"/>
  <c r="AR25" i="65"/>
  <c r="R225" i="65"/>
  <c r="AQ95" i="65"/>
  <c r="AQ305" i="65"/>
  <c r="R340" i="65"/>
  <c r="AQ127" i="65"/>
  <c r="AQ188" i="65"/>
  <c r="AP56" i="65"/>
  <c r="R169" i="65"/>
  <c r="AP243" i="65"/>
  <c r="AP232" i="65"/>
  <c r="AO11" i="65"/>
  <c r="R322" i="65"/>
  <c r="AO27" i="65"/>
  <c r="AO187" i="65"/>
  <c r="AO285" i="65"/>
  <c r="AP169" i="65"/>
  <c r="S69" i="65"/>
  <c r="T298" i="65"/>
  <c r="S322" i="65"/>
  <c r="T113" i="65"/>
  <c r="T158" i="65"/>
  <c r="T321" i="65"/>
  <c r="S81" i="65"/>
  <c r="T210" i="65"/>
  <c r="S271" i="65"/>
  <c r="S349" i="65"/>
  <c r="T358" i="65"/>
  <c r="S230" i="65"/>
  <c r="S63" i="65"/>
  <c r="S246" i="65"/>
  <c r="T178" i="65"/>
  <c r="S131" i="65"/>
  <c r="T338" i="65"/>
  <c r="T307" i="65"/>
  <c r="T291" i="65"/>
  <c r="S104" i="65"/>
  <c r="S86" i="65"/>
  <c r="T114" i="65"/>
  <c r="S353" i="65"/>
  <c r="T64" i="65"/>
  <c r="T282" i="65"/>
  <c r="S18" i="65"/>
  <c r="T68" i="65"/>
  <c r="S109" i="65"/>
  <c r="S60" i="65"/>
  <c r="T345" i="65"/>
  <c r="T318" i="65"/>
  <c r="T315" i="65"/>
  <c r="T271" i="65"/>
  <c r="S56" i="65"/>
  <c r="S351" i="65"/>
  <c r="T164" i="65"/>
  <c r="S192" i="65"/>
  <c r="S266" i="65"/>
  <c r="T132" i="65"/>
  <c r="S130" i="65"/>
  <c r="S38" i="65"/>
  <c r="T69" i="65"/>
  <c r="S78" i="65"/>
  <c r="T100" i="65"/>
  <c r="S66" i="65"/>
  <c r="S188" i="65"/>
  <c r="T144" i="65"/>
  <c r="S190" i="65"/>
  <c r="T56" i="65"/>
  <c r="T341" i="65"/>
  <c r="S332" i="65"/>
  <c r="S312" i="65"/>
  <c r="T343" i="65"/>
  <c r="T125" i="65"/>
  <c r="S93" i="65"/>
  <c r="T332" i="65"/>
  <c r="S284" i="65"/>
  <c r="S333" i="65"/>
  <c r="T72" i="65"/>
  <c r="S254" i="65"/>
  <c r="S91" i="65"/>
  <c r="S292" i="65"/>
  <c r="S260" i="65"/>
  <c r="S282" i="65"/>
  <c r="S33" i="65"/>
  <c r="S344" i="65"/>
  <c r="S326" i="65"/>
  <c r="T361" i="65"/>
  <c r="T293" i="65"/>
  <c r="T57" i="65"/>
  <c r="S73" i="65"/>
  <c r="T74" i="65"/>
  <c r="T273" i="65"/>
  <c r="S337" i="65"/>
  <c r="S325" i="65"/>
  <c r="T26" i="65"/>
  <c r="S158" i="65"/>
  <c r="S87" i="65"/>
  <c r="S36" i="65"/>
  <c r="T254" i="65"/>
  <c r="T326" i="65"/>
  <c r="S203" i="65"/>
  <c r="T261" i="65"/>
  <c r="T25" i="65"/>
  <c r="T196" i="65"/>
  <c r="T199" i="65"/>
  <c r="S125" i="65"/>
  <c r="T351" i="65"/>
  <c r="S232" i="65"/>
  <c r="S343" i="65"/>
  <c r="S147" i="65"/>
  <c r="T331" i="65"/>
  <c r="T163" i="65"/>
  <c r="T346" i="65"/>
  <c r="S172" i="65"/>
  <c r="T328" i="65"/>
  <c r="S317" i="65"/>
  <c r="T141" i="65"/>
  <c r="T90" i="65"/>
  <c r="S16" i="65"/>
  <c r="S80" i="65"/>
  <c r="S129" i="65"/>
  <c r="T195" i="65"/>
  <c r="S327" i="65"/>
  <c r="S283" i="65"/>
  <c r="T160" i="65"/>
  <c r="S220" i="65"/>
  <c r="T279" i="65"/>
  <c r="T177" i="65"/>
  <c r="S275" i="65"/>
  <c r="T208" i="65"/>
  <c r="S280" i="65"/>
  <c r="T88" i="65"/>
  <c r="S39" i="65"/>
  <c r="T105" i="65"/>
  <c r="S137" i="65"/>
  <c r="T204" i="65"/>
  <c r="S34" i="65"/>
  <c r="S176" i="65"/>
  <c r="T169" i="65"/>
  <c r="S43" i="65"/>
  <c r="T37" i="65"/>
  <c r="S23" i="65"/>
  <c r="T240" i="65"/>
  <c r="S200" i="65"/>
  <c r="S318" i="65"/>
  <c r="T251" i="65"/>
  <c r="S124" i="65"/>
  <c r="T65" i="65"/>
  <c r="T198" i="65"/>
  <c r="T245" i="65"/>
  <c r="S214" i="65"/>
  <c r="S300" i="65"/>
  <c r="S238" i="65"/>
  <c r="S206" i="65"/>
  <c r="S304" i="65"/>
  <c r="S183" i="65"/>
  <c r="S331" i="65"/>
  <c r="T253" i="65"/>
  <c r="S358" i="65"/>
  <c r="T344" i="65"/>
  <c r="T161" i="65"/>
  <c r="S77" i="65"/>
  <c r="T99" i="65"/>
  <c r="S360" i="65"/>
  <c r="S268" i="65"/>
  <c r="T8" i="65"/>
  <c r="T147" i="65"/>
  <c r="S108" i="65"/>
  <c r="T237" i="65"/>
  <c r="S19" i="65"/>
  <c r="S161" i="65"/>
  <c r="T283" i="65"/>
  <c r="S142" i="65"/>
  <c r="S290" i="65"/>
  <c r="T145" i="65"/>
  <c r="T305" i="65"/>
  <c r="T124" i="65"/>
  <c r="S329" i="65"/>
  <c r="T46" i="65"/>
  <c r="T6" i="65"/>
  <c r="S298" i="65"/>
  <c r="S9" i="65"/>
  <c r="S252" i="65"/>
  <c r="T274" i="65"/>
  <c r="S313" i="65"/>
  <c r="T188" i="65"/>
  <c r="S197" i="65"/>
  <c r="T223" i="65"/>
  <c r="T156" i="65"/>
  <c r="T337" i="65"/>
  <c r="T300" i="65"/>
  <c r="S236" i="65"/>
  <c r="T354" i="65"/>
  <c r="S259" i="65"/>
  <c r="S123" i="65"/>
  <c r="T101" i="65"/>
  <c r="T4" i="65"/>
  <c r="T51" i="65"/>
  <c r="S267" i="65"/>
  <c r="T252" i="65"/>
  <c r="S48" i="65"/>
  <c r="T14" i="65"/>
  <c r="T83" i="65"/>
  <c r="S88" i="65"/>
  <c r="T285" i="65"/>
  <c r="S128" i="65"/>
  <c r="T247" i="65"/>
  <c r="T325" i="65"/>
  <c r="T137" i="65"/>
  <c r="S75" i="65"/>
  <c r="T221" i="65"/>
  <c r="S194" i="65"/>
  <c r="T126" i="65"/>
  <c r="S89" i="65"/>
  <c r="S6" i="65"/>
  <c r="T277" i="65"/>
  <c r="T347" i="65"/>
  <c r="T60" i="65"/>
  <c r="S100" i="65"/>
  <c r="S293" i="65"/>
  <c r="S181" i="65"/>
  <c r="T115" i="65"/>
  <c r="T78" i="65"/>
  <c r="T183" i="65"/>
  <c r="T339" i="65"/>
  <c r="T320" i="65"/>
  <c r="S255" i="65"/>
  <c r="T92" i="65"/>
  <c r="T110" i="65"/>
  <c r="T299" i="65"/>
  <c r="T35" i="65"/>
  <c r="S12" i="65"/>
  <c r="S243" i="65"/>
  <c r="T182" i="65"/>
  <c r="T58" i="65"/>
  <c r="T359" i="65"/>
  <c r="S55" i="65"/>
  <c r="S179" i="65"/>
  <c r="T63" i="65"/>
  <c r="T49" i="65"/>
  <c r="T197" i="65"/>
  <c r="S270" i="65"/>
  <c r="T330" i="65"/>
  <c r="T258" i="65"/>
  <c r="S155" i="65"/>
  <c r="T176" i="65"/>
  <c r="T21" i="65"/>
  <c r="S350" i="65"/>
  <c r="T226" i="65"/>
  <c r="S321" i="65"/>
  <c r="T262" i="65"/>
  <c r="S257" i="65"/>
  <c r="S37" i="65"/>
  <c r="S335" i="65"/>
  <c r="T286" i="65"/>
  <c r="S65" i="65"/>
  <c r="T53" i="65"/>
  <c r="T228" i="65"/>
  <c r="T15" i="65"/>
  <c r="T23" i="65"/>
  <c r="S205" i="65"/>
  <c r="S195" i="65"/>
  <c r="S58" i="65"/>
  <c r="T194" i="65"/>
  <c r="T190" i="65"/>
  <c r="S145" i="65"/>
  <c r="T323" i="65"/>
  <c r="T116" i="65"/>
  <c r="T5" i="65"/>
  <c r="T233" i="65"/>
  <c r="S98" i="65"/>
  <c r="T276" i="65"/>
  <c r="T165" i="65"/>
  <c r="T172" i="65"/>
  <c r="T148" i="65"/>
  <c r="T150" i="65"/>
  <c r="S301" i="65"/>
  <c r="T224" i="65"/>
  <c r="S277" i="65"/>
  <c r="T209" i="65"/>
  <c r="S262" i="65"/>
  <c r="S45" i="65"/>
  <c r="S303" i="65"/>
  <c r="T205" i="65"/>
  <c r="S96" i="65"/>
  <c r="T96" i="65"/>
  <c r="T19" i="65"/>
  <c r="S345" i="65"/>
  <c r="S62" i="65"/>
  <c r="S330" i="65"/>
  <c r="T206" i="65"/>
  <c r="T50" i="65"/>
  <c r="S336" i="65"/>
  <c r="S115" i="65"/>
  <c r="T76" i="65"/>
  <c r="S285" i="65"/>
  <c r="T66" i="65"/>
  <c r="S273" i="65"/>
  <c r="S323" i="65"/>
  <c r="T18" i="65"/>
  <c r="T269" i="65"/>
  <c r="S229" i="65"/>
  <c r="S31" i="65"/>
  <c r="S320" i="65"/>
  <c r="T167" i="65"/>
  <c r="T140" i="65"/>
  <c r="T52" i="65"/>
  <c r="S94" i="65"/>
  <c r="S164" i="65"/>
  <c r="S35" i="65"/>
  <c r="S215" i="65"/>
  <c r="T166" i="65"/>
  <c r="S40" i="65"/>
  <c r="T217" i="65"/>
  <c r="S233" i="65"/>
  <c r="S354" i="65"/>
  <c r="S74" i="65"/>
  <c r="S237" i="65"/>
  <c r="T280" i="65"/>
  <c r="S29" i="65"/>
  <c r="T314" i="65"/>
  <c r="S157" i="65"/>
  <c r="S44" i="65"/>
  <c r="T20" i="65"/>
  <c r="T175" i="65"/>
  <c r="S217" i="65"/>
  <c r="T89" i="65"/>
  <c r="T222" i="65"/>
  <c r="T186" i="65"/>
  <c r="T242" i="65"/>
  <c r="T234" i="65"/>
  <c r="S251" i="65"/>
  <c r="S286" i="65"/>
  <c r="S102" i="65"/>
  <c r="T119" i="65"/>
  <c r="T212" i="65"/>
  <c r="T32" i="65"/>
  <c r="T103" i="65"/>
  <c r="T294" i="65"/>
  <c r="T327" i="65"/>
  <c r="T249" i="65"/>
  <c r="T117" i="65"/>
  <c r="T12" i="65"/>
  <c r="S148" i="65"/>
  <c r="T139" i="65"/>
  <c r="S296" i="65"/>
  <c r="S226" i="65"/>
  <c r="S256" i="65"/>
  <c r="S68" i="65"/>
  <c r="S90" i="65"/>
  <c r="T311" i="65"/>
  <c r="S287" i="65"/>
  <c r="S231" i="65"/>
  <c r="S120" i="65"/>
  <c r="T33" i="65"/>
  <c r="T128" i="65"/>
  <c r="T138" i="65"/>
  <c r="S139" i="65"/>
  <c r="T39" i="65"/>
  <c r="S121" i="65"/>
  <c r="S119" i="65"/>
  <c r="T324" i="65"/>
  <c r="T218" i="65"/>
  <c r="T220" i="65"/>
  <c r="T153" i="65"/>
  <c r="S110" i="65"/>
  <c r="S227" i="65"/>
  <c r="S167" i="65"/>
  <c r="S274" i="65"/>
  <c r="T329" i="65"/>
  <c r="T312" i="65"/>
  <c r="S22" i="65"/>
  <c r="T55" i="65"/>
  <c r="S135" i="65"/>
  <c r="S116" i="65"/>
  <c r="S201" i="65"/>
  <c r="S247" i="65"/>
  <c r="S149" i="65"/>
  <c r="S114" i="65"/>
  <c r="S187" i="65"/>
  <c r="S151" i="65"/>
  <c r="T157" i="65"/>
  <c r="T7" i="65"/>
  <c r="T109" i="65"/>
  <c r="T174" i="65"/>
  <c r="S97" i="65"/>
  <c r="S308" i="65"/>
  <c r="S291" i="65"/>
  <c r="S338" i="65"/>
  <c r="T295" i="65"/>
  <c r="S311" i="65"/>
  <c r="T211" i="65"/>
  <c r="S49" i="65"/>
  <c r="T335" i="65"/>
  <c r="T84" i="65"/>
  <c r="S307" i="65"/>
  <c r="S133" i="65"/>
  <c r="S64" i="65"/>
  <c r="S175" i="65"/>
  <c r="S85" i="65"/>
  <c r="T38" i="65"/>
  <c r="T296" i="65"/>
  <c r="T213" i="65"/>
  <c r="S208" i="65"/>
  <c r="S41" i="65"/>
  <c r="T189" i="65"/>
  <c r="T200" i="65"/>
  <c r="S105" i="65"/>
  <c r="T129" i="65"/>
  <c r="T133" i="65"/>
  <c r="T266" i="65"/>
  <c r="T264" i="65"/>
  <c r="T9" i="65"/>
  <c r="S359" i="65"/>
  <c r="S244" i="65"/>
  <c r="S173" i="65"/>
  <c r="T40" i="65"/>
  <c r="S346" i="65"/>
  <c r="S297" i="65"/>
  <c r="T47" i="65"/>
  <c r="T349" i="65"/>
  <c r="S146" i="65"/>
  <c r="S153" i="65"/>
  <c r="S165" i="65"/>
  <c r="T357" i="65"/>
  <c r="S218" i="65"/>
  <c r="T44" i="65"/>
  <c r="S54" i="65"/>
  <c r="S52" i="65"/>
  <c r="T236" i="65"/>
  <c r="S171" i="65"/>
  <c r="T54" i="65"/>
  <c r="T82" i="65"/>
  <c r="S272" i="65"/>
  <c r="S53" i="65"/>
  <c r="S17" i="65"/>
  <c r="T270" i="65"/>
  <c r="T352" i="65"/>
  <c r="T334" i="65"/>
  <c r="S263" i="65"/>
  <c r="T91" i="65"/>
  <c r="S347" i="65"/>
  <c r="T303" i="65"/>
  <c r="T355" i="65"/>
  <c r="S14" i="65"/>
  <c r="T229" i="65"/>
  <c r="T106" i="65"/>
  <c r="T179" i="65"/>
  <c r="S95" i="65"/>
  <c r="S250" i="65"/>
  <c r="T34" i="65"/>
  <c r="T317" i="65"/>
  <c r="S140" i="65"/>
  <c r="T61" i="65"/>
  <c r="T171" i="65"/>
  <c r="T170" i="65"/>
  <c r="S7" i="65"/>
  <c r="S169" i="65"/>
  <c r="S46" i="65"/>
  <c r="T93" i="65"/>
  <c r="S126" i="65"/>
  <c r="S234" i="65"/>
  <c r="S21" i="65"/>
  <c r="S184" i="65"/>
  <c r="S143" i="65"/>
  <c r="S306" i="65"/>
  <c r="T80" i="65"/>
  <c r="T238" i="65"/>
  <c r="T232" i="65"/>
  <c r="S186" i="65"/>
  <c r="S245" i="65"/>
  <c r="T246" i="65"/>
  <c r="T309" i="65"/>
  <c r="T59" i="65"/>
  <c r="T123" i="65"/>
  <c r="T342" i="65"/>
  <c r="S25" i="65"/>
  <c r="S314" i="65"/>
  <c r="T244" i="65"/>
  <c r="T131" i="65"/>
  <c r="S136" i="65"/>
  <c r="T257" i="65"/>
  <c r="T308" i="65"/>
  <c r="S50" i="65"/>
  <c r="T97" i="65"/>
  <c r="T108" i="65"/>
  <c r="S315" i="65"/>
  <c r="S265" i="65"/>
  <c r="S182" i="65"/>
  <c r="T87" i="65"/>
  <c r="T94" i="65"/>
  <c r="S156" i="65"/>
  <c r="S310" i="65"/>
  <c r="S209" i="65"/>
  <c r="S213" i="65"/>
  <c r="T71" i="65"/>
  <c r="T304" i="65"/>
  <c r="T301" i="65"/>
  <c r="S71" i="65"/>
  <c r="S289" i="65"/>
  <c r="S27" i="65"/>
  <c r="T136" i="65"/>
  <c r="T13" i="65"/>
  <c r="S269" i="65"/>
  <c r="S76" i="65"/>
  <c r="T250" i="65"/>
  <c r="S362" i="65"/>
  <c r="T319" i="65"/>
  <c r="S4" i="65"/>
  <c r="S352" i="65"/>
  <c r="S32" i="65"/>
  <c r="S281" i="65"/>
  <c r="S106" i="65"/>
  <c r="T288" i="65"/>
  <c r="S118" i="65"/>
  <c r="S11" i="65"/>
  <c r="S204" i="65"/>
  <c r="S261" i="65"/>
  <c r="T16" i="65"/>
  <c r="S316" i="65"/>
  <c r="T193" i="65"/>
  <c r="T162" i="65"/>
  <c r="T340" i="65"/>
  <c r="S28" i="65"/>
  <c r="T203" i="65"/>
  <c r="S211" i="65"/>
  <c r="S150" i="65"/>
  <c r="S191" i="65"/>
  <c r="T130" i="65"/>
  <c r="S163" i="65"/>
  <c r="S82" i="65"/>
  <c r="S219" i="65"/>
  <c r="T292" i="65"/>
  <c r="T95" i="65"/>
  <c r="S276" i="65"/>
  <c r="T281" i="65"/>
  <c r="S113" i="65"/>
  <c r="S199" i="65"/>
  <c r="T350" i="65"/>
  <c r="T122" i="65"/>
  <c r="T322" i="65"/>
  <c r="T22" i="65"/>
  <c r="T256" i="65"/>
  <c r="S189" i="65"/>
  <c r="S159" i="65"/>
  <c r="T272" i="65"/>
  <c r="T235" i="65"/>
  <c r="S228" i="65"/>
  <c r="S166" i="65"/>
  <c r="S241" i="65"/>
  <c r="T154" i="65"/>
  <c r="T159" i="65"/>
  <c r="S361" i="65"/>
  <c r="T146" i="65"/>
  <c r="T75" i="65"/>
  <c r="T41" i="65"/>
  <c r="T30" i="65"/>
  <c r="T215" i="65"/>
  <c r="T104" i="65"/>
  <c r="S279" i="65"/>
  <c r="T43" i="65"/>
  <c r="S222" i="65"/>
  <c r="S138" i="65"/>
  <c r="S207" i="65"/>
  <c r="T187" i="65"/>
  <c r="S224" i="65"/>
  <c r="T239" i="65"/>
  <c r="T151" i="65"/>
  <c r="S225" i="65"/>
  <c r="S302" i="65"/>
  <c r="T85" i="65"/>
  <c r="T313" i="65"/>
  <c r="S162" i="65"/>
  <c r="T152" i="65"/>
  <c r="T268" i="65"/>
  <c r="S216" i="65"/>
  <c r="T192" i="65"/>
  <c r="T42" i="65"/>
  <c r="T48" i="65"/>
  <c r="S15" i="65"/>
  <c r="S132" i="65"/>
  <c r="S235" i="65"/>
  <c r="T348" i="65"/>
  <c r="S178" i="65"/>
  <c r="S99" i="65"/>
  <c r="S193" i="65"/>
  <c r="T45" i="65"/>
  <c r="S339" i="65"/>
  <c r="S357" i="65"/>
  <c r="T120" i="65"/>
  <c r="S210" i="65"/>
  <c r="T336" i="65"/>
  <c r="T241" i="65"/>
  <c r="T29" i="65"/>
  <c r="S264" i="65"/>
  <c r="S8" i="65"/>
  <c r="S185" i="65"/>
  <c r="T302" i="65"/>
  <c r="S356" i="65"/>
  <c r="T143" i="65"/>
  <c r="T135" i="65"/>
  <c r="S83" i="65"/>
  <c r="T77" i="65"/>
  <c r="S295" i="65"/>
  <c r="S328" i="65"/>
  <c r="S248" i="65"/>
  <c r="T260" i="65"/>
  <c r="T356" i="65"/>
  <c r="T191" i="65"/>
  <c r="S154" i="65"/>
  <c r="S84" i="65"/>
  <c r="T134" i="65"/>
  <c r="T219" i="65"/>
  <c r="S341" i="65"/>
  <c r="T225" i="65"/>
  <c r="S177" i="65"/>
  <c r="T102" i="65"/>
  <c r="S319" i="65"/>
  <c r="T180" i="65"/>
  <c r="S134" i="65"/>
  <c r="T265" i="65"/>
  <c r="T184" i="65"/>
  <c r="S127" i="65"/>
  <c r="T333" i="65"/>
  <c r="T28" i="65"/>
  <c r="S196" i="65"/>
  <c r="T255" i="65"/>
  <c r="T79" i="65"/>
  <c r="T284" i="65"/>
  <c r="T111" i="65"/>
  <c r="S72" i="65"/>
  <c r="T231" i="65"/>
  <c r="T297" i="65"/>
  <c r="S20" i="65"/>
  <c r="T127" i="65"/>
  <c r="S160" i="65"/>
  <c r="T290" i="65"/>
  <c r="T360" i="65"/>
  <c r="T24" i="65"/>
  <c r="T316" i="65"/>
  <c r="T202" i="65"/>
  <c r="S212" i="65"/>
  <c r="T98" i="65"/>
  <c r="T36" i="65"/>
  <c r="S180" i="65"/>
  <c r="S59" i="65"/>
  <c r="S122" i="65"/>
  <c r="T62" i="65"/>
  <c r="T31" i="65"/>
  <c r="T185" i="65"/>
  <c r="T118" i="65"/>
  <c r="T149" i="65"/>
  <c r="T112" i="65"/>
  <c r="S111" i="65"/>
  <c r="S198" i="65"/>
  <c r="S107" i="65"/>
  <c r="S51" i="65"/>
  <c r="S253" i="65"/>
  <c r="S168" i="65"/>
  <c r="S242" i="65"/>
  <c r="S309" i="65"/>
  <c r="S144" i="65"/>
  <c r="S202" i="65"/>
  <c r="S5" i="65"/>
  <c r="T227" i="65"/>
  <c r="T362" i="65"/>
  <c r="S141" i="65"/>
  <c r="S340" i="65"/>
  <c r="T181" i="65"/>
  <c r="S79" i="65"/>
  <c r="S294" i="65"/>
  <c r="S61" i="65"/>
  <c r="S348" i="65"/>
  <c r="S249" i="65"/>
  <c r="T168" i="65"/>
  <c r="S288" i="65"/>
  <c r="S324" i="65"/>
  <c r="S239" i="65"/>
  <c r="T10" i="65"/>
  <c r="T207" i="65"/>
  <c r="T81" i="65"/>
  <c r="T230" i="65"/>
  <c r="T86" i="65"/>
  <c r="T216" i="65"/>
  <c r="T155" i="65"/>
  <c r="S117" i="65"/>
  <c r="T278" i="65"/>
  <c r="T306" i="65"/>
  <c r="S30" i="65"/>
  <c r="T259" i="65"/>
  <c r="S92" i="65"/>
  <c r="T17" i="65"/>
  <c r="T70" i="65"/>
  <c r="T287" i="65"/>
  <c r="T310" i="65"/>
  <c r="S13" i="65"/>
  <c r="S170" i="65"/>
  <c r="S258" i="65"/>
  <c r="T243" i="65"/>
  <c r="T201" i="65"/>
  <c r="S152" i="65"/>
  <c r="T263" i="65"/>
  <c r="T214" i="65"/>
  <c r="S240" i="65"/>
  <c r="T289" i="65"/>
  <c r="S174" i="65"/>
  <c r="S10" i="65"/>
  <c r="T67" i="65"/>
  <c r="S47" i="65"/>
  <c r="S42" i="65"/>
  <c r="S112" i="65"/>
  <c r="S70" i="65"/>
  <c r="T27" i="65"/>
  <c r="S342" i="65"/>
  <c r="S67" i="65"/>
  <c r="S57" i="65"/>
  <c r="T121" i="65"/>
  <c r="T107" i="65"/>
  <c r="T173" i="65"/>
  <c r="S24" i="65"/>
  <c r="S305" i="65"/>
  <c r="S103" i="65"/>
  <c r="T267" i="65"/>
  <c r="S334" i="65"/>
  <c r="S101" i="65"/>
  <c r="T353" i="65"/>
  <c r="S26" i="65"/>
  <c r="S223" i="65"/>
  <c r="T275" i="65"/>
  <c r="T11" i="65"/>
  <c r="S278" i="65"/>
  <c r="S221" i="65"/>
  <c r="T142" i="65"/>
  <c r="T248" i="65"/>
  <c r="T73" i="65"/>
  <c r="S299" i="65"/>
  <c r="S355" i="65"/>
  <c r="E25" i="67"/>
  <c r="I10" i="67"/>
  <c r="G21" i="67"/>
  <c r="E13" i="67"/>
  <c r="F25" i="67"/>
  <c r="F20" i="67"/>
  <c r="H10" i="67"/>
  <c r="I15" i="67"/>
  <c r="P7" i="87"/>
  <c r="E9" i="67"/>
  <c r="F11" i="67"/>
  <c r="G12" i="67"/>
  <c r="G13" i="67"/>
  <c r="I25" i="67"/>
  <c r="G26" i="67"/>
  <c r="H25" i="67"/>
  <c r="F18" i="67"/>
  <c r="G14" i="67"/>
  <c r="I11" i="67"/>
  <c r="G17" i="67"/>
  <c r="F12" i="67"/>
  <c r="E15" i="67"/>
  <c r="AX7" i="87"/>
  <c r="F14" i="67"/>
  <c r="G22" i="67"/>
  <c r="I12" i="67"/>
  <c r="H13" i="67"/>
  <c r="H18" i="67"/>
  <c r="H11" i="67"/>
  <c r="F23" i="67"/>
  <c r="E23" i="67"/>
  <c r="H22" i="67"/>
  <c r="E21" i="67"/>
  <c r="I22" i="67"/>
  <c r="G9" i="67"/>
  <c r="E22" i="67"/>
  <c r="H15" i="67"/>
  <c r="E11" i="67"/>
  <c r="G15" i="67"/>
  <c r="G18" i="67"/>
  <c r="AE7" i="87"/>
  <c r="H12" i="67"/>
  <c r="I16" i="67"/>
  <c r="F15" i="67"/>
  <c r="E16" i="67"/>
  <c r="F13" i="67"/>
  <c r="I26" i="67"/>
  <c r="H23" i="67"/>
  <c r="H24" i="67"/>
  <c r="H21" i="67"/>
  <c r="G16" i="67"/>
  <c r="AW7" i="87"/>
  <c r="H9" i="67"/>
  <c r="F21" i="67"/>
  <c r="I18" i="67"/>
  <c r="E10" i="67"/>
  <c r="I13" i="67"/>
  <c r="AD7" i="87"/>
  <c r="F9" i="67"/>
  <c r="E26" i="67"/>
  <c r="G25" i="67"/>
  <c r="G19" i="67"/>
  <c r="F10" i="67"/>
  <c r="F22" i="67"/>
  <c r="E20" i="67"/>
  <c r="G20" i="67"/>
  <c r="I9" i="67"/>
  <c r="E19" i="67"/>
  <c r="E18" i="67"/>
  <c r="G11" i="67"/>
  <c r="I23" i="67"/>
  <c r="E24" i="67"/>
  <c r="I14" i="67"/>
  <c r="H26" i="67"/>
  <c r="I19" i="67"/>
  <c r="I20" i="67"/>
  <c r="F16" i="67"/>
  <c r="F24" i="67"/>
  <c r="AG7" i="87"/>
  <c r="G10" i="67"/>
  <c r="H14" i="67"/>
  <c r="F26" i="67"/>
  <c r="H20" i="67"/>
  <c r="E14" i="67"/>
  <c r="F17" i="67"/>
  <c r="G23" i="67"/>
  <c r="I17" i="67"/>
  <c r="H17" i="67"/>
  <c r="E12" i="67"/>
  <c r="F19" i="67"/>
  <c r="H16" i="67"/>
  <c r="I21" i="67"/>
  <c r="G24" i="67"/>
  <c r="H19" i="67"/>
  <c r="Q7" i="87"/>
  <c r="E17" i="67"/>
  <c r="I24" i="67"/>
  <c r="AC74" i="55" l="1"/>
  <c r="AA60" i="55"/>
  <c r="AE43" i="55"/>
  <c r="AB74" i="55"/>
  <c r="AD19" i="55"/>
  <c r="AA83" i="55"/>
  <c r="AE18" i="55"/>
  <c r="AB64" i="55"/>
  <c r="AA15" i="55"/>
  <c r="AC29" i="55"/>
  <c r="AC61" i="55"/>
  <c r="AE75" i="55"/>
  <c r="AB90" i="55"/>
  <c r="AA34" i="55"/>
  <c r="AB61" i="55"/>
  <c r="AD75" i="55"/>
  <c r="AD68" i="55"/>
  <c r="AD47" i="55"/>
  <c r="AD23" i="55"/>
  <c r="AD78" i="55"/>
  <c r="AB84" i="55"/>
  <c r="AD98" i="55"/>
  <c r="AA10" i="55"/>
  <c r="AC48" i="55"/>
  <c r="AB102" i="55"/>
  <c r="AE82" i="55"/>
  <c r="AA13" i="55"/>
  <c r="AE41" i="55"/>
  <c r="AC52" i="55"/>
  <c r="AE42" i="55"/>
  <c r="AE69" i="55"/>
  <c r="AD48" i="55"/>
  <c r="AC24" i="55"/>
  <c r="AC28" i="55"/>
  <c r="AA77" i="55"/>
  <c r="AA5" i="55"/>
  <c r="AB56" i="55"/>
  <c r="AC71" i="55"/>
  <c r="AE19" i="55"/>
  <c r="AB34" i="55"/>
  <c r="AE38" i="55"/>
  <c r="AB57" i="55"/>
  <c r="AB80" i="55"/>
  <c r="AB33" i="55"/>
  <c r="AC27" i="55"/>
  <c r="AB10" i="55"/>
  <c r="AE86" i="55"/>
  <c r="AD58" i="55"/>
  <c r="AA73" i="55"/>
  <c r="AE104" i="55"/>
  <c r="AC53" i="55"/>
  <c r="AE14" i="55"/>
  <c r="AB53" i="55"/>
  <c r="AD65" i="55"/>
  <c r="AA80" i="55"/>
  <c r="AD97" i="55"/>
  <c r="AB9" i="55"/>
  <c r="AD22" i="55"/>
  <c r="AA94" i="55"/>
  <c r="AD62" i="55"/>
  <c r="O8" i="86"/>
  <c r="W8" i="86" s="1"/>
  <c r="O12" i="86"/>
  <c r="W12" i="86" s="1"/>
  <c r="O14" i="86"/>
  <c r="W14" i="86" s="1"/>
  <c r="O10" i="86"/>
  <c r="W10" i="86" s="1"/>
  <c r="O15" i="86"/>
  <c r="W15" i="86" s="1"/>
  <c r="O7" i="86"/>
  <c r="W7" i="86" s="1"/>
  <c r="O11" i="86"/>
  <c r="W11" i="86" s="1"/>
  <c r="O16" i="86"/>
  <c r="W16" i="86" s="1"/>
  <c r="O5" i="86"/>
  <c r="O9" i="86"/>
  <c r="W9" i="86" s="1"/>
  <c r="O6" i="86"/>
  <c r="W6" i="86" s="1"/>
  <c r="O13" i="86"/>
  <c r="W13" i="86" s="1"/>
  <c r="N5" i="86"/>
  <c r="N6" i="86"/>
  <c r="V6" i="86" s="1"/>
  <c r="N15" i="86"/>
  <c r="V15" i="86" s="1"/>
  <c r="N12" i="86"/>
  <c r="V12" i="86" s="1"/>
  <c r="N11" i="86"/>
  <c r="V11" i="86" s="1"/>
  <c r="N10" i="86"/>
  <c r="V10" i="86" s="1"/>
  <c r="N8" i="86"/>
  <c r="V8" i="86" s="1"/>
  <c r="N7" i="86"/>
  <c r="V7" i="86" s="1"/>
  <c r="N9" i="86"/>
  <c r="V9" i="86" s="1"/>
  <c r="N13" i="86"/>
  <c r="V13" i="86" s="1"/>
  <c r="N14" i="86"/>
  <c r="V14" i="86" s="1"/>
  <c r="P17" i="86"/>
  <c r="X17" i="86" s="1"/>
  <c r="P11" i="86"/>
  <c r="X11" i="86" s="1"/>
  <c r="P8" i="86"/>
  <c r="X8" i="86" s="1"/>
  <c r="P14" i="86"/>
  <c r="X14" i="86" s="1"/>
  <c r="P7" i="86"/>
  <c r="X7" i="86" s="1"/>
  <c r="P10" i="86"/>
  <c r="X10" i="86" s="1"/>
  <c r="P5" i="86"/>
  <c r="P19" i="86"/>
  <c r="X19" i="86" s="1"/>
  <c r="P6" i="86"/>
  <c r="X6" i="86" s="1"/>
  <c r="P12" i="86"/>
  <c r="X12" i="86" s="1"/>
  <c r="P9" i="86"/>
  <c r="X9" i="86" s="1"/>
  <c r="P18" i="86"/>
  <c r="X18" i="86" s="1"/>
  <c r="P15" i="86"/>
  <c r="X15" i="86" s="1"/>
  <c r="P13" i="86"/>
  <c r="X13" i="86" s="1"/>
  <c r="P16" i="86"/>
  <c r="X16" i="86" s="1"/>
  <c r="Q9" i="86"/>
  <c r="Y9" i="86" s="1"/>
  <c r="Q5" i="86"/>
  <c r="Q14" i="86"/>
  <c r="Y14" i="86" s="1"/>
  <c r="Q25" i="86"/>
  <c r="Y25" i="86" s="1"/>
  <c r="Q15" i="86"/>
  <c r="Y15" i="86" s="1"/>
  <c r="Q24" i="86"/>
  <c r="Y24" i="86" s="1"/>
  <c r="Q20" i="86"/>
  <c r="Y20" i="86" s="1"/>
  <c r="Q18" i="86"/>
  <c r="Y18" i="86" s="1"/>
  <c r="Q21" i="86"/>
  <c r="Y21" i="86" s="1"/>
  <c r="Q16" i="86"/>
  <c r="Y16" i="86" s="1"/>
  <c r="Q12" i="86"/>
  <c r="Y12" i="86" s="1"/>
  <c r="Q11" i="86"/>
  <c r="Y11" i="86" s="1"/>
  <c r="Q6" i="86"/>
  <c r="Y6" i="86" s="1"/>
  <c r="Q10" i="86"/>
  <c r="Y10" i="86" s="1"/>
  <c r="Q22" i="86"/>
  <c r="Y22" i="86" s="1"/>
  <c r="Q17" i="86"/>
  <c r="Y17" i="86" s="1"/>
  <c r="Q7" i="86"/>
  <c r="Y7" i="86" s="1"/>
  <c r="Q8" i="86"/>
  <c r="Y8" i="86" s="1"/>
  <c r="Q13" i="86"/>
  <c r="Y13" i="86" s="1"/>
  <c r="Q19" i="86"/>
  <c r="Y19" i="86" s="1"/>
  <c r="Q23" i="86"/>
  <c r="Y23" i="86" s="1"/>
  <c r="J16" i="67"/>
  <c r="J20" i="67"/>
  <c r="J13" i="67"/>
  <c r="J18" i="67"/>
  <c r="J21" i="67"/>
  <c r="J14" i="67"/>
  <c r="J22" i="67"/>
  <c r="J17" i="67"/>
  <c r="J24" i="67"/>
  <c r="J23" i="67"/>
  <c r="J15" i="67"/>
  <c r="J11" i="67"/>
  <c r="J19" i="67"/>
  <c r="M10" i="86"/>
  <c r="U10" i="86" s="1"/>
  <c r="M6" i="86"/>
  <c r="U6" i="86" s="1"/>
  <c r="M11" i="86"/>
  <c r="U11" i="86" s="1"/>
  <c r="M13" i="86"/>
  <c r="U13" i="86" s="1"/>
  <c r="M7" i="86"/>
  <c r="U7" i="86" s="1"/>
  <c r="M12" i="86"/>
  <c r="U12" i="86" s="1"/>
  <c r="M9" i="86"/>
  <c r="U9" i="86" s="1"/>
  <c r="M5" i="86"/>
  <c r="M8" i="86"/>
  <c r="U8" i="86" s="1"/>
  <c r="J25" i="67"/>
  <c r="J12" i="67"/>
  <c r="Y17" i="55"/>
  <c r="AE17" i="55"/>
  <c r="AC66" i="55"/>
  <c r="AA76" i="55"/>
  <c r="AD85" i="55"/>
  <c r="AB95" i="55"/>
  <c r="AB14" i="55"/>
  <c r="AC33" i="55"/>
  <c r="AA43" i="55"/>
  <c r="AE71" i="55"/>
  <c r="AC81" i="55"/>
  <c r="AA70" i="55"/>
  <c r="AB89" i="55"/>
  <c r="X103" i="55"/>
  <c r="U100" i="55"/>
  <c r="W96" i="55"/>
  <c r="U95" i="55"/>
  <c r="Y92" i="55"/>
  <c r="W91" i="55"/>
  <c r="Y87" i="55"/>
  <c r="V83" i="55"/>
  <c r="X79" i="55"/>
  <c r="Y77" i="55"/>
  <c r="X70" i="55"/>
  <c r="U67" i="55"/>
  <c r="V65" i="55"/>
  <c r="X61" i="55"/>
  <c r="Y59" i="55"/>
  <c r="U58" i="55"/>
  <c r="AA7" i="55"/>
  <c r="AE35" i="55"/>
  <c r="AD64" i="55"/>
  <c r="AD91" i="55"/>
  <c r="AB59" i="55"/>
  <c r="AA88" i="55"/>
  <c r="AD86" i="55"/>
  <c r="AE93" i="55"/>
  <c r="AE103" i="55"/>
  <c r="AB32" i="55"/>
  <c r="AC51" i="55"/>
  <c r="AC84" i="55"/>
  <c r="AA25" i="55"/>
  <c r="AE53" i="55"/>
  <c r="AD82" i="55"/>
  <c r="AE62" i="55"/>
  <c r="AD46" i="55"/>
  <c r="AB5" i="55"/>
  <c r="AE80" i="55"/>
  <c r="AA19" i="55"/>
  <c r="AD28" i="55"/>
  <c r="AE47" i="55"/>
  <c r="AC57" i="55"/>
  <c r="AE98" i="55"/>
  <c r="AB8" i="55"/>
  <c r="X94" i="55"/>
  <c r="AD104" i="55"/>
  <c r="U37" i="55"/>
  <c r="AA37" i="55"/>
  <c r="AD10" i="55"/>
  <c r="AE29" i="55"/>
  <c r="AC39" i="55"/>
  <c r="AB68" i="55"/>
  <c r="AE11" i="55"/>
  <c r="AC21" i="55"/>
  <c r="AD40" i="55"/>
  <c r="AB50" i="55"/>
  <c r="AA79" i="55"/>
  <c r="AB77" i="55"/>
  <c r="AD73" i="55"/>
  <c r="AC102" i="55"/>
  <c r="AC97" i="55"/>
  <c r="AA101" i="55"/>
  <c r="W75" i="55"/>
  <c r="O21" i="86"/>
  <c r="M19" i="86"/>
  <c r="P24" i="86"/>
  <c r="P25" i="86"/>
  <c r="O17" i="86"/>
  <c r="Q34" i="86"/>
  <c r="N25" i="86"/>
  <c r="M24" i="86"/>
  <c r="P31" i="86"/>
  <c r="P29" i="86"/>
  <c r="N35" i="86"/>
  <c r="P41" i="86"/>
  <c r="Q43" i="86"/>
  <c r="M28" i="86"/>
  <c r="O39" i="86"/>
  <c r="Q49" i="86"/>
  <c r="O37" i="86"/>
  <c r="Q32" i="86"/>
  <c r="N23" i="86"/>
  <c r="Q47" i="86"/>
  <c r="N20" i="86"/>
  <c r="Q29" i="86"/>
  <c r="Q28" i="86"/>
  <c r="Q30" i="86"/>
  <c r="N17" i="86"/>
  <c r="M22" i="86"/>
  <c r="Q37" i="86"/>
  <c r="M23" i="86"/>
  <c r="O27" i="86"/>
  <c r="P33" i="86"/>
  <c r="O32" i="86"/>
  <c r="P40" i="86"/>
  <c r="Q50" i="86"/>
  <c r="P36" i="86"/>
  <c r="O41" i="86"/>
  <c r="N30" i="86"/>
  <c r="M31" i="86"/>
  <c r="O26" i="86"/>
  <c r="P45" i="86"/>
  <c r="N18" i="86"/>
  <c r="M18" i="86"/>
  <c r="M17" i="86"/>
  <c r="O19" i="86"/>
  <c r="O25" i="86"/>
  <c r="M20" i="86"/>
  <c r="Q35" i="86"/>
  <c r="M27" i="86"/>
  <c r="O31" i="86"/>
  <c r="P43" i="86"/>
  <c r="O35" i="86"/>
  <c r="O36" i="86"/>
  <c r="M38" i="86"/>
  <c r="M32" i="86"/>
  <c r="N37" i="86"/>
  <c r="Q46" i="86"/>
  <c r="M35" i="86"/>
  <c r="Q36" i="86"/>
  <c r="Q44" i="86"/>
  <c r="P21" i="86"/>
  <c r="N19" i="86"/>
  <c r="O20" i="86"/>
  <c r="Q31" i="86"/>
  <c r="N22" i="86"/>
  <c r="O29" i="86"/>
  <c r="Q40" i="86"/>
  <c r="Q38" i="86"/>
  <c r="Q39" i="86"/>
  <c r="O34" i="86"/>
  <c r="M34" i="86"/>
  <c r="O40" i="86"/>
  <c r="M37" i="86"/>
  <c r="M30" i="86"/>
  <c r="N40" i="86"/>
  <c r="P35" i="86"/>
  <c r="M36" i="86"/>
  <c r="N16" i="86"/>
  <c r="P27" i="86"/>
  <c r="P46" i="86"/>
  <c r="P26" i="86"/>
  <c r="Q27" i="86"/>
  <c r="P20" i="86"/>
  <c r="O23" i="86"/>
  <c r="N28" i="86"/>
  <c r="N24" i="86"/>
  <c r="M25" i="86"/>
  <c r="O30" i="86"/>
  <c r="Q41" i="86"/>
  <c r="O33" i="86"/>
  <c r="N31" i="86"/>
  <c r="P38" i="86"/>
  <c r="N36" i="86"/>
  <c r="M33" i="86"/>
  <c r="Q45" i="86"/>
  <c r="P44" i="86"/>
  <c r="N34" i="86"/>
  <c r="M15" i="86"/>
  <c r="N33" i="86"/>
  <c r="P23" i="86"/>
  <c r="O18" i="86"/>
  <c r="Q33" i="86"/>
  <c r="O22" i="86"/>
  <c r="P28" i="86"/>
  <c r="P32" i="86"/>
  <c r="M26" i="86"/>
  <c r="N26" i="86"/>
  <c r="M21" i="86"/>
  <c r="N29" i="86"/>
  <c r="N39" i="86"/>
  <c r="N38" i="86"/>
  <c r="Q55" i="86"/>
  <c r="Q54" i="86"/>
  <c r="Q52" i="86"/>
  <c r="P42" i="86"/>
  <c r="P22" i="86"/>
  <c r="P39" i="86"/>
  <c r="Q26" i="86"/>
  <c r="M14" i="86"/>
  <c r="M16" i="86"/>
  <c r="N21" i="86"/>
  <c r="P34" i="86"/>
  <c r="Q42" i="86"/>
  <c r="O28" i="86"/>
  <c r="N27" i="86"/>
  <c r="O24" i="86"/>
  <c r="Q53" i="86"/>
  <c r="N32" i="86"/>
  <c r="Q51" i="86"/>
  <c r="O42" i="86"/>
  <c r="Q48" i="86"/>
  <c r="M29" i="86"/>
  <c r="P37" i="86"/>
  <c r="P30" i="86"/>
  <c r="O38" i="86"/>
  <c r="V17" i="86" l="1"/>
  <c r="W17" i="86"/>
  <c r="U15" i="86"/>
  <c r="V21" i="86"/>
  <c r="W22" i="86"/>
  <c r="W23" i="86"/>
  <c r="Y31" i="86"/>
  <c r="W19" i="86"/>
  <c r="Y30" i="86"/>
  <c r="X25" i="86"/>
  <c r="X22" i="86"/>
  <c r="U16" i="86"/>
  <c r="Y33" i="86"/>
  <c r="X20" i="86"/>
  <c r="W20" i="86"/>
  <c r="U17" i="86"/>
  <c r="Y28" i="86"/>
  <c r="X24" i="86"/>
  <c r="V16" i="86"/>
  <c r="U14" i="86"/>
  <c r="W18" i="86"/>
  <c r="Y27" i="86"/>
  <c r="V19" i="86"/>
  <c r="U18" i="86"/>
  <c r="Y29" i="86"/>
  <c r="U19" i="86"/>
  <c r="Y32" i="86"/>
  <c r="Y26" i="86"/>
  <c r="X23" i="86"/>
  <c r="X26" i="86"/>
  <c r="X21" i="86"/>
  <c r="V18" i="86"/>
  <c r="V20" i="86"/>
  <c r="W21" i="86"/>
  <c r="X33" i="86"/>
  <c r="X29" i="86"/>
  <c r="V23" i="86"/>
  <c r="W24" i="86"/>
  <c r="U21" i="86"/>
  <c r="Y41" i="86"/>
  <c r="Y39" i="86"/>
  <c r="W31" i="86"/>
  <c r="W27" i="86"/>
  <c r="X31" i="86"/>
  <c r="X27" i="86"/>
  <c r="V27" i="86"/>
  <c r="V26" i="86"/>
  <c r="W30" i="86"/>
  <c r="Y38" i="86"/>
  <c r="U27" i="86"/>
  <c r="U23" i="86"/>
  <c r="U24" i="86"/>
  <c r="X30" i="86"/>
  <c r="W28" i="86"/>
  <c r="U26" i="86"/>
  <c r="U25" i="86"/>
  <c r="Y40" i="86"/>
  <c r="Y35" i="86"/>
  <c r="Y37" i="86"/>
  <c r="V25" i="86"/>
  <c r="W26" i="86"/>
  <c r="Y42" i="86"/>
  <c r="X32" i="86"/>
  <c r="V24" i="86"/>
  <c r="W29" i="86"/>
  <c r="U20" i="86"/>
  <c r="U22" i="86"/>
  <c r="Y34" i="86"/>
  <c r="Y36" i="86"/>
  <c r="X34" i="86"/>
  <c r="X28" i="86"/>
  <c r="V28" i="86"/>
  <c r="V22" i="86"/>
  <c r="W25" i="86"/>
  <c r="U37" i="86"/>
  <c r="Y53" i="86"/>
  <c r="V34" i="86"/>
  <c r="U30" i="86"/>
  <c r="Y55" i="86"/>
  <c r="Y46" i="86"/>
  <c r="U35" i="86"/>
  <c r="U28" i="86"/>
  <c r="U33" i="86"/>
  <c r="Y48" i="86"/>
  <c r="X35" i="86"/>
  <c r="X44" i="86"/>
  <c r="V33" i="86"/>
  <c r="W38" i="86"/>
  <c r="W32" i="86"/>
  <c r="U38" i="86"/>
  <c r="Y47" i="86"/>
  <c r="X46" i="86"/>
  <c r="V29" i="86"/>
  <c r="W41" i="86"/>
  <c r="X45" i="86"/>
  <c r="V36" i="86"/>
  <c r="Y52" i="86"/>
  <c r="Y50" i="86"/>
  <c r="Y45" i="86"/>
  <c r="X42" i="86"/>
  <c r="V38" i="86"/>
  <c r="W42" i="86"/>
  <c r="W34" i="86"/>
  <c r="Y51" i="86"/>
  <c r="X37" i="86"/>
  <c r="X38" i="86"/>
  <c r="X36" i="86"/>
  <c r="V37" i="86"/>
  <c r="W37" i="86"/>
  <c r="Y43" i="86"/>
  <c r="V30" i="86"/>
  <c r="V32" i="86"/>
  <c r="V39" i="86"/>
  <c r="W36" i="86"/>
  <c r="U34" i="86"/>
  <c r="Y44" i="86"/>
  <c r="U36" i="86"/>
  <c r="X41" i="86"/>
  <c r="U31" i="86"/>
  <c r="X43" i="86"/>
  <c r="V40" i="86"/>
  <c r="V35" i="86"/>
  <c r="W40" i="86"/>
  <c r="W35" i="86"/>
  <c r="W39" i="86"/>
  <c r="W33" i="86"/>
  <c r="U29" i="86"/>
  <c r="Y54" i="86"/>
  <c r="U32" i="86"/>
  <c r="Y49" i="86"/>
  <c r="X39" i="86"/>
  <c r="X40" i="86"/>
  <c r="V31" i="86"/>
  <c r="W5" i="86"/>
  <c r="X5" i="86"/>
  <c r="Y5" i="86"/>
  <c r="V5" i="86"/>
  <c r="U5" i="86"/>
  <c r="J10" i="67"/>
  <c r="Q149" i="86"/>
  <c r="Q112" i="86"/>
  <c r="P98" i="86"/>
  <c r="M61" i="86"/>
  <c r="N149" i="86"/>
  <c r="N102" i="86"/>
  <c r="P138" i="86"/>
  <c r="Q66" i="86"/>
  <c r="Q83" i="86"/>
  <c r="O115" i="86"/>
  <c r="O94" i="86"/>
  <c r="Q71" i="86"/>
  <c r="N44" i="86"/>
  <c r="P118" i="86"/>
  <c r="P84" i="86"/>
  <c r="Q56" i="86"/>
  <c r="N94" i="86"/>
  <c r="M55" i="86"/>
  <c r="P107" i="86"/>
  <c r="N129" i="86"/>
  <c r="O145" i="86"/>
  <c r="N147" i="86"/>
  <c r="O131" i="86"/>
  <c r="N151" i="86"/>
  <c r="M78" i="86"/>
  <c r="N95" i="86"/>
  <c r="N66" i="86"/>
  <c r="Q58" i="86"/>
  <c r="M95" i="86"/>
  <c r="O86" i="86"/>
  <c r="M144" i="86"/>
  <c r="M153" i="86"/>
  <c r="O57" i="86"/>
  <c r="O123" i="86"/>
  <c r="O112" i="86"/>
  <c r="O49" i="86"/>
  <c r="Q116" i="86"/>
  <c r="P139" i="86"/>
  <c r="O152" i="86"/>
  <c r="Q77" i="86"/>
  <c r="M62" i="86"/>
  <c r="Q155" i="86"/>
  <c r="Q72" i="86"/>
  <c r="M83" i="86"/>
  <c r="N117" i="86"/>
  <c r="Q128" i="86"/>
  <c r="O88" i="86"/>
  <c r="N156" i="86"/>
  <c r="Q164" i="86"/>
  <c r="M60" i="86"/>
  <c r="M112" i="86"/>
  <c r="P106" i="86"/>
  <c r="O100" i="86"/>
  <c r="M122" i="86"/>
  <c r="Q108" i="86"/>
  <c r="N126" i="86"/>
  <c r="P87" i="86"/>
  <c r="N114" i="86"/>
  <c r="P71" i="86"/>
  <c r="O130" i="86"/>
  <c r="O76" i="86"/>
  <c r="Q154" i="86"/>
  <c r="P143" i="86"/>
  <c r="N123" i="86"/>
  <c r="M106" i="86"/>
  <c r="O72" i="86"/>
  <c r="N92" i="86"/>
  <c r="N71" i="86"/>
  <c r="N119" i="86"/>
  <c r="N62" i="86"/>
  <c r="M124" i="86"/>
  <c r="O69" i="86"/>
  <c r="O119" i="86"/>
  <c r="O67" i="86"/>
  <c r="N68" i="86"/>
  <c r="O105" i="86"/>
  <c r="P95" i="86"/>
  <c r="O73" i="86"/>
  <c r="M91" i="86"/>
  <c r="P110" i="86"/>
  <c r="O64" i="86"/>
  <c r="O92" i="86"/>
  <c r="P151" i="86"/>
  <c r="M93" i="86"/>
  <c r="Q152" i="86"/>
  <c r="Q144" i="86"/>
  <c r="P51" i="86"/>
  <c r="N109" i="86"/>
  <c r="P124" i="86"/>
  <c r="N135" i="86"/>
  <c r="M77" i="86"/>
  <c r="O117" i="86"/>
  <c r="N111" i="86"/>
  <c r="P150" i="86"/>
  <c r="M70" i="86"/>
  <c r="P128" i="86"/>
  <c r="N69" i="86"/>
  <c r="P131" i="86"/>
  <c r="N64" i="86"/>
  <c r="M149" i="86"/>
  <c r="Q123" i="86"/>
  <c r="N82" i="86"/>
  <c r="Q68" i="86"/>
  <c r="O154" i="86"/>
  <c r="Q105" i="86"/>
  <c r="P111" i="86"/>
  <c r="M139" i="86"/>
  <c r="P157" i="86"/>
  <c r="O99" i="86"/>
  <c r="Q117" i="86"/>
  <c r="M81" i="86"/>
  <c r="Q86" i="86"/>
  <c r="P158" i="86"/>
  <c r="N47" i="86"/>
  <c r="N90" i="86"/>
  <c r="P116" i="86"/>
  <c r="Q78" i="86"/>
  <c r="O51" i="86"/>
  <c r="Q126" i="86"/>
  <c r="M127" i="86"/>
  <c r="M56" i="86"/>
  <c r="O138" i="86"/>
  <c r="M103" i="86"/>
  <c r="Q151" i="86"/>
  <c r="N59" i="86"/>
  <c r="N7" i="87"/>
  <c r="Q8" i="87"/>
  <c r="P75" i="86"/>
  <c r="O147" i="86"/>
  <c r="Q57" i="86"/>
  <c r="P148" i="86"/>
  <c r="P61" i="86"/>
  <c r="P60" i="86"/>
  <c r="BM7" i="87"/>
  <c r="N55" i="86"/>
  <c r="N79" i="86"/>
  <c r="O120" i="86"/>
  <c r="Q145" i="86"/>
  <c r="M131" i="86"/>
  <c r="M86" i="86"/>
  <c r="M51" i="86"/>
  <c r="N132" i="86"/>
  <c r="O128" i="86"/>
  <c r="P100" i="86"/>
  <c r="O87" i="86"/>
  <c r="M152" i="86"/>
  <c r="N121" i="86"/>
  <c r="P52" i="86"/>
  <c r="Q104" i="86"/>
  <c r="M104" i="86"/>
  <c r="O163" i="86"/>
  <c r="P121" i="86"/>
  <c r="Q153" i="86"/>
  <c r="Q94" i="86"/>
  <c r="Q140" i="86"/>
  <c r="Q131" i="86"/>
  <c r="P115" i="86"/>
  <c r="P130" i="86"/>
  <c r="Q76" i="86"/>
  <c r="N48" i="86"/>
  <c r="M42" i="86"/>
  <c r="M43" i="86"/>
  <c r="M154" i="86"/>
  <c r="N91" i="86"/>
  <c r="AX8" i="87"/>
  <c r="O127" i="86"/>
  <c r="M160" i="86"/>
  <c r="P155" i="86"/>
  <c r="Q102" i="86"/>
  <c r="O90" i="86"/>
  <c r="Q160" i="86"/>
  <c r="N110" i="86"/>
  <c r="N163" i="86"/>
  <c r="N105" i="86"/>
  <c r="O162" i="86"/>
  <c r="O148" i="86"/>
  <c r="Q99" i="86"/>
  <c r="O60" i="86"/>
  <c r="Q137" i="86"/>
  <c r="O45" i="86"/>
  <c r="M100" i="86"/>
  <c r="M76" i="86"/>
  <c r="P145" i="86"/>
  <c r="Q67" i="86"/>
  <c r="M88" i="86"/>
  <c r="Q95" i="86"/>
  <c r="M117" i="86"/>
  <c r="N120" i="86"/>
  <c r="P104" i="86"/>
  <c r="N41" i="86"/>
  <c r="Q90" i="86"/>
  <c r="O140" i="86"/>
  <c r="O136" i="86"/>
  <c r="P76" i="86"/>
  <c r="N72" i="86"/>
  <c r="N159" i="86"/>
  <c r="P109" i="86"/>
  <c r="M125" i="86"/>
  <c r="Q64" i="86"/>
  <c r="P83" i="86"/>
  <c r="N75" i="86"/>
  <c r="Q59" i="86"/>
  <c r="M67" i="86"/>
  <c r="N67" i="86"/>
  <c r="O142" i="86"/>
  <c r="O134" i="86"/>
  <c r="P49" i="86"/>
  <c r="N87" i="86"/>
  <c r="N161" i="86"/>
  <c r="Q124" i="86"/>
  <c r="O153" i="86"/>
  <c r="P94" i="86"/>
  <c r="P65" i="86"/>
  <c r="Q148" i="86"/>
  <c r="N76" i="86"/>
  <c r="N42" i="86"/>
  <c r="Q139" i="86"/>
  <c r="P97" i="86"/>
  <c r="N97" i="86"/>
  <c r="Q147" i="86"/>
  <c r="O85" i="86"/>
  <c r="O74" i="86"/>
  <c r="P62" i="86"/>
  <c r="Q122" i="86"/>
  <c r="N157" i="86"/>
  <c r="M133" i="86"/>
  <c r="M148" i="86"/>
  <c r="M115" i="86"/>
  <c r="M40" i="86"/>
  <c r="N142" i="86"/>
  <c r="Q136" i="86"/>
  <c r="M50" i="86"/>
  <c r="Q80" i="86"/>
  <c r="O135" i="86"/>
  <c r="M120" i="86"/>
  <c r="P91" i="86"/>
  <c r="P63" i="86"/>
  <c r="N118" i="86"/>
  <c r="Q88" i="86"/>
  <c r="O91" i="86"/>
  <c r="M111" i="86"/>
  <c r="Q81" i="86"/>
  <c r="N131" i="86"/>
  <c r="O47" i="86"/>
  <c r="AE8" i="87"/>
  <c r="N88" i="86"/>
  <c r="M79" i="86"/>
  <c r="M49" i="86"/>
  <c r="O95" i="86"/>
  <c r="P92" i="86"/>
  <c r="N73" i="86"/>
  <c r="P85" i="86"/>
  <c r="M129" i="86"/>
  <c r="Q113" i="86"/>
  <c r="O82" i="86"/>
  <c r="N93" i="86"/>
  <c r="O129" i="86"/>
  <c r="P154" i="86"/>
  <c r="Q85" i="86"/>
  <c r="Q106" i="86"/>
  <c r="N130" i="86"/>
  <c r="O80" i="86"/>
  <c r="Q132" i="86"/>
  <c r="Q130" i="86"/>
  <c r="O146" i="86"/>
  <c r="AW8" i="87"/>
  <c r="P57" i="86"/>
  <c r="M72" i="86"/>
  <c r="O61" i="86"/>
  <c r="N61" i="86"/>
  <c r="O164" i="86"/>
  <c r="M155" i="86"/>
  <c r="N107" i="86"/>
  <c r="M123" i="86"/>
  <c r="N52" i="86"/>
  <c r="O48" i="86"/>
  <c r="M146" i="86"/>
  <c r="N43" i="86"/>
  <c r="O150" i="86"/>
  <c r="M98" i="86"/>
  <c r="Q82" i="86"/>
  <c r="P70" i="86"/>
  <c r="P123" i="86"/>
  <c r="N108" i="86"/>
  <c r="M84" i="86"/>
  <c r="O71" i="86"/>
  <c r="N158" i="86"/>
  <c r="P101" i="86"/>
  <c r="O58" i="86"/>
  <c r="O75" i="86"/>
  <c r="Q93" i="86"/>
  <c r="AG8" i="87"/>
  <c r="P89" i="86"/>
  <c r="P69" i="86"/>
  <c r="P50" i="86"/>
  <c r="Q73" i="86"/>
  <c r="O65" i="86"/>
  <c r="M85" i="86"/>
  <c r="M89" i="86"/>
  <c r="O106" i="86"/>
  <c r="M53" i="86"/>
  <c r="Q62" i="86"/>
  <c r="P142" i="86"/>
  <c r="Q60" i="86"/>
  <c r="M44" i="86"/>
  <c r="M75" i="86"/>
  <c r="P161" i="86"/>
  <c r="P113" i="86"/>
  <c r="Q163" i="86"/>
  <c r="Q75" i="86"/>
  <c r="N116" i="86"/>
  <c r="P112" i="86"/>
  <c r="P125" i="86"/>
  <c r="Q156" i="86"/>
  <c r="M141" i="86"/>
  <c r="N164" i="86"/>
  <c r="O77" i="86"/>
  <c r="Q159" i="86"/>
  <c r="M159" i="86"/>
  <c r="Q114" i="86"/>
  <c r="Q92" i="86"/>
  <c r="O62" i="86"/>
  <c r="N46" i="86"/>
  <c r="M136" i="86"/>
  <c r="N136" i="86"/>
  <c r="P99" i="86"/>
  <c r="P108" i="86"/>
  <c r="Q111" i="86"/>
  <c r="M107" i="86"/>
  <c r="O151" i="86"/>
  <c r="P54" i="86"/>
  <c r="P122" i="86"/>
  <c r="O107" i="86"/>
  <c r="N65" i="86"/>
  <c r="O68" i="86"/>
  <c r="P67" i="86"/>
  <c r="P126" i="86"/>
  <c r="O159" i="86"/>
  <c r="Q110" i="86"/>
  <c r="M87" i="86"/>
  <c r="Q142" i="86"/>
  <c r="N86" i="86"/>
  <c r="P82" i="86"/>
  <c r="N150" i="86"/>
  <c r="Q79" i="86"/>
  <c r="P120" i="86"/>
  <c r="Q74" i="86"/>
  <c r="O124" i="86"/>
  <c r="M66" i="86"/>
  <c r="O55" i="86"/>
  <c r="M69" i="86"/>
  <c r="O56" i="86"/>
  <c r="N113" i="86"/>
  <c r="Q158" i="86"/>
  <c r="M113" i="86"/>
  <c r="N154" i="86"/>
  <c r="M41" i="86"/>
  <c r="N144" i="86"/>
  <c r="N103" i="86"/>
  <c r="M145" i="86"/>
  <c r="N63" i="86"/>
  <c r="P103" i="86"/>
  <c r="O97" i="86"/>
  <c r="P147" i="86"/>
  <c r="AU7" i="87"/>
  <c r="M71" i="86"/>
  <c r="N80" i="86"/>
  <c r="M46" i="86"/>
  <c r="O122" i="86"/>
  <c r="N124" i="86"/>
  <c r="O46" i="86"/>
  <c r="Q127" i="86"/>
  <c r="N128" i="86"/>
  <c r="N115" i="86"/>
  <c r="O93" i="86"/>
  <c r="O113" i="86"/>
  <c r="M157" i="86"/>
  <c r="Q161" i="86"/>
  <c r="P58" i="86"/>
  <c r="AT7" i="87"/>
  <c r="M74" i="86"/>
  <c r="N127" i="86"/>
  <c r="P146" i="86"/>
  <c r="M142" i="86"/>
  <c r="N104" i="86"/>
  <c r="M102" i="86"/>
  <c r="P81" i="86"/>
  <c r="N81" i="86"/>
  <c r="M80" i="86"/>
  <c r="O63" i="86"/>
  <c r="Q96" i="86"/>
  <c r="Q100" i="86"/>
  <c r="O101" i="86"/>
  <c r="P90" i="86"/>
  <c r="M156" i="86"/>
  <c r="O156" i="86"/>
  <c r="P88" i="86"/>
  <c r="M138" i="86"/>
  <c r="P78" i="86"/>
  <c r="P144" i="86"/>
  <c r="O111" i="86"/>
  <c r="N162" i="86"/>
  <c r="P164" i="86"/>
  <c r="N74" i="86"/>
  <c r="O118" i="86"/>
  <c r="P59" i="86"/>
  <c r="N85" i="86"/>
  <c r="M158" i="86"/>
  <c r="M92" i="86"/>
  <c r="P48" i="86"/>
  <c r="N152" i="86"/>
  <c r="O96" i="86"/>
  <c r="N77" i="86"/>
  <c r="P132" i="86"/>
  <c r="M68" i="86"/>
  <c r="M90" i="86"/>
  <c r="Q87" i="86"/>
  <c r="AF7" i="87"/>
  <c r="Q84" i="86"/>
  <c r="M47" i="86"/>
  <c r="O161" i="86"/>
  <c r="P73" i="86"/>
  <c r="M58" i="86"/>
  <c r="O102" i="86"/>
  <c r="O52" i="86"/>
  <c r="N98" i="86"/>
  <c r="M109" i="86"/>
  <c r="P127" i="86"/>
  <c r="O109" i="86"/>
  <c r="R7" i="87"/>
  <c r="O103" i="86"/>
  <c r="Q89" i="86"/>
  <c r="N51" i="86"/>
  <c r="P137" i="86"/>
  <c r="Q135" i="86"/>
  <c r="P64" i="86"/>
  <c r="M63" i="86"/>
  <c r="M126" i="86"/>
  <c r="M163" i="86"/>
  <c r="P119" i="86"/>
  <c r="M162" i="86"/>
  <c r="M118" i="86"/>
  <c r="AD8" i="87"/>
  <c r="N54" i="86"/>
  <c r="M52" i="86"/>
  <c r="N53" i="86"/>
  <c r="M59" i="86"/>
  <c r="P102" i="86"/>
  <c r="N45" i="86"/>
  <c r="P140" i="86"/>
  <c r="Q101" i="86"/>
  <c r="M54" i="86"/>
  <c r="P77" i="86"/>
  <c r="M161" i="86"/>
  <c r="P80" i="86"/>
  <c r="N83" i="86"/>
  <c r="M121" i="86"/>
  <c r="O155" i="86"/>
  <c r="M164" i="86"/>
  <c r="M143" i="86"/>
  <c r="N139" i="86"/>
  <c r="O157" i="86"/>
  <c r="M119" i="86"/>
  <c r="M108" i="86"/>
  <c r="O158" i="86"/>
  <c r="Q70" i="86"/>
  <c r="N134" i="86"/>
  <c r="O78" i="86"/>
  <c r="N143" i="86"/>
  <c r="Q98" i="86"/>
  <c r="M73" i="86"/>
  <c r="O133" i="86"/>
  <c r="O137" i="86"/>
  <c r="O79" i="86"/>
  <c r="Q69" i="86"/>
  <c r="P8" i="87"/>
  <c r="N146" i="86"/>
  <c r="P134" i="86"/>
  <c r="N153" i="86"/>
  <c r="P156" i="86"/>
  <c r="O125" i="86"/>
  <c r="Q150" i="86"/>
  <c r="Q65" i="86"/>
  <c r="N50" i="86"/>
  <c r="Q97" i="86"/>
  <c r="N133" i="86"/>
  <c r="P66" i="86"/>
  <c r="N145" i="86"/>
  <c r="Q61" i="86"/>
  <c r="O43" i="86"/>
  <c r="M110" i="86"/>
  <c r="M137" i="86"/>
  <c r="O108" i="86"/>
  <c r="O139" i="86"/>
  <c r="P162" i="86"/>
  <c r="P53" i="86"/>
  <c r="O104" i="86"/>
  <c r="O81" i="86"/>
  <c r="M57" i="86"/>
  <c r="N122" i="86"/>
  <c r="M96" i="86"/>
  <c r="M128" i="86"/>
  <c r="P105" i="86"/>
  <c r="O89" i="86"/>
  <c r="N60" i="86"/>
  <c r="P159" i="86"/>
  <c r="Q119" i="86"/>
  <c r="O143" i="86"/>
  <c r="N112" i="86"/>
  <c r="N140" i="86"/>
  <c r="O70" i="86"/>
  <c r="M114" i="86"/>
  <c r="P149" i="86"/>
  <c r="P96" i="86"/>
  <c r="P72" i="86"/>
  <c r="N125" i="86"/>
  <c r="Q91" i="86"/>
  <c r="Q109" i="86"/>
  <c r="O114" i="86"/>
  <c r="Q115" i="86"/>
  <c r="O53" i="86"/>
  <c r="N101" i="86"/>
  <c r="O144" i="86"/>
  <c r="M97" i="86"/>
  <c r="P93" i="86"/>
  <c r="N57" i="86"/>
  <c r="O50" i="86"/>
  <c r="O149" i="86"/>
  <c r="AV7" i="87"/>
  <c r="Q121" i="86"/>
  <c r="Q63" i="86"/>
  <c r="P129" i="86"/>
  <c r="O84" i="86"/>
  <c r="O98" i="86"/>
  <c r="N99" i="86"/>
  <c r="Q120" i="86"/>
  <c r="N100" i="86"/>
  <c r="O126" i="86"/>
  <c r="M151" i="86"/>
  <c r="Q125" i="86"/>
  <c r="N56" i="86"/>
  <c r="O121" i="86"/>
  <c r="M132" i="86"/>
  <c r="Q129" i="86"/>
  <c r="P74" i="86"/>
  <c r="N106" i="86"/>
  <c r="M64" i="86"/>
  <c r="N155" i="86"/>
  <c r="P47" i="86"/>
  <c r="M45" i="86"/>
  <c r="Q118" i="86"/>
  <c r="M99" i="86"/>
  <c r="O160" i="86"/>
  <c r="P141" i="86"/>
  <c r="O110" i="86"/>
  <c r="P79" i="86"/>
  <c r="M82" i="86"/>
  <c r="O132" i="86"/>
  <c r="P160" i="86"/>
  <c r="P163" i="86"/>
  <c r="P135" i="86"/>
  <c r="O116" i="86"/>
  <c r="N96" i="86"/>
  <c r="N70" i="86"/>
  <c r="Q141" i="86"/>
  <c r="Q107" i="86"/>
  <c r="P153" i="86"/>
  <c r="M150" i="86"/>
  <c r="M65" i="86"/>
  <c r="Q157" i="86"/>
  <c r="O59" i="86"/>
  <c r="N160" i="86"/>
  <c r="P55" i="86"/>
  <c r="N138" i="86"/>
  <c r="N58" i="86"/>
  <c r="O66" i="86"/>
  <c r="M39" i="86"/>
  <c r="O141" i="86"/>
  <c r="P86" i="86"/>
  <c r="Q162" i="86"/>
  <c r="P68" i="86"/>
  <c r="P133" i="86"/>
  <c r="N49" i="86"/>
  <c r="N137" i="86"/>
  <c r="M135" i="86"/>
  <c r="Q133" i="86"/>
  <c r="Q103" i="86"/>
  <c r="M134" i="86"/>
  <c r="P56" i="86"/>
  <c r="Q146" i="86"/>
  <c r="O44" i="86"/>
  <c r="P114" i="86"/>
  <c r="O54" i="86"/>
  <c r="Q138" i="86"/>
  <c r="M116" i="86"/>
  <c r="N84" i="86"/>
  <c r="M140" i="86"/>
  <c r="N89" i="86"/>
  <c r="N141" i="86"/>
  <c r="O7" i="87"/>
  <c r="M101" i="86"/>
  <c r="N78" i="86"/>
  <c r="O83" i="86"/>
  <c r="P136" i="86"/>
  <c r="P152" i="86"/>
  <c r="M130" i="86"/>
  <c r="P117" i="86"/>
  <c r="M105" i="86"/>
  <c r="N148" i="86"/>
  <c r="Q134" i="86"/>
  <c r="M94" i="86"/>
  <c r="M147" i="86"/>
  <c r="Q143" i="86"/>
  <c r="AH7" i="87"/>
  <c r="M48" i="86"/>
  <c r="X157" i="86" l="1"/>
  <c r="X158" i="86"/>
  <c r="W150" i="86"/>
  <c r="V119" i="86"/>
  <c r="W141" i="86"/>
  <c r="U60" i="86"/>
  <c r="U149" i="86"/>
  <c r="U110" i="86"/>
  <c r="X61" i="86"/>
  <c r="W50" i="86"/>
  <c r="V116" i="86"/>
  <c r="X54" i="86"/>
  <c r="W46" i="86"/>
  <c r="Y153" i="86"/>
  <c r="U79" i="86"/>
  <c r="Y58" i="86"/>
  <c r="V156" i="86"/>
  <c r="U59" i="86"/>
  <c r="Y142" i="86"/>
  <c r="V150" i="86"/>
  <c r="W73" i="86"/>
  <c r="Y63" i="86"/>
  <c r="V138" i="86"/>
  <c r="X149" i="86"/>
  <c r="U158" i="86"/>
  <c r="V90" i="86"/>
  <c r="X146" i="86"/>
  <c r="U126" i="86"/>
  <c r="V82" i="86"/>
  <c r="X104" i="86"/>
  <c r="Y102" i="86"/>
  <c r="Y68" i="86"/>
  <c r="V80" i="86"/>
  <c r="V108" i="86"/>
  <c r="X64" i="86"/>
  <c r="W100" i="86"/>
  <c r="X47" i="86"/>
  <c r="Y101" i="86"/>
  <c r="W67" i="86"/>
  <c r="X135" i="86"/>
  <c r="U40" i="86"/>
  <c r="V68" i="86"/>
  <c r="X147" i="86"/>
  <c r="X110" i="86"/>
  <c r="U102" i="86"/>
  <c r="V95" i="86"/>
  <c r="Y81" i="86"/>
  <c r="V136" i="86"/>
  <c r="U53" i="86"/>
  <c r="W52" i="86"/>
  <c r="W128" i="86"/>
  <c r="U39" i="86"/>
  <c r="V57" i="86"/>
  <c r="X89" i="86"/>
  <c r="U137" i="86"/>
  <c r="V125" i="86"/>
  <c r="Y104" i="86"/>
  <c r="W92" i="86"/>
  <c r="V67" i="86"/>
  <c r="X159" i="86"/>
  <c r="U153" i="86"/>
  <c r="X164" i="86"/>
  <c r="U49" i="86"/>
  <c r="X62" i="86"/>
  <c r="Y134" i="86"/>
  <c r="U51" i="86"/>
  <c r="X74" i="86"/>
  <c r="Y93" i="86"/>
  <c r="W139" i="86"/>
  <c r="X107" i="86"/>
  <c r="U75" i="86"/>
  <c r="W107" i="86"/>
  <c r="Y67" i="86"/>
  <c r="V49" i="86"/>
  <c r="U138" i="86"/>
  <c r="Y62" i="86"/>
  <c r="U120" i="86"/>
  <c r="W90" i="86"/>
  <c r="Y73" i="86"/>
  <c r="W117" i="86"/>
  <c r="X85" i="86"/>
  <c r="U64" i="86"/>
  <c r="X140" i="86"/>
  <c r="U163" i="86"/>
  <c r="X141" i="86"/>
  <c r="W136" i="86"/>
  <c r="W74" i="86"/>
  <c r="Y75" i="86"/>
  <c r="X88" i="86"/>
  <c r="X139" i="86"/>
  <c r="V83" i="86"/>
  <c r="Y133" i="86"/>
  <c r="X115" i="86"/>
  <c r="V131" i="86"/>
  <c r="V147" i="86"/>
  <c r="U82" i="86"/>
  <c r="Y124" i="86"/>
  <c r="X123" i="86"/>
  <c r="V139" i="86"/>
  <c r="V63" i="86"/>
  <c r="W85" i="86"/>
  <c r="W68" i="86"/>
  <c r="U90" i="86"/>
  <c r="U107" i="86"/>
  <c r="Y115" i="86"/>
  <c r="Y99" i="86"/>
  <c r="X127" i="86"/>
  <c r="X155" i="86"/>
  <c r="V142" i="86"/>
  <c r="V164" i="86"/>
  <c r="W153" i="86"/>
  <c r="W129" i="86"/>
  <c r="U94" i="86"/>
  <c r="U52" i="86"/>
  <c r="Y106" i="86"/>
  <c r="X137" i="86"/>
  <c r="X129" i="86"/>
  <c r="V129" i="86"/>
  <c r="V92" i="86"/>
  <c r="W146" i="86"/>
  <c r="W108" i="86"/>
  <c r="U86" i="86"/>
  <c r="U70" i="86"/>
  <c r="Y100" i="86"/>
  <c r="Y96" i="86"/>
  <c r="X91" i="86"/>
  <c r="X60" i="86"/>
  <c r="V55" i="86"/>
  <c r="V118" i="86"/>
  <c r="W120" i="86"/>
  <c r="W80" i="86"/>
  <c r="U140" i="86"/>
  <c r="X138" i="86"/>
  <c r="X105" i="86"/>
  <c r="Y135" i="86"/>
  <c r="W76" i="86"/>
  <c r="V106" i="86"/>
  <c r="Y150" i="86"/>
  <c r="W53" i="86"/>
  <c r="X94" i="86"/>
  <c r="U143" i="86"/>
  <c r="X130" i="86"/>
  <c r="W134" i="86"/>
  <c r="V144" i="86"/>
  <c r="U84" i="86"/>
  <c r="V140" i="86"/>
  <c r="Y83" i="86"/>
  <c r="U56" i="86"/>
  <c r="V112" i="86"/>
  <c r="Y84" i="86"/>
  <c r="W158" i="86"/>
  <c r="W118" i="86"/>
  <c r="V79" i="86"/>
  <c r="X84" i="86"/>
  <c r="X63" i="86"/>
  <c r="U54" i="86"/>
  <c r="X97" i="86"/>
  <c r="Y136" i="86"/>
  <c r="U161" i="86"/>
  <c r="V48" i="86"/>
  <c r="X100" i="86"/>
  <c r="W137" i="86"/>
  <c r="V51" i="86"/>
  <c r="U62" i="86"/>
  <c r="X148" i="86"/>
  <c r="Y129" i="86"/>
  <c r="V84" i="86"/>
  <c r="V115" i="86"/>
  <c r="V50" i="86"/>
  <c r="U83" i="86"/>
  <c r="Y61" i="86"/>
  <c r="Y131" i="86"/>
  <c r="W155" i="86"/>
  <c r="U65" i="86"/>
  <c r="W89" i="86"/>
  <c r="Y140" i="86"/>
  <c r="X83" i="86"/>
  <c r="W104" i="86"/>
  <c r="X116" i="86"/>
  <c r="Y66" i="86"/>
  <c r="X98" i="86"/>
  <c r="W61" i="86"/>
  <c r="W99" i="86"/>
  <c r="Y60" i="86"/>
  <c r="U145" i="86"/>
  <c r="Y71" i="86"/>
  <c r="X90" i="86"/>
  <c r="W102" i="86"/>
  <c r="Y108" i="86"/>
  <c r="U42" i="86"/>
  <c r="Y111" i="86"/>
  <c r="V41" i="86"/>
  <c r="W111" i="86"/>
  <c r="U129" i="86"/>
  <c r="U151" i="86"/>
  <c r="Y69" i="86"/>
  <c r="X162" i="86"/>
  <c r="X136" i="86"/>
  <c r="V154" i="86"/>
  <c r="V148" i="86"/>
  <c r="W48" i="86"/>
  <c r="W144" i="86"/>
  <c r="U98" i="86"/>
  <c r="U57" i="86"/>
  <c r="Y57" i="86"/>
  <c r="Y72" i="86"/>
  <c r="X163" i="86"/>
  <c r="V97" i="86"/>
  <c r="V60" i="86"/>
  <c r="W121" i="86"/>
  <c r="W82" i="86"/>
  <c r="U46" i="86"/>
  <c r="U116" i="86"/>
  <c r="Y117" i="86"/>
  <c r="Y118" i="86"/>
  <c r="X57" i="86"/>
  <c r="X145" i="86"/>
  <c r="V160" i="86"/>
  <c r="V155" i="86"/>
  <c r="W88" i="86"/>
  <c r="W75" i="86"/>
  <c r="U106" i="86"/>
  <c r="U109" i="86"/>
  <c r="Y164" i="86"/>
  <c r="X103" i="86"/>
  <c r="X73" i="86"/>
  <c r="V109" i="86"/>
  <c r="V52" i="86"/>
  <c r="W114" i="86"/>
  <c r="W59" i="86"/>
  <c r="U47" i="86"/>
  <c r="U76" i="86"/>
  <c r="Y105" i="86"/>
  <c r="Y86" i="86"/>
  <c r="X125" i="86"/>
  <c r="X153" i="86"/>
  <c r="V98" i="86"/>
  <c r="V103" i="86"/>
  <c r="W145" i="86"/>
  <c r="W112" i="86"/>
  <c r="W94" i="86"/>
  <c r="Y158" i="86"/>
  <c r="U112" i="86"/>
  <c r="V159" i="86"/>
  <c r="Y116" i="86"/>
  <c r="W135" i="86"/>
  <c r="V61" i="86"/>
  <c r="Y77" i="86"/>
  <c r="W60" i="86"/>
  <c r="U44" i="86"/>
  <c r="X143" i="86"/>
  <c r="W124" i="86"/>
  <c r="Y123" i="86"/>
  <c r="X86" i="86"/>
  <c r="U135" i="86"/>
  <c r="V105" i="86"/>
  <c r="X53" i="86"/>
  <c r="U58" i="86"/>
  <c r="V145" i="86"/>
  <c r="Y103" i="86"/>
  <c r="V100" i="86"/>
  <c r="W51" i="86"/>
  <c r="W163" i="86"/>
  <c r="Y110" i="86"/>
  <c r="U157" i="86"/>
  <c r="U74" i="86"/>
  <c r="Y78" i="86"/>
  <c r="W161" i="86"/>
  <c r="X134" i="86"/>
  <c r="U139" i="86"/>
  <c r="V124" i="86"/>
  <c r="U150" i="86"/>
  <c r="W131" i="86"/>
  <c r="V43" i="86"/>
  <c r="W116" i="86"/>
  <c r="U71" i="86"/>
  <c r="U134" i="86"/>
  <c r="Y139" i="86"/>
  <c r="U136" i="86"/>
  <c r="U85" i="86"/>
  <c r="Y130" i="86"/>
  <c r="U67" i="86"/>
  <c r="V137" i="86"/>
  <c r="W84" i="86"/>
  <c r="U105" i="86"/>
  <c r="X52" i="86"/>
  <c r="V133" i="86"/>
  <c r="U141" i="86"/>
  <c r="U81" i="86"/>
  <c r="Y64" i="86"/>
  <c r="X87" i="86"/>
  <c r="W95" i="86"/>
  <c r="V94" i="86"/>
  <c r="Y127" i="86"/>
  <c r="X131" i="86"/>
  <c r="W159" i="86"/>
  <c r="W43" i="86"/>
  <c r="X81" i="86"/>
  <c r="Y125" i="86"/>
  <c r="Y59" i="86"/>
  <c r="X119" i="86"/>
  <c r="W91" i="86"/>
  <c r="X128" i="86"/>
  <c r="U152" i="86"/>
  <c r="X114" i="86"/>
  <c r="V120" i="86"/>
  <c r="W154" i="86"/>
  <c r="U159" i="86"/>
  <c r="U148" i="86"/>
  <c r="Y161" i="86"/>
  <c r="X151" i="86"/>
  <c r="X48" i="86"/>
  <c r="V104" i="86"/>
  <c r="V152" i="86"/>
  <c r="W83" i="86"/>
  <c r="W81" i="86"/>
  <c r="U104" i="86"/>
  <c r="U121" i="86"/>
  <c r="Y56" i="86"/>
  <c r="X152" i="86"/>
  <c r="X106" i="86"/>
  <c r="V86" i="86"/>
  <c r="V75" i="86"/>
  <c r="W125" i="86"/>
  <c r="W71" i="86"/>
  <c r="U89" i="86"/>
  <c r="U119" i="86"/>
  <c r="Y97" i="86"/>
  <c r="Y98" i="86"/>
  <c r="X59" i="86"/>
  <c r="X142" i="86"/>
  <c r="V69" i="86"/>
  <c r="V74" i="86"/>
  <c r="W156" i="86"/>
  <c r="U77" i="86"/>
  <c r="U87" i="86"/>
  <c r="Y148" i="86"/>
  <c r="Y70" i="86"/>
  <c r="X58" i="86"/>
  <c r="X112" i="86"/>
  <c r="V87" i="86"/>
  <c r="V128" i="86"/>
  <c r="W77" i="86"/>
  <c r="W57" i="86"/>
  <c r="U162" i="86"/>
  <c r="U73" i="86"/>
  <c r="Y91" i="86"/>
  <c r="Y155" i="86"/>
  <c r="X118" i="86"/>
  <c r="X120" i="86"/>
  <c r="V73" i="86"/>
  <c r="V130" i="86"/>
  <c r="W55" i="86"/>
  <c r="W101" i="86"/>
  <c r="Y80" i="86"/>
  <c r="Y82" i="86"/>
  <c r="W142" i="86"/>
  <c r="X156" i="86"/>
  <c r="U55" i="86"/>
  <c r="W157" i="86"/>
  <c r="X160" i="86"/>
  <c r="U63" i="86"/>
  <c r="W65" i="86"/>
  <c r="V59" i="86"/>
  <c r="W119" i="86"/>
  <c r="U93" i="86"/>
  <c r="X122" i="86"/>
  <c r="W164" i="86"/>
  <c r="U124" i="86"/>
  <c r="W47" i="86"/>
  <c r="X161" i="86"/>
  <c r="U118" i="86"/>
  <c r="V158" i="86"/>
  <c r="Y146" i="86"/>
  <c r="W160" i="86"/>
  <c r="V132" i="86"/>
  <c r="U127" i="86"/>
  <c r="U114" i="86"/>
  <c r="U80" i="86"/>
  <c r="V114" i="86"/>
  <c r="V123" i="86"/>
  <c r="U61" i="86"/>
  <c r="V141" i="86"/>
  <c r="Y79" i="86"/>
  <c r="W143" i="86"/>
  <c r="Y109" i="86"/>
  <c r="V143" i="86"/>
  <c r="Y162" i="86"/>
  <c r="V161" i="86"/>
  <c r="Y137" i="86"/>
  <c r="V44" i="86"/>
  <c r="V153" i="86"/>
  <c r="U41" i="86"/>
  <c r="W130" i="86"/>
  <c r="Y152" i="86"/>
  <c r="V62" i="86"/>
  <c r="V71" i="86"/>
  <c r="U91" i="86"/>
  <c r="U123" i="86"/>
  <c r="Y119" i="86"/>
  <c r="V66" i="86"/>
  <c r="X101" i="86"/>
  <c r="Y159" i="86"/>
  <c r="U96" i="86"/>
  <c r="X70" i="86"/>
  <c r="V89" i="86"/>
  <c r="W162" i="86"/>
  <c r="U103" i="86"/>
  <c r="U92" i="86"/>
  <c r="X109" i="86"/>
  <c r="V126" i="86"/>
  <c r="Y112" i="86"/>
  <c r="U115" i="86"/>
  <c r="Y88" i="86"/>
  <c r="V162" i="86"/>
  <c r="W96" i="86"/>
  <c r="W152" i="86"/>
  <c r="U99" i="86"/>
  <c r="Y65" i="86"/>
  <c r="V58" i="86"/>
  <c r="W70" i="86"/>
  <c r="W78" i="86"/>
  <c r="V102" i="86"/>
  <c r="Y74" i="86"/>
  <c r="U130" i="86"/>
  <c r="Y126" i="86"/>
  <c r="X49" i="86"/>
  <c r="W138" i="86"/>
  <c r="X71" i="86"/>
  <c r="U164" i="86"/>
  <c r="X78" i="86"/>
  <c r="V65" i="86"/>
  <c r="W45" i="86"/>
  <c r="U50" i="86"/>
  <c r="U97" i="86"/>
  <c r="Y151" i="86"/>
  <c r="X68" i="86"/>
  <c r="X124" i="86"/>
  <c r="V56" i="86"/>
  <c r="V45" i="86"/>
  <c r="W72" i="86"/>
  <c r="W140" i="86"/>
  <c r="U43" i="86"/>
  <c r="U69" i="86"/>
  <c r="Y107" i="86"/>
  <c r="X69" i="86"/>
  <c r="X96" i="86"/>
  <c r="V85" i="86"/>
  <c r="V78" i="86"/>
  <c r="W58" i="86"/>
  <c r="W147" i="86"/>
  <c r="U95" i="86"/>
  <c r="U128" i="86"/>
  <c r="Y114" i="86"/>
  <c r="Y149" i="86"/>
  <c r="X92" i="86"/>
  <c r="V76" i="86"/>
  <c r="V113" i="86"/>
  <c r="W133" i="86"/>
  <c r="W54" i="86"/>
  <c r="U142" i="86"/>
  <c r="U101" i="86"/>
  <c r="Y128" i="86"/>
  <c r="Y157" i="86"/>
  <c r="X80" i="86"/>
  <c r="X133" i="86"/>
  <c r="V99" i="86"/>
  <c r="V70" i="86"/>
  <c r="W66" i="86"/>
  <c r="W69" i="86"/>
  <c r="U154" i="86"/>
  <c r="U88" i="86"/>
  <c r="Y138" i="86"/>
  <c r="Y85" i="86"/>
  <c r="X111" i="86"/>
  <c r="X82" i="86"/>
  <c r="V146" i="86"/>
  <c r="V135" i="86"/>
  <c r="W63" i="86"/>
  <c r="W110" i="86"/>
  <c r="V46" i="86"/>
  <c r="U113" i="86"/>
  <c r="V151" i="86"/>
  <c r="Y144" i="86"/>
  <c r="W151" i="86"/>
  <c r="X93" i="86"/>
  <c r="U111" i="86"/>
  <c r="X72" i="86"/>
  <c r="U100" i="86"/>
  <c r="V122" i="86"/>
  <c r="X65" i="86"/>
  <c r="W56" i="86"/>
  <c r="W79" i="86"/>
  <c r="Y92" i="86"/>
  <c r="W105" i="86"/>
  <c r="V54" i="86"/>
  <c r="Y95" i="86"/>
  <c r="W86" i="86"/>
  <c r="X154" i="86"/>
  <c r="U48" i="86"/>
  <c r="X121" i="86"/>
  <c r="X56" i="86"/>
  <c r="Y113" i="86"/>
  <c r="V47" i="86"/>
  <c r="V77" i="86"/>
  <c r="X66" i="86"/>
  <c r="W122" i="86"/>
  <c r="X76" i="86"/>
  <c r="U45" i="86"/>
  <c r="X95" i="86"/>
  <c r="Y132" i="86"/>
  <c r="W49" i="86"/>
  <c r="Y160" i="86"/>
  <c r="Y141" i="86"/>
  <c r="X75" i="86"/>
  <c r="Y120" i="86"/>
  <c r="X50" i="86"/>
  <c r="Y145" i="86"/>
  <c r="U68" i="86"/>
  <c r="V91" i="86"/>
  <c r="W113" i="86"/>
  <c r="W44" i="86"/>
  <c r="W98" i="86"/>
  <c r="W115" i="86"/>
  <c r="V64" i="86"/>
  <c r="U144" i="86"/>
  <c r="X77" i="86"/>
  <c r="V111" i="86"/>
  <c r="U78" i="86"/>
  <c r="Y94" i="86"/>
  <c r="X99" i="86"/>
  <c r="V107" i="86"/>
  <c r="X144" i="86"/>
  <c r="U66" i="86"/>
  <c r="Y154" i="86"/>
  <c r="V53" i="86"/>
  <c r="W148" i="86"/>
  <c r="U132" i="86"/>
  <c r="Y121" i="86"/>
  <c r="V149" i="86"/>
  <c r="W93" i="86"/>
  <c r="W127" i="86"/>
  <c r="V127" i="86"/>
  <c r="X55" i="86"/>
  <c r="U147" i="86"/>
  <c r="Y122" i="86"/>
  <c r="V72" i="86"/>
  <c r="W62" i="86"/>
  <c r="V96" i="86"/>
  <c r="U117" i="86"/>
  <c r="X132" i="86"/>
  <c r="V157" i="86"/>
  <c r="U122" i="86"/>
  <c r="U108" i="86"/>
  <c r="Y163" i="86"/>
  <c r="Y87" i="86"/>
  <c r="X102" i="86"/>
  <c r="X108" i="86"/>
  <c r="V110" i="86"/>
  <c r="V42" i="86"/>
  <c r="W103" i="86"/>
  <c r="W149" i="86"/>
  <c r="U72" i="86"/>
  <c r="U156" i="86"/>
  <c r="Y90" i="86"/>
  <c r="X79" i="86"/>
  <c r="X117" i="86"/>
  <c r="V121" i="86"/>
  <c r="V93" i="86"/>
  <c r="W126" i="86"/>
  <c r="W123" i="86"/>
  <c r="U125" i="86"/>
  <c r="U131" i="86"/>
  <c r="Y76" i="86"/>
  <c r="X150" i="86"/>
  <c r="X113" i="86"/>
  <c r="V101" i="86"/>
  <c r="V134" i="86"/>
  <c r="W109" i="86"/>
  <c r="W132" i="86"/>
  <c r="U133" i="86"/>
  <c r="U155" i="86"/>
  <c r="Y143" i="86"/>
  <c r="Y147" i="86"/>
  <c r="X126" i="86"/>
  <c r="X51" i="86"/>
  <c r="V117" i="86"/>
  <c r="V163" i="86"/>
  <c r="W97" i="86"/>
  <c r="W64" i="86"/>
  <c r="U160" i="86"/>
  <c r="U146" i="86"/>
  <c r="Y89" i="86"/>
  <c r="Y156" i="86"/>
  <c r="X67" i="86"/>
  <c r="V81" i="86"/>
  <c r="V88" i="86"/>
  <c r="W87" i="86"/>
  <c r="W106" i="86"/>
  <c r="AM20" i="82"/>
  <c r="AP15" i="82"/>
  <c r="AO16" i="82"/>
  <c r="AO13" i="82"/>
  <c r="AO19" i="82"/>
  <c r="AM16" i="82"/>
  <c r="AP16" i="82"/>
  <c r="AN21" i="82"/>
  <c r="AP21" i="82"/>
  <c r="AO22" i="82"/>
  <c r="AO17" i="82"/>
  <c r="AO18" i="82"/>
  <c r="AO14" i="82"/>
  <c r="AO15" i="82"/>
  <c r="AP14" i="82"/>
  <c r="AM13" i="82"/>
  <c r="AM14" i="82"/>
  <c r="AP19" i="82"/>
  <c r="AM21" i="82"/>
  <c r="AN15" i="82"/>
  <c r="AP17" i="82"/>
  <c r="AN20" i="82"/>
  <c r="AN14" i="82"/>
  <c r="AN19" i="82"/>
  <c r="AP22" i="82"/>
  <c r="AN18" i="82"/>
  <c r="AN13" i="82"/>
  <c r="AM19" i="82"/>
  <c r="AN17" i="82"/>
  <c r="AO21" i="82"/>
  <c r="AP18" i="82"/>
  <c r="AM18" i="82"/>
  <c r="AP20" i="82"/>
  <c r="AP13" i="82"/>
  <c r="AM15" i="82"/>
  <c r="AM17" i="82"/>
  <c r="AN16" i="82"/>
  <c r="AO20" i="82"/>
  <c r="AF8" i="87"/>
  <c r="AV8" i="87"/>
  <c r="AW9" i="87"/>
  <c r="AE9" i="87"/>
  <c r="R8" i="87"/>
  <c r="AG9" i="87"/>
  <c r="P9" i="87"/>
  <c r="AT8" i="87"/>
  <c r="AH8" i="87"/>
  <c r="AU8" i="87"/>
  <c r="N8" i="87"/>
  <c r="BM8" i="87"/>
  <c r="AX9" i="87"/>
  <c r="O8" i="87"/>
  <c r="Q9" i="87"/>
  <c r="AD9" i="87"/>
  <c r="AN10" i="82" l="1"/>
  <c r="AP26" i="82"/>
  <c r="AN9" i="82"/>
  <c r="AM9" i="82"/>
  <c r="AO8" i="82"/>
  <c r="AP9" i="82"/>
  <c r="AN8" i="82"/>
  <c r="AM25" i="82"/>
  <c r="AO10" i="82"/>
  <c r="AO9" i="82"/>
  <c r="AM23" i="82"/>
  <c r="AM24" i="82"/>
  <c r="AP23" i="82"/>
  <c r="AP25" i="82"/>
  <c r="AM22" i="82"/>
  <c r="AM10" i="82"/>
  <c r="AP8" i="82"/>
  <c r="AM8" i="82"/>
  <c r="AP24" i="82"/>
  <c r="AP10" i="82"/>
  <c r="P10" i="87"/>
  <c r="N9" i="87"/>
  <c r="AD10" i="87"/>
  <c r="AG10" i="87"/>
  <c r="AW10" i="87"/>
  <c r="AF9" i="87"/>
  <c r="AU9" i="87"/>
  <c r="BM9" i="87"/>
  <c r="Q10" i="87"/>
  <c r="R9" i="87"/>
  <c r="O9" i="87"/>
  <c r="AV9" i="87"/>
  <c r="AX10" i="87"/>
  <c r="AH9" i="87"/>
  <c r="AE10" i="87"/>
  <c r="AT9" i="87"/>
  <c r="AN22" i="82" l="1"/>
  <c r="AN23" i="82"/>
  <c r="AO24" i="82"/>
  <c r="AN25" i="82"/>
  <c r="AO23" i="82"/>
  <c r="AO25" i="82"/>
  <c r="AN24" i="82"/>
  <c r="AO26" i="82"/>
  <c r="AU10" i="87"/>
  <c r="P11" i="87"/>
  <c r="BM10" i="87"/>
  <c r="AW11" i="87"/>
  <c r="AV10" i="87"/>
  <c r="N10" i="87"/>
  <c r="AG11" i="87"/>
  <c r="R10" i="87"/>
  <c r="AH10" i="87"/>
  <c r="AT10" i="87"/>
  <c r="Q11" i="87"/>
  <c r="AX11" i="87"/>
  <c r="AF10" i="87"/>
  <c r="AD11" i="87"/>
  <c r="AE11" i="87"/>
  <c r="O10" i="87"/>
  <c r="AO11" i="82" l="1"/>
  <c r="AM11" i="82"/>
  <c r="AP27" i="82"/>
  <c r="AM27" i="82"/>
  <c r="AM26" i="82"/>
  <c r="AM28" i="82"/>
  <c r="AP11" i="82"/>
  <c r="AN11" i="82"/>
  <c r="O11" i="87"/>
  <c r="AF11" i="87"/>
  <c r="AG12" i="87"/>
  <c r="AH11" i="87"/>
  <c r="AV11" i="87"/>
  <c r="AT11" i="87"/>
  <c r="AW12" i="87"/>
  <c r="P12" i="87"/>
  <c r="R11" i="87"/>
  <c r="AD12" i="87"/>
  <c r="AX12" i="87"/>
  <c r="Q12" i="87"/>
  <c r="AU11" i="87"/>
  <c r="N11" i="87"/>
  <c r="AE12" i="87"/>
  <c r="BM11" i="87"/>
  <c r="AN12" i="82" l="1"/>
  <c r="AP12" i="82"/>
  <c r="AM12" i="82"/>
  <c r="AO12" i="82"/>
  <c r="AP28" i="82"/>
  <c r="AU12" i="87"/>
  <c r="AE13" i="87"/>
  <c r="AT12" i="87"/>
  <c r="BP7" i="87"/>
  <c r="AH12" i="87"/>
  <c r="AV12" i="87"/>
  <c r="BO7" i="87"/>
  <c r="AD13" i="87"/>
  <c r="AW13" i="87"/>
  <c r="Q13" i="87"/>
  <c r="AX13" i="87"/>
  <c r="P13" i="87"/>
  <c r="N12" i="87"/>
  <c r="AG13" i="87"/>
  <c r="O12" i="87"/>
  <c r="BN7" i="87"/>
  <c r="BM12" i="87"/>
  <c r="AF12" i="87"/>
  <c r="BQ7" i="87"/>
  <c r="R12" i="87"/>
  <c r="AN26" i="82" l="1"/>
  <c r="AO27" i="82"/>
  <c r="AN28" i="82"/>
  <c r="AO28" i="82"/>
  <c r="AN27" i="82"/>
  <c r="AT13" i="87"/>
  <c r="AX14" i="87"/>
  <c r="N13" i="87"/>
  <c r="O13" i="87"/>
  <c r="BN8" i="87"/>
  <c r="AG14" i="87"/>
  <c r="BO8" i="87"/>
  <c r="AF13" i="87"/>
  <c r="BQ8" i="87"/>
  <c r="AU13" i="87"/>
  <c r="BM13" i="87"/>
  <c r="Q14" i="87"/>
  <c r="AV13" i="87"/>
  <c r="P14" i="87"/>
  <c r="AD14" i="87"/>
  <c r="BP8" i="87"/>
  <c r="R13" i="87"/>
  <c r="AW14" i="87"/>
  <c r="AE14" i="87"/>
  <c r="AH13" i="87"/>
  <c r="BA8" i="87" l="1"/>
  <c r="BA12" i="87"/>
  <c r="BA13" i="87"/>
  <c r="AR9" i="87"/>
  <c r="AR11" i="87"/>
  <c r="AR8" i="87"/>
  <c r="AR10" i="87"/>
  <c r="AR12" i="87"/>
  <c r="AR13" i="87"/>
  <c r="AR7" i="87"/>
  <c r="BP9" i="87"/>
  <c r="BN9" i="87"/>
  <c r="AT14" i="87"/>
  <c r="BM14" i="87"/>
  <c r="AF14" i="87"/>
  <c r="AW15" i="87"/>
  <c r="AG15" i="87"/>
  <c r="Q15" i="87"/>
  <c r="AD15" i="87"/>
  <c r="BQ9" i="87"/>
  <c r="AE15" i="87"/>
  <c r="AU14" i="87"/>
  <c r="O14" i="87"/>
  <c r="AV14" i="87"/>
  <c r="R14" i="87"/>
  <c r="AH14" i="87"/>
  <c r="AX15" i="87"/>
  <c r="P15" i="87"/>
  <c r="BO9" i="87"/>
  <c r="N14" i="87"/>
  <c r="AR14" i="87" l="1"/>
  <c r="BA9" i="87"/>
  <c r="BA7" i="87"/>
  <c r="BA14" i="87"/>
  <c r="BA11" i="87"/>
  <c r="BA10" i="87"/>
  <c r="AE16" i="87"/>
  <c r="BO10" i="87"/>
  <c r="AD16" i="87"/>
  <c r="BQ10" i="87"/>
  <c r="R15" i="87"/>
  <c r="BM15" i="87"/>
  <c r="AT15" i="87"/>
  <c r="O15" i="87"/>
  <c r="Q16" i="87"/>
  <c r="AW16" i="87"/>
  <c r="AF15" i="87"/>
  <c r="AV15" i="87"/>
  <c r="AX16" i="87"/>
  <c r="P16" i="87"/>
  <c r="AG16" i="87"/>
  <c r="N15" i="87"/>
  <c r="AH15" i="87"/>
  <c r="BP10" i="87"/>
  <c r="BN10" i="87"/>
  <c r="AU15" i="87"/>
  <c r="BA15" i="87" l="1"/>
  <c r="AR15" i="87"/>
  <c r="AT16" i="87"/>
  <c r="BQ11" i="87"/>
  <c r="AG17" i="87"/>
  <c r="AV16" i="87"/>
  <c r="P17" i="87"/>
  <c r="AF16" i="87"/>
  <c r="BN11" i="87"/>
  <c r="AU16" i="87"/>
  <c r="BP11" i="87"/>
  <c r="O16" i="87"/>
  <c r="N16" i="87"/>
  <c r="Q17" i="87"/>
  <c r="BM16" i="87"/>
  <c r="AE17" i="87"/>
  <c r="R16" i="87"/>
  <c r="AD17" i="87"/>
  <c r="AH16" i="87"/>
  <c r="AX17" i="87"/>
  <c r="AW17" i="87"/>
  <c r="BO11" i="87"/>
  <c r="BA16" i="87" l="1"/>
  <c r="AR16" i="87"/>
  <c r="AW18" i="87"/>
  <c r="AH17" i="87"/>
  <c r="O17" i="87"/>
  <c r="BP12" i="87"/>
  <c r="BN12" i="87"/>
  <c r="AU17" i="87"/>
  <c r="P18" i="87"/>
  <c r="AX18" i="87"/>
  <c r="AV17" i="87"/>
  <c r="AG18" i="87"/>
  <c r="BQ12" i="87"/>
  <c r="AE18" i="87"/>
  <c r="AF17" i="87"/>
  <c r="Q18" i="87"/>
  <c r="BO12" i="87"/>
  <c r="N17" i="87"/>
  <c r="AT17" i="87"/>
  <c r="BM17" i="87"/>
  <c r="R17" i="87"/>
  <c r="AD18" i="87"/>
  <c r="BA17" i="87" l="1"/>
  <c r="AR17" i="87"/>
  <c r="AT18" i="87"/>
  <c r="Q19" i="87"/>
  <c r="AD19" i="87"/>
  <c r="BP13" i="87"/>
  <c r="BM18" i="87"/>
  <c r="AX19" i="87"/>
  <c r="AG19" i="87"/>
  <c r="O18" i="87"/>
  <c r="P19" i="87"/>
  <c r="N18" i="87"/>
  <c r="BO13" i="87"/>
  <c r="AV18" i="87"/>
  <c r="AE19" i="87"/>
  <c r="AU18" i="87"/>
  <c r="R18" i="87"/>
  <c r="BN13" i="87"/>
  <c r="AW19" i="87"/>
  <c r="AF18" i="87"/>
  <c r="BQ13" i="87"/>
  <c r="AH18" i="87"/>
  <c r="BA18" i="87" l="1"/>
  <c r="AR18" i="87"/>
  <c r="P20" i="87"/>
  <c r="BQ14" i="87"/>
  <c r="BN14" i="87"/>
  <c r="AD20" i="87"/>
  <c r="AX20" i="87"/>
  <c r="AU19" i="87"/>
  <c r="AV19" i="87"/>
  <c r="O19" i="87"/>
  <c r="Q20" i="87"/>
  <c r="BO14" i="87"/>
  <c r="BM19" i="87"/>
  <c r="AG20" i="87"/>
  <c r="AE20" i="87"/>
  <c r="AH19" i="87"/>
  <c r="AT19" i="87"/>
  <c r="N19" i="87"/>
  <c r="BP14" i="87"/>
  <c r="R19" i="87"/>
  <c r="AW20" i="87"/>
  <c r="AF19" i="87"/>
  <c r="AR19" i="87" l="1"/>
  <c r="BA19" i="87"/>
  <c r="AU20" i="87"/>
  <c r="BN15" i="87"/>
  <c r="BO15" i="87"/>
  <c r="BM20" i="87"/>
  <c r="AV20" i="87"/>
  <c r="AF20" i="87"/>
  <c r="AH20" i="87"/>
  <c r="R20" i="87"/>
  <c r="AE21" i="87"/>
  <c r="O20" i="87"/>
  <c r="BQ15" i="87"/>
  <c r="Q21" i="87"/>
  <c r="AD21" i="87"/>
  <c r="AG21" i="87"/>
  <c r="BP15" i="87"/>
  <c r="AT20" i="87"/>
  <c r="AX21" i="87"/>
  <c r="AW21" i="87"/>
  <c r="N20" i="87"/>
  <c r="P21" i="87"/>
  <c r="AR20" i="87" l="1"/>
  <c r="BA20" i="87"/>
  <c r="BM21" i="87"/>
  <c r="BO16" i="87"/>
  <c r="BN16" i="87"/>
  <c r="AD22" i="87"/>
  <c r="BQ16" i="87"/>
  <c r="AV21" i="87"/>
  <c r="P22" i="87"/>
  <c r="Q22" i="87"/>
  <c r="AE22" i="87"/>
  <c r="AU21" i="87"/>
  <c r="AF21" i="87"/>
  <c r="AX22" i="87"/>
  <c r="AH21" i="87"/>
  <c r="BP16" i="87"/>
  <c r="AT21" i="87"/>
  <c r="AG22" i="87"/>
  <c r="AW22" i="87"/>
  <c r="N21" i="87"/>
  <c r="R21" i="87"/>
  <c r="O21" i="87"/>
  <c r="BA21" i="87" l="1"/>
  <c r="AR21" i="87"/>
  <c r="BP17" i="87"/>
  <c r="AG23" i="87"/>
  <c r="BO17" i="87"/>
  <c r="AD23" i="87"/>
  <c r="AW23" i="87"/>
  <c r="AX23" i="87"/>
  <c r="AT22" i="87"/>
  <c r="AV22" i="87"/>
  <c r="AF22" i="87"/>
  <c r="N22" i="87"/>
  <c r="AE23" i="87"/>
  <c r="BQ17" i="87"/>
  <c r="BN17" i="87"/>
  <c r="R22" i="87"/>
  <c r="BM22" i="87"/>
  <c r="AH22" i="87"/>
  <c r="O22" i="87"/>
  <c r="P23" i="87"/>
  <c r="AU22" i="87"/>
  <c r="Q23" i="87"/>
  <c r="BA22" i="87" l="1"/>
  <c r="AR22" i="87"/>
  <c r="AE24" i="87"/>
  <c r="AG24" i="87"/>
  <c r="BO18" i="87"/>
  <c r="AU23" i="87"/>
  <c r="BQ18" i="87"/>
  <c r="BM23" i="87"/>
  <c r="P24" i="87"/>
  <c r="AT23" i="87"/>
  <c r="AX24" i="87"/>
  <c r="R23" i="87"/>
  <c r="AV23" i="87"/>
  <c r="AF23" i="87"/>
  <c r="O23" i="87"/>
  <c r="AD24" i="87"/>
  <c r="Q24" i="87"/>
  <c r="AW24" i="87"/>
  <c r="N23" i="87"/>
  <c r="BN18" i="87"/>
  <c r="AH23" i="87"/>
  <c r="BP18" i="87"/>
  <c r="BA23" i="87" l="1"/>
  <c r="AR23" i="87"/>
  <c r="AF24" i="87"/>
  <c r="BO19" i="87"/>
  <c r="BN19" i="87"/>
  <c r="AG25" i="87"/>
  <c r="BQ19" i="87"/>
  <c r="AH24" i="87"/>
  <c r="AE25" i="87"/>
  <c r="R24" i="87"/>
  <c r="O24" i="87"/>
  <c r="Q25" i="87"/>
  <c r="AX25" i="87"/>
  <c r="AV24" i="87"/>
  <c r="AU24" i="87"/>
  <c r="P25" i="87"/>
  <c r="N24" i="87"/>
  <c r="AW25" i="87"/>
  <c r="BM24" i="87"/>
  <c r="AT24" i="87"/>
  <c r="BP19" i="87"/>
  <c r="AD25" i="87"/>
  <c r="AR24" i="87" l="1"/>
  <c r="BA24" i="87"/>
  <c r="N25" i="87"/>
  <c r="AX26" i="87"/>
  <c r="P26" i="87"/>
  <c r="AU25" i="87"/>
  <c r="BN20" i="87"/>
  <c r="BP20" i="87"/>
  <c r="BQ20" i="87"/>
  <c r="BM25" i="87"/>
  <c r="BO20" i="87"/>
  <c r="O25" i="87"/>
  <c r="AV25" i="87"/>
  <c r="AG26" i="87"/>
  <c r="AF25" i="87"/>
  <c r="AE26" i="87"/>
  <c r="AT25" i="87"/>
  <c r="AD26" i="87"/>
  <c r="AW26" i="87"/>
  <c r="R25" i="87"/>
  <c r="Q26" i="87"/>
  <c r="AH25" i="87"/>
  <c r="BA25" i="87" l="1"/>
  <c r="AR25" i="87"/>
  <c r="AH26" i="87"/>
  <c r="AE27" i="87"/>
  <c r="Q27" i="87"/>
  <c r="P27" i="87"/>
  <c r="AV26" i="87"/>
  <c r="BO21" i="87"/>
  <c r="BM26" i="87"/>
  <c r="R26" i="87"/>
  <c r="BN21" i="87"/>
  <c r="BQ21" i="87"/>
  <c r="AT26" i="87"/>
  <c r="AD27" i="87"/>
  <c r="AF26" i="87"/>
  <c r="AW27" i="87"/>
  <c r="BP21" i="87"/>
  <c r="N26" i="87"/>
  <c r="O26" i="87"/>
  <c r="AX27" i="87"/>
  <c r="AG27" i="87"/>
  <c r="AU26" i="87"/>
  <c r="AR26" i="87" l="1"/>
  <c r="BA26" i="87"/>
  <c r="AX28" i="87"/>
  <c r="AD28" i="87"/>
  <c r="AT27" i="87"/>
  <c r="Q28" i="87"/>
  <c r="AE28" i="87"/>
  <c r="AU27" i="87"/>
  <c r="O27" i="87"/>
  <c r="R27" i="87"/>
  <c r="N27" i="87"/>
  <c r="BM27" i="87"/>
  <c r="BO22" i="87"/>
  <c r="BN22" i="87"/>
  <c r="AV27" i="87"/>
  <c r="AH27" i="87"/>
  <c r="BQ22" i="87"/>
  <c r="AW28" i="87"/>
  <c r="BP22" i="87"/>
  <c r="AF27" i="87"/>
  <c r="P28" i="87"/>
  <c r="AG28" i="87"/>
  <c r="BA27" i="87" l="1"/>
  <c r="AR27" i="87"/>
  <c r="Q29" i="87"/>
  <c r="AG29" i="87"/>
  <c r="AX29" i="87"/>
  <c r="BO23" i="87"/>
  <c r="BP23" i="87"/>
  <c r="AT28" i="87"/>
  <c r="O28" i="87"/>
  <c r="AF28" i="87"/>
  <c r="AD29" i="87"/>
  <c r="BQ23" i="87"/>
  <c r="AE29" i="87"/>
  <c r="AV28" i="87"/>
  <c r="BN23" i="87"/>
  <c r="N28" i="87"/>
  <c r="BM28" i="87"/>
  <c r="AU28" i="87"/>
  <c r="AW29" i="87"/>
  <c r="AH28" i="87"/>
  <c r="P29" i="87"/>
  <c r="R28" i="87"/>
  <c r="BA28" i="87" l="1"/>
  <c r="AR28" i="87"/>
  <c r="N29" i="87"/>
  <c r="O29" i="87"/>
  <c r="AV29" i="87"/>
  <c r="AE30" i="87"/>
  <c r="BN24" i="87"/>
  <c r="AF29" i="87"/>
  <c r="BQ24" i="87"/>
  <c r="BO24" i="87"/>
  <c r="AW30" i="87"/>
  <c r="BP24" i="87"/>
  <c r="P30" i="87"/>
  <c r="BM29" i="87"/>
  <c r="AU29" i="87"/>
  <c r="AX30" i="87"/>
  <c r="AG30" i="87"/>
  <c r="AD30" i="87"/>
  <c r="AH29" i="87"/>
  <c r="Q30" i="87"/>
  <c r="R29" i="87"/>
  <c r="AT29" i="87"/>
  <c r="BA29" i="87" l="1"/>
  <c r="AR29" i="87"/>
  <c r="AT30" i="87"/>
  <c r="AW31" i="87"/>
  <c r="BP25" i="87"/>
  <c r="AV30" i="87"/>
  <c r="AG31" i="87"/>
  <c r="Q31" i="87"/>
  <c r="O30" i="87"/>
  <c r="BO25" i="87"/>
  <c r="P31" i="87"/>
  <c r="BQ25" i="87"/>
  <c r="AD31" i="87"/>
  <c r="BM30" i="87"/>
  <c r="AX31" i="87"/>
  <c r="AU30" i="87"/>
  <c r="AH30" i="87"/>
  <c r="AE31" i="87"/>
  <c r="BN25" i="87"/>
  <c r="R30" i="87"/>
  <c r="AF30" i="87"/>
  <c r="N30" i="87"/>
  <c r="BA30" i="87" l="1"/>
  <c r="AR30" i="87"/>
  <c r="BM31" i="87"/>
  <c r="BO26" i="87"/>
  <c r="AD32" i="87"/>
  <c r="AF31" i="87"/>
  <c r="P32" i="87"/>
  <c r="R31" i="87"/>
  <c r="N31" i="87"/>
  <c r="AX32" i="87"/>
  <c r="BQ26" i="87"/>
  <c r="AG32" i="87"/>
  <c r="O31" i="87"/>
  <c r="AT31" i="87"/>
  <c r="Q32" i="87"/>
  <c r="AU31" i="87"/>
  <c r="AV31" i="87"/>
  <c r="AH31" i="87"/>
  <c r="AW32" i="87"/>
  <c r="BN26" i="87"/>
  <c r="BP26" i="87"/>
  <c r="AE32" i="87"/>
  <c r="BA31" i="87" l="1"/>
  <c r="AR31" i="87"/>
  <c r="O32" i="87"/>
  <c r="N32" i="87"/>
  <c r="P33" i="87"/>
  <c r="BO27" i="87"/>
  <c r="BP27" i="87"/>
  <c r="BM32" i="87"/>
  <c r="AV32" i="87"/>
  <c r="Q33" i="87"/>
  <c r="AT32" i="87"/>
  <c r="BQ27" i="87"/>
  <c r="AD33" i="87"/>
  <c r="AH32" i="87"/>
  <c r="AG33" i="87"/>
  <c r="AX33" i="87"/>
  <c r="AU32" i="87"/>
  <c r="R32" i="87"/>
  <c r="BN27" i="87"/>
  <c r="AE33" i="87"/>
  <c r="AF32" i="87"/>
  <c r="AW33" i="87"/>
  <c r="AR32" i="87" l="1"/>
  <c r="BA32" i="87"/>
  <c r="AW34" i="87"/>
  <c r="AX34" i="87"/>
  <c r="O33" i="87"/>
  <c r="BO28" i="87"/>
  <c r="AD34" i="87"/>
  <c r="BQ28" i="87"/>
  <c r="AV33" i="87"/>
  <c r="BN28" i="87"/>
  <c r="BP28" i="87"/>
  <c r="P34" i="87"/>
  <c r="AG34" i="87"/>
  <c r="AE34" i="87"/>
  <c r="AT33" i="87"/>
  <c r="AH33" i="87"/>
  <c r="AF33" i="87"/>
  <c r="R33" i="87"/>
  <c r="Q34" i="87"/>
  <c r="BM33" i="87"/>
  <c r="N33" i="87"/>
  <c r="AU33" i="87"/>
  <c r="AR33" i="87" l="1"/>
  <c r="BA33" i="87"/>
  <c r="AG35" i="87"/>
  <c r="BP29" i="87"/>
  <c r="BM34" i="87"/>
  <c r="AE35" i="87"/>
  <c r="AF34" i="87"/>
  <c r="AT34" i="87"/>
  <c r="BO29" i="87"/>
  <c r="O34" i="87"/>
  <c r="BN29" i="87"/>
  <c r="AD35" i="87"/>
  <c r="AV34" i="87"/>
  <c r="AX35" i="87"/>
  <c r="N34" i="87"/>
  <c r="P35" i="87"/>
  <c r="R34" i="87"/>
  <c r="AU34" i="87"/>
  <c r="AW35" i="87"/>
  <c r="AH34" i="87"/>
  <c r="Q35" i="87"/>
  <c r="BQ29" i="87"/>
  <c r="BA34" i="87" l="1"/>
  <c r="AR34" i="87"/>
  <c r="AW36" i="87"/>
  <c r="AU35" i="87"/>
  <c r="N35" i="87"/>
  <c r="R35" i="87"/>
  <c r="BN30" i="87"/>
  <c r="AF35" i="87"/>
  <c r="AV35" i="87"/>
  <c r="BO30" i="87"/>
  <c r="AE36" i="87"/>
  <c r="O35" i="87"/>
  <c r="Q36" i="87"/>
  <c r="BP30" i="87"/>
  <c r="P36" i="87"/>
  <c r="BM35" i="87"/>
  <c r="AX36" i="87"/>
  <c r="AG36" i="87"/>
  <c r="AT35" i="87"/>
  <c r="AD36" i="87"/>
  <c r="BQ30" i="87"/>
  <c r="AH35" i="87"/>
  <c r="AR35" i="87" l="1"/>
  <c r="BA35" i="87"/>
  <c r="Q37" i="87"/>
  <c r="AW37" i="87"/>
  <c r="O36" i="87"/>
  <c r="AT36" i="87"/>
  <c r="BN31" i="87"/>
  <c r="BM36" i="87"/>
  <c r="R36" i="87"/>
  <c r="AG37" i="87"/>
  <c r="AF36" i="87"/>
  <c r="AE37" i="87"/>
  <c r="AX37" i="87"/>
  <c r="AH36" i="87"/>
  <c r="AV36" i="87"/>
  <c r="BQ31" i="87"/>
  <c r="BP31" i="87"/>
  <c r="N36" i="87"/>
  <c r="BO31" i="87"/>
  <c r="P37" i="87"/>
  <c r="AD37" i="87"/>
  <c r="AU36" i="87"/>
  <c r="AR36" i="87" l="1"/>
  <c r="BA36" i="87"/>
  <c r="AH37" i="87"/>
  <c r="BQ32" i="87"/>
  <c r="AW38" i="87"/>
  <c r="AX38" i="87"/>
  <c r="AT37" i="87"/>
  <c r="P38" i="87"/>
  <c r="BO32" i="87"/>
  <c r="AF37" i="87"/>
  <c r="AG38" i="87"/>
  <c r="O37" i="87"/>
  <c r="BM37" i="87"/>
  <c r="AD38" i="87"/>
  <c r="N37" i="87"/>
  <c r="BN32" i="87"/>
  <c r="R37" i="87"/>
  <c r="AU37" i="87"/>
  <c r="BP32" i="87"/>
  <c r="Q38" i="87"/>
  <c r="AE38" i="87"/>
  <c r="AV37" i="87"/>
  <c r="AR37" i="87" l="1"/>
  <c r="BA37" i="87"/>
  <c r="BN33" i="87"/>
  <c r="AF38" i="87"/>
  <c r="BM38" i="87"/>
  <c r="R38" i="87"/>
  <c r="BO33" i="87"/>
  <c r="AD39" i="87"/>
  <c r="AT38" i="87"/>
  <c r="N38" i="87"/>
  <c r="BQ33" i="87"/>
  <c r="AU38" i="87"/>
  <c r="AX39" i="87"/>
  <c r="BP33" i="87"/>
  <c r="Q39" i="87"/>
  <c r="AV38" i="87"/>
  <c r="O38" i="87"/>
  <c r="AW39" i="87"/>
  <c r="AH38" i="87"/>
  <c r="AG39" i="87"/>
  <c r="P39" i="87"/>
  <c r="AE39" i="87"/>
  <c r="AR38" i="87" l="1"/>
  <c r="BA38" i="87"/>
  <c r="AV39" i="87"/>
  <c r="BP34" i="87"/>
  <c r="AD40" i="87"/>
  <c r="BM39" i="87"/>
  <c r="AE40" i="87"/>
  <c r="AH39" i="87"/>
  <c r="BQ34" i="87"/>
  <c r="AU39" i="87"/>
  <c r="BN34" i="87"/>
  <c r="AT39" i="87"/>
  <c r="BO34" i="87"/>
  <c r="AF39" i="87"/>
  <c r="Q40" i="87"/>
  <c r="AG40" i="87"/>
  <c r="P40" i="87"/>
  <c r="AX40" i="87"/>
  <c r="N39" i="87"/>
  <c r="O39" i="87"/>
  <c r="R39" i="87"/>
  <c r="AW40" i="87"/>
  <c r="AR39" i="87" l="1"/>
  <c r="BA39" i="87"/>
  <c r="AE41" i="87"/>
  <c r="BO35" i="87"/>
  <c r="AG41" i="87"/>
  <c r="BN35" i="87"/>
  <c r="AX41" i="87"/>
  <c r="AW41" i="87"/>
  <c r="P41" i="87"/>
  <c r="AV40" i="87"/>
  <c r="AT40" i="87"/>
  <c r="BM40" i="87"/>
  <c r="BQ35" i="87"/>
  <c r="O40" i="87"/>
  <c r="AU40" i="87"/>
  <c r="Q41" i="87"/>
  <c r="R40" i="87"/>
  <c r="AF40" i="87"/>
  <c r="AH40" i="87"/>
  <c r="BP35" i="87"/>
  <c r="AD41" i="87"/>
  <c r="N40" i="87"/>
  <c r="AR40" i="87" l="1"/>
  <c r="BA40" i="87"/>
  <c r="Q42" i="87"/>
  <c r="AE42" i="87"/>
  <c r="P42" i="87"/>
  <c r="BM41" i="87"/>
  <c r="BP36" i="87"/>
  <c r="BQ36" i="87"/>
  <c r="O41" i="87"/>
  <c r="N41" i="87"/>
  <c r="AD42" i="87"/>
  <c r="BO36" i="87"/>
  <c r="AH41" i="87"/>
  <c r="AG42" i="87"/>
  <c r="AF41" i="87"/>
  <c r="AV41" i="87"/>
  <c r="R41" i="87"/>
  <c r="BN36" i="87"/>
  <c r="AW42" i="87"/>
  <c r="AU41" i="87"/>
  <c r="AX42" i="87"/>
  <c r="AT41" i="87"/>
  <c r="BA41" i="87" l="1"/>
  <c r="AR41" i="87"/>
  <c r="BM42" i="87"/>
  <c r="AE43" i="87"/>
  <c r="O42" i="87"/>
  <c r="AW43" i="87"/>
  <c r="AT42" i="87"/>
  <c r="BQ37" i="87"/>
  <c r="AH42" i="87"/>
  <c r="AU42" i="87"/>
  <c r="R42" i="87"/>
  <c r="AV42" i="87"/>
  <c r="AG43" i="87"/>
  <c r="AX43" i="87"/>
  <c r="Q43" i="87"/>
  <c r="BO37" i="87"/>
  <c r="AF42" i="87"/>
  <c r="BP37" i="87"/>
  <c r="P43" i="87"/>
  <c r="BN37" i="87"/>
  <c r="N42" i="87"/>
  <c r="AD43" i="87"/>
  <c r="BA42" i="87" l="1"/>
  <c r="AR42" i="87"/>
  <c r="AE44" i="87"/>
  <c r="AW44" i="87"/>
  <c r="AV43" i="87"/>
  <c r="BM43" i="87"/>
  <c r="Q44" i="87"/>
  <c r="O43" i="87"/>
  <c r="AD44" i="87"/>
  <c r="R43" i="87"/>
  <c r="AG44" i="87"/>
  <c r="BQ38" i="87"/>
  <c r="BO38" i="87"/>
  <c r="AT43" i="87"/>
  <c r="AX44" i="87"/>
  <c r="P44" i="87"/>
  <c r="BP38" i="87"/>
  <c r="AH43" i="87"/>
  <c r="BN38" i="87"/>
  <c r="AF43" i="87"/>
  <c r="N43" i="87"/>
  <c r="AU43" i="87"/>
  <c r="AR43" i="87" l="1"/>
  <c r="BA43" i="87"/>
  <c r="Q45" i="87"/>
  <c r="AH44" i="87"/>
  <c r="AT44" i="87"/>
  <c r="BN39" i="87"/>
  <c r="O44" i="87"/>
  <c r="AF44" i="87"/>
  <c r="BM44" i="87"/>
  <c r="BQ39" i="87"/>
  <c r="BP39" i="87"/>
  <c r="AW45" i="87"/>
  <c r="BO39" i="87"/>
  <c r="AX45" i="87"/>
  <c r="P45" i="87"/>
  <c r="N44" i="87"/>
  <c r="AU44" i="87"/>
  <c r="R44" i="87"/>
  <c r="AE45" i="87"/>
  <c r="AG45" i="87"/>
  <c r="AV44" i="87"/>
  <c r="AD45" i="87"/>
  <c r="AR44" i="87" l="1"/>
  <c r="BA44" i="87"/>
  <c r="AU45" i="87"/>
  <c r="AT45" i="87"/>
  <c r="O45" i="87"/>
  <c r="AW46" i="87"/>
  <c r="AG46" i="87"/>
  <c r="AE46" i="87"/>
  <c r="AH45" i="87"/>
  <c r="BO40" i="87"/>
  <c r="N45" i="87"/>
  <c r="AD46" i="87"/>
  <c r="AF45" i="87"/>
  <c r="AX46" i="87"/>
  <c r="AV45" i="87"/>
  <c r="R45" i="87"/>
  <c r="BM45" i="87"/>
  <c r="P46" i="87"/>
  <c r="BQ40" i="87"/>
  <c r="Q46" i="87"/>
  <c r="BP40" i="87"/>
  <c r="BN40" i="87"/>
  <c r="BA45" i="87" l="1"/>
  <c r="AR45" i="87"/>
  <c r="BQ41" i="87"/>
  <c r="R46" i="87"/>
  <c r="AU46" i="87"/>
  <c r="BO41" i="87"/>
  <c r="AF46" i="87"/>
  <c r="AG47" i="87"/>
  <c r="AT46" i="87"/>
  <c r="N46" i="87"/>
  <c r="BP41" i="87"/>
  <c r="BN41" i="87"/>
  <c r="AV46" i="87"/>
  <c r="AE47" i="87"/>
  <c r="BM46" i="87"/>
  <c r="Q47" i="87"/>
  <c r="AH46" i="87"/>
  <c r="AX47" i="87"/>
  <c r="AW47" i="87"/>
  <c r="P47" i="87"/>
  <c r="O46" i="87"/>
  <c r="AD47" i="87"/>
  <c r="AR46" i="87" l="1"/>
  <c r="BA46" i="87"/>
  <c r="BO42" i="87"/>
  <c r="BN42" i="87"/>
  <c r="BP42" i="87"/>
  <c r="R47" i="87"/>
  <c r="AE48" i="87"/>
  <c r="AH47" i="87"/>
  <c r="O47" i="87"/>
  <c r="N47" i="87"/>
  <c r="AG48" i="87"/>
  <c r="AF47" i="87"/>
  <c r="BQ42" i="87"/>
  <c r="P48" i="87"/>
  <c r="AU47" i="87"/>
  <c r="Q48" i="87"/>
  <c r="AX48" i="87"/>
  <c r="BM47" i="87"/>
  <c r="AD48" i="87"/>
  <c r="AT47" i="87"/>
  <c r="AV47" i="87"/>
  <c r="AW48" i="87"/>
  <c r="BA47" i="87" l="1"/>
  <c r="AR47" i="87"/>
  <c r="AE49" i="87"/>
  <c r="O48" i="87"/>
  <c r="BP43" i="87"/>
  <c r="BO43" i="87"/>
  <c r="AX49" i="87"/>
  <c r="BQ43" i="87"/>
  <c r="P49" i="87"/>
  <c r="N48" i="87"/>
  <c r="AT48" i="87"/>
  <c r="AF48" i="87"/>
  <c r="AH48" i="87"/>
  <c r="AD49" i="87"/>
  <c r="R48" i="87"/>
  <c r="AW49" i="87"/>
  <c r="Q49" i="87"/>
  <c r="AV48" i="87"/>
  <c r="AU48" i="87"/>
  <c r="BN43" i="87"/>
  <c r="BM48" i="87"/>
  <c r="AG49" i="87"/>
  <c r="AR48" i="87" l="1"/>
  <c r="BA48" i="87"/>
  <c r="R49" i="87"/>
  <c r="BP44" i="87"/>
  <c r="AT49" i="87"/>
  <c r="AW50" i="87"/>
  <c r="P50" i="87"/>
  <c r="N49" i="87"/>
  <c r="AX50" i="87"/>
  <c r="Q50" i="87"/>
  <c r="AF49" i="87"/>
  <c r="AH49" i="87"/>
  <c r="BM49" i="87"/>
  <c r="AU49" i="87"/>
  <c r="AE50" i="87"/>
  <c r="BQ44" i="87"/>
  <c r="BO44" i="87"/>
  <c r="AD50" i="87"/>
  <c r="AG50" i="87"/>
  <c r="AV49" i="87"/>
  <c r="O49" i="87"/>
  <c r="BN44" i="87"/>
  <c r="BA49" i="87" l="1"/>
  <c r="AR49" i="87"/>
  <c r="P51" i="87"/>
  <c r="BO45" i="87"/>
  <c r="AU50" i="87"/>
  <c r="AE51" i="87"/>
  <c r="AF50" i="87"/>
  <c r="BP45" i="87"/>
  <c r="Q51" i="87"/>
  <c r="R50" i="87"/>
  <c r="AV50" i="87"/>
  <c r="O50" i="87"/>
  <c r="BN45" i="87"/>
  <c r="BQ45" i="87"/>
  <c r="N50" i="87"/>
  <c r="AG51" i="87"/>
  <c r="BM50" i="87"/>
  <c r="AX51" i="87"/>
  <c r="AH50" i="87"/>
  <c r="AW51" i="87"/>
  <c r="AD51" i="87"/>
  <c r="AT50" i="87"/>
  <c r="BA50" i="87" l="1"/>
  <c r="AR50" i="87"/>
  <c r="AD52" i="87"/>
  <c r="BQ46" i="87"/>
  <c r="P52" i="87"/>
  <c r="BP46" i="87"/>
  <c r="R51" i="87"/>
  <c r="AW52" i="87"/>
  <c r="BM51" i="87"/>
  <c r="AH51" i="87"/>
  <c r="AV51" i="87"/>
  <c r="AE52" i="87"/>
  <c r="Q52" i="87"/>
  <c r="AU51" i="87"/>
  <c r="BN46" i="87"/>
  <c r="BO46" i="87"/>
  <c r="O51" i="87"/>
  <c r="AX52" i="87"/>
  <c r="N51" i="87"/>
  <c r="AF51" i="87"/>
  <c r="AG52" i="87"/>
  <c r="AT51" i="87"/>
  <c r="BA51" i="87" l="1"/>
  <c r="AR51" i="87"/>
  <c r="P53" i="87"/>
  <c r="BM52" i="87"/>
  <c r="O52" i="87"/>
  <c r="R52" i="87"/>
  <c r="AV52" i="87"/>
  <c r="Q53" i="87"/>
  <c r="BN47" i="87"/>
  <c r="AT52" i="87"/>
  <c r="AU52" i="87"/>
  <c r="BP47" i="87"/>
  <c r="AD53" i="87"/>
  <c r="BQ47" i="87"/>
  <c r="N52" i="87"/>
  <c r="AW53" i="87"/>
  <c r="BO47" i="87"/>
  <c r="AE53" i="87"/>
  <c r="AG53" i="87"/>
  <c r="AF52" i="87"/>
  <c r="AX53" i="87"/>
  <c r="AH52" i="87"/>
  <c r="AR52" i="87" l="1"/>
  <c r="BA52" i="87"/>
  <c r="O53" i="87"/>
  <c r="Q54" i="87"/>
  <c r="AX54" i="87"/>
  <c r="P54" i="87"/>
  <c r="BP48" i="87"/>
  <c r="AW54" i="87"/>
  <c r="AU53" i="87"/>
  <c r="R53" i="87"/>
  <c r="BN48" i="87"/>
  <c r="AD54" i="87"/>
  <c r="BO48" i="87"/>
  <c r="AH53" i="87"/>
  <c r="BQ48" i="87"/>
  <c r="AE54" i="87"/>
  <c r="AG54" i="87"/>
  <c r="AF53" i="87"/>
  <c r="AT53" i="87"/>
  <c r="N53" i="87"/>
  <c r="BM53" i="87"/>
  <c r="AV53" i="87"/>
  <c r="BA53" i="87" l="1"/>
  <c r="AR53" i="87"/>
  <c r="P55" i="87"/>
  <c r="Q55" i="87"/>
  <c r="BQ49" i="87"/>
  <c r="AX55" i="87"/>
  <c r="AH54" i="87"/>
  <c r="AF54" i="87"/>
  <c r="AE55" i="87"/>
  <c r="N54" i="87"/>
  <c r="BO49" i="87"/>
  <c r="BN49" i="87"/>
  <c r="BP49" i="87"/>
  <c r="AG55" i="87"/>
  <c r="AD55" i="87"/>
  <c r="BM54" i="87"/>
  <c r="AU54" i="87"/>
  <c r="AT54" i="87"/>
  <c r="O54" i="87"/>
  <c r="AV54" i="87"/>
  <c r="AW55" i="87"/>
  <c r="R54" i="87"/>
  <c r="AR54" i="87" l="1"/>
  <c r="BA54" i="87"/>
  <c r="N55" i="87"/>
  <c r="AV55" i="87"/>
  <c r="AF55" i="87"/>
  <c r="AX56" i="87"/>
  <c r="AD56" i="87"/>
  <c r="AT55" i="87"/>
  <c r="AU55" i="87"/>
  <c r="AE56" i="87"/>
  <c r="P56" i="87"/>
  <c r="AW56" i="87"/>
  <c r="R55" i="87"/>
  <c r="BO50" i="87"/>
  <c r="O55" i="87"/>
  <c r="AG56" i="87"/>
  <c r="BN50" i="87"/>
  <c r="Q56" i="87"/>
  <c r="AH55" i="87"/>
  <c r="BP50" i="87"/>
  <c r="BM55" i="87"/>
  <c r="BQ50" i="87"/>
  <c r="BA55" i="87" l="1"/>
  <c r="AR55" i="87"/>
  <c r="AU56" i="87"/>
  <c r="R56" i="87"/>
  <c r="AW57" i="87"/>
  <c r="BO51" i="87"/>
  <c r="AT56" i="87"/>
  <c r="N56" i="87"/>
  <c r="Q57" i="87"/>
  <c r="AF56" i="87"/>
  <c r="O56" i="87"/>
  <c r="AE57" i="87"/>
  <c r="BM56" i="87"/>
  <c r="BQ51" i="87"/>
  <c r="AX57" i="87"/>
  <c r="P57" i="87"/>
  <c r="AD57" i="87"/>
  <c r="BP51" i="87"/>
  <c r="AV56" i="87"/>
  <c r="BN51" i="87"/>
  <c r="AG57" i="87"/>
  <c r="AH56" i="87"/>
  <c r="AR56" i="87" l="1"/>
  <c r="BA56" i="87"/>
  <c r="AG58" i="87"/>
  <c r="BQ52" i="87"/>
  <c r="P58" i="87"/>
  <c r="Q58" i="87"/>
  <c r="R57" i="87"/>
  <c r="AH57" i="87"/>
  <c r="BP52" i="87"/>
  <c r="AV57" i="87"/>
  <c r="BM57" i="87"/>
  <c r="BO52" i="87"/>
  <c r="AT57" i="87"/>
  <c r="BN52" i="87"/>
  <c r="AF57" i="87"/>
  <c r="AE58" i="87"/>
  <c r="N57" i="87"/>
  <c r="AX58" i="87"/>
  <c r="AW58" i="87"/>
  <c r="AU57" i="87"/>
  <c r="AD58" i="87"/>
  <c r="O57" i="87"/>
  <c r="AR57" i="87" l="1"/>
  <c r="BA57" i="87"/>
  <c r="AV58" i="87"/>
  <c r="P59" i="87"/>
  <c r="N58" i="87"/>
  <c r="AG59" i="87"/>
  <c r="BM58" i="87"/>
  <c r="AW59" i="87"/>
  <c r="AF58" i="87"/>
  <c r="BQ53" i="87"/>
  <c r="BO53" i="87"/>
  <c r="Q59" i="87"/>
  <c r="AX59" i="87"/>
  <c r="AH58" i="87"/>
  <c r="BN53" i="87"/>
  <c r="AU58" i="87"/>
  <c r="O58" i="87"/>
  <c r="AT58" i="87"/>
  <c r="AD59" i="87"/>
  <c r="BP53" i="87"/>
  <c r="AE59" i="87"/>
  <c r="R58" i="87"/>
  <c r="AR58" i="87" l="1"/>
  <c r="BA58" i="87"/>
  <c r="AV59" i="87"/>
  <c r="AE60" i="87"/>
  <c r="BP54" i="87"/>
  <c r="AW60" i="87"/>
  <c r="BM59" i="87"/>
  <c r="O59" i="87"/>
  <c r="N59" i="87"/>
  <c r="AD60" i="87"/>
  <c r="BO54" i="87"/>
  <c r="AH59" i="87"/>
  <c r="AG60" i="87"/>
  <c r="R59" i="87"/>
  <c r="AF59" i="87"/>
  <c r="Q60" i="87"/>
  <c r="P60" i="87"/>
  <c r="AU59" i="87"/>
  <c r="AT59" i="87"/>
  <c r="AX60" i="87"/>
  <c r="BQ54" i="87"/>
  <c r="BN54" i="87"/>
  <c r="BA59" i="87" l="1"/>
  <c r="AR59" i="87"/>
  <c r="AH60" i="87"/>
  <c r="Q61" i="87"/>
  <c r="P61" i="87"/>
  <c r="BO55" i="87"/>
  <c r="N60" i="87"/>
  <c r="AE61" i="87"/>
  <c r="AV60" i="87"/>
  <c r="O60" i="87"/>
  <c r="AT60" i="87"/>
  <c r="AD61" i="87"/>
  <c r="AF60" i="87"/>
  <c r="AW61" i="87"/>
  <c r="R60" i="87"/>
  <c r="BM60" i="87"/>
  <c r="AX61" i="87"/>
  <c r="BP55" i="87"/>
  <c r="BN55" i="87"/>
  <c r="AG61" i="87"/>
  <c r="BQ55" i="87"/>
  <c r="AU60" i="87"/>
  <c r="AR60" i="87" l="1"/>
  <c r="BA60" i="87"/>
  <c r="AH61" i="87"/>
  <c r="AU61" i="87"/>
  <c r="AT61" i="87"/>
  <c r="R61" i="87"/>
  <c r="AD62" i="87"/>
  <c r="O61" i="87"/>
  <c r="N61" i="87"/>
  <c r="AW62" i="87"/>
  <c r="P62" i="87"/>
  <c r="AX62" i="87"/>
  <c r="AV61" i="87"/>
  <c r="BP56" i="87"/>
  <c r="AG62" i="87"/>
  <c r="AE62" i="87"/>
  <c r="BN56" i="87"/>
  <c r="BM61" i="87"/>
  <c r="BQ56" i="87"/>
  <c r="AF61" i="87"/>
  <c r="BO56" i="87"/>
  <c r="Q62" i="87"/>
  <c r="BA61" i="87" l="1"/>
  <c r="AR61" i="87"/>
  <c r="AW63" i="87"/>
  <c r="P63" i="87"/>
  <c r="AH62" i="87"/>
  <c r="AD63" i="87"/>
  <c r="AF62" i="87"/>
  <c r="R62" i="87"/>
  <c r="BM62" i="87"/>
  <c r="AV62" i="87"/>
  <c r="BN57" i="87"/>
  <c r="AG63" i="87"/>
  <c r="AX63" i="87"/>
  <c r="AT62" i="87"/>
  <c r="BP57" i="87"/>
  <c r="Q63" i="87"/>
  <c r="O62" i="87"/>
  <c r="BQ57" i="87"/>
  <c r="AU62" i="87"/>
  <c r="BO57" i="87"/>
  <c r="N62" i="87"/>
  <c r="AE63" i="87"/>
  <c r="AR62" i="87" l="1"/>
  <c r="BA62" i="87"/>
  <c r="AG64" i="87"/>
  <c r="AH63" i="87"/>
  <c r="AV63" i="87"/>
  <c r="N63" i="87"/>
  <c r="AW64" i="87"/>
  <c r="R63" i="87"/>
  <c r="BP58" i="87"/>
  <c r="Q64" i="87"/>
  <c r="AE64" i="87"/>
  <c r="BQ58" i="87"/>
  <c r="BM63" i="87"/>
  <c r="BN58" i="87"/>
  <c r="AX64" i="87"/>
  <c r="BO58" i="87"/>
  <c r="P64" i="87"/>
  <c r="AD64" i="87"/>
  <c r="AF63" i="87"/>
  <c r="AT63" i="87"/>
  <c r="AU63" i="87"/>
  <c r="O63" i="87"/>
  <c r="AR63" i="87" l="1"/>
  <c r="BA63" i="87"/>
  <c r="AF64" i="87"/>
  <c r="AD65" i="87"/>
  <c r="AX65" i="87"/>
  <c r="AE65" i="87"/>
  <c r="AT64" i="87"/>
  <c r="N64" i="87"/>
  <c r="AV64" i="87"/>
  <c r="BP59" i="87"/>
  <c r="AW65" i="87"/>
  <c r="AG65" i="87"/>
  <c r="O64" i="87"/>
  <c r="Q65" i="87"/>
  <c r="AH64" i="87"/>
  <c r="BN59" i="87"/>
  <c r="BM64" i="87"/>
  <c r="BQ59" i="87"/>
  <c r="P65" i="87"/>
  <c r="R64" i="87"/>
  <c r="BO59" i="87"/>
  <c r="AU64" i="87"/>
  <c r="BA64" i="87" l="1"/>
  <c r="AR64" i="87"/>
  <c r="BQ60" i="87"/>
  <c r="BM65" i="87"/>
  <c r="BO60" i="87"/>
  <c r="AW66" i="87"/>
  <c r="Q66" i="87"/>
  <c r="BP60" i="87"/>
  <c r="AT65" i="87"/>
  <c r="O65" i="87"/>
  <c r="AE66" i="87"/>
  <c r="AG66" i="87"/>
  <c r="AF65" i="87"/>
  <c r="BN60" i="87"/>
  <c r="AU65" i="87"/>
  <c r="P66" i="87"/>
  <c r="AV65" i="87"/>
  <c r="AX66" i="87"/>
  <c r="AH65" i="87"/>
  <c r="N65" i="87"/>
  <c r="AD66" i="87"/>
  <c r="R65" i="87"/>
  <c r="AR65" i="87" l="1"/>
  <c r="BA65" i="87"/>
  <c r="BP61" i="87"/>
  <c r="BN61" i="87"/>
  <c r="N66" i="87"/>
  <c r="AT66" i="87"/>
  <c r="AH66" i="87"/>
  <c r="BM66" i="87"/>
  <c r="AD67" i="87"/>
  <c r="AU66" i="87"/>
  <c r="AE67" i="87"/>
  <c r="AX67" i="87"/>
  <c r="BQ61" i="87"/>
  <c r="P67" i="87"/>
  <c r="AG67" i="87"/>
  <c r="AF66" i="87"/>
  <c r="Q67" i="87"/>
  <c r="AW67" i="87"/>
  <c r="O66" i="87"/>
  <c r="AV66" i="87"/>
  <c r="R66" i="87"/>
  <c r="BO61" i="87"/>
  <c r="AR66" i="87" l="1"/>
  <c r="BA66" i="87"/>
  <c r="AW68" i="87"/>
  <c r="BQ62" i="87"/>
  <c r="O67" i="87"/>
  <c r="Q68" i="87"/>
  <c r="R67" i="87"/>
  <c r="BM67" i="87"/>
  <c r="P68" i="87"/>
  <c r="BN62" i="87"/>
  <c r="AE68" i="87"/>
  <c r="AX68" i="87"/>
  <c r="BP62" i="87"/>
  <c r="AT67" i="87"/>
  <c r="AU67" i="87"/>
  <c r="AV67" i="87"/>
  <c r="BO62" i="87"/>
  <c r="N67" i="87"/>
  <c r="AG68" i="87"/>
  <c r="AH67" i="87"/>
  <c r="AD68" i="87"/>
  <c r="AF67" i="87"/>
  <c r="BA67" i="87" l="1"/>
  <c r="AR67" i="87"/>
  <c r="Q69" i="87"/>
  <c r="R68" i="87"/>
  <c r="N68" i="87"/>
  <c r="AV68" i="87"/>
  <c r="BN63" i="87"/>
  <c r="AT68" i="87"/>
  <c r="BM68" i="87"/>
  <c r="AX69" i="87"/>
  <c r="P69" i="87"/>
  <c r="O68" i="87"/>
  <c r="AU68" i="87"/>
  <c r="AE69" i="87"/>
  <c r="AD69" i="87"/>
  <c r="BO63" i="87"/>
  <c r="AH68" i="87"/>
  <c r="AG69" i="87"/>
  <c r="BQ63" i="87"/>
  <c r="BP63" i="87"/>
  <c r="AW69" i="87"/>
  <c r="AF68" i="87"/>
  <c r="AR68" i="87" l="1"/>
  <c r="BA68" i="87"/>
  <c r="Q70" i="87"/>
  <c r="AW70" i="87"/>
  <c r="BN64" i="87"/>
  <c r="AX70" i="87"/>
  <c r="AV69" i="87"/>
  <c r="AT69" i="87"/>
  <c r="AU69" i="87"/>
  <c r="BQ64" i="87"/>
  <c r="N69" i="87"/>
  <c r="BO64" i="87"/>
  <c r="AD70" i="87"/>
  <c r="R69" i="87"/>
  <c r="BP64" i="87"/>
  <c r="O69" i="87"/>
  <c r="AF69" i="87"/>
  <c r="AG70" i="87"/>
  <c r="AH69" i="87"/>
  <c r="P70" i="87"/>
  <c r="AE70" i="87"/>
  <c r="BM69" i="87"/>
  <c r="BA69" i="87" l="1"/>
  <c r="AR69" i="87"/>
  <c r="BN65" i="87"/>
  <c r="R70" i="87"/>
  <c r="BO65" i="87"/>
  <c r="AF70" i="87"/>
  <c r="BQ65" i="87"/>
  <c r="AW71" i="87"/>
  <c r="AD71" i="87"/>
  <c r="AE71" i="87"/>
  <c r="N70" i="87"/>
  <c r="AG71" i="87"/>
  <c r="BP65" i="87"/>
  <c r="Q71" i="87"/>
  <c r="AV70" i="87"/>
  <c r="AU70" i="87"/>
  <c r="O70" i="87"/>
  <c r="P71" i="87"/>
  <c r="AX71" i="87"/>
  <c r="BM70" i="87"/>
  <c r="AH70" i="87"/>
  <c r="AT70" i="87"/>
  <c r="AR70" i="87" l="1"/>
  <c r="BA70" i="87"/>
  <c r="BN66" i="87"/>
  <c r="N71" i="87"/>
  <c r="AE72" i="87"/>
  <c r="P72" i="87"/>
  <c r="AX72" i="87"/>
  <c r="BQ66" i="87"/>
  <c r="AV71" i="87"/>
  <c r="AG72" i="87"/>
  <c r="AH71" i="87"/>
  <c r="R71" i="87"/>
  <c r="BM71" i="87"/>
  <c r="BO66" i="87"/>
  <c r="Q72" i="87"/>
  <c r="AU71" i="87"/>
  <c r="O71" i="87"/>
  <c r="AT71" i="87"/>
  <c r="AW72" i="87"/>
  <c r="AF71" i="87"/>
  <c r="AD72" i="87"/>
  <c r="BP66" i="87"/>
  <c r="BA71" i="87" l="1"/>
  <c r="AR71" i="87"/>
  <c r="Q73" i="87"/>
  <c r="R72" i="87"/>
  <c r="AW73" i="87"/>
  <c r="AG73" i="87"/>
  <c r="BO67" i="87"/>
  <c r="AD73" i="87"/>
  <c r="AT72" i="87"/>
  <c r="N72" i="87"/>
  <c r="BN67" i="87"/>
  <c r="AV72" i="87"/>
  <c r="P73" i="87"/>
  <c r="AH72" i="87"/>
  <c r="AF72" i="87"/>
  <c r="BM72" i="87"/>
  <c r="O72" i="87"/>
  <c r="AU72" i="87"/>
  <c r="AE73" i="87"/>
  <c r="AX73" i="87"/>
  <c r="BQ67" i="87"/>
  <c r="BP67" i="87"/>
  <c r="BA72" i="87" l="1"/>
  <c r="AR72" i="87"/>
  <c r="AH73" i="87"/>
  <c r="AW74" i="87"/>
  <c r="AD74" i="87"/>
  <c r="AE74" i="87"/>
  <c r="P74" i="87"/>
  <c r="BP68" i="87"/>
  <c r="Q74" i="87"/>
  <c r="AX74" i="87"/>
  <c r="AG74" i="87"/>
  <c r="N73" i="87"/>
  <c r="AV73" i="87"/>
  <c r="AF73" i="87"/>
  <c r="BO68" i="87"/>
  <c r="BN68" i="87"/>
  <c r="BM73" i="87"/>
  <c r="R73" i="87"/>
  <c r="O73" i="87"/>
  <c r="AU73" i="87"/>
  <c r="AT73" i="87"/>
  <c r="BQ68" i="87"/>
  <c r="AR73" i="87" l="1"/>
  <c r="BA73" i="87"/>
  <c r="O74" i="87"/>
  <c r="AE75" i="87"/>
  <c r="AV74" i="87"/>
  <c r="BP69" i="87"/>
  <c r="AD75" i="87"/>
  <c r="R74" i="87"/>
  <c r="AT74" i="87"/>
  <c r="AX75" i="87"/>
  <c r="AG75" i="87"/>
  <c r="BQ69" i="87"/>
  <c r="BO69" i="87"/>
  <c r="AH74" i="87"/>
  <c r="Q75" i="87"/>
  <c r="BM74" i="87"/>
  <c r="BN69" i="87"/>
  <c r="AF74" i="87"/>
  <c r="AU74" i="87"/>
  <c r="AW75" i="87"/>
  <c r="P75" i="87"/>
  <c r="N74" i="87"/>
  <c r="BA74" i="87" l="1"/>
  <c r="AR74" i="87"/>
  <c r="AE76" i="87"/>
  <c r="BN70" i="87"/>
  <c r="AH75" i="87"/>
  <c r="R75" i="87"/>
  <c r="N75" i="87"/>
  <c r="AT75" i="87"/>
  <c r="AV75" i="87"/>
  <c r="AD76" i="87"/>
  <c r="AU75" i="87"/>
  <c r="BO70" i="87"/>
  <c r="BM75" i="87"/>
  <c r="BP70" i="87"/>
  <c r="AW76" i="87"/>
  <c r="AF75" i="87"/>
  <c r="P76" i="87"/>
  <c r="AX76" i="87"/>
  <c r="BQ70" i="87"/>
  <c r="AG76" i="87"/>
  <c r="O75" i="87"/>
  <c r="Q76" i="87"/>
  <c r="AR75" i="87" l="1"/>
  <c r="BA75" i="87"/>
  <c r="R76" i="87"/>
  <c r="BQ71" i="87"/>
  <c r="AU76" i="87"/>
  <c r="AD77" i="87"/>
  <c r="AE77" i="87"/>
  <c r="AH76" i="87"/>
  <c r="BP71" i="87"/>
  <c r="AF76" i="87"/>
  <c r="AW77" i="87"/>
  <c r="BN71" i="87"/>
  <c r="AV76" i="87"/>
  <c r="AX77" i="87"/>
  <c r="O76" i="87"/>
  <c r="N76" i="87"/>
  <c r="BM76" i="87"/>
  <c r="P77" i="87"/>
  <c r="Q77" i="87"/>
  <c r="AG77" i="87"/>
  <c r="BO71" i="87"/>
  <c r="AT76" i="87"/>
  <c r="BA76" i="87" l="1"/>
  <c r="AR76" i="87"/>
  <c r="BM77" i="87"/>
  <c r="BN72" i="87"/>
  <c r="P78" i="87"/>
  <c r="AE78" i="87"/>
  <c r="AW78" i="87"/>
  <c r="AX78" i="87"/>
  <c r="R77" i="87"/>
  <c r="BO72" i="87"/>
  <c r="AU77" i="87"/>
  <c r="AF77" i="87"/>
  <c r="N77" i="87"/>
  <c r="BQ72" i="87"/>
  <c r="AG78" i="87"/>
  <c r="Q78" i="87"/>
  <c r="O77" i="87"/>
  <c r="AH77" i="87"/>
  <c r="AD78" i="87"/>
  <c r="AT77" i="87"/>
  <c r="AV77" i="87"/>
  <c r="BP72" i="87"/>
  <c r="BA77" i="87" l="1"/>
  <c r="AR77" i="87"/>
  <c r="BM78" i="87"/>
  <c r="BP73" i="87"/>
  <c r="N78" i="87"/>
  <c r="AX79" i="87"/>
  <c r="BO73" i="87"/>
  <c r="AT78" i="87"/>
  <c r="AE79" i="87"/>
  <c r="O78" i="87"/>
  <c r="P79" i="87"/>
  <c r="Q79" i="87"/>
  <c r="BN73" i="87"/>
  <c r="AG79" i="87"/>
  <c r="AH78" i="87"/>
  <c r="BQ73" i="87"/>
  <c r="AF78" i="87"/>
  <c r="AD79" i="87"/>
  <c r="R78" i="87"/>
  <c r="AV78" i="87"/>
  <c r="AU78" i="87"/>
  <c r="AW79" i="87"/>
  <c r="AR78" i="87" l="1"/>
  <c r="BA78" i="87"/>
  <c r="AH79" i="87"/>
  <c r="N79" i="87"/>
  <c r="Q80" i="87"/>
  <c r="P80" i="87"/>
  <c r="O79" i="87"/>
  <c r="BQ74" i="87"/>
  <c r="BO74" i="87"/>
  <c r="AW80" i="87"/>
  <c r="BP74" i="87"/>
  <c r="AV79" i="87"/>
  <c r="AU79" i="87"/>
  <c r="R79" i="87"/>
  <c r="AX80" i="87"/>
  <c r="BM79" i="87"/>
  <c r="BN74" i="87"/>
  <c r="AT79" i="87"/>
  <c r="AD80" i="87"/>
  <c r="AE80" i="87"/>
  <c r="AF79" i="87"/>
  <c r="AG80" i="87"/>
  <c r="BA79" i="87" l="1"/>
  <c r="AR79" i="87"/>
  <c r="AE81" i="87"/>
  <c r="BM80" i="87"/>
  <c r="N80" i="87"/>
  <c r="AW81" i="87"/>
  <c r="AT80" i="87"/>
  <c r="BP75" i="87"/>
  <c r="P81" i="87"/>
  <c r="O80" i="87"/>
  <c r="R80" i="87"/>
  <c r="AU80" i="87"/>
  <c r="AG81" i="87"/>
  <c r="BQ75" i="87"/>
  <c r="AH80" i="87"/>
  <c r="BO75" i="87"/>
  <c r="AV80" i="87"/>
  <c r="AX81" i="87"/>
  <c r="AF80" i="87"/>
  <c r="BN75" i="87"/>
  <c r="AD81" i="87"/>
  <c r="Q81" i="87"/>
  <c r="BA80" i="87" l="1"/>
  <c r="AR80" i="87"/>
  <c r="AT81" i="87"/>
  <c r="BQ76" i="87"/>
  <c r="AD82" i="87"/>
  <c r="BP76" i="87"/>
  <c r="AX82" i="87"/>
  <c r="BN76" i="87"/>
  <c r="AF81" i="87"/>
  <c r="AG82" i="87"/>
  <c r="AV81" i="87"/>
  <c r="O81" i="87"/>
  <c r="P82" i="87"/>
  <c r="AW82" i="87"/>
  <c r="R81" i="87"/>
  <c r="N81" i="87"/>
  <c r="AU81" i="87"/>
  <c r="AH81" i="87"/>
  <c r="AE82" i="87"/>
  <c r="BM81" i="87"/>
  <c r="Q82" i="87"/>
  <c r="BO76" i="87"/>
  <c r="AR81" i="87" l="1"/>
  <c r="BA81" i="87"/>
  <c r="AW83" i="87"/>
  <c r="AD83" i="87"/>
  <c r="BQ77" i="87"/>
  <c r="BP77" i="87"/>
  <c r="AU82" i="87"/>
  <c r="AF82" i="87"/>
  <c r="AE83" i="87"/>
  <c r="AX83" i="87"/>
  <c r="BM82" i="87"/>
  <c r="AT82" i="87"/>
  <c r="AG83" i="87"/>
  <c r="AH82" i="87"/>
  <c r="N82" i="87"/>
  <c r="R82" i="87"/>
  <c r="P83" i="87"/>
  <c r="BN77" i="87"/>
  <c r="O82" i="87"/>
  <c r="Q83" i="87"/>
  <c r="AV82" i="87"/>
  <c r="BO77" i="87"/>
  <c r="AR82" i="87" l="1"/>
  <c r="BA82" i="87"/>
  <c r="BQ78" i="87"/>
  <c r="Q84" i="87"/>
  <c r="AW84" i="87"/>
  <c r="BP78" i="87"/>
  <c r="R83" i="87"/>
  <c r="BM83" i="87"/>
  <c r="BO78" i="87"/>
  <c r="BN78" i="87"/>
  <c r="AF83" i="87"/>
  <c r="AD84" i="87"/>
  <c r="AT83" i="87"/>
  <c r="AG84" i="87"/>
  <c r="N83" i="87"/>
  <c r="AH83" i="87"/>
  <c r="AX84" i="87"/>
  <c r="AU83" i="87"/>
  <c r="AV83" i="87"/>
  <c r="P84" i="87"/>
  <c r="O83" i="87"/>
  <c r="AE84" i="87"/>
  <c r="BA83" i="87" l="1"/>
  <c r="AR83" i="87"/>
  <c r="AT84" i="87"/>
  <c r="AV84" i="87"/>
  <c r="N84" i="87"/>
  <c r="AD85" i="87"/>
  <c r="Q85" i="87"/>
  <c r="AU84" i="87"/>
  <c r="BQ79" i="87"/>
  <c r="AG85" i="87"/>
  <c r="AW85" i="87"/>
  <c r="BM84" i="87"/>
  <c r="BO79" i="87"/>
  <c r="AE85" i="87"/>
  <c r="AF84" i="87"/>
  <c r="AH84" i="87"/>
  <c r="BP79" i="87"/>
  <c r="AX85" i="87"/>
  <c r="O84" i="87"/>
  <c r="R84" i="87"/>
  <c r="P85" i="87"/>
  <c r="BN79" i="87"/>
  <c r="AR84" i="87" l="1"/>
  <c r="BA84" i="87"/>
  <c r="N85" i="87"/>
  <c r="AV85" i="87"/>
  <c r="R85" i="87"/>
  <c r="AF85" i="87"/>
  <c r="AT85" i="87"/>
  <c r="BO80" i="87"/>
  <c r="AH85" i="87"/>
  <c r="BM85" i="87"/>
  <c r="AG86" i="87"/>
  <c r="Q86" i="87"/>
  <c r="O85" i="87"/>
  <c r="AD86" i="87"/>
  <c r="BQ80" i="87"/>
  <c r="AX86" i="87"/>
  <c r="BN80" i="87"/>
  <c r="AU85" i="87"/>
  <c r="P86" i="87"/>
  <c r="AW86" i="87"/>
  <c r="AE86" i="87"/>
  <c r="BP80" i="87"/>
  <c r="AR85" i="87" l="1"/>
  <c r="BA85" i="87"/>
  <c r="AX87" i="87"/>
  <c r="AE87" i="87"/>
  <c r="AV86" i="87"/>
  <c r="AT86" i="87"/>
  <c r="Q87" i="87"/>
  <c r="AH86" i="87"/>
  <c r="AF86" i="87"/>
  <c r="AU86" i="87"/>
  <c r="P87" i="87"/>
  <c r="AD87" i="87"/>
  <c r="R86" i="87"/>
  <c r="BO81" i="87"/>
  <c r="O86" i="87"/>
  <c r="N86" i="87"/>
  <c r="BQ81" i="87"/>
  <c r="BM86" i="87"/>
  <c r="AW87" i="87"/>
  <c r="BP81" i="87"/>
  <c r="BN81" i="87"/>
  <c r="AG87" i="87"/>
  <c r="BA86" i="87" l="1"/>
  <c r="AR86" i="87"/>
  <c r="AF87" i="87"/>
  <c r="AX88" i="87"/>
  <c r="N87" i="87"/>
  <c r="R87" i="87"/>
  <c r="AT87" i="87"/>
  <c r="BP82" i="87"/>
  <c r="AE88" i="87"/>
  <c r="AD88" i="87"/>
  <c r="O87" i="87"/>
  <c r="AV87" i="87"/>
  <c r="Q88" i="87"/>
  <c r="AG88" i="87"/>
  <c r="BO82" i="87"/>
  <c r="BQ82" i="87"/>
  <c r="AU87" i="87"/>
  <c r="AW88" i="87"/>
  <c r="P88" i="87"/>
  <c r="BM87" i="87"/>
  <c r="AH87" i="87"/>
  <c r="BN82" i="87"/>
  <c r="AR87" i="87" l="1"/>
  <c r="BA87" i="87"/>
  <c r="O88" i="87"/>
  <c r="AW89" i="87"/>
  <c r="N88" i="87"/>
  <c r="BO83" i="87"/>
  <c r="AE89" i="87"/>
  <c r="Q89" i="87"/>
  <c r="BP83" i="87"/>
  <c r="P89" i="87"/>
  <c r="AD89" i="87"/>
  <c r="BM88" i="87"/>
  <c r="R88" i="87"/>
  <c r="AV88" i="87"/>
  <c r="AT88" i="87"/>
  <c r="AH88" i="87"/>
  <c r="BQ83" i="87"/>
  <c r="AG89" i="87"/>
  <c r="BN83" i="87"/>
  <c r="AF88" i="87"/>
  <c r="AU88" i="87"/>
  <c r="AX89" i="87"/>
  <c r="AR88" i="87" l="1"/>
  <c r="BA88" i="87"/>
  <c r="AV89" i="87"/>
  <c r="N89" i="87"/>
  <c r="R89" i="87"/>
  <c r="AH89" i="87"/>
  <c r="AG90" i="87"/>
  <c r="Q90" i="87"/>
  <c r="AT89" i="87"/>
  <c r="BP84" i="87"/>
  <c r="BM89" i="87"/>
  <c r="BQ84" i="87"/>
  <c r="AU89" i="87"/>
  <c r="AD90" i="87"/>
  <c r="AW90" i="87"/>
  <c r="BN84" i="87"/>
  <c r="AE90" i="87"/>
  <c r="P90" i="87"/>
  <c r="O89" i="87"/>
  <c r="AX90" i="87"/>
  <c r="AF89" i="87"/>
  <c r="BO84" i="87"/>
  <c r="AR89" i="87" l="1"/>
  <c r="BA89" i="87"/>
  <c r="BQ85" i="87"/>
  <c r="AV90" i="87"/>
  <c r="R90" i="87"/>
  <c r="AH90" i="87"/>
  <c r="O90" i="87"/>
  <c r="Q91" i="87"/>
  <c r="BN85" i="87"/>
  <c r="BP85" i="87"/>
  <c r="AU90" i="87"/>
  <c r="N90" i="87"/>
  <c r="AD91" i="87"/>
  <c r="AE91" i="87"/>
  <c r="BO85" i="87"/>
  <c r="AG91" i="87"/>
  <c r="AT90" i="87"/>
  <c r="AX91" i="87"/>
  <c r="P91" i="87"/>
  <c r="BM90" i="87"/>
  <c r="AW91" i="87"/>
  <c r="AF90" i="87"/>
  <c r="BA90" i="87" l="1"/>
  <c r="AR90" i="87"/>
  <c r="AE92" i="87"/>
  <c r="BN86" i="87"/>
  <c r="AX92" i="87"/>
  <c r="AU91" i="87"/>
  <c r="BP86" i="87"/>
  <c r="AD92" i="87"/>
  <c r="AT91" i="87"/>
  <c r="Q92" i="87"/>
  <c r="O91" i="87"/>
  <c r="N91" i="87"/>
  <c r="BQ86" i="87"/>
  <c r="R91" i="87"/>
  <c r="BO86" i="87"/>
  <c r="AW92" i="87"/>
  <c r="AG92" i="87"/>
  <c r="AH91" i="87"/>
  <c r="P92" i="87"/>
  <c r="AF91" i="87"/>
  <c r="BM91" i="87"/>
  <c r="AV91" i="87"/>
  <c r="AR91" i="87" l="1"/>
  <c r="BA91" i="87"/>
  <c r="P93" i="87"/>
  <c r="BN87" i="87"/>
  <c r="AX93" i="87"/>
  <c r="AD93" i="87"/>
  <c r="AU92" i="87"/>
  <c r="AT92" i="87"/>
  <c r="AW93" i="87"/>
  <c r="R92" i="87"/>
  <c r="AH92" i="87"/>
  <c r="AF92" i="87"/>
  <c r="O92" i="87"/>
  <c r="BM92" i="87"/>
  <c r="AV92" i="87"/>
  <c r="Q93" i="87"/>
  <c r="BO87" i="87"/>
  <c r="BP87" i="87"/>
  <c r="AG93" i="87"/>
  <c r="BQ87" i="87"/>
  <c r="N92" i="87"/>
  <c r="AE93" i="87"/>
  <c r="AR92" i="87" l="1"/>
  <c r="BA92" i="87"/>
  <c r="AE94" i="87"/>
  <c r="AV93" i="87"/>
  <c r="BQ88" i="87"/>
  <c r="AT93" i="87"/>
  <c r="AH93" i="87"/>
  <c r="AD94" i="87"/>
  <c r="BO88" i="87"/>
  <c r="N93" i="87"/>
  <c r="AW94" i="87"/>
  <c r="O93" i="87"/>
  <c r="AU93" i="87"/>
  <c r="AF93" i="87"/>
  <c r="BM93" i="87"/>
  <c r="AX94" i="87"/>
  <c r="AG94" i="87"/>
  <c r="P94" i="87"/>
  <c r="BP88" i="87"/>
  <c r="BN88" i="87"/>
  <c r="R93" i="87"/>
  <c r="Q94" i="87"/>
  <c r="BA93" i="87" l="1"/>
  <c r="AD207" i="87"/>
  <c r="AR93" i="87"/>
  <c r="AF207" i="87"/>
  <c r="AC207" i="87"/>
  <c r="BQ89" i="87"/>
  <c r="BP89" i="87"/>
  <c r="Q95" i="87"/>
  <c r="BM94" i="87"/>
  <c r="AG95" i="87"/>
  <c r="AF94" i="87"/>
  <c r="AD95" i="87"/>
  <c r="R94" i="87"/>
  <c r="BN89" i="87"/>
  <c r="BO89" i="87"/>
  <c r="AT94" i="87"/>
  <c r="O94" i="87"/>
  <c r="AU94" i="87"/>
  <c r="AV94" i="87"/>
  <c r="AE95" i="87"/>
  <c r="AW95" i="87"/>
  <c r="AH94" i="87"/>
  <c r="P95" i="87"/>
  <c r="AX95" i="87"/>
  <c r="N94" i="87"/>
  <c r="BA94" i="87" l="1"/>
  <c r="AR94" i="87"/>
  <c r="AF208" i="87"/>
  <c r="AC208" i="87"/>
  <c r="AD208" i="87"/>
  <c r="AG207" i="87"/>
  <c r="AE207" i="87"/>
  <c r="AU95" i="87"/>
  <c r="BN90" i="87"/>
  <c r="AF95" i="87"/>
  <c r="BP90" i="87"/>
  <c r="P96" i="87"/>
  <c r="AV95" i="87"/>
  <c r="BQ90" i="87"/>
  <c r="AG96" i="87"/>
  <c r="AD96" i="87"/>
  <c r="AX96" i="87"/>
  <c r="Q96" i="87"/>
  <c r="R95" i="87"/>
  <c r="AH95" i="87"/>
  <c r="AE96" i="87"/>
  <c r="N95" i="87"/>
  <c r="BM95" i="87"/>
  <c r="O95" i="87"/>
  <c r="AT95" i="87"/>
  <c r="BO90" i="87"/>
  <c r="AW96" i="87"/>
  <c r="AR95" i="87" l="1"/>
  <c r="AG208" i="87"/>
  <c r="AD209" i="87"/>
  <c r="AF209" i="87"/>
  <c r="AE208" i="87"/>
  <c r="AC209" i="87"/>
  <c r="BA95" i="87"/>
  <c r="AV96" i="87"/>
  <c r="N96" i="87"/>
  <c r="AE97" i="87"/>
  <c r="AU96" i="87"/>
  <c r="AX97" i="87"/>
  <c r="O96" i="87"/>
  <c r="BM96" i="87"/>
  <c r="AG97" i="87"/>
  <c r="R96" i="87"/>
  <c r="BN91" i="87"/>
  <c r="BQ91" i="87"/>
  <c r="BO91" i="87"/>
  <c r="AT96" i="87"/>
  <c r="P97" i="87"/>
  <c r="AD97" i="87"/>
  <c r="AF96" i="87"/>
  <c r="AH96" i="87"/>
  <c r="Q97" i="87"/>
  <c r="AW97" i="87"/>
  <c r="BP91" i="87"/>
  <c r="AE209" i="87" l="1"/>
  <c r="BA96" i="87"/>
  <c r="AF210" i="87"/>
  <c r="AD210" i="87"/>
  <c r="AR96" i="87"/>
  <c r="AC210" i="87"/>
  <c r="AG209" i="87"/>
  <c r="O97" i="87"/>
  <c r="BN92" i="87"/>
  <c r="AW98" i="87"/>
  <c r="AD98" i="87"/>
  <c r="R97" i="87"/>
  <c r="P98" i="87"/>
  <c r="AG98" i="87"/>
  <c r="BM97" i="87"/>
  <c r="BP92" i="87"/>
  <c r="AV97" i="87"/>
  <c r="AF97" i="87"/>
  <c r="AH97" i="87"/>
  <c r="BQ92" i="87"/>
  <c r="AU97" i="87"/>
  <c r="AT97" i="87"/>
  <c r="AE98" i="87"/>
  <c r="BO92" i="87"/>
  <c r="N97" i="87"/>
  <c r="Q98" i="87"/>
  <c r="AX98" i="87"/>
  <c r="AD211" i="87" l="1"/>
  <c r="AG210" i="87"/>
  <c r="AR97" i="87"/>
  <c r="BA97" i="87"/>
  <c r="AC211" i="87"/>
  <c r="AE210" i="87"/>
  <c r="AF211" i="87"/>
  <c r="AD99" i="87"/>
  <c r="AU98" i="87"/>
  <c r="BO93" i="87"/>
  <c r="O98" i="87"/>
  <c r="BQ93" i="87"/>
  <c r="AW99" i="87"/>
  <c r="P99" i="87"/>
  <c r="N98" i="87"/>
  <c r="AT98" i="87"/>
  <c r="AF98" i="87"/>
  <c r="BN93" i="87"/>
  <c r="BP93" i="87"/>
  <c r="R98" i="87"/>
  <c r="AV98" i="87"/>
  <c r="AG99" i="87"/>
  <c r="Q99" i="87"/>
  <c r="AX99" i="87"/>
  <c r="AH98" i="87"/>
  <c r="AE99" i="87"/>
  <c r="BM98" i="87"/>
  <c r="AE211" i="87" l="1"/>
  <c r="AD212" i="87"/>
  <c r="AR98" i="87"/>
  <c r="AF212" i="87"/>
  <c r="AC212" i="87"/>
  <c r="BA98" i="87"/>
  <c r="AG211" i="87"/>
  <c r="O99" i="87"/>
  <c r="AV99" i="87"/>
  <c r="AW100" i="87"/>
  <c r="AG100" i="87"/>
  <c r="BP94" i="87"/>
  <c r="BM99" i="87"/>
  <c r="AF99" i="87"/>
  <c r="BQ94" i="87"/>
  <c r="AU99" i="87"/>
  <c r="Q100" i="87"/>
  <c r="AE100" i="87"/>
  <c r="N99" i="87"/>
  <c r="AT99" i="87"/>
  <c r="AD100" i="87"/>
  <c r="BN94" i="87"/>
  <c r="R99" i="87"/>
  <c r="AX100" i="87"/>
  <c r="P100" i="87"/>
  <c r="BO94" i="87"/>
  <c r="AH99" i="87"/>
  <c r="AC213" i="87" l="1"/>
  <c r="AF213" i="87"/>
  <c r="AG212" i="87"/>
  <c r="BA99" i="87"/>
  <c r="AR99" i="87"/>
  <c r="AD213" i="87"/>
  <c r="AE212" i="87"/>
  <c r="BQ95" i="87"/>
  <c r="AE101" i="87"/>
  <c r="BN95" i="87"/>
  <c r="AH100" i="87"/>
  <c r="AW101" i="87"/>
  <c r="BM100" i="87"/>
  <c r="AU100" i="87"/>
  <c r="BO95" i="87"/>
  <c r="P101" i="87"/>
  <c r="BP95" i="87"/>
  <c r="AF100" i="87"/>
  <c r="O100" i="87"/>
  <c r="AV100" i="87"/>
  <c r="AT100" i="87"/>
  <c r="R100" i="87"/>
  <c r="Q101" i="87"/>
  <c r="AX101" i="87"/>
  <c r="AD101" i="87"/>
  <c r="AG101" i="87"/>
  <c r="N100" i="87"/>
  <c r="AG213" i="87" l="1"/>
  <c r="AD214" i="87"/>
  <c r="AE213" i="87"/>
  <c r="AR100" i="87"/>
  <c r="AC214" i="87"/>
  <c r="BA100" i="87"/>
  <c r="AF214" i="87"/>
  <c r="AV101" i="87"/>
  <c r="AW102" i="87"/>
  <c r="AH101" i="87"/>
  <c r="AU101" i="87"/>
  <c r="BM101" i="87"/>
  <c r="BN96" i="87"/>
  <c r="BQ96" i="87"/>
  <c r="R101" i="87"/>
  <c r="AT101" i="87"/>
  <c r="N101" i="87"/>
  <c r="Q102" i="87"/>
  <c r="AF101" i="87"/>
  <c r="BP96" i="87"/>
  <c r="AE102" i="87"/>
  <c r="BO96" i="87"/>
  <c r="O101" i="87"/>
  <c r="AX102" i="87"/>
  <c r="AG102" i="87"/>
  <c r="AD102" i="87"/>
  <c r="P102" i="87"/>
  <c r="AF215" i="87" l="1"/>
  <c r="BA101" i="87"/>
  <c r="AD215" i="87"/>
  <c r="AG214" i="87"/>
  <c r="AE214" i="87"/>
  <c r="AC215" i="87"/>
  <c r="AR101" i="87"/>
  <c r="P103" i="87"/>
  <c r="AG103" i="87"/>
  <c r="AE103" i="87"/>
  <c r="AT102" i="87"/>
  <c r="BM102" i="87"/>
  <c r="R102" i="87"/>
  <c r="AH102" i="87"/>
  <c r="BQ97" i="87"/>
  <c r="AW103" i="87"/>
  <c r="AX103" i="87"/>
  <c r="AF102" i="87"/>
  <c r="BP97" i="87"/>
  <c r="N102" i="87"/>
  <c r="AU102" i="87"/>
  <c r="Q103" i="87"/>
  <c r="BN97" i="87"/>
  <c r="BO97" i="87"/>
  <c r="AV102" i="87"/>
  <c r="O102" i="87"/>
  <c r="AD103" i="87"/>
  <c r="AR102" i="87" l="1"/>
  <c r="AF216" i="87"/>
  <c r="AD216" i="87"/>
  <c r="AG215" i="87"/>
  <c r="AE215" i="87"/>
  <c r="AC216" i="87"/>
  <c r="BA102" i="87"/>
  <c r="O103" i="87"/>
  <c r="AU103" i="87"/>
  <c r="AX104" i="87"/>
  <c r="AG104" i="87"/>
  <c r="AD104" i="87"/>
  <c r="R103" i="87"/>
  <c r="P104" i="87"/>
  <c r="BO98" i="87"/>
  <c r="AF103" i="87"/>
  <c r="Q104" i="87"/>
  <c r="BP98" i="87"/>
  <c r="AH103" i="87"/>
  <c r="AW104" i="87"/>
  <c r="AT103" i="87"/>
  <c r="BQ98" i="87"/>
  <c r="BM103" i="87"/>
  <c r="N103" i="87"/>
  <c r="AV103" i="87"/>
  <c r="AE104" i="87"/>
  <c r="BN98" i="87"/>
  <c r="AG216" i="87" l="1"/>
  <c r="AC217" i="87"/>
  <c r="AR103" i="87"/>
  <c r="AD217" i="87"/>
  <c r="BA103" i="87"/>
  <c r="AE216" i="87"/>
  <c r="AF217" i="87"/>
  <c r="N104" i="87"/>
  <c r="BN99" i="87"/>
  <c r="AD105" i="87"/>
  <c r="P105" i="87"/>
  <c r="AX105" i="87"/>
  <c r="BM104" i="87"/>
  <c r="AF104" i="87"/>
  <c r="AE105" i="87"/>
  <c r="BQ99" i="87"/>
  <c r="AT104" i="87"/>
  <c r="AW105" i="87"/>
  <c r="AG105" i="87"/>
  <c r="AU104" i="87"/>
  <c r="Q105" i="87"/>
  <c r="R104" i="87"/>
  <c r="BO99" i="87"/>
  <c r="AV104" i="87"/>
  <c r="O104" i="87"/>
  <c r="AH104" i="87"/>
  <c r="BP99" i="87"/>
  <c r="AC218" i="87" l="1"/>
  <c r="AE217" i="87"/>
  <c r="AR104" i="87"/>
  <c r="BA104" i="87"/>
  <c r="AG217" i="87"/>
  <c r="AF218" i="87"/>
  <c r="AD218" i="87"/>
  <c r="AX106" i="87"/>
  <c r="Q106" i="87"/>
  <c r="BN100" i="87"/>
  <c r="N105" i="87"/>
  <c r="AF105" i="87"/>
  <c r="AW106" i="87"/>
  <c r="AT105" i="87"/>
  <c r="BQ100" i="87"/>
  <c r="P106" i="87"/>
  <c r="AU105" i="87"/>
  <c r="BM105" i="87"/>
  <c r="BO100" i="87"/>
  <c r="AG106" i="87"/>
  <c r="AD106" i="87"/>
  <c r="AH105" i="87"/>
  <c r="AE106" i="87"/>
  <c r="R105" i="87"/>
  <c r="AV105" i="87"/>
  <c r="BP100" i="87"/>
  <c r="O105" i="87"/>
  <c r="AG218" i="87" l="1"/>
  <c r="AC219" i="87"/>
  <c r="BA105" i="87"/>
  <c r="AR105" i="87"/>
  <c r="AF219" i="87"/>
  <c r="AD219" i="87"/>
  <c r="AE218" i="87"/>
  <c r="AF106" i="87"/>
  <c r="AE107" i="87"/>
  <c r="AG107" i="87"/>
  <c r="BN101" i="87"/>
  <c r="BO101" i="87"/>
  <c r="AT106" i="87"/>
  <c r="BP101" i="87"/>
  <c r="R106" i="87"/>
  <c r="AW107" i="87"/>
  <c r="AU106" i="87"/>
  <c r="AH106" i="87"/>
  <c r="AD107" i="87"/>
  <c r="O106" i="87"/>
  <c r="BQ101" i="87"/>
  <c r="BM106" i="87"/>
  <c r="AX107" i="87"/>
  <c r="P107" i="87"/>
  <c r="AV106" i="87"/>
  <c r="Q107" i="87"/>
  <c r="N106" i="87"/>
  <c r="AC220" i="87" l="1"/>
  <c r="BA106" i="87"/>
  <c r="AG219" i="87"/>
  <c r="AF220" i="87"/>
  <c r="AD220" i="87"/>
  <c r="AE219" i="87"/>
  <c r="AR106" i="87"/>
  <c r="BQ102" i="87"/>
  <c r="P108" i="87"/>
  <c r="BP102" i="87"/>
  <c r="Q108" i="87"/>
  <c r="AX108" i="87"/>
  <c r="AT107" i="87"/>
  <c r="N107" i="87"/>
  <c r="BN102" i="87"/>
  <c r="AF107" i="87"/>
  <c r="BM107" i="87"/>
  <c r="AU107" i="87"/>
  <c r="AG108" i="87"/>
  <c r="R107" i="87"/>
  <c r="BO102" i="87"/>
  <c r="AD108" i="87"/>
  <c r="AH107" i="87"/>
  <c r="AW108" i="87"/>
  <c r="AV107" i="87"/>
  <c r="AE108" i="87"/>
  <c r="O107" i="87"/>
  <c r="AE220" i="87" l="1"/>
  <c r="AC221" i="87"/>
  <c r="AR107" i="87"/>
  <c r="AG220" i="87"/>
  <c r="AD221" i="87"/>
  <c r="AF221" i="87"/>
  <c r="BA107" i="87"/>
  <c r="AE109" i="87"/>
  <c r="AT108" i="87"/>
  <c r="AF108" i="87"/>
  <c r="O108" i="87"/>
  <c r="N108" i="87"/>
  <c r="BQ103" i="87"/>
  <c r="AU108" i="87"/>
  <c r="R108" i="87"/>
  <c r="BO103" i="87"/>
  <c r="Q109" i="87"/>
  <c r="AH108" i="87"/>
  <c r="AX109" i="87"/>
  <c r="BM108" i="87"/>
  <c r="AW109" i="87"/>
  <c r="BP103" i="87"/>
  <c r="AD109" i="87"/>
  <c r="AG109" i="87"/>
  <c r="BN103" i="87"/>
  <c r="AV108" i="87"/>
  <c r="P109" i="87"/>
  <c r="AD222" i="87" l="1"/>
  <c r="AR108" i="87"/>
  <c r="AC222" i="87"/>
  <c r="BA108" i="87"/>
  <c r="AF222" i="87"/>
  <c r="AE221" i="87"/>
  <c r="AG221" i="87"/>
  <c r="AG110" i="87"/>
  <c r="O109" i="87"/>
  <c r="AV109" i="87"/>
  <c r="AX110" i="87"/>
  <c r="BP104" i="87"/>
  <c r="AH109" i="87"/>
  <c r="BN104" i="87"/>
  <c r="AE110" i="87"/>
  <c r="AF109" i="87"/>
  <c r="BO104" i="87"/>
  <c r="R109" i="87"/>
  <c r="P110" i="87"/>
  <c r="Q110" i="87"/>
  <c r="AT109" i="87"/>
  <c r="AU109" i="87"/>
  <c r="AD110" i="87"/>
  <c r="BQ104" i="87"/>
  <c r="BM109" i="87"/>
  <c r="N109" i="87"/>
  <c r="AW110" i="87"/>
  <c r="AF223" i="87" l="1"/>
  <c r="AC223" i="87"/>
  <c r="AG222" i="87"/>
  <c r="AR109" i="87"/>
  <c r="BA109" i="87"/>
  <c r="AE222" i="87"/>
  <c r="AD223" i="87"/>
  <c r="BN105" i="87"/>
  <c r="AV110" i="87"/>
  <c r="AF110" i="87"/>
  <c r="BM110" i="87"/>
  <c r="Q111" i="87"/>
  <c r="AU110" i="87"/>
  <c r="BP105" i="87"/>
  <c r="AT110" i="87"/>
  <c r="N110" i="87"/>
  <c r="AW111" i="87"/>
  <c r="P111" i="87"/>
  <c r="O110" i="87"/>
  <c r="AX111" i="87"/>
  <c r="AD111" i="87"/>
  <c r="BQ105" i="87"/>
  <c r="AH110" i="87"/>
  <c r="AE111" i="87"/>
  <c r="R110" i="87"/>
  <c r="AG111" i="87"/>
  <c r="BO105" i="87"/>
  <c r="AR110" i="87" l="1"/>
  <c r="AD224" i="87"/>
  <c r="AE223" i="87"/>
  <c r="AG223" i="87"/>
  <c r="AF224" i="87"/>
  <c r="BA110" i="87"/>
  <c r="AC224" i="87"/>
  <c r="BN106" i="87"/>
  <c r="BM111" i="87"/>
  <c r="N111" i="87"/>
  <c r="BP106" i="87"/>
  <c r="AH111" i="87"/>
  <c r="AF111" i="87"/>
  <c r="O111" i="87"/>
  <c r="R111" i="87"/>
  <c r="AX112" i="87"/>
  <c r="P112" i="87"/>
  <c r="BO106" i="87"/>
  <c r="AG112" i="87"/>
  <c r="AW112" i="87"/>
  <c r="AU111" i="87"/>
  <c r="BQ106" i="87"/>
  <c r="AV111" i="87"/>
  <c r="AT111" i="87"/>
  <c r="AE112" i="87"/>
  <c r="Q112" i="87"/>
  <c r="AD112" i="87"/>
  <c r="AF225" i="87" l="1"/>
  <c r="AG224" i="87"/>
  <c r="AD225" i="87"/>
  <c r="AC225" i="87"/>
  <c r="AE224" i="87"/>
  <c r="BA111" i="87"/>
  <c r="AR111" i="87"/>
  <c r="AE113" i="87"/>
  <c r="AU112" i="87"/>
  <c r="O112" i="87"/>
  <c r="AV112" i="87"/>
  <c r="AG113" i="87"/>
  <c r="AX113" i="87"/>
  <c r="AD113" i="87"/>
  <c r="BQ107" i="87"/>
  <c r="AH112" i="87"/>
  <c r="P113" i="87"/>
  <c r="N112" i="87"/>
  <c r="Q113" i="87"/>
  <c r="BP107" i="87"/>
  <c r="AF112" i="87"/>
  <c r="BO107" i="87"/>
  <c r="AW113" i="87"/>
  <c r="R112" i="87"/>
  <c r="BN107" i="87"/>
  <c r="AT112" i="87"/>
  <c r="BM112" i="87"/>
  <c r="AD226" i="87" l="1"/>
  <c r="AF226" i="87"/>
  <c r="BA112" i="87"/>
  <c r="AR112" i="87"/>
  <c r="AE225" i="87"/>
  <c r="AG225" i="87"/>
  <c r="AC226" i="87"/>
  <c r="AT113" i="87"/>
  <c r="AD114" i="87"/>
  <c r="AV113" i="87"/>
  <c r="BP108" i="87"/>
  <c r="BN108" i="87"/>
  <c r="R113" i="87"/>
  <c r="AF113" i="87"/>
  <c r="N113" i="87"/>
  <c r="Q114" i="87"/>
  <c r="BQ108" i="87"/>
  <c r="O113" i="87"/>
  <c r="AE114" i="87"/>
  <c r="BO108" i="87"/>
  <c r="AW114" i="87"/>
  <c r="BM113" i="87"/>
  <c r="P114" i="87"/>
  <c r="AH113" i="87"/>
  <c r="AU113" i="87"/>
  <c r="AX114" i="87"/>
  <c r="AG114" i="87"/>
  <c r="AD227" i="87" l="1"/>
  <c r="AE226" i="87"/>
  <c r="AF227" i="87"/>
  <c r="BA113" i="87"/>
  <c r="AC227" i="87"/>
  <c r="AR113" i="87"/>
  <c r="AG226" i="87"/>
  <c r="BO109" i="87"/>
  <c r="AU114" i="87"/>
  <c r="O114" i="87"/>
  <c r="AD115" i="87"/>
  <c r="AG115" i="87"/>
  <c r="AX115" i="87"/>
  <c r="AH114" i="87"/>
  <c r="AE115" i="87"/>
  <c r="R114" i="87"/>
  <c r="Q115" i="87"/>
  <c r="BQ109" i="87"/>
  <c r="P115" i="87"/>
  <c r="BP109" i="87"/>
  <c r="AV114" i="87"/>
  <c r="BM114" i="87"/>
  <c r="N114" i="87"/>
  <c r="AF114" i="87"/>
  <c r="AW115" i="87"/>
  <c r="AT114" i="87"/>
  <c r="BN109" i="87"/>
  <c r="AG227" i="87" l="1"/>
  <c r="AF228" i="87"/>
  <c r="AC228" i="87"/>
  <c r="AE227" i="87"/>
  <c r="AR114" i="87"/>
  <c r="AD228" i="87"/>
  <c r="BA114" i="87"/>
  <c r="R115" i="87"/>
  <c r="AW116" i="87"/>
  <c r="AE116" i="87"/>
  <c r="P116" i="87"/>
  <c r="O115" i="87"/>
  <c r="BN110" i="87"/>
  <c r="AD116" i="87"/>
  <c r="AT115" i="87"/>
  <c r="N115" i="87"/>
  <c r="AG116" i="87"/>
  <c r="BM115" i="87"/>
  <c r="BP110" i="87"/>
  <c r="Q116" i="87"/>
  <c r="BQ110" i="87"/>
  <c r="AU115" i="87"/>
  <c r="BO110" i="87"/>
  <c r="AV115" i="87"/>
  <c r="AH115" i="87"/>
  <c r="AX116" i="87"/>
  <c r="AF115" i="87"/>
  <c r="AR115" i="87" l="1"/>
  <c r="AE228" i="87"/>
  <c r="AF229" i="87"/>
  <c r="BA115" i="87"/>
  <c r="AC229" i="87"/>
  <c r="AD229" i="87"/>
  <c r="AG228" i="87"/>
  <c r="AG117" i="87"/>
  <c r="AW117" i="87"/>
  <c r="AF116" i="87"/>
  <c r="AT116" i="87"/>
  <c r="Q117" i="87"/>
  <c r="BO111" i="87"/>
  <c r="AX117" i="87"/>
  <c r="BM116" i="87"/>
  <c r="AH116" i="87"/>
  <c r="R116" i="87"/>
  <c r="P117" i="87"/>
  <c r="N116" i="87"/>
  <c r="AU116" i="87"/>
  <c r="AE117" i="87"/>
  <c r="BP111" i="87"/>
  <c r="AV116" i="87"/>
  <c r="BQ111" i="87"/>
  <c r="AD117" i="87"/>
  <c r="BN111" i="87"/>
  <c r="O116" i="87"/>
  <c r="AE229" i="87" l="1"/>
  <c r="AG229" i="87"/>
  <c r="BA116" i="87"/>
  <c r="AR116" i="87"/>
  <c r="BN112" i="87"/>
  <c r="Q118" i="87"/>
  <c r="AH117" i="87"/>
  <c r="AW118" i="87"/>
  <c r="AW119" i="87"/>
  <c r="AW120" i="87" s="1"/>
  <c r="BM117" i="87"/>
  <c r="R117" i="87"/>
  <c r="R118" i="87" s="1"/>
  <c r="BQ112" i="87"/>
  <c r="AE118" i="87"/>
  <c r="BO112" i="87"/>
  <c r="O117" i="87"/>
  <c r="N117" i="87"/>
  <c r="AT117" i="87"/>
  <c r="AE119" i="87"/>
  <c r="AD118" i="87"/>
  <c r="BP112" i="87"/>
  <c r="R119" i="87"/>
  <c r="AU117" i="87"/>
  <c r="BO113" i="87"/>
  <c r="AE120" i="87"/>
  <c r="R120" i="87"/>
  <c r="AV117" i="87"/>
  <c r="AV118" i="87" s="1"/>
  <c r="AF117" i="87"/>
  <c r="AX118" i="87"/>
  <c r="AX119" i="87" s="1"/>
  <c r="O118" i="87"/>
  <c r="BP113" i="87"/>
  <c r="AG118" i="87"/>
  <c r="AG119" i="87" s="1"/>
  <c r="P118" i="87"/>
  <c r="P119" i="87" s="1"/>
  <c r="Q119" i="87"/>
  <c r="Q120" i="87" s="1"/>
  <c r="Q121" i="87" s="1"/>
  <c r="AU118" i="87"/>
  <c r="AE121" i="87"/>
  <c r="R121" i="87"/>
  <c r="R122" i="87" s="1"/>
  <c r="AE122" i="87"/>
  <c r="AF118" i="87"/>
  <c r="AW121" i="87"/>
  <c r="AT118" i="87"/>
  <c r="AU119" i="87"/>
  <c r="AV119" i="87"/>
  <c r="AH118" i="87"/>
  <c r="BN113" i="87"/>
  <c r="BN114" i="87" s="1"/>
  <c r="BN115" i="87" s="1"/>
  <c r="AD119" i="87"/>
  <c r="N118" i="87"/>
  <c r="Q122" i="87"/>
  <c r="BO114" i="87"/>
  <c r="AG120" i="87"/>
  <c r="BM118" i="87"/>
  <c r="P120" i="87"/>
  <c r="AX120" i="87"/>
  <c r="AX121" i="87" s="1"/>
  <c r="AX122" i="87" s="1"/>
  <c r="BP114" i="87"/>
  <c r="O119" i="87"/>
  <c r="BQ113" i="87"/>
  <c r="R123" i="87"/>
  <c r="BQ114" i="87"/>
  <c r="Q123" i="87"/>
  <c r="AW122" i="87"/>
  <c r="AW123" i="87" s="1"/>
  <c r="O120" i="87"/>
  <c r="N119" i="87"/>
  <c r="AF119" i="87"/>
  <c r="AE123" i="87"/>
  <c r="AH119" i="87"/>
  <c r="BO115" i="87"/>
  <c r="BP115" i="87"/>
  <c r="AD120" i="87"/>
  <c r="P121" i="87"/>
  <c r="R124" i="87"/>
  <c r="AX123" i="87"/>
  <c r="BN116" i="87"/>
  <c r="AV120" i="87"/>
  <c r="AT119" i="87"/>
  <c r="BM119" i="87"/>
  <c r="AU120" i="87"/>
  <c r="AG121" i="87"/>
  <c r="AG122" i="87"/>
  <c r="P122" i="87"/>
  <c r="O121" i="87"/>
  <c r="AD121" i="87"/>
  <c r="Q124" i="87"/>
  <c r="BQ115" i="87"/>
  <c r="BN117" i="87"/>
  <c r="AU121" i="87"/>
  <c r="AW124" i="87"/>
  <c r="AH120" i="87"/>
  <c r="AF120" i="87"/>
  <c r="BM120" i="87"/>
  <c r="BP116" i="87"/>
  <c r="BO116" i="87"/>
  <c r="AE124" i="87"/>
  <c r="AT120" i="87"/>
  <c r="AV121" i="87"/>
  <c r="N120" i="87"/>
  <c r="AX124" i="87"/>
  <c r="R125" i="87"/>
  <c r="AX125" i="87"/>
  <c r="AF121" i="87"/>
  <c r="O122" i="87"/>
  <c r="AG123" i="87"/>
  <c r="BN118" i="87"/>
  <c r="BQ116" i="87"/>
  <c r="AD122" i="87"/>
  <c r="N121" i="87"/>
  <c r="AH121" i="87"/>
  <c r="P123" i="87"/>
  <c r="BO117" i="87"/>
  <c r="R126" i="87"/>
  <c r="AV122" i="87"/>
  <c r="AW125" i="87"/>
  <c r="AU122" i="87"/>
  <c r="Q125" i="87"/>
  <c r="AT121" i="87"/>
  <c r="AE125" i="87"/>
  <c r="BP117" i="87"/>
  <c r="BM121" i="87"/>
  <c r="BM122" i="87"/>
  <c r="R127" i="87"/>
  <c r="AG124" i="87"/>
  <c r="AX126" i="87"/>
  <c r="BP118" i="87"/>
  <c r="BO118" i="87"/>
  <c r="O123" i="87"/>
  <c r="AH122" i="87"/>
  <c r="AV123" i="87"/>
  <c r="AE126" i="87"/>
  <c r="P124" i="87"/>
  <c r="AF122" i="87"/>
  <c r="AD123" i="87"/>
  <c r="AT122" i="87"/>
  <c r="BN119" i="87"/>
  <c r="Q126" i="87"/>
  <c r="N122" i="87"/>
  <c r="BQ117" i="87"/>
  <c r="AU123" i="87"/>
  <c r="AW126" i="87"/>
  <c r="AU124" i="87"/>
  <c r="P125" i="87"/>
  <c r="AG125" i="87"/>
  <c r="AE127" i="87"/>
  <c r="AV124" i="87"/>
  <c r="BM123" i="87"/>
  <c r="AH123" i="87"/>
  <c r="AT123" i="87"/>
  <c r="AF123" i="87"/>
  <c r="BQ118" i="87"/>
  <c r="R128" i="87"/>
  <c r="Q127" i="87"/>
  <c r="O124" i="87"/>
  <c r="BO119" i="87"/>
  <c r="N123" i="87"/>
  <c r="BN120" i="87"/>
  <c r="AD124" i="87"/>
  <c r="BP119" i="87"/>
  <c r="AW127" i="87"/>
  <c r="AX127" i="87"/>
  <c r="AX128" i="87"/>
  <c r="Q128" i="87"/>
  <c r="AE128" i="87"/>
  <c r="BN121" i="87"/>
  <c r="BM124" i="87"/>
  <c r="AW128" i="87"/>
  <c r="R129" i="87"/>
  <c r="AG126" i="87"/>
  <c r="BP120" i="87"/>
  <c r="BQ119" i="87"/>
  <c r="P126" i="87"/>
  <c r="AH124" i="87"/>
  <c r="AD125" i="87"/>
  <c r="AF124" i="87"/>
  <c r="AU125" i="87"/>
  <c r="AT124" i="87"/>
  <c r="AV125" i="87"/>
  <c r="N124" i="87"/>
  <c r="BO120" i="87"/>
  <c r="O125" i="87"/>
  <c r="O126" i="87"/>
  <c r="AH125" i="87"/>
  <c r="BN122" i="87"/>
  <c r="BO121" i="87"/>
  <c r="P127" i="87"/>
  <c r="AE129" i="87"/>
  <c r="BQ120" i="87"/>
  <c r="Q129" i="87"/>
  <c r="BP121" i="87"/>
  <c r="AX129" i="87"/>
  <c r="AT125" i="87"/>
  <c r="AG127" i="87"/>
  <c r="AW129" i="87"/>
  <c r="N125" i="87"/>
  <c r="AV126" i="87"/>
  <c r="AU126" i="87"/>
  <c r="R130" i="87"/>
  <c r="AF125" i="87"/>
  <c r="AD126" i="87"/>
  <c r="BM125" i="87"/>
  <c r="BM126" i="87"/>
  <c r="AG128" i="87"/>
  <c r="BO122" i="87"/>
  <c r="AT126" i="87"/>
  <c r="AX130" i="87"/>
  <c r="R131" i="87"/>
  <c r="AU127" i="87"/>
  <c r="AV127" i="87"/>
  <c r="N126" i="87"/>
  <c r="P128" i="87"/>
  <c r="AD127" i="87"/>
  <c r="BN123" i="87"/>
  <c r="AH126" i="87"/>
  <c r="O127" i="87"/>
  <c r="Q130" i="87"/>
  <c r="BQ121" i="87"/>
  <c r="AW130" i="87"/>
  <c r="AF126" i="87"/>
  <c r="BP122" i="87"/>
  <c r="AE130" i="87"/>
  <c r="AE131" i="87"/>
  <c r="BN124" i="87"/>
  <c r="AT127" i="87"/>
  <c r="BP123" i="87"/>
  <c r="AD128" i="87"/>
  <c r="BO123" i="87"/>
  <c r="P129" i="87"/>
  <c r="AG129" i="87"/>
  <c r="N127" i="87"/>
  <c r="BM127" i="87"/>
  <c r="AV128" i="87"/>
  <c r="R132" i="87"/>
  <c r="AF127" i="87"/>
  <c r="BQ122" i="87"/>
  <c r="AW131" i="87"/>
  <c r="Q131" i="87"/>
  <c r="AU128" i="87"/>
  <c r="O128" i="87"/>
  <c r="AH127" i="87"/>
  <c r="AX131" i="87"/>
  <c r="AX132" i="87"/>
  <c r="R133" i="87"/>
  <c r="BP124" i="87"/>
  <c r="Q132" i="87"/>
  <c r="AH128" i="87"/>
  <c r="AV129" i="87"/>
  <c r="AT128" i="87"/>
  <c r="AG130" i="87"/>
  <c r="O129" i="87"/>
  <c r="BM128" i="87"/>
  <c r="BN125" i="87"/>
  <c r="N128" i="87"/>
  <c r="AW132" i="87"/>
  <c r="AU129" i="87"/>
  <c r="AE132" i="87"/>
  <c r="BQ123" i="87"/>
  <c r="BO124" i="87"/>
  <c r="AF128" i="87"/>
  <c r="AD129" i="87"/>
  <c r="P130" i="87"/>
  <c r="P131" i="87"/>
  <c r="N129" i="87"/>
  <c r="Q133" i="87"/>
  <c r="BP125" i="87"/>
  <c r="BM129" i="87"/>
  <c r="O130" i="87"/>
  <c r="BQ124" i="87"/>
  <c r="AT129" i="87"/>
  <c r="AV130" i="87"/>
  <c r="AD130" i="87"/>
  <c r="BN126" i="87"/>
  <c r="AF129" i="87"/>
  <c r="R134" i="87"/>
  <c r="AX133" i="87"/>
  <c r="AG131" i="87"/>
  <c r="AU130" i="87"/>
  <c r="AH129" i="87"/>
  <c r="BO125" i="87"/>
  <c r="AE133" i="87"/>
  <c r="AW133" i="87"/>
  <c r="AW134" i="87"/>
  <c r="AF130" i="87"/>
  <c r="BP126" i="87"/>
  <c r="BN127" i="87"/>
  <c r="BO126" i="87"/>
  <c r="AD131" i="87"/>
  <c r="P132" i="87"/>
  <c r="BM130" i="87"/>
  <c r="AE134" i="87"/>
  <c r="Q134" i="87"/>
  <c r="N130" i="87"/>
  <c r="AU131" i="87"/>
  <c r="AH130" i="87"/>
  <c r="AV131" i="87"/>
  <c r="AT130" i="87"/>
  <c r="AG132" i="87"/>
  <c r="BQ125" i="87"/>
  <c r="AX134" i="87"/>
  <c r="O131" i="87"/>
  <c r="R135" i="87"/>
  <c r="R136" i="87"/>
  <c r="AU132" i="87"/>
  <c r="BN128" i="87"/>
  <c r="N131" i="87"/>
  <c r="AX135" i="87"/>
  <c r="Q135" i="87"/>
  <c r="AW135" i="87"/>
  <c r="AD132" i="87"/>
  <c r="O132" i="87"/>
  <c r="BP127" i="87"/>
  <c r="AF131" i="87"/>
  <c r="P133" i="87"/>
  <c r="BQ126" i="87"/>
  <c r="AE135" i="87"/>
  <c r="AV132" i="87"/>
  <c r="AG133" i="87"/>
  <c r="BM131" i="87"/>
  <c r="AT131" i="87"/>
  <c r="AH131" i="87"/>
  <c r="BO127" i="87"/>
  <c r="BO128" i="87"/>
  <c r="P134" i="87"/>
  <c r="N132" i="87"/>
  <c r="AF132" i="87"/>
  <c r="BN129" i="87"/>
  <c r="AU133" i="87"/>
  <c r="BM132" i="87"/>
  <c r="AD133" i="87"/>
  <c r="AX136" i="87"/>
  <c r="AH132" i="87"/>
  <c r="O133" i="87"/>
  <c r="Q136" i="87"/>
  <c r="AT132" i="87"/>
  <c r="BP128" i="87"/>
  <c r="R137" i="87"/>
  <c r="AW136" i="87"/>
  <c r="AG134" i="87"/>
  <c r="AV133" i="87"/>
  <c r="AE136" i="87"/>
  <c r="BQ127" i="87"/>
  <c r="BQ128" i="87"/>
  <c r="Q137" i="87"/>
  <c r="AF133" i="87"/>
  <c r="BM133" i="87"/>
  <c r="BN130" i="87"/>
  <c r="AE137" i="87"/>
  <c r="O134" i="87"/>
  <c r="N133" i="87"/>
  <c r="AV134" i="87"/>
  <c r="AH133" i="87"/>
  <c r="P135" i="87"/>
  <c r="AU134" i="87"/>
  <c r="AG135" i="87"/>
  <c r="AX137" i="87"/>
  <c r="BO129" i="87"/>
  <c r="AW137" i="87"/>
  <c r="AD134" i="87"/>
  <c r="R138" i="87"/>
  <c r="BP129" i="87"/>
  <c r="AT133" i="87"/>
  <c r="AT134" i="87"/>
  <c r="AU135" i="87"/>
  <c r="BM134" i="87"/>
  <c r="Q138" i="87"/>
  <c r="BQ129" i="87"/>
  <c r="AE138" i="87"/>
  <c r="BP130" i="87"/>
  <c r="P136" i="87"/>
  <c r="AF134" i="87"/>
  <c r="AH134" i="87"/>
  <c r="AV135" i="87"/>
  <c r="O135" i="87"/>
  <c r="R139" i="87"/>
  <c r="N134" i="87"/>
  <c r="AD135" i="87"/>
  <c r="AG136" i="87"/>
  <c r="AW138" i="87"/>
  <c r="BN131" i="87"/>
  <c r="BO130" i="87"/>
  <c r="AX138" i="87"/>
  <c r="AX139" i="87"/>
  <c r="O136" i="87"/>
  <c r="Q139" i="87"/>
  <c r="BO131" i="87"/>
  <c r="AV136" i="87"/>
  <c r="BM135" i="87"/>
  <c r="BN132" i="87"/>
  <c r="AH135" i="87"/>
  <c r="AU136" i="87"/>
  <c r="R140" i="87"/>
  <c r="AW139" i="87"/>
  <c r="AF135" i="87"/>
  <c r="AT135" i="87"/>
  <c r="BP131" i="87"/>
  <c r="AG137" i="87"/>
  <c r="P137" i="87"/>
  <c r="AE139" i="87"/>
  <c r="AD136" i="87"/>
  <c r="N135" i="87"/>
  <c r="BQ130" i="87"/>
  <c r="BQ131" i="87"/>
  <c r="AF136" i="87"/>
  <c r="BO132" i="87"/>
  <c r="N136" i="87"/>
  <c r="AW140" i="87"/>
  <c r="Q140" i="87"/>
  <c r="AD137" i="87"/>
  <c r="R141" i="87"/>
  <c r="O137" i="87"/>
  <c r="AE140" i="87"/>
  <c r="AU137" i="87"/>
  <c r="AX140" i="87"/>
  <c r="P138" i="87"/>
  <c r="AH136" i="87"/>
  <c r="BM136" i="87"/>
  <c r="AV137" i="87"/>
  <c r="AG138" i="87"/>
  <c r="BN133" i="87"/>
  <c r="BP132" i="87"/>
  <c r="AT136" i="87"/>
  <c r="AT137" i="87"/>
  <c r="AX141" i="87"/>
  <c r="N137" i="87"/>
  <c r="BP133" i="87"/>
  <c r="AU138" i="87"/>
  <c r="BO133" i="87"/>
  <c r="BN134" i="87"/>
  <c r="AE141" i="87"/>
  <c r="AF137" i="87"/>
  <c r="AG139" i="87"/>
  <c r="O138" i="87"/>
  <c r="BQ132" i="87"/>
  <c r="AV138" i="87"/>
  <c r="R142" i="87"/>
  <c r="AD138" i="87"/>
  <c r="Q141" i="87"/>
  <c r="AW141" i="87"/>
  <c r="BM137" i="87"/>
  <c r="AH137" i="87"/>
  <c r="P139" i="87"/>
  <c r="P140" i="87"/>
  <c r="BQ133" i="87"/>
  <c r="BP134" i="87"/>
  <c r="AH138" i="87"/>
  <c r="O139" i="87"/>
  <c r="N138" i="87"/>
  <c r="BM138" i="87"/>
  <c r="AW142" i="87"/>
  <c r="AF138" i="87"/>
  <c r="AT138" i="87"/>
  <c r="BO134" i="87"/>
  <c r="AX142" i="87"/>
  <c r="Q142" i="87"/>
  <c r="AE142" i="87"/>
  <c r="AG140" i="87"/>
  <c r="AD139" i="87"/>
  <c r="BN135" i="87"/>
  <c r="AU139" i="87"/>
  <c r="R143" i="87"/>
  <c r="AV139" i="87"/>
  <c r="AV140" i="87"/>
  <c r="AX143" i="87"/>
  <c r="AH139" i="87"/>
  <c r="R144" i="87"/>
  <c r="BO135" i="87"/>
  <c r="BP135" i="87"/>
  <c r="AU140" i="87"/>
  <c r="AT139" i="87"/>
  <c r="BN136" i="87"/>
  <c r="AF139" i="87"/>
  <c r="P141" i="87"/>
  <c r="AW143" i="87"/>
  <c r="BM139" i="87"/>
  <c r="BQ134" i="87"/>
  <c r="AD140" i="87"/>
  <c r="Q143" i="87"/>
  <c r="AG141" i="87"/>
  <c r="AE143" i="87"/>
  <c r="N139" i="87"/>
  <c r="O140" i="87"/>
  <c r="O141" i="87"/>
  <c r="AW144" i="87"/>
  <c r="R145" i="87"/>
  <c r="N140" i="87"/>
  <c r="P142" i="87"/>
  <c r="AH140" i="87"/>
  <c r="AE144" i="87"/>
  <c r="AF140" i="87"/>
  <c r="AX144" i="87"/>
  <c r="AV141" i="87"/>
  <c r="BQ135" i="87"/>
  <c r="BO136" i="87"/>
  <c r="AG142" i="87"/>
  <c r="BN137" i="87"/>
  <c r="AT140" i="87"/>
  <c r="BM140" i="87"/>
  <c r="Q144" i="87"/>
  <c r="AD141" i="87"/>
  <c r="AU141" i="87"/>
  <c r="BP136" i="87"/>
  <c r="BP137" i="87"/>
  <c r="BO137" i="87"/>
  <c r="N141" i="87"/>
  <c r="AU142" i="87"/>
  <c r="BQ136" i="87"/>
  <c r="R146" i="87"/>
  <c r="AW145" i="87"/>
  <c r="Q145" i="87"/>
  <c r="O142" i="87"/>
  <c r="P143" i="87"/>
  <c r="AD142" i="87"/>
  <c r="AV142" i="87"/>
  <c r="AX145" i="87"/>
  <c r="AG143" i="87"/>
  <c r="BM141" i="87"/>
  <c r="AF141" i="87"/>
  <c r="AE145" i="87"/>
  <c r="AH141" i="87"/>
  <c r="AT141" i="87"/>
  <c r="BN138" i="87"/>
  <c r="AH142" i="87"/>
  <c r="P144" i="87"/>
  <c r="BO138" i="87"/>
  <c r="AV143" i="87"/>
  <c r="AD143" i="87"/>
  <c r="AE146" i="87"/>
  <c r="O143" i="87"/>
  <c r="BP138" i="87"/>
  <c r="AF142" i="87"/>
  <c r="Q146" i="87"/>
  <c r="AW146" i="87"/>
  <c r="AG144" i="87"/>
  <c r="R147" i="87"/>
  <c r="AU143" i="87"/>
  <c r="BM142" i="87"/>
  <c r="AT142" i="87"/>
  <c r="AX146" i="87"/>
  <c r="BQ137" i="87"/>
  <c r="BN139" i="87"/>
  <c r="N142" i="87"/>
  <c r="N143" i="87"/>
  <c r="AG145" i="87"/>
  <c r="AV144" i="87"/>
  <c r="BQ138" i="87"/>
  <c r="P145" i="87"/>
  <c r="AF143" i="87"/>
  <c r="BP139" i="87"/>
  <c r="AU144" i="87"/>
  <c r="R148" i="87"/>
  <c r="BN140" i="87"/>
  <c r="AW147" i="87"/>
  <c r="BO139" i="87"/>
  <c r="Q147" i="87"/>
  <c r="AX147" i="87"/>
  <c r="AH143" i="87"/>
  <c r="O144" i="87"/>
  <c r="AE147" i="87"/>
  <c r="AD144" i="87"/>
  <c r="AT143" i="87"/>
  <c r="BM143" i="87"/>
  <c r="BM144" i="87"/>
  <c r="BO140" i="87"/>
  <c r="BQ139" i="87"/>
  <c r="AT144" i="87"/>
  <c r="AW148" i="87"/>
  <c r="AD145" i="87"/>
  <c r="BN141" i="87"/>
  <c r="AG146" i="87"/>
  <c r="R149" i="87"/>
  <c r="O145" i="87"/>
  <c r="AE148" i="87"/>
  <c r="N144" i="87"/>
  <c r="AU145" i="87"/>
  <c r="AH144" i="87"/>
  <c r="BP140" i="87"/>
  <c r="AX148" i="87"/>
  <c r="AF144" i="87"/>
  <c r="Q148" i="87"/>
  <c r="P146" i="87"/>
  <c r="AV145" i="87"/>
  <c r="AV146" i="87"/>
  <c r="N145" i="87"/>
  <c r="AT145" i="87"/>
  <c r="P147" i="87"/>
  <c r="AE149" i="87"/>
  <c r="BQ140" i="87"/>
  <c r="Q149" i="87"/>
  <c r="O146" i="87"/>
  <c r="BO141" i="87"/>
  <c r="AF145" i="87"/>
  <c r="R150" i="87"/>
  <c r="BM145" i="87"/>
  <c r="BN142" i="87"/>
  <c r="AH145" i="87"/>
  <c r="AW149" i="87"/>
  <c r="AX149" i="87"/>
  <c r="AG147" i="87"/>
  <c r="AD146" i="87"/>
  <c r="AU146" i="87"/>
  <c r="BP141" i="87"/>
  <c r="BP142" i="87"/>
  <c r="BM146" i="87"/>
  <c r="P148" i="87"/>
  <c r="AT146" i="87"/>
  <c r="AD147" i="87"/>
  <c r="N146" i="87"/>
  <c r="AV147" i="87"/>
  <c r="O147" i="87"/>
  <c r="Q150" i="87"/>
  <c r="BN143" i="87"/>
  <c r="AU147" i="87"/>
  <c r="R151" i="87"/>
  <c r="AF146" i="87"/>
  <c r="BO142" i="87"/>
  <c r="AX150" i="87"/>
  <c r="AW150" i="87"/>
  <c r="BQ141" i="87"/>
  <c r="AG148" i="87"/>
  <c r="AH146" i="87"/>
  <c r="AE150" i="87"/>
  <c r="AE151" i="87"/>
  <c r="R152" i="87"/>
  <c r="AT147" i="87"/>
  <c r="BN144" i="87"/>
  <c r="Q151" i="87"/>
  <c r="BP143" i="87"/>
  <c r="AV148" i="87"/>
  <c r="AD148" i="87"/>
  <c r="AH147" i="87"/>
  <c r="AU148" i="87"/>
  <c r="P149" i="87"/>
  <c r="AG149" i="87"/>
  <c r="BM147" i="87"/>
  <c r="AX151" i="87"/>
  <c r="AF147" i="87"/>
  <c r="BQ142" i="87"/>
  <c r="N147" i="87"/>
  <c r="AW151" i="87"/>
  <c r="O148" i="87"/>
  <c r="BO143" i="87"/>
  <c r="BO144" i="87"/>
  <c r="AG150" i="87"/>
  <c r="BN145" i="87"/>
  <c r="AW152" i="87"/>
  <c r="R153" i="87"/>
  <c r="O149" i="87"/>
  <c r="P150" i="87"/>
  <c r="AT148" i="87"/>
  <c r="AU149" i="87"/>
  <c r="AV149" i="87"/>
  <c r="N148" i="87"/>
  <c r="AH148" i="87"/>
  <c r="AE152" i="87"/>
  <c r="BQ143" i="87"/>
  <c r="AD149" i="87"/>
  <c r="AF148" i="87"/>
  <c r="AX152" i="87"/>
  <c r="BP144" i="87"/>
  <c r="BM148" i="87"/>
  <c r="Q152" i="87"/>
  <c r="Q153" i="87"/>
  <c r="Q154" i="87" s="1"/>
  <c r="AH149" i="87"/>
  <c r="AW153" i="87"/>
  <c r="BP145" i="87"/>
  <c r="AG151" i="87"/>
  <c r="AT149" i="87"/>
  <c r="O150" i="87"/>
  <c r="BM149" i="87"/>
  <c r="N149" i="87"/>
  <c r="BN146" i="87"/>
  <c r="AV150" i="87"/>
  <c r="AU150" i="87"/>
  <c r="P151" i="87"/>
  <c r="AX153" i="87"/>
  <c r="BO145" i="87"/>
  <c r="R154" i="87"/>
  <c r="AF149" i="87"/>
  <c r="AD150" i="87"/>
  <c r="BQ144" i="87"/>
  <c r="AE153" i="87"/>
  <c r="AE154" i="87"/>
  <c r="AU151" i="87"/>
  <c r="BP146" i="87"/>
  <c r="AD151" i="87"/>
  <c r="AD152" i="87" s="1"/>
  <c r="AH150" i="87"/>
  <c r="AH151" i="87" s="1"/>
  <c r="BM150" i="87"/>
  <c r="AG152" i="87"/>
  <c r="AG153" i="87" s="1"/>
  <c r="BQ145" i="87"/>
  <c r="AV151" i="87"/>
  <c r="AW154" i="87"/>
  <c r="BN147" i="87"/>
  <c r="O151" i="87"/>
  <c r="AF150" i="87"/>
  <c r="N150" i="87"/>
  <c r="Q155" i="87"/>
  <c r="AT150" i="87"/>
  <c r="R155" i="87"/>
  <c r="R156" i="87" s="1"/>
  <c r="BO146" i="87"/>
  <c r="AX154" i="87"/>
  <c r="P152" i="87"/>
  <c r="P153" i="87" s="1"/>
  <c r="P154" i="87"/>
  <c r="O152" i="87"/>
  <c r="AD153" i="87"/>
  <c r="AX155" i="87"/>
  <c r="BN148" i="87"/>
  <c r="BP147" i="87"/>
  <c r="BO147" i="87"/>
  <c r="AW155" i="87"/>
  <c r="AU152" i="87"/>
  <c r="AV152" i="87"/>
  <c r="AE155" i="87"/>
  <c r="AG154" i="87"/>
  <c r="R157" i="87"/>
  <c r="AT151" i="87"/>
  <c r="BQ146" i="87"/>
  <c r="BM151" i="87"/>
  <c r="Q156" i="87"/>
  <c r="N151" i="87"/>
  <c r="AH152" i="87"/>
  <c r="AH153" i="87" s="1"/>
  <c r="AH154" i="87" s="1"/>
  <c r="AH155" i="87" s="1"/>
  <c r="AH156" i="87" s="1"/>
  <c r="AF151" i="87"/>
  <c r="AF152" i="87"/>
  <c r="AG155" i="87"/>
  <c r="AG156" i="87" s="1"/>
  <c r="AG157" i="87" s="1"/>
  <c r="AX156" i="87"/>
  <c r="AH157" i="87"/>
  <c r="AH158" i="87" s="1"/>
  <c r="AE156" i="87"/>
  <c r="AD154" i="87"/>
  <c r="N152" i="87"/>
  <c r="AV153" i="87"/>
  <c r="AV154" i="87" s="1"/>
  <c r="O153" i="87"/>
  <c r="Q157" i="87"/>
  <c r="AU153" i="87"/>
  <c r="P155" i="87"/>
  <c r="BP148" i="87"/>
  <c r="BM152" i="87"/>
  <c r="BM153" i="87" s="1"/>
  <c r="AW156" i="87"/>
  <c r="AW157" i="87" s="1"/>
  <c r="AW158" i="87" s="1"/>
  <c r="BO148" i="87"/>
  <c r="BO149" i="87" s="1"/>
  <c r="BO150" i="87" s="1"/>
  <c r="BQ147" i="87"/>
  <c r="BN149" i="87"/>
  <c r="BN150" i="87" s="1"/>
  <c r="AT152" i="87"/>
  <c r="AT153" i="87" s="1"/>
  <c r="R158" i="87"/>
  <c r="O154" i="87"/>
  <c r="O155" i="87" s="1"/>
  <c r="BO151" i="87"/>
  <c r="AV155" i="87"/>
  <c r="BP149" i="87"/>
  <c r="P156" i="87"/>
  <c r="AT154" i="87"/>
  <c r="AX157" i="87"/>
  <c r="BQ148" i="87"/>
  <c r="AW159" i="87"/>
  <c r="N153" i="87"/>
  <c r="AD155" i="87"/>
  <c r="R159" i="87"/>
  <c r="AH159" i="87"/>
  <c r="AU154" i="87"/>
  <c r="BN151" i="87"/>
  <c r="AF153" i="87"/>
  <c r="BM154" i="87"/>
  <c r="BM155" i="87" s="1"/>
  <c r="Q158" i="87"/>
  <c r="AE157" i="87"/>
  <c r="AG158" i="87"/>
  <c r="BM156" i="87"/>
  <c r="BM157" i="87" s="1"/>
  <c r="AW160" i="87"/>
  <c r="O156" i="87"/>
  <c r="AG159" i="87"/>
  <c r="AV156" i="87"/>
  <c r="AF154" i="87"/>
  <c r="BQ149" i="87"/>
  <c r="AE158" i="87"/>
  <c r="AE159" i="87" s="1"/>
  <c r="AE160" i="87" s="1"/>
  <c r="N154" i="87"/>
  <c r="N155" i="87" s="1"/>
  <c r="BN152" i="87"/>
  <c r="AX158" i="87"/>
  <c r="BP150" i="87"/>
  <c r="Q159" i="87"/>
  <c r="AU155" i="87"/>
  <c r="AU156" i="87" s="1"/>
  <c r="AT155" i="87"/>
  <c r="AH160" i="87"/>
  <c r="P157" i="87"/>
  <c r="R160" i="87"/>
  <c r="AD156" i="87"/>
  <c r="BO152" i="87"/>
  <c r="R161" i="87"/>
  <c r="BN153" i="87"/>
  <c r="BN154" i="87" s="1"/>
  <c r="AW161" i="87"/>
  <c r="P158" i="87"/>
  <c r="N156" i="87"/>
  <c r="N157" i="87" s="1"/>
  <c r="N158" i="87" s="1"/>
  <c r="BM158" i="87"/>
  <c r="AH161" i="87"/>
  <c r="AE161" i="87"/>
  <c r="BQ150" i="87"/>
  <c r="Q160" i="87"/>
  <c r="BP151" i="87"/>
  <c r="AX159" i="87"/>
  <c r="AT156" i="87"/>
  <c r="AV157" i="87"/>
  <c r="AG160" i="87"/>
  <c r="O157" i="87"/>
  <c r="O158" i="87" s="1"/>
  <c r="AU157" i="87"/>
  <c r="AU158" i="87" s="1"/>
  <c r="AF155" i="87"/>
  <c r="AF156" i="87" s="1"/>
  <c r="BO153" i="87"/>
  <c r="AD157" i="87"/>
  <c r="AD158" i="87"/>
  <c r="AX160" i="87"/>
  <c r="P159" i="87"/>
  <c r="BO154" i="87"/>
  <c r="BP152" i="87"/>
  <c r="BP153" i="87" s="1"/>
  <c r="AW162" i="87"/>
  <c r="AW163" i="87" s="1"/>
  <c r="AE162" i="87"/>
  <c r="N159" i="87"/>
  <c r="AF157" i="87"/>
  <c r="Q161" i="87"/>
  <c r="BN155" i="87"/>
  <c r="AU159" i="87"/>
  <c r="BQ151" i="87"/>
  <c r="BQ152" i="87" s="1"/>
  <c r="R162" i="87"/>
  <c r="O159" i="87"/>
  <c r="BM159" i="87"/>
  <c r="AG161" i="87"/>
  <c r="AH162" i="87"/>
  <c r="AT157" i="87"/>
  <c r="AV158" i="87"/>
  <c r="AH163" i="87"/>
  <c r="AH164" i="87" s="1"/>
  <c r="Q162" i="87"/>
  <c r="AX161" i="87"/>
  <c r="AF158" i="87"/>
  <c r="AD159" i="87"/>
  <c r="N160" i="87"/>
  <c r="AV159" i="87"/>
  <c r="P160" i="87"/>
  <c r="AG162" i="87"/>
  <c r="BM160" i="87"/>
  <c r="AU160" i="87"/>
  <c r="O160" i="87"/>
  <c r="AE163" i="87"/>
  <c r="R163" i="87"/>
  <c r="AW164" i="87"/>
  <c r="BO155" i="87"/>
  <c r="BN156" i="87"/>
  <c r="BQ153" i="87"/>
  <c r="BP154" i="87"/>
  <c r="AT158" i="87"/>
  <c r="AT159" i="87"/>
  <c r="O161" i="87"/>
  <c r="AF159" i="87"/>
  <c r="BP155" i="87"/>
  <c r="AU161" i="87"/>
  <c r="P161" i="87"/>
  <c r="BQ154" i="87"/>
  <c r="BM161" i="87"/>
  <c r="BM162" i="87" s="1"/>
  <c r="Q163" i="87"/>
  <c r="AG163" i="87"/>
  <c r="BO156" i="87"/>
  <c r="BN157" i="87"/>
  <c r="AH165" i="87"/>
  <c r="AW165" i="87"/>
  <c r="AV160" i="87"/>
  <c r="R164" i="87"/>
  <c r="N161" i="87"/>
  <c r="N162" i="87" s="1"/>
  <c r="AE164" i="87"/>
  <c r="AD160" i="87"/>
  <c r="AX162" i="87"/>
  <c r="AX163" i="87"/>
  <c r="BN158" i="87"/>
  <c r="BN159" i="87" s="1"/>
  <c r="BP156" i="87"/>
  <c r="AD161" i="87"/>
  <c r="BO157" i="87"/>
  <c r="AE165" i="87"/>
  <c r="AG164" i="87"/>
  <c r="O162" i="87"/>
  <c r="AT160" i="87"/>
  <c r="BQ155" i="87"/>
  <c r="P162" i="87"/>
  <c r="AU162" i="87"/>
  <c r="AF160" i="87"/>
  <c r="N163" i="87"/>
  <c r="Q164" i="87"/>
  <c r="BM163" i="87"/>
  <c r="AW166" i="87"/>
  <c r="AH166" i="87"/>
  <c r="R165" i="87"/>
  <c r="AV161" i="87"/>
  <c r="R166" i="87"/>
  <c r="P163" i="87"/>
  <c r="BP157" i="87"/>
  <c r="AW167" i="87"/>
  <c r="AX164" i="87"/>
  <c r="AU163" i="87"/>
  <c r="AH167" i="87"/>
  <c r="BQ156" i="87"/>
  <c r="BN160" i="87"/>
  <c r="AT161" i="87"/>
  <c r="AV162" i="87"/>
  <c r="BM164" i="87"/>
  <c r="O163" i="87"/>
  <c r="AG165" i="87"/>
  <c r="N164" i="87"/>
  <c r="AF161" i="87"/>
  <c r="AD162" i="87"/>
  <c r="Q165" i="87"/>
  <c r="AE166" i="87"/>
  <c r="BO158" i="87"/>
  <c r="BO159" i="87"/>
  <c r="BM165" i="87"/>
  <c r="AW168" i="87"/>
  <c r="BP158" i="87"/>
  <c r="AH168" i="87"/>
  <c r="AE167" i="87"/>
  <c r="AV163" i="87"/>
  <c r="BQ157" i="87"/>
  <c r="O164" i="87"/>
  <c r="Q166" i="87"/>
  <c r="AT162" i="87"/>
  <c r="P164" i="87"/>
  <c r="AG166" i="87"/>
  <c r="AX165" i="87"/>
  <c r="AD163" i="87"/>
  <c r="BN161" i="87"/>
  <c r="R167" i="87"/>
  <c r="AU164" i="87"/>
  <c r="AF162" i="87"/>
  <c r="N165" i="87"/>
  <c r="N166" i="87"/>
  <c r="P165" i="87"/>
  <c r="BP159" i="87"/>
  <c r="AT163" i="87"/>
  <c r="AW169" i="87"/>
  <c r="Q167" i="87"/>
  <c r="BM166" i="87"/>
  <c r="O165" i="87"/>
  <c r="AX166" i="87"/>
  <c r="AF163" i="87"/>
  <c r="R168" i="87"/>
  <c r="AE168" i="87"/>
  <c r="AU165" i="87"/>
  <c r="AU166" i="87" s="1"/>
  <c r="BO160" i="87"/>
  <c r="AH169" i="87"/>
  <c r="BN162" i="87"/>
  <c r="BN163" i="87" s="1"/>
  <c r="BQ158" i="87"/>
  <c r="AV164" i="87"/>
  <c r="AG167" i="87"/>
  <c r="AD164" i="87"/>
  <c r="AD165" i="87" s="1"/>
  <c r="AD166" i="87"/>
  <c r="AE169" i="87"/>
  <c r="AT164" i="87"/>
  <c r="AX167" i="87"/>
  <c r="BM167" i="87"/>
  <c r="AW170" i="87"/>
  <c r="AG168" i="87"/>
  <c r="R169" i="87"/>
  <c r="BP160" i="87"/>
  <c r="AV165" i="87"/>
  <c r="AF164" i="87"/>
  <c r="P166" i="87"/>
  <c r="N167" i="87"/>
  <c r="O166" i="87"/>
  <c r="Q168" i="87"/>
  <c r="BQ159" i="87"/>
  <c r="BO161" i="87"/>
  <c r="BO162" i="87" s="1"/>
  <c r="BN164" i="87"/>
  <c r="AU167" i="87"/>
  <c r="AH170" i="87"/>
  <c r="AH171" i="87"/>
  <c r="P167" i="87"/>
  <c r="AX168" i="87"/>
  <c r="AF165" i="87"/>
  <c r="AF166" i="87" s="1"/>
  <c r="AT165" i="87"/>
  <c r="Q169" i="87"/>
  <c r="AU168" i="87"/>
  <c r="AG169" i="87"/>
  <c r="BN165" i="87"/>
  <c r="BN166" i="87" s="1"/>
  <c r="AV166" i="87"/>
  <c r="AE170" i="87"/>
  <c r="BP161" i="87"/>
  <c r="R170" i="87"/>
  <c r="BM168" i="87"/>
  <c r="BO163" i="87"/>
  <c r="AD167" i="87"/>
  <c r="AW171" i="87"/>
  <c r="BQ160" i="87"/>
  <c r="O167" i="87"/>
  <c r="N168" i="87"/>
  <c r="N169" i="87"/>
  <c r="BP162" i="87"/>
  <c r="AF167" i="87"/>
  <c r="AX169" i="87"/>
  <c r="AW172" i="87"/>
  <c r="BO164" i="87"/>
  <c r="BO165" i="87" s="1"/>
  <c r="R171" i="87"/>
  <c r="O168" i="87"/>
  <c r="AE171" i="87"/>
  <c r="P168" i="87"/>
  <c r="BN167" i="87"/>
  <c r="AG170" i="87"/>
  <c r="AU169" i="87"/>
  <c r="BQ161" i="87"/>
  <c r="AV167" i="87"/>
  <c r="AH172" i="87"/>
  <c r="Q170" i="87"/>
  <c r="AD168" i="87"/>
  <c r="AT166" i="87"/>
  <c r="BM169" i="87"/>
  <c r="BM170" i="87"/>
  <c r="AG171" i="87"/>
  <c r="AX170" i="87"/>
  <c r="P169" i="87"/>
  <c r="Q171" i="87"/>
  <c r="N170" i="87"/>
  <c r="AW173" i="87"/>
  <c r="AT167" i="87"/>
  <c r="BN168" i="87"/>
  <c r="AF168" i="87"/>
  <c r="AD169" i="87"/>
  <c r="BP163" i="87"/>
  <c r="BP164" i="87" s="1"/>
  <c r="AE172" i="87"/>
  <c r="BO166" i="87"/>
  <c r="AH173" i="87"/>
  <c r="O169" i="87"/>
  <c r="R172" i="87"/>
  <c r="AV168" i="87"/>
  <c r="BQ162" i="87"/>
  <c r="AU170" i="87"/>
  <c r="AU171" i="87"/>
  <c r="BP165" i="87"/>
  <c r="P170" i="87"/>
  <c r="AG172" i="87"/>
  <c r="BN169" i="87"/>
  <c r="N171" i="87"/>
  <c r="BQ163" i="87"/>
  <c r="AD170" i="87"/>
  <c r="AX171" i="87"/>
  <c r="AV169" i="87"/>
  <c r="AF169" i="87"/>
  <c r="R173" i="87"/>
  <c r="BM171" i="87"/>
  <c r="O170" i="87"/>
  <c r="AT168" i="87"/>
  <c r="AW174" i="87"/>
  <c r="AH174" i="87"/>
  <c r="BO167" i="87"/>
  <c r="AE173" i="87"/>
  <c r="AE174" i="87" s="1"/>
  <c r="Q172" i="87"/>
  <c r="Q173" i="87"/>
  <c r="R174" i="87"/>
  <c r="AG173" i="87"/>
  <c r="P171" i="87"/>
  <c r="AV170" i="87"/>
  <c r="AH175" i="87"/>
  <c r="AU172" i="87"/>
  <c r="AE175" i="87"/>
  <c r="AF170" i="87"/>
  <c r="BO168" i="87"/>
  <c r="BP166" i="87"/>
  <c r="AX172" i="87"/>
  <c r="N172" i="87"/>
  <c r="AW175" i="87"/>
  <c r="AD171" i="87"/>
  <c r="BQ164" i="87"/>
  <c r="BN170" i="87"/>
  <c r="AT169" i="87"/>
  <c r="O171" i="87"/>
  <c r="BM172" i="87"/>
  <c r="BM173" i="87"/>
  <c r="AX173" i="87"/>
  <c r="P172" i="87"/>
  <c r="AG174" i="87"/>
  <c r="AT170" i="87"/>
  <c r="R175" i="87"/>
  <c r="Q174" i="87"/>
  <c r="AU173" i="87"/>
  <c r="O172" i="87"/>
  <c r="BP167" i="87"/>
  <c r="BP168" i="87" s="1"/>
  <c r="BO169" i="87"/>
  <c r="AF171" i="87"/>
  <c r="AE176" i="87"/>
  <c r="AH176" i="87"/>
  <c r="BN171" i="87"/>
  <c r="BQ165" i="87"/>
  <c r="AV171" i="87"/>
  <c r="AD172" i="87"/>
  <c r="AW176" i="87"/>
  <c r="N173" i="87"/>
  <c r="N174" i="87"/>
  <c r="AF172" i="87"/>
  <c r="AG175" i="87"/>
  <c r="BO170" i="87"/>
  <c r="BP169" i="87"/>
  <c r="AX174" i="87"/>
  <c r="O173" i="87"/>
  <c r="AU174" i="87"/>
  <c r="AT171" i="87"/>
  <c r="AW177" i="87"/>
  <c r="P173" i="87"/>
  <c r="BQ166" i="87"/>
  <c r="Q175" i="87"/>
  <c r="AD173" i="87"/>
  <c r="BM174" i="87"/>
  <c r="BN172" i="87"/>
  <c r="AV172" i="87"/>
  <c r="AE177" i="87"/>
  <c r="AH177" i="87"/>
  <c r="R176" i="87"/>
  <c r="R177" i="87"/>
  <c r="BQ167" i="87"/>
  <c r="BO171" i="87"/>
  <c r="N175" i="87"/>
  <c r="AX175" i="87"/>
  <c r="AH178" i="87"/>
  <c r="P174" i="87"/>
  <c r="AG176" i="87"/>
  <c r="AV173" i="87"/>
  <c r="BP170" i="87"/>
  <c r="AE178" i="87"/>
  <c r="AE179" i="87" s="1"/>
  <c r="AW178" i="87"/>
  <c r="AF173" i="87"/>
  <c r="AT172" i="87"/>
  <c r="AU175" i="87"/>
  <c r="BN173" i="87"/>
  <c r="BM175" i="87"/>
  <c r="O174" i="87"/>
  <c r="AD174" i="87"/>
  <c r="Q176" i="87"/>
  <c r="AD175" i="87"/>
  <c r="AE180" i="87"/>
  <c r="BO172" i="87"/>
  <c r="BQ168" i="87"/>
  <c r="R178" i="87"/>
  <c r="P175" i="87"/>
  <c r="AX176" i="87"/>
  <c r="Q177" i="87"/>
  <c r="O175" i="87"/>
  <c r="BP171" i="87"/>
  <c r="AV174" i="87"/>
  <c r="AG177" i="87"/>
  <c r="AH179" i="87"/>
  <c r="N176" i="87"/>
  <c r="BM176" i="87"/>
  <c r="AU176" i="87"/>
  <c r="BN174" i="87"/>
  <c r="AT173" i="87"/>
  <c r="AW179" i="87"/>
  <c r="AF174" i="87"/>
  <c r="AF175" i="87"/>
  <c r="AG178" i="87"/>
  <c r="BQ169" i="87"/>
  <c r="BQ170" i="87" s="1"/>
  <c r="BP172" i="87"/>
  <c r="AD176" i="87"/>
  <c r="P176" i="87"/>
  <c r="AW180" i="87"/>
  <c r="AV175" i="87"/>
  <c r="BO173" i="87"/>
  <c r="AE181" i="87"/>
  <c r="O176" i="87"/>
  <c r="AX177" i="87"/>
  <c r="R179" i="87"/>
  <c r="AT174" i="87"/>
  <c r="Q178" i="87"/>
  <c r="AH180" i="87"/>
  <c r="BN175" i="87"/>
  <c r="AU177" i="87"/>
  <c r="AU178" i="87" s="1"/>
  <c r="BM177" i="87"/>
  <c r="N177" i="87"/>
  <c r="N178" i="87"/>
  <c r="AX178" i="87"/>
  <c r="BP173" i="87"/>
  <c r="BQ171" i="87"/>
  <c r="BO174" i="87"/>
  <c r="AW181" i="87"/>
  <c r="BM178" i="87"/>
  <c r="O177" i="87"/>
  <c r="AG179" i="87"/>
  <c r="AH181" i="87"/>
  <c r="R180" i="87"/>
  <c r="AU179" i="87"/>
  <c r="AE182" i="87"/>
  <c r="AF176" i="87"/>
  <c r="P177" i="87"/>
  <c r="BN176" i="87"/>
  <c r="AV176" i="87"/>
  <c r="Q179" i="87"/>
  <c r="AD177" i="87"/>
  <c r="AT175" i="87"/>
  <c r="Q180" i="87"/>
  <c r="AH182" i="87"/>
  <c r="AX179" i="87"/>
  <c r="AV177" i="87"/>
  <c r="AG180" i="87"/>
  <c r="N179" i="87"/>
  <c r="AT176" i="87"/>
  <c r="AD178" i="87"/>
  <c r="BN177" i="87"/>
  <c r="O178" i="87"/>
  <c r="BM179" i="87"/>
  <c r="BM180" i="87" s="1"/>
  <c r="AW182" i="87"/>
  <c r="BO175" i="87"/>
  <c r="AU180" i="87"/>
  <c r="BP174" i="87"/>
  <c r="P178" i="87"/>
  <c r="AE183" i="87"/>
  <c r="BQ172" i="87"/>
  <c r="R181" i="87"/>
  <c r="AF177" i="87"/>
  <c r="AF178" i="87"/>
  <c r="AW183" i="87"/>
  <c r="AV178" i="87"/>
  <c r="R182" i="87"/>
  <c r="BM181" i="87"/>
  <c r="AX180" i="87"/>
  <c r="AT177" i="87"/>
  <c r="BQ173" i="87"/>
  <c r="O179" i="87"/>
  <c r="AH183" i="87"/>
  <c r="Q181" i="87"/>
  <c r="BO176" i="87"/>
  <c r="AE184" i="87"/>
  <c r="BN178" i="87"/>
  <c r="AG181" i="87"/>
  <c r="P179" i="87"/>
  <c r="AD179" i="87"/>
  <c r="BP175" i="87"/>
  <c r="AU181" i="87"/>
  <c r="N180" i="87"/>
  <c r="N181" i="87"/>
  <c r="BO177" i="87"/>
  <c r="R183" i="87"/>
  <c r="AX181" i="87"/>
  <c r="AU182" i="87"/>
  <c r="Q182" i="87"/>
  <c r="AV179" i="87"/>
  <c r="BQ174" i="87"/>
  <c r="BP176" i="87"/>
  <c r="AH184" i="87"/>
  <c r="AW184" i="87"/>
  <c r="O180" i="87"/>
  <c r="AF179" i="87"/>
  <c r="P180" i="87"/>
  <c r="AD180" i="87"/>
  <c r="AG182" i="87"/>
  <c r="AT178" i="87"/>
  <c r="BN179" i="87"/>
  <c r="BM182" i="87"/>
  <c r="AE185" i="87"/>
  <c r="BM183" i="87"/>
  <c r="AW185" i="87"/>
  <c r="R184" i="87"/>
  <c r="Q183" i="87"/>
  <c r="AE186" i="87"/>
  <c r="BN180" i="87"/>
  <c r="AH185" i="87"/>
  <c r="BO178" i="87"/>
  <c r="BQ175" i="87"/>
  <c r="AD181" i="87"/>
  <c r="AF180" i="87"/>
  <c r="AX182" i="87"/>
  <c r="AT179" i="87"/>
  <c r="BP177" i="87"/>
  <c r="N182" i="87"/>
  <c r="P181" i="87"/>
  <c r="O181" i="87"/>
  <c r="AG183" i="87"/>
  <c r="AV180" i="87"/>
  <c r="AU183" i="87"/>
  <c r="AU184" i="87"/>
  <c r="AX183" i="87"/>
  <c r="Q184" i="87"/>
  <c r="Q185" i="87" s="1"/>
  <c r="AF181" i="87"/>
  <c r="AG184" i="87"/>
  <c r="AD182" i="87"/>
  <c r="N183" i="87"/>
  <c r="AT180" i="87"/>
  <c r="AV181" i="87"/>
  <c r="R185" i="87"/>
  <c r="AW186" i="87"/>
  <c r="AH186" i="87"/>
  <c r="BN181" i="87"/>
  <c r="O182" i="87"/>
  <c r="BQ176" i="87"/>
  <c r="BM184" i="87"/>
  <c r="BO179" i="87"/>
  <c r="BP178" i="87"/>
  <c r="AE187" i="87"/>
  <c r="P182" i="87"/>
  <c r="P183" i="87"/>
  <c r="AH187" i="87"/>
  <c r="AF182" i="87"/>
  <c r="N184" i="87"/>
  <c r="AG185" i="87"/>
  <c r="AE188" i="87"/>
  <c r="AW187" i="87"/>
  <c r="Q186" i="87"/>
  <c r="AD183" i="87"/>
  <c r="BP179" i="87"/>
  <c r="R186" i="87"/>
  <c r="AX184" i="87"/>
  <c r="BO180" i="87"/>
  <c r="BO181" i="87" s="1"/>
  <c r="AV182" i="87"/>
  <c r="AU185" i="87"/>
  <c r="AT181" i="87"/>
  <c r="O183" i="87"/>
  <c r="BM185" i="87"/>
  <c r="BQ177" i="87"/>
  <c r="BN182" i="87"/>
  <c r="BN183" i="87"/>
  <c r="AX185" i="87"/>
  <c r="N185" i="87"/>
  <c r="R187" i="87"/>
  <c r="AF183" i="87"/>
  <c r="BM186" i="87"/>
  <c r="BP180" i="87"/>
  <c r="AE189" i="87"/>
  <c r="BQ178" i="87"/>
  <c r="AH188" i="87"/>
  <c r="O184" i="87"/>
  <c r="AD184" i="87"/>
  <c r="P184" i="87"/>
  <c r="Q187" i="87"/>
  <c r="AW188" i="87"/>
  <c r="AG186" i="87"/>
  <c r="AT182" i="87"/>
  <c r="AU186" i="87"/>
  <c r="AV183" i="87"/>
  <c r="BO182" i="87"/>
  <c r="BO183" i="87"/>
  <c r="AD185" i="87"/>
  <c r="R188" i="87"/>
  <c r="N186" i="87"/>
  <c r="AU187" i="87"/>
  <c r="AX186" i="87"/>
  <c r="AE190" i="87"/>
  <c r="AV184" i="87"/>
  <c r="O185" i="87"/>
  <c r="AH189" i="87"/>
  <c r="BN184" i="87"/>
  <c r="BM187" i="87"/>
  <c r="BM188" i="87" s="1"/>
  <c r="AT183" i="87"/>
  <c r="BQ179" i="87"/>
  <c r="BP181" i="87"/>
  <c r="AF184" i="87"/>
  <c r="AG187" i="87"/>
  <c r="AW189" i="87"/>
  <c r="Q188" i="87"/>
  <c r="P185" i="87"/>
  <c r="P186" i="87"/>
  <c r="BM189" i="87"/>
  <c r="N187" i="87"/>
  <c r="R189" i="87"/>
  <c r="AH190" i="87"/>
  <c r="BO184" i="87"/>
  <c r="AX187" i="87"/>
  <c r="Q189" i="87"/>
  <c r="BN185" i="87"/>
  <c r="AW190" i="87"/>
  <c r="AD186" i="87"/>
  <c r="AV185" i="87"/>
  <c r="AT184" i="87"/>
  <c r="AG188" i="87"/>
  <c r="O186" i="87"/>
  <c r="AE191" i="87"/>
  <c r="AU188" i="87"/>
  <c r="AF185" i="87"/>
  <c r="BP182" i="87"/>
  <c r="BQ180" i="87"/>
  <c r="BP183" i="87"/>
  <c r="AD187" i="87"/>
  <c r="N188" i="87"/>
  <c r="AF186" i="87"/>
  <c r="AW191" i="87"/>
  <c r="BM190" i="87"/>
  <c r="AU189" i="87"/>
  <c r="BN186" i="87"/>
  <c r="P187" i="87"/>
  <c r="AE192" i="87"/>
  <c r="Q190" i="87"/>
  <c r="O187" i="87"/>
  <c r="AX188" i="87"/>
  <c r="AH191" i="87"/>
  <c r="R190" i="87"/>
  <c r="AG189" i="87"/>
  <c r="BO185" i="87"/>
  <c r="BQ181" i="87"/>
  <c r="BQ182" i="87" s="1"/>
  <c r="AT185" i="87"/>
  <c r="AV186" i="87"/>
  <c r="AG190" i="87"/>
  <c r="BN187" i="87"/>
  <c r="BM191" i="87"/>
  <c r="O188" i="87"/>
  <c r="Q191" i="87"/>
  <c r="AE193" i="87"/>
  <c r="BP184" i="87"/>
  <c r="R191" i="87"/>
  <c r="AU190" i="87"/>
  <c r="AV187" i="87"/>
  <c r="AF187" i="87"/>
  <c r="BQ183" i="87"/>
  <c r="P188" i="87"/>
  <c r="AH192" i="87"/>
  <c r="AT186" i="87"/>
  <c r="BO186" i="87"/>
  <c r="AX189" i="87"/>
  <c r="AW192" i="87"/>
  <c r="N189" i="87"/>
  <c r="AD188" i="87"/>
  <c r="BO187" i="87"/>
  <c r="R192" i="87"/>
  <c r="BQ184" i="87"/>
  <c r="N190" i="87"/>
  <c r="AV188" i="87"/>
  <c r="AU191" i="87"/>
  <c r="AT187" i="87"/>
  <c r="BP185" i="87"/>
  <c r="AE194" i="87"/>
  <c r="AD189" i="87"/>
  <c r="AF188" i="87"/>
  <c r="AW193" i="87"/>
  <c r="AH193" i="87"/>
  <c r="Q192" i="87"/>
  <c r="O189" i="87"/>
  <c r="BM192" i="87"/>
  <c r="BN188" i="87"/>
  <c r="AG191" i="87"/>
  <c r="P189" i="87"/>
  <c r="AX190" i="87"/>
  <c r="AX191" i="87"/>
  <c r="AW194" i="87"/>
  <c r="N191" i="87"/>
  <c r="P190" i="87"/>
  <c r="AF189" i="87"/>
  <c r="BQ185" i="87"/>
  <c r="AH194" i="87"/>
  <c r="AG192" i="87"/>
  <c r="AD190" i="87"/>
  <c r="R193" i="87"/>
  <c r="BO188" i="87"/>
  <c r="AT188" i="87"/>
  <c r="AV189" i="87"/>
  <c r="BN189" i="87"/>
  <c r="AE195" i="87"/>
  <c r="AU192" i="87"/>
  <c r="BM193" i="87"/>
  <c r="BP186" i="87"/>
  <c r="O190" i="87"/>
  <c r="Q193" i="87"/>
  <c r="BP187" i="87"/>
  <c r="R194" i="87"/>
  <c r="AW195" i="87"/>
  <c r="BM194" i="87"/>
  <c r="AD191" i="87"/>
  <c r="AX192" i="87"/>
  <c r="Q194" i="87"/>
  <c r="N192" i="87"/>
  <c r="AU193" i="87"/>
  <c r="AG193" i="87"/>
  <c r="AH195" i="87"/>
  <c r="BQ186" i="87"/>
  <c r="P191" i="87"/>
  <c r="O191" i="87"/>
  <c r="AE196" i="87"/>
  <c r="BN190" i="87"/>
  <c r="AV190" i="87"/>
  <c r="AF190" i="87"/>
  <c r="AT189" i="87"/>
  <c r="BO189" i="87"/>
  <c r="AT190" i="87"/>
  <c r="AH196" i="87"/>
  <c r="AW196" i="87"/>
  <c r="R195" i="87"/>
  <c r="AU194" i="87"/>
  <c r="BP188" i="87"/>
  <c r="Q195" i="87"/>
  <c r="O192" i="87"/>
  <c r="BO190" i="87"/>
  <c r="AF191" i="87"/>
  <c r="AG194" i="87"/>
  <c r="N193" i="87"/>
  <c r="AX193" i="87"/>
  <c r="BQ187" i="87"/>
  <c r="AV191" i="87"/>
  <c r="P192" i="87"/>
  <c r="BN191" i="87"/>
  <c r="BM195" i="87"/>
  <c r="AE197" i="87"/>
  <c r="AD192" i="87"/>
  <c r="BM196" i="87"/>
  <c r="AF192" i="87"/>
  <c r="AH197" i="87"/>
  <c r="BN192" i="87"/>
  <c r="BO191" i="87"/>
  <c r="AT191" i="87"/>
  <c r="BP189" i="87"/>
  <c r="AD193" i="87"/>
  <c r="AE198" i="87"/>
  <c r="P193" i="87"/>
  <c r="O193" i="87"/>
  <c r="Q196" i="87"/>
  <c r="BQ188" i="87"/>
  <c r="AX194" i="87"/>
  <c r="N194" i="87"/>
  <c r="AG195" i="87"/>
  <c r="AV192" i="87"/>
  <c r="AU195" i="87"/>
  <c r="R196" i="87"/>
  <c r="AW197" i="87"/>
  <c r="AU196" i="87"/>
  <c r="P194" i="87"/>
  <c r="AF193" i="87"/>
  <c r="BM197" i="87"/>
  <c r="AG196" i="87"/>
  <c r="R197" i="87"/>
  <c r="AV193" i="87"/>
  <c r="AE199" i="87"/>
  <c r="AD194" i="87"/>
  <c r="O194" i="87"/>
  <c r="N195" i="87"/>
  <c r="BP190" i="87"/>
  <c r="AX195" i="87"/>
  <c r="AT192" i="87"/>
  <c r="AW198" i="87"/>
  <c r="BN193" i="87"/>
  <c r="BQ189" i="87"/>
  <c r="BO192" i="87"/>
  <c r="Q197" i="87"/>
  <c r="AH198" i="87"/>
  <c r="Q198" i="87"/>
  <c r="N196" i="87"/>
  <c r="AF194" i="87"/>
  <c r="BP191" i="87"/>
  <c r="BO193" i="87"/>
  <c r="O195" i="87"/>
  <c r="P195" i="87"/>
  <c r="AD195" i="87"/>
  <c r="AU197" i="87"/>
  <c r="AE200" i="87"/>
  <c r="AW199" i="87"/>
  <c r="AV194" i="87"/>
  <c r="R198" i="87"/>
  <c r="AG197" i="87"/>
  <c r="BM198" i="87"/>
  <c r="BQ190" i="87"/>
  <c r="AH199" i="87"/>
  <c r="BN194" i="87"/>
  <c r="AX196" i="87"/>
  <c r="AT193" i="87"/>
  <c r="BN195" i="87"/>
  <c r="AE201" i="87"/>
  <c r="N197" i="87"/>
  <c r="AU198" i="87"/>
  <c r="Q199" i="87"/>
  <c r="BQ191" i="87"/>
  <c r="AD196" i="87"/>
  <c r="BM199" i="87"/>
  <c r="AV195" i="87"/>
  <c r="AX197" i="87"/>
  <c r="AH200" i="87"/>
  <c r="P196" i="87"/>
  <c r="AW200" i="87"/>
  <c r="AG198" i="87"/>
  <c r="O196" i="87"/>
  <c r="BP192" i="87"/>
  <c r="R199" i="87"/>
  <c r="BO194" i="87"/>
  <c r="AT194" i="87"/>
  <c r="AF195" i="87"/>
  <c r="AF196" i="87"/>
  <c r="P197" i="87"/>
  <c r="AU199" i="87"/>
  <c r="AT195" i="87"/>
  <c r="AH201" i="87"/>
  <c r="N198" i="87"/>
  <c r="BO195" i="87"/>
  <c r="AX198" i="87"/>
  <c r="AE202" i="87"/>
  <c r="R200" i="87"/>
  <c r="AV196" i="87"/>
  <c r="BN196" i="87"/>
  <c r="BP193" i="87"/>
  <c r="BM200" i="87"/>
  <c r="AD197" i="87"/>
  <c r="AG199" i="87"/>
  <c r="BQ192" i="87"/>
  <c r="O197" i="87"/>
  <c r="AW201" i="87"/>
  <c r="Q200" i="87"/>
  <c r="AW202" i="87"/>
  <c r="AV197" i="87"/>
  <c r="AU200" i="87"/>
  <c r="BP194" i="87"/>
  <c r="O198" i="87"/>
  <c r="R201" i="87"/>
  <c r="P198" i="87"/>
  <c r="AE203" i="87"/>
  <c r="AF197" i="87"/>
  <c r="AX199" i="87"/>
  <c r="BO196" i="87"/>
  <c r="N199" i="87"/>
  <c r="Q201" i="87"/>
  <c r="BQ193" i="87"/>
  <c r="AH202" i="87"/>
  <c r="AT196" i="87"/>
  <c r="AG200" i="87"/>
  <c r="BN197" i="87"/>
  <c r="AD198" i="87"/>
  <c r="BM201" i="87"/>
  <c r="BM202" i="87"/>
  <c r="N200" i="87"/>
  <c r="BP195" i="87"/>
  <c r="AD199" i="87"/>
  <c r="BO197" i="87"/>
  <c r="AU201" i="87"/>
  <c r="P199" i="87"/>
  <c r="BN198" i="87"/>
  <c r="AX200" i="87"/>
  <c r="AV198" i="87"/>
  <c r="AG201" i="87"/>
  <c r="AF198" i="87"/>
  <c r="AW203" i="87"/>
  <c r="AE204" i="87"/>
  <c r="AH203" i="87"/>
  <c r="AT197" i="87"/>
  <c r="BQ194" i="87"/>
  <c r="R202" i="87"/>
  <c r="Q202" i="87"/>
  <c r="O199" i="87"/>
  <c r="O200" i="87"/>
  <c r="AF199" i="87"/>
  <c r="AD200" i="87"/>
  <c r="Q203" i="87"/>
  <c r="AG202" i="87"/>
  <c r="BP196" i="87"/>
  <c r="AW204" i="87"/>
  <c r="R203" i="87"/>
  <c r="AV199" i="87"/>
  <c r="N201" i="87"/>
  <c r="AX201" i="87"/>
  <c r="BM203" i="87"/>
  <c r="BN199" i="87"/>
  <c r="AE205" i="87"/>
  <c r="BO198" i="87"/>
  <c r="BQ195" i="87"/>
  <c r="P200" i="87"/>
  <c r="AU202" i="87"/>
  <c r="AT198" i="87"/>
  <c r="AH204" i="87"/>
  <c r="AH205" i="87"/>
  <c r="BM204" i="87"/>
  <c r="Q204" i="87"/>
  <c r="AT199" i="87"/>
  <c r="AX202" i="87"/>
  <c r="AD201" i="87"/>
  <c r="AU203" i="87"/>
  <c r="N202" i="87"/>
  <c r="AF200" i="87"/>
  <c r="P201" i="87"/>
  <c r="AV200" i="87"/>
  <c r="O201" i="87"/>
  <c r="BQ196" i="87"/>
  <c r="R204" i="87"/>
  <c r="AW205" i="87"/>
  <c r="BO199" i="87"/>
  <c r="AE206" i="87"/>
  <c r="BP197" i="87"/>
  <c r="AG203" i="87"/>
  <c r="BN200" i="87"/>
  <c r="BN201" i="87"/>
  <c r="AV201" i="87"/>
  <c r="Q205" i="87"/>
  <c r="AG204" i="87"/>
  <c r="P202" i="87"/>
  <c r="BM205" i="87"/>
  <c r="BP198" i="87"/>
  <c r="AF201" i="87"/>
  <c r="AH206" i="87"/>
  <c r="BO200" i="87"/>
  <c r="N203" i="87"/>
  <c r="AU204" i="87"/>
  <c r="AD202" i="87"/>
  <c r="AX203" i="87"/>
  <c r="AW206" i="87"/>
  <c r="R205" i="87"/>
  <c r="AT200" i="87"/>
  <c r="BQ197" i="87"/>
  <c r="O202" i="87"/>
  <c r="O203" i="87"/>
  <c r="BO201" i="87"/>
  <c r="BN202" i="87"/>
  <c r="R206" i="87"/>
  <c r="BM206" i="87"/>
  <c r="P203" i="87"/>
  <c r="BQ198" i="87"/>
  <c r="AX204" i="87"/>
  <c r="AF202" i="87"/>
  <c r="AD203" i="87"/>
  <c r="AG205" i="87"/>
  <c r="AV202" i="87"/>
  <c r="AU205" i="87"/>
  <c r="Q206" i="87"/>
  <c r="AT201" i="87"/>
  <c r="N204" i="87"/>
  <c r="BP199" i="87"/>
  <c r="BP200" i="87"/>
  <c r="AX205" i="87"/>
  <c r="N205" i="87"/>
  <c r="BQ199" i="87"/>
  <c r="AT202" i="87"/>
  <c r="P204" i="87"/>
  <c r="BN203" i="87"/>
  <c r="O204" i="87"/>
  <c r="AU206" i="87"/>
  <c r="BO202" i="87"/>
  <c r="AV203" i="87"/>
  <c r="AG206" i="87"/>
  <c r="AD204" i="87"/>
  <c r="AF203" i="87"/>
  <c r="AF204" i="87"/>
  <c r="BQ200" i="87"/>
  <c r="AD205" i="87"/>
  <c r="N206" i="87"/>
  <c r="AV204" i="87"/>
  <c r="AX206" i="87"/>
  <c r="P205" i="87"/>
  <c r="BO203" i="87"/>
  <c r="BP201" i="87"/>
  <c r="AT203" i="87"/>
  <c r="O205" i="87"/>
  <c r="BN204" i="87"/>
  <c r="BP202" i="87"/>
  <c r="AV205" i="87"/>
  <c r="AD206" i="87"/>
  <c r="BN205" i="87"/>
  <c r="BO204" i="87"/>
  <c r="BQ201" i="87"/>
  <c r="P206" i="87"/>
  <c r="AT204" i="87"/>
  <c r="O206" i="87"/>
  <c r="AF205" i="87"/>
  <c r="BO205" i="87"/>
  <c r="BP203" i="87"/>
  <c r="AT205" i="87"/>
  <c r="BQ202" i="87"/>
  <c r="BN206" i="87"/>
  <c r="AF206" i="87"/>
  <c r="AV206" i="87"/>
  <c r="BO206" i="87"/>
  <c r="BQ203" i="87"/>
  <c r="AT206" i="87"/>
  <c r="BP204" i="87"/>
  <c r="BP205" i="87"/>
  <c r="BQ204" i="87"/>
  <c r="BQ205" i="87"/>
  <c r="BP206" i="87"/>
  <c r="BQ206" i="8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I9" authorId="0" shapeId="0" xr:uid="{86F6EF49-53E9-48C4-97DE-9C444B037B37}">
      <text>
        <r>
          <rPr>
            <b/>
            <sz val="9"/>
            <color indexed="81"/>
            <rFont val="宋体"/>
            <family val="3"/>
            <charset val="134"/>
          </rPr>
          <t>包含每日礼包购买</t>
        </r>
      </text>
    </comment>
  </commentList>
</comments>
</file>

<file path=xl/sharedStrings.xml><?xml version="1.0" encoding="utf-8"?>
<sst xmlns="http://schemas.openxmlformats.org/spreadsheetml/2006/main" count="269" uniqueCount="125">
  <si>
    <t>非r</t>
    <phoneticPr fontId="1" type="noConversion"/>
  </si>
  <si>
    <t>等级</t>
  </si>
  <si>
    <t>紫</t>
  </si>
  <si>
    <t>紫1</t>
  </si>
  <si>
    <t>橙</t>
  </si>
  <si>
    <t>橙1</t>
  </si>
  <si>
    <t>红</t>
  </si>
  <si>
    <t>爵位材料消耗</t>
    <phoneticPr fontId="1" type="noConversion"/>
  </si>
  <si>
    <t>武将觉醒材料消耗</t>
    <phoneticPr fontId="1" type="noConversion"/>
  </si>
  <si>
    <t>累积产出</t>
  </si>
  <si>
    <t>爵位材料占比</t>
    <phoneticPr fontId="1" type="noConversion"/>
  </si>
  <si>
    <t>觉醒材料占比</t>
    <phoneticPr fontId="1" type="noConversion"/>
  </si>
  <si>
    <t>每个等级材料总消耗</t>
    <phoneticPr fontId="1" type="noConversion"/>
  </si>
  <si>
    <t>每个等级爵位消耗占总消耗的比值</t>
    <phoneticPr fontId="1" type="noConversion"/>
  </si>
  <si>
    <t>每个等级武将觉醒消耗占总消耗的比值</t>
    <phoneticPr fontId="1" type="noConversion"/>
  </si>
  <si>
    <t>超r</t>
    <phoneticPr fontId="1" type="noConversion"/>
  </si>
  <si>
    <t>大r</t>
    <phoneticPr fontId="1" type="noConversion"/>
  </si>
  <si>
    <t>中r</t>
    <phoneticPr fontId="1" type="noConversion"/>
  </si>
  <si>
    <t>小r</t>
    <phoneticPr fontId="1" type="noConversion"/>
  </si>
  <si>
    <t>小r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</si>
  <si>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</si>
  <si>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</si>
  <si>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</si>
  <si>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超r</t>
    <phoneticPr fontId="1" type="noConversion"/>
  </si>
  <si>
    <t>公士</t>
  </si>
  <si>
    <t>上造</t>
  </si>
  <si>
    <t>簪袅</t>
  </si>
  <si>
    <t>不更</t>
  </si>
  <si>
    <t>大夫</t>
  </si>
  <si>
    <t>官大夫</t>
  </si>
  <si>
    <t>公大夫</t>
  </si>
  <si>
    <t>公乘</t>
  </si>
  <si>
    <t>五大夫</t>
  </si>
  <si>
    <t>左庶长</t>
  </si>
  <si>
    <t>非r</t>
    <phoneticPr fontId="1" type="noConversion"/>
  </si>
  <si>
    <t>天数</t>
    <phoneticPr fontId="1" type="noConversion"/>
  </si>
  <si>
    <t>非r</t>
  </si>
  <si>
    <t>小r</t>
  </si>
  <si>
    <t>中r</t>
  </si>
  <si>
    <t>大r</t>
  </si>
  <si>
    <t>超r</t>
  </si>
  <si>
    <t>爵位</t>
    <phoneticPr fontId="1" type="noConversion"/>
  </si>
  <si>
    <t>右庶长</t>
  </si>
  <si>
    <t>左更</t>
  </si>
  <si>
    <t>中更</t>
  </si>
  <si>
    <t>右更</t>
  </si>
  <si>
    <t>少上造</t>
  </si>
  <si>
    <t>大上造</t>
  </si>
  <si>
    <t>驷车庶长</t>
  </si>
  <si>
    <t>大庶长</t>
  </si>
  <si>
    <t>关内侯</t>
  </si>
  <si>
    <t>彻侯</t>
  </si>
  <si>
    <t>村庄</t>
    <phoneticPr fontId="1" type="noConversion"/>
  </si>
  <si>
    <t>县城</t>
    <phoneticPr fontId="1" type="noConversion"/>
  </si>
  <si>
    <t>爵位阶段解锁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</si>
  <si>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</si>
  <si>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</si>
  <si>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</si>
  <si>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大殿等级</t>
  </si>
  <si>
    <t>非r</t>
    <phoneticPr fontId="1" type="noConversion"/>
  </si>
  <si>
    <t>小r</t>
    <phoneticPr fontId="1" type="noConversion"/>
  </si>
  <si>
    <t>超r</t>
    <phoneticPr fontId="1" type="noConversion"/>
  </si>
  <si>
    <t>大r</t>
    <phoneticPr fontId="1" type="noConversion"/>
  </si>
  <si>
    <t>超r</t>
    <phoneticPr fontId="1" type="noConversion"/>
  </si>
  <si>
    <t>天数</t>
    <phoneticPr fontId="1" type="noConversion"/>
  </si>
  <si>
    <t>平民</t>
    <phoneticPr fontId="1" type="noConversion"/>
  </si>
  <si>
    <t>爵位名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</si>
  <si>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</si>
  <si>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</si>
  <si>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</si>
  <si>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</si>
  <si>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</si>
  <si>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产销比</t>
    <phoneticPr fontId="1" type="noConversion"/>
  </si>
  <si>
    <t>武将经验</t>
    <phoneticPr fontId="1" type="noConversion"/>
  </si>
  <si>
    <t>定义等级累积停留天数（天）</t>
  </si>
  <si>
    <t>定义等级阶段停留天数（天）</t>
  </si>
  <si>
    <t>天数对应定义等级</t>
  </si>
  <si>
    <t>定义等级</t>
  </si>
  <si>
    <t>预估完成定义等级等级</t>
  </si>
  <si>
    <t>村庄等级</t>
    <phoneticPr fontId="1" type="noConversion"/>
  </si>
  <si>
    <t>县城等级</t>
  </si>
  <si>
    <t>县城等级</t>
    <phoneticPr fontId="1" type="noConversion"/>
  </si>
  <si>
    <t>定义等级</t>
    <phoneticPr fontId="1" type="noConversion"/>
  </si>
  <si>
    <t>阶段数量</t>
    <phoneticPr fontId="1" type="noConversion"/>
  </si>
  <si>
    <t>不同等级的1个村庄产出/每日</t>
    <phoneticPr fontId="1" type="noConversion"/>
  </si>
  <si>
    <t>累计产出/每日</t>
    <phoneticPr fontId="1" type="noConversion"/>
  </si>
  <si>
    <t>不同等级的1个县城产出/每日</t>
    <phoneticPr fontId="1" type="noConversion"/>
  </si>
  <si>
    <t>加速时间</t>
  </si>
  <si>
    <t>加速时间</t>
    <phoneticPr fontId="1" type="noConversion"/>
  </si>
  <si>
    <t>村庄等级对应预期完成定义等级</t>
    <phoneticPr fontId="1" type="noConversion"/>
  </si>
  <si>
    <t>营寨</t>
    <phoneticPr fontId="1" type="noConversion"/>
  </si>
  <si>
    <t>县城等级对应预期完成定义等级</t>
    <phoneticPr fontId="1" type="noConversion"/>
  </si>
  <si>
    <t>营寨</t>
  </si>
  <si>
    <t>营寨等级对应预期完成定义等级</t>
  </si>
  <si>
    <t>营寨等级</t>
  </si>
  <si>
    <t>精英营寨</t>
    <phoneticPr fontId="1" type="noConversion"/>
  </si>
  <si>
    <t>精英营寨</t>
  </si>
  <si>
    <t>精英营寨等级</t>
  </si>
  <si>
    <t>精英营寨等级</t>
    <phoneticPr fontId="1" type="noConversion"/>
  </si>
  <si>
    <t>精英营寨等级对应预期完成定义等级</t>
    <phoneticPr fontId="1" type="noConversion"/>
  </si>
  <si>
    <t>不同等级的1个精英营寨产出/每日</t>
  </si>
  <si>
    <t>协作币</t>
    <phoneticPr fontId="1" type="noConversion"/>
  </si>
  <si>
    <t>累计产出协作币</t>
    <phoneticPr fontId="1" type="noConversion"/>
  </si>
  <si>
    <t>阶段营寨数量</t>
    <phoneticPr fontId="1" type="noConversion"/>
  </si>
  <si>
    <t>阵位数量</t>
    <phoneticPr fontId="1" type="noConversion"/>
  </si>
  <si>
    <t>累积消耗协作币</t>
    <phoneticPr fontId="1" type="noConversion"/>
  </si>
  <si>
    <t>阶段消耗协作币</t>
    <phoneticPr fontId="1" type="noConversion"/>
  </si>
  <si>
    <t>产出比例关系</t>
    <phoneticPr fontId="1" type="noConversion"/>
  </si>
  <si>
    <t>是否产出</t>
    <phoneticPr fontId="1" type="noConversion"/>
  </si>
  <si>
    <t>比例关系</t>
    <phoneticPr fontId="1" type="noConversion"/>
  </si>
  <si>
    <t>偕作币产出点</t>
    <phoneticPr fontId="1" type="noConversion"/>
  </si>
  <si>
    <t>日常任务</t>
    <phoneticPr fontId="1" type="noConversion"/>
  </si>
  <si>
    <t>定义等级对应累计产出协作币</t>
    <phoneticPr fontId="1" type="noConversion"/>
  </si>
  <si>
    <t>阶段消耗</t>
    <phoneticPr fontId="1" type="noConversion"/>
  </si>
  <si>
    <t>黄金秒阵位</t>
  </si>
  <si>
    <t>累计消耗</t>
    <phoneticPr fontId="1" type="noConversion"/>
  </si>
  <si>
    <t>偕作币和黄金的折算参数</t>
    <phoneticPr fontId="1" type="noConversion"/>
  </si>
  <si>
    <t>预估完成天数</t>
    <phoneticPr fontId="1" type="noConversion"/>
  </si>
  <si>
    <t>累计解锁天数</t>
    <phoneticPr fontId="1" type="noConversion"/>
  </si>
  <si>
    <t>开发时制作人需求：超r第二赛季满18个阵位</t>
    <phoneticPr fontId="1" type="noConversion"/>
  </si>
  <si>
    <t>2022.4.28加速需求：1个月6个阵位，4个月12，12个月18</t>
    <phoneticPr fontId="1" type="noConversion"/>
  </si>
  <si>
    <t>活跃活动</t>
    <phoneticPr fontId="1" type="noConversion"/>
  </si>
  <si>
    <t>产量/日</t>
    <phoneticPr fontId="1" type="noConversion"/>
  </si>
  <si>
    <t>总计</t>
    <phoneticPr fontId="1" type="noConversion"/>
  </si>
  <si>
    <t>实际活动和日常总共达到1500即可，可以灵活分配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</si>
</sst>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theme="1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  <font>
      <sz val="9"/>
      <color theme="1"/>
      <name val="宋体"/>
      <family val="3"/>
      <charset val="134"/>
      <scheme val="major"/>
    </font>
    <font>
      <b/>
      <sz val="9"/>
      <color indexed="81"/>
      <name val="宋体"/>
      <family val="3"/>
      <charset val="134"/>
    </font>
    <font>
      <sz val="9"/>
      <color rgb="FFFF0000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76">
    <xf numFmtId="0" fontId="0" fillId="0" borderId="0" xfId="0"/>
    <xf numFmtId="1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2" fillId="0" borderId="0" xfId="0" applyFont="1"/>
    <xf numFmtId="0" fontId="4" fillId="0" borderId="0" xfId="1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5" fillId="2" borderId="0" xfId="0" applyNumberFormat="1" applyFont="1" applyFill="1" applyAlignment="1">
      <alignment horizontal="center" vertical="center"/>
    </xf>
    <xf numFmtId="1" fontId="5" fillId="2" borderId="0" xfId="0" applyNumberFormat="1" applyFont="1" applyFill="1" applyAlignment="1">
      <alignment horizontal="center" vertical="center" shrinkToFit="1"/>
    </xf>
    <xf numFmtId="0" fontId="5" fillId="8" borderId="0" xfId="0" applyFont="1" applyFill="1" applyAlignment="1">
      <alignment horizontal="center" vertical="center"/>
    </xf>
    <xf numFmtId="0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 shrinkToFit="1"/>
    </xf>
    <xf numFmtId="1" fontId="5" fillId="0" borderId="0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shrinkToFi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9237;&#2030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AZ4">
            <v>1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AZ5">
            <v>2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AZ6">
            <v>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AZ7">
            <v>4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AZ8">
            <v>5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AZ9">
            <v>6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AZ10">
            <v>7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AZ11">
            <v>8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AZ12">
            <v>9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AZ13">
            <v>10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AZ14">
            <v>11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AZ15">
            <v>12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AZ16">
            <v>13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AZ17">
            <v>14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AZ18">
            <v>15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AZ19">
            <v>16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AZ20">
            <v>17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AZ21">
            <v>18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AZ22">
            <v>19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AZ23">
            <v>20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AZ24">
            <v>21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AZ25">
            <v>22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AZ26">
            <v>23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AZ27">
            <v>24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AZ28">
            <v>25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AZ29">
            <v>26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AZ30">
            <v>27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AZ31">
            <v>28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AZ32">
            <v>29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AZ33">
            <v>30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AZ34">
            <v>31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AZ35">
            <v>32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AZ36">
            <v>33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AZ37">
            <v>34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AZ38">
            <v>35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AZ39">
            <v>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AZ40">
            <v>37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AZ41">
            <v>38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AZ42">
            <v>39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AZ43">
            <v>40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AZ44">
            <v>41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AZ45">
            <v>42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AZ46">
            <v>43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AZ47">
            <v>44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AZ48">
            <v>45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AZ49">
            <v>46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AZ50">
            <v>47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AZ51">
            <v>48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AZ52">
            <v>49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AZ53">
            <v>50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Z54">
            <v>51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Z55">
            <v>52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Z56">
            <v>53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Z57">
            <v>54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Z58">
            <v>55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Z59">
            <v>56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Z60">
            <v>57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Z61">
            <v>58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Z62">
            <v>59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Z63">
            <v>60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Z64">
            <v>61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Z65">
            <v>62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Z66">
            <v>63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Z67">
            <v>64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Z68">
            <v>65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Z69">
            <v>66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Z70">
            <v>67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Z71">
            <v>68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Z72">
            <v>69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Z73">
            <v>70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Z74">
            <v>71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Z75">
            <v>72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Z76">
            <v>73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Z77">
            <v>74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Z78">
            <v>75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Z79">
            <v>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Z80">
            <v>77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Z81">
            <v>78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Z82">
            <v>79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Z83">
            <v>80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AZ84">
            <v>81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AZ85">
            <v>82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AZ86">
            <v>83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AZ87">
            <v>84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AZ88">
            <v>85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AZ89">
            <v>86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AZ90">
            <v>87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AZ91">
            <v>88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AZ92">
            <v>89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AZ93">
            <v>90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AZ94">
            <v>91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AZ95">
            <v>92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AZ96">
            <v>93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AZ97">
            <v>94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AZ98">
            <v>95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AZ99">
            <v>96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AZ100">
            <v>97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AZ101">
            <v>98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AZ102">
            <v>99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AZ103">
            <v>100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AZ104">
            <v>101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AZ105">
            <v>102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AZ106">
            <v>103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AZ107">
            <v>104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AZ108">
            <v>105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AZ109">
            <v>106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AZ110">
            <v>107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AZ111">
            <v>108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AZ112">
            <v>109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AZ113">
            <v>110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AZ114">
            <v>111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AZ115">
            <v>112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AZ116">
            <v>113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AZ117">
            <v>114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AZ118">
            <v>115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AZ119">
            <v>116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AZ120">
            <v>117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AZ121">
            <v>118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AZ122">
            <v>119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AZ123">
            <v>120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AZ124">
            <v>121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AZ125">
            <v>122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AZ126">
            <v>123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AZ127">
            <v>124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AZ128">
            <v>125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AZ129">
            <v>126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AZ130">
            <v>127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AZ131">
            <v>128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AZ132">
            <v>129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AZ133">
            <v>130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AZ134">
            <v>131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AZ135">
            <v>132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AZ136">
            <v>133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AZ137">
            <v>134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AZ138">
            <v>135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AZ139">
            <v>136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AZ140">
            <v>137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AZ141">
            <v>138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AZ142">
            <v>139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AZ143">
            <v>140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AZ144">
            <v>141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AZ145">
            <v>142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AZ146">
            <v>143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AZ147">
            <v>144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AZ148">
            <v>145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AZ149">
            <v>146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AZ150">
            <v>147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AZ151">
            <v>148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AZ152">
            <v>149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AZ153">
            <v>150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AZ154">
            <v>151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AZ155">
            <v>152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AZ156">
            <v>153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AZ157">
            <v>154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AZ158">
            <v>155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AZ159">
            <v>156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AZ160">
            <v>157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AZ161">
            <v>158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AZ162">
            <v>159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AZ163">
            <v>160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AZ164">
            <v>161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AZ165">
            <v>162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AZ166">
            <v>163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AZ167">
            <v>164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AZ168">
            <v>165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AZ169">
            <v>166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AZ170">
            <v>167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AZ171">
            <v>168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AZ172">
            <v>169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AZ173">
            <v>170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AZ174">
            <v>171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AZ175">
            <v>172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AZ176">
            <v>173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AZ177">
            <v>174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AZ178">
            <v>175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AZ179">
            <v>176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AZ180">
            <v>177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AZ181">
            <v>178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AZ182">
            <v>179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AZ183">
            <v>180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AZ184">
            <v>181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AZ185">
            <v>182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AZ186">
            <v>183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AZ187">
            <v>184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AZ188">
            <v>185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AZ189">
            <v>186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AZ190">
            <v>187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AZ191">
            <v>188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AZ192">
            <v>189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AZ193">
            <v>190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AZ194">
            <v>191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AZ195">
            <v>192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AZ196">
            <v>193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AZ197">
            <v>194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AZ198">
            <v>195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AZ199">
            <v>196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AZ200">
            <v>197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AZ201">
            <v>198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AZ202">
            <v>199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AZ203">
            <v>200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AZ204">
            <v>201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AZ205">
            <v>202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AZ206">
            <v>203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AZ207">
            <v>204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AZ208">
            <v>205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AZ209">
            <v>206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AZ210">
            <v>207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AZ211">
            <v>208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AZ212">
            <v>209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AZ213">
            <v>210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AZ214">
            <v>211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AZ215">
            <v>212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AZ216">
            <v>213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AZ217">
            <v>214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AZ218">
            <v>215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AZ219">
            <v>216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AZ220">
            <v>217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AZ221">
            <v>218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AZ222">
            <v>219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AZ223">
            <v>220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AZ224">
            <v>221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AZ225">
            <v>222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AZ226">
            <v>223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AZ227">
            <v>224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AZ228">
            <v>225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AZ229">
            <v>226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AZ230">
            <v>227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AZ231">
            <v>228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AZ232">
            <v>229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AZ233">
            <v>230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AZ234">
            <v>231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AZ235">
            <v>232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AZ236">
            <v>233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AZ237">
            <v>234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AZ238">
            <v>235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AZ239">
            <v>236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AZ240">
            <v>237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AZ241">
            <v>238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AZ242">
            <v>239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AZ243">
            <v>240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AZ244">
            <v>241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AZ245">
            <v>242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AZ246">
            <v>243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AZ247">
            <v>244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AZ248">
            <v>245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AZ249">
            <v>246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AZ250">
            <v>247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AZ251">
            <v>248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AZ252">
            <v>249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AZ253">
            <v>250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AZ254">
            <v>251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AZ255">
            <v>252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AZ256">
            <v>253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AZ257">
            <v>254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AZ258">
            <v>255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AZ259">
            <v>256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AZ260">
            <v>257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AZ261">
            <v>258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AZ262">
            <v>259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AZ263">
            <v>260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AZ264">
            <v>261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AZ265">
            <v>262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AZ266">
            <v>263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AZ267">
            <v>264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AZ268">
            <v>265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AZ269">
            <v>266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AZ270">
            <v>267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AZ271">
            <v>268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AZ272">
            <v>269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AZ273">
            <v>270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AZ274">
            <v>271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AZ275">
            <v>272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AZ276">
            <v>273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AZ277">
            <v>274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AZ278">
            <v>275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AZ279">
            <v>276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AZ280">
            <v>277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AZ281">
            <v>278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AZ282">
            <v>279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AZ283">
            <v>280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AZ284">
            <v>281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AZ285">
            <v>282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AZ286">
            <v>283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AZ287">
            <v>284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AZ288">
            <v>285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AZ289">
            <v>286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AZ290">
            <v>287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AZ291">
            <v>288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AZ292">
            <v>289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AZ293">
            <v>290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AZ294">
            <v>291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AZ295">
            <v>292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AZ296">
            <v>293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AZ297">
            <v>294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AZ298">
            <v>295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AZ299">
            <v>296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AZ300">
            <v>297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AZ301">
            <v>298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AZ302">
            <v>299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AZ303">
            <v>300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AZ304">
            <v>301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AZ305">
            <v>302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AZ306">
            <v>303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AZ307">
            <v>304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AZ308">
            <v>305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AZ309">
            <v>306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AZ310">
            <v>307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AZ311">
            <v>308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AZ312">
            <v>309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AZ313">
            <v>310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AZ314">
            <v>311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AZ315">
            <v>312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AZ316">
            <v>313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AZ317">
            <v>314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AZ318">
            <v>315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AZ319">
            <v>316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AZ320">
            <v>317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AZ321">
            <v>318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AZ322">
            <v>319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AZ323">
            <v>320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AZ324">
            <v>321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AZ325">
            <v>322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AZ326">
            <v>323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AZ327">
            <v>324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AZ328">
            <v>325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AZ329">
            <v>326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AZ330">
            <v>327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AZ331">
            <v>328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AZ332">
            <v>329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AZ333">
            <v>330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AZ334">
            <v>331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AZ335">
            <v>332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AZ336">
            <v>333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AZ337">
            <v>334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AZ338">
            <v>335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AZ339">
            <v>336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AZ340">
            <v>337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AZ341">
            <v>338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AZ342">
            <v>339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AZ343">
            <v>340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AZ344">
            <v>341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AZ345">
            <v>342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AZ346">
            <v>343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AZ347">
            <v>344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AZ348">
            <v>345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AZ349">
            <v>346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AZ350">
            <v>347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AZ351">
            <v>348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AZ352">
            <v>349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AZ353">
            <v>350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AZ354">
            <v>351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AZ355">
            <v>352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AZ356">
            <v>353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AZ357">
            <v>354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AZ358">
            <v>355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AZ359">
            <v>356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AZ360">
            <v>357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AZ361">
            <v>358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AZ362">
            <v>359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AZ363">
            <v>360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  <row r="364">
          <cell r="AD364">
            <v>84.998404927577795</v>
          </cell>
          <cell r="AE364">
            <v>87.102514087613613</v>
          </cell>
          <cell r="AF364">
            <v>90.282816710674311</v>
          </cell>
          <cell r="AG364">
            <v>95.221547672779081</v>
          </cell>
          <cell r="AH364">
            <v>104.01942515885031</v>
          </cell>
        </row>
        <row r="365">
          <cell r="AD365">
            <v>85.036995827451818</v>
          </cell>
          <cell r="AE365">
            <v>87.140265807963956</v>
          </cell>
          <cell r="AF365">
            <v>90.323941723132393</v>
          </cell>
          <cell r="AG365">
            <v>95.261056945610903</v>
          </cell>
          <cell r="AH365">
            <v>104.05804521363463</v>
          </cell>
        </row>
        <row r="366">
          <cell r="AD366">
            <v>85.075479910097457</v>
          </cell>
          <cell r="AE366">
            <v>87.1780175283143</v>
          </cell>
          <cell r="AF366">
            <v>90.365066735590489</v>
          </cell>
          <cell r="AG366">
            <v>95.300566218442739</v>
          </cell>
          <cell r="AH366">
            <v>104.09666526841893</v>
          </cell>
        </row>
        <row r="367">
          <cell r="AD367">
            <v>85.113963992743081</v>
          </cell>
          <cell r="AE367">
            <v>87.215769248664643</v>
          </cell>
          <cell r="AF367">
            <v>90.406191748048585</v>
          </cell>
          <cell r="AG367">
            <v>95.340075491274575</v>
          </cell>
          <cell r="AH367">
            <v>104.13528532320325</v>
          </cell>
        </row>
        <row r="368">
          <cell r="AD368">
            <v>85.152448075388719</v>
          </cell>
          <cell r="AE368">
            <v>87.253520969014986</v>
          </cell>
          <cell r="AF368">
            <v>90.447316760506681</v>
          </cell>
          <cell r="AG368">
            <v>95.379584764106397</v>
          </cell>
          <cell r="AH368">
            <v>104.17390537798755</v>
          </cell>
        </row>
        <row r="369">
          <cell r="AD369">
            <v>85.190932158034357</v>
          </cell>
          <cell r="AE369">
            <v>87.291272689365329</v>
          </cell>
          <cell r="AF369">
            <v>90.488441772964777</v>
          </cell>
          <cell r="AG369">
            <v>95.419094036938233</v>
          </cell>
          <cell r="AH369">
            <v>104.21252543277187</v>
          </cell>
        </row>
        <row r="370">
          <cell r="AD370">
            <v>85.229416240679981</v>
          </cell>
          <cell r="AE370">
            <v>87.329024409715672</v>
          </cell>
          <cell r="AF370">
            <v>90.529566785422858</v>
          </cell>
          <cell r="AG370">
            <v>95.458603309770069</v>
          </cell>
          <cell r="AH370">
            <v>104.25114548755617</v>
          </cell>
        </row>
        <row r="371">
          <cell r="AD371">
            <v>85.26790032332562</v>
          </cell>
          <cell r="AE371">
            <v>87.366776130066015</v>
          </cell>
          <cell r="AF371">
            <v>90.570691797880954</v>
          </cell>
          <cell r="AG371">
            <v>95.498112582601891</v>
          </cell>
          <cell r="AH371">
            <v>104.28976554234049</v>
          </cell>
        </row>
        <row r="372">
          <cell r="AD372">
            <v>85.306384405971258</v>
          </cell>
          <cell r="AE372">
            <v>87.404527850416358</v>
          </cell>
          <cell r="AF372">
            <v>90.61181681033905</v>
          </cell>
          <cell r="AG372">
            <v>95.537621855433727</v>
          </cell>
          <cell r="AH372">
            <v>104.32838559712479</v>
          </cell>
        </row>
        <row r="373">
          <cell r="AD373">
            <v>85.344868488616882</v>
          </cell>
          <cell r="AE373">
            <v>87.442279570766701</v>
          </cell>
          <cell r="AF373">
            <v>90.652941822797146</v>
          </cell>
          <cell r="AG373">
            <v>95.577131128265563</v>
          </cell>
          <cell r="AH373">
            <v>104.36700565190911</v>
          </cell>
        </row>
        <row r="374">
          <cell r="AD374">
            <v>85.38335257126252</v>
          </cell>
          <cell r="AE374">
            <v>87.480031291117044</v>
          </cell>
          <cell r="AF374">
            <v>90.694066835255242</v>
          </cell>
          <cell r="AG374">
            <v>95.616640401097385</v>
          </cell>
          <cell r="AH374">
            <v>104.40562570669341</v>
          </cell>
        </row>
        <row r="375">
          <cell r="AD375">
            <v>85.421836653908144</v>
          </cell>
          <cell r="AE375">
            <v>87.517783011467387</v>
          </cell>
          <cell r="AF375">
            <v>90.735191847713324</v>
          </cell>
          <cell r="AG375">
            <v>95.656149673929221</v>
          </cell>
          <cell r="AH375">
            <v>104.44424576147773</v>
          </cell>
        </row>
        <row r="376">
          <cell r="AD376">
            <v>85.460320736553783</v>
          </cell>
          <cell r="AE376">
            <v>87.55553473181773</v>
          </cell>
          <cell r="AF376">
            <v>90.77631686017142</v>
          </cell>
          <cell r="AG376">
            <v>95.695658946761043</v>
          </cell>
          <cell r="AH376">
            <v>104.48286581626203</v>
          </cell>
        </row>
        <row r="377">
          <cell r="AD377">
            <v>85.498804819199421</v>
          </cell>
          <cell r="AE377">
            <v>87.593286452168073</v>
          </cell>
          <cell r="AF377">
            <v>90.817441872629516</v>
          </cell>
          <cell r="AG377">
            <v>95.735168219592879</v>
          </cell>
          <cell r="AH377">
            <v>104.52148587104634</v>
          </cell>
        </row>
        <row r="378">
          <cell r="AD378">
            <v>85.537288901845045</v>
          </cell>
          <cell r="AE378">
            <v>87.631038172518416</v>
          </cell>
          <cell r="AF378">
            <v>90.858566885087612</v>
          </cell>
          <cell r="AG378">
            <v>95.774677492424715</v>
          </cell>
          <cell r="AH378">
            <v>104.56010592583065</v>
          </cell>
        </row>
        <row r="379">
          <cell r="AD379">
            <v>85.575772984490683</v>
          </cell>
          <cell r="AE379">
            <v>87.668789892868759</v>
          </cell>
          <cell r="AF379">
            <v>90.899691897545708</v>
          </cell>
          <cell r="AG379">
            <v>95.814186765256537</v>
          </cell>
          <cell r="AH379">
            <v>104.59872598061496</v>
          </cell>
        </row>
        <row r="380">
          <cell r="AD380">
            <v>85.614257067136322</v>
          </cell>
          <cell r="AE380">
            <v>87.706541613219102</v>
          </cell>
          <cell r="AF380">
            <v>90.94081691000379</v>
          </cell>
          <cell r="AG380">
            <v>95.853696038088373</v>
          </cell>
          <cell r="AH380">
            <v>104.63734603539928</v>
          </cell>
        </row>
        <row r="381">
          <cell r="AD381">
            <v>85.652741149781946</v>
          </cell>
          <cell r="AE381">
            <v>87.744293333569445</v>
          </cell>
          <cell r="AF381">
            <v>90.981941922461885</v>
          </cell>
          <cell r="AG381">
            <v>95.893205310920209</v>
          </cell>
          <cell r="AH381">
            <v>104.67596609018358</v>
          </cell>
        </row>
        <row r="382">
          <cell r="AD382">
            <v>85.691225232427584</v>
          </cell>
          <cell r="AE382">
            <v>87.782045053919788</v>
          </cell>
          <cell r="AF382">
            <v>91.021020756054753</v>
          </cell>
          <cell r="AG382">
            <v>95.932714583752031</v>
          </cell>
          <cell r="AH382">
            <v>104.7145861449679</v>
          </cell>
        </row>
        <row r="383">
          <cell r="AD383">
            <v>85.729709315073208</v>
          </cell>
          <cell r="AE383">
            <v>87.819796774270131</v>
          </cell>
          <cell r="AF383">
            <v>91.05849772720974</v>
          </cell>
          <cell r="AG383">
            <v>95.972223856583867</v>
          </cell>
          <cell r="AH383">
            <v>104.7532061997522</v>
          </cell>
        </row>
        <row r="384">
          <cell r="AD384">
            <v>85.768193397718846</v>
          </cell>
          <cell r="AE384">
            <v>87.857548494620474</v>
          </cell>
          <cell r="AF384">
            <v>91.095974698364728</v>
          </cell>
          <cell r="AG384">
            <v>96.010203735669876</v>
          </cell>
          <cell r="AH384">
            <v>104.79182625453652</v>
          </cell>
        </row>
        <row r="385">
          <cell r="AD385">
            <v>85.806677480364485</v>
          </cell>
          <cell r="AE385">
            <v>87.895300214970817</v>
          </cell>
          <cell r="AF385">
            <v>91.133451669519715</v>
          </cell>
          <cell r="AG385">
            <v>96.044563041035204</v>
          </cell>
          <cell r="AH385">
            <v>104.83044630932082</v>
          </cell>
        </row>
        <row r="386">
          <cell r="AD386">
            <v>85.845161563010109</v>
          </cell>
          <cell r="AE386">
            <v>87.93305193532116</v>
          </cell>
          <cell r="AF386">
            <v>91.170928640674703</v>
          </cell>
          <cell r="AG386">
            <v>96.078922346400546</v>
          </cell>
          <cell r="AH386">
            <v>104.86906636410514</v>
          </cell>
        </row>
        <row r="387">
          <cell r="AD387">
            <v>85.883645645655747</v>
          </cell>
          <cell r="AE387">
            <v>87.970803655671503</v>
          </cell>
          <cell r="AF387">
            <v>91.208405611829704</v>
          </cell>
          <cell r="AG387">
            <v>96.113281651765874</v>
          </cell>
          <cell r="AH387">
            <v>104.90768641888944</v>
          </cell>
        </row>
        <row r="388">
          <cell r="AD388">
            <v>85.922129728301385</v>
          </cell>
          <cell r="AE388">
            <v>88.008389927102499</v>
          </cell>
          <cell r="AF388">
            <v>91.245882582984692</v>
          </cell>
          <cell r="AG388">
            <v>96.147640957131216</v>
          </cell>
          <cell r="AH388">
            <v>104.94630647367376</v>
          </cell>
        </row>
        <row r="389">
          <cell r="AD389">
            <v>85.960613810947009</v>
          </cell>
          <cell r="AE389">
            <v>88.04541158236637</v>
          </cell>
          <cell r="AF389">
            <v>91.283359554139679</v>
          </cell>
          <cell r="AG389">
            <v>96.182000262496558</v>
          </cell>
          <cell r="AH389">
            <v>104.98492652845806</v>
          </cell>
        </row>
        <row r="390">
          <cell r="AD390">
            <v>85.999097893592648</v>
          </cell>
          <cell r="AE390">
            <v>88.082433237630241</v>
          </cell>
          <cell r="AF390">
            <v>91.320836525294666</v>
          </cell>
          <cell r="AG390">
            <v>96.216359567861886</v>
          </cell>
          <cell r="AH390">
            <v>105.02327036088481</v>
          </cell>
        </row>
        <row r="391">
          <cell r="AD391">
            <v>86.035065223717467</v>
          </cell>
          <cell r="AE391">
            <v>88.119454892894112</v>
          </cell>
          <cell r="AF391">
            <v>91.358313496449654</v>
          </cell>
          <cell r="AG391">
            <v>96.250718873227228</v>
          </cell>
          <cell r="AH391">
            <v>105.06143736808798</v>
          </cell>
        </row>
        <row r="392">
          <cell r="AD392">
            <v>86.070972142474872</v>
          </cell>
          <cell r="AE392">
            <v>88.156476548157968</v>
          </cell>
          <cell r="AF392">
            <v>91.395790467604641</v>
          </cell>
          <cell r="AG392">
            <v>96.285078178592556</v>
          </cell>
          <cell r="AH392">
            <v>105.09960437529116</v>
          </cell>
        </row>
        <row r="393">
          <cell r="AD393">
            <v>86.106879061232277</v>
          </cell>
          <cell r="AE393">
            <v>88.193498203421839</v>
          </cell>
          <cell r="AF393">
            <v>91.433267438759643</v>
          </cell>
          <cell r="AG393">
            <v>96.319437483957898</v>
          </cell>
          <cell r="AH393">
            <v>105.13777138249434</v>
          </cell>
        </row>
        <row r="394">
          <cell r="AD394">
            <v>86.142785979989682</v>
          </cell>
          <cell r="AE394">
            <v>88.23051985868571</v>
          </cell>
          <cell r="AF394">
            <v>91.47074440991463</v>
          </cell>
          <cell r="AG394">
            <v>96.353796789323226</v>
          </cell>
          <cell r="AH394">
            <v>105.17593838969751</v>
          </cell>
        </row>
        <row r="395">
          <cell r="AD395">
            <v>86.178692898747087</v>
          </cell>
          <cell r="AE395">
            <v>88.267541513949581</v>
          </cell>
          <cell r="AF395">
            <v>91.508221381069617</v>
          </cell>
          <cell r="AG395">
            <v>96.388156094688568</v>
          </cell>
          <cell r="AH395">
            <v>105.21410539690069</v>
          </cell>
        </row>
        <row r="396">
          <cell r="AD396">
            <v>86.214599817504492</v>
          </cell>
          <cell r="AE396">
            <v>88.304563169213452</v>
          </cell>
          <cell r="AF396">
            <v>91.545698352224605</v>
          </cell>
          <cell r="AG396">
            <v>96.422515400053896</v>
          </cell>
          <cell r="AH396">
            <v>105.25227240410386</v>
          </cell>
        </row>
        <row r="397">
          <cell r="AD397">
            <v>86.250506736261897</v>
          </cell>
          <cell r="AE397">
            <v>88.341584824477309</v>
          </cell>
          <cell r="AF397">
            <v>91.583175323379592</v>
          </cell>
          <cell r="AG397">
            <v>96.456874705419239</v>
          </cell>
          <cell r="AH397">
            <v>105.29043941130703</v>
          </cell>
        </row>
        <row r="398">
          <cell r="AD398">
            <v>86.286413655019302</v>
          </cell>
          <cell r="AE398">
            <v>88.37860647974118</v>
          </cell>
          <cell r="AF398">
            <v>91.62065229453458</v>
          </cell>
          <cell r="AG398">
            <v>96.491234010784567</v>
          </cell>
          <cell r="AH398">
            <v>105.32860641851022</v>
          </cell>
        </row>
        <row r="399">
          <cell r="AD399">
            <v>86.322320573776707</v>
          </cell>
          <cell r="AE399">
            <v>88.415628135005051</v>
          </cell>
          <cell r="AF399">
            <v>91.658129265689567</v>
          </cell>
          <cell r="AG399">
            <v>96.525593316149909</v>
          </cell>
          <cell r="AH399">
            <v>105.36677342571339</v>
          </cell>
        </row>
        <row r="400">
          <cell r="AD400">
            <v>86.358227492534112</v>
          </cell>
          <cell r="AE400">
            <v>88.452649790268921</v>
          </cell>
          <cell r="AF400">
            <v>91.695606236844569</v>
          </cell>
          <cell r="AG400">
            <v>96.559952621515251</v>
          </cell>
          <cell r="AH400">
            <v>105.40494043291658</v>
          </cell>
        </row>
        <row r="401">
          <cell r="AD401">
            <v>86.394134411291517</v>
          </cell>
          <cell r="AE401">
            <v>88.489671445532792</v>
          </cell>
          <cell r="AF401">
            <v>91.733083207999556</v>
          </cell>
          <cell r="AG401">
            <v>96.594311926880579</v>
          </cell>
          <cell r="AH401">
            <v>105.44310744011975</v>
          </cell>
        </row>
        <row r="402">
          <cell r="AD402">
            <v>86.430041330048923</v>
          </cell>
          <cell r="AE402">
            <v>88.526693100796649</v>
          </cell>
          <cell r="AF402">
            <v>91.770560179154543</v>
          </cell>
          <cell r="AG402">
            <v>96.628671232245921</v>
          </cell>
          <cell r="AH402">
            <v>105.48127444732292</v>
          </cell>
        </row>
        <row r="403">
          <cell r="AD403">
            <v>86.465948248806328</v>
          </cell>
          <cell r="AE403">
            <v>88.56371475606052</v>
          </cell>
          <cell r="AF403">
            <v>91.808037150309531</v>
          </cell>
          <cell r="AG403">
            <v>96.663030537611249</v>
          </cell>
          <cell r="AH403">
            <v>105.5194414545261</v>
          </cell>
        </row>
        <row r="404">
          <cell r="AD404">
            <v>86.501855167563733</v>
          </cell>
          <cell r="AE404">
            <v>88.600736411324391</v>
          </cell>
          <cell r="AF404">
            <v>91.845514121464518</v>
          </cell>
          <cell r="AG404">
            <v>96.697389842976591</v>
          </cell>
          <cell r="AH404">
            <v>105.55760846172927</v>
          </cell>
        </row>
        <row r="405">
          <cell r="AD405">
            <v>86.537762086321138</v>
          </cell>
          <cell r="AE405">
            <v>88.637758066588262</v>
          </cell>
          <cell r="AF405">
            <v>91.882991092619505</v>
          </cell>
          <cell r="AG405">
            <v>96.731749148341919</v>
          </cell>
          <cell r="AH405">
            <v>105.59577546893246</v>
          </cell>
        </row>
        <row r="406">
          <cell r="AD406">
            <v>86.573669005078543</v>
          </cell>
          <cell r="AE406">
            <v>88.674779721852133</v>
          </cell>
          <cell r="AF406">
            <v>91.920468063774507</v>
          </cell>
          <cell r="AG406">
            <v>96.766108453707261</v>
          </cell>
          <cell r="AH406">
            <v>105.63394247613563</v>
          </cell>
        </row>
        <row r="407">
          <cell r="AD407">
            <v>86.609575923835948</v>
          </cell>
          <cell r="AE407">
            <v>88.711801377115989</v>
          </cell>
          <cell r="AF407">
            <v>91.957945034929494</v>
          </cell>
          <cell r="AG407">
            <v>96.800467759072589</v>
          </cell>
          <cell r="AH407">
            <v>105.6721094833388</v>
          </cell>
        </row>
        <row r="408">
          <cell r="AD408">
            <v>86.645482842593353</v>
          </cell>
          <cell r="AE408">
            <v>88.74882303237986</v>
          </cell>
          <cell r="AF408">
            <v>91.995422006084482</v>
          </cell>
          <cell r="AG408">
            <v>96.834827064437931</v>
          </cell>
          <cell r="AH408">
            <v>105.71027649054199</v>
          </cell>
        </row>
        <row r="409">
          <cell r="AD409">
            <v>86.681389761350758</v>
          </cell>
          <cell r="AE409">
            <v>88.785844687643731</v>
          </cell>
          <cell r="AF409">
            <v>92.030736732663385</v>
          </cell>
          <cell r="AG409">
            <v>96.869186369803259</v>
          </cell>
          <cell r="AH409">
            <v>105.74844349774516</v>
          </cell>
        </row>
        <row r="410">
          <cell r="AD410">
            <v>86.717296680108163</v>
          </cell>
          <cell r="AE410">
            <v>88.822866342907602</v>
          </cell>
          <cell r="AF410">
            <v>92.06575057625615</v>
          </cell>
          <cell r="AG410">
            <v>96.903545675168601</v>
          </cell>
          <cell r="AH410">
            <v>105.78661050494834</v>
          </cell>
        </row>
        <row r="411">
          <cell r="AD411">
            <v>86.753203598865568</v>
          </cell>
          <cell r="AE411">
            <v>88.859887998171473</v>
          </cell>
          <cell r="AF411">
            <v>92.1007644198489</v>
          </cell>
          <cell r="AG411">
            <v>96.937904980533943</v>
          </cell>
          <cell r="AH411">
            <v>105.82477751215151</v>
          </cell>
        </row>
        <row r="412">
          <cell r="AD412">
            <v>86.789110517622973</v>
          </cell>
          <cell r="AE412">
            <v>88.89690965343533</v>
          </cell>
          <cell r="AF412">
            <v>92.135778263441665</v>
          </cell>
          <cell r="AG412">
            <v>96.972264285899271</v>
          </cell>
          <cell r="AH412">
            <v>105.86294451935468</v>
          </cell>
        </row>
        <row r="413">
          <cell r="AD413">
            <v>86.825017436380378</v>
          </cell>
          <cell r="AE413">
            <v>88.933931308699201</v>
          </cell>
          <cell r="AF413">
            <v>92.170792107034416</v>
          </cell>
          <cell r="AG413">
            <v>97.006001686863456</v>
          </cell>
          <cell r="AH413">
            <v>105.90111152655787</v>
          </cell>
        </row>
        <row r="414">
          <cell r="AD414">
            <v>86.860924355137783</v>
          </cell>
          <cell r="AE414">
            <v>88.970952963963072</v>
          </cell>
          <cell r="AF414">
            <v>92.20580595062718</v>
          </cell>
          <cell r="AG414">
            <v>97.037134917072009</v>
          </cell>
          <cell r="AH414">
            <v>105.93927853376104</v>
          </cell>
        </row>
        <row r="415">
          <cell r="AD415">
            <v>86.896831273895188</v>
          </cell>
          <cell r="AE415">
            <v>89.008175723200509</v>
          </cell>
          <cell r="AF415">
            <v>92.240819794219931</v>
          </cell>
          <cell r="AG415">
            <v>97.068268147280577</v>
          </cell>
          <cell r="AH415">
            <v>105.97744554096421</v>
          </cell>
        </row>
        <row r="416">
          <cell r="AD416">
            <v>86.932738192652593</v>
          </cell>
          <cell r="AE416">
            <v>89.046130990687118</v>
          </cell>
          <cell r="AF416">
            <v>92.275833637812681</v>
          </cell>
          <cell r="AG416">
            <v>97.099401377489144</v>
          </cell>
          <cell r="AH416">
            <v>106.01480103024355</v>
          </cell>
        </row>
        <row r="417">
          <cell r="AD417">
            <v>86.968645111409998</v>
          </cell>
          <cell r="AE417">
            <v>89.084086258173727</v>
          </cell>
          <cell r="AF417">
            <v>92.310847481405446</v>
          </cell>
          <cell r="AG417">
            <v>97.130534607697712</v>
          </cell>
          <cell r="AH417">
            <v>106.05098417100079</v>
          </cell>
        </row>
        <row r="418">
          <cell r="AD418">
            <v>87.004247194324662</v>
          </cell>
          <cell r="AE418">
            <v>89.122041525660336</v>
          </cell>
          <cell r="AF418">
            <v>92.345861324998197</v>
          </cell>
          <cell r="AG418">
            <v>97.161667837906265</v>
          </cell>
          <cell r="AH418">
            <v>106.08716731175804</v>
          </cell>
        </row>
        <row r="419">
          <cell r="AD419">
            <v>87.037749534149754</v>
          </cell>
          <cell r="AE419">
            <v>89.159996793146931</v>
          </cell>
          <cell r="AF419">
            <v>92.380875168590961</v>
          </cell>
          <cell r="AG419">
            <v>97.192801068114832</v>
          </cell>
          <cell r="AH419">
            <v>106.12335045251528</v>
          </cell>
        </row>
        <row r="420">
          <cell r="AD420">
            <v>87.071251873974845</v>
          </cell>
          <cell r="AE420">
            <v>89.19795206063354</v>
          </cell>
          <cell r="AF420">
            <v>92.415889012183712</v>
          </cell>
          <cell r="AG420">
            <v>97.2239342983234</v>
          </cell>
          <cell r="AH420">
            <v>106.15953359327253</v>
          </cell>
        </row>
        <row r="421">
          <cell r="AD421">
            <v>87.104754213799936</v>
          </cell>
          <cell r="AE421">
            <v>89.235907328120149</v>
          </cell>
          <cell r="AF421">
            <v>92.450902855776476</v>
          </cell>
          <cell r="AG421">
            <v>97.255067528531953</v>
          </cell>
          <cell r="AH421">
            <v>106.19571673402977</v>
          </cell>
        </row>
        <row r="422">
          <cell r="AD422">
            <v>87.138256553625027</v>
          </cell>
          <cell r="AE422">
            <v>89.273862595606758</v>
          </cell>
          <cell r="AF422">
            <v>92.485916699369227</v>
          </cell>
          <cell r="AG422">
            <v>97.28620075874052</v>
          </cell>
          <cell r="AH422">
            <v>106.23189987478702</v>
          </cell>
        </row>
        <row r="423">
          <cell r="AD423">
            <v>87.171758893450118</v>
          </cell>
          <cell r="AE423">
            <v>89.311817863093353</v>
          </cell>
          <cell r="AF423">
            <v>92.520930542961992</v>
          </cell>
          <cell r="AG423">
            <v>97.317333988949088</v>
          </cell>
          <cell r="AH423">
            <v>106.26808301554426</v>
          </cell>
        </row>
        <row r="424">
          <cell r="AD424">
            <v>87.205261233275209</v>
          </cell>
          <cell r="AE424">
            <v>89.349773130579962</v>
          </cell>
          <cell r="AF424">
            <v>92.555944386554742</v>
          </cell>
          <cell r="AG424">
            <v>97.348467219157655</v>
          </cell>
          <cell r="AH424">
            <v>106.30426615630151</v>
          </cell>
        </row>
        <row r="425">
          <cell r="AD425">
            <v>87.238763573100286</v>
          </cell>
          <cell r="AE425">
            <v>89.387728398066571</v>
          </cell>
          <cell r="AF425">
            <v>92.590958230147493</v>
          </cell>
          <cell r="AG425">
            <v>97.379600449366208</v>
          </cell>
          <cell r="AH425">
            <v>106.34044929705875</v>
          </cell>
        </row>
        <row r="426">
          <cell r="AD426">
            <v>87.272265912925377</v>
          </cell>
          <cell r="AE426">
            <v>89.42568366555318</v>
          </cell>
          <cell r="AF426">
            <v>92.625972073740257</v>
          </cell>
          <cell r="AG426">
            <v>97.410733679574776</v>
          </cell>
          <cell r="AH426">
            <v>106.376632437816</v>
          </cell>
        </row>
        <row r="427">
          <cell r="AD427">
            <v>87.305768252750468</v>
          </cell>
          <cell r="AE427">
            <v>89.463638933039775</v>
          </cell>
          <cell r="AF427">
            <v>92.660985917333008</v>
          </cell>
          <cell r="AG427">
            <v>97.441866909783343</v>
          </cell>
          <cell r="AH427">
            <v>106.41281557857324</v>
          </cell>
        </row>
        <row r="428">
          <cell r="AD428">
            <v>87.339270592575559</v>
          </cell>
          <cell r="AE428">
            <v>89.501594200526384</v>
          </cell>
          <cell r="AF428">
            <v>92.695999760925773</v>
          </cell>
          <cell r="AG428">
            <v>97.473000139991896</v>
          </cell>
          <cell r="AH428">
            <v>106.44899871933049</v>
          </cell>
        </row>
        <row r="429">
          <cell r="AD429">
            <v>87.37277293240065</v>
          </cell>
          <cell r="AE429">
            <v>89.539549468012993</v>
          </cell>
          <cell r="AF429">
            <v>92.731013604518523</v>
          </cell>
          <cell r="AG429">
            <v>97.504133370200464</v>
          </cell>
          <cell r="AH429">
            <v>106.48518186008774</v>
          </cell>
        </row>
        <row r="430">
          <cell r="AD430">
            <v>87.406275272225741</v>
          </cell>
          <cell r="AE430">
            <v>89.577504735499602</v>
          </cell>
          <cell r="AF430">
            <v>92.766027448111288</v>
          </cell>
          <cell r="AG430">
            <v>97.535266600409031</v>
          </cell>
          <cell r="AH430">
            <v>106.52136500084498</v>
          </cell>
        </row>
        <row r="431">
          <cell r="AD431">
            <v>87.439777612050833</v>
          </cell>
          <cell r="AE431">
            <v>89.615460002986197</v>
          </cell>
          <cell r="AF431">
            <v>92.801041291704038</v>
          </cell>
          <cell r="AG431">
            <v>97.566399830617584</v>
          </cell>
          <cell r="AH431">
            <v>106.55754814160223</v>
          </cell>
        </row>
        <row r="432">
          <cell r="AD432">
            <v>87.473279951875924</v>
          </cell>
          <cell r="AE432">
            <v>89.653415270472806</v>
          </cell>
          <cell r="AF432">
            <v>92.836055135296803</v>
          </cell>
          <cell r="AG432">
            <v>97.597533060826152</v>
          </cell>
          <cell r="AH432">
            <v>106.59373128235947</v>
          </cell>
        </row>
        <row r="433">
          <cell r="AD433">
            <v>87.506782291701015</v>
          </cell>
          <cell r="AE433">
            <v>89.691370537959415</v>
          </cell>
          <cell r="AF433">
            <v>92.871068978889554</v>
          </cell>
          <cell r="AG433">
            <v>97.628666291034719</v>
          </cell>
          <cell r="AH433">
            <v>106.62991442311672</v>
          </cell>
        </row>
        <row r="434">
          <cell r="AD434">
            <v>87.540284631526106</v>
          </cell>
          <cell r="AE434">
            <v>89.729325805446024</v>
          </cell>
          <cell r="AF434">
            <v>92.906082822482304</v>
          </cell>
          <cell r="AG434">
            <v>97.659799521243286</v>
          </cell>
          <cell r="AH434">
            <v>106.66609756387396</v>
          </cell>
        </row>
        <row r="435">
          <cell r="AD435">
            <v>87.573786971351197</v>
          </cell>
          <cell r="AE435">
            <v>89.767281072932619</v>
          </cell>
          <cell r="AF435">
            <v>92.941096666075069</v>
          </cell>
          <cell r="AG435">
            <v>97.69093275145184</v>
          </cell>
          <cell r="AH435">
            <v>106.70228070463121</v>
          </cell>
        </row>
        <row r="436">
          <cell r="AD436">
            <v>87.607289311176288</v>
          </cell>
          <cell r="AE436">
            <v>89.805236340419228</v>
          </cell>
          <cell r="AF436">
            <v>92.976110509667819</v>
          </cell>
          <cell r="AG436">
            <v>97.722065981660407</v>
          </cell>
          <cell r="AH436">
            <v>106.73846384538845</v>
          </cell>
        </row>
        <row r="437">
          <cell r="AD437">
            <v>87.640791651001379</v>
          </cell>
          <cell r="AE437">
            <v>89.843191607905837</v>
          </cell>
          <cell r="AF437">
            <v>93.010462500358571</v>
          </cell>
          <cell r="AG437">
            <v>97.753199211868974</v>
          </cell>
          <cell r="AH437">
            <v>106.7746469861457</v>
          </cell>
        </row>
        <row r="438">
          <cell r="AD438">
            <v>87.674293990826456</v>
          </cell>
          <cell r="AE438">
            <v>89.881146875392446</v>
          </cell>
          <cell r="AF438">
            <v>93.043393165410535</v>
          </cell>
          <cell r="AG438">
            <v>97.784332442077528</v>
          </cell>
          <cell r="AH438">
            <v>106.81083012690294</v>
          </cell>
        </row>
        <row r="439">
          <cell r="AD439">
            <v>87.707796330651547</v>
          </cell>
          <cell r="AE439">
            <v>89.919102142879041</v>
          </cell>
          <cell r="AF439">
            <v>93.076323830462499</v>
          </cell>
          <cell r="AG439">
            <v>97.815465672286095</v>
          </cell>
          <cell r="AH439">
            <v>106.84701326766019</v>
          </cell>
        </row>
        <row r="440">
          <cell r="AD440">
            <v>87.741298670476638</v>
          </cell>
          <cell r="AE440">
            <v>89.95705741036565</v>
          </cell>
          <cell r="AF440">
            <v>93.109254495514463</v>
          </cell>
          <cell r="AG440">
            <v>97.846598902494662</v>
          </cell>
          <cell r="AH440">
            <v>106.88319640841743</v>
          </cell>
        </row>
        <row r="441">
          <cell r="AD441">
            <v>87.774801010301729</v>
          </cell>
          <cell r="AE441">
            <v>89.995012677852259</v>
          </cell>
          <cell r="AF441">
            <v>93.142185160566427</v>
          </cell>
          <cell r="AG441">
            <v>97.87773213270323</v>
          </cell>
          <cell r="AH441">
            <v>106.91937954917468</v>
          </cell>
        </row>
        <row r="442">
          <cell r="AD442">
            <v>87.80830335012682</v>
          </cell>
          <cell r="AE442">
            <v>90.027567823948559</v>
          </cell>
          <cell r="AF442">
            <v>93.175115825618391</v>
          </cell>
          <cell r="AG442">
            <v>97.908865362911783</v>
          </cell>
          <cell r="AH442">
            <v>106.95556268993192</v>
          </cell>
        </row>
        <row r="443">
          <cell r="AD443">
            <v>87.841805689951912</v>
          </cell>
          <cell r="AE443">
            <v>90.05930605092135</v>
          </cell>
          <cell r="AF443">
            <v>93.208046490670355</v>
          </cell>
          <cell r="AG443">
            <v>97.93999859312035</v>
          </cell>
          <cell r="AH443">
            <v>106.99174583068917</v>
          </cell>
        </row>
        <row r="444">
          <cell r="AD444">
            <v>87.875308029777003</v>
          </cell>
          <cell r="AE444">
            <v>90.091044277894142</v>
          </cell>
          <cell r="AF444">
            <v>93.240977155722319</v>
          </cell>
          <cell r="AG444">
            <v>97.971131823328918</v>
          </cell>
          <cell r="AH444">
            <v>107.02497748922852</v>
          </cell>
        </row>
        <row r="445">
          <cell r="AD445">
            <v>87.908810369602094</v>
          </cell>
          <cell r="AE445">
            <v>90.122782504866933</v>
          </cell>
          <cell r="AF445">
            <v>93.273907820774284</v>
          </cell>
          <cell r="AG445">
            <v>98.00217354962686</v>
          </cell>
          <cell r="AH445">
            <v>107.0573368623709</v>
          </cell>
        </row>
        <row r="446">
          <cell r="AD446">
            <v>87.942312709427185</v>
          </cell>
          <cell r="AE446">
            <v>90.154520731839725</v>
          </cell>
          <cell r="AF446">
            <v>93.306838485826248</v>
          </cell>
          <cell r="AG446">
            <v>98.032049055782977</v>
          </cell>
          <cell r="AH446">
            <v>107.0896962355133</v>
          </cell>
        </row>
        <row r="447">
          <cell r="AD447">
            <v>87.975815049252276</v>
          </cell>
          <cell r="AE447">
            <v>90.186258958812516</v>
          </cell>
          <cell r="AF447">
            <v>93.339769150878212</v>
          </cell>
          <cell r="AG447">
            <v>98.061924561939108</v>
          </cell>
          <cell r="AH447">
            <v>107.1220556086557</v>
          </cell>
        </row>
        <row r="448">
          <cell r="AD448">
            <v>88.008693431404168</v>
          </cell>
          <cell r="AE448">
            <v>90.217997185785308</v>
          </cell>
          <cell r="AF448">
            <v>93.372699815930176</v>
          </cell>
          <cell r="AG448">
            <v>98.091800068095225</v>
          </cell>
          <cell r="AH448">
            <v>107.15441498179808</v>
          </cell>
        </row>
        <row r="449">
          <cell r="AD449">
            <v>88.039952219754653</v>
          </cell>
          <cell r="AE449">
            <v>90.249735412758099</v>
          </cell>
          <cell r="AF449">
            <v>93.40563048098214</v>
          </cell>
          <cell r="AG449">
            <v>98.121675574251341</v>
          </cell>
          <cell r="AH449">
            <v>107.18677435494048</v>
          </cell>
        </row>
        <row r="450">
          <cell r="AD450">
            <v>88.071211008105138</v>
          </cell>
          <cell r="AE450">
            <v>90.281473639730891</v>
          </cell>
          <cell r="AF450">
            <v>93.438561146034118</v>
          </cell>
          <cell r="AG450">
            <v>98.151551080407472</v>
          </cell>
          <cell r="AH450">
            <v>107.21913372808288</v>
          </cell>
        </row>
        <row r="451">
          <cell r="AD451">
            <v>88.102469796455622</v>
          </cell>
          <cell r="AE451">
            <v>90.313211866703682</v>
          </cell>
          <cell r="AF451">
            <v>93.471491811086082</v>
          </cell>
          <cell r="AG451">
            <v>98.181426586563589</v>
          </cell>
          <cell r="AH451">
            <v>107.25149310122528</v>
          </cell>
        </row>
        <row r="452">
          <cell r="AD452">
            <v>88.133728584806107</v>
          </cell>
          <cell r="AE452">
            <v>90.344950093676474</v>
          </cell>
          <cell r="AF452">
            <v>93.504422476138046</v>
          </cell>
          <cell r="AG452">
            <v>98.211302092719706</v>
          </cell>
          <cell r="AH452">
            <v>107.28385247436766</v>
          </cell>
        </row>
        <row r="453">
          <cell r="AD453">
            <v>88.164987373156592</v>
          </cell>
          <cell r="AE453">
            <v>90.376688320649265</v>
          </cell>
          <cell r="AF453">
            <v>93.53735314119001</v>
          </cell>
          <cell r="AG453">
            <v>98.241177598875836</v>
          </cell>
          <cell r="AH453">
            <v>107.31621184751006</v>
          </cell>
        </row>
        <row r="454">
          <cell r="AD454">
            <v>88.196246161507091</v>
          </cell>
          <cell r="AE454">
            <v>90.408426547622057</v>
          </cell>
          <cell r="AF454">
            <v>93.570283806241974</v>
          </cell>
          <cell r="AG454">
            <v>98.271053105031953</v>
          </cell>
          <cell r="AH454">
            <v>107.34857122065246</v>
          </cell>
        </row>
        <row r="455">
          <cell r="AD455">
            <v>88.227504949857575</v>
          </cell>
          <cell r="AE455">
            <v>90.440164774594848</v>
          </cell>
          <cell r="AF455">
            <v>93.603214471293938</v>
          </cell>
          <cell r="AG455">
            <v>98.30092861118807</v>
          </cell>
          <cell r="AH455">
            <v>107.38093059379484</v>
          </cell>
        </row>
        <row r="456">
          <cell r="AD456">
            <v>88.25876373820806</v>
          </cell>
          <cell r="AE456">
            <v>90.47190300156764</v>
          </cell>
          <cell r="AF456">
            <v>93.636145136345903</v>
          </cell>
          <cell r="AG456">
            <v>98.330804117344201</v>
          </cell>
          <cell r="AH456">
            <v>107.41328996693724</v>
          </cell>
        </row>
        <row r="457">
          <cell r="AD457">
            <v>88.290022526558545</v>
          </cell>
          <cell r="AE457">
            <v>90.503641228540417</v>
          </cell>
          <cell r="AF457">
            <v>93.669075801397867</v>
          </cell>
          <cell r="AG457">
            <v>98.360679623500317</v>
          </cell>
          <cell r="AH457">
            <v>107.44564934007964</v>
          </cell>
        </row>
        <row r="458">
          <cell r="AD458">
            <v>88.321281314909029</v>
          </cell>
          <cell r="AE458">
            <v>90.535379455513208</v>
          </cell>
          <cell r="AF458">
            <v>93.702006466449831</v>
          </cell>
          <cell r="AG458">
            <v>98.390555129656434</v>
          </cell>
          <cell r="AH458">
            <v>107.47800871322202</v>
          </cell>
        </row>
        <row r="459">
          <cell r="AD459">
            <v>88.352540103259514</v>
          </cell>
          <cell r="AE459">
            <v>90.567117682486</v>
          </cell>
          <cell r="AF459">
            <v>93.734937131501795</v>
          </cell>
          <cell r="AG459">
            <v>98.420430635812565</v>
          </cell>
          <cell r="AH459">
            <v>107.51036808636442</v>
          </cell>
        </row>
        <row r="460">
          <cell r="AD460">
            <v>88.383798891610013</v>
          </cell>
          <cell r="AE460">
            <v>90.598855909458791</v>
          </cell>
          <cell r="AF460">
            <v>93.767867796553759</v>
          </cell>
          <cell r="AG460">
            <v>98.450306141968682</v>
          </cell>
          <cell r="AH460">
            <v>107.54272745950682</v>
          </cell>
        </row>
        <row r="461">
          <cell r="AD461">
            <v>88.415057679960498</v>
          </cell>
          <cell r="AE461">
            <v>90.630594136431583</v>
          </cell>
          <cell r="AF461">
            <v>93.800798461605723</v>
          </cell>
          <cell r="AG461">
            <v>98.480181648124798</v>
          </cell>
          <cell r="AH461">
            <v>107.57508683264921</v>
          </cell>
        </row>
        <row r="462">
          <cell r="AD462">
            <v>88.446316468310982</v>
          </cell>
          <cell r="AE462">
            <v>90.662332363404374</v>
          </cell>
          <cell r="AF462">
            <v>93.833729126657687</v>
          </cell>
          <cell r="AG462">
            <v>98.510057154280929</v>
          </cell>
          <cell r="AH462">
            <v>107.6074462057916</v>
          </cell>
        </row>
        <row r="463">
          <cell r="AD463">
            <v>88.477575256661467</v>
          </cell>
          <cell r="AE463">
            <v>90.694070590377166</v>
          </cell>
          <cell r="AF463">
            <v>93.866659791709665</v>
          </cell>
          <cell r="AG463">
            <v>98.539932660437046</v>
          </cell>
          <cell r="AH463">
            <v>107.639805578934</v>
          </cell>
        </row>
        <row r="464">
          <cell r="AD464">
            <v>88.508834045011952</v>
          </cell>
          <cell r="AE464">
            <v>90.725808817349957</v>
          </cell>
          <cell r="AF464">
            <v>93.899590456761629</v>
          </cell>
          <cell r="AG464">
            <v>98.569808166593162</v>
          </cell>
          <cell r="AH464">
            <v>107.67216495207639</v>
          </cell>
        </row>
        <row r="465">
          <cell r="AD465">
            <v>88.540092833362436</v>
          </cell>
          <cell r="AE465">
            <v>90.757547044322749</v>
          </cell>
          <cell r="AF465">
            <v>93.932521121813593</v>
          </cell>
          <cell r="AG465">
            <v>98.599683672749293</v>
          </cell>
          <cell r="AH465">
            <v>107.70452432521878</v>
          </cell>
        </row>
        <row r="466">
          <cell r="AD466">
            <v>88.571351621712921</v>
          </cell>
          <cell r="AE466">
            <v>90.78928527129554</v>
          </cell>
          <cell r="AF466">
            <v>93.965451786865557</v>
          </cell>
          <cell r="AG466">
            <v>98.62955917890541</v>
          </cell>
          <cell r="AH466">
            <v>107.73688369836118</v>
          </cell>
        </row>
        <row r="467">
          <cell r="AD467">
            <v>88.60261041006342</v>
          </cell>
          <cell r="AE467">
            <v>90.821023498268332</v>
          </cell>
          <cell r="AF467">
            <v>93.998382451917522</v>
          </cell>
          <cell r="AG467">
            <v>98.659434685061527</v>
          </cell>
          <cell r="AH467">
            <v>107.76924307150358</v>
          </cell>
        </row>
        <row r="468">
          <cell r="AD468">
            <v>88.633869198413905</v>
          </cell>
          <cell r="AE468">
            <v>90.852761725241123</v>
          </cell>
          <cell r="AF468">
            <v>94.02979916019423</v>
          </cell>
          <cell r="AG468">
            <v>98.689310191217658</v>
          </cell>
          <cell r="AH468">
            <v>107.80160244464597</v>
          </cell>
        </row>
        <row r="469">
          <cell r="AD469">
            <v>88.665127986764389</v>
          </cell>
          <cell r="AE469">
            <v>90.884499952213915</v>
          </cell>
          <cell r="AF469">
            <v>94.061137661696392</v>
          </cell>
          <cell r="AG469">
            <v>98.719185697373774</v>
          </cell>
          <cell r="AH469">
            <v>107.83396181778836</v>
          </cell>
        </row>
        <row r="470">
          <cell r="AD470">
            <v>88.696386775114874</v>
          </cell>
          <cell r="AE470">
            <v>90.916238179186706</v>
          </cell>
          <cell r="AF470">
            <v>94.092476163198569</v>
          </cell>
          <cell r="AG470">
            <v>98.749061203529891</v>
          </cell>
          <cell r="AH470">
            <v>107.86632119093076</v>
          </cell>
        </row>
        <row r="471">
          <cell r="AD471">
            <v>88.727645563465359</v>
          </cell>
          <cell r="AE471">
            <v>90.947976406159498</v>
          </cell>
          <cell r="AF471">
            <v>94.123814664700731</v>
          </cell>
          <cell r="AG471">
            <v>98.778936709686022</v>
          </cell>
          <cell r="AH471">
            <v>107.89868056407315</v>
          </cell>
        </row>
        <row r="472">
          <cell r="AD472">
            <v>88.758904351815843</v>
          </cell>
          <cell r="AE472">
            <v>90.979714633132289</v>
          </cell>
          <cell r="AF472">
            <v>94.155153166202908</v>
          </cell>
          <cell r="AG472">
            <v>98.808812215842138</v>
          </cell>
          <cell r="AH472">
            <v>107.93103993721554</v>
          </cell>
        </row>
        <row r="473">
          <cell r="AD473">
            <v>88.790163140166328</v>
          </cell>
          <cell r="AE473">
            <v>91.01105096134954</v>
          </cell>
          <cell r="AF473">
            <v>94.186491667705084</v>
          </cell>
          <cell r="AG473">
            <v>98.838687721998255</v>
          </cell>
          <cell r="AH473">
            <v>107.96339931035794</v>
          </cell>
        </row>
        <row r="474">
          <cell r="AD474">
            <v>88.821421928516827</v>
          </cell>
          <cell r="AE474">
            <v>91.041675444348641</v>
          </cell>
          <cell r="AF474">
            <v>94.217830169207247</v>
          </cell>
          <cell r="AG474">
            <v>98.868563228154386</v>
          </cell>
          <cell r="AH474">
            <v>107.99575868350033</v>
          </cell>
        </row>
        <row r="475">
          <cell r="AD475">
            <v>88.852680716867312</v>
          </cell>
          <cell r="AE475">
            <v>91.072299927347757</v>
          </cell>
          <cell r="AF475">
            <v>94.249168670709423</v>
          </cell>
          <cell r="AG475">
            <v>98.898438734310503</v>
          </cell>
          <cell r="AH475">
            <v>108.02597567350507</v>
          </cell>
        </row>
        <row r="476">
          <cell r="AD476">
            <v>88.883939505217796</v>
          </cell>
          <cell r="AE476">
            <v>91.102924410346859</v>
          </cell>
          <cell r="AF476">
            <v>94.280507172211585</v>
          </cell>
          <cell r="AG476">
            <v>98.928314240466619</v>
          </cell>
          <cell r="AH476">
            <v>108.05586950728798</v>
          </cell>
        </row>
        <row r="477">
          <cell r="AD477">
            <v>88.915198293568281</v>
          </cell>
          <cell r="AE477">
            <v>91.133548893345974</v>
          </cell>
          <cell r="AF477">
            <v>94.311845673713762</v>
          </cell>
          <cell r="AG477">
            <v>98.95818974662275</v>
          </cell>
          <cell r="AH477">
            <v>108.08576334107087</v>
          </cell>
        </row>
        <row r="478">
          <cell r="AD478">
            <v>88.946457081918766</v>
          </cell>
          <cell r="AE478">
            <v>91.16417337634509</v>
          </cell>
          <cell r="AF478">
            <v>94.343184175215939</v>
          </cell>
          <cell r="AG478">
            <v>98.988065252778867</v>
          </cell>
          <cell r="AH478">
            <v>108.11565717485377</v>
          </cell>
        </row>
        <row r="479">
          <cell r="AD479">
            <v>88.97771587026925</v>
          </cell>
          <cell r="AE479">
            <v>91.194797859344192</v>
          </cell>
          <cell r="AF479">
            <v>94.374522676718101</v>
          </cell>
          <cell r="AG479">
            <v>99.018293442409089</v>
          </cell>
          <cell r="AH479">
            <v>108.14555100863667</v>
          </cell>
        </row>
        <row r="480">
          <cell r="AD480">
            <v>89.008373652580005</v>
          </cell>
          <cell r="AE480">
            <v>91.225422342343307</v>
          </cell>
          <cell r="AF480">
            <v>94.405861178220277</v>
          </cell>
          <cell r="AG480">
            <v>99.048756247984358</v>
          </cell>
          <cell r="AH480">
            <v>108.17544484241957</v>
          </cell>
        </row>
        <row r="481">
          <cell r="AD481">
            <v>89.037539133386474</v>
          </cell>
          <cell r="AE481">
            <v>91.256046825342423</v>
          </cell>
          <cell r="AF481">
            <v>94.437199679722454</v>
          </cell>
          <cell r="AG481">
            <v>99.079219053559626</v>
          </cell>
          <cell r="AH481">
            <v>108.20533867620246</v>
          </cell>
        </row>
        <row r="482">
          <cell r="AD482">
            <v>89.066704614192943</v>
          </cell>
          <cell r="AE482">
            <v>91.286671308341525</v>
          </cell>
          <cell r="AF482">
            <v>94.468538181224616</v>
          </cell>
          <cell r="AG482">
            <v>99.109681859134909</v>
          </cell>
          <cell r="AH482">
            <v>108.23523250998537</v>
          </cell>
        </row>
        <row r="483">
          <cell r="AD483">
            <v>89.095870094999412</v>
          </cell>
          <cell r="AE483">
            <v>91.317295791340641</v>
          </cell>
          <cell r="AF483">
            <v>94.499876682726793</v>
          </cell>
          <cell r="AG483">
            <v>99.140144664710178</v>
          </cell>
          <cell r="AH483">
            <v>108.26512634376826</v>
          </cell>
        </row>
        <row r="484">
          <cell r="AD484">
            <v>89.125035575805882</v>
          </cell>
          <cell r="AE484">
            <v>91.347920274339756</v>
          </cell>
          <cell r="AF484">
            <v>94.531215184228955</v>
          </cell>
          <cell r="AG484">
            <v>99.170607470285447</v>
          </cell>
          <cell r="AH484">
            <v>108.29502017755117</v>
          </cell>
        </row>
        <row r="485">
          <cell r="AD485">
            <v>89.154201056612351</v>
          </cell>
          <cell r="AE485">
            <v>91.378544757338858</v>
          </cell>
          <cell r="AF485">
            <v>94.562553685731132</v>
          </cell>
          <cell r="AG485">
            <v>99.201070275860715</v>
          </cell>
          <cell r="AH485">
            <v>108.32491401133406</v>
          </cell>
        </row>
        <row r="486">
          <cell r="AD486">
            <v>89.18336653741882</v>
          </cell>
          <cell r="AE486">
            <v>91.409169240337974</v>
          </cell>
          <cell r="AF486">
            <v>94.593892187233308</v>
          </cell>
          <cell r="AG486">
            <v>99.231533081435984</v>
          </cell>
          <cell r="AH486">
            <v>108.35480784511695</v>
          </cell>
        </row>
        <row r="487">
          <cell r="AD487">
            <v>89.212532018225289</v>
          </cell>
          <cell r="AE487">
            <v>91.43979372333709</v>
          </cell>
          <cell r="AF487">
            <v>94.625230688735471</v>
          </cell>
          <cell r="AG487">
            <v>99.261995887011253</v>
          </cell>
          <cell r="AH487">
            <v>108.38470167889986</v>
          </cell>
        </row>
        <row r="488">
          <cell r="AD488">
            <v>89.241697499031758</v>
          </cell>
          <cell r="AE488">
            <v>91.470418206336191</v>
          </cell>
          <cell r="AF488">
            <v>94.656569190237647</v>
          </cell>
          <cell r="AG488">
            <v>99.292458692586521</v>
          </cell>
          <cell r="AH488">
            <v>108.41459551268275</v>
          </cell>
        </row>
        <row r="489">
          <cell r="AD489">
            <v>89.270862979838242</v>
          </cell>
          <cell r="AE489">
            <v>91.501042689335307</v>
          </cell>
          <cell r="AF489">
            <v>94.687907691739809</v>
          </cell>
          <cell r="AG489">
            <v>99.322921498161804</v>
          </cell>
          <cell r="AH489">
            <v>108.44448934646564</v>
          </cell>
        </row>
        <row r="490">
          <cell r="AD490">
            <v>89.300028460644711</v>
          </cell>
          <cell r="AE490">
            <v>91.531667172334409</v>
          </cell>
          <cell r="AF490">
            <v>94.719246193241986</v>
          </cell>
          <cell r="AG490">
            <v>99.353384303737073</v>
          </cell>
          <cell r="AH490">
            <v>108.47438318024855</v>
          </cell>
        </row>
        <row r="491">
          <cell r="AD491">
            <v>89.32919394145118</v>
          </cell>
          <cell r="AE491">
            <v>91.562291655333524</v>
          </cell>
          <cell r="AF491">
            <v>94.750584694744163</v>
          </cell>
          <cell r="AG491">
            <v>99.383847109312342</v>
          </cell>
          <cell r="AH491">
            <v>108.50427701403144</v>
          </cell>
        </row>
        <row r="492">
          <cell r="AD492">
            <v>89.358359422257649</v>
          </cell>
          <cell r="AE492">
            <v>91.59291613833264</v>
          </cell>
          <cell r="AF492">
            <v>94.781923196246325</v>
          </cell>
          <cell r="AG492">
            <v>99.41430991488761</v>
          </cell>
          <cell r="AH492">
            <v>108.53417084781435</v>
          </cell>
        </row>
        <row r="493">
          <cell r="AD493">
            <v>89.387524903064119</v>
          </cell>
          <cell r="AE493">
            <v>91.623540621331742</v>
          </cell>
          <cell r="AF493">
            <v>94.813261697748501</v>
          </cell>
          <cell r="AG493">
            <v>99.444772720462879</v>
          </cell>
          <cell r="AH493">
            <v>108.56406468159724</v>
          </cell>
        </row>
        <row r="494">
          <cell r="AD494">
            <v>89.416690383870588</v>
          </cell>
          <cell r="AE494">
            <v>91.654165104330858</v>
          </cell>
          <cell r="AF494">
            <v>94.844600199250664</v>
          </cell>
          <cell r="AG494">
            <v>99.475235526038148</v>
          </cell>
          <cell r="AH494">
            <v>108.59395851538014</v>
          </cell>
        </row>
        <row r="495">
          <cell r="AD495">
            <v>89.445855864677057</v>
          </cell>
          <cell r="AE495">
            <v>91.684789587329973</v>
          </cell>
          <cell r="AF495">
            <v>94.87593870075284</v>
          </cell>
          <cell r="AG495">
            <v>99.505698331613431</v>
          </cell>
          <cell r="AH495">
            <v>108.62385234916304</v>
          </cell>
        </row>
        <row r="496">
          <cell r="AD496">
            <v>89.475021345483526</v>
          </cell>
          <cell r="AE496">
            <v>91.715414070329075</v>
          </cell>
          <cell r="AF496">
            <v>94.907277202255017</v>
          </cell>
          <cell r="AG496">
            <v>99.536161137188699</v>
          </cell>
          <cell r="AH496">
            <v>108.65374618294594</v>
          </cell>
        </row>
        <row r="497">
          <cell r="AD497">
            <v>89.504186826289995</v>
          </cell>
          <cell r="AE497">
            <v>91.746038553328191</v>
          </cell>
          <cell r="AF497">
            <v>94.938615703757179</v>
          </cell>
          <cell r="AG497">
            <v>99.566623942763968</v>
          </cell>
          <cell r="AH497">
            <v>108.68364001672883</v>
          </cell>
        </row>
        <row r="498">
          <cell r="AD498">
            <v>89.533352307096465</v>
          </cell>
          <cell r="AE498">
            <v>91.776663036327307</v>
          </cell>
          <cell r="AF498">
            <v>94.969954205259356</v>
          </cell>
          <cell r="AG498">
            <v>99.597086748339237</v>
          </cell>
          <cell r="AH498">
            <v>108.71353385051174</v>
          </cell>
        </row>
        <row r="499">
          <cell r="AD499">
            <v>89.562517787902948</v>
          </cell>
          <cell r="AE499">
            <v>91.807287519326408</v>
          </cell>
          <cell r="AF499">
            <v>95.001212576336201</v>
          </cell>
          <cell r="AG499">
            <v>99.627549553914506</v>
          </cell>
          <cell r="AH499">
            <v>108.74342768429463</v>
          </cell>
        </row>
        <row r="500">
          <cell r="AD500">
            <v>89.591683268709417</v>
          </cell>
          <cell r="AE500">
            <v>91.837912002325524</v>
          </cell>
          <cell r="AF500">
            <v>95.03060851241726</v>
          </cell>
          <cell r="AG500">
            <v>99.658012359489774</v>
          </cell>
          <cell r="AH500">
            <v>108.77332151807754</v>
          </cell>
        </row>
        <row r="501">
          <cell r="AD501">
            <v>89.620848749515886</v>
          </cell>
          <cell r="AE501">
            <v>91.86853648532464</v>
          </cell>
          <cell r="AF501">
            <v>95.060004448498319</v>
          </cell>
          <cell r="AG501">
            <v>99.688475165065043</v>
          </cell>
          <cell r="AH501">
            <v>108.80321535186043</v>
          </cell>
        </row>
        <row r="502">
          <cell r="AD502">
            <v>89.650014230322356</v>
          </cell>
          <cell r="AE502">
            <v>91.899160968323741</v>
          </cell>
          <cell r="AF502">
            <v>95.089400384579378</v>
          </cell>
          <cell r="AG502">
            <v>99.718937970640326</v>
          </cell>
          <cell r="AH502">
            <v>108.83310918564332</v>
          </cell>
        </row>
        <row r="503">
          <cell r="AD503">
            <v>89.679179711128825</v>
          </cell>
          <cell r="AE503">
            <v>91.929785451322857</v>
          </cell>
          <cell r="AF503">
            <v>95.118796320660451</v>
          </cell>
          <cell r="AG503">
            <v>99.749400776215595</v>
          </cell>
          <cell r="AH503">
            <v>108.86300301942623</v>
          </cell>
        </row>
        <row r="504">
          <cell r="AD504">
            <v>89.708345191935294</v>
          </cell>
          <cell r="AE504">
            <v>91.960409934321959</v>
          </cell>
          <cell r="AF504">
            <v>95.14819225674151</v>
          </cell>
          <cell r="AG504">
            <v>99.779863581790863</v>
          </cell>
          <cell r="AH504">
            <v>108.89289685320912</v>
          </cell>
        </row>
        <row r="505">
          <cell r="AD505">
            <v>89.737510672741763</v>
          </cell>
          <cell r="AE505">
            <v>91.991034417321075</v>
          </cell>
          <cell r="AF505">
            <v>95.177588192822569</v>
          </cell>
          <cell r="AG505">
            <v>99.810326387366132</v>
          </cell>
          <cell r="AH505">
            <v>108.92279068699202</v>
          </cell>
        </row>
        <row r="506">
          <cell r="AD506">
            <v>89.766676153548232</v>
          </cell>
          <cell r="AE506">
            <v>92.019618476653022</v>
          </cell>
          <cell r="AF506">
            <v>95.206984128903628</v>
          </cell>
          <cell r="AG506">
            <v>99.840789192941401</v>
          </cell>
          <cell r="AH506">
            <v>108.95268452077492</v>
          </cell>
        </row>
        <row r="507">
          <cell r="AD507">
            <v>89.795841634354701</v>
          </cell>
          <cell r="AE507">
            <v>92.047357913828833</v>
          </cell>
          <cell r="AF507">
            <v>95.236380064984701</v>
          </cell>
          <cell r="AG507">
            <v>99.871251998516669</v>
          </cell>
          <cell r="AH507">
            <v>108.98257835455782</v>
          </cell>
        </row>
        <row r="508">
          <cell r="AD508">
            <v>89.825007115161171</v>
          </cell>
          <cell r="AE508">
            <v>92.075097351004658</v>
          </cell>
          <cell r="AF508">
            <v>95.26577600106576</v>
          </cell>
          <cell r="AG508">
            <v>99.901714804091952</v>
          </cell>
          <cell r="AH508">
            <v>109.01113680523949</v>
          </cell>
        </row>
        <row r="509">
          <cell r="AD509">
            <v>89.854172595967654</v>
          </cell>
          <cell r="AE509">
            <v>92.102836788180468</v>
          </cell>
          <cell r="AF509">
            <v>95.295171937146819</v>
          </cell>
          <cell r="AG509">
            <v>99.932177609667221</v>
          </cell>
          <cell r="AH509">
            <v>109.03782994004526</v>
          </cell>
        </row>
        <row r="510">
          <cell r="AD510">
            <v>89.883338076774123</v>
          </cell>
          <cell r="AE510">
            <v>92.130576225356279</v>
          </cell>
          <cell r="AF510">
            <v>95.324567873227878</v>
          </cell>
          <cell r="AG510">
            <v>99.96264041524249</v>
          </cell>
          <cell r="AH510">
            <v>109.06452307485102</v>
          </cell>
        </row>
        <row r="511">
          <cell r="AD511">
            <v>89.912503557580592</v>
          </cell>
          <cell r="AE511">
            <v>92.15831566253209</v>
          </cell>
          <cell r="AF511">
            <v>95.353963809308951</v>
          </cell>
          <cell r="AG511">
            <v>99.993103220817758</v>
          </cell>
          <cell r="AH511">
            <v>109.09121620965679</v>
          </cell>
        </row>
        <row r="512">
          <cell r="AD512">
            <v>89.941669038387062</v>
          </cell>
          <cell r="AE512">
            <v>92.186055099707914</v>
          </cell>
          <cell r="AF512">
            <v>95.38335974539001</v>
          </cell>
          <cell r="AG512">
            <v>100.02290683096982</v>
          </cell>
          <cell r="AH512">
            <v>109.11790934446255</v>
          </cell>
        </row>
        <row r="513">
          <cell r="AD513">
            <v>89.970834519193531</v>
          </cell>
          <cell r="AE513">
            <v>92.213794536883725</v>
          </cell>
          <cell r="AF513">
            <v>95.412755681471069</v>
          </cell>
          <cell r="AG513">
            <v>100.05251752250267</v>
          </cell>
          <cell r="AH513">
            <v>109.14460247926831</v>
          </cell>
        </row>
        <row r="514">
          <cell r="AD514">
            <v>90</v>
          </cell>
          <cell r="AE514">
            <v>92.241533974059536</v>
          </cell>
          <cell r="AF514">
            <v>95.442151617552128</v>
          </cell>
          <cell r="AG514">
            <v>100.08212821403551</v>
          </cell>
          <cell r="AH514">
            <v>109.17129561407408</v>
          </cell>
        </row>
        <row r="515">
          <cell r="AD515">
            <v>90.027212355806469</v>
          </cell>
          <cell r="AE515">
            <v>92.269273411235346</v>
          </cell>
          <cell r="AF515">
            <v>95.471547553633187</v>
          </cell>
          <cell r="AG515">
            <v>100.11173890556836</v>
          </cell>
          <cell r="AH515">
            <v>109.19798874887985</v>
          </cell>
        </row>
        <row r="516">
          <cell r="AD516">
            <v>90.054424711612938</v>
          </cell>
          <cell r="AE516">
            <v>92.297012848411157</v>
          </cell>
          <cell r="AF516">
            <v>95.50094348971426</v>
          </cell>
          <cell r="AG516">
            <v>100.14134959710121</v>
          </cell>
          <cell r="AH516">
            <v>109.22468188368562</v>
          </cell>
        </row>
        <row r="517">
          <cell r="AD517">
            <v>90.081637067419408</v>
          </cell>
          <cell r="AE517">
            <v>92.324752285586982</v>
          </cell>
          <cell r="AF517">
            <v>95.530339425795319</v>
          </cell>
          <cell r="AG517">
            <v>100.17096028863406</v>
          </cell>
          <cell r="AH517">
            <v>109.25137501849139</v>
          </cell>
        </row>
        <row r="518">
          <cell r="AD518">
            <v>90.108849423225877</v>
          </cell>
          <cell r="AE518">
            <v>92.352491722762792</v>
          </cell>
          <cell r="AF518">
            <v>95.559735361876378</v>
          </cell>
          <cell r="AG518">
            <v>100.20057098016692</v>
          </cell>
          <cell r="AH518">
            <v>109.27806815329716</v>
          </cell>
        </row>
        <row r="519">
          <cell r="AD519">
            <v>90.13606177903236</v>
          </cell>
          <cell r="AE519">
            <v>92.380231159938603</v>
          </cell>
          <cell r="AF519">
            <v>95.589131297957437</v>
          </cell>
          <cell r="AG519">
            <v>100.23018167169977</v>
          </cell>
          <cell r="AH519">
            <v>109.30476128810292</v>
          </cell>
        </row>
        <row r="520">
          <cell r="AD520">
            <v>90.163274134838829</v>
          </cell>
          <cell r="AE520">
            <v>92.407970597114414</v>
          </cell>
          <cell r="AF520">
            <v>95.61852723403851</v>
          </cell>
          <cell r="AG520">
            <v>100.25979236323262</v>
          </cell>
          <cell r="AH520">
            <v>109.33145442290869</v>
          </cell>
        </row>
        <row r="521">
          <cell r="AD521">
            <v>90.190486490645299</v>
          </cell>
          <cell r="AE521">
            <v>92.435710034290224</v>
          </cell>
          <cell r="AF521">
            <v>95.647923170119569</v>
          </cell>
          <cell r="AG521">
            <v>100.28940305476547</v>
          </cell>
          <cell r="AH521">
            <v>109.35814755771446</v>
          </cell>
        </row>
        <row r="522">
          <cell r="AD522">
            <v>90.217698846451768</v>
          </cell>
          <cell r="AE522">
            <v>92.463449471466049</v>
          </cell>
          <cell r="AF522">
            <v>95.677319106200628</v>
          </cell>
          <cell r="AG522">
            <v>100.31901374629831</v>
          </cell>
          <cell r="AH522">
            <v>109.38484069252023</v>
          </cell>
        </row>
        <row r="523">
          <cell r="AD523">
            <v>90.244911202258237</v>
          </cell>
          <cell r="AE523">
            <v>92.49118890864186</v>
          </cell>
          <cell r="AF523">
            <v>95.706715042281687</v>
          </cell>
          <cell r="AG523">
            <v>100.34862443783116</v>
          </cell>
          <cell r="AH523">
            <v>109.41153382732598</v>
          </cell>
        </row>
        <row r="524">
          <cell r="AD524">
            <v>90.272123558064706</v>
          </cell>
          <cell r="AE524">
            <v>92.51892834581767</v>
          </cell>
          <cell r="AF524">
            <v>95.73611097836276</v>
          </cell>
          <cell r="AG524">
            <v>100.37823512936401</v>
          </cell>
          <cell r="AH524">
            <v>109.43822696213175</v>
          </cell>
        </row>
        <row r="525">
          <cell r="AD525">
            <v>90.299335913871175</v>
          </cell>
          <cell r="AE525">
            <v>92.546667782993481</v>
          </cell>
          <cell r="AF525">
            <v>95.765506914443819</v>
          </cell>
          <cell r="AG525">
            <v>100.40784582089687</v>
          </cell>
          <cell r="AH525">
            <v>109.46492009693752</v>
          </cell>
        </row>
        <row r="526">
          <cell r="AD526">
            <v>90.326548269677644</v>
          </cell>
          <cell r="AE526">
            <v>92.574407220169306</v>
          </cell>
          <cell r="AF526">
            <v>95.794902850524878</v>
          </cell>
          <cell r="AG526">
            <v>100.43745651242972</v>
          </cell>
          <cell r="AH526">
            <v>109.49161323174329</v>
          </cell>
        </row>
        <row r="527">
          <cell r="AD527">
            <v>90.353760625484114</v>
          </cell>
          <cell r="AE527">
            <v>92.602146657345116</v>
          </cell>
          <cell r="AF527">
            <v>95.824298786605937</v>
          </cell>
          <cell r="AG527">
            <v>100.46706720396257</v>
          </cell>
          <cell r="AH527">
            <v>109.51830636654906</v>
          </cell>
        </row>
        <row r="528">
          <cell r="AD528">
            <v>90.380972981290583</v>
          </cell>
          <cell r="AE528">
            <v>92.629886094520927</v>
          </cell>
          <cell r="AF528">
            <v>95.85369472268701</v>
          </cell>
          <cell r="AG528">
            <v>100.49667789549542</v>
          </cell>
          <cell r="AH528">
            <v>109.54499950135482</v>
          </cell>
        </row>
        <row r="529">
          <cell r="AD529">
            <v>90.408185337097066</v>
          </cell>
          <cell r="AE529">
            <v>92.657625531696738</v>
          </cell>
          <cell r="AF529">
            <v>95.883090658768069</v>
          </cell>
          <cell r="AG529">
            <v>100.52628858702826</v>
          </cell>
          <cell r="AH529">
            <v>109.57169263616059</v>
          </cell>
        </row>
        <row r="530">
          <cell r="AD530">
            <v>90.435397692903535</v>
          </cell>
          <cell r="AE530">
            <v>92.685364968872548</v>
          </cell>
          <cell r="AF530">
            <v>95.912486594849128</v>
          </cell>
          <cell r="AG530">
            <v>100.55589927856111</v>
          </cell>
          <cell r="AH530">
            <v>109.59838577096636</v>
          </cell>
        </row>
        <row r="531">
          <cell r="AD531">
            <v>90.462610048710005</v>
          </cell>
          <cell r="AE531">
            <v>92.713104406048373</v>
          </cell>
          <cell r="AF531">
            <v>95.941882530930187</v>
          </cell>
          <cell r="AG531">
            <v>100.58550997009397</v>
          </cell>
          <cell r="AH531">
            <v>109.62507890577213</v>
          </cell>
        </row>
        <row r="532">
          <cell r="AD532">
            <v>90.489822404516474</v>
          </cell>
          <cell r="AE532">
            <v>92.740843843224184</v>
          </cell>
          <cell r="AF532">
            <v>95.971278467011246</v>
          </cell>
          <cell r="AG532">
            <v>100.61512066162682</v>
          </cell>
          <cell r="AH532">
            <v>109.6517720405779</v>
          </cell>
        </row>
        <row r="533">
          <cell r="AD533">
            <v>90.517034760322943</v>
          </cell>
          <cell r="AE533">
            <v>92.768583280399994</v>
          </cell>
          <cell r="AF533">
            <v>96.000583270229825</v>
          </cell>
          <cell r="AG533">
            <v>100.64473135315967</v>
          </cell>
          <cell r="AH533">
            <v>109.67846517538365</v>
          </cell>
        </row>
        <row r="534">
          <cell r="AD534">
            <v>90.544247116129412</v>
          </cell>
          <cell r="AE534">
            <v>92.796322717575805</v>
          </cell>
          <cell r="AF534">
            <v>96.026006899791128</v>
          </cell>
          <cell r="AG534">
            <v>100.67434204469252</v>
          </cell>
          <cell r="AH534">
            <v>109.70515831018942</v>
          </cell>
        </row>
        <row r="535">
          <cell r="AD535">
            <v>90.571459471935881</v>
          </cell>
          <cell r="AE535">
            <v>92.82406215475163</v>
          </cell>
          <cell r="AF535">
            <v>96.051430529352416</v>
          </cell>
          <cell r="AG535">
            <v>100.70395273622538</v>
          </cell>
          <cell r="AH535">
            <v>109.73185144499519</v>
          </cell>
        </row>
        <row r="536">
          <cell r="AD536">
            <v>90.598671827742351</v>
          </cell>
          <cell r="AE536">
            <v>92.85180159192744</v>
          </cell>
          <cell r="AF536">
            <v>96.076854158913704</v>
          </cell>
          <cell r="AG536">
            <v>100.73356342775821</v>
          </cell>
          <cell r="AH536">
            <v>109.75854457980095</v>
          </cell>
        </row>
        <row r="537">
          <cell r="AD537">
            <v>90.62588418354882</v>
          </cell>
          <cell r="AE537">
            <v>92.879541029103251</v>
          </cell>
          <cell r="AF537">
            <v>96.102277788475007</v>
          </cell>
          <cell r="AG537">
            <v>100.76317411929107</v>
          </cell>
          <cell r="AH537">
            <v>109.78523771460672</v>
          </cell>
        </row>
        <row r="538">
          <cell r="AD538">
            <v>90.653096539355289</v>
          </cell>
          <cell r="AE538">
            <v>92.907280466279062</v>
          </cell>
          <cell r="AF538">
            <v>96.127701418036295</v>
          </cell>
          <cell r="AG538">
            <v>100.79278481082392</v>
          </cell>
          <cell r="AH538">
            <v>109.81193084941249</v>
          </cell>
        </row>
        <row r="539">
          <cell r="AD539">
            <v>90.680308895161772</v>
          </cell>
          <cell r="AE539">
            <v>92.935019903454872</v>
          </cell>
          <cell r="AF539">
            <v>96.153125047597598</v>
          </cell>
          <cell r="AG539">
            <v>100.82239550235677</v>
          </cell>
          <cell r="AH539">
            <v>109.83862398421826</v>
          </cell>
        </row>
        <row r="540">
          <cell r="AD540">
            <v>90.707521250968242</v>
          </cell>
          <cell r="AE540">
            <v>92.962759340630697</v>
          </cell>
          <cell r="AF540">
            <v>96.178548677158886</v>
          </cell>
          <cell r="AG540">
            <v>100.85200619388962</v>
          </cell>
          <cell r="AH540">
            <v>109.86531711902403</v>
          </cell>
        </row>
        <row r="541">
          <cell r="AD541">
            <v>90.734733606774711</v>
          </cell>
          <cell r="AE541">
            <v>92.990498777806508</v>
          </cell>
          <cell r="AF541">
            <v>96.203972306720175</v>
          </cell>
          <cell r="AG541">
            <v>100.88161688542247</v>
          </cell>
          <cell r="AH541">
            <v>109.8920102538298</v>
          </cell>
        </row>
        <row r="542">
          <cell r="AD542">
            <v>90.76194596258118</v>
          </cell>
          <cell r="AE542">
            <v>93.017321310188493</v>
          </cell>
          <cell r="AF542">
            <v>96.229395936281477</v>
          </cell>
          <cell r="AG542">
            <v>100.91122757695533</v>
          </cell>
          <cell r="AH542">
            <v>109.91870338863556</v>
          </cell>
        </row>
        <row r="543">
          <cell r="AD543">
            <v>90.789158318387649</v>
          </cell>
          <cell r="AE543">
            <v>93.043666179806593</v>
          </cell>
          <cell r="AF543">
            <v>96.254819565842766</v>
          </cell>
          <cell r="AG543">
            <v>100.94083826848818</v>
          </cell>
          <cell r="AH543">
            <v>109.94539652344133</v>
          </cell>
        </row>
        <row r="544">
          <cell r="AD544">
            <v>90.816370674194118</v>
          </cell>
          <cell r="AE544">
            <v>93.070011049424707</v>
          </cell>
          <cell r="AF544">
            <v>96.280243195404069</v>
          </cell>
          <cell r="AG544">
            <v>100.97044896002102</v>
          </cell>
          <cell r="AH544">
            <v>109.97208965824709</v>
          </cell>
        </row>
        <row r="545">
          <cell r="AD545">
            <v>90.843583030000588</v>
          </cell>
          <cell r="AE545">
            <v>93.096355919042821</v>
          </cell>
          <cell r="AF545">
            <v>96.305666824965357</v>
          </cell>
          <cell r="AG545">
            <v>101.00005596161387</v>
          </cell>
          <cell r="AH545">
            <v>109.99878279305285</v>
          </cell>
        </row>
        <row r="546">
          <cell r="AD546">
            <v>90.870795385807057</v>
          </cell>
          <cell r="AE546">
            <v>93.122700788660936</v>
          </cell>
          <cell r="AF546">
            <v>96.331090454526645</v>
          </cell>
          <cell r="AG546">
            <v>101.02783498795179</v>
          </cell>
          <cell r="AH546">
            <v>110.02321153514784</v>
          </cell>
        </row>
        <row r="547">
          <cell r="AD547">
            <v>90.898007741613526</v>
          </cell>
          <cell r="AE547">
            <v>93.149045658279036</v>
          </cell>
          <cell r="AF547">
            <v>96.356514084087948</v>
          </cell>
          <cell r="AG547">
            <v>101.0556140142897</v>
          </cell>
          <cell r="AH547">
            <v>110.04753208748211</v>
          </cell>
        </row>
        <row r="548">
          <cell r="AD548">
            <v>90.925220097419995</v>
          </cell>
          <cell r="AE548">
            <v>93.17539052789715</v>
          </cell>
          <cell r="AF548">
            <v>96.381937713649236</v>
          </cell>
          <cell r="AG548">
            <v>101.08339304062761</v>
          </cell>
          <cell r="AH548">
            <v>110.0718526398164</v>
          </cell>
        </row>
        <row r="549">
          <cell r="AD549">
            <v>90.952432453226479</v>
          </cell>
          <cell r="AE549">
            <v>93.201735397515264</v>
          </cell>
          <cell r="AF549">
            <v>96.407361343210539</v>
          </cell>
          <cell r="AG549">
            <v>101.11117206696554</v>
          </cell>
          <cell r="AH549">
            <v>110.09617319215067</v>
          </cell>
        </row>
        <row r="550">
          <cell r="AD550">
            <v>90.979644809032948</v>
          </cell>
          <cell r="AE550">
            <v>93.228080267133379</v>
          </cell>
          <cell r="AF550">
            <v>96.432784972771827</v>
          </cell>
          <cell r="AG550">
            <v>101.13895109330345</v>
          </cell>
          <cell r="AH550">
            <v>110.12049374448495</v>
          </cell>
        </row>
        <row r="551">
          <cell r="AD551">
            <v>91.00639796102358</v>
          </cell>
          <cell r="AE551">
            <v>93.254425136751479</v>
          </cell>
          <cell r="AF551">
            <v>96.458208602333116</v>
          </cell>
          <cell r="AG551">
            <v>101.16673011964136</v>
          </cell>
          <cell r="AH551">
            <v>110.14481429681923</v>
          </cell>
        </row>
        <row r="552">
          <cell r="AD552">
            <v>91.03178798676845</v>
          </cell>
          <cell r="AE552">
            <v>93.280770006369593</v>
          </cell>
          <cell r="AF552">
            <v>96.483632231894418</v>
          </cell>
          <cell r="AG552">
            <v>101.19450914597927</v>
          </cell>
          <cell r="AH552">
            <v>110.16913484915351</v>
          </cell>
        </row>
        <row r="553">
          <cell r="AD553">
            <v>91.057178012513333</v>
          </cell>
          <cell r="AE553">
            <v>93.307114875987708</v>
          </cell>
          <cell r="AF553">
            <v>96.509055861455707</v>
          </cell>
          <cell r="AG553">
            <v>101.22228817231719</v>
          </cell>
          <cell r="AH553">
            <v>110.19345540148778</v>
          </cell>
        </row>
        <row r="554">
          <cell r="AD554">
            <v>91.082568038258202</v>
          </cell>
          <cell r="AE554">
            <v>93.333459745605822</v>
          </cell>
          <cell r="AF554">
            <v>96.534479491016995</v>
          </cell>
          <cell r="AG554">
            <v>101.2500671986551</v>
          </cell>
          <cell r="AH554">
            <v>110.21777595382206</v>
          </cell>
        </row>
        <row r="555">
          <cell r="AD555">
            <v>91.107958064003085</v>
          </cell>
          <cell r="AE555">
            <v>93.359804615223922</v>
          </cell>
          <cell r="AF555">
            <v>96.559903120578298</v>
          </cell>
          <cell r="AG555">
            <v>101.27784622499301</v>
          </cell>
          <cell r="AH555">
            <v>110.24209650615634</v>
          </cell>
        </row>
        <row r="556">
          <cell r="AD556">
            <v>91.133348089747955</v>
          </cell>
          <cell r="AE556">
            <v>93.386149484842036</v>
          </cell>
          <cell r="AF556">
            <v>96.585326750139586</v>
          </cell>
          <cell r="AG556">
            <v>101.30562525133092</v>
          </cell>
          <cell r="AH556">
            <v>110.26641705849062</v>
          </cell>
        </row>
        <row r="557">
          <cell r="AD557">
            <v>91.158738115492838</v>
          </cell>
          <cell r="AE557">
            <v>93.412494354460151</v>
          </cell>
          <cell r="AF557">
            <v>96.610750379700889</v>
          </cell>
          <cell r="AG557">
            <v>101.33340427766885</v>
          </cell>
          <cell r="AH557">
            <v>110.29073761082489</v>
          </cell>
        </row>
        <row r="558">
          <cell r="AD558">
            <v>91.184128141237707</v>
          </cell>
          <cell r="AE558">
            <v>93.438839224078265</v>
          </cell>
          <cell r="AF558">
            <v>96.636174009262177</v>
          </cell>
          <cell r="AG558">
            <v>101.36118330400676</v>
          </cell>
          <cell r="AH558">
            <v>110.31505816315918</v>
          </cell>
        </row>
        <row r="559">
          <cell r="AD559">
            <v>91.209518166982591</v>
          </cell>
          <cell r="AE559">
            <v>93.465184093696365</v>
          </cell>
          <cell r="AF559">
            <v>96.661597638823466</v>
          </cell>
          <cell r="AG559">
            <v>101.38896233034467</v>
          </cell>
          <cell r="AH559">
            <v>110.33937871549345</v>
          </cell>
        </row>
        <row r="560">
          <cell r="AD560">
            <v>91.23490819272746</v>
          </cell>
          <cell r="AE560">
            <v>93.491528963314479</v>
          </cell>
          <cell r="AF560">
            <v>96.687021268384768</v>
          </cell>
          <cell r="AG560">
            <v>101.41674135668258</v>
          </cell>
          <cell r="AH560">
            <v>110.36369926782773</v>
          </cell>
        </row>
        <row r="561">
          <cell r="AD561">
            <v>91.260298218472343</v>
          </cell>
          <cell r="AE561">
            <v>93.517873832932594</v>
          </cell>
          <cell r="AF561">
            <v>96.712444897946057</v>
          </cell>
          <cell r="AG561">
            <v>101.4445203830205</v>
          </cell>
          <cell r="AH561">
            <v>110.38801982016201</v>
          </cell>
        </row>
        <row r="562">
          <cell r="AD562">
            <v>91.285688244217212</v>
          </cell>
          <cell r="AE562">
            <v>93.544218702550708</v>
          </cell>
          <cell r="AF562">
            <v>96.737868527507359</v>
          </cell>
          <cell r="AG562">
            <v>101.47229940935841</v>
          </cell>
          <cell r="AH562">
            <v>110.41234037249629</v>
          </cell>
        </row>
        <row r="563">
          <cell r="AD563">
            <v>91.311078269962081</v>
          </cell>
          <cell r="AE563">
            <v>93.570563572168808</v>
          </cell>
          <cell r="AF563">
            <v>96.763292157068648</v>
          </cell>
          <cell r="AG563">
            <v>101.50007843569632</v>
          </cell>
          <cell r="AH563">
            <v>110.43666092483056</v>
          </cell>
        </row>
        <row r="564">
          <cell r="AD564">
            <v>91.336468295706965</v>
          </cell>
          <cell r="AE564">
            <v>93.596908441786923</v>
          </cell>
          <cell r="AF564">
            <v>96.788715786629936</v>
          </cell>
          <cell r="AG564">
            <v>101.52785746203423</v>
          </cell>
          <cell r="AH564">
            <v>110.46098147716484</v>
          </cell>
        </row>
        <row r="565">
          <cell r="AD565">
            <v>91.361858321451834</v>
          </cell>
          <cell r="AE565">
            <v>93.623253311405037</v>
          </cell>
          <cell r="AF565">
            <v>96.814139416191239</v>
          </cell>
          <cell r="AG565">
            <v>101.55563648837216</v>
          </cell>
          <cell r="AH565">
            <v>110.48530202949912</v>
          </cell>
        </row>
        <row r="566">
          <cell r="AD566">
            <v>91.387248347196717</v>
          </cell>
          <cell r="AE566">
            <v>93.649598181023151</v>
          </cell>
          <cell r="AF566">
            <v>96.839563045752527</v>
          </cell>
          <cell r="AG566">
            <v>101.58341551471007</v>
          </cell>
          <cell r="AH566">
            <v>110.5096225818334</v>
          </cell>
        </row>
        <row r="567">
          <cell r="AD567">
            <v>91.412638372941586</v>
          </cell>
          <cell r="AE567">
            <v>93.675943050641251</v>
          </cell>
          <cell r="AF567">
            <v>96.86498667531383</v>
          </cell>
          <cell r="AG567">
            <v>101.61119454104798</v>
          </cell>
          <cell r="AH567">
            <v>110.53394313416767</v>
          </cell>
        </row>
        <row r="568">
          <cell r="AD568">
            <v>91.43802839868647</v>
          </cell>
          <cell r="AE568">
            <v>93.702287920259366</v>
          </cell>
          <cell r="AF568">
            <v>96.890410304875118</v>
          </cell>
          <cell r="AG568">
            <v>101.63897356738589</v>
          </cell>
          <cell r="AH568">
            <v>110.55826368650196</v>
          </cell>
        </row>
        <row r="569">
          <cell r="AD569">
            <v>91.463418424431339</v>
          </cell>
          <cell r="AE569">
            <v>93.72863278987748</v>
          </cell>
          <cell r="AF569">
            <v>96.915833934436407</v>
          </cell>
          <cell r="AG569">
            <v>101.66675259372381</v>
          </cell>
          <cell r="AH569">
            <v>110.58258423883623</v>
          </cell>
        </row>
        <row r="570">
          <cell r="AD570">
            <v>91.488808450176222</v>
          </cell>
          <cell r="AE570">
            <v>93.754977659495594</v>
          </cell>
          <cell r="AF570">
            <v>96.941257563997709</v>
          </cell>
          <cell r="AG570">
            <v>101.69453162006172</v>
          </cell>
          <cell r="AH570">
            <v>110.60690479117051</v>
          </cell>
        </row>
        <row r="571">
          <cell r="AD571">
            <v>91.514198475921091</v>
          </cell>
          <cell r="AE571">
            <v>93.781322529113694</v>
          </cell>
          <cell r="AF571">
            <v>96.966681193558998</v>
          </cell>
          <cell r="AG571">
            <v>101.72231064639963</v>
          </cell>
          <cell r="AH571">
            <v>110.63122534350479</v>
          </cell>
        </row>
        <row r="572">
          <cell r="AD572">
            <v>91.539588501665975</v>
          </cell>
          <cell r="AE572">
            <v>93.807667398731809</v>
          </cell>
          <cell r="AF572">
            <v>96.9921048231203</v>
          </cell>
          <cell r="AG572">
            <v>101.75008967273754</v>
          </cell>
          <cell r="AH572">
            <v>110.65554589583907</v>
          </cell>
        </row>
        <row r="573">
          <cell r="AD573">
            <v>91.564978527410844</v>
          </cell>
          <cell r="AE573">
            <v>93.834012268349923</v>
          </cell>
          <cell r="AF573">
            <v>97.015787500523516</v>
          </cell>
          <cell r="AG573">
            <v>101.77786869907547</v>
          </cell>
          <cell r="AH573">
            <v>110.67986644817334</v>
          </cell>
        </row>
        <row r="574">
          <cell r="AD574">
            <v>91.590368553155713</v>
          </cell>
          <cell r="AE574">
            <v>93.860357137968037</v>
          </cell>
          <cell r="AF574">
            <v>97.038686017141032</v>
          </cell>
          <cell r="AG574">
            <v>101.80564772541338</v>
          </cell>
          <cell r="AH574">
            <v>110.70418700050762</v>
          </cell>
        </row>
        <row r="575">
          <cell r="AD575">
            <v>91.615758578900596</v>
          </cell>
          <cell r="AE575">
            <v>93.886702007586138</v>
          </cell>
          <cell r="AF575">
            <v>97.061584533758534</v>
          </cell>
          <cell r="AG575">
            <v>101.83342675175129</v>
          </cell>
          <cell r="AH575">
            <v>110.7285075528419</v>
          </cell>
        </row>
        <row r="576">
          <cell r="AD576">
            <v>91.641148604645466</v>
          </cell>
          <cell r="AE576">
            <v>93.913046877204252</v>
          </cell>
          <cell r="AF576">
            <v>97.084483050376051</v>
          </cell>
          <cell r="AG576">
            <v>101.8612057780892</v>
          </cell>
          <cell r="AH576">
            <v>110.75282810517618</v>
          </cell>
        </row>
        <row r="577">
          <cell r="AD577">
            <v>91.666538630390349</v>
          </cell>
          <cell r="AE577">
            <v>93.939391746822366</v>
          </cell>
          <cell r="AF577">
            <v>97.107381566993553</v>
          </cell>
          <cell r="AG577">
            <v>101.88898480442712</v>
          </cell>
          <cell r="AH577">
            <v>110.77714865751045</v>
          </cell>
        </row>
        <row r="578">
          <cell r="AD578">
            <v>91.691928656135218</v>
          </cell>
          <cell r="AE578">
            <v>93.965736616440481</v>
          </cell>
          <cell r="AF578">
            <v>97.130280083611069</v>
          </cell>
          <cell r="AG578">
            <v>101.91676383076503</v>
          </cell>
          <cell r="AH578">
            <v>110.80146920984474</v>
          </cell>
        </row>
        <row r="579">
          <cell r="AD579">
            <v>91.717318681880101</v>
          </cell>
          <cell r="AE579">
            <v>93.992081486058581</v>
          </cell>
          <cell r="AF579">
            <v>97.153178600228586</v>
          </cell>
          <cell r="AG579">
            <v>101.94454285710295</v>
          </cell>
          <cell r="AH579">
            <v>110.82578976217901</v>
          </cell>
        </row>
        <row r="580">
          <cell r="AD580">
            <v>91.742708707624971</v>
          </cell>
          <cell r="AE580">
            <v>94.016709456706678</v>
          </cell>
          <cell r="AF580">
            <v>97.176077116846088</v>
          </cell>
          <cell r="AG580">
            <v>101.97232188344086</v>
          </cell>
          <cell r="AH580">
            <v>110.85011031451329</v>
          </cell>
        </row>
        <row r="581">
          <cell r="AD581">
            <v>91.768098733369854</v>
          </cell>
          <cell r="AE581">
            <v>94.040599609814038</v>
          </cell>
          <cell r="AF581">
            <v>97.198975633463604</v>
          </cell>
          <cell r="AG581">
            <v>102.00008856468429</v>
          </cell>
          <cell r="AH581">
            <v>110.87443086684758</v>
          </cell>
        </row>
        <row r="582">
          <cell r="AD582">
            <v>91.793488759114723</v>
          </cell>
          <cell r="AE582">
            <v>94.064489762921397</v>
          </cell>
          <cell r="AF582">
            <v>97.221874150081106</v>
          </cell>
          <cell r="AG582">
            <v>102.02446916215973</v>
          </cell>
          <cell r="AH582">
            <v>110.89875141918185</v>
          </cell>
        </row>
        <row r="583">
          <cell r="AD583">
            <v>91.818878784859606</v>
          </cell>
          <cell r="AE583">
            <v>94.088379916028757</v>
          </cell>
          <cell r="AF583">
            <v>97.244772666698623</v>
          </cell>
          <cell r="AG583">
            <v>102.04884975963516</v>
          </cell>
          <cell r="AH583">
            <v>110.92307197151612</v>
          </cell>
        </row>
        <row r="584">
          <cell r="AD584">
            <v>91.844268810604476</v>
          </cell>
          <cell r="AE584">
            <v>94.112270069136102</v>
          </cell>
          <cell r="AF584">
            <v>97.267671183316139</v>
          </cell>
          <cell r="AG584">
            <v>102.0732303571106</v>
          </cell>
          <cell r="AH584">
            <v>110.94739252385041</v>
          </cell>
        </row>
        <row r="585">
          <cell r="AD585">
            <v>91.869658836349345</v>
          </cell>
          <cell r="AE585">
            <v>94.136160222243461</v>
          </cell>
          <cell r="AF585">
            <v>97.290569699933641</v>
          </cell>
          <cell r="AG585">
            <v>102.09761095458603</v>
          </cell>
          <cell r="AH585">
            <v>110.97171307618468</v>
          </cell>
        </row>
        <row r="586">
          <cell r="AD586">
            <v>91.895048862094228</v>
          </cell>
          <cell r="AE586">
            <v>94.160050375350821</v>
          </cell>
          <cell r="AF586">
            <v>97.313468216551158</v>
          </cell>
          <cell r="AG586">
            <v>102.12199155206147</v>
          </cell>
          <cell r="AH586">
            <v>110.99603362851896</v>
          </cell>
        </row>
        <row r="587">
          <cell r="AD587">
            <v>91.920438887839097</v>
          </cell>
          <cell r="AE587">
            <v>94.18394052845818</v>
          </cell>
          <cell r="AF587">
            <v>97.33636673316866</v>
          </cell>
          <cell r="AG587">
            <v>102.14637214953692</v>
          </cell>
          <cell r="AH587">
            <v>111.02092622816714</v>
          </cell>
        </row>
        <row r="588">
          <cell r="AD588">
            <v>91.945828913583981</v>
          </cell>
          <cell r="AE588">
            <v>94.20783068156554</v>
          </cell>
          <cell r="AF588">
            <v>97.359265249786176</v>
          </cell>
          <cell r="AG588">
            <v>102.17075274701234</v>
          </cell>
          <cell r="AH588">
            <v>111.04593030133361</v>
          </cell>
        </row>
        <row r="589">
          <cell r="AD589">
            <v>91.97121893932885</v>
          </cell>
          <cell r="AE589">
            <v>94.231720834672899</v>
          </cell>
          <cell r="AF589">
            <v>97.382163766403693</v>
          </cell>
          <cell r="AG589">
            <v>102.19513334448779</v>
          </cell>
          <cell r="AH589">
            <v>111.07093437450008</v>
          </cell>
        </row>
        <row r="590">
          <cell r="AD590">
            <v>91.996608965073733</v>
          </cell>
          <cell r="AE590">
            <v>94.255610987780258</v>
          </cell>
          <cell r="AF590">
            <v>97.405062283021195</v>
          </cell>
          <cell r="AG590">
            <v>102.21951394196321</v>
          </cell>
          <cell r="AH590">
            <v>111.09593844766655</v>
          </cell>
        </row>
        <row r="591">
          <cell r="AD591">
            <v>92.020525784214271</v>
          </cell>
          <cell r="AE591">
            <v>94.279501140887604</v>
          </cell>
          <cell r="AF591">
            <v>97.427960799638711</v>
          </cell>
          <cell r="AG591">
            <v>102.24389453943866</v>
          </cell>
          <cell r="AH591">
            <v>111.12094252083303</v>
          </cell>
        </row>
        <row r="592">
          <cell r="AD592">
            <v>92.044215515890215</v>
          </cell>
          <cell r="AE592">
            <v>94.303391293994963</v>
          </cell>
          <cell r="AF592">
            <v>97.450859316256214</v>
          </cell>
          <cell r="AG592">
            <v>102.26827513691408</v>
          </cell>
          <cell r="AH592">
            <v>111.14594659399951</v>
          </cell>
        </row>
        <row r="593">
          <cell r="AD593">
            <v>92.067905247566145</v>
          </cell>
          <cell r="AE593">
            <v>94.327281447102322</v>
          </cell>
          <cell r="AF593">
            <v>97.47375783287373</v>
          </cell>
          <cell r="AG593">
            <v>102.29265573438953</v>
          </cell>
          <cell r="AH593">
            <v>111.17095066716598</v>
          </cell>
        </row>
        <row r="594">
          <cell r="AD594">
            <v>92.091594979242089</v>
          </cell>
          <cell r="AE594">
            <v>94.351171600209682</v>
          </cell>
          <cell r="AF594">
            <v>97.496656349491232</v>
          </cell>
          <cell r="AG594">
            <v>102.31703633186495</v>
          </cell>
          <cell r="AH594">
            <v>111.19595474033245</v>
          </cell>
        </row>
        <row r="595">
          <cell r="AD595">
            <v>92.115284710918019</v>
          </cell>
          <cell r="AE595">
            <v>94.375061753317041</v>
          </cell>
          <cell r="AF595">
            <v>97.519554866108749</v>
          </cell>
          <cell r="AG595">
            <v>102.3414169293404</v>
          </cell>
          <cell r="AH595">
            <v>111.22095881349892</v>
          </cell>
        </row>
        <row r="596">
          <cell r="AD596">
            <v>92.138974442593963</v>
          </cell>
          <cell r="AE596">
            <v>94.398951906424401</v>
          </cell>
          <cell r="AF596">
            <v>97.542453382726265</v>
          </cell>
          <cell r="AG596">
            <v>102.36579752681583</v>
          </cell>
          <cell r="AH596">
            <v>111.2459628866654</v>
          </cell>
        </row>
        <row r="597">
          <cell r="AD597">
            <v>92.162664174269892</v>
          </cell>
          <cell r="AE597">
            <v>94.42284205953176</v>
          </cell>
          <cell r="AF597">
            <v>97.565351899343767</v>
          </cell>
          <cell r="AG597">
            <v>102.39017812429127</v>
          </cell>
          <cell r="AH597">
            <v>111.27096695983187</v>
          </cell>
        </row>
        <row r="598">
          <cell r="AD598">
            <v>92.186353905945836</v>
          </cell>
          <cell r="AE598">
            <v>94.446732212639105</v>
          </cell>
          <cell r="AF598">
            <v>97.588250415961284</v>
          </cell>
          <cell r="AG598">
            <v>102.4145587217667</v>
          </cell>
          <cell r="AH598">
            <v>111.29597103299834</v>
          </cell>
        </row>
        <row r="599">
          <cell r="AD599">
            <v>92.210043637621766</v>
          </cell>
          <cell r="AE599">
            <v>94.470622365746465</v>
          </cell>
          <cell r="AF599">
            <v>97.611148932578786</v>
          </cell>
          <cell r="AG599">
            <v>102.43893931924214</v>
          </cell>
          <cell r="AH599">
            <v>111.32097510616481</v>
          </cell>
        </row>
        <row r="600">
          <cell r="AD600">
            <v>92.23373336929771</v>
          </cell>
          <cell r="AE600">
            <v>94.494512518853824</v>
          </cell>
          <cell r="AF600">
            <v>97.634047449196302</v>
          </cell>
          <cell r="AG600">
            <v>102.46331991671757</v>
          </cell>
          <cell r="AH600">
            <v>111.34597917933129</v>
          </cell>
        </row>
        <row r="601">
          <cell r="AD601">
            <v>92.257423100973654</v>
          </cell>
          <cell r="AE601">
            <v>94.518402671961184</v>
          </cell>
          <cell r="AF601">
            <v>97.656945965813819</v>
          </cell>
          <cell r="AG601">
            <v>102.48770051419301</v>
          </cell>
          <cell r="AH601">
            <v>111.37098325249777</v>
          </cell>
        </row>
        <row r="602">
          <cell r="AD602">
            <v>92.281112832649583</v>
          </cell>
          <cell r="AE602">
            <v>94.542292825068543</v>
          </cell>
          <cell r="AF602">
            <v>97.679844482431321</v>
          </cell>
          <cell r="AG602">
            <v>102.51208111166844</v>
          </cell>
          <cell r="AH602">
            <v>111.39598732566424</v>
          </cell>
        </row>
        <row r="603">
          <cell r="AD603">
            <v>92.304802564325527</v>
          </cell>
          <cell r="AE603">
            <v>94.566182978175902</v>
          </cell>
          <cell r="AF603">
            <v>97.702742999048837</v>
          </cell>
          <cell r="AG603">
            <v>102.53646170914388</v>
          </cell>
          <cell r="AH603">
            <v>111.42099139883071</v>
          </cell>
        </row>
        <row r="604">
          <cell r="AD604">
            <v>92.328492296001457</v>
          </cell>
          <cell r="AE604">
            <v>94.590073131283262</v>
          </cell>
          <cell r="AF604">
            <v>97.725641515666339</v>
          </cell>
          <cell r="AG604">
            <v>102.56084230661932</v>
          </cell>
          <cell r="AH604">
            <v>111.44599547199718</v>
          </cell>
        </row>
        <row r="605">
          <cell r="AD605">
            <v>92.352182027677401</v>
          </cell>
          <cell r="AE605">
            <v>94.613963284390607</v>
          </cell>
          <cell r="AF605">
            <v>97.748540032283856</v>
          </cell>
          <cell r="AG605">
            <v>102.58522290409475</v>
          </cell>
          <cell r="AH605">
            <v>111.47099954516365</v>
          </cell>
        </row>
        <row r="606">
          <cell r="AD606">
            <v>92.375871759353331</v>
          </cell>
          <cell r="AE606">
            <v>94.637853437497967</v>
          </cell>
          <cell r="AF606">
            <v>97.771438548901372</v>
          </cell>
          <cell r="AG606">
            <v>102.60960350157019</v>
          </cell>
          <cell r="AH606">
            <v>111.49600361833012</v>
          </cell>
        </row>
        <row r="607">
          <cell r="AD607">
            <v>92.399561491029274</v>
          </cell>
          <cell r="AE607">
            <v>94.661743590605326</v>
          </cell>
          <cell r="AF607">
            <v>97.794337065518874</v>
          </cell>
          <cell r="AG607">
            <v>102.63398409904562</v>
          </cell>
          <cell r="AH607">
            <v>111.52100769149659</v>
          </cell>
        </row>
        <row r="608">
          <cell r="AD608">
            <v>92.423251222705204</v>
          </cell>
          <cell r="AE608">
            <v>94.685633743712685</v>
          </cell>
          <cell r="AF608">
            <v>97.817235582136391</v>
          </cell>
          <cell r="AG608">
            <v>102.65836469652106</v>
          </cell>
          <cell r="AH608">
            <v>111.54601176466306</v>
          </cell>
        </row>
        <row r="609">
          <cell r="AD609">
            <v>92.446940954381148</v>
          </cell>
          <cell r="AE609">
            <v>94.709523896820045</v>
          </cell>
          <cell r="AF609">
            <v>97.840134098753893</v>
          </cell>
          <cell r="AG609">
            <v>102.68274529399649</v>
          </cell>
          <cell r="AH609">
            <v>111.57101583782955</v>
          </cell>
        </row>
        <row r="610">
          <cell r="AD610">
            <v>92.470630686057078</v>
          </cell>
          <cell r="AE610">
            <v>94.733414049927404</v>
          </cell>
          <cell r="AF610">
            <v>97.863032615371409</v>
          </cell>
          <cell r="AG610">
            <v>102.70712589147193</v>
          </cell>
          <cell r="AH610">
            <v>111.59601991099602</v>
          </cell>
        </row>
        <row r="611">
          <cell r="AD611">
            <v>92.494320417733022</v>
          </cell>
          <cell r="AE611">
            <v>94.757304203034764</v>
          </cell>
          <cell r="AF611">
            <v>97.885931131988926</v>
          </cell>
          <cell r="AG611">
            <v>102.73150648894736</v>
          </cell>
          <cell r="AH611">
            <v>111.62102398416249</v>
          </cell>
        </row>
        <row r="612">
          <cell r="AD612">
            <v>92.518010149408951</v>
          </cell>
          <cell r="AE612">
            <v>94.781194356142109</v>
          </cell>
          <cell r="AF612">
            <v>97.908829648606428</v>
          </cell>
          <cell r="AG612">
            <v>102.7558870864228</v>
          </cell>
          <cell r="AH612">
            <v>111.64602805732896</v>
          </cell>
        </row>
        <row r="613">
          <cell r="AD613">
            <v>92.541699881084895</v>
          </cell>
          <cell r="AE613">
            <v>94.805084509249468</v>
          </cell>
          <cell r="AF613">
            <v>97.931728165223944</v>
          </cell>
          <cell r="AG613">
            <v>102.78026768389823</v>
          </cell>
          <cell r="AH613">
            <v>111.67103213049543</v>
          </cell>
        </row>
        <row r="614">
          <cell r="AD614">
            <v>92.565389612760825</v>
          </cell>
          <cell r="AE614">
            <v>94.828974662356828</v>
          </cell>
          <cell r="AF614">
            <v>97.954626681841447</v>
          </cell>
          <cell r="AG614">
            <v>102.80464828137367</v>
          </cell>
          <cell r="AH614">
            <v>111.6960362036619</v>
          </cell>
        </row>
        <row r="615">
          <cell r="AD615">
            <v>92.589079344436769</v>
          </cell>
          <cell r="AE615">
            <v>94.852864815464187</v>
          </cell>
          <cell r="AF615">
            <v>97.977525198458963</v>
          </cell>
          <cell r="AG615">
            <v>102.8290288788491</v>
          </cell>
          <cell r="AH615">
            <v>111.72104027682838</v>
          </cell>
        </row>
        <row r="616">
          <cell r="AD616">
            <v>92.612769076112713</v>
          </cell>
          <cell r="AE616">
            <v>94.876754968571547</v>
          </cell>
          <cell r="AF616">
            <v>98.000405188466999</v>
          </cell>
          <cell r="AG616">
            <v>102.85340947632454</v>
          </cell>
          <cell r="AH616">
            <v>111.74604434999485</v>
          </cell>
        </row>
        <row r="617">
          <cell r="AD617">
            <v>92.636458807788642</v>
          </cell>
          <cell r="AE617">
            <v>94.900645121678906</v>
          </cell>
          <cell r="AF617">
            <v>98.022302485401042</v>
          </cell>
          <cell r="AG617">
            <v>102.87779007379997</v>
          </cell>
          <cell r="AH617">
            <v>111.77104842316133</v>
          </cell>
        </row>
        <row r="618">
          <cell r="AD618">
            <v>92.660148539464586</v>
          </cell>
          <cell r="AE618">
            <v>94.924535274786265</v>
          </cell>
          <cell r="AF618">
            <v>98.044199782335085</v>
          </cell>
          <cell r="AG618">
            <v>102.90217067127541</v>
          </cell>
          <cell r="AH618">
            <v>111.7960524963278</v>
          </cell>
        </row>
        <row r="619">
          <cell r="AD619">
            <v>92.683838271140516</v>
          </cell>
          <cell r="AE619">
            <v>94.948425427893611</v>
          </cell>
          <cell r="AF619">
            <v>98.066097079269127</v>
          </cell>
          <cell r="AG619">
            <v>102.92655126875084</v>
          </cell>
          <cell r="AH619">
            <v>111.82105656949427</v>
          </cell>
        </row>
        <row r="620">
          <cell r="AD620">
            <v>92.70752800281646</v>
          </cell>
          <cell r="AE620">
            <v>94.97231558100097</v>
          </cell>
          <cell r="AF620">
            <v>98.08799437620317</v>
          </cell>
          <cell r="AG620">
            <v>102.95093186622628</v>
          </cell>
          <cell r="AH620">
            <v>111.84606064266075</v>
          </cell>
        </row>
        <row r="621">
          <cell r="AD621">
            <v>92.73121773449239</v>
          </cell>
          <cell r="AE621">
            <v>94.996205734108329</v>
          </cell>
          <cell r="AF621">
            <v>98.109891673137213</v>
          </cell>
          <cell r="AG621">
            <v>102.97531246370173</v>
          </cell>
          <cell r="AH621">
            <v>111.87106471582722</v>
          </cell>
        </row>
        <row r="622">
          <cell r="AD622">
            <v>92.754907466168333</v>
          </cell>
          <cell r="AE622">
            <v>95.019617650928339</v>
          </cell>
          <cell r="AF622">
            <v>98.131788970071256</v>
          </cell>
          <cell r="AG622">
            <v>102.99969306117715</v>
          </cell>
          <cell r="AH622">
            <v>111.89606878899369</v>
          </cell>
        </row>
        <row r="623">
          <cell r="AD623">
            <v>92.778597197844263</v>
          </cell>
          <cell r="AE623">
            <v>95.0429392728729</v>
          </cell>
          <cell r="AF623">
            <v>98.153686267005298</v>
          </cell>
          <cell r="AG623">
            <v>103.02142624664008</v>
          </cell>
          <cell r="AH623">
            <v>111.92107286216016</v>
          </cell>
        </row>
        <row r="624">
          <cell r="AD624">
            <v>92.802286929520207</v>
          </cell>
          <cell r="AE624">
            <v>95.066260894817461</v>
          </cell>
          <cell r="AF624">
            <v>98.175583563939341</v>
          </cell>
          <cell r="AG624">
            <v>103.04312567763559</v>
          </cell>
          <cell r="AH624">
            <v>111.94607693532663</v>
          </cell>
        </row>
        <row r="625">
          <cell r="AD625">
            <v>92.825976661196137</v>
          </cell>
          <cell r="AE625">
            <v>95.089582516762022</v>
          </cell>
          <cell r="AF625">
            <v>98.197480860873384</v>
          </cell>
          <cell r="AG625">
            <v>103.0648251086311</v>
          </cell>
          <cell r="AH625">
            <v>111.97108100849312</v>
          </cell>
        </row>
        <row r="626">
          <cell r="AD626">
            <v>92.849666392872081</v>
          </cell>
          <cell r="AE626">
            <v>95.112904138706568</v>
          </cell>
          <cell r="AF626">
            <v>98.219378157807427</v>
          </cell>
          <cell r="AG626">
            <v>103.08652453962659</v>
          </cell>
          <cell r="AH626">
            <v>111.99608508165959</v>
          </cell>
        </row>
        <row r="627">
          <cell r="AD627">
            <v>92.87335612454801</v>
          </cell>
          <cell r="AE627">
            <v>95.136225760651129</v>
          </cell>
          <cell r="AF627">
            <v>98.241275454741469</v>
          </cell>
          <cell r="AG627">
            <v>103.10822397062211</v>
          </cell>
          <cell r="AH627">
            <v>112.01985623175406</v>
          </cell>
        </row>
        <row r="628">
          <cell r="AD628">
            <v>92.897045856223954</v>
          </cell>
          <cell r="AE628">
            <v>95.15954738259569</v>
          </cell>
          <cell r="AF628">
            <v>98.263172751675512</v>
          </cell>
          <cell r="AG628">
            <v>103.1299234016176</v>
          </cell>
          <cell r="AH628">
            <v>112.04339850623988</v>
          </cell>
        </row>
        <row r="629">
          <cell r="AD629">
            <v>92.920735587899898</v>
          </cell>
          <cell r="AE629">
            <v>95.182869004540251</v>
          </cell>
          <cell r="AF629">
            <v>98.285070048609555</v>
          </cell>
          <cell r="AG629">
            <v>103.15162283261311</v>
          </cell>
          <cell r="AH629">
            <v>112.0669407807257</v>
          </cell>
        </row>
        <row r="630">
          <cell r="AD630">
            <v>92.944425319575828</v>
          </cell>
          <cell r="AE630">
            <v>95.206190626484812</v>
          </cell>
          <cell r="AF630">
            <v>98.306967345543598</v>
          </cell>
          <cell r="AG630">
            <v>103.17332226360861</v>
          </cell>
          <cell r="AH630">
            <v>112.09048305521152</v>
          </cell>
        </row>
        <row r="631">
          <cell r="AD631">
            <v>92.968115051251772</v>
          </cell>
          <cell r="AE631">
            <v>95.229512248429359</v>
          </cell>
          <cell r="AF631">
            <v>98.32886464247764</v>
          </cell>
          <cell r="AG631">
            <v>103.19502169460412</v>
          </cell>
          <cell r="AH631">
            <v>112.11402532969736</v>
          </cell>
        </row>
        <row r="632">
          <cell r="AD632">
            <v>92.991804782927701</v>
          </cell>
          <cell r="AE632">
            <v>95.252833870373919</v>
          </cell>
          <cell r="AF632">
            <v>98.350761939411683</v>
          </cell>
          <cell r="AG632">
            <v>103.21672112559963</v>
          </cell>
          <cell r="AH632">
            <v>112.13756760418318</v>
          </cell>
        </row>
        <row r="633">
          <cell r="AD633">
            <v>93.014456893313053</v>
          </cell>
          <cell r="AE633">
            <v>95.27615549231848</v>
          </cell>
          <cell r="AF633">
            <v>98.372659236345726</v>
          </cell>
          <cell r="AG633">
            <v>103.23842055659513</v>
          </cell>
          <cell r="AH633">
            <v>112.161109878669</v>
          </cell>
        </row>
        <row r="634">
          <cell r="AD634">
            <v>93.036560194527354</v>
          </cell>
          <cell r="AE634">
            <v>95.299477114263041</v>
          </cell>
          <cell r="AF634">
            <v>98.394556533279768</v>
          </cell>
          <cell r="AG634">
            <v>103.26011998759064</v>
          </cell>
          <cell r="AH634">
            <v>112.18465215315481</v>
          </cell>
        </row>
        <row r="635">
          <cell r="AD635">
            <v>93.058663495741655</v>
          </cell>
          <cell r="AE635">
            <v>95.322798736207602</v>
          </cell>
          <cell r="AF635">
            <v>98.416453830213811</v>
          </cell>
          <cell r="AG635">
            <v>103.28181941858614</v>
          </cell>
          <cell r="AH635">
            <v>112.20819442764063</v>
          </cell>
        </row>
        <row r="636">
          <cell r="AD636">
            <v>93.080766796955956</v>
          </cell>
          <cell r="AE636">
            <v>95.346120358152149</v>
          </cell>
          <cell r="AF636">
            <v>98.438351127147854</v>
          </cell>
          <cell r="AG636">
            <v>103.30351884958165</v>
          </cell>
          <cell r="AH636">
            <v>112.23173670212647</v>
          </cell>
        </row>
        <row r="637">
          <cell r="AD637">
            <v>93.102870098170257</v>
          </cell>
          <cell r="AE637">
            <v>95.36944198009671</v>
          </cell>
          <cell r="AF637">
            <v>98.460248424081897</v>
          </cell>
          <cell r="AG637">
            <v>103.32521828057715</v>
          </cell>
          <cell r="AH637">
            <v>112.25527897661229</v>
          </cell>
        </row>
        <row r="638">
          <cell r="AD638">
            <v>93.124973399384572</v>
          </cell>
          <cell r="AE638">
            <v>95.392763602041271</v>
          </cell>
          <cell r="AF638">
            <v>98.482145721015939</v>
          </cell>
          <cell r="AG638">
            <v>103.34691771157266</v>
          </cell>
          <cell r="AH638">
            <v>112.27882125109811</v>
          </cell>
        </row>
        <row r="639">
          <cell r="AD639">
            <v>93.147076700598873</v>
          </cell>
          <cell r="AE639">
            <v>95.416085223985831</v>
          </cell>
          <cell r="AF639">
            <v>98.504043017949982</v>
          </cell>
          <cell r="AG639">
            <v>103.36861714256817</v>
          </cell>
          <cell r="AH639">
            <v>112.30236352558393</v>
          </cell>
        </row>
        <row r="640">
          <cell r="AD640">
            <v>93.169180001813174</v>
          </cell>
          <cell r="AE640">
            <v>95.439406845930392</v>
          </cell>
          <cell r="AF640">
            <v>98.525940314884025</v>
          </cell>
          <cell r="AG640">
            <v>103.39031657356367</v>
          </cell>
          <cell r="AH640">
            <v>112.32590580006975</v>
          </cell>
        </row>
        <row r="641">
          <cell r="AD641">
            <v>93.191283303027475</v>
          </cell>
          <cell r="AE641">
            <v>95.462728467874939</v>
          </cell>
          <cell r="AF641">
            <v>98.547837611818068</v>
          </cell>
          <cell r="AG641">
            <v>103.41201600455918</v>
          </cell>
          <cell r="AH641">
            <v>112.34944807455558</v>
          </cell>
        </row>
        <row r="642">
          <cell r="AD642">
            <v>93.213386604241791</v>
          </cell>
          <cell r="AE642">
            <v>95.4860500898195</v>
          </cell>
          <cell r="AF642">
            <v>98.56973490875211</v>
          </cell>
          <cell r="AG642">
            <v>103.43371543555467</v>
          </cell>
          <cell r="AH642">
            <v>112.3729903490414</v>
          </cell>
        </row>
        <row r="643">
          <cell r="AD643">
            <v>93.235489905456092</v>
          </cell>
          <cell r="AE643">
            <v>95.509371711764061</v>
          </cell>
          <cell r="AF643">
            <v>98.591632205686153</v>
          </cell>
          <cell r="AG643">
            <v>103.45541486655019</v>
          </cell>
          <cell r="AH643">
            <v>112.39653262352722</v>
          </cell>
        </row>
        <row r="644">
          <cell r="AD644">
            <v>93.257593206670393</v>
          </cell>
          <cell r="AE644">
            <v>95.532693333708622</v>
          </cell>
          <cell r="AF644">
            <v>98.613529502620196</v>
          </cell>
          <cell r="AG644">
            <v>103.47711429754568</v>
          </cell>
          <cell r="AH644">
            <v>112.42007489801304</v>
          </cell>
        </row>
        <row r="645">
          <cell r="AD645">
            <v>93.279696507884694</v>
          </cell>
          <cell r="AE645">
            <v>95.556014955653183</v>
          </cell>
          <cell r="AF645">
            <v>98.635426799554239</v>
          </cell>
          <cell r="AG645">
            <v>103.49881372854119</v>
          </cell>
          <cell r="AH645">
            <v>112.44361717249886</v>
          </cell>
        </row>
        <row r="646">
          <cell r="AD646">
            <v>93.301799809098995</v>
          </cell>
          <cell r="AE646">
            <v>95.579336577597729</v>
          </cell>
          <cell r="AF646">
            <v>98.657324096488281</v>
          </cell>
          <cell r="AG646">
            <v>103.52051315953669</v>
          </cell>
          <cell r="AH646">
            <v>112.4671594469847</v>
          </cell>
        </row>
        <row r="647">
          <cell r="AD647">
            <v>93.32390311031331</v>
          </cell>
          <cell r="AE647">
            <v>95.60265819954229</v>
          </cell>
          <cell r="AF647">
            <v>98.679221393422324</v>
          </cell>
          <cell r="AG647">
            <v>103.5422125905322</v>
          </cell>
          <cell r="AH647">
            <v>112.49070172147051</v>
          </cell>
        </row>
        <row r="648">
          <cell r="AD648">
            <v>93.346006411527611</v>
          </cell>
          <cell r="AE648">
            <v>95.625979821486851</v>
          </cell>
          <cell r="AF648">
            <v>98.701118690356367</v>
          </cell>
          <cell r="AG648">
            <v>103.56391202152771</v>
          </cell>
          <cell r="AH648">
            <v>112.51424399595633</v>
          </cell>
        </row>
        <row r="649">
          <cell r="AD649">
            <v>93.368109712741912</v>
          </cell>
          <cell r="AE649">
            <v>95.649301443431412</v>
          </cell>
          <cell r="AF649">
            <v>98.72301598729041</v>
          </cell>
          <cell r="AG649">
            <v>103.58561145252321</v>
          </cell>
          <cell r="AH649">
            <v>112.53778627044215</v>
          </cell>
        </row>
        <row r="650">
          <cell r="AD650">
            <v>93.390213013956213</v>
          </cell>
          <cell r="AE650">
            <v>95.672623065375973</v>
          </cell>
          <cell r="AF650">
            <v>98.744913284224452</v>
          </cell>
          <cell r="AG650">
            <v>103.60731088351872</v>
          </cell>
          <cell r="AH650">
            <v>112.56132854492797</v>
          </cell>
        </row>
        <row r="651">
          <cell r="AD651">
            <v>93.412316315170528</v>
          </cell>
          <cell r="AE651">
            <v>95.695944687320534</v>
          </cell>
          <cell r="AF651">
            <v>98.766810581158495</v>
          </cell>
          <cell r="AG651">
            <v>103.62901031451422</v>
          </cell>
          <cell r="AH651">
            <v>112.58487081941379</v>
          </cell>
        </row>
        <row r="652">
          <cell r="AD652">
            <v>93.43441961638483</v>
          </cell>
          <cell r="AE652">
            <v>95.71926630926508</v>
          </cell>
          <cell r="AF652">
            <v>98.788707878092538</v>
          </cell>
          <cell r="AG652">
            <v>103.65070974550973</v>
          </cell>
          <cell r="AH652">
            <v>112.60841309389963</v>
          </cell>
        </row>
        <row r="653">
          <cell r="AD653">
            <v>93.456522917599131</v>
          </cell>
          <cell r="AE653">
            <v>95.742587931209641</v>
          </cell>
          <cell r="AF653">
            <v>98.810605175026581</v>
          </cell>
          <cell r="AG653">
            <v>103.67240917650523</v>
          </cell>
          <cell r="AH653">
            <v>112.63195536838545</v>
          </cell>
        </row>
        <row r="654">
          <cell r="AD654">
            <v>93.478626218813432</v>
          </cell>
          <cell r="AE654">
            <v>95.765909553154202</v>
          </cell>
          <cell r="AF654">
            <v>98.832502471960623</v>
          </cell>
          <cell r="AG654">
            <v>103.69410860750074</v>
          </cell>
          <cell r="AH654">
            <v>112.65549764287127</v>
          </cell>
        </row>
        <row r="655">
          <cell r="AD655">
            <v>93.500729520027747</v>
          </cell>
          <cell r="AE655">
            <v>95.789231175098763</v>
          </cell>
          <cell r="AF655">
            <v>98.854399768894666</v>
          </cell>
          <cell r="AG655">
            <v>103.71580803849625</v>
          </cell>
          <cell r="AH655">
            <v>112.67903991735709</v>
          </cell>
        </row>
        <row r="656">
          <cell r="AD656">
            <v>93.522832821242048</v>
          </cell>
          <cell r="AE656">
            <v>95.812552797043324</v>
          </cell>
          <cell r="AF656">
            <v>98.876297065828709</v>
          </cell>
          <cell r="AG656">
            <v>103.73750746949175</v>
          </cell>
          <cell r="AH656">
            <v>112.70258219184291</v>
          </cell>
        </row>
        <row r="657">
          <cell r="AD657">
            <v>93.544936122456349</v>
          </cell>
          <cell r="AE657">
            <v>95.835874418987871</v>
          </cell>
          <cell r="AF657">
            <v>98.898194362762752</v>
          </cell>
          <cell r="AG657">
            <v>103.75920690048726</v>
          </cell>
          <cell r="AH657">
            <v>112.72612446632874</v>
          </cell>
        </row>
        <row r="658">
          <cell r="AD658">
            <v>93.56703942367065</v>
          </cell>
          <cell r="AE658">
            <v>95.859196040932432</v>
          </cell>
          <cell r="AF658">
            <v>98.920091659696794</v>
          </cell>
          <cell r="AG658">
            <v>103.78090633148275</v>
          </cell>
          <cell r="AH658">
            <v>112.74966674081456</v>
          </cell>
        </row>
        <row r="659">
          <cell r="AD659">
            <v>93.589142724884951</v>
          </cell>
          <cell r="AE659">
            <v>95.882517662876992</v>
          </cell>
          <cell r="AF659">
            <v>98.941988956630837</v>
          </cell>
          <cell r="AG659">
            <v>103.80260576247827</v>
          </cell>
          <cell r="AH659">
            <v>112.77320901530038</v>
          </cell>
        </row>
        <row r="660">
          <cell r="AD660">
            <v>93.611246026099266</v>
          </cell>
          <cell r="AE660">
            <v>95.905839284821553</v>
          </cell>
          <cell r="AF660">
            <v>98.96388625356488</v>
          </cell>
          <cell r="AG660">
            <v>103.82430519347376</v>
          </cell>
          <cell r="AH660">
            <v>112.7967512897862</v>
          </cell>
        </row>
        <row r="661">
          <cell r="AD661">
            <v>93.633349327313567</v>
          </cell>
          <cell r="AE661">
            <v>95.929160906766114</v>
          </cell>
          <cell r="AF661">
            <v>98.985783550498923</v>
          </cell>
          <cell r="AG661">
            <v>103.84600462446927</v>
          </cell>
          <cell r="AH661">
            <v>112.82029356427202</v>
          </cell>
        </row>
        <row r="662">
          <cell r="AD662">
            <v>93.655452628527868</v>
          </cell>
          <cell r="AE662">
            <v>95.952482528710661</v>
          </cell>
          <cell r="AF662">
            <v>99.007301686184391</v>
          </cell>
          <cell r="AG662">
            <v>103.86770405546478</v>
          </cell>
          <cell r="AH662">
            <v>112.84383583875785</v>
          </cell>
        </row>
        <row r="663">
          <cell r="AD663">
            <v>93.677555929742169</v>
          </cell>
          <cell r="AE663">
            <v>95.975804150655222</v>
          </cell>
          <cell r="AF663">
            <v>99.028118033845786</v>
          </cell>
          <cell r="AG663">
            <v>103.88940348646028</v>
          </cell>
          <cell r="AH663">
            <v>112.86737811324367</v>
          </cell>
        </row>
        <row r="664">
          <cell r="AD664">
            <v>93.699659230956485</v>
          </cell>
          <cell r="AE664">
            <v>95.999125772599783</v>
          </cell>
          <cell r="AF664">
            <v>99.048934381507181</v>
          </cell>
          <cell r="AG664">
            <v>103.91110291745579</v>
          </cell>
          <cell r="AH664">
            <v>112.89092038772949</v>
          </cell>
        </row>
        <row r="665">
          <cell r="AD665">
            <v>93.721762532170786</v>
          </cell>
          <cell r="AE665">
            <v>96.020621439095706</v>
          </cell>
          <cell r="AF665">
            <v>99.069750729168575</v>
          </cell>
          <cell r="AG665">
            <v>103.93280234845129</v>
          </cell>
          <cell r="AH665">
            <v>112.91446266221531</v>
          </cell>
        </row>
        <row r="666">
          <cell r="AD666">
            <v>93.743865833385087</v>
          </cell>
          <cell r="AE666">
            <v>96.042045992648795</v>
          </cell>
          <cell r="AF666">
            <v>99.09056707682997</v>
          </cell>
          <cell r="AG666">
            <v>103.9545017794468</v>
          </cell>
          <cell r="AH666">
            <v>112.93800493670113</v>
          </cell>
        </row>
        <row r="667">
          <cell r="AD667">
            <v>93.765969134599388</v>
          </cell>
          <cell r="AE667">
            <v>96.063470546201899</v>
          </cell>
          <cell r="AF667">
            <v>99.111383424491365</v>
          </cell>
          <cell r="AG667">
            <v>103.9762012104423</v>
          </cell>
          <cell r="AH667">
            <v>112.96154721118697</v>
          </cell>
        </row>
        <row r="668">
          <cell r="AD668">
            <v>93.788072435813689</v>
          </cell>
          <cell r="AE668">
            <v>96.084895099754988</v>
          </cell>
          <cell r="AF668">
            <v>99.132199772152759</v>
          </cell>
          <cell r="AG668">
            <v>103.99790064143781</v>
          </cell>
          <cell r="AH668">
            <v>112.98508948567279</v>
          </cell>
        </row>
        <row r="669">
          <cell r="AD669">
            <v>93.810175737028004</v>
          </cell>
          <cell r="AE669">
            <v>96.106319653308091</v>
          </cell>
          <cell r="AF669">
            <v>99.153016119814154</v>
          </cell>
          <cell r="AG669">
            <v>104.01862560173025</v>
          </cell>
          <cell r="AH669">
            <v>113.00808264487495</v>
          </cell>
        </row>
        <row r="670">
          <cell r="AD670">
            <v>93.832279038242305</v>
          </cell>
          <cell r="AE670">
            <v>96.12774420686118</v>
          </cell>
          <cell r="AF670">
            <v>99.173832467475549</v>
          </cell>
          <cell r="AG670">
            <v>104.03924618672403</v>
          </cell>
          <cell r="AH670">
            <v>113.03012726158359</v>
          </cell>
        </row>
        <row r="671">
          <cell r="AD671">
            <v>93.854382339456606</v>
          </cell>
          <cell r="AE671">
            <v>96.149168760414284</v>
          </cell>
          <cell r="AF671">
            <v>99.194648815136944</v>
          </cell>
          <cell r="AG671">
            <v>104.05986677171782</v>
          </cell>
          <cell r="AH671">
            <v>113.05217187829223</v>
          </cell>
        </row>
        <row r="672">
          <cell r="AD672">
            <v>93.876485640670907</v>
          </cell>
          <cell r="AE672">
            <v>96.170593313967373</v>
          </cell>
          <cell r="AF672">
            <v>99.215465162798324</v>
          </cell>
          <cell r="AG672">
            <v>104.0804873567116</v>
          </cell>
          <cell r="AH672">
            <v>113.07421649500087</v>
          </cell>
        </row>
        <row r="673">
          <cell r="AD673">
            <v>93.898588941885222</v>
          </cell>
          <cell r="AE673">
            <v>96.192017867520477</v>
          </cell>
          <cell r="AF673">
            <v>99.236281510459719</v>
          </cell>
          <cell r="AG673">
            <v>104.10110794170538</v>
          </cell>
          <cell r="AH673">
            <v>113.09626111170952</v>
          </cell>
        </row>
        <row r="674">
          <cell r="AD674">
            <v>93.920692243099523</v>
          </cell>
          <cell r="AE674">
            <v>96.213442421073566</v>
          </cell>
          <cell r="AF674">
            <v>99.257097858121114</v>
          </cell>
          <cell r="AG674">
            <v>104.12172852669916</v>
          </cell>
          <cell r="AH674">
            <v>113.11830572841816</v>
          </cell>
        </row>
        <row r="675">
          <cell r="AD675">
            <v>93.942795544313825</v>
          </cell>
          <cell r="AE675">
            <v>96.234866974626669</v>
          </cell>
          <cell r="AF675">
            <v>99.277914205782508</v>
          </cell>
          <cell r="AG675">
            <v>104.14234911169294</v>
          </cell>
          <cell r="AH675">
            <v>113.14035034512681</v>
          </cell>
        </row>
        <row r="676">
          <cell r="AD676">
            <v>93.964898845528126</v>
          </cell>
          <cell r="AE676">
            <v>96.256291528179759</v>
          </cell>
          <cell r="AF676">
            <v>99.298730553443903</v>
          </cell>
          <cell r="AG676">
            <v>104.16296969668672</v>
          </cell>
          <cell r="AH676">
            <v>113.16239496183545</v>
          </cell>
        </row>
        <row r="677">
          <cell r="AD677">
            <v>93.987002146742441</v>
          </cell>
          <cell r="AE677">
            <v>96.277716081732862</v>
          </cell>
          <cell r="AF677">
            <v>99.319546901105298</v>
          </cell>
          <cell r="AG677">
            <v>104.18359028168049</v>
          </cell>
          <cell r="AH677">
            <v>113.18443957854409</v>
          </cell>
        </row>
        <row r="678">
          <cell r="AD678">
            <v>94.008495683346354</v>
          </cell>
          <cell r="AE678">
            <v>96.299140635285951</v>
          </cell>
          <cell r="AF678">
            <v>99.340363248766693</v>
          </cell>
          <cell r="AG678">
            <v>104.20421086667427</v>
          </cell>
          <cell r="AH678">
            <v>113.20648419525273</v>
          </cell>
        </row>
        <row r="679">
          <cell r="AD679">
            <v>94.029118792601182</v>
          </cell>
          <cell r="AE679">
            <v>96.320565188839055</v>
          </cell>
          <cell r="AF679">
            <v>99.361179596428087</v>
          </cell>
          <cell r="AG679">
            <v>104.22483145166807</v>
          </cell>
          <cell r="AH679">
            <v>113.22852881196138</v>
          </cell>
        </row>
        <row r="680">
          <cell r="AD680">
            <v>94.049741901855995</v>
          </cell>
          <cell r="AE680">
            <v>96.341989742392144</v>
          </cell>
          <cell r="AF680">
            <v>99.381995944089482</v>
          </cell>
          <cell r="AG680">
            <v>104.24545203666185</v>
          </cell>
          <cell r="AH680">
            <v>113.25057342867002</v>
          </cell>
        </row>
        <row r="681">
          <cell r="AD681">
            <v>94.070365011110823</v>
          </cell>
          <cell r="AE681">
            <v>96.363414295945248</v>
          </cell>
          <cell r="AF681">
            <v>99.402812291750877</v>
          </cell>
          <cell r="AG681">
            <v>104.26607262165562</v>
          </cell>
          <cell r="AH681">
            <v>113.27261804537866</v>
          </cell>
        </row>
        <row r="682">
          <cell r="AD682">
            <v>94.090988120365637</v>
          </cell>
          <cell r="AE682">
            <v>96.384838849498337</v>
          </cell>
          <cell r="AF682">
            <v>99.423628639412271</v>
          </cell>
          <cell r="AG682">
            <v>104.2866932066494</v>
          </cell>
          <cell r="AH682">
            <v>113.2946626620873</v>
          </cell>
        </row>
        <row r="683">
          <cell r="AD683">
            <v>94.111611229620465</v>
          </cell>
          <cell r="AE683">
            <v>96.40626340305144</v>
          </cell>
          <cell r="AF683">
            <v>99.444444987073666</v>
          </cell>
          <cell r="AG683">
            <v>104.30731379164318</v>
          </cell>
          <cell r="AH683">
            <v>113.31670727879595</v>
          </cell>
        </row>
        <row r="684">
          <cell r="AD684">
            <v>94.132234338875293</v>
          </cell>
          <cell r="AE684">
            <v>96.42768795660453</v>
          </cell>
          <cell r="AF684">
            <v>99.465261334735061</v>
          </cell>
          <cell r="AG684">
            <v>104.32793437663696</v>
          </cell>
          <cell r="AH684">
            <v>113.33875189550459</v>
          </cell>
        </row>
        <row r="685">
          <cell r="AD685">
            <v>94.152857448130106</v>
          </cell>
          <cell r="AE685">
            <v>96.449112510157633</v>
          </cell>
          <cell r="AF685">
            <v>99.486077682396441</v>
          </cell>
          <cell r="AG685">
            <v>104.34855496163074</v>
          </cell>
          <cell r="AH685">
            <v>113.36079651221324</v>
          </cell>
        </row>
        <row r="686">
          <cell r="AD686">
            <v>94.173480557384934</v>
          </cell>
          <cell r="AE686">
            <v>96.470537063710722</v>
          </cell>
          <cell r="AF686">
            <v>99.506894030057836</v>
          </cell>
          <cell r="AG686">
            <v>104.36917554662452</v>
          </cell>
          <cell r="AH686">
            <v>113.38284112892188</v>
          </cell>
        </row>
        <row r="687">
          <cell r="AD687">
            <v>94.194103666639748</v>
          </cell>
          <cell r="AE687">
            <v>96.491961617263826</v>
          </cell>
          <cell r="AF687">
            <v>99.527710377719231</v>
          </cell>
          <cell r="AG687">
            <v>104.38979613161831</v>
          </cell>
          <cell r="AH687">
            <v>113.40488574563052</v>
          </cell>
        </row>
        <row r="688">
          <cell r="AD688">
            <v>94.214726775894576</v>
          </cell>
          <cell r="AE688">
            <v>96.513386170816915</v>
          </cell>
          <cell r="AF688">
            <v>99.548526725380626</v>
          </cell>
          <cell r="AG688">
            <v>104.41041671661209</v>
          </cell>
          <cell r="AH688">
            <v>113.42693036233916</v>
          </cell>
        </row>
        <row r="689">
          <cell r="AD689">
            <v>94.23534988514939</v>
          </cell>
          <cell r="AE689">
            <v>96.534810724370018</v>
          </cell>
          <cell r="AF689">
            <v>99.56934307304202</v>
          </cell>
          <cell r="AG689">
            <v>104.43103730160587</v>
          </cell>
          <cell r="AH689">
            <v>113.4489749790478</v>
          </cell>
        </row>
        <row r="690">
          <cell r="AD690">
            <v>94.255972994404218</v>
          </cell>
          <cell r="AE690">
            <v>96.556235277923108</v>
          </cell>
          <cell r="AF690">
            <v>99.590159420703415</v>
          </cell>
          <cell r="AG690">
            <v>104.45165788659965</v>
          </cell>
          <cell r="AH690">
            <v>113.47101959575645</v>
          </cell>
        </row>
        <row r="691">
          <cell r="AD691">
            <v>94.276596103659031</v>
          </cell>
          <cell r="AE691">
            <v>96.577659831476211</v>
          </cell>
          <cell r="AF691">
            <v>99.61097576836481</v>
          </cell>
          <cell r="AG691">
            <v>104.47227847159343</v>
          </cell>
          <cell r="AH691">
            <v>113.49306421246509</v>
          </cell>
        </row>
        <row r="692">
          <cell r="AD692">
            <v>94.297219212913859</v>
          </cell>
          <cell r="AE692">
            <v>96.5990843850293</v>
          </cell>
          <cell r="AF692">
            <v>99.631792116026205</v>
          </cell>
          <cell r="AG692">
            <v>104.49289905658721</v>
          </cell>
          <cell r="AH692">
            <v>113.51510882917374</v>
          </cell>
        </row>
        <row r="693">
          <cell r="AD693">
            <v>94.317842322168687</v>
          </cell>
          <cell r="AE693">
            <v>96.620508938582404</v>
          </cell>
          <cell r="AF693">
            <v>99.652608463687599</v>
          </cell>
          <cell r="AG693">
            <v>104.51351964158098</v>
          </cell>
          <cell r="AH693">
            <v>113.53715344588238</v>
          </cell>
        </row>
        <row r="694">
          <cell r="AD694">
            <v>94.338465431423501</v>
          </cell>
          <cell r="AE694">
            <v>96.641933492135493</v>
          </cell>
          <cell r="AF694">
            <v>99.673424811348994</v>
          </cell>
          <cell r="AG694">
            <v>104.53414022657476</v>
          </cell>
          <cell r="AH694">
            <v>113.55919806259102</v>
          </cell>
        </row>
        <row r="695">
          <cell r="AD695">
            <v>94.359088540678329</v>
          </cell>
          <cell r="AE695">
            <v>96.663358045688597</v>
          </cell>
          <cell r="AF695">
            <v>99.694241159010389</v>
          </cell>
          <cell r="AG695">
            <v>104.55476081156856</v>
          </cell>
          <cell r="AH695">
            <v>113.58124267929966</v>
          </cell>
        </row>
        <row r="696">
          <cell r="AD696">
            <v>94.379711649933142</v>
          </cell>
          <cell r="AE696">
            <v>96.684782599241686</v>
          </cell>
          <cell r="AF696">
            <v>99.715057506671783</v>
          </cell>
          <cell r="AG696">
            <v>104.57538139656234</v>
          </cell>
          <cell r="AH696">
            <v>113.6032872960083</v>
          </cell>
        </row>
        <row r="697">
          <cell r="AD697">
            <v>94.40033475918797</v>
          </cell>
          <cell r="AE697">
            <v>96.706207152794789</v>
          </cell>
          <cell r="AF697">
            <v>99.735873854333178</v>
          </cell>
          <cell r="AG697">
            <v>104.59600198155611</v>
          </cell>
          <cell r="AH697">
            <v>113.62533191271694</v>
          </cell>
        </row>
        <row r="698">
          <cell r="AD698">
            <v>94.420957868442784</v>
          </cell>
          <cell r="AE698">
            <v>96.727631706347879</v>
          </cell>
          <cell r="AF698">
            <v>99.756690201994573</v>
          </cell>
          <cell r="AG698">
            <v>104.61662256654989</v>
          </cell>
          <cell r="AH698">
            <v>113.6473765294256</v>
          </cell>
        </row>
        <row r="699">
          <cell r="AD699">
            <v>94.441580977697612</v>
          </cell>
          <cell r="AE699">
            <v>96.749056259900982</v>
          </cell>
          <cell r="AF699">
            <v>99.777506549655953</v>
          </cell>
          <cell r="AG699">
            <v>104.63724315154367</v>
          </cell>
          <cell r="AH699">
            <v>113.66942114613424</v>
          </cell>
        </row>
        <row r="700">
          <cell r="AD700">
            <v>94.462204086952426</v>
          </cell>
          <cell r="AE700">
            <v>96.770480813454071</v>
          </cell>
          <cell r="AF700">
            <v>99.798322897317348</v>
          </cell>
          <cell r="AG700">
            <v>104.65786373653745</v>
          </cell>
          <cell r="AH700">
            <v>113.69146576284288</v>
          </cell>
        </row>
        <row r="701">
          <cell r="AD701">
            <v>94.482827196207253</v>
          </cell>
          <cell r="AE701">
            <v>96.791905367007175</v>
          </cell>
          <cell r="AF701">
            <v>99.819139244978743</v>
          </cell>
          <cell r="AG701">
            <v>104.67848432153123</v>
          </cell>
          <cell r="AH701">
            <v>113.71351037955152</v>
          </cell>
        </row>
        <row r="702">
          <cell r="AD702">
            <v>94.503450305462067</v>
          </cell>
          <cell r="AE702">
            <v>96.813329920560278</v>
          </cell>
          <cell r="AF702">
            <v>99.839955592640138</v>
          </cell>
          <cell r="AG702">
            <v>104.69910490652501</v>
          </cell>
          <cell r="AH702">
            <v>113.73555499626016</v>
          </cell>
        </row>
        <row r="703">
          <cell r="AD703">
            <v>94.524073414716895</v>
          </cell>
          <cell r="AE703">
            <v>96.834754474113367</v>
          </cell>
          <cell r="AF703">
            <v>99.860771940301532</v>
          </cell>
          <cell r="AG703">
            <v>104.7197254915188</v>
          </cell>
          <cell r="AH703">
            <v>113.7575996129688</v>
          </cell>
        </row>
        <row r="704">
          <cell r="AD704">
            <v>94.544696523971723</v>
          </cell>
          <cell r="AE704">
            <v>96.856179027666471</v>
          </cell>
          <cell r="AF704">
            <v>99.881588287962927</v>
          </cell>
          <cell r="AG704">
            <v>104.74034607651258</v>
          </cell>
          <cell r="AH704">
            <v>113.77964422967746</v>
          </cell>
        </row>
        <row r="705">
          <cell r="AD705">
            <v>94.565319633226537</v>
          </cell>
          <cell r="AE705">
            <v>96.87760358121956</v>
          </cell>
          <cell r="AF705">
            <v>99.902404635624322</v>
          </cell>
          <cell r="AG705">
            <v>104.76096666150636</v>
          </cell>
          <cell r="AH705">
            <v>113.8016888463861</v>
          </cell>
        </row>
        <row r="706">
          <cell r="AD706">
            <v>94.585942742481365</v>
          </cell>
          <cell r="AE706">
            <v>96.899028134772664</v>
          </cell>
          <cell r="AF706">
            <v>99.923220983285717</v>
          </cell>
          <cell r="AG706">
            <v>104.78158724650014</v>
          </cell>
          <cell r="AH706">
            <v>113.82373346309474</v>
          </cell>
        </row>
        <row r="707">
          <cell r="AD707">
            <v>94.606565851736178</v>
          </cell>
          <cell r="AE707">
            <v>96.920452688325753</v>
          </cell>
          <cell r="AF707">
            <v>99.944037330947111</v>
          </cell>
          <cell r="AG707">
            <v>104.80220783149392</v>
          </cell>
          <cell r="AH707">
            <v>113.84577807980338</v>
          </cell>
        </row>
        <row r="708">
          <cell r="AD708">
            <v>94.627188960991006</v>
          </cell>
          <cell r="AE708">
            <v>96.941877241878856</v>
          </cell>
          <cell r="AF708">
            <v>99.964853678608506</v>
          </cell>
          <cell r="AG708">
            <v>104.8228284164877</v>
          </cell>
          <cell r="AH708">
            <v>113.86782269651202</v>
          </cell>
        </row>
        <row r="709">
          <cell r="AD709">
            <v>94.64781207024582</v>
          </cell>
          <cell r="AE709">
            <v>96.963301795431946</v>
          </cell>
          <cell r="AF709">
            <v>99.985670026269901</v>
          </cell>
          <cell r="AG709">
            <v>104.84344900148147</v>
          </cell>
          <cell r="AH709">
            <v>113.88986731322066</v>
          </cell>
        </row>
        <row r="710">
          <cell r="AD710">
            <v>94.668435179500648</v>
          </cell>
          <cell r="AE710">
            <v>96.984726348985049</v>
          </cell>
          <cell r="AF710">
            <v>100.00628670579708</v>
          </cell>
          <cell r="AG710">
            <v>104.86406958647527</v>
          </cell>
          <cell r="AH710">
            <v>113.9119119299293</v>
          </cell>
        </row>
        <row r="711">
          <cell r="AD711">
            <v>94.689058288755461</v>
          </cell>
          <cell r="AE711">
            <v>97.005454257414542</v>
          </cell>
          <cell r="AF711">
            <v>100.02646226997257</v>
          </cell>
          <cell r="AG711">
            <v>104.88469017146905</v>
          </cell>
          <cell r="AH711">
            <v>113.93395654663796</v>
          </cell>
        </row>
        <row r="712">
          <cell r="AD712">
            <v>94.709681398010289</v>
          </cell>
          <cell r="AE712">
            <v>97.024452287272069</v>
          </cell>
          <cell r="AF712">
            <v>100.04663783414806</v>
          </cell>
          <cell r="AG712">
            <v>104.90531075646282</v>
          </cell>
          <cell r="AH712">
            <v>113.9560011633466</v>
          </cell>
        </row>
        <row r="713">
          <cell r="AD713">
            <v>94.730304507265117</v>
          </cell>
          <cell r="AE713">
            <v>97.043450317129583</v>
          </cell>
          <cell r="AF713">
            <v>100.06681339832355</v>
          </cell>
          <cell r="AG713">
            <v>104.9259313414566</v>
          </cell>
          <cell r="AH713">
            <v>113.97804578005524</v>
          </cell>
        </row>
        <row r="714">
          <cell r="AD714">
            <v>94.750927616519931</v>
          </cell>
          <cell r="AE714">
            <v>97.062448346987111</v>
          </cell>
          <cell r="AF714">
            <v>100.08698896249903</v>
          </cell>
          <cell r="AG714">
            <v>104.94655192645038</v>
          </cell>
          <cell r="AH714">
            <v>114.00008567124907</v>
          </cell>
        </row>
        <row r="715">
          <cell r="AD715">
            <v>94.771550725774759</v>
          </cell>
          <cell r="AE715">
            <v>97.081446376844625</v>
          </cell>
          <cell r="AF715">
            <v>100.10716452667452</v>
          </cell>
          <cell r="AG715">
            <v>104.96717251144416</v>
          </cell>
          <cell r="AH715">
            <v>114.02097789977064</v>
          </cell>
        </row>
        <row r="716">
          <cell r="AD716">
            <v>94.792173835029573</v>
          </cell>
          <cell r="AE716">
            <v>97.100444406702152</v>
          </cell>
          <cell r="AF716">
            <v>100.12734009085001</v>
          </cell>
          <cell r="AG716">
            <v>104.98779309643794</v>
          </cell>
          <cell r="AH716">
            <v>114.04187012829223</v>
          </cell>
        </row>
        <row r="717">
          <cell r="AD717">
            <v>94.812796944284401</v>
          </cell>
          <cell r="AE717">
            <v>97.11944243655968</v>
          </cell>
          <cell r="AF717">
            <v>100.1475156550255</v>
          </cell>
          <cell r="AG717">
            <v>105.00803400805998</v>
          </cell>
          <cell r="AH717">
            <v>114.06276235681381</v>
          </cell>
        </row>
        <row r="718">
          <cell r="AD718">
            <v>94.833420053539214</v>
          </cell>
          <cell r="AE718">
            <v>97.138440466417194</v>
          </cell>
          <cell r="AF718">
            <v>100.16769121920098</v>
          </cell>
          <cell r="AG718">
            <v>105.02772407445786</v>
          </cell>
          <cell r="AH718">
            <v>114.08365458533538</v>
          </cell>
        </row>
        <row r="719">
          <cell r="AD719">
            <v>94.854043162794042</v>
          </cell>
          <cell r="AE719">
            <v>97.157438496274722</v>
          </cell>
          <cell r="AF719">
            <v>100.18786678337646</v>
          </cell>
          <cell r="AG719">
            <v>105.04741414085576</v>
          </cell>
          <cell r="AH719">
            <v>114.10454681385697</v>
          </cell>
        </row>
        <row r="720">
          <cell r="AD720">
            <v>94.874666272048856</v>
          </cell>
          <cell r="AE720">
            <v>97.176436526132235</v>
          </cell>
          <cell r="AF720">
            <v>100.20804234755195</v>
          </cell>
          <cell r="AG720">
            <v>105.06710420725365</v>
          </cell>
          <cell r="AH720">
            <v>114.12543904237855</v>
          </cell>
        </row>
        <row r="721">
          <cell r="AD721">
            <v>94.895289381303684</v>
          </cell>
          <cell r="AE721">
            <v>97.195434555989763</v>
          </cell>
          <cell r="AF721">
            <v>100.22821791172744</v>
          </cell>
          <cell r="AG721">
            <v>105.08679427365155</v>
          </cell>
          <cell r="AH721">
            <v>114.14633127090013</v>
          </cell>
        </row>
        <row r="722">
          <cell r="AD722">
            <v>94.915912490558497</v>
          </cell>
          <cell r="AE722">
            <v>97.214432585847291</v>
          </cell>
          <cell r="AF722">
            <v>100.24839347590293</v>
          </cell>
          <cell r="AG722">
            <v>105.10648434004945</v>
          </cell>
          <cell r="AH722">
            <v>114.16722349942171</v>
          </cell>
        </row>
        <row r="723">
          <cell r="AD723">
            <v>94.936535599813325</v>
          </cell>
          <cell r="AE723">
            <v>97.233430615704805</v>
          </cell>
          <cell r="AF723">
            <v>100.26856904007842</v>
          </cell>
          <cell r="AG723">
            <v>105.12617440644733</v>
          </cell>
          <cell r="AH723">
            <v>114.18811572794328</v>
          </cell>
        </row>
        <row r="724">
          <cell r="AD724">
            <v>94.957158709068153</v>
          </cell>
          <cell r="AE724">
            <v>97.252428645562333</v>
          </cell>
          <cell r="AF724">
            <v>100.28874460425391</v>
          </cell>
          <cell r="AG724">
            <v>105.14586447284523</v>
          </cell>
          <cell r="AH724">
            <v>114.20900795646487</v>
          </cell>
        </row>
        <row r="725">
          <cell r="AD725">
            <v>94.977781818322967</v>
          </cell>
          <cell r="AE725">
            <v>97.271426675419846</v>
          </cell>
          <cell r="AF725">
            <v>100.3089201684294</v>
          </cell>
          <cell r="AG725">
            <v>105.16555453924312</v>
          </cell>
          <cell r="AH725">
            <v>114.22990018498645</v>
          </cell>
        </row>
        <row r="726">
          <cell r="AD726">
            <v>94.998404927577795</v>
          </cell>
          <cell r="AE726">
            <v>97.290424705277374</v>
          </cell>
          <cell r="AF726">
            <v>100.32909573260488</v>
          </cell>
          <cell r="AG726">
            <v>105.18524460564102</v>
          </cell>
          <cell r="AH726">
            <v>114.25079241350802</v>
          </cell>
        </row>
        <row r="727">
          <cell r="AD727">
            <v>95.017753786129006</v>
          </cell>
          <cell r="AE727">
            <v>97.309422735134888</v>
          </cell>
          <cell r="AF727">
            <v>100.34927129678037</v>
          </cell>
          <cell r="AG727">
            <v>105.20493467203892</v>
          </cell>
          <cell r="AH727">
            <v>114.27168464202961</v>
          </cell>
        </row>
        <row r="728">
          <cell r="AD728">
            <v>95.036995827451818</v>
          </cell>
          <cell r="AE728">
            <v>97.328420764992416</v>
          </cell>
          <cell r="AF728">
            <v>100.36944686095586</v>
          </cell>
          <cell r="AG728">
            <v>105.2246247384368</v>
          </cell>
          <cell r="AH728">
            <v>114.29257687055119</v>
          </cell>
        </row>
        <row r="729">
          <cell r="AD729">
            <v>95.05623786877463</v>
          </cell>
          <cell r="AE729">
            <v>97.347418794849943</v>
          </cell>
          <cell r="AF729">
            <v>100.38962242513135</v>
          </cell>
          <cell r="AG729">
            <v>105.2443148048347</v>
          </cell>
          <cell r="AH729">
            <v>114.31346909907276</v>
          </cell>
        </row>
        <row r="730">
          <cell r="AD730">
            <v>95.075479910097457</v>
          </cell>
          <cell r="AE730">
            <v>97.366416824707457</v>
          </cell>
          <cell r="AF730">
            <v>100.40979798930682</v>
          </cell>
          <cell r="AG730">
            <v>105.2640048712326</v>
          </cell>
          <cell r="AH730">
            <v>114.33436132759435</v>
          </cell>
        </row>
        <row r="731">
          <cell r="AD731">
            <v>95.094721951420269</v>
          </cell>
          <cell r="AE731">
            <v>97.385414854564985</v>
          </cell>
          <cell r="AF731">
            <v>100.42997355348231</v>
          </cell>
          <cell r="AG731">
            <v>105.28369493763049</v>
          </cell>
          <cell r="AH731">
            <v>114.35525355611593</v>
          </cell>
        </row>
        <row r="732">
          <cell r="AD732">
            <v>95.113963992743081</v>
          </cell>
          <cell r="AE732">
            <v>97.404412884422499</v>
          </cell>
          <cell r="AF732">
            <v>100.4501491176578</v>
          </cell>
          <cell r="AG732">
            <v>105.30338500402839</v>
          </cell>
          <cell r="AH732">
            <v>114.37614578463752</v>
          </cell>
        </row>
        <row r="733">
          <cell r="AD733">
            <v>95.133206034065907</v>
          </cell>
          <cell r="AE733">
            <v>97.423410914280026</v>
          </cell>
          <cell r="AF733">
            <v>100.47032468183329</v>
          </cell>
          <cell r="AG733">
            <v>105.32307507042627</v>
          </cell>
          <cell r="AH733">
            <v>114.39703801315909</v>
          </cell>
        </row>
        <row r="734">
          <cell r="AD734">
            <v>95.152448075388719</v>
          </cell>
          <cell r="AE734">
            <v>97.442408944137554</v>
          </cell>
          <cell r="AF734">
            <v>100.49050024600878</v>
          </cell>
          <cell r="AG734">
            <v>105.34276513682417</v>
          </cell>
          <cell r="AH734">
            <v>114.41793024168066</v>
          </cell>
        </row>
        <row r="735">
          <cell r="AD735">
            <v>95.171690116711531</v>
          </cell>
          <cell r="AE735">
            <v>97.461406973995068</v>
          </cell>
          <cell r="AF735">
            <v>100.51067581018427</v>
          </cell>
          <cell r="AG735">
            <v>105.36245520322207</v>
          </cell>
          <cell r="AH735">
            <v>114.43882247020225</v>
          </cell>
        </row>
        <row r="736">
          <cell r="AD736">
            <v>95.190932158034357</v>
          </cell>
          <cell r="AE736">
            <v>97.480405003852596</v>
          </cell>
          <cell r="AF736">
            <v>100.53085137435976</v>
          </cell>
          <cell r="AG736">
            <v>105.38214526961995</v>
          </cell>
          <cell r="AH736">
            <v>114.45971469872383</v>
          </cell>
        </row>
        <row r="737">
          <cell r="AD737">
            <v>95.210174199357169</v>
          </cell>
          <cell r="AE737">
            <v>97.499403033710109</v>
          </cell>
          <cell r="AF737">
            <v>100.55102693853524</v>
          </cell>
          <cell r="AG737">
            <v>105.40183533601785</v>
          </cell>
          <cell r="AH737">
            <v>114.4806069272454</v>
          </cell>
        </row>
        <row r="738">
          <cell r="AD738">
            <v>95.229416240679981</v>
          </cell>
          <cell r="AE738">
            <v>97.518401063567637</v>
          </cell>
          <cell r="AF738">
            <v>100.57120250271073</v>
          </cell>
          <cell r="AG738">
            <v>105.42152540241575</v>
          </cell>
          <cell r="AH738">
            <v>114.50149915576699</v>
          </cell>
        </row>
        <row r="739">
          <cell r="AD739">
            <v>95.248658282002808</v>
          </cell>
          <cell r="AE739">
            <v>97.537399093425151</v>
          </cell>
          <cell r="AF739">
            <v>100.59137806688622</v>
          </cell>
          <cell r="AG739">
            <v>105.44121546881364</v>
          </cell>
          <cell r="AH739">
            <v>114.52239138428857</v>
          </cell>
        </row>
        <row r="740">
          <cell r="AD740">
            <v>95.26790032332562</v>
          </cell>
          <cell r="AE740">
            <v>97.556397123282679</v>
          </cell>
          <cell r="AF740">
            <v>100.61155363106171</v>
          </cell>
          <cell r="AG740">
            <v>105.46090553521154</v>
          </cell>
          <cell r="AH740">
            <v>114.54328361281016</v>
          </cell>
        </row>
        <row r="741">
          <cell r="AD741">
            <v>95.287142364648432</v>
          </cell>
          <cell r="AE741">
            <v>97.575395153140207</v>
          </cell>
          <cell r="AF741">
            <v>100.6317291952372</v>
          </cell>
          <cell r="AG741">
            <v>105.48059560160942</v>
          </cell>
          <cell r="AH741">
            <v>114.56417584133173</v>
          </cell>
        </row>
        <row r="742">
          <cell r="AD742">
            <v>95.306384405971258</v>
          </cell>
          <cell r="AE742">
            <v>97.59439318299772</v>
          </cell>
          <cell r="AF742">
            <v>100.65190475941267</v>
          </cell>
          <cell r="AG742">
            <v>105.50028566800732</v>
          </cell>
          <cell r="AH742">
            <v>114.58506806985331</v>
          </cell>
        </row>
        <row r="743">
          <cell r="AD743">
            <v>95.32562644729407</v>
          </cell>
          <cell r="AE743">
            <v>97.613391212855248</v>
          </cell>
          <cell r="AF743">
            <v>100.67208032358816</v>
          </cell>
          <cell r="AG743">
            <v>105.51997573440522</v>
          </cell>
          <cell r="AH743">
            <v>114.6059602983749</v>
          </cell>
        </row>
        <row r="744">
          <cell r="AD744">
            <v>95.344868488616882</v>
          </cell>
          <cell r="AE744">
            <v>97.632389242712762</v>
          </cell>
          <cell r="AF744">
            <v>100.69225588776365</v>
          </cell>
          <cell r="AG744">
            <v>105.53966580080311</v>
          </cell>
          <cell r="AH744">
            <v>114.62685252689647</v>
          </cell>
        </row>
        <row r="745">
          <cell r="AD745">
            <v>95.364110529939694</v>
          </cell>
          <cell r="AE745">
            <v>97.65138727257029</v>
          </cell>
          <cell r="AF745">
            <v>100.71243145193914</v>
          </cell>
          <cell r="AG745">
            <v>105.55935586720101</v>
          </cell>
          <cell r="AH745">
            <v>114.64774475541805</v>
          </cell>
        </row>
        <row r="746">
          <cell r="AD746">
            <v>95.38335257126252</v>
          </cell>
          <cell r="AE746">
            <v>97.670385302427803</v>
          </cell>
          <cell r="AF746">
            <v>100.73260701611463</v>
          </cell>
          <cell r="AG746">
            <v>105.57904593359891</v>
          </cell>
          <cell r="AH746">
            <v>114.66863698393963</v>
          </cell>
        </row>
        <row r="747">
          <cell r="AD747">
            <v>95.402594612585332</v>
          </cell>
          <cell r="AE747">
            <v>97.689383332285331</v>
          </cell>
          <cell r="AF747">
            <v>100.75278258029012</v>
          </cell>
          <cell r="AG747">
            <v>105.59873599999679</v>
          </cell>
          <cell r="AH747">
            <v>114.68952921246121</v>
          </cell>
        </row>
        <row r="748">
          <cell r="AD748">
            <v>95.421836653908144</v>
          </cell>
          <cell r="AE748">
            <v>97.708381362142859</v>
          </cell>
          <cell r="AF748">
            <v>100.7729581444656</v>
          </cell>
          <cell r="AG748">
            <v>105.61842606639469</v>
          </cell>
          <cell r="AH748">
            <v>114.71042144098278</v>
          </cell>
        </row>
        <row r="749">
          <cell r="AD749">
            <v>95.441078695230971</v>
          </cell>
          <cell r="AE749">
            <v>97.727379392000373</v>
          </cell>
          <cell r="AF749">
            <v>100.79313370864109</v>
          </cell>
          <cell r="AG749">
            <v>105.63811613279258</v>
          </cell>
          <cell r="AH749">
            <v>114.73131366950437</v>
          </cell>
        </row>
        <row r="750">
          <cell r="AD750">
            <v>95.460320736553783</v>
          </cell>
          <cell r="AE750">
            <v>97.7463774218579</v>
          </cell>
          <cell r="AF750">
            <v>100.81330927281658</v>
          </cell>
          <cell r="AG750">
            <v>105.65780619919047</v>
          </cell>
          <cell r="AH750">
            <v>114.75220589802595</v>
          </cell>
        </row>
        <row r="751">
          <cell r="AD751">
            <v>95.479562777876595</v>
          </cell>
          <cell r="AE751">
            <v>97.765375451715414</v>
          </cell>
          <cell r="AF751">
            <v>100.83348483699207</v>
          </cell>
          <cell r="AG751">
            <v>105.67749626558837</v>
          </cell>
          <cell r="AH751">
            <v>114.77309812654754</v>
          </cell>
        </row>
        <row r="752">
          <cell r="AD752">
            <v>95.498804819199421</v>
          </cell>
          <cell r="AE752">
            <v>97.784373481572942</v>
          </cell>
          <cell r="AF752">
            <v>100.85366040116756</v>
          </cell>
          <cell r="AG752">
            <v>105.69718633198626</v>
          </cell>
          <cell r="AH752">
            <v>114.79399035506911</v>
          </cell>
        </row>
        <row r="753">
          <cell r="AD753">
            <v>95.518046860522233</v>
          </cell>
          <cell r="AE753">
            <v>97.80337151143047</v>
          </cell>
          <cell r="AF753">
            <v>100.87383596534305</v>
          </cell>
          <cell r="AG753">
            <v>105.71687639838416</v>
          </cell>
          <cell r="AH753">
            <v>114.81488258359069</v>
          </cell>
        </row>
        <row r="754">
          <cell r="AD754">
            <v>95.537288901845045</v>
          </cell>
          <cell r="AE754">
            <v>97.822369541287983</v>
          </cell>
          <cell r="AF754">
            <v>100.89401152951852</v>
          </cell>
          <cell r="AG754">
            <v>105.73656646478204</v>
          </cell>
          <cell r="AH754">
            <v>114.83577481211228</v>
          </cell>
        </row>
        <row r="755">
          <cell r="AD755">
            <v>95.556530943167871</v>
          </cell>
          <cell r="AE755">
            <v>97.841367571145511</v>
          </cell>
          <cell r="AF755">
            <v>100.91418709369401</v>
          </cell>
          <cell r="AG755">
            <v>105.75625653117994</v>
          </cell>
          <cell r="AH755">
            <v>114.85666704063385</v>
          </cell>
        </row>
        <row r="756">
          <cell r="AD756">
            <v>95.575772984490683</v>
          </cell>
          <cell r="AE756">
            <v>97.860365601003025</v>
          </cell>
          <cell r="AF756">
            <v>100.9343626578695</v>
          </cell>
          <cell r="AG756">
            <v>105.77594659757784</v>
          </cell>
          <cell r="AH756">
            <v>114.87755926915543</v>
          </cell>
        </row>
        <row r="757">
          <cell r="AD757">
            <v>95.595015025813495</v>
          </cell>
          <cell r="AE757">
            <v>97.879363630860553</v>
          </cell>
          <cell r="AF757">
            <v>100.95453822204499</v>
          </cell>
          <cell r="AG757">
            <v>105.79563666397573</v>
          </cell>
          <cell r="AH757">
            <v>114.89845149767702</v>
          </cell>
        </row>
        <row r="758">
          <cell r="AD758">
            <v>95.614257067136322</v>
          </cell>
          <cell r="AE758">
            <v>97.898361660718066</v>
          </cell>
          <cell r="AF758">
            <v>100.97471378622048</v>
          </cell>
          <cell r="AG758">
            <v>105.81532673037363</v>
          </cell>
          <cell r="AH758">
            <v>114.91934372619859</v>
          </cell>
        </row>
        <row r="759">
          <cell r="AD759">
            <v>95.633499108459134</v>
          </cell>
          <cell r="AE759">
            <v>97.917359690575594</v>
          </cell>
          <cell r="AF759">
            <v>100.99488935039597</v>
          </cell>
          <cell r="AG759">
            <v>105.83501679677153</v>
          </cell>
          <cell r="AH759">
            <v>114.94023595472017</v>
          </cell>
        </row>
        <row r="760">
          <cell r="AD760">
            <v>95.652741149781946</v>
          </cell>
          <cell r="AE760">
            <v>97.936357720433122</v>
          </cell>
          <cell r="AF760">
            <v>101.01493981849815</v>
          </cell>
          <cell r="AG760">
            <v>105.85470686316941</v>
          </cell>
          <cell r="AH760">
            <v>114.96112818324175</v>
          </cell>
        </row>
        <row r="761">
          <cell r="AD761">
            <v>95.671983191104772</v>
          </cell>
          <cell r="AE761">
            <v>97.955355750290636</v>
          </cell>
          <cell r="AF761">
            <v>101.03494784877606</v>
          </cell>
          <cell r="AG761">
            <v>105.87439692956731</v>
          </cell>
          <cell r="AH761">
            <v>114.98202041176333</v>
          </cell>
        </row>
        <row r="762">
          <cell r="AD762">
            <v>95.691225232427584</v>
          </cell>
          <cell r="AE762">
            <v>97.974353780148164</v>
          </cell>
          <cell r="AF762">
            <v>101.05495587905395</v>
          </cell>
          <cell r="AG762">
            <v>105.8940869959652</v>
          </cell>
          <cell r="AH762">
            <v>115.00255874033431</v>
          </cell>
        </row>
        <row r="763">
          <cell r="AD763">
            <v>95.710467273750396</v>
          </cell>
          <cell r="AE763">
            <v>97.993351810005677</v>
          </cell>
          <cell r="AF763">
            <v>101.07496390933186</v>
          </cell>
          <cell r="AG763">
            <v>105.9137770623631</v>
          </cell>
          <cell r="AH763">
            <v>115.02091246155027</v>
          </cell>
        </row>
        <row r="764">
          <cell r="AD764">
            <v>95.729709315073208</v>
          </cell>
          <cell r="AE764">
            <v>98.011574852881012</v>
          </cell>
          <cell r="AF764">
            <v>101.09497193960975</v>
          </cell>
          <cell r="AG764">
            <v>105.933467128761</v>
          </cell>
          <cell r="AH764">
            <v>115.03926618276623</v>
          </cell>
        </row>
        <row r="765">
          <cell r="AD765">
            <v>95.748951356396034</v>
          </cell>
          <cell r="AE765">
            <v>98.029380703245522</v>
          </cell>
          <cell r="AF765">
            <v>101.11497996988766</v>
          </cell>
          <cell r="AG765">
            <v>105.95315719515888</v>
          </cell>
          <cell r="AH765">
            <v>115.0576199039822</v>
          </cell>
        </row>
        <row r="766">
          <cell r="AD766">
            <v>95.768193397718846</v>
          </cell>
          <cell r="AE766">
            <v>98.047186553610047</v>
          </cell>
          <cell r="AF766">
            <v>101.13498800016555</v>
          </cell>
          <cell r="AG766">
            <v>105.97284726155678</v>
          </cell>
          <cell r="AH766">
            <v>115.07597362519816</v>
          </cell>
        </row>
        <row r="767">
          <cell r="AD767">
            <v>95.787435439041658</v>
          </cell>
          <cell r="AE767">
            <v>98.064992403974557</v>
          </cell>
          <cell r="AF767">
            <v>101.15499603044346</v>
          </cell>
          <cell r="AG767">
            <v>105.99253732795468</v>
          </cell>
          <cell r="AH767">
            <v>115.09432734641412</v>
          </cell>
        </row>
        <row r="768">
          <cell r="AD768">
            <v>95.806677480364485</v>
          </cell>
          <cell r="AE768">
            <v>98.082798254339068</v>
          </cell>
          <cell r="AF768">
            <v>101.17500406072135</v>
          </cell>
          <cell r="AG768">
            <v>106.0120024722425</v>
          </cell>
          <cell r="AH768">
            <v>115.11268106763009</v>
          </cell>
        </row>
        <row r="769">
          <cell r="AD769">
            <v>95.825919521687297</v>
          </cell>
          <cell r="AE769">
            <v>98.100604104703592</v>
          </cell>
          <cell r="AF769">
            <v>101.19501209099926</v>
          </cell>
          <cell r="AG769">
            <v>106.03133034117185</v>
          </cell>
          <cell r="AH769">
            <v>115.13103478884605</v>
          </cell>
        </row>
        <row r="770">
          <cell r="AD770">
            <v>95.845161563010109</v>
          </cell>
          <cell r="AE770">
            <v>98.118409955068103</v>
          </cell>
          <cell r="AF770">
            <v>101.21502012127715</v>
          </cell>
          <cell r="AG770">
            <v>106.05065821010119</v>
          </cell>
          <cell r="AH770">
            <v>115.14938851006201</v>
          </cell>
        </row>
        <row r="771">
          <cell r="AD771">
            <v>95.864403604332935</v>
          </cell>
          <cell r="AE771">
            <v>98.136215805432613</v>
          </cell>
          <cell r="AF771">
            <v>101.23502815155506</v>
          </cell>
          <cell r="AG771">
            <v>106.06998607903053</v>
          </cell>
          <cell r="AH771">
            <v>115.16774223127798</v>
          </cell>
        </row>
        <row r="772">
          <cell r="AD772">
            <v>95.883645645655747</v>
          </cell>
          <cell r="AE772">
            <v>98.154021655797138</v>
          </cell>
          <cell r="AF772">
            <v>101.25503618183295</v>
          </cell>
          <cell r="AG772">
            <v>106.08931394795988</v>
          </cell>
          <cell r="AH772">
            <v>115.18609595249394</v>
          </cell>
        </row>
        <row r="773">
          <cell r="AD773">
            <v>95.902887686978559</v>
          </cell>
          <cell r="AE773">
            <v>98.171827506161648</v>
          </cell>
          <cell r="AF773">
            <v>101.27504421211086</v>
          </cell>
          <cell r="AG773">
            <v>106.10864181688922</v>
          </cell>
          <cell r="AH773">
            <v>115.20444967370992</v>
          </cell>
        </row>
        <row r="774">
          <cell r="AD774">
            <v>95.922129728301385</v>
          </cell>
          <cell r="AE774">
            <v>98.189633356526159</v>
          </cell>
          <cell r="AF774">
            <v>101.29505224238875</v>
          </cell>
          <cell r="AG774">
            <v>106.12796968581856</v>
          </cell>
          <cell r="AH774">
            <v>115.22280339492588</v>
          </cell>
        </row>
        <row r="775">
          <cell r="AD775">
            <v>95.941371769624197</v>
          </cell>
          <cell r="AE775">
            <v>98.207439206890669</v>
          </cell>
          <cell r="AF775">
            <v>101.31506027266666</v>
          </cell>
          <cell r="AG775">
            <v>106.14729755474789</v>
          </cell>
          <cell r="AH775">
            <v>115.24115711614184</v>
          </cell>
        </row>
        <row r="776">
          <cell r="AD776">
            <v>95.960613810947009</v>
          </cell>
          <cell r="AE776">
            <v>98.225245057255194</v>
          </cell>
          <cell r="AF776">
            <v>101.33506830294455</v>
          </cell>
          <cell r="AG776">
            <v>106.16662542367725</v>
          </cell>
          <cell r="AH776">
            <v>115.25951083735781</v>
          </cell>
        </row>
        <row r="777">
          <cell r="AD777">
            <v>95.979855852269836</v>
          </cell>
          <cell r="AE777">
            <v>98.243050907619704</v>
          </cell>
          <cell r="AF777">
            <v>101.35507633322246</v>
          </cell>
          <cell r="AG777">
            <v>106.18595329260658</v>
          </cell>
          <cell r="AH777">
            <v>115.27786455857377</v>
          </cell>
        </row>
        <row r="778">
          <cell r="AD778">
            <v>95.999097893592648</v>
          </cell>
          <cell r="AE778">
            <v>98.260856757984214</v>
          </cell>
          <cell r="AF778">
            <v>101.37508436350035</v>
          </cell>
          <cell r="AG778">
            <v>106.20528116153592</v>
          </cell>
          <cell r="AH778">
            <v>115.29621827978973</v>
          </cell>
        </row>
        <row r="779">
          <cell r="AD779">
            <v>96.017111764338765</v>
          </cell>
          <cell r="AE779">
            <v>98.278662608348739</v>
          </cell>
          <cell r="AF779">
            <v>101.39509239377826</v>
          </cell>
          <cell r="AG779">
            <v>106.22460903046527</v>
          </cell>
          <cell r="AH779">
            <v>115.3145720010057</v>
          </cell>
        </row>
        <row r="780">
          <cell r="AD780">
            <v>96.035065223717467</v>
          </cell>
          <cell r="AE780">
            <v>98.29646845871325</v>
          </cell>
          <cell r="AF780">
            <v>101.41510042405615</v>
          </cell>
          <cell r="AG780">
            <v>106.24393689939461</v>
          </cell>
          <cell r="AH780">
            <v>115.33292572222166</v>
          </cell>
        </row>
        <row r="781">
          <cell r="AD781">
            <v>96.05301868309617</v>
          </cell>
          <cell r="AE781">
            <v>98.31427430907776</v>
          </cell>
          <cell r="AF781">
            <v>101.43510845433406</v>
          </cell>
          <cell r="AG781">
            <v>106.26326476832395</v>
          </cell>
          <cell r="AH781">
            <v>115.35127944343762</v>
          </cell>
        </row>
        <row r="782">
          <cell r="AD782">
            <v>96.070972142474872</v>
          </cell>
          <cell r="AE782">
            <v>98.332080159442285</v>
          </cell>
          <cell r="AF782">
            <v>101.45511648461195</v>
          </cell>
          <cell r="AG782">
            <v>106.2825926372533</v>
          </cell>
          <cell r="AH782">
            <v>115.36963316465359</v>
          </cell>
        </row>
        <row r="783">
          <cell r="AD783">
            <v>96.088925601853575</v>
          </cell>
          <cell r="AE783">
            <v>98.349886009806795</v>
          </cell>
          <cell r="AF783">
            <v>101.47512451488986</v>
          </cell>
          <cell r="AG783">
            <v>106.30192050618264</v>
          </cell>
          <cell r="AH783">
            <v>115.38798688586955</v>
          </cell>
        </row>
        <row r="784">
          <cell r="AD784">
            <v>96.106879061232277</v>
          </cell>
          <cell r="AE784">
            <v>98.367691860171306</v>
          </cell>
          <cell r="AF784">
            <v>101.49513254516775</v>
          </cell>
          <cell r="AG784">
            <v>106.32124837511198</v>
          </cell>
          <cell r="AH784">
            <v>115.40634060708551</v>
          </cell>
        </row>
        <row r="785">
          <cell r="AD785">
            <v>96.12483252061098</v>
          </cell>
          <cell r="AE785">
            <v>98.385497710535816</v>
          </cell>
          <cell r="AF785">
            <v>101.51514057544566</v>
          </cell>
          <cell r="AG785">
            <v>106.34057624404132</v>
          </cell>
          <cell r="AH785">
            <v>115.42469432830148</v>
          </cell>
        </row>
        <row r="786">
          <cell r="AD786">
            <v>96.142785979989682</v>
          </cell>
          <cell r="AE786">
            <v>98.403303560900341</v>
          </cell>
          <cell r="AF786">
            <v>101.53514860572355</v>
          </cell>
          <cell r="AG786">
            <v>106.35990411297067</v>
          </cell>
          <cell r="AH786">
            <v>115.44304804951744</v>
          </cell>
        </row>
        <row r="787">
          <cell r="AD787">
            <v>96.160739439368385</v>
          </cell>
          <cell r="AE787">
            <v>98.421109411264851</v>
          </cell>
          <cell r="AF787">
            <v>101.55515663600146</v>
          </cell>
          <cell r="AG787">
            <v>106.37923198190001</v>
          </cell>
          <cell r="AH787">
            <v>115.4614017707334</v>
          </cell>
        </row>
        <row r="788">
          <cell r="AD788">
            <v>96.178692898747087</v>
          </cell>
          <cell r="AE788">
            <v>98.438915261629361</v>
          </cell>
          <cell r="AF788">
            <v>101.57516466627935</v>
          </cell>
          <cell r="AG788">
            <v>106.39855985082934</v>
          </cell>
          <cell r="AH788">
            <v>115.47975549194938</v>
          </cell>
        </row>
        <row r="789">
          <cell r="AD789">
            <v>96.19664635812579</v>
          </cell>
          <cell r="AE789">
            <v>98.456721111993886</v>
          </cell>
          <cell r="AF789">
            <v>101.59517269655726</v>
          </cell>
          <cell r="AG789">
            <v>106.4178877197587</v>
          </cell>
          <cell r="AH789">
            <v>115.49810921316534</v>
          </cell>
        </row>
        <row r="790">
          <cell r="AD790">
            <v>96.214599817504492</v>
          </cell>
          <cell r="AE790">
            <v>98.474526962358397</v>
          </cell>
          <cell r="AF790">
            <v>101.61518072683515</v>
          </cell>
          <cell r="AG790">
            <v>106.43721558868803</v>
          </cell>
          <cell r="AH790">
            <v>115.51646293438129</v>
          </cell>
        </row>
        <row r="791">
          <cell r="AD791">
            <v>96.232553276883195</v>
          </cell>
          <cell r="AE791">
            <v>98.492332812722907</v>
          </cell>
          <cell r="AF791">
            <v>101.63518875711306</v>
          </cell>
          <cell r="AG791">
            <v>106.45654345761737</v>
          </cell>
          <cell r="AH791">
            <v>115.53481665559727</v>
          </cell>
        </row>
        <row r="792">
          <cell r="AD792">
            <v>96.250506736261897</v>
          </cell>
          <cell r="AE792">
            <v>98.510138663087432</v>
          </cell>
          <cell r="AF792">
            <v>101.65519678739095</v>
          </cell>
          <cell r="AG792">
            <v>106.47587132654672</v>
          </cell>
          <cell r="AH792">
            <v>115.55317037681323</v>
          </cell>
        </row>
        <row r="793">
          <cell r="AD793">
            <v>96.2684601956406</v>
          </cell>
          <cell r="AE793">
            <v>98.527944513451942</v>
          </cell>
          <cell r="AF793">
            <v>101.67520481766886</v>
          </cell>
          <cell r="AG793">
            <v>106.49519919547606</v>
          </cell>
          <cell r="AH793">
            <v>115.57152409802919</v>
          </cell>
        </row>
        <row r="794">
          <cell r="AD794">
            <v>96.286413655019302</v>
          </cell>
          <cell r="AE794">
            <v>98.545750363816452</v>
          </cell>
          <cell r="AF794">
            <v>101.69521284794675</v>
          </cell>
          <cell r="AG794">
            <v>106.5145270644054</v>
          </cell>
          <cell r="AH794">
            <v>115.58987781924516</v>
          </cell>
        </row>
        <row r="795">
          <cell r="AD795">
            <v>96.304367114398005</v>
          </cell>
          <cell r="AE795">
            <v>98.563556214180963</v>
          </cell>
          <cell r="AF795">
            <v>101.71522087822466</v>
          </cell>
          <cell r="AG795">
            <v>106.53385493333474</v>
          </cell>
          <cell r="AH795">
            <v>115.60823154046112</v>
          </cell>
        </row>
        <row r="796">
          <cell r="AD796">
            <v>96.322320573776707</v>
          </cell>
          <cell r="AE796">
            <v>98.581362064545488</v>
          </cell>
          <cell r="AF796">
            <v>101.73522890850255</v>
          </cell>
          <cell r="AG796">
            <v>106.55318280226409</v>
          </cell>
          <cell r="AH796">
            <v>115.62658526167708</v>
          </cell>
        </row>
        <row r="797">
          <cell r="AD797">
            <v>96.34027403315541</v>
          </cell>
          <cell r="AE797">
            <v>98.599167914909998</v>
          </cell>
          <cell r="AF797">
            <v>101.75523693878046</v>
          </cell>
          <cell r="AG797">
            <v>106.57251067119343</v>
          </cell>
          <cell r="AH797">
            <v>115.64493898289305</v>
          </cell>
        </row>
        <row r="798">
          <cell r="AD798">
            <v>96.358227492534112</v>
          </cell>
          <cell r="AE798">
            <v>98.616973765274508</v>
          </cell>
          <cell r="AF798">
            <v>101.77524496905835</v>
          </cell>
          <cell r="AG798">
            <v>106.59183854012277</v>
          </cell>
          <cell r="AH798">
            <v>115.66329270410901</v>
          </cell>
        </row>
        <row r="799">
          <cell r="AD799">
            <v>96.376180951912815</v>
          </cell>
          <cell r="AE799">
            <v>98.634779615639033</v>
          </cell>
          <cell r="AF799">
            <v>101.79525299933626</v>
          </cell>
          <cell r="AG799">
            <v>106.61116640905212</v>
          </cell>
          <cell r="AH799">
            <v>115.68164642532497</v>
          </cell>
        </row>
        <row r="800">
          <cell r="AD800">
            <v>96.394134411291517</v>
          </cell>
          <cell r="AE800">
            <v>98.652585466003544</v>
          </cell>
          <cell r="AF800">
            <v>101.81526102961415</v>
          </cell>
          <cell r="AG800">
            <v>106.63049427798146</v>
          </cell>
          <cell r="AH800">
            <v>115.70000014654094</v>
          </cell>
        </row>
        <row r="801">
          <cell r="AD801">
            <v>96.41208787067022</v>
          </cell>
          <cell r="AE801">
            <v>98.670391316368054</v>
          </cell>
          <cell r="AF801">
            <v>101.83526905989206</v>
          </cell>
          <cell r="AG801">
            <v>106.64982214691079</v>
          </cell>
          <cell r="AH801">
            <v>115.7183538677569</v>
          </cell>
        </row>
        <row r="802">
          <cell r="AD802">
            <v>96.430041330048923</v>
          </cell>
          <cell r="AE802">
            <v>98.688197166732579</v>
          </cell>
          <cell r="AF802">
            <v>101.85527709016995</v>
          </cell>
          <cell r="AG802">
            <v>106.66915001584015</v>
          </cell>
          <cell r="AH802">
            <v>115.73670758897286</v>
          </cell>
        </row>
        <row r="803">
          <cell r="AD803">
            <v>96.447994789427625</v>
          </cell>
          <cell r="AE803">
            <v>98.706003017097089</v>
          </cell>
          <cell r="AF803">
            <v>101.87528512044786</v>
          </cell>
          <cell r="AG803">
            <v>106.68847788476948</v>
          </cell>
          <cell r="AH803">
            <v>115.75506131018884</v>
          </cell>
        </row>
        <row r="804">
          <cell r="AD804">
            <v>96.465948248806328</v>
          </cell>
          <cell r="AE804">
            <v>98.723808867461599</v>
          </cell>
          <cell r="AF804">
            <v>101.89529315072575</v>
          </cell>
          <cell r="AG804">
            <v>106.70780575369882</v>
          </cell>
          <cell r="AH804">
            <v>115.7734150314048</v>
          </cell>
        </row>
        <row r="805">
          <cell r="AD805">
            <v>96.48390170818503</v>
          </cell>
          <cell r="AE805">
            <v>98.74161471782611</v>
          </cell>
          <cell r="AF805">
            <v>101.91530118100366</v>
          </cell>
          <cell r="AG805">
            <v>106.72713362262816</v>
          </cell>
          <cell r="AH805">
            <v>115.79176875262075</v>
          </cell>
        </row>
        <row r="806">
          <cell r="AD806">
            <v>96.501855167563733</v>
          </cell>
          <cell r="AE806">
            <v>98.759420568190635</v>
          </cell>
          <cell r="AF806">
            <v>101.93530921128155</v>
          </cell>
          <cell r="AG806">
            <v>106.74646149155751</v>
          </cell>
          <cell r="AH806">
            <v>115.81012247383673</v>
          </cell>
        </row>
        <row r="807">
          <cell r="AD807">
            <v>96.519808626942435</v>
          </cell>
          <cell r="AE807">
            <v>98.777226418555145</v>
          </cell>
          <cell r="AF807">
            <v>101.95531724155946</v>
          </cell>
          <cell r="AG807">
            <v>106.76578936048685</v>
          </cell>
          <cell r="AH807">
            <v>115.82847619505269</v>
          </cell>
        </row>
        <row r="808">
          <cell r="AD808">
            <v>96.537762086321138</v>
          </cell>
          <cell r="AE808">
            <v>98.795032268919655</v>
          </cell>
          <cell r="AF808">
            <v>101.97532527183736</v>
          </cell>
          <cell r="AG808">
            <v>106.78511722941619</v>
          </cell>
          <cell r="AH808">
            <v>115.84682991626866</v>
          </cell>
        </row>
        <row r="809">
          <cell r="AD809">
            <v>96.55571554569984</v>
          </cell>
          <cell r="AE809">
            <v>98.81283811928418</v>
          </cell>
          <cell r="AF809">
            <v>101.99533330211526</v>
          </cell>
          <cell r="AG809">
            <v>106.80444509834554</v>
          </cell>
          <cell r="AH809">
            <v>115.86518363748462</v>
          </cell>
        </row>
        <row r="810">
          <cell r="AD810">
            <v>96.573669005078543</v>
          </cell>
          <cell r="AE810">
            <v>98.83064396964869</v>
          </cell>
          <cell r="AF810">
            <v>102.01387295585346</v>
          </cell>
          <cell r="AG810">
            <v>106.82377296727488</v>
          </cell>
          <cell r="AH810">
            <v>115.88353735870058</v>
          </cell>
        </row>
        <row r="811">
          <cell r="AD811">
            <v>96.591622464457245</v>
          </cell>
          <cell r="AE811">
            <v>98.848449820013201</v>
          </cell>
          <cell r="AF811">
            <v>102.03196594241072</v>
          </cell>
          <cell r="AG811">
            <v>106.84310083620421</v>
          </cell>
          <cell r="AH811">
            <v>115.90189107991655</v>
          </cell>
        </row>
        <row r="812">
          <cell r="AD812">
            <v>96.609575923835948</v>
          </cell>
          <cell r="AE812">
            <v>98.866255670377726</v>
          </cell>
          <cell r="AF812">
            <v>102.05005892896799</v>
          </cell>
          <cell r="AG812">
            <v>106.86242870513357</v>
          </cell>
          <cell r="AH812">
            <v>115.92024480113251</v>
          </cell>
        </row>
        <row r="813">
          <cell r="AD813">
            <v>96.62752938321465</v>
          </cell>
          <cell r="AE813">
            <v>98.884061520742236</v>
          </cell>
          <cell r="AF813">
            <v>102.06815191552525</v>
          </cell>
          <cell r="AG813">
            <v>106.8817565740629</v>
          </cell>
          <cell r="AH813">
            <v>115.93859852234847</v>
          </cell>
        </row>
        <row r="814">
          <cell r="AD814">
            <v>96.645482842593353</v>
          </cell>
          <cell r="AE814">
            <v>98.901867371106746</v>
          </cell>
          <cell r="AF814">
            <v>102.08624490208251</v>
          </cell>
          <cell r="AG814">
            <v>106.90108444299224</v>
          </cell>
          <cell r="AH814">
            <v>115.95695224356444</v>
          </cell>
        </row>
        <row r="815">
          <cell r="AD815">
            <v>96.663436301972055</v>
          </cell>
          <cell r="AE815">
            <v>98.919673221471257</v>
          </cell>
          <cell r="AF815">
            <v>102.10433788863978</v>
          </cell>
          <cell r="AG815">
            <v>106.92041231192158</v>
          </cell>
          <cell r="AH815">
            <v>115.9753059647804</v>
          </cell>
        </row>
        <row r="816">
          <cell r="AD816">
            <v>96.681389761350758</v>
          </cell>
          <cell r="AE816">
            <v>98.937479071835781</v>
          </cell>
          <cell r="AF816">
            <v>102.12243087519704</v>
          </cell>
          <cell r="AG816">
            <v>106.93974018085093</v>
          </cell>
          <cell r="AH816">
            <v>115.99365968599636</v>
          </cell>
        </row>
        <row r="817">
          <cell r="AD817">
            <v>96.69934322072946</v>
          </cell>
          <cell r="AE817">
            <v>98.955284922200292</v>
          </cell>
          <cell r="AF817">
            <v>102.1405238617543</v>
          </cell>
          <cell r="AG817">
            <v>106.95906804978027</v>
          </cell>
          <cell r="AH817">
            <v>116.01095922661128</v>
          </cell>
        </row>
        <row r="818">
          <cell r="AD818">
            <v>96.717296680108163</v>
          </cell>
          <cell r="AE818">
            <v>98.973090772564802</v>
          </cell>
          <cell r="AF818">
            <v>102.15861684831157</v>
          </cell>
          <cell r="AG818">
            <v>106.97839591870961</v>
          </cell>
          <cell r="AH818">
            <v>116.02770240249892</v>
          </cell>
        </row>
        <row r="819">
          <cell r="AD819">
            <v>96.735250139486865</v>
          </cell>
          <cell r="AE819">
            <v>98.990896622929327</v>
          </cell>
          <cell r="AF819">
            <v>102.17670983486883</v>
          </cell>
          <cell r="AG819">
            <v>106.99772378763896</v>
          </cell>
          <cell r="AH819">
            <v>116.04444557838656</v>
          </cell>
        </row>
        <row r="820">
          <cell r="AD820">
            <v>96.753203598865568</v>
          </cell>
          <cell r="AE820">
            <v>99.008302083689216</v>
          </cell>
          <cell r="AF820">
            <v>102.19480282142609</v>
          </cell>
          <cell r="AG820">
            <v>107.01587272099563</v>
          </cell>
          <cell r="AH820">
            <v>116.0611887542742</v>
          </cell>
        </row>
        <row r="821">
          <cell r="AD821">
            <v>96.77115705824427</v>
          </cell>
          <cell r="AE821">
            <v>99.0252887097773</v>
          </cell>
          <cell r="AF821">
            <v>102.21289580798336</v>
          </cell>
          <cell r="AG821">
            <v>107.03386427916047</v>
          </cell>
          <cell r="AH821">
            <v>116.07793193016184</v>
          </cell>
        </row>
        <row r="822">
          <cell r="AD822">
            <v>96.789110517622973</v>
          </cell>
          <cell r="AE822">
            <v>99.042275335865384</v>
          </cell>
          <cell r="AF822">
            <v>102.23098879454061</v>
          </cell>
          <cell r="AG822">
            <v>107.05185583732531</v>
          </cell>
          <cell r="AH822">
            <v>116.09467510604948</v>
          </cell>
        </row>
        <row r="823">
          <cell r="AD823">
            <v>96.807063977001675</v>
          </cell>
          <cell r="AE823">
            <v>99.059261961953453</v>
          </cell>
          <cell r="AF823">
            <v>102.24908178109787</v>
          </cell>
          <cell r="AG823">
            <v>107.06984739549016</v>
          </cell>
          <cell r="AH823">
            <v>116.11141828193712</v>
          </cell>
        </row>
        <row r="824">
          <cell r="AD824">
            <v>96.825017436380378</v>
          </cell>
          <cell r="AE824">
            <v>99.076248588041537</v>
          </cell>
          <cell r="AF824">
            <v>102.26717476765513</v>
          </cell>
          <cell r="AG824">
            <v>107.08783895365499</v>
          </cell>
          <cell r="AH824">
            <v>116.12816145782476</v>
          </cell>
        </row>
        <row r="825">
          <cell r="AD825">
            <v>96.84297089575908</v>
          </cell>
          <cell r="AE825">
            <v>99.093235214129621</v>
          </cell>
          <cell r="AF825">
            <v>102.2852677542124</v>
          </cell>
          <cell r="AG825">
            <v>107.10583051181983</v>
          </cell>
          <cell r="AH825">
            <v>116.1449046337124</v>
          </cell>
        </row>
        <row r="826">
          <cell r="AD826">
            <v>96.860924355137783</v>
          </cell>
          <cell r="AE826">
            <v>99.11022184021769</v>
          </cell>
          <cell r="AF826">
            <v>102.30336074076966</v>
          </cell>
          <cell r="AG826">
            <v>107.12382206998468</v>
          </cell>
          <cell r="AH826">
            <v>116.16164780960004</v>
          </cell>
        </row>
        <row r="827">
          <cell r="AD827">
            <v>96.878877814516486</v>
          </cell>
          <cell r="AE827">
            <v>99.127208466305774</v>
          </cell>
          <cell r="AF827">
            <v>102.32145372732693</v>
          </cell>
          <cell r="AG827">
            <v>107.14181362814952</v>
          </cell>
          <cell r="AH827">
            <v>116.17839098548767</v>
          </cell>
        </row>
        <row r="828">
          <cell r="AD828">
            <v>96.896831273895188</v>
          </cell>
          <cell r="AE828">
            <v>99.144195092393858</v>
          </cell>
          <cell r="AF828">
            <v>102.33954671388419</v>
          </cell>
          <cell r="AG828">
            <v>107.15980518631437</v>
          </cell>
          <cell r="AH828">
            <v>116.19513416137531</v>
          </cell>
        </row>
        <row r="829">
          <cell r="AD829">
            <v>96.914784733273891</v>
          </cell>
          <cell r="AE829">
            <v>99.161181718481942</v>
          </cell>
          <cell r="AF829">
            <v>102.35763970044145</v>
          </cell>
          <cell r="AG829">
            <v>107.17779674447921</v>
          </cell>
          <cell r="AH829">
            <v>116.21187733726295</v>
          </cell>
        </row>
        <row r="830">
          <cell r="AD830">
            <v>96.932738192652593</v>
          </cell>
          <cell r="AE830">
            <v>99.178168344570011</v>
          </cell>
          <cell r="AF830">
            <v>102.37573268699872</v>
          </cell>
          <cell r="AG830">
            <v>107.19578830264405</v>
          </cell>
          <cell r="AH830">
            <v>116.22862051315059</v>
          </cell>
        </row>
        <row r="831">
          <cell r="AD831">
            <v>96.950691652031296</v>
          </cell>
          <cell r="AE831">
            <v>99.195154970658095</v>
          </cell>
          <cell r="AF831">
            <v>102.39382567355598</v>
          </cell>
          <cell r="AG831">
            <v>107.2137798608089</v>
          </cell>
          <cell r="AH831">
            <v>116.24536368903823</v>
          </cell>
        </row>
        <row r="832">
          <cell r="AD832">
            <v>96.968645111409998</v>
          </cell>
          <cell r="AE832">
            <v>99.212141596746179</v>
          </cell>
          <cell r="AF832">
            <v>102.41191866011324</v>
          </cell>
          <cell r="AG832">
            <v>107.23177141897374</v>
          </cell>
          <cell r="AH832">
            <v>116.26210686492587</v>
          </cell>
        </row>
        <row r="833">
          <cell r="AD833">
            <v>96.986598570788701</v>
          </cell>
          <cell r="AE833">
            <v>99.229128222834248</v>
          </cell>
          <cell r="AF833">
            <v>102.43001164667051</v>
          </cell>
          <cell r="AG833">
            <v>107.24976297713857</v>
          </cell>
          <cell r="AH833">
            <v>116.27885004081351</v>
          </cell>
        </row>
        <row r="834">
          <cell r="AD834">
            <v>97.004247194324662</v>
          </cell>
          <cell r="AE834">
            <v>99.246114848922332</v>
          </cell>
          <cell r="AF834">
            <v>102.44810463322777</v>
          </cell>
          <cell r="AG834">
            <v>107.26775453530342</v>
          </cell>
          <cell r="AH834">
            <v>116.29559321670115</v>
          </cell>
        </row>
        <row r="835">
          <cell r="AD835">
            <v>97.020998364237201</v>
          </cell>
          <cell r="AE835">
            <v>99.263101475010416</v>
          </cell>
          <cell r="AF835">
            <v>102.46619761978504</v>
          </cell>
          <cell r="AG835">
            <v>107.28574609346826</v>
          </cell>
          <cell r="AH835">
            <v>116.31233639258879</v>
          </cell>
        </row>
        <row r="836">
          <cell r="AD836">
            <v>97.037749534149754</v>
          </cell>
          <cell r="AE836">
            <v>99.280088101098485</v>
          </cell>
          <cell r="AF836">
            <v>102.4842906063423</v>
          </cell>
          <cell r="AG836">
            <v>107.30373765163311</v>
          </cell>
          <cell r="AH836">
            <v>116.32907956847643</v>
          </cell>
        </row>
        <row r="837">
          <cell r="AD837">
            <v>97.054500704062292</v>
          </cell>
          <cell r="AE837">
            <v>99.297074727186569</v>
          </cell>
          <cell r="AF837">
            <v>102.50238359289956</v>
          </cell>
          <cell r="AG837">
            <v>107.32172920979795</v>
          </cell>
          <cell r="AH837">
            <v>116.34582274436407</v>
          </cell>
        </row>
        <row r="838">
          <cell r="AD838">
            <v>97.071251873974845</v>
          </cell>
          <cell r="AE838">
            <v>99.314061353274653</v>
          </cell>
          <cell r="AF838">
            <v>102.52047657945683</v>
          </cell>
          <cell r="AG838">
            <v>107.33972076796279</v>
          </cell>
          <cell r="AH838">
            <v>116.36256592025171</v>
          </cell>
        </row>
        <row r="839">
          <cell r="AD839">
            <v>97.088003043887383</v>
          </cell>
          <cell r="AE839">
            <v>99.331047979362737</v>
          </cell>
          <cell r="AF839">
            <v>102.53856956601409</v>
          </cell>
          <cell r="AG839">
            <v>107.35771232612764</v>
          </cell>
          <cell r="AH839">
            <v>116.37930909613935</v>
          </cell>
        </row>
        <row r="840">
          <cell r="AD840">
            <v>97.104754213799936</v>
          </cell>
          <cell r="AE840">
            <v>99.348034605450806</v>
          </cell>
          <cell r="AF840">
            <v>102.55666255257135</v>
          </cell>
          <cell r="AG840">
            <v>107.37570388429248</v>
          </cell>
          <cell r="AH840">
            <v>116.39605227202699</v>
          </cell>
        </row>
        <row r="841">
          <cell r="AD841">
            <v>97.121505383712474</v>
          </cell>
          <cell r="AE841">
            <v>99.36502123153889</v>
          </cell>
          <cell r="AF841">
            <v>102.57475553912862</v>
          </cell>
          <cell r="AG841">
            <v>107.39369544245731</v>
          </cell>
          <cell r="AH841">
            <v>116.41279544791463</v>
          </cell>
        </row>
        <row r="842">
          <cell r="AD842">
            <v>97.138256553625027</v>
          </cell>
          <cell r="AE842">
            <v>99.382007857626974</v>
          </cell>
          <cell r="AF842">
            <v>102.59284852568588</v>
          </cell>
          <cell r="AG842">
            <v>107.41168700062217</v>
          </cell>
          <cell r="AH842">
            <v>116.42953862380227</v>
          </cell>
        </row>
        <row r="843">
          <cell r="AD843">
            <v>97.155007723537565</v>
          </cell>
          <cell r="AE843">
            <v>99.398994483715043</v>
          </cell>
          <cell r="AF843">
            <v>102.61094151224314</v>
          </cell>
          <cell r="AG843">
            <v>107.429678558787</v>
          </cell>
          <cell r="AH843">
            <v>116.44628179968991</v>
          </cell>
        </row>
        <row r="844">
          <cell r="AD844">
            <v>97.171758893450104</v>
          </cell>
          <cell r="AE844">
            <v>99.415981109803127</v>
          </cell>
          <cell r="AF844">
            <v>102.62903449880041</v>
          </cell>
          <cell r="AG844">
            <v>107.44767011695184</v>
          </cell>
          <cell r="AH844">
            <v>116.46302497557755</v>
          </cell>
        </row>
        <row r="845">
          <cell r="AD845">
            <v>97.188510063362656</v>
          </cell>
          <cell r="AE845">
            <v>99.432967735891211</v>
          </cell>
          <cell r="AF845">
            <v>102.64712748535767</v>
          </cell>
          <cell r="AG845">
            <v>107.46566167511669</v>
          </cell>
          <cell r="AH845">
            <v>116.47976815146519</v>
          </cell>
        </row>
        <row r="846">
          <cell r="AD846">
            <v>97.205261233275195</v>
          </cell>
          <cell r="AE846">
            <v>99.44995436197928</v>
          </cell>
          <cell r="AF846">
            <v>102.66522047191494</v>
          </cell>
          <cell r="AG846">
            <v>107.48365323328153</v>
          </cell>
          <cell r="AH846">
            <v>116.49651132735283</v>
          </cell>
        </row>
        <row r="847">
          <cell r="AD847">
            <v>97.222012403187748</v>
          </cell>
          <cell r="AE847">
            <v>99.466940988067364</v>
          </cell>
          <cell r="AF847">
            <v>102.6833134584722</v>
          </cell>
          <cell r="AG847">
            <v>107.50164479144638</v>
          </cell>
          <cell r="AH847">
            <v>116.51325450324047</v>
          </cell>
        </row>
        <row r="848">
          <cell r="AD848">
            <v>97.238763573100286</v>
          </cell>
          <cell r="AE848">
            <v>99.483927614155448</v>
          </cell>
          <cell r="AF848">
            <v>102.70140644502946</v>
          </cell>
          <cell r="AG848">
            <v>107.51963634961122</v>
          </cell>
          <cell r="AH848">
            <v>116.52999767912812</v>
          </cell>
        </row>
        <row r="849">
          <cell r="AD849">
            <v>97.255514743012839</v>
          </cell>
          <cell r="AE849">
            <v>99.500914240243532</v>
          </cell>
          <cell r="AF849">
            <v>102.71949943158673</v>
          </cell>
          <cell r="AG849">
            <v>107.53762790777606</v>
          </cell>
          <cell r="AH849">
            <v>116.54674085501576</v>
          </cell>
        </row>
        <row r="850">
          <cell r="AD850">
            <v>97.272265912925377</v>
          </cell>
          <cell r="AE850">
            <v>99.517900866331601</v>
          </cell>
          <cell r="AF850">
            <v>102.73759241814399</v>
          </cell>
          <cell r="AG850">
            <v>107.55561946594091</v>
          </cell>
          <cell r="AH850">
            <v>116.5634840309034</v>
          </cell>
        </row>
        <row r="851">
          <cell r="AD851">
            <v>97.28901708283793</v>
          </cell>
          <cell r="AE851">
            <v>99.534887492419685</v>
          </cell>
          <cell r="AF851">
            <v>102.75568540470125</v>
          </cell>
          <cell r="AG851">
            <v>107.57361102410574</v>
          </cell>
          <cell r="AH851">
            <v>116.58022720679104</v>
          </cell>
        </row>
        <row r="852">
          <cell r="AD852">
            <v>97.305768252750468</v>
          </cell>
          <cell r="AE852">
            <v>99.551874118507769</v>
          </cell>
          <cell r="AF852">
            <v>102.77377839125852</v>
          </cell>
          <cell r="AG852">
            <v>107.59160258227058</v>
          </cell>
          <cell r="AH852">
            <v>116.59697038267868</v>
          </cell>
        </row>
        <row r="853">
          <cell r="AD853">
            <v>97.322519422663021</v>
          </cell>
          <cell r="AE853">
            <v>99.568860744595838</v>
          </cell>
          <cell r="AF853">
            <v>102.79187137781578</v>
          </cell>
          <cell r="AG853">
            <v>107.60959414043543</v>
          </cell>
          <cell r="AH853">
            <v>116.61371355856632</v>
          </cell>
        </row>
        <row r="854">
          <cell r="AD854">
            <v>97.339270592575559</v>
          </cell>
          <cell r="AE854">
            <v>99.585847370683922</v>
          </cell>
          <cell r="AF854">
            <v>102.80996436437304</v>
          </cell>
          <cell r="AG854">
            <v>107.62758569860027</v>
          </cell>
          <cell r="AH854">
            <v>116.63045673445396</v>
          </cell>
        </row>
        <row r="855">
          <cell r="AD855">
            <v>97.356021762488112</v>
          </cell>
          <cell r="AE855">
            <v>99.602833996772006</v>
          </cell>
          <cell r="AF855">
            <v>102.82805735093031</v>
          </cell>
          <cell r="AG855">
            <v>107.64557725676511</v>
          </cell>
          <cell r="AH855">
            <v>116.6471999103416</v>
          </cell>
        </row>
        <row r="856">
          <cell r="AD856">
            <v>97.37277293240065</v>
          </cell>
          <cell r="AE856">
            <v>99.619820622860075</v>
          </cell>
          <cell r="AF856">
            <v>102.84615033748757</v>
          </cell>
          <cell r="AG856">
            <v>107.66356881492996</v>
          </cell>
          <cell r="AH856">
            <v>116.66394308622924</v>
          </cell>
        </row>
        <row r="857">
          <cell r="AD857">
            <v>97.389524102313189</v>
          </cell>
          <cell r="AE857">
            <v>99.636807248948159</v>
          </cell>
          <cell r="AF857">
            <v>102.86424332404484</v>
          </cell>
          <cell r="AG857">
            <v>107.6815603730948</v>
          </cell>
          <cell r="AH857">
            <v>116.68068626211688</v>
          </cell>
        </row>
        <row r="858">
          <cell r="AD858">
            <v>97.406275272225741</v>
          </cell>
          <cell r="AE858">
            <v>99.653793875036243</v>
          </cell>
          <cell r="AF858">
            <v>102.8823363106021</v>
          </cell>
          <cell r="AG858">
            <v>107.69955193125965</v>
          </cell>
          <cell r="AH858">
            <v>116.69742943800452</v>
          </cell>
        </row>
        <row r="859">
          <cell r="AD859">
            <v>97.42302644213828</v>
          </cell>
          <cell r="AE859">
            <v>99.670780501124327</v>
          </cell>
          <cell r="AF859">
            <v>102.90042929715936</v>
          </cell>
          <cell r="AG859">
            <v>107.71754348942449</v>
          </cell>
          <cell r="AH859">
            <v>116.71417261389216</v>
          </cell>
        </row>
        <row r="860">
          <cell r="AD860">
            <v>97.439777612050833</v>
          </cell>
          <cell r="AE860">
            <v>99.687767127212396</v>
          </cell>
          <cell r="AF860">
            <v>102.91852228371663</v>
          </cell>
          <cell r="AG860">
            <v>107.73553504758932</v>
          </cell>
          <cell r="AH860">
            <v>116.7309157897798</v>
          </cell>
        </row>
        <row r="861">
          <cell r="AD861">
            <v>97.456528781963371</v>
          </cell>
          <cell r="AE861">
            <v>99.70475375330048</v>
          </cell>
          <cell r="AF861">
            <v>102.93661527027389</v>
          </cell>
          <cell r="AG861">
            <v>107.75352660575417</v>
          </cell>
          <cell r="AH861">
            <v>116.74765896566743</v>
          </cell>
        </row>
        <row r="862">
          <cell r="AD862">
            <v>97.473279951875924</v>
          </cell>
          <cell r="AE862">
            <v>99.721740379388564</v>
          </cell>
          <cell r="AF862">
            <v>102.95470825683115</v>
          </cell>
          <cell r="AG862">
            <v>107.77151816391901</v>
          </cell>
          <cell r="AH862">
            <v>116.76440214155507</v>
          </cell>
        </row>
        <row r="863">
          <cell r="AD863">
            <v>97.490031121788462</v>
          </cell>
          <cell r="AE863">
            <v>99.738727005476633</v>
          </cell>
          <cell r="AF863">
            <v>102.97280124338842</v>
          </cell>
          <cell r="AG863">
            <v>107.78950972208385</v>
          </cell>
          <cell r="AH863">
            <v>116.78114531744271</v>
          </cell>
        </row>
        <row r="864">
          <cell r="AD864">
            <v>97.506782291701015</v>
          </cell>
          <cell r="AE864">
            <v>99.755713631564717</v>
          </cell>
          <cell r="AF864">
            <v>102.99089422994568</v>
          </cell>
          <cell r="AG864">
            <v>107.8075012802487</v>
          </cell>
          <cell r="AH864">
            <v>116.79788849333035</v>
          </cell>
        </row>
        <row r="865">
          <cell r="AD865">
            <v>97.523533461613553</v>
          </cell>
          <cell r="AE865">
            <v>99.772700257652801</v>
          </cell>
          <cell r="AF865">
            <v>103.00777255201511</v>
          </cell>
          <cell r="AG865">
            <v>107.82549283841354</v>
          </cell>
          <cell r="AH865">
            <v>116.81463166921799</v>
          </cell>
        </row>
        <row r="866">
          <cell r="AD866">
            <v>97.540284631526106</v>
          </cell>
          <cell r="AE866">
            <v>99.78968688374087</v>
          </cell>
          <cell r="AF866">
            <v>103.02342018652789</v>
          </cell>
          <cell r="AG866">
            <v>107.84348439657839</v>
          </cell>
          <cell r="AH866">
            <v>116.83137484510563</v>
          </cell>
        </row>
        <row r="867">
          <cell r="AD867">
            <v>97.557035801438644</v>
          </cell>
          <cell r="AE867">
            <v>99.806673509828954</v>
          </cell>
          <cell r="AF867">
            <v>103.03906782104067</v>
          </cell>
          <cell r="AG867">
            <v>107.86147595474323</v>
          </cell>
          <cell r="AH867">
            <v>116.84811802099327</v>
          </cell>
        </row>
        <row r="868">
          <cell r="AD868">
            <v>97.573786971351197</v>
          </cell>
          <cell r="AE868">
            <v>99.823660135917038</v>
          </cell>
          <cell r="AF868">
            <v>103.05471545555345</v>
          </cell>
          <cell r="AG868">
            <v>107.87946751290806</v>
          </cell>
          <cell r="AH868">
            <v>116.86486119688091</v>
          </cell>
        </row>
        <row r="869">
          <cell r="AD869">
            <v>97.590538141263735</v>
          </cell>
          <cell r="AE869">
            <v>99.840646762005122</v>
          </cell>
          <cell r="AF869">
            <v>103.07036309006622</v>
          </cell>
          <cell r="AG869">
            <v>107.89745907107292</v>
          </cell>
          <cell r="AH869">
            <v>116.88160437276855</v>
          </cell>
        </row>
        <row r="870">
          <cell r="AD870">
            <v>97.607289311176274</v>
          </cell>
          <cell r="AE870">
            <v>99.857633388093191</v>
          </cell>
          <cell r="AF870">
            <v>103.086010724579</v>
          </cell>
          <cell r="AG870">
            <v>107.91545062923775</v>
          </cell>
          <cell r="AH870">
            <v>116.89834754865619</v>
          </cell>
        </row>
        <row r="871">
          <cell r="AD871">
            <v>97.624040481088826</v>
          </cell>
          <cell r="AE871">
            <v>99.874620014181275</v>
          </cell>
          <cell r="AF871">
            <v>103.10165835909177</v>
          </cell>
          <cell r="AG871">
            <v>107.93344218740259</v>
          </cell>
          <cell r="AH871">
            <v>116.91509072454383</v>
          </cell>
        </row>
        <row r="872">
          <cell r="AD872">
            <v>97.640791651001365</v>
          </cell>
          <cell r="AE872">
            <v>99.891606640269359</v>
          </cell>
          <cell r="AF872">
            <v>103.11730599360455</v>
          </cell>
          <cell r="AG872">
            <v>107.95143374556744</v>
          </cell>
          <cell r="AH872">
            <v>116.93183390043147</v>
          </cell>
        </row>
        <row r="873">
          <cell r="AD873">
            <v>97.657542820913918</v>
          </cell>
          <cell r="AE873">
            <v>99.908593266357428</v>
          </cell>
          <cell r="AF873">
            <v>103.13295362811732</v>
          </cell>
          <cell r="AG873">
            <v>107.96942530373228</v>
          </cell>
          <cell r="AH873">
            <v>116.94857707631911</v>
          </cell>
        </row>
        <row r="874">
          <cell r="AD874">
            <v>97.674293990826456</v>
          </cell>
          <cell r="AE874">
            <v>99.925579892445512</v>
          </cell>
          <cell r="AF874">
            <v>103.14860126263009</v>
          </cell>
          <cell r="AG874">
            <v>107.98741686189712</v>
          </cell>
          <cell r="AH874">
            <v>116.96532025220675</v>
          </cell>
        </row>
        <row r="875">
          <cell r="AD875">
            <v>97.691045160739009</v>
          </cell>
          <cell r="AE875">
            <v>99.942566518533596</v>
          </cell>
          <cell r="AF875">
            <v>103.16424889714287</v>
          </cell>
          <cell r="AG875">
            <v>108.00500037964638</v>
          </cell>
          <cell r="AH875">
            <v>116.98206342809439</v>
          </cell>
        </row>
        <row r="876">
          <cell r="AD876">
            <v>97.707796330651547</v>
          </cell>
          <cell r="AE876">
            <v>99.95955314462168</v>
          </cell>
          <cell r="AF876">
            <v>103.17989653165564</v>
          </cell>
          <cell r="AG876">
            <v>108.0216345575067</v>
          </cell>
          <cell r="AH876">
            <v>116.99880660398203</v>
          </cell>
        </row>
        <row r="877">
          <cell r="AD877">
            <v>97.7245475005641</v>
          </cell>
          <cell r="AE877">
            <v>99.976539770709749</v>
          </cell>
          <cell r="AF877">
            <v>103.19554416616842</v>
          </cell>
          <cell r="AG877">
            <v>108.03826873536703</v>
          </cell>
          <cell r="AH877">
            <v>117.01473259965354</v>
          </cell>
        </row>
        <row r="878">
          <cell r="AD878">
            <v>97.741298670476638</v>
          </cell>
          <cell r="AE878">
            <v>99.993526396797833</v>
          </cell>
          <cell r="AF878">
            <v>103.21119180068119</v>
          </cell>
          <cell r="AG878">
            <v>108.05490291322735</v>
          </cell>
          <cell r="AH878">
            <v>117.03059587934938</v>
          </cell>
        </row>
        <row r="879">
          <cell r="AD879">
            <v>97.758049840389191</v>
          </cell>
          <cell r="AE879">
            <v>100.00970553358441</v>
          </cell>
          <cell r="AF879">
            <v>103.22683943519397</v>
          </cell>
          <cell r="AG879">
            <v>108.07153709108769</v>
          </cell>
          <cell r="AH879">
            <v>117.04645915904523</v>
          </cell>
        </row>
        <row r="880">
          <cell r="AD880">
            <v>97.774801010301729</v>
          </cell>
          <cell r="AE880">
            <v>100.02538744275296</v>
          </cell>
          <cell r="AF880">
            <v>103.24248706970674</v>
          </cell>
          <cell r="AG880">
            <v>108.08817126894802</v>
          </cell>
          <cell r="AH880">
            <v>117.06232243874106</v>
          </cell>
        </row>
        <row r="881">
          <cell r="AD881">
            <v>97.791552180214282</v>
          </cell>
          <cell r="AE881">
            <v>100.04106935192151</v>
          </cell>
          <cell r="AF881">
            <v>103.25813470421951</v>
          </cell>
          <cell r="AG881">
            <v>108.10480544680834</v>
          </cell>
          <cell r="AH881">
            <v>117.0781857184369</v>
          </cell>
        </row>
        <row r="882">
          <cell r="AD882">
            <v>97.80830335012682</v>
          </cell>
          <cell r="AE882">
            <v>100.05675126109006</v>
          </cell>
          <cell r="AF882">
            <v>103.27378233873229</v>
          </cell>
          <cell r="AG882">
            <v>108.12143962466867</v>
          </cell>
          <cell r="AH882">
            <v>117.09404899813275</v>
          </cell>
        </row>
        <row r="883">
          <cell r="AD883">
            <v>97.825054520039359</v>
          </cell>
          <cell r="AE883">
            <v>100.07243317025861</v>
          </cell>
          <cell r="AF883">
            <v>103.28942997324506</v>
          </cell>
          <cell r="AG883">
            <v>108.13807380252899</v>
          </cell>
          <cell r="AH883">
            <v>117.10991227782858</v>
          </cell>
        </row>
        <row r="884">
          <cell r="AD884">
            <v>97.841805689951912</v>
          </cell>
          <cell r="AE884">
            <v>100.08811507942715</v>
          </cell>
          <cell r="AF884">
            <v>103.30507760775784</v>
          </cell>
          <cell r="AG884">
            <v>108.15470798038932</v>
          </cell>
          <cell r="AH884">
            <v>117.12577555752442</v>
          </cell>
        </row>
        <row r="885">
          <cell r="AD885">
            <v>97.85855685986445</v>
          </cell>
          <cell r="AE885">
            <v>100.1037969885957</v>
          </cell>
          <cell r="AF885">
            <v>103.32072524227061</v>
          </cell>
          <cell r="AG885">
            <v>108.17134215824964</v>
          </cell>
          <cell r="AH885">
            <v>117.14163883722027</v>
          </cell>
        </row>
        <row r="886">
          <cell r="AD886">
            <v>97.875308029777003</v>
          </cell>
          <cell r="AE886">
            <v>100.11947889776425</v>
          </cell>
          <cell r="AF886">
            <v>103.33637287678339</v>
          </cell>
          <cell r="AG886">
            <v>108.18797633610997</v>
          </cell>
          <cell r="AH886">
            <v>117.15750211691611</v>
          </cell>
        </row>
        <row r="887">
          <cell r="AD887">
            <v>97.892059199689541</v>
          </cell>
          <cell r="AE887">
            <v>100.1351608069328</v>
          </cell>
          <cell r="AF887">
            <v>103.35202051129616</v>
          </cell>
          <cell r="AG887">
            <v>108.20461051397029</v>
          </cell>
          <cell r="AH887">
            <v>117.17336539661194</v>
          </cell>
        </row>
        <row r="888">
          <cell r="AD888">
            <v>97.908810369602094</v>
          </cell>
          <cell r="AE888">
            <v>100.15084271610134</v>
          </cell>
          <cell r="AF888">
            <v>103.36766814580893</v>
          </cell>
          <cell r="AG888">
            <v>108.22124469183062</v>
          </cell>
          <cell r="AH888">
            <v>117.18922867630779</v>
          </cell>
        </row>
        <row r="889">
          <cell r="AD889">
            <v>97.925561539514632</v>
          </cell>
          <cell r="AE889">
            <v>100.16652462526989</v>
          </cell>
          <cell r="AF889">
            <v>103.38331578032171</v>
          </cell>
          <cell r="AG889">
            <v>108.23787886969095</v>
          </cell>
          <cell r="AH889">
            <v>117.20509195600363</v>
          </cell>
        </row>
        <row r="890">
          <cell r="AD890">
            <v>97.942312709427185</v>
          </cell>
          <cell r="AE890">
            <v>100.18220653443844</v>
          </cell>
          <cell r="AF890">
            <v>103.39896341483448</v>
          </cell>
          <cell r="AG890">
            <v>108.25451304755127</v>
          </cell>
          <cell r="AH890">
            <v>117.22095523569948</v>
          </cell>
        </row>
        <row r="891">
          <cell r="AD891">
            <v>97.959063879339723</v>
          </cell>
          <cell r="AE891">
            <v>100.19788844360698</v>
          </cell>
          <cell r="AF891">
            <v>103.41461104934726</v>
          </cell>
          <cell r="AG891">
            <v>108.27114722541161</v>
          </cell>
          <cell r="AH891">
            <v>117.23681851539531</v>
          </cell>
        </row>
        <row r="892">
          <cell r="AD892">
            <v>97.975815049252276</v>
          </cell>
          <cell r="AE892">
            <v>100.21357035277553</v>
          </cell>
          <cell r="AF892">
            <v>103.43025868386005</v>
          </cell>
          <cell r="AG892">
            <v>108.28778140327194</v>
          </cell>
          <cell r="AH892">
            <v>117.25268179509115</v>
          </cell>
        </row>
        <row r="893">
          <cell r="AD893">
            <v>97.992566219164814</v>
          </cell>
          <cell r="AE893">
            <v>100.22925226194408</v>
          </cell>
          <cell r="AF893">
            <v>103.44590631837282</v>
          </cell>
          <cell r="AG893">
            <v>108.30441558113226</v>
          </cell>
          <cell r="AH893">
            <v>117.268545074787</v>
          </cell>
        </row>
        <row r="894">
          <cell r="AD894">
            <v>98.008693431404168</v>
          </cell>
          <cell r="AE894">
            <v>100.24493417111263</v>
          </cell>
          <cell r="AF894">
            <v>103.46155395288559</v>
          </cell>
          <cell r="AG894">
            <v>108.32104975899259</v>
          </cell>
          <cell r="AH894">
            <v>117.28440835448284</v>
          </cell>
        </row>
        <row r="895">
          <cell r="AD895">
            <v>98.024322825579404</v>
          </cell>
          <cell r="AE895">
            <v>100.26061608028118</v>
          </cell>
          <cell r="AF895">
            <v>103.47720158739837</v>
          </cell>
          <cell r="AG895">
            <v>108.33768393685291</v>
          </cell>
          <cell r="AH895">
            <v>117.30027163417867</v>
          </cell>
        </row>
        <row r="896">
          <cell r="AD896">
            <v>98.039952219754653</v>
          </cell>
          <cell r="AE896">
            <v>100.27629798944973</v>
          </cell>
          <cell r="AF896">
            <v>103.49284922191114</v>
          </cell>
          <cell r="AG896">
            <v>108.35431811471324</v>
          </cell>
          <cell r="AH896">
            <v>117.31613491387452</v>
          </cell>
        </row>
        <row r="897">
          <cell r="AD897">
            <v>98.055581613929888</v>
          </cell>
          <cell r="AE897">
            <v>100.29197989861828</v>
          </cell>
          <cell r="AF897">
            <v>103.50849685642392</v>
          </cell>
          <cell r="AG897">
            <v>108.37095229257356</v>
          </cell>
          <cell r="AH897">
            <v>117.33199819357036</v>
          </cell>
        </row>
        <row r="898">
          <cell r="AD898">
            <v>98.071211008105138</v>
          </cell>
          <cell r="AE898">
            <v>100.30766180778681</v>
          </cell>
          <cell r="AF898">
            <v>103.52414449093669</v>
          </cell>
          <cell r="AG898">
            <v>108.38758647043389</v>
          </cell>
          <cell r="AH898">
            <v>117.34786147326619</v>
          </cell>
        </row>
        <row r="899">
          <cell r="AD899">
            <v>98.086840402280373</v>
          </cell>
          <cell r="AE899">
            <v>100.32334371695536</v>
          </cell>
          <cell r="AF899">
            <v>103.53979212544947</v>
          </cell>
          <cell r="AG899">
            <v>108.40422064829421</v>
          </cell>
          <cell r="AH899">
            <v>117.36372475296204</v>
          </cell>
        </row>
        <row r="900">
          <cell r="AD900">
            <v>98.102469796455622</v>
          </cell>
          <cell r="AE900">
            <v>100.33902562612391</v>
          </cell>
          <cell r="AF900">
            <v>103.55543975996224</v>
          </cell>
          <cell r="AG900">
            <v>108.42085482615454</v>
          </cell>
          <cell r="AH900">
            <v>117.37958803265788</v>
          </cell>
        </row>
        <row r="901">
          <cell r="AD901">
            <v>98.118099190630872</v>
          </cell>
          <cell r="AE901">
            <v>100.35470753529246</v>
          </cell>
          <cell r="AF901">
            <v>103.57108739447501</v>
          </cell>
          <cell r="AG901">
            <v>108.43748900401486</v>
          </cell>
          <cell r="AH901">
            <v>117.39545131235373</v>
          </cell>
        </row>
        <row r="902">
          <cell r="AD902">
            <v>98.133728584806107</v>
          </cell>
          <cell r="AE902">
            <v>100.37038944446101</v>
          </cell>
          <cell r="AF902">
            <v>103.58673502898779</v>
          </cell>
          <cell r="AG902">
            <v>108.45412318187519</v>
          </cell>
          <cell r="AH902">
            <v>117.41131459204956</v>
          </cell>
        </row>
        <row r="903">
          <cell r="AD903">
            <v>98.149357978981357</v>
          </cell>
          <cell r="AE903">
            <v>100.38607135362956</v>
          </cell>
          <cell r="AF903">
            <v>103.60238266350056</v>
          </cell>
          <cell r="AG903">
            <v>108.47075735973553</v>
          </cell>
          <cell r="AH903">
            <v>117.4271778717454</v>
          </cell>
        </row>
        <row r="904">
          <cell r="AD904">
            <v>98.164987373156592</v>
          </cell>
          <cell r="AE904">
            <v>100.40175326279811</v>
          </cell>
          <cell r="AF904">
            <v>103.61803029801334</v>
          </cell>
          <cell r="AG904">
            <v>108.48739153759585</v>
          </cell>
          <cell r="AH904">
            <v>117.44304115144125</v>
          </cell>
        </row>
        <row r="905">
          <cell r="AD905">
            <v>98.180616767331841</v>
          </cell>
          <cell r="AE905">
            <v>100.41743517196666</v>
          </cell>
          <cell r="AF905">
            <v>103.63367793252611</v>
          </cell>
          <cell r="AG905">
            <v>108.50402571545618</v>
          </cell>
          <cell r="AH905">
            <v>117.45890443113709</v>
          </cell>
        </row>
        <row r="906">
          <cell r="AD906">
            <v>98.196246161507077</v>
          </cell>
          <cell r="AE906">
            <v>100.43311708113521</v>
          </cell>
          <cell r="AF906">
            <v>103.64932556703889</v>
          </cell>
          <cell r="AG906">
            <v>108.52065989331651</v>
          </cell>
          <cell r="AH906">
            <v>117.47476771083292</v>
          </cell>
        </row>
        <row r="907">
          <cell r="AD907">
            <v>98.211875555682326</v>
          </cell>
          <cell r="AE907">
            <v>100.44879899030376</v>
          </cell>
          <cell r="AF907">
            <v>103.66497320155166</v>
          </cell>
          <cell r="AG907">
            <v>108.53729407117683</v>
          </cell>
          <cell r="AH907">
            <v>117.49063099052877</v>
          </cell>
        </row>
        <row r="908">
          <cell r="AD908">
            <v>98.227504949857575</v>
          </cell>
          <cell r="AE908">
            <v>100.46448089947231</v>
          </cell>
          <cell r="AF908">
            <v>103.68062083606443</v>
          </cell>
          <cell r="AG908">
            <v>108.55392824903716</v>
          </cell>
          <cell r="AH908">
            <v>117.50649427022461</v>
          </cell>
        </row>
        <row r="909">
          <cell r="AD909">
            <v>98.243134344032811</v>
          </cell>
          <cell r="AE909">
            <v>100.48016280864084</v>
          </cell>
          <cell r="AF909">
            <v>103.69626847057721</v>
          </cell>
          <cell r="AG909">
            <v>108.57056242689748</v>
          </cell>
          <cell r="AH909">
            <v>117.52235754992044</v>
          </cell>
        </row>
        <row r="910">
          <cell r="AD910">
            <v>98.25876373820806</v>
          </cell>
          <cell r="AE910">
            <v>100.49584471780939</v>
          </cell>
          <cell r="AF910">
            <v>103.71191610508998</v>
          </cell>
          <cell r="AG910">
            <v>108.58719660475781</v>
          </cell>
          <cell r="AH910">
            <v>117.53822082961629</v>
          </cell>
        </row>
        <row r="911">
          <cell r="AD911">
            <v>98.274393132383295</v>
          </cell>
          <cell r="AE911">
            <v>100.51152662697794</v>
          </cell>
          <cell r="AF911">
            <v>103.72756373960276</v>
          </cell>
          <cell r="AG911">
            <v>108.60383078261813</v>
          </cell>
          <cell r="AH911">
            <v>117.55408410931213</v>
          </cell>
        </row>
        <row r="912">
          <cell r="AD912">
            <v>98.290022526558545</v>
          </cell>
          <cell r="AE912">
            <v>100.52720853614649</v>
          </cell>
          <cell r="AF912">
            <v>103.74321137411553</v>
          </cell>
          <cell r="AG912">
            <v>108.62046496047846</v>
          </cell>
          <cell r="AH912">
            <v>117.56994738900798</v>
          </cell>
        </row>
        <row r="913">
          <cell r="AD913">
            <v>98.305651920733794</v>
          </cell>
          <cell r="AE913">
            <v>100.54289044531504</v>
          </cell>
          <cell r="AF913">
            <v>103.75885900862831</v>
          </cell>
          <cell r="AG913">
            <v>108.63709913833878</v>
          </cell>
          <cell r="AH913">
            <v>117.58581066870381</v>
          </cell>
        </row>
        <row r="914">
          <cell r="AD914">
            <v>98.321281314909029</v>
          </cell>
          <cell r="AE914">
            <v>100.55857235448359</v>
          </cell>
          <cell r="AF914">
            <v>103.77450664314108</v>
          </cell>
          <cell r="AG914">
            <v>108.65373331619912</v>
          </cell>
          <cell r="AH914">
            <v>117.60167394839965</v>
          </cell>
        </row>
        <row r="915">
          <cell r="AD915">
            <v>98.336910709084279</v>
          </cell>
          <cell r="AE915">
            <v>100.57425426365214</v>
          </cell>
          <cell r="AF915">
            <v>103.79015427765385</v>
          </cell>
          <cell r="AG915">
            <v>108.67036749405945</v>
          </cell>
          <cell r="AH915">
            <v>117.6175372280955</v>
          </cell>
        </row>
        <row r="916">
          <cell r="AD916">
            <v>98.352540103259514</v>
          </cell>
          <cell r="AE916">
            <v>100.58993617282069</v>
          </cell>
          <cell r="AF916">
            <v>103.80580191216663</v>
          </cell>
          <cell r="AG916">
            <v>108.68700167191977</v>
          </cell>
          <cell r="AH916">
            <v>117.63340050779134</v>
          </cell>
        </row>
        <row r="917">
          <cell r="AD917">
            <v>98.368169497434764</v>
          </cell>
          <cell r="AE917">
            <v>100.60561808198923</v>
          </cell>
          <cell r="AF917">
            <v>103.8214495466794</v>
          </cell>
          <cell r="AG917">
            <v>108.7036358497801</v>
          </cell>
          <cell r="AH917">
            <v>117.64926378748717</v>
          </cell>
        </row>
        <row r="918">
          <cell r="AD918">
            <v>98.383798891609999</v>
          </cell>
          <cell r="AE918">
            <v>100.62129999115778</v>
          </cell>
          <cell r="AF918">
            <v>103.83709718119219</v>
          </cell>
          <cell r="AG918">
            <v>108.72027002764042</v>
          </cell>
          <cell r="AH918">
            <v>117.66512706718302</v>
          </cell>
        </row>
        <row r="919">
          <cell r="AD919">
            <v>98.399428285785248</v>
          </cell>
          <cell r="AE919">
            <v>100.63698190032633</v>
          </cell>
          <cell r="AF919">
            <v>103.85274481570497</v>
          </cell>
          <cell r="AG919">
            <v>108.73690420550075</v>
          </cell>
          <cell r="AH919">
            <v>117.68099034687886</v>
          </cell>
        </row>
        <row r="920">
          <cell r="AD920">
            <v>98.415057679960498</v>
          </cell>
          <cell r="AE920">
            <v>100.65266380949487</v>
          </cell>
          <cell r="AF920">
            <v>103.86839245021774</v>
          </cell>
          <cell r="AG920">
            <v>108.75353838336108</v>
          </cell>
          <cell r="AH920">
            <v>117.69685362657469</v>
          </cell>
        </row>
        <row r="921">
          <cell r="AD921">
            <v>98.430687074135733</v>
          </cell>
          <cell r="AE921">
            <v>100.66834571866342</v>
          </cell>
          <cell r="AF921">
            <v>103.88404008473051</v>
          </cell>
          <cell r="AG921">
            <v>108.7701725612214</v>
          </cell>
          <cell r="AH921">
            <v>117.71271690627054</v>
          </cell>
        </row>
        <row r="922">
          <cell r="AD922">
            <v>98.446316468310982</v>
          </cell>
          <cell r="AE922">
            <v>100.68402762783197</v>
          </cell>
          <cell r="AF922">
            <v>103.89968771924329</v>
          </cell>
          <cell r="AG922">
            <v>108.78680673908173</v>
          </cell>
          <cell r="AH922">
            <v>117.72858018596638</v>
          </cell>
        </row>
        <row r="923">
          <cell r="AD923">
            <v>98.461945862486218</v>
          </cell>
          <cell r="AE923">
            <v>100.69970953700052</v>
          </cell>
          <cell r="AF923">
            <v>103.91533535375606</v>
          </cell>
          <cell r="AG923">
            <v>108.80344091694205</v>
          </cell>
          <cell r="AH923">
            <v>117.74444346566223</v>
          </cell>
        </row>
        <row r="924">
          <cell r="AD924">
            <v>98.477575256661467</v>
          </cell>
          <cell r="AE924">
            <v>100.71539144616906</v>
          </cell>
          <cell r="AF924">
            <v>103.93098298826884</v>
          </cell>
          <cell r="AG924">
            <v>108.82007509480238</v>
          </cell>
          <cell r="AH924">
            <v>117.76030674535806</v>
          </cell>
        </row>
        <row r="925">
          <cell r="AD925">
            <v>98.493204650836702</v>
          </cell>
          <cell r="AE925">
            <v>100.73107335533761</v>
          </cell>
          <cell r="AF925">
            <v>103.94663062278161</v>
          </cell>
          <cell r="AG925">
            <v>108.8367092726627</v>
          </cell>
          <cell r="AH925">
            <v>117.7761700250539</v>
          </cell>
        </row>
        <row r="926">
          <cell r="AD926">
            <v>98.508834045011952</v>
          </cell>
          <cell r="AE926">
            <v>100.74675526450616</v>
          </cell>
          <cell r="AF926">
            <v>103.96227825729439</v>
          </cell>
          <cell r="AG926">
            <v>108.85334345052304</v>
          </cell>
          <cell r="AH926">
            <v>117.79203330474975</v>
          </cell>
        </row>
        <row r="927">
          <cell r="AD927">
            <v>98.524463439187201</v>
          </cell>
          <cell r="AE927">
            <v>100.76243717367471</v>
          </cell>
          <cell r="AF927">
            <v>103.97792589180716</v>
          </cell>
          <cell r="AG927">
            <v>108.86997762838337</v>
          </cell>
          <cell r="AH927">
            <v>117.80789658444559</v>
          </cell>
        </row>
        <row r="928">
          <cell r="AD928">
            <v>98.540092833362436</v>
          </cell>
          <cell r="AE928">
            <v>100.77811908284326</v>
          </cell>
          <cell r="AF928">
            <v>103.99357352631993</v>
          </cell>
          <cell r="AG928">
            <v>108.88661180624369</v>
          </cell>
          <cell r="AH928">
            <v>117.82375986414142</v>
          </cell>
        </row>
        <row r="929">
          <cell r="AD929">
            <v>98.555722227537686</v>
          </cell>
          <cell r="AE929">
            <v>100.79380099201181</v>
          </cell>
          <cell r="AF929">
            <v>104.00869539673992</v>
          </cell>
          <cell r="AG929">
            <v>108.90324598410402</v>
          </cell>
          <cell r="AH929">
            <v>117.83962314383727</v>
          </cell>
        </row>
        <row r="930">
          <cell r="AD930">
            <v>98.571351621712921</v>
          </cell>
          <cell r="AE930">
            <v>100.80948290118035</v>
          </cell>
          <cell r="AF930">
            <v>104.02345084809778</v>
          </cell>
          <cell r="AG930">
            <v>108.91988016196434</v>
          </cell>
          <cell r="AH930">
            <v>117.85548642353311</v>
          </cell>
        </row>
        <row r="931">
          <cell r="AD931">
            <v>98.586981015888171</v>
          </cell>
          <cell r="AE931">
            <v>100.82516481034889</v>
          </cell>
          <cell r="AF931">
            <v>104.03820629945564</v>
          </cell>
          <cell r="AG931">
            <v>108.93651433982467</v>
          </cell>
          <cell r="AH931">
            <v>117.87134970322894</v>
          </cell>
        </row>
        <row r="932">
          <cell r="AD932">
            <v>98.602610410063406</v>
          </cell>
          <cell r="AE932">
            <v>100.84084671951744</v>
          </cell>
          <cell r="AF932">
            <v>104.05296175081349</v>
          </cell>
          <cell r="AG932">
            <v>108.95314851768499</v>
          </cell>
          <cell r="AH932">
            <v>117.88721298292479</v>
          </cell>
        </row>
        <row r="933">
          <cell r="AD933">
            <v>98.618239804238655</v>
          </cell>
          <cell r="AE933">
            <v>100.85652862868599</v>
          </cell>
          <cell r="AF933">
            <v>104.06771720217134</v>
          </cell>
          <cell r="AG933">
            <v>108.96978269554532</v>
          </cell>
          <cell r="AH933">
            <v>117.90307626262063</v>
          </cell>
        </row>
        <row r="934">
          <cell r="AD934">
            <v>98.633869198413905</v>
          </cell>
          <cell r="AE934">
            <v>100.87221053785454</v>
          </cell>
          <cell r="AF934">
            <v>104.08247265352919</v>
          </cell>
          <cell r="AG934">
            <v>108.98641687340564</v>
          </cell>
          <cell r="AH934">
            <v>117.91893954231648</v>
          </cell>
        </row>
        <row r="935">
          <cell r="AD935">
            <v>98.64949859258914</v>
          </cell>
          <cell r="AE935">
            <v>100.88789244702309</v>
          </cell>
          <cell r="AF935">
            <v>104.09722810488705</v>
          </cell>
          <cell r="AG935">
            <v>109.00263626963135</v>
          </cell>
          <cell r="AH935">
            <v>117.93480282201232</v>
          </cell>
        </row>
        <row r="936">
          <cell r="AD936">
            <v>98.665127986764389</v>
          </cell>
          <cell r="AE936">
            <v>100.90357435619164</v>
          </cell>
          <cell r="AF936">
            <v>104.11198355624491</v>
          </cell>
          <cell r="AG936">
            <v>109.01700907890684</v>
          </cell>
          <cell r="AH936">
            <v>117.95066610170815</v>
          </cell>
        </row>
        <row r="937">
          <cell r="AD937">
            <v>98.680757380939625</v>
          </cell>
          <cell r="AE937">
            <v>100.91925626536019</v>
          </cell>
          <cell r="AF937">
            <v>104.12673900760277</v>
          </cell>
          <cell r="AG937">
            <v>109.03138188818232</v>
          </cell>
          <cell r="AH937">
            <v>117.966529381404</v>
          </cell>
        </row>
        <row r="938">
          <cell r="AD938">
            <v>98.696386775114874</v>
          </cell>
          <cell r="AE938">
            <v>100.93493817452874</v>
          </cell>
          <cell r="AF938">
            <v>104.14149445896061</v>
          </cell>
          <cell r="AG938">
            <v>109.04575469745782</v>
          </cell>
          <cell r="AH938">
            <v>117.98239266109984</v>
          </cell>
        </row>
        <row r="939">
          <cell r="AD939">
            <v>98.712016169290109</v>
          </cell>
          <cell r="AE939">
            <v>100.95062008369729</v>
          </cell>
          <cell r="AF939">
            <v>104.15624991031846</v>
          </cell>
          <cell r="AG939">
            <v>109.06012750673331</v>
          </cell>
          <cell r="AH939">
            <v>117.99825594079567</v>
          </cell>
        </row>
        <row r="940">
          <cell r="AD940">
            <v>98.727645563465359</v>
          </cell>
          <cell r="AE940">
            <v>100.96630199286584</v>
          </cell>
          <cell r="AF940">
            <v>104.17100536167632</v>
          </cell>
          <cell r="AG940">
            <v>109.07450031600881</v>
          </cell>
          <cell r="AH940">
            <v>118.01387458971963</v>
          </cell>
        </row>
        <row r="941">
          <cell r="AD941">
            <v>98.743274957640608</v>
          </cell>
          <cell r="AE941">
            <v>100.98198390203437</v>
          </cell>
          <cell r="AF941">
            <v>104.18576081303418</v>
          </cell>
          <cell r="AG941">
            <v>109.08887312528429</v>
          </cell>
          <cell r="AH941">
            <v>118.02946302093082</v>
          </cell>
        </row>
        <row r="942">
          <cell r="AD942">
            <v>98.758904351815843</v>
          </cell>
          <cell r="AE942">
            <v>100.99766581120292</v>
          </cell>
          <cell r="AF942">
            <v>104.20051626439204</v>
          </cell>
          <cell r="AG942">
            <v>109.10324593455979</v>
          </cell>
          <cell r="AH942">
            <v>118.045051452142</v>
          </cell>
        </row>
        <row r="943">
          <cell r="AD943">
            <v>98.774533745991093</v>
          </cell>
          <cell r="AE943">
            <v>101.01307116871664</v>
          </cell>
          <cell r="AF943">
            <v>104.21527171574988</v>
          </cell>
          <cell r="AG943">
            <v>109.11761874383528</v>
          </cell>
          <cell r="AH943">
            <v>118.06063988335319</v>
          </cell>
        </row>
        <row r="944">
          <cell r="AD944">
            <v>98.790163140166328</v>
          </cell>
          <cell r="AE944">
            <v>101.0284281641313</v>
          </cell>
          <cell r="AF944">
            <v>104.23002716710774</v>
          </cell>
          <cell r="AG944">
            <v>109.13199155311078</v>
          </cell>
          <cell r="AH944">
            <v>118.07622831456437</v>
          </cell>
        </row>
        <row r="945">
          <cell r="AD945">
            <v>98.805792534341577</v>
          </cell>
          <cell r="AE945">
            <v>101.04378515954596</v>
          </cell>
          <cell r="AF945">
            <v>104.24478261846559</v>
          </cell>
          <cell r="AG945">
            <v>109.14636436238627</v>
          </cell>
          <cell r="AH945">
            <v>118.09181674577556</v>
          </cell>
        </row>
        <row r="946">
          <cell r="AD946">
            <v>98.821421928516827</v>
          </cell>
          <cell r="AE946">
            <v>101.05914215496063</v>
          </cell>
          <cell r="AF946">
            <v>104.25953806982345</v>
          </cell>
          <cell r="AG946">
            <v>109.16073717166176</v>
          </cell>
          <cell r="AH946">
            <v>118.10740517698675</v>
          </cell>
        </row>
        <row r="947">
          <cell r="AD947">
            <v>98.837051322692062</v>
          </cell>
          <cell r="AE947">
            <v>101.07449915037529</v>
          </cell>
          <cell r="AF947">
            <v>104.27429352118129</v>
          </cell>
          <cell r="AG947">
            <v>109.17510998093725</v>
          </cell>
          <cell r="AH947">
            <v>118.12299360819793</v>
          </cell>
        </row>
        <row r="948">
          <cell r="AD948">
            <v>98.852680716867312</v>
          </cell>
          <cell r="AE948">
            <v>101.08985614578995</v>
          </cell>
          <cell r="AF948">
            <v>104.28904897253915</v>
          </cell>
          <cell r="AG948">
            <v>109.18948279021274</v>
          </cell>
          <cell r="AH948">
            <v>118.13858203940912</v>
          </cell>
        </row>
        <row r="949">
          <cell r="AD949">
            <v>98.868310111042547</v>
          </cell>
          <cell r="AE949">
            <v>101.10521314120462</v>
          </cell>
          <cell r="AF949">
            <v>104.30380442389701</v>
          </cell>
          <cell r="AG949">
            <v>109.20385559948824</v>
          </cell>
          <cell r="AH949">
            <v>118.1541704706203</v>
          </cell>
        </row>
        <row r="950">
          <cell r="AD950">
            <v>98.883939505217796</v>
          </cell>
          <cell r="AE950">
            <v>101.12057013661928</v>
          </cell>
          <cell r="AF950">
            <v>104.31855987525486</v>
          </cell>
          <cell r="AG950">
            <v>109.21822840876372</v>
          </cell>
          <cell r="AH950">
            <v>118.16975890183149</v>
          </cell>
        </row>
        <row r="951">
          <cell r="AD951">
            <v>98.899568899393032</v>
          </cell>
          <cell r="AE951">
            <v>101.13592713203394</v>
          </cell>
          <cell r="AF951">
            <v>104.33331532661272</v>
          </cell>
          <cell r="AG951">
            <v>109.23260121803922</v>
          </cell>
          <cell r="AH951">
            <v>118.18534733304267</v>
          </cell>
        </row>
        <row r="952">
          <cell r="AD952">
            <v>98.915198293568281</v>
          </cell>
          <cell r="AE952">
            <v>101.15128412744862</v>
          </cell>
          <cell r="AF952">
            <v>104.34807077797056</v>
          </cell>
          <cell r="AG952">
            <v>109.24697402731471</v>
          </cell>
          <cell r="AH952">
            <v>118.20093576425386</v>
          </cell>
        </row>
        <row r="953">
          <cell r="AD953">
            <v>98.93082768774353</v>
          </cell>
          <cell r="AE953">
            <v>101.16664112286328</v>
          </cell>
          <cell r="AF953">
            <v>104.36282622932842</v>
          </cell>
          <cell r="AG953">
            <v>109.26134683659021</v>
          </cell>
          <cell r="AH953">
            <v>118.21652419546504</v>
          </cell>
        </row>
        <row r="954">
          <cell r="AD954">
            <v>98.946457081918766</v>
          </cell>
          <cell r="AE954">
            <v>101.18199811827795</v>
          </cell>
          <cell r="AF954">
            <v>104.37758168068628</v>
          </cell>
          <cell r="AG954">
            <v>109.27571964586569</v>
          </cell>
          <cell r="AH954">
            <v>118.23211262667623</v>
          </cell>
        </row>
        <row r="955">
          <cell r="AD955">
            <v>98.962086476094015</v>
          </cell>
          <cell r="AE955">
            <v>101.19735511369261</v>
          </cell>
          <cell r="AF955">
            <v>104.39233713204413</v>
          </cell>
          <cell r="AG955">
            <v>109.29009245514119</v>
          </cell>
          <cell r="AH955">
            <v>118.24770105788741</v>
          </cell>
        </row>
        <row r="956">
          <cell r="AD956">
            <v>98.97771587026925</v>
          </cell>
          <cell r="AE956">
            <v>101.21271210910727</v>
          </cell>
          <cell r="AF956">
            <v>104.40709258340199</v>
          </cell>
          <cell r="AG956">
            <v>109.30446526441668</v>
          </cell>
          <cell r="AH956">
            <v>118.2632894890986</v>
          </cell>
        </row>
        <row r="957">
          <cell r="AD957">
            <v>98.9933452644445</v>
          </cell>
          <cell r="AE957">
            <v>101.22806910452194</v>
          </cell>
          <cell r="AF957">
            <v>104.42184803475983</v>
          </cell>
          <cell r="AG957">
            <v>109.31883807369218</v>
          </cell>
          <cell r="AH957">
            <v>118.27887792030978</v>
          </cell>
        </row>
        <row r="958">
          <cell r="AD958">
            <v>99.008373652580005</v>
          </cell>
          <cell r="AE958">
            <v>101.2434260999366</v>
          </cell>
          <cell r="AF958">
            <v>104.43660348611769</v>
          </cell>
          <cell r="AG958">
            <v>109.33321088296766</v>
          </cell>
          <cell r="AH958">
            <v>118.29446635152097</v>
          </cell>
        </row>
        <row r="959">
          <cell r="AD959">
            <v>99.022956392983232</v>
          </cell>
          <cell r="AE959">
            <v>101.25878309535126</v>
          </cell>
          <cell r="AF959">
            <v>104.45135893747555</v>
          </cell>
          <cell r="AG959">
            <v>109.34758369224315</v>
          </cell>
          <cell r="AH959">
            <v>118.31005478273215</v>
          </cell>
        </row>
        <row r="960">
          <cell r="AD960">
            <v>99.037539133386474</v>
          </cell>
          <cell r="AE960">
            <v>101.27414009076594</v>
          </cell>
          <cell r="AF960">
            <v>104.4661143888334</v>
          </cell>
          <cell r="AG960">
            <v>109.36195650151865</v>
          </cell>
          <cell r="AH960">
            <v>118.32564321394334</v>
          </cell>
        </row>
        <row r="961">
          <cell r="AD961">
            <v>99.052121873789702</v>
          </cell>
          <cell r="AE961">
            <v>101.2894970861806</v>
          </cell>
          <cell r="AF961">
            <v>104.48086984019125</v>
          </cell>
          <cell r="AG961">
            <v>109.37632931079413</v>
          </cell>
          <cell r="AH961">
            <v>118.34123164515452</v>
          </cell>
        </row>
        <row r="962">
          <cell r="AD962">
            <v>99.066704614192943</v>
          </cell>
          <cell r="AE962">
            <v>101.30485408159527</v>
          </cell>
          <cell r="AF962">
            <v>104.4956252915491</v>
          </cell>
          <cell r="AG962">
            <v>109.39070212006963</v>
          </cell>
          <cell r="AH962">
            <v>118.35682007636571</v>
          </cell>
        </row>
        <row r="963">
          <cell r="AD963">
            <v>99.081287354596171</v>
          </cell>
          <cell r="AE963">
            <v>101.32021107700993</v>
          </cell>
          <cell r="AF963">
            <v>104.51038074290696</v>
          </cell>
          <cell r="AG963">
            <v>109.40507492934512</v>
          </cell>
          <cell r="AH963">
            <v>118.37240850757689</v>
          </cell>
        </row>
        <row r="964">
          <cell r="AD964">
            <v>99.095870094999412</v>
          </cell>
          <cell r="AE964">
            <v>101.33556807242459</v>
          </cell>
          <cell r="AF964">
            <v>104.52513619426482</v>
          </cell>
          <cell r="AG964">
            <v>109.41944773862062</v>
          </cell>
          <cell r="AH964">
            <v>118.38799693878808</v>
          </cell>
        </row>
        <row r="965">
          <cell r="AD965">
            <v>99.11045283540264</v>
          </cell>
          <cell r="AE965">
            <v>101.35092506783926</v>
          </cell>
          <cell r="AF965">
            <v>104.53989164562267</v>
          </cell>
          <cell r="AG965">
            <v>109.4338205478961</v>
          </cell>
          <cell r="AH965">
            <v>118.40358536999926</v>
          </cell>
        </row>
        <row r="966">
          <cell r="AD966">
            <v>99.125035575805882</v>
          </cell>
          <cell r="AE966">
            <v>101.36628206325392</v>
          </cell>
          <cell r="AF966">
            <v>104.55464709698052</v>
          </cell>
          <cell r="AG966">
            <v>109.4481933571716</v>
          </cell>
          <cell r="AH966">
            <v>118.41917380121045</v>
          </cell>
        </row>
        <row r="967">
          <cell r="AD967">
            <v>99.139618316209123</v>
          </cell>
          <cell r="AE967">
            <v>101.38163905866858</v>
          </cell>
          <cell r="AF967">
            <v>104.56940254833837</v>
          </cell>
          <cell r="AG967">
            <v>109.46256616644709</v>
          </cell>
          <cell r="AH967">
            <v>118.43476223242163</v>
          </cell>
        </row>
        <row r="968">
          <cell r="AD968">
            <v>99.154201056612351</v>
          </cell>
          <cell r="AE968">
            <v>101.39699605408325</v>
          </cell>
          <cell r="AF968">
            <v>104.58415799969623</v>
          </cell>
          <cell r="AG968">
            <v>109.47693897572259</v>
          </cell>
          <cell r="AH968">
            <v>118.45035066363282</v>
          </cell>
        </row>
        <row r="969">
          <cell r="AD969">
            <v>99.168783797015593</v>
          </cell>
          <cell r="AE969">
            <v>101.41235304949792</v>
          </cell>
          <cell r="AF969">
            <v>104.59891345105409</v>
          </cell>
          <cell r="AG969">
            <v>109.49131178499808</v>
          </cell>
          <cell r="AH969">
            <v>118.465939094844</v>
          </cell>
        </row>
        <row r="970">
          <cell r="AD970">
            <v>99.18336653741882</v>
          </cell>
          <cell r="AE970">
            <v>101.42771004491259</v>
          </cell>
          <cell r="AF970">
            <v>104.61366890241194</v>
          </cell>
          <cell r="AG970">
            <v>109.50568459427356</v>
          </cell>
          <cell r="AH970">
            <v>118.48152752605519</v>
          </cell>
        </row>
        <row r="971">
          <cell r="AD971">
            <v>99.197949277822062</v>
          </cell>
          <cell r="AE971">
            <v>101.44306704032725</v>
          </cell>
          <cell r="AF971">
            <v>104.62842435376979</v>
          </cell>
          <cell r="AG971">
            <v>109.52005740354906</v>
          </cell>
          <cell r="AH971">
            <v>118.49711595726637</v>
          </cell>
        </row>
        <row r="972">
          <cell r="AD972">
            <v>99.212532018225289</v>
          </cell>
          <cell r="AE972">
            <v>101.45842403574191</v>
          </cell>
          <cell r="AF972">
            <v>104.64317980512764</v>
          </cell>
          <cell r="AG972">
            <v>109.53443021282455</v>
          </cell>
          <cell r="AH972">
            <v>118.51270438847756</v>
          </cell>
        </row>
        <row r="973">
          <cell r="AD973">
            <v>99.227114758628531</v>
          </cell>
          <cell r="AE973">
            <v>101.47378103115658</v>
          </cell>
          <cell r="AF973">
            <v>104.6579352564855</v>
          </cell>
          <cell r="AG973">
            <v>109.54880302210005</v>
          </cell>
          <cell r="AH973">
            <v>118.52829281968874</v>
          </cell>
        </row>
        <row r="974">
          <cell r="AD974">
            <v>99.241697499031758</v>
          </cell>
          <cell r="AE974">
            <v>101.48913802657124</v>
          </cell>
          <cell r="AF974">
            <v>104.67269070784336</v>
          </cell>
          <cell r="AG974">
            <v>109.56317583137553</v>
          </cell>
          <cell r="AH974">
            <v>118.54388125089993</v>
          </cell>
        </row>
        <row r="975">
          <cell r="AD975">
            <v>99.256280239435</v>
          </cell>
          <cell r="AE975">
            <v>101.5044950219859</v>
          </cell>
          <cell r="AF975">
            <v>104.6874461592012</v>
          </cell>
          <cell r="AG975">
            <v>109.57754864065103</v>
          </cell>
          <cell r="AH975">
            <v>118.55946968211111</v>
          </cell>
        </row>
        <row r="976">
          <cell r="AD976">
            <v>99.270862979838228</v>
          </cell>
          <cell r="AE976">
            <v>101.51985201740057</v>
          </cell>
          <cell r="AF976">
            <v>104.70220161055906</v>
          </cell>
          <cell r="AG976">
            <v>109.59192144992652</v>
          </cell>
          <cell r="AH976">
            <v>118.5750581133223</v>
          </cell>
        </row>
        <row r="977">
          <cell r="AD977">
            <v>99.285445720241469</v>
          </cell>
          <cell r="AE977">
            <v>101.53520901281523</v>
          </cell>
          <cell r="AF977">
            <v>104.71695706191691</v>
          </cell>
          <cell r="AG977">
            <v>109.60629425920202</v>
          </cell>
          <cell r="AH977">
            <v>118.59064654453348</v>
          </cell>
        </row>
        <row r="978">
          <cell r="AD978">
            <v>99.300028460644711</v>
          </cell>
          <cell r="AE978">
            <v>101.55056600822991</v>
          </cell>
          <cell r="AF978">
            <v>104.73171251327477</v>
          </cell>
          <cell r="AG978">
            <v>109.6206670684775</v>
          </cell>
          <cell r="AH978">
            <v>118.60623497574467</v>
          </cell>
        </row>
        <row r="979">
          <cell r="AD979">
            <v>99.314611201047938</v>
          </cell>
          <cell r="AE979">
            <v>101.56592300364457</v>
          </cell>
          <cell r="AF979">
            <v>104.74646796463263</v>
          </cell>
          <cell r="AG979">
            <v>109.635039877753</v>
          </cell>
          <cell r="AH979">
            <v>118.62182340695585</v>
          </cell>
        </row>
        <row r="980">
          <cell r="AD980">
            <v>99.32919394145118</v>
          </cell>
          <cell r="AE980">
            <v>101.58127999905923</v>
          </cell>
          <cell r="AF980">
            <v>104.76122341599047</v>
          </cell>
          <cell r="AG980">
            <v>109.64941268702849</v>
          </cell>
          <cell r="AH980">
            <v>118.63741183816704</v>
          </cell>
        </row>
        <row r="981">
          <cell r="AD981">
            <v>99.343776681854408</v>
          </cell>
          <cell r="AE981">
            <v>101.5966369944739</v>
          </cell>
          <cell r="AF981">
            <v>104.77597886734833</v>
          </cell>
          <cell r="AG981">
            <v>109.66378549630397</v>
          </cell>
          <cell r="AH981">
            <v>118.65300026937823</v>
          </cell>
        </row>
        <row r="982">
          <cell r="AD982">
            <v>99.358359422257649</v>
          </cell>
          <cell r="AE982">
            <v>101.61199398988856</v>
          </cell>
          <cell r="AF982">
            <v>104.79073431870619</v>
          </cell>
          <cell r="AG982">
            <v>109.67815830557947</v>
          </cell>
          <cell r="AH982">
            <v>118.66858870058941</v>
          </cell>
        </row>
        <row r="983">
          <cell r="AD983">
            <v>99.372942162660877</v>
          </cell>
          <cell r="AE983">
            <v>101.62735098530322</v>
          </cell>
          <cell r="AF983">
            <v>104.80548977006404</v>
          </cell>
          <cell r="AG983">
            <v>109.69253111485496</v>
          </cell>
          <cell r="AH983">
            <v>118.6841771318006</v>
          </cell>
        </row>
        <row r="984">
          <cell r="AD984">
            <v>99.387524903064119</v>
          </cell>
          <cell r="AE984">
            <v>101.64270798071789</v>
          </cell>
          <cell r="AF984">
            <v>104.8202452214219</v>
          </cell>
          <cell r="AG984">
            <v>109.70690392413046</v>
          </cell>
          <cell r="AH984">
            <v>118.69976556301178</v>
          </cell>
        </row>
        <row r="985">
          <cell r="AD985">
            <v>99.402107643467346</v>
          </cell>
          <cell r="AE985">
            <v>101.65806497613255</v>
          </cell>
          <cell r="AF985">
            <v>104.83500067277974</v>
          </cell>
          <cell r="AG985">
            <v>109.72127673340594</v>
          </cell>
          <cell r="AH985">
            <v>118.71535399422297</v>
          </cell>
        </row>
        <row r="986">
          <cell r="AD986">
            <v>99.416690383870588</v>
          </cell>
          <cell r="AE986">
            <v>101.67342197154721</v>
          </cell>
          <cell r="AF986">
            <v>104.8497561241376</v>
          </cell>
          <cell r="AG986">
            <v>109.73564954268144</v>
          </cell>
          <cell r="AH986">
            <v>118.73094242543415</v>
          </cell>
        </row>
        <row r="987">
          <cell r="AD987">
            <v>99.431273124273829</v>
          </cell>
          <cell r="AE987">
            <v>101.68877896696189</v>
          </cell>
          <cell r="AF987">
            <v>104.86451157549546</v>
          </cell>
          <cell r="AG987">
            <v>109.75002235195693</v>
          </cell>
          <cell r="AH987">
            <v>118.74653085664534</v>
          </cell>
        </row>
        <row r="988">
          <cell r="AD988">
            <v>99.445855864677057</v>
          </cell>
          <cell r="AE988">
            <v>101.70413596237655</v>
          </cell>
          <cell r="AF988">
            <v>104.87926702685331</v>
          </cell>
          <cell r="AG988">
            <v>109.76439516123243</v>
          </cell>
          <cell r="AH988">
            <v>118.76211928785654</v>
          </cell>
        </row>
        <row r="989">
          <cell r="AD989">
            <v>99.460438605080299</v>
          </cell>
          <cell r="AE989">
            <v>101.71949295779122</v>
          </cell>
          <cell r="AF989">
            <v>104.89402247821116</v>
          </cell>
          <cell r="AG989">
            <v>109.77876797050791</v>
          </cell>
          <cell r="AH989">
            <v>118.77770771906772</v>
          </cell>
        </row>
        <row r="990">
          <cell r="AD990">
            <v>99.475021345483526</v>
          </cell>
          <cell r="AE990">
            <v>101.73484995320588</v>
          </cell>
          <cell r="AF990">
            <v>104.90877792956901</v>
          </cell>
          <cell r="AG990">
            <v>109.79314077978341</v>
          </cell>
          <cell r="AH990">
            <v>118.79329615027891</v>
          </cell>
        </row>
        <row r="991">
          <cell r="AD991">
            <v>99.489604085886768</v>
          </cell>
          <cell r="AE991">
            <v>101.75020694862054</v>
          </cell>
          <cell r="AF991">
            <v>104.92353338092687</v>
          </cell>
          <cell r="AG991">
            <v>109.8075135890589</v>
          </cell>
          <cell r="AH991">
            <v>118.80888458149009</v>
          </cell>
        </row>
        <row r="992">
          <cell r="AD992">
            <v>99.504186826289995</v>
          </cell>
          <cell r="AE992">
            <v>101.76556394403521</v>
          </cell>
          <cell r="AF992">
            <v>104.93828883228473</v>
          </cell>
          <cell r="AG992">
            <v>109.82188639833439</v>
          </cell>
          <cell r="AH992">
            <v>118.82447301270128</v>
          </cell>
        </row>
        <row r="993">
          <cell r="AD993">
            <v>99.518769566693237</v>
          </cell>
          <cell r="AE993">
            <v>101.78092093944987</v>
          </cell>
          <cell r="AF993">
            <v>104.95304428364258</v>
          </cell>
          <cell r="AG993">
            <v>109.83625920760988</v>
          </cell>
          <cell r="AH993">
            <v>118.84006144391246</v>
          </cell>
        </row>
        <row r="994">
          <cell r="AD994">
            <v>99.533352307096465</v>
          </cell>
          <cell r="AE994">
            <v>101.79627793486453</v>
          </cell>
          <cell r="AF994">
            <v>104.96779973500043</v>
          </cell>
          <cell r="AG994">
            <v>109.85063201688537</v>
          </cell>
          <cell r="AH994">
            <v>118.85564987512365</v>
          </cell>
        </row>
        <row r="995">
          <cell r="AD995">
            <v>99.547935047499706</v>
          </cell>
          <cell r="AE995">
            <v>101.8116349302792</v>
          </cell>
          <cell r="AF995">
            <v>104.98255518635828</v>
          </cell>
          <cell r="AG995">
            <v>109.86500482616087</v>
          </cell>
          <cell r="AH995">
            <v>118.87123830633483</v>
          </cell>
        </row>
        <row r="996">
          <cell r="AD996">
            <v>99.562517787902934</v>
          </cell>
          <cell r="AE996">
            <v>101.82699192569387</v>
          </cell>
          <cell r="AF996">
            <v>104.99731063771614</v>
          </cell>
          <cell r="AG996">
            <v>109.87937763543636</v>
          </cell>
          <cell r="AH996">
            <v>118.88682673754602</v>
          </cell>
        </row>
        <row r="997">
          <cell r="AD997">
            <v>99.577100528306175</v>
          </cell>
          <cell r="AE997">
            <v>101.84234892110854</v>
          </cell>
          <cell r="AF997">
            <v>105.01143873132816</v>
          </cell>
          <cell r="AG997">
            <v>109.89375044471186</v>
          </cell>
          <cell r="AH997">
            <v>118.9024151687572</v>
          </cell>
        </row>
        <row r="998">
          <cell r="AD998">
            <v>99.591683268709417</v>
          </cell>
          <cell r="AE998">
            <v>101.8577059165232</v>
          </cell>
          <cell r="AF998">
            <v>105.02542699568401</v>
          </cell>
          <cell r="AG998">
            <v>109.90812325398734</v>
          </cell>
          <cell r="AH998">
            <v>118.91800359996839</v>
          </cell>
        </row>
        <row r="999">
          <cell r="AD999">
            <v>99.606266009112645</v>
          </cell>
          <cell r="AE999">
            <v>101.87306291193786</v>
          </cell>
          <cell r="AF999">
            <v>105.03941526003986</v>
          </cell>
          <cell r="AG999">
            <v>109.92249606326284</v>
          </cell>
          <cell r="AH999">
            <v>118.93359203117957</v>
          </cell>
        </row>
        <row r="1000">
          <cell r="AD1000">
            <v>99.620848749515886</v>
          </cell>
          <cell r="AE1000">
            <v>101.88841990735253</v>
          </cell>
          <cell r="AF1000">
            <v>105.05340352439572</v>
          </cell>
          <cell r="AG1000">
            <v>109.93686887253833</v>
          </cell>
          <cell r="AH1000">
            <v>118.94918046239076</v>
          </cell>
        </row>
        <row r="1001">
          <cell r="AD1001">
            <v>99.635431489919114</v>
          </cell>
          <cell r="AE1001">
            <v>101.90377690276719</v>
          </cell>
          <cell r="AF1001">
            <v>105.06739178875156</v>
          </cell>
          <cell r="AG1001">
            <v>109.95124168181383</v>
          </cell>
          <cell r="AH1001">
            <v>118.96476889360194</v>
          </cell>
        </row>
        <row r="1002">
          <cell r="AD1002">
            <v>99.650014230322356</v>
          </cell>
          <cell r="AE1002">
            <v>101.91913389818185</v>
          </cell>
          <cell r="AF1002">
            <v>105.08138005310741</v>
          </cell>
          <cell r="AG1002">
            <v>109.96561449108931</v>
          </cell>
          <cell r="AH1002">
            <v>118.98035732481313</v>
          </cell>
        </row>
        <row r="1003">
          <cell r="AD1003">
            <v>99.664596970725583</v>
          </cell>
          <cell r="AE1003">
            <v>101.93449089359652</v>
          </cell>
          <cell r="AF1003">
            <v>105.09536831746327</v>
          </cell>
          <cell r="AG1003">
            <v>109.9799873003648</v>
          </cell>
          <cell r="AH1003">
            <v>118.99594575602431</v>
          </cell>
        </row>
        <row r="1004">
          <cell r="AD1004">
            <v>99.679179711128825</v>
          </cell>
          <cell r="AE1004">
            <v>101.94984788901118</v>
          </cell>
          <cell r="AF1004">
            <v>105.10935658181911</v>
          </cell>
          <cell r="AG1004">
            <v>109.9943601096403</v>
          </cell>
          <cell r="AH1004">
            <v>119.01092682040374</v>
          </cell>
        </row>
        <row r="1005">
          <cell r="AD1005">
            <v>99.693762451532052</v>
          </cell>
          <cell r="AE1005">
            <v>101.96520488442586</v>
          </cell>
          <cell r="AF1005">
            <v>105.12334484617497</v>
          </cell>
          <cell r="AG1005">
            <v>110.00807984100364</v>
          </cell>
          <cell r="AH1005">
            <v>119.0256943965444</v>
          </cell>
        </row>
        <row r="1006">
          <cell r="AD1006">
            <v>99.708345191935294</v>
          </cell>
          <cell r="AE1006">
            <v>101.98056187984052</v>
          </cell>
          <cell r="AF1006">
            <v>105.13733311053082</v>
          </cell>
          <cell r="AG1006">
            <v>110.02137780183911</v>
          </cell>
          <cell r="AH1006">
            <v>119.04046197268504</v>
          </cell>
        </row>
        <row r="1007">
          <cell r="AD1007">
            <v>99.722927932338536</v>
          </cell>
          <cell r="AE1007">
            <v>101.99591887525519</v>
          </cell>
          <cell r="AF1007">
            <v>105.15132137488666</v>
          </cell>
          <cell r="AG1007">
            <v>110.03467576267457</v>
          </cell>
          <cell r="AH1007">
            <v>119.05522954882569</v>
          </cell>
        </row>
        <row r="1008">
          <cell r="AD1008">
            <v>99.737510672741763</v>
          </cell>
          <cell r="AE1008">
            <v>102.01062318030777</v>
          </cell>
          <cell r="AF1008">
            <v>105.16530963924252</v>
          </cell>
          <cell r="AG1008">
            <v>110.04797372351004</v>
          </cell>
          <cell r="AH1008">
            <v>119.06999712496635</v>
          </cell>
        </row>
        <row r="1009">
          <cell r="AD1009">
            <v>99.752093413145005</v>
          </cell>
          <cell r="AE1009">
            <v>102.02509125430865</v>
          </cell>
          <cell r="AF1009">
            <v>105.17929790359837</v>
          </cell>
          <cell r="AG1009">
            <v>110.06127168434551</v>
          </cell>
          <cell r="AH1009">
            <v>119.08476470110699</v>
          </cell>
        </row>
        <row r="1010">
          <cell r="AD1010">
            <v>99.766676153548232</v>
          </cell>
          <cell r="AE1010">
            <v>102.03955932830954</v>
          </cell>
          <cell r="AF1010">
            <v>105.19328616795423</v>
          </cell>
          <cell r="AG1010">
            <v>110.07456964518099</v>
          </cell>
          <cell r="AH1010">
            <v>119.09953227724765</v>
          </cell>
        </row>
        <row r="1011">
          <cell r="AD1011">
            <v>99.781258893951474</v>
          </cell>
          <cell r="AE1011">
            <v>102.05402740231041</v>
          </cell>
          <cell r="AF1011">
            <v>105.20727443231007</v>
          </cell>
          <cell r="AG1011">
            <v>110.08786760601646</v>
          </cell>
          <cell r="AH1011">
            <v>119.1142998533883</v>
          </cell>
        </row>
        <row r="1012">
          <cell r="AD1012">
            <v>99.795841634354701</v>
          </cell>
          <cell r="AE1012">
            <v>102.06849547631128</v>
          </cell>
          <cell r="AF1012">
            <v>105.22126269666592</v>
          </cell>
          <cell r="AG1012">
            <v>110.10116556685192</v>
          </cell>
          <cell r="AH1012">
            <v>119.12906742952894</v>
          </cell>
        </row>
        <row r="1013">
          <cell r="AD1013">
            <v>99.810424374757943</v>
          </cell>
          <cell r="AE1013">
            <v>102.08296355031217</v>
          </cell>
          <cell r="AF1013">
            <v>105.23525096102178</v>
          </cell>
          <cell r="AG1013">
            <v>110.11446352768739</v>
          </cell>
          <cell r="AH1013">
            <v>119.1438350056696</v>
          </cell>
        </row>
        <row r="1014">
          <cell r="AD1014">
            <v>99.825007115161171</v>
          </cell>
          <cell r="AE1014">
            <v>102.09743162431305</v>
          </cell>
          <cell r="AF1014">
            <v>105.24923922537762</v>
          </cell>
          <cell r="AG1014">
            <v>110.12776148852286</v>
          </cell>
          <cell r="AH1014">
            <v>119.15860258181026</v>
          </cell>
        </row>
        <row r="1015">
          <cell r="AD1015">
            <v>99.839589855564412</v>
          </cell>
          <cell r="AE1015">
            <v>102.11189969831392</v>
          </cell>
          <cell r="AF1015">
            <v>105.26322748973348</v>
          </cell>
          <cell r="AG1015">
            <v>110.14105944935834</v>
          </cell>
          <cell r="AH1015">
            <v>119.1733701579509</v>
          </cell>
        </row>
        <row r="1016">
          <cell r="AD1016">
            <v>99.85417259596764</v>
          </cell>
          <cell r="AE1016">
            <v>102.12636777231481</v>
          </cell>
          <cell r="AF1016">
            <v>105.27721575408933</v>
          </cell>
          <cell r="AG1016">
            <v>110.15435741019381</v>
          </cell>
          <cell r="AH1016">
            <v>119.18813773409155</v>
          </cell>
        </row>
        <row r="1017">
          <cell r="AD1017">
            <v>99.868755336370882</v>
          </cell>
          <cell r="AE1017">
            <v>102.14083584631568</v>
          </cell>
          <cell r="AF1017">
            <v>105.29120401844517</v>
          </cell>
          <cell r="AG1017">
            <v>110.16765537102927</v>
          </cell>
          <cell r="AH1017">
            <v>119.20290531023221</v>
          </cell>
        </row>
        <row r="1018">
          <cell r="AD1018">
            <v>99.883338076774123</v>
          </cell>
          <cell r="AE1018">
            <v>102.15530392031656</v>
          </cell>
          <cell r="AF1018">
            <v>105.30519228280103</v>
          </cell>
          <cell r="AG1018">
            <v>110.18095333186474</v>
          </cell>
          <cell r="AH1018">
            <v>119.21767288637285</v>
          </cell>
        </row>
        <row r="1019">
          <cell r="AD1019">
            <v>99.897920817177351</v>
          </cell>
          <cell r="AE1019">
            <v>102.16977199431744</v>
          </cell>
          <cell r="AF1019">
            <v>105.31918054715688</v>
          </cell>
          <cell r="AG1019">
            <v>110.19425129270022</v>
          </cell>
          <cell r="AH1019">
            <v>119.23244046251351</v>
          </cell>
        </row>
        <row r="1020">
          <cell r="AD1020">
            <v>99.912503557580592</v>
          </cell>
          <cell r="AE1020">
            <v>102.18424006831832</v>
          </cell>
          <cell r="AF1020">
            <v>105.33316881151273</v>
          </cell>
          <cell r="AG1020">
            <v>110.20754925353569</v>
          </cell>
          <cell r="AH1020">
            <v>119.24720803865416</v>
          </cell>
        </row>
        <row r="1021">
          <cell r="AD1021">
            <v>99.92708629798382</v>
          </cell>
          <cell r="AE1021">
            <v>102.19870814231919</v>
          </cell>
          <cell r="AF1021">
            <v>105.34715707586858</v>
          </cell>
          <cell r="AG1021">
            <v>110.22084721437116</v>
          </cell>
          <cell r="AH1021">
            <v>119.26197561479481</v>
          </cell>
        </row>
        <row r="1022">
          <cell r="AD1022">
            <v>99.941669038387062</v>
          </cell>
          <cell r="AE1022">
            <v>102.21317621632006</v>
          </cell>
          <cell r="AF1022">
            <v>105.36114534022443</v>
          </cell>
          <cell r="AG1022">
            <v>110.23414517520662</v>
          </cell>
          <cell r="AH1022">
            <v>119.27674319093546</v>
          </cell>
        </row>
        <row r="1023">
          <cell r="AD1023">
            <v>99.956251778790289</v>
          </cell>
          <cell r="AE1023">
            <v>102.22764429032095</v>
          </cell>
          <cell r="AF1023">
            <v>105.37513360458028</v>
          </cell>
          <cell r="AG1023">
            <v>110.24744313604209</v>
          </cell>
          <cell r="AH1023">
            <v>119.29151076707612</v>
          </cell>
        </row>
        <row r="1024">
          <cell r="AD1024">
            <v>99.970834519193531</v>
          </cell>
          <cell r="AE1024">
            <v>102.24211236432183</v>
          </cell>
          <cell r="AF1024">
            <v>105.38912186893613</v>
          </cell>
          <cell r="AG1024">
            <v>110.26074109687757</v>
          </cell>
          <cell r="AH1024">
            <v>119.30627834321676</v>
          </cell>
        </row>
        <row r="1025">
          <cell r="AD1025">
            <v>99.985417259596758</v>
          </cell>
          <cell r="AE1025">
            <v>102.2565804383227</v>
          </cell>
          <cell r="AF1025">
            <v>105.40311013329199</v>
          </cell>
          <cell r="AG1025">
            <v>110.27403905771304</v>
          </cell>
          <cell r="AH1025">
            <v>119.32104591935742</v>
          </cell>
        </row>
        <row r="1026">
          <cell r="AD1026">
            <v>100</v>
          </cell>
          <cell r="AE1026">
            <v>102.27104851232359</v>
          </cell>
          <cell r="AF1026">
            <v>105.41709839764783</v>
          </cell>
          <cell r="AG1026">
            <v>110.28733701854851</v>
          </cell>
          <cell r="AH1026">
            <v>119.33581349549807</v>
          </cell>
        </row>
        <row r="1027">
          <cell r="AD1027">
            <v>100.01360617790324</v>
          </cell>
          <cell r="AE1027">
            <v>102.28551658632446</v>
          </cell>
          <cell r="AF1027">
            <v>105.43108666200368</v>
          </cell>
          <cell r="AG1027">
            <v>110.30063497938397</v>
          </cell>
          <cell r="AH1027">
            <v>119.35058107163871</v>
          </cell>
        </row>
        <row r="1028">
          <cell r="AD1028">
            <v>100.02721235580647</v>
          </cell>
          <cell r="AE1028">
            <v>102.29998466032534</v>
          </cell>
          <cell r="AF1028">
            <v>105.44507492635954</v>
          </cell>
          <cell r="AG1028">
            <v>110.31393294021944</v>
          </cell>
          <cell r="AH1028">
            <v>119.36534864777937</v>
          </cell>
        </row>
        <row r="1029">
          <cell r="AD1029">
            <v>100.04081853370971</v>
          </cell>
          <cell r="AE1029">
            <v>102.31445273432622</v>
          </cell>
          <cell r="AF1029">
            <v>105.45906319071538</v>
          </cell>
          <cell r="AG1029">
            <v>110.32723090105492</v>
          </cell>
          <cell r="AH1029">
            <v>119.38011622392003</v>
          </cell>
        </row>
        <row r="1030">
          <cell r="AD1030">
            <v>100.05442471161294</v>
          </cell>
          <cell r="AE1030">
            <v>102.3289208083271</v>
          </cell>
          <cell r="AF1030">
            <v>105.47305145507124</v>
          </cell>
          <cell r="AG1030">
            <v>110.34052886189039</v>
          </cell>
          <cell r="AH1030">
            <v>119.39488380006067</v>
          </cell>
        </row>
        <row r="1031">
          <cell r="AD1031">
            <v>100.06803088951618</v>
          </cell>
          <cell r="AE1031">
            <v>102.34338888232797</v>
          </cell>
          <cell r="AF1031">
            <v>105.48703971942709</v>
          </cell>
          <cell r="AG1031">
            <v>110.35382682272586</v>
          </cell>
          <cell r="AH1031">
            <v>119.40965137620132</v>
          </cell>
        </row>
        <row r="1032">
          <cell r="AD1032">
            <v>100.08163706741941</v>
          </cell>
          <cell r="AE1032">
            <v>102.35785695632886</v>
          </cell>
          <cell r="AF1032">
            <v>105.50102798378293</v>
          </cell>
          <cell r="AG1032">
            <v>110.36712478356134</v>
          </cell>
          <cell r="AH1032">
            <v>119.42441895234198</v>
          </cell>
        </row>
        <row r="1033">
          <cell r="AD1033">
            <v>100.09524324532265</v>
          </cell>
          <cell r="AE1033">
            <v>102.37232503032973</v>
          </cell>
          <cell r="AF1033">
            <v>105.51501624813879</v>
          </cell>
          <cell r="AG1033">
            <v>110.3804227443968</v>
          </cell>
          <cell r="AH1033">
            <v>119.43918652848262</v>
          </cell>
        </row>
        <row r="1034">
          <cell r="AD1034">
            <v>100.10884942322589</v>
          </cell>
          <cell r="AE1034">
            <v>102.38679310433061</v>
          </cell>
          <cell r="AF1034">
            <v>105.52900451249464</v>
          </cell>
          <cell r="AG1034">
            <v>110.39372070523227</v>
          </cell>
          <cell r="AH1034">
            <v>119.45395410462328</v>
          </cell>
        </row>
        <row r="1035">
          <cell r="AD1035">
            <v>100.12245560112912</v>
          </cell>
          <cell r="AE1035">
            <v>102.4012611783315</v>
          </cell>
          <cell r="AF1035">
            <v>105.5429927768505</v>
          </cell>
          <cell r="AG1035">
            <v>110.40701866606774</v>
          </cell>
          <cell r="AH1035">
            <v>119.46872168076393</v>
          </cell>
        </row>
        <row r="1036">
          <cell r="AD1036">
            <v>100.13606177903236</v>
          </cell>
          <cell r="AE1036">
            <v>102.41572925233237</v>
          </cell>
          <cell r="AF1036">
            <v>105.55698104120634</v>
          </cell>
          <cell r="AG1036">
            <v>110.42031662690322</v>
          </cell>
          <cell r="AH1036">
            <v>119.48348925690458</v>
          </cell>
        </row>
        <row r="1037">
          <cell r="AD1037">
            <v>100.14966795693559</v>
          </cell>
          <cell r="AE1037">
            <v>102.43019732633324</v>
          </cell>
          <cell r="AF1037">
            <v>105.57096930556219</v>
          </cell>
          <cell r="AG1037">
            <v>110.43361458773869</v>
          </cell>
          <cell r="AH1037">
            <v>119.49825683304523</v>
          </cell>
        </row>
        <row r="1038">
          <cell r="AD1038">
            <v>100.16327413483883</v>
          </cell>
          <cell r="AE1038">
            <v>102.44466540033412</v>
          </cell>
          <cell r="AF1038">
            <v>105.58495756991805</v>
          </cell>
          <cell r="AG1038">
            <v>110.44691254857415</v>
          </cell>
          <cell r="AH1038">
            <v>119.51302440918589</v>
          </cell>
        </row>
        <row r="1039">
          <cell r="AD1039">
            <v>100.17688031274206</v>
          </cell>
          <cell r="AE1039">
            <v>102.459133474335</v>
          </cell>
          <cell r="AF1039">
            <v>105.59894583427389</v>
          </cell>
          <cell r="AG1039">
            <v>110.46021050940962</v>
          </cell>
          <cell r="AH1039">
            <v>119.52779198532653</v>
          </cell>
        </row>
        <row r="1040">
          <cell r="AD1040">
            <v>100.1904864906453</v>
          </cell>
          <cell r="AE1040">
            <v>102.47360154833588</v>
          </cell>
          <cell r="AF1040">
            <v>105.61293409862975</v>
          </cell>
          <cell r="AG1040">
            <v>110.47350847024509</v>
          </cell>
          <cell r="AH1040">
            <v>119.54255956146719</v>
          </cell>
        </row>
        <row r="1041">
          <cell r="AD1041">
            <v>100.20409266854853</v>
          </cell>
          <cell r="AE1041">
            <v>102.48806962233675</v>
          </cell>
          <cell r="AF1041">
            <v>105.6269223629856</v>
          </cell>
          <cell r="AG1041">
            <v>110.48680643108057</v>
          </cell>
          <cell r="AH1041">
            <v>119.55732713760784</v>
          </cell>
        </row>
        <row r="1042">
          <cell r="AD1042">
            <v>100.21769884645177</v>
          </cell>
          <cell r="AE1042">
            <v>102.50253769633764</v>
          </cell>
          <cell r="AF1042">
            <v>105.64091062734144</v>
          </cell>
          <cell r="AG1042">
            <v>110.50010439191604</v>
          </cell>
          <cell r="AH1042">
            <v>119.57209471374848</v>
          </cell>
        </row>
        <row r="1043">
          <cell r="AD1043">
            <v>100.23130502435501</v>
          </cell>
          <cell r="AE1043">
            <v>102.51700577033851</v>
          </cell>
          <cell r="AF1043">
            <v>105.6548988916973</v>
          </cell>
          <cell r="AG1043">
            <v>110.5134023527515</v>
          </cell>
          <cell r="AH1043">
            <v>119.58686228988914</v>
          </cell>
        </row>
        <row r="1044">
          <cell r="AD1044">
            <v>100.24491120225824</v>
          </cell>
          <cell r="AE1044">
            <v>102.53147384433939</v>
          </cell>
          <cell r="AF1044">
            <v>105.66888715605315</v>
          </cell>
          <cell r="AG1044">
            <v>110.52670031358697</v>
          </cell>
          <cell r="AH1044">
            <v>119.6016298660298</v>
          </cell>
        </row>
        <row r="1045">
          <cell r="AD1045">
            <v>100.25851738016148</v>
          </cell>
          <cell r="AE1045">
            <v>102.54594191834028</v>
          </cell>
          <cell r="AF1045">
            <v>105.682875420409</v>
          </cell>
          <cell r="AG1045">
            <v>110.53999827442244</v>
          </cell>
          <cell r="AH1045">
            <v>119.61639744217044</v>
          </cell>
        </row>
        <row r="1046">
          <cell r="AD1046">
            <v>100.27212355806471</v>
          </cell>
          <cell r="AE1046">
            <v>102.56040999234115</v>
          </cell>
          <cell r="AF1046">
            <v>105.69686368476485</v>
          </cell>
          <cell r="AG1046">
            <v>110.55329623525792</v>
          </cell>
          <cell r="AH1046">
            <v>119.63116501831109</v>
          </cell>
        </row>
        <row r="1047">
          <cell r="AD1047">
            <v>100.28572973596795</v>
          </cell>
          <cell r="AE1047">
            <v>102.57487806634202</v>
          </cell>
          <cell r="AF1047">
            <v>105.71085194912069</v>
          </cell>
          <cell r="AG1047">
            <v>110.56659419609339</v>
          </cell>
          <cell r="AH1047">
            <v>119.64593259445175</v>
          </cell>
        </row>
        <row r="1048">
          <cell r="AD1048">
            <v>100.29933591387118</v>
          </cell>
          <cell r="AE1048">
            <v>102.58934614034291</v>
          </cell>
          <cell r="AF1048">
            <v>105.72484021347655</v>
          </cell>
          <cell r="AG1048">
            <v>110.57989215692885</v>
          </cell>
          <cell r="AH1048">
            <v>119.66070017059239</v>
          </cell>
        </row>
        <row r="1049">
          <cell r="AD1049">
            <v>100.31294209177442</v>
          </cell>
          <cell r="AE1049">
            <v>102.60381421434379</v>
          </cell>
          <cell r="AF1049">
            <v>105.7388284778324</v>
          </cell>
          <cell r="AG1049">
            <v>110.59319011776432</v>
          </cell>
          <cell r="AH1049">
            <v>119.67546774673305</v>
          </cell>
        </row>
        <row r="1050">
          <cell r="AD1050">
            <v>100.32654826967766</v>
          </cell>
          <cell r="AE1050">
            <v>102.61828228834466</v>
          </cell>
          <cell r="AF1050">
            <v>105.75281674218826</v>
          </cell>
          <cell r="AG1050">
            <v>110.6064880785998</v>
          </cell>
          <cell r="AH1050">
            <v>119.6902353228737</v>
          </cell>
        </row>
        <row r="1051">
          <cell r="AD1051">
            <v>100.34015444758089</v>
          </cell>
          <cell r="AE1051">
            <v>102.63275036234553</v>
          </cell>
          <cell r="AF1051">
            <v>105.7668050065441</v>
          </cell>
          <cell r="AG1051">
            <v>110.61978603943527</v>
          </cell>
          <cell r="AH1051">
            <v>119.70500289901435</v>
          </cell>
        </row>
        <row r="1052">
          <cell r="AD1052">
            <v>100.35376062548413</v>
          </cell>
          <cell r="AE1052">
            <v>102.64721843634642</v>
          </cell>
          <cell r="AF1052">
            <v>105.78079327089995</v>
          </cell>
          <cell r="AG1052">
            <v>110.63308400027074</v>
          </cell>
          <cell r="AH1052">
            <v>119.719770475155</v>
          </cell>
        </row>
        <row r="1053">
          <cell r="AD1053">
            <v>100.36736680338736</v>
          </cell>
          <cell r="AE1053">
            <v>102.66168651034729</v>
          </cell>
          <cell r="AF1053">
            <v>105.79478153525581</v>
          </cell>
          <cell r="AG1053">
            <v>110.6463819611062</v>
          </cell>
          <cell r="AH1053">
            <v>119.73453805129566</v>
          </cell>
        </row>
        <row r="1054">
          <cell r="AD1054">
            <v>100.3809729812906</v>
          </cell>
          <cell r="AE1054">
            <v>102.67615458434817</v>
          </cell>
          <cell r="AF1054">
            <v>105.80876979961165</v>
          </cell>
          <cell r="AG1054">
            <v>110.65967992194167</v>
          </cell>
          <cell r="AH1054">
            <v>119.7493056274363</v>
          </cell>
        </row>
        <row r="1055">
          <cell r="AD1055">
            <v>100.39457915919382</v>
          </cell>
          <cell r="AE1055">
            <v>102.69062265834906</v>
          </cell>
          <cell r="AF1055">
            <v>105.82275806396751</v>
          </cell>
          <cell r="AG1055">
            <v>110.67297788277715</v>
          </cell>
          <cell r="AH1055">
            <v>119.76407320357696</v>
          </cell>
        </row>
        <row r="1056">
          <cell r="AD1056">
            <v>100.40818533709707</v>
          </cell>
          <cell r="AE1056">
            <v>102.70509073234993</v>
          </cell>
          <cell r="AF1056">
            <v>105.83674632832336</v>
          </cell>
          <cell r="AG1056">
            <v>110.68627584361262</v>
          </cell>
          <cell r="AH1056">
            <v>119.77884077971761</v>
          </cell>
        </row>
        <row r="1057">
          <cell r="AD1057">
            <v>100.42179151500029</v>
          </cell>
          <cell r="AE1057">
            <v>102.7195588063508</v>
          </cell>
          <cell r="AF1057">
            <v>105.8507345926792</v>
          </cell>
          <cell r="AG1057">
            <v>110.69957380444809</v>
          </cell>
          <cell r="AH1057">
            <v>119.79360835585825</v>
          </cell>
        </row>
        <row r="1058">
          <cell r="AD1058">
            <v>100.43539769290354</v>
          </cell>
          <cell r="AE1058">
            <v>102.73402688035169</v>
          </cell>
          <cell r="AF1058">
            <v>105.86472285703506</v>
          </cell>
          <cell r="AG1058">
            <v>110.71287176528357</v>
          </cell>
          <cell r="AH1058">
            <v>119.80837593199891</v>
          </cell>
        </row>
        <row r="1059">
          <cell r="AD1059">
            <v>100.44900387080678</v>
          </cell>
          <cell r="AE1059">
            <v>102.74849495435257</v>
          </cell>
          <cell r="AF1059">
            <v>105.87871112139091</v>
          </cell>
          <cell r="AG1059">
            <v>110.72616972611902</v>
          </cell>
          <cell r="AH1059">
            <v>119.82314350813957</v>
          </cell>
        </row>
        <row r="1060">
          <cell r="AD1060">
            <v>100.46261004871</v>
          </cell>
          <cell r="AE1060">
            <v>102.76296302835344</v>
          </cell>
          <cell r="AF1060">
            <v>105.89269938574677</v>
          </cell>
          <cell r="AG1060">
            <v>110.7394676869545</v>
          </cell>
          <cell r="AH1060">
            <v>119.83791108428021</v>
          </cell>
        </row>
        <row r="1061">
          <cell r="AD1061">
            <v>100.47621622661325</v>
          </cell>
          <cell r="AE1061">
            <v>102.77743110235433</v>
          </cell>
          <cell r="AF1061">
            <v>105.90668765010261</v>
          </cell>
          <cell r="AG1061">
            <v>110.75276564778997</v>
          </cell>
          <cell r="AH1061">
            <v>119.85267866042086</v>
          </cell>
        </row>
        <row r="1062">
          <cell r="AD1062">
            <v>100.48982240451647</v>
          </cell>
          <cell r="AE1062">
            <v>102.7918991763552</v>
          </cell>
          <cell r="AF1062">
            <v>105.92067591445846</v>
          </cell>
          <cell r="AG1062">
            <v>110.76606360862544</v>
          </cell>
          <cell r="AH1062">
            <v>119.86744623656152</v>
          </cell>
        </row>
        <row r="1063">
          <cell r="AD1063">
            <v>100.50342858241972</v>
          </cell>
          <cell r="AE1063">
            <v>102.80636725035608</v>
          </cell>
          <cell r="AF1063">
            <v>105.93466417881432</v>
          </cell>
          <cell r="AG1063">
            <v>110.77936156946092</v>
          </cell>
          <cell r="AH1063">
            <v>119.88221381270216</v>
          </cell>
        </row>
        <row r="1064">
          <cell r="AD1064">
            <v>100.51703476032294</v>
          </cell>
          <cell r="AE1064">
            <v>102.82083532435696</v>
          </cell>
          <cell r="AF1064">
            <v>105.94865244317016</v>
          </cell>
          <cell r="AG1064">
            <v>110.79265953029638</v>
          </cell>
          <cell r="AH1064">
            <v>119.89698138884282</v>
          </cell>
        </row>
        <row r="1065">
          <cell r="AD1065">
            <v>100.53064093822618</v>
          </cell>
          <cell r="AE1065">
            <v>102.83530339835784</v>
          </cell>
          <cell r="AF1065">
            <v>105.96264070752602</v>
          </cell>
          <cell r="AG1065">
            <v>110.80595749113185</v>
          </cell>
          <cell r="AH1065">
            <v>119.91174896498347</v>
          </cell>
        </row>
        <row r="1066">
          <cell r="AD1066">
            <v>100.54424711612943</v>
          </cell>
          <cell r="AE1066">
            <v>102.84977147235871</v>
          </cell>
          <cell r="AF1066">
            <v>105.97662897188187</v>
          </cell>
          <cell r="AG1066">
            <v>110.81925545196732</v>
          </cell>
          <cell r="AH1066">
            <v>119.92651654112412</v>
          </cell>
        </row>
        <row r="1067">
          <cell r="AD1067">
            <v>100.55785329403265</v>
          </cell>
          <cell r="AE1067">
            <v>102.86423954635958</v>
          </cell>
          <cell r="AF1067">
            <v>105.99061723623771</v>
          </cell>
          <cell r="AG1067">
            <v>110.8325534128028</v>
          </cell>
          <cell r="AH1067">
            <v>119.94128411726477</v>
          </cell>
        </row>
        <row r="1068">
          <cell r="AD1068">
            <v>100.5714594719359</v>
          </cell>
          <cell r="AE1068">
            <v>102.87870762036047</v>
          </cell>
          <cell r="AF1068">
            <v>106.00427789721803</v>
          </cell>
          <cell r="AG1068">
            <v>110.84585137363827</v>
          </cell>
          <cell r="AH1068">
            <v>119.95605169340543</v>
          </cell>
        </row>
        <row r="1069">
          <cell r="AD1069">
            <v>100.58506564983912</v>
          </cell>
          <cell r="AE1069">
            <v>102.89317569436135</v>
          </cell>
          <cell r="AF1069">
            <v>106.01727113344874</v>
          </cell>
          <cell r="AG1069">
            <v>110.85914933447373</v>
          </cell>
          <cell r="AH1069">
            <v>119.97081926954607</v>
          </cell>
        </row>
        <row r="1070">
          <cell r="AD1070">
            <v>100.59867182774236</v>
          </cell>
          <cell r="AE1070">
            <v>102.90764376836222</v>
          </cell>
          <cell r="AF1070">
            <v>106.03026436967946</v>
          </cell>
          <cell r="AG1070">
            <v>110.8724472953092</v>
          </cell>
          <cell r="AH1070">
            <v>119.98558684568673</v>
          </cell>
        </row>
        <row r="1071">
          <cell r="AD1071">
            <v>100.61227800564559</v>
          </cell>
          <cell r="AE1071">
            <v>102.92211184236311</v>
          </cell>
          <cell r="AF1071">
            <v>106.04325760591017</v>
          </cell>
          <cell r="AG1071">
            <v>110.88574525614467</v>
          </cell>
          <cell r="AH1071">
            <v>120.00031849517944</v>
          </cell>
        </row>
        <row r="1072">
          <cell r="AD1072">
            <v>100.62588418354883</v>
          </cell>
          <cell r="AE1072">
            <v>102.93657991636398</v>
          </cell>
          <cell r="AF1072">
            <v>106.05625084214088</v>
          </cell>
          <cell r="AG1072">
            <v>110.89904321698015</v>
          </cell>
          <cell r="AH1072">
            <v>120.013589127656</v>
          </cell>
        </row>
        <row r="1073">
          <cell r="AD1073">
            <v>100.63949036145206</v>
          </cell>
          <cell r="AE1073">
            <v>102.95104799036486</v>
          </cell>
          <cell r="AF1073">
            <v>106.0692440783716</v>
          </cell>
          <cell r="AG1073">
            <v>110.91234117781562</v>
          </cell>
          <cell r="AH1073">
            <v>120.02685976013258</v>
          </cell>
        </row>
        <row r="1074">
          <cell r="AD1074">
            <v>100.6530965393553</v>
          </cell>
          <cell r="AE1074">
            <v>102.96551606436574</v>
          </cell>
          <cell r="AF1074">
            <v>106.08223731460231</v>
          </cell>
          <cell r="AG1074">
            <v>110.92563913865108</v>
          </cell>
          <cell r="AH1074">
            <v>120.04013039260914</v>
          </cell>
        </row>
        <row r="1075">
          <cell r="AD1075">
            <v>100.66670271725854</v>
          </cell>
          <cell r="AE1075">
            <v>102.97998413836662</v>
          </cell>
          <cell r="AF1075">
            <v>106.09523055083302</v>
          </cell>
          <cell r="AG1075">
            <v>110.93893709948655</v>
          </cell>
          <cell r="AH1075">
            <v>120.05340102508572</v>
          </cell>
        </row>
        <row r="1076">
          <cell r="AD1076">
            <v>100.68030889516177</v>
          </cell>
          <cell r="AE1076">
            <v>102.99445221236749</v>
          </cell>
          <cell r="AF1076">
            <v>106.10822378706374</v>
          </cell>
          <cell r="AG1076">
            <v>110.95223506032202</v>
          </cell>
          <cell r="AH1076">
            <v>120.06667165756228</v>
          </cell>
        </row>
        <row r="1077">
          <cell r="AD1077">
            <v>100.69391507306501</v>
          </cell>
          <cell r="AE1077">
            <v>103.00796867787946</v>
          </cell>
          <cell r="AF1077">
            <v>106.12121702329445</v>
          </cell>
          <cell r="AG1077">
            <v>110.9655330211575</v>
          </cell>
          <cell r="AH1077">
            <v>120.07994229003884</v>
          </cell>
        </row>
        <row r="1078">
          <cell r="AD1078">
            <v>100.70752125096824</v>
          </cell>
          <cell r="AE1078">
            <v>103.02089331017129</v>
          </cell>
          <cell r="AF1078">
            <v>106.13421025952516</v>
          </cell>
          <cell r="AG1078">
            <v>110.97883098199297</v>
          </cell>
          <cell r="AH1078">
            <v>120.09321292251542</v>
          </cell>
        </row>
        <row r="1079">
          <cell r="AD1079">
            <v>100.72112742887148</v>
          </cell>
          <cell r="AE1079">
            <v>103.03381794246313</v>
          </cell>
          <cell r="AF1079">
            <v>106.14720349575587</v>
          </cell>
          <cell r="AG1079">
            <v>110.99212894282843</v>
          </cell>
          <cell r="AH1079">
            <v>120.10648355499198</v>
          </cell>
        </row>
        <row r="1080">
          <cell r="AD1080">
            <v>100.73473360677471</v>
          </cell>
          <cell r="AE1080">
            <v>103.04674257475497</v>
          </cell>
          <cell r="AF1080">
            <v>106.1601967319866</v>
          </cell>
          <cell r="AG1080">
            <v>111.00518440900021</v>
          </cell>
          <cell r="AH1080">
            <v>120.11975418746856</v>
          </cell>
        </row>
        <row r="1081">
          <cell r="AD1081">
            <v>100.74833978467795</v>
          </cell>
          <cell r="AE1081">
            <v>103.05966720704681</v>
          </cell>
          <cell r="AF1081">
            <v>106.17318996821732</v>
          </cell>
          <cell r="AG1081">
            <v>111.01788816644819</v>
          </cell>
          <cell r="AH1081">
            <v>120.13302481994512</v>
          </cell>
        </row>
        <row r="1082">
          <cell r="AD1082">
            <v>100.76194596258119</v>
          </cell>
          <cell r="AE1082">
            <v>103.07259183933866</v>
          </cell>
          <cell r="AF1082">
            <v>106.18618320444803</v>
          </cell>
          <cell r="AG1082">
            <v>111.03059192389618</v>
          </cell>
          <cell r="AH1082">
            <v>120.1462954524217</v>
          </cell>
        </row>
        <row r="1083">
          <cell r="AD1083">
            <v>100.77555214048442</v>
          </cell>
          <cell r="AE1083">
            <v>103.0855164716305</v>
          </cell>
          <cell r="AF1083">
            <v>106.19917644067874</v>
          </cell>
          <cell r="AG1083">
            <v>111.04329568134416</v>
          </cell>
          <cell r="AH1083">
            <v>120.15956608489826</v>
          </cell>
        </row>
        <row r="1084">
          <cell r="AD1084">
            <v>100.78915831838766</v>
          </cell>
          <cell r="AE1084">
            <v>103.09844110392233</v>
          </cell>
          <cell r="AF1084">
            <v>106.21216967690945</v>
          </cell>
          <cell r="AG1084">
            <v>111.05599943879214</v>
          </cell>
          <cell r="AH1084">
            <v>120.17283671737482</v>
          </cell>
        </row>
        <row r="1085">
          <cell r="AD1085">
            <v>100.80276449629089</v>
          </cell>
          <cell r="AE1085">
            <v>103.11136573621417</v>
          </cell>
          <cell r="AF1085">
            <v>106.22516291314017</v>
          </cell>
          <cell r="AG1085">
            <v>111.06870319624012</v>
          </cell>
          <cell r="AH1085">
            <v>120.1861073498514</v>
          </cell>
        </row>
        <row r="1086">
          <cell r="AD1086">
            <v>100.81637067419413</v>
          </cell>
          <cell r="AE1086">
            <v>103.12429036850601</v>
          </cell>
          <cell r="AF1086">
            <v>106.23815614937088</v>
          </cell>
          <cell r="AG1086">
            <v>111.08140695368812</v>
          </cell>
          <cell r="AH1086">
            <v>120.19937798232796</v>
          </cell>
        </row>
        <row r="1087">
          <cell r="AD1087">
            <v>100.82997685209736</v>
          </cell>
          <cell r="AE1087">
            <v>103.13721500079785</v>
          </cell>
          <cell r="AF1087">
            <v>106.25114938560159</v>
          </cell>
          <cell r="AG1087">
            <v>111.0941107111361</v>
          </cell>
          <cell r="AH1087">
            <v>120.21264861480454</v>
          </cell>
        </row>
        <row r="1088">
          <cell r="AD1088">
            <v>100.8435830300006</v>
          </cell>
          <cell r="AE1088">
            <v>103.15013963308969</v>
          </cell>
          <cell r="AF1088">
            <v>106.26414262183231</v>
          </cell>
          <cell r="AG1088">
            <v>111.10681446858408</v>
          </cell>
          <cell r="AH1088">
            <v>120.2259192472811</v>
          </cell>
        </row>
        <row r="1089">
          <cell r="AD1089">
            <v>100.85718920790383</v>
          </cell>
          <cell r="AE1089">
            <v>103.16306426538152</v>
          </cell>
          <cell r="AF1089">
            <v>106.27713585806302</v>
          </cell>
          <cell r="AG1089">
            <v>111.11951822603206</v>
          </cell>
          <cell r="AH1089">
            <v>120.23918987975767</v>
          </cell>
        </row>
        <row r="1090">
          <cell r="AD1090">
            <v>100.87079538580707</v>
          </cell>
          <cell r="AE1090">
            <v>103.17598889767336</v>
          </cell>
          <cell r="AF1090">
            <v>106.29012909429373</v>
          </cell>
          <cell r="AG1090">
            <v>111.13222198348004</v>
          </cell>
          <cell r="AH1090">
            <v>120.25246051223424</v>
          </cell>
        </row>
        <row r="1091">
          <cell r="AD1091">
            <v>100.88440156371031</v>
          </cell>
          <cell r="AE1091">
            <v>103.18891352996521</v>
          </cell>
          <cell r="AF1091">
            <v>106.30312233052445</v>
          </cell>
          <cell r="AG1091">
            <v>111.14492574092803</v>
          </cell>
          <cell r="AH1091">
            <v>120.26573114471081</v>
          </cell>
        </row>
        <row r="1092">
          <cell r="AD1092">
            <v>100.89800774161354</v>
          </cell>
          <cell r="AE1092">
            <v>103.20183816225705</v>
          </cell>
          <cell r="AF1092">
            <v>106.31611556675516</v>
          </cell>
          <cell r="AG1092">
            <v>111.15762949837601</v>
          </cell>
          <cell r="AH1092">
            <v>120.27900177718737</v>
          </cell>
        </row>
        <row r="1093">
          <cell r="AD1093">
            <v>100.91161391951678</v>
          </cell>
          <cell r="AE1093">
            <v>103.21476279454889</v>
          </cell>
          <cell r="AF1093">
            <v>106.32910880298587</v>
          </cell>
          <cell r="AG1093">
            <v>111.17033325582399</v>
          </cell>
          <cell r="AH1093">
            <v>120.29227240966394</v>
          </cell>
        </row>
        <row r="1094">
          <cell r="AD1094">
            <v>100.92522009742001</v>
          </cell>
          <cell r="AE1094">
            <v>103.22768742684073</v>
          </cell>
          <cell r="AF1094">
            <v>106.34210203921658</v>
          </cell>
          <cell r="AG1094">
            <v>111.18303701327197</v>
          </cell>
          <cell r="AH1094">
            <v>120.30554304214051</v>
          </cell>
        </row>
        <row r="1095">
          <cell r="AD1095">
            <v>100.93882627532325</v>
          </cell>
          <cell r="AE1095">
            <v>103.24061205913256</v>
          </cell>
          <cell r="AF1095">
            <v>106.35509527544731</v>
          </cell>
          <cell r="AG1095">
            <v>111.19574077071996</v>
          </cell>
          <cell r="AH1095">
            <v>120.31881367461708</v>
          </cell>
        </row>
        <row r="1096">
          <cell r="AD1096">
            <v>100.95243245322648</v>
          </cell>
          <cell r="AE1096">
            <v>103.2535366914244</v>
          </cell>
          <cell r="AF1096">
            <v>106.36808851167802</v>
          </cell>
          <cell r="AG1096">
            <v>111.20844452816795</v>
          </cell>
          <cell r="AH1096">
            <v>120.33208430709365</v>
          </cell>
        </row>
        <row r="1097">
          <cell r="AD1097">
            <v>100.96603863112972</v>
          </cell>
          <cell r="AE1097">
            <v>103.26646132371624</v>
          </cell>
          <cell r="AF1097">
            <v>106.38108174790874</v>
          </cell>
          <cell r="AG1097">
            <v>111.22114828561593</v>
          </cell>
          <cell r="AH1097">
            <v>120.34535493957021</v>
          </cell>
        </row>
        <row r="1098">
          <cell r="AD1098">
            <v>100.97964480903296</v>
          </cell>
          <cell r="AE1098">
            <v>103.27938595600808</v>
          </cell>
          <cell r="AF1098">
            <v>106.39407498413945</v>
          </cell>
          <cell r="AG1098">
            <v>111.23385204306391</v>
          </cell>
          <cell r="AH1098">
            <v>120.35862557204679</v>
          </cell>
        </row>
        <row r="1099">
          <cell r="AD1099">
            <v>100.99325098693619</v>
          </cell>
          <cell r="AE1099">
            <v>103.29231058829993</v>
          </cell>
          <cell r="AF1099">
            <v>106.40706822037016</v>
          </cell>
          <cell r="AG1099">
            <v>111.2465558005119</v>
          </cell>
          <cell r="AH1099">
            <v>120.37189620452335</v>
          </cell>
        </row>
        <row r="1100">
          <cell r="AD1100">
            <v>101.00639796102359</v>
          </cell>
          <cell r="AE1100">
            <v>103.30523522059175</v>
          </cell>
          <cell r="AF1100">
            <v>106.42006145660088</v>
          </cell>
          <cell r="AG1100">
            <v>111.25925955795988</v>
          </cell>
          <cell r="AH1100">
            <v>120.38516683699991</v>
          </cell>
        </row>
        <row r="1101">
          <cell r="AD1101">
            <v>101.01909297389602</v>
          </cell>
          <cell r="AE1101">
            <v>103.3181598528836</v>
          </cell>
          <cell r="AF1101">
            <v>106.43305469283159</v>
          </cell>
          <cell r="AG1101">
            <v>111.27196331540786</v>
          </cell>
          <cell r="AH1101">
            <v>120.39843746947649</v>
          </cell>
        </row>
        <row r="1102">
          <cell r="AD1102">
            <v>101.03178798676846</v>
          </cell>
          <cell r="AE1102">
            <v>103.33108448517544</v>
          </cell>
          <cell r="AF1102">
            <v>106.4460479290623</v>
          </cell>
          <cell r="AG1102">
            <v>111.28466707285584</v>
          </cell>
          <cell r="AH1102">
            <v>120.41170810195305</v>
          </cell>
        </row>
        <row r="1103">
          <cell r="AD1103">
            <v>101.04448299964091</v>
          </cell>
          <cell r="AE1103">
            <v>103.34400911746728</v>
          </cell>
          <cell r="AF1103">
            <v>106.45904116529302</v>
          </cell>
          <cell r="AG1103">
            <v>111.29737083030383</v>
          </cell>
          <cell r="AH1103">
            <v>120.42497873442963</v>
          </cell>
        </row>
        <row r="1104">
          <cell r="AD1104">
            <v>101.05717801251335</v>
          </cell>
          <cell r="AE1104">
            <v>103.35693374975912</v>
          </cell>
          <cell r="AF1104">
            <v>106.47203440152373</v>
          </cell>
          <cell r="AG1104">
            <v>111.31007458775181</v>
          </cell>
          <cell r="AH1104">
            <v>120.43824936690619</v>
          </cell>
        </row>
        <row r="1105">
          <cell r="AD1105">
            <v>101.06987302538577</v>
          </cell>
          <cell r="AE1105">
            <v>103.36985838205096</v>
          </cell>
          <cell r="AF1105">
            <v>106.48502763775444</v>
          </cell>
          <cell r="AG1105">
            <v>111.32277834519979</v>
          </cell>
          <cell r="AH1105">
            <v>120.45151999938277</v>
          </cell>
        </row>
        <row r="1106">
          <cell r="AD1106">
            <v>101.08256803825822</v>
          </cell>
          <cell r="AE1106">
            <v>103.38278301434279</v>
          </cell>
          <cell r="AF1106">
            <v>106.49802087398515</v>
          </cell>
          <cell r="AG1106">
            <v>111.33548210264777</v>
          </cell>
          <cell r="AH1106">
            <v>120.46479063185933</v>
          </cell>
        </row>
        <row r="1107">
          <cell r="AD1107">
            <v>101.09526305113066</v>
          </cell>
          <cell r="AE1107">
            <v>103.39570764663463</v>
          </cell>
          <cell r="AF1107">
            <v>106.51101411021587</v>
          </cell>
          <cell r="AG1107">
            <v>111.34818586009575</v>
          </cell>
          <cell r="AH1107">
            <v>120.47806126433591</v>
          </cell>
        </row>
        <row r="1108">
          <cell r="AD1108">
            <v>101.10795806400309</v>
          </cell>
          <cell r="AE1108">
            <v>103.40863227892648</v>
          </cell>
          <cell r="AF1108">
            <v>106.52400734644658</v>
          </cell>
          <cell r="AG1108">
            <v>111.36088961754375</v>
          </cell>
          <cell r="AH1108">
            <v>120.49133189681247</v>
          </cell>
        </row>
        <row r="1109">
          <cell r="AD1109">
            <v>101.12065307687553</v>
          </cell>
          <cell r="AE1109">
            <v>103.42155691121832</v>
          </cell>
          <cell r="AF1109">
            <v>106.53700058267729</v>
          </cell>
          <cell r="AG1109">
            <v>111.37359337499173</v>
          </cell>
          <cell r="AH1109">
            <v>120.50460252928903</v>
          </cell>
        </row>
        <row r="1110">
          <cell r="AD1110">
            <v>101.13334808974797</v>
          </cell>
          <cell r="AE1110">
            <v>103.43448154351016</v>
          </cell>
          <cell r="AF1110">
            <v>106.54999381890802</v>
          </cell>
          <cell r="AG1110">
            <v>111.38629713243971</v>
          </cell>
          <cell r="AH1110">
            <v>120.51787316176561</v>
          </cell>
        </row>
        <row r="1111">
          <cell r="AD1111">
            <v>101.14604310262041</v>
          </cell>
          <cell r="AE1111">
            <v>103.44740617580199</v>
          </cell>
          <cell r="AF1111">
            <v>106.56298705513873</v>
          </cell>
          <cell r="AG1111">
            <v>111.39900088988769</v>
          </cell>
          <cell r="AH1111">
            <v>120.53114379424217</v>
          </cell>
        </row>
        <row r="1112">
          <cell r="AD1112">
            <v>101.15873811549284</v>
          </cell>
          <cell r="AE1112">
            <v>103.46033080809383</v>
          </cell>
          <cell r="AF1112">
            <v>106.57598029136945</v>
          </cell>
          <cell r="AG1112">
            <v>111.41170464733568</v>
          </cell>
          <cell r="AH1112">
            <v>120.54441442671875</v>
          </cell>
        </row>
        <row r="1113">
          <cell r="AD1113">
            <v>101.17143312836528</v>
          </cell>
          <cell r="AE1113">
            <v>103.47325544038567</v>
          </cell>
          <cell r="AF1113">
            <v>106.58897352760016</v>
          </cell>
          <cell r="AG1113">
            <v>111.42440840478366</v>
          </cell>
          <cell r="AH1113">
            <v>120.55768505919531</v>
          </cell>
        </row>
        <row r="1114">
          <cell r="AD1114">
            <v>101.18412814123772</v>
          </cell>
          <cell r="AE1114">
            <v>103.48618007267751</v>
          </cell>
          <cell r="AF1114">
            <v>106.60196676383087</v>
          </cell>
          <cell r="AG1114">
            <v>111.43711216223164</v>
          </cell>
          <cell r="AH1114">
            <v>120.57095569167188</v>
          </cell>
        </row>
        <row r="1115">
          <cell r="AD1115">
            <v>101.19682315411016</v>
          </cell>
          <cell r="AE1115">
            <v>103.49910470496935</v>
          </cell>
          <cell r="AF1115">
            <v>106.61496000006159</v>
          </cell>
          <cell r="AG1115">
            <v>111.44981591967962</v>
          </cell>
          <cell r="AH1115">
            <v>120.58422632414845</v>
          </cell>
        </row>
        <row r="1116">
          <cell r="AD1116">
            <v>101.20951816698259</v>
          </cell>
          <cell r="AE1116">
            <v>103.5120293372612</v>
          </cell>
          <cell r="AF1116">
            <v>106.6279532362923</v>
          </cell>
          <cell r="AG1116">
            <v>111.46251967712762</v>
          </cell>
          <cell r="AH1116">
            <v>120.59749695662501</v>
          </cell>
        </row>
        <row r="1117">
          <cell r="AD1117">
            <v>101.22221317985503</v>
          </cell>
          <cell r="AE1117">
            <v>103.52495396955302</v>
          </cell>
          <cell r="AF1117">
            <v>106.64094647252301</v>
          </cell>
          <cell r="AG1117">
            <v>111.4752234345756</v>
          </cell>
          <cell r="AH1117">
            <v>120.61076758910158</v>
          </cell>
        </row>
        <row r="1118">
          <cell r="AD1118">
            <v>101.23490819272747</v>
          </cell>
          <cell r="AE1118">
            <v>103.53787860184487</v>
          </cell>
          <cell r="AF1118">
            <v>106.65393970875373</v>
          </cell>
          <cell r="AG1118">
            <v>111.48792719202358</v>
          </cell>
          <cell r="AH1118">
            <v>120.62403822157815</v>
          </cell>
        </row>
        <row r="1119">
          <cell r="AD1119">
            <v>101.2476032055999</v>
          </cell>
          <cell r="AE1119">
            <v>103.55080323413671</v>
          </cell>
          <cell r="AF1119">
            <v>106.66693294498444</v>
          </cell>
          <cell r="AG1119">
            <v>111.50063094947156</v>
          </cell>
          <cell r="AH1119">
            <v>120.63730885405472</v>
          </cell>
        </row>
        <row r="1120">
          <cell r="AD1120">
            <v>101.26029821847234</v>
          </cell>
          <cell r="AE1120">
            <v>103.56372786642855</v>
          </cell>
          <cell r="AF1120">
            <v>106.67992618121515</v>
          </cell>
          <cell r="AG1120">
            <v>111.51333470691955</v>
          </cell>
          <cell r="AH1120">
            <v>120.65057948653129</v>
          </cell>
        </row>
        <row r="1121">
          <cell r="AD1121">
            <v>101.27299323134478</v>
          </cell>
          <cell r="AE1121">
            <v>103.57665249872039</v>
          </cell>
          <cell r="AF1121">
            <v>106.69291941744586</v>
          </cell>
          <cell r="AG1121">
            <v>111.52603846436753</v>
          </cell>
          <cell r="AH1121">
            <v>120.66385011900786</v>
          </cell>
        </row>
        <row r="1122">
          <cell r="AD1122">
            <v>101.28568824421723</v>
          </cell>
          <cell r="AE1122">
            <v>103.58957713101222</v>
          </cell>
          <cell r="AF1122">
            <v>106.70591265367658</v>
          </cell>
          <cell r="AG1122">
            <v>111.53874222181551</v>
          </cell>
          <cell r="AH1122">
            <v>120.67712075148442</v>
          </cell>
        </row>
        <row r="1123">
          <cell r="AD1123">
            <v>101.29838325708965</v>
          </cell>
          <cell r="AE1123">
            <v>103.60250176330406</v>
          </cell>
          <cell r="AF1123">
            <v>106.71890588990729</v>
          </cell>
          <cell r="AG1123">
            <v>111.55144597926349</v>
          </cell>
          <cell r="AH1123">
            <v>120.690391383961</v>
          </cell>
        </row>
        <row r="1124">
          <cell r="AD1124">
            <v>101.3110782699621</v>
          </cell>
          <cell r="AE1124">
            <v>103.6154263955959</v>
          </cell>
          <cell r="AF1124">
            <v>106.731899126138</v>
          </cell>
          <cell r="AG1124">
            <v>111.56414973671147</v>
          </cell>
          <cell r="AH1124">
            <v>120.70366201643756</v>
          </cell>
        </row>
        <row r="1125">
          <cell r="AD1125">
            <v>101.32377328283454</v>
          </cell>
          <cell r="AE1125">
            <v>103.62835102788775</v>
          </cell>
          <cell r="AF1125">
            <v>106.74489236236873</v>
          </cell>
          <cell r="AG1125">
            <v>111.57685349415947</v>
          </cell>
          <cell r="AH1125">
            <v>120.71693264891412</v>
          </cell>
        </row>
        <row r="1126">
          <cell r="AD1126">
            <v>101.33646829570696</v>
          </cell>
          <cell r="AE1126">
            <v>103.64127566017959</v>
          </cell>
          <cell r="AF1126">
            <v>106.75788559859944</v>
          </cell>
          <cell r="AG1126">
            <v>111.58955725160745</v>
          </cell>
          <cell r="AH1126">
            <v>120.7302032813907</v>
          </cell>
        </row>
        <row r="1127">
          <cell r="AD1127">
            <v>101.34916330857941</v>
          </cell>
          <cell r="AE1127">
            <v>103.65420029247142</v>
          </cell>
          <cell r="AF1127">
            <v>106.77087883483016</v>
          </cell>
          <cell r="AG1127">
            <v>111.60226100905543</v>
          </cell>
          <cell r="AH1127">
            <v>120.74347391386726</v>
          </cell>
        </row>
        <row r="1128">
          <cell r="AD1128">
            <v>101.36185832145185</v>
          </cell>
          <cell r="AE1128">
            <v>103.66712492476326</v>
          </cell>
          <cell r="AF1128">
            <v>106.78387207106087</v>
          </cell>
          <cell r="AG1128">
            <v>111.61496476650341</v>
          </cell>
          <cell r="AH1128">
            <v>120.75674454634384</v>
          </cell>
        </row>
        <row r="1129">
          <cell r="AD1129">
            <v>101.37455333432429</v>
          </cell>
          <cell r="AE1129">
            <v>103.6800495570551</v>
          </cell>
          <cell r="AF1129">
            <v>106.79686530729158</v>
          </cell>
          <cell r="AG1129">
            <v>111.6276685239514</v>
          </cell>
          <cell r="AH1129">
            <v>120.7700151788204</v>
          </cell>
        </row>
        <row r="1130">
          <cell r="AD1130">
            <v>101.38724834719672</v>
          </cell>
          <cell r="AE1130">
            <v>103.69297418934694</v>
          </cell>
          <cell r="AF1130">
            <v>106.8098585435223</v>
          </cell>
          <cell r="AG1130">
            <v>111.64037228139938</v>
          </cell>
          <cell r="AH1130">
            <v>120.78328581129698</v>
          </cell>
        </row>
        <row r="1131">
          <cell r="AD1131">
            <v>101.39994336006916</v>
          </cell>
          <cell r="AE1131">
            <v>103.70589882163878</v>
          </cell>
          <cell r="AF1131">
            <v>106.82285177975301</v>
          </cell>
          <cell r="AG1131">
            <v>111.65307603884736</v>
          </cell>
          <cell r="AH1131">
            <v>120.79655644377354</v>
          </cell>
        </row>
        <row r="1132">
          <cell r="AD1132">
            <v>101.4126383729416</v>
          </cell>
          <cell r="AE1132">
            <v>103.71882345393063</v>
          </cell>
          <cell r="AF1132">
            <v>106.83584501598372</v>
          </cell>
          <cell r="AG1132">
            <v>111.66577979629534</v>
          </cell>
          <cell r="AH1132">
            <v>120.8098270762501</v>
          </cell>
        </row>
        <row r="1133">
          <cell r="AD1133">
            <v>101.42533338581403</v>
          </cell>
          <cell r="AE1133">
            <v>103.73174808622245</v>
          </cell>
          <cell r="AF1133">
            <v>106.84883825221443</v>
          </cell>
          <cell r="AG1133">
            <v>111.67848355374333</v>
          </cell>
          <cell r="AH1133">
            <v>120.82309770872668</v>
          </cell>
        </row>
        <row r="1134">
          <cell r="AD1134">
            <v>101.43802839868647</v>
          </cell>
          <cell r="AE1134">
            <v>103.74467271851429</v>
          </cell>
          <cell r="AF1134">
            <v>106.86183148844515</v>
          </cell>
          <cell r="AG1134">
            <v>111.69118731119131</v>
          </cell>
          <cell r="AH1134">
            <v>120.83636834120324</v>
          </cell>
        </row>
        <row r="1135">
          <cell r="AD1135">
            <v>101.45072341155891</v>
          </cell>
          <cell r="AE1135">
            <v>103.75759735080614</v>
          </cell>
          <cell r="AF1135">
            <v>106.87482472467586</v>
          </cell>
          <cell r="AG1135">
            <v>111.70389106863929</v>
          </cell>
          <cell r="AH1135">
            <v>120.84963897367982</v>
          </cell>
        </row>
        <row r="1136">
          <cell r="AD1136">
            <v>101.46341842443135</v>
          </cell>
          <cell r="AE1136">
            <v>103.77052198309798</v>
          </cell>
          <cell r="AF1136">
            <v>106.88781796090657</v>
          </cell>
          <cell r="AG1136">
            <v>111.71659482608727</v>
          </cell>
          <cell r="AH1136">
            <v>120.86290960615638</v>
          </cell>
        </row>
        <row r="1137">
          <cell r="AD1137">
            <v>101.47611343730378</v>
          </cell>
          <cell r="AE1137">
            <v>103.78344661538982</v>
          </cell>
          <cell r="AF1137">
            <v>106.90081119713729</v>
          </cell>
          <cell r="AG1137">
            <v>111.72929858353527</v>
          </cell>
          <cell r="AH1137">
            <v>120.87618023863295</v>
          </cell>
        </row>
        <row r="1138">
          <cell r="AD1138">
            <v>101.48880845017622</v>
          </cell>
          <cell r="AE1138">
            <v>103.79637124768165</v>
          </cell>
          <cell r="AF1138">
            <v>106.913804433368</v>
          </cell>
          <cell r="AG1138">
            <v>111.74200234098325</v>
          </cell>
          <cell r="AH1138">
            <v>120.88945087110952</v>
          </cell>
        </row>
        <row r="1139">
          <cell r="AD1139">
            <v>101.50150346304866</v>
          </cell>
          <cell r="AE1139">
            <v>103.80929587997349</v>
          </cell>
          <cell r="AF1139">
            <v>106.92679766959871</v>
          </cell>
          <cell r="AG1139">
            <v>111.75470609843123</v>
          </cell>
          <cell r="AH1139">
            <v>120.90272150358609</v>
          </cell>
        </row>
        <row r="1140">
          <cell r="AD1140">
            <v>101.51419847592109</v>
          </cell>
          <cell r="AE1140">
            <v>103.82222051226533</v>
          </cell>
          <cell r="AF1140">
            <v>106.93979090582944</v>
          </cell>
          <cell r="AG1140">
            <v>111.76740985587921</v>
          </cell>
          <cell r="AH1140">
            <v>120.91599213606266</v>
          </cell>
        </row>
        <row r="1141">
          <cell r="AD1141">
            <v>101.52689348879353</v>
          </cell>
          <cell r="AE1141">
            <v>103.83514514455717</v>
          </cell>
          <cell r="AF1141">
            <v>106.95278414206015</v>
          </cell>
          <cell r="AG1141">
            <v>111.78011361332719</v>
          </cell>
          <cell r="AH1141">
            <v>120.92926276853922</v>
          </cell>
        </row>
        <row r="1142">
          <cell r="AD1142">
            <v>101.53958850166597</v>
          </cell>
          <cell r="AE1142">
            <v>103.84806977684902</v>
          </cell>
          <cell r="AF1142">
            <v>106.96577737829087</v>
          </cell>
          <cell r="AG1142">
            <v>111.79281737077518</v>
          </cell>
          <cell r="AH1142">
            <v>120.94253340101579</v>
          </cell>
        </row>
        <row r="1143">
          <cell r="AD1143">
            <v>101.55228351453842</v>
          </cell>
          <cell r="AE1143">
            <v>103.86099440914086</v>
          </cell>
          <cell r="AF1143">
            <v>106.97877061452158</v>
          </cell>
          <cell r="AG1143">
            <v>111.80552112822316</v>
          </cell>
          <cell r="AH1143">
            <v>120.95580403349236</v>
          </cell>
        </row>
        <row r="1144">
          <cell r="AD1144">
            <v>101.56497852741084</v>
          </cell>
          <cell r="AE1144">
            <v>103.87391904143269</v>
          </cell>
          <cell r="AF1144">
            <v>106.99176385075229</v>
          </cell>
          <cell r="AG1144">
            <v>111.81822488567114</v>
          </cell>
          <cell r="AH1144">
            <v>120.96907466596893</v>
          </cell>
        </row>
        <row r="1145">
          <cell r="AD1145">
            <v>101.57767354028329</v>
          </cell>
          <cell r="AE1145">
            <v>103.88684367372453</v>
          </cell>
          <cell r="AF1145">
            <v>107.00478811065045</v>
          </cell>
          <cell r="AG1145">
            <v>111.83092864311912</v>
          </cell>
          <cell r="AH1145">
            <v>120.98234529844549</v>
          </cell>
        </row>
        <row r="1146">
          <cell r="AD1146">
            <v>101.59036855315573</v>
          </cell>
          <cell r="AE1146">
            <v>103.89976830601637</v>
          </cell>
          <cell r="AF1146">
            <v>107.01786608315808</v>
          </cell>
          <cell r="AG1146">
            <v>111.84363240056712</v>
          </cell>
          <cell r="AH1146">
            <v>120.99561593092207</v>
          </cell>
        </row>
        <row r="1147">
          <cell r="AD1147">
            <v>101.60306356602815</v>
          </cell>
          <cell r="AE1147">
            <v>103.91269293830821</v>
          </cell>
          <cell r="AF1147">
            <v>107.03094405566571</v>
          </cell>
          <cell r="AG1147">
            <v>111.8563361580151</v>
          </cell>
          <cell r="AH1147">
            <v>121.00830117479435</v>
          </cell>
        </row>
        <row r="1148">
          <cell r="AD1148">
            <v>101.6157585789006</v>
          </cell>
          <cell r="AE1148">
            <v>103.92561757060005</v>
          </cell>
          <cell r="AF1148">
            <v>107.04402202817336</v>
          </cell>
          <cell r="AG1148">
            <v>111.86903991546308</v>
          </cell>
          <cell r="AH1148">
            <v>121.02069762490426</v>
          </cell>
        </row>
        <row r="1149">
          <cell r="AD1149">
            <v>101.62845359177304</v>
          </cell>
          <cell r="AE1149">
            <v>103.93854220289188</v>
          </cell>
          <cell r="AF1149">
            <v>107.05710000068099</v>
          </cell>
          <cell r="AG1149">
            <v>111.88174367291106</v>
          </cell>
          <cell r="AH1149">
            <v>121.03309407501416</v>
          </cell>
        </row>
        <row r="1150">
          <cell r="AD1150">
            <v>101.64114860464548</v>
          </cell>
          <cell r="AE1150">
            <v>103.95146683518372</v>
          </cell>
          <cell r="AF1150">
            <v>107.07017797318862</v>
          </cell>
          <cell r="AG1150">
            <v>111.89444743035905</v>
          </cell>
          <cell r="AH1150">
            <v>121.04549052512407</v>
          </cell>
        </row>
        <row r="1151">
          <cell r="AD1151">
            <v>101.65384361751791</v>
          </cell>
          <cell r="AE1151">
            <v>103.96439146747556</v>
          </cell>
          <cell r="AF1151">
            <v>107.08325594569625</v>
          </cell>
          <cell r="AG1151">
            <v>111.90715118780703</v>
          </cell>
          <cell r="AH1151">
            <v>121.05788697523397</v>
          </cell>
        </row>
        <row r="1152">
          <cell r="AD1152">
            <v>101.66653863039035</v>
          </cell>
          <cell r="AE1152">
            <v>103.97731609976741</v>
          </cell>
          <cell r="AF1152">
            <v>107.09633391820388</v>
          </cell>
          <cell r="AG1152">
            <v>111.91985494525501</v>
          </cell>
          <cell r="AH1152">
            <v>121.07028342534387</v>
          </cell>
        </row>
        <row r="1153">
          <cell r="AD1153">
            <v>101.67923364326279</v>
          </cell>
          <cell r="AE1153">
            <v>103.99024073205925</v>
          </cell>
          <cell r="AF1153">
            <v>107.10941189071151</v>
          </cell>
          <cell r="AG1153">
            <v>111.93255870270299</v>
          </cell>
          <cell r="AH1153">
            <v>121.08267987545378</v>
          </cell>
        </row>
        <row r="1154">
          <cell r="AD1154">
            <v>101.69192865613523</v>
          </cell>
          <cell r="AE1154">
            <v>104.00291205225143</v>
          </cell>
          <cell r="AF1154">
            <v>107.12248986321914</v>
          </cell>
          <cell r="AG1154">
            <v>111.94526246015099</v>
          </cell>
          <cell r="AH1154">
            <v>121.09507632556367</v>
          </cell>
        </row>
        <row r="1155">
          <cell r="AD1155">
            <v>101.70462366900766</v>
          </cell>
          <cell r="AE1155">
            <v>104.01480237525692</v>
          </cell>
          <cell r="AF1155">
            <v>107.13556783572679</v>
          </cell>
          <cell r="AG1155">
            <v>111.95796621759897</v>
          </cell>
          <cell r="AH1155">
            <v>121.10747277567357</v>
          </cell>
        </row>
        <row r="1156">
          <cell r="AD1156">
            <v>101.7173186818801</v>
          </cell>
          <cell r="AE1156">
            <v>104.02669269826241</v>
          </cell>
          <cell r="AF1156">
            <v>107.14864580823442</v>
          </cell>
          <cell r="AG1156">
            <v>111.97066997504695</v>
          </cell>
          <cell r="AH1156">
            <v>121.11986922578348</v>
          </cell>
        </row>
        <row r="1157">
          <cell r="AD1157">
            <v>101.73001369475254</v>
          </cell>
          <cell r="AE1157">
            <v>104.0385830212679</v>
          </cell>
          <cell r="AF1157">
            <v>107.16172378074205</v>
          </cell>
          <cell r="AG1157">
            <v>111.98337373249493</v>
          </cell>
          <cell r="AH1157">
            <v>121.13226567589338</v>
          </cell>
        </row>
        <row r="1158">
          <cell r="AD1158">
            <v>101.74270870762497</v>
          </cell>
          <cell r="AE1158">
            <v>104.05047334427339</v>
          </cell>
          <cell r="AF1158">
            <v>107.17480175324968</v>
          </cell>
          <cell r="AG1158">
            <v>111.99607748994291</v>
          </cell>
          <cell r="AH1158">
            <v>121.14466212600328</v>
          </cell>
        </row>
        <row r="1159">
          <cell r="AD1159">
            <v>101.75540372049741</v>
          </cell>
          <cell r="AE1159">
            <v>104.06236366727887</v>
          </cell>
          <cell r="AF1159">
            <v>107.18787972575731</v>
          </cell>
          <cell r="AG1159">
            <v>112.00859363398079</v>
          </cell>
          <cell r="AH1159">
            <v>121.15705857611319</v>
          </cell>
        </row>
        <row r="1160">
          <cell r="AD1160">
            <v>101.76809873336985</v>
          </cell>
          <cell r="AE1160">
            <v>104.07425399028436</v>
          </cell>
          <cell r="AF1160">
            <v>107.20095769826494</v>
          </cell>
          <cell r="AG1160">
            <v>112.0210259726713</v>
          </cell>
          <cell r="AH1160">
            <v>121.16945502622309</v>
          </cell>
        </row>
        <row r="1161">
          <cell r="AD1161">
            <v>101.7807937462423</v>
          </cell>
          <cell r="AE1161">
            <v>104.08614431328985</v>
          </cell>
          <cell r="AF1161">
            <v>107.21403567077257</v>
          </cell>
          <cell r="AG1161">
            <v>112.03345831136181</v>
          </cell>
          <cell r="AH1161">
            <v>121.18185147633299</v>
          </cell>
        </row>
        <row r="1162">
          <cell r="AD1162">
            <v>101.79348875911472</v>
          </cell>
          <cell r="AE1162">
            <v>104.09803463629534</v>
          </cell>
          <cell r="AF1162">
            <v>107.22711364328022</v>
          </cell>
          <cell r="AG1162">
            <v>112.04589065005231</v>
          </cell>
          <cell r="AH1162">
            <v>121.1942479264429</v>
          </cell>
        </row>
        <row r="1163">
          <cell r="AD1163">
            <v>101.80618377198716</v>
          </cell>
          <cell r="AE1163">
            <v>104.10992495930083</v>
          </cell>
          <cell r="AF1163">
            <v>107.24019161578785</v>
          </cell>
          <cell r="AG1163">
            <v>112.05832298874283</v>
          </cell>
          <cell r="AH1163">
            <v>121.2066443765528</v>
          </cell>
        </row>
        <row r="1164">
          <cell r="AD1164">
            <v>101.81887878485961</v>
          </cell>
          <cell r="AE1164">
            <v>104.12181528230631</v>
          </cell>
          <cell r="AF1164">
            <v>107.25326958829548</v>
          </cell>
          <cell r="AG1164">
            <v>112.07075532743333</v>
          </cell>
          <cell r="AH1164">
            <v>121.21904082666271</v>
          </cell>
        </row>
        <row r="1165">
          <cell r="AD1165">
            <v>101.83157379773203</v>
          </cell>
          <cell r="AE1165">
            <v>104.1337056053118</v>
          </cell>
          <cell r="AF1165">
            <v>107.26634756080311</v>
          </cell>
          <cell r="AG1165">
            <v>112.08318766612385</v>
          </cell>
          <cell r="AH1165">
            <v>121.23143727677261</v>
          </cell>
        </row>
        <row r="1166">
          <cell r="AD1166">
            <v>101.84426881060448</v>
          </cell>
          <cell r="AE1166">
            <v>104.14559592831729</v>
          </cell>
          <cell r="AF1166">
            <v>107.27942553331074</v>
          </cell>
          <cell r="AG1166">
            <v>112.09562000481435</v>
          </cell>
          <cell r="AH1166">
            <v>121.2438337268825</v>
          </cell>
        </row>
        <row r="1167">
          <cell r="AD1167">
            <v>101.85696382347692</v>
          </cell>
          <cell r="AE1167">
            <v>104.15748625132278</v>
          </cell>
          <cell r="AF1167">
            <v>107.29250350581837</v>
          </cell>
          <cell r="AG1167">
            <v>112.10805234350487</v>
          </cell>
          <cell r="AH1167">
            <v>121.2562301769924</v>
          </cell>
        </row>
        <row r="1168">
          <cell r="AD1168">
            <v>101.86965883634936</v>
          </cell>
          <cell r="AE1168">
            <v>104.16937657432827</v>
          </cell>
          <cell r="AF1168">
            <v>107.305581478326</v>
          </cell>
          <cell r="AG1168">
            <v>112.12048468219537</v>
          </cell>
          <cell r="AH1168">
            <v>121.26862662710231</v>
          </cell>
        </row>
        <row r="1169">
          <cell r="AD1169">
            <v>101.88235384922179</v>
          </cell>
          <cell r="AE1169">
            <v>104.18126689733376</v>
          </cell>
          <cell r="AF1169">
            <v>107.31865945083365</v>
          </cell>
          <cell r="AG1169">
            <v>112.13291702088587</v>
          </cell>
          <cell r="AH1169">
            <v>121.28102307721221</v>
          </cell>
        </row>
        <row r="1170">
          <cell r="AD1170">
            <v>101.89504886209423</v>
          </cell>
          <cell r="AE1170">
            <v>104.19315722033924</v>
          </cell>
          <cell r="AF1170">
            <v>107.33173742334128</v>
          </cell>
          <cell r="AG1170">
            <v>112.14534935957639</v>
          </cell>
          <cell r="AH1170">
            <v>121.29341952732211</v>
          </cell>
        </row>
        <row r="1171">
          <cell r="AD1171">
            <v>101.90774387496667</v>
          </cell>
          <cell r="AE1171">
            <v>104.20504754334473</v>
          </cell>
          <cell r="AF1171">
            <v>107.34481539584891</v>
          </cell>
          <cell r="AG1171">
            <v>112.15778169826689</v>
          </cell>
          <cell r="AH1171">
            <v>121.30581597743202</v>
          </cell>
        </row>
        <row r="1172">
          <cell r="AD1172">
            <v>101.9204388878391</v>
          </cell>
          <cell r="AE1172">
            <v>104.21693786635022</v>
          </cell>
          <cell r="AF1172">
            <v>107.35789336835654</v>
          </cell>
          <cell r="AG1172">
            <v>112.1702140369574</v>
          </cell>
          <cell r="AH1172">
            <v>121.31821242754192</v>
          </cell>
        </row>
        <row r="1173">
          <cell r="AD1173">
            <v>101.93313390071154</v>
          </cell>
          <cell r="AE1173">
            <v>104.22882818935571</v>
          </cell>
          <cell r="AF1173">
            <v>107.37097134086417</v>
          </cell>
          <cell r="AG1173">
            <v>112.18264637564791</v>
          </cell>
          <cell r="AH1173">
            <v>121.33060887765183</v>
          </cell>
        </row>
        <row r="1174">
          <cell r="AD1174">
            <v>101.94582891358398</v>
          </cell>
          <cell r="AE1174">
            <v>104.2407185123612</v>
          </cell>
          <cell r="AF1174">
            <v>107.3840493133718</v>
          </cell>
          <cell r="AG1174">
            <v>112.19507871433842</v>
          </cell>
          <cell r="AH1174">
            <v>121.34300532776173</v>
          </cell>
        </row>
        <row r="1175">
          <cell r="AD1175">
            <v>101.95852392645642</v>
          </cell>
          <cell r="AE1175">
            <v>104.25260883536669</v>
          </cell>
          <cell r="AF1175">
            <v>107.39712728587944</v>
          </cell>
          <cell r="AG1175">
            <v>112.20751105302892</v>
          </cell>
          <cell r="AH1175">
            <v>121.35540177787163</v>
          </cell>
        </row>
        <row r="1176">
          <cell r="AD1176">
            <v>101.97121893932885</v>
          </cell>
          <cell r="AE1176">
            <v>104.26449915837217</v>
          </cell>
          <cell r="AF1176">
            <v>107.41020525838708</v>
          </cell>
          <cell r="AG1176">
            <v>112.21994339171944</v>
          </cell>
          <cell r="AH1176">
            <v>121.36779822798154</v>
          </cell>
        </row>
        <row r="1177">
          <cell r="AD1177">
            <v>101.98391395220129</v>
          </cell>
          <cell r="AE1177">
            <v>104.27638948137766</v>
          </cell>
          <cell r="AF1177">
            <v>107.42328323089471</v>
          </cell>
          <cell r="AG1177">
            <v>112.23237573040994</v>
          </cell>
          <cell r="AH1177">
            <v>121.38019467809143</v>
          </cell>
        </row>
        <row r="1178">
          <cell r="AD1178">
            <v>101.99660896507373</v>
          </cell>
          <cell r="AE1178">
            <v>104.28827980438315</v>
          </cell>
          <cell r="AF1178">
            <v>107.43636120340234</v>
          </cell>
          <cell r="AG1178">
            <v>112.24480806910044</v>
          </cell>
          <cell r="AH1178">
            <v>121.39259112820133</v>
          </cell>
        </row>
        <row r="1179">
          <cell r="AD1179">
            <v>102.0086809183763</v>
          </cell>
          <cell r="AE1179">
            <v>104.30017012738864</v>
          </cell>
          <cell r="AF1179">
            <v>107.44943917590997</v>
          </cell>
          <cell r="AG1179">
            <v>112.25724040779096</v>
          </cell>
          <cell r="AH1179">
            <v>121.40498757831124</v>
          </cell>
        </row>
        <row r="1180">
          <cell r="AD1180">
            <v>102.02052578421427</v>
          </cell>
          <cell r="AE1180">
            <v>104.31206045039413</v>
          </cell>
          <cell r="AF1180">
            <v>107.4625171484176</v>
          </cell>
          <cell r="AG1180">
            <v>112.26967274648146</v>
          </cell>
          <cell r="AH1180">
            <v>121.41738402842114</v>
          </cell>
        </row>
        <row r="1181">
          <cell r="AD1181">
            <v>102.03237065005224</v>
          </cell>
          <cell r="AE1181">
            <v>104.32395077339962</v>
          </cell>
          <cell r="AF1181">
            <v>107.47559512092523</v>
          </cell>
          <cell r="AG1181">
            <v>112.28210508517198</v>
          </cell>
          <cell r="AH1181">
            <v>121.42978047853104</v>
          </cell>
        </row>
        <row r="1182">
          <cell r="AD1182">
            <v>102.04421551589022</v>
          </cell>
          <cell r="AE1182">
            <v>104.3358410964051</v>
          </cell>
          <cell r="AF1182">
            <v>107.48867309343287</v>
          </cell>
          <cell r="AG1182">
            <v>112.29453742386248</v>
          </cell>
          <cell r="AH1182">
            <v>121.44217692864095</v>
          </cell>
        </row>
        <row r="1183">
          <cell r="AD1183">
            <v>102.05606038172817</v>
          </cell>
          <cell r="AE1183">
            <v>104.34773141941059</v>
          </cell>
          <cell r="AF1183">
            <v>107.50175106594051</v>
          </cell>
          <cell r="AG1183">
            <v>112.306969762553</v>
          </cell>
          <cell r="AH1183">
            <v>121.45457337875085</v>
          </cell>
        </row>
        <row r="1184">
          <cell r="AD1184">
            <v>102.06790524756615</v>
          </cell>
          <cell r="AE1184">
            <v>104.35962174241608</v>
          </cell>
          <cell r="AF1184">
            <v>107.51482903844814</v>
          </cell>
          <cell r="AG1184">
            <v>112.3194021012435</v>
          </cell>
          <cell r="AH1184">
            <v>121.46696982886075</v>
          </cell>
        </row>
        <row r="1185">
          <cell r="AD1185">
            <v>102.07975011340412</v>
          </cell>
          <cell r="AE1185">
            <v>104.37151206542157</v>
          </cell>
          <cell r="AF1185">
            <v>107.52790701095577</v>
          </cell>
          <cell r="AG1185">
            <v>112.331834439934</v>
          </cell>
          <cell r="AH1185">
            <v>121.47936627897066</v>
          </cell>
        </row>
        <row r="1186">
          <cell r="AD1186">
            <v>102.09159497924209</v>
          </cell>
          <cell r="AE1186">
            <v>104.38340238842706</v>
          </cell>
          <cell r="AF1186">
            <v>107.5409849834634</v>
          </cell>
          <cell r="AG1186">
            <v>112.34426677862452</v>
          </cell>
          <cell r="AH1186">
            <v>121.49176272908056</v>
          </cell>
        </row>
        <row r="1187">
          <cell r="AD1187">
            <v>102.10343984508005</v>
          </cell>
          <cell r="AE1187">
            <v>104.39529271143255</v>
          </cell>
          <cell r="AF1187">
            <v>107.55406295597103</v>
          </cell>
          <cell r="AG1187">
            <v>112.35669911731502</v>
          </cell>
          <cell r="AH1187">
            <v>121.50415917919047</v>
          </cell>
        </row>
        <row r="1188">
          <cell r="AD1188">
            <v>102.11528471091802</v>
          </cell>
          <cell r="AE1188">
            <v>104.40718303443803</v>
          </cell>
          <cell r="AF1188">
            <v>107.56714092847866</v>
          </cell>
          <cell r="AG1188">
            <v>112.36913145600553</v>
          </cell>
          <cell r="AH1188">
            <v>121.51655562930037</v>
          </cell>
        </row>
        <row r="1189">
          <cell r="AD1189">
            <v>102.12712957675599</v>
          </cell>
          <cell r="AE1189">
            <v>104.41907335744352</v>
          </cell>
          <cell r="AF1189">
            <v>107.5802189009863</v>
          </cell>
          <cell r="AG1189">
            <v>112.38156379469604</v>
          </cell>
          <cell r="AH1189">
            <v>121.52895207941026</v>
          </cell>
        </row>
        <row r="1190">
          <cell r="AD1190">
            <v>102.13897444259396</v>
          </cell>
          <cell r="AE1190">
            <v>104.43096368044901</v>
          </cell>
          <cell r="AF1190">
            <v>107.59329687349394</v>
          </cell>
          <cell r="AG1190">
            <v>112.39399613338655</v>
          </cell>
          <cell r="AH1190">
            <v>121.54134852952016</v>
          </cell>
        </row>
        <row r="1191">
          <cell r="AD1191">
            <v>102.15081930843193</v>
          </cell>
          <cell r="AE1191">
            <v>104.4428540034545</v>
          </cell>
          <cell r="AF1191">
            <v>107.60637484600157</v>
          </cell>
          <cell r="AG1191">
            <v>112.40642847207705</v>
          </cell>
          <cell r="AH1191">
            <v>121.55374497963007</v>
          </cell>
        </row>
        <row r="1192">
          <cell r="AD1192">
            <v>102.16266417426989</v>
          </cell>
          <cell r="AE1192">
            <v>104.45474432645999</v>
          </cell>
          <cell r="AF1192">
            <v>107.6194528185092</v>
          </cell>
          <cell r="AG1192">
            <v>112.41886081076757</v>
          </cell>
          <cell r="AH1192">
            <v>121.56614142973997</v>
          </cell>
        </row>
        <row r="1193">
          <cell r="AD1193">
            <v>102.17450904010786</v>
          </cell>
          <cell r="AE1193">
            <v>104.46663464946548</v>
          </cell>
          <cell r="AF1193">
            <v>107.63253079101683</v>
          </cell>
          <cell r="AG1193">
            <v>112.43129314945807</v>
          </cell>
          <cell r="AH1193">
            <v>121.57853787984988</v>
          </cell>
        </row>
        <row r="1194">
          <cell r="AD1194">
            <v>102.18635390594584</v>
          </cell>
          <cell r="AE1194">
            <v>104.47852497247096</v>
          </cell>
          <cell r="AF1194">
            <v>107.64560876352446</v>
          </cell>
          <cell r="AG1194">
            <v>112.44372548814857</v>
          </cell>
          <cell r="AH1194">
            <v>121.59093432995978</v>
          </cell>
        </row>
        <row r="1195">
          <cell r="AD1195">
            <v>102.19819877178381</v>
          </cell>
          <cell r="AE1195">
            <v>104.49041529547645</v>
          </cell>
          <cell r="AF1195">
            <v>107.6586867360321</v>
          </cell>
          <cell r="AG1195">
            <v>112.45615782683909</v>
          </cell>
          <cell r="AH1195">
            <v>121.60333078006968</v>
          </cell>
        </row>
        <row r="1196">
          <cell r="AD1196">
            <v>102.21004363762177</v>
          </cell>
          <cell r="AE1196">
            <v>104.50230561848194</v>
          </cell>
          <cell r="AF1196">
            <v>107.67176470853974</v>
          </cell>
          <cell r="AG1196">
            <v>112.46859016552959</v>
          </cell>
          <cell r="AH1196">
            <v>121.61572723017959</v>
          </cell>
        </row>
        <row r="1197">
          <cell r="AD1197">
            <v>102.22188850345974</v>
          </cell>
          <cell r="AE1197">
            <v>104.51419594148743</v>
          </cell>
          <cell r="AF1197">
            <v>107.68484268104737</v>
          </cell>
          <cell r="AG1197">
            <v>112.48102250422011</v>
          </cell>
          <cell r="AH1197">
            <v>121.62812368028949</v>
          </cell>
        </row>
        <row r="1198">
          <cell r="AD1198">
            <v>102.23373336929771</v>
          </cell>
          <cell r="AE1198">
            <v>104.52608626449292</v>
          </cell>
          <cell r="AF1198">
            <v>107.697920653555</v>
          </cell>
          <cell r="AG1198">
            <v>112.49345484291061</v>
          </cell>
          <cell r="AH1198">
            <v>121.64052013039939</v>
          </cell>
        </row>
        <row r="1199">
          <cell r="AD1199">
            <v>102.24557823513568</v>
          </cell>
          <cell r="AE1199">
            <v>104.53797658749841</v>
          </cell>
          <cell r="AF1199">
            <v>107.71099862606263</v>
          </cell>
          <cell r="AG1199">
            <v>112.50588718160112</v>
          </cell>
          <cell r="AH1199">
            <v>121.6529165805093</v>
          </cell>
        </row>
        <row r="1200">
          <cell r="AD1200">
            <v>102.25742310097364</v>
          </cell>
          <cell r="AE1200">
            <v>104.54986691050389</v>
          </cell>
          <cell r="AF1200">
            <v>107.72407659857026</v>
          </cell>
          <cell r="AG1200">
            <v>112.51831952029163</v>
          </cell>
          <cell r="AH1200">
            <v>121.66531303061919</v>
          </cell>
        </row>
        <row r="1201">
          <cell r="AD1201">
            <v>102.26926796681161</v>
          </cell>
          <cell r="AE1201">
            <v>104.56175723350938</v>
          </cell>
          <cell r="AF1201">
            <v>107.73715457107789</v>
          </cell>
          <cell r="AG1201">
            <v>112.53075185898214</v>
          </cell>
          <cell r="AH1201">
            <v>121.67770948072909</v>
          </cell>
        </row>
        <row r="1202">
          <cell r="AD1202">
            <v>102.28111283264958</v>
          </cell>
          <cell r="AE1202">
            <v>104.57364755651487</v>
          </cell>
          <cell r="AF1202">
            <v>107.75023254358553</v>
          </cell>
          <cell r="AG1202">
            <v>112.54318419767264</v>
          </cell>
          <cell r="AH1202">
            <v>121.690105930839</v>
          </cell>
        </row>
        <row r="1203">
          <cell r="AD1203">
            <v>102.29295769848756</v>
          </cell>
          <cell r="AE1203">
            <v>104.58553787952036</v>
          </cell>
          <cell r="AF1203">
            <v>107.76331051609317</v>
          </cell>
          <cell r="AG1203">
            <v>112.55561653636315</v>
          </cell>
          <cell r="AH1203">
            <v>121.7025023809489</v>
          </cell>
        </row>
        <row r="1204">
          <cell r="AD1204">
            <v>102.30480256432553</v>
          </cell>
          <cell r="AE1204">
            <v>104.59742820252585</v>
          </cell>
          <cell r="AF1204">
            <v>107.7763884886008</v>
          </cell>
          <cell r="AG1204">
            <v>112.56804887505366</v>
          </cell>
          <cell r="AH1204">
            <v>121.7148988310588</v>
          </cell>
        </row>
        <row r="1205">
          <cell r="AD1205">
            <v>102.31664743016348</v>
          </cell>
          <cell r="AE1205">
            <v>104.60931852553134</v>
          </cell>
          <cell r="AF1205">
            <v>107.78946646110843</v>
          </cell>
          <cell r="AG1205">
            <v>112.58048121374416</v>
          </cell>
          <cell r="AH1205">
            <v>121.72729528116871</v>
          </cell>
        </row>
        <row r="1206">
          <cell r="AD1206">
            <v>102.32849229600146</v>
          </cell>
          <cell r="AE1206">
            <v>104.62120884853682</v>
          </cell>
          <cell r="AF1206">
            <v>107.80254443361606</v>
          </cell>
          <cell r="AG1206">
            <v>112.59291355243468</v>
          </cell>
          <cell r="AH1206">
            <v>121.73969173127861</v>
          </cell>
        </row>
        <row r="1207">
          <cell r="AD1207">
            <v>102.34033716183943</v>
          </cell>
          <cell r="AE1207">
            <v>104.63309917154231</v>
          </cell>
          <cell r="AF1207">
            <v>107.81562240612369</v>
          </cell>
          <cell r="AG1207">
            <v>112.60534589112518</v>
          </cell>
          <cell r="AH1207">
            <v>121.75208818138852</v>
          </cell>
        </row>
        <row r="1208">
          <cell r="AD1208">
            <v>102.3521820276774</v>
          </cell>
          <cell r="AE1208">
            <v>104.6449894945478</v>
          </cell>
          <cell r="AF1208">
            <v>107.82870037863132</v>
          </cell>
          <cell r="AG1208">
            <v>112.6177782298157</v>
          </cell>
          <cell r="AH1208">
            <v>121.76448463149842</v>
          </cell>
        </row>
        <row r="1209">
          <cell r="AD1209">
            <v>102.36402689351536</v>
          </cell>
          <cell r="AE1209">
            <v>104.65687981755327</v>
          </cell>
          <cell r="AF1209">
            <v>107.84177835113896</v>
          </cell>
          <cell r="AG1209">
            <v>112.6302105685062</v>
          </cell>
          <cell r="AH1209">
            <v>121.77688108160832</v>
          </cell>
        </row>
        <row r="1210">
          <cell r="AD1210">
            <v>102.37587175935333</v>
          </cell>
          <cell r="AE1210">
            <v>104.66877014055876</v>
          </cell>
          <cell r="AF1210">
            <v>107.8548563236466</v>
          </cell>
          <cell r="AG1210">
            <v>112.64264290719672</v>
          </cell>
          <cell r="AH1210">
            <v>121.78927753171823</v>
          </cell>
        </row>
        <row r="1211">
          <cell r="AD1211">
            <v>102.3877166251913</v>
          </cell>
          <cell r="AE1211">
            <v>104.68066046356425</v>
          </cell>
          <cell r="AF1211">
            <v>107.86793429615423</v>
          </cell>
          <cell r="AG1211">
            <v>112.65507524588722</v>
          </cell>
          <cell r="AH1211">
            <v>121.80167398182813</v>
          </cell>
        </row>
        <row r="1212">
          <cell r="AD1212">
            <v>102.39956149102927</v>
          </cell>
          <cell r="AE1212">
            <v>104.69255078656974</v>
          </cell>
          <cell r="AF1212">
            <v>107.88101226866186</v>
          </cell>
          <cell r="AG1212">
            <v>112.66750758457772</v>
          </cell>
          <cell r="AH1212">
            <v>121.81407043193802</v>
          </cell>
        </row>
        <row r="1213">
          <cell r="AD1213">
            <v>102.41140635686723</v>
          </cell>
          <cell r="AE1213">
            <v>104.70444110957523</v>
          </cell>
          <cell r="AF1213">
            <v>107.89409024116949</v>
          </cell>
          <cell r="AG1213">
            <v>112.67993992326824</v>
          </cell>
          <cell r="AH1213">
            <v>121.82646688204792</v>
          </cell>
        </row>
        <row r="1214">
          <cell r="AD1214">
            <v>102.4232512227052</v>
          </cell>
          <cell r="AE1214">
            <v>104.71633143258072</v>
          </cell>
          <cell r="AF1214">
            <v>107.90716821367712</v>
          </cell>
          <cell r="AG1214">
            <v>112.69237226195874</v>
          </cell>
          <cell r="AH1214">
            <v>121.83886333215783</v>
          </cell>
        </row>
        <row r="1215">
          <cell r="AD1215">
            <v>102.43509608854318</v>
          </cell>
          <cell r="AE1215">
            <v>104.7282217555862</v>
          </cell>
          <cell r="AF1215">
            <v>107.92024618618476</v>
          </cell>
          <cell r="AG1215">
            <v>112.70480460064925</v>
          </cell>
          <cell r="AH1215">
            <v>121.85125978226773</v>
          </cell>
        </row>
        <row r="1216">
          <cell r="AD1216">
            <v>102.44694095438115</v>
          </cell>
          <cell r="AE1216">
            <v>104.74011207859169</v>
          </cell>
          <cell r="AF1216">
            <v>107.93332415869239</v>
          </cell>
          <cell r="AG1216">
            <v>112.71723693933976</v>
          </cell>
          <cell r="AH1216">
            <v>121.86365623237764</v>
          </cell>
        </row>
        <row r="1217">
          <cell r="AD1217">
            <v>102.45878582021911</v>
          </cell>
          <cell r="AE1217">
            <v>104.75200240159718</v>
          </cell>
          <cell r="AF1217">
            <v>107.94640213120003</v>
          </cell>
          <cell r="AG1217">
            <v>112.72966927803027</v>
          </cell>
          <cell r="AH1217">
            <v>121.87605268248754</v>
          </cell>
        </row>
        <row r="1218">
          <cell r="AD1218">
            <v>102.47063068605708</v>
          </cell>
          <cell r="AE1218">
            <v>104.76389272460267</v>
          </cell>
          <cell r="AF1218">
            <v>107.95948010370766</v>
          </cell>
          <cell r="AG1218">
            <v>112.74210161672077</v>
          </cell>
          <cell r="AH1218">
            <v>121.88844913259744</v>
          </cell>
        </row>
        <row r="1219">
          <cell r="AD1219">
            <v>102.48247555189505</v>
          </cell>
          <cell r="AE1219">
            <v>104.77578304760816</v>
          </cell>
          <cell r="AF1219">
            <v>107.97255807621529</v>
          </cell>
          <cell r="AG1219">
            <v>112.75453395541129</v>
          </cell>
          <cell r="AH1219">
            <v>121.90084558270735</v>
          </cell>
        </row>
        <row r="1220">
          <cell r="AD1220">
            <v>102.49432041773302</v>
          </cell>
          <cell r="AE1220">
            <v>104.78767337061365</v>
          </cell>
          <cell r="AF1220">
            <v>107.98563604872292</v>
          </cell>
          <cell r="AG1220">
            <v>112.76696629410179</v>
          </cell>
          <cell r="AH1220">
            <v>121.91324203281725</v>
          </cell>
        </row>
        <row r="1221">
          <cell r="AD1221">
            <v>102.50616528357099</v>
          </cell>
          <cell r="AE1221">
            <v>104.79956369361913</v>
          </cell>
          <cell r="AF1221">
            <v>107.99871402123055</v>
          </cell>
          <cell r="AG1221">
            <v>112.77939863279229</v>
          </cell>
          <cell r="AH1221">
            <v>121.92563848292716</v>
          </cell>
        </row>
        <row r="1222">
          <cell r="AD1222">
            <v>102.51801014940895</v>
          </cell>
          <cell r="AE1222">
            <v>104.81145401662462</v>
          </cell>
          <cell r="AF1222">
            <v>108.01080288525374</v>
          </cell>
          <cell r="AG1222">
            <v>112.79183097148281</v>
          </cell>
          <cell r="AH1222">
            <v>121.93803493303706</v>
          </cell>
        </row>
        <row r="1223">
          <cell r="AD1223">
            <v>102.52985501524692</v>
          </cell>
          <cell r="AE1223">
            <v>104.82334433963011</v>
          </cell>
          <cell r="AF1223">
            <v>108.02278388180855</v>
          </cell>
          <cell r="AG1223">
            <v>112.80426331017331</v>
          </cell>
          <cell r="AH1223">
            <v>121.95043138314695</v>
          </cell>
        </row>
        <row r="1224">
          <cell r="AD1224">
            <v>102.5416998810849</v>
          </cell>
          <cell r="AE1224">
            <v>104.8352346626356</v>
          </cell>
          <cell r="AF1224">
            <v>108.03476487836335</v>
          </cell>
          <cell r="AG1224">
            <v>112.81669564886383</v>
          </cell>
          <cell r="AH1224">
            <v>121.96282783325685</v>
          </cell>
        </row>
        <row r="1225">
          <cell r="AD1225">
            <v>102.55354474692287</v>
          </cell>
          <cell r="AE1225">
            <v>104.84712498564109</v>
          </cell>
          <cell r="AF1225">
            <v>108.04674587491816</v>
          </cell>
          <cell r="AG1225">
            <v>112.82912798755433</v>
          </cell>
          <cell r="AH1225">
            <v>121.97522428336676</v>
          </cell>
        </row>
        <row r="1226">
          <cell r="AD1226">
            <v>102.56538961276082</v>
          </cell>
          <cell r="AE1226">
            <v>104.85901530864658</v>
          </cell>
          <cell r="AF1226">
            <v>108.05872687147296</v>
          </cell>
          <cell r="AG1226">
            <v>112.84156032624485</v>
          </cell>
          <cell r="AH1226">
            <v>121.98762073347666</v>
          </cell>
        </row>
        <row r="1227">
          <cell r="AD1227">
            <v>102.5772344785988</v>
          </cell>
          <cell r="AE1227">
            <v>104.87090563165206</v>
          </cell>
          <cell r="AF1227">
            <v>108.07070786802777</v>
          </cell>
          <cell r="AG1227">
            <v>112.85399266493535</v>
          </cell>
          <cell r="AH1227">
            <v>122.0000150007215</v>
          </cell>
        </row>
        <row r="1228">
          <cell r="AD1228">
            <v>102.58907934443677</v>
          </cell>
          <cell r="AE1228">
            <v>104.88279595465755</v>
          </cell>
          <cell r="AF1228">
            <v>108.08268886458256</v>
          </cell>
          <cell r="AG1228">
            <v>112.86642500362586</v>
          </cell>
          <cell r="AH1228">
            <v>122.01083670520119</v>
          </cell>
        </row>
        <row r="1229">
          <cell r="AD1229">
            <v>102.60092421027474</v>
          </cell>
          <cell r="AE1229">
            <v>104.89468627766304</v>
          </cell>
          <cell r="AF1229">
            <v>108.09466986113738</v>
          </cell>
          <cell r="AG1229">
            <v>112.87885734231637</v>
          </cell>
          <cell r="AH1229">
            <v>122.02165840968087</v>
          </cell>
        </row>
        <row r="1230">
          <cell r="AD1230">
            <v>102.6127690761127</v>
          </cell>
          <cell r="AE1230">
            <v>104.90657660066853</v>
          </cell>
          <cell r="AF1230">
            <v>108.10665085769217</v>
          </cell>
          <cell r="AG1230">
            <v>112.89128968100687</v>
          </cell>
          <cell r="AH1230">
            <v>122.03248011416055</v>
          </cell>
        </row>
        <row r="1231">
          <cell r="AD1231">
            <v>102.62461394195067</v>
          </cell>
          <cell r="AE1231">
            <v>104.91846692367402</v>
          </cell>
          <cell r="AF1231">
            <v>108.11863185424698</v>
          </cell>
          <cell r="AG1231">
            <v>112.90372201969738</v>
          </cell>
          <cell r="AH1231">
            <v>122.04330181864023</v>
          </cell>
        </row>
        <row r="1232">
          <cell r="AD1232">
            <v>102.63645880778864</v>
          </cell>
          <cell r="AE1232">
            <v>104.93035724667951</v>
          </cell>
          <cell r="AF1232">
            <v>108.13061285080178</v>
          </cell>
          <cell r="AG1232">
            <v>112.91615435838789</v>
          </cell>
          <cell r="AH1232">
            <v>122.05412352311991</v>
          </cell>
        </row>
        <row r="1233">
          <cell r="AD1233">
            <v>102.64830367362661</v>
          </cell>
          <cell r="AE1233">
            <v>104.94224756968499</v>
          </cell>
          <cell r="AF1233">
            <v>108.14259384735659</v>
          </cell>
          <cell r="AG1233">
            <v>112.9285866970784</v>
          </cell>
          <cell r="AH1233">
            <v>122.06494522759959</v>
          </cell>
        </row>
        <row r="1234">
          <cell r="AD1234">
            <v>102.66014853946459</v>
          </cell>
          <cell r="AE1234">
            <v>104.95413789269048</v>
          </cell>
          <cell r="AF1234">
            <v>108.15457484391139</v>
          </cell>
          <cell r="AG1234">
            <v>112.9410190357689</v>
          </cell>
          <cell r="AH1234">
            <v>122.07576693207928</v>
          </cell>
        </row>
        <row r="1235">
          <cell r="AD1235">
            <v>102.67199340530254</v>
          </cell>
          <cell r="AE1235">
            <v>104.96602821569597</v>
          </cell>
          <cell r="AF1235">
            <v>108.1665558404662</v>
          </cell>
          <cell r="AG1235">
            <v>112.95345137445942</v>
          </cell>
          <cell r="AH1235">
            <v>122.08658863655896</v>
          </cell>
        </row>
        <row r="1236">
          <cell r="AD1236">
            <v>102.68383827114052</v>
          </cell>
          <cell r="AE1236">
            <v>104.97791853870146</v>
          </cell>
          <cell r="AF1236">
            <v>108.178536837021</v>
          </cell>
          <cell r="AG1236">
            <v>112.96588371314992</v>
          </cell>
          <cell r="AH1236">
            <v>122.09741034103864</v>
          </cell>
        </row>
        <row r="1237">
          <cell r="AD1237">
            <v>102.69568313697849</v>
          </cell>
          <cell r="AE1237">
            <v>104.98980886170695</v>
          </cell>
          <cell r="AF1237">
            <v>108.19051783357581</v>
          </cell>
          <cell r="AG1237">
            <v>112.97831605184044</v>
          </cell>
          <cell r="AH1237">
            <v>122.10823204551832</v>
          </cell>
        </row>
        <row r="1238">
          <cell r="AD1238">
            <v>102.70752800281646</v>
          </cell>
          <cell r="AE1238">
            <v>105.00159453089373</v>
          </cell>
          <cell r="AF1238">
            <v>108.20249883013061</v>
          </cell>
          <cell r="AG1238">
            <v>112.99074839053094</v>
          </cell>
          <cell r="AH1238">
            <v>122.119053749998</v>
          </cell>
        </row>
        <row r="1239">
          <cell r="AD1239">
            <v>102.71937286865442</v>
          </cell>
          <cell r="AE1239">
            <v>105.01275252168188</v>
          </cell>
          <cell r="AF1239">
            <v>108.21447982668542</v>
          </cell>
          <cell r="AG1239">
            <v>113.00306046224779</v>
          </cell>
          <cell r="AH1239">
            <v>122.12987545447768</v>
          </cell>
        </row>
        <row r="1240">
          <cell r="AD1240">
            <v>102.73121773449239</v>
          </cell>
          <cell r="AE1240">
            <v>105.02391051247001</v>
          </cell>
          <cell r="AF1240">
            <v>108.22646082324022</v>
          </cell>
          <cell r="AG1240">
            <v>113.01502272013424</v>
          </cell>
          <cell r="AH1240">
            <v>122.14069715895737</v>
          </cell>
        </row>
        <row r="1241">
          <cell r="AD1241">
            <v>102.74306260033036</v>
          </cell>
          <cell r="AE1241">
            <v>105.03506850325815</v>
          </cell>
          <cell r="AF1241">
            <v>108.23844181979503</v>
          </cell>
          <cell r="AG1241">
            <v>113.02698497802069</v>
          </cell>
          <cell r="AH1241">
            <v>122.15151886343705</v>
          </cell>
        </row>
        <row r="1242">
          <cell r="AD1242">
            <v>102.75490746616833</v>
          </cell>
          <cell r="AE1242">
            <v>105.04622649404628</v>
          </cell>
          <cell r="AF1242">
            <v>108.25042281634983</v>
          </cell>
          <cell r="AG1242">
            <v>113.03894723590716</v>
          </cell>
          <cell r="AH1242">
            <v>122.16234056791673</v>
          </cell>
        </row>
        <row r="1243">
          <cell r="AD1243">
            <v>102.76675233200629</v>
          </cell>
          <cell r="AE1243">
            <v>105.05738448483442</v>
          </cell>
          <cell r="AF1243">
            <v>108.26240381290464</v>
          </cell>
          <cell r="AG1243">
            <v>113.05090949379361</v>
          </cell>
          <cell r="AH1243">
            <v>122.17316227239641</v>
          </cell>
        </row>
        <row r="1244">
          <cell r="AD1244">
            <v>102.77859719784426</v>
          </cell>
          <cell r="AE1244">
            <v>105.06854247562255</v>
          </cell>
          <cell r="AF1244">
            <v>108.27438480945943</v>
          </cell>
          <cell r="AG1244">
            <v>113.06287175168006</v>
          </cell>
          <cell r="AH1244">
            <v>122.18398397687609</v>
          </cell>
        </row>
        <row r="1245">
          <cell r="AD1245">
            <v>102.79044206368224</v>
          </cell>
          <cell r="AE1245">
            <v>105.07970046641069</v>
          </cell>
          <cell r="AF1245">
            <v>108.28636580601425</v>
          </cell>
          <cell r="AG1245">
            <v>113.07483400956653</v>
          </cell>
          <cell r="AH1245">
            <v>122.19480568135577</v>
          </cell>
        </row>
        <row r="1246">
          <cell r="AD1246">
            <v>102.80228692952021</v>
          </cell>
          <cell r="AE1246">
            <v>105.09085845719882</v>
          </cell>
          <cell r="AF1246">
            <v>108.29834680256904</v>
          </cell>
          <cell r="AG1246">
            <v>113.08679626745298</v>
          </cell>
          <cell r="AH1246">
            <v>122.20562738583546</v>
          </cell>
        </row>
        <row r="1247">
          <cell r="AD1247">
            <v>102.81413179535816</v>
          </cell>
          <cell r="AE1247">
            <v>105.10201644798695</v>
          </cell>
          <cell r="AF1247">
            <v>108.31032779912385</v>
          </cell>
          <cell r="AG1247">
            <v>113.09875852533943</v>
          </cell>
          <cell r="AH1247">
            <v>122.21644909031515</v>
          </cell>
        </row>
        <row r="1248">
          <cell r="AD1248">
            <v>102.82597666119614</v>
          </cell>
          <cell r="AE1248">
            <v>105.11317443877509</v>
          </cell>
          <cell r="AF1248">
            <v>108.32230879567865</v>
          </cell>
          <cell r="AG1248">
            <v>113.1107207832259</v>
          </cell>
          <cell r="AH1248">
            <v>122.22727079479483</v>
          </cell>
        </row>
        <row r="1249">
          <cell r="AD1249">
            <v>102.83782152703411</v>
          </cell>
          <cell r="AE1249">
            <v>105.12433242956324</v>
          </cell>
          <cell r="AF1249">
            <v>108.33428979223346</v>
          </cell>
          <cell r="AG1249">
            <v>113.12268304111235</v>
          </cell>
          <cell r="AH1249">
            <v>122.23809249927452</v>
          </cell>
        </row>
        <row r="1250">
          <cell r="AD1250">
            <v>102.84966639287208</v>
          </cell>
          <cell r="AE1250">
            <v>105.13549042035137</v>
          </cell>
          <cell r="AF1250">
            <v>108.34627078878826</v>
          </cell>
          <cell r="AG1250">
            <v>113.13464529899881</v>
          </cell>
          <cell r="AH1250">
            <v>122.2489142037542</v>
          </cell>
        </row>
        <row r="1251">
          <cell r="AD1251">
            <v>102.86151125871005</v>
          </cell>
          <cell r="AE1251">
            <v>105.14664841113951</v>
          </cell>
          <cell r="AF1251">
            <v>108.35825178534307</v>
          </cell>
          <cell r="AG1251">
            <v>113.14660755688527</v>
          </cell>
          <cell r="AH1251">
            <v>122.25973590823388</v>
          </cell>
        </row>
        <row r="1252">
          <cell r="AD1252">
            <v>102.87335612454801</v>
          </cell>
          <cell r="AE1252">
            <v>105.15780640192764</v>
          </cell>
          <cell r="AF1252">
            <v>108.37023278189787</v>
          </cell>
          <cell r="AG1252">
            <v>113.15856981477172</v>
          </cell>
          <cell r="AH1252">
            <v>122.27055761271356</v>
          </cell>
        </row>
        <row r="1253">
          <cell r="AD1253">
            <v>102.88520099038598</v>
          </cell>
          <cell r="AE1253">
            <v>105.16896439271578</v>
          </cell>
          <cell r="AF1253">
            <v>108.38221377845268</v>
          </cell>
          <cell r="AG1253">
            <v>113.17053207265818</v>
          </cell>
          <cell r="AH1253">
            <v>122.28137931719324</v>
          </cell>
        </row>
        <row r="1254">
          <cell r="AD1254">
            <v>102.89704585622395</v>
          </cell>
          <cell r="AE1254">
            <v>105.18012238350391</v>
          </cell>
          <cell r="AF1254">
            <v>108.39419477500748</v>
          </cell>
          <cell r="AG1254">
            <v>113.18249433054463</v>
          </cell>
          <cell r="AH1254">
            <v>122.29220102167292</v>
          </cell>
        </row>
        <row r="1255">
          <cell r="AD1255">
            <v>102.90889072206193</v>
          </cell>
          <cell r="AE1255">
            <v>105.19128037429205</v>
          </cell>
          <cell r="AF1255">
            <v>108.40617577156229</v>
          </cell>
          <cell r="AG1255">
            <v>113.19445658843109</v>
          </cell>
          <cell r="AH1255">
            <v>122.30302272615261</v>
          </cell>
        </row>
        <row r="1256">
          <cell r="AD1256">
            <v>102.92073558789988</v>
          </cell>
          <cell r="AE1256">
            <v>105.20243836508018</v>
          </cell>
          <cell r="AF1256">
            <v>108.41815676811709</v>
          </cell>
          <cell r="AG1256">
            <v>113.20641884631755</v>
          </cell>
          <cell r="AH1256">
            <v>122.31384443063229</v>
          </cell>
        </row>
        <row r="1257">
          <cell r="AD1257">
            <v>102.93258045373786</v>
          </cell>
          <cell r="AE1257">
            <v>105.21359635586832</v>
          </cell>
          <cell r="AF1257">
            <v>108.4301377646719</v>
          </cell>
          <cell r="AG1257">
            <v>113.218381104204</v>
          </cell>
          <cell r="AH1257">
            <v>122.32466613511197</v>
          </cell>
        </row>
        <row r="1258">
          <cell r="AD1258">
            <v>102.94442531957583</v>
          </cell>
          <cell r="AE1258">
            <v>105.22475434665647</v>
          </cell>
          <cell r="AF1258">
            <v>108.44211876122669</v>
          </cell>
          <cell r="AG1258">
            <v>113.23034336209047</v>
          </cell>
          <cell r="AH1258">
            <v>122.33548783959165</v>
          </cell>
        </row>
        <row r="1259">
          <cell r="AD1259">
            <v>102.9562701854138</v>
          </cell>
          <cell r="AE1259">
            <v>105.2359123374446</v>
          </cell>
          <cell r="AF1259">
            <v>108.45409975778151</v>
          </cell>
          <cell r="AG1259">
            <v>113.24230561997692</v>
          </cell>
          <cell r="AH1259">
            <v>122.34630954407133</v>
          </cell>
        </row>
        <row r="1260">
          <cell r="AD1260">
            <v>102.96811505125176</v>
          </cell>
          <cell r="AE1260">
            <v>105.24707032823274</v>
          </cell>
          <cell r="AF1260">
            <v>108.4660807543363</v>
          </cell>
          <cell r="AG1260">
            <v>113.25426787786337</v>
          </cell>
          <cell r="AH1260">
            <v>122.35713124855101</v>
          </cell>
        </row>
        <row r="1261">
          <cell r="AD1261">
            <v>102.97995991708973</v>
          </cell>
          <cell r="AE1261">
            <v>105.25822831902087</v>
          </cell>
          <cell r="AF1261">
            <v>108.4780617508911</v>
          </cell>
          <cell r="AG1261">
            <v>113.26623013574984</v>
          </cell>
          <cell r="AH1261">
            <v>122.3679529530307</v>
          </cell>
        </row>
        <row r="1262">
          <cell r="AD1262">
            <v>102.9918047829277</v>
          </cell>
          <cell r="AE1262">
            <v>105.26938630980901</v>
          </cell>
          <cell r="AF1262">
            <v>108.49004274744591</v>
          </cell>
          <cell r="AG1262">
            <v>113.27819239363629</v>
          </cell>
          <cell r="AH1262">
            <v>122.37877465751038</v>
          </cell>
        </row>
        <row r="1263">
          <cell r="AD1263">
            <v>103.0034052427059</v>
          </cell>
          <cell r="AE1263">
            <v>105.28054430059714</v>
          </cell>
          <cell r="AF1263">
            <v>108.50202374400071</v>
          </cell>
          <cell r="AG1263">
            <v>113.29015465152274</v>
          </cell>
          <cell r="AH1263">
            <v>122.38959636199006</v>
          </cell>
        </row>
        <row r="1264">
          <cell r="AD1264">
            <v>103.01445689331304</v>
          </cell>
          <cell r="AE1264">
            <v>105.29170229138528</v>
          </cell>
          <cell r="AF1264">
            <v>108.51400474055552</v>
          </cell>
          <cell r="AG1264">
            <v>113.30211690940921</v>
          </cell>
          <cell r="AH1264">
            <v>122.40041806646974</v>
          </cell>
        </row>
        <row r="1265">
          <cell r="AD1265">
            <v>103.0255085439202</v>
          </cell>
          <cell r="AE1265">
            <v>105.30286028217341</v>
          </cell>
          <cell r="AF1265">
            <v>108.52598573711032</v>
          </cell>
          <cell r="AG1265">
            <v>113.31407916729566</v>
          </cell>
          <cell r="AH1265">
            <v>122.41123977094942</v>
          </cell>
        </row>
        <row r="1266">
          <cell r="AD1266">
            <v>103.03656019452735</v>
          </cell>
          <cell r="AE1266">
            <v>105.31401827296155</v>
          </cell>
          <cell r="AF1266">
            <v>108.53796673366513</v>
          </cell>
          <cell r="AG1266">
            <v>113.32604142518211</v>
          </cell>
          <cell r="AH1266">
            <v>122.4220614754291</v>
          </cell>
        </row>
        <row r="1267">
          <cell r="AD1267">
            <v>103.0476118451345</v>
          </cell>
          <cell r="AE1267">
            <v>105.3251762637497</v>
          </cell>
          <cell r="AF1267">
            <v>108.54994773021993</v>
          </cell>
          <cell r="AG1267">
            <v>113.33800368306858</v>
          </cell>
          <cell r="AH1267">
            <v>122.43288317990879</v>
          </cell>
        </row>
        <row r="1268">
          <cell r="AD1268">
            <v>103.05866349574165</v>
          </cell>
          <cell r="AE1268">
            <v>105.33633425453783</v>
          </cell>
          <cell r="AF1268">
            <v>108.56192872677474</v>
          </cell>
          <cell r="AG1268">
            <v>113.34996594095503</v>
          </cell>
          <cell r="AH1268">
            <v>122.44370488438847</v>
          </cell>
        </row>
        <row r="1269">
          <cell r="AD1269">
            <v>103.0697151463488</v>
          </cell>
          <cell r="AE1269">
            <v>105.34749224532597</v>
          </cell>
          <cell r="AF1269">
            <v>108.57390972332954</v>
          </cell>
          <cell r="AG1269">
            <v>113.36192819884148</v>
          </cell>
          <cell r="AH1269">
            <v>122.45452658886815</v>
          </cell>
        </row>
        <row r="1270">
          <cell r="AD1270">
            <v>103.08076679695596</v>
          </cell>
          <cell r="AE1270">
            <v>105.3586502361141</v>
          </cell>
          <cell r="AF1270">
            <v>108.58589071988435</v>
          </cell>
          <cell r="AG1270">
            <v>113.37389045672795</v>
          </cell>
          <cell r="AH1270">
            <v>122.46534829334783</v>
          </cell>
        </row>
        <row r="1271">
          <cell r="AD1271">
            <v>103.09181844756311</v>
          </cell>
          <cell r="AE1271">
            <v>105.36980822690224</v>
          </cell>
          <cell r="AF1271">
            <v>108.59787171643914</v>
          </cell>
          <cell r="AG1271">
            <v>113.3858527146144</v>
          </cell>
          <cell r="AH1271">
            <v>122.47616999782751</v>
          </cell>
        </row>
        <row r="1272">
          <cell r="AD1272">
            <v>103.10287009817026</v>
          </cell>
          <cell r="AE1272">
            <v>105.38096621769037</v>
          </cell>
          <cell r="AF1272">
            <v>108.60985271299396</v>
          </cell>
          <cell r="AG1272">
            <v>113.39781497250085</v>
          </cell>
          <cell r="AH1272">
            <v>122.48699170230719</v>
          </cell>
        </row>
        <row r="1273">
          <cell r="AD1273">
            <v>103.11392174877741</v>
          </cell>
          <cell r="AE1273">
            <v>105.39212420847851</v>
          </cell>
          <cell r="AF1273">
            <v>108.62183370954875</v>
          </cell>
          <cell r="AG1273">
            <v>113.40977723038732</v>
          </cell>
          <cell r="AH1273">
            <v>122.49781340678688</v>
          </cell>
        </row>
        <row r="1274">
          <cell r="AD1274">
            <v>103.12497339938457</v>
          </cell>
          <cell r="AE1274">
            <v>105.40328219926664</v>
          </cell>
          <cell r="AF1274">
            <v>108.63381470610356</v>
          </cell>
          <cell r="AG1274">
            <v>113.42173948827377</v>
          </cell>
          <cell r="AH1274">
            <v>122.50863511126656</v>
          </cell>
        </row>
        <row r="1275">
          <cell r="AD1275">
            <v>103.13602504999172</v>
          </cell>
          <cell r="AE1275">
            <v>105.41444019005478</v>
          </cell>
          <cell r="AF1275">
            <v>108.64579570265836</v>
          </cell>
          <cell r="AG1275">
            <v>113.43370174616022</v>
          </cell>
          <cell r="AH1275">
            <v>122.51945681574624</v>
          </cell>
        </row>
        <row r="1276">
          <cell r="AD1276">
            <v>103.14707670059887</v>
          </cell>
          <cell r="AE1276">
            <v>105.42559818084291</v>
          </cell>
          <cell r="AF1276">
            <v>108.65777669921317</v>
          </cell>
          <cell r="AG1276">
            <v>113.44566400404669</v>
          </cell>
          <cell r="AH1276">
            <v>122.53027852022592</v>
          </cell>
        </row>
        <row r="1277">
          <cell r="AD1277">
            <v>103.15812835120602</v>
          </cell>
          <cell r="AE1277">
            <v>105.43675617163106</v>
          </cell>
          <cell r="AF1277">
            <v>108.66975769576797</v>
          </cell>
          <cell r="AG1277">
            <v>113.45762626193314</v>
          </cell>
          <cell r="AH1277">
            <v>122.5411002247056</v>
          </cell>
        </row>
        <row r="1278">
          <cell r="AD1278">
            <v>103.16918000181317</v>
          </cell>
          <cell r="AE1278">
            <v>105.4479141624192</v>
          </cell>
          <cell r="AF1278">
            <v>108.68173869232278</v>
          </cell>
          <cell r="AG1278">
            <v>113.4695885198196</v>
          </cell>
          <cell r="AH1278">
            <v>122.55192192918528</v>
          </cell>
        </row>
        <row r="1279">
          <cell r="AD1279">
            <v>103.18023165242033</v>
          </cell>
          <cell r="AE1279">
            <v>105.45907215320733</v>
          </cell>
          <cell r="AF1279">
            <v>108.69371968887758</v>
          </cell>
          <cell r="AG1279">
            <v>113.48155077770606</v>
          </cell>
          <cell r="AH1279">
            <v>122.56274363366498</v>
          </cell>
        </row>
        <row r="1280">
          <cell r="AD1280">
            <v>103.19128330302748</v>
          </cell>
          <cell r="AE1280">
            <v>105.47023014399547</v>
          </cell>
          <cell r="AF1280">
            <v>108.70570068543239</v>
          </cell>
          <cell r="AG1280">
            <v>113.49351303559251</v>
          </cell>
          <cell r="AH1280">
            <v>122.57356533814466</v>
          </cell>
        </row>
        <row r="1281">
          <cell r="AD1281">
            <v>103.20233495363463</v>
          </cell>
          <cell r="AE1281">
            <v>105.4813881347836</v>
          </cell>
          <cell r="AF1281">
            <v>108.71768168198719</v>
          </cell>
          <cell r="AG1281">
            <v>113.50547529347897</v>
          </cell>
          <cell r="AH1281">
            <v>122.58438704262434</v>
          </cell>
        </row>
        <row r="1282">
          <cell r="AD1282">
            <v>103.21338660424178</v>
          </cell>
          <cell r="AE1282">
            <v>105.49254612557174</v>
          </cell>
          <cell r="AF1282">
            <v>108.729662678542</v>
          </cell>
          <cell r="AG1282">
            <v>113.51743755136543</v>
          </cell>
          <cell r="AH1282">
            <v>122.59520874710402</v>
          </cell>
        </row>
        <row r="1283">
          <cell r="AD1283">
            <v>103.22443825484893</v>
          </cell>
          <cell r="AE1283">
            <v>105.50370411635987</v>
          </cell>
          <cell r="AF1283">
            <v>108.7416436750968</v>
          </cell>
          <cell r="AG1283">
            <v>113.52939980925188</v>
          </cell>
          <cell r="AH1283">
            <v>122.60603045158371</v>
          </cell>
        </row>
        <row r="1284">
          <cell r="AD1284">
            <v>103.23548990545609</v>
          </cell>
          <cell r="AE1284">
            <v>105.51486210714801</v>
          </cell>
          <cell r="AF1284">
            <v>108.75362467165161</v>
          </cell>
          <cell r="AG1284">
            <v>113.54136206713834</v>
          </cell>
          <cell r="AH1284">
            <v>122.61685215606339</v>
          </cell>
        </row>
        <row r="1285">
          <cell r="AD1285">
            <v>103.24654155606324</v>
          </cell>
          <cell r="AE1285">
            <v>105.52602009793614</v>
          </cell>
          <cell r="AF1285">
            <v>108.7656056682064</v>
          </cell>
          <cell r="AG1285">
            <v>113.5533243250248</v>
          </cell>
          <cell r="AH1285">
            <v>122.62767386054307</v>
          </cell>
        </row>
        <row r="1286">
          <cell r="AD1286">
            <v>103.25759320667039</v>
          </cell>
          <cell r="AE1286">
            <v>105.53717808872429</v>
          </cell>
          <cell r="AF1286">
            <v>108.77758666476122</v>
          </cell>
          <cell r="AG1286">
            <v>113.56528658291126</v>
          </cell>
          <cell r="AH1286">
            <v>122.63849556502275</v>
          </cell>
        </row>
        <row r="1287">
          <cell r="AD1287">
            <v>103.26864485727755</v>
          </cell>
          <cell r="AE1287">
            <v>105.54833607951242</v>
          </cell>
          <cell r="AF1287">
            <v>108.78956766131601</v>
          </cell>
          <cell r="AG1287">
            <v>113.57724884079771</v>
          </cell>
          <cell r="AH1287">
            <v>122.64931726950243</v>
          </cell>
        </row>
        <row r="1288">
          <cell r="AD1288">
            <v>103.27969650788469</v>
          </cell>
          <cell r="AE1288">
            <v>105.55949407030056</v>
          </cell>
          <cell r="AF1288">
            <v>108.80154865787082</v>
          </cell>
          <cell r="AG1288">
            <v>113.58921109868417</v>
          </cell>
          <cell r="AH1288">
            <v>122.66013897398211</v>
          </cell>
        </row>
        <row r="1289">
          <cell r="AD1289">
            <v>103.29074815849185</v>
          </cell>
          <cell r="AE1289">
            <v>105.57065206108869</v>
          </cell>
          <cell r="AF1289">
            <v>108.81352965442562</v>
          </cell>
          <cell r="AG1289">
            <v>113.60117335657063</v>
          </cell>
          <cell r="AH1289">
            <v>122.6709606784618</v>
          </cell>
        </row>
        <row r="1290">
          <cell r="AD1290">
            <v>103.30179980909899</v>
          </cell>
          <cell r="AE1290">
            <v>105.58181005187683</v>
          </cell>
          <cell r="AF1290">
            <v>108.82551065098043</v>
          </cell>
          <cell r="AG1290">
            <v>113.61313561445708</v>
          </cell>
          <cell r="AH1290">
            <v>122.68178238294148</v>
          </cell>
        </row>
        <row r="1291">
          <cell r="AD1291">
            <v>103.31285145970615</v>
          </cell>
          <cell r="AE1291">
            <v>105.59296804266496</v>
          </cell>
          <cell r="AF1291">
            <v>108.83749164753523</v>
          </cell>
          <cell r="AG1291">
            <v>113.62509787234355</v>
          </cell>
          <cell r="AH1291">
            <v>122.69260408742116</v>
          </cell>
        </row>
        <row r="1292">
          <cell r="AD1292">
            <v>103.32390311031331</v>
          </cell>
          <cell r="AE1292">
            <v>105.6041260334531</v>
          </cell>
          <cell r="AF1292">
            <v>108.84947264409004</v>
          </cell>
          <cell r="AG1292">
            <v>113.63706013023</v>
          </cell>
          <cell r="AH1292">
            <v>122.70342579190084</v>
          </cell>
        </row>
        <row r="1293">
          <cell r="AD1293">
            <v>103.33495476092045</v>
          </cell>
          <cell r="AE1293">
            <v>105.61528402424123</v>
          </cell>
          <cell r="AF1293">
            <v>108.86145364064484</v>
          </cell>
          <cell r="AG1293">
            <v>113.64902238811645</v>
          </cell>
          <cell r="AH1293">
            <v>122.71424749638052</v>
          </cell>
        </row>
        <row r="1294">
          <cell r="AD1294">
            <v>103.34600641152761</v>
          </cell>
          <cell r="AE1294">
            <v>105.62644201502937</v>
          </cell>
          <cell r="AF1294">
            <v>108.87343463719965</v>
          </cell>
          <cell r="AG1294">
            <v>113.66098464600292</v>
          </cell>
          <cell r="AH1294">
            <v>122.7250692008602</v>
          </cell>
        </row>
        <row r="1295">
          <cell r="AD1295">
            <v>103.35705806213475</v>
          </cell>
          <cell r="AE1295">
            <v>105.63760000581752</v>
          </cell>
          <cell r="AF1295">
            <v>108.88541563375445</v>
          </cell>
          <cell r="AG1295">
            <v>113.67294690388937</v>
          </cell>
          <cell r="AH1295">
            <v>122.73589090533989</v>
          </cell>
        </row>
        <row r="1296">
          <cell r="AD1296">
            <v>103.36810971274191</v>
          </cell>
          <cell r="AE1296">
            <v>105.64875799660565</v>
          </cell>
          <cell r="AF1296">
            <v>108.89739663030926</v>
          </cell>
          <cell r="AG1296">
            <v>113.68490916177582</v>
          </cell>
          <cell r="AH1296">
            <v>122.74671260981957</v>
          </cell>
        </row>
        <row r="1297">
          <cell r="AD1297">
            <v>103.37916136334907</v>
          </cell>
          <cell r="AE1297">
            <v>105.65991598739379</v>
          </cell>
          <cell r="AF1297">
            <v>108.90937762686406</v>
          </cell>
          <cell r="AG1297">
            <v>113.69687141966229</v>
          </cell>
          <cell r="AH1297">
            <v>122.75753431429925</v>
          </cell>
        </row>
        <row r="1298">
          <cell r="AD1298">
            <v>103.39021301395621</v>
          </cell>
          <cell r="AE1298">
            <v>105.67107397818192</v>
          </cell>
          <cell r="AF1298">
            <v>108.92135862341887</v>
          </cell>
          <cell r="AG1298">
            <v>113.70883367754874</v>
          </cell>
          <cell r="AH1298">
            <v>122.76835601877893</v>
          </cell>
        </row>
        <row r="1299">
          <cell r="AD1299">
            <v>103.40126466456337</v>
          </cell>
          <cell r="AE1299">
            <v>105.68223196897006</v>
          </cell>
          <cell r="AF1299">
            <v>108.93333961997367</v>
          </cell>
          <cell r="AG1299">
            <v>113.72079593543519</v>
          </cell>
          <cell r="AH1299">
            <v>122.77917772325861</v>
          </cell>
        </row>
        <row r="1300">
          <cell r="AD1300">
            <v>103.41231631517053</v>
          </cell>
          <cell r="AE1300">
            <v>105.69338995975819</v>
          </cell>
          <cell r="AF1300">
            <v>108.94532061652848</v>
          </cell>
          <cell r="AG1300">
            <v>113.73275819332164</v>
          </cell>
          <cell r="AH1300">
            <v>122.78999942773829</v>
          </cell>
        </row>
        <row r="1301">
          <cell r="AD1301">
            <v>103.42336796577767</v>
          </cell>
          <cell r="AE1301">
            <v>105.70454795054633</v>
          </cell>
          <cell r="AF1301">
            <v>108.95730161308327</v>
          </cell>
          <cell r="AG1301">
            <v>113.74472045120811</v>
          </cell>
          <cell r="AH1301">
            <v>122.80082113221798</v>
          </cell>
        </row>
        <row r="1302">
          <cell r="AD1302">
            <v>103.43441961638483</v>
          </cell>
          <cell r="AE1302">
            <v>105.71570594133446</v>
          </cell>
          <cell r="AF1302">
            <v>108.96928260963809</v>
          </cell>
          <cell r="AG1302">
            <v>113.75668270909456</v>
          </cell>
          <cell r="AH1302">
            <v>122.81164283669766</v>
          </cell>
        </row>
        <row r="1303">
          <cell r="AD1303">
            <v>103.44547126699197</v>
          </cell>
          <cell r="AE1303">
            <v>105.7268639321226</v>
          </cell>
          <cell r="AF1303">
            <v>108.98126360619288</v>
          </cell>
          <cell r="AG1303">
            <v>113.76864496698101</v>
          </cell>
          <cell r="AH1303">
            <v>122.82246454117734</v>
          </cell>
        </row>
        <row r="1304">
          <cell r="AD1304">
            <v>103.45652291759913</v>
          </cell>
          <cell r="AE1304">
            <v>105.73802192291073</v>
          </cell>
          <cell r="AF1304">
            <v>108.99324460274769</v>
          </cell>
          <cell r="AG1304">
            <v>113.78060722486748</v>
          </cell>
          <cell r="AH1304">
            <v>122.83328624565702</v>
          </cell>
        </row>
        <row r="1305">
          <cell r="AD1305">
            <v>103.46757456820629</v>
          </cell>
          <cell r="AE1305">
            <v>105.74917991369888</v>
          </cell>
          <cell r="AF1305">
            <v>109.00455667364557</v>
          </cell>
          <cell r="AG1305">
            <v>113.79256948275393</v>
          </cell>
          <cell r="AH1305">
            <v>122.8441079501367</v>
          </cell>
        </row>
        <row r="1306">
          <cell r="AD1306">
            <v>103.47862621881343</v>
          </cell>
          <cell r="AE1306">
            <v>105.76033790448702</v>
          </cell>
          <cell r="AF1306">
            <v>109.01500399041988</v>
          </cell>
          <cell r="AG1306">
            <v>113.80453174064039</v>
          </cell>
          <cell r="AH1306">
            <v>122.85492965461638</v>
          </cell>
        </row>
        <row r="1307">
          <cell r="AD1307">
            <v>103.48967786942059</v>
          </cell>
          <cell r="AE1307">
            <v>105.77149589527515</v>
          </cell>
          <cell r="AF1307">
            <v>109.02545130719422</v>
          </cell>
          <cell r="AG1307">
            <v>113.81649399852685</v>
          </cell>
          <cell r="AH1307">
            <v>122.86575135909607</v>
          </cell>
        </row>
        <row r="1308">
          <cell r="AD1308">
            <v>103.50072952002773</v>
          </cell>
          <cell r="AE1308">
            <v>105.78265388606329</v>
          </cell>
          <cell r="AF1308">
            <v>109.03589862396854</v>
          </cell>
          <cell r="AG1308">
            <v>113.8284562564133</v>
          </cell>
          <cell r="AH1308">
            <v>122.87657306357575</v>
          </cell>
        </row>
        <row r="1309">
          <cell r="AD1309">
            <v>103.51178117063489</v>
          </cell>
          <cell r="AE1309">
            <v>105.79381187685142</v>
          </cell>
          <cell r="AF1309">
            <v>109.04634594074285</v>
          </cell>
          <cell r="AG1309">
            <v>113.84041851429976</v>
          </cell>
          <cell r="AH1309">
            <v>122.88739476805543</v>
          </cell>
        </row>
        <row r="1310">
          <cell r="AD1310">
            <v>103.52283282124205</v>
          </cell>
          <cell r="AE1310">
            <v>105.80496986763956</v>
          </cell>
          <cell r="AF1310">
            <v>109.05679325751719</v>
          </cell>
          <cell r="AG1310">
            <v>113.85238077218622</v>
          </cell>
          <cell r="AH1310">
            <v>122.89821647253513</v>
          </cell>
        </row>
        <row r="1311">
          <cell r="AD1311">
            <v>103.53388447184919</v>
          </cell>
          <cell r="AE1311">
            <v>105.81612785842769</v>
          </cell>
          <cell r="AF1311">
            <v>109.0672405742915</v>
          </cell>
          <cell r="AG1311">
            <v>113.86434303007267</v>
          </cell>
          <cell r="AH1311">
            <v>122.90903817701481</v>
          </cell>
        </row>
        <row r="1312">
          <cell r="AD1312">
            <v>103.54493612245635</v>
          </cell>
          <cell r="AE1312">
            <v>105.82728584921583</v>
          </cell>
          <cell r="AF1312">
            <v>109.07768789106582</v>
          </cell>
          <cell r="AG1312">
            <v>113.87630528795913</v>
          </cell>
          <cell r="AH1312">
            <v>122.91985988149449</v>
          </cell>
        </row>
        <row r="1313">
          <cell r="AD1313">
            <v>103.55598777306349</v>
          </cell>
          <cell r="AE1313">
            <v>105.83844384000396</v>
          </cell>
          <cell r="AF1313">
            <v>109.08813520784015</v>
          </cell>
          <cell r="AG1313">
            <v>113.88826754584559</v>
          </cell>
          <cell r="AH1313">
            <v>122.93068158597417</v>
          </cell>
        </row>
        <row r="1314">
          <cell r="AD1314">
            <v>103.56703942367065</v>
          </cell>
          <cell r="AE1314">
            <v>105.84960183079211</v>
          </cell>
          <cell r="AF1314">
            <v>109.09858252461447</v>
          </cell>
          <cell r="AG1314">
            <v>113.90022980373205</v>
          </cell>
          <cell r="AH1314">
            <v>122.94150329045385</v>
          </cell>
        </row>
        <row r="1315">
          <cell r="AD1315">
            <v>103.57809107427781</v>
          </cell>
          <cell r="AE1315">
            <v>105.86075982158025</v>
          </cell>
          <cell r="AF1315">
            <v>109.1090298413888</v>
          </cell>
          <cell r="AG1315">
            <v>113.9121920616185</v>
          </cell>
          <cell r="AH1315">
            <v>122.95232499493353</v>
          </cell>
        </row>
        <row r="1316">
          <cell r="AD1316">
            <v>103.58914272488495</v>
          </cell>
          <cell r="AE1316">
            <v>105.87191781236838</v>
          </cell>
          <cell r="AF1316">
            <v>109.11947715816312</v>
          </cell>
          <cell r="AG1316">
            <v>113.92415431950496</v>
          </cell>
          <cell r="AH1316">
            <v>122.96314669941322</v>
          </cell>
        </row>
        <row r="1317">
          <cell r="AD1317">
            <v>103.60019437549211</v>
          </cell>
          <cell r="AE1317">
            <v>105.88307580315652</v>
          </cell>
          <cell r="AF1317">
            <v>109.12992447493744</v>
          </cell>
          <cell r="AG1317">
            <v>113.93611657739142</v>
          </cell>
          <cell r="AH1317">
            <v>122.9739684038929</v>
          </cell>
        </row>
        <row r="1318">
          <cell r="AD1318">
            <v>103.61124602609927</v>
          </cell>
          <cell r="AE1318">
            <v>105.89423379394465</v>
          </cell>
          <cell r="AF1318">
            <v>109.14037179171177</v>
          </cell>
          <cell r="AG1318">
            <v>113.94807883527787</v>
          </cell>
          <cell r="AH1318">
            <v>122.98479010837258</v>
          </cell>
        </row>
        <row r="1319">
          <cell r="AD1319">
            <v>103.62229767670641</v>
          </cell>
          <cell r="AE1319">
            <v>105.90539178473279</v>
          </cell>
          <cell r="AF1319">
            <v>109.15081910848609</v>
          </cell>
          <cell r="AG1319">
            <v>113.96004109316434</v>
          </cell>
          <cell r="AH1319">
            <v>122.99561181285226</v>
          </cell>
        </row>
        <row r="1320">
          <cell r="AD1320">
            <v>103.63334932731357</v>
          </cell>
          <cell r="AE1320">
            <v>105.91654977552092</v>
          </cell>
          <cell r="AF1320">
            <v>109.16126642526042</v>
          </cell>
          <cell r="AG1320">
            <v>113.97200335105079</v>
          </cell>
          <cell r="AH1320">
            <v>123.00598300173922</v>
          </cell>
        </row>
        <row r="1321">
          <cell r="AD1321">
            <v>103.64440097792071</v>
          </cell>
          <cell r="AE1321">
            <v>105.92770776630906</v>
          </cell>
          <cell r="AF1321">
            <v>109.17171374203474</v>
          </cell>
          <cell r="AG1321">
            <v>113.98396560893724</v>
          </cell>
          <cell r="AH1321">
            <v>123.01604690199514</v>
          </cell>
        </row>
        <row r="1322">
          <cell r="AD1322">
            <v>103.65545262852787</v>
          </cell>
          <cell r="AE1322">
            <v>105.93886575709719</v>
          </cell>
          <cell r="AF1322">
            <v>109.18216105880906</v>
          </cell>
          <cell r="AG1322">
            <v>113.99592786682371</v>
          </cell>
          <cell r="AH1322">
            <v>123.02611080225107</v>
          </cell>
        </row>
        <row r="1323">
          <cell r="AD1323">
            <v>103.66650427913503</v>
          </cell>
          <cell r="AE1323">
            <v>105.95002374788533</v>
          </cell>
          <cell r="AF1323">
            <v>109.19260837558339</v>
          </cell>
          <cell r="AG1323">
            <v>114.00751407316794</v>
          </cell>
          <cell r="AH1323">
            <v>123.03617470250698</v>
          </cell>
        </row>
        <row r="1324">
          <cell r="AD1324">
            <v>103.67755592974217</v>
          </cell>
          <cell r="AE1324">
            <v>105.96118173867347</v>
          </cell>
          <cell r="AF1324">
            <v>109.20305569235771</v>
          </cell>
          <cell r="AG1324">
            <v>114.0189061974137</v>
          </cell>
          <cell r="AH1324">
            <v>123.0462386027629</v>
          </cell>
        </row>
        <row r="1325">
          <cell r="AD1325">
            <v>103.68860758034933</v>
          </cell>
          <cell r="AE1325">
            <v>105.97233972946161</v>
          </cell>
          <cell r="AF1325">
            <v>109.21350300913203</v>
          </cell>
          <cell r="AG1325">
            <v>114.03029832165946</v>
          </cell>
          <cell r="AH1325">
            <v>123.05630250301881</v>
          </cell>
        </row>
        <row r="1326">
          <cell r="AD1326">
            <v>103.69965923095648</v>
          </cell>
          <cell r="AE1326">
            <v>105.98349772024974</v>
          </cell>
          <cell r="AF1326">
            <v>109.22395032590636</v>
          </cell>
          <cell r="AG1326">
            <v>114.0416904459052</v>
          </cell>
          <cell r="AH1326">
            <v>123.06636640327473</v>
          </cell>
        </row>
        <row r="1327">
          <cell r="AD1327">
            <v>103.71071088156363</v>
          </cell>
          <cell r="AE1327">
            <v>105.99465571103788</v>
          </cell>
          <cell r="AF1327">
            <v>109.23439764268068</v>
          </cell>
          <cell r="AG1327">
            <v>114.05308257015096</v>
          </cell>
          <cell r="AH1327">
            <v>123.07643030353064</v>
          </cell>
        </row>
        <row r="1328">
          <cell r="AD1328">
            <v>103.72176253217079</v>
          </cell>
          <cell r="AE1328">
            <v>106.00551600493253</v>
          </cell>
          <cell r="AF1328">
            <v>109.24484495945501</v>
          </cell>
          <cell r="AG1328">
            <v>114.06447469439672</v>
          </cell>
          <cell r="AH1328">
            <v>123.08649420378656</v>
          </cell>
        </row>
        <row r="1329">
          <cell r="AD1329">
            <v>103.73281418277793</v>
          </cell>
          <cell r="AE1329">
            <v>106.01610263872739</v>
          </cell>
          <cell r="AF1329">
            <v>109.25529227622933</v>
          </cell>
          <cell r="AG1329">
            <v>114.07586681864247</v>
          </cell>
          <cell r="AH1329">
            <v>123.09655810404249</v>
          </cell>
        </row>
        <row r="1330">
          <cell r="AD1330">
            <v>103.74386583338509</v>
          </cell>
          <cell r="AE1330">
            <v>106.02668927252226</v>
          </cell>
          <cell r="AF1330">
            <v>109.26573959300364</v>
          </cell>
          <cell r="AG1330">
            <v>114.08725894288823</v>
          </cell>
          <cell r="AH1330">
            <v>123.1066220042984</v>
          </cell>
        </row>
        <row r="1331">
          <cell r="AD1331">
            <v>103.75491748399224</v>
          </cell>
          <cell r="AE1331">
            <v>106.03727590631712</v>
          </cell>
          <cell r="AF1331">
            <v>109.27618690977798</v>
          </cell>
          <cell r="AG1331">
            <v>114.09865106713399</v>
          </cell>
          <cell r="AH1331">
            <v>123.11668590455432</v>
          </cell>
        </row>
        <row r="1332">
          <cell r="AD1332">
            <v>103.76596913459939</v>
          </cell>
          <cell r="AE1332">
            <v>106.04786254011198</v>
          </cell>
          <cell r="AF1332">
            <v>109.28663422655229</v>
          </cell>
          <cell r="AG1332">
            <v>114.11004319137973</v>
          </cell>
          <cell r="AH1332">
            <v>123.12674980481023</v>
          </cell>
        </row>
        <row r="1333">
          <cell r="AD1333">
            <v>103.77702078520655</v>
          </cell>
          <cell r="AE1333">
            <v>106.05844917390684</v>
          </cell>
          <cell r="AF1333">
            <v>109.29708154332661</v>
          </cell>
          <cell r="AG1333">
            <v>114.12143531562549</v>
          </cell>
          <cell r="AH1333">
            <v>123.13681370506615</v>
          </cell>
        </row>
        <row r="1334">
          <cell r="AD1334">
            <v>103.78807243581369</v>
          </cell>
          <cell r="AE1334">
            <v>106.0690358077017</v>
          </cell>
          <cell r="AF1334">
            <v>109.30752886010094</v>
          </cell>
          <cell r="AG1334">
            <v>114.13282743987125</v>
          </cell>
          <cell r="AH1334">
            <v>123.14687760532206</v>
          </cell>
        </row>
        <row r="1335">
          <cell r="AD1335">
            <v>103.79912408642085</v>
          </cell>
          <cell r="AE1335">
            <v>106.07962244149657</v>
          </cell>
          <cell r="AF1335">
            <v>109.31797617687526</v>
          </cell>
          <cell r="AG1335">
            <v>114.14421956411701</v>
          </cell>
          <cell r="AH1335">
            <v>123.15694150557798</v>
          </cell>
        </row>
        <row r="1336">
          <cell r="AD1336">
            <v>103.810175737028</v>
          </cell>
          <cell r="AE1336">
            <v>106.09020907529143</v>
          </cell>
          <cell r="AF1336">
            <v>109.32842349364959</v>
          </cell>
          <cell r="AG1336">
            <v>114.15561168836275</v>
          </cell>
          <cell r="AH1336">
            <v>123.16700540583389</v>
          </cell>
        </row>
        <row r="1337">
          <cell r="AD1337">
            <v>103.82122738763515</v>
          </cell>
          <cell r="AE1337">
            <v>106.10079570908628</v>
          </cell>
          <cell r="AF1337">
            <v>109.33887081042391</v>
          </cell>
          <cell r="AG1337">
            <v>114.16700381260851</v>
          </cell>
          <cell r="AH1337">
            <v>123.17706930608982</v>
          </cell>
        </row>
        <row r="1338">
          <cell r="AD1338">
            <v>103.83227903824231</v>
          </cell>
          <cell r="AE1338">
            <v>106.11138234288114</v>
          </cell>
          <cell r="AF1338">
            <v>109.34931812719823</v>
          </cell>
          <cell r="AG1338">
            <v>114.17839593685427</v>
          </cell>
          <cell r="AH1338">
            <v>123.18713320634573</v>
          </cell>
        </row>
        <row r="1339">
          <cell r="AD1339">
            <v>103.84333068884945</v>
          </cell>
          <cell r="AE1339">
            <v>106.121968976676</v>
          </cell>
          <cell r="AF1339">
            <v>109.35976544397256</v>
          </cell>
          <cell r="AG1339">
            <v>114.18978806110002</v>
          </cell>
          <cell r="AH1339">
            <v>123.19719710660165</v>
          </cell>
        </row>
        <row r="1340">
          <cell r="AD1340">
            <v>103.85438233945661</v>
          </cell>
          <cell r="AE1340">
            <v>106.13255561047086</v>
          </cell>
          <cell r="AF1340">
            <v>109.37021276074688</v>
          </cell>
          <cell r="AG1340">
            <v>114.20118018534578</v>
          </cell>
          <cell r="AH1340">
            <v>123.20726100685756</v>
          </cell>
        </row>
        <row r="1341">
          <cell r="AD1341">
            <v>103.86543399006376</v>
          </cell>
          <cell r="AE1341">
            <v>106.14314224426573</v>
          </cell>
          <cell r="AF1341">
            <v>109.38066007752121</v>
          </cell>
          <cell r="AG1341">
            <v>114.21257230959154</v>
          </cell>
          <cell r="AH1341">
            <v>123.21732490711348</v>
          </cell>
        </row>
        <row r="1342">
          <cell r="AD1342">
            <v>103.87648564067091</v>
          </cell>
          <cell r="AE1342">
            <v>106.15372887806059</v>
          </cell>
          <cell r="AF1342">
            <v>109.39110739429553</v>
          </cell>
          <cell r="AG1342">
            <v>114.2239644338373</v>
          </cell>
          <cell r="AH1342">
            <v>123.22738880736939</v>
          </cell>
        </row>
        <row r="1343">
          <cell r="AD1343">
            <v>103.88753729127806</v>
          </cell>
          <cell r="AE1343">
            <v>106.16431551185545</v>
          </cell>
          <cell r="AF1343">
            <v>109.40155471106985</v>
          </cell>
          <cell r="AG1343">
            <v>114.23535655808304</v>
          </cell>
          <cell r="AH1343">
            <v>123.23745270762531</v>
          </cell>
        </row>
        <row r="1344">
          <cell r="AD1344">
            <v>103.89858894188522</v>
          </cell>
          <cell r="AE1344">
            <v>106.17490214565031</v>
          </cell>
          <cell r="AF1344">
            <v>109.41200202784418</v>
          </cell>
          <cell r="AG1344">
            <v>114.2467486823288</v>
          </cell>
          <cell r="AH1344">
            <v>123.24751660788124</v>
          </cell>
        </row>
        <row r="1345">
          <cell r="AD1345">
            <v>103.90964059249237</v>
          </cell>
          <cell r="AE1345">
            <v>106.18548877944517</v>
          </cell>
          <cell r="AF1345">
            <v>109.4224493446185</v>
          </cell>
          <cell r="AG1345">
            <v>114.25814080657456</v>
          </cell>
          <cell r="AH1345">
            <v>123.25758050813715</v>
          </cell>
        </row>
        <row r="1346">
          <cell r="AD1346">
            <v>103.92069224309952</v>
          </cell>
          <cell r="AE1346">
            <v>106.19607541324004</v>
          </cell>
          <cell r="AF1346">
            <v>109.43289666139282</v>
          </cell>
          <cell r="AG1346">
            <v>114.2695329308203</v>
          </cell>
          <cell r="AH1346">
            <v>123.26764440839307</v>
          </cell>
        </row>
        <row r="1347">
          <cell r="AD1347">
            <v>103.93174389370667</v>
          </cell>
          <cell r="AE1347">
            <v>106.2066620470349</v>
          </cell>
          <cell r="AF1347">
            <v>109.44334397816715</v>
          </cell>
          <cell r="AG1347">
            <v>114.28092505506606</v>
          </cell>
          <cell r="AH1347">
            <v>123.27770830864898</v>
          </cell>
        </row>
        <row r="1348">
          <cell r="AD1348">
            <v>103.94279554431382</v>
          </cell>
          <cell r="AE1348">
            <v>106.21724868082975</v>
          </cell>
          <cell r="AF1348">
            <v>109.45379129494147</v>
          </cell>
          <cell r="AG1348">
            <v>114.29231717931182</v>
          </cell>
          <cell r="AH1348">
            <v>123.2877722089049</v>
          </cell>
        </row>
        <row r="1349">
          <cell r="AD1349">
            <v>103.95384719492098</v>
          </cell>
          <cell r="AE1349">
            <v>106.22783531462461</v>
          </cell>
          <cell r="AF1349">
            <v>109.4642386117158</v>
          </cell>
          <cell r="AG1349">
            <v>114.30370930355757</v>
          </cell>
          <cell r="AH1349">
            <v>123.29783610916081</v>
          </cell>
        </row>
        <row r="1350">
          <cell r="AD1350">
            <v>103.96489884552813</v>
          </cell>
          <cell r="AE1350">
            <v>106.23842194841947</v>
          </cell>
          <cell r="AF1350">
            <v>109.47468592849012</v>
          </cell>
          <cell r="AG1350">
            <v>114.31510142780333</v>
          </cell>
          <cell r="AH1350">
            <v>123.30790000941673</v>
          </cell>
        </row>
        <row r="1351">
          <cell r="AD1351">
            <v>103.97595049613528</v>
          </cell>
          <cell r="AE1351">
            <v>106.24900858221434</v>
          </cell>
          <cell r="AF1351">
            <v>109.48513324526444</v>
          </cell>
          <cell r="AG1351">
            <v>114.32649355204909</v>
          </cell>
          <cell r="AH1351">
            <v>123.31796390967266</v>
          </cell>
        </row>
        <row r="1352">
          <cell r="AD1352">
            <v>103.98700214674243</v>
          </cell>
          <cell r="AE1352">
            <v>106.2595952160092</v>
          </cell>
          <cell r="AF1352">
            <v>109.49558056203877</v>
          </cell>
          <cell r="AG1352">
            <v>114.33788567629485</v>
          </cell>
          <cell r="AH1352">
            <v>123.32802780992857</v>
          </cell>
        </row>
        <row r="1353">
          <cell r="AD1353">
            <v>103.99805379734958</v>
          </cell>
          <cell r="AE1353">
            <v>106.27018184980406</v>
          </cell>
          <cell r="AF1353">
            <v>109.50602787881309</v>
          </cell>
          <cell r="AG1353">
            <v>114.34927780054059</v>
          </cell>
          <cell r="AH1353">
            <v>123.33809171018449</v>
          </cell>
        </row>
        <row r="1354">
          <cell r="AD1354">
            <v>104.00849568334635</v>
          </cell>
          <cell r="AE1354">
            <v>106.28076848359892</v>
          </cell>
          <cell r="AF1354">
            <v>109.5164751955874</v>
          </cell>
          <cell r="AG1354">
            <v>114.36066992478635</v>
          </cell>
          <cell r="AH1354">
            <v>123.3481556104404</v>
          </cell>
        </row>
        <row r="1355">
          <cell r="AD1355">
            <v>104.01880723797377</v>
          </cell>
          <cell r="AE1355">
            <v>106.29135511739378</v>
          </cell>
          <cell r="AF1355">
            <v>109.52692251236174</v>
          </cell>
          <cell r="AG1355">
            <v>114.37206204903211</v>
          </cell>
          <cell r="AH1355">
            <v>123.35821951069632</v>
          </cell>
        </row>
        <row r="1356">
          <cell r="AD1356">
            <v>104.02911879260118</v>
          </cell>
          <cell r="AE1356">
            <v>106.30194175118865</v>
          </cell>
          <cell r="AF1356">
            <v>109.53736982913605</v>
          </cell>
          <cell r="AG1356">
            <v>114.38345417327785</v>
          </cell>
          <cell r="AH1356">
            <v>123.36828341095223</v>
          </cell>
        </row>
        <row r="1357">
          <cell r="AD1357">
            <v>104.03943034722859</v>
          </cell>
          <cell r="AE1357">
            <v>106.31252838498351</v>
          </cell>
          <cell r="AF1357">
            <v>109.54781714591039</v>
          </cell>
          <cell r="AG1357">
            <v>114.39484629752361</v>
          </cell>
          <cell r="AH1357">
            <v>123.37834731120815</v>
          </cell>
        </row>
        <row r="1358">
          <cell r="AD1358">
            <v>104.049741901856</v>
          </cell>
          <cell r="AE1358">
            <v>106.32311501877837</v>
          </cell>
          <cell r="AF1358">
            <v>109.5582644626847</v>
          </cell>
          <cell r="AG1358">
            <v>114.40623842176937</v>
          </cell>
          <cell r="AH1358">
            <v>123.38841121146406</v>
          </cell>
        </row>
        <row r="1359">
          <cell r="AD1359">
            <v>104.06005345648342</v>
          </cell>
          <cell r="AE1359">
            <v>106.33370165257323</v>
          </cell>
          <cell r="AF1359">
            <v>109.56871177945902</v>
          </cell>
          <cell r="AG1359">
            <v>114.41763054601512</v>
          </cell>
          <cell r="AH1359">
            <v>123.39847511171999</v>
          </cell>
        </row>
        <row r="1360">
          <cell r="AD1360">
            <v>104.07036501111082</v>
          </cell>
          <cell r="AE1360">
            <v>106.34428828636808</v>
          </cell>
          <cell r="AF1360">
            <v>109.57915909623335</v>
          </cell>
          <cell r="AG1360">
            <v>114.42902267026088</v>
          </cell>
          <cell r="AH1360">
            <v>123.4085390119759</v>
          </cell>
        </row>
        <row r="1361">
          <cell r="AD1361">
            <v>104.08067656573823</v>
          </cell>
          <cell r="AE1361">
            <v>106.35487492016294</v>
          </cell>
          <cell r="AF1361">
            <v>109.58960641300767</v>
          </cell>
          <cell r="AG1361">
            <v>114.44041479450664</v>
          </cell>
          <cell r="AH1361">
            <v>123.41860291223182</v>
          </cell>
        </row>
        <row r="1362">
          <cell r="AD1362">
            <v>104.09098812036564</v>
          </cell>
          <cell r="AE1362">
            <v>106.36546155395781</v>
          </cell>
          <cell r="AF1362">
            <v>109.600053729782</v>
          </cell>
          <cell r="AG1362">
            <v>114.4518069187524</v>
          </cell>
          <cell r="AH1362">
            <v>123.42866681248773</v>
          </cell>
        </row>
        <row r="1363">
          <cell r="AD1363">
            <v>104.10129967499306</v>
          </cell>
          <cell r="AE1363">
            <v>106.37604818775267</v>
          </cell>
          <cell r="AF1363">
            <v>109.61050104655632</v>
          </cell>
          <cell r="AG1363">
            <v>114.46319904299814</v>
          </cell>
          <cell r="AH1363">
            <v>123.43873071274365</v>
          </cell>
        </row>
        <row r="1364">
          <cell r="AD1364">
            <v>104.11161122962046</v>
          </cell>
          <cell r="AE1364">
            <v>106.38663482154753</v>
          </cell>
          <cell r="AF1364">
            <v>109.62094836333064</v>
          </cell>
          <cell r="AG1364">
            <v>114.4745911672439</v>
          </cell>
          <cell r="AH1364">
            <v>123.44879461299956</v>
          </cell>
        </row>
        <row r="1365">
          <cell r="AD1365">
            <v>104.12192278424787</v>
          </cell>
          <cell r="AE1365">
            <v>106.39722145534239</v>
          </cell>
          <cell r="AF1365">
            <v>109.63139568010497</v>
          </cell>
          <cell r="AG1365">
            <v>114.48598329148966</v>
          </cell>
          <cell r="AH1365">
            <v>123.45885851325548</v>
          </cell>
        </row>
        <row r="1366">
          <cell r="AD1366">
            <v>104.13223433887529</v>
          </cell>
          <cell r="AE1366">
            <v>106.40780808913725</v>
          </cell>
          <cell r="AF1366">
            <v>109.64184299687929</v>
          </cell>
          <cell r="AG1366">
            <v>114.49737541573541</v>
          </cell>
          <cell r="AH1366">
            <v>123.46892241351141</v>
          </cell>
        </row>
        <row r="1367">
          <cell r="AD1367">
            <v>104.1425458935027</v>
          </cell>
          <cell r="AE1367">
            <v>106.41839472293212</v>
          </cell>
          <cell r="AF1367">
            <v>109.65229031365361</v>
          </cell>
          <cell r="AG1367">
            <v>114.50876753998116</v>
          </cell>
          <cell r="AH1367">
            <v>123.47898631376732</v>
          </cell>
        </row>
        <row r="1368">
          <cell r="AD1368">
            <v>104.15285744813011</v>
          </cell>
          <cell r="AE1368">
            <v>106.42898135672698</v>
          </cell>
          <cell r="AF1368">
            <v>109.66273763042794</v>
          </cell>
          <cell r="AG1368">
            <v>114.52015966422692</v>
          </cell>
          <cell r="AH1368">
            <v>123.48905021402324</v>
          </cell>
        </row>
        <row r="1369">
          <cell r="AD1369">
            <v>104.16316900275751</v>
          </cell>
          <cell r="AE1369">
            <v>106.43956799052184</v>
          </cell>
          <cell r="AF1369">
            <v>109.67318494720226</v>
          </cell>
          <cell r="AG1369">
            <v>114.53155178847268</v>
          </cell>
          <cell r="AH1369">
            <v>123.49911411427915</v>
          </cell>
        </row>
        <row r="1370">
          <cell r="AD1370">
            <v>104.17348055738493</v>
          </cell>
          <cell r="AE1370">
            <v>106.4501546243167</v>
          </cell>
          <cell r="AF1370">
            <v>109.68363226397659</v>
          </cell>
          <cell r="AG1370">
            <v>114.54294391271843</v>
          </cell>
          <cell r="AH1370">
            <v>123.50917801453507</v>
          </cell>
        </row>
        <row r="1371">
          <cell r="AD1371">
            <v>104.18379211201234</v>
          </cell>
          <cell r="AE1371">
            <v>106.46074125811155</v>
          </cell>
          <cell r="AF1371">
            <v>109.69407958075091</v>
          </cell>
          <cell r="AG1371">
            <v>114.55433603696419</v>
          </cell>
          <cell r="AH1371">
            <v>123.51924191479098</v>
          </cell>
        </row>
        <row r="1372">
          <cell r="AD1372">
            <v>104.19410366663975</v>
          </cell>
          <cell r="AE1372">
            <v>106.47132789190643</v>
          </cell>
          <cell r="AF1372">
            <v>109.70452689752523</v>
          </cell>
          <cell r="AG1372">
            <v>114.56572816120995</v>
          </cell>
          <cell r="AH1372">
            <v>123.5293058150469</v>
          </cell>
        </row>
        <row r="1373">
          <cell r="AD1373">
            <v>104.20441522126715</v>
          </cell>
          <cell r="AE1373">
            <v>106.48191452570128</v>
          </cell>
          <cell r="AF1373">
            <v>109.71497421429956</v>
          </cell>
          <cell r="AG1373">
            <v>114.57712028545569</v>
          </cell>
          <cell r="AH1373">
            <v>123.53936971530283</v>
          </cell>
        </row>
        <row r="1374">
          <cell r="AD1374">
            <v>104.21472677589458</v>
          </cell>
          <cell r="AE1374">
            <v>106.49250115949614</v>
          </cell>
          <cell r="AF1374">
            <v>109.72542153107388</v>
          </cell>
          <cell r="AG1374">
            <v>114.58851240970145</v>
          </cell>
          <cell r="AH1374">
            <v>123.54943361555874</v>
          </cell>
        </row>
        <row r="1375">
          <cell r="AD1375">
            <v>104.22503833052198</v>
          </cell>
          <cell r="AE1375">
            <v>106.503087793291</v>
          </cell>
          <cell r="AF1375">
            <v>109.7358688478482</v>
          </cell>
          <cell r="AG1375">
            <v>114.59990453394721</v>
          </cell>
          <cell r="AH1375">
            <v>123.55949751581466</v>
          </cell>
        </row>
        <row r="1376">
          <cell r="AD1376">
            <v>104.23534988514939</v>
          </cell>
          <cell r="AE1376">
            <v>106.51367442708586</v>
          </cell>
          <cell r="AF1376">
            <v>109.74631616462253</v>
          </cell>
          <cell r="AG1376">
            <v>114.61129665819296</v>
          </cell>
          <cell r="AH1376">
            <v>123.56956141607057</v>
          </cell>
        </row>
        <row r="1377">
          <cell r="AD1377">
            <v>104.24566143977681</v>
          </cell>
          <cell r="AE1377">
            <v>106.52426106088072</v>
          </cell>
          <cell r="AF1377">
            <v>109.75676348139685</v>
          </cell>
          <cell r="AG1377">
            <v>114.62268878243871</v>
          </cell>
          <cell r="AH1377">
            <v>123.57962531632649</v>
          </cell>
        </row>
        <row r="1378">
          <cell r="AD1378">
            <v>104.25597299440422</v>
          </cell>
          <cell r="AE1378">
            <v>106.53484769467559</v>
          </cell>
          <cell r="AF1378">
            <v>109.76721079817118</v>
          </cell>
          <cell r="AG1378">
            <v>114.63408090668447</v>
          </cell>
          <cell r="AH1378">
            <v>123.5896892165824</v>
          </cell>
        </row>
        <row r="1379">
          <cell r="AD1379">
            <v>104.26628454903162</v>
          </cell>
          <cell r="AE1379">
            <v>106.54543432847045</v>
          </cell>
          <cell r="AF1379">
            <v>109.7776581149455</v>
          </cell>
          <cell r="AG1379">
            <v>114.64547303093023</v>
          </cell>
          <cell r="AH1379">
            <v>123.59975311683831</v>
          </cell>
        </row>
        <row r="1380">
          <cell r="AD1380">
            <v>104.27659610365903</v>
          </cell>
          <cell r="AE1380">
            <v>106.55602096226531</v>
          </cell>
          <cell r="AF1380">
            <v>109.78810543171981</v>
          </cell>
          <cell r="AG1380">
            <v>114.65686515517598</v>
          </cell>
          <cell r="AH1380">
            <v>123.60981701709423</v>
          </cell>
        </row>
        <row r="1381">
          <cell r="AD1381">
            <v>104.28690765828645</v>
          </cell>
          <cell r="AE1381">
            <v>106.56660759606017</v>
          </cell>
          <cell r="AF1381">
            <v>109.79855274849415</v>
          </cell>
          <cell r="AG1381">
            <v>114.66825727942174</v>
          </cell>
          <cell r="AH1381">
            <v>123.61988091735016</v>
          </cell>
        </row>
        <row r="1382">
          <cell r="AD1382">
            <v>104.29721921291386</v>
          </cell>
          <cell r="AE1382">
            <v>106.57719422985502</v>
          </cell>
          <cell r="AF1382">
            <v>109.80900006526846</v>
          </cell>
          <cell r="AG1382">
            <v>114.6796494036675</v>
          </cell>
          <cell r="AH1382">
            <v>123.62994481760607</v>
          </cell>
        </row>
        <row r="1383">
          <cell r="AD1383">
            <v>104.30753076754127</v>
          </cell>
          <cell r="AE1383">
            <v>106.5877808636499</v>
          </cell>
          <cell r="AF1383">
            <v>109.8194473820428</v>
          </cell>
          <cell r="AG1383">
            <v>114.69104152791324</v>
          </cell>
          <cell r="AH1383">
            <v>123.64000871786199</v>
          </cell>
        </row>
        <row r="1384">
          <cell r="AD1384">
            <v>104.31784232216867</v>
          </cell>
          <cell r="AE1384">
            <v>106.59836749744476</v>
          </cell>
          <cell r="AF1384">
            <v>109.82989469881711</v>
          </cell>
          <cell r="AG1384">
            <v>114.702433652159</v>
          </cell>
          <cell r="AH1384">
            <v>123.6500726181179</v>
          </cell>
        </row>
        <row r="1385">
          <cell r="AD1385">
            <v>104.32815387679609</v>
          </cell>
          <cell r="AE1385">
            <v>106.60895413123961</v>
          </cell>
          <cell r="AF1385">
            <v>109.84034201559143</v>
          </cell>
          <cell r="AG1385">
            <v>114.71382577640476</v>
          </cell>
          <cell r="AH1385">
            <v>123.66013651837382</v>
          </cell>
        </row>
        <row r="1386">
          <cell r="AD1386">
            <v>104.3384654314235</v>
          </cell>
          <cell r="AE1386">
            <v>106.61954076503447</v>
          </cell>
          <cell r="AF1386">
            <v>109.85078933236576</v>
          </cell>
          <cell r="AG1386">
            <v>114.72521790065051</v>
          </cell>
          <cell r="AH1386">
            <v>123.67020041862973</v>
          </cell>
        </row>
        <row r="1387">
          <cell r="AD1387">
            <v>104.34877698605091</v>
          </cell>
          <cell r="AE1387">
            <v>106.63012739882933</v>
          </cell>
          <cell r="AF1387">
            <v>109.86123664914008</v>
          </cell>
          <cell r="AG1387">
            <v>114.73661002489627</v>
          </cell>
          <cell r="AH1387">
            <v>123.68026431888565</v>
          </cell>
        </row>
        <row r="1388">
          <cell r="AD1388">
            <v>104.35908854067833</v>
          </cell>
          <cell r="AE1388">
            <v>106.6407140326242</v>
          </cell>
          <cell r="AF1388">
            <v>109.8716839659144</v>
          </cell>
          <cell r="AG1388">
            <v>114.74800214914202</v>
          </cell>
          <cell r="AH1388">
            <v>123.69032821914158</v>
          </cell>
        </row>
        <row r="1389">
          <cell r="AD1389">
            <v>104.36940009530574</v>
          </cell>
          <cell r="AE1389">
            <v>106.65130066641906</v>
          </cell>
          <cell r="AF1389">
            <v>109.88213128268873</v>
          </cell>
          <cell r="AG1389">
            <v>114.75939427338778</v>
          </cell>
          <cell r="AH1389">
            <v>123.70039211939749</v>
          </cell>
        </row>
        <row r="1390">
          <cell r="AD1390">
            <v>104.37971164993314</v>
          </cell>
          <cell r="AE1390">
            <v>106.66188730021392</v>
          </cell>
          <cell r="AF1390">
            <v>109.89257859946305</v>
          </cell>
          <cell r="AG1390">
            <v>114.77078639763353</v>
          </cell>
          <cell r="AH1390">
            <v>123.71045601965341</v>
          </cell>
        </row>
        <row r="1391">
          <cell r="AD1391">
            <v>104.39002320456055</v>
          </cell>
          <cell r="AE1391">
            <v>106.67247393400878</v>
          </cell>
          <cell r="AF1391">
            <v>109.90302591623738</v>
          </cell>
          <cell r="AG1391">
            <v>114.78217852187929</v>
          </cell>
          <cell r="AH1391">
            <v>123.72051991990932</v>
          </cell>
        </row>
        <row r="1392">
          <cell r="AD1392">
            <v>104.40033475918797</v>
          </cell>
          <cell r="AE1392">
            <v>106.68306056780364</v>
          </cell>
          <cell r="AF1392">
            <v>109.9134732330117</v>
          </cell>
          <cell r="AG1392">
            <v>114.79357064612505</v>
          </cell>
          <cell r="AH1392">
            <v>123.73058382016524</v>
          </cell>
        </row>
        <row r="1393">
          <cell r="AD1393">
            <v>104.41064631381538</v>
          </cell>
          <cell r="AE1393">
            <v>106.69364720159851</v>
          </cell>
          <cell r="AF1393">
            <v>109.92392054978602</v>
          </cell>
          <cell r="AG1393">
            <v>114.80496277037079</v>
          </cell>
          <cell r="AH1393">
            <v>123.74064772042115</v>
          </cell>
        </row>
        <row r="1394">
          <cell r="AD1394">
            <v>104.42095786844278</v>
          </cell>
          <cell r="AE1394">
            <v>106.70423383539337</v>
          </cell>
          <cell r="AF1394">
            <v>109.93436786656035</v>
          </cell>
          <cell r="AG1394">
            <v>114.81635489461655</v>
          </cell>
          <cell r="AH1394">
            <v>123.75071162067707</v>
          </cell>
        </row>
        <row r="1395">
          <cell r="AD1395">
            <v>104.43126942307019</v>
          </cell>
          <cell r="AE1395">
            <v>106.71482046918823</v>
          </cell>
          <cell r="AF1395">
            <v>109.94481518333467</v>
          </cell>
          <cell r="AG1395">
            <v>114.82774701886231</v>
          </cell>
          <cell r="AH1395">
            <v>123.760775520933</v>
          </cell>
        </row>
        <row r="1396">
          <cell r="AD1396">
            <v>104.44158097769761</v>
          </cell>
          <cell r="AE1396">
            <v>106.72540710298308</v>
          </cell>
          <cell r="AF1396">
            <v>109.955262500109</v>
          </cell>
          <cell r="AG1396">
            <v>114.83913914310807</v>
          </cell>
          <cell r="AH1396">
            <v>123.77083942118891</v>
          </cell>
        </row>
        <row r="1397">
          <cell r="AD1397">
            <v>104.45189253232502</v>
          </cell>
          <cell r="AE1397">
            <v>106.73599373677794</v>
          </cell>
          <cell r="AF1397">
            <v>109.96570981688332</v>
          </cell>
          <cell r="AG1397">
            <v>114.85053126735382</v>
          </cell>
          <cell r="AH1397">
            <v>123.78090332144482</v>
          </cell>
        </row>
        <row r="1398">
          <cell r="AD1398">
            <v>104.46220408695243</v>
          </cell>
          <cell r="AE1398">
            <v>106.7465803705728</v>
          </cell>
          <cell r="AF1398">
            <v>109.97615713365764</v>
          </cell>
          <cell r="AG1398">
            <v>114.86192339159957</v>
          </cell>
          <cell r="AH1398">
            <v>123.79096722170074</v>
          </cell>
        </row>
        <row r="1399">
          <cell r="AD1399">
            <v>104.47251564157985</v>
          </cell>
          <cell r="AE1399">
            <v>106.75716700436767</v>
          </cell>
          <cell r="AF1399">
            <v>109.98660445043197</v>
          </cell>
          <cell r="AG1399">
            <v>114.87331551584533</v>
          </cell>
          <cell r="AH1399">
            <v>123.80103112195665</v>
          </cell>
        </row>
        <row r="1400">
          <cell r="AD1400">
            <v>104.48282719620725</v>
          </cell>
          <cell r="AE1400">
            <v>106.76775363816253</v>
          </cell>
          <cell r="AF1400">
            <v>109.99705176720629</v>
          </cell>
          <cell r="AG1400">
            <v>114.88470764009108</v>
          </cell>
          <cell r="AH1400">
            <v>123.81109502221257</v>
          </cell>
        </row>
        <row r="1401">
          <cell r="AD1401">
            <v>104.49313875083466</v>
          </cell>
          <cell r="AE1401">
            <v>106.77834027195739</v>
          </cell>
          <cell r="AF1401">
            <v>110.00695617024441</v>
          </cell>
          <cell r="AG1401">
            <v>114.89609976433684</v>
          </cell>
          <cell r="AH1401">
            <v>123.82115892246848</v>
          </cell>
        </row>
        <row r="1402">
          <cell r="AD1402">
            <v>104.50345030546207</v>
          </cell>
          <cell r="AE1402">
            <v>106.78892690575225</v>
          </cell>
          <cell r="AF1402">
            <v>110.01664712906917</v>
          </cell>
          <cell r="AG1402">
            <v>114.9074918885826</v>
          </cell>
          <cell r="AH1402">
            <v>123.83122282272441</v>
          </cell>
        </row>
        <row r="1403">
          <cell r="AD1403">
            <v>104.51376186008949</v>
          </cell>
          <cell r="AE1403">
            <v>106.79951353954711</v>
          </cell>
          <cell r="AF1403">
            <v>110.02633808789393</v>
          </cell>
          <cell r="AG1403">
            <v>114.91888401282834</v>
          </cell>
          <cell r="AH1403">
            <v>123.84128672298033</v>
          </cell>
        </row>
        <row r="1404">
          <cell r="AD1404">
            <v>104.5240734147169</v>
          </cell>
          <cell r="AE1404">
            <v>106.81010017334198</v>
          </cell>
          <cell r="AF1404">
            <v>110.0360290467187</v>
          </cell>
          <cell r="AG1404">
            <v>114.9302761370741</v>
          </cell>
          <cell r="AH1404">
            <v>123.85135062323624</v>
          </cell>
        </row>
        <row r="1405">
          <cell r="AD1405">
            <v>104.5343849693443</v>
          </cell>
          <cell r="AE1405">
            <v>106.82068680713684</v>
          </cell>
          <cell r="AF1405">
            <v>110.04572000554346</v>
          </cell>
          <cell r="AG1405">
            <v>114.94166826131986</v>
          </cell>
          <cell r="AH1405">
            <v>123.86141452349216</v>
          </cell>
        </row>
        <row r="1406">
          <cell r="AD1406">
            <v>104.54469652397171</v>
          </cell>
          <cell r="AE1406">
            <v>106.8312734409317</v>
          </cell>
          <cell r="AF1406">
            <v>110.05541096436821</v>
          </cell>
          <cell r="AG1406">
            <v>114.95306038556562</v>
          </cell>
          <cell r="AH1406">
            <v>123.87147842374807</v>
          </cell>
        </row>
        <row r="1407">
          <cell r="AD1407">
            <v>104.55500807859913</v>
          </cell>
          <cell r="AE1407">
            <v>106.84186007472655</v>
          </cell>
          <cell r="AF1407">
            <v>110.06510192319297</v>
          </cell>
          <cell r="AG1407">
            <v>114.96445250981137</v>
          </cell>
          <cell r="AH1407">
            <v>123.88154232400399</v>
          </cell>
        </row>
        <row r="1408">
          <cell r="AD1408">
            <v>104.56531963322654</v>
          </cell>
          <cell r="AE1408">
            <v>106.85244670852141</v>
          </cell>
          <cell r="AF1408">
            <v>110.07479288201773</v>
          </cell>
          <cell r="AG1408">
            <v>114.97584463405713</v>
          </cell>
          <cell r="AH1408">
            <v>123.8916062242599</v>
          </cell>
        </row>
        <row r="1409">
          <cell r="AD1409">
            <v>104.57563118785394</v>
          </cell>
          <cell r="AE1409">
            <v>106.86303334231629</v>
          </cell>
          <cell r="AF1409">
            <v>110.08448384084249</v>
          </cell>
          <cell r="AG1409">
            <v>114.98723675830288</v>
          </cell>
          <cell r="AH1409">
            <v>123.90167012451582</v>
          </cell>
        </row>
        <row r="1410">
          <cell r="AD1410">
            <v>104.58594274248136</v>
          </cell>
          <cell r="AE1410">
            <v>106.87361997611114</v>
          </cell>
          <cell r="AF1410">
            <v>110.09417479966726</v>
          </cell>
          <cell r="AG1410">
            <v>114.99862888254863</v>
          </cell>
          <cell r="AH1410">
            <v>123.91173402477175</v>
          </cell>
        </row>
        <row r="1411">
          <cell r="AD1411">
            <v>104.59625429710877</v>
          </cell>
          <cell r="AE1411">
            <v>106.884206609906</v>
          </cell>
          <cell r="AF1411">
            <v>110.10386575849201</v>
          </cell>
          <cell r="AG1411">
            <v>115.00862736021548</v>
          </cell>
          <cell r="AH1411">
            <v>123.92179792502766</v>
          </cell>
        </row>
        <row r="1412">
          <cell r="AD1412">
            <v>104.60656585173618</v>
          </cell>
          <cell r="AE1412">
            <v>106.89479324370086</v>
          </cell>
          <cell r="AF1412">
            <v>110.11355671731677</v>
          </cell>
          <cell r="AG1412">
            <v>115.01843515313531</v>
          </cell>
          <cell r="AH1412">
            <v>123.93186182528358</v>
          </cell>
        </row>
        <row r="1413">
          <cell r="AD1413">
            <v>104.61687740636359</v>
          </cell>
          <cell r="AE1413">
            <v>106.90537987749572</v>
          </cell>
          <cell r="AF1413">
            <v>110.12324767614153</v>
          </cell>
          <cell r="AG1413">
            <v>115.02824294605516</v>
          </cell>
          <cell r="AH1413">
            <v>123.94192572553949</v>
          </cell>
        </row>
        <row r="1414">
          <cell r="AD1414">
            <v>104.62718896099101</v>
          </cell>
          <cell r="AE1414">
            <v>106.91596651129058</v>
          </cell>
          <cell r="AF1414">
            <v>110.13293863496629</v>
          </cell>
          <cell r="AG1414">
            <v>115.038050738975</v>
          </cell>
          <cell r="AH1414">
            <v>123.95198962579541</v>
          </cell>
        </row>
        <row r="1415">
          <cell r="AD1415">
            <v>104.63750051561841</v>
          </cell>
          <cell r="AE1415">
            <v>106.92655314508545</v>
          </cell>
          <cell r="AF1415">
            <v>110.14262959379106</v>
          </cell>
          <cell r="AG1415">
            <v>115.04785853189483</v>
          </cell>
          <cell r="AH1415">
            <v>123.96205352605132</v>
          </cell>
        </row>
        <row r="1416">
          <cell r="AD1416">
            <v>104.64781207024582</v>
          </cell>
          <cell r="AE1416">
            <v>106.93713977888031</v>
          </cell>
          <cell r="AF1416">
            <v>110.15232055261581</v>
          </cell>
          <cell r="AG1416">
            <v>115.05766632481468</v>
          </cell>
          <cell r="AH1416">
            <v>123.97211742630724</v>
          </cell>
        </row>
        <row r="1417">
          <cell r="AD1417">
            <v>104.65812362487323</v>
          </cell>
          <cell r="AE1417">
            <v>106.94772641267517</v>
          </cell>
          <cell r="AF1417">
            <v>110.16201151144057</v>
          </cell>
          <cell r="AG1417">
            <v>115.06747411773451</v>
          </cell>
          <cell r="AH1417">
            <v>123.98218132656316</v>
          </cell>
        </row>
        <row r="1418">
          <cell r="AD1418">
            <v>104.66843517950065</v>
          </cell>
          <cell r="AE1418">
            <v>106.95831304647002</v>
          </cell>
          <cell r="AF1418">
            <v>110.17170247026533</v>
          </cell>
          <cell r="AG1418">
            <v>115.07728191065435</v>
          </cell>
          <cell r="AH1418">
            <v>123.99224522681908</v>
          </cell>
        </row>
        <row r="1419">
          <cell r="AD1419">
            <v>104.67874673412805</v>
          </cell>
          <cell r="AE1419">
            <v>106.96889968026488</v>
          </cell>
          <cell r="AF1419">
            <v>110.18139342909009</v>
          </cell>
          <cell r="AG1419">
            <v>115.08708970357418</v>
          </cell>
          <cell r="AH1419">
            <v>124.002438211221</v>
          </cell>
        </row>
        <row r="1420">
          <cell r="AD1420">
            <v>104.68905828875546</v>
          </cell>
          <cell r="AE1420">
            <v>106.97948631405976</v>
          </cell>
          <cell r="AF1420">
            <v>110.19108438791486</v>
          </cell>
          <cell r="AG1420">
            <v>115.09689749649402</v>
          </cell>
          <cell r="AH1420">
            <v>124.013064700684</v>
          </cell>
        </row>
        <row r="1421">
          <cell r="AD1421">
            <v>104.69936984338288</v>
          </cell>
          <cell r="AE1421">
            <v>106.99007294785461</v>
          </cell>
          <cell r="AF1421">
            <v>110.2007753467396</v>
          </cell>
          <cell r="AG1421">
            <v>115.10670528941387</v>
          </cell>
          <cell r="AH1421">
            <v>124.02369119014699</v>
          </cell>
        </row>
        <row r="1422">
          <cell r="AD1422">
            <v>104.70968139801029</v>
          </cell>
          <cell r="AE1422">
            <v>107.00061139558265</v>
          </cell>
          <cell r="AF1422">
            <v>110.21046630556437</v>
          </cell>
          <cell r="AG1422">
            <v>115.1165130823337</v>
          </cell>
          <cell r="AH1422">
            <v>124.03431767960998</v>
          </cell>
        </row>
        <row r="1423">
          <cell r="AD1423">
            <v>104.7199929526377</v>
          </cell>
          <cell r="AE1423">
            <v>107.01042461755837</v>
          </cell>
          <cell r="AF1423">
            <v>110.22015726438913</v>
          </cell>
          <cell r="AG1423">
            <v>115.12632087525354</v>
          </cell>
          <cell r="AH1423">
            <v>124.04494416907296</v>
          </cell>
        </row>
        <row r="1424">
          <cell r="AD1424">
            <v>104.7303045072651</v>
          </cell>
          <cell r="AE1424">
            <v>107.02023783953409</v>
          </cell>
          <cell r="AF1424">
            <v>110.22984822321389</v>
          </cell>
          <cell r="AG1424">
            <v>115.13612866817337</v>
          </cell>
          <cell r="AH1424">
            <v>124.05557065853596</v>
          </cell>
        </row>
        <row r="1425">
          <cell r="AD1425">
            <v>104.74061606189252</v>
          </cell>
          <cell r="AE1425">
            <v>107.03005106150979</v>
          </cell>
          <cell r="AF1425">
            <v>110.23953918203865</v>
          </cell>
          <cell r="AG1425">
            <v>115.14593646109321</v>
          </cell>
          <cell r="AH1425">
            <v>124.06619714799895</v>
          </cell>
        </row>
        <row r="1426">
          <cell r="AD1426">
            <v>104.75092761651993</v>
          </cell>
          <cell r="AE1426">
            <v>107.03986428348551</v>
          </cell>
          <cell r="AF1426">
            <v>110.24923014086342</v>
          </cell>
          <cell r="AG1426">
            <v>115.15574425401304</v>
          </cell>
          <cell r="AH1426">
            <v>124.07682363746194</v>
          </cell>
        </row>
        <row r="1427">
          <cell r="AD1427">
            <v>104.76123917114734</v>
          </cell>
          <cell r="AE1427">
            <v>107.04967750546123</v>
          </cell>
          <cell r="AF1427">
            <v>110.25892109968817</v>
          </cell>
          <cell r="AG1427">
            <v>115.16555204693289</v>
          </cell>
          <cell r="AH1427">
            <v>124.08745012692492</v>
          </cell>
        </row>
        <row r="1428">
          <cell r="AD1428">
            <v>104.77155072577474</v>
          </cell>
          <cell r="AE1428">
            <v>107.05949072743695</v>
          </cell>
          <cell r="AF1428">
            <v>110.26861205851293</v>
          </cell>
          <cell r="AG1428">
            <v>115.17535983985273</v>
          </cell>
          <cell r="AH1428">
            <v>124.09807661638791</v>
          </cell>
        </row>
        <row r="1429">
          <cell r="AD1429">
            <v>104.78186228040217</v>
          </cell>
          <cell r="AE1429">
            <v>107.06930394941266</v>
          </cell>
          <cell r="AF1429">
            <v>110.27830301733769</v>
          </cell>
          <cell r="AG1429">
            <v>115.18516763277256</v>
          </cell>
          <cell r="AH1429">
            <v>124.10870310585091</v>
          </cell>
        </row>
        <row r="1430">
          <cell r="AD1430">
            <v>104.79217383502957</v>
          </cell>
          <cell r="AE1430">
            <v>107.07911717138838</v>
          </cell>
          <cell r="AF1430">
            <v>110.28799397616245</v>
          </cell>
          <cell r="AG1430">
            <v>115.19497542569241</v>
          </cell>
          <cell r="AH1430">
            <v>124.1193295953139</v>
          </cell>
        </row>
        <row r="1431">
          <cell r="AD1431">
            <v>104.80248538965698</v>
          </cell>
          <cell r="AE1431">
            <v>107.08893039336409</v>
          </cell>
          <cell r="AF1431">
            <v>110.29768493498722</v>
          </cell>
          <cell r="AG1431">
            <v>115.20478321861223</v>
          </cell>
          <cell r="AH1431">
            <v>124.12995608477688</v>
          </cell>
        </row>
        <row r="1432">
          <cell r="AD1432">
            <v>104.8127969442844</v>
          </cell>
          <cell r="AE1432">
            <v>107.0987436153398</v>
          </cell>
          <cell r="AF1432">
            <v>110.30737589381197</v>
          </cell>
          <cell r="AG1432">
            <v>115.21459101153208</v>
          </cell>
          <cell r="AH1432">
            <v>124.14058257423987</v>
          </cell>
        </row>
        <row r="1433">
          <cell r="AD1433">
            <v>104.82310849891181</v>
          </cell>
          <cell r="AE1433">
            <v>107.10855683731552</v>
          </cell>
          <cell r="AF1433">
            <v>110.31706685263673</v>
          </cell>
          <cell r="AG1433">
            <v>115.22439880445191</v>
          </cell>
          <cell r="AH1433">
            <v>124.15120906370286</v>
          </cell>
        </row>
        <row r="1434">
          <cell r="AD1434">
            <v>104.83342005353921</v>
          </cell>
          <cell r="AE1434">
            <v>107.11837005929124</v>
          </cell>
          <cell r="AF1434">
            <v>110.32675781146149</v>
          </cell>
          <cell r="AG1434">
            <v>115.23420659737175</v>
          </cell>
          <cell r="AH1434">
            <v>124.16183555316586</v>
          </cell>
        </row>
        <row r="1435">
          <cell r="AD1435">
            <v>104.84373160816662</v>
          </cell>
          <cell r="AE1435">
            <v>107.12818328126694</v>
          </cell>
          <cell r="AF1435">
            <v>110.33644877028625</v>
          </cell>
          <cell r="AG1435">
            <v>115.2440143902916</v>
          </cell>
          <cell r="AH1435">
            <v>124.17246204262884</v>
          </cell>
        </row>
        <row r="1436">
          <cell r="AD1436">
            <v>104.85404316279404</v>
          </cell>
          <cell r="AE1436">
            <v>107.13799650324266</v>
          </cell>
          <cell r="AF1436">
            <v>110.34613972911102</v>
          </cell>
          <cell r="AG1436">
            <v>115.25382218321143</v>
          </cell>
          <cell r="AH1436">
            <v>124.18308853209183</v>
          </cell>
        </row>
        <row r="1437">
          <cell r="AD1437">
            <v>104.86435471742145</v>
          </cell>
          <cell r="AE1437">
            <v>107.14780972521838</v>
          </cell>
          <cell r="AF1437">
            <v>110.35583068793576</v>
          </cell>
          <cell r="AG1437">
            <v>115.26362997613127</v>
          </cell>
          <cell r="AH1437">
            <v>124.19371502155482</v>
          </cell>
        </row>
        <row r="1438">
          <cell r="AD1438">
            <v>104.87466627204886</v>
          </cell>
          <cell r="AE1438">
            <v>107.15762294719408</v>
          </cell>
          <cell r="AF1438">
            <v>110.36552164676053</v>
          </cell>
          <cell r="AG1438">
            <v>115.2734377690511</v>
          </cell>
          <cell r="AH1438">
            <v>124.20434151101782</v>
          </cell>
        </row>
        <row r="1439">
          <cell r="AD1439">
            <v>104.88497782667626</v>
          </cell>
          <cell r="AE1439">
            <v>107.1674361691698</v>
          </cell>
          <cell r="AF1439">
            <v>110.37521260558529</v>
          </cell>
          <cell r="AG1439">
            <v>115.28324556197094</v>
          </cell>
          <cell r="AH1439">
            <v>124.21496800048079</v>
          </cell>
        </row>
        <row r="1440">
          <cell r="AD1440">
            <v>104.89528938130368</v>
          </cell>
          <cell r="AE1440">
            <v>107.17724939114552</v>
          </cell>
          <cell r="AF1440">
            <v>110.38490356441005</v>
          </cell>
          <cell r="AG1440">
            <v>115.29305335489077</v>
          </cell>
          <cell r="AH1440">
            <v>124.22559448994379</v>
          </cell>
        </row>
        <row r="1441">
          <cell r="AD1441">
            <v>104.90560093593109</v>
          </cell>
          <cell r="AE1441">
            <v>107.18706261312124</v>
          </cell>
          <cell r="AF1441">
            <v>110.39459452323482</v>
          </cell>
          <cell r="AG1441">
            <v>115.30286114781062</v>
          </cell>
          <cell r="AH1441">
            <v>124.23622097940678</v>
          </cell>
        </row>
        <row r="1442">
          <cell r="AD1442">
            <v>104.9159124905585</v>
          </cell>
          <cell r="AE1442">
            <v>107.19687583509695</v>
          </cell>
          <cell r="AF1442">
            <v>110.40428548205956</v>
          </cell>
          <cell r="AG1442">
            <v>115.31266894073046</v>
          </cell>
          <cell r="AH1442">
            <v>124.24684746886977</v>
          </cell>
        </row>
        <row r="1443">
          <cell r="AD1443">
            <v>104.92622404518592</v>
          </cell>
          <cell r="AE1443">
            <v>107.20668905707267</v>
          </cell>
          <cell r="AF1443">
            <v>110.41397644088433</v>
          </cell>
          <cell r="AG1443">
            <v>115.32247673365029</v>
          </cell>
          <cell r="AH1443">
            <v>124.25747395833275</v>
          </cell>
        </row>
        <row r="1444">
          <cell r="AD1444">
            <v>104.93653559981333</v>
          </cell>
          <cell r="AE1444">
            <v>107.21650227904838</v>
          </cell>
          <cell r="AF1444">
            <v>110.42366739970909</v>
          </cell>
          <cell r="AG1444">
            <v>115.33228452657013</v>
          </cell>
          <cell r="AH1444">
            <v>124.26810044779575</v>
          </cell>
        </row>
        <row r="1445">
          <cell r="AD1445">
            <v>104.94684715444073</v>
          </cell>
          <cell r="AE1445">
            <v>107.22631550102409</v>
          </cell>
          <cell r="AF1445">
            <v>110.43335835853385</v>
          </cell>
          <cell r="AG1445">
            <v>115.34209231948996</v>
          </cell>
          <cell r="AH1445">
            <v>124.27872693725874</v>
          </cell>
        </row>
        <row r="1446">
          <cell r="AD1446">
            <v>104.95715870906814</v>
          </cell>
          <cell r="AE1446">
            <v>107.23612872299981</v>
          </cell>
          <cell r="AF1446">
            <v>110.44304931735861</v>
          </cell>
          <cell r="AG1446">
            <v>115.35190011240981</v>
          </cell>
          <cell r="AH1446">
            <v>124.28935342672172</v>
          </cell>
        </row>
        <row r="1447">
          <cell r="AD1447">
            <v>104.96747026369556</v>
          </cell>
          <cell r="AE1447">
            <v>107.24594194497553</v>
          </cell>
          <cell r="AF1447">
            <v>110.45274027618336</v>
          </cell>
          <cell r="AG1447">
            <v>115.36170790532964</v>
          </cell>
          <cell r="AH1447">
            <v>124.29997991618471</v>
          </cell>
        </row>
        <row r="1448">
          <cell r="AD1448">
            <v>104.97778181832297</v>
          </cell>
          <cell r="AE1448">
            <v>107.25575516695123</v>
          </cell>
          <cell r="AF1448">
            <v>110.46243123500813</v>
          </cell>
          <cell r="AG1448">
            <v>115.37151569824948</v>
          </cell>
          <cell r="AH1448">
            <v>124.3106064056477</v>
          </cell>
        </row>
        <row r="1449">
          <cell r="AD1449">
            <v>104.98809337295037</v>
          </cell>
          <cell r="AE1449">
            <v>107.26556838892695</v>
          </cell>
          <cell r="AF1449">
            <v>110.47212219383289</v>
          </cell>
          <cell r="AG1449">
            <v>115.38132349116933</v>
          </cell>
          <cell r="AH1449">
            <v>124.3212328951107</v>
          </cell>
        </row>
        <row r="1450">
          <cell r="AD1450">
            <v>104.99840492757778</v>
          </cell>
          <cell r="AE1450">
            <v>107.27538161090267</v>
          </cell>
          <cell r="AF1450">
            <v>110.48181315265765</v>
          </cell>
          <cell r="AG1450">
            <v>115.39113128408916</v>
          </cell>
          <cell r="AH1450">
            <v>124.33185938457368</v>
          </cell>
        </row>
        <row r="1451">
          <cell r="AD1451">
            <v>105.00813276546759</v>
          </cell>
          <cell r="AE1451">
            <v>107.28519483287839</v>
          </cell>
          <cell r="AF1451">
            <v>110.49150411148241</v>
          </cell>
          <cell r="AG1451">
            <v>115.400939077009</v>
          </cell>
          <cell r="AH1451">
            <v>124.34248587403667</v>
          </cell>
        </row>
        <row r="1452">
          <cell r="AD1452">
            <v>105.01775378612901</v>
          </cell>
          <cell r="AE1452">
            <v>107.29500805485409</v>
          </cell>
          <cell r="AF1452">
            <v>110.50119507030716</v>
          </cell>
          <cell r="AG1452">
            <v>115.41074686992883</v>
          </cell>
          <cell r="AH1452">
            <v>124.35311236349966</v>
          </cell>
        </row>
        <row r="1453">
          <cell r="AD1453">
            <v>105.02737480679041</v>
          </cell>
          <cell r="AE1453">
            <v>107.30482127682981</v>
          </cell>
          <cell r="AF1453">
            <v>110.51088602913192</v>
          </cell>
          <cell r="AG1453">
            <v>115.42055466284867</v>
          </cell>
          <cell r="AH1453">
            <v>124.36373885296265</v>
          </cell>
        </row>
        <row r="1454">
          <cell r="AD1454">
            <v>105.03699582745182</v>
          </cell>
          <cell r="AE1454">
            <v>107.31463449880553</v>
          </cell>
          <cell r="AF1454">
            <v>110.52057698795669</v>
          </cell>
          <cell r="AG1454">
            <v>115.4303624557685</v>
          </cell>
          <cell r="AH1454">
            <v>124.37436534242563</v>
          </cell>
        </row>
        <row r="1455">
          <cell r="AD1455">
            <v>105.04661684811323</v>
          </cell>
          <cell r="AE1455">
            <v>107.32444772078124</v>
          </cell>
          <cell r="AF1455">
            <v>110.53026794678145</v>
          </cell>
          <cell r="AG1455">
            <v>115.44017024868835</v>
          </cell>
          <cell r="AH1455">
            <v>124.38499183188863</v>
          </cell>
        </row>
        <row r="1456">
          <cell r="AD1456">
            <v>105.05623786877463</v>
          </cell>
          <cell r="AE1456">
            <v>107.33426094275696</v>
          </cell>
          <cell r="AF1456">
            <v>110.53995890560621</v>
          </cell>
          <cell r="AG1456">
            <v>115.44997804160819</v>
          </cell>
          <cell r="AH1456">
            <v>124.39561832135162</v>
          </cell>
        </row>
        <row r="1457">
          <cell r="AD1457">
            <v>105.06585888943604</v>
          </cell>
          <cell r="AE1457">
            <v>107.34407416473267</v>
          </cell>
          <cell r="AF1457">
            <v>110.54964986443096</v>
          </cell>
          <cell r="AG1457">
            <v>115.45978583452802</v>
          </cell>
          <cell r="AH1457">
            <v>124.40624481081461</v>
          </cell>
        </row>
        <row r="1458">
          <cell r="AD1458">
            <v>105.07547991009746</v>
          </cell>
          <cell r="AE1458">
            <v>107.35388738670838</v>
          </cell>
          <cell r="AF1458">
            <v>110.55934082325572</v>
          </cell>
          <cell r="AG1458">
            <v>115.46959362744786</v>
          </cell>
          <cell r="AH1458">
            <v>124.41687130027759</v>
          </cell>
        </row>
        <row r="1459">
          <cell r="AD1459">
            <v>105.08510093075886</v>
          </cell>
          <cell r="AE1459">
            <v>107.3637006086841</v>
          </cell>
          <cell r="AF1459">
            <v>110.56903178208049</v>
          </cell>
          <cell r="AG1459">
            <v>115.47940142036769</v>
          </cell>
          <cell r="AH1459">
            <v>124.42749778974058</v>
          </cell>
        </row>
        <row r="1460">
          <cell r="AD1460">
            <v>105.09472195142027</v>
          </cell>
          <cell r="AE1460">
            <v>107.37351383065982</v>
          </cell>
          <cell r="AF1460">
            <v>110.57872274090525</v>
          </cell>
          <cell r="AG1460">
            <v>115.48920921328754</v>
          </cell>
          <cell r="AH1460">
            <v>124.43812427920358</v>
          </cell>
        </row>
        <row r="1461">
          <cell r="AD1461">
            <v>105.10434297208168</v>
          </cell>
          <cell r="AE1461">
            <v>107.38332705263554</v>
          </cell>
          <cell r="AF1461">
            <v>110.58841369973001</v>
          </cell>
          <cell r="AG1461">
            <v>115.49901700620737</v>
          </cell>
          <cell r="AH1461">
            <v>124.44875076866657</v>
          </cell>
        </row>
        <row r="1462">
          <cell r="AD1462">
            <v>105.11396399274308</v>
          </cell>
          <cell r="AE1462">
            <v>107.39314027461124</v>
          </cell>
          <cell r="AF1462">
            <v>110.59810465855476</v>
          </cell>
          <cell r="AG1462">
            <v>115.50882479912721</v>
          </cell>
          <cell r="AH1462">
            <v>124.45937725812955</v>
          </cell>
        </row>
        <row r="1463">
          <cell r="AD1463">
            <v>105.12358501340449</v>
          </cell>
          <cell r="AE1463">
            <v>107.40295349658696</v>
          </cell>
          <cell r="AF1463">
            <v>110.60779561737952</v>
          </cell>
          <cell r="AG1463">
            <v>115.51863259204706</v>
          </cell>
          <cell r="AH1463">
            <v>124.47000374759254</v>
          </cell>
        </row>
        <row r="1464">
          <cell r="AD1464">
            <v>105.13320603406591</v>
          </cell>
          <cell r="AE1464">
            <v>107.41276671856268</v>
          </cell>
          <cell r="AF1464">
            <v>110.61748657620429</v>
          </cell>
          <cell r="AG1464">
            <v>115.52844038496688</v>
          </cell>
          <cell r="AH1464">
            <v>124.48063023705554</v>
          </cell>
        </row>
        <row r="1465">
          <cell r="AD1465">
            <v>105.14282705472731</v>
          </cell>
          <cell r="AE1465">
            <v>107.42257994053838</v>
          </cell>
          <cell r="AF1465">
            <v>110.62717753502905</v>
          </cell>
          <cell r="AG1465">
            <v>115.53824817788673</v>
          </cell>
          <cell r="AH1465">
            <v>124.49125672651853</v>
          </cell>
        </row>
        <row r="1466">
          <cell r="AD1466">
            <v>105.15244807538872</v>
          </cell>
          <cell r="AE1466">
            <v>107.4323931625141</v>
          </cell>
          <cell r="AF1466">
            <v>110.63686849385381</v>
          </cell>
          <cell r="AG1466">
            <v>115.54805597080656</v>
          </cell>
          <cell r="AH1466">
            <v>124.50188321598151</v>
          </cell>
        </row>
        <row r="1467">
          <cell r="AD1467">
            <v>105.16206909605013</v>
          </cell>
          <cell r="AE1467">
            <v>107.44220638448982</v>
          </cell>
          <cell r="AF1467">
            <v>110.64655945267856</v>
          </cell>
          <cell r="AG1467">
            <v>115.5578637637264</v>
          </cell>
          <cell r="AH1467">
            <v>124.5125097054445</v>
          </cell>
        </row>
        <row r="1468">
          <cell r="AD1468">
            <v>105.17169011671153</v>
          </cell>
          <cell r="AE1468">
            <v>107.45201960646553</v>
          </cell>
          <cell r="AF1468">
            <v>110.65625041150332</v>
          </cell>
          <cell r="AG1468">
            <v>115.56767155664623</v>
          </cell>
          <cell r="AH1468">
            <v>124.52313619490749</v>
          </cell>
        </row>
        <row r="1469">
          <cell r="AD1469">
            <v>105.18131113737294</v>
          </cell>
          <cell r="AE1469">
            <v>107.46183282844125</v>
          </cell>
          <cell r="AF1469">
            <v>110.66594137032808</v>
          </cell>
          <cell r="AG1469">
            <v>115.57747934956608</v>
          </cell>
          <cell r="AH1469">
            <v>124.53376268437049</v>
          </cell>
        </row>
        <row r="1470">
          <cell r="AD1470">
            <v>105.19093215803436</v>
          </cell>
          <cell r="AE1470">
            <v>107.47164605041696</v>
          </cell>
          <cell r="AF1470">
            <v>110.67563232915285</v>
          </cell>
          <cell r="AG1470">
            <v>115.58728714248592</v>
          </cell>
          <cell r="AH1470">
            <v>124.54438917383347</v>
          </cell>
        </row>
        <row r="1471">
          <cell r="AD1471">
            <v>105.20055317869576</v>
          </cell>
          <cell r="AE1471">
            <v>107.48145927239268</v>
          </cell>
          <cell r="AF1471">
            <v>110.68532328797761</v>
          </cell>
          <cell r="AG1471">
            <v>115.59709493540575</v>
          </cell>
          <cell r="AH1471">
            <v>124.55501566329646</v>
          </cell>
        </row>
        <row r="1472">
          <cell r="AD1472">
            <v>105.21017419935717</v>
          </cell>
          <cell r="AE1472">
            <v>107.49127249436839</v>
          </cell>
          <cell r="AF1472">
            <v>110.69501424680236</v>
          </cell>
          <cell r="AG1472">
            <v>115.60690272832559</v>
          </cell>
          <cell r="AH1472">
            <v>124.56564215275945</v>
          </cell>
        </row>
        <row r="1473">
          <cell r="AD1473">
            <v>105.21979522001858</v>
          </cell>
          <cell r="AE1473">
            <v>107.50108571634411</v>
          </cell>
          <cell r="AF1473">
            <v>110.70470520562712</v>
          </cell>
          <cell r="AG1473">
            <v>115.61671052124542</v>
          </cell>
          <cell r="AH1473">
            <v>124.57626864222244</v>
          </cell>
        </row>
        <row r="1474">
          <cell r="AD1474">
            <v>105.22941624067998</v>
          </cell>
          <cell r="AE1474">
            <v>107.51089893831983</v>
          </cell>
          <cell r="AF1474">
            <v>110.71439616445188</v>
          </cell>
          <cell r="AG1474">
            <v>115.62651831416527</v>
          </cell>
          <cell r="AH1474">
            <v>124.58689513168542</v>
          </cell>
        </row>
        <row r="1475">
          <cell r="AD1475">
            <v>105.23903726134139</v>
          </cell>
          <cell r="AE1475">
            <v>107.52071216029553</v>
          </cell>
          <cell r="AF1475">
            <v>110.72408712327665</v>
          </cell>
          <cell r="AG1475">
            <v>115.6363261070851</v>
          </cell>
          <cell r="AH1475">
            <v>124.59752162114842</v>
          </cell>
        </row>
        <row r="1476">
          <cell r="AD1476">
            <v>105.24865828200281</v>
          </cell>
          <cell r="AE1476">
            <v>107.53052538227125</v>
          </cell>
          <cell r="AF1476">
            <v>110.73377808210141</v>
          </cell>
          <cell r="AG1476">
            <v>115.64613390000494</v>
          </cell>
          <cell r="AH1476">
            <v>124.60814811061141</v>
          </cell>
        </row>
        <row r="1477">
          <cell r="AD1477">
            <v>105.25827930266421</v>
          </cell>
          <cell r="AE1477">
            <v>107.54033860424697</v>
          </cell>
          <cell r="AF1477">
            <v>110.74346904092616</v>
          </cell>
          <cell r="AG1477">
            <v>115.65594169292478</v>
          </cell>
          <cell r="AH1477">
            <v>124.6187746000744</v>
          </cell>
        </row>
        <row r="1478">
          <cell r="AD1478">
            <v>105.26790032332562</v>
          </cell>
          <cell r="AE1478">
            <v>107.55015182622267</v>
          </cell>
          <cell r="AF1478">
            <v>110.75315999975092</v>
          </cell>
          <cell r="AG1478">
            <v>115.66574948584461</v>
          </cell>
          <cell r="AH1478">
            <v>124.62940108953738</v>
          </cell>
        </row>
        <row r="1479">
          <cell r="AD1479">
            <v>105.27752134398703</v>
          </cell>
          <cell r="AE1479">
            <v>107.55996504819839</v>
          </cell>
          <cell r="AF1479">
            <v>110.76285095857568</v>
          </cell>
          <cell r="AG1479">
            <v>115.67555727876446</v>
          </cell>
          <cell r="AH1479">
            <v>124.64002757900037</v>
          </cell>
        </row>
        <row r="1480">
          <cell r="AD1480">
            <v>105.28714236464843</v>
          </cell>
          <cell r="AE1480">
            <v>107.56977827017411</v>
          </cell>
          <cell r="AF1480">
            <v>110.77254191740045</v>
          </cell>
          <cell r="AG1480">
            <v>115.68536507168429</v>
          </cell>
          <cell r="AH1480">
            <v>124.65065406846337</v>
          </cell>
        </row>
        <row r="1481">
          <cell r="AD1481">
            <v>105.29676338530984</v>
          </cell>
          <cell r="AE1481">
            <v>107.57959149214983</v>
          </cell>
          <cell r="AF1481">
            <v>110.78223287622521</v>
          </cell>
          <cell r="AG1481">
            <v>115.69517286460413</v>
          </cell>
          <cell r="AH1481">
            <v>124.66128055792636</v>
          </cell>
        </row>
        <row r="1482">
          <cell r="AD1482">
            <v>105.30638440597126</v>
          </cell>
          <cell r="AE1482">
            <v>107.58940471412554</v>
          </cell>
          <cell r="AF1482">
            <v>110.79192383504996</v>
          </cell>
          <cell r="AG1482">
            <v>115.70498065752396</v>
          </cell>
          <cell r="AH1482">
            <v>124.67190704738934</v>
          </cell>
        </row>
        <row r="1483">
          <cell r="AD1483">
            <v>105.31600542663266</v>
          </cell>
          <cell r="AE1483">
            <v>107.59921793610125</v>
          </cell>
          <cell r="AF1483">
            <v>110.80161479387472</v>
          </cell>
          <cell r="AG1483">
            <v>115.71478845044381</v>
          </cell>
          <cell r="AH1483">
            <v>124.68253353685233</v>
          </cell>
        </row>
        <row r="1484">
          <cell r="AD1484">
            <v>105.32562644729407</v>
          </cell>
          <cell r="AE1484">
            <v>107.60903115807697</v>
          </cell>
          <cell r="AF1484">
            <v>110.81130575269948</v>
          </cell>
          <cell r="AG1484">
            <v>115.72459624336365</v>
          </cell>
          <cell r="AH1484">
            <v>124.69316002631533</v>
          </cell>
        </row>
        <row r="1485">
          <cell r="AD1485">
            <v>105.33524746795548</v>
          </cell>
          <cell r="AE1485">
            <v>107.61884438005268</v>
          </cell>
          <cell r="AF1485">
            <v>110.82099671152424</v>
          </cell>
          <cell r="AG1485">
            <v>115.73440403628348</v>
          </cell>
          <cell r="AH1485">
            <v>124.70378651577832</v>
          </cell>
        </row>
        <row r="1486">
          <cell r="AD1486">
            <v>105.34486848861688</v>
          </cell>
          <cell r="AE1486">
            <v>107.6286576020284</v>
          </cell>
          <cell r="AF1486">
            <v>110.83068767034901</v>
          </cell>
          <cell r="AG1486">
            <v>115.74421182920332</v>
          </cell>
          <cell r="AH1486">
            <v>124.7144130052413</v>
          </cell>
        </row>
        <row r="1487">
          <cell r="AD1487">
            <v>105.3544895092783</v>
          </cell>
          <cell r="AE1487">
            <v>107.63847082400412</v>
          </cell>
          <cell r="AF1487">
            <v>110.84037862917376</v>
          </cell>
          <cell r="AG1487">
            <v>115.75401962212315</v>
          </cell>
          <cell r="AH1487">
            <v>124.72503949470429</v>
          </cell>
        </row>
        <row r="1488">
          <cell r="AD1488">
            <v>105.36411052993971</v>
          </cell>
          <cell r="AE1488">
            <v>107.64828404597982</v>
          </cell>
          <cell r="AF1488">
            <v>110.85006958799852</v>
          </cell>
          <cell r="AG1488">
            <v>115.763827415043</v>
          </cell>
          <cell r="AH1488">
            <v>124.73566598416728</v>
          </cell>
        </row>
        <row r="1489">
          <cell r="AD1489">
            <v>105.37373155060111</v>
          </cell>
          <cell r="AE1489">
            <v>107.65809726795554</v>
          </cell>
          <cell r="AF1489">
            <v>110.85976054682328</v>
          </cell>
          <cell r="AG1489">
            <v>115.77363520796283</v>
          </cell>
          <cell r="AH1489">
            <v>124.74629247363026</v>
          </cell>
        </row>
        <row r="1490">
          <cell r="AD1490">
            <v>105.38335257126252</v>
          </cell>
          <cell r="AE1490">
            <v>107.66791048993126</v>
          </cell>
          <cell r="AF1490">
            <v>110.86945150564804</v>
          </cell>
          <cell r="AG1490">
            <v>115.78344300088267</v>
          </cell>
          <cell r="AH1490">
            <v>124.75691896309326</v>
          </cell>
        </row>
        <row r="1491">
          <cell r="AD1491">
            <v>105.39297359192393</v>
          </cell>
          <cell r="AE1491">
            <v>107.67772371190696</v>
          </cell>
          <cell r="AF1491">
            <v>110.87914246447281</v>
          </cell>
          <cell r="AG1491">
            <v>115.79325079380251</v>
          </cell>
          <cell r="AH1491">
            <v>124.76754545255625</v>
          </cell>
        </row>
        <row r="1492">
          <cell r="AD1492">
            <v>105.40259461258533</v>
          </cell>
          <cell r="AE1492">
            <v>107.68753693388268</v>
          </cell>
          <cell r="AF1492">
            <v>110.88883342329756</v>
          </cell>
          <cell r="AG1492">
            <v>115.80305858672234</v>
          </cell>
          <cell r="AH1492">
            <v>124.77817194201924</v>
          </cell>
        </row>
        <row r="1493">
          <cell r="AD1493">
            <v>105.41221563324675</v>
          </cell>
          <cell r="AE1493">
            <v>107.6973501558584</v>
          </cell>
          <cell r="AF1493">
            <v>110.89852438212232</v>
          </cell>
          <cell r="AG1493">
            <v>115.81286637964219</v>
          </cell>
          <cell r="AH1493">
            <v>124.78879843148222</v>
          </cell>
        </row>
        <row r="1494">
          <cell r="AD1494">
            <v>105.42183665390816</v>
          </cell>
          <cell r="AE1494">
            <v>107.70716337783412</v>
          </cell>
          <cell r="AF1494">
            <v>110.90821534094708</v>
          </cell>
          <cell r="AG1494">
            <v>115.82267417256202</v>
          </cell>
          <cell r="AH1494">
            <v>124.79942492094521</v>
          </cell>
        </row>
        <row r="1495">
          <cell r="AD1495">
            <v>105.43145767456956</v>
          </cell>
          <cell r="AE1495">
            <v>107.71697659980983</v>
          </cell>
          <cell r="AF1495">
            <v>110.91790629977184</v>
          </cell>
          <cell r="AG1495">
            <v>115.83248196548186</v>
          </cell>
          <cell r="AH1495">
            <v>124.81005141040821</v>
          </cell>
        </row>
        <row r="1496">
          <cell r="AD1496">
            <v>105.44107869523097</v>
          </cell>
          <cell r="AE1496">
            <v>107.72678982178554</v>
          </cell>
          <cell r="AF1496">
            <v>110.92759725859661</v>
          </cell>
          <cell r="AG1496">
            <v>115.84228975840169</v>
          </cell>
          <cell r="AH1496">
            <v>124.8206778998712</v>
          </cell>
        </row>
        <row r="1497">
          <cell r="AD1497">
            <v>105.45069971589238</v>
          </cell>
          <cell r="AE1497">
            <v>107.73660304376126</v>
          </cell>
          <cell r="AF1497">
            <v>110.93728821742135</v>
          </cell>
          <cell r="AG1497">
            <v>115.85209755132153</v>
          </cell>
          <cell r="AH1497">
            <v>124.83130438933418</v>
          </cell>
        </row>
        <row r="1498">
          <cell r="AD1498">
            <v>105.46032073655378</v>
          </cell>
          <cell r="AE1498">
            <v>107.74641626573697</v>
          </cell>
          <cell r="AF1498">
            <v>110.94697917624612</v>
          </cell>
          <cell r="AG1498">
            <v>115.86190534424136</v>
          </cell>
          <cell r="AH1498">
            <v>124.84193087879717</v>
          </cell>
        </row>
        <row r="1499">
          <cell r="AD1499">
            <v>105.4699417572152</v>
          </cell>
          <cell r="AE1499">
            <v>107.75622948771269</v>
          </cell>
          <cell r="AF1499">
            <v>110.95667013507088</v>
          </cell>
          <cell r="AG1499">
            <v>115.87171313716121</v>
          </cell>
          <cell r="AH1499">
            <v>124.85255736826016</v>
          </cell>
        </row>
        <row r="1500">
          <cell r="AD1500">
            <v>105.47956277787661</v>
          </cell>
          <cell r="AE1500">
            <v>107.76604270968841</v>
          </cell>
          <cell r="AF1500">
            <v>110.96636109389564</v>
          </cell>
          <cell r="AG1500">
            <v>115.88152093008105</v>
          </cell>
          <cell r="AH1500">
            <v>124.86318385772316</v>
          </cell>
        </row>
        <row r="1501">
          <cell r="AD1501">
            <v>105.48918379853801</v>
          </cell>
          <cell r="AE1501">
            <v>107.77585593166411</v>
          </cell>
          <cell r="AF1501">
            <v>110.97605205272041</v>
          </cell>
          <cell r="AG1501">
            <v>115.89132872300088</v>
          </cell>
          <cell r="AH1501">
            <v>124.87381034718614</v>
          </cell>
        </row>
        <row r="1502">
          <cell r="AD1502">
            <v>105.49880481919942</v>
          </cell>
          <cell r="AE1502">
            <v>107.78566915363983</v>
          </cell>
          <cell r="AF1502">
            <v>110.98574301154517</v>
          </cell>
          <cell r="AG1502">
            <v>115.90113651592073</v>
          </cell>
          <cell r="AH1502">
            <v>124.88443683664913</v>
          </cell>
        </row>
        <row r="1503">
          <cell r="AD1503">
            <v>105.50842583986083</v>
          </cell>
          <cell r="AE1503">
            <v>107.79548237561555</v>
          </cell>
          <cell r="AF1503">
            <v>110.99543397036992</v>
          </cell>
          <cell r="AG1503">
            <v>115.91094430884056</v>
          </cell>
          <cell r="AH1503">
            <v>124.89506332611212</v>
          </cell>
        </row>
        <row r="1504">
          <cell r="AD1504">
            <v>105.51804686052223</v>
          </cell>
          <cell r="AE1504">
            <v>107.80529559759127</v>
          </cell>
          <cell r="AF1504">
            <v>111.00485532179441</v>
          </cell>
          <cell r="AG1504">
            <v>115.9207521017604</v>
          </cell>
          <cell r="AH1504">
            <v>124.90568981557512</v>
          </cell>
        </row>
        <row r="1505">
          <cell r="AD1505">
            <v>105.52766788118365</v>
          </cell>
          <cell r="AE1505">
            <v>107.81510881956697</v>
          </cell>
          <cell r="AF1505">
            <v>111.0140364678753</v>
          </cell>
          <cell r="AG1505">
            <v>115.93055989468023</v>
          </cell>
          <cell r="AH1505">
            <v>124.91631630503809</v>
          </cell>
        </row>
        <row r="1506">
          <cell r="AD1506">
            <v>105.53728890184506</v>
          </cell>
          <cell r="AE1506">
            <v>107.82492204154269</v>
          </cell>
          <cell r="AF1506">
            <v>111.02321761395619</v>
          </cell>
          <cell r="AG1506">
            <v>115.94036768760007</v>
          </cell>
          <cell r="AH1506">
            <v>124.92694279450109</v>
          </cell>
        </row>
        <row r="1507">
          <cell r="AD1507">
            <v>105.54690992250646</v>
          </cell>
          <cell r="AE1507">
            <v>107.83473526351841</v>
          </cell>
          <cell r="AF1507">
            <v>111.03239876003708</v>
          </cell>
          <cell r="AG1507">
            <v>115.95017548051992</v>
          </cell>
          <cell r="AH1507">
            <v>124.93756928396408</v>
          </cell>
        </row>
        <row r="1508">
          <cell r="AD1508">
            <v>105.55653094316787</v>
          </cell>
          <cell r="AE1508">
            <v>107.84454848549412</v>
          </cell>
          <cell r="AF1508">
            <v>111.04157990611797</v>
          </cell>
          <cell r="AG1508">
            <v>115.95998327343975</v>
          </cell>
          <cell r="AH1508">
            <v>124.94819577342707</v>
          </cell>
        </row>
        <row r="1509">
          <cell r="AD1509">
            <v>105.56615196382928</v>
          </cell>
          <cell r="AE1509">
            <v>107.85436170746983</v>
          </cell>
          <cell r="AF1509">
            <v>111.05076105219887</v>
          </cell>
          <cell r="AG1509">
            <v>115.96979106635959</v>
          </cell>
          <cell r="AH1509">
            <v>124.95882226289005</v>
          </cell>
        </row>
        <row r="1510">
          <cell r="AD1510">
            <v>105.57577298449068</v>
          </cell>
          <cell r="AE1510">
            <v>107.86417492944555</v>
          </cell>
          <cell r="AF1510">
            <v>111.05994219827976</v>
          </cell>
          <cell r="AG1510">
            <v>115.97959885927942</v>
          </cell>
          <cell r="AH1510">
            <v>124.96944875235305</v>
          </cell>
        </row>
        <row r="1511">
          <cell r="AD1511">
            <v>105.5853940051521</v>
          </cell>
          <cell r="AE1511">
            <v>107.87398815142126</v>
          </cell>
          <cell r="AF1511">
            <v>111.06912334436065</v>
          </cell>
          <cell r="AG1511">
            <v>115.98940665219926</v>
          </cell>
          <cell r="AH1511">
            <v>124.98007524181604</v>
          </cell>
        </row>
        <row r="1512">
          <cell r="AD1512">
            <v>105.59501502581351</v>
          </cell>
          <cell r="AE1512">
            <v>107.88380137339698</v>
          </cell>
          <cell r="AF1512">
            <v>111.07830449044154</v>
          </cell>
          <cell r="AG1512">
            <v>115.99921444511909</v>
          </cell>
          <cell r="AH1512">
            <v>124.99070173127903</v>
          </cell>
        </row>
        <row r="1513">
          <cell r="AD1513">
            <v>105.60463604647491</v>
          </cell>
          <cell r="AE1513">
            <v>107.8936145953727</v>
          </cell>
          <cell r="AF1513">
            <v>111.08748563652243</v>
          </cell>
          <cell r="AG1513">
            <v>116.00843856634077</v>
          </cell>
          <cell r="AH1513">
            <v>125.00124595175376</v>
          </cell>
        </row>
        <row r="1514">
          <cell r="AD1514">
            <v>105.61425706713632</v>
          </cell>
          <cell r="AE1514">
            <v>107.90342781734842</v>
          </cell>
          <cell r="AF1514">
            <v>111.09666678260332</v>
          </cell>
          <cell r="AG1514">
            <v>116.01761186800421</v>
          </cell>
          <cell r="AH1514">
            <v>125.01121424449593</v>
          </cell>
        </row>
        <row r="1515">
          <cell r="AD1515">
            <v>105.62387808779773</v>
          </cell>
          <cell r="AE1515">
            <v>107.91324103932412</v>
          </cell>
          <cell r="AF1515">
            <v>111.1058479286842</v>
          </cell>
          <cell r="AG1515">
            <v>116.02678516966765</v>
          </cell>
          <cell r="AH1515">
            <v>125.02118253723812</v>
          </cell>
        </row>
        <row r="1516">
          <cell r="AD1516">
            <v>105.63349910845913</v>
          </cell>
          <cell r="AE1516">
            <v>107.92305426129984</v>
          </cell>
          <cell r="AF1516">
            <v>111.11502907476509</v>
          </cell>
          <cell r="AG1516">
            <v>116.0359584713311</v>
          </cell>
          <cell r="AH1516">
            <v>125.03115082998031</v>
          </cell>
        </row>
        <row r="1517">
          <cell r="AD1517">
            <v>105.64312012912055</v>
          </cell>
          <cell r="AE1517">
            <v>107.93286748327556</v>
          </cell>
          <cell r="AF1517">
            <v>111.12421022084598</v>
          </cell>
          <cell r="AG1517">
            <v>116.04513177299454</v>
          </cell>
          <cell r="AH1517">
            <v>125.04111912272249</v>
          </cell>
        </row>
        <row r="1518">
          <cell r="AD1518">
            <v>105.65274114978196</v>
          </cell>
          <cell r="AE1518">
            <v>107.94268070525126</v>
          </cell>
          <cell r="AF1518">
            <v>111.13339136692687</v>
          </cell>
          <cell r="AG1518">
            <v>116.05430507465799</v>
          </cell>
          <cell r="AH1518">
            <v>125.05108741546468</v>
          </cell>
        </row>
        <row r="1519">
          <cell r="AD1519">
            <v>105.66236217044336</v>
          </cell>
          <cell r="AE1519">
            <v>107.95249392722698</v>
          </cell>
          <cell r="AF1519">
            <v>111.14257251300776</v>
          </cell>
          <cell r="AG1519">
            <v>116.06347837632143</v>
          </cell>
          <cell r="AH1519">
            <v>125.06105570820687</v>
          </cell>
        </row>
        <row r="1520">
          <cell r="AD1520">
            <v>105.67198319110477</v>
          </cell>
          <cell r="AE1520">
            <v>107.9623071492027</v>
          </cell>
          <cell r="AF1520">
            <v>111.15175365908866</v>
          </cell>
          <cell r="AG1520">
            <v>116.07265167798487</v>
          </cell>
          <cell r="AH1520">
            <v>125.07102400094905</v>
          </cell>
        </row>
        <row r="1521">
          <cell r="AD1521">
            <v>105.68160421176619</v>
          </cell>
          <cell r="AE1521">
            <v>107.97212037117841</v>
          </cell>
          <cell r="AF1521">
            <v>111.16093480516955</v>
          </cell>
          <cell r="AG1521">
            <v>116.08182497964832</v>
          </cell>
          <cell r="AH1521">
            <v>125.08099229369124</v>
          </cell>
        </row>
        <row r="1522">
          <cell r="AD1522">
            <v>105.69122523242758</v>
          </cell>
          <cell r="AE1522">
            <v>107.98193359315412</v>
          </cell>
          <cell r="AF1522">
            <v>111.17011595125044</v>
          </cell>
          <cell r="AG1522">
            <v>116.09099828131176</v>
          </cell>
          <cell r="AH1522">
            <v>125.09096058643343</v>
          </cell>
        </row>
        <row r="1523">
          <cell r="AD1523">
            <v>105.700846253089</v>
          </cell>
          <cell r="AE1523">
            <v>107.99174681512984</v>
          </cell>
          <cell r="AF1523">
            <v>111.17929709733133</v>
          </cell>
          <cell r="AG1523">
            <v>116.10017158297519</v>
          </cell>
          <cell r="AH1523">
            <v>125.10092887917561</v>
          </cell>
        </row>
        <row r="1524">
          <cell r="AD1524">
            <v>105.71046727375041</v>
          </cell>
          <cell r="AE1524">
            <v>108.00153050384537</v>
          </cell>
          <cell r="AF1524">
            <v>111.18847824341222</v>
          </cell>
          <cell r="AG1524">
            <v>116.10934488463865</v>
          </cell>
          <cell r="AH1524">
            <v>125.1108971719178</v>
          </cell>
        </row>
        <row r="1525">
          <cell r="AD1525">
            <v>105.72008829441181</v>
          </cell>
          <cell r="AE1525">
            <v>108.01115795047198</v>
          </cell>
          <cell r="AF1525">
            <v>111.19765938949311</v>
          </cell>
          <cell r="AG1525">
            <v>116.11851818630208</v>
          </cell>
          <cell r="AH1525">
            <v>125.12086546465999</v>
          </cell>
        </row>
        <row r="1526">
          <cell r="AD1526">
            <v>105.72970931507322</v>
          </cell>
          <cell r="AE1526">
            <v>108.02078539709859</v>
          </cell>
          <cell r="AF1526">
            <v>111.206840535574</v>
          </cell>
          <cell r="AG1526">
            <v>116.12769148796552</v>
          </cell>
          <cell r="AH1526">
            <v>125.13083375740217</v>
          </cell>
        </row>
        <row r="1527">
          <cell r="AD1527">
            <v>105.73933033573464</v>
          </cell>
          <cell r="AE1527">
            <v>108.03041284372522</v>
          </cell>
          <cell r="AF1527">
            <v>111.21602168165489</v>
          </cell>
          <cell r="AG1527">
            <v>116.13686478962897</v>
          </cell>
          <cell r="AH1527">
            <v>125.14080205014436</v>
          </cell>
        </row>
        <row r="1528">
          <cell r="AD1528">
            <v>105.74895135639603</v>
          </cell>
          <cell r="AE1528">
            <v>108.04004029035183</v>
          </cell>
          <cell r="AF1528">
            <v>111.22520282773579</v>
          </cell>
          <cell r="AG1528">
            <v>116.14603809129241</v>
          </cell>
          <cell r="AH1528">
            <v>125.15077034288655</v>
          </cell>
        </row>
        <row r="1529">
          <cell r="AD1529">
            <v>105.75857237705745</v>
          </cell>
          <cell r="AE1529">
            <v>108.04966773697844</v>
          </cell>
          <cell r="AF1529">
            <v>111.23438397381668</v>
          </cell>
          <cell r="AG1529">
            <v>116.15521139295585</v>
          </cell>
          <cell r="AH1529">
            <v>125.16073863562873</v>
          </cell>
        </row>
        <row r="1530">
          <cell r="AD1530">
            <v>105.76819339771886</v>
          </cell>
          <cell r="AE1530">
            <v>108.05929518360504</v>
          </cell>
          <cell r="AF1530">
            <v>111.24356511989757</v>
          </cell>
          <cell r="AG1530">
            <v>116.1643846946193</v>
          </cell>
          <cell r="AH1530">
            <v>125.17070692837092</v>
          </cell>
        </row>
        <row r="1531">
          <cell r="AD1531">
            <v>105.77781441838026</v>
          </cell>
          <cell r="AE1531">
            <v>108.06892263023167</v>
          </cell>
          <cell r="AF1531">
            <v>111.25274626597846</v>
          </cell>
          <cell r="AG1531">
            <v>116.17355799628274</v>
          </cell>
          <cell r="AH1531">
            <v>125.18067522111309</v>
          </cell>
        </row>
        <row r="1532">
          <cell r="AD1532">
            <v>105.78743543904167</v>
          </cell>
          <cell r="AE1532">
            <v>108.07855007685828</v>
          </cell>
          <cell r="AF1532">
            <v>111.26192741205935</v>
          </cell>
          <cell r="AG1532">
            <v>116.18273129794618</v>
          </cell>
          <cell r="AH1532">
            <v>125.19064351385528</v>
          </cell>
        </row>
        <row r="1533">
          <cell r="AD1533">
            <v>105.79705645970309</v>
          </cell>
          <cell r="AE1533">
            <v>108.08817752348489</v>
          </cell>
          <cell r="AF1533">
            <v>111.27110855814023</v>
          </cell>
          <cell r="AG1533">
            <v>116.19190459960963</v>
          </cell>
          <cell r="AH1533">
            <v>125.20061180659746</v>
          </cell>
        </row>
        <row r="1534">
          <cell r="AD1534">
            <v>105.80667748036448</v>
          </cell>
          <cell r="AE1534">
            <v>108.09780497011151</v>
          </cell>
          <cell r="AF1534">
            <v>111.28028970422112</v>
          </cell>
          <cell r="AG1534">
            <v>116.20107790127307</v>
          </cell>
          <cell r="AH1534">
            <v>125.21058009933965</v>
          </cell>
        </row>
        <row r="1535">
          <cell r="AD1535">
            <v>105.8162985010259</v>
          </cell>
          <cell r="AE1535">
            <v>108.10743241673812</v>
          </cell>
          <cell r="AF1535">
            <v>111.28947085030201</v>
          </cell>
          <cell r="AG1535">
            <v>116.2102512029365</v>
          </cell>
          <cell r="AH1535">
            <v>125.22054839208184</v>
          </cell>
        </row>
        <row r="1536">
          <cell r="AD1536">
            <v>105.82591952168731</v>
          </cell>
          <cell r="AE1536">
            <v>108.11705986336473</v>
          </cell>
          <cell r="AF1536">
            <v>111.2986519963829</v>
          </cell>
          <cell r="AG1536">
            <v>116.21942450459996</v>
          </cell>
          <cell r="AH1536">
            <v>125.23051668482402</v>
          </cell>
        </row>
        <row r="1537">
          <cell r="AD1537">
            <v>105.83554054234871</v>
          </cell>
          <cell r="AE1537">
            <v>108.12668730999135</v>
          </cell>
          <cell r="AF1537">
            <v>111.30783314246379</v>
          </cell>
          <cell r="AG1537">
            <v>116.22859780626339</v>
          </cell>
          <cell r="AH1537">
            <v>125.24048497756621</v>
          </cell>
        </row>
        <row r="1538">
          <cell r="AD1538">
            <v>105.84516156301012</v>
          </cell>
          <cell r="AE1538">
            <v>108.13631475661796</v>
          </cell>
          <cell r="AF1538">
            <v>111.31701428854468</v>
          </cell>
          <cell r="AG1538">
            <v>116.23777110792685</v>
          </cell>
          <cell r="AH1538">
            <v>125.2504532703084</v>
          </cell>
        </row>
        <row r="1539">
          <cell r="AD1539">
            <v>105.85478258367154</v>
          </cell>
          <cell r="AE1539">
            <v>108.14594220324457</v>
          </cell>
          <cell r="AF1539">
            <v>111.32619543462557</v>
          </cell>
          <cell r="AG1539">
            <v>116.24694440959028</v>
          </cell>
          <cell r="AH1539">
            <v>125.26042156305058</v>
          </cell>
        </row>
        <row r="1540">
          <cell r="AD1540">
            <v>105.86440360433294</v>
          </cell>
          <cell r="AE1540">
            <v>108.1555696498712</v>
          </cell>
          <cell r="AF1540">
            <v>111.33537658070647</v>
          </cell>
          <cell r="AG1540">
            <v>116.25611771125372</v>
          </cell>
          <cell r="AH1540">
            <v>125.27038985579277</v>
          </cell>
        </row>
        <row r="1541">
          <cell r="AD1541">
            <v>105.87402462499435</v>
          </cell>
          <cell r="AE1541">
            <v>108.16519709649781</v>
          </cell>
          <cell r="AF1541">
            <v>111.34455772678736</v>
          </cell>
          <cell r="AG1541">
            <v>116.26529101291717</v>
          </cell>
          <cell r="AH1541">
            <v>125.28035814853496</v>
          </cell>
        </row>
        <row r="1542">
          <cell r="AD1542">
            <v>105.88364564565576</v>
          </cell>
          <cell r="AE1542">
            <v>108.17482454312442</v>
          </cell>
          <cell r="AF1542">
            <v>111.35373887286825</v>
          </cell>
          <cell r="AG1542">
            <v>116.27446431458061</v>
          </cell>
          <cell r="AH1542">
            <v>125.29032644127714</v>
          </cell>
        </row>
        <row r="1543">
          <cell r="AD1543">
            <v>105.89326666631716</v>
          </cell>
          <cell r="AE1543">
            <v>108.18445198975103</v>
          </cell>
          <cell r="AF1543">
            <v>111.36292001894914</v>
          </cell>
          <cell r="AG1543">
            <v>116.28363761624405</v>
          </cell>
          <cell r="AH1543">
            <v>125.30029473401933</v>
          </cell>
        </row>
        <row r="1544">
          <cell r="AD1544">
            <v>105.90288768697857</v>
          </cell>
          <cell r="AE1544">
            <v>108.19407943637765</v>
          </cell>
          <cell r="AF1544">
            <v>111.37210116503003</v>
          </cell>
          <cell r="AG1544">
            <v>116.2928109179075</v>
          </cell>
          <cell r="AH1544">
            <v>125.31026302676152</v>
          </cell>
        </row>
        <row r="1545">
          <cell r="AD1545">
            <v>105.91250870763999</v>
          </cell>
          <cell r="AE1545">
            <v>108.20370688300426</v>
          </cell>
          <cell r="AF1545">
            <v>111.38128231111092</v>
          </cell>
          <cell r="AG1545">
            <v>116.30198421957094</v>
          </cell>
          <cell r="AH1545">
            <v>125.3202313195037</v>
          </cell>
        </row>
        <row r="1546">
          <cell r="AD1546">
            <v>105.92212972830139</v>
          </cell>
          <cell r="AE1546">
            <v>108.21333432963087</v>
          </cell>
          <cell r="AF1546">
            <v>111.39046345719181</v>
          </cell>
          <cell r="AG1546">
            <v>116.31115752123438</v>
          </cell>
          <cell r="AH1546">
            <v>125.33019961224589</v>
          </cell>
        </row>
        <row r="1547">
          <cell r="AD1547">
            <v>105.9317507489628</v>
          </cell>
          <cell r="AE1547">
            <v>108.22296177625749</v>
          </cell>
          <cell r="AF1547">
            <v>111.39964460327271</v>
          </cell>
          <cell r="AG1547">
            <v>116.32033082289783</v>
          </cell>
          <cell r="AH1547">
            <v>125.34016790498808</v>
          </cell>
        </row>
        <row r="1548">
          <cell r="AD1548">
            <v>105.94137176962421</v>
          </cell>
          <cell r="AE1548">
            <v>108.2325892228841</v>
          </cell>
          <cell r="AF1548">
            <v>111.4088257493536</v>
          </cell>
          <cell r="AG1548">
            <v>116.32950412456127</v>
          </cell>
          <cell r="AH1548">
            <v>125.35013619773025</v>
          </cell>
        </row>
        <row r="1549">
          <cell r="AD1549">
            <v>105.95099279028561</v>
          </cell>
          <cell r="AE1549">
            <v>108.24221666951071</v>
          </cell>
          <cell r="AF1549">
            <v>111.41800689543449</v>
          </cell>
          <cell r="AG1549">
            <v>116.33867742622471</v>
          </cell>
          <cell r="AH1549">
            <v>125.36010449047244</v>
          </cell>
        </row>
        <row r="1550">
          <cell r="AD1550">
            <v>105.96061381094702</v>
          </cell>
          <cell r="AE1550">
            <v>108.25184411613733</v>
          </cell>
          <cell r="AF1550">
            <v>111.42718804151538</v>
          </cell>
          <cell r="AG1550">
            <v>116.34785072788816</v>
          </cell>
          <cell r="AH1550">
            <v>125.37007278321462</v>
          </cell>
        </row>
        <row r="1551">
          <cell r="AD1551">
            <v>105.97023483160844</v>
          </cell>
          <cell r="AE1551">
            <v>108.26147156276394</v>
          </cell>
          <cell r="AF1551">
            <v>111.43636918759627</v>
          </cell>
          <cell r="AG1551">
            <v>116.3570240295516</v>
          </cell>
          <cell r="AH1551">
            <v>125.38004107595681</v>
          </cell>
        </row>
        <row r="1552">
          <cell r="AD1552">
            <v>105.97985585226984</v>
          </cell>
          <cell r="AE1552">
            <v>108.27109900939055</v>
          </cell>
          <cell r="AF1552">
            <v>111.44555033367715</v>
          </cell>
          <cell r="AG1552">
            <v>116.36619733121503</v>
          </cell>
          <cell r="AH1552">
            <v>125.390009368699</v>
          </cell>
        </row>
        <row r="1553">
          <cell r="AD1553">
            <v>105.98947687293125</v>
          </cell>
          <cell r="AE1553">
            <v>108.28072645601716</v>
          </cell>
          <cell r="AF1553">
            <v>111.45473147975804</v>
          </cell>
          <cell r="AG1553">
            <v>116.37537063287849</v>
          </cell>
          <cell r="AH1553">
            <v>125.39997766144118</v>
          </cell>
        </row>
        <row r="1554">
          <cell r="AD1554">
            <v>105.99909789359266</v>
          </cell>
          <cell r="AE1554">
            <v>108.29035390264379</v>
          </cell>
          <cell r="AF1554">
            <v>111.46391262583893</v>
          </cell>
          <cell r="AG1554">
            <v>116.38454393454192</v>
          </cell>
          <cell r="AH1554">
            <v>125.40994595418337</v>
          </cell>
        </row>
        <row r="1555">
          <cell r="AD1555">
            <v>106.00813503464943</v>
          </cell>
          <cell r="AE1555">
            <v>108.2999813492704</v>
          </cell>
          <cell r="AF1555">
            <v>111.47309377191982</v>
          </cell>
          <cell r="AG1555">
            <v>116.39371723620536</v>
          </cell>
          <cell r="AH1555">
            <v>125.41991424692556</v>
          </cell>
        </row>
        <row r="1556">
          <cell r="AD1556">
            <v>106.01711176433878</v>
          </cell>
          <cell r="AE1556">
            <v>108.30960879589701</v>
          </cell>
          <cell r="AF1556">
            <v>111.48227491800071</v>
          </cell>
          <cell r="AG1556">
            <v>116.40289053786881</v>
          </cell>
          <cell r="AH1556">
            <v>125.42988253966774</v>
          </cell>
        </row>
        <row r="1557">
          <cell r="AD1557">
            <v>106.02608849402813</v>
          </cell>
          <cell r="AE1557">
            <v>108.31923624252363</v>
          </cell>
          <cell r="AF1557">
            <v>111.4914560640816</v>
          </cell>
          <cell r="AG1557">
            <v>116.41206383953225</v>
          </cell>
          <cell r="AH1557">
            <v>125.43985083240993</v>
          </cell>
        </row>
        <row r="1558">
          <cell r="AD1558">
            <v>106.03506522371748</v>
          </cell>
          <cell r="AE1558">
            <v>108.32886368915024</v>
          </cell>
          <cell r="AF1558">
            <v>111.50063721016249</v>
          </cell>
          <cell r="AG1558">
            <v>116.42123714119569</v>
          </cell>
          <cell r="AH1558">
            <v>125.44981912515212</v>
          </cell>
        </row>
        <row r="1559">
          <cell r="AD1559">
            <v>106.04404195340683</v>
          </cell>
          <cell r="AE1559">
            <v>108.33849113577685</v>
          </cell>
          <cell r="AF1559">
            <v>111.50981835624339</v>
          </cell>
          <cell r="AG1559">
            <v>116.43041044285914</v>
          </cell>
          <cell r="AH1559">
            <v>125.4597874178943</v>
          </cell>
        </row>
        <row r="1560">
          <cell r="AD1560">
            <v>106.05301868309618</v>
          </cell>
          <cell r="AE1560">
            <v>108.34811858240347</v>
          </cell>
          <cell r="AF1560">
            <v>111.51899950232428</v>
          </cell>
          <cell r="AG1560">
            <v>116.43958374452258</v>
          </cell>
          <cell r="AH1560">
            <v>125.46975571063649</v>
          </cell>
        </row>
        <row r="1561">
          <cell r="AD1561">
            <v>106.06199541278554</v>
          </cell>
          <cell r="AE1561">
            <v>108.35774602903008</v>
          </cell>
          <cell r="AF1561">
            <v>111.52818064840517</v>
          </cell>
          <cell r="AG1561">
            <v>116.44875704618603</v>
          </cell>
          <cell r="AH1561">
            <v>125.47972400337868</v>
          </cell>
        </row>
        <row r="1562">
          <cell r="AD1562">
            <v>106.07097214247489</v>
          </cell>
          <cell r="AE1562">
            <v>108.36737347565669</v>
          </cell>
          <cell r="AF1562">
            <v>111.53736179448606</v>
          </cell>
          <cell r="AG1562">
            <v>116.45793034784947</v>
          </cell>
          <cell r="AH1562">
            <v>125.48969229612086</v>
          </cell>
        </row>
        <row r="1563">
          <cell r="AD1563">
            <v>106.07994887216424</v>
          </cell>
          <cell r="AE1563">
            <v>108.37700092228332</v>
          </cell>
          <cell r="AF1563">
            <v>111.54654294056695</v>
          </cell>
          <cell r="AG1563">
            <v>116.46710364951291</v>
          </cell>
          <cell r="AH1563">
            <v>125.49966058886305</v>
          </cell>
        </row>
        <row r="1564">
          <cell r="AD1564">
            <v>106.08892560185359</v>
          </cell>
          <cell r="AE1564">
            <v>108.38662836890992</v>
          </cell>
          <cell r="AF1564">
            <v>111.55572408664784</v>
          </cell>
          <cell r="AG1564">
            <v>116.47627695117636</v>
          </cell>
          <cell r="AH1564">
            <v>125.50962888160524</v>
          </cell>
        </row>
        <row r="1565">
          <cell r="AD1565">
            <v>106.09790233154294</v>
          </cell>
          <cell r="AE1565">
            <v>108.39625581553653</v>
          </cell>
          <cell r="AF1565">
            <v>111.56490523272873</v>
          </cell>
          <cell r="AG1565">
            <v>116.4854502528398</v>
          </cell>
          <cell r="AH1565">
            <v>125.51959717434741</v>
          </cell>
        </row>
        <row r="1566">
          <cell r="AD1566">
            <v>106.10687906123229</v>
          </cell>
          <cell r="AE1566">
            <v>108.40588326216314</v>
          </cell>
          <cell r="AF1566">
            <v>111.57408637880962</v>
          </cell>
          <cell r="AG1566">
            <v>116.49462355450324</v>
          </cell>
          <cell r="AH1566">
            <v>125.5295654670896</v>
          </cell>
        </row>
        <row r="1567">
          <cell r="AD1567">
            <v>106.11585579092164</v>
          </cell>
          <cell r="AE1567">
            <v>108.41551070878977</v>
          </cell>
          <cell r="AF1567">
            <v>111.58326752489052</v>
          </cell>
          <cell r="AG1567">
            <v>116.50379685616669</v>
          </cell>
          <cell r="AH1567">
            <v>125.53953375983178</v>
          </cell>
        </row>
        <row r="1568">
          <cell r="AD1568">
            <v>106.12483252061099</v>
          </cell>
          <cell r="AE1568">
            <v>108.42513815541638</v>
          </cell>
          <cell r="AF1568">
            <v>111.59244867097141</v>
          </cell>
          <cell r="AG1568">
            <v>116.51297015783013</v>
          </cell>
          <cell r="AH1568">
            <v>125.54950205257397</v>
          </cell>
        </row>
        <row r="1569">
          <cell r="AD1569">
            <v>106.13380925030035</v>
          </cell>
          <cell r="AE1569">
            <v>108.43476560204299</v>
          </cell>
          <cell r="AF1569">
            <v>111.6016298170523</v>
          </cell>
          <cell r="AG1569">
            <v>116.52214345949356</v>
          </cell>
          <cell r="AH1569">
            <v>125.55947034531616</v>
          </cell>
        </row>
        <row r="1570">
          <cell r="AD1570">
            <v>106.1427859799897</v>
          </cell>
          <cell r="AE1570">
            <v>108.44439304866961</v>
          </cell>
          <cell r="AF1570">
            <v>111.61081096313318</v>
          </cell>
          <cell r="AG1570">
            <v>116.53131676115702</v>
          </cell>
          <cell r="AH1570">
            <v>125.56943863805834</v>
          </cell>
        </row>
        <row r="1571">
          <cell r="AD1571">
            <v>106.15176270967905</v>
          </cell>
          <cell r="AE1571">
            <v>108.45402049529622</v>
          </cell>
          <cell r="AF1571">
            <v>111.61999210921407</v>
          </cell>
          <cell r="AG1571">
            <v>116.54049006282045</v>
          </cell>
          <cell r="AH1571">
            <v>125.57940693080053</v>
          </cell>
        </row>
        <row r="1572">
          <cell r="AD1572">
            <v>106.1607394393684</v>
          </cell>
          <cell r="AE1572">
            <v>108.46364794192283</v>
          </cell>
          <cell r="AF1572">
            <v>111.62917325529496</v>
          </cell>
          <cell r="AG1572">
            <v>116.54966336448389</v>
          </cell>
          <cell r="AH1572">
            <v>125.58937522354272</v>
          </cell>
        </row>
        <row r="1573">
          <cell r="AD1573">
            <v>106.16971616905775</v>
          </cell>
          <cell r="AE1573">
            <v>108.47327538854945</v>
          </cell>
          <cell r="AF1573">
            <v>111.63835440137585</v>
          </cell>
          <cell r="AG1573">
            <v>116.55883666614734</v>
          </cell>
          <cell r="AH1573">
            <v>125.5993435162849</v>
          </cell>
        </row>
        <row r="1574">
          <cell r="AD1574">
            <v>106.1786928987471</v>
          </cell>
          <cell r="AE1574">
            <v>108.48290283517606</v>
          </cell>
          <cell r="AF1574">
            <v>111.64753554745674</v>
          </cell>
          <cell r="AG1574">
            <v>116.56800996781078</v>
          </cell>
          <cell r="AH1574">
            <v>125.60931180902709</v>
          </cell>
        </row>
        <row r="1575">
          <cell r="AD1575">
            <v>106.18766962843645</v>
          </cell>
          <cell r="AE1575">
            <v>108.49253028180267</v>
          </cell>
          <cell r="AF1575">
            <v>111.65671669353763</v>
          </cell>
          <cell r="AG1575">
            <v>116.57718326947422</v>
          </cell>
          <cell r="AH1575">
            <v>125.61928010176928</v>
          </cell>
        </row>
        <row r="1576">
          <cell r="AD1576">
            <v>106.1966463581258</v>
          </cell>
          <cell r="AE1576">
            <v>108.5021577284293</v>
          </cell>
          <cell r="AF1576">
            <v>111.66589783961852</v>
          </cell>
          <cell r="AG1576">
            <v>116.58635657113767</v>
          </cell>
          <cell r="AH1576">
            <v>125.62924839451146</v>
          </cell>
        </row>
        <row r="1577">
          <cell r="AD1577">
            <v>106.20562308781516</v>
          </cell>
          <cell r="AE1577">
            <v>108.51178517505591</v>
          </cell>
          <cell r="AF1577">
            <v>111.67507898569941</v>
          </cell>
          <cell r="AG1577">
            <v>116.59552987280111</v>
          </cell>
          <cell r="AH1577">
            <v>125.63921668725365</v>
          </cell>
        </row>
        <row r="1578">
          <cell r="AD1578">
            <v>106.21459981750451</v>
          </cell>
          <cell r="AE1578">
            <v>108.52141262168252</v>
          </cell>
          <cell r="AF1578">
            <v>111.68426013178031</v>
          </cell>
          <cell r="AG1578">
            <v>116.60470317446455</v>
          </cell>
          <cell r="AH1578">
            <v>125.64918497999584</v>
          </cell>
        </row>
        <row r="1579">
          <cell r="AD1579">
            <v>106.22357654719386</v>
          </cell>
          <cell r="AE1579">
            <v>108.53104006830912</v>
          </cell>
          <cell r="AF1579">
            <v>111.6934412778612</v>
          </cell>
          <cell r="AG1579">
            <v>116.613876476128</v>
          </cell>
          <cell r="AH1579">
            <v>125.65915327273802</v>
          </cell>
        </row>
        <row r="1580">
          <cell r="AD1580">
            <v>106.23255327688321</v>
          </cell>
          <cell r="AE1580">
            <v>108.54066751493575</v>
          </cell>
          <cell r="AF1580">
            <v>111.70262242394209</v>
          </cell>
          <cell r="AG1580">
            <v>116.62304977779144</v>
          </cell>
          <cell r="AH1580">
            <v>125.66912156548021</v>
          </cell>
        </row>
        <row r="1581">
          <cell r="AD1581">
            <v>106.24153000657256</v>
          </cell>
          <cell r="AE1581">
            <v>108.55029496156236</v>
          </cell>
          <cell r="AF1581">
            <v>111.71180357002298</v>
          </cell>
          <cell r="AG1581">
            <v>116.63222307945487</v>
          </cell>
          <cell r="AH1581">
            <v>125.6790898582224</v>
          </cell>
        </row>
        <row r="1582">
          <cell r="AD1582">
            <v>106.25050673626191</v>
          </cell>
          <cell r="AE1582">
            <v>108.55992240818897</v>
          </cell>
          <cell r="AF1582">
            <v>111.72098471610387</v>
          </cell>
          <cell r="AG1582">
            <v>116.64139638111833</v>
          </cell>
          <cell r="AH1582">
            <v>125.68905815096457</v>
          </cell>
        </row>
        <row r="1583">
          <cell r="AD1583">
            <v>106.25948346595126</v>
          </cell>
          <cell r="AE1583">
            <v>108.56954985481559</v>
          </cell>
          <cell r="AF1583">
            <v>111.73016586218476</v>
          </cell>
          <cell r="AG1583">
            <v>116.65056968278176</v>
          </cell>
          <cell r="AH1583">
            <v>125.69902644370676</v>
          </cell>
        </row>
        <row r="1584">
          <cell r="AD1584">
            <v>106.26846019564061</v>
          </cell>
          <cell r="AE1584">
            <v>108.5791773014422</v>
          </cell>
          <cell r="AF1584">
            <v>111.73934700826565</v>
          </cell>
          <cell r="AG1584">
            <v>116.65974298444522</v>
          </cell>
          <cell r="AH1584">
            <v>125.70899473644894</v>
          </cell>
        </row>
        <row r="1585">
          <cell r="AD1585">
            <v>106.27743692532997</v>
          </cell>
          <cell r="AE1585">
            <v>108.58880474806881</v>
          </cell>
          <cell r="AF1585">
            <v>111.74852815434654</v>
          </cell>
          <cell r="AG1585">
            <v>116.66891628610865</v>
          </cell>
          <cell r="AH1585">
            <v>125.71896302919113</v>
          </cell>
        </row>
        <row r="1586">
          <cell r="AD1586">
            <v>106.28641365501932</v>
          </cell>
          <cell r="AE1586">
            <v>108.59843219469543</v>
          </cell>
          <cell r="AF1586">
            <v>111.75770930042744</v>
          </cell>
          <cell r="AG1586">
            <v>116.67808958777209</v>
          </cell>
          <cell r="AH1586">
            <v>125.72893132193332</v>
          </cell>
        </row>
        <row r="1587">
          <cell r="AD1587">
            <v>106.29539038470867</v>
          </cell>
          <cell r="AE1587">
            <v>108.60805964132204</v>
          </cell>
          <cell r="AF1587">
            <v>111.76689044650833</v>
          </cell>
          <cell r="AG1587">
            <v>116.68726288943554</v>
          </cell>
          <cell r="AH1587">
            <v>125.7388996146755</v>
          </cell>
        </row>
        <row r="1588">
          <cell r="AD1588">
            <v>106.30436711439802</v>
          </cell>
          <cell r="AE1588">
            <v>108.61768708794865</v>
          </cell>
          <cell r="AF1588">
            <v>111.77607159258922</v>
          </cell>
          <cell r="AG1588">
            <v>116.69643619109898</v>
          </cell>
          <cell r="AH1588">
            <v>125.74886790741769</v>
          </cell>
        </row>
        <row r="1589">
          <cell r="AD1589">
            <v>106.31334384408737</v>
          </cell>
          <cell r="AE1589">
            <v>108.62731453457528</v>
          </cell>
          <cell r="AF1589">
            <v>111.7852527386701</v>
          </cell>
          <cell r="AG1589">
            <v>116.70560949276242</v>
          </cell>
          <cell r="AH1589">
            <v>125.75883620015988</v>
          </cell>
        </row>
        <row r="1590">
          <cell r="AD1590">
            <v>106.32232057377672</v>
          </cell>
          <cell r="AE1590">
            <v>108.63694198120189</v>
          </cell>
          <cell r="AF1590">
            <v>111.79443388475099</v>
          </cell>
          <cell r="AG1590">
            <v>116.71478279442587</v>
          </cell>
          <cell r="AH1590">
            <v>125.76880449290206</v>
          </cell>
        </row>
        <row r="1591">
          <cell r="AD1591">
            <v>106.33129730346607</v>
          </cell>
          <cell r="AE1591">
            <v>108.6465694278285</v>
          </cell>
          <cell r="AF1591">
            <v>111.80361503083188</v>
          </cell>
          <cell r="AG1591">
            <v>116.72395609608931</v>
          </cell>
          <cell r="AH1591">
            <v>125.77877278564425</v>
          </cell>
        </row>
        <row r="1592">
          <cell r="AD1592">
            <v>106.34027403315542</v>
          </cell>
          <cell r="AE1592">
            <v>108.65619687445511</v>
          </cell>
          <cell r="AF1592">
            <v>111.81279617691277</v>
          </cell>
          <cell r="AG1592">
            <v>116.73312939775275</v>
          </cell>
          <cell r="AH1592">
            <v>125.78874107838644</v>
          </cell>
        </row>
        <row r="1593">
          <cell r="AD1593">
            <v>106.34925076284478</v>
          </cell>
          <cell r="AE1593">
            <v>108.66582432108173</v>
          </cell>
          <cell r="AF1593">
            <v>111.82197732299366</v>
          </cell>
          <cell r="AG1593">
            <v>116.7423026994162</v>
          </cell>
          <cell r="AH1593">
            <v>125.79870937112862</v>
          </cell>
        </row>
        <row r="1594">
          <cell r="AD1594">
            <v>106.35822749253413</v>
          </cell>
          <cell r="AE1594">
            <v>108.67545176770834</v>
          </cell>
          <cell r="AF1594">
            <v>111.83115846907455</v>
          </cell>
          <cell r="AG1594">
            <v>116.75147600107964</v>
          </cell>
          <cell r="AH1594">
            <v>125.80867766387081</v>
          </cell>
        </row>
        <row r="1595">
          <cell r="AD1595">
            <v>106.36720422222346</v>
          </cell>
          <cell r="AE1595">
            <v>108.68507921433495</v>
          </cell>
          <cell r="AF1595">
            <v>111.84033961515544</v>
          </cell>
          <cell r="AG1595">
            <v>116.76064930274308</v>
          </cell>
          <cell r="AH1595">
            <v>125.818645956613</v>
          </cell>
        </row>
        <row r="1596">
          <cell r="AD1596">
            <v>106.37618095191281</v>
          </cell>
          <cell r="AE1596">
            <v>108.69470666096157</v>
          </cell>
          <cell r="AF1596">
            <v>111.84952076123633</v>
          </cell>
          <cell r="AG1596">
            <v>116.76982260440653</v>
          </cell>
          <cell r="AH1596">
            <v>125.82861424935518</v>
          </cell>
        </row>
        <row r="1597">
          <cell r="AD1597">
            <v>106.38515768160217</v>
          </cell>
          <cell r="AE1597">
            <v>108.70433410758818</v>
          </cell>
          <cell r="AF1597">
            <v>111.85870190731723</v>
          </cell>
          <cell r="AG1597">
            <v>116.77899590606997</v>
          </cell>
          <cell r="AH1597">
            <v>125.83858254209737</v>
          </cell>
        </row>
        <row r="1598">
          <cell r="AD1598">
            <v>106.39413441129152</v>
          </cell>
          <cell r="AE1598">
            <v>108.71396155421479</v>
          </cell>
          <cell r="AF1598">
            <v>111.86788305339812</v>
          </cell>
          <cell r="AG1598">
            <v>116.7881692077334</v>
          </cell>
          <cell r="AH1598">
            <v>125.84855083483956</v>
          </cell>
        </row>
        <row r="1599">
          <cell r="AD1599">
            <v>106.40311114098087</v>
          </cell>
          <cell r="AE1599">
            <v>108.72358900084141</v>
          </cell>
          <cell r="AF1599">
            <v>111.87706419947901</v>
          </cell>
          <cell r="AG1599">
            <v>116.79734250939686</v>
          </cell>
          <cell r="AH1599">
            <v>125.85851912758173</v>
          </cell>
        </row>
        <row r="1600">
          <cell r="AD1600">
            <v>106.41208787067022</v>
          </cell>
          <cell r="AE1600">
            <v>108.73321644746802</v>
          </cell>
          <cell r="AF1600">
            <v>111.8862453455599</v>
          </cell>
          <cell r="AG1600">
            <v>116.80651581106029</v>
          </cell>
          <cell r="AH1600">
            <v>125.86848742032392</v>
          </cell>
        </row>
        <row r="1601">
          <cell r="AD1601">
            <v>106.42106460035957</v>
          </cell>
          <cell r="AE1601">
            <v>108.74284389409463</v>
          </cell>
          <cell r="AF1601">
            <v>111.89542649164079</v>
          </cell>
          <cell r="AG1601">
            <v>116.81568911272373</v>
          </cell>
          <cell r="AH1601">
            <v>125.8784557130661</v>
          </cell>
        </row>
        <row r="1602">
          <cell r="AD1602">
            <v>106.43004133004892</v>
          </cell>
          <cell r="AE1602">
            <v>108.75247134072126</v>
          </cell>
          <cell r="AF1602">
            <v>111.90460763772168</v>
          </cell>
          <cell r="AG1602">
            <v>116.82486241438718</v>
          </cell>
          <cell r="AH1602">
            <v>125.88842400580829</v>
          </cell>
        </row>
        <row r="1603">
          <cell r="AD1603">
            <v>106.43901805973827</v>
          </cell>
          <cell r="AE1603">
            <v>108.76209878734787</v>
          </cell>
          <cell r="AF1603">
            <v>111.91378878380257</v>
          </cell>
          <cell r="AG1603">
            <v>116.83403571605062</v>
          </cell>
          <cell r="AH1603">
            <v>125.89839229855048</v>
          </cell>
        </row>
        <row r="1604">
          <cell r="AD1604">
            <v>106.44799478942763</v>
          </cell>
          <cell r="AE1604">
            <v>108.77172623397448</v>
          </cell>
          <cell r="AF1604">
            <v>111.92296992988346</v>
          </cell>
          <cell r="AG1604">
            <v>116.84320901771407</v>
          </cell>
          <cell r="AH1604">
            <v>125.90836059129266</v>
          </cell>
        </row>
        <row r="1605">
          <cell r="AD1605">
            <v>106.45697151911698</v>
          </cell>
          <cell r="AE1605">
            <v>108.78135368060109</v>
          </cell>
          <cell r="AF1605">
            <v>111.93215107596436</v>
          </cell>
          <cell r="AG1605">
            <v>116.85238231937751</v>
          </cell>
          <cell r="AH1605">
            <v>125.91832888403485</v>
          </cell>
        </row>
        <row r="1606">
          <cell r="AD1606">
            <v>106.46594824880633</v>
          </cell>
          <cell r="AE1606">
            <v>108.79098112722771</v>
          </cell>
          <cell r="AF1606">
            <v>111.94133222204525</v>
          </cell>
          <cell r="AG1606">
            <v>116.86155562104095</v>
          </cell>
          <cell r="AH1606">
            <v>125.92829717677704</v>
          </cell>
        </row>
        <row r="1607">
          <cell r="AD1607">
            <v>106.47492497849568</v>
          </cell>
          <cell r="AE1607">
            <v>108.80060857385432</v>
          </cell>
          <cell r="AF1607">
            <v>111.95051336812614</v>
          </cell>
          <cell r="AG1607">
            <v>116.8707289227044</v>
          </cell>
          <cell r="AH1607">
            <v>125.93826546951922</v>
          </cell>
        </row>
        <row r="1608">
          <cell r="AD1608">
            <v>106.48390170818503</v>
          </cell>
          <cell r="AE1608">
            <v>108.81023602048093</v>
          </cell>
          <cell r="AF1608">
            <v>111.95969451420702</v>
          </cell>
          <cell r="AG1608">
            <v>116.87990222436784</v>
          </cell>
          <cell r="AH1608">
            <v>125.94823376226141</v>
          </cell>
        </row>
        <row r="1609">
          <cell r="AD1609">
            <v>106.49287843787438</v>
          </cell>
          <cell r="AE1609">
            <v>108.81986346710755</v>
          </cell>
          <cell r="AF1609">
            <v>111.96887566028791</v>
          </cell>
          <cell r="AG1609">
            <v>116.88907552603128</v>
          </cell>
          <cell r="AH1609">
            <v>125.9582020550036</v>
          </cell>
        </row>
        <row r="1610">
          <cell r="AD1610">
            <v>106.50185516756373</v>
          </cell>
          <cell r="AE1610">
            <v>108.82949091373416</v>
          </cell>
          <cell r="AF1610">
            <v>111.9780568063688</v>
          </cell>
          <cell r="AG1610">
            <v>116.89824882769473</v>
          </cell>
          <cell r="AH1610">
            <v>125.96817034774578</v>
          </cell>
        </row>
        <row r="1611">
          <cell r="AD1611">
            <v>106.51083189725308</v>
          </cell>
          <cell r="AE1611">
            <v>108.83911836036077</v>
          </cell>
          <cell r="AF1611">
            <v>111.98723795244969</v>
          </cell>
          <cell r="AG1611">
            <v>116.90742212935817</v>
          </cell>
          <cell r="AH1611">
            <v>125.97813864048797</v>
          </cell>
        </row>
        <row r="1612">
          <cell r="AD1612">
            <v>106.51980862694244</v>
          </cell>
          <cell r="AE1612">
            <v>108.8487458069874</v>
          </cell>
          <cell r="AF1612">
            <v>111.99641909853058</v>
          </cell>
          <cell r="AG1612">
            <v>116.91659543102161</v>
          </cell>
          <cell r="AH1612">
            <v>125.98810693323016</v>
          </cell>
        </row>
        <row r="1613">
          <cell r="AD1613">
            <v>106.52878535663179</v>
          </cell>
          <cell r="AE1613">
            <v>108.858373253614</v>
          </cell>
          <cell r="AF1613">
            <v>112.00519900172145</v>
          </cell>
          <cell r="AG1613">
            <v>116.92576873268506</v>
          </cell>
          <cell r="AH1613">
            <v>125.99807522597234</v>
          </cell>
        </row>
        <row r="1614">
          <cell r="AD1614">
            <v>106.53776208632114</v>
          </cell>
          <cell r="AE1614">
            <v>108.86800070024061</v>
          </cell>
          <cell r="AF1614">
            <v>112.01372234268081</v>
          </cell>
          <cell r="AG1614">
            <v>116.9349420343485</v>
          </cell>
          <cell r="AH1614">
            <v>126.00736231565979</v>
          </cell>
        </row>
        <row r="1615">
          <cell r="AD1615">
            <v>106.54673881601049</v>
          </cell>
          <cell r="AE1615">
            <v>108.87762814686724</v>
          </cell>
          <cell r="AF1615">
            <v>112.02224568364018</v>
          </cell>
          <cell r="AG1615">
            <v>116.94411533601193</v>
          </cell>
          <cell r="AH1615">
            <v>126.0164863968439</v>
          </cell>
        </row>
        <row r="1616">
          <cell r="AD1616">
            <v>106.55571554569984</v>
          </cell>
          <cell r="AE1616">
            <v>108.88725559349385</v>
          </cell>
          <cell r="AF1616">
            <v>112.03076902459954</v>
          </cell>
          <cell r="AG1616">
            <v>116.95328863767539</v>
          </cell>
          <cell r="AH1616">
            <v>126.025610478028</v>
          </cell>
        </row>
        <row r="1617">
          <cell r="AD1617">
            <v>106.56469227538919</v>
          </cell>
          <cell r="AE1617">
            <v>108.89688304012046</v>
          </cell>
          <cell r="AF1617">
            <v>112.03929236555889</v>
          </cell>
          <cell r="AG1617">
            <v>116.96246193933882</v>
          </cell>
          <cell r="AH1617">
            <v>126.03473455921211</v>
          </cell>
        </row>
        <row r="1618">
          <cell r="AD1618">
            <v>106.57366900507854</v>
          </cell>
          <cell r="AE1618">
            <v>108.90651048674707</v>
          </cell>
          <cell r="AF1618">
            <v>112.04781570651826</v>
          </cell>
          <cell r="AG1618">
            <v>116.97163524100226</v>
          </cell>
          <cell r="AH1618">
            <v>126.04385864039621</v>
          </cell>
        </row>
        <row r="1619">
          <cell r="AD1619">
            <v>106.58264573476789</v>
          </cell>
          <cell r="AE1619">
            <v>108.91613793337369</v>
          </cell>
          <cell r="AF1619">
            <v>112.05633904747762</v>
          </cell>
          <cell r="AG1619">
            <v>116.98080854266571</v>
          </cell>
          <cell r="AH1619">
            <v>126.05298272158032</v>
          </cell>
        </row>
        <row r="1620">
          <cell r="AD1620">
            <v>106.59162246445725</v>
          </cell>
          <cell r="AE1620">
            <v>108.9257653800003</v>
          </cell>
          <cell r="AF1620">
            <v>112.06486238843699</v>
          </cell>
          <cell r="AG1620">
            <v>116.98998184432915</v>
          </cell>
          <cell r="AH1620">
            <v>126.06210680276442</v>
          </cell>
        </row>
        <row r="1621">
          <cell r="AD1621">
            <v>106.6005991941466</v>
          </cell>
          <cell r="AE1621">
            <v>108.93539282662691</v>
          </cell>
          <cell r="AF1621">
            <v>112.07338572939635</v>
          </cell>
          <cell r="AG1621">
            <v>116.99915514599259</v>
          </cell>
          <cell r="AH1621">
            <v>126.07123088394853</v>
          </cell>
        </row>
        <row r="1622">
          <cell r="AD1622">
            <v>106.60957592383595</v>
          </cell>
          <cell r="AE1622">
            <v>108.94502027325353</v>
          </cell>
          <cell r="AF1622">
            <v>112.08190907035571</v>
          </cell>
          <cell r="AG1622">
            <v>117.00760517830332</v>
          </cell>
          <cell r="AH1622">
            <v>126.08035496513264</v>
          </cell>
        </row>
        <row r="1623">
          <cell r="AD1623">
            <v>106.6185526535253</v>
          </cell>
          <cell r="AE1623">
            <v>108.95464771988014</v>
          </cell>
          <cell r="AF1623">
            <v>112.09043241131508</v>
          </cell>
          <cell r="AG1623">
            <v>117.01598184075736</v>
          </cell>
          <cell r="AH1623">
            <v>126.08947904631674</v>
          </cell>
        </row>
        <row r="1624">
          <cell r="AD1624">
            <v>106.62752938321465</v>
          </cell>
          <cell r="AE1624">
            <v>108.96427516650675</v>
          </cell>
          <cell r="AF1624">
            <v>112.09895575227443</v>
          </cell>
          <cell r="AG1624">
            <v>117.02435850321139</v>
          </cell>
          <cell r="AH1624">
            <v>126.09860312750085</v>
          </cell>
        </row>
        <row r="1625">
          <cell r="AD1625">
            <v>106.636506112904</v>
          </cell>
          <cell r="AE1625">
            <v>108.97390261313338</v>
          </cell>
          <cell r="AF1625">
            <v>112.10747909323381</v>
          </cell>
          <cell r="AG1625">
            <v>117.03273516566541</v>
          </cell>
          <cell r="AH1625">
            <v>126.10772720868495</v>
          </cell>
        </row>
        <row r="1626">
          <cell r="AD1626">
            <v>106.64548284259335</v>
          </cell>
          <cell r="AE1626">
            <v>108.98353005975999</v>
          </cell>
          <cell r="AF1626">
            <v>112.11600243419316</v>
          </cell>
          <cell r="AG1626">
            <v>117.04111182811945</v>
          </cell>
          <cell r="AH1626">
            <v>126.11685128986906</v>
          </cell>
        </row>
        <row r="1627">
          <cell r="AD1627">
            <v>106.6544595722827</v>
          </cell>
          <cell r="AE1627">
            <v>108.99315750638659</v>
          </cell>
          <cell r="AF1627">
            <v>112.12452577515252</v>
          </cell>
          <cell r="AG1627">
            <v>117.04948849057348</v>
          </cell>
          <cell r="AH1627">
            <v>126.12597537105316</v>
          </cell>
        </row>
        <row r="1628">
          <cell r="AD1628">
            <v>106.66343630197206</v>
          </cell>
          <cell r="AE1628">
            <v>109.00247935930663</v>
          </cell>
          <cell r="AF1628">
            <v>112.13304911611189</v>
          </cell>
          <cell r="AG1628">
            <v>117.05786515302751</v>
          </cell>
          <cell r="AH1628">
            <v>126.13509945223727</v>
          </cell>
        </row>
        <row r="1629">
          <cell r="AD1629">
            <v>106.67241303166141</v>
          </cell>
          <cell r="AE1629">
            <v>109.01105038340633</v>
          </cell>
          <cell r="AF1629">
            <v>112.14157245707125</v>
          </cell>
          <cell r="AG1629">
            <v>117.06624181548153</v>
          </cell>
          <cell r="AH1629">
            <v>126.14422353342138</v>
          </cell>
        </row>
        <row r="1630">
          <cell r="AD1630">
            <v>106.68138976135076</v>
          </cell>
          <cell r="AE1630">
            <v>109.01962140750604</v>
          </cell>
          <cell r="AF1630">
            <v>112.15009579803061</v>
          </cell>
          <cell r="AG1630">
            <v>117.07461847793557</v>
          </cell>
          <cell r="AH1630">
            <v>126.15334761460548</v>
          </cell>
        </row>
        <row r="1631">
          <cell r="AD1631">
            <v>106.69036649104011</v>
          </cell>
          <cell r="AE1631">
            <v>109.02819243160575</v>
          </cell>
          <cell r="AF1631">
            <v>112.15861913898998</v>
          </cell>
          <cell r="AG1631">
            <v>117.0829951403896</v>
          </cell>
          <cell r="AH1631">
            <v>126.16247169578959</v>
          </cell>
        </row>
        <row r="1632">
          <cell r="AD1632">
            <v>106.69934322072946</v>
          </cell>
          <cell r="AE1632">
            <v>109.03676345570544</v>
          </cell>
          <cell r="AF1632">
            <v>112.16714247994933</v>
          </cell>
          <cell r="AG1632">
            <v>117.09137180284363</v>
          </cell>
          <cell r="AH1632">
            <v>126.17159577697369</v>
          </cell>
        </row>
        <row r="1633">
          <cell r="AD1633">
            <v>106.70831995041881</v>
          </cell>
          <cell r="AE1633">
            <v>109.04533447980515</v>
          </cell>
          <cell r="AF1633">
            <v>112.1756658209087</v>
          </cell>
          <cell r="AG1633">
            <v>117.09974846529767</v>
          </cell>
          <cell r="AH1633">
            <v>126.1807198581578</v>
          </cell>
        </row>
        <row r="1634">
          <cell r="AD1634">
            <v>106.71729668010816</v>
          </cell>
          <cell r="AE1634">
            <v>109.05390550390484</v>
          </cell>
          <cell r="AF1634">
            <v>112.18418916186806</v>
          </cell>
          <cell r="AG1634">
            <v>117.10812512775169</v>
          </cell>
          <cell r="AH1634">
            <v>126.1898439393419</v>
          </cell>
        </row>
        <row r="1635">
          <cell r="AD1635">
            <v>106.72627340979751</v>
          </cell>
          <cell r="AE1635">
            <v>109.06247652800455</v>
          </cell>
          <cell r="AF1635">
            <v>112.19271250282742</v>
          </cell>
          <cell r="AG1635">
            <v>117.11650179020572</v>
          </cell>
          <cell r="AH1635">
            <v>126.19896802052601</v>
          </cell>
        </row>
        <row r="1636">
          <cell r="AD1636">
            <v>106.73525013948687</v>
          </cell>
          <cell r="AE1636">
            <v>109.07104755210426</v>
          </cell>
          <cell r="AF1636">
            <v>112.20123584378679</v>
          </cell>
          <cell r="AG1636">
            <v>117.12487845265974</v>
          </cell>
          <cell r="AH1636">
            <v>126.20809210171011</v>
          </cell>
        </row>
        <row r="1637">
          <cell r="AD1637">
            <v>106.74422686917622</v>
          </cell>
          <cell r="AE1637">
            <v>109.07961857620396</v>
          </cell>
          <cell r="AF1637">
            <v>112.20975918474615</v>
          </cell>
          <cell r="AG1637">
            <v>117.13325511511378</v>
          </cell>
          <cell r="AH1637">
            <v>126.21721618289422</v>
          </cell>
        </row>
        <row r="1638">
          <cell r="AD1638">
            <v>106.75320359886557</v>
          </cell>
          <cell r="AE1638">
            <v>109.08818960030366</v>
          </cell>
          <cell r="AF1638">
            <v>112.21828252570552</v>
          </cell>
          <cell r="AG1638">
            <v>117.14163177756781</v>
          </cell>
          <cell r="AH1638">
            <v>126.22634026407833</v>
          </cell>
        </row>
        <row r="1639">
          <cell r="AD1639">
            <v>106.76218032855492</v>
          </cell>
          <cell r="AE1639">
            <v>109.09676062440337</v>
          </cell>
          <cell r="AF1639">
            <v>112.22680586666488</v>
          </cell>
          <cell r="AG1639">
            <v>117.15000844002184</v>
          </cell>
          <cell r="AH1639">
            <v>126.23546434526243</v>
          </cell>
        </row>
        <row r="1640">
          <cell r="AD1640">
            <v>106.77115705824427</v>
          </cell>
          <cell r="AE1640">
            <v>109.10533164850307</v>
          </cell>
          <cell r="AF1640">
            <v>112.23532920762423</v>
          </cell>
          <cell r="AG1640">
            <v>117.15838510247588</v>
          </cell>
          <cell r="AH1640">
            <v>126.24458842644654</v>
          </cell>
        </row>
        <row r="1641">
          <cell r="AD1641">
            <v>106.78013378793362</v>
          </cell>
          <cell r="AE1641">
            <v>109.11390267260278</v>
          </cell>
          <cell r="AF1641">
            <v>112.2438525485836</v>
          </cell>
          <cell r="AG1641">
            <v>117.1667617649299</v>
          </cell>
          <cell r="AH1641">
            <v>126.25371250763064</v>
          </cell>
        </row>
        <row r="1642">
          <cell r="AD1642">
            <v>106.78911051762297</v>
          </cell>
          <cell r="AE1642">
            <v>109.12247369670247</v>
          </cell>
          <cell r="AF1642">
            <v>112.25237588954296</v>
          </cell>
          <cell r="AG1642">
            <v>117.17513842738393</v>
          </cell>
          <cell r="AH1642">
            <v>126.26283658881475</v>
          </cell>
        </row>
        <row r="1643">
          <cell r="AD1643">
            <v>106.79808724731232</v>
          </cell>
          <cell r="AE1643">
            <v>109.13104472080218</v>
          </cell>
          <cell r="AF1643">
            <v>112.26089923050232</v>
          </cell>
          <cell r="AG1643">
            <v>117.18351508983797</v>
          </cell>
          <cell r="AH1643">
            <v>126.27196066999885</v>
          </cell>
        </row>
        <row r="1644">
          <cell r="AD1644">
            <v>106.80706397700168</v>
          </cell>
          <cell r="AE1644">
            <v>109.13961574490189</v>
          </cell>
          <cell r="AF1644">
            <v>112.26942257146169</v>
          </cell>
          <cell r="AG1644">
            <v>117.19189175229199</v>
          </cell>
          <cell r="AH1644">
            <v>126.28108475118296</v>
          </cell>
        </row>
        <row r="1645">
          <cell r="AD1645">
            <v>106.81604070669103</v>
          </cell>
          <cell r="AE1645">
            <v>109.14818676900158</v>
          </cell>
          <cell r="AF1645">
            <v>112.27794591242105</v>
          </cell>
          <cell r="AG1645">
            <v>117.20026841474602</v>
          </cell>
          <cell r="AH1645">
            <v>126.29020883236707</v>
          </cell>
        </row>
        <row r="1646">
          <cell r="AD1646">
            <v>106.82501743638038</v>
          </cell>
          <cell r="AE1646">
            <v>109.15675779310129</v>
          </cell>
          <cell r="AF1646">
            <v>112.28646925338042</v>
          </cell>
          <cell r="AG1646">
            <v>117.20864507720005</v>
          </cell>
          <cell r="AH1646">
            <v>126.29933291355117</v>
          </cell>
        </row>
        <row r="1647">
          <cell r="AD1647">
            <v>106.83399416606973</v>
          </cell>
          <cell r="AE1647">
            <v>109.165328817201</v>
          </cell>
          <cell r="AF1647">
            <v>112.29499259433977</v>
          </cell>
          <cell r="AG1647">
            <v>117.21702173965409</v>
          </cell>
          <cell r="AH1647">
            <v>126.30845699473528</v>
          </cell>
        </row>
        <row r="1648">
          <cell r="AD1648">
            <v>106.84297089575908</v>
          </cell>
          <cell r="AE1648">
            <v>109.1738998413007</v>
          </cell>
          <cell r="AF1648">
            <v>112.30351593529913</v>
          </cell>
          <cell r="AG1648">
            <v>117.22539840210811</v>
          </cell>
          <cell r="AH1648">
            <v>126.31758107591938</v>
          </cell>
        </row>
        <row r="1649">
          <cell r="AD1649">
            <v>106.85194762544843</v>
          </cell>
          <cell r="AE1649">
            <v>109.1824708654004</v>
          </cell>
          <cell r="AF1649">
            <v>112.3120392762585</v>
          </cell>
          <cell r="AG1649">
            <v>117.23377506456214</v>
          </cell>
          <cell r="AH1649">
            <v>126.32670515710349</v>
          </cell>
        </row>
        <row r="1650">
          <cell r="AD1650">
            <v>106.86092435513778</v>
          </cell>
          <cell r="AE1650">
            <v>109.1910418895001</v>
          </cell>
          <cell r="AF1650">
            <v>112.32056261721786</v>
          </cell>
          <cell r="AG1650">
            <v>117.24215172701618</v>
          </cell>
          <cell r="AH1650">
            <v>126.33582923828759</v>
          </cell>
        </row>
        <row r="1651">
          <cell r="AD1651">
            <v>106.86990108482713</v>
          </cell>
          <cell r="AE1651">
            <v>109.19961291359981</v>
          </cell>
          <cell r="AF1651">
            <v>112.32908595817723</v>
          </cell>
          <cell r="AG1651">
            <v>117.2505283894702</v>
          </cell>
          <cell r="AH1651">
            <v>126.3449533194717</v>
          </cell>
        </row>
        <row r="1652">
          <cell r="AD1652">
            <v>106.87887781451649</v>
          </cell>
          <cell r="AE1652">
            <v>109.20818393769952</v>
          </cell>
          <cell r="AF1652">
            <v>112.33760929913659</v>
          </cell>
          <cell r="AG1652">
            <v>117.25890505192423</v>
          </cell>
          <cell r="AH1652">
            <v>126.3540774006558</v>
          </cell>
        </row>
        <row r="1653">
          <cell r="AD1653">
            <v>106.88785454420584</v>
          </cell>
          <cell r="AE1653">
            <v>109.21675496179921</v>
          </cell>
          <cell r="AF1653">
            <v>112.34613264009595</v>
          </cell>
          <cell r="AG1653">
            <v>117.26728171437826</v>
          </cell>
          <cell r="AH1653">
            <v>126.36320148183991</v>
          </cell>
        </row>
        <row r="1654">
          <cell r="AD1654">
            <v>106.89683127389519</v>
          </cell>
          <cell r="AE1654">
            <v>109.22532598589892</v>
          </cell>
          <cell r="AF1654">
            <v>112.35465598105532</v>
          </cell>
          <cell r="AG1654">
            <v>117.2756583768323</v>
          </cell>
          <cell r="AH1654">
            <v>126.37232556302402</v>
          </cell>
        </row>
        <row r="1655">
          <cell r="AD1655">
            <v>106.90580800358454</v>
          </cell>
          <cell r="AE1655">
            <v>109.23389700999863</v>
          </cell>
          <cell r="AF1655">
            <v>112.36317932201467</v>
          </cell>
          <cell r="AG1655">
            <v>117.28403503928632</v>
          </cell>
          <cell r="AH1655">
            <v>126.38144964420812</v>
          </cell>
        </row>
        <row r="1656">
          <cell r="AD1656">
            <v>106.91478473327389</v>
          </cell>
          <cell r="AE1656">
            <v>109.24246803409832</v>
          </cell>
          <cell r="AF1656">
            <v>112.37170266297403</v>
          </cell>
          <cell r="AG1656">
            <v>117.29241170174035</v>
          </cell>
          <cell r="AH1656">
            <v>126.39057372539223</v>
          </cell>
        </row>
        <row r="1657">
          <cell r="AD1657">
            <v>106.92376146296324</v>
          </cell>
          <cell r="AE1657">
            <v>109.25103905819803</v>
          </cell>
          <cell r="AF1657">
            <v>112.3802260039334</v>
          </cell>
          <cell r="AG1657">
            <v>117.30078836419439</v>
          </cell>
          <cell r="AH1657">
            <v>126.39969780657633</v>
          </cell>
        </row>
        <row r="1658">
          <cell r="AD1658">
            <v>106.93273819265259</v>
          </cell>
          <cell r="AE1658">
            <v>109.25961008229773</v>
          </cell>
          <cell r="AF1658">
            <v>112.38874934489276</v>
          </cell>
          <cell r="AG1658">
            <v>117.30916502664842</v>
          </cell>
          <cell r="AH1658">
            <v>126.40882188776044</v>
          </cell>
        </row>
        <row r="1659">
          <cell r="AD1659">
            <v>106.94171492234194</v>
          </cell>
          <cell r="AE1659">
            <v>109.26818110639744</v>
          </cell>
          <cell r="AF1659">
            <v>112.39727268585213</v>
          </cell>
          <cell r="AG1659">
            <v>117.31754168910244</v>
          </cell>
          <cell r="AH1659">
            <v>126.41794596894454</v>
          </cell>
        </row>
        <row r="1660">
          <cell r="AD1660">
            <v>106.9506916520313</v>
          </cell>
          <cell r="AE1660">
            <v>109.27675213049714</v>
          </cell>
          <cell r="AF1660">
            <v>112.40579602681149</v>
          </cell>
          <cell r="AG1660">
            <v>117.32591835155648</v>
          </cell>
          <cell r="AH1660">
            <v>126.42707005012865</v>
          </cell>
        </row>
        <row r="1661">
          <cell r="AD1661">
            <v>106.95966838172065</v>
          </cell>
          <cell r="AE1661">
            <v>109.28532315459684</v>
          </cell>
          <cell r="AF1661">
            <v>112.41431936777084</v>
          </cell>
          <cell r="AG1661">
            <v>117.33429501401051</v>
          </cell>
          <cell r="AH1661">
            <v>126.43619413131276</v>
          </cell>
        </row>
        <row r="1662">
          <cell r="AD1662">
            <v>106.96864511141</v>
          </cell>
          <cell r="AE1662">
            <v>109.29389417869655</v>
          </cell>
          <cell r="AF1662">
            <v>112.42284270873022</v>
          </cell>
          <cell r="AG1662">
            <v>117.34267167646453</v>
          </cell>
          <cell r="AH1662">
            <v>126.44531821249686</v>
          </cell>
        </row>
        <row r="1663">
          <cell r="AD1663">
            <v>106.97762184109935</v>
          </cell>
          <cell r="AE1663">
            <v>109.30246520279624</v>
          </cell>
          <cell r="AF1663">
            <v>112.43136604968957</v>
          </cell>
          <cell r="AG1663">
            <v>117.35104833891856</v>
          </cell>
          <cell r="AH1663">
            <v>126.45444229368097</v>
          </cell>
        </row>
        <row r="1664">
          <cell r="AD1664">
            <v>106.9865985707887</v>
          </cell>
          <cell r="AE1664">
            <v>109.31103622689595</v>
          </cell>
          <cell r="AF1664">
            <v>112.43988939064894</v>
          </cell>
          <cell r="AG1664">
            <v>117.3594250013726</v>
          </cell>
          <cell r="AH1664">
            <v>126.46356637486507</v>
          </cell>
        </row>
        <row r="1665">
          <cell r="AD1665">
            <v>106.99557530047805</v>
          </cell>
          <cell r="AE1665">
            <v>109.31960725099566</v>
          </cell>
          <cell r="AF1665">
            <v>112.4484127316083</v>
          </cell>
          <cell r="AG1665">
            <v>117.36780166382663</v>
          </cell>
          <cell r="AH1665">
            <v>126.47269045604918</v>
          </cell>
        </row>
        <row r="1666">
          <cell r="AD1666">
            <v>107.00424719432466</v>
          </cell>
          <cell r="AE1666">
            <v>109.32817827509535</v>
          </cell>
          <cell r="AF1666">
            <v>112.45693607256766</v>
          </cell>
          <cell r="AG1666">
            <v>117.37617832628065</v>
          </cell>
          <cell r="AH1666">
            <v>126.48181453723328</v>
          </cell>
        </row>
        <row r="1667">
          <cell r="AD1667">
            <v>107.01262277928093</v>
          </cell>
          <cell r="AE1667">
            <v>109.33674929919506</v>
          </cell>
          <cell r="AF1667">
            <v>112.46545941352703</v>
          </cell>
          <cell r="AG1667">
            <v>117.38455498873469</v>
          </cell>
          <cell r="AH1667">
            <v>126.49093861841739</v>
          </cell>
        </row>
        <row r="1668">
          <cell r="AD1668">
            <v>107.0209983642372</v>
          </cell>
          <cell r="AE1668">
            <v>109.34532032329477</v>
          </cell>
          <cell r="AF1668">
            <v>112.47398275448639</v>
          </cell>
          <cell r="AG1668">
            <v>117.39293165118872</v>
          </cell>
          <cell r="AH1668">
            <v>126.50006269960149</v>
          </cell>
        </row>
        <row r="1669">
          <cell r="AD1669">
            <v>107.02937394919348</v>
          </cell>
          <cell r="AE1669">
            <v>109.35389134739447</v>
          </cell>
          <cell r="AF1669">
            <v>112.48250609544574</v>
          </cell>
          <cell r="AG1669">
            <v>117.40130831364274</v>
          </cell>
          <cell r="AH1669">
            <v>126.5091867807856</v>
          </cell>
        </row>
        <row r="1670">
          <cell r="AD1670">
            <v>107.03774953414975</v>
          </cell>
          <cell r="AE1670">
            <v>109.36246237149417</v>
          </cell>
          <cell r="AF1670">
            <v>112.49102943640511</v>
          </cell>
          <cell r="AG1670">
            <v>117.40968497609677</v>
          </cell>
          <cell r="AH1670">
            <v>126.51831086196971</v>
          </cell>
        </row>
        <row r="1671">
          <cell r="AD1671">
            <v>107.04612511910602</v>
          </cell>
          <cell r="AE1671">
            <v>109.37103339559387</v>
          </cell>
          <cell r="AF1671">
            <v>112.49955277736447</v>
          </cell>
          <cell r="AG1671">
            <v>117.41806163855081</v>
          </cell>
          <cell r="AH1671">
            <v>126.52743494315381</v>
          </cell>
        </row>
        <row r="1672">
          <cell r="AD1672">
            <v>107.05450070406229</v>
          </cell>
          <cell r="AE1672">
            <v>109.37960441969358</v>
          </cell>
          <cell r="AF1672">
            <v>112.50807611832384</v>
          </cell>
          <cell r="AG1672">
            <v>117.42643830100484</v>
          </cell>
          <cell r="AH1672">
            <v>126.53655902433792</v>
          </cell>
        </row>
        <row r="1673">
          <cell r="AD1673">
            <v>107.06287628901856</v>
          </cell>
          <cell r="AE1673">
            <v>109.38817544379329</v>
          </cell>
          <cell r="AF1673">
            <v>112.5165994592832</v>
          </cell>
          <cell r="AG1673">
            <v>117.43481496345886</v>
          </cell>
          <cell r="AH1673">
            <v>126.54568310552202</v>
          </cell>
        </row>
        <row r="1674">
          <cell r="AD1674">
            <v>107.07125187397484</v>
          </cell>
          <cell r="AE1674">
            <v>109.39674646789298</v>
          </cell>
          <cell r="AF1674">
            <v>112.52512280024256</v>
          </cell>
          <cell r="AG1674">
            <v>117.4431916259129</v>
          </cell>
          <cell r="AH1674">
            <v>126.55480718670613</v>
          </cell>
        </row>
        <row r="1675">
          <cell r="AD1675">
            <v>107.07962745893111</v>
          </cell>
          <cell r="AE1675">
            <v>109.40531749199269</v>
          </cell>
          <cell r="AF1675">
            <v>112.53364614120193</v>
          </cell>
          <cell r="AG1675">
            <v>117.45156828836693</v>
          </cell>
          <cell r="AH1675">
            <v>126.56393126789023</v>
          </cell>
        </row>
        <row r="1676">
          <cell r="AD1676">
            <v>107.08800304388738</v>
          </cell>
          <cell r="AE1676">
            <v>109.4138885160924</v>
          </cell>
          <cell r="AF1676">
            <v>112.54216948216128</v>
          </cell>
          <cell r="AG1676">
            <v>117.45994495082095</v>
          </cell>
          <cell r="AH1676">
            <v>126.57305534907434</v>
          </cell>
        </row>
        <row r="1677">
          <cell r="AD1677">
            <v>107.09637862884365</v>
          </cell>
          <cell r="AE1677">
            <v>109.42245954019209</v>
          </cell>
          <cell r="AF1677">
            <v>112.55069282312066</v>
          </cell>
          <cell r="AG1677">
            <v>117.46832161327499</v>
          </cell>
          <cell r="AH1677">
            <v>126.58217943025845</v>
          </cell>
        </row>
        <row r="1678">
          <cell r="AD1678">
            <v>107.10475421379994</v>
          </cell>
          <cell r="AE1678">
            <v>109.4310305642918</v>
          </cell>
          <cell r="AF1678">
            <v>112.55921616408001</v>
          </cell>
          <cell r="AG1678">
            <v>117.47669827572902</v>
          </cell>
          <cell r="AH1678">
            <v>126.59130351144255</v>
          </cell>
        </row>
        <row r="1679">
          <cell r="AD1679">
            <v>107.1131297987562</v>
          </cell>
          <cell r="AE1679">
            <v>109.4396015883915</v>
          </cell>
          <cell r="AF1679">
            <v>112.56773950503937</v>
          </cell>
          <cell r="AG1679">
            <v>117.48507493818305</v>
          </cell>
          <cell r="AH1679">
            <v>126.60042759262666</v>
          </cell>
        </row>
        <row r="1680">
          <cell r="AD1680">
            <v>107.12150538371247</v>
          </cell>
          <cell r="AE1680">
            <v>109.44817261249121</v>
          </cell>
          <cell r="AF1680">
            <v>112.57626284599874</v>
          </cell>
          <cell r="AG1680">
            <v>117.49345160063707</v>
          </cell>
          <cell r="AH1680">
            <v>126.60955167381076</v>
          </cell>
        </row>
        <row r="1681">
          <cell r="AD1681">
            <v>107.12988096866874</v>
          </cell>
          <cell r="AE1681">
            <v>109.45674363659091</v>
          </cell>
          <cell r="AF1681">
            <v>112.5847861869581</v>
          </cell>
          <cell r="AG1681">
            <v>117.50182826309111</v>
          </cell>
          <cell r="AH1681">
            <v>126.61867575499487</v>
          </cell>
        </row>
        <row r="1682">
          <cell r="AD1682">
            <v>107.13825655362503</v>
          </cell>
          <cell r="AE1682">
            <v>109.46531466069061</v>
          </cell>
          <cell r="AF1682">
            <v>112.59330952791746</v>
          </cell>
          <cell r="AG1682">
            <v>117.51020492554514</v>
          </cell>
          <cell r="AH1682">
            <v>126.62779983617897</v>
          </cell>
        </row>
        <row r="1683">
          <cell r="AD1683">
            <v>107.1466321385813</v>
          </cell>
          <cell r="AE1683">
            <v>109.47388568479032</v>
          </cell>
          <cell r="AF1683">
            <v>112.60183286887683</v>
          </cell>
          <cell r="AG1683">
            <v>117.51858158799917</v>
          </cell>
          <cell r="AH1683">
            <v>126.63692391736308</v>
          </cell>
        </row>
        <row r="1684">
          <cell r="AD1684">
            <v>107.15500772353757</v>
          </cell>
          <cell r="AE1684">
            <v>109.48245670889003</v>
          </cell>
          <cell r="AF1684">
            <v>112.61035620983618</v>
          </cell>
          <cell r="AG1684">
            <v>117.52695825045321</v>
          </cell>
          <cell r="AH1684">
            <v>126.64604799854717</v>
          </cell>
        </row>
        <row r="1685">
          <cell r="AD1685">
            <v>107.16338330849383</v>
          </cell>
          <cell r="AE1685">
            <v>109.49102773298972</v>
          </cell>
          <cell r="AF1685">
            <v>112.61887955079555</v>
          </cell>
          <cell r="AG1685">
            <v>117.53533491290723</v>
          </cell>
          <cell r="AH1685">
            <v>126.65517207973129</v>
          </cell>
        </row>
        <row r="1686">
          <cell r="AD1686">
            <v>107.1717588934501</v>
          </cell>
          <cell r="AE1686">
            <v>109.49959875708943</v>
          </cell>
          <cell r="AF1686">
            <v>112.62740289175491</v>
          </cell>
          <cell r="AG1686">
            <v>117.54371157536126</v>
          </cell>
          <cell r="AH1686">
            <v>126.6642961609154</v>
          </cell>
        </row>
        <row r="1687">
          <cell r="AD1687">
            <v>107.18013447840639</v>
          </cell>
          <cell r="AE1687">
            <v>109.50816978118912</v>
          </cell>
          <cell r="AF1687">
            <v>112.63592623271427</v>
          </cell>
          <cell r="AG1687">
            <v>117.55208823781528</v>
          </cell>
          <cell r="AH1687">
            <v>126.6734202420995</v>
          </cell>
        </row>
        <row r="1688">
          <cell r="AD1688">
            <v>107.18851006336266</v>
          </cell>
          <cell r="AE1688">
            <v>109.51674080528883</v>
          </cell>
          <cell r="AF1688">
            <v>112.64444957367364</v>
          </cell>
          <cell r="AG1688">
            <v>117.56046490026932</v>
          </cell>
          <cell r="AH1688">
            <v>126.68254432328361</v>
          </cell>
        </row>
        <row r="1689">
          <cell r="AD1689">
            <v>107.19688564831893</v>
          </cell>
          <cell r="AE1689">
            <v>109.52531182938854</v>
          </cell>
          <cell r="AF1689">
            <v>112.652972914633</v>
          </cell>
          <cell r="AG1689">
            <v>117.56884156272335</v>
          </cell>
          <cell r="AH1689">
            <v>126.69166840446771</v>
          </cell>
        </row>
        <row r="1690">
          <cell r="AD1690">
            <v>107.20526123327519</v>
          </cell>
          <cell r="AE1690">
            <v>109.53388285348824</v>
          </cell>
          <cell r="AF1690">
            <v>112.66149625559237</v>
          </cell>
          <cell r="AG1690">
            <v>117.57721822517738</v>
          </cell>
          <cell r="AH1690">
            <v>126.70079248565182</v>
          </cell>
        </row>
        <row r="1691">
          <cell r="AD1691">
            <v>107.21363681823148</v>
          </cell>
          <cell r="AE1691">
            <v>109.54245387758795</v>
          </cell>
          <cell r="AF1691">
            <v>112.67001959655173</v>
          </cell>
          <cell r="AG1691">
            <v>117.58559488763142</v>
          </cell>
          <cell r="AH1691">
            <v>126.70991656683591</v>
          </cell>
        </row>
        <row r="1692">
          <cell r="AD1692">
            <v>107.22201240318775</v>
          </cell>
          <cell r="AE1692">
            <v>109.55102490168764</v>
          </cell>
          <cell r="AF1692">
            <v>112.67854293751108</v>
          </cell>
          <cell r="AG1692">
            <v>117.59397155008544</v>
          </cell>
          <cell r="AH1692">
            <v>126.71904064802003</v>
          </cell>
        </row>
        <row r="1693">
          <cell r="AD1693">
            <v>107.23038798814402</v>
          </cell>
          <cell r="AE1693">
            <v>109.55959592578735</v>
          </cell>
          <cell r="AF1693">
            <v>112.68706627847045</v>
          </cell>
          <cell r="AG1693">
            <v>117.60234821253947</v>
          </cell>
          <cell r="AH1693">
            <v>126.72816472920414</v>
          </cell>
        </row>
        <row r="1694">
          <cell r="AD1694">
            <v>107.23876357310029</v>
          </cell>
          <cell r="AE1694">
            <v>109.56816694988706</v>
          </cell>
          <cell r="AF1694">
            <v>112.69558961942981</v>
          </cell>
          <cell r="AG1694">
            <v>117.61072487499351</v>
          </cell>
          <cell r="AH1694">
            <v>126.73728881038824</v>
          </cell>
        </row>
        <row r="1695">
          <cell r="AD1695">
            <v>107.24713915805657</v>
          </cell>
          <cell r="AE1695">
            <v>109.57673797398675</v>
          </cell>
          <cell r="AF1695">
            <v>112.70411296038918</v>
          </cell>
          <cell r="AG1695">
            <v>117.61910153744753</v>
          </cell>
          <cell r="AH1695">
            <v>126.74641289157235</v>
          </cell>
        </row>
        <row r="1696">
          <cell r="AD1696">
            <v>107.25551474301284</v>
          </cell>
          <cell r="AE1696">
            <v>109.58530899808646</v>
          </cell>
          <cell r="AF1696">
            <v>112.71263630134854</v>
          </cell>
          <cell r="AG1696">
            <v>117.62747819990156</v>
          </cell>
          <cell r="AH1696">
            <v>126.75553697275645</v>
          </cell>
        </row>
        <row r="1697">
          <cell r="AD1697">
            <v>107.26389032796911</v>
          </cell>
          <cell r="AE1697">
            <v>109.59388002218617</v>
          </cell>
          <cell r="AF1697">
            <v>112.7211596423079</v>
          </cell>
          <cell r="AG1697">
            <v>117.63585486235559</v>
          </cell>
          <cell r="AH1697">
            <v>126.76466105394056</v>
          </cell>
        </row>
        <row r="1698">
          <cell r="AD1698">
            <v>107.27226591292538</v>
          </cell>
          <cell r="AE1698">
            <v>109.60245104628586</v>
          </cell>
          <cell r="AF1698">
            <v>112.72968298326727</v>
          </cell>
          <cell r="AG1698">
            <v>117.64423152480963</v>
          </cell>
          <cell r="AH1698">
            <v>126.77378513512465</v>
          </cell>
        </row>
        <row r="1699">
          <cell r="AD1699">
            <v>107.28064149788165</v>
          </cell>
          <cell r="AE1699">
            <v>109.61102207038557</v>
          </cell>
          <cell r="AF1699">
            <v>112.73820632422662</v>
          </cell>
          <cell r="AG1699">
            <v>117.65260818726365</v>
          </cell>
          <cell r="AH1699">
            <v>126.78290921630877</v>
          </cell>
        </row>
        <row r="1700">
          <cell r="AD1700">
            <v>107.28901708283793</v>
          </cell>
          <cell r="AE1700">
            <v>109.61959309448527</v>
          </cell>
          <cell r="AF1700">
            <v>112.74672966518598</v>
          </cell>
          <cell r="AG1700">
            <v>117.66098484971768</v>
          </cell>
          <cell r="AH1700">
            <v>126.79203329749288</v>
          </cell>
        </row>
        <row r="1701">
          <cell r="AD1701">
            <v>107.2973926677942</v>
          </cell>
          <cell r="AE1701">
            <v>109.62816411858498</v>
          </cell>
          <cell r="AF1701">
            <v>112.75525300614535</v>
          </cell>
          <cell r="AG1701">
            <v>117.66936151217172</v>
          </cell>
          <cell r="AH1701">
            <v>126.80115737867698</v>
          </cell>
        </row>
        <row r="1702">
          <cell r="AD1702">
            <v>107.30576825275047</v>
          </cell>
          <cell r="AE1702">
            <v>109.63673514268469</v>
          </cell>
          <cell r="AF1702">
            <v>112.76377634710471</v>
          </cell>
          <cell r="AG1702">
            <v>117.67773817462574</v>
          </cell>
          <cell r="AH1702">
            <v>126.81028145986109</v>
          </cell>
        </row>
        <row r="1703">
          <cell r="AD1703">
            <v>107.31414383770674</v>
          </cell>
          <cell r="AE1703">
            <v>109.64530616678438</v>
          </cell>
          <cell r="AF1703">
            <v>112.77229968806408</v>
          </cell>
          <cell r="AG1703">
            <v>117.68611483707977</v>
          </cell>
          <cell r="AH1703">
            <v>126.81940554104519</v>
          </cell>
        </row>
        <row r="1704">
          <cell r="AD1704">
            <v>107.32251942266302</v>
          </cell>
          <cell r="AE1704">
            <v>109.65387719088409</v>
          </cell>
          <cell r="AF1704">
            <v>112.78082302902344</v>
          </cell>
          <cell r="AG1704">
            <v>117.6944914995338</v>
          </cell>
          <cell r="AH1704">
            <v>126.8285296222293</v>
          </cell>
        </row>
        <row r="1705">
          <cell r="AD1705">
            <v>107.33089500761929</v>
          </cell>
          <cell r="AE1705">
            <v>109.6624482149838</v>
          </cell>
          <cell r="AF1705">
            <v>112.78934636998279</v>
          </cell>
          <cell r="AG1705">
            <v>117.70286816198784</v>
          </cell>
          <cell r="AH1705">
            <v>126.83765370341339</v>
          </cell>
        </row>
        <row r="1706">
          <cell r="AD1706">
            <v>107.33927059257556</v>
          </cell>
          <cell r="AE1706">
            <v>109.67101923908349</v>
          </cell>
          <cell r="AF1706">
            <v>112.79786971094217</v>
          </cell>
          <cell r="AG1706">
            <v>117.71124482444186</v>
          </cell>
          <cell r="AH1706">
            <v>126.84677778459751</v>
          </cell>
        </row>
        <row r="1707">
          <cell r="AD1707">
            <v>107.34764617753183</v>
          </cell>
          <cell r="AE1707">
            <v>109.6795902631832</v>
          </cell>
          <cell r="AF1707">
            <v>112.80639305190152</v>
          </cell>
          <cell r="AG1707">
            <v>117.71962148689589</v>
          </cell>
          <cell r="AH1707">
            <v>126.8559018657816</v>
          </cell>
        </row>
        <row r="1708">
          <cell r="AD1708">
            <v>107.3560217624881</v>
          </cell>
          <cell r="AE1708">
            <v>109.6881612872829</v>
          </cell>
          <cell r="AF1708">
            <v>112.81491639286089</v>
          </cell>
          <cell r="AG1708">
            <v>117.72799814934993</v>
          </cell>
          <cell r="AH1708">
            <v>126.86502594696572</v>
          </cell>
        </row>
        <row r="1709">
          <cell r="AD1709">
            <v>107.36439734744438</v>
          </cell>
          <cell r="AE1709">
            <v>109.6967323113826</v>
          </cell>
          <cell r="AF1709">
            <v>112.82343973382025</v>
          </cell>
          <cell r="AG1709">
            <v>117.73637481180396</v>
          </cell>
          <cell r="AH1709">
            <v>126.87415002814983</v>
          </cell>
        </row>
        <row r="1710">
          <cell r="AD1710">
            <v>107.37277293240065</v>
          </cell>
          <cell r="AE1710">
            <v>109.70530333548231</v>
          </cell>
          <cell r="AF1710">
            <v>112.83196307477961</v>
          </cell>
          <cell r="AG1710">
            <v>117.74475147425798</v>
          </cell>
          <cell r="AH1710">
            <v>126.88327410933393</v>
          </cell>
        </row>
        <row r="1711">
          <cell r="AD1711">
            <v>107.38114851735692</v>
          </cell>
          <cell r="AE1711">
            <v>109.71387435958201</v>
          </cell>
          <cell r="AF1711">
            <v>112.84048641573898</v>
          </cell>
          <cell r="AG1711">
            <v>117.75312813671202</v>
          </cell>
          <cell r="AH1711">
            <v>126.89239819051804</v>
          </cell>
        </row>
        <row r="1712">
          <cell r="AD1712">
            <v>107.38952410231319</v>
          </cell>
          <cell r="AE1712">
            <v>109.72244538368172</v>
          </cell>
          <cell r="AF1712">
            <v>112.84900975669834</v>
          </cell>
          <cell r="AG1712">
            <v>117.76150479916605</v>
          </cell>
          <cell r="AH1712">
            <v>126.90152227170213</v>
          </cell>
        </row>
        <row r="1713">
          <cell r="AD1713">
            <v>107.39789968726947</v>
          </cell>
          <cell r="AE1713">
            <v>109.73101640778142</v>
          </cell>
          <cell r="AF1713">
            <v>112.85753309765769</v>
          </cell>
          <cell r="AG1713">
            <v>117.76988146162007</v>
          </cell>
          <cell r="AH1713">
            <v>126.91064635288625</v>
          </cell>
        </row>
        <row r="1714">
          <cell r="AD1714">
            <v>107.40627527222574</v>
          </cell>
          <cell r="AE1714">
            <v>109.73958743188112</v>
          </cell>
          <cell r="AF1714">
            <v>112.86605643861706</v>
          </cell>
          <cell r="AG1714">
            <v>117.7782581240741</v>
          </cell>
          <cell r="AH1714">
            <v>126.91977043407034</v>
          </cell>
        </row>
        <row r="1715">
          <cell r="AD1715">
            <v>107.41465085718201</v>
          </cell>
          <cell r="AE1715">
            <v>109.74815845598083</v>
          </cell>
          <cell r="AF1715">
            <v>112.87457977957642</v>
          </cell>
          <cell r="AG1715">
            <v>117.78663478652814</v>
          </cell>
          <cell r="AH1715">
            <v>126.92889451525446</v>
          </cell>
        </row>
        <row r="1716">
          <cell r="AD1716">
            <v>107.42302644213828</v>
          </cell>
          <cell r="AE1716">
            <v>109.75672948008052</v>
          </cell>
          <cell r="AF1716">
            <v>112.88310312053579</v>
          </cell>
          <cell r="AG1716">
            <v>117.79501144898217</v>
          </cell>
          <cell r="AH1716">
            <v>126.93801859643857</v>
          </cell>
        </row>
        <row r="1717">
          <cell r="AD1717">
            <v>107.43140202709456</v>
          </cell>
          <cell r="AE1717">
            <v>109.76530050418023</v>
          </cell>
          <cell r="AF1717">
            <v>112.89162646149515</v>
          </cell>
          <cell r="AG1717">
            <v>117.80338811143619</v>
          </cell>
          <cell r="AH1717">
            <v>126.94714267762267</v>
          </cell>
        </row>
        <row r="1718">
          <cell r="AD1718">
            <v>107.43977761205083</v>
          </cell>
          <cell r="AE1718">
            <v>109.77387152827994</v>
          </cell>
          <cell r="AF1718">
            <v>112.90014980245451</v>
          </cell>
          <cell r="AG1718">
            <v>117.81176477389023</v>
          </cell>
          <cell r="AH1718">
            <v>126.95626675880678</v>
          </cell>
        </row>
        <row r="1719">
          <cell r="AD1719">
            <v>107.4481531970071</v>
          </cell>
          <cell r="AE1719">
            <v>109.78244255237964</v>
          </cell>
          <cell r="AF1719">
            <v>112.90867314341388</v>
          </cell>
          <cell r="AG1719">
            <v>117.82014143634426</v>
          </cell>
          <cell r="AH1719">
            <v>126.96539083999087</v>
          </cell>
        </row>
        <row r="1720">
          <cell r="AD1720">
            <v>107.45652878196337</v>
          </cell>
          <cell r="AE1720">
            <v>109.79101357647934</v>
          </cell>
          <cell r="AF1720">
            <v>112.91719648437324</v>
          </cell>
          <cell r="AG1720">
            <v>117.82851809879828</v>
          </cell>
          <cell r="AH1720">
            <v>126.97451492117499</v>
          </cell>
        </row>
        <row r="1721">
          <cell r="AD1721">
            <v>107.46490436691964</v>
          </cell>
          <cell r="AE1721">
            <v>109.79958460057904</v>
          </cell>
          <cell r="AF1721">
            <v>112.92571982533261</v>
          </cell>
          <cell r="AG1721">
            <v>117.83689476125231</v>
          </cell>
          <cell r="AH1721">
            <v>126.98363900235908</v>
          </cell>
        </row>
        <row r="1722">
          <cell r="AD1722">
            <v>107.47327995187592</v>
          </cell>
          <cell r="AE1722">
            <v>109.80815562467875</v>
          </cell>
          <cell r="AF1722">
            <v>112.93424316629196</v>
          </cell>
          <cell r="AG1722">
            <v>117.84527142370635</v>
          </cell>
          <cell r="AH1722">
            <v>126.9927630835432</v>
          </cell>
        </row>
        <row r="1723">
          <cell r="AD1723">
            <v>107.48165553683219</v>
          </cell>
          <cell r="AE1723">
            <v>109.81672664877846</v>
          </cell>
          <cell r="AF1723">
            <v>112.94276650725132</v>
          </cell>
          <cell r="AG1723">
            <v>117.85364808616038</v>
          </cell>
          <cell r="AH1723">
            <v>127.00173553283786</v>
          </cell>
        </row>
        <row r="1724">
          <cell r="AD1724">
            <v>107.49003112178846</v>
          </cell>
          <cell r="AE1724">
            <v>109.82529767287815</v>
          </cell>
          <cell r="AF1724">
            <v>112.95128984821069</v>
          </cell>
          <cell r="AG1724">
            <v>117.8620247486144</v>
          </cell>
          <cell r="AH1724">
            <v>127.01012650278408</v>
          </cell>
        </row>
        <row r="1725">
          <cell r="AD1725">
            <v>107.49840670674473</v>
          </cell>
          <cell r="AE1725">
            <v>109.83386869697786</v>
          </cell>
          <cell r="AF1725">
            <v>112.95981318917005</v>
          </cell>
          <cell r="AG1725">
            <v>117.87040141106844</v>
          </cell>
          <cell r="AH1725">
            <v>127.01851747273028</v>
          </cell>
        </row>
        <row r="1726">
          <cell r="AD1726">
            <v>107.50678229170101</v>
          </cell>
          <cell r="AE1726">
            <v>109.84243972107757</v>
          </cell>
          <cell r="AF1726">
            <v>112.96833653012941</v>
          </cell>
          <cell r="AG1726">
            <v>117.87877807352247</v>
          </cell>
          <cell r="AH1726">
            <v>127.02690844267649</v>
          </cell>
        </row>
        <row r="1727">
          <cell r="AD1727">
            <v>107.51515787665728</v>
          </cell>
          <cell r="AE1727">
            <v>109.85101074517726</v>
          </cell>
          <cell r="AF1727">
            <v>112.97685987108878</v>
          </cell>
          <cell r="AG1727">
            <v>117.88715473597649</v>
          </cell>
          <cell r="AH1727">
            <v>127.03529941262269</v>
          </cell>
        </row>
        <row r="1728">
          <cell r="AD1728">
            <v>107.52353346161355</v>
          </cell>
          <cell r="AE1728">
            <v>109.85958176927697</v>
          </cell>
          <cell r="AF1728">
            <v>112.98538321204813</v>
          </cell>
          <cell r="AG1728">
            <v>117.89553139843053</v>
          </cell>
          <cell r="AH1728">
            <v>127.04369038256891</v>
          </cell>
        </row>
        <row r="1729">
          <cell r="AD1729">
            <v>107.53190904656982</v>
          </cell>
          <cell r="AE1729">
            <v>109.86815279337667</v>
          </cell>
          <cell r="AF1729">
            <v>112.99390655300751</v>
          </cell>
          <cell r="AG1729">
            <v>117.90390806088456</v>
          </cell>
          <cell r="AH1729">
            <v>127.05208135251512</v>
          </cell>
        </row>
        <row r="1730">
          <cell r="AD1730">
            <v>107.54028463152611</v>
          </cell>
          <cell r="AE1730">
            <v>109.87672381747637</v>
          </cell>
          <cell r="AF1730">
            <v>113.00238248921141</v>
          </cell>
          <cell r="AG1730">
            <v>117.91228472333859</v>
          </cell>
          <cell r="AH1730">
            <v>127.06047232246132</v>
          </cell>
        </row>
        <row r="1731">
          <cell r="AD1731">
            <v>107.54866021648238</v>
          </cell>
          <cell r="AE1731">
            <v>109.88529484157608</v>
          </cell>
          <cell r="AF1731">
            <v>113.0107395484732</v>
          </cell>
          <cell r="AG1731">
            <v>117.92066138579261</v>
          </cell>
          <cell r="AH1731">
            <v>127.06886329240753</v>
          </cell>
        </row>
        <row r="1732">
          <cell r="AD1732">
            <v>107.55703580143864</v>
          </cell>
          <cell r="AE1732">
            <v>109.89386586567578</v>
          </cell>
          <cell r="AF1732">
            <v>113.01909660773497</v>
          </cell>
          <cell r="AG1732">
            <v>117.92903804824665</v>
          </cell>
          <cell r="AH1732">
            <v>127.07725426235373</v>
          </cell>
        </row>
        <row r="1733">
          <cell r="AD1733">
            <v>107.56541138639491</v>
          </cell>
          <cell r="AE1733">
            <v>109.90243688977549</v>
          </cell>
          <cell r="AF1733">
            <v>113.02745366699675</v>
          </cell>
          <cell r="AG1733">
            <v>117.93741471070068</v>
          </cell>
          <cell r="AH1733">
            <v>127.08564523229995</v>
          </cell>
        </row>
        <row r="1734">
          <cell r="AD1734">
            <v>107.57378697135118</v>
          </cell>
          <cell r="AE1734">
            <v>109.9110079138752</v>
          </cell>
          <cell r="AF1734">
            <v>113.03581072625853</v>
          </cell>
          <cell r="AG1734">
            <v>117.94579137315471</v>
          </cell>
          <cell r="AH1734">
            <v>127.09403620224616</v>
          </cell>
        </row>
        <row r="1735">
          <cell r="AD1735">
            <v>107.58216255630747</v>
          </cell>
          <cell r="AE1735">
            <v>109.91957893797489</v>
          </cell>
          <cell r="AF1735">
            <v>113.0441677855203</v>
          </cell>
          <cell r="AG1735">
            <v>117.95416803560875</v>
          </cell>
          <cell r="AH1735">
            <v>127.10242717219236</v>
          </cell>
        </row>
        <row r="1736">
          <cell r="AD1736">
            <v>107.59053814126374</v>
          </cell>
          <cell r="AE1736">
            <v>109.9281499620746</v>
          </cell>
          <cell r="AF1736">
            <v>113.05252484478208</v>
          </cell>
          <cell r="AG1736">
            <v>117.96254469806277</v>
          </cell>
          <cell r="AH1736">
            <v>127.11081814213857</v>
          </cell>
        </row>
        <row r="1737">
          <cell r="AD1737">
            <v>107.59891372622</v>
          </cell>
          <cell r="AE1737">
            <v>109.93672098617429</v>
          </cell>
          <cell r="AF1737">
            <v>113.06088190404387</v>
          </cell>
          <cell r="AG1737">
            <v>117.9709213605168</v>
          </cell>
          <cell r="AH1737">
            <v>127.11920911208479</v>
          </cell>
        </row>
        <row r="1738">
          <cell r="AD1738">
            <v>107.60728931117627</v>
          </cell>
          <cell r="AE1738">
            <v>109.945292010274</v>
          </cell>
          <cell r="AF1738">
            <v>113.06923896330564</v>
          </cell>
          <cell r="AG1738">
            <v>117.97929802297082</v>
          </cell>
          <cell r="AH1738">
            <v>127.12760008203099</v>
          </cell>
        </row>
        <row r="1739">
          <cell r="AD1739">
            <v>107.61566489613256</v>
          </cell>
          <cell r="AE1739">
            <v>109.95386303437371</v>
          </cell>
          <cell r="AF1739">
            <v>113.07759602256742</v>
          </cell>
          <cell r="AG1739">
            <v>117.98767468542486</v>
          </cell>
          <cell r="AH1739">
            <v>127.1359910519772</v>
          </cell>
        </row>
        <row r="1740">
          <cell r="AD1740">
            <v>107.62404048108883</v>
          </cell>
          <cell r="AE1740">
            <v>109.96243405847341</v>
          </cell>
          <cell r="AF1740">
            <v>113.08595308182919</v>
          </cell>
          <cell r="AG1740">
            <v>117.99605134787889</v>
          </cell>
          <cell r="AH1740">
            <v>127.14438202192341</v>
          </cell>
        </row>
        <row r="1741">
          <cell r="AD1741">
            <v>107.6324160660451</v>
          </cell>
          <cell r="AE1741">
            <v>109.97100508257311</v>
          </cell>
          <cell r="AF1741">
            <v>113.09431014109097</v>
          </cell>
          <cell r="AG1741">
            <v>118.00419915392548</v>
          </cell>
          <cell r="AH1741">
            <v>127.15277299186963</v>
          </cell>
        </row>
        <row r="1742">
          <cell r="AD1742">
            <v>107.64079165100136</v>
          </cell>
          <cell r="AE1742">
            <v>109.97957610667282</v>
          </cell>
          <cell r="AF1742">
            <v>113.10266720035276</v>
          </cell>
          <cell r="AG1742">
            <v>118.01214287861934</v>
          </cell>
          <cell r="AH1742">
            <v>127.16116396181583</v>
          </cell>
        </row>
        <row r="1743">
          <cell r="AD1743">
            <v>107.64916723595765</v>
          </cell>
          <cell r="AE1743">
            <v>109.98814713077252</v>
          </cell>
          <cell r="AF1743">
            <v>113.11102425961452</v>
          </cell>
          <cell r="AG1743">
            <v>118.0200866033132</v>
          </cell>
          <cell r="AH1743">
            <v>127.16955493176204</v>
          </cell>
        </row>
        <row r="1744">
          <cell r="AD1744">
            <v>107.65754282091392</v>
          </cell>
          <cell r="AE1744">
            <v>109.99671815487223</v>
          </cell>
          <cell r="AF1744">
            <v>113.11938131887631</v>
          </cell>
          <cell r="AG1744">
            <v>118.02803032800706</v>
          </cell>
          <cell r="AH1744">
            <v>127.17794590170824</v>
          </cell>
        </row>
        <row r="1745">
          <cell r="AD1745">
            <v>107.66591840587019</v>
          </cell>
          <cell r="AE1745">
            <v>110.00483321725318</v>
          </cell>
          <cell r="AF1745">
            <v>113.12773837813808</v>
          </cell>
          <cell r="AG1745">
            <v>118.03597405270092</v>
          </cell>
          <cell r="AH1745">
            <v>127.18633687165446</v>
          </cell>
        </row>
        <row r="1746">
          <cell r="AD1746">
            <v>107.67429399082646</v>
          </cell>
          <cell r="AE1746">
            <v>110.01266536318282</v>
          </cell>
          <cell r="AF1746">
            <v>113.13609543739986</v>
          </cell>
          <cell r="AG1746">
            <v>118.04391777739478</v>
          </cell>
          <cell r="AH1746">
            <v>127.19472784160067</v>
          </cell>
        </row>
        <row r="1747">
          <cell r="AD1747">
            <v>107.68266957578273</v>
          </cell>
          <cell r="AE1747">
            <v>110.02049750911246</v>
          </cell>
          <cell r="AF1747">
            <v>113.14445249666164</v>
          </cell>
          <cell r="AG1747">
            <v>118.05186150208864</v>
          </cell>
          <cell r="AH1747">
            <v>127.20311881154687</v>
          </cell>
        </row>
        <row r="1748">
          <cell r="AD1748">
            <v>107.69104516073901</v>
          </cell>
          <cell r="AE1748">
            <v>110.0283296550421</v>
          </cell>
          <cell r="AF1748">
            <v>113.15280955592341</v>
          </cell>
          <cell r="AG1748">
            <v>118.0598052267825</v>
          </cell>
          <cell r="AH1748">
            <v>127.21150978149308</v>
          </cell>
        </row>
        <row r="1749">
          <cell r="AD1749">
            <v>107.69942074569528</v>
          </cell>
          <cell r="AE1749">
            <v>110.03616180097174</v>
          </cell>
          <cell r="AF1749">
            <v>113.16116661518519</v>
          </cell>
          <cell r="AG1749">
            <v>118.06774895147636</v>
          </cell>
          <cell r="AH1749">
            <v>127.2199007514393</v>
          </cell>
        </row>
        <row r="1750">
          <cell r="AD1750">
            <v>107.70779633065155</v>
          </cell>
          <cell r="AE1750">
            <v>110.04399394690138</v>
          </cell>
          <cell r="AF1750">
            <v>113.16952367444696</v>
          </cell>
          <cell r="AG1750">
            <v>118.07569267617022</v>
          </cell>
          <cell r="AH1750">
            <v>127.2282917213855</v>
          </cell>
        </row>
        <row r="1751">
          <cell r="AD1751">
            <v>107.71617191560782</v>
          </cell>
          <cell r="AE1751">
            <v>110.05182609283102</v>
          </cell>
          <cell r="AF1751">
            <v>113.17788073370875</v>
          </cell>
          <cell r="AG1751">
            <v>118.08363640086408</v>
          </cell>
          <cell r="AH1751">
            <v>127.23668269133171</v>
          </cell>
        </row>
        <row r="1752">
          <cell r="AD1752">
            <v>107.7245475005641</v>
          </cell>
          <cell r="AE1752">
            <v>110.05965823876065</v>
          </cell>
          <cell r="AF1752">
            <v>113.18623779297053</v>
          </cell>
          <cell r="AG1752">
            <v>118.09158012555794</v>
          </cell>
          <cell r="AH1752">
            <v>127.24507366127791</v>
          </cell>
        </row>
        <row r="1753">
          <cell r="AD1753">
            <v>107.73292308552037</v>
          </cell>
          <cell r="AE1753">
            <v>110.06749038469029</v>
          </cell>
          <cell r="AF1753">
            <v>113.1945948522323</v>
          </cell>
          <cell r="AG1753">
            <v>118.0995238502518</v>
          </cell>
          <cell r="AH1753">
            <v>127.25346463122413</v>
          </cell>
        </row>
        <row r="1754">
          <cell r="AD1754">
            <v>107.74129867047664</v>
          </cell>
          <cell r="AE1754">
            <v>110.07532253061993</v>
          </cell>
          <cell r="AF1754">
            <v>113.20295191149408</v>
          </cell>
          <cell r="AG1754">
            <v>118.10746757494566</v>
          </cell>
          <cell r="AH1754">
            <v>127.26185560117034</v>
          </cell>
        </row>
        <row r="1755">
          <cell r="AD1755">
            <v>107.74967425543291</v>
          </cell>
          <cell r="AE1755">
            <v>110.08315467654957</v>
          </cell>
          <cell r="AF1755">
            <v>113.21130897075587</v>
          </cell>
          <cell r="AG1755">
            <v>118.11541129963952</v>
          </cell>
          <cell r="AH1755">
            <v>127.27024657111654</v>
          </cell>
        </row>
        <row r="1756">
          <cell r="AD1756">
            <v>107.75804984038919</v>
          </cell>
          <cell r="AE1756">
            <v>110.09098682247921</v>
          </cell>
          <cell r="AF1756">
            <v>113.21966603001763</v>
          </cell>
          <cell r="AG1756">
            <v>118.12335502433338</v>
          </cell>
          <cell r="AH1756">
            <v>127.27863754106275</v>
          </cell>
        </row>
        <row r="1757">
          <cell r="AD1757">
            <v>107.76642542534546</v>
          </cell>
          <cell r="AE1757">
            <v>110.09881896840885</v>
          </cell>
          <cell r="AF1757">
            <v>113.22802308927942</v>
          </cell>
          <cell r="AG1757">
            <v>118.13129874902724</v>
          </cell>
          <cell r="AH1757">
            <v>127.28702851100897</v>
          </cell>
        </row>
        <row r="1758">
          <cell r="AD1758">
            <v>107.77480101030173</v>
          </cell>
          <cell r="AE1758">
            <v>110.10665111433849</v>
          </cell>
          <cell r="AF1758">
            <v>113.23638014854119</v>
          </cell>
          <cell r="AG1758">
            <v>118.1392424737211</v>
          </cell>
          <cell r="AH1758">
            <v>127.29541948095518</v>
          </cell>
        </row>
        <row r="1759">
          <cell r="AD1759">
            <v>107.783176595258</v>
          </cell>
          <cell r="AE1759">
            <v>110.11448326026813</v>
          </cell>
          <cell r="AF1759">
            <v>113.24473720780297</v>
          </cell>
          <cell r="AG1759">
            <v>118.14718619841496</v>
          </cell>
          <cell r="AH1759">
            <v>127.30381045090138</v>
          </cell>
        </row>
        <row r="1760">
          <cell r="AD1760">
            <v>107.79155218021427</v>
          </cell>
          <cell r="AE1760">
            <v>110.12231540619777</v>
          </cell>
          <cell r="AF1760">
            <v>113.25309426706475</v>
          </cell>
          <cell r="AG1760">
            <v>118.15512992310882</v>
          </cell>
          <cell r="AH1760">
            <v>127.31220142084759</v>
          </cell>
        </row>
        <row r="1761">
          <cell r="AD1761">
            <v>107.79992776517055</v>
          </cell>
          <cell r="AE1761">
            <v>110.13014755212741</v>
          </cell>
          <cell r="AF1761">
            <v>113.26145132632652</v>
          </cell>
          <cell r="AG1761">
            <v>118.16307364780268</v>
          </cell>
          <cell r="AH1761">
            <v>127.32059239079379</v>
          </cell>
        </row>
        <row r="1762">
          <cell r="AD1762">
            <v>107.80830335012682</v>
          </cell>
          <cell r="AE1762">
            <v>110.13797969805704</v>
          </cell>
          <cell r="AF1762">
            <v>113.26980838558831</v>
          </cell>
          <cell r="AG1762">
            <v>118.17101737249654</v>
          </cell>
          <cell r="AH1762">
            <v>127.32898336074001</v>
          </cell>
        </row>
        <row r="1763">
          <cell r="AD1763">
            <v>107.81667893508309</v>
          </cell>
          <cell r="AE1763">
            <v>110.14581184398668</v>
          </cell>
          <cell r="AF1763">
            <v>113.27816544485007</v>
          </cell>
          <cell r="AG1763">
            <v>118.1789610971904</v>
          </cell>
          <cell r="AH1763">
            <v>127.33737433068622</v>
          </cell>
        </row>
        <row r="1764">
          <cell r="AD1764">
            <v>107.82505452003936</v>
          </cell>
          <cell r="AE1764">
            <v>110.15364398991632</v>
          </cell>
          <cell r="AF1764">
            <v>113.28652250411186</v>
          </cell>
          <cell r="AG1764">
            <v>118.18690482188426</v>
          </cell>
          <cell r="AH1764">
            <v>127.34576530063242</v>
          </cell>
        </row>
        <row r="1765">
          <cell r="AD1765">
            <v>107.83343010499564</v>
          </cell>
          <cell r="AE1765">
            <v>110.16147613584596</v>
          </cell>
          <cell r="AF1765">
            <v>113.29487956337364</v>
          </cell>
          <cell r="AG1765">
            <v>118.19484854657811</v>
          </cell>
          <cell r="AH1765">
            <v>127.35415627057863</v>
          </cell>
        </row>
        <row r="1766">
          <cell r="AD1766">
            <v>107.84180568995191</v>
          </cell>
          <cell r="AE1766">
            <v>110.1693082817756</v>
          </cell>
          <cell r="AF1766">
            <v>113.30323662263541</v>
          </cell>
          <cell r="AG1766">
            <v>118.20279227127197</v>
          </cell>
          <cell r="AH1766">
            <v>127.36254724052485</v>
          </cell>
        </row>
        <row r="1767">
          <cell r="AD1767">
            <v>107.85018127490818</v>
          </cell>
          <cell r="AE1767">
            <v>110.17714042770524</v>
          </cell>
          <cell r="AF1767">
            <v>113.31159368189719</v>
          </cell>
          <cell r="AG1767">
            <v>118.21073599596583</v>
          </cell>
          <cell r="AH1767">
            <v>127.37093821047105</v>
          </cell>
        </row>
        <row r="1768">
          <cell r="AD1768">
            <v>107.85855685986445</v>
          </cell>
          <cell r="AE1768">
            <v>110.18497257363488</v>
          </cell>
          <cell r="AF1768">
            <v>113.31995074115898</v>
          </cell>
          <cell r="AG1768">
            <v>118.21867972065971</v>
          </cell>
          <cell r="AH1768">
            <v>127.37932918041726</v>
          </cell>
        </row>
        <row r="1769">
          <cell r="AD1769">
            <v>107.86693244482073</v>
          </cell>
          <cell r="AE1769">
            <v>110.19280471956452</v>
          </cell>
          <cell r="AF1769">
            <v>113.32830780042075</v>
          </cell>
          <cell r="AG1769">
            <v>118.22662344535357</v>
          </cell>
          <cell r="AH1769">
            <v>127.38772015036346</v>
          </cell>
        </row>
        <row r="1770">
          <cell r="AD1770">
            <v>107.875308029777</v>
          </cell>
          <cell r="AE1770">
            <v>110.20063686549416</v>
          </cell>
          <cell r="AF1770">
            <v>113.33666485968253</v>
          </cell>
          <cell r="AG1770">
            <v>118.23456717004743</v>
          </cell>
          <cell r="AH1770">
            <v>127.39611112030968</v>
          </cell>
        </row>
        <row r="1771">
          <cell r="AD1771">
            <v>107.88368361473327</v>
          </cell>
          <cell r="AE1771">
            <v>110.2084690114238</v>
          </cell>
          <cell r="AF1771">
            <v>113.3450219189443</v>
          </cell>
          <cell r="AG1771">
            <v>118.24251089474129</v>
          </cell>
          <cell r="AH1771">
            <v>127.40450209025589</v>
          </cell>
        </row>
        <row r="1772">
          <cell r="AD1772">
            <v>107.89205919968954</v>
          </cell>
          <cell r="AE1772">
            <v>110.21630115735344</v>
          </cell>
          <cell r="AF1772">
            <v>113.35337897820608</v>
          </cell>
          <cell r="AG1772">
            <v>118.25045461943515</v>
          </cell>
          <cell r="AH1772">
            <v>127.41289306020209</v>
          </cell>
        </row>
        <row r="1773">
          <cell r="AD1773">
            <v>107.90043478464581</v>
          </cell>
          <cell r="AE1773">
            <v>110.22413330328307</v>
          </cell>
          <cell r="AF1773">
            <v>113.36173603746786</v>
          </cell>
          <cell r="AG1773">
            <v>118.25839834412901</v>
          </cell>
          <cell r="AH1773">
            <v>127.4212840301483</v>
          </cell>
        </row>
        <row r="1774">
          <cell r="AD1774">
            <v>107.90881036960209</v>
          </cell>
          <cell r="AE1774">
            <v>110.23196544921271</v>
          </cell>
          <cell r="AF1774">
            <v>113.37009309672963</v>
          </cell>
          <cell r="AG1774">
            <v>118.26634206882287</v>
          </cell>
          <cell r="AH1774">
            <v>127.42967500009452</v>
          </cell>
        </row>
        <row r="1775">
          <cell r="AD1775">
            <v>107.91718595455836</v>
          </cell>
          <cell r="AE1775">
            <v>110.23979759514235</v>
          </cell>
          <cell r="AF1775">
            <v>113.37845015599142</v>
          </cell>
          <cell r="AG1775">
            <v>118.27428579351673</v>
          </cell>
          <cell r="AH1775">
            <v>127.43806597004073</v>
          </cell>
        </row>
        <row r="1776">
          <cell r="AD1776">
            <v>107.92556153951463</v>
          </cell>
          <cell r="AE1776">
            <v>110.24762974107199</v>
          </cell>
          <cell r="AF1776">
            <v>113.38680721525319</v>
          </cell>
          <cell r="AG1776">
            <v>118.28222951821058</v>
          </cell>
          <cell r="AH1776">
            <v>127.44645693998693</v>
          </cell>
        </row>
        <row r="1777">
          <cell r="AD1777">
            <v>107.9339371244709</v>
          </cell>
          <cell r="AE1777">
            <v>110.25546188700163</v>
          </cell>
          <cell r="AF1777">
            <v>113.39516427451497</v>
          </cell>
          <cell r="AG1777">
            <v>118.29017324290444</v>
          </cell>
          <cell r="AH1777">
            <v>127.45484790993314</v>
          </cell>
        </row>
        <row r="1778">
          <cell r="AD1778">
            <v>107.94231270942718</v>
          </cell>
          <cell r="AE1778">
            <v>110.26329403293127</v>
          </cell>
          <cell r="AF1778">
            <v>113.40352133377675</v>
          </cell>
          <cell r="AG1778">
            <v>118.2981169675983</v>
          </cell>
          <cell r="AH1778">
            <v>127.46323887987936</v>
          </cell>
        </row>
        <row r="1779">
          <cell r="AD1779">
            <v>107.95068829438345</v>
          </cell>
          <cell r="AE1779">
            <v>110.27112617886091</v>
          </cell>
          <cell r="AF1779">
            <v>113.41187839303852</v>
          </cell>
          <cell r="AG1779">
            <v>118.30606069229216</v>
          </cell>
          <cell r="AH1779">
            <v>127.47162984982556</v>
          </cell>
        </row>
        <row r="1780">
          <cell r="AD1780">
            <v>107.95906387933972</v>
          </cell>
          <cell r="AE1780">
            <v>110.27895832479055</v>
          </cell>
          <cell r="AF1780">
            <v>113.4202354523003</v>
          </cell>
          <cell r="AG1780">
            <v>118.31400441698602</v>
          </cell>
          <cell r="AH1780">
            <v>127.48002081977177</v>
          </cell>
        </row>
        <row r="1781">
          <cell r="AD1781">
            <v>107.96743946429599</v>
          </cell>
          <cell r="AE1781">
            <v>110.28679047072019</v>
          </cell>
          <cell r="AF1781">
            <v>113.42859251156209</v>
          </cell>
          <cell r="AG1781">
            <v>118.32194814167988</v>
          </cell>
          <cell r="AH1781">
            <v>127.48841178971797</v>
          </cell>
        </row>
        <row r="1782">
          <cell r="AD1782">
            <v>107.97581504925228</v>
          </cell>
          <cell r="AE1782">
            <v>110.29462261664983</v>
          </cell>
          <cell r="AF1782">
            <v>113.43694957082386</v>
          </cell>
          <cell r="AG1782">
            <v>118.32989186637374</v>
          </cell>
          <cell r="AH1782">
            <v>127.49680275966419</v>
          </cell>
        </row>
        <row r="1783">
          <cell r="AD1783">
            <v>107.98419063420855</v>
          </cell>
          <cell r="AE1783">
            <v>110.30245476257946</v>
          </cell>
          <cell r="AF1783">
            <v>113.44530663008564</v>
          </cell>
          <cell r="AG1783">
            <v>118.3378355910676</v>
          </cell>
          <cell r="AH1783">
            <v>127.5051937296104</v>
          </cell>
        </row>
        <row r="1784">
          <cell r="AD1784">
            <v>107.99256621916481</v>
          </cell>
          <cell r="AE1784">
            <v>110.3102869085091</v>
          </cell>
          <cell r="AF1784">
            <v>113.45366368934741</v>
          </cell>
          <cell r="AG1784">
            <v>118.34577931576146</v>
          </cell>
          <cell r="AH1784">
            <v>127.5135846995566</v>
          </cell>
        </row>
        <row r="1785">
          <cell r="AD1785">
            <v>108.00087873431654</v>
          </cell>
          <cell r="AE1785">
            <v>110.31811905443874</v>
          </cell>
          <cell r="AF1785">
            <v>113.46202074860919</v>
          </cell>
          <cell r="AG1785">
            <v>118.35372304045532</v>
          </cell>
          <cell r="AH1785">
            <v>127.52197566950281</v>
          </cell>
        </row>
        <row r="1786">
          <cell r="AD1786">
            <v>108.00869343140415</v>
          </cell>
          <cell r="AE1786">
            <v>110.32595120036838</v>
          </cell>
          <cell r="AF1786">
            <v>113.47037780787097</v>
          </cell>
          <cell r="AG1786">
            <v>118.36166676514918</v>
          </cell>
          <cell r="AH1786">
            <v>127.53036663944903</v>
          </cell>
        </row>
        <row r="1787">
          <cell r="AD1787">
            <v>108.01650812849178</v>
          </cell>
          <cell r="AE1787">
            <v>110.33378334629802</v>
          </cell>
          <cell r="AF1787">
            <v>113.47873486713274</v>
          </cell>
          <cell r="AG1787">
            <v>118.36961048984304</v>
          </cell>
          <cell r="AH1787">
            <v>127.53875760939523</v>
          </cell>
        </row>
        <row r="1788">
          <cell r="AD1788">
            <v>108.0243228255794</v>
          </cell>
          <cell r="AE1788">
            <v>110.34161549222766</v>
          </cell>
          <cell r="AF1788">
            <v>113.48709192639453</v>
          </cell>
          <cell r="AG1788">
            <v>118.3775542145369</v>
          </cell>
          <cell r="AH1788">
            <v>127.54714857934144</v>
          </cell>
        </row>
        <row r="1789">
          <cell r="AD1789">
            <v>108.03213752266703</v>
          </cell>
          <cell r="AE1789">
            <v>110.3494476381573</v>
          </cell>
          <cell r="AF1789">
            <v>113.4954489856563</v>
          </cell>
          <cell r="AG1789">
            <v>118.38549793923076</v>
          </cell>
          <cell r="AH1789">
            <v>127.55553954928764</v>
          </cell>
        </row>
        <row r="1790">
          <cell r="AD1790">
            <v>108.03995221975465</v>
          </cell>
          <cell r="AE1790">
            <v>110.35727978408694</v>
          </cell>
          <cell r="AF1790">
            <v>113.50380604491808</v>
          </cell>
          <cell r="AG1790">
            <v>118.39344166392462</v>
          </cell>
          <cell r="AH1790">
            <v>127.56393051923385</v>
          </cell>
        </row>
        <row r="1791">
          <cell r="AD1791">
            <v>108.04776691684226</v>
          </cell>
          <cell r="AE1791">
            <v>110.36511193001658</v>
          </cell>
          <cell r="AF1791">
            <v>113.51216310417986</v>
          </cell>
          <cell r="AG1791">
            <v>118.40138538861848</v>
          </cell>
          <cell r="AH1791">
            <v>127.57232148918007</v>
          </cell>
        </row>
        <row r="1792">
          <cell r="AD1792">
            <v>108.05558161392989</v>
          </cell>
          <cell r="AE1792">
            <v>110.37294407594622</v>
          </cell>
          <cell r="AF1792">
            <v>113.52052016344163</v>
          </cell>
          <cell r="AG1792">
            <v>118.40932911331234</v>
          </cell>
          <cell r="AH1792">
            <v>127.58071245912627</v>
          </cell>
        </row>
        <row r="1793">
          <cell r="AD1793">
            <v>108.06339631101751</v>
          </cell>
          <cell r="AE1793">
            <v>110.38077622187586</v>
          </cell>
          <cell r="AF1793">
            <v>113.52887722270341</v>
          </cell>
          <cell r="AG1793">
            <v>118.4172728380062</v>
          </cell>
          <cell r="AH1793">
            <v>127.58910342907248</v>
          </cell>
        </row>
        <row r="1794">
          <cell r="AD1794">
            <v>108.07121100810514</v>
          </cell>
          <cell r="AE1794">
            <v>110.38860836780549</v>
          </cell>
          <cell r="AF1794">
            <v>113.53723428196518</v>
          </cell>
          <cell r="AG1794">
            <v>118.42521656270006</v>
          </cell>
          <cell r="AH1794">
            <v>127.59749439901869</v>
          </cell>
        </row>
        <row r="1795">
          <cell r="AD1795">
            <v>108.07902570519276</v>
          </cell>
          <cell r="AE1795">
            <v>110.39644051373513</v>
          </cell>
          <cell r="AF1795">
            <v>113.54559134122697</v>
          </cell>
          <cell r="AG1795">
            <v>118.43316028739392</v>
          </cell>
          <cell r="AH1795">
            <v>127.60588536896491</v>
          </cell>
        </row>
        <row r="1796">
          <cell r="AD1796">
            <v>108.08684040228037</v>
          </cell>
          <cell r="AE1796">
            <v>110.40427265966477</v>
          </cell>
          <cell r="AF1796">
            <v>113.55394840048875</v>
          </cell>
          <cell r="AG1796">
            <v>118.44110401208778</v>
          </cell>
          <cell r="AH1796">
            <v>127.61427633891111</v>
          </cell>
        </row>
        <row r="1797">
          <cell r="AD1797">
            <v>108.094655099368</v>
          </cell>
          <cell r="AE1797">
            <v>110.41210480559441</v>
          </cell>
          <cell r="AF1797">
            <v>113.56230545975052</v>
          </cell>
          <cell r="AG1797">
            <v>118.44904773678164</v>
          </cell>
          <cell r="AH1797">
            <v>127.62266730885732</v>
          </cell>
        </row>
        <row r="1798">
          <cell r="AD1798">
            <v>108.10246979645562</v>
          </cell>
          <cell r="AE1798">
            <v>110.41993695152405</v>
          </cell>
          <cell r="AF1798">
            <v>113.5706625190123</v>
          </cell>
          <cell r="AG1798">
            <v>118.4569914614755</v>
          </cell>
          <cell r="AH1798">
            <v>127.63105827880352</v>
          </cell>
        </row>
        <row r="1799">
          <cell r="AD1799">
            <v>108.11028449354325</v>
          </cell>
          <cell r="AE1799">
            <v>110.42776909745369</v>
          </cell>
          <cell r="AF1799">
            <v>113.57901957827409</v>
          </cell>
          <cell r="AG1799">
            <v>118.46493518616936</v>
          </cell>
          <cell r="AH1799">
            <v>127.63944924874974</v>
          </cell>
        </row>
        <row r="1800">
          <cell r="AD1800">
            <v>108.11809919063086</v>
          </cell>
          <cell r="AE1800">
            <v>110.43560124338333</v>
          </cell>
          <cell r="AF1800">
            <v>113.58737663753585</v>
          </cell>
          <cell r="AG1800">
            <v>118.47287891086322</v>
          </cell>
          <cell r="AH1800">
            <v>127.64784021869595</v>
          </cell>
        </row>
        <row r="1801">
          <cell r="AD1801">
            <v>108.12591388771848</v>
          </cell>
          <cell r="AE1801">
            <v>110.44343338931297</v>
          </cell>
          <cell r="AF1801">
            <v>113.59573369679764</v>
          </cell>
          <cell r="AG1801">
            <v>118.48082263555708</v>
          </cell>
          <cell r="AH1801">
            <v>127.65623118864215</v>
          </cell>
        </row>
        <row r="1802">
          <cell r="AD1802">
            <v>108.13372858480611</v>
          </cell>
          <cell r="AE1802">
            <v>110.45126553524261</v>
          </cell>
          <cell r="AF1802">
            <v>113.60409075605941</v>
          </cell>
          <cell r="AG1802">
            <v>118.48876636025093</v>
          </cell>
          <cell r="AH1802">
            <v>127.66462215858836</v>
          </cell>
        </row>
        <row r="1803">
          <cell r="AD1803">
            <v>108.14154328189373</v>
          </cell>
          <cell r="AE1803">
            <v>110.45909768117225</v>
          </cell>
          <cell r="AF1803">
            <v>113.61244781532119</v>
          </cell>
          <cell r="AG1803">
            <v>118.49671008494479</v>
          </cell>
          <cell r="AH1803">
            <v>127.67301312853458</v>
          </cell>
        </row>
        <row r="1804">
          <cell r="AD1804">
            <v>108.14935797898136</v>
          </cell>
          <cell r="AE1804">
            <v>110.46692982710188</v>
          </cell>
          <cell r="AF1804">
            <v>113.62080487458297</v>
          </cell>
          <cell r="AG1804">
            <v>118.50465380963865</v>
          </cell>
          <cell r="AH1804">
            <v>127.68140409848078</v>
          </cell>
        </row>
        <row r="1805">
          <cell r="AD1805">
            <v>108.15717267606897</v>
          </cell>
          <cell r="AE1805">
            <v>110.47476197303152</v>
          </cell>
          <cell r="AF1805">
            <v>113.62916193384474</v>
          </cell>
          <cell r="AG1805">
            <v>118.51259753433251</v>
          </cell>
          <cell r="AH1805">
            <v>127.68979506842699</v>
          </cell>
        </row>
        <row r="1806">
          <cell r="AD1806">
            <v>108.16498737315659</v>
          </cell>
          <cell r="AE1806">
            <v>110.48259411896116</v>
          </cell>
          <cell r="AF1806">
            <v>113.63751899310653</v>
          </cell>
          <cell r="AG1806">
            <v>118.52054125902637</v>
          </cell>
          <cell r="AH1806">
            <v>127.69818603837319</v>
          </cell>
        </row>
        <row r="1807">
          <cell r="AD1807">
            <v>108.17280207024422</v>
          </cell>
          <cell r="AE1807">
            <v>110.4904262648908</v>
          </cell>
          <cell r="AF1807">
            <v>113.64587605236829</v>
          </cell>
          <cell r="AG1807">
            <v>118.52848498372023</v>
          </cell>
          <cell r="AH1807">
            <v>127.70657700831941</v>
          </cell>
        </row>
        <row r="1808">
          <cell r="AD1808">
            <v>108.18061676733184</v>
          </cell>
          <cell r="AE1808">
            <v>110.49825841082044</v>
          </cell>
          <cell r="AF1808">
            <v>113.65423311163008</v>
          </cell>
          <cell r="AG1808">
            <v>118.53642870841409</v>
          </cell>
          <cell r="AH1808">
            <v>127.71496797826562</v>
          </cell>
        </row>
        <row r="1809">
          <cell r="AD1809">
            <v>108.18843146441947</v>
          </cell>
          <cell r="AE1809">
            <v>110.50609055675008</v>
          </cell>
          <cell r="AF1809">
            <v>113.66259017089186</v>
          </cell>
          <cell r="AG1809">
            <v>118.54437243310795</v>
          </cell>
          <cell r="AH1809">
            <v>127.72335894821182</v>
          </cell>
        </row>
        <row r="1810">
          <cell r="AD1810">
            <v>108.19624616150708</v>
          </cell>
          <cell r="AE1810">
            <v>110.51392270267972</v>
          </cell>
          <cell r="AF1810">
            <v>113.67094723015363</v>
          </cell>
          <cell r="AG1810">
            <v>118.55231615780181</v>
          </cell>
          <cell r="AH1810">
            <v>127.73174991815803</v>
          </cell>
        </row>
        <row r="1811">
          <cell r="AD1811">
            <v>108.2040608585947</v>
          </cell>
          <cell r="AE1811">
            <v>110.52175484860936</v>
          </cell>
          <cell r="AF1811">
            <v>113.67930428941541</v>
          </cell>
          <cell r="AG1811">
            <v>118.56025988249567</v>
          </cell>
          <cell r="AH1811">
            <v>127.74014088810425</v>
          </cell>
        </row>
        <row r="1812">
          <cell r="AD1812">
            <v>108.21187555568233</v>
          </cell>
          <cell r="AE1812">
            <v>110.529586994539</v>
          </cell>
          <cell r="AF1812">
            <v>113.6876613486772</v>
          </cell>
          <cell r="AG1812">
            <v>118.56820360718953</v>
          </cell>
          <cell r="AH1812">
            <v>127.74853185805046</v>
          </cell>
        </row>
        <row r="1813">
          <cell r="AD1813">
            <v>108.21969025276995</v>
          </cell>
          <cell r="AE1813">
            <v>110.53741914046864</v>
          </cell>
          <cell r="AF1813">
            <v>113.69601840793896</v>
          </cell>
          <cell r="AG1813">
            <v>118.57614733188339</v>
          </cell>
          <cell r="AH1813">
            <v>127.75692282799666</v>
          </cell>
        </row>
        <row r="1814">
          <cell r="AD1814">
            <v>108.22750494985758</v>
          </cell>
          <cell r="AE1814">
            <v>110.54525128639828</v>
          </cell>
          <cell r="AF1814">
            <v>113.70437546720075</v>
          </cell>
          <cell r="AG1814">
            <v>118.58409105657725</v>
          </cell>
          <cell r="AH1814">
            <v>127.76531379794287</v>
          </cell>
        </row>
        <row r="1815">
          <cell r="AD1815">
            <v>108.23531964694519</v>
          </cell>
          <cell r="AE1815">
            <v>110.55308343232791</v>
          </cell>
          <cell r="AF1815">
            <v>113.71273252646252</v>
          </cell>
          <cell r="AG1815">
            <v>118.59203478127111</v>
          </cell>
          <cell r="AH1815">
            <v>127.77370476788909</v>
          </cell>
        </row>
        <row r="1816">
          <cell r="AD1816">
            <v>108.24313434403281</v>
          </cell>
          <cell r="AE1816">
            <v>110.56091557825755</v>
          </cell>
          <cell r="AF1816">
            <v>113.7210895857243</v>
          </cell>
          <cell r="AG1816">
            <v>118.59997850596497</v>
          </cell>
          <cell r="AH1816">
            <v>127.78209573783529</v>
          </cell>
        </row>
        <row r="1817">
          <cell r="AD1817">
            <v>108.25094904112044</v>
          </cell>
          <cell r="AE1817">
            <v>110.56874772418719</v>
          </cell>
          <cell r="AF1817">
            <v>113.72944664498608</v>
          </cell>
          <cell r="AG1817">
            <v>118.60792223065883</v>
          </cell>
          <cell r="AH1817">
            <v>127.7904867077815</v>
          </cell>
        </row>
        <row r="1818">
          <cell r="AD1818">
            <v>108.25876373820806</v>
          </cell>
          <cell r="AE1818">
            <v>110.57657987011683</v>
          </cell>
          <cell r="AF1818">
            <v>113.73780370424785</v>
          </cell>
          <cell r="AG1818">
            <v>118.61586595535269</v>
          </cell>
          <cell r="AH1818">
            <v>127.7988776777277</v>
          </cell>
        </row>
        <row r="1819">
          <cell r="AD1819">
            <v>108.26657843529567</v>
          </cell>
          <cell r="AE1819">
            <v>110.58441201604647</v>
          </cell>
          <cell r="AF1819">
            <v>113.74616076350964</v>
          </cell>
          <cell r="AG1819">
            <v>118.62380968004655</v>
          </cell>
          <cell r="AH1819">
            <v>127.80726864767391</v>
          </cell>
        </row>
        <row r="1820">
          <cell r="AD1820">
            <v>108.2743931323833</v>
          </cell>
          <cell r="AE1820">
            <v>110.59224416197611</v>
          </cell>
          <cell r="AF1820">
            <v>113.7545178227714</v>
          </cell>
          <cell r="AG1820">
            <v>118.63175340474042</v>
          </cell>
          <cell r="AH1820">
            <v>127.81565961762013</v>
          </cell>
        </row>
        <row r="1821">
          <cell r="AD1821">
            <v>108.28220782947092</v>
          </cell>
          <cell r="AE1821">
            <v>110.60007630790575</v>
          </cell>
          <cell r="AF1821">
            <v>113.76287488203319</v>
          </cell>
          <cell r="AG1821">
            <v>118.63969712943428</v>
          </cell>
          <cell r="AH1821">
            <v>127.82405058756633</v>
          </cell>
        </row>
        <row r="1822">
          <cell r="AD1822">
            <v>108.29002252655854</v>
          </cell>
          <cell r="AE1822">
            <v>110.60790845383539</v>
          </cell>
          <cell r="AF1822">
            <v>113.77123194129497</v>
          </cell>
          <cell r="AG1822">
            <v>118.64764085412814</v>
          </cell>
          <cell r="AH1822">
            <v>127.83244155751254</v>
          </cell>
        </row>
        <row r="1823">
          <cell r="AD1823">
            <v>108.29783722364617</v>
          </cell>
          <cell r="AE1823">
            <v>110.61574059976503</v>
          </cell>
          <cell r="AF1823">
            <v>113.77958900055674</v>
          </cell>
          <cell r="AG1823">
            <v>118.655584578822</v>
          </cell>
          <cell r="AH1823">
            <v>127.84083252745874</v>
          </cell>
        </row>
        <row r="1824">
          <cell r="AD1824">
            <v>108.30565192073378</v>
          </cell>
          <cell r="AE1824">
            <v>110.62357274569467</v>
          </cell>
          <cell r="AF1824">
            <v>113.78794605981852</v>
          </cell>
          <cell r="AG1824">
            <v>118.66352830351586</v>
          </cell>
          <cell r="AH1824">
            <v>127.84922349740496</v>
          </cell>
        </row>
        <row r="1825">
          <cell r="AD1825">
            <v>108.3134666178214</v>
          </cell>
          <cell r="AE1825">
            <v>110.6314048916243</v>
          </cell>
          <cell r="AF1825">
            <v>113.79630311908031</v>
          </cell>
          <cell r="AG1825">
            <v>118.67147202820972</v>
          </cell>
          <cell r="AH1825">
            <v>127.85761446735117</v>
          </cell>
        </row>
        <row r="1826">
          <cell r="AD1826">
            <v>108.32128131490903</v>
          </cell>
          <cell r="AE1826">
            <v>110.63923703755394</v>
          </cell>
          <cell r="AF1826">
            <v>113.80466017834208</v>
          </cell>
          <cell r="AG1826">
            <v>118.67941575290358</v>
          </cell>
          <cell r="AH1826">
            <v>127.86600543729737</v>
          </cell>
        </row>
        <row r="1827">
          <cell r="AD1827">
            <v>108.32909601199665</v>
          </cell>
          <cell r="AE1827">
            <v>110.64706918348358</v>
          </cell>
          <cell r="AF1827">
            <v>113.81301723760386</v>
          </cell>
          <cell r="AG1827">
            <v>118.68735947759744</v>
          </cell>
          <cell r="AH1827">
            <v>127.87439640724358</v>
          </cell>
        </row>
        <row r="1828">
          <cell r="AD1828">
            <v>108.33691070908428</v>
          </cell>
          <cell r="AE1828">
            <v>110.65490132941322</v>
          </cell>
          <cell r="AF1828">
            <v>113.82137429686563</v>
          </cell>
          <cell r="AG1828">
            <v>118.6953032022913</v>
          </cell>
          <cell r="AH1828">
            <v>127.8827873771898</v>
          </cell>
        </row>
        <row r="1829">
          <cell r="AD1829">
            <v>108.34472540617189</v>
          </cell>
          <cell r="AE1829">
            <v>110.66273347534286</v>
          </cell>
          <cell r="AF1829">
            <v>113.82973135612741</v>
          </cell>
          <cell r="AG1829">
            <v>118.70324692698516</v>
          </cell>
          <cell r="AH1829">
            <v>127.89117834713601</v>
          </cell>
        </row>
        <row r="1830">
          <cell r="AD1830">
            <v>108.35254010325951</v>
          </cell>
          <cell r="AE1830">
            <v>110.6705656212725</v>
          </cell>
          <cell r="AF1830">
            <v>113.83808841538919</v>
          </cell>
          <cell r="AG1830">
            <v>118.71119065167902</v>
          </cell>
          <cell r="AH1830">
            <v>127.89956931708221</v>
          </cell>
        </row>
        <row r="1831">
          <cell r="AD1831">
            <v>108.36035480034714</v>
          </cell>
          <cell r="AE1831">
            <v>110.67839776720214</v>
          </cell>
          <cell r="AF1831">
            <v>113.84644547465096</v>
          </cell>
          <cell r="AG1831">
            <v>118.71913437637288</v>
          </cell>
          <cell r="AH1831">
            <v>127.90796028702842</v>
          </cell>
        </row>
        <row r="1832">
          <cell r="AD1832">
            <v>108.36816949743476</v>
          </cell>
          <cell r="AE1832">
            <v>110.68622991313178</v>
          </cell>
          <cell r="AF1832">
            <v>113.85480253391275</v>
          </cell>
          <cell r="AG1832">
            <v>118.72707810106674</v>
          </cell>
          <cell r="AH1832">
            <v>127.91635125697464</v>
          </cell>
        </row>
        <row r="1833">
          <cell r="AD1833">
            <v>108.37598419452237</v>
          </cell>
          <cell r="AE1833">
            <v>110.69406205906142</v>
          </cell>
          <cell r="AF1833">
            <v>113.86315959317452</v>
          </cell>
          <cell r="AG1833">
            <v>118.7350218257606</v>
          </cell>
          <cell r="AH1833">
            <v>127.92474222692084</v>
          </cell>
        </row>
        <row r="1834">
          <cell r="AD1834">
            <v>108.38379889161</v>
          </cell>
          <cell r="AE1834">
            <v>110.70189420499106</v>
          </cell>
          <cell r="AF1834">
            <v>113.8715166524363</v>
          </cell>
          <cell r="AG1834">
            <v>118.74296555045446</v>
          </cell>
          <cell r="AH1834">
            <v>127.93313319686705</v>
          </cell>
        </row>
        <row r="1835">
          <cell r="AD1835">
            <v>108.39161358869762</v>
          </cell>
          <cell r="AE1835">
            <v>110.7097263509207</v>
          </cell>
          <cell r="AF1835">
            <v>113.87987371169808</v>
          </cell>
          <cell r="AG1835">
            <v>118.75090927514832</v>
          </cell>
          <cell r="AH1835">
            <v>127.94152416681325</v>
          </cell>
        </row>
        <row r="1836">
          <cell r="AD1836">
            <v>108.39942828578525</v>
          </cell>
          <cell r="AE1836">
            <v>110.71755849685033</v>
          </cell>
          <cell r="AF1836">
            <v>113.88823077095985</v>
          </cell>
          <cell r="AG1836">
            <v>118.75885299984218</v>
          </cell>
          <cell r="AH1836">
            <v>127.94991513675947</v>
          </cell>
        </row>
        <row r="1837">
          <cell r="AD1837">
            <v>108.40724298287287</v>
          </cell>
          <cell r="AE1837">
            <v>110.72539064277997</v>
          </cell>
          <cell r="AF1837">
            <v>113.89658783022163</v>
          </cell>
          <cell r="AG1837">
            <v>118.76679672453604</v>
          </cell>
          <cell r="AH1837">
            <v>127.95830610670568</v>
          </cell>
        </row>
        <row r="1838">
          <cell r="AD1838">
            <v>108.41505767996048</v>
          </cell>
          <cell r="AE1838">
            <v>110.73322278870961</v>
          </cell>
          <cell r="AF1838">
            <v>113.9049448894834</v>
          </cell>
          <cell r="AG1838">
            <v>118.7747404492299</v>
          </cell>
          <cell r="AH1838">
            <v>127.96669707665188</v>
          </cell>
        </row>
        <row r="1839">
          <cell r="AD1839">
            <v>108.42287237704811</v>
          </cell>
          <cell r="AE1839">
            <v>110.74105493463925</v>
          </cell>
          <cell r="AF1839">
            <v>113.91330194874519</v>
          </cell>
          <cell r="AG1839">
            <v>118.78268417392376</v>
          </cell>
          <cell r="AH1839">
            <v>127.97508804659809</v>
          </cell>
        </row>
        <row r="1840">
          <cell r="AD1840">
            <v>108.43068707413573</v>
          </cell>
          <cell r="AE1840">
            <v>110.74888708056889</v>
          </cell>
          <cell r="AF1840">
            <v>113.92165900800697</v>
          </cell>
          <cell r="AG1840">
            <v>118.79062789861761</v>
          </cell>
          <cell r="AH1840">
            <v>127.98347901654431</v>
          </cell>
        </row>
        <row r="1841">
          <cell r="AD1841">
            <v>108.43850177122336</v>
          </cell>
          <cell r="AE1841">
            <v>110.75671922649853</v>
          </cell>
          <cell r="AF1841">
            <v>113.93001606726874</v>
          </cell>
          <cell r="AG1841">
            <v>118.79857162331147</v>
          </cell>
          <cell r="AH1841">
            <v>127.99186998649051</v>
          </cell>
        </row>
        <row r="1842">
          <cell r="AD1842">
            <v>108.44631646831098</v>
          </cell>
          <cell r="AE1842">
            <v>110.76455137242817</v>
          </cell>
          <cell r="AF1842">
            <v>113.93837312653052</v>
          </cell>
          <cell r="AG1842">
            <v>118.80651534800533</v>
          </cell>
          <cell r="AH1842">
            <v>128.00022768112262</v>
          </cell>
        </row>
        <row r="1843">
          <cell r="AD1843">
            <v>108.45413116539859</v>
          </cell>
          <cell r="AE1843">
            <v>110.77238351835781</v>
          </cell>
          <cell r="AF1843">
            <v>113.9467301857923</v>
          </cell>
          <cell r="AG1843">
            <v>118.81445907269919</v>
          </cell>
          <cell r="AH1843">
            <v>128.00754869409064</v>
          </cell>
        </row>
        <row r="1844">
          <cell r="AD1844">
            <v>108.46194586248622</v>
          </cell>
          <cell r="AE1844">
            <v>110.78021566428745</v>
          </cell>
          <cell r="AF1844">
            <v>113.95508724505407</v>
          </cell>
          <cell r="AG1844">
            <v>118.82240279739305</v>
          </cell>
          <cell r="AH1844">
            <v>128.01486970705869</v>
          </cell>
        </row>
        <row r="1845">
          <cell r="AD1845">
            <v>108.46976055957384</v>
          </cell>
          <cell r="AE1845">
            <v>110.78804781021709</v>
          </cell>
          <cell r="AF1845">
            <v>113.96344430431586</v>
          </cell>
          <cell r="AG1845">
            <v>118.83034652208691</v>
          </cell>
          <cell r="AH1845">
            <v>128.02219072002671</v>
          </cell>
        </row>
        <row r="1846">
          <cell r="AD1846">
            <v>108.47757525666147</v>
          </cell>
          <cell r="AE1846">
            <v>110.79587995614672</v>
          </cell>
          <cell r="AF1846">
            <v>113.97180136357763</v>
          </cell>
          <cell r="AG1846">
            <v>118.83829024678077</v>
          </cell>
          <cell r="AH1846">
            <v>128.02951173299473</v>
          </cell>
        </row>
        <row r="1847">
          <cell r="AD1847">
            <v>108.48538995374909</v>
          </cell>
          <cell r="AE1847">
            <v>110.80371210207636</v>
          </cell>
          <cell r="AF1847">
            <v>113.98015842283941</v>
          </cell>
          <cell r="AG1847">
            <v>118.84623397147463</v>
          </cell>
          <cell r="AH1847">
            <v>128.03683274596276</v>
          </cell>
        </row>
        <row r="1848">
          <cell r="AD1848">
            <v>108.4932046508367</v>
          </cell>
          <cell r="AE1848">
            <v>110.811544248006</v>
          </cell>
          <cell r="AF1848">
            <v>113.98851548210119</v>
          </cell>
          <cell r="AG1848">
            <v>118.85417769616849</v>
          </cell>
          <cell r="AH1848">
            <v>128.0441537589308</v>
          </cell>
        </row>
        <row r="1849">
          <cell r="AD1849">
            <v>108.50101934792433</v>
          </cell>
          <cell r="AE1849">
            <v>110.81937639393564</v>
          </cell>
          <cell r="AF1849">
            <v>113.99687254136296</v>
          </cell>
          <cell r="AG1849">
            <v>118.86212142086235</v>
          </cell>
          <cell r="AH1849">
            <v>128.05147477189882</v>
          </cell>
        </row>
        <row r="1850">
          <cell r="AD1850">
            <v>108.50883404501195</v>
          </cell>
          <cell r="AE1850">
            <v>110.82720853986528</v>
          </cell>
          <cell r="AF1850">
            <v>114.00506310234596</v>
          </cell>
          <cell r="AG1850">
            <v>118.87006514555621</v>
          </cell>
          <cell r="AH1850">
            <v>128.05879578486685</v>
          </cell>
        </row>
        <row r="1851">
          <cell r="AD1851">
            <v>108.51664874209958</v>
          </cell>
          <cell r="AE1851">
            <v>110.83504068579492</v>
          </cell>
          <cell r="AF1851">
            <v>114.01315409234498</v>
          </cell>
          <cell r="AG1851">
            <v>118.87800887025007</v>
          </cell>
          <cell r="AH1851">
            <v>128.06611679783487</v>
          </cell>
        </row>
        <row r="1852">
          <cell r="AD1852">
            <v>108.52446343918719</v>
          </cell>
          <cell r="AE1852">
            <v>110.84287283172456</v>
          </cell>
          <cell r="AF1852">
            <v>114.02124508234398</v>
          </cell>
          <cell r="AG1852">
            <v>118.88595259494393</v>
          </cell>
          <cell r="AH1852">
            <v>128.07343781080291</v>
          </cell>
        </row>
        <row r="1853">
          <cell r="AD1853">
            <v>108.53227813627481</v>
          </cell>
          <cell r="AE1853">
            <v>110.8507049776542</v>
          </cell>
          <cell r="AF1853">
            <v>114.02933607234299</v>
          </cell>
          <cell r="AG1853">
            <v>118.89389631963779</v>
          </cell>
          <cell r="AH1853">
            <v>128.08075882377094</v>
          </cell>
        </row>
        <row r="1854">
          <cell r="AD1854">
            <v>108.54009283336244</v>
          </cell>
          <cell r="AE1854">
            <v>110.85853712358384</v>
          </cell>
          <cell r="AF1854">
            <v>114.037427062342</v>
          </cell>
          <cell r="AG1854">
            <v>118.90184004433165</v>
          </cell>
          <cell r="AH1854">
            <v>128.08807983673896</v>
          </cell>
        </row>
        <row r="1855">
          <cell r="AD1855">
            <v>108.54790753045006</v>
          </cell>
          <cell r="AE1855">
            <v>110.86636926951348</v>
          </cell>
          <cell r="AF1855">
            <v>114.04551805234101</v>
          </cell>
          <cell r="AG1855">
            <v>118.90978376902551</v>
          </cell>
          <cell r="AH1855">
            <v>128.09540084970698</v>
          </cell>
        </row>
        <row r="1856">
          <cell r="AD1856">
            <v>108.55572222753769</v>
          </cell>
          <cell r="AE1856">
            <v>110.87420141544312</v>
          </cell>
          <cell r="AF1856">
            <v>114.05360904234003</v>
          </cell>
          <cell r="AG1856">
            <v>118.91772749371937</v>
          </cell>
          <cell r="AH1856">
            <v>128.10272186267503</v>
          </cell>
        </row>
        <row r="1857">
          <cell r="AD1857">
            <v>108.5635369246253</v>
          </cell>
          <cell r="AE1857">
            <v>110.88203356137275</v>
          </cell>
          <cell r="AF1857">
            <v>114.06170003233903</v>
          </cell>
          <cell r="AG1857">
            <v>118.92567121841323</v>
          </cell>
          <cell r="AH1857">
            <v>128.11004287564305</v>
          </cell>
        </row>
        <row r="1858">
          <cell r="AD1858">
            <v>108.57135162171292</v>
          </cell>
          <cell r="AE1858">
            <v>110.88986570730239</v>
          </cell>
          <cell r="AF1858">
            <v>114.06979102233805</v>
          </cell>
          <cell r="AG1858">
            <v>118.93361494310709</v>
          </cell>
          <cell r="AH1858">
            <v>128.11736388861107</v>
          </cell>
        </row>
        <row r="1859">
          <cell r="AD1859">
            <v>108.57916631880055</v>
          </cell>
          <cell r="AE1859">
            <v>110.89769785323203</v>
          </cell>
          <cell r="AF1859">
            <v>114.07788201233706</v>
          </cell>
          <cell r="AG1859">
            <v>118.94155866780095</v>
          </cell>
          <cell r="AH1859">
            <v>128.12468490157909</v>
          </cell>
        </row>
        <row r="1860">
          <cell r="AD1860">
            <v>108.58698101588817</v>
          </cell>
          <cell r="AE1860">
            <v>110.90552999916167</v>
          </cell>
          <cell r="AF1860">
            <v>114.08597300233608</v>
          </cell>
          <cell r="AG1860">
            <v>118.94950239249481</v>
          </cell>
          <cell r="AH1860">
            <v>128.13200591454714</v>
          </cell>
        </row>
        <row r="1861">
          <cell r="AD1861">
            <v>108.5947957129758</v>
          </cell>
          <cell r="AE1861">
            <v>110.91336214509131</v>
          </cell>
          <cell r="AF1861">
            <v>114.09406399233508</v>
          </cell>
          <cell r="AG1861">
            <v>118.95744611718867</v>
          </cell>
          <cell r="AH1861">
            <v>128.13932692751516</v>
          </cell>
        </row>
        <row r="1862">
          <cell r="AD1862">
            <v>108.60261041006341</v>
          </cell>
          <cell r="AE1862">
            <v>110.92119429102095</v>
          </cell>
          <cell r="AF1862">
            <v>114.1021549823341</v>
          </cell>
          <cell r="AG1862">
            <v>118.96538984188253</v>
          </cell>
          <cell r="AH1862">
            <v>128.14664794048318</v>
          </cell>
        </row>
        <row r="1863">
          <cell r="AD1863">
            <v>108.61042510715103</v>
          </cell>
          <cell r="AE1863">
            <v>110.92902643695059</v>
          </cell>
          <cell r="AF1863">
            <v>114.1102459723331</v>
          </cell>
          <cell r="AG1863">
            <v>118.97333356657639</v>
          </cell>
          <cell r="AH1863">
            <v>128.1539689534512</v>
          </cell>
        </row>
        <row r="1864">
          <cell r="AD1864">
            <v>108.61823980423866</v>
          </cell>
          <cell r="AE1864">
            <v>110.93685858288023</v>
          </cell>
          <cell r="AF1864">
            <v>114.11833696233212</v>
          </cell>
          <cell r="AG1864">
            <v>118.98127729127025</v>
          </cell>
          <cell r="AH1864">
            <v>128.16128996641925</v>
          </cell>
        </row>
        <row r="1865">
          <cell r="AD1865">
            <v>108.62605450132628</v>
          </cell>
          <cell r="AE1865">
            <v>110.94469072880987</v>
          </cell>
          <cell r="AF1865">
            <v>114.12642795233113</v>
          </cell>
          <cell r="AG1865">
            <v>118.98922101596411</v>
          </cell>
          <cell r="AH1865">
            <v>128.16861097938727</v>
          </cell>
        </row>
        <row r="1866">
          <cell r="AD1866">
            <v>108.63386919841389</v>
          </cell>
          <cell r="AE1866">
            <v>110.95252287473951</v>
          </cell>
          <cell r="AF1866">
            <v>114.13451894233015</v>
          </cell>
          <cell r="AG1866">
            <v>118.99716474065796</v>
          </cell>
          <cell r="AH1866">
            <v>128.17593199235529</v>
          </cell>
        </row>
        <row r="1867">
          <cell r="AD1867">
            <v>108.64168389550152</v>
          </cell>
          <cell r="AE1867">
            <v>110.96035502066914</v>
          </cell>
          <cell r="AF1867">
            <v>114.14260993232915</v>
          </cell>
          <cell r="AG1867">
            <v>119.0051374591733</v>
          </cell>
          <cell r="AH1867">
            <v>128.18325300532331</v>
          </cell>
        </row>
        <row r="1868">
          <cell r="AD1868">
            <v>108.64949859258914</v>
          </cell>
          <cell r="AE1868">
            <v>110.96818716659878</v>
          </cell>
          <cell r="AF1868">
            <v>114.15070092232817</v>
          </cell>
          <cell r="AG1868">
            <v>119.01312626960618</v>
          </cell>
          <cell r="AH1868">
            <v>128.19057401829136</v>
          </cell>
        </row>
        <row r="1869">
          <cell r="AD1869">
            <v>108.65731328967676</v>
          </cell>
          <cell r="AE1869">
            <v>110.97601931252842</v>
          </cell>
          <cell r="AF1869">
            <v>114.15879191232717</v>
          </cell>
          <cell r="AG1869">
            <v>119.02111508003905</v>
          </cell>
          <cell r="AH1869">
            <v>128.19789503125938</v>
          </cell>
        </row>
        <row r="1870">
          <cell r="AD1870">
            <v>108.66512798676439</v>
          </cell>
          <cell r="AE1870">
            <v>110.98385145845806</v>
          </cell>
          <cell r="AF1870">
            <v>114.16688290232619</v>
          </cell>
          <cell r="AG1870">
            <v>119.02910389047193</v>
          </cell>
          <cell r="AH1870">
            <v>128.2052160442274</v>
          </cell>
        </row>
        <row r="1871">
          <cell r="AD1871">
            <v>108.672942683852</v>
          </cell>
          <cell r="AE1871">
            <v>110.9916836043877</v>
          </cell>
          <cell r="AF1871">
            <v>114.1749738923252</v>
          </cell>
          <cell r="AG1871">
            <v>119.03709270090481</v>
          </cell>
          <cell r="AH1871">
            <v>128.21253705719542</v>
          </cell>
        </row>
        <row r="1872">
          <cell r="AD1872">
            <v>108.68075738093962</v>
          </cell>
          <cell r="AE1872">
            <v>110.99951575031734</v>
          </cell>
          <cell r="AF1872">
            <v>114.18306488232422</v>
          </cell>
          <cell r="AG1872">
            <v>119.04508151133767</v>
          </cell>
          <cell r="AH1872">
            <v>128.21985807016344</v>
          </cell>
        </row>
        <row r="1873">
          <cell r="AD1873">
            <v>108.68857207802725</v>
          </cell>
          <cell r="AE1873">
            <v>111.00691759243479</v>
          </cell>
          <cell r="AF1873">
            <v>114.19115587232322</v>
          </cell>
          <cell r="AG1873">
            <v>119.05307032177055</v>
          </cell>
          <cell r="AH1873">
            <v>128.22717908313149</v>
          </cell>
        </row>
        <row r="1874">
          <cell r="AD1874">
            <v>108.69638677511487</v>
          </cell>
          <cell r="AE1874">
            <v>111.01429107616535</v>
          </cell>
          <cell r="AF1874">
            <v>114.19924686232224</v>
          </cell>
          <cell r="AG1874">
            <v>119.06105913220343</v>
          </cell>
          <cell r="AH1874">
            <v>128.23450009609951</v>
          </cell>
        </row>
        <row r="1875">
          <cell r="AD1875">
            <v>108.7042014722025</v>
          </cell>
          <cell r="AE1875">
            <v>111.02166455989591</v>
          </cell>
          <cell r="AF1875">
            <v>114.20733785232125</v>
          </cell>
          <cell r="AG1875">
            <v>119.0690479426363</v>
          </cell>
          <cell r="AH1875">
            <v>128.24182110906753</v>
          </cell>
        </row>
        <row r="1876">
          <cell r="AD1876">
            <v>108.71201616929011</v>
          </cell>
          <cell r="AE1876">
            <v>111.02903804362647</v>
          </cell>
          <cell r="AF1876">
            <v>114.21542884232026</v>
          </cell>
          <cell r="AG1876">
            <v>119.07703675306918</v>
          </cell>
          <cell r="AH1876">
            <v>128.24914212203555</v>
          </cell>
        </row>
        <row r="1877">
          <cell r="AD1877">
            <v>108.71983086637773</v>
          </cell>
          <cell r="AE1877">
            <v>111.03641152735703</v>
          </cell>
          <cell r="AF1877">
            <v>114.22351983231927</v>
          </cell>
          <cell r="AG1877">
            <v>119.08502556350204</v>
          </cell>
          <cell r="AH1877">
            <v>128.2564631350036</v>
          </cell>
        </row>
        <row r="1878">
          <cell r="AD1878">
            <v>108.72764556346536</v>
          </cell>
          <cell r="AE1878">
            <v>111.04378501108759</v>
          </cell>
          <cell r="AF1878">
            <v>114.23161082231829</v>
          </cell>
          <cell r="AG1878">
            <v>119.09301437393492</v>
          </cell>
          <cell r="AH1878">
            <v>128.26378414797162</v>
          </cell>
        </row>
        <row r="1879">
          <cell r="AD1879">
            <v>108.73546026055298</v>
          </cell>
          <cell r="AE1879">
            <v>111.05115849481817</v>
          </cell>
          <cell r="AF1879">
            <v>114.23970181231729</v>
          </cell>
          <cell r="AG1879">
            <v>119.1010031843678</v>
          </cell>
          <cell r="AH1879">
            <v>128.27110516093964</v>
          </cell>
        </row>
        <row r="1880">
          <cell r="AD1880">
            <v>108.74327495764061</v>
          </cell>
          <cell r="AE1880">
            <v>111.05853197854873</v>
          </cell>
          <cell r="AF1880">
            <v>114.24779280231631</v>
          </cell>
          <cell r="AG1880">
            <v>119.10899199480068</v>
          </cell>
          <cell r="AH1880">
            <v>128.27842617390766</v>
          </cell>
        </row>
        <row r="1881">
          <cell r="AD1881">
            <v>108.75108965472822</v>
          </cell>
          <cell r="AE1881">
            <v>111.06590546227929</v>
          </cell>
          <cell r="AF1881">
            <v>114.25588379231532</v>
          </cell>
          <cell r="AG1881">
            <v>119.11698080523354</v>
          </cell>
          <cell r="AH1881">
            <v>128.28574718687571</v>
          </cell>
        </row>
        <row r="1882">
          <cell r="AD1882">
            <v>108.75890435181584</v>
          </cell>
          <cell r="AE1882">
            <v>111.07327894600985</v>
          </cell>
          <cell r="AF1882">
            <v>114.26397478231432</v>
          </cell>
          <cell r="AG1882">
            <v>119.12496961566642</v>
          </cell>
          <cell r="AH1882">
            <v>128.29306819984373</v>
          </cell>
        </row>
        <row r="1883">
          <cell r="AD1883">
            <v>108.76671904890347</v>
          </cell>
          <cell r="AE1883">
            <v>111.08065242974041</v>
          </cell>
          <cell r="AF1883">
            <v>114.27206577231334</v>
          </cell>
          <cell r="AG1883">
            <v>119.13295842609929</v>
          </cell>
          <cell r="AH1883">
            <v>128.30038921281175</v>
          </cell>
        </row>
        <row r="1884">
          <cell r="AD1884">
            <v>108.77453374599109</v>
          </cell>
          <cell r="AE1884">
            <v>111.08802591347097</v>
          </cell>
          <cell r="AF1884">
            <v>114.28015676231234</v>
          </cell>
          <cell r="AG1884">
            <v>119.14094723653217</v>
          </cell>
          <cell r="AH1884">
            <v>128.30771022577977</v>
          </cell>
        </row>
        <row r="1885">
          <cell r="AD1885">
            <v>108.7823484430787</v>
          </cell>
          <cell r="AE1885">
            <v>111.09539939720155</v>
          </cell>
          <cell r="AF1885">
            <v>114.28824775231136</v>
          </cell>
          <cell r="AG1885">
            <v>119.14893604696505</v>
          </cell>
          <cell r="AH1885">
            <v>128.31503123874782</v>
          </cell>
        </row>
        <row r="1886">
          <cell r="AD1886">
            <v>108.79016314016633</v>
          </cell>
          <cell r="AE1886">
            <v>111.10277288093211</v>
          </cell>
          <cell r="AF1886">
            <v>114.29633874231037</v>
          </cell>
          <cell r="AG1886">
            <v>119.15692485739791</v>
          </cell>
          <cell r="AH1886">
            <v>128.32235225171584</v>
          </cell>
        </row>
        <row r="1887">
          <cell r="AD1887">
            <v>108.79797783725395</v>
          </cell>
          <cell r="AE1887">
            <v>111.11014636466267</v>
          </cell>
          <cell r="AF1887">
            <v>114.30442973230939</v>
          </cell>
          <cell r="AG1887">
            <v>119.16491366783079</v>
          </cell>
          <cell r="AH1887">
            <v>128.32967326468386</v>
          </cell>
        </row>
        <row r="1888">
          <cell r="AD1888">
            <v>108.80579253434158</v>
          </cell>
          <cell r="AE1888">
            <v>111.11751984839323</v>
          </cell>
          <cell r="AF1888">
            <v>114.31252072230839</v>
          </cell>
          <cell r="AG1888">
            <v>119.17290247826367</v>
          </cell>
          <cell r="AH1888">
            <v>128.33699427765188</v>
          </cell>
        </row>
        <row r="1889">
          <cell r="AD1889">
            <v>108.8136072314292</v>
          </cell>
          <cell r="AE1889">
            <v>111.12489333212379</v>
          </cell>
          <cell r="AF1889">
            <v>114.32061171230741</v>
          </cell>
          <cell r="AG1889">
            <v>119.18089128869654</v>
          </cell>
          <cell r="AH1889">
            <v>128.34431529061993</v>
          </cell>
        </row>
        <row r="1890">
          <cell r="AD1890">
            <v>108.82142192851681</v>
          </cell>
          <cell r="AE1890">
            <v>111.13226681585435</v>
          </cell>
          <cell r="AF1890">
            <v>114.32870270230642</v>
          </cell>
          <cell r="AG1890">
            <v>119.18888009912941</v>
          </cell>
          <cell r="AH1890">
            <v>128.35163630358795</v>
          </cell>
        </row>
        <row r="1891">
          <cell r="AD1891">
            <v>108.82923662560444</v>
          </cell>
          <cell r="AE1891">
            <v>111.13964029958493</v>
          </cell>
          <cell r="AF1891">
            <v>114.33679369230543</v>
          </cell>
          <cell r="AG1891">
            <v>119.19686890956228</v>
          </cell>
          <cell r="AH1891">
            <v>128.35895731655597</v>
          </cell>
        </row>
        <row r="1892">
          <cell r="AD1892">
            <v>108.83705132269206</v>
          </cell>
          <cell r="AE1892">
            <v>111.14701378331549</v>
          </cell>
          <cell r="AF1892">
            <v>114.34488468230444</v>
          </cell>
          <cell r="AG1892">
            <v>119.20485771999516</v>
          </cell>
          <cell r="AH1892">
            <v>128.36627832952399</v>
          </cell>
        </row>
        <row r="1893">
          <cell r="AD1893">
            <v>108.84486601977969</v>
          </cell>
          <cell r="AE1893">
            <v>111.15438726704605</v>
          </cell>
          <cell r="AF1893">
            <v>114.35297567230346</v>
          </cell>
          <cell r="AG1893">
            <v>119.21284653042804</v>
          </cell>
          <cell r="AH1893">
            <v>128.37359934249204</v>
          </cell>
        </row>
        <row r="1894">
          <cell r="AD1894">
            <v>108.85268071686731</v>
          </cell>
          <cell r="AE1894">
            <v>111.16176075077661</v>
          </cell>
          <cell r="AF1894">
            <v>114.36106666230246</v>
          </cell>
          <cell r="AG1894">
            <v>119.22083534086092</v>
          </cell>
          <cell r="AH1894">
            <v>128.38092035546006</v>
          </cell>
        </row>
        <row r="1895">
          <cell r="AD1895">
            <v>108.86049541395492</v>
          </cell>
          <cell r="AE1895">
            <v>111.16913423450717</v>
          </cell>
          <cell r="AF1895">
            <v>114.36915765230148</v>
          </cell>
          <cell r="AG1895">
            <v>119.22882415129378</v>
          </cell>
          <cell r="AH1895">
            <v>128.38824136842808</v>
          </cell>
        </row>
        <row r="1896">
          <cell r="AD1896">
            <v>108.86831011104255</v>
          </cell>
          <cell r="AE1896">
            <v>111.17650771823773</v>
          </cell>
          <cell r="AF1896">
            <v>114.37724864230049</v>
          </cell>
          <cell r="AG1896">
            <v>119.23681296172666</v>
          </cell>
          <cell r="AH1896">
            <v>128.3955623813961</v>
          </cell>
        </row>
        <row r="1897">
          <cell r="AD1897">
            <v>108.87612480813017</v>
          </cell>
          <cell r="AE1897">
            <v>111.1838812019683</v>
          </cell>
          <cell r="AF1897">
            <v>114.38533963229951</v>
          </cell>
          <cell r="AG1897">
            <v>119.24480177215953</v>
          </cell>
          <cell r="AH1897">
            <v>128.40288339436415</v>
          </cell>
        </row>
        <row r="1898">
          <cell r="AD1898">
            <v>108.8839395052178</v>
          </cell>
          <cell r="AE1898">
            <v>111.19125468569887</v>
          </cell>
          <cell r="AF1898">
            <v>114.39343062229851</v>
          </cell>
          <cell r="AG1898">
            <v>119.25279058259241</v>
          </cell>
          <cell r="AH1898">
            <v>128.41020440733217</v>
          </cell>
        </row>
        <row r="1899">
          <cell r="AD1899">
            <v>108.89175420230541</v>
          </cell>
          <cell r="AE1899">
            <v>111.19862816942943</v>
          </cell>
          <cell r="AF1899">
            <v>114.40152161229753</v>
          </cell>
          <cell r="AG1899">
            <v>119.26077939302527</v>
          </cell>
          <cell r="AH1899">
            <v>128.41752542030019</v>
          </cell>
        </row>
        <row r="1900">
          <cell r="AD1900">
            <v>108.89956889939303</v>
          </cell>
          <cell r="AE1900">
            <v>111.20600165315999</v>
          </cell>
          <cell r="AF1900">
            <v>114.40961260229653</v>
          </cell>
          <cell r="AG1900">
            <v>119.26876820345815</v>
          </cell>
          <cell r="AH1900">
            <v>128.42484643326821</v>
          </cell>
        </row>
        <row r="1901">
          <cell r="AD1901">
            <v>108.90738359648066</v>
          </cell>
          <cell r="AE1901">
            <v>111.21337513689055</v>
          </cell>
          <cell r="AF1901">
            <v>114.41770359229555</v>
          </cell>
          <cell r="AG1901">
            <v>119.27675701389103</v>
          </cell>
          <cell r="AH1901">
            <v>128.43216744623624</v>
          </cell>
        </row>
        <row r="1902">
          <cell r="AD1902">
            <v>108.91519829356828</v>
          </cell>
          <cell r="AE1902">
            <v>111.22074862062111</v>
          </cell>
          <cell r="AF1902">
            <v>114.42579458229456</v>
          </cell>
          <cell r="AG1902">
            <v>119.28474582432391</v>
          </cell>
          <cell r="AH1902">
            <v>128.43948845920428</v>
          </cell>
        </row>
        <row r="1903">
          <cell r="AD1903">
            <v>108.92301299065591</v>
          </cell>
          <cell r="AE1903">
            <v>111.22812210435168</v>
          </cell>
          <cell r="AF1903">
            <v>114.43388557229358</v>
          </cell>
          <cell r="AG1903">
            <v>119.29273463475678</v>
          </cell>
          <cell r="AH1903">
            <v>128.4468094721723</v>
          </cell>
        </row>
        <row r="1904">
          <cell r="AD1904">
            <v>108.93082768774352</v>
          </cell>
          <cell r="AE1904">
            <v>111.23549558808224</v>
          </cell>
          <cell r="AF1904">
            <v>114.44197656229258</v>
          </cell>
          <cell r="AG1904">
            <v>119.30072344518965</v>
          </cell>
          <cell r="AH1904">
            <v>128.45413048514033</v>
          </cell>
        </row>
        <row r="1905">
          <cell r="AD1905">
            <v>108.93864238483114</v>
          </cell>
          <cell r="AE1905">
            <v>111.24286907181281</v>
          </cell>
          <cell r="AF1905">
            <v>114.4500675522916</v>
          </cell>
          <cell r="AG1905">
            <v>119.30871225562252</v>
          </cell>
          <cell r="AH1905">
            <v>128.46145149810835</v>
          </cell>
        </row>
        <row r="1906">
          <cell r="AD1906">
            <v>108.94645708191877</v>
          </cell>
          <cell r="AE1906">
            <v>111.25024255554337</v>
          </cell>
          <cell r="AF1906">
            <v>114.4581585422906</v>
          </cell>
          <cell r="AG1906">
            <v>119.3167010660554</v>
          </cell>
          <cell r="AH1906">
            <v>128.46877251107639</v>
          </cell>
        </row>
        <row r="1907">
          <cell r="AD1907">
            <v>108.95427177900639</v>
          </cell>
          <cell r="AE1907">
            <v>111.25761603927393</v>
          </cell>
          <cell r="AF1907">
            <v>114.46624953228962</v>
          </cell>
          <cell r="AG1907">
            <v>119.32468987648828</v>
          </cell>
          <cell r="AH1907">
            <v>128.47609352404442</v>
          </cell>
        </row>
        <row r="1908">
          <cell r="AD1908">
            <v>108.96208647609402</v>
          </cell>
          <cell r="AE1908">
            <v>111.26498952300449</v>
          </cell>
          <cell r="AF1908">
            <v>114.47434052228863</v>
          </cell>
          <cell r="AG1908">
            <v>119.33267868692116</v>
          </cell>
          <cell r="AH1908">
            <v>128.48341453701244</v>
          </cell>
        </row>
        <row r="1909">
          <cell r="AD1909">
            <v>108.96990117318163</v>
          </cell>
          <cell r="AE1909">
            <v>111.27236300673506</v>
          </cell>
          <cell r="AF1909">
            <v>114.48243151228765</v>
          </cell>
          <cell r="AG1909">
            <v>119.34066749735402</v>
          </cell>
          <cell r="AH1909">
            <v>128.49073554998046</v>
          </cell>
        </row>
        <row r="1910">
          <cell r="AD1910">
            <v>108.97771587026925</v>
          </cell>
          <cell r="AE1910">
            <v>111.27973649046562</v>
          </cell>
          <cell r="AF1910">
            <v>114.49052250228665</v>
          </cell>
          <cell r="AG1910">
            <v>119.3486563077869</v>
          </cell>
          <cell r="AH1910">
            <v>128.49805656294851</v>
          </cell>
        </row>
        <row r="1911">
          <cell r="AD1911">
            <v>108.98553056735688</v>
          </cell>
          <cell r="AE1911">
            <v>111.28710997419618</v>
          </cell>
          <cell r="AF1911">
            <v>114.49861349228566</v>
          </cell>
          <cell r="AG1911">
            <v>119.35664511821977</v>
          </cell>
          <cell r="AH1911">
            <v>128.50537757591653</v>
          </cell>
        </row>
        <row r="1912">
          <cell r="AD1912">
            <v>108.9933452644445</v>
          </cell>
          <cell r="AE1912">
            <v>111.29448345792675</v>
          </cell>
          <cell r="AF1912">
            <v>114.50670448228468</v>
          </cell>
          <cell r="AG1912">
            <v>119.36463392865265</v>
          </cell>
          <cell r="AH1912">
            <v>128.51269858888455</v>
          </cell>
        </row>
        <row r="1913">
          <cell r="AD1913">
            <v>109.00108228237838</v>
          </cell>
          <cell r="AE1913">
            <v>111.30185694165731</v>
          </cell>
          <cell r="AF1913">
            <v>114.51479547228368</v>
          </cell>
          <cell r="AG1913">
            <v>119.37262273908551</v>
          </cell>
          <cell r="AH1913">
            <v>128.52001960185257</v>
          </cell>
        </row>
        <row r="1914">
          <cell r="AD1914">
            <v>109.00837365257999</v>
          </cell>
          <cell r="AE1914">
            <v>111.30923042538787</v>
          </cell>
          <cell r="AF1914">
            <v>114.5228864622827</v>
          </cell>
          <cell r="AG1914">
            <v>119.38061154951839</v>
          </cell>
          <cell r="AH1914">
            <v>128.52734061482062</v>
          </cell>
        </row>
        <row r="1915">
          <cell r="AD1915">
            <v>109.01566502278162</v>
          </cell>
          <cell r="AE1915">
            <v>111.31660390911844</v>
          </cell>
          <cell r="AF1915">
            <v>114.5309774522817</v>
          </cell>
          <cell r="AG1915">
            <v>119.38860035995127</v>
          </cell>
          <cell r="AH1915">
            <v>128.53466162778864</v>
          </cell>
        </row>
        <row r="1916">
          <cell r="AD1916">
            <v>109.02295639298323</v>
          </cell>
          <cell r="AE1916">
            <v>111.323977392849</v>
          </cell>
          <cell r="AF1916">
            <v>114.53906844228072</v>
          </cell>
          <cell r="AG1916">
            <v>119.39658917038415</v>
          </cell>
          <cell r="AH1916">
            <v>128.54198264075666</v>
          </cell>
        </row>
        <row r="1917">
          <cell r="AD1917">
            <v>109.03024776318485</v>
          </cell>
          <cell r="AE1917">
            <v>111.33135087657956</v>
          </cell>
          <cell r="AF1917">
            <v>114.54715943227973</v>
          </cell>
          <cell r="AG1917">
            <v>119.40457798081702</v>
          </cell>
          <cell r="AH1917">
            <v>128.54930365372468</v>
          </cell>
        </row>
        <row r="1918">
          <cell r="AD1918">
            <v>109.03753913338647</v>
          </cell>
          <cell r="AE1918">
            <v>111.33872436031012</v>
          </cell>
          <cell r="AF1918">
            <v>114.55525042227875</v>
          </cell>
          <cell r="AG1918">
            <v>119.41256679124989</v>
          </cell>
          <cell r="AH1918">
            <v>128.55662466669273</v>
          </cell>
        </row>
        <row r="1919">
          <cell r="AD1919">
            <v>109.04483050358809</v>
          </cell>
          <cell r="AE1919">
            <v>111.34609784404068</v>
          </cell>
          <cell r="AF1919">
            <v>114.56334141227775</v>
          </cell>
          <cell r="AG1919">
            <v>119.42055560168276</v>
          </cell>
          <cell r="AH1919">
            <v>128.56394567966075</v>
          </cell>
        </row>
        <row r="1920">
          <cell r="AD1920">
            <v>109.0521218737897</v>
          </cell>
          <cell r="AE1920">
            <v>111.35347132777125</v>
          </cell>
          <cell r="AF1920">
            <v>114.57143240227677</v>
          </cell>
          <cell r="AG1920">
            <v>119.42854441211564</v>
          </cell>
          <cell r="AH1920">
            <v>128.57126669262877</v>
          </cell>
        </row>
        <row r="1921">
          <cell r="AD1921">
            <v>109.05941324399132</v>
          </cell>
          <cell r="AE1921">
            <v>111.36084481150181</v>
          </cell>
          <cell r="AF1921">
            <v>114.57952339227577</v>
          </cell>
          <cell r="AG1921">
            <v>119.43653322254852</v>
          </cell>
          <cell r="AH1921">
            <v>128.57858770559679</v>
          </cell>
        </row>
        <row r="1922">
          <cell r="AD1922">
            <v>109.06670461419294</v>
          </cell>
          <cell r="AE1922">
            <v>111.36821829523238</v>
          </cell>
          <cell r="AF1922">
            <v>114.58761438227479</v>
          </cell>
          <cell r="AG1922">
            <v>119.44452203298138</v>
          </cell>
          <cell r="AH1922">
            <v>128.58590871856484</v>
          </cell>
        </row>
        <row r="1923">
          <cell r="AD1923">
            <v>109.07399598439456</v>
          </cell>
          <cell r="AE1923">
            <v>111.37559177896294</v>
          </cell>
          <cell r="AF1923">
            <v>114.5957053722738</v>
          </cell>
          <cell r="AG1923">
            <v>119.45251084341426</v>
          </cell>
          <cell r="AH1923">
            <v>128.59322973153286</v>
          </cell>
        </row>
        <row r="1924">
          <cell r="AD1924">
            <v>109.08128735459617</v>
          </cell>
          <cell r="AE1924">
            <v>111.3829652626935</v>
          </cell>
          <cell r="AF1924">
            <v>114.60379636227282</v>
          </cell>
          <cell r="AG1924">
            <v>119.46049965384714</v>
          </cell>
          <cell r="AH1924">
            <v>128.60055074450088</v>
          </cell>
        </row>
        <row r="1925">
          <cell r="AD1925">
            <v>109.08857872479778</v>
          </cell>
          <cell r="AE1925">
            <v>111.39033874642406</v>
          </cell>
          <cell r="AF1925">
            <v>114.61188735227182</v>
          </cell>
          <cell r="AG1925">
            <v>119.46848846428001</v>
          </cell>
          <cell r="AH1925">
            <v>128.6078717574689</v>
          </cell>
        </row>
        <row r="1926">
          <cell r="AD1926">
            <v>109.09587009499941</v>
          </cell>
          <cell r="AE1926">
            <v>111.39771223015462</v>
          </cell>
          <cell r="AF1926">
            <v>114.61997834227084</v>
          </cell>
          <cell r="AG1926">
            <v>119.47647727471289</v>
          </cell>
          <cell r="AH1926">
            <v>128.61519277043695</v>
          </cell>
        </row>
        <row r="1927">
          <cell r="AD1927">
            <v>109.10316146520103</v>
          </cell>
          <cell r="AE1927">
            <v>111.40508571388519</v>
          </cell>
          <cell r="AF1927">
            <v>114.62806933226985</v>
          </cell>
          <cell r="AG1927">
            <v>119.48446608514575</v>
          </cell>
          <cell r="AH1927">
            <v>128.62251378340497</v>
          </cell>
        </row>
        <row r="1928">
          <cell r="AD1928">
            <v>109.11045283540264</v>
          </cell>
          <cell r="AE1928">
            <v>111.41245919761576</v>
          </cell>
          <cell r="AF1928">
            <v>114.63616032226886</v>
          </cell>
          <cell r="AG1928">
            <v>119.49245489557863</v>
          </cell>
          <cell r="AH1928">
            <v>128.62983479637299</v>
          </cell>
        </row>
        <row r="1929">
          <cell r="AD1929">
            <v>109.11774420560427</v>
          </cell>
          <cell r="AE1929">
            <v>111.41983268134632</v>
          </cell>
          <cell r="AF1929">
            <v>114.64425131226787</v>
          </cell>
          <cell r="AG1929">
            <v>119.50044370601151</v>
          </cell>
          <cell r="AH1929">
            <v>128.63715580934101</v>
          </cell>
        </row>
        <row r="1930">
          <cell r="AD1930">
            <v>109.12503557580588</v>
          </cell>
          <cell r="AE1930">
            <v>111.42720616507688</v>
          </cell>
          <cell r="AF1930">
            <v>114.65234230226689</v>
          </cell>
          <cell r="AG1930">
            <v>119.50843251644439</v>
          </cell>
          <cell r="AH1930">
            <v>128.64447682230903</v>
          </cell>
        </row>
        <row r="1931">
          <cell r="AD1931">
            <v>109.1323269460075</v>
          </cell>
          <cell r="AE1931">
            <v>111.43457964880744</v>
          </cell>
          <cell r="AF1931">
            <v>114.66043329226589</v>
          </cell>
          <cell r="AG1931">
            <v>119.51642132687725</v>
          </cell>
          <cell r="AH1931">
            <v>128.65179783527708</v>
          </cell>
        </row>
        <row r="1932">
          <cell r="AD1932">
            <v>109.13961831620911</v>
          </cell>
          <cell r="AE1932">
            <v>111.441953132538</v>
          </cell>
          <cell r="AF1932">
            <v>114.66852428226491</v>
          </cell>
          <cell r="AG1932">
            <v>119.52441013731013</v>
          </cell>
          <cell r="AH1932">
            <v>128.6591188482451</v>
          </cell>
        </row>
        <row r="1933">
          <cell r="AD1933">
            <v>109.14690968641074</v>
          </cell>
          <cell r="AE1933">
            <v>111.44932661626856</v>
          </cell>
          <cell r="AF1933">
            <v>114.67661527226392</v>
          </cell>
          <cell r="AG1933">
            <v>119.532398947743</v>
          </cell>
          <cell r="AH1933">
            <v>128.66643986121312</v>
          </cell>
        </row>
        <row r="1934">
          <cell r="AD1934">
            <v>109.15420105661235</v>
          </cell>
          <cell r="AE1934">
            <v>111.45670009999914</v>
          </cell>
          <cell r="AF1934">
            <v>114.68470626226294</v>
          </cell>
          <cell r="AG1934">
            <v>119.54038775817588</v>
          </cell>
          <cell r="AH1934">
            <v>128.67376087418114</v>
          </cell>
        </row>
        <row r="1935">
          <cell r="AD1935">
            <v>109.16149242681396</v>
          </cell>
          <cell r="AE1935">
            <v>111.4640735837297</v>
          </cell>
          <cell r="AF1935">
            <v>114.69279725226194</v>
          </cell>
          <cell r="AG1935">
            <v>119.54837656860876</v>
          </cell>
          <cell r="AH1935">
            <v>128.68108188714919</v>
          </cell>
        </row>
        <row r="1936">
          <cell r="AD1936">
            <v>109.16878379701559</v>
          </cell>
          <cell r="AE1936">
            <v>111.47144706746026</v>
          </cell>
          <cell r="AF1936">
            <v>114.70088824226096</v>
          </cell>
          <cell r="AG1936">
            <v>119.55636537904162</v>
          </cell>
          <cell r="AH1936">
            <v>128.68840290011721</v>
          </cell>
        </row>
        <row r="1937">
          <cell r="AD1937">
            <v>109.17607516721721</v>
          </cell>
          <cell r="AE1937">
            <v>111.47882055119082</v>
          </cell>
          <cell r="AF1937">
            <v>114.70897923225996</v>
          </cell>
          <cell r="AG1937">
            <v>119.5643541894745</v>
          </cell>
          <cell r="AH1937">
            <v>128.69572391308523</v>
          </cell>
        </row>
        <row r="1938">
          <cell r="AD1938">
            <v>109.18336653741882</v>
          </cell>
          <cell r="AE1938">
            <v>111.48619403492138</v>
          </cell>
          <cell r="AF1938">
            <v>114.71707022225898</v>
          </cell>
          <cell r="AG1938">
            <v>119.57234299990738</v>
          </cell>
          <cell r="AH1938">
            <v>128.70304492605325</v>
          </cell>
        </row>
        <row r="1939">
          <cell r="AD1939">
            <v>109.19065790762043</v>
          </cell>
          <cell r="AE1939">
            <v>111.49356751865194</v>
          </cell>
          <cell r="AF1939">
            <v>114.72516121225799</v>
          </cell>
          <cell r="AG1939">
            <v>119.58033181034025</v>
          </cell>
          <cell r="AH1939">
            <v>128.7103659390213</v>
          </cell>
        </row>
        <row r="1940">
          <cell r="AD1940">
            <v>109.19794927782206</v>
          </cell>
          <cell r="AE1940">
            <v>111.50094100238252</v>
          </cell>
          <cell r="AF1940">
            <v>114.73325220225699</v>
          </cell>
          <cell r="AG1940">
            <v>119.58832062077313</v>
          </cell>
          <cell r="AH1940">
            <v>128.71768695198932</v>
          </cell>
        </row>
        <row r="1941">
          <cell r="AD1941">
            <v>109.20524064802368</v>
          </cell>
          <cell r="AE1941">
            <v>111.50831448611308</v>
          </cell>
          <cell r="AF1941">
            <v>114.74134319225601</v>
          </cell>
          <cell r="AG1941">
            <v>119.596309431206</v>
          </cell>
          <cell r="AH1941">
            <v>128.72500796495734</v>
          </cell>
        </row>
        <row r="1942">
          <cell r="AD1942">
            <v>109.21253201822529</v>
          </cell>
          <cell r="AE1942">
            <v>111.51568796984364</v>
          </cell>
          <cell r="AF1942">
            <v>114.74943418225502</v>
          </cell>
          <cell r="AG1942">
            <v>119.60429824163887</v>
          </cell>
          <cell r="AH1942">
            <v>128.73232897792536</v>
          </cell>
        </row>
        <row r="1943">
          <cell r="AD1943">
            <v>109.2198233884269</v>
          </cell>
          <cell r="AE1943">
            <v>111.5230614535742</v>
          </cell>
          <cell r="AF1943">
            <v>114.75752517225403</v>
          </cell>
          <cell r="AG1943">
            <v>119.61228705207175</v>
          </cell>
          <cell r="AH1943">
            <v>128.73964999089341</v>
          </cell>
        </row>
        <row r="1944">
          <cell r="AD1944">
            <v>109.22711475862853</v>
          </cell>
          <cell r="AE1944">
            <v>111.53043493730476</v>
          </cell>
          <cell r="AF1944">
            <v>114.76561616225304</v>
          </cell>
          <cell r="AG1944">
            <v>119.62027586250463</v>
          </cell>
          <cell r="AH1944">
            <v>128.74697100386143</v>
          </cell>
        </row>
        <row r="1945">
          <cell r="AD1945">
            <v>109.23440612883014</v>
          </cell>
          <cell r="AE1945">
            <v>111.53780842103532</v>
          </cell>
          <cell r="AF1945">
            <v>114.77370715225206</v>
          </cell>
          <cell r="AG1945">
            <v>119.62826467293749</v>
          </cell>
          <cell r="AH1945">
            <v>128.75429201682945</v>
          </cell>
        </row>
        <row r="1946">
          <cell r="AD1946">
            <v>109.24169749903176</v>
          </cell>
          <cell r="AE1946">
            <v>111.5451819047659</v>
          </cell>
          <cell r="AF1946">
            <v>114.78179814225106</v>
          </cell>
          <cell r="AG1946">
            <v>119.63625348337037</v>
          </cell>
          <cell r="AH1946">
            <v>128.76161302979747</v>
          </cell>
        </row>
        <row r="1947">
          <cell r="AD1947">
            <v>109.24898886923339</v>
          </cell>
          <cell r="AE1947">
            <v>111.55255538849646</v>
          </cell>
          <cell r="AF1947">
            <v>114.78988913225008</v>
          </cell>
          <cell r="AG1947">
            <v>119.64424229380325</v>
          </cell>
          <cell r="AH1947">
            <v>128.76893404276552</v>
          </cell>
        </row>
        <row r="1948">
          <cell r="AD1948">
            <v>109.256280239435</v>
          </cell>
          <cell r="AE1948">
            <v>111.55992887222702</v>
          </cell>
          <cell r="AF1948">
            <v>114.79798012224909</v>
          </cell>
          <cell r="AG1948">
            <v>119.65223110423612</v>
          </cell>
          <cell r="AH1948">
            <v>128.77625505573354</v>
          </cell>
        </row>
        <row r="1949">
          <cell r="AD1949">
            <v>109.26357160963661</v>
          </cell>
          <cell r="AE1949">
            <v>111.56730235595758</v>
          </cell>
          <cell r="AF1949">
            <v>114.80607111224811</v>
          </cell>
          <cell r="AG1949">
            <v>119.660219914669</v>
          </cell>
          <cell r="AH1949">
            <v>128.78357606870156</v>
          </cell>
        </row>
        <row r="1950">
          <cell r="AD1950">
            <v>109.27086297983823</v>
          </cell>
          <cell r="AE1950">
            <v>111.57467583968814</v>
          </cell>
          <cell r="AF1950">
            <v>114.81416210224711</v>
          </cell>
          <cell r="AG1950">
            <v>119.66820872510186</v>
          </cell>
          <cell r="AH1950">
            <v>128.79089708166958</v>
          </cell>
        </row>
        <row r="1951">
          <cell r="AD1951">
            <v>109.27815435003986</v>
          </cell>
          <cell r="AE1951">
            <v>111.5820493234187</v>
          </cell>
          <cell r="AF1951">
            <v>114.82225309224613</v>
          </cell>
          <cell r="AG1951">
            <v>119.67619753553474</v>
          </cell>
          <cell r="AH1951">
            <v>128.79821809463763</v>
          </cell>
        </row>
        <row r="1952">
          <cell r="AD1952">
            <v>109.28544572024147</v>
          </cell>
          <cell r="AE1952">
            <v>111.58942280714928</v>
          </cell>
          <cell r="AF1952">
            <v>114.83034408224513</v>
          </cell>
          <cell r="AG1952">
            <v>119.68418634596762</v>
          </cell>
          <cell r="AH1952">
            <v>128.80553910760565</v>
          </cell>
        </row>
        <row r="1953">
          <cell r="AD1953">
            <v>109.29273709044308</v>
          </cell>
          <cell r="AE1953">
            <v>111.59679629087984</v>
          </cell>
          <cell r="AF1953">
            <v>114.83843507224415</v>
          </cell>
          <cell r="AG1953">
            <v>119.69217515640049</v>
          </cell>
          <cell r="AH1953">
            <v>128.81286012057367</v>
          </cell>
        </row>
        <row r="1954">
          <cell r="AD1954">
            <v>109.3000284606447</v>
          </cell>
          <cell r="AE1954">
            <v>111.6041697746104</v>
          </cell>
          <cell r="AF1954">
            <v>114.84652606224316</v>
          </cell>
          <cell r="AG1954">
            <v>119.70016396683336</v>
          </cell>
          <cell r="AH1954">
            <v>128.82018113354169</v>
          </cell>
        </row>
        <row r="1955">
          <cell r="AD1955">
            <v>109.30731983084632</v>
          </cell>
          <cell r="AE1955">
            <v>111.61154325834096</v>
          </cell>
          <cell r="AF1955">
            <v>114.85461705224218</v>
          </cell>
          <cell r="AG1955">
            <v>119.70815277726624</v>
          </cell>
          <cell r="AH1955">
            <v>128.82750214650974</v>
          </cell>
        </row>
        <row r="1956">
          <cell r="AD1956">
            <v>109.31461120104794</v>
          </cell>
          <cell r="AE1956">
            <v>111.61891674207152</v>
          </cell>
          <cell r="AF1956">
            <v>114.86270804224118</v>
          </cell>
          <cell r="AG1956">
            <v>119.71614158769911</v>
          </cell>
          <cell r="AH1956">
            <v>128.83482315947776</v>
          </cell>
        </row>
        <row r="1957">
          <cell r="AD1957">
            <v>109.32190257124955</v>
          </cell>
          <cell r="AE1957">
            <v>111.62629022580208</v>
          </cell>
          <cell r="AF1957">
            <v>114.8707990322402</v>
          </cell>
          <cell r="AG1957">
            <v>119.72413039813199</v>
          </cell>
          <cell r="AH1957">
            <v>128.84214417244578</v>
          </cell>
        </row>
        <row r="1958">
          <cell r="AD1958">
            <v>109.32919394145118</v>
          </cell>
          <cell r="AE1958">
            <v>111.63366370953266</v>
          </cell>
          <cell r="AF1958">
            <v>114.8788900222392</v>
          </cell>
          <cell r="AG1958">
            <v>119.73211920856487</v>
          </cell>
          <cell r="AH1958">
            <v>128.84946518541381</v>
          </cell>
        </row>
        <row r="1959">
          <cell r="AD1959">
            <v>109.33648531165279</v>
          </cell>
          <cell r="AE1959">
            <v>111.64103719326322</v>
          </cell>
          <cell r="AF1959">
            <v>114.88698101223822</v>
          </cell>
          <cell r="AG1959">
            <v>119.74010801899773</v>
          </cell>
          <cell r="AH1959">
            <v>128.85678619838183</v>
          </cell>
        </row>
        <row r="1960">
          <cell r="AD1960">
            <v>109.34377668185441</v>
          </cell>
          <cell r="AE1960">
            <v>111.64841067699378</v>
          </cell>
          <cell r="AF1960">
            <v>114.89507200223723</v>
          </cell>
          <cell r="AG1960">
            <v>119.74809682943061</v>
          </cell>
          <cell r="AH1960">
            <v>128.86410721134988</v>
          </cell>
        </row>
        <row r="1961">
          <cell r="AD1961">
            <v>109.35106805205602</v>
          </cell>
          <cell r="AE1961">
            <v>111.65578416072434</v>
          </cell>
          <cell r="AF1961">
            <v>114.90316299223625</v>
          </cell>
          <cell r="AG1961">
            <v>119.75608563986349</v>
          </cell>
          <cell r="AH1961">
            <v>128.8714282243179</v>
          </cell>
        </row>
        <row r="1962">
          <cell r="AD1962">
            <v>109.35835942225765</v>
          </cell>
          <cell r="AE1962">
            <v>111.6631576444549</v>
          </cell>
          <cell r="AF1962">
            <v>114.91125398223525</v>
          </cell>
          <cell r="AG1962">
            <v>119.76407445029636</v>
          </cell>
          <cell r="AH1962">
            <v>128.87874923728592</v>
          </cell>
        </row>
        <row r="1963">
          <cell r="AD1963">
            <v>109.36565079245926</v>
          </cell>
          <cell r="AE1963">
            <v>111.67053112818546</v>
          </cell>
          <cell r="AF1963">
            <v>114.91934497223427</v>
          </cell>
          <cell r="AG1963">
            <v>119.77206326072923</v>
          </cell>
          <cell r="AH1963">
            <v>128.88607025025394</v>
          </cell>
        </row>
        <row r="1964">
          <cell r="AD1964">
            <v>109.37294216266088</v>
          </cell>
          <cell r="AE1964">
            <v>111.67790461191603</v>
          </cell>
          <cell r="AF1964">
            <v>114.92743596223328</v>
          </cell>
          <cell r="AG1964">
            <v>119.7800520711621</v>
          </cell>
          <cell r="AH1964">
            <v>128.89339126322199</v>
          </cell>
        </row>
        <row r="1965">
          <cell r="AD1965">
            <v>109.3802335328625</v>
          </cell>
          <cell r="AE1965">
            <v>111.68527809564659</v>
          </cell>
          <cell r="AF1965">
            <v>114.93552695223229</v>
          </cell>
          <cell r="AG1965">
            <v>119.78804088159498</v>
          </cell>
          <cell r="AH1965">
            <v>128.90071227619001</v>
          </cell>
        </row>
        <row r="1966">
          <cell r="AD1966">
            <v>109.38752490306412</v>
          </cell>
          <cell r="AE1966">
            <v>111.69265157937716</v>
          </cell>
          <cell r="AF1966">
            <v>114.9436179422313</v>
          </cell>
          <cell r="AG1966">
            <v>119.79602969202786</v>
          </cell>
          <cell r="AH1966">
            <v>128.90803328915803</v>
          </cell>
        </row>
        <row r="1967">
          <cell r="AD1967">
            <v>109.39481627326573</v>
          </cell>
          <cell r="AE1967">
            <v>111.70002506310772</v>
          </cell>
          <cell r="AF1967">
            <v>114.95170893223032</v>
          </cell>
          <cell r="AG1967">
            <v>119.80401850246074</v>
          </cell>
          <cell r="AH1967">
            <v>128.91535430212605</v>
          </cell>
        </row>
        <row r="1968">
          <cell r="AD1968">
            <v>109.40210764346735</v>
          </cell>
          <cell r="AE1968">
            <v>111.70739854683828</v>
          </cell>
          <cell r="AF1968">
            <v>114.95979992222932</v>
          </cell>
          <cell r="AG1968">
            <v>119.8120073128936</v>
          </cell>
          <cell r="AH1968">
            <v>128.9226753150941</v>
          </cell>
        </row>
        <row r="1969">
          <cell r="AD1969">
            <v>109.40939901366897</v>
          </cell>
          <cell r="AE1969">
            <v>111.71477203056884</v>
          </cell>
          <cell r="AF1969">
            <v>114.96789091222833</v>
          </cell>
          <cell r="AG1969">
            <v>119.81999612332648</v>
          </cell>
          <cell r="AH1969">
            <v>128.92999632806212</v>
          </cell>
        </row>
        <row r="1970">
          <cell r="AD1970">
            <v>109.41669038387059</v>
          </cell>
          <cell r="AE1970">
            <v>111.72214551429941</v>
          </cell>
          <cell r="AF1970">
            <v>114.97598190222735</v>
          </cell>
          <cell r="AG1970">
            <v>119.82798493375935</v>
          </cell>
          <cell r="AH1970">
            <v>128.93731734103014</v>
          </cell>
        </row>
        <row r="1971">
          <cell r="AD1971">
            <v>109.4239817540722</v>
          </cell>
          <cell r="AE1971">
            <v>111.72951899802997</v>
          </cell>
          <cell r="AF1971">
            <v>114.98407289222635</v>
          </cell>
          <cell r="AG1971">
            <v>119.83597374419223</v>
          </cell>
          <cell r="AH1971">
            <v>128.94463835399816</v>
          </cell>
        </row>
        <row r="1972">
          <cell r="AD1972">
            <v>109.43127312427382</v>
          </cell>
          <cell r="AE1972">
            <v>111.73689248176053</v>
          </cell>
          <cell r="AF1972">
            <v>114.99216388222537</v>
          </cell>
          <cell r="AG1972">
            <v>119.84396255462511</v>
          </cell>
          <cell r="AH1972">
            <v>128.95195936696621</v>
          </cell>
        </row>
        <row r="1973">
          <cell r="AD1973">
            <v>109.43856449447544</v>
          </cell>
          <cell r="AE1973">
            <v>111.7442659654911</v>
          </cell>
          <cell r="AF1973">
            <v>115.00022669298825</v>
          </cell>
          <cell r="AG1973">
            <v>119.85195136505797</v>
          </cell>
          <cell r="AH1973">
            <v>128.95928037993423</v>
          </cell>
        </row>
        <row r="1974">
          <cell r="AD1974">
            <v>109.44585586467706</v>
          </cell>
          <cell r="AE1974">
            <v>111.75163944922166</v>
          </cell>
          <cell r="AF1974">
            <v>115.00742312526033</v>
          </cell>
          <cell r="AG1974">
            <v>119.85994017549085</v>
          </cell>
          <cell r="AH1974">
            <v>128.96660139290225</v>
          </cell>
        </row>
        <row r="1975">
          <cell r="AD1975">
            <v>109.45314723487867</v>
          </cell>
          <cell r="AE1975">
            <v>111.75901293295222</v>
          </cell>
          <cell r="AF1975">
            <v>115.01461955753243</v>
          </cell>
          <cell r="AG1975">
            <v>119.86792898592373</v>
          </cell>
          <cell r="AH1975">
            <v>128.97392240587027</v>
          </cell>
        </row>
        <row r="1976">
          <cell r="AD1976">
            <v>109.4604386050803</v>
          </cell>
          <cell r="AE1976">
            <v>111.76638641668279</v>
          </cell>
          <cell r="AF1976">
            <v>115.02181598980451</v>
          </cell>
          <cell r="AG1976">
            <v>119.8759177963566</v>
          </cell>
          <cell r="AH1976">
            <v>128.98124341883832</v>
          </cell>
        </row>
        <row r="1977">
          <cell r="AD1977">
            <v>109.46772997528191</v>
          </cell>
          <cell r="AE1977">
            <v>111.77375990041335</v>
          </cell>
          <cell r="AF1977">
            <v>115.02901242207659</v>
          </cell>
          <cell r="AG1977">
            <v>119.88390660678947</v>
          </cell>
          <cell r="AH1977">
            <v>128.98856443180634</v>
          </cell>
        </row>
        <row r="1978">
          <cell r="AD1978">
            <v>109.47502134548353</v>
          </cell>
          <cell r="AE1978">
            <v>111.78113338414391</v>
          </cell>
          <cell r="AF1978">
            <v>115.03620885434869</v>
          </cell>
          <cell r="AG1978">
            <v>119.89189541722234</v>
          </cell>
          <cell r="AH1978">
            <v>128.99588544477436</v>
          </cell>
        </row>
        <row r="1979">
          <cell r="AD1979">
            <v>109.48231271568514</v>
          </cell>
          <cell r="AE1979">
            <v>111.78850686787447</v>
          </cell>
          <cell r="AF1979">
            <v>115.04340528662077</v>
          </cell>
          <cell r="AG1979">
            <v>119.89988422765522</v>
          </cell>
          <cell r="AH1979">
            <v>129.00293585026517</v>
          </cell>
        </row>
        <row r="1980">
          <cell r="AD1980">
            <v>109.48960408588677</v>
          </cell>
          <cell r="AE1980">
            <v>111.79588035160504</v>
          </cell>
          <cell r="AF1980">
            <v>115.05060171889285</v>
          </cell>
          <cell r="AG1980">
            <v>119.9078730380881</v>
          </cell>
          <cell r="AH1980">
            <v>129.0096390098233</v>
          </cell>
        </row>
        <row r="1981">
          <cell r="AD1981">
            <v>109.49689545608838</v>
          </cell>
          <cell r="AE1981">
            <v>111.8032538353356</v>
          </cell>
          <cell r="AF1981">
            <v>115.05779815116495</v>
          </cell>
          <cell r="AG1981">
            <v>119.91586184852098</v>
          </cell>
          <cell r="AH1981">
            <v>129.0163421693814</v>
          </cell>
        </row>
        <row r="1982">
          <cell r="AD1982">
            <v>109.50418682629</v>
          </cell>
          <cell r="AE1982">
            <v>111.81062731906617</v>
          </cell>
          <cell r="AF1982">
            <v>115.06499458343703</v>
          </cell>
          <cell r="AG1982">
            <v>119.92385065895384</v>
          </cell>
          <cell r="AH1982">
            <v>129.0230453289395</v>
          </cell>
        </row>
        <row r="1983">
          <cell r="AD1983">
            <v>109.51147819649161</v>
          </cell>
          <cell r="AE1983">
            <v>111.81800080279673</v>
          </cell>
          <cell r="AF1983">
            <v>115.07219101570911</v>
          </cell>
          <cell r="AG1983">
            <v>119.93183946938672</v>
          </cell>
          <cell r="AH1983">
            <v>129.02974848849763</v>
          </cell>
        </row>
        <row r="1984">
          <cell r="AD1984">
            <v>109.51876956669324</v>
          </cell>
          <cell r="AE1984">
            <v>111.82537428652729</v>
          </cell>
          <cell r="AF1984">
            <v>115.0793874479812</v>
          </cell>
          <cell r="AG1984">
            <v>119.93982827981959</v>
          </cell>
          <cell r="AH1984">
            <v>129.03645164805573</v>
          </cell>
        </row>
        <row r="1985">
          <cell r="AD1985">
            <v>109.52606093689485</v>
          </cell>
          <cell r="AE1985">
            <v>111.83274777025785</v>
          </cell>
          <cell r="AF1985">
            <v>115.08658388025329</v>
          </cell>
          <cell r="AG1985">
            <v>119.94781709025247</v>
          </cell>
          <cell r="AH1985">
            <v>129.04315480761383</v>
          </cell>
        </row>
        <row r="1986">
          <cell r="AD1986">
            <v>109.53335230709646</v>
          </cell>
          <cell r="AE1986">
            <v>111.84012125398841</v>
          </cell>
          <cell r="AF1986">
            <v>115.09378031252537</v>
          </cell>
          <cell r="AG1986">
            <v>119.95580590068533</v>
          </cell>
          <cell r="AH1986">
            <v>129.04985796717196</v>
          </cell>
        </row>
        <row r="1987">
          <cell r="AD1987">
            <v>109.54064367729809</v>
          </cell>
          <cell r="AE1987">
            <v>111.84749473771897</v>
          </cell>
          <cell r="AF1987">
            <v>115.10097674479746</v>
          </cell>
          <cell r="AG1987">
            <v>119.96379471111821</v>
          </cell>
          <cell r="AH1987">
            <v>129.05656112673006</v>
          </cell>
        </row>
        <row r="1988">
          <cell r="AD1988">
            <v>109.54793504749971</v>
          </cell>
          <cell r="AE1988">
            <v>111.85486822144955</v>
          </cell>
          <cell r="AF1988">
            <v>115.10817317706955</v>
          </cell>
          <cell r="AG1988">
            <v>119.97178352155109</v>
          </cell>
          <cell r="AH1988">
            <v>129.06326428628816</v>
          </cell>
        </row>
        <row r="1989">
          <cell r="AD1989">
            <v>109.55522641770132</v>
          </cell>
          <cell r="AE1989">
            <v>111.86224170518011</v>
          </cell>
          <cell r="AF1989">
            <v>115.11536960934163</v>
          </cell>
          <cell r="AG1989">
            <v>119.97977233198397</v>
          </cell>
          <cell r="AH1989">
            <v>129.06996744584629</v>
          </cell>
        </row>
        <row r="1990">
          <cell r="AD1990">
            <v>109.56251778790293</v>
          </cell>
          <cell r="AE1990">
            <v>111.86961518891067</v>
          </cell>
          <cell r="AF1990">
            <v>115.12256604161372</v>
          </cell>
          <cell r="AG1990">
            <v>119.98776114241684</v>
          </cell>
          <cell r="AH1990">
            <v>129.07667060540439</v>
          </cell>
        </row>
        <row r="1991">
          <cell r="AD1991">
            <v>109.56980915810456</v>
          </cell>
          <cell r="AE1991">
            <v>111.87698867264123</v>
          </cell>
          <cell r="AF1991">
            <v>115.1297624738858</v>
          </cell>
          <cell r="AG1991">
            <v>119.99574995284971</v>
          </cell>
          <cell r="AH1991">
            <v>129.08337376496249</v>
          </cell>
        </row>
        <row r="1992">
          <cell r="AD1992">
            <v>109.57710052830618</v>
          </cell>
          <cell r="AE1992">
            <v>111.88436215637179</v>
          </cell>
          <cell r="AF1992">
            <v>115.13695890615789</v>
          </cell>
          <cell r="AG1992">
            <v>120.00350452032548</v>
          </cell>
          <cell r="AH1992">
            <v>129.09007692452062</v>
          </cell>
        </row>
        <row r="1993">
          <cell r="AD1993">
            <v>109.58439189850779</v>
          </cell>
          <cell r="AE1993">
            <v>111.89173564010235</v>
          </cell>
          <cell r="AF1993">
            <v>115.14415533842998</v>
          </cell>
          <cell r="AG1993">
            <v>120.01099281161923</v>
          </cell>
          <cell r="AH1993">
            <v>129.09678008407872</v>
          </cell>
        </row>
        <row r="1994">
          <cell r="AD1994">
            <v>109.59168326870942</v>
          </cell>
          <cell r="AE1994">
            <v>111.89910912383293</v>
          </cell>
          <cell r="AF1994">
            <v>115.15135177070206</v>
          </cell>
          <cell r="AG1994">
            <v>120.01848110291299</v>
          </cell>
          <cell r="AH1994">
            <v>129.10348324363682</v>
          </cell>
        </row>
        <row r="1995">
          <cell r="AD1995">
            <v>109.59897463891103</v>
          </cell>
          <cell r="AE1995">
            <v>111.90648260756349</v>
          </cell>
          <cell r="AF1995">
            <v>115.15854820297415</v>
          </cell>
          <cell r="AG1995">
            <v>120.02596939420673</v>
          </cell>
          <cell r="AH1995">
            <v>129.11018640319494</v>
          </cell>
        </row>
        <row r="1996">
          <cell r="AD1996">
            <v>109.60626600911264</v>
          </cell>
          <cell r="AE1996">
            <v>111.91385609129405</v>
          </cell>
          <cell r="AF1996">
            <v>115.16574463524624</v>
          </cell>
          <cell r="AG1996">
            <v>120.03345768550048</v>
          </cell>
          <cell r="AH1996">
            <v>129.11688956275304</v>
          </cell>
        </row>
        <row r="1997">
          <cell r="AD1997">
            <v>109.61355737931426</v>
          </cell>
          <cell r="AE1997">
            <v>111.92122957502461</v>
          </cell>
          <cell r="AF1997">
            <v>115.17294106751832</v>
          </cell>
          <cell r="AG1997">
            <v>120.04094597679423</v>
          </cell>
          <cell r="AH1997">
            <v>129.12359272231114</v>
          </cell>
        </row>
        <row r="1998">
          <cell r="AD1998">
            <v>109.62084874951589</v>
          </cell>
          <cell r="AE1998">
            <v>111.92860305875517</v>
          </cell>
          <cell r="AF1998">
            <v>115.1801374997904</v>
          </cell>
          <cell r="AG1998">
            <v>120.04843426808799</v>
          </cell>
          <cell r="AH1998">
            <v>129.13029588186927</v>
          </cell>
        </row>
        <row r="1999">
          <cell r="AD1999">
            <v>109.6281401197175</v>
          </cell>
          <cell r="AE1999">
            <v>111.93597654248573</v>
          </cell>
          <cell r="AF1999">
            <v>115.1873339320625</v>
          </cell>
          <cell r="AG1999">
            <v>120.05592255938174</v>
          </cell>
          <cell r="AH1999">
            <v>129.13699904142737</v>
          </cell>
        </row>
        <row r="2000">
          <cell r="AD2000">
            <v>109.63543148991911</v>
          </cell>
          <cell r="AE2000">
            <v>111.94335002621631</v>
          </cell>
          <cell r="AF2000">
            <v>115.19453036433458</v>
          </cell>
          <cell r="AG2000">
            <v>120.0634108506755</v>
          </cell>
          <cell r="AH2000">
            <v>129.14370220098547</v>
          </cell>
        </row>
        <row r="2001">
          <cell r="AD2001">
            <v>109.64272286012073</v>
          </cell>
          <cell r="AE2001">
            <v>111.95072350994687</v>
          </cell>
          <cell r="AF2001">
            <v>115.20172679660666</v>
          </cell>
          <cell r="AG2001">
            <v>120.07089914196925</v>
          </cell>
          <cell r="AH2001">
            <v>129.1504053605436</v>
          </cell>
        </row>
        <row r="2002">
          <cell r="AD2002">
            <v>109.65001423032236</v>
          </cell>
          <cell r="AE2002">
            <v>111.95809699367743</v>
          </cell>
          <cell r="AF2002">
            <v>115.20892322887876</v>
          </cell>
          <cell r="AG2002">
            <v>120.07838743326299</v>
          </cell>
          <cell r="AH2002">
            <v>129.1571085201017</v>
          </cell>
        </row>
        <row r="2003">
          <cell r="AD2003">
            <v>109.65730560052397</v>
          </cell>
          <cell r="AE2003">
            <v>111.96547047740799</v>
          </cell>
          <cell r="AF2003">
            <v>115.21611966115084</v>
          </cell>
          <cell r="AG2003">
            <v>120.08587572455674</v>
          </cell>
          <cell r="AH2003">
            <v>129.1638116796598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6">
          <cell r="BB6">
            <v>3.7499999999999999E-2</v>
          </cell>
        </row>
        <row r="7">
          <cell r="BB7">
            <v>3.125E-2</v>
          </cell>
        </row>
        <row r="8">
          <cell r="BB8">
            <v>2.615062761506276E-2</v>
          </cell>
        </row>
        <row r="9">
          <cell r="BB9">
            <v>2.1975317323582152E-2</v>
          </cell>
        </row>
        <row r="10">
          <cell r="BB10">
            <v>1.8544571581081984E-2</v>
          </cell>
        </row>
        <row r="11">
          <cell r="BB11">
            <v>1.5715738628035578E-2</v>
          </cell>
        </row>
        <row r="12">
          <cell r="BB12">
            <v>1.3375096704711131E-2</v>
          </cell>
        </row>
        <row r="13">
          <cell r="BB13">
            <v>1.1431706585223189E-2</v>
          </cell>
        </row>
        <row r="14">
          <cell r="BB14">
            <v>9.8126236783031666E-3</v>
          </cell>
        </row>
        <row r="15">
          <cell r="BB15">
            <v>8.4591583433647997E-3</v>
          </cell>
        </row>
        <row r="16">
          <cell r="BB16">
            <v>7.323946617631861E-3</v>
          </cell>
        </row>
        <row r="17">
          <cell r="BB17">
            <v>6.3686492327233576E-3</v>
          </cell>
        </row>
        <row r="18">
          <cell r="BB18">
            <v>5.5621390678806618E-3</v>
          </cell>
        </row>
        <row r="19">
          <cell r="BB19">
            <v>4.8790693577900543E-3</v>
          </cell>
        </row>
        <row r="20">
          <cell r="BB20">
            <v>4.298739522281987E-3</v>
          </cell>
        </row>
        <row r="21">
          <cell r="BB21">
            <v>3.8041942675061829E-3</v>
          </cell>
        </row>
        <row r="22">
          <cell r="BB22">
            <v>3.3815060155610514E-3</v>
          </cell>
        </row>
        <row r="23">
          <cell r="BB23">
            <v>3.0192017996080811E-3</v>
          </cell>
        </row>
        <row r="24">
          <cell r="BB24">
            <v>2.6957158925072153E-3</v>
          </cell>
        </row>
        <row r="25">
          <cell r="BB25">
            <v>2.4068891897385848E-3</v>
          </cell>
        </row>
        <row r="26">
          <cell r="BB26">
            <v>2.1490082051237361E-3</v>
          </cell>
        </row>
        <row r="27">
          <cell r="BB27">
            <v>1.9187573260033358E-3</v>
          </cell>
        </row>
        <row r="28">
          <cell r="BB28">
            <v>1.7131761839315495E-3</v>
          </cell>
        </row>
        <row r="29">
          <cell r="BB29">
            <v>1.5296215927960263E-3</v>
          </cell>
        </row>
        <row r="30">
          <cell r="BB30">
            <v>1.365733564996452E-3</v>
          </cell>
        </row>
        <row r="31">
          <cell r="BB31">
            <v>1.219404968746832E-3</v>
          </cell>
        </row>
        <row r="32">
          <cell r="BB32">
            <v>1.0887544363810998E-3</v>
          </cell>
        </row>
        <row r="33">
          <cell r="BB33">
            <v>9.7210217534026756E-4</v>
          </cell>
        </row>
        <row r="34">
          <cell r="BB34">
            <v>8.6794837083952457E-4</v>
          </cell>
        </row>
        <row r="35">
          <cell r="BB35">
            <v>7.7495390253528977E-4</v>
          </cell>
        </row>
        <row r="36">
          <cell r="BB36">
            <v>6.9502592155631373E-4</v>
          </cell>
        </row>
        <row r="37">
          <cell r="BB37">
            <v>6.2614947887956187E-4</v>
          </cell>
        </row>
        <row r="38">
          <cell r="BB38">
            <v>5.6665111210820081E-4</v>
          </cell>
        </row>
        <row r="39">
          <cell r="BB39">
            <v>5.1513737464381883E-4</v>
          </cell>
        </row>
        <row r="40">
          <cell r="BB40">
            <v>4.6830670422165342E-4</v>
          </cell>
        </row>
        <row r="41">
          <cell r="BB41">
            <v>4.2573336747423038E-4</v>
          </cell>
        </row>
        <row r="42">
          <cell r="BB42">
            <v>3.8703033406748213E-4</v>
          </cell>
        </row>
        <row r="43">
          <cell r="BB43">
            <v>3.5184575824316556E-4</v>
          </cell>
        </row>
        <row r="44">
          <cell r="BB44">
            <v>3.1985978022105956E-4</v>
          </cell>
        </row>
        <row r="45">
          <cell r="BB45">
            <v>2.9078161838278139E-4</v>
          </cell>
        </row>
        <row r="46">
          <cell r="BB46">
            <v>2.6434692580252849E-4</v>
          </cell>
        </row>
        <row r="47">
          <cell r="BB47">
            <v>2.403153870932077E-4</v>
          </cell>
        </row>
        <row r="48">
          <cell r="BB48">
            <v>2.184685337210979E-4</v>
          </cell>
        </row>
        <row r="49">
          <cell r="BB49">
            <v>1.9860775792827079E-4</v>
          </cell>
        </row>
        <row r="50">
          <cell r="BB50">
            <v>1.8055250720751888E-4</v>
          </cell>
        </row>
        <row r="51">
          <cell r="BB51">
            <v>1.6413864291592623E-4</v>
          </cell>
        </row>
        <row r="52">
          <cell r="BB52">
            <v>1.4921694810538747E-4</v>
          </cell>
        </row>
        <row r="53">
          <cell r="BB53">
            <v>1.3565177100489771E-4</v>
          </cell>
        </row>
        <row r="54">
          <cell r="BB54">
            <v>1.2331979182263425E-4</v>
          </cell>
        </row>
        <row r="55">
          <cell r="BB55">
            <v>1.1210890165694024E-4</v>
          </cell>
        </row>
        <row r="56">
          <cell r="BB56">
            <v>1.0191718332449112E-4</v>
          </cell>
        </row>
        <row r="57">
          <cell r="BB57">
            <v>9.2651984840446463E-5</v>
          </cell>
        </row>
        <row r="58">
          <cell r="BB58">
            <v>8.4229077127678589E-5</v>
          </cell>
        </row>
        <row r="59">
          <cell r="BB59">
            <v>7.6571888297889614E-5</v>
          </cell>
        </row>
        <row r="60">
          <cell r="BB60">
            <v>6.9610807543536008E-5</v>
          </cell>
        </row>
        <row r="61">
          <cell r="BB61">
            <v>6.328255231230545E-5</v>
          </cell>
        </row>
        <row r="62">
          <cell r="BB62">
            <v>5.7529593011186771E-5</v>
          </cell>
        </row>
        <row r="63">
          <cell r="BB63">
            <v>5.2299630010169788E-5</v>
          </cell>
        </row>
        <row r="64">
          <cell r="BB64">
            <v>4.7545118191063442E-5</v>
          </cell>
        </row>
        <row r="65">
          <cell r="BB65">
            <v>4.3222834719148579E-5</v>
          </cell>
        </row>
        <row r="66">
          <cell r="BB66">
            <v>3.9293486108316887E-5</v>
          </cell>
        </row>
        <row r="67">
          <cell r="BB67">
            <v>3.5721351007560798E-5</v>
          </cell>
        </row>
        <row r="68">
          <cell r="BB68">
            <v>3.2473955461418906E-5</v>
          </cell>
        </row>
        <row r="69">
          <cell r="BB69">
            <v>2.9521777692199E-5</v>
          </cell>
        </row>
        <row r="70">
          <cell r="BB70">
            <v>2.6837979720180906E-5</v>
          </cell>
        </row>
        <row r="71">
          <cell r="BB71">
            <v>2.4398163381982642E-5</v>
          </cell>
        </row>
        <row r="72">
          <cell r="BB72">
            <v>2.2180148529075128E-5</v>
          </cell>
        </row>
        <row r="73">
          <cell r="BB73">
            <v>2.0163771390068297E-5</v>
          </cell>
        </row>
        <row r="74">
          <cell r="BB74">
            <v>1.833070126369845E-5</v>
          </cell>
        </row>
        <row r="75">
          <cell r="BB75">
            <v>1.66642738760895E-5</v>
          </cell>
        </row>
        <row r="76">
          <cell r="BB76">
            <v>1.5149339887354088E-5</v>
          </cell>
        </row>
        <row r="77">
          <cell r="BB77">
            <v>1.3772127170321899E-5</v>
          </cell>
        </row>
        <row r="78">
          <cell r="BB78">
            <v>1.2520115609383542E-5</v>
          </cell>
        </row>
        <row r="79">
          <cell r="BB79">
            <v>1.1381923281257766E-5</v>
          </cell>
        </row>
        <row r="80">
          <cell r="BB80">
            <v>1.0347202982961605E-5</v>
          </cell>
        </row>
        <row r="81">
          <cell r="BB81">
            <v>9.406548166328731E-6</v>
          </cell>
        </row>
        <row r="82">
          <cell r="BB82">
            <v>8.5514074239352094E-6</v>
          </cell>
        </row>
        <row r="83">
          <cell r="BB83">
            <v>7.7740067490320079E-6</v>
          </cell>
        </row>
        <row r="84">
          <cell r="BB84">
            <v>7.0672788627563706E-6</v>
          </cell>
        </row>
        <row r="85">
          <cell r="BB85">
            <v>6.4247989661421547E-6</v>
          </cell>
        </row>
        <row r="86">
          <cell r="BB86">
            <v>5.8407263328565037E-6</v>
          </cell>
        </row>
        <row r="87">
          <cell r="BB87">
            <v>5.3097512116877295E-6</v>
          </cell>
        </row>
        <row r="88">
          <cell r="BB88">
            <v>4.8270465560797545E-6</v>
          </cell>
        </row>
        <row r="89">
          <cell r="BB89">
            <v>4.3882241418906856E-6</v>
          </cell>
        </row>
        <row r="90">
          <cell r="BB90">
            <v>3.9892946744460772E-6</v>
          </cell>
        </row>
        <row r="91">
          <cell r="BB91">
            <v>3.626631522223706E-6</v>
          </cell>
        </row>
        <row r="92">
          <cell r="BB92">
            <v>3.296937747476096E-6</v>
          </cell>
        </row>
        <row r="93">
          <cell r="BB93">
            <v>2.9972161340691778E-6</v>
          </cell>
        </row>
        <row r="94">
          <cell r="BB94">
            <v>2.7247419400628888E-6</v>
          </cell>
        </row>
        <row r="95">
          <cell r="BB95">
            <v>2.4770381273298987E-6</v>
          </cell>
        </row>
        <row r="96">
          <cell r="BB96">
            <v>2.2518528430271806E-6</v>
          </cell>
        </row>
        <row r="97">
          <cell r="BB97">
            <v>2.0471389482065275E-6</v>
          </cell>
        </row>
        <row r="98">
          <cell r="BB98">
            <v>1.8610354074604796E-6</v>
          </cell>
        </row>
        <row r="99">
          <cell r="BB99">
            <v>1.6918503704186175E-6</v>
          </cell>
        </row>
        <row r="100">
          <cell r="BB100">
            <v>1.5380457912896521E-6</v>
          </cell>
        </row>
        <row r="101">
          <cell r="BB101">
            <v>1.3982234466269566E-6</v>
          </cell>
        </row>
        <row r="102">
          <cell r="BB102">
            <v>1.271112224206324E-6</v>
          </cell>
        </row>
        <row r="103">
          <cell r="BB103">
            <v>1.1555565674602945E-6</v>
          </cell>
        </row>
        <row r="104">
          <cell r="BB104">
            <v>1.0505059704184495E-6</v>
          </cell>
        </row>
        <row r="105">
          <cell r="BB105">
            <v>9.5500542765313594E-7</v>
          </cell>
        </row>
        <row r="106">
          <cell r="BB106">
            <v>8.6818675241194168E-7</v>
          </cell>
        </row>
        <row r="107">
          <cell r="BB107">
            <v>7.8926068401085601E-7</v>
          </cell>
        </row>
        <row r="108">
          <cell r="BB108">
            <v>7.1750971273714184E-7</v>
          </cell>
        </row>
        <row r="109">
          <cell r="BB109">
            <v>6.5228155703376527E-7</v>
          </cell>
        </row>
        <row r="110">
          <cell r="BB110">
            <v>5.9298323366705923E-7</v>
          </cell>
        </row>
        <row r="111">
          <cell r="BB111">
            <v>5.3907566697005388E-7</v>
          </cell>
        </row>
        <row r="112">
          <cell r="BB112">
            <v>4.9006878815459436E-7</v>
          </cell>
        </row>
        <row r="113">
          <cell r="BB113">
            <v>4.4551708014054032E-7</v>
          </cell>
        </row>
        <row r="114">
          <cell r="BB114">
            <v>4.0501552740049114E-7</v>
          </cell>
        </row>
        <row r="115">
          <cell r="BB115">
            <v>3.6819593400044644E-7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资源-材料1"/>
      <sheetName val="节奏总纲"/>
      <sheetName val="信息索引"/>
      <sheetName val="基础状态预期"/>
      <sheetName val="爵位属性"/>
      <sheetName val="爵位俸禄"/>
      <sheetName val="爵位声望"/>
      <sheetName val="村县营基础信息"/>
      <sheetName val="战损信息"/>
      <sheetName val="村县营线路设计"/>
      <sheetName val="繁荣度奖励"/>
      <sheetName val="村镇首通奖励"/>
      <sheetName val="爵位实力"/>
      <sheetName val="繁荣度需求"/>
      <sheetName val="产出汇总"/>
      <sheetName val="爵位解锁村镇信息"/>
      <sheetName val="村镇繁荣度"/>
      <sheetName val="爵位升级备份"/>
      <sheetName val="其他调用"/>
    </sheetNames>
    <sheetDataSet>
      <sheetData sheetId="0"/>
      <sheetData sheetId="1">
        <row r="4">
          <cell r="D4">
            <v>7.1773462536293131E-2</v>
          </cell>
          <cell r="M4">
            <v>4.677476553490223E-2</v>
          </cell>
        </row>
        <row r="5">
          <cell r="D5">
            <v>0.1486983549970351</v>
          </cell>
          <cell r="M5">
            <v>5.206503103162699E-2</v>
          </cell>
        </row>
        <row r="6">
          <cell r="D6">
            <v>0.23114441334491631</v>
          </cell>
          <cell r="M6">
            <v>5.7321369089296248E-2</v>
          </cell>
        </row>
        <row r="7">
          <cell r="D7">
            <v>0.3195079107728942</v>
          </cell>
          <cell r="M7">
            <v>6.1998835819906672E-2</v>
          </cell>
        </row>
        <row r="8">
          <cell r="D8">
            <v>0.41421356237309515</v>
          </cell>
          <cell r="M8">
            <v>6.4996389762515677E-2</v>
          </cell>
        </row>
        <row r="9">
          <cell r="D9">
            <v>0.51571656651039799</v>
          </cell>
          <cell r="M9">
            <v>7.0212600134676895E-2</v>
          </cell>
        </row>
        <row r="10">
          <cell r="D10">
            <v>0.62450479271247095</v>
          </cell>
          <cell r="M10">
            <v>7.7351964160866482E-2</v>
          </cell>
        </row>
        <row r="11">
          <cell r="D11">
            <v>0.74110112659224825</v>
          </cell>
          <cell r="M11">
            <v>7.4784122914781315E-2</v>
          </cell>
        </row>
        <row r="12">
          <cell r="D12">
            <v>0.86606598307361482</v>
          </cell>
          <cell r="M12">
            <v>8.7317086965316815E-2</v>
          </cell>
        </row>
        <row r="13">
          <cell r="D13">
            <v>1</v>
          </cell>
          <cell r="M13">
            <v>9.6677834586110678E-2</v>
          </cell>
        </row>
        <row r="14">
          <cell r="D14">
            <v>1.1435469250725863</v>
          </cell>
          <cell r="M14">
            <v>0.10503640354043287</v>
          </cell>
        </row>
        <row r="15">
          <cell r="D15">
            <v>1.2973967099940702</v>
          </cell>
          <cell r="M15">
            <v>0.11130597937742703</v>
          </cell>
        </row>
        <row r="16">
          <cell r="D16">
            <v>1.4622888266898326</v>
          </cell>
          <cell r="M16">
            <v>0.12360895107178216</v>
          </cell>
        </row>
        <row r="17">
          <cell r="D17">
            <v>1.6390158215457884</v>
          </cell>
          <cell r="M17">
            <v>0.12507141070721128</v>
          </cell>
        </row>
        <row r="18">
          <cell r="D18">
            <v>1.8284271247461898</v>
          </cell>
          <cell r="M18">
            <v>0.13835807521117749</v>
          </cell>
        </row>
        <row r="19">
          <cell r="D19">
            <v>2.031433133020796</v>
          </cell>
          <cell r="M19">
            <v>0.14699898477710938</v>
          </cell>
        </row>
        <row r="20">
          <cell r="D20">
            <v>2.2490095854249419</v>
          </cell>
          <cell r="M20">
            <v>0.1506197741273787</v>
          </cell>
        </row>
        <row r="21">
          <cell r="D21">
            <v>2.4822022531844965</v>
          </cell>
          <cell r="M21">
            <v>0.17856596703207184</v>
          </cell>
        </row>
        <row r="22">
          <cell r="D22">
            <v>2.7321319661472296</v>
          </cell>
          <cell r="M22">
            <v>0.18194989118114591</v>
          </cell>
        </row>
        <row r="23">
          <cell r="D23">
            <v>3</v>
          </cell>
          <cell r="M23">
            <v>0.18618456297426333</v>
          </cell>
        </row>
        <row r="24">
          <cell r="D24">
            <v>3.2870938501451725</v>
          </cell>
          <cell r="M24">
            <v>0.20945629961863865</v>
          </cell>
        </row>
        <row r="25">
          <cell r="D25">
            <v>3.5947934199881395</v>
          </cell>
          <cell r="M25">
            <v>0.22829422711886593</v>
          </cell>
        </row>
        <row r="26">
          <cell r="D26">
            <v>3.9245776533796644</v>
          </cell>
          <cell r="M26">
            <v>0.23151495319429305</v>
          </cell>
        </row>
        <row r="27">
          <cell r="D27">
            <v>4.2780316430915768</v>
          </cell>
          <cell r="M27">
            <v>0.26345002715071786</v>
          </cell>
        </row>
        <row r="28">
          <cell r="D28">
            <v>4.6568542494923806</v>
          </cell>
          <cell r="M28">
            <v>0.27463721490291215</v>
          </cell>
        </row>
        <row r="29">
          <cell r="D29">
            <v>5.062866266041592</v>
          </cell>
          <cell r="M29">
            <v>0.29261040353885237</v>
          </cell>
        </row>
        <row r="30">
          <cell r="D30">
            <v>5.4980191708498847</v>
          </cell>
          <cell r="M30">
            <v>0.31206404489719253</v>
          </cell>
        </row>
        <row r="31">
          <cell r="D31">
            <v>5.9644045063689921</v>
          </cell>
          <cell r="M31">
            <v>0.32605797974382122</v>
          </cell>
        </row>
        <row r="32">
          <cell r="D32">
            <v>6.4642639322944575</v>
          </cell>
          <cell r="M32">
            <v>0.37575274912056855</v>
          </cell>
        </row>
        <row r="33">
          <cell r="D33">
            <v>7</v>
          </cell>
          <cell r="M33">
            <v>0.39106210071413816</v>
          </cell>
        </row>
        <row r="34">
          <cell r="D34">
            <v>7.5741877002903433</v>
          </cell>
          <cell r="M34">
            <v>0.42116158821942484</v>
          </cell>
        </row>
        <row r="35">
          <cell r="D35">
            <v>8.189586839976279</v>
          </cell>
          <cell r="M35">
            <v>0.44306844077146668</v>
          </cell>
        </row>
        <row r="36">
          <cell r="D36">
            <v>8.8491553067593287</v>
          </cell>
          <cell r="M36">
            <v>0.46329196081447321</v>
          </cell>
        </row>
        <row r="37">
          <cell r="D37">
            <v>9.5560632861831518</v>
          </cell>
          <cell r="M37">
            <v>0.52221085218992336</v>
          </cell>
        </row>
        <row r="38">
          <cell r="D38">
            <v>10.313708498984759</v>
          </cell>
          <cell r="M38">
            <v>0.56291566107089519</v>
          </cell>
        </row>
        <row r="39">
          <cell r="D39">
            <v>11.125732532083184</v>
          </cell>
          <cell r="M39">
            <v>0.58581839787033285</v>
          </cell>
        </row>
        <row r="40">
          <cell r="D40">
            <v>11.996038341699768</v>
          </cell>
          <cell r="M40">
            <v>0.62657080094156647</v>
          </cell>
        </row>
        <row r="41">
          <cell r="D41">
            <v>12.928809012737984</v>
          </cell>
          <cell r="M41">
            <v>0.65194783450345639</v>
          </cell>
        </row>
        <row r="42">
          <cell r="D42">
            <v>13.928527864588917</v>
          </cell>
          <cell r="M42">
            <v>0.69691885104434981</v>
          </cell>
        </row>
        <row r="43">
          <cell r="D43">
            <v>15</v>
          </cell>
          <cell r="M43">
            <v>0.76599561257411075</v>
          </cell>
        </row>
        <row r="44">
          <cell r="D44">
            <v>16.148375400580683</v>
          </cell>
          <cell r="M44">
            <v>0.839985775797917</v>
          </cell>
        </row>
        <row r="45">
          <cell r="D45">
            <v>17.379173679952558</v>
          </cell>
          <cell r="M45">
            <v>0.92577762112783013</v>
          </cell>
        </row>
        <row r="46">
          <cell r="D46">
            <v>18.698310613518661</v>
          </cell>
          <cell r="M46">
            <v>0.96176602134148581</v>
          </cell>
        </row>
        <row r="47">
          <cell r="D47">
            <v>20.112126572366307</v>
          </cell>
          <cell r="M47">
            <v>1.0114259669812409</v>
          </cell>
        </row>
        <row r="48">
          <cell r="D48">
            <v>21.627416997969519</v>
          </cell>
          <cell r="M48">
            <v>1.083225978786535</v>
          </cell>
        </row>
        <row r="49">
          <cell r="D49">
            <v>23.251465064166357</v>
          </cell>
          <cell r="M49">
            <v>1.1531495077096832</v>
          </cell>
        </row>
        <row r="50">
          <cell r="D50">
            <v>24.992076683399535</v>
          </cell>
          <cell r="M50">
            <v>1.2394635479713116</v>
          </cell>
        </row>
        <row r="51">
          <cell r="D51">
            <v>26.857618025475972</v>
          </cell>
          <cell r="M51">
            <v>1.3326332732190522</v>
          </cell>
        </row>
        <row r="52">
          <cell r="D52">
            <v>28.857055729177837</v>
          </cell>
          <cell r="M52">
            <v>1.389938320614629</v>
          </cell>
        </row>
        <row r="53">
          <cell r="D53">
            <v>31</v>
          </cell>
          <cell r="M53">
            <v>1.4859339864503163</v>
          </cell>
        </row>
        <row r="54">
          <cell r="D54">
            <v>33.296750801161366</v>
          </cell>
          <cell r="M54">
            <v>1.5785690972695647</v>
          </cell>
        </row>
        <row r="55">
          <cell r="D55">
            <v>35.758347359905123</v>
          </cell>
          <cell r="M55">
            <v>1.822683447158493</v>
          </cell>
        </row>
        <row r="56">
          <cell r="D56">
            <v>38.396621227037308</v>
          </cell>
          <cell r="M56">
            <v>1.9737404829528415</v>
          </cell>
        </row>
        <row r="57">
          <cell r="D57">
            <v>41.224253144732614</v>
          </cell>
          <cell r="M57">
            <v>1.9733740520779115</v>
          </cell>
        </row>
        <row r="58">
          <cell r="D58">
            <v>44.254833995939045</v>
          </cell>
          <cell r="M58">
            <v>2.0885392276376038</v>
          </cell>
        </row>
        <row r="59">
          <cell r="D59">
            <v>47.502930128332721</v>
          </cell>
          <cell r="M59">
            <v>2.24638404645615</v>
          </cell>
        </row>
        <row r="60">
          <cell r="D60">
            <v>50.984153366799077</v>
          </cell>
          <cell r="M60">
            <v>2.4274220896184175</v>
          </cell>
        </row>
        <row r="61">
          <cell r="D61">
            <v>54.715236050951923</v>
          </cell>
          <cell r="M61">
            <v>2.5974634362660254</v>
          </cell>
        </row>
        <row r="62">
          <cell r="D62">
            <v>58.714111458355703</v>
          </cell>
          <cell r="M62">
            <v>2.8146431340163858</v>
          </cell>
        </row>
        <row r="63">
          <cell r="D63">
            <v>63</v>
          </cell>
          <cell r="M63">
            <v>2.9892809865466035</v>
          </cell>
        </row>
        <row r="64">
          <cell r="D64">
            <v>67.593501602322732</v>
          </cell>
          <cell r="M64">
            <v>3.2604674373286784</v>
          </cell>
        </row>
        <row r="65">
          <cell r="D65">
            <v>72.516694719810218</v>
          </cell>
          <cell r="M65">
            <v>3.5307408221525236</v>
          </cell>
        </row>
        <row r="66">
          <cell r="D66">
            <v>77.793242454074615</v>
          </cell>
          <cell r="M66">
            <v>3.7712698283842201</v>
          </cell>
        </row>
        <row r="67">
          <cell r="D67">
            <v>83.4485062894652</v>
          </cell>
          <cell r="M67">
            <v>4.0853892864601278</v>
          </cell>
        </row>
        <row r="68">
          <cell r="D68">
            <v>89.509667991878061</v>
          </cell>
          <cell r="M68">
            <v>4.4372239702851317</v>
          </cell>
        </row>
        <row r="69">
          <cell r="D69">
            <v>96.005860256665443</v>
          </cell>
          <cell r="M69">
            <v>4.6880893624944449</v>
          </cell>
        </row>
        <row r="70">
          <cell r="D70">
            <v>102.96830673359811</v>
          </cell>
          <cell r="M70">
            <v>4.8022600258700123</v>
          </cell>
        </row>
        <row r="71">
          <cell r="D71">
            <v>110.43047210190386</v>
          </cell>
          <cell r="M71">
            <v>4.9581917984339441</v>
          </cell>
        </row>
        <row r="72">
          <cell r="D72">
            <v>118.42822291671132</v>
          </cell>
          <cell r="M72">
            <v>5.6435205827892219</v>
          </cell>
        </row>
        <row r="73">
          <cell r="D73">
            <v>127</v>
          </cell>
          <cell r="M73">
            <v>6.2119468858016944</v>
          </cell>
        </row>
        <row r="74">
          <cell r="D74">
            <v>136.18700320464549</v>
          </cell>
          <cell r="M74">
            <v>6.4773226727345872</v>
          </cell>
        </row>
        <row r="75">
          <cell r="D75">
            <v>146.03338943962044</v>
          </cell>
          <cell r="M75">
            <v>6.7348003557968781</v>
          </cell>
        </row>
        <row r="76">
          <cell r="D76">
            <v>156.58648490814926</v>
          </cell>
          <cell r="M76">
            <v>7.2627526136035527</v>
          </cell>
        </row>
        <row r="77">
          <cell r="D77">
            <v>167.89701257893043</v>
          </cell>
          <cell r="M77">
            <v>8.1218122511687909</v>
          </cell>
        </row>
        <row r="78">
          <cell r="D78">
            <v>180.01933598375612</v>
          </cell>
          <cell r="M78">
            <v>8.6784942488020249</v>
          </cell>
        </row>
        <row r="79">
          <cell r="D79">
            <v>193.01172051333091</v>
          </cell>
          <cell r="M79">
            <v>9.1355077769731281</v>
          </cell>
        </row>
        <row r="80">
          <cell r="D80">
            <v>206.93661346719625</v>
          </cell>
          <cell r="M80">
            <v>10.014626077042692</v>
          </cell>
        </row>
        <row r="81">
          <cell r="D81">
            <v>221.86094420380775</v>
          </cell>
          <cell r="M81">
            <v>10.701035161116891</v>
          </cell>
        </row>
        <row r="82">
          <cell r="D82">
            <v>237.85644583342264</v>
          </cell>
          <cell r="M82">
            <v>11.50251151699149</v>
          </cell>
        </row>
        <row r="83">
          <cell r="D83">
            <v>255</v>
          </cell>
          <cell r="M83">
            <v>11.600637325769981</v>
          </cell>
        </row>
        <row r="84">
          <cell r="D84">
            <v>273.37400640929098</v>
          </cell>
          <cell r="M84">
            <v>12.337999717268275</v>
          </cell>
        </row>
        <row r="85">
          <cell r="D85">
            <v>293.06677887924064</v>
          </cell>
          <cell r="M85">
            <v>13.703625969492975</v>
          </cell>
        </row>
        <row r="86">
          <cell r="D86">
            <v>314.1729698162988</v>
          </cell>
          <cell r="M86">
            <v>15.177152627692664</v>
          </cell>
        </row>
        <row r="87">
          <cell r="D87">
            <v>336.79402515786086</v>
          </cell>
          <cell r="M87">
            <v>15.716612409259056</v>
          </cell>
        </row>
        <row r="88">
          <cell r="D88">
            <v>361.0386719675123</v>
          </cell>
          <cell r="M88">
            <v>16.647107271038436</v>
          </cell>
        </row>
        <row r="89">
          <cell r="D89">
            <v>387.02344102666189</v>
          </cell>
          <cell r="M89">
            <v>18.313790423402565</v>
          </cell>
        </row>
        <row r="90">
          <cell r="D90">
            <v>414.87322693439216</v>
          </cell>
          <cell r="M90">
            <v>20.170361925205611</v>
          </cell>
        </row>
        <row r="91">
          <cell r="D91">
            <v>444.72188840761549</v>
          </cell>
          <cell r="M91">
            <v>20.503670340238671</v>
          </cell>
        </row>
        <row r="92">
          <cell r="D92">
            <v>476.71289166684534</v>
          </cell>
          <cell r="M92">
            <v>19.696263832359705</v>
          </cell>
        </row>
        <row r="93">
          <cell r="D93">
            <v>511</v>
          </cell>
          <cell r="M93">
            <v>21.520415484042019</v>
          </cell>
        </row>
        <row r="94">
          <cell r="D94">
            <v>547.74801281858208</v>
          </cell>
          <cell r="M94">
            <v>24.316102056358375</v>
          </cell>
        </row>
        <row r="95">
          <cell r="D95">
            <v>587.1335577584814</v>
          </cell>
          <cell r="M95">
            <v>26.683052796993763</v>
          </cell>
        </row>
        <row r="96">
          <cell r="D96">
            <v>629.34593963259704</v>
          </cell>
          <cell r="M96">
            <v>28.56013214747054</v>
          </cell>
        </row>
        <row r="97">
          <cell r="D97">
            <v>674.58805031572183</v>
          </cell>
          <cell r="M97">
            <v>30.366832811362372</v>
          </cell>
        </row>
        <row r="98">
          <cell r="D98">
            <v>723.0773439350246</v>
          </cell>
          <cell r="M98">
            <v>31.909630392848328</v>
          </cell>
        </row>
        <row r="99">
          <cell r="D99">
            <v>775.04688205332377</v>
          </cell>
          <cell r="M99">
            <v>34.018307743029425</v>
          </cell>
        </row>
        <row r="100">
          <cell r="D100">
            <v>830.74645386878444</v>
          </cell>
          <cell r="M100">
            <v>39.333486888215248</v>
          </cell>
        </row>
        <row r="101">
          <cell r="D101">
            <v>890.4437768152311</v>
          </cell>
          <cell r="M101">
            <v>43.670951123327086</v>
          </cell>
        </row>
        <row r="102">
          <cell r="D102">
            <v>954.42578333369079</v>
          </cell>
          <cell r="M102">
            <v>45.667737118974969</v>
          </cell>
        </row>
        <row r="103">
          <cell r="D103">
            <v>1023</v>
          </cell>
          <cell r="M103">
            <v>48.039166921419906</v>
          </cell>
        </row>
        <row r="104">
          <cell r="D104">
            <v>1096.4960256371633</v>
          </cell>
          <cell r="M104">
            <v>49.56490888195151</v>
          </cell>
        </row>
        <row r="105">
          <cell r="D105">
            <v>1175.2671155169628</v>
          </cell>
          <cell r="M105">
            <v>49.979932362685076</v>
          </cell>
        </row>
        <row r="106">
          <cell r="D106">
            <v>1259.6918792651943</v>
          </cell>
          <cell r="M106">
            <v>55.270034984829749</v>
          </cell>
        </row>
        <row r="107">
          <cell r="D107">
            <v>1350.1761006314437</v>
          </cell>
          <cell r="M107">
            <v>63.907423143325104</v>
          </cell>
        </row>
        <row r="108">
          <cell r="D108">
            <v>1447.1546878700494</v>
          </cell>
          <cell r="M108">
            <v>67.771562912423519</v>
          </cell>
        </row>
        <row r="109">
          <cell r="D109">
            <v>1551.0937641066464</v>
          </cell>
          <cell r="M109">
            <v>71.488497397587139</v>
          </cell>
        </row>
        <row r="110">
          <cell r="D110">
            <v>1662.4929077375689</v>
          </cell>
          <cell r="M110">
            <v>76.963120060586334</v>
          </cell>
        </row>
        <row r="111">
          <cell r="D111">
            <v>1781.8875536304624</v>
          </cell>
          <cell r="M111">
            <v>76.464451918395753</v>
          </cell>
        </row>
        <row r="112">
          <cell r="D112">
            <v>1909.8515666673818</v>
          </cell>
          <cell r="M112">
            <v>83.46551102203648</v>
          </cell>
        </row>
        <row r="113">
          <cell r="D113">
            <v>2047</v>
          </cell>
          <cell r="M113">
            <v>95.718357316179208</v>
          </cell>
        </row>
      </sheetData>
      <sheetData sheetId="2"/>
      <sheetData sheetId="3"/>
      <sheetData sheetId="4"/>
      <sheetData sheetId="5"/>
      <sheetData sheetId="6"/>
      <sheetData sheetId="7">
        <row r="8">
          <cell r="D8">
            <v>2</v>
          </cell>
          <cell r="E8">
            <v>0</v>
          </cell>
          <cell r="F8">
            <v>0</v>
          </cell>
          <cell r="G8">
            <v>0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  <cell r="X8">
            <v>1</v>
          </cell>
          <cell r="AC8">
            <v>1</v>
          </cell>
          <cell r="AD8">
            <v>1</v>
          </cell>
          <cell r="AE8">
            <v>1</v>
          </cell>
          <cell r="AF8">
            <v>1</v>
          </cell>
          <cell r="AG8">
            <v>1</v>
          </cell>
          <cell r="AL8">
            <v>1</v>
          </cell>
          <cell r="AM8">
            <v>0.99537967966892504</v>
          </cell>
          <cell r="AN8">
            <v>0.98918579258744932</v>
          </cell>
          <cell r="AO8">
            <v>0.98261329294713518</v>
          </cell>
          <cell r="AP8">
            <v>0.97749801337535314</v>
          </cell>
        </row>
        <row r="9">
          <cell r="D9">
            <v>2</v>
          </cell>
          <cell r="E9">
            <v>0</v>
          </cell>
          <cell r="F9">
            <v>1</v>
          </cell>
          <cell r="G9">
            <v>0</v>
          </cell>
          <cell r="K9">
            <v>3</v>
          </cell>
          <cell r="L9">
            <v>2.9699999999999998</v>
          </cell>
          <cell r="M9">
            <v>2.94</v>
          </cell>
          <cell r="N9">
            <v>2.91</v>
          </cell>
          <cell r="O9">
            <v>2.8499999999999996</v>
          </cell>
          <cell r="T9">
            <v>3</v>
          </cell>
          <cell r="U9">
            <v>2.9699999999999998</v>
          </cell>
          <cell r="V9">
            <v>2.94</v>
          </cell>
          <cell r="W9">
            <v>2.91</v>
          </cell>
          <cell r="X9">
            <v>2.8499999999999996</v>
          </cell>
          <cell r="AC9">
            <v>3</v>
          </cell>
          <cell r="AD9">
            <v>2.9699999999999998</v>
          </cell>
          <cell r="AE9">
            <v>2.94</v>
          </cell>
          <cell r="AF9">
            <v>2.91</v>
          </cell>
          <cell r="AG9">
            <v>2.8499999999999996</v>
          </cell>
          <cell r="AL9">
            <v>3</v>
          </cell>
          <cell r="AM9">
            <v>2.9320550442231124</v>
          </cell>
          <cell r="AN9">
            <v>2.8277248565649522</v>
          </cell>
          <cell r="AO9">
            <v>2.692839164844822</v>
          </cell>
          <cell r="AP9">
            <v>2.6238079725478252</v>
          </cell>
        </row>
        <row r="10">
          <cell r="D10">
            <v>2</v>
          </cell>
          <cell r="E10">
            <v>1</v>
          </cell>
          <cell r="F10">
            <v>1</v>
          </cell>
          <cell r="G10">
            <v>0</v>
          </cell>
          <cell r="K10">
            <v>5</v>
          </cell>
          <cell r="L10">
            <v>4.95</v>
          </cell>
          <cell r="M10">
            <v>4.9000000000000004</v>
          </cell>
          <cell r="N10">
            <v>4.8499999999999996</v>
          </cell>
          <cell r="O10">
            <v>4.75</v>
          </cell>
          <cell r="T10">
            <v>5</v>
          </cell>
          <cell r="U10">
            <v>4.95</v>
          </cell>
          <cell r="V10">
            <v>4.9000000000000004</v>
          </cell>
          <cell r="W10">
            <v>4.8499999999999996</v>
          </cell>
          <cell r="X10">
            <v>4.75</v>
          </cell>
          <cell r="AC10">
            <v>5</v>
          </cell>
          <cell r="AD10">
            <v>4.95</v>
          </cell>
          <cell r="AE10">
            <v>4.9000000000000004</v>
          </cell>
          <cell r="AF10">
            <v>4.8499999999999996</v>
          </cell>
          <cell r="AG10">
            <v>4.75</v>
          </cell>
          <cell r="AL10">
            <v>5</v>
          </cell>
          <cell r="AM10">
            <v>4.8740552651904707</v>
          </cell>
          <cell r="AN10">
            <v>4.6791416374814538</v>
          </cell>
          <cell r="AO10">
            <v>4.4337884155316427</v>
          </cell>
          <cell r="AP10">
            <v>4.311770027515248</v>
          </cell>
        </row>
        <row r="11">
          <cell r="D11">
            <v>3</v>
          </cell>
          <cell r="E11">
            <v>0</v>
          </cell>
          <cell r="F11">
            <v>1</v>
          </cell>
          <cell r="G11">
            <v>1</v>
          </cell>
          <cell r="K11">
            <v>8</v>
          </cell>
          <cell r="L11">
            <v>7.92</v>
          </cell>
          <cell r="M11">
            <v>7.84</v>
          </cell>
          <cell r="N11">
            <v>7.76</v>
          </cell>
          <cell r="O11">
            <v>7.6</v>
          </cell>
          <cell r="T11">
            <v>8</v>
          </cell>
          <cell r="U11">
            <v>7.92</v>
          </cell>
          <cell r="V11">
            <v>7.84</v>
          </cell>
          <cell r="W11">
            <v>7.76</v>
          </cell>
          <cell r="X11">
            <v>7.6</v>
          </cell>
          <cell r="AC11">
            <v>8</v>
          </cell>
          <cell r="AD11">
            <v>7.92</v>
          </cell>
          <cell r="AE11">
            <v>7.84</v>
          </cell>
          <cell r="AF11">
            <v>7.76</v>
          </cell>
          <cell r="AG11">
            <v>7.6</v>
          </cell>
          <cell r="AL11">
            <v>8</v>
          </cell>
          <cell r="AM11">
            <v>7.7933518456985578</v>
          </cell>
          <cell r="AN11">
            <v>7.4633440062479988</v>
          </cell>
          <cell r="AO11">
            <v>7.0590916003006674</v>
          </cell>
          <cell r="AP11">
            <v>6.8432617718574207</v>
          </cell>
        </row>
        <row r="12">
          <cell r="D12">
            <v>3</v>
          </cell>
          <cell r="E12">
            <v>1</v>
          </cell>
          <cell r="F12">
            <v>1</v>
          </cell>
          <cell r="G12">
            <v>0</v>
          </cell>
          <cell r="K12">
            <v>11</v>
          </cell>
          <cell r="L12">
            <v>10.89</v>
          </cell>
          <cell r="M12">
            <v>10.78</v>
          </cell>
          <cell r="N12">
            <v>10.67</v>
          </cell>
          <cell r="O12">
            <v>10.45</v>
          </cell>
          <cell r="T12">
            <v>11</v>
          </cell>
          <cell r="U12">
            <v>10.89</v>
          </cell>
          <cell r="V12">
            <v>10.78</v>
          </cell>
          <cell r="W12">
            <v>10.67</v>
          </cell>
          <cell r="X12">
            <v>10.45</v>
          </cell>
          <cell r="AC12">
            <v>11</v>
          </cell>
          <cell r="AD12">
            <v>10.89</v>
          </cell>
          <cell r="AE12">
            <v>10.78</v>
          </cell>
          <cell r="AF12">
            <v>10.67</v>
          </cell>
          <cell r="AG12">
            <v>10.45</v>
          </cell>
          <cell r="AL12">
            <v>12</v>
          </cell>
          <cell r="AM12">
            <v>11.661465511532494</v>
          </cell>
          <cell r="AN12">
            <v>11.12662890157071</v>
          </cell>
          <cell r="AO12">
            <v>10.457001445763728</v>
          </cell>
          <cell r="AP12">
            <v>10.140537092826376</v>
          </cell>
        </row>
        <row r="13">
          <cell r="D13">
            <v>3</v>
          </cell>
          <cell r="E13">
            <v>0</v>
          </cell>
          <cell r="F13">
            <v>1</v>
          </cell>
          <cell r="G13">
            <v>1</v>
          </cell>
          <cell r="K13">
            <v>14</v>
          </cell>
          <cell r="L13">
            <v>13.86</v>
          </cell>
          <cell r="M13">
            <v>13.719999999999999</v>
          </cell>
          <cell r="N13">
            <v>13.58</v>
          </cell>
          <cell r="O13">
            <v>13.299999999999999</v>
          </cell>
          <cell r="T13">
            <v>14</v>
          </cell>
          <cell r="U13">
            <v>13.86</v>
          </cell>
          <cell r="V13">
            <v>13.719999999999999</v>
          </cell>
          <cell r="W13">
            <v>13.58</v>
          </cell>
          <cell r="X13">
            <v>13.299999999999999</v>
          </cell>
          <cell r="AC13">
            <v>14</v>
          </cell>
          <cell r="AD13">
            <v>13.86</v>
          </cell>
          <cell r="AE13">
            <v>13.719999999999999</v>
          </cell>
          <cell r="AF13">
            <v>13.58</v>
          </cell>
          <cell r="AG13">
            <v>13.299999999999999</v>
          </cell>
          <cell r="AL13">
            <v>16</v>
          </cell>
          <cell r="AM13">
            <v>15.607805702259935</v>
          </cell>
          <cell r="AN13">
            <v>15.002358217549178</v>
          </cell>
          <cell r="AO13">
            <v>14.066425716819753</v>
          </cell>
          <cell r="AP13">
            <v>13.457198728890571</v>
          </cell>
        </row>
        <row r="14">
          <cell r="D14">
            <v>4</v>
          </cell>
          <cell r="E14">
            <v>1</v>
          </cell>
          <cell r="F14">
            <v>1</v>
          </cell>
          <cell r="G14">
            <v>0</v>
          </cell>
          <cell r="K14">
            <v>17</v>
          </cell>
          <cell r="L14">
            <v>16.829999999999998</v>
          </cell>
          <cell r="M14">
            <v>16.66</v>
          </cell>
          <cell r="N14">
            <v>16.489999999999998</v>
          </cell>
          <cell r="O14">
            <v>16.149999999999999</v>
          </cell>
          <cell r="T14">
            <v>17</v>
          </cell>
          <cell r="U14">
            <v>16.829999999999998</v>
          </cell>
          <cell r="V14">
            <v>16.66</v>
          </cell>
          <cell r="W14">
            <v>16.489999999999998</v>
          </cell>
          <cell r="X14">
            <v>16.149999999999999</v>
          </cell>
          <cell r="AC14">
            <v>17</v>
          </cell>
          <cell r="AD14">
            <v>16.829999999999998</v>
          </cell>
          <cell r="AE14">
            <v>16.66</v>
          </cell>
          <cell r="AF14">
            <v>16.489999999999998</v>
          </cell>
          <cell r="AG14">
            <v>16.149999999999999</v>
          </cell>
          <cell r="AL14">
            <v>20</v>
          </cell>
          <cell r="AM14">
            <v>19.605096811703451</v>
          </cell>
          <cell r="AN14">
            <v>18.922526321034162</v>
          </cell>
          <cell r="AO14">
            <v>17.826419214159746</v>
          </cell>
          <cell r="AP14">
            <v>17.077967899740415</v>
          </cell>
        </row>
        <row r="15">
          <cell r="D15">
            <v>4</v>
          </cell>
          <cell r="E15">
            <v>0</v>
          </cell>
          <cell r="F15">
            <v>2</v>
          </cell>
          <cell r="G15">
            <v>1</v>
          </cell>
          <cell r="K15">
            <v>20</v>
          </cell>
          <cell r="L15">
            <v>19.8</v>
          </cell>
          <cell r="M15">
            <v>19.600000000000001</v>
          </cell>
          <cell r="N15">
            <v>19.399999999999999</v>
          </cell>
          <cell r="O15">
            <v>19</v>
          </cell>
          <cell r="T15">
            <v>20</v>
          </cell>
          <cell r="U15">
            <v>19.8</v>
          </cell>
          <cell r="V15">
            <v>19.600000000000001</v>
          </cell>
          <cell r="W15">
            <v>19.399999999999999</v>
          </cell>
          <cell r="X15">
            <v>19</v>
          </cell>
          <cell r="AC15">
            <v>20</v>
          </cell>
          <cell r="AD15">
            <v>19.8</v>
          </cell>
          <cell r="AE15">
            <v>19.600000000000001</v>
          </cell>
          <cell r="AF15">
            <v>19.399999999999999</v>
          </cell>
          <cell r="AG15">
            <v>19</v>
          </cell>
          <cell r="AL15">
            <v>24</v>
          </cell>
          <cell r="AM15">
            <v>23.503161514625848</v>
          </cell>
          <cell r="AN15">
            <v>22.73254890452386</v>
          </cell>
          <cell r="AO15">
            <v>21.540495518248466</v>
          </cell>
          <cell r="AP15">
            <v>20.671133423331483</v>
          </cell>
        </row>
        <row r="16">
          <cell r="D16">
            <v>4</v>
          </cell>
          <cell r="E16">
            <v>1</v>
          </cell>
          <cell r="F16">
            <v>2</v>
          </cell>
          <cell r="G16">
            <v>0</v>
          </cell>
          <cell r="K16">
            <v>23</v>
          </cell>
          <cell r="L16">
            <v>22.77</v>
          </cell>
          <cell r="M16">
            <v>22.54</v>
          </cell>
          <cell r="N16">
            <v>22.31</v>
          </cell>
          <cell r="O16">
            <v>21.849999999999998</v>
          </cell>
          <cell r="T16">
            <v>23</v>
          </cell>
          <cell r="U16">
            <v>22.77</v>
          </cell>
          <cell r="V16">
            <v>22.54</v>
          </cell>
          <cell r="W16">
            <v>22.31</v>
          </cell>
          <cell r="X16">
            <v>21.849999999999998</v>
          </cell>
          <cell r="AC16">
            <v>23</v>
          </cell>
          <cell r="AD16">
            <v>22.77</v>
          </cell>
          <cell r="AE16">
            <v>22.54</v>
          </cell>
          <cell r="AF16">
            <v>22.31</v>
          </cell>
          <cell r="AG16">
            <v>21.849999999999998</v>
          </cell>
          <cell r="AL16">
            <v>28</v>
          </cell>
          <cell r="AM16">
            <v>27.331456566129798</v>
          </cell>
          <cell r="AN16">
            <v>26.429117542862578</v>
          </cell>
          <cell r="AO16">
            <v>25.046914789936586</v>
          </cell>
          <cell r="AP16">
            <v>23.925480048079397</v>
          </cell>
        </row>
        <row r="17">
          <cell r="D17">
            <v>5</v>
          </cell>
          <cell r="E17">
            <v>0</v>
          </cell>
          <cell r="F17">
            <v>2</v>
          </cell>
          <cell r="G17">
            <v>1</v>
          </cell>
          <cell r="K17">
            <v>26</v>
          </cell>
          <cell r="L17">
            <v>25.74</v>
          </cell>
          <cell r="M17">
            <v>25.48</v>
          </cell>
          <cell r="N17">
            <v>25.22</v>
          </cell>
          <cell r="O17">
            <v>24.7</v>
          </cell>
          <cell r="T17">
            <v>26</v>
          </cell>
          <cell r="U17">
            <v>25.74</v>
          </cell>
          <cell r="V17">
            <v>25.48</v>
          </cell>
          <cell r="W17">
            <v>25.22</v>
          </cell>
          <cell r="X17">
            <v>24.7</v>
          </cell>
          <cell r="AC17">
            <v>26</v>
          </cell>
          <cell r="AD17">
            <v>25.74</v>
          </cell>
          <cell r="AE17">
            <v>25.48</v>
          </cell>
          <cell r="AF17">
            <v>25.22</v>
          </cell>
          <cell r="AG17">
            <v>24.7</v>
          </cell>
          <cell r="AL17">
            <v>31</v>
          </cell>
          <cell r="AM17">
            <v>30.234974651167828</v>
          </cell>
          <cell r="AN17">
            <v>29.235087061802496</v>
          </cell>
          <cell r="AO17">
            <v>27.949441214974154</v>
          </cell>
          <cell r="AP17">
            <v>26.981780019012231</v>
          </cell>
        </row>
        <row r="18">
          <cell r="D18">
            <v>5</v>
          </cell>
          <cell r="E18">
            <v>1</v>
          </cell>
          <cell r="F18">
            <v>2</v>
          </cell>
          <cell r="G18">
            <v>0</v>
          </cell>
          <cell r="K18">
            <v>29</v>
          </cell>
          <cell r="L18">
            <v>28.71</v>
          </cell>
          <cell r="M18">
            <v>28.419999999999998</v>
          </cell>
          <cell r="N18">
            <v>28.13</v>
          </cell>
          <cell r="O18">
            <v>27.549999999999997</v>
          </cell>
          <cell r="T18">
            <v>29</v>
          </cell>
          <cell r="U18">
            <v>28.71</v>
          </cell>
          <cell r="V18">
            <v>28.419999999999998</v>
          </cell>
          <cell r="W18">
            <v>28.13</v>
          </cell>
          <cell r="X18">
            <v>27.549999999999997</v>
          </cell>
          <cell r="AC18">
            <v>29</v>
          </cell>
          <cell r="AD18">
            <v>28.71</v>
          </cell>
          <cell r="AE18">
            <v>28.419999999999998</v>
          </cell>
          <cell r="AF18">
            <v>28.13</v>
          </cell>
          <cell r="AG18">
            <v>27.549999999999997</v>
          </cell>
          <cell r="AL18">
            <v>34</v>
          </cell>
          <cell r="AM18">
            <v>32.974783396076973</v>
          </cell>
          <cell r="AN18">
            <v>31.681569875848282</v>
          </cell>
          <cell r="AO18">
            <v>30.242151957495238</v>
          </cell>
          <cell r="AP18">
            <v>29.243933999824822</v>
          </cell>
        </row>
        <row r="19">
          <cell r="D19">
            <v>5</v>
          </cell>
          <cell r="E19">
            <v>0</v>
          </cell>
          <cell r="F19">
            <v>2</v>
          </cell>
          <cell r="G19">
            <v>1</v>
          </cell>
          <cell r="K19">
            <v>33</v>
          </cell>
          <cell r="L19">
            <v>32.67</v>
          </cell>
          <cell r="M19">
            <v>32.339999999999996</v>
          </cell>
          <cell r="N19">
            <v>32.01</v>
          </cell>
          <cell r="O19">
            <v>31.349999999999998</v>
          </cell>
          <cell r="T19">
            <v>33</v>
          </cell>
          <cell r="U19">
            <v>32.67</v>
          </cell>
          <cell r="V19">
            <v>32.339999999999996</v>
          </cell>
          <cell r="W19">
            <v>32.01</v>
          </cell>
          <cell r="X19">
            <v>31.349999999999998</v>
          </cell>
          <cell r="AC19">
            <v>33</v>
          </cell>
          <cell r="AD19">
            <v>32.67</v>
          </cell>
          <cell r="AE19">
            <v>32.339999999999996</v>
          </cell>
          <cell r="AF19">
            <v>32.01</v>
          </cell>
          <cell r="AG19">
            <v>31.349999999999998</v>
          </cell>
          <cell r="AL19">
            <v>38</v>
          </cell>
          <cell r="AM19">
            <v>37.14866352139633</v>
          </cell>
          <cell r="AN19">
            <v>35.662185600039912</v>
          </cell>
          <cell r="AO19">
            <v>33.582029784168526</v>
          </cell>
          <cell r="AP19">
            <v>32.4846447620627</v>
          </cell>
        </row>
        <row r="20">
          <cell r="D20">
            <v>6</v>
          </cell>
          <cell r="E20">
            <v>1</v>
          </cell>
          <cell r="F20">
            <v>2</v>
          </cell>
          <cell r="G20">
            <v>0</v>
          </cell>
          <cell r="K20">
            <v>37</v>
          </cell>
          <cell r="L20">
            <v>36.630000000000003</v>
          </cell>
          <cell r="M20">
            <v>36.26</v>
          </cell>
          <cell r="N20">
            <v>35.89</v>
          </cell>
          <cell r="O20">
            <v>35.15</v>
          </cell>
          <cell r="T20">
            <v>37</v>
          </cell>
          <cell r="U20">
            <v>36.630000000000003</v>
          </cell>
          <cell r="V20">
            <v>36.26</v>
          </cell>
          <cell r="W20">
            <v>35.89</v>
          </cell>
          <cell r="X20">
            <v>35.15</v>
          </cell>
          <cell r="AC20">
            <v>37</v>
          </cell>
          <cell r="AD20">
            <v>36.630000000000003</v>
          </cell>
          <cell r="AE20">
            <v>36.26</v>
          </cell>
          <cell r="AF20">
            <v>35.89</v>
          </cell>
          <cell r="AG20">
            <v>35.15</v>
          </cell>
          <cell r="AL20">
            <v>42</v>
          </cell>
          <cell r="AM20">
            <v>41.062312448313918</v>
          </cell>
          <cell r="AN20">
            <v>39.509928039658021</v>
          </cell>
          <cell r="AO20">
            <v>37.030615285353456</v>
          </cell>
          <cell r="AP20">
            <v>35.641398617917993</v>
          </cell>
        </row>
        <row r="21">
          <cell r="D21">
            <v>6</v>
          </cell>
          <cell r="E21">
            <v>0</v>
          </cell>
          <cell r="F21">
            <v>3</v>
          </cell>
          <cell r="G21">
            <v>1</v>
          </cell>
          <cell r="K21">
            <v>42</v>
          </cell>
          <cell r="L21">
            <v>41.58</v>
          </cell>
          <cell r="M21">
            <v>41.16</v>
          </cell>
          <cell r="N21">
            <v>40.74</v>
          </cell>
          <cell r="O21">
            <v>39.9</v>
          </cell>
          <cell r="T21">
            <v>42</v>
          </cell>
          <cell r="U21">
            <v>41.58</v>
          </cell>
          <cell r="V21">
            <v>41.16</v>
          </cell>
          <cell r="W21">
            <v>40.74</v>
          </cell>
          <cell r="X21">
            <v>39.9</v>
          </cell>
          <cell r="AC21">
            <v>42</v>
          </cell>
          <cell r="AD21">
            <v>41.58</v>
          </cell>
          <cell r="AE21">
            <v>41.16</v>
          </cell>
          <cell r="AF21">
            <v>40.74</v>
          </cell>
          <cell r="AG21">
            <v>39.9</v>
          </cell>
          <cell r="AL21">
            <v>47</v>
          </cell>
          <cell r="AM21">
            <v>46.025135676364243</v>
          </cell>
          <cell r="AN21">
            <v>44.085092690374182</v>
          </cell>
          <cell r="AO21">
            <v>40.619357390696052</v>
          </cell>
          <cell r="AP21">
            <v>39.058225824172347</v>
          </cell>
        </row>
        <row r="22">
          <cell r="D22">
            <v>6</v>
          </cell>
          <cell r="E22">
            <v>1</v>
          </cell>
          <cell r="F22">
            <v>3</v>
          </cell>
          <cell r="G22">
            <v>0</v>
          </cell>
          <cell r="K22">
            <v>48</v>
          </cell>
          <cell r="L22">
            <v>47.519999999999996</v>
          </cell>
          <cell r="M22">
            <v>47.04</v>
          </cell>
          <cell r="N22">
            <v>46.56</v>
          </cell>
          <cell r="O22">
            <v>45.599999999999994</v>
          </cell>
          <cell r="T22">
            <v>48</v>
          </cell>
          <cell r="U22">
            <v>47.519999999999996</v>
          </cell>
          <cell r="V22">
            <v>47.04</v>
          </cell>
          <cell r="W22">
            <v>46.56</v>
          </cell>
          <cell r="X22">
            <v>45.599999999999994</v>
          </cell>
          <cell r="AC22">
            <v>48</v>
          </cell>
          <cell r="AD22">
            <v>47.519999999999996</v>
          </cell>
          <cell r="AE22">
            <v>47.04</v>
          </cell>
          <cell r="AF22">
            <v>46.56</v>
          </cell>
          <cell r="AG22">
            <v>45.599999999999994</v>
          </cell>
          <cell r="AL22">
            <v>53</v>
          </cell>
          <cell r="AM22">
            <v>52.119736623432679</v>
          </cell>
          <cell r="AN22">
            <v>49.823768538802618</v>
          </cell>
          <cell r="AO22">
            <v>46.075058568669277</v>
          </cell>
          <cell r="AP22">
            <v>44.199048384264401</v>
          </cell>
        </row>
        <row r="23">
          <cell r="D23">
            <v>7</v>
          </cell>
          <cell r="E23">
            <v>0</v>
          </cell>
          <cell r="F23">
            <v>3</v>
          </cell>
          <cell r="G23">
            <v>1</v>
          </cell>
          <cell r="K23">
            <v>54</v>
          </cell>
          <cell r="L23">
            <v>53.46</v>
          </cell>
          <cell r="M23">
            <v>52.92</v>
          </cell>
          <cell r="N23">
            <v>52.379999999999995</v>
          </cell>
          <cell r="O23">
            <v>51.3</v>
          </cell>
          <cell r="T23">
            <v>54</v>
          </cell>
          <cell r="U23">
            <v>53.46</v>
          </cell>
          <cell r="V23">
            <v>52.92</v>
          </cell>
          <cell r="W23">
            <v>52.379999999999995</v>
          </cell>
          <cell r="X23">
            <v>51.3</v>
          </cell>
          <cell r="AC23">
            <v>54</v>
          </cell>
          <cell r="AD23">
            <v>53.46</v>
          </cell>
          <cell r="AE23">
            <v>52.92</v>
          </cell>
          <cell r="AF23">
            <v>52.379999999999995</v>
          </cell>
          <cell r="AG23">
            <v>51.3</v>
          </cell>
          <cell r="AL23">
            <v>59</v>
          </cell>
          <cell r="AM23">
            <v>58.006231421771886</v>
          </cell>
          <cell r="AN23">
            <v>54.288747191558286</v>
          </cell>
          <cell r="AO23">
            <v>52.263226020635869</v>
          </cell>
          <cell r="AP23">
            <v>50.386738840991939</v>
          </cell>
        </row>
        <row r="24">
          <cell r="D24">
            <v>7</v>
          </cell>
          <cell r="E24">
            <v>1</v>
          </cell>
          <cell r="F24">
            <v>3</v>
          </cell>
          <cell r="G24">
            <v>0</v>
          </cell>
          <cell r="K24">
            <v>60</v>
          </cell>
          <cell r="L24">
            <v>59.4</v>
          </cell>
          <cell r="M24">
            <v>58.8</v>
          </cell>
          <cell r="N24">
            <v>58.199999999999996</v>
          </cell>
          <cell r="O24">
            <v>57</v>
          </cell>
          <cell r="T24">
            <v>60</v>
          </cell>
          <cell r="U24">
            <v>59.4</v>
          </cell>
          <cell r="V24">
            <v>58.8</v>
          </cell>
          <cell r="W24">
            <v>58.199999999999996</v>
          </cell>
          <cell r="X24">
            <v>57</v>
          </cell>
          <cell r="AC24">
            <v>60</v>
          </cell>
          <cell r="AD24">
            <v>59.4</v>
          </cell>
          <cell r="AE24">
            <v>58.8</v>
          </cell>
          <cell r="AF24">
            <v>58.199999999999996</v>
          </cell>
          <cell r="AG24">
            <v>57</v>
          </cell>
          <cell r="AL24">
            <v>65</v>
          </cell>
          <cell r="AM24">
            <v>63.980355323869176</v>
          </cell>
          <cell r="AN24">
            <v>62.098866306616308</v>
          </cell>
          <cell r="AO24">
            <v>58.114698679794657</v>
          </cell>
          <cell r="AP24">
            <v>56.101482614290369</v>
          </cell>
        </row>
        <row r="25">
          <cell r="D25">
            <v>7</v>
          </cell>
          <cell r="E25">
            <v>0</v>
          </cell>
          <cell r="F25">
            <v>4</v>
          </cell>
          <cell r="G25">
            <v>1</v>
          </cell>
          <cell r="K25">
            <v>66</v>
          </cell>
          <cell r="L25">
            <v>65.34</v>
          </cell>
          <cell r="M25">
            <v>64.679999999999993</v>
          </cell>
          <cell r="N25">
            <v>64.02</v>
          </cell>
          <cell r="O25">
            <v>62.699999999999996</v>
          </cell>
          <cell r="T25">
            <v>66</v>
          </cell>
          <cell r="U25">
            <v>65.34</v>
          </cell>
          <cell r="V25">
            <v>64.679999999999993</v>
          </cell>
          <cell r="W25">
            <v>64.02</v>
          </cell>
          <cell r="X25">
            <v>62.699999999999996</v>
          </cell>
          <cell r="AC25">
            <v>66</v>
          </cell>
          <cell r="AD25">
            <v>65.34</v>
          </cell>
          <cell r="AE25">
            <v>64.679999999999993</v>
          </cell>
          <cell r="AF25">
            <v>64.02</v>
          </cell>
          <cell r="AG25">
            <v>62.699999999999996</v>
          </cell>
          <cell r="AL25">
            <v>71</v>
          </cell>
          <cell r="AM25">
            <v>69.572649417033119</v>
          </cell>
          <cell r="AN25">
            <v>67.12438688831098</v>
          </cell>
          <cell r="AO25">
            <v>62.907250900301442</v>
          </cell>
          <cell r="AP25">
            <v>61.218799145777616</v>
          </cell>
        </row>
        <row r="26">
          <cell r="D26">
            <v>8</v>
          </cell>
          <cell r="E26">
            <v>1</v>
          </cell>
          <cell r="F26">
            <v>4</v>
          </cell>
          <cell r="G26">
            <v>0</v>
          </cell>
          <cell r="K26">
            <v>72</v>
          </cell>
          <cell r="L26">
            <v>71.28</v>
          </cell>
          <cell r="M26">
            <v>70.56</v>
          </cell>
          <cell r="N26">
            <v>69.84</v>
          </cell>
          <cell r="O26">
            <v>68.399999999999991</v>
          </cell>
          <cell r="T26">
            <v>72</v>
          </cell>
          <cell r="U26">
            <v>71.28</v>
          </cell>
          <cell r="V26">
            <v>70.56</v>
          </cell>
          <cell r="W26">
            <v>69.84</v>
          </cell>
          <cell r="X26">
            <v>68.399999999999991</v>
          </cell>
          <cell r="AC26">
            <v>72</v>
          </cell>
          <cell r="AD26">
            <v>71.28</v>
          </cell>
          <cell r="AE26">
            <v>70.56</v>
          </cell>
          <cell r="AF26">
            <v>69.84</v>
          </cell>
          <cell r="AG26">
            <v>68.399999999999991</v>
          </cell>
          <cell r="AL26">
            <v>77</v>
          </cell>
          <cell r="AM26">
            <v>75.718002020584976</v>
          </cell>
          <cell r="AN26">
            <v>73.288714998115623</v>
          </cell>
          <cell r="AO26">
            <v>68.892027927282513</v>
          </cell>
          <cell r="AP26">
            <v>67.412546218574022</v>
          </cell>
        </row>
        <row r="27">
          <cell r="D27">
            <v>8</v>
          </cell>
          <cell r="E27">
            <v>0</v>
          </cell>
          <cell r="F27">
            <v>4</v>
          </cell>
          <cell r="G27">
            <v>1</v>
          </cell>
          <cell r="K27">
            <v>78</v>
          </cell>
          <cell r="L27">
            <v>77.22</v>
          </cell>
          <cell r="M27">
            <v>76.44</v>
          </cell>
          <cell r="N27">
            <v>75.66</v>
          </cell>
          <cell r="O27">
            <v>74.099999999999994</v>
          </cell>
          <cell r="T27">
            <v>78</v>
          </cell>
          <cell r="U27">
            <v>77.22</v>
          </cell>
          <cell r="V27">
            <v>76.44</v>
          </cell>
          <cell r="W27">
            <v>75.66</v>
          </cell>
          <cell r="X27">
            <v>74.099999999999994</v>
          </cell>
          <cell r="AC27">
            <v>78</v>
          </cell>
          <cell r="AD27">
            <v>77.22</v>
          </cell>
          <cell r="AE27">
            <v>76.44</v>
          </cell>
          <cell r="AF27">
            <v>75.66</v>
          </cell>
          <cell r="AG27">
            <v>74.099999999999994</v>
          </cell>
          <cell r="AL27">
            <v>83</v>
          </cell>
          <cell r="AM27">
            <v>81.303546379802981</v>
          </cell>
          <cell r="AN27">
            <v>79.154436679034504</v>
          </cell>
          <cell r="AO27">
            <v>75.193814234627212</v>
          </cell>
          <cell r="AP27">
            <v>73.789369473692815</v>
          </cell>
        </row>
        <row r="28">
          <cell r="D28">
            <v>8</v>
          </cell>
          <cell r="E28">
            <v>1</v>
          </cell>
          <cell r="F28">
            <v>4</v>
          </cell>
          <cell r="G28">
            <v>0</v>
          </cell>
          <cell r="K28">
            <v>84</v>
          </cell>
          <cell r="L28">
            <v>83.16</v>
          </cell>
          <cell r="M28">
            <v>82.32</v>
          </cell>
          <cell r="N28">
            <v>81.48</v>
          </cell>
          <cell r="O28">
            <v>79.8</v>
          </cell>
          <cell r="T28">
            <v>84</v>
          </cell>
          <cell r="U28">
            <v>83.16</v>
          </cell>
          <cell r="V28">
            <v>82.32</v>
          </cell>
          <cell r="W28">
            <v>81.48</v>
          </cell>
          <cell r="X28">
            <v>79.8</v>
          </cell>
          <cell r="AC28">
            <v>84</v>
          </cell>
          <cell r="AD28">
            <v>83.16</v>
          </cell>
          <cell r="AE28">
            <v>82.32</v>
          </cell>
          <cell r="AF28">
            <v>81.48</v>
          </cell>
          <cell r="AG28">
            <v>79.8</v>
          </cell>
          <cell r="AL28">
            <v>89</v>
          </cell>
          <cell r="AM28">
            <v>87.018651273874212</v>
          </cell>
          <cell r="AN28">
            <v>84.852100643997147</v>
          </cell>
          <cell r="AO28">
            <v>80.120832302773195</v>
          </cell>
          <cell r="AP28">
            <v>78.505335515885989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3:AW105"/>
  <sheetViews>
    <sheetView workbookViewId="0">
      <selection activeCell="D99" sqref="D99"/>
    </sheetView>
  </sheetViews>
  <sheetFormatPr defaultRowHeight="11.25" x14ac:dyDescent="0.15"/>
  <cols>
    <col min="1" max="14" width="9" style="2"/>
    <col min="15" max="32" width="9" style="3"/>
    <col min="33" max="16384" width="9" style="2"/>
  </cols>
  <sheetData>
    <row r="3" spans="2:49" x14ac:dyDescent="0.15">
      <c r="C3" s="61" t="s">
        <v>7</v>
      </c>
      <c r="D3" s="61"/>
      <c r="E3" s="61"/>
      <c r="F3" s="61"/>
      <c r="G3" s="61"/>
      <c r="I3" s="61" t="s">
        <v>8</v>
      </c>
      <c r="J3" s="61"/>
      <c r="K3" s="61"/>
      <c r="L3" s="61"/>
      <c r="M3" s="61"/>
      <c r="O3" s="61" t="s">
        <v>12</v>
      </c>
      <c r="P3" s="61"/>
      <c r="Q3" s="61"/>
      <c r="R3" s="61"/>
      <c r="S3" s="61"/>
      <c r="U3" s="61" t="s">
        <v>13</v>
      </c>
      <c r="V3" s="61"/>
      <c r="W3" s="61"/>
      <c r="X3" s="61"/>
      <c r="Y3" s="61"/>
      <c r="AA3" s="61" t="s">
        <v>14</v>
      </c>
      <c r="AB3" s="61"/>
      <c r="AC3" s="61"/>
      <c r="AD3" s="61"/>
      <c r="AE3" s="61"/>
      <c r="AG3" s="61" t="s">
        <v>9</v>
      </c>
      <c r="AH3" s="61"/>
      <c r="AI3" s="61"/>
      <c r="AJ3" s="61"/>
      <c r="AK3" s="61"/>
      <c r="AM3" s="61" t="s">
        <v>10</v>
      </c>
      <c r="AN3" s="61"/>
      <c r="AO3" s="61"/>
      <c r="AP3" s="61"/>
      <c r="AQ3" s="61"/>
      <c r="AS3" s="61" t="s">
        <v>11</v>
      </c>
      <c r="AT3" s="61"/>
      <c r="AU3" s="61"/>
      <c r="AV3" s="61"/>
      <c r="AW3" s="61"/>
    </row>
    <row r="4" spans="2:49" x14ac:dyDescent="0.15"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  <c r="I4" s="2" t="s">
        <v>2</v>
      </c>
      <c r="J4" s="2" t="s">
        <v>3</v>
      </c>
      <c r="K4" s="2" t="s">
        <v>4</v>
      </c>
      <c r="L4" s="2" t="s">
        <v>5</v>
      </c>
      <c r="M4" s="2" t="s">
        <v>6</v>
      </c>
      <c r="O4" s="3" t="s">
        <v>2</v>
      </c>
      <c r="P4" s="3" t="s">
        <v>3</v>
      </c>
      <c r="Q4" s="3" t="s">
        <v>4</v>
      </c>
      <c r="R4" s="3" t="s">
        <v>5</v>
      </c>
      <c r="S4" s="3" t="s">
        <v>6</v>
      </c>
      <c r="U4" s="3" t="s">
        <v>2</v>
      </c>
      <c r="V4" s="3" t="s">
        <v>3</v>
      </c>
      <c r="W4" s="3" t="s">
        <v>4</v>
      </c>
      <c r="X4" s="3" t="s">
        <v>5</v>
      </c>
      <c r="Y4" s="3" t="s">
        <v>6</v>
      </c>
      <c r="AA4" s="3" t="s">
        <v>2</v>
      </c>
      <c r="AB4" s="3" t="s">
        <v>3</v>
      </c>
      <c r="AC4" s="3" t="s">
        <v>4</v>
      </c>
      <c r="AD4" s="3" t="s">
        <v>5</v>
      </c>
      <c r="AE4" s="3" t="s">
        <v>6</v>
      </c>
      <c r="AG4" s="2" t="s">
        <v>2</v>
      </c>
      <c r="AH4" s="2" t="s">
        <v>3</v>
      </c>
      <c r="AI4" s="2" t="s">
        <v>4</v>
      </c>
      <c r="AJ4" s="2" t="s">
        <v>5</v>
      </c>
      <c r="AK4" s="2" t="s">
        <v>6</v>
      </c>
      <c r="AM4" s="2" t="s">
        <v>2</v>
      </c>
      <c r="AN4" s="2" t="s">
        <v>3</v>
      </c>
      <c r="AO4" s="2" t="s">
        <v>4</v>
      </c>
      <c r="AP4" s="2" t="s">
        <v>5</v>
      </c>
      <c r="AQ4" s="2" t="s">
        <v>6</v>
      </c>
      <c r="AS4" s="2" t="s">
        <v>2</v>
      </c>
      <c r="AT4" s="2" t="s">
        <v>3</v>
      </c>
      <c r="AU4" s="2" t="s">
        <v>4</v>
      </c>
      <c r="AV4" s="2" t="s">
        <v>5</v>
      </c>
      <c r="AW4" s="2" t="s">
        <v>6</v>
      </c>
    </row>
    <row r="5" spans="2:49" x14ac:dyDescent="0.15">
      <c r="B5" s="2">
        <v>1</v>
      </c>
      <c r="C5" s="2">
        <v>0.25</v>
      </c>
      <c r="D5" s="2">
        <v>0</v>
      </c>
      <c r="E5" s="2">
        <v>0</v>
      </c>
      <c r="F5" s="2">
        <v>0</v>
      </c>
      <c r="G5" s="2">
        <v>0</v>
      </c>
      <c r="I5" s="2">
        <v>0.14999999999999991</v>
      </c>
      <c r="J5" s="2">
        <v>4.9999999999999933E-2</v>
      </c>
      <c r="K5" s="2">
        <v>0</v>
      </c>
      <c r="L5" s="2">
        <v>0</v>
      </c>
      <c r="M5" s="2">
        <v>0</v>
      </c>
      <c r="O5" s="3">
        <f t="shared" ref="O5:O36" si="0">C5+I5</f>
        <v>0.39999999999999991</v>
      </c>
      <c r="P5" s="3">
        <f t="shared" ref="P5:P36" si="1">D5+J5</f>
        <v>4.9999999999999933E-2</v>
      </c>
      <c r="Q5" s="3">
        <f t="shared" ref="Q5:Q36" si="2">E5+K5</f>
        <v>0</v>
      </c>
      <c r="R5" s="3">
        <f t="shared" ref="R5:R36" si="3">F5+L5</f>
        <v>0</v>
      </c>
      <c r="S5" s="3">
        <f t="shared" ref="S5:S36" si="4">G5+M5</f>
        <v>0</v>
      </c>
      <c r="U5" s="1">
        <f>C5/O5</f>
        <v>0.62500000000000011</v>
      </c>
      <c r="V5" s="1">
        <f t="shared" ref="V5:Y5" si="5">D5/P5</f>
        <v>0</v>
      </c>
      <c r="W5" s="1" t="e">
        <f t="shared" si="5"/>
        <v>#DIV/0!</v>
      </c>
      <c r="X5" s="1" t="e">
        <f t="shared" si="5"/>
        <v>#DIV/0!</v>
      </c>
      <c r="Y5" s="1" t="e">
        <f t="shared" si="5"/>
        <v>#DIV/0!</v>
      </c>
      <c r="AA5" s="1">
        <f>I5/O5</f>
        <v>0.37499999999999989</v>
      </c>
      <c r="AB5" s="1">
        <f t="shared" ref="AB5:AE5" si="6">J5/P5</f>
        <v>1</v>
      </c>
      <c r="AC5" s="1" t="e">
        <f t="shared" si="6"/>
        <v>#DIV/0!</v>
      </c>
      <c r="AD5" s="1" t="e">
        <f t="shared" si="6"/>
        <v>#DIV/0!</v>
      </c>
      <c r="AE5" s="1" t="e">
        <f t="shared" si="6"/>
        <v>#DIV/0!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M5" s="1" t="e">
        <f t="shared" ref="AM5:AM36" si="7">C5/AG5</f>
        <v>#DIV/0!</v>
      </c>
      <c r="AN5" s="1" t="e">
        <f t="shared" ref="AN5:AN36" si="8">D5/AH5</f>
        <v>#DIV/0!</v>
      </c>
      <c r="AO5" s="1" t="e">
        <f t="shared" ref="AO5:AO36" si="9">E5/AI5</f>
        <v>#DIV/0!</v>
      </c>
      <c r="AP5" s="1" t="e">
        <f t="shared" ref="AP5:AP36" si="10">F5/AJ5</f>
        <v>#DIV/0!</v>
      </c>
      <c r="AQ5" s="1" t="e">
        <f t="shared" ref="AQ5:AQ36" si="11">G5/AK5</f>
        <v>#DIV/0!</v>
      </c>
      <c r="AS5" s="1" t="e">
        <f t="shared" ref="AS5:AS36" si="12">I5/AG5</f>
        <v>#DIV/0!</v>
      </c>
      <c r="AT5" s="1" t="e">
        <f t="shared" ref="AT5:AT36" si="13">J5/AH5</f>
        <v>#DIV/0!</v>
      </c>
      <c r="AU5" s="1" t="e">
        <f t="shared" ref="AU5:AU36" si="14">K5/AI5</f>
        <v>#DIV/0!</v>
      </c>
      <c r="AV5" s="1" t="e">
        <f t="shared" ref="AV5:AV36" si="15">L5/AJ5</f>
        <v>#DIV/0!</v>
      </c>
      <c r="AW5" s="1" t="e">
        <f t="shared" ref="AW5:AW36" si="16">M5/AK5</f>
        <v>#DIV/0!</v>
      </c>
    </row>
    <row r="6" spans="2:49" x14ac:dyDescent="0.15">
      <c r="B6" s="2">
        <v>2</v>
      </c>
      <c r="C6" s="2">
        <v>0.5</v>
      </c>
      <c r="D6" s="2">
        <v>0</v>
      </c>
      <c r="E6" s="2">
        <v>0</v>
      </c>
      <c r="F6" s="2">
        <v>0</v>
      </c>
      <c r="G6" s="2">
        <v>0</v>
      </c>
      <c r="I6" s="2">
        <v>0.30000000000000027</v>
      </c>
      <c r="J6" s="2">
        <v>9.9999999999999978E-2</v>
      </c>
      <c r="K6" s="2">
        <v>0</v>
      </c>
      <c r="L6" s="2">
        <v>0</v>
      </c>
      <c r="M6" s="2">
        <v>0</v>
      </c>
      <c r="O6" s="3">
        <f t="shared" si="0"/>
        <v>0.80000000000000027</v>
      </c>
      <c r="P6" s="3">
        <f t="shared" si="1"/>
        <v>9.9999999999999978E-2</v>
      </c>
      <c r="Q6" s="3">
        <f t="shared" si="2"/>
        <v>0</v>
      </c>
      <c r="R6" s="3">
        <f t="shared" si="3"/>
        <v>0</v>
      </c>
      <c r="S6" s="3">
        <f t="shared" si="4"/>
        <v>0</v>
      </c>
      <c r="U6" s="1">
        <f t="shared" ref="U6:U69" si="17">C6/O6</f>
        <v>0.62499999999999978</v>
      </c>
      <c r="V6" s="1">
        <f t="shared" ref="V6:V69" si="18">D6/P6</f>
        <v>0</v>
      </c>
      <c r="W6" s="1" t="e">
        <f t="shared" ref="W6:W69" si="19">E6/Q6</f>
        <v>#DIV/0!</v>
      </c>
      <c r="X6" s="1" t="e">
        <f t="shared" ref="X6:X69" si="20">F6/R6</f>
        <v>#DIV/0!</v>
      </c>
      <c r="Y6" s="1" t="e">
        <f t="shared" ref="Y6:Y69" si="21">G6/S6</f>
        <v>#DIV/0!</v>
      </c>
      <c r="AA6" s="1">
        <f t="shared" ref="AA6:AA69" si="22">I6/O6</f>
        <v>0.37500000000000022</v>
      </c>
      <c r="AB6" s="1">
        <f t="shared" ref="AB6:AB69" si="23">J6/P6</f>
        <v>1</v>
      </c>
      <c r="AC6" s="1" t="e">
        <f t="shared" ref="AC6:AC69" si="24">K6/Q6</f>
        <v>#DIV/0!</v>
      </c>
      <c r="AD6" s="1" t="e">
        <f t="shared" ref="AD6:AD69" si="25">L6/R6</f>
        <v>#DIV/0!</v>
      </c>
      <c r="AE6" s="1" t="e">
        <f t="shared" ref="AE6:AE69" si="26">M6/S6</f>
        <v>#DIV/0!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M6" s="1" t="e">
        <f t="shared" si="7"/>
        <v>#DIV/0!</v>
      </c>
      <c r="AN6" s="1" t="e">
        <f t="shared" si="8"/>
        <v>#DIV/0!</v>
      </c>
      <c r="AO6" s="1" t="e">
        <f t="shared" si="9"/>
        <v>#DIV/0!</v>
      </c>
      <c r="AP6" s="1" t="e">
        <f t="shared" si="10"/>
        <v>#DIV/0!</v>
      </c>
      <c r="AQ6" s="1" t="e">
        <f t="shared" si="11"/>
        <v>#DIV/0!</v>
      </c>
      <c r="AS6" s="1" t="e">
        <f t="shared" si="12"/>
        <v>#DIV/0!</v>
      </c>
      <c r="AT6" s="1" t="e">
        <f t="shared" si="13"/>
        <v>#DIV/0!</v>
      </c>
      <c r="AU6" s="1" t="e">
        <f t="shared" si="14"/>
        <v>#DIV/0!</v>
      </c>
      <c r="AV6" s="1" t="e">
        <f t="shared" si="15"/>
        <v>#DIV/0!</v>
      </c>
      <c r="AW6" s="1" t="e">
        <f t="shared" si="16"/>
        <v>#DIV/0!</v>
      </c>
    </row>
    <row r="7" spans="2:49" x14ac:dyDescent="0.15">
      <c r="B7" s="2">
        <v>3</v>
      </c>
      <c r="C7" s="2">
        <v>0.75</v>
      </c>
      <c r="D7" s="2">
        <v>0</v>
      </c>
      <c r="E7" s="2">
        <v>0</v>
      </c>
      <c r="F7" s="2">
        <v>0</v>
      </c>
      <c r="G7" s="2">
        <v>0</v>
      </c>
      <c r="I7" s="2">
        <v>0.45000000000000018</v>
      </c>
      <c r="J7" s="2">
        <v>0.14999999999999991</v>
      </c>
      <c r="K7" s="2">
        <v>0</v>
      </c>
      <c r="L7" s="2">
        <v>0</v>
      </c>
      <c r="M7" s="2">
        <v>0</v>
      </c>
      <c r="O7" s="3">
        <f t="shared" si="0"/>
        <v>1.2000000000000002</v>
      </c>
      <c r="P7" s="3">
        <f t="shared" si="1"/>
        <v>0.14999999999999991</v>
      </c>
      <c r="Q7" s="3">
        <f t="shared" si="2"/>
        <v>0</v>
      </c>
      <c r="R7" s="3">
        <f t="shared" si="3"/>
        <v>0</v>
      </c>
      <c r="S7" s="3">
        <f t="shared" si="4"/>
        <v>0</v>
      </c>
      <c r="U7" s="1">
        <f t="shared" si="17"/>
        <v>0.62499999999999989</v>
      </c>
      <c r="V7" s="1">
        <f t="shared" si="18"/>
        <v>0</v>
      </c>
      <c r="W7" s="1" t="e">
        <f t="shared" si="19"/>
        <v>#DIV/0!</v>
      </c>
      <c r="X7" s="1" t="e">
        <f t="shared" si="20"/>
        <v>#DIV/0!</v>
      </c>
      <c r="Y7" s="1" t="e">
        <f t="shared" si="21"/>
        <v>#DIV/0!</v>
      </c>
      <c r="AA7" s="1">
        <f t="shared" si="22"/>
        <v>0.37500000000000011</v>
      </c>
      <c r="AB7" s="1">
        <f t="shared" si="23"/>
        <v>1</v>
      </c>
      <c r="AC7" s="1" t="e">
        <f t="shared" si="24"/>
        <v>#DIV/0!</v>
      </c>
      <c r="AD7" s="1" t="e">
        <f t="shared" si="25"/>
        <v>#DIV/0!</v>
      </c>
      <c r="AE7" s="1" t="e">
        <f t="shared" si="26"/>
        <v>#DIV/0!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M7" s="1" t="e">
        <f t="shared" si="7"/>
        <v>#DIV/0!</v>
      </c>
      <c r="AN7" s="1" t="e">
        <f t="shared" si="8"/>
        <v>#DIV/0!</v>
      </c>
      <c r="AO7" s="1" t="e">
        <f t="shared" si="9"/>
        <v>#DIV/0!</v>
      </c>
      <c r="AP7" s="1" t="e">
        <f t="shared" si="10"/>
        <v>#DIV/0!</v>
      </c>
      <c r="AQ7" s="1" t="e">
        <f t="shared" si="11"/>
        <v>#DIV/0!</v>
      </c>
      <c r="AS7" s="1" t="e">
        <f t="shared" si="12"/>
        <v>#DIV/0!</v>
      </c>
      <c r="AT7" s="1" t="e">
        <f t="shared" si="13"/>
        <v>#DIV/0!</v>
      </c>
      <c r="AU7" s="1" t="e">
        <f t="shared" si="14"/>
        <v>#DIV/0!</v>
      </c>
      <c r="AV7" s="1" t="e">
        <f t="shared" si="15"/>
        <v>#DIV/0!</v>
      </c>
      <c r="AW7" s="1" t="e">
        <f t="shared" si="16"/>
        <v>#DIV/0!</v>
      </c>
    </row>
    <row r="8" spans="2:49" x14ac:dyDescent="0.15">
      <c r="B8" s="2">
        <v>4</v>
      </c>
      <c r="C8" s="2">
        <v>1</v>
      </c>
      <c r="D8" s="2">
        <v>0</v>
      </c>
      <c r="E8" s="2">
        <v>0</v>
      </c>
      <c r="F8" s="2">
        <v>0</v>
      </c>
      <c r="G8" s="2">
        <v>0</v>
      </c>
      <c r="I8" s="2">
        <v>0.60000000000000009</v>
      </c>
      <c r="J8" s="2">
        <v>0.19999999999999996</v>
      </c>
      <c r="K8" s="2">
        <v>0</v>
      </c>
      <c r="L8" s="2">
        <v>0</v>
      </c>
      <c r="M8" s="2">
        <v>0</v>
      </c>
      <c r="O8" s="3">
        <f t="shared" si="0"/>
        <v>1.6</v>
      </c>
      <c r="P8" s="3">
        <f t="shared" si="1"/>
        <v>0.19999999999999996</v>
      </c>
      <c r="Q8" s="3">
        <f t="shared" si="2"/>
        <v>0</v>
      </c>
      <c r="R8" s="3">
        <f t="shared" si="3"/>
        <v>0</v>
      </c>
      <c r="S8" s="3">
        <f t="shared" si="4"/>
        <v>0</v>
      </c>
      <c r="U8" s="1">
        <f t="shared" si="17"/>
        <v>0.625</v>
      </c>
      <c r="V8" s="1">
        <f t="shared" si="18"/>
        <v>0</v>
      </c>
      <c r="W8" s="1" t="e">
        <f t="shared" si="19"/>
        <v>#DIV/0!</v>
      </c>
      <c r="X8" s="1" t="e">
        <f t="shared" si="20"/>
        <v>#DIV/0!</v>
      </c>
      <c r="Y8" s="1" t="e">
        <f t="shared" si="21"/>
        <v>#DIV/0!</v>
      </c>
      <c r="AA8" s="1">
        <f t="shared" si="22"/>
        <v>0.37500000000000006</v>
      </c>
      <c r="AB8" s="1">
        <f t="shared" si="23"/>
        <v>1</v>
      </c>
      <c r="AC8" s="1" t="e">
        <f t="shared" si="24"/>
        <v>#DIV/0!</v>
      </c>
      <c r="AD8" s="1" t="e">
        <f t="shared" si="25"/>
        <v>#DIV/0!</v>
      </c>
      <c r="AE8" s="1" t="e">
        <f t="shared" si="26"/>
        <v>#DIV/0!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M8" s="1" t="e">
        <f t="shared" si="7"/>
        <v>#DIV/0!</v>
      </c>
      <c r="AN8" s="1" t="e">
        <f t="shared" si="8"/>
        <v>#DIV/0!</v>
      </c>
      <c r="AO8" s="1" t="e">
        <f t="shared" si="9"/>
        <v>#DIV/0!</v>
      </c>
      <c r="AP8" s="1" t="e">
        <f t="shared" si="10"/>
        <v>#DIV/0!</v>
      </c>
      <c r="AQ8" s="1" t="e">
        <f t="shared" si="11"/>
        <v>#DIV/0!</v>
      </c>
      <c r="AS8" s="1" t="e">
        <f t="shared" si="12"/>
        <v>#DIV/0!</v>
      </c>
      <c r="AT8" s="1" t="e">
        <f t="shared" si="13"/>
        <v>#DIV/0!</v>
      </c>
      <c r="AU8" s="1" t="e">
        <f t="shared" si="14"/>
        <v>#DIV/0!</v>
      </c>
      <c r="AV8" s="1" t="e">
        <f t="shared" si="15"/>
        <v>#DIV/0!</v>
      </c>
      <c r="AW8" s="1" t="e">
        <f t="shared" si="16"/>
        <v>#DIV/0!</v>
      </c>
    </row>
    <row r="9" spans="2:49" x14ac:dyDescent="0.15">
      <c r="B9" s="2">
        <v>5</v>
      </c>
      <c r="C9" s="2">
        <v>1.25</v>
      </c>
      <c r="D9" s="2">
        <v>0</v>
      </c>
      <c r="E9" s="2">
        <v>0</v>
      </c>
      <c r="F9" s="2">
        <v>0</v>
      </c>
      <c r="G9" s="2">
        <v>0</v>
      </c>
      <c r="I9" s="2">
        <v>0.75</v>
      </c>
      <c r="J9" s="2">
        <v>0.25</v>
      </c>
      <c r="K9" s="2">
        <v>0</v>
      </c>
      <c r="L9" s="2">
        <v>0</v>
      </c>
      <c r="M9" s="2">
        <v>0</v>
      </c>
      <c r="O9" s="3">
        <f t="shared" si="0"/>
        <v>2</v>
      </c>
      <c r="P9" s="3">
        <f t="shared" si="1"/>
        <v>0.25</v>
      </c>
      <c r="Q9" s="3">
        <f t="shared" si="2"/>
        <v>0</v>
      </c>
      <c r="R9" s="3">
        <f t="shared" si="3"/>
        <v>0</v>
      </c>
      <c r="S9" s="3">
        <f t="shared" si="4"/>
        <v>0</v>
      </c>
      <c r="U9" s="1">
        <f t="shared" si="17"/>
        <v>0.625</v>
      </c>
      <c r="V9" s="1">
        <f t="shared" si="18"/>
        <v>0</v>
      </c>
      <c r="W9" s="1" t="e">
        <f t="shared" si="19"/>
        <v>#DIV/0!</v>
      </c>
      <c r="X9" s="1" t="e">
        <f t="shared" si="20"/>
        <v>#DIV/0!</v>
      </c>
      <c r="Y9" s="1" t="e">
        <f t="shared" si="21"/>
        <v>#DIV/0!</v>
      </c>
      <c r="AA9" s="1">
        <f t="shared" si="22"/>
        <v>0.375</v>
      </c>
      <c r="AB9" s="1">
        <f t="shared" si="23"/>
        <v>1</v>
      </c>
      <c r="AC9" s="1" t="e">
        <f t="shared" si="24"/>
        <v>#DIV/0!</v>
      </c>
      <c r="AD9" s="1" t="e">
        <f t="shared" si="25"/>
        <v>#DIV/0!</v>
      </c>
      <c r="AE9" s="1" t="e">
        <f t="shared" si="26"/>
        <v>#DIV/0!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M9" s="1" t="e">
        <f t="shared" si="7"/>
        <v>#DIV/0!</v>
      </c>
      <c r="AN9" s="1" t="e">
        <f t="shared" si="8"/>
        <v>#DIV/0!</v>
      </c>
      <c r="AO9" s="1" t="e">
        <f t="shared" si="9"/>
        <v>#DIV/0!</v>
      </c>
      <c r="AP9" s="1" t="e">
        <f t="shared" si="10"/>
        <v>#DIV/0!</v>
      </c>
      <c r="AQ9" s="1" t="e">
        <f t="shared" si="11"/>
        <v>#DIV/0!</v>
      </c>
      <c r="AS9" s="1" t="e">
        <f t="shared" si="12"/>
        <v>#DIV/0!</v>
      </c>
      <c r="AT9" s="1" t="e">
        <f t="shared" si="13"/>
        <v>#DIV/0!</v>
      </c>
      <c r="AU9" s="1" t="e">
        <f t="shared" si="14"/>
        <v>#DIV/0!</v>
      </c>
      <c r="AV9" s="1" t="e">
        <f t="shared" si="15"/>
        <v>#DIV/0!</v>
      </c>
      <c r="AW9" s="1" t="e">
        <f t="shared" si="16"/>
        <v>#DIV/0!</v>
      </c>
    </row>
    <row r="10" spans="2:49" x14ac:dyDescent="0.15">
      <c r="B10" s="2">
        <v>6</v>
      </c>
      <c r="C10" s="2">
        <v>1.5</v>
      </c>
      <c r="D10" s="2">
        <v>0</v>
      </c>
      <c r="E10" s="2">
        <v>0</v>
      </c>
      <c r="F10" s="2">
        <v>0</v>
      </c>
      <c r="G10" s="2">
        <v>0</v>
      </c>
      <c r="I10" s="2">
        <v>0.89999999999999991</v>
      </c>
      <c r="J10" s="2">
        <v>0.29999999999999993</v>
      </c>
      <c r="K10" s="2">
        <v>0</v>
      </c>
      <c r="L10" s="2">
        <v>0</v>
      </c>
      <c r="M10" s="2">
        <v>0</v>
      </c>
      <c r="O10" s="3">
        <f t="shared" si="0"/>
        <v>2.4</v>
      </c>
      <c r="P10" s="3">
        <f t="shared" si="1"/>
        <v>0.29999999999999993</v>
      </c>
      <c r="Q10" s="3">
        <f t="shared" si="2"/>
        <v>0</v>
      </c>
      <c r="R10" s="3">
        <f t="shared" si="3"/>
        <v>0</v>
      </c>
      <c r="S10" s="3">
        <f t="shared" si="4"/>
        <v>0</v>
      </c>
      <c r="U10" s="1">
        <f t="shared" si="17"/>
        <v>0.625</v>
      </c>
      <c r="V10" s="1">
        <f t="shared" si="18"/>
        <v>0</v>
      </c>
      <c r="W10" s="1" t="e">
        <f t="shared" si="19"/>
        <v>#DIV/0!</v>
      </c>
      <c r="X10" s="1" t="e">
        <f t="shared" si="20"/>
        <v>#DIV/0!</v>
      </c>
      <c r="Y10" s="1" t="e">
        <f t="shared" si="21"/>
        <v>#DIV/0!</v>
      </c>
      <c r="AA10" s="1">
        <f t="shared" si="22"/>
        <v>0.375</v>
      </c>
      <c r="AB10" s="1">
        <f t="shared" si="23"/>
        <v>1</v>
      </c>
      <c r="AC10" s="1" t="e">
        <f t="shared" si="24"/>
        <v>#DIV/0!</v>
      </c>
      <c r="AD10" s="1" t="e">
        <f t="shared" si="25"/>
        <v>#DIV/0!</v>
      </c>
      <c r="AE10" s="1" t="e">
        <f t="shared" si="26"/>
        <v>#DIV/0!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M10" s="1" t="e">
        <f t="shared" si="7"/>
        <v>#DIV/0!</v>
      </c>
      <c r="AN10" s="1" t="e">
        <f t="shared" si="8"/>
        <v>#DIV/0!</v>
      </c>
      <c r="AO10" s="1" t="e">
        <f t="shared" si="9"/>
        <v>#DIV/0!</v>
      </c>
      <c r="AP10" s="1" t="e">
        <f t="shared" si="10"/>
        <v>#DIV/0!</v>
      </c>
      <c r="AQ10" s="1" t="e">
        <f t="shared" si="11"/>
        <v>#DIV/0!</v>
      </c>
      <c r="AS10" s="1" t="e">
        <f t="shared" si="12"/>
        <v>#DIV/0!</v>
      </c>
      <c r="AT10" s="1" t="e">
        <f t="shared" si="13"/>
        <v>#DIV/0!</v>
      </c>
      <c r="AU10" s="1" t="e">
        <f t="shared" si="14"/>
        <v>#DIV/0!</v>
      </c>
      <c r="AV10" s="1" t="e">
        <f t="shared" si="15"/>
        <v>#DIV/0!</v>
      </c>
      <c r="AW10" s="1" t="e">
        <f t="shared" si="16"/>
        <v>#DIV/0!</v>
      </c>
    </row>
    <row r="11" spans="2:49" x14ac:dyDescent="0.15">
      <c r="B11" s="2">
        <v>7</v>
      </c>
      <c r="C11" s="2">
        <v>1.75</v>
      </c>
      <c r="D11" s="2">
        <v>0</v>
      </c>
      <c r="E11" s="2">
        <v>0</v>
      </c>
      <c r="F11" s="2">
        <v>0</v>
      </c>
      <c r="G11" s="2">
        <v>0</v>
      </c>
      <c r="I11" s="2">
        <v>1.05</v>
      </c>
      <c r="J11" s="2">
        <v>0.35</v>
      </c>
      <c r="K11" s="2">
        <v>0</v>
      </c>
      <c r="L11" s="2">
        <v>0</v>
      </c>
      <c r="M11" s="2">
        <v>0</v>
      </c>
      <c r="O11" s="3">
        <f t="shared" si="0"/>
        <v>2.8</v>
      </c>
      <c r="P11" s="3">
        <f t="shared" si="1"/>
        <v>0.35</v>
      </c>
      <c r="Q11" s="3">
        <f t="shared" si="2"/>
        <v>0</v>
      </c>
      <c r="R11" s="3">
        <f t="shared" si="3"/>
        <v>0</v>
      </c>
      <c r="S11" s="3">
        <f t="shared" si="4"/>
        <v>0</v>
      </c>
      <c r="U11" s="1">
        <f t="shared" si="17"/>
        <v>0.625</v>
      </c>
      <c r="V11" s="1">
        <f t="shared" si="18"/>
        <v>0</v>
      </c>
      <c r="W11" s="1" t="e">
        <f t="shared" si="19"/>
        <v>#DIV/0!</v>
      </c>
      <c r="X11" s="1" t="e">
        <f t="shared" si="20"/>
        <v>#DIV/0!</v>
      </c>
      <c r="Y11" s="1" t="e">
        <f t="shared" si="21"/>
        <v>#DIV/0!</v>
      </c>
      <c r="AA11" s="1">
        <f t="shared" si="22"/>
        <v>0.37500000000000006</v>
      </c>
      <c r="AB11" s="1">
        <f t="shared" si="23"/>
        <v>1</v>
      </c>
      <c r="AC11" s="1" t="e">
        <f t="shared" si="24"/>
        <v>#DIV/0!</v>
      </c>
      <c r="AD11" s="1" t="e">
        <f t="shared" si="25"/>
        <v>#DIV/0!</v>
      </c>
      <c r="AE11" s="1" t="e">
        <f t="shared" si="26"/>
        <v>#DIV/0!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M11" s="1" t="e">
        <f t="shared" si="7"/>
        <v>#DIV/0!</v>
      </c>
      <c r="AN11" s="1" t="e">
        <f t="shared" si="8"/>
        <v>#DIV/0!</v>
      </c>
      <c r="AO11" s="1" t="e">
        <f t="shared" si="9"/>
        <v>#DIV/0!</v>
      </c>
      <c r="AP11" s="1" t="e">
        <f t="shared" si="10"/>
        <v>#DIV/0!</v>
      </c>
      <c r="AQ11" s="1" t="e">
        <f t="shared" si="11"/>
        <v>#DIV/0!</v>
      </c>
      <c r="AS11" s="1" t="e">
        <f t="shared" si="12"/>
        <v>#DIV/0!</v>
      </c>
      <c r="AT11" s="1" t="e">
        <f t="shared" si="13"/>
        <v>#DIV/0!</v>
      </c>
      <c r="AU11" s="1" t="e">
        <f t="shared" si="14"/>
        <v>#DIV/0!</v>
      </c>
      <c r="AV11" s="1" t="e">
        <f t="shared" si="15"/>
        <v>#DIV/0!</v>
      </c>
      <c r="AW11" s="1" t="e">
        <f t="shared" si="16"/>
        <v>#DIV/0!</v>
      </c>
    </row>
    <row r="12" spans="2:49" x14ac:dyDescent="0.15">
      <c r="B12" s="2">
        <v>8</v>
      </c>
      <c r="C12" s="2">
        <v>2</v>
      </c>
      <c r="D12" s="2">
        <v>0</v>
      </c>
      <c r="E12" s="2">
        <v>0</v>
      </c>
      <c r="F12" s="2">
        <v>0</v>
      </c>
      <c r="G12" s="2">
        <v>0</v>
      </c>
      <c r="I12" s="2">
        <v>1.2000000000000002</v>
      </c>
      <c r="J12" s="2">
        <v>0.39999999999999991</v>
      </c>
      <c r="K12" s="2">
        <v>0</v>
      </c>
      <c r="L12" s="2">
        <v>0</v>
      </c>
      <c r="M12" s="2">
        <v>0</v>
      </c>
      <c r="O12" s="3">
        <f t="shared" si="0"/>
        <v>3.2</v>
      </c>
      <c r="P12" s="3">
        <f t="shared" si="1"/>
        <v>0.39999999999999991</v>
      </c>
      <c r="Q12" s="3">
        <f t="shared" si="2"/>
        <v>0</v>
      </c>
      <c r="R12" s="3">
        <f t="shared" si="3"/>
        <v>0</v>
      </c>
      <c r="S12" s="3">
        <f t="shared" si="4"/>
        <v>0</v>
      </c>
      <c r="U12" s="1">
        <f t="shared" si="17"/>
        <v>0.625</v>
      </c>
      <c r="V12" s="1">
        <f t="shared" si="18"/>
        <v>0</v>
      </c>
      <c r="W12" s="1" t="e">
        <f t="shared" si="19"/>
        <v>#DIV/0!</v>
      </c>
      <c r="X12" s="1" t="e">
        <f t="shared" si="20"/>
        <v>#DIV/0!</v>
      </c>
      <c r="Y12" s="1" t="e">
        <f t="shared" si="21"/>
        <v>#DIV/0!</v>
      </c>
      <c r="AA12" s="1">
        <f t="shared" si="22"/>
        <v>0.37500000000000006</v>
      </c>
      <c r="AB12" s="1">
        <f t="shared" si="23"/>
        <v>1</v>
      </c>
      <c r="AC12" s="1" t="e">
        <f t="shared" si="24"/>
        <v>#DIV/0!</v>
      </c>
      <c r="AD12" s="1" t="e">
        <f t="shared" si="25"/>
        <v>#DIV/0!</v>
      </c>
      <c r="AE12" s="1" t="e">
        <f t="shared" si="26"/>
        <v>#DIV/0!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M12" s="1" t="e">
        <f t="shared" si="7"/>
        <v>#DIV/0!</v>
      </c>
      <c r="AN12" s="1" t="e">
        <f t="shared" si="8"/>
        <v>#DIV/0!</v>
      </c>
      <c r="AO12" s="1" t="e">
        <f t="shared" si="9"/>
        <v>#DIV/0!</v>
      </c>
      <c r="AP12" s="1" t="e">
        <f t="shared" si="10"/>
        <v>#DIV/0!</v>
      </c>
      <c r="AQ12" s="1" t="e">
        <f t="shared" si="11"/>
        <v>#DIV/0!</v>
      </c>
      <c r="AS12" s="1" t="e">
        <f t="shared" si="12"/>
        <v>#DIV/0!</v>
      </c>
      <c r="AT12" s="1" t="e">
        <f t="shared" si="13"/>
        <v>#DIV/0!</v>
      </c>
      <c r="AU12" s="1" t="e">
        <f t="shared" si="14"/>
        <v>#DIV/0!</v>
      </c>
      <c r="AV12" s="1" t="e">
        <f t="shared" si="15"/>
        <v>#DIV/0!</v>
      </c>
      <c r="AW12" s="1" t="e">
        <f t="shared" si="16"/>
        <v>#DIV/0!</v>
      </c>
    </row>
    <row r="13" spans="2:49" x14ac:dyDescent="0.15">
      <c r="B13" s="2">
        <v>9</v>
      </c>
      <c r="C13" s="2">
        <v>2.25</v>
      </c>
      <c r="D13" s="2">
        <v>0</v>
      </c>
      <c r="E13" s="2">
        <v>0</v>
      </c>
      <c r="F13" s="2">
        <v>0</v>
      </c>
      <c r="G13" s="2">
        <v>0</v>
      </c>
      <c r="I13" s="2">
        <v>1.35</v>
      </c>
      <c r="J13" s="2">
        <v>0.44999999999999996</v>
      </c>
      <c r="K13" s="2">
        <v>0</v>
      </c>
      <c r="L13" s="2">
        <v>0</v>
      </c>
      <c r="M13" s="2">
        <v>0</v>
      </c>
      <c r="O13" s="3">
        <f t="shared" si="0"/>
        <v>3.6</v>
      </c>
      <c r="P13" s="3">
        <f t="shared" si="1"/>
        <v>0.44999999999999996</v>
      </c>
      <c r="Q13" s="3">
        <f t="shared" si="2"/>
        <v>0</v>
      </c>
      <c r="R13" s="3">
        <f t="shared" si="3"/>
        <v>0</v>
      </c>
      <c r="S13" s="3">
        <f t="shared" si="4"/>
        <v>0</v>
      </c>
      <c r="U13" s="1">
        <f t="shared" si="17"/>
        <v>0.625</v>
      </c>
      <c r="V13" s="1">
        <f t="shared" si="18"/>
        <v>0</v>
      </c>
      <c r="W13" s="1" t="e">
        <f t="shared" si="19"/>
        <v>#DIV/0!</v>
      </c>
      <c r="X13" s="1" t="e">
        <f t="shared" si="20"/>
        <v>#DIV/0!</v>
      </c>
      <c r="Y13" s="1" t="e">
        <f t="shared" si="21"/>
        <v>#DIV/0!</v>
      </c>
      <c r="AA13" s="1">
        <f t="shared" si="22"/>
        <v>0.375</v>
      </c>
      <c r="AB13" s="1">
        <f t="shared" si="23"/>
        <v>1</v>
      </c>
      <c r="AC13" s="1" t="e">
        <f t="shared" si="24"/>
        <v>#DIV/0!</v>
      </c>
      <c r="AD13" s="1" t="e">
        <f t="shared" si="25"/>
        <v>#DIV/0!</v>
      </c>
      <c r="AE13" s="1" t="e">
        <f t="shared" si="26"/>
        <v>#DIV/0!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M13" s="1" t="e">
        <f t="shared" si="7"/>
        <v>#DIV/0!</v>
      </c>
      <c r="AN13" s="1" t="e">
        <f t="shared" si="8"/>
        <v>#DIV/0!</v>
      </c>
      <c r="AO13" s="1" t="e">
        <f t="shared" si="9"/>
        <v>#DIV/0!</v>
      </c>
      <c r="AP13" s="1" t="e">
        <f t="shared" si="10"/>
        <v>#DIV/0!</v>
      </c>
      <c r="AQ13" s="1" t="e">
        <f t="shared" si="11"/>
        <v>#DIV/0!</v>
      </c>
      <c r="AS13" s="1" t="e">
        <f t="shared" si="12"/>
        <v>#DIV/0!</v>
      </c>
      <c r="AT13" s="1" t="e">
        <f t="shared" si="13"/>
        <v>#DIV/0!</v>
      </c>
      <c r="AU13" s="1" t="e">
        <f t="shared" si="14"/>
        <v>#DIV/0!</v>
      </c>
      <c r="AV13" s="1" t="e">
        <f t="shared" si="15"/>
        <v>#DIV/0!</v>
      </c>
      <c r="AW13" s="1" t="e">
        <f t="shared" si="16"/>
        <v>#DIV/0!</v>
      </c>
    </row>
    <row r="14" spans="2:49" x14ac:dyDescent="0.15">
      <c r="B14" s="2">
        <v>10</v>
      </c>
      <c r="C14" s="2">
        <v>2.5</v>
      </c>
      <c r="D14" s="2">
        <v>0</v>
      </c>
      <c r="E14" s="2">
        <v>0</v>
      </c>
      <c r="F14" s="2">
        <v>0</v>
      </c>
      <c r="G14" s="2">
        <v>0</v>
      </c>
      <c r="I14" s="2">
        <v>1.5</v>
      </c>
      <c r="J14" s="2">
        <v>0.5</v>
      </c>
      <c r="K14" s="2">
        <v>0</v>
      </c>
      <c r="L14" s="2">
        <v>0</v>
      </c>
      <c r="M14" s="2">
        <v>0</v>
      </c>
      <c r="O14" s="3">
        <f t="shared" si="0"/>
        <v>4</v>
      </c>
      <c r="P14" s="3">
        <f t="shared" si="1"/>
        <v>0.5</v>
      </c>
      <c r="Q14" s="3">
        <f t="shared" si="2"/>
        <v>0</v>
      </c>
      <c r="R14" s="3">
        <f t="shared" si="3"/>
        <v>0</v>
      </c>
      <c r="S14" s="3">
        <f t="shared" si="4"/>
        <v>0</v>
      </c>
      <c r="U14" s="1">
        <f t="shared" si="17"/>
        <v>0.625</v>
      </c>
      <c r="V14" s="1">
        <f t="shared" si="18"/>
        <v>0</v>
      </c>
      <c r="W14" s="1" t="e">
        <f t="shared" si="19"/>
        <v>#DIV/0!</v>
      </c>
      <c r="X14" s="1" t="e">
        <f t="shared" si="20"/>
        <v>#DIV/0!</v>
      </c>
      <c r="Y14" s="1" t="e">
        <f t="shared" si="21"/>
        <v>#DIV/0!</v>
      </c>
      <c r="AA14" s="1">
        <f t="shared" si="22"/>
        <v>0.375</v>
      </c>
      <c r="AB14" s="1">
        <f t="shared" si="23"/>
        <v>1</v>
      </c>
      <c r="AC14" s="1" t="e">
        <f t="shared" si="24"/>
        <v>#DIV/0!</v>
      </c>
      <c r="AD14" s="1" t="e">
        <f t="shared" si="25"/>
        <v>#DIV/0!</v>
      </c>
      <c r="AE14" s="1" t="e">
        <f t="shared" si="26"/>
        <v>#DIV/0!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M14" s="1" t="e">
        <f t="shared" si="7"/>
        <v>#DIV/0!</v>
      </c>
      <c r="AN14" s="1" t="e">
        <f t="shared" si="8"/>
        <v>#DIV/0!</v>
      </c>
      <c r="AO14" s="1" t="e">
        <f t="shared" si="9"/>
        <v>#DIV/0!</v>
      </c>
      <c r="AP14" s="1" t="e">
        <f t="shared" si="10"/>
        <v>#DIV/0!</v>
      </c>
      <c r="AQ14" s="1" t="e">
        <f t="shared" si="11"/>
        <v>#DIV/0!</v>
      </c>
      <c r="AS14" s="1" t="e">
        <f t="shared" si="12"/>
        <v>#DIV/0!</v>
      </c>
      <c r="AT14" s="1" t="e">
        <f t="shared" si="13"/>
        <v>#DIV/0!</v>
      </c>
      <c r="AU14" s="1" t="e">
        <f t="shared" si="14"/>
        <v>#DIV/0!</v>
      </c>
      <c r="AV14" s="1" t="e">
        <f t="shared" si="15"/>
        <v>#DIV/0!</v>
      </c>
      <c r="AW14" s="1" t="e">
        <f t="shared" si="16"/>
        <v>#DIV/0!</v>
      </c>
    </row>
    <row r="15" spans="2:49" x14ac:dyDescent="0.15">
      <c r="B15" s="2">
        <v>11</v>
      </c>
      <c r="C15" s="2">
        <v>2.75</v>
      </c>
      <c r="D15" s="2">
        <v>0</v>
      </c>
      <c r="E15" s="2">
        <v>0</v>
      </c>
      <c r="F15" s="2">
        <v>0</v>
      </c>
      <c r="G15" s="2">
        <v>0</v>
      </c>
      <c r="I15" s="2">
        <v>1.6500000000000001</v>
      </c>
      <c r="J15" s="2">
        <v>0.55000000000000004</v>
      </c>
      <c r="K15" s="2">
        <v>0</v>
      </c>
      <c r="L15" s="2">
        <v>0</v>
      </c>
      <c r="M15" s="2">
        <v>0</v>
      </c>
      <c r="O15" s="3">
        <f t="shared" si="0"/>
        <v>4.4000000000000004</v>
      </c>
      <c r="P15" s="3">
        <f t="shared" si="1"/>
        <v>0.55000000000000004</v>
      </c>
      <c r="Q15" s="3">
        <f t="shared" si="2"/>
        <v>0</v>
      </c>
      <c r="R15" s="3">
        <f t="shared" si="3"/>
        <v>0</v>
      </c>
      <c r="S15" s="3">
        <f t="shared" si="4"/>
        <v>0</v>
      </c>
      <c r="U15" s="1">
        <f t="shared" si="17"/>
        <v>0.625</v>
      </c>
      <c r="V15" s="1">
        <f t="shared" si="18"/>
        <v>0</v>
      </c>
      <c r="W15" s="1" t="e">
        <f t="shared" si="19"/>
        <v>#DIV/0!</v>
      </c>
      <c r="X15" s="1" t="e">
        <f t="shared" si="20"/>
        <v>#DIV/0!</v>
      </c>
      <c r="Y15" s="1" t="e">
        <f t="shared" si="21"/>
        <v>#DIV/0!</v>
      </c>
      <c r="AA15" s="1">
        <f t="shared" si="22"/>
        <v>0.375</v>
      </c>
      <c r="AB15" s="1">
        <f t="shared" si="23"/>
        <v>1</v>
      </c>
      <c r="AC15" s="1" t="e">
        <f t="shared" si="24"/>
        <v>#DIV/0!</v>
      </c>
      <c r="AD15" s="1" t="e">
        <f t="shared" si="25"/>
        <v>#DIV/0!</v>
      </c>
      <c r="AE15" s="1" t="e">
        <f t="shared" si="26"/>
        <v>#DIV/0!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M15" s="1" t="e">
        <f t="shared" si="7"/>
        <v>#DIV/0!</v>
      </c>
      <c r="AN15" s="1" t="e">
        <f t="shared" si="8"/>
        <v>#DIV/0!</v>
      </c>
      <c r="AO15" s="1" t="e">
        <f t="shared" si="9"/>
        <v>#DIV/0!</v>
      </c>
      <c r="AP15" s="1" t="e">
        <f t="shared" si="10"/>
        <v>#DIV/0!</v>
      </c>
      <c r="AQ15" s="1" t="e">
        <f t="shared" si="11"/>
        <v>#DIV/0!</v>
      </c>
      <c r="AS15" s="1" t="e">
        <f t="shared" si="12"/>
        <v>#DIV/0!</v>
      </c>
      <c r="AT15" s="1" t="e">
        <f t="shared" si="13"/>
        <v>#DIV/0!</v>
      </c>
      <c r="AU15" s="1" t="e">
        <f t="shared" si="14"/>
        <v>#DIV/0!</v>
      </c>
      <c r="AV15" s="1" t="e">
        <f t="shared" si="15"/>
        <v>#DIV/0!</v>
      </c>
      <c r="AW15" s="1" t="e">
        <f t="shared" si="16"/>
        <v>#DIV/0!</v>
      </c>
    </row>
    <row r="16" spans="2:49" x14ac:dyDescent="0.15">
      <c r="B16" s="2">
        <v>12</v>
      </c>
      <c r="C16" s="2">
        <v>3</v>
      </c>
      <c r="D16" s="2">
        <v>0</v>
      </c>
      <c r="E16" s="2">
        <v>0</v>
      </c>
      <c r="F16" s="2">
        <v>0</v>
      </c>
      <c r="G16" s="2">
        <v>0</v>
      </c>
      <c r="I16" s="2">
        <v>1.8</v>
      </c>
      <c r="J16" s="2">
        <v>0.6</v>
      </c>
      <c r="K16" s="2">
        <v>0</v>
      </c>
      <c r="L16" s="2">
        <v>0</v>
      </c>
      <c r="M16" s="2">
        <v>0</v>
      </c>
      <c r="O16" s="3">
        <f t="shared" si="0"/>
        <v>4.8</v>
      </c>
      <c r="P16" s="3">
        <f t="shared" si="1"/>
        <v>0.6</v>
      </c>
      <c r="Q16" s="3">
        <f t="shared" si="2"/>
        <v>0</v>
      </c>
      <c r="R16" s="3">
        <f t="shared" si="3"/>
        <v>0</v>
      </c>
      <c r="S16" s="3">
        <f t="shared" si="4"/>
        <v>0</v>
      </c>
      <c r="U16" s="1">
        <f t="shared" si="17"/>
        <v>0.625</v>
      </c>
      <c r="V16" s="1">
        <f t="shared" si="18"/>
        <v>0</v>
      </c>
      <c r="W16" s="1" t="e">
        <f t="shared" si="19"/>
        <v>#DIV/0!</v>
      </c>
      <c r="X16" s="1" t="e">
        <f t="shared" si="20"/>
        <v>#DIV/0!</v>
      </c>
      <c r="Y16" s="1" t="e">
        <f t="shared" si="21"/>
        <v>#DIV/0!</v>
      </c>
      <c r="AA16" s="1">
        <f t="shared" si="22"/>
        <v>0.375</v>
      </c>
      <c r="AB16" s="1">
        <f t="shared" si="23"/>
        <v>1</v>
      </c>
      <c r="AC16" s="1" t="e">
        <f t="shared" si="24"/>
        <v>#DIV/0!</v>
      </c>
      <c r="AD16" s="1" t="e">
        <f t="shared" si="25"/>
        <v>#DIV/0!</v>
      </c>
      <c r="AE16" s="1" t="e">
        <f t="shared" si="26"/>
        <v>#DIV/0!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M16" s="1" t="e">
        <f t="shared" si="7"/>
        <v>#DIV/0!</v>
      </c>
      <c r="AN16" s="1" t="e">
        <f t="shared" si="8"/>
        <v>#DIV/0!</v>
      </c>
      <c r="AO16" s="1" t="e">
        <f t="shared" si="9"/>
        <v>#DIV/0!</v>
      </c>
      <c r="AP16" s="1" t="e">
        <f t="shared" si="10"/>
        <v>#DIV/0!</v>
      </c>
      <c r="AQ16" s="1" t="e">
        <f t="shared" si="11"/>
        <v>#DIV/0!</v>
      </c>
      <c r="AS16" s="1" t="e">
        <f t="shared" si="12"/>
        <v>#DIV/0!</v>
      </c>
      <c r="AT16" s="1" t="e">
        <f t="shared" si="13"/>
        <v>#DIV/0!</v>
      </c>
      <c r="AU16" s="1" t="e">
        <f t="shared" si="14"/>
        <v>#DIV/0!</v>
      </c>
      <c r="AV16" s="1" t="e">
        <f t="shared" si="15"/>
        <v>#DIV/0!</v>
      </c>
      <c r="AW16" s="1" t="e">
        <f t="shared" si="16"/>
        <v>#DIV/0!</v>
      </c>
    </row>
    <row r="17" spans="2:49" x14ac:dyDescent="0.15">
      <c r="B17" s="2">
        <v>13</v>
      </c>
      <c r="C17" s="2">
        <v>3.25</v>
      </c>
      <c r="D17" s="2">
        <v>0</v>
      </c>
      <c r="E17" s="2">
        <v>0</v>
      </c>
      <c r="F17" s="2">
        <v>0</v>
      </c>
      <c r="G17" s="2">
        <v>0</v>
      </c>
      <c r="I17" s="2">
        <v>1.95</v>
      </c>
      <c r="J17" s="2">
        <v>0.64999999999999991</v>
      </c>
      <c r="K17" s="2">
        <v>0</v>
      </c>
      <c r="L17" s="2">
        <v>0</v>
      </c>
      <c r="M17" s="2">
        <v>0</v>
      </c>
      <c r="O17" s="3">
        <f t="shared" si="0"/>
        <v>5.2</v>
      </c>
      <c r="P17" s="3">
        <f t="shared" si="1"/>
        <v>0.64999999999999991</v>
      </c>
      <c r="Q17" s="3">
        <f t="shared" si="2"/>
        <v>0</v>
      </c>
      <c r="R17" s="3">
        <f t="shared" si="3"/>
        <v>0</v>
      </c>
      <c r="S17" s="3">
        <f t="shared" si="4"/>
        <v>0</v>
      </c>
      <c r="U17" s="1">
        <f t="shared" si="17"/>
        <v>0.625</v>
      </c>
      <c r="V17" s="1">
        <f t="shared" si="18"/>
        <v>0</v>
      </c>
      <c r="W17" s="1" t="e">
        <f t="shared" si="19"/>
        <v>#DIV/0!</v>
      </c>
      <c r="X17" s="1" t="e">
        <f t="shared" si="20"/>
        <v>#DIV/0!</v>
      </c>
      <c r="Y17" s="1" t="e">
        <f t="shared" si="21"/>
        <v>#DIV/0!</v>
      </c>
      <c r="AA17" s="1">
        <f t="shared" si="22"/>
        <v>0.375</v>
      </c>
      <c r="AB17" s="1">
        <f t="shared" si="23"/>
        <v>1</v>
      </c>
      <c r="AC17" s="1" t="e">
        <f t="shared" si="24"/>
        <v>#DIV/0!</v>
      </c>
      <c r="AD17" s="1" t="e">
        <f t="shared" si="25"/>
        <v>#DIV/0!</v>
      </c>
      <c r="AE17" s="1" t="e">
        <f t="shared" si="26"/>
        <v>#DIV/0!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M17" s="1" t="e">
        <f t="shared" si="7"/>
        <v>#DIV/0!</v>
      </c>
      <c r="AN17" s="1" t="e">
        <f t="shared" si="8"/>
        <v>#DIV/0!</v>
      </c>
      <c r="AO17" s="1" t="e">
        <f t="shared" si="9"/>
        <v>#DIV/0!</v>
      </c>
      <c r="AP17" s="1" t="e">
        <f t="shared" si="10"/>
        <v>#DIV/0!</v>
      </c>
      <c r="AQ17" s="1" t="e">
        <f t="shared" si="11"/>
        <v>#DIV/0!</v>
      </c>
      <c r="AS17" s="1" t="e">
        <f t="shared" si="12"/>
        <v>#DIV/0!</v>
      </c>
      <c r="AT17" s="1" t="e">
        <f t="shared" si="13"/>
        <v>#DIV/0!</v>
      </c>
      <c r="AU17" s="1" t="e">
        <f t="shared" si="14"/>
        <v>#DIV/0!</v>
      </c>
      <c r="AV17" s="1" t="e">
        <f t="shared" si="15"/>
        <v>#DIV/0!</v>
      </c>
      <c r="AW17" s="1" t="e">
        <f t="shared" si="16"/>
        <v>#DIV/0!</v>
      </c>
    </row>
    <row r="18" spans="2:49" x14ac:dyDescent="0.15">
      <c r="B18" s="2">
        <v>14</v>
      </c>
      <c r="C18" s="2">
        <v>3.5</v>
      </c>
      <c r="D18" s="2">
        <v>0</v>
      </c>
      <c r="E18" s="2">
        <v>0</v>
      </c>
      <c r="F18" s="2">
        <v>0</v>
      </c>
      <c r="G18" s="2">
        <v>0</v>
      </c>
      <c r="I18" s="2">
        <v>2.1</v>
      </c>
      <c r="J18" s="2">
        <v>0.7</v>
      </c>
      <c r="K18" s="2">
        <v>0</v>
      </c>
      <c r="L18" s="2">
        <v>0</v>
      </c>
      <c r="M18" s="2">
        <v>0</v>
      </c>
      <c r="O18" s="3">
        <f t="shared" si="0"/>
        <v>5.6</v>
      </c>
      <c r="P18" s="3">
        <f t="shared" si="1"/>
        <v>0.7</v>
      </c>
      <c r="Q18" s="3">
        <f t="shared" si="2"/>
        <v>0</v>
      </c>
      <c r="R18" s="3">
        <f t="shared" si="3"/>
        <v>0</v>
      </c>
      <c r="S18" s="3">
        <f t="shared" si="4"/>
        <v>0</v>
      </c>
      <c r="U18" s="1">
        <f t="shared" si="17"/>
        <v>0.625</v>
      </c>
      <c r="V18" s="1">
        <f t="shared" si="18"/>
        <v>0</v>
      </c>
      <c r="W18" s="1" t="e">
        <f t="shared" si="19"/>
        <v>#DIV/0!</v>
      </c>
      <c r="X18" s="1" t="e">
        <f t="shared" si="20"/>
        <v>#DIV/0!</v>
      </c>
      <c r="Y18" s="1" t="e">
        <f t="shared" si="21"/>
        <v>#DIV/0!</v>
      </c>
      <c r="AA18" s="1">
        <f t="shared" si="22"/>
        <v>0.37500000000000006</v>
      </c>
      <c r="AB18" s="1">
        <f t="shared" si="23"/>
        <v>1</v>
      </c>
      <c r="AC18" s="1" t="e">
        <f t="shared" si="24"/>
        <v>#DIV/0!</v>
      </c>
      <c r="AD18" s="1" t="e">
        <f t="shared" si="25"/>
        <v>#DIV/0!</v>
      </c>
      <c r="AE18" s="1" t="e">
        <f t="shared" si="26"/>
        <v>#DIV/0!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M18" s="1" t="e">
        <f t="shared" si="7"/>
        <v>#DIV/0!</v>
      </c>
      <c r="AN18" s="1" t="e">
        <f t="shared" si="8"/>
        <v>#DIV/0!</v>
      </c>
      <c r="AO18" s="1" t="e">
        <f t="shared" si="9"/>
        <v>#DIV/0!</v>
      </c>
      <c r="AP18" s="1" t="e">
        <f t="shared" si="10"/>
        <v>#DIV/0!</v>
      </c>
      <c r="AQ18" s="1" t="e">
        <f t="shared" si="11"/>
        <v>#DIV/0!</v>
      </c>
      <c r="AS18" s="1" t="e">
        <f t="shared" si="12"/>
        <v>#DIV/0!</v>
      </c>
      <c r="AT18" s="1" t="e">
        <f t="shared" si="13"/>
        <v>#DIV/0!</v>
      </c>
      <c r="AU18" s="1" t="e">
        <f t="shared" si="14"/>
        <v>#DIV/0!</v>
      </c>
      <c r="AV18" s="1" t="e">
        <f t="shared" si="15"/>
        <v>#DIV/0!</v>
      </c>
      <c r="AW18" s="1" t="e">
        <f t="shared" si="16"/>
        <v>#DIV/0!</v>
      </c>
    </row>
    <row r="19" spans="2:49" x14ac:dyDescent="0.15">
      <c r="B19" s="2">
        <v>15</v>
      </c>
      <c r="C19" s="2">
        <v>3.75</v>
      </c>
      <c r="D19" s="2">
        <v>0</v>
      </c>
      <c r="E19" s="2">
        <v>0</v>
      </c>
      <c r="F19" s="2">
        <v>0</v>
      </c>
      <c r="G19" s="2">
        <v>0</v>
      </c>
      <c r="I19" s="2">
        <v>2.25</v>
      </c>
      <c r="J19" s="2">
        <v>0.75</v>
      </c>
      <c r="K19" s="2">
        <v>0</v>
      </c>
      <c r="L19" s="2">
        <v>0</v>
      </c>
      <c r="M19" s="2">
        <v>0</v>
      </c>
      <c r="O19" s="3">
        <f t="shared" si="0"/>
        <v>6</v>
      </c>
      <c r="P19" s="3">
        <f t="shared" si="1"/>
        <v>0.75</v>
      </c>
      <c r="Q19" s="3">
        <f t="shared" si="2"/>
        <v>0</v>
      </c>
      <c r="R19" s="3">
        <f t="shared" si="3"/>
        <v>0</v>
      </c>
      <c r="S19" s="3">
        <f t="shared" si="4"/>
        <v>0</v>
      </c>
      <c r="U19" s="1">
        <f t="shared" si="17"/>
        <v>0.625</v>
      </c>
      <c r="V19" s="1">
        <f t="shared" si="18"/>
        <v>0</v>
      </c>
      <c r="W19" s="1" t="e">
        <f t="shared" si="19"/>
        <v>#DIV/0!</v>
      </c>
      <c r="X19" s="1" t="e">
        <f t="shared" si="20"/>
        <v>#DIV/0!</v>
      </c>
      <c r="Y19" s="1" t="e">
        <f t="shared" si="21"/>
        <v>#DIV/0!</v>
      </c>
      <c r="AA19" s="1">
        <f t="shared" si="22"/>
        <v>0.375</v>
      </c>
      <c r="AB19" s="1">
        <f t="shared" si="23"/>
        <v>1</v>
      </c>
      <c r="AC19" s="1" t="e">
        <f t="shared" si="24"/>
        <v>#DIV/0!</v>
      </c>
      <c r="AD19" s="1" t="e">
        <f t="shared" si="25"/>
        <v>#DIV/0!</v>
      </c>
      <c r="AE19" s="1" t="e">
        <f t="shared" si="26"/>
        <v>#DIV/0!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M19" s="1" t="e">
        <f t="shared" si="7"/>
        <v>#DIV/0!</v>
      </c>
      <c r="AN19" s="1" t="e">
        <f t="shared" si="8"/>
        <v>#DIV/0!</v>
      </c>
      <c r="AO19" s="1" t="e">
        <f t="shared" si="9"/>
        <v>#DIV/0!</v>
      </c>
      <c r="AP19" s="1" t="e">
        <f t="shared" si="10"/>
        <v>#DIV/0!</v>
      </c>
      <c r="AQ19" s="1" t="e">
        <f t="shared" si="11"/>
        <v>#DIV/0!</v>
      </c>
      <c r="AS19" s="1" t="e">
        <f t="shared" si="12"/>
        <v>#DIV/0!</v>
      </c>
      <c r="AT19" s="1" t="e">
        <f t="shared" si="13"/>
        <v>#DIV/0!</v>
      </c>
      <c r="AU19" s="1" t="e">
        <f t="shared" si="14"/>
        <v>#DIV/0!</v>
      </c>
      <c r="AV19" s="1" t="e">
        <f t="shared" si="15"/>
        <v>#DIV/0!</v>
      </c>
      <c r="AW19" s="1" t="e">
        <f t="shared" si="16"/>
        <v>#DIV/0!</v>
      </c>
    </row>
    <row r="20" spans="2:49" x14ac:dyDescent="0.15">
      <c r="B20" s="2">
        <v>16</v>
      </c>
      <c r="C20" s="2">
        <v>4</v>
      </c>
      <c r="D20" s="2">
        <v>0</v>
      </c>
      <c r="E20" s="2">
        <v>0</v>
      </c>
      <c r="F20" s="2">
        <v>0</v>
      </c>
      <c r="G20" s="2">
        <v>0</v>
      </c>
      <c r="I20" s="2">
        <v>2.4</v>
      </c>
      <c r="J20" s="2">
        <v>0.8</v>
      </c>
      <c r="K20" s="2">
        <v>0</v>
      </c>
      <c r="L20" s="2">
        <v>0</v>
      </c>
      <c r="M20" s="2">
        <v>0</v>
      </c>
      <c r="O20" s="3">
        <f t="shared" si="0"/>
        <v>6.4</v>
      </c>
      <c r="P20" s="3">
        <f t="shared" si="1"/>
        <v>0.8</v>
      </c>
      <c r="Q20" s="3">
        <f t="shared" si="2"/>
        <v>0</v>
      </c>
      <c r="R20" s="3">
        <f t="shared" si="3"/>
        <v>0</v>
      </c>
      <c r="S20" s="3">
        <f t="shared" si="4"/>
        <v>0</v>
      </c>
      <c r="U20" s="1">
        <f t="shared" si="17"/>
        <v>0.625</v>
      </c>
      <c r="V20" s="1">
        <f t="shared" si="18"/>
        <v>0</v>
      </c>
      <c r="W20" s="1" t="e">
        <f t="shared" si="19"/>
        <v>#DIV/0!</v>
      </c>
      <c r="X20" s="1" t="e">
        <f t="shared" si="20"/>
        <v>#DIV/0!</v>
      </c>
      <c r="Y20" s="1" t="e">
        <f t="shared" si="21"/>
        <v>#DIV/0!</v>
      </c>
      <c r="AA20" s="1">
        <f t="shared" si="22"/>
        <v>0.37499999999999994</v>
      </c>
      <c r="AB20" s="1">
        <f t="shared" si="23"/>
        <v>1</v>
      </c>
      <c r="AC20" s="1" t="e">
        <f t="shared" si="24"/>
        <v>#DIV/0!</v>
      </c>
      <c r="AD20" s="1" t="e">
        <f t="shared" si="25"/>
        <v>#DIV/0!</v>
      </c>
      <c r="AE20" s="1" t="e">
        <f t="shared" si="26"/>
        <v>#DIV/0!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M20" s="1" t="e">
        <f t="shared" si="7"/>
        <v>#DIV/0!</v>
      </c>
      <c r="AN20" s="1" t="e">
        <f t="shared" si="8"/>
        <v>#DIV/0!</v>
      </c>
      <c r="AO20" s="1" t="e">
        <f t="shared" si="9"/>
        <v>#DIV/0!</v>
      </c>
      <c r="AP20" s="1" t="e">
        <f t="shared" si="10"/>
        <v>#DIV/0!</v>
      </c>
      <c r="AQ20" s="1" t="e">
        <f t="shared" si="11"/>
        <v>#DIV/0!</v>
      </c>
      <c r="AS20" s="1" t="e">
        <f t="shared" si="12"/>
        <v>#DIV/0!</v>
      </c>
      <c r="AT20" s="1" t="e">
        <f t="shared" si="13"/>
        <v>#DIV/0!</v>
      </c>
      <c r="AU20" s="1" t="e">
        <f t="shared" si="14"/>
        <v>#DIV/0!</v>
      </c>
      <c r="AV20" s="1" t="e">
        <f t="shared" si="15"/>
        <v>#DIV/0!</v>
      </c>
      <c r="AW20" s="1" t="e">
        <f t="shared" si="16"/>
        <v>#DIV/0!</v>
      </c>
    </row>
    <row r="21" spans="2:49" x14ac:dyDescent="0.15">
      <c r="B21" s="2">
        <v>17</v>
      </c>
      <c r="C21" s="2">
        <v>4.25</v>
      </c>
      <c r="D21" s="2">
        <v>0</v>
      </c>
      <c r="E21" s="2">
        <v>0</v>
      </c>
      <c r="F21" s="2">
        <v>0</v>
      </c>
      <c r="G21" s="2">
        <v>0</v>
      </c>
      <c r="I21" s="2">
        <v>2.5499999999999998</v>
      </c>
      <c r="J21" s="2">
        <v>0.85</v>
      </c>
      <c r="K21" s="2">
        <v>0</v>
      </c>
      <c r="L21" s="2">
        <v>0</v>
      </c>
      <c r="M21" s="2">
        <v>0</v>
      </c>
      <c r="O21" s="3">
        <f t="shared" si="0"/>
        <v>6.8</v>
      </c>
      <c r="P21" s="3">
        <f t="shared" si="1"/>
        <v>0.85</v>
      </c>
      <c r="Q21" s="3">
        <f t="shared" si="2"/>
        <v>0</v>
      </c>
      <c r="R21" s="3">
        <f t="shared" si="3"/>
        <v>0</v>
      </c>
      <c r="S21" s="3">
        <f t="shared" si="4"/>
        <v>0</v>
      </c>
      <c r="U21" s="1">
        <f t="shared" si="17"/>
        <v>0.625</v>
      </c>
      <c r="V21" s="1">
        <f t="shared" si="18"/>
        <v>0</v>
      </c>
      <c r="W21" s="1" t="e">
        <f t="shared" si="19"/>
        <v>#DIV/0!</v>
      </c>
      <c r="X21" s="1" t="e">
        <f t="shared" si="20"/>
        <v>#DIV/0!</v>
      </c>
      <c r="Y21" s="1" t="e">
        <f t="shared" si="21"/>
        <v>#DIV/0!</v>
      </c>
      <c r="AA21" s="1">
        <f t="shared" si="22"/>
        <v>0.375</v>
      </c>
      <c r="AB21" s="1">
        <f t="shared" si="23"/>
        <v>1</v>
      </c>
      <c r="AC21" s="1" t="e">
        <f t="shared" si="24"/>
        <v>#DIV/0!</v>
      </c>
      <c r="AD21" s="1" t="e">
        <f t="shared" si="25"/>
        <v>#DIV/0!</v>
      </c>
      <c r="AE21" s="1" t="e">
        <f t="shared" si="26"/>
        <v>#DIV/0!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M21" s="1" t="e">
        <f t="shared" si="7"/>
        <v>#DIV/0!</v>
      </c>
      <c r="AN21" s="1" t="e">
        <f t="shared" si="8"/>
        <v>#DIV/0!</v>
      </c>
      <c r="AO21" s="1" t="e">
        <f t="shared" si="9"/>
        <v>#DIV/0!</v>
      </c>
      <c r="AP21" s="1" t="e">
        <f t="shared" si="10"/>
        <v>#DIV/0!</v>
      </c>
      <c r="AQ21" s="1" t="e">
        <f t="shared" si="11"/>
        <v>#DIV/0!</v>
      </c>
      <c r="AS21" s="1" t="e">
        <f t="shared" si="12"/>
        <v>#DIV/0!</v>
      </c>
      <c r="AT21" s="1" t="e">
        <f t="shared" si="13"/>
        <v>#DIV/0!</v>
      </c>
      <c r="AU21" s="1" t="e">
        <f t="shared" si="14"/>
        <v>#DIV/0!</v>
      </c>
      <c r="AV21" s="1" t="e">
        <f t="shared" si="15"/>
        <v>#DIV/0!</v>
      </c>
      <c r="AW21" s="1" t="e">
        <f t="shared" si="16"/>
        <v>#DIV/0!</v>
      </c>
    </row>
    <row r="22" spans="2:49" x14ac:dyDescent="0.15">
      <c r="B22" s="2">
        <v>18</v>
      </c>
      <c r="C22" s="2">
        <v>4.5</v>
      </c>
      <c r="D22" s="2">
        <v>0</v>
      </c>
      <c r="E22" s="2">
        <v>0</v>
      </c>
      <c r="F22" s="2">
        <v>0</v>
      </c>
      <c r="G22" s="2">
        <v>0</v>
      </c>
      <c r="I22" s="2">
        <v>2.7</v>
      </c>
      <c r="J22" s="2">
        <v>0.9</v>
      </c>
      <c r="K22" s="2">
        <v>0</v>
      </c>
      <c r="L22" s="2">
        <v>0</v>
      </c>
      <c r="M22" s="2">
        <v>0</v>
      </c>
      <c r="O22" s="3">
        <f t="shared" si="0"/>
        <v>7.2</v>
      </c>
      <c r="P22" s="3">
        <f t="shared" si="1"/>
        <v>0.9</v>
      </c>
      <c r="Q22" s="3">
        <f t="shared" si="2"/>
        <v>0</v>
      </c>
      <c r="R22" s="3">
        <f t="shared" si="3"/>
        <v>0</v>
      </c>
      <c r="S22" s="3">
        <f t="shared" si="4"/>
        <v>0</v>
      </c>
      <c r="U22" s="1">
        <f t="shared" si="17"/>
        <v>0.625</v>
      </c>
      <c r="V22" s="1">
        <f t="shared" si="18"/>
        <v>0</v>
      </c>
      <c r="W22" s="1" t="e">
        <f t="shared" si="19"/>
        <v>#DIV/0!</v>
      </c>
      <c r="X22" s="1" t="e">
        <f t="shared" si="20"/>
        <v>#DIV/0!</v>
      </c>
      <c r="Y22" s="1" t="e">
        <f t="shared" si="21"/>
        <v>#DIV/0!</v>
      </c>
      <c r="AA22" s="1">
        <f t="shared" si="22"/>
        <v>0.375</v>
      </c>
      <c r="AB22" s="1">
        <f t="shared" si="23"/>
        <v>1</v>
      </c>
      <c r="AC22" s="1" t="e">
        <f t="shared" si="24"/>
        <v>#DIV/0!</v>
      </c>
      <c r="AD22" s="1" t="e">
        <f t="shared" si="25"/>
        <v>#DIV/0!</v>
      </c>
      <c r="AE22" s="1" t="e">
        <f t="shared" si="26"/>
        <v>#DIV/0!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M22" s="1" t="e">
        <f t="shared" si="7"/>
        <v>#DIV/0!</v>
      </c>
      <c r="AN22" s="1" t="e">
        <f t="shared" si="8"/>
        <v>#DIV/0!</v>
      </c>
      <c r="AO22" s="1" t="e">
        <f t="shared" si="9"/>
        <v>#DIV/0!</v>
      </c>
      <c r="AP22" s="1" t="e">
        <f t="shared" si="10"/>
        <v>#DIV/0!</v>
      </c>
      <c r="AQ22" s="1" t="e">
        <f t="shared" si="11"/>
        <v>#DIV/0!</v>
      </c>
      <c r="AS22" s="1" t="e">
        <f t="shared" si="12"/>
        <v>#DIV/0!</v>
      </c>
      <c r="AT22" s="1" t="e">
        <f t="shared" si="13"/>
        <v>#DIV/0!</v>
      </c>
      <c r="AU22" s="1" t="e">
        <f t="shared" si="14"/>
        <v>#DIV/0!</v>
      </c>
      <c r="AV22" s="1" t="e">
        <f t="shared" si="15"/>
        <v>#DIV/0!</v>
      </c>
      <c r="AW22" s="1" t="e">
        <f t="shared" si="16"/>
        <v>#DIV/0!</v>
      </c>
    </row>
    <row r="23" spans="2:49" x14ac:dyDescent="0.15">
      <c r="B23" s="2">
        <v>19</v>
      </c>
      <c r="C23" s="2">
        <v>4.75</v>
      </c>
      <c r="D23" s="2">
        <v>0</v>
      </c>
      <c r="E23" s="2">
        <v>0</v>
      </c>
      <c r="F23" s="2">
        <v>0</v>
      </c>
      <c r="G23" s="2">
        <v>0</v>
      </c>
      <c r="I23" s="2">
        <v>2.85</v>
      </c>
      <c r="J23" s="2">
        <v>0.95</v>
      </c>
      <c r="K23" s="2">
        <v>0</v>
      </c>
      <c r="L23" s="2">
        <v>0</v>
      </c>
      <c r="M23" s="2">
        <v>0</v>
      </c>
      <c r="O23" s="3">
        <f t="shared" si="0"/>
        <v>7.6</v>
      </c>
      <c r="P23" s="3">
        <f t="shared" si="1"/>
        <v>0.95</v>
      </c>
      <c r="Q23" s="3">
        <f t="shared" si="2"/>
        <v>0</v>
      </c>
      <c r="R23" s="3">
        <f t="shared" si="3"/>
        <v>0</v>
      </c>
      <c r="S23" s="3">
        <f t="shared" si="4"/>
        <v>0</v>
      </c>
      <c r="U23" s="1">
        <f t="shared" si="17"/>
        <v>0.625</v>
      </c>
      <c r="V23" s="1">
        <f t="shared" si="18"/>
        <v>0</v>
      </c>
      <c r="W23" s="1" t="e">
        <f t="shared" si="19"/>
        <v>#DIV/0!</v>
      </c>
      <c r="X23" s="1" t="e">
        <f t="shared" si="20"/>
        <v>#DIV/0!</v>
      </c>
      <c r="Y23" s="1" t="e">
        <f t="shared" si="21"/>
        <v>#DIV/0!</v>
      </c>
      <c r="AA23" s="1">
        <f t="shared" si="22"/>
        <v>0.37500000000000006</v>
      </c>
      <c r="AB23" s="1">
        <f t="shared" si="23"/>
        <v>1</v>
      </c>
      <c r="AC23" s="1" t="e">
        <f t="shared" si="24"/>
        <v>#DIV/0!</v>
      </c>
      <c r="AD23" s="1" t="e">
        <f t="shared" si="25"/>
        <v>#DIV/0!</v>
      </c>
      <c r="AE23" s="1" t="e">
        <f t="shared" si="26"/>
        <v>#DIV/0!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M23" s="1" t="e">
        <f t="shared" si="7"/>
        <v>#DIV/0!</v>
      </c>
      <c r="AN23" s="1" t="e">
        <f t="shared" si="8"/>
        <v>#DIV/0!</v>
      </c>
      <c r="AO23" s="1" t="e">
        <f t="shared" si="9"/>
        <v>#DIV/0!</v>
      </c>
      <c r="AP23" s="1" t="e">
        <f t="shared" si="10"/>
        <v>#DIV/0!</v>
      </c>
      <c r="AQ23" s="1" t="e">
        <f t="shared" si="11"/>
        <v>#DIV/0!</v>
      </c>
      <c r="AS23" s="1" t="e">
        <f t="shared" si="12"/>
        <v>#DIV/0!</v>
      </c>
      <c r="AT23" s="1" t="e">
        <f t="shared" si="13"/>
        <v>#DIV/0!</v>
      </c>
      <c r="AU23" s="1" t="e">
        <f t="shared" si="14"/>
        <v>#DIV/0!</v>
      </c>
      <c r="AV23" s="1" t="e">
        <f t="shared" si="15"/>
        <v>#DIV/0!</v>
      </c>
      <c r="AW23" s="1" t="e">
        <f t="shared" si="16"/>
        <v>#DIV/0!</v>
      </c>
    </row>
    <row r="24" spans="2:49" x14ac:dyDescent="0.15">
      <c r="B24" s="2">
        <v>20</v>
      </c>
      <c r="C24" s="2">
        <v>5</v>
      </c>
      <c r="D24" s="2">
        <v>0</v>
      </c>
      <c r="E24" s="2">
        <v>0</v>
      </c>
      <c r="F24" s="2">
        <v>0</v>
      </c>
      <c r="G24" s="2">
        <v>0</v>
      </c>
      <c r="I24" s="2">
        <v>9</v>
      </c>
      <c r="J24" s="2">
        <v>3</v>
      </c>
      <c r="K24" s="2">
        <v>0</v>
      </c>
      <c r="L24" s="2">
        <v>0</v>
      </c>
      <c r="M24" s="2">
        <v>0</v>
      </c>
      <c r="O24" s="3">
        <f t="shared" si="0"/>
        <v>14</v>
      </c>
      <c r="P24" s="3">
        <f t="shared" si="1"/>
        <v>3</v>
      </c>
      <c r="Q24" s="3">
        <f t="shared" si="2"/>
        <v>0</v>
      </c>
      <c r="R24" s="3">
        <f t="shared" si="3"/>
        <v>0</v>
      </c>
      <c r="S24" s="3">
        <f t="shared" si="4"/>
        <v>0</v>
      </c>
      <c r="U24" s="1">
        <f t="shared" si="17"/>
        <v>0.35714285714285715</v>
      </c>
      <c r="V24" s="1">
        <f t="shared" si="18"/>
        <v>0</v>
      </c>
      <c r="W24" s="1" t="e">
        <f t="shared" si="19"/>
        <v>#DIV/0!</v>
      </c>
      <c r="X24" s="1" t="e">
        <f t="shared" si="20"/>
        <v>#DIV/0!</v>
      </c>
      <c r="Y24" s="1" t="e">
        <f t="shared" si="21"/>
        <v>#DIV/0!</v>
      </c>
      <c r="AA24" s="1">
        <f t="shared" si="22"/>
        <v>0.6428571428571429</v>
      </c>
      <c r="AB24" s="1">
        <f t="shared" si="23"/>
        <v>1</v>
      </c>
      <c r="AC24" s="1" t="e">
        <f t="shared" si="24"/>
        <v>#DIV/0!</v>
      </c>
      <c r="AD24" s="1" t="e">
        <f t="shared" si="25"/>
        <v>#DIV/0!</v>
      </c>
      <c r="AE24" s="1" t="e">
        <f t="shared" si="26"/>
        <v>#DIV/0!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M24" s="1" t="e">
        <f t="shared" si="7"/>
        <v>#DIV/0!</v>
      </c>
      <c r="AN24" s="1" t="e">
        <f t="shared" si="8"/>
        <v>#DIV/0!</v>
      </c>
      <c r="AO24" s="1" t="e">
        <f t="shared" si="9"/>
        <v>#DIV/0!</v>
      </c>
      <c r="AP24" s="1" t="e">
        <f t="shared" si="10"/>
        <v>#DIV/0!</v>
      </c>
      <c r="AQ24" s="1" t="e">
        <f t="shared" si="11"/>
        <v>#DIV/0!</v>
      </c>
      <c r="AS24" s="1" t="e">
        <f t="shared" si="12"/>
        <v>#DIV/0!</v>
      </c>
      <c r="AT24" s="1" t="e">
        <f t="shared" si="13"/>
        <v>#DIV/0!</v>
      </c>
      <c r="AU24" s="1" t="e">
        <f t="shared" si="14"/>
        <v>#DIV/0!</v>
      </c>
      <c r="AV24" s="1" t="e">
        <f t="shared" si="15"/>
        <v>#DIV/0!</v>
      </c>
      <c r="AW24" s="1" t="e">
        <f t="shared" si="16"/>
        <v>#DIV/0!</v>
      </c>
    </row>
    <row r="25" spans="2:49" x14ac:dyDescent="0.15">
      <c r="B25" s="2">
        <v>21</v>
      </c>
      <c r="C25" s="2">
        <v>6.25</v>
      </c>
      <c r="D25" s="2">
        <v>0</v>
      </c>
      <c r="E25" s="2">
        <v>0</v>
      </c>
      <c r="F25" s="2">
        <v>0</v>
      </c>
      <c r="G25" s="2">
        <v>0</v>
      </c>
      <c r="I25" s="2">
        <v>9.4</v>
      </c>
      <c r="J25" s="2">
        <v>3.4666666666666668</v>
      </c>
      <c r="K25" s="2">
        <v>0.2</v>
      </c>
      <c r="L25" s="2">
        <v>0</v>
      </c>
      <c r="M25" s="2">
        <v>0</v>
      </c>
      <c r="O25" s="3">
        <f t="shared" si="0"/>
        <v>15.65</v>
      </c>
      <c r="P25" s="3">
        <f t="shared" si="1"/>
        <v>3.4666666666666668</v>
      </c>
      <c r="Q25" s="3">
        <f t="shared" si="2"/>
        <v>0.2</v>
      </c>
      <c r="R25" s="3">
        <f t="shared" si="3"/>
        <v>0</v>
      </c>
      <c r="S25" s="3">
        <f t="shared" si="4"/>
        <v>0</v>
      </c>
      <c r="U25" s="1">
        <f t="shared" si="17"/>
        <v>0.39936102236421722</v>
      </c>
      <c r="V25" s="1">
        <f t="shared" si="18"/>
        <v>0</v>
      </c>
      <c r="W25" s="1">
        <f t="shared" si="19"/>
        <v>0</v>
      </c>
      <c r="X25" s="1" t="e">
        <f t="shared" si="20"/>
        <v>#DIV/0!</v>
      </c>
      <c r="Y25" s="1" t="e">
        <f t="shared" si="21"/>
        <v>#DIV/0!</v>
      </c>
      <c r="AA25" s="1">
        <f t="shared" si="22"/>
        <v>0.60063897763578278</v>
      </c>
      <c r="AB25" s="1">
        <f t="shared" si="23"/>
        <v>1</v>
      </c>
      <c r="AC25" s="1">
        <f t="shared" si="24"/>
        <v>1</v>
      </c>
      <c r="AD25" s="1" t="e">
        <f t="shared" si="25"/>
        <v>#DIV/0!</v>
      </c>
      <c r="AE25" s="1" t="e">
        <f t="shared" si="26"/>
        <v>#DIV/0!</v>
      </c>
      <c r="AG25" s="2">
        <v>0.12792692788041618</v>
      </c>
      <c r="AH25" s="2">
        <v>6.396346394020809E-2</v>
      </c>
      <c r="AI25" s="2">
        <v>0</v>
      </c>
      <c r="AJ25" s="2">
        <v>0</v>
      </c>
      <c r="AK25" s="2">
        <v>0</v>
      </c>
      <c r="AM25" s="1">
        <f t="shared" si="7"/>
        <v>48.856015723619883</v>
      </c>
      <c r="AN25" s="1">
        <f t="shared" si="8"/>
        <v>0</v>
      </c>
      <c r="AO25" s="1" t="e">
        <f t="shared" si="9"/>
        <v>#DIV/0!</v>
      </c>
      <c r="AP25" s="1" t="e">
        <f t="shared" si="10"/>
        <v>#DIV/0!</v>
      </c>
      <c r="AQ25" s="1" t="e">
        <f t="shared" si="11"/>
        <v>#DIV/0!</v>
      </c>
      <c r="AS25" s="1">
        <f t="shared" si="12"/>
        <v>73.47944764832431</v>
      </c>
      <c r="AT25" s="1">
        <f t="shared" si="13"/>
        <v>54.197606776068994</v>
      </c>
      <c r="AU25" s="1" t="e">
        <f t="shared" si="14"/>
        <v>#DIV/0!</v>
      </c>
      <c r="AV25" s="1" t="e">
        <f t="shared" si="15"/>
        <v>#DIV/0!</v>
      </c>
      <c r="AW25" s="1" t="e">
        <f t="shared" si="16"/>
        <v>#DIV/0!</v>
      </c>
    </row>
    <row r="26" spans="2:49" x14ac:dyDescent="0.15">
      <c r="B26" s="2">
        <v>22</v>
      </c>
      <c r="C26" s="2">
        <v>7.5</v>
      </c>
      <c r="D26" s="2">
        <v>0</v>
      </c>
      <c r="E26" s="2">
        <v>0</v>
      </c>
      <c r="F26" s="2">
        <v>0</v>
      </c>
      <c r="G26" s="2">
        <v>0</v>
      </c>
      <c r="I26" s="2">
        <v>9.8000000000000007</v>
      </c>
      <c r="J26" s="2">
        <v>3.9333333333333336</v>
      </c>
      <c r="K26" s="2">
        <v>0.4</v>
      </c>
      <c r="L26" s="2">
        <v>0</v>
      </c>
      <c r="M26" s="2">
        <v>0</v>
      </c>
      <c r="O26" s="3">
        <f t="shared" si="0"/>
        <v>17.3</v>
      </c>
      <c r="P26" s="3">
        <f t="shared" si="1"/>
        <v>3.9333333333333336</v>
      </c>
      <c r="Q26" s="3">
        <f t="shared" si="2"/>
        <v>0.4</v>
      </c>
      <c r="R26" s="3">
        <f t="shared" si="3"/>
        <v>0</v>
      </c>
      <c r="S26" s="3">
        <f t="shared" si="4"/>
        <v>0</v>
      </c>
      <c r="U26" s="1">
        <f t="shared" si="17"/>
        <v>0.43352601156069365</v>
      </c>
      <c r="V26" s="1">
        <f t="shared" si="18"/>
        <v>0</v>
      </c>
      <c r="W26" s="1">
        <f t="shared" si="19"/>
        <v>0</v>
      </c>
      <c r="X26" s="1" t="e">
        <f t="shared" si="20"/>
        <v>#DIV/0!</v>
      </c>
      <c r="Y26" s="1" t="e">
        <f t="shared" si="21"/>
        <v>#DIV/0!</v>
      </c>
      <c r="AA26" s="1">
        <f t="shared" si="22"/>
        <v>0.56647398843930641</v>
      </c>
      <c r="AB26" s="1">
        <f t="shared" si="23"/>
        <v>1</v>
      </c>
      <c r="AC26" s="1">
        <f t="shared" si="24"/>
        <v>1</v>
      </c>
      <c r="AD26" s="1" t="e">
        <f t="shared" si="25"/>
        <v>#DIV/0!</v>
      </c>
      <c r="AE26" s="1" t="e">
        <f t="shared" si="26"/>
        <v>#DIV/0!</v>
      </c>
      <c r="AG26" s="2">
        <v>0.3952540483689797</v>
      </c>
      <c r="AH26" s="2">
        <v>0.19762702418448985</v>
      </c>
      <c r="AI26" s="2">
        <v>0</v>
      </c>
      <c r="AJ26" s="2">
        <v>0</v>
      </c>
      <c r="AK26" s="2">
        <v>0</v>
      </c>
      <c r="AM26" s="1">
        <f t="shared" si="7"/>
        <v>18.975137714461965</v>
      </c>
      <c r="AN26" s="1">
        <f t="shared" si="8"/>
        <v>0</v>
      </c>
      <c r="AO26" s="1" t="e">
        <f t="shared" si="9"/>
        <v>#DIV/0!</v>
      </c>
      <c r="AP26" s="1" t="e">
        <f t="shared" si="10"/>
        <v>#DIV/0!</v>
      </c>
      <c r="AQ26" s="1" t="e">
        <f t="shared" si="11"/>
        <v>#DIV/0!</v>
      </c>
      <c r="AS26" s="1">
        <f t="shared" si="12"/>
        <v>24.794179946896968</v>
      </c>
      <c r="AT26" s="1">
        <f t="shared" si="13"/>
        <v>19.902811113835661</v>
      </c>
      <c r="AU26" s="1" t="e">
        <f t="shared" si="14"/>
        <v>#DIV/0!</v>
      </c>
      <c r="AV26" s="1" t="e">
        <f t="shared" si="15"/>
        <v>#DIV/0!</v>
      </c>
      <c r="AW26" s="1" t="e">
        <f t="shared" si="16"/>
        <v>#DIV/0!</v>
      </c>
    </row>
    <row r="27" spans="2:49" x14ac:dyDescent="0.15">
      <c r="B27" s="2">
        <v>23</v>
      </c>
      <c r="C27" s="2">
        <v>8.75</v>
      </c>
      <c r="D27" s="2">
        <v>0</v>
      </c>
      <c r="E27" s="2">
        <v>0</v>
      </c>
      <c r="F27" s="2">
        <v>0</v>
      </c>
      <c r="G27" s="2">
        <v>0</v>
      </c>
      <c r="I27" s="2">
        <v>10.199999999999999</v>
      </c>
      <c r="J27" s="2">
        <v>4.4000000000000004</v>
      </c>
      <c r="K27" s="2">
        <v>0.60000000000000009</v>
      </c>
      <c r="L27" s="2">
        <v>0</v>
      </c>
      <c r="M27" s="2">
        <v>0</v>
      </c>
      <c r="O27" s="3">
        <f t="shared" si="0"/>
        <v>18.95</v>
      </c>
      <c r="P27" s="3">
        <f t="shared" si="1"/>
        <v>4.4000000000000004</v>
      </c>
      <c r="Q27" s="3">
        <f t="shared" si="2"/>
        <v>0.60000000000000009</v>
      </c>
      <c r="R27" s="3">
        <f t="shared" si="3"/>
        <v>0</v>
      </c>
      <c r="S27" s="3">
        <f t="shared" si="4"/>
        <v>0</v>
      </c>
      <c r="U27" s="1">
        <f t="shared" si="17"/>
        <v>0.46174142480211083</v>
      </c>
      <c r="V27" s="1">
        <f t="shared" si="18"/>
        <v>0</v>
      </c>
      <c r="W27" s="1">
        <f t="shared" si="19"/>
        <v>0</v>
      </c>
      <c r="X27" s="1" t="e">
        <f t="shared" si="20"/>
        <v>#DIV/0!</v>
      </c>
      <c r="Y27" s="1" t="e">
        <f t="shared" si="21"/>
        <v>#DIV/0!</v>
      </c>
      <c r="AA27" s="1">
        <f t="shared" si="22"/>
        <v>0.53825857519788911</v>
      </c>
      <c r="AB27" s="1">
        <f t="shared" si="23"/>
        <v>1</v>
      </c>
      <c r="AC27" s="1">
        <f t="shared" si="24"/>
        <v>1</v>
      </c>
      <c r="AD27" s="1" t="e">
        <f t="shared" si="25"/>
        <v>#DIV/0!</v>
      </c>
      <c r="AE27" s="1" t="e">
        <f t="shared" si="26"/>
        <v>#DIV/0!</v>
      </c>
      <c r="AG27" s="2">
        <v>0.81468984009758194</v>
      </c>
      <c r="AH27" s="2">
        <v>0.40734492004879097</v>
      </c>
      <c r="AI27" s="2">
        <v>0</v>
      </c>
      <c r="AJ27" s="2">
        <v>0</v>
      </c>
      <c r="AK27" s="2">
        <v>0</v>
      </c>
      <c r="AM27" s="1">
        <f t="shared" si="7"/>
        <v>10.740283687534317</v>
      </c>
      <c r="AN27" s="1">
        <f t="shared" si="8"/>
        <v>0</v>
      </c>
      <c r="AO27" s="1" t="e">
        <f t="shared" si="9"/>
        <v>#DIV/0!</v>
      </c>
      <c r="AP27" s="1" t="e">
        <f t="shared" si="10"/>
        <v>#DIV/0!</v>
      </c>
      <c r="AQ27" s="1" t="e">
        <f t="shared" si="11"/>
        <v>#DIV/0!</v>
      </c>
      <c r="AS27" s="1">
        <f t="shared" si="12"/>
        <v>12.520102127182859</v>
      </c>
      <c r="AT27" s="1">
        <f t="shared" si="13"/>
        <v>10.801656737177371</v>
      </c>
      <c r="AU27" s="1" t="e">
        <f t="shared" si="14"/>
        <v>#DIV/0!</v>
      </c>
      <c r="AV27" s="1" t="e">
        <f t="shared" si="15"/>
        <v>#DIV/0!</v>
      </c>
      <c r="AW27" s="1" t="e">
        <f t="shared" si="16"/>
        <v>#DIV/0!</v>
      </c>
    </row>
    <row r="28" spans="2:49" x14ac:dyDescent="0.15">
      <c r="B28" s="2">
        <v>24</v>
      </c>
      <c r="C28" s="2">
        <v>10</v>
      </c>
      <c r="D28" s="2">
        <v>0</v>
      </c>
      <c r="E28" s="2">
        <v>0</v>
      </c>
      <c r="F28" s="2">
        <v>0</v>
      </c>
      <c r="G28" s="2">
        <v>0</v>
      </c>
      <c r="I28" s="2">
        <v>10.6</v>
      </c>
      <c r="J28" s="2">
        <v>4.8666666666666671</v>
      </c>
      <c r="K28" s="2">
        <v>0.8</v>
      </c>
      <c r="L28" s="2">
        <v>0</v>
      </c>
      <c r="M28" s="2">
        <v>0</v>
      </c>
      <c r="O28" s="3">
        <f t="shared" si="0"/>
        <v>20.6</v>
      </c>
      <c r="P28" s="3">
        <f t="shared" si="1"/>
        <v>4.8666666666666671</v>
      </c>
      <c r="Q28" s="3">
        <f t="shared" si="2"/>
        <v>0.8</v>
      </c>
      <c r="R28" s="3">
        <f t="shared" si="3"/>
        <v>0</v>
      </c>
      <c r="S28" s="3">
        <f t="shared" si="4"/>
        <v>0</v>
      </c>
      <c r="U28" s="1">
        <f t="shared" si="17"/>
        <v>0.48543689320388345</v>
      </c>
      <c r="V28" s="1">
        <f t="shared" si="18"/>
        <v>0</v>
      </c>
      <c r="W28" s="1">
        <f t="shared" si="19"/>
        <v>0</v>
      </c>
      <c r="X28" s="1" t="e">
        <f t="shared" si="20"/>
        <v>#DIV/0!</v>
      </c>
      <c r="Y28" s="1" t="e">
        <f t="shared" si="21"/>
        <v>#DIV/0!</v>
      </c>
      <c r="AA28" s="1">
        <f t="shared" si="22"/>
        <v>0.5145631067961165</v>
      </c>
      <c r="AB28" s="1">
        <f t="shared" si="23"/>
        <v>1</v>
      </c>
      <c r="AC28" s="1">
        <f t="shared" si="24"/>
        <v>1</v>
      </c>
      <c r="AD28" s="1" t="e">
        <f t="shared" si="25"/>
        <v>#DIV/0!</v>
      </c>
      <c r="AE28" s="1" t="e">
        <f t="shared" si="26"/>
        <v>#DIV/0!</v>
      </c>
      <c r="AG28" s="2">
        <v>1.4002962030407669</v>
      </c>
      <c r="AH28" s="2">
        <v>0.70014810152038343</v>
      </c>
      <c r="AI28" s="2">
        <v>0</v>
      </c>
      <c r="AJ28" s="2">
        <v>0</v>
      </c>
      <c r="AK28" s="2">
        <v>0</v>
      </c>
      <c r="AM28" s="1">
        <f t="shared" si="7"/>
        <v>7.1413462225240858</v>
      </c>
      <c r="AN28" s="1">
        <f t="shared" si="8"/>
        <v>0</v>
      </c>
      <c r="AO28" s="1" t="e">
        <f t="shared" si="9"/>
        <v>#DIV/0!</v>
      </c>
      <c r="AP28" s="1" t="e">
        <f t="shared" si="10"/>
        <v>#DIV/0!</v>
      </c>
      <c r="AQ28" s="1" t="e">
        <f t="shared" si="11"/>
        <v>#DIV/0!</v>
      </c>
      <c r="AS28" s="1">
        <f t="shared" si="12"/>
        <v>7.5698269958755304</v>
      </c>
      <c r="AT28" s="1">
        <f t="shared" si="13"/>
        <v>6.9509103232567773</v>
      </c>
      <c r="AU28" s="1" t="e">
        <f t="shared" si="14"/>
        <v>#DIV/0!</v>
      </c>
      <c r="AV28" s="1" t="e">
        <f t="shared" si="15"/>
        <v>#DIV/0!</v>
      </c>
      <c r="AW28" s="1" t="e">
        <f t="shared" si="16"/>
        <v>#DIV/0!</v>
      </c>
    </row>
    <row r="29" spans="2:49" x14ac:dyDescent="0.15">
      <c r="B29" s="2">
        <v>25</v>
      </c>
      <c r="C29" s="2">
        <v>11.25</v>
      </c>
      <c r="D29" s="2">
        <v>0</v>
      </c>
      <c r="E29" s="2">
        <v>0</v>
      </c>
      <c r="F29" s="2">
        <v>0</v>
      </c>
      <c r="G29" s="2">
        <v>0</v>
      </c>
      <c r="I29" s="2">
        <v>11</v>
      </c>
      <c r="J29" s="2">
        <v>5.3333333333333339</v>
      </c>
      <c r="K29" s="2">
        <v>1</v>
      </c>
      <c r="L29" s="2">
        <v>0</v>
      </c>
      <c r="M29" s="2">
        <v>0</v>
      </c>
      <c r="O29" s="3">
        <f t="shared" si="0"/>
        <v>22.25</v>
      </c>
      <c r="P29" s="3">
        <f t="shared" si="1"/>
        <v>5.3333333333333339</v>
      </c>
      <c r="Q29" s="3">
        <f t="shared" si="2"/>
        <v>1</v>
      </c>
      <c r="R29" s="3">
        <f t="shared" si="3"/>
        <v>0</v>
      </c>
      <c r="S29" s="3">
        <f t="shared" si="4"/>
        <v>0</v>
      </c>
      <c r="U29" s="1">
        <f t="shared" si="17"/>
        <v>0.5056179775280899</v>
      </c>
      <c r="V29" s="1">
        <f t="shared" si="18"/>
        <v>0</v>
      </c>
      <c r="W29" s="1">
        <f t="shared" si="19"/>
        <v>0</v>
      </c>
      <c r="X29" s="1" t="e">
        <f t="shared" si="20"/>
        <v>#DIV/0!</v>
      </c>
      <c r="Y29" s="1" t="e">
        <f t="shared" si="21"/>
        <v>#DIV/0!</v>
      </c>
      <c r="AA29" s="1">
        <f t="shared" si="22"/>
        <v>0.4943820224719101</v>
      </c>
      <c r="AB29" s="1">
        <f t="shared" si="23"/>
        <v>1</v>
      </c>
      <c r="AC29" s="1">
        <f t="shared" si="24"/>
        <v>1</v>
      </c>
      <c r="AD29" s="1" t="e">
        <f t="shared" si="25"/>
        <v>#DIV/0!</v>
      </c>
      <c r="AE29" s="1" t="e">
        <f t="shared" si="26"/>
        <v>#DIV/0!</v>
      </c>
      <c r="AG29" s="2">
        <v>2.1676172711506858</v>
      </c>
      <c r="AH29" s="2">
        <v>1.0838086355753429</v>
      </c>
      <c r="AI29" s="2">
        <v>0</v>
      </c>
      <c r="AJ29" s="2">
        <v>0</v>
      </c>
      <c r="AK29" s="2">
        <v>0</v>
      </c>
      <c r="AM29" s="1">
        <f t="shared" si="7"/>
        <v>5.1900306155190883</v>
      </c>
      <c r="AN29" s="1">
        <f t="shared" si="8"/>
        <v>0</v>
      </c>
      <c r="AO29" s="1" t="e">
        <f t="shared" si="9"/>
        <v>#DIV/0!</v>
      </c>
      <c r="AP29" s="1" t="e">
        <f t="shared" si="10"/>
        <v>#DIV/0!</v>
      </c>
      <c r="AQ29" s="1" t="e">
        <f t="shared" si="11"/>
        <v>#DIV/0!</v>
      </c>
      <c r="AS29" s="1">
        <f t="shared" si="12"/>
        <v>5.0746966018408859</v>
      </c>
      <c r="AT29" s="1">
        <f t="shared" si="13"/>
        <v>4.9209179169366175</v>
      </c>
      <c r="AU29" s="1" t="e">
        <f t="shared" si="14"/>
        <v>#DIV/0!</v>
      </c>
      <c r="AV29" s="1" t="e">
        <f t="shared" si="15"/>
        <v>#DIV/0!</v>
      </c>
      <c r="AW29" s="1" t="e">
        <f t="shared" si="16"/>
        <v>#DIV/0!</v>
      </c>
    </row>
    <row r="30" spans="2:49" x14ac:dyDescent="0.15">
      <c r="B30" s="2">
        <v>26</v>
      </c>
      <c r="C30" s="2">
        <v>12.5</v>
      </c>
      <c r="D30" s="2">
        <v>0</v>
      </c>
      <c r="E30" s="2">
        <v>0</v>
      </c>
      <c r="F30" s="2">
        <v>0</v>
      </c>
      <c r="G30" s="2">
        <v>0</v>
      </c>
      <c r="I30" s="2">
        <v>11.4</v>
      </c>
      <c r="J30" s="2">
        <v>5.8</v>
      </c>
      <c r="K30" s="2">
        <v>1.2000000000000002</v>
      </c>
      <c r="L30" s="2">
        <v>0</v>
      </c>
      <c r="M30" s="2">
        <v>0</v>
      </c>
      <c r="O30" s="3">
        <f t="shared" si="0"/>
        <v>23.9</v>
      </c>
      <c r="P30" s="3">
        <f t="shared" si="1"/>
        <v>5.8</v>
      </c>
      <c r="Q30" s="3">
        <f t="shared" si="2"/>
        <v>1.2000000000000002</v>
      </c>
      <c r="R30" s="3">
        <f t="shared" si="3"/>
        <v>0</v>
      </c>
      <c r="S30" s="3">
        <f t="shared" si="4"/>
        <v>0</v>
      </c>
      <c r="U30" s="1">
        <f t="shared" si="17"/>
        <v>0.52301255230125521</v>
      </c>
      <c r="V30" s="1">
        <f t="shared" si="18"/>
        <v>0</v>
      </c>
      <c r="W30" s="1">
        <f t="shared" si="19"/>
        <v>0</v>
      </c>
      <c r="X30" s="1" t="e">
        <f t="shared" si="20"/>
        <v>#DIV/0!</v>
      </c>
      <c r="Y30" s="1" t="e">
        <f t="shared" si="21"/>
        <v>#DIV/0!</v>
      </c>
      <c r="AA30" s="1">
        <f t="shared" si="22"/>
        <v>0.47698744769874479</v>
      </c>
      <c r="AB30" s="1">
        <f t="shared" si="23"/>
        <v>1</v>
      </c>
      <c r="AC30" s="1">
        <f t="shared" si="24"/>
        <v>1</v>
      </c>
      <c r="AD30" s="1" t="e">
        <f t="shared" si="25"/>
        <v>#DIV/0!</v>
      </c>
      <c r="AE30" s="1" t="e">
        <f t="shared" si="26"/>
        <v>#DIV/0!</v>
      </c>
      <c r="AG30" s="2">
        <v>3.0533028708908381</v>
      </c>
      <c r="AH30" s="2">
        <v>1.526651435445419</v>
      </c>
      <c r="AI30" s="2">
        <v>0</v>
      </c>
      <c r="AJ30" s="2">
        <v>0</v>
      </c>
      <c r="AK30" s="2">
        <v>0</v>
      </c>
      <c r="AM30" s="1">
        <f t="shared" si="7"/>
        <v>4.0939273071043143</v>
      </c>
      <c r="AN30" s="1">
        <f t="shared" si="8"/>
        <v>0</v>
      </c>
      <c r="AO30" s="1" t="e">
        <f t="shared" si="9"/>
        <v>#DIV/0!</v>
      </c>
      <c r="AP30" s="1" t="e">
        <f t="shared" si="10"/>
        <v>#DIV/0!</v>
      </c>
      <c r="AQ30" s="1" t="e">
        <f t="shared" si="11"/>
        <v>#DIV/0!</v>
      </c>
      <c r="AS30" s="1">
        <f t="shared" si="12"/>
        <v>3.7336617040791347</v>
      </c>
      <c r="AT30" s="1">
        <f t="shared" si="13"/>
        <v>3.7991645409928032</v>
      </c>
      <c r="AU30" s="1" t="e">
        <f t="shared" si="14"/>
        <v>#DIV/0!</v>
      </c>
      <c r="AV30" s="1" t="e">
        <f t="shared" si="15"/>
        <v>#DIV/0!</v>
      </c>
      <c r="AW30" s="1" t="e">
        <f t="shared" si="16"/>
        <v>#DIV/0!</v>
      </c>
    </row>
    <row r="31" spans="2:49" x14ac:dyDescent="0.15">
      <c r="B31" s="2">
        <v>27</v>
      </c>
      <c r="C31" s="2">
        <v>13.75</v>
      </c>
      <c r="D31" s="2">
        <v>0</v>
      </c>
      <c r="E31" s="2">
        <v>0</v>
      </c>
      <c r="F31" s="2">
        <v>0</v>
      </c>
      <c r="G31" s="2">
        <v>0</v>
      </c>
      <c r="I31" s="2">
        <v>11.8</v>
      </c>
      <c r="J31" s="2">
        <v>6.2666666666666666</v>
      </c>
      <c r="K31" s="2">
        <v>1.4000000000000001</v>
      </c>
      <c r="L31" s="2">
        <v>0</v>
      </c>
      <c r="M31" s="2">
        <v>0</v>
      </c>
      <c r="O31" s="3">
        <f t="shared" si="0"/>
        <v>25.55</v>
      </c>
      <c r="P31" s="3">
        <f t="shared" si="1"/>
        <v>6.2666666666666666</v>
      </c>
      <c r="Q31" s="3">
        <f t="shared" si="2"/>
        <v>1.4000000000000001</v>
      </c>
      <c r="R31" s="3">
        <f t="shared" si="3"/>
        <v>0</v>
      </c>
      <c r="S31" s="3">
        <f t="shared" si="4"/>
        <v>0</v>
      </c>
      <c r="U31" s="1">
        <f t="shared" si="17"/>
        <v>0.53816046966731901</v>
      </c>
      <c r="V31" s="1">
        <f t="shared" si="18"/>
        <v>0</v>
      </c>
      <c r="W31" s="1">
        <f t="shared" si="19"/>
        <v>0</v>
      </c>
      <c r="X31" s="1" t="e">
        <f t="shared" si="20"/>
        <v>#DIV/0!</v>
      </c>
      <c r="Y31" s="1" t="e">
        <f t="shared" si="21"/>
        <v>#DIV/0!</v>
      </c>
      <c r="AA31" s="1">
        <f t="shared" si="22"/>
        <v>0.46183953033268105</v>
      </c>
      <c r="AB31" s="1">
        <f t="shared" si="23"/>
        <v>1</v>
      </c>
      <c r="AC31" s="1">
        <f t="shared" si="24"/>
        <v>1</v>
      </c>
      <c r="AD31" s="1" t="e">
        <f t="shared" si="25"/>
        <v>#DIV/0!</v>
      </c>
      <c r="AE31" s="1" t="e">
        <f t="shared" si="26"/>
        <v>#DIV/0!</v>
      </c>
      <c r="AG31" s="2">
        <v>4.06818228308261</v>
      </c>
      <c r="AH31" s="2">
        <v>2.034091141541305</v>
      </c>
      <c r="AI31" s="2">
        <v>0</v>
      </c>
      <c r="AJ31" s="2">
        <v>0</v>
      </c>
      <c r="AK31" s="2">
        <v>0</v>
      </c>
      <c r="AM31" s="1">
        <f t="shared" si="7"/>
        <v>3.3798878819119982</v>
      </c>
      <c r="AN31" s="1">
        <f t="shared" si="8"/>
        <v>0</v>
      </c>
      <c r="AO31" s="1" t="e">
        <f t="shared" si="9"/>
        <v>#DIV/0!</v>
      </c>
      <c r="AP31" s="1" t="e">
        <f t="shared" si="10"/>
        <v>#DIV/0!</v>
      </c>
      <c r="AQ31" s="1" t="e">
        <f t="shared" si="11"/>
        <v>#DIV/0!</v>
      </c>
      <c r="AS31" s="1">
        <f t="shared" si="12"/>
        <v>2.9005583277499332</v>
      </c>
      <c r="AT31" s="1">
        <f t="shared" si="13"/>
        <v>3.0808190147852397</v>
      </c>
      <c r="AU31" s="1" t="e">
        <f t="shared" si="14"/>
        <v>#DIV/0!</v>
      </c>
      <c r="AV31" s="1" t="e">
        <f t="shared" si="15"/>
        <v>#DIV/0!</v>
      </c>
      <c r="AW31" s="1" t="e">
        <f t="shared" si="16"/>
        <v>#DIV/0!</v>
      </c>
    </row>
    <row r="32" spans="2:49" x14ac:dyDescent="0.15">
      <c r="B32" s="2">
        <v>28</v>
      </c>
      <c r="C32" s="2">
        <v>15</v>
      </c>
      <c r="D32" s="2">
        <v>0</v>
      </c>
      <c r="E32" s="2">
        <v>0</v>
      </c>
      <c r="F32" s="2">
        <v>0</v>
      </c>
      <c r="G32" s="2">
        <v>0</v>
      </c>
      <c r="I32" s="2">
        <v>12.2</v>
      </c>
      <c r="J32" s="2">
        <v>6.7333333333333334</v>
      </c>
      <c r="K32" s="2">
        <v>1.6</v>
      </c>
      <c r="L32" s="2">
        <v>0</v>
      </c>
      <c r="M32" s="2">
        <v>0</v>
      </c>
      <c r="O32" s="3">
        <f t="shared" si="0"/>
        <v>27.2</v>
      </c>
      <c r="P32" s="3">
        <f t="shared" si="1"/>
        <v>6.7333333333333334</v>
      </c>
      <c r="Q32" s="3">
        <f t="shared" si="2"/>
        <v>1.6</v>
      </c>
      <c r="R32" s="3">
        <f t="shared" si="3"/>
        <v>0</v>
      </c>
      <c r="S32" s="3">
        <f t="shared" si="4"/>
        <v>0</v>
      </c>
      <c r="U32" s="1">
        <f t="shared" si="17"/>
        <v>0.55147058823529416</v>
      </c>
      <c r="V32" s="1">
        <f t="shared" si="18"/>
        <v>0</v>
      </c>
      <c r="W32" s="1">
        <f t="shared" si="19"/>
        <v>0</v>
      </c>
      <c r="X32" s="1" t="e">
        <f t="shared" si="20"/>
        <v>#DIV/0!</v>
      </c>
      <c r="Y32" s="1" t="e">
        <f t="shared" si="21"/>
        <v>#DIV/0!</v>
      </c>
      <c r="AA32" s="1">
        <f t="shared" si="22"/>
        <v>0.44852941176470584</v>
      </c>
      <c r="AB32" s="1">
        <f t="shared" si="23"/>
        <v>1</v>
      </c>
      <c r="AC32" s="1">
        <f t="shared" si="24"/>
        <v>1</v>
      </c>
      <c r="AD32" s="1" t="e">
        <f t="shared" si="25"/>
        <v>#DIV/0!</v>
      </c>
      <c r="AE32" s="1" t="e">
        <f t="shared" si="26"/>
        <v>#DIV/0!</v>
      </c>
      <c r="AG32" s="2">
        <v>5.2241531862379853</v>
      </c>
      <c r="AH32" s="2">
        <v>2.6120765931189927</v>
      </c>
      <c r="AI32" s="2">
        <v>0</v>
      </c>
      <c r="AJ32" s="2">
        <v>0</v>
      </c>
      <c r="AK32" s="2">
        <v>0</v>
      </c>
      <c r="AM32" s="1">
        <f t="shared" si="7"/>
        <v>2.8712787441828045</v>
      </c>
      <c r="AN32" s="1">
        <f t="shared" si="8"/>
        <v>0</v>
      </c>
      <c r="AO32" s="1" t="e">
        <f t="shared" si="9"/>
        <v>#DIV/0!</v>
      </c>
      <c r="AP32" s="1" t="e">
        <f t="shared" si="10"/>
        <v>#DIV/0!</v>
      </c>
      <c r="AQ32" s="1" t="e">
        <f t="shared" si="11"/>
        <v>#DIV/0!</v>
      </c>
      <c r="AS32" s="1">
        <f t="shared" si="12"/>
        <v>2.3353067119353477</v>
      </c>
      <c r="AT32" s="1">
        <f t="shared" si="13"/>
        <v>2.5777702503330069</v>
      </c>
      <c r="AU32" s="1" t="e">
        <f t="shared" si="14"/>
        <v>#DIV/0!</v>
      </c>
      <c r="AV32" s="1" t="e">
        <f t="shared" si="15"/>
        <v>#DIV/0!</v>
      </c>
      <c r="AW32" s="1" t="e">
        <f t="shared" si="16"/>
        <v>#DIV/0!</v>
      </c>
    </row>
    <row r="33" spans="2:49" x14ac:dyDescent="0.15">
      <c r="B33" s="2">
        <v>29</v>
      </c>
      <c r="C33" s="2">
        <v>17.727272727272727</v>
      </c>
      <c r="D33" s="2">
        <v>0</v>
      </c>
      <c r="E33" s="2">
        <v>0</v>
      </c>
      <c r="F33" s="2">
        <v>0</v>
      </c>
      <c r="G33" s="2">
        <v>0</v>
      </c>
      <c r="I33" s="2">
        <v>12.6</v>
      </c>
      <c r="J33" s="2">
        <v>7.2</v>
      </c>
      <c r="K33" s="2">
        <v>1.8</v>
      </c>
      <c r="L33" s="2">
        <v>0</v>
      </c>
      <c r="M33" s="2">
        <v>0</v>
      </c>
      <c r="O33" s="3">
        <f t="shared" si="0"/>
        <v>30.327272727272728</v>
      </c>
      <c r="P33" s="3">
        <f t="shared" si="1"/>
        <v>7.2</v>
      </c>
      <c r="Q33" s="3">
        <f t="shared" si="2"/>
        <v>1.8</v>
      </c>
      <c r="R33" s="3">
        <f t="shared" si="3"/>
        <v>0</v>
      </c>
      <c r="S33" s="3">
        <f t="shared" si="4"/>
        <v>0</v>
      </c>
      <c r="U33" s="1">
        <f t="shared" si="17"/>
        <v>0.58453237410071934</v>
      </c>
      <c r="V33" s="1">
        <f t="shared" si="18"/>
        <v>0</v>
      </c>
      <c r="W33" s="1">
        <f t="shared" si="19"/>
        <v>0</v>
      </c>
      <c r="X33" s="1" t="e">
        <f t="shared" si="20"/>
        <v>#DIV/0!</v>
      </c>
      <c r="Y33" s="1" t="e">
        <f t="shared" si="21"/>
        <v>#DIV/0!</v>
      </c>
      <c r="AA33" s="1">
        <f t="shared" si="22"/>
        <v>0.41546762589928055</v>
      </c>
      <c r="AB33" s="1">
        <f t="shared" si="23"/>
        <v>1</v>
      </c>
      <c r="AC33" s="1">
        <f t="shared" si="24"/>
        <v>1</v>
      </c>
      <c r="AD33" s="1" t="e">
        <f t="shared" si="25"/>
        <v>#DIV/0!</v>
      </c>
      <c r="AE33" s="1" t="e">
        <f t="shared" si="26"/>
        <v>#DIV/0!</v>
      </c>
      <c r="AG33" s="2">
        <v>6.5342792354815336</v>
      </c>
      <c r="AH33" s="2">
        <v>3.2671396177407668</v>
      </c>
      <c r="AI33" s="2">
        <v>0</v>
      </c>
      <c r="AJ33" s="2">
        <v>0</v>
      </c>
      <c r="AK33" s="2">
        <v>0</v>
      </c>
      <c r="AM33" s="1">
        <f t="shared" si="7"/>
        <v>2.7129652848339503</v>
      </c>
      <c r="AN33" s="1">
        <f t="shared" si="8"/>
        <v>0</v>
      </c>
      <c r="AO33" s="1" t="e">
        <f t="shared" si="9"/>
        <v>#DIV/0!</v>
      </c>
      <c r="AP33" s="1" t="e">
        <f t="shared" si="10"/>
        <v>#DIV/0!</v>
      </c>
      <c r="AQ33" s="1" t="e">
        <f t="shared" si="11"/>
        <v>#DIV/0!</v>
      </c>
      <c r="AS33" s="1">
        <f t="shared" si="12"/>
        <v>1.928292248605054</v>
      </c>
      <c r="AT33" s="1">
        <f t="shared" si="13"/>
        <v>2.2037625698343475</v>
      </c>
      <c r="AU33" s="1" t="e">
        <f t="shared" si="14"/>
        <v>#DIV/0!</v>
      </c>
      <c r="AV33" s="1" t="e">
        <f t="shared" si="15"/>
        <v>#DIV/0!</v>
      </c>
      <c r="AW33" s="1" t="e">
        <f t="shared" si="16"/>
        <v>#DIV/0!</v>
      </c>
    </row>
    <row r="34" spans="2:49" x14ac:dyDescent="0.15">
      <c r="B34" s="2">
        <v>30</v>
      </c>
      <c r="C34" s="2">
        <v>20.454545454545453</v>
      </c>
      <c r="D34" s="2">
        <v>0</v>
      </c>
      <c r="E34" s="2">
        <v>0</v>
      </c>
      <c r="F34" s="2">
        <v>0</v>
      </c>
      <c r="G34" s="2">
        <v>0</v>
      </c>
      <c r="I34" s="2">
        <v>13</v>
      </c>
      <c r="J34" s="2">
        <v>7.666666666666667</v>
      </c>
      <c r="K34" s="2">
        <v>2</v>
      </c>
      <c r="L34" s="2">
        <v>0</v>
      </c>
      <c r="M34" s="2">
        <v>0</v>
      </c>
      <c r="O34" s="3">
        <f t="shared" si="0"/>
        <v>33.454545454545453</v>
      </c>
      <c r="P34" s="3">
        <f t="shared" si="1"/>
        <v>7.666666666666667</v>
      </c>
      <c r="Q34" s="3">
        <f t="shared" si="2"/>
        <v>2</v>
      </c>
      <c r="R34" s="3">
        <f t="shared" si="3"/>
        <v>0</v>
      </c>
      <c r="S34" s="3">
        <f t="shared" si="4"/>
        <v>0</v>
      </c>
      <c r="U34" s="1">
        <f t="shared" si="17"/>
        <v>0.61141304347826086</v>
      </c>
      <c r="V34" s="1">
        <f t="shared" si="18"/>
        <v>0</v>
      </c>
      <c r="W34" s="1">
        <f t="shared" si="19"/>
        <v>0</v>
      </c>
      <c r="X34" s="1" t="e">
        <f t="shared" si="20"/>
        <v>#DIV/0!</v>
      </c>
      <c r="Y34" s="1" t="e">
        <f t="shared" si="21"/>
        <v>#DIV/0!</v>
      </c>
      <c r="AA34" s="1">
        <f t="shared" si="22"/>
        <v>0.38858695652173914</v>
      </c>
      <c r="AB34" s="1">
        <f t="shared" si="23"/>
        <v>1</v>
      </c>
      <c r="AC34" s="1">
        <f t="shared" si="24"/>
        <v>1</v>
      </c>
      <c r="AD34" s="1" t="e">
        <f t="shared" si="25"/>
        <v>#DIV/0!</v>
      </c>
      <c r="AE34" s="1" t="e">
        <f t="shared" si="26"/>
        <v>#DIV/0!</v>
      </c>
      <c r="AG34" s="2">
        <v>8.012896144850707</v>
      </c>
      <c r="AH34" s="2">
        <v>4.0064480724253535</v>
      </c>
      <c r="AI34" s="2">
        <v>0</v>
      </c>
      <c r="AJ34" s="2">
        <v>0</v>
      </c>
      <c r="AK34" s="2">
        <v>0</v>
      </c>
      <c r="AM34" s="1">
        <f t="shared" si="7"/>
        <v>2.5527031780750171</v>
      </c>
      <c r="AN34" s="1">
        <f t="shared" si="8"/>
        <v>0</v>
      </c>
      <c r="AO34" s="1" t="e">
        <f t="shared" si="9"/>
        <v>#DIV/0!</v>
      </c>
      <c r="AP34" s="1" t="e">
        <f t="shared" si="10"/>
        <v>#DIV/0!</v>
      </c>
      <c r="AQ34" s="1" t="e">
        <f t="shared" si="11"/>
        <v>#DIV/0!</v>
      </c>
      <c r="AS34" s="1">
        <f t="shared" si="12"/>
        <v>1.6223846865098999</v>
      </c>
      <c r="AT34" s="1">
        <f t="shared" si="13"/>
        <v>1.9135819379347538</v>
      </c>
      <c r="AU34" s="1" t="e">
        <f t="shared" si="14"/>
        <v>#DIV/0!</v>
      </c>
      <c r="AV34" s="1" t="e">
        <f t="shared" si="15"/>
        <v>#DIV/0!</v>
      </c>
      <c r="AW34" s="1" t="e">
        <f t="shared" si="16"/>
        <v>#DIV/0!</v>
      </c>
    </row>
    <row r="35" spans="2:49" x14ac:dyDescent="0.15">
      <c r="B35" s="2">
        <v>31</v>
      </c>
      <c r="C35" s="2">
        <v>23.18181818181818</v>
      </c>
      <c r="D35" s="2">
        <v>0</v>
      </c>
      <c r="E35" s="2">
        <v>0</v>
      </c>
      <c r="F35" s="2">
        <v>0</v>
      </c>
      <c r="G35" s="2">
        <v>0</v>
      </c>
      <c r="I35" s="2">
        <v>13.4</v>
      </c>
      <c r="J35" s="2">
        <v>8.1333333333333329</v>
      </c>
      <c r="K35" s="2">
        <v>2.2000000000000002</v>
      </c>
      <c r="L35" s="2">
        <v>0</v>
      </c>
      <c r="M35" s="2">
        <v>0</v>
      </c>
      <c r="O35" s="3">
        <f t="shared" si="0"/>
        <v>36.581818181818178</v>
      </c>
      <c r="P35" s="3">
        <f t="shared" si="1"/>
        <v>8.1333333333333329</v>
      </c>
      <c r="Q35" s="3">
        <f t="shared" si="2"/>
        <v>2.2000000000000002</v>
      </c>
      <c r="R35" s="3">
        <f t="shared" si="3"/>
        <v>0</v>
      </c>
      <c r="S35" s="3">
        <f t="shared" si="4"/>
        <v>0</v>
      </c>
      <c r="U35" s="1">
        <f t="shared" si="17"/>
        <v>0.63369781312127238</v>
      </c>
      <c r="V35" s="1">
        <f t="shared" si="18"/>
        <v>0</v>
      </c>
      <c r="W35" s="1">
        <f t="shared" si="19"/>
        <v>0</v>
      </c>
      <c r="X35" s="1" t="e">
        <f t="shared" si="20"/>
        <v>#DIV/0!</v>
      </c>
      <c r="Y35" s="1" t="e">
        <f t="shared" si="21"/>
        <v>#DIV/0!</v>
      </c>
      <c r="AA35" s="1">
        <f t="shared" si="22"/>
        <v>0.36630218687872768</v>
      </c>
      <c r="AB35" s="1">
        <f t="shared" si="23"/>
        <v>1</v>
      </c>
      <c r="AC35" s="1">
        <f t="shared" si="24"/>
        <v>1</v>
      </c>
      <c r="AD35" s="1" t="e">
        <f t="shared" si="25"/>
        <v>#DIV/0!</v>
      </c>
      <c r="AE35" s="1" t="e">
        <f t="shared" si="26"/>
        <v>#DIV/0!</v>
      </c>
      <c r="AG35" s="2">
        <v>9.6757269909373598</v>
      </c>
      <c r="AH35" s="2">
        <v>4.8378634954686799</v>
      </c>
      <c r="AI35" s="2">
        <v>0</v>
      </c>
      <c r="AJ35" s="2">
        <v>0</v>
      </c>
      <c r="AK35" s="2">
        <v>0</v>
      </c>
      <c r="AM35" s="1">
        <f t="shared" si="7"/>
        <v>2.3958735300749101</v>
      </c>
      <c r="AN35" s="1">
        <f t="shared" si="8"/>
        <v>0</v>
      </c>
      <c r="AO35" s="1" t="e">
        <f t="shared" si="9"/>
        <v>#DIV/0!</v>
      </c>
      <c r="AP35" s="1" t="e">
        <f t="shared" si="10"/>
        <v>#DIV/0!</v>
      </c>
      <c r="AQ35" s="1" t="e">
        <f t="shared" si="11"/>
        <v>#DIV/0!</v>
      </c>
      <c r="AS35" s="1">
        <f t="shared" si="12"/>
        <v>1.384908856208007</v>
      </c>
      <c r="AT35" s="1">
        <f t="shared" si="13"/>
        <v>1.6811828901231527</v>
      </c>
      <c r="AU35" s="1" t="e">
        <f t="shared" si="14"/>
        <v>#DIV/0!</v>
      </c>
      <c r="AV35" s="1" t="e">
        <f t="shared" si="15"/>
        <v>#DIV/0!</v>
      </c>
      <c r="AW35" s="1" t="e">
        <f t="shared" si="16"/>
        <v>#DIV/0!</v>
      </c>
    </row>
    <row r="36" spans="2:49" x14ac:dyDescent="0.15">
      <c r="B36" s="2">
        <v>32</v>
      </c>
      <c r="C36" s="2">
        <v>25.909090909090907</v>
      </c>
      <c r="D36" s="2">
        <v>0</v>
      </c>
      <c r="E36" s="2">
        <v>0</v>
      </c>
      <c r="F36" s="2">
        <v>0</v>
      </c>
      <c r="G36" s="2">
        <v>0</v>
      </c>
      <c r="I36" s="2">
        <v>13.8</v>
      </c>
      <c r="J36" s="2">
        <v>8.6</v>
      </c>
      <c r="K36" s="2">
        <v>2.4000000000000004</v>
      </c>
      <c r="L36" s="2">
        <v>0</v>
      </c>
      <c r="M36" s="2">
        <v>0</v>
      </c>
      <c r="O36" s="3">
        <f t="shared" si="0"/>
        <v>39.709090909090904</v>
      </c>
      <c r="P36" s="3">
        <f t="shared" si="1"/>
        <v>8.6</v>
      </c>
      <c r="Q36" s="3">
        <f t="shared" si="2"/>
        <v>2.4000000000000004</v>
      </c>
      <c r="R36" s="3">
        <f t="shared" si="3"/>
        <v>0</v>
      </c>
      <c r="S36" s="3">
        <f t="shared" si="4"/>
        <v>0</v>
      </c>
      <c r="U36" s="1">
        <f t="shared" si="17"/>
        <v>0.65247252747252749</v>
      </c>
      <c r="V36" s="1">
        <f t="shared" si="18"/>
        <v>0</v>
      </c>
      <c r="W36" s="1">
        <f t="shared" si="19"/>
        <v>0</v>
      </c>
      <c r="X36" s="1" t="e">
        <f t="shared" si="20"/>
        <v>#DIV/0!</v>
      </c>
      <c r="Y36" s="1" t="e">
        <f t="shared" si="21"/>
        <v>#DIV/0!</v>
      </c>
      <c r="AA36" s="1">
        <f t="shared" si="22"/>
        <v>0.34752747252747257</v>
      </c>
      <c r="AB36" s="1">
        <f t="shared" si="23"/>
        <v>1</v>
      </c>
      <c r="AC36" s="1">
        <f t="shared" si="24"/>
        <v>1</v>
      </c>
      <c r="AD36" s="1" t="e">
        <f t="shared" si="25"/>
        <v>#DIV/0!</v>
      </c>
      <c r="AE36" s="1" t="e">
        <f t="shared" si="26"/>
        <v>#DIV/0!</v>
      </c>
      <c r="AG36" s="2">
        <v>11.540007515090156</v>
      </c>
      <c r="AH36" s="2">
        <v>5.7700037575450782</v>
      </c>
      <c r="AI36" s="2">
        <v>0</v>
      </c>
      <c r="AJ36" s="2">
        <v>0</v>
      </c>
      <c r="AK36" s="2">
        <v>0</v>
      </c>
      <c r="AM36" s="1">
        <f t="shared" si="7"/>
        <v>2.2451537293378001</v>
      </c>
      <c r="AN36" s="1">
        <f t="shared" si="8"/>
        <v>0</v>
      </c>
      <c r="AO36" s="1" t="e">
        <f t="shared" si="9"/>
        <v>#DIV/0!</v>
      </c>
      <c r="AP36" s="1" t="e">
        <f t="shared" si="10"/>
        <v>#DIV/0!</v>
      </c>
      <c r="AQ36" s="1" t="e">
        <f t="shared" si="11"/>
        <v>#DIV/0!</v>
      </c>
      <c r="AS36" s="1">
        <f t="shared" si="12"/>
        <v>1.1958397758367654</v>
      </c>
      <c r="AT36" s="1">
        <f t="shared" si="13"/>
        <v>1.4904669669849537</v>
      </c>
      <c r="AU36" s="1" t="e">
        <f t="shared" si="14"/>
        <v>#DIV/0!</v>
      </c>
      <c r="AV36" s="1" t="e">
        <f t="shared" si="15"/>
        <v>#DIV/0!</v>
      </c>
      <c r="AW36" s="1" t="e">
        <f t="shared" si="16"/>
        <v>#DIV/0!</v>
      </c>
    </row>
    <row r="37" spans="2:49" x14ac:dyDescent="0.15">
      <c r="B37" s="2">
        <v>33</v>
      </c>
      <c r="C37" s="2">
        <v>28.636363636363633</v>
      </c>
      <c r="D37" s="2">
        <v>0</v>
      </c>
      <c r="E37" s="2">
        <v>0</v>
      </c>
      <c r="F37" s="2">
        <v>0</v>
      </c>
      <c r="G37" s="2">
        <v>0</v>
      </c>
      <c r="I37" s="2">
        <v>14.2</v>
      </c>
      <c r="J37" s="2">
        <v>9.0666666666666664</v>
      </c>
      <c r="K37" s="2">
        <v>2.6</v>
      </c>
      <c r="L37" s="2">
        <v>0</v>
      </c>
      <c r="M37" s="2">
        <v>0</v>
      </c>
      <c r="O37" s="3">
        <f t="shared" ref="O37:O68" si="27">C37+I37</f>
        <v>42.836363636363629</v>
      </c>
      <c r="P37" s="3">
        <f t="shared" ref="P37:P68" si="28">D37+J37</f>
        <v>9.0666666666666664</v>
      </c>
      <c r="Q37" s="3">
        <f t="shared" ref="Q37:Q68" si="29">E37+K37</f>
        <v>2.6</v>
      </c>
      <c r="R37" s="3">
        <f t="shared" ref="R37:R68" si="30">F37+L37</f>
        <v>0</v>
      </c>
      <c r="S37" s="3">
        <f t="shared" ref="S37:S68" si="31">G37+M37</f>
        <v>0</v>
      </c>
      <c r="U37" s="1">
        <f t="shared" si="17"/>
        <v>0.66850594227504245</v>
      </c>
      <c r="V37" s="1">
        <f t="shared" si="18"/>
        <v>0</v>
      </c>
      <c r="W37" s="1">
        <f t="shared" si="19"/>
        <v>0</v>
      </c>
      <c r="X37" s="1" t="e">
        <f t="shared" si="20"/>
        <v>#DIV/0!</v>
      </c>
      <c r="Y37" s="1" t="e">
        <f t="shared" si="21"/>
        <v>#DIV/0!</v>
      </c>
      <c r="AA37" s="1">
        <f t="shared" si="22"/>
        <v>0.3314940577249576</v>
      </c>
      <c r="AB37" s="1">
        <f t="shared" si="23"/>
        <v>1</v>
      </c>
      <c r="AC37" s="1">
        <f t="shared" si="24"/>
        <v>1</v>
      </c>
      <c r="AD37" s="1" t="e">
        <f t="shared" si="25"/>
        <v>#DIV/0!</v>
      </c>
      <c r="AE37" s="1" t="e">
        <f t="shared" si="26"/>
        <v>#DIV/0!</v>
      </c>
      <c r="AG37" s="2">
        <v>13.624622265461767</v>
      </c>
      <c r="AH37" s="2">
        <v>6.8123111327308834</v>
      </c>
      <c r="AI37" s="2">
        <v>0</v>
      </c>
      <c r="AJ37" s="2">
        <v>0</v>
      </c>
      <c r="AK37" s="2">
        <v>0</v>
      </c>
      <c r="AM37" s="1">
        <f t="shared" ref="AM37:AM68" si="32">C37/AG37</f>
        <v>2.1018097293571527</v>
      </c>
      <c r="AN37" s="1">
        <f t="shared" ref="AN37:AN68" si="33">D37/AH37</f>
        <v>0</v>
      </c>
      <c r="AO37" s="1" t="e">
        <f t="shared" ref="AO37:AO68" si="34">E37/AI37</f>
        <v>#DIV/0!</v>
      </c>
      <c r="AP37" s="1" t="e">
        <f t="shared" ref="AP37:AP68" si="35">F37/AJ37</f>
        <v>#DIV/0!</v>
      </c>
      <c r="AQ37" s="1" t="e">
        <f t="shared" ref="AQ37:AQ68" si="36">G37/AK37</f>
        <v>#DIV/0!</v>
      </c>
      <c r="AS37" s="1">
        <f t="shared" ref="AS37:AS68" si="37">I37/AG37</f>
        <v>1.0422307292875788</v>
      </c>
      <c r="AT37" s="1">
        <f t="shared" ref="AT37:AT68" si="38">J37/AH37</f>
        <v>1.3309237481982226</v>
      </c>
      <c r="AU37" s="1" t="e">
        <f t="shared" ref="AU37:AU68" si="39">K37/AI37</f>
        <v>#DIV/0!</v>
      </c>
      <c r="AV37" s="1" t="e">
        <f t="shared" ref="AV37:AV68" si="40">L37/AJ37</f>
        <v>#DIV/0!</v>
      </c>
      <c r="AW37" s="1" t="e">
        <f t="shared" ref="AW37:AW68" si="41">M37/AK37</f>
        <v>#DIV/0!</v>
      </c>
    </row>
    <row r="38" spans="2:49" x14ac:dyDescent="0.15">
      <c r="B38" s="2">
        <v>34</v>
      </c>
      <c r="C38" s="2">
        <v>31.363636363636363</v>
      </c>
      <c r="D38" s="2">
        <v>0</v>
      </c>
      <c r="E38" s="2">
        <v>0</v>
      </c>
      <c r="F38" s="2">
        <v>0</v>
      </c>
      <c r="G38" s="2">
        <v>0</v>
      </c>
      <c r="I38" s="2">
        <v>14.600000000000001</v>
      </c>
      <c r="J38" s="2">
        <v>9.5333333333333332</v>
      </c>
      <c r="K38" s="2">
        <v>2.8000000000000003</v>
      </c>
      <c r="L38" s="2">
        <v>0</v>
      </c>
      <c r="M38" s="2">
        <v>0</v>
      </c>
      <c r="O38" s="3">
        <f t="shared" si="27"/>
        <v>45.963636363636368</v>
      </c>
      <c r="P38" s="3">
        <f t="shared" si="28"/>
        <v>9.5333333333333332</v>
      </c>
      <c r="Q38" s="3">
        <f t="shared" si="29"/>
        <v>2.8000000000000003</v>
      </c>
      <c r="R38" s="3">
        <f t="shared" si="30"/>
        <v>0</v>
      </c>
      <c r="S38" s="3">
        <f t="shared" si="31"/>
        <v>0</v>
      </c>
      <c r="U38" s="1">
        <f t="shared" si="17"/>
        <v>0.68235759493670878</v>
      </c>
      <c r="V38" s="1">
        <f t="shared" si="18"/>
        <v>0</v>
      </c>
      <c r="W38" s="1">
        <f t="shared" si="19"/>
        <v>0</v>
      </c>
      <c r="X38" s="1" t="e">
        <f t="shared" si="20"/>
        <v>#DIV/0!</v>
      </c>
      <c r="Y38" s="1" t="e">
        <f t="shared" si="21"/>
        <v>#DIV/0!</v>
      </c>
      <c r="AA38" s="1">
        <f t="shared" si="22"/>
        <v>0.31764240506329111</v>
      </c>
      <c r="AB38" s="1">
        <f t="shared" si="23"/>
        <v>1</v>
      </c>
      <c r="AC38" s="1">
        <f t="shared" si="24"/>
        <v>1</v>
      </c>
      <c r="AD38" s="1" t="e">
        <f t="shared" si="25"/>
        <v>#DIV/0!</v>
      </c>
      <c r="AE38" s="1" t="e">
        <f t="shared" si="26"/>
        <v>#DIV/0!</v>
      </c>
      <c r="AG38" s="2">
        <v>15.950252489441899</v>
      </c>
      <c r="AH38" s="2">
        <v>7.9751262447209497</v>
      </c>
      <c r="AI38" s="2">
        <v>0</v>
      </c>
      <c r="AJ38" s="2">
        <v>0</v>
      </c>
      <c r="AK38" s="2">
        <v>0</v>
      </c>
      <c r="AM38" s="1">
        <f t="shared" si="32"/>
        <v>1.9663410585128474</v>
      </c>
      <c r="AN38" s="1">
        <f t="shared" si="33"/>
        <v>0</v>
      </c>
      <c r="AO38" s="1" t="e">
        <f t="shared" si="34"/>
        <v>#DIV/0!</v>
      </c>
      <c r="AP38" s="1" t="e">
        <f t="shared" si="35"/>
        <v>#DIV/0!</v>
      </c>
      <c r="AQ38" s="1" t="e">
        <f t="shared" si="36"/>
        <v>#DIV/0!</v>
      </c>
      <c r="AS38" s="1">
        <f t="shared" si="37"/>
        <v>0.91534601158598061</v>
      </c>
      <c r="AT38" s="1">
        <f t="shared" si="38"/>
        <v>1.1953833758611436</v>
      </c>
      <c r="AU38" s="1" t="e">
        <f t="shared" si="39"/>
        <v>#DIV/0!</v>
      </c>
      <c r="AV38" s="1" t="e">
        <f t="shared" si="40"/>
        <v>#DIV/0!</v>
      </c>
      <c r="AW38" s="1" t="e">
        <f t="shared" si="41"/>
        <v>#DIV/0!</v>
      </c>
    </row>
    <row r="39" spans="2:49" x14ac:dyDescent="0.15">
      <c r="B39" s="2">
        <v>35</v>
      </c>
      <c r="C39" s="2">
        <v>34.090909090909093</v>
      </c>
      <c r="D39" s="2">
        <v>0</v>
      </c>
      <c r="E39" s="2">
        <v>0</v>
      </c>
      <c r="F39" s="2">
        <v>0</v>
      </c>
      <c r="G39" s="2">
        <v>0</v>
      </c>
      <c r="I39" s="2">
        <v>15</v>
      </c>
      <c r="J39" s="2">
        <v>30</v>
      </c>
      <c r="K39" s="2">
        <v>15</v>
      </c>
      <c r="L39" s="2">
        <v>0</v>
      </c>
      <c r="M39" s="2">
        <v>0</v>
      </c>
      <c r="O39" s="3">
        <f t="shared" si="27"/>
        <v>49.090909090909093</v>
      </c>
      <c r="P39" s="3">
        <f t="shared" si="28"/>
        <v>30</v>
      </c>
      <c r="Q39" s="3">
        <f t="shared" si="29"/>
        <v>15</v>
      </c>
      <c r="R39" s="3">
        <f t="shared" si="30"/>
        <v>0</v>
      </c>
      <c r="S39" s="3">
        <f t="shared" si="31"/>
        <v>0</v>
      </c>
      <c r="U39" s="1">
        <f t="shared" si="17"/>
        <v>0.69444444444444442</v>
      </c>
      <c r="V39" s="1">
        <f t="shared" si="18"/>
        <v>0</v>
      </c>
      <c r="W39" s="1">
        <f t="shared" si="19"/>
        <v>0</v>
      </c>
      <c r="X39" s="1" t="e">
        <f t="shared" si="20"/>
        <v>#DIV/0!</v>
      </c>
      <c r="Y39" s="1" t="e">
        <f t="shared" si="21"/>
        <v>#DIV/0!</v>
      </c>
      <c r="AA39" s="1">
        <f t="shared" si="22"/>
        <v>0.30555555555555552</v>
      </c>
      <c r="AB39" s="1">
        <f t="shared" si="23"/>
        <v>1</v>
      </c>
      <c r="AC39" s="1">
        <f t="shared" si="24"/>
        <v>1</v>
      </c>
      <c r="AD39" s="1" t="e">
        <f t="shared" si="25"/>
        <v>#DIV/0!</v>
      </c>
      <c r="AE39" s="1" t="e">
        <f t="shared" si="26"/>
        <v>#DIV/0!</v>
      </c>
      <c r="AG39" s="2">
        <v>18.539536761881568</v>
      </c>
      <c r="AH39" s="2">
        <v>9.2697683809407838</v>
      </c>
      <c r="AI39" s="2">
        <v>0</v>
      </c>
      <c r="AJ39" s="2">
        <v>0</v>
      </c>
      <c r="AK39" s="2">
        <v>0</v>
      </c>
      <c r="AM39" s="1">
        <f t="shared" si="32"/>
        <v>1.838822055198386</v>
      </c>
      <c r="AN39" s="1">
        <f t="shared" si="33"/>
        <v>0</v>
      </c>
      <c r="AO39" s="1" t="e">
        <f t="shared" si="34"/>
        <v>#DIV/0!</v>
      </c>
      <c r="AP39" s="1" t="e">
        <f t="shared" si="35"/>
        <v>#DIV/0!</v>
      </c>
      <c r="AQ39" s="1" t="e">
        <f t="shared" si="36"/>
        <v>#DIV/0!</v>
      </c>
      <c r="AS39" s="1">
        <f t="shared" si="37"/>
        <v>0.80908170428728976</v>
      </c>
      <c r="AT39" s="1">
        <f t="shared" si="38"/>
        <v>3.236326817149159</v>
      </c>
      <c r="AU39" s="1" t="e">
        <f t="shared" si="39"/>
        <v>#DIV/0!</v>
      </c>
      <c r="AV39" s="1" t="e">
        <f t="shared" si="40"/>
        <v>#DIV/0!</v>
      </c>
      <c r="AW39" s="1" t="e">
        <f t="shared" si="41"/>
        <v>#DIV/0!</v>
      </c>
    </row>
    <row r="40" spans="2:49" x14ac:dyDescent="0.15">
      <c r="B40" s="2">
        <v>36</v>
      </c>
      <c r="C40" s="2">
        <v>36.818181818181813</v>
      </c>
      <c r="D40" s="2">
        <v>0</v>
      </c>
      <c r="E40" s="2">
        <v>0</v>
      </c>
      <c r="F40" s="2">
        <v>0</v>
      </c>
      <c r="G40" s="2">
        <v>0</v>
      </c>
      <c r="I40" s="2">
        <v>15.15</v>
      </c>
      <c r="J40" s="2">
        <v>30.3</v>
      </c>
      <c r="K40" s="2">
        <v>15.65</v>
      </c>
      <c r="L40" s="2">
        <v>0.25</v>
      </c>
      <c r="M40" s="2">
        <v>0</v>
      </c>
      <c r="O40" s="3">
        <f t="shared" si="27"/>
        <v>51.968181818181812</v>
      </c>
      <c r="P40" s="3">
        <f t="shared" si="28"/>
        <v>30.3</v>
      </c>
      <c r="Q40" s="3">
        <f t="shared" si="29"/>
        <v>15.65</v>
      </c>
      <c r="R40" s="3">
        <f t="shared" si="30"/>
        <v>0.25</v>
      </c>
      <c r="S40" s="3">
        <f t="shared" si="31"/>
        <v>0</v>
      </c>
      <c r="U40" s="1">
        <f t="shared" si="17"/>
        <v>0.70847546575701914</v>
      </c>
      <c r="V40" s="1">
        <f t="shared" si="18"/>
        <v>0</v>
      </c>
      <c r="W40" s="1">
        <f t="shared" si="19"/>
        <v>0</v>
      </c>
      <c r="X40" s="1">
        <f t="shared" si="20"/>
        <v>0</v>
      </c>
      <c r="Y40" s="1" t="e">
        <f t="shared" si="21"/>
        <v>#DIV/0!</v>
      </c>
      <c r="AA40" s="1">
        <f t="shared" si="22"/>
        <v>0.29152453424298091</v>
      </c>
      <c r="AB40" s="1">
        <f t="shared" si="23"/>
        <v>1</v>
      </c>
      <c r="AC40" s="1">
        <f t="shared" si="24"/>
        <v>1</v>
      </c>
      <c r="AD40" s="1">
        <f t="shared" si="25"/>
        <v>1</v>
      </c>
      <c r="AE40" s="1" t="e">
        <f t="shared" si="26"/>
        <v>#DIV/0!</v>
      </c>
      <c r="AG40" s="2">
        <v>21.417245415434884</v>
      </c>
      <c r="AH40" s="2">
        <v>10.777139580421093</v>
      </c>
      <c r="AI40" s="2">
        <v>0.13703374540730087</v>
      </c>
      <c r="AJ40" s="2">
        <v>0</v>
      </c>
      <c r="AK40" s="2">
        <v>0</v>
      </c>
      <c r="AM40" s="1">
        <f t="shared" si="32"/>
        <v>1.7190904387567905</v>
      </c>
      <c r="AN40" s="1">
        <f t="shared" si="33"/>
        <v>0</v>
      </c>
      <c r="AO40" s="1">
        <f t="shared" si="34"/>
        <v>0</v>
      </c>
      <c r="AP40" s="1" t="e">
        <f t="shared" si="35"/>
        <v>#DIV/0!</v>
      </c>
      <c r="AQ40" s="1" t="e">
        <f t="shared" si="36"/>
        <v>#DIV/0!</v>
      </c>
      <c r="AS40" s="1">
        <f t="shared" si="37"/>
        <v>0.70737388054029426</v>
      </c>
      <c r="AT40" s="1">
        <f t="shared" si="38"/>
        <v>2.8115066872703616</v>
      </c>
      <c r="AU40" s="1">
        <f t="shared" si="39"/>
        <v>114.20544591760243</v>
      </c>
      <c r="AV40" s="1" t="e">
        <f t="shared" si="40"/>
        <v>#DIV/0!</v>
      </c>
      <c r="AW40" s="1" t="e">
        <f t="shared" si="41"/>
        <v>#DIV/0!</v>
      </c>
    </row>
    <row r="41" spans="2:49" x14ac:dyDescent="0.15">
      <c r="B41" s="2">
        <v>37</v>
      </c>
      <c r="C41" s="2">
        <v>39.545454545454547</v>
      </c>
      <c r="D41" s="2">
        <v>0</v>
      </c>
      <c r="E41" s="2">
        <v>0</v>
      </c>
      <c r="F41" s="2">
        <v>0</v>
      </c>
      <c r="G41" s="2">
        <v>0</v>
      </c>
      <c r="I41" s="2">
        <v>15.3</v>
      </c>
      <c r="J41" s="2">
        <v>30.6</v>
      </c>
      <c r="K41" s="2">
        <v>16.3</v>
      </c>
      <c r="L41" s="2">
        <v>0.5</v>
      </c>
      <c r="M41" s="2">
        <v>0</v>
      </c>
      <c r="O41" s="3">
        <f t="shared" si="27"/>
        <v>54.845454545454544</v>
      </c>
      <c r="P41" s="3">
        <f t="shared" si="28"/>
        <v>30.6</v>
      </c>
      <c r="Q41" s="3">
        <f t="shared" si="29"/>
        <v>16.3</v>
      </c>
      <c r="R41" s="3">
        <f t="shared" si="30"/>
        <v>0.5</v>
      </c>
      <c r="S41" s="3">
        <f t="shared" si="31"/>
        <v>0</v>
      </c>
      <c r="U41" s="1">
        <f t="shared" si="17"/>
        <v>0.72103431128791651</v>
      </c>
      <c r="V41" s="1">
        <f t="shared" si="18"/>
        <v>0</v>
      </c>
      <c r="W41" s="1">
        <f t="shared" si="19"/>
        <v>0</v>
      </c>
      <c r="X41" s="1">
        <f t="shared" si="20"/>
        <v>0</v>
      </c>
      <c r="Y41" s="1" t="e">
        <f t="shared" si="21"/>
        <v>#DIV/0!</v>
      </c>
      <c r="AA41" s="1">
        <f t="shared" si="22"/>
        <v>0.27896568871208355</v>
      </c>
      <c r="AB41" s="1">
        <f t="shared" si="23"/>
        <v>1</v>
      </c>
      <c r="AC41" s="1">
        <f t="shared" si="24"/>
        <v>1</v>
      </c>
      <c r="AD41" s="1">
        <f t="shared" si="25"/>
        <v>1</v>
      </c>
      <c r="AE41" s="1" t="e">
        <f t="shared" si="26"/>
        <v>#DIV/0!</v>
      </c>
      <c r="AG41" s="2">
        <v>24.610469926804715</v>
      </c>
      <c r="AH41" s="2">
        <v>12.518898404804636</v>
      </c>
      <c r="AI41" s="2">
        <v>0.42732688280455822</v>
      </c>
      <c r="AJ41" s="2">
        <v>0</v>
      </c>
      <c r="AK41" s="2">
        <v>0</v>
      </c>
      <c r="AM41" s="1">
        <f t="shared" si="32"/>
        <v>1.6068549143136539</v>
      </c>
      <c r="AN41" s="1">
        <f t="shared" si="33"/>
        <v>0</v>
      </c>
      <c r="AO41" s="1">
        <f t="shared" si="34"/>
        <v>0</v>
      </c>
      <c r="AP41" s="1" t="e">
        <f t="shared" si="35"/>
        <v>#DIV/0!</v>
      </c>
      <c r="AQ41" s="1" t="e">
        <f t="shared" si="36"/>
        <v>#DIV/0!</v>
      </c>
      <c r="AS41" s="1">
        <f t="shared" si="37"/>
        <v>0.62168662546893783</v>
      </c>
      <c r="AT41" s="1">
        <f t="shared" si="38"/>
        <v>2.4443045234919398</v>
      </c>
      <c r="AU41" s="1">
        <f t="shared" si="39"/>
        <v>38.144101520182041</v>
      </c>
      <c r="AV41" s="1" t="e">
        <f t="shared" si="40"/>
        <v>#DIV/0!</v>
      </c>
      <c r="AW41" s="1" t="e">
        <f t="shared" si="41"/>
        <v>#DIV/0!</v>
      </c>
    </row>
    <row r="42" spans="2:49" x14ac:dyDescent="0.15">
      <c r="B42" s="2">
        <v>38</v>
      </c>
      <c r="C42" s="2">
        <v>42.272727272727266</v>
      </c>
      <c r="D42" s="2">
        <v>0</v>
      </c>
      <c r="E42" s="2">
        <v>0</v>
      </c>
      <c r="F42" s="2">
        <v>0</v>
      </c>
      <c r="G42" s="2">
        <v>0</v>
      </c>
      <c r="I42" s="2">
        <v>15.45</v>
      </c>
      <c r="J42" s="2">
        <v>30.9</v>
      </c>
      <c r="K42" s="2">
        <v>16.95</v>
      </c>
      <c r="L42" s="2">
        <v>0.75</v>
      </c>
      <c r="M42" s="2">
        <v>0</v>
      </c>
      <c r="O42" s="3">
        <f t="shared" si="27"/>
        <v>57.722727272727269</v>
      </c>
      <c r="P42" s="3">
        <f t="shared" si="28"/>
        <v>30.9</v>
      </c>
      <c r="Q42" s="3">
        <f t="shared" si="29"/>
        <v>16.95</v>
      </c>
      <c r="R42" s="3">
        <f t="shared" si="30"/>
        <v>0.75</v>
      </c>
      <c r="S42" s="3">
        <f t="shared" si="31"/>
        <v>0</v>
      </c>
      <c r="U42" s="1">
        <f t="shared" si="17"/>
        <v>0.73234112922277339</v>
      </c>
      <c r="V42" s="1">
        <f t="shared" si="18"/>
        <v>0</v>
      </c>
      <c r="W42" s="1">
        <f t="shared" si="19"/>
        <v>0</v>
      </c>
      <c r="X42" s="1">
        <f t="shared" si="20"/>
        <v>0</v>
      </c>
      <c r="Y42" s="1" t="e">
        <f t="shared" si="21"/>
        <v>#DIV/0!</v>
      </c>
      <c r="AA42" s="1">
        <f t="shared" si="22"/>
        <v>0.26765887077722655</v>
      </c>
      <c r="AB42" s="1">
        <f t="shared" si="23"/>
        <v>1</v>
      </c>
      <c r="AC42" s="1">
        <f t="shared" si="24"/>
        <v>1</v>
      </c>
      <c r="AD42" s="1">
        <f t="shared" si="25"/>
        <v>1</v>
      </c>
      <c r="AE42" s="1" t="e">
        <f t="shared" si="26"/>
        <v>#DIV/0!</v>
      </c>
      <c r="AG42" s="2">
        <v>28.148828507200658</v>
      </c>
      <c r="AH42" s="2">
        <v>14.518840211115387</v>
      </c>
      <c r="AI42" s="2">
        <v>0.88885191503011618</v>
      </c>
      <c r="AJ42" s="2">
        <v>0</v>
      </c>
      <c r="AK42" s="2">
        <v>0</v>
      </c>
      <c r="AM42" s="1">
        <f t="shared" si="32"/>
        <v>1.5017579599063464</v>
      </c>
      <c r="AN42" s="1">
        <f t="shared" si="33"/>
        <v>0</v>
      </c>
      <c r="AO42" s="1">
        <f t="shared" si="34"/>
        <v>0</v>
      </c>
      <c r="AP42" s="1" t="e">
        <f t="shared" si="35"/>
        <v>#DIV/0!</v>
      </c>
      <c r="AQ42" s="1" t="e">
        <f t="shared" si="36"/>
        <v>#DIV/0!</v>
      </c>
      <c r="AS42" s="1">
        <f t="shared" si="37"/>
        <v>0.54886831244319056</v>
      </c>
      <c r="AT42" s="1">
        <f t="shared" si="38"/>
        <v>2.1282691696230298</v>
      </c>
      <c r="AU42" s="1">
        <f t="shared" si="39"/>
        <v>19.069543208922148</v>
      </c>
      <c r="AV42" s="1" t="e">
        <f t="shared" si="40"/>
        <v>#DIV/0!</v>
      </c>
      <c r="AW42" s="1" t="e">
        <f t="shared" si="41"/>
        <v>#DIV/0!</v>
      </c>
    </row>
    <row r="43" spans="2:49" x14ac:dyDescent="0.15">
      <c r="B43" s="2">
        <v>39</v>
      </c>
      <c r="C43" s="2">
        <v>45</v>
      </c>
      <c r="D43" s="2">
        <v>0</v>
      </c>
      <c r="E43" s="2">
        <v>0</v>
      </c>
      <c r="F43" s="2">
        <v>0</v>
      </c>
      <c r="G43" s="2">
        <v>0</v>
      </c>
      <c r="I43" s="2">
        <v>15.6</v>
      </c>
      <c r="J43" s="2">
        <v>31.2</v>
      </c>
      <c r="K43" s="2">
        <v>17.600000000000001</v>
      </c>
      <c r="L43" s="2">
        <v>1</v>
      </c>
      <c r="M43" s="2">
        <v>0</v>
      </c>
      <c r="O43" s="3">
        <f t="shared" si="27"/>
        <v>60.6</v>
      </c>
      <c r="P43" s="3">
        <f t="shared" si="28"/>
        <v>31.2</v>
      </c>
      <c r="Q43" s="3">
        <f t="shared" si="29"/>
        <v>17.600000000000001</v>
      </c>
      <c r="R43" s="3">
        <f t="shared" si="30"/>
        <v>1</v>
      </c>
      <c r="S43" s="3">
        <f t="shared" si="31"/>
        <v>0</v>
      </c>
      <c r="U43" s="1">
        <f t="shared" si="17"/>
        <v>0.74257425742574257</v>
      </c>
      <c r="V43" s="1">
        <f t="shared" si="18"/>
        <v>0</v>
      </c>
      <c r="W43" s="1">
        <f t="shared" si="19"/>
        <v>0</v>
      </c>
      <c r="X43" s="1">
        <f t="shared" si="20"/>
        <v>0</v>
      </c>
      <c r="Y43" s="1" t="e">
        <f t="shared" si="21"/>
        <v>#DIV/0!</v>
      </c>
      <c r="AA43" s="1">
        <f t="shared" si="22"/>
        <v>0.25742574257425743</v>
      </c>
      <c r="AB43" s="1">
        <f t="shared" si="23"/>
        <v>1</v>
      </c>
      <c r="AC43" s="1">
        <f t="shared" si="24"/>
        <v>1</v>
      </c>
      <c r="AD43" s="1">
        <f t="shared" si="25"/>
        <v>1</v>
      </c>
      <c r="AE43" s="1" t="e">
        <f t="shared" si="26"/>
        <v>#DIV/0!</v>
      </c>
      <c r="AG43" s="2">
        <v>32.064689247464251</v>
      </c>
      <c r="AH43" s="2">
        <v>16.803092309602484</v>
      </c>
      <c r="AI43" s="2">
        <v>1.5414953717407154</v>
      </c>
      <c r="AJ43" s="2">
        <v>0</v>
      </c>
      <c r="AK43" s="2">
        <v>0</v>
      </c>
      <c r="AM43" s="1">
        <f t="shared" si="32"/>
        <v>1.4034129460200118</v>
      </c>
      <c r="AN43" s="1">
        <f t="shared" si="33"/>
        <v>0</v>
      </c>
      <c r="AO43" s="1">
        <f t="shared" si="34"/>
        <v>0</v>
      </c>
      <c r="AP43" s="1" t="e">
        <f t="shared" si="35"/>
        <v>#DIV/0!</v>
      </c>
      <c r="AQ43" s="1" t="e">
        <f t="shared" si="36"/>
        <v>#DIV/0!</v>
      </c>
      <c r="AS43" s="1">
        <f t="shared" si="37"/>
        <v>0.48651648795360408</v>
      </c>
      <c r="AT43" s="1">
        <f t="shared" si="38"/>
        <v>1.8568010831060004</v>
      </c>
      <c r="AU43" s="1">
        <f t="shared" si="39"/>
        <v>11.417484815491473</v>
      </c>
      <c r="AV43" s="1" t="e">
        <f t="shared" si="40"/>
        <v>#DIV/0!</v>
      </c>
      <c r="AW43" s="1" t="e">
        <f t="shared" si="41"/>
        <v>#DIV/0!</v>
      </c>
    </row>
    <row r="44" spans="2:49" x14ac:dyDescent="0.15">
      <c r="B44" s="2">
        <v>40</v>
      </c>
      <c r="C44" s="2">
        <v>45</v>
      </c>
      <c r="D44" s="2">
        <v>4.4444444444444446</v>
      </c>
      <c r="E44" s="2">
        <v>0</v>
      </c>
      <c r="F44" s="2">
        <v>0</v>
      </c>
      <c r="G44" s="2">
        <v>0</v>
      </c>
      <c r="I44" s="2">
        <v>15.75</v>
      </c>
      <c r="J44" s="2">
        <v>31.5</v>
      </c>
      <c r="K44" s="2">
        <v>18.25</v>
      </c>
      <c r="L44" s="2">
        <v>1.25</v>
      </c>
      <c r="M44" s="2">
        <v>0</v>
      </c>
      <c r="O44" s="3">
        <f t="shared" si="27"/>
        <v>60.75</v>
      </c>
      <c r="P44" s="3">
        <f t="shared" si="28"/>
        <v>35.944444444444443</v>
      </c>
      <c r="Q44" s="3">
        <f t="shared" si="29"/>
        <v>18.25</v>
      </c>
      <c r="R44" s="3">
        <f t="shared" si="30"/>
        <v>1.25</v>
      </c>
      <c r="S44" s="3">
        <f t="shared" si="31"/>
        <v>0</v>
      </c>
      <c r="U44" s="1">
        <f t="shared" si="17"/>
        <v>0.7407407407407407</v>
      </c>
      <c r="V44" s="1">
        <f t="shared" si="18"/>
        <v>0.12364760432766617</v>
      </c>
      <c r="W44" s="1">
        <f t="shared" si="19"/>
        <v>0</v>
      </c>
      <c r="X44" s="1">
        <f t="shared" si="20"/>
        <v>0</v>
      </c>
      <c r="Y44" s="1" t="e">
        <f t="shared" si="21"/>
        <v>#DIV/0!</v>
      </c>
      <c r="AA44" s="1">
        <f t="shared" si="22"/>
        <v>0.25925925925925924</v>
      </c>
      <c r="AB44" s="1">
        <f t="shared" si="23"/>
        <v>0.87635239567233392</v>
      </c>
      <c r="AC44" s="1">
        <f t="shared" si="24"/>
        <v>1</v>
      </c>
      <c r="AD44" s="1">
        <f t="shared" si="25"/>
        <v>1</v>
      </c>
      <c r="AE44" s="1" t="e">
        <f t="shared" si="26"/>
        <v>#DIV/0!</v>
      </c>
      <c r="AG44" s="2">
        <v>36.393412278694825</v>
      </c>
      <c r="AH44" s="2">
        <v>19.400326128340829</v>
      </c>
      <c r="AI44" s="2">
        <v>2.4072399779868308</v>
      </c>
      <c r="AJ44" s="2">
        <v>0</v>
      </c>
      <c r="AK44" s="2">
        <v>0</v>
      </c>
      <c r="AM44" s="1">
        <f t="shared" si="32"/>
        <v>1.2364875174495134</v>
      </c>
      <c r="AN44" s="1">
        <f t="shared" si="33"/>
        <v>0.22909122326308781</v>
      </c>
      <c r="AO44" s="1">
        <f t="shared" si="34"/>
        <v>0</v>
      </c>
      <c r="AP44" s="1" t="e">
        <f t="shared" si="35"/>
        <v>#DIV/0!</v>
      </c>
      <c r="AQ44" s="1" t="e">
        <f t="shared" si="36"/>
        <v>#DIV/0!</v>
      </c>
      <c r="AS44" s="1">
        <f t="shared" si="37"/>
        <v>0.43277063110732966</v>
      </c>
      <c r="AT44" s="1">
        <f t="shared" si="38"/>
        <v>1.6236840448771348</v>
      </c>
      <c r="AU44" s="1">
        <f t="shared" si="39"/>
        <v>7.5812964917865946</v>
      </c>
      <c r="AV44" s="1" t="e">
        <f t="shared" si="40"/>
        <v>#DIV/0!</v>
      </c>
      <c r="AW44" s="1" t="e">
        <f t="shared" si="41"/>
        <v>#DIV/0!</v>
      </c>
    </row>
    <row r="45" spans="2:49" x14ac:dyDescent="0.15">
      <c r="B45" s="2">
        <v>41</v>
      </c>
      <c r="C45" s="2">
        <v>45</v>
      </c>
      <c r="D45" s="2">
        <v>8.8888888888888893</v>
      </c>
      <c r="E45" s="2">
        <v>0</v>
      </c>
      <c r="F45" s="2">
        <v>0</v>
      </c>
      <c r="G45" s="2">
        <v>0</v>
      </c>
      <c r="I45" s="2">
        <v>15.9</v>
      </c>
      <c r="J45" s="2">
        <v>31.8</v>
      </c>
      <c r="K45" s="2">
        <v>18.899999999999999</v>
      </c>
      <c r="L45" s="2">
        <v>1.5</v>
      </c>
      <c r="M45" s="2">
        <v>0</v>
      </c>
      <c r="O45" s="3">
        <f t="shared" si="27"/>
        <v>60.9</v>
      </c>
      <c r="P45" s="3">
        <f t="shared" si="28"/>
        <v>40.68888888888889</v>
      </c>
      <c r="Q45" s="3">
        <f t="shared" si="29"/>
        <v>18.899999999999999</v>
      </c>
      <c r="R45" s="3">
        <f t="shared" si="30"/>
        <v>1.5</v>
      </c>
      <c r="S45" s="3">
        <f t="shared" si="31"/>
        <v>0</v>
      </c>
      <c r="U45" s="1">
        <f t="shared" si="17"/>
        <v>0.73891625615763545</v>
      </c>
      <c r="V45" s="1">
        <f t="shared" si="18"/>
        <v>0.2184598580010923</v>
      </c>
      <c r="W45" s="1">
        <f t="shared" si="19"/>
        <v>0</v>
      </c>
      <c r="X45" s="1">
        <f t="shared" si="20"/>
        <v>0</v>
      </c>
      <c r="Y45" s="1" t="e">
        <f t="shared" si="21"/>
        <v>#DIV/0!</v>
      </c>
      <c r="AA45" s="1">
        <f t="shared" si="22"/>
        <v>0.26108374384236455</v>
      </c>
      <c r="AB45" s="1">
        <f t="shared" si="23"/>
        <v>0.78154014199890764</v>
      </c>
      <c r="AC45" s="1">
        <f t="shared" si="24"/>
        <v>1</v>
      </c>
      <c r="AD45" s="1">
        <f t="shared" si="25"/>
        <v>1</v>
      </c>
      <c r="AE45" s="1" t="e">
        <f t="shared" si="26"/>
        <v>#DIV/0!</v>
      </c>
      <c r="AG45" s="2">
        <v>41.081685600596018</v>
      </c>
      <c r="AH45" s="2">
        <v>22.250060892633712</v>
      </c>
      <c r="AI45" s="2">
        <v>3.372472720731194</v>
      </c>
      <c r="AJ45" s="2">
        <v>0</v>
      </c>
      <c r="AK45" s="2">
        <v>0</v>
      </c>
      <c r="AM45" s="1">
        <f t="shared" si="32"/>
        <v>1.0953786180415912</v>
      </c>
      <c r="AN45" s="1">
        <f t="shared" si="33"/>
        <v>0.39949953089034995</v>
      </c>
      <c r="AO45" s="1">
        <f t="shared" si="34"/>
        <v>0</v>
      </c>
      <c r="AP45" s="1" t="e">
        <f t="shared" si="35"/>
        <v>#DIV/0!</v>
      </c>
      <c r="AQ45" s="1" t="e">
        <f t="shared" si="36"/>
        <v>#DIV/0!</v>
      </c>
      <c r="AS45" s="1">
        <f t="shared" si="37"/>
        <v>0.38703377837469555</v>
      </c>
      <c r="AT45" s="1">
        <f t="shared" si="38"/>
        <v>1.4292095717602269</v>
      </c>
      <c r="AU45" s="1">
        <f t="shared" si="39"/>
        <v>5.6041965540057044</v>
      </c>
      <c r="AV45" s="1" t="e">
        <f t="shared" si="40"/>
        <v>#DIV/0!</v>
      </c>
      <c r="AW45" s="1" t="e">
        <f t="shared" si="41"/>
        <v>#DIV/0!</v>
      </c>
    </row>
    <row r="46" spans="2:49" x14ac:dyDescent="0.15">
      <c r="B46" s="2">
        <v>42</v>
      </c>
      <c r="C46" s="2">
        <v>45</v>
      </c>
      <c r="D46" s="2">
        <v>13.333333333333334</v>
      </c>
      <c r="E46" s="2">
        <v>0</v>
      </c>
      <c r="F46" s="2">
        <v>0</v>
      </c>
      <c r="G46" s="2">
        <v>0</v>
      </c>
      <c r="I46" s="2">
        <v>16.05</v>
      </c>
      <c r="J46" s="2">
        <v>32.1</v>
      </c>
      <c r="K46" s="2">
        <v>19.55</v>
      </c>
      <c r="L46" s="2">
        <v>1.75</v>
      </c>
      <c r="M46" s="2">
        <v>0</v>
      </c>
      <c r="O46" s="3">
        <f t="shared" si="27"/>
        <v>61.05</v>
      </c>
      <c r="P46" s="3">
        <f t="shared" si="28"/>
        <v>45.433333333333337</v>
      </c>
      <c r="Q46" s="3">
        <f t="shared" si="29"/>
        <v>19.55</v>
      </c>
      <c r="R46" s="3">
        <f t="shared" si="30"/>
        <v>1.75</v>
      </c>
      <c r="S46" s="3">
        <f t="shared" si="31"/>
        <v>0</v>
      </c>
      <c r="U46" s="1">
        <f t="shared" si="17"/>
        <v>0.73710073710073709</v>
      </c>
      <c r="V46" s="1">
        <f t="shared" si="18"/>
        <v>0.29347028613352899</v>
      </c>
      <c r="W46" s="1">
        <f t="shared" si="19"/>
        <v>0</v>
      </c>
      <c r="X46" s="1">
        <f t="shared" si="20"/>
        <v>0</v>
      </c>
      <c r="Y46" s="1" t="e">
        <f t="shared" si="21"/>
        <v>#DIV/0!</v>
      </c>
      <c r="AA46" s="1">
        <f t="shared" si="22"/>
        <v>0.26289926289926291</v>
      </c>
      <c r="AB46" s="1">
        <f t="shared" si="23"/>
        <v>0.70652971386647101</v>
      </c>
      <c r="AC46" s="1">
        <f t="shared" si="24"/>
        <v>1</v>
      </c>
      <c r="AD46" s="1">
        <f t="shared" si="25"/>
        <v>1</v>
      </c>
      <c r="AE46" s="1" t="e">
        <f t="shared" si="26"/>
        <v>#DIV/0!</v>
      </c>
      <c r="AG46" s="2">
        <v>46.160190733298705</v>
      </c>
      <c r="AH46" s="2">
        <v>25.375294820450748</v>
      </c>
      <c r="AI46" s="2">
        <v>4.4467718834183003</v>
      </c>
      <c r="AJ46" s="2">
        <v>0</v>
      </c>
      <c r="AK46" s="2">
        <v>0</v>
      </c>
      <c r="AM46" s="1">
        <f t="shared" si="32"/>
        <v>0.97486598918098111</v>
      </c>
      <c r="AN46" s="1">
        <f t="shared" si="33"/>
        <v>0.52544545502531781</v>
      </c>
      <c r="AO46" s="1">
        <f t="shared" si="34"/>
        <v>0</v>
      </c>
      <c r="AP46" s="1" t="e">
        <f t="shared" si="35"/>
        <v>#DIV/0!</v>
      </c>
      <c r="AQ46" s="1" t="e">
        <f t="shared" si="36"/>
        <v>#DIV/0!</v>
      </c>
      <c r="AS46" s="1">
        <f t="shared" si="37"/>
        <v>0.34770220280788328</v>
      </c>
      <c r="AT46" s="1">
        <f t="shared" si="38"/>
        <v>1.2650099329734528</v>
      </c>
      <c r="AU46" s="1">
        <f t="shared" si="39"/>
        <v>4.3964476956644836</v>
      </c>
      <c r="AV46" s="1" t="e">
        <f t="shared" si="40"/>
        <v>#DIV/0!</v>
      </c>
      <c r="AW46" s="1" t="e">
        <f t="shared" si="41"/>
        <v>#DIV/0!</v>
      </c>
    </row>
    <row r="47" spans="2:49" x14ac:dyDescent="0.15">
      <c r="B47" s="2">
        <v>43</v>
      </c>
      <c r="C47" s="2">
        <v>45</v>
      </c>
      <c r="D47" s="2">
        <v>17.777777777777779</v>
      </c>
      <c r="E47" s="2">
        <v>0</v>
      </c>
      <c r="F47" s="2">
        <v>0</v>
      </c>
      <c r="G47" s="2">
        <v>0</v>
      </c>
      <c r="I47" s="2">
        <v>16.2</v>
      </c>
      <c r="J47" s="2">
        <v>32.4</v>
      </c>
      <c r="K47" s="2">
        <v>20.2</v>
      </c>
      <c r="L47" s="2">
        <v>2</v>
      </c>
      <c r="M47" s="2">
        <v>0</v>
      </c>
      <c r="O47" s="3">
        <f t="shared" si="27"/>
        <v>61.2</v>
      </c>
      <c r="P47" s="3">
        <f t="shared" si="28"/>
        <v>50.177777777777777</v>
      </c>
      <c r="Q47" s="3">
        <f t="shared" si="29"/>
        <v>20.2</v>
      </c>
      <c r="R47" s="3">
        <f t="shared" si="30"/>
        <v>2</v>
      </c>
      <c r="S47" s="3">
        <f t="shared" si="31"/>
        <v>0</v>
      </c>
      <c r="U47" s="1">
        <f t="shared" si="17"/>
        <v>0.73529411764705876</v>
      </c>
      <c r="V47" s="1">
        <f t="shared" si="18"/>
        <v>0.35429583702391498</v>
      </c>
      <c r="W47" s="1">
        <f t="shared" si="19"/>
        <v>0</v>
      </c>
      <c r="X47" s="1">
        <f t="shared" si="20"/>
        <v>0</v>
      </c>
      <c r="Y47" s="1" t="e">
        <f t="shared" si="21"/>
        <v>#DIV/0!</v>
      </c>
      <c r="AA47" s="1">
        <f t="shared" si="22"/>
        <v>0.26470588235294118</v>
      </c>
      <c r="AB47" s="1">
        <f t="shared" si="23"/>
        <v>0.64570416297608502</v>
      </c>
      <c r="AC47" s="1">
        <f t="shared" si="24"/>
        <v>1</v>
      </c>
      <c r="AD47" s="1">
        <f t="shared" si="25"/>
        <v>1</v>
      </c>
      <c r="AE47" s="1" t="e">
        <f t="shared" si="26"/>
        <v>#DIV/0!</v>
      </c>
      <c r="AG47" s="2">
        <v>51.662223053837344</v>
      </c>
      <c r="AH47" s="2">
        <v>28.801088529465371</v>
      </c>
      <c r="AI47" s="2">
        <v>5.6406090850446091</v>
      </c>
      <c r="AJ47" s="2">
        <v>0</v>
      </c>
      <c r="AK47" s="2">
        <v>0</v>
      </c>
      <c r="AM47" s="1">
        <f t="shared" si="32"/>
        <v>0.87104265631591926</v>
      </c>
      <c r="AN47" s="1">
        <f t="shared" si="33"/>
        <v>0.61726062053487896</v>
      </c>
      <c r="AO47" s="1">
        <f t="shared" si="34"/>
        <v>0</v>
      </c>
      <c r="AP47" s="1" t="e">
        <f t="shared" si="35"/>
        <v>#DIV/0!</v>
      </c>
      <c r="AQ47" s="1" t="e">
        <f t="shared" si="36"/>
        <v>#DIV/0!</v>
      </c>
      <c r="AS47" s="1">
        <f t="shared" si="37"/>
        <v>0.3135753562737309</v>
      </c>
      <c r="AT47" s="1">
        <f t="shared" si="38"/>
        <v>1.1249574809248168</v>
      </c>
      <c r="AU47" s="1">
        <f t="shared" si="39"/>
        <v>3.5811735391409854</v>
      </c>
      <c r="AV47" s="1" t="e">
        <f t="shared" si="40"/>
        <v>#DIV/0!</v>
      </c>
      <c r="AW47" s="1" t="e">
        <f t="shared" si="41"/>
        <v>#DIV/0!</v>
      </c>
    </row>
    <row r="48" spans="2:49" x14ac:dyDescent="0.15">
      <c r="B48" s="2">
        <v>44</v>
      </c>
      <c r="C48" s="2">
        <v>45</v>
      </c>
      <c r="D48" s="2">
        <v>22.222222222222221</v>
      </c>
      <c r="E48" s="2">
        <v>0</v>
      </c>
      <c r="F48" s="2">
        <v>0</v>
      </c>
      <c r="G48" s="2">
        <v>0</v>
      </c>
      <c r="I48" s="2">
        <v>16.350000000000001</v>
      </c>
      <c r="J48" s="2">
        <v>32.700000000000003</v>
      </c>
      <c r="K48" s="2">
        <v>20.85</v>
      </c>
      <c r="L48" s="2">
        <v>2.25</v>
      </c>
      <c r="M48" s="2">
        <v>0</v>
      </c>
      <c r="O48" s="3">
        <f t="shared" si="27"/>
        <v>61.35</v>
      </c>
      <c r="P48" s="3">
        <f t="shared" si="28"/>
        <v>54.922222222222224</v>
      </c>
      <c r="Q48" s="3">
        <f t="shared" si="29"/>
        <v>20.85</v>
      </c>
      <c r="R48" s="3">
        <f t="shared" si="30"/>
        <v>2.25</v>
      </c>
      <c r="S48" s="3">
        <f t="shared" si="31"/>
        <v>0</v>
      </c>
      <c r="U48" s="1">
        <f t="shared" si="17"/>
        <v>0.73349633251833735</v>
      </c>
      <c r="V48" s="1">
        <f t="shared" si="18"/>
        <v>0.40461258345134532</v>
      </c>
      <c r="W48" s="1">
        <f t="shared" si="19"/>
        <v>0</v>
      </c>
      <c r="X48" s="1">
        <f t="shared" si="20"/>
        <v>0</v>
      </c>
      <c r="Y48" s="1" t="e">
        <f t="shared" si="21"/>
        <v>#DIV/0!</v>
      </c>
      <c r="AA48" s="1">
        <f t="shared" si="22"/>
        <v>0.2665036674816626</v>
      </c>
      <c r="AB48" s="1">
        <f t="shared" si="23"/>
        <v>0.59538741654865468</v>
      </c>
      <c r="AC48" s="1">
        <f t="shared" si="24"/>
        <v>1</v>
      </c>
      <c r="AD48" s="1">
        <f t="shared" si="25"/>
        <v>1</v>
      </c>
      <c r="AE48" s="1" t="e">
        <f t="shared" si="26"/>
        <v>#DIV/0!</v>
      </c>
      <c r="AG48" s="2">
        <v>57.623908953570336</v>
      </c>
      <c r="AH48" s="2">
        <v>32.554742614482443</v>
      </c>
      <c r="AI48" s="2">
        <v>6.9654281738741632</v>
      </c>
      <c r="AJ48" s="2">
        <v>0</v>
      </c>
      <c r="AK48" s="2">
        <v>0</v>
      </c>
      <c r="AM48" s="1">
        <f t="shared" si="32"/>
        <v>0.78092584861360459</v>
      </c>
      <c r="AN48" s="1">
        <f t="shared" si="33"/>
        <v>0.68261090205444741</v>
      </c>
      <c r="AO48" s="1">
        <f t="shared" si="34"/>
        <v>0</v>
      </c>
      <c r="AP48" s="1" t="e">
        <f t="shared" si="35"/>
        <v>#DIV/0!</v>
      </c>
      <c r="AQ48" s="1" t="e">
        <f t="shared" si="36"/>
        <v>#DIV/0!</v>
      </c>
      <c r="AS48" s="1">
        <f t="shared" si="37"/>
        <v>0.28373639166294301</v>
      </c>
      <c r="AT48" s="1">
        <f t="shared" si="38"/>
        <v>1.0044619423731196</v>
      </c>
      <c r="AU48" s="1">
        <f t="shared" si="39"/>
        <v>2.9933551074726328</v>
      </c>
      <c r="AV48" s="1" t="e">
        <f t="shared" si="40"/>
        <v>#DIV/0!</v>
      </c>
      <c r="AW48" s="1" t="e">
        <f t="shared" si="41"/>
        <v>#DIV/0!</v>
      </c>
    </row>
    <row r="49" spans="2:49" x14ac:dyDescent="0.15">
      <c r="B49" s="2">
        <v>45</v>
      </c>
      <c r="C49" s="2">
        <v>45</v>
      </c>
      <c r="D49" s="2">
        <v>26.666666666666668</v>
      </c>
      <c r="E49" s="2">
        <v>0</v>
      </c>
      <c r="F49" s="2">
        <v>0</v>
      </c>
      <c r="G49" s="2">
        <v>0</v>
      </c>
      <c r="I49" s="2">
        <v>16.5</v>
      </c>
      <c r="J49" s="2">
        <v>33</v>
      </c>
      <c r="K49" s="2">
        <v>21.5</v>
      </c>
      <c r="L49" s="2">
        <v>2.5</v>
      </c>
      <c r="M49" s="2">
        <v>0</v>
      </c>
      <c r="O49" s="3">
        <f t="shared" si="27"/>
        <v>61.5</v>
      </c>
      <c r="P49" s="3">
        <f t="shared" si="28"/>
        <v>59.666666666666671</v>
      </c>
      <c r="Q49" s="3">
        <f t="shared" si="29"/>
        <v>21.5</v>
      </c>
      <c r="R49" s="3">
        <f t="shared" si="30"/>
        <v>2.5</v>
      </c>
      <c r="S49" s="3">
        <f t="shared" si="31"/>
        <v>0</v>
      </c>
      <c r="U49" s="1">
        <f t="shared" si="17"/>
        <v>0.73170731707317072</v>
      </c>
      <c r="V49" s="1">
        <f t="shared" si="18"/>
        <v>0.44692737430167595</v>
      </c>
      <c r="W49" s="1">
        <f t="shared" si="19"/>
        <v>0</v>
      </c>
      <c r="X49" s="1">
        <f t="shared" si="20"/>
        <v>0</v>
      </c>
      <c r="Y49" s="1" t="e">
        <f t="shared" si="21"/>
        <v>#DIV/0!</v>
      </c>
      <c r="AA49" s="1">
        <f t="shared" si="22"/>
        <v>0.26829268292682928</v>
      </c>
      <c r="AB49" s="1">
        <f t="shared" si="23"/>
        <v>0.55307262569832394</v>
      </c>
      <c r="AC49" s="1">
        <f t="shared" si="24"/>
        <v>1</v>
      </c>
      <c r="AD49" s="1">
        <f t="shared" si="25"/>
        <v>1</v>
      </c>
      <c r="AE49" s="1" t="e">
        <f t="shared" si="26"/>
        <v>#DIV/0!</v>
      </c>
      <c r="AG49" s="2">
        <v>64.084440702779418</v>
      </c>
      <c r="AH49" s="2">
        <v>36.665990091251864</v>
      </c>
      <c r="AI49" s="2">
        <v>8.4337308441489558</v>
      </c>
      <c r="AJ49" s="2">
        <v>0</v>
      </c>
      <c r="AK49" s="2">
        <v>0</v>
      </c>
      <c r="AM49" s="1">
        <f t="shared" si="32"/>
        <v>0.70219852910487046</v>
      </c>
      <c r="AN49" s="1">
        <f t="shared" si="33"/>
        <v>0.72728614719800155</v>
      </c>
      <c r="AO49" s="1">
        <f t="shared" si="34"/>
        <v>0</v>
      </c>
      <c r="AP49" s="1" t="e">
        <f t="shared" si="35"/>
        <v>#DIV/0!</v>
      </c>
      <c r="AQ49" s="1" t="e">
        <f t="shared" si="36"/>
        <v>#DIV/0!</v>
      </c>
      <c r="AS49" s="1">
        <f t="shared" si="37"/>
        <v>0.25747279400511919</v>
      </c>
      <c r="AT49" s="1">
        <f t="shared" si="38"/>
        <v>0.90001660715752685</v>
      </c>
      <c r="AU49" s="1">
        <f t="shared" si="39"/>
        <v>2.5492869522764043</v>
      </c>
      <c r="AV49" s="1" t="e">
        <f t="shared" si="40"/>
        <v>#DIV/0!</v>
      </c>
      <c r="AW49" s="1" t="e">
        <f t="shared" si="41"/>
        <v>#DIV/0!</v>
      </c>
    </row>
    <row r="50" spans="2:49" x14ac:dyDescent="0.15">
      <c r="B50" s="2">
        <v>46</v>
      </c>
      <c r="C50" s="2">
        <v>45</v>
      </c>
      <c r="D50" s="2">
        <v>31.111111111111114</v>
      </c>
      <c r="E50" s="2">
        <v>0</v>
      </c>
      <c r="F50" s="2">
        <v>0</v>
      </c>
      <c r="G50" s="2">
        <v>0</v>
      </c>
      <c r="I50" s="2">
        <v>16.649999999999999</v>
      </c>
      <c r="J50" s="2">
        <v>33.299999999999997</v>
      </c>
      <c r="K50" s="2">
        <v>22.15</v>
      </c>
      <c r="L50" s="2">
        <v>2.75</v>
      </c>
      <c r="M50" s="2">
        <v>0</v>
      </c>
      <c r="O50" s="3">
        <f t="shared" si="27"/>
        <v>61.65</v>
      </c>
      <c r="P50" s="3">
        <f t="shared" si="28"/>
        <v>64.411111111111111</v>
      </c>
      <c r="Q50" s="3">
        <f t="shared" si="29"/>
        <v>22.15</v>
      </c>
      <c r="R50" s="3">
        <f t="shared" si="30"/>
        <v>2.75</v>
      </c>
      <c r="S50" s="3">
        <f t="shared" si="31"/>
        <v>0</v>
      </c>
      <c r="U50" s="1">
        <f t="shared" si="17"/>
        <v>0.72992700729927007</v>
      </c>
      <c r="V50" s="1">
        <f t="shared" si="18"/>
        <v>0.48300845264792136</v>
      </c>
      <c r="W50" s="1">
        <f t="shared" si="19"/>
        <v>0</v>
      </c>
      <c r="X50" s="1">
        <f t="shared" si="20"/>
        <v>0</v>
      </c>
      <c r="Y50" s="1" t="e">
        <f t="shared" si="21"/>
        <v>#DIV/0!</v>
      </c>
      <c r="AA50" s="1">
        <f t="shared" si="22"/>
        <v>0.27007299270072993</v>
      </c>
      <c r="AB50" s="1">
        <f t="shared" si="23"/>
        <v>0.51699154735207864</v>
      </c>
      <c r="AC50" s="1">
        <f t="shared" si="24"/>
        <v>1</v>
      </c>
      <c r="AD50" s="1">
        <f t="shared" si="25"/>
        <v>1</v>
      </c>
      <c r="AE50" s="1" t="e">
        <f t="shared" si="26"/>
        <v>#DIV/0!</v>
      </c>
      <c r="AG50" s="2">
        <v>71.086330445588217</v>
      </c>
      <c r="AH50" s="2">
        <v>41.16720492591466</v>
      </c>
      <c r="AI50" s="2">
        <v>10.059169534443855</v>
      </c>
      <c r="AJ50" s="2">
        <v>0</v>
      </c>
      <c r="AK50" s="2">
        <v>0</v>
      </c>
      <c r="AM50" s="1">
        <f t="shared" si="32"/>
        <v>0.63303309817693376</v>
      </c>
      <c r="AN50" s="1">
        <f t="shared" si="33"/>
        <v>0.75572561137194771</v>
      </c>
      <c r="AO50" s="1">
        <f t="shared" si="34"/>
        <v>0</v>
      </c>
      <c r="AP50" s="1" t="e">
        <f t="shared" si="35"/>
        <v>#DIV/0!</v>
      </c>
      <c r="AQ50" s="1" t="e">
        <f t="shared" si="36"/>
        <v>#DIV/0!</v>
      </c>
      <c r="AS50" s="1">
        <f t="shared" si="37"/>
        <v>0.23422224632546546</v>
      </c>
      <c r="AT50" s="1">
        <f t="shared" si="38"/>
        <v>0.80889630617204533</v>
      </c>
      <c r="AU50" s="1">
        <f t="shared" si="39"/>
        <v>2.2019710398711969</v>
      </c>
      <c r="AV50" s="1" t="e">
        <f t="shared" si="40"/>
        <v>#DIV/0!</v>
      </c>
      <c r="AW50" s="1" t="e">
        <f t="shared" si="41"/>
        <v>#DIV/0!</v>
      </c>
    </row>
    <row r="51" spans="2:49" x14ac:dyDescent="0.15">
      <c r="B51" s="2">
        <v>47</v>
      </c>
      <c r="C51" s="2">
        <v>45</v>
      </c>
      <c r="D51" s="2">
        <v>35.555555555555557</v>
      </c>
      <c r="E51" s="2">
        <v>0</v>
      </c>
      <c r="F51" s="2">
        <v>0</v>
      </c>
      <c r="G51" s="2">
        <v>0</v>
      </c>
      <c r="I51" s="2">
        <v>16.8</v>
      </c>
      <c r="J51" s="2">
        <v>33.6</v>
      </c>
      <c r="K51" s="2">
        <v>22.8</v>
      </c>
      <c r="L51" s="2">
        <v>3</v>
      </c>
      <c r="M51" s="2">
        <v>0</v>
      </c>
      <c r="O51" s="3">
        <f t="shared" si="27"/>
        <v>61.8</v>
      </c>
      <c r="P51" s="3">
        <f t="shared" si="28"/>
        <v>69.155555555555566</v>
      </c>
      <c r="Q51" s="3">
        <f t="shared" si="29"/>
        <v>22.8</v>
      </c>
      <c r="R51" s="3">
        <f t="shared" si="30"/>
        <v>3</v>
      </c>
      <c r="S51" s="3">
        <f t="shared" si="31"/>
        <v>0</v>
      </c>
      <c r="U51" s="1">
        <f t="shared" si="17"/>
        <v>0.72815533980582525</v>
      </c>
      <c r="V51" s="1">
        <f t="shared" si="18"/>
        <v>0.51413881748071977</v>
      </c>
      <c r="W51" s="1">
        <f t="shared" si="19"/>
        <v>0</v>
      </c>
      <c r="X51" s="1">
        <f t="shared" si="20"/>
        <v>0</v>
      </c>
      <c r="Y51" s="1" t="e">
        <f t="shared" si="21"/>
        <v>#DIV/0!</v>
      </c>
      <c r="AA51" s="1">
        <f t="shared" si="22"/>
        <v>0.2718446601941748</v>
      </c>
      <c r="AB51" s="1">
        <f t="shared" si="23"/>
        <v>0.48586118251928018</v>
      </c>
      <c r="AC51" s="1">
        <f t="shared" si="24"/>
        <v>1</v>
      </c>
      <c r="AD51" s="1">
        <f t="shared" si="25"/>
        <v>1</v>
      </c>
      <c r="AE51" s="1" t="e">
        <f t="shared" si="26"/>
        <v>#DIV/0!</v>
      </c>
      <c r="AG51" s="2">
        <v>78.675684861410105</v>
      </c>
      <c r="AH51" s="2">
        <v>46.09362796776395</v>
      </c>
      <c r="AI51" s="2">
        <v>11.856648211875354</v>
      </c>
      <c r="AJ51" s="2">
        <v>0</v>
      </c>
      <c r="AK51" s="2">
        <v>0</v>
      </c>
      <c r="AM51" s="1">
        <f t="shared" si="32"/>
        <v>0.57196832896045369</v>
      </c>
      <c r="AN51" s="1">
        <f t="shared" si="33"/>
        <v>0.77137680679901566</v>
      </c>
      <c r="AO51" s="1">
        <f t="shared" si="34"/>
        <v>0</v>
      </c>
      <c r="AP51" s="1" t="e">
        <f t="shared" si="35"/>
        <v>#DIV/0!</v>
      </c>
      <c r="AQ51" s="1" t="e">
        <f t="shared" si="36"/>
        <v>#DIV/0!</v>
      </c>
      <c r="AS51" s="1">
        <f t="shared" si="37"/>
        <v>0.21353484281190271</v>
      </c>
      <c r="AT51" s="1">
        <f t="shared" si="38"/>
        <v>0.72895108242506979</v>
      </c>
      <c r="AU51" s="1">
        <f t="shared" si="39"/>
        <v>1.9229717870151557</v>
      </c>
      <c r="AV51" s="1" t="e">
        <f t="shared" si="40"/>
        <v>#DIV/0!</v>
      </c>
      <c r="AW51" s="1" t="e">
        <f t="shared" si="41"/>
        <v>#DIV/0!</v>
      </c>
    </row>
    <row r="52" spans="2:49" x14ac:dyDescent="0.15">
      <c r="B52" s="2">
        <v>48</v>
      </c>
      <c r="C52" s="2">
        <v>45</v>
      </c>
      <c r="D52" s="2">
        <v>40</v>
      </c>
      <c r="E52" s="2">
        <v>0</v>
      </c>
      <c r="F52" s="2">
        <v>0</v>
      </c>
      <c r="G52" s="2">
        <v>0</v>
      </c>
      <c r="I52" s="2">
        <v>16.95</v>
      </c>
      <c r="J52" s="2">
        <v>33.9</v>
      </c>
      <c r="K52" s="2">
        <v>23.450000000000003</v>
      </c>
      <c r="L52" s="2">
        <v>3.25</v>
      </c>
      <c r="M52" s="2">
        <v>0</v>
      </c>
      <c r="O52" s="3">
        <f t="shared" si="27"/>
        <v>61.95</v>
      </c>
      <c r="P52" s="3">
        <f t="shared" si="28"/>
        <v>73.900000000000006</v>
      </c>
      <c r="Q52" s="3">
        <f t="shared" si="29"/>
        <v>23.450000000000003</v>
      </c>
      <c r="R52" s="3">
        <f t="shared" si="30"/>
        <v>3.25</v>
      </c>
      <c r="S52" s="3">
        <f t="shared" si="31"/>
        <v>0</v>
      </c>
      <c r="U52" s="1">
        <f t="shared" si="17"/>
        <v>0.72639225181598055</v>
      </c>
      <c r="V52" s="1">
        <f t="shared" si="18"/>
        <v>0.54127198917456021</v>
      </c>
      <c r="W52" s="1">
        <f t="shared" si="19"/>
        <v>0</v>
      </c>
      <c r="X52" s="1">
        <f t="shared" si="20"/>
        <v>0</v>
      </c>
      <c r="Y52" s="1" t="e">
        <f t="shared" si="21"/>
        <v>#DIV/0!</v>
      </c>
      <c r="AA52" s="1">
        <f t="shared" si="22"/>
        <v>0.27360774818401934</v>
      </c>
      <c r="AB52" s="1">
        <f t="shared" si="23"/>
        <v>0.45872801082543974</v>
      </c>
      <c r="AC52" s="1">
        <f t="shared" si="24"/>
        <v>1</v>
      </c>
      <c r="AD52" s="1">
        <f t="shared" si="25"/>
        <v>1</v>
      </c>
      <c r="AE52" s="1" t="e">
        <f t="shared" si="26"/>
        <v>#DIV/0!</v>
      </c>
      <c r="AG52" s="2">
        <v>86.902502151104244</v>
      </c>
      <c r="AH52" s="2">
        <v>51.4836117092877</v>
      </c>
      <c r="AI52" s="2">
        <v>13.84243169559463</v>
      </c>
      <c r="AJ52" s="2">
        <v>0</v>
      </c>
      <c r="AK52" s="2">
        <v>0</v>
      </c>
      <c r="AM52" s="1">
        <f t="shared" si="32"/>
        <v>0.51782168391141314</v>
      </c>
      <c r="AN52" s="1">
        <f t="shared" si="33"/>
        <v>0.77694626837502845</v>
      </c>
      <c r="AO52" s="1">
        <f t="shared" si="34"/>
        <v>0</v>
      </c>
      <c r="AP52" s="1" t="e">
        <f t="shared" si="35"/>
        <v>#DIV/0!</v>
      </c>
      <c r="AQ52" s="1" t="e">
        <f t="shared" si="36"/>
        <v>#DIV/0!</v>
      </c>
      <c r="AS52" s="1">
        <f t="shared" si="37"/>
        <v>0.19504616760663226</v>
      </c>
      <c r="AT52" s="1">
        <f t="shared" si="38"/>
        <v>0.65846196244783661</v>
      </c>
      <c r="AU52" s="1">
        <f t="shared" si="39"/>
        <v>1.6940665134336905</v>
      </c>
      <c r="AV52" s="1" t="e">
        <f t="shared" si="40"/>
        <v>#DIV/0!</v>
      </c>
      <c r="AW52" s="1" t="e">
        <f t="shared" si="41"/>
        <v>#DIV/0!</v>
      </c>
    </row>
    <row r="53" spans="2:49" x14ac:dyDescent="0.15">
      <c r="B53" s="2">
        <v>49</v>
      </c>
      <c r="C53" s="2">
        <v>45</v>
      </c>
      <c r="D53" s="2">
        <v>58.75</v>
      </c>
      <c r="E53" s="2">
        <v>0</v>
      </c>
      <c r="F53" s="2">
        <v>0</v>
      </c>
      <c r="G53" s="2">
        <v>0</v>
      </c>
      <c r="I53" s="2">
        <v>17.100000000000001</v>
      </c>
      <c r="J53" s="2">
        <v>34.200000000000003</v>
      </c>
      <c r="K53" s="2">
        <v>24.1</v>
      </c>
      <c r="L53" s="2">
        <v>3.5</v>
      </c>
      <c r="M53" s="2">
        <v>0</v>
      </c>
      <c r="O53" s="3">
        <f t="shared" si="27"/>
        <v>62.1</v>
      </c>
      <c r="P53" s="3">
        <f t="shared" si="28"/>
        <v>92.95</v>
      </c>
      <c r="Q53" s="3">
        <f t="shared" si="29"/>
        <v>24.1</v>
      </c>
      <c r="R53" s="3">
        <f t="shared" si="30"/>
        <v>3.5</v>
      </c>
      <c r="S53" s="3">
        <f t="shared" si="31"/>
        <v>0</v>
      </c>
      <c r="U53" s="1">
        <f t="shared" si="17"/>
        <v>0.72463768115942029</v>
      </c>
      <c r="V53" s="1">
        <f t="shared" si="18"/>
        <v>0.63206024744486278</v>
      </c>
      <c r="W53" s="1">
        <f t="shared" si="19"/>
        <v>0</v>
      </c>
      <c r="X53" s="1">
        <f t="shared" si="20"/>
        <v>0</v>
      </c>
      <c r="Y53" s="1" t="e">
        <f t="shared" si="21"/>
        <v>#DIV/0!</v>
      </c>
      <c r="AA53" s="1">
        <f t="shared" si="22"/>
        <v>0.27536231884057971</v>
      </c>
      <c r="AB53" s="1">
        <f t="shared" si="23"/>
        <v>0.36793975255513717</v>
      </c>
      <c r="AC53" s="1">
        <f t="shared" si="24"/>
        <v>1</v>
      </c>
      <c r="AD53" s="1">
        <f t="shared" si="25"/>
        <v>1</v>
      </c>
      <c r="AE53" s="1" t="e">
        <f t="shared" si="26"/>
        <v>#DIV/0!</v>
      </c>
      <c r="AG53" s="2">
        <v>95.820993137585575</v>
      </c>
      <c r="AH53" s="2">
        <v>57.378885412216043</v>
      </c>
      <c r="AI53" s="2">
        <v>16.034264226170553</v>
      </c>
      <c r="AJ53" s="2">
        <v>0</v>
      </c>
      <c r="AK53" s="2">
        <v>0</v>
      </c>
      <c r="AM53" s="1">
        <f t="shared" si="32"/>
        <v>0.46962568980459513</v>
      </c>
      <c r="AN53" s="1">
        <f t="shared" si="33"/>
        <v>1.0238958037949626</v>
      </c>
      <c r="AO53" s="1">
        <f t="shared" si="34"/>
        <v>0</v>
      </c>
      <c r="AP53" s="1" t="e">
        <f t="shared" si="35"/>
        <v>#DIV/0!</v>
      </c>
      <c r="AQ53" s="1" t="e">
        <f t="shared" si="36"/>
        <v>#DIV/0!</v>
      </c>
      <c r="AS53" s="1">
        <f t="shared" si="37"/>
        <v>0.17845776212574616</v>
      </c>
      <c r="AT53" s="1">
        <f t="shared" si="38"/>
        <v>0.59603806791128044</v>
      </c>
      <c r="AU53" s="1">
        <f t="shared" si="39"/>
        <v>1.5030312373588581</v>
      </c>
      <c r="AV53" s="1" t="e">
        <f t="shared" si="40"/>
        <v>#DIV/0!</v>
      </c>
      <c r="AW53" s="1" t="e">
        <f t="shared" si="41"/>
        <v>#DIV/0!</v>
      </c>
    </row>
    <row r="54" spans="2:49" x14ac:dyDescent="0.15">
      <c r="B54" s="2">
        <v>50</v>
      </c>
      <c r="C54" s="2">
        <v>45</v>
      </c>
      <c r="D54" s="2">
        <v>77.5</v>
      </c>
      <c r="E54" s="2">
        <v>0</v>
      </c>
      <c r="F54" s="2">
        <v>0</v>
      </c>
      <c r="G54" s="2">
        <v>0</v>
      </c>
      <c r="I54" s="2">
        <v>17.25</v>
      </c>
      <c r="J54" s="2">
        <v>34.5</v>
      </c>
      <c r="K54" s="2">
        <v>24.75</v>
      </c>
      <c r="L54" s="2">
        <v>3.75</v>
      </c>
      <c r="M54" s="2">
        <v>0</v>
      </c>
      <c r="O54" s="3">
        <f t="shared" si="27"/>
        <v>62.25</v>
      </c>
      <c r="P54" s="3">
        <f t="shared" si="28"/>
        <v>112</v>
      </c>
      <c r="Q54" s="3">
        <f t="shared" si="29"/>
        <v>24.75</v>
      </c>
      <c r="R54" s="3">
        <f t="shared" si="30"/>
        <v>3.75</v>
      </c>
      <c r="S54" s="3">
        <f t="shared" si="31"/>
        <v>0</v>
      </c>
      <c r="U54" s="1">
        <f t="shared" si="17"/>
        <v>0.72289156626506024</v>
      </c>
      <c r="V54" s="1">
        <f t="shared" si="18"/>
        <v>0.6919642857142857</v>
      </c>
      <c r="W54" s="1">
        <f t="shared" si="19"/>
        <v>0</v>
      </c>
      <c r="X54" s="1">
        <f t="shared" si="20"/>
        <v>0</v>
      </c>
      <c r="Y54" s="1" t="e">
        <f t="shared" si="21"/>
        <v>#DIV/0!</v>
      </c>
      <c r="AA54" s="1">
        <f t="shared" si="22"/>
        <v>0.27710843373493976</v>
      </c>
      <c r="AB54" s="1">
        <f t="shared" si="23"/>
        <v>0.3080357142857143</v>
      </c>
      <c r="AC54" s="1">
        <f t="shared" si="24"/>
        <v>1</v>
      </c>
      <c r="AD54" s="1">
        <f t="shared" si="25"/>
        <v>1</v>
      </c>
      <c r="AE54" s="1" t="e">
        <f t="shared" si="26"/>
        <v>#DIV/0!</v>
      </c>
      <c r="AG54" s="2">
        <v>105.48992841253893</v>
      </c>
      <c r="AH54" s="2">
        <v>63.824842262184944</v>
      </c>
      <c r="AI54" s="2">
        <v>18.451498044908892</v>
      </c>
      <c r="AJ54" s="2">
        <v>0</v>
      </c>
      <c r="AK54" s="2">
        <v>0</v>
      </c>
      <c r="AM54" s="1">
        <f t="shared" si="32"/>
        <v>0.42658100803726712</v>
      </c>
      <c r="AN54" s="1">
        <f t="shared" si="33"/>
        <v>1.2142607369343603</v>
      </c>
      <c r="AO54" s="1">
        <f t="shared" si="34"/>
        <v>0</v>
      </c>
      <c r="AP54" s="1" t="e">
        <f t="shared" si="35"/>
        <v>#DIV/0!</v>
      </c>
      <c r="AQ54" s="1" t="e">
        <f t="shared" si="36"/>
        <v>#DIV/0!</v>
      </c>
      <c r="AS54" s="1">
        <f t="shared" si="37"/>
        <v>0.16352271974761906</v>
      </c>
      <c r="AT54" s="1">
        <f t="shared" si="38"/>
        <v>0.54054187644174756</v>
      </c>
      <c r="AU54" s="1">
        <f t="shared" si="39"/>
        <v>1.3413545035617842</v>
      </c>
      <c r="AV54" s="1" t="e">
        <f t="shared" si="40"/>
        <v>#DIV/0!</v>
      </c>
      <c r="AW54" s="1" t="e">
        <f t="shared" si="41"/>
        <v>#DIV/0!</v>
      </c>
    </row>
    <row r="55" spans="2:49" x14ac:dyDescent="0.15">
      <c r="B55" s="2">
        <v>51</v>
      </c>
      <c r="C55" s="2">
        <v>45</v>
      </c>
      <c r="D55" s="2">
        <v>96.25</v>
      </c>
      <c r="E55" s="2">
        <v>0</v>
      </c>
      <c r="F55" s="2">
        <v>0</v>
      </c>
      <c r="G55" s="2">
        <v>0</v>
      </c>
      <c r="I55" s="2">
        <v>17.399999999999999</v>
      </c>
      <c r="J55" s="2">
        <v>34.799999999999997</v>
      </c>
      <c r="K55" s="2">
        <v>25.4</v>
      </c>
      <c r="L55" s="2">
        <v>4</v>
      </c>
      <c r="M55" s="2">
        <v>0</v>
      </c>
      <c r="O55" s="3">
        <f t="shared" si="27"/>
        <v>62.4</v>
      </c>
      <c r="P55" s="3">
        <f t="shared" si="28"/>
        <v>131.05000000000001</v>
      </c>
      <c r="Q55" s="3">
        <f t="shared" si="29"/>
        <v>25.4</v>
      </c>
      <c r="R55" s="3">
        <f t="shared" si="30"/>
        <v>4</v>
      </c>
      <c r="S55" s="3">
        <f t="shared" si="31"/>
        <v>0</v>
      </c>
      <c r="U55" s="1">
        <f t="shared" si="17"/>
        <v>0.72115384615384615</v>
      </c>
      <c r="V55" s="1">
        <f t="shared" si="18"/>
        <v>0.7344524990461655</v>
      </c>
      <c r="W55" s="1">
        <f t="shared" si="19"/>
        <v>0</v>
      </c>
      <c r="X55" s="1">
        <f t="shared" si="20"/>
        <v>0</v>
      </c>
      <c r="Y55" s="1" t="e">
        <f t="shared" si="21"/>
        <v>#DIV/0!</v>
      </c>
      <c r="AA55" s="1">
        <f t="shared" si="22"/>
        <v>0.27884615384615385</v>
      </c>
      <c r="AB55" s="1">
        <f t="shared" si="23"/>
        <v>0.26554750095383439</v>
      </c>
      <c r="AC55" s="1">
        <f t="shared" si="24"/>
        <v>1</v>
      </c>
      <c r="AD55" s="1">
        <f t="shared" si="25"/>
        <v>1</v>
      </c>
      <c r="AE55" s="1" t="e">
        <f t="shared" si="26"/>
        <v>#DIV/0!</v>
      </c>
      <c r="AG55" s="2">
        <v>116.14486746971046</v>
      </c>
      <c r="AH55" s="2">
        <v>71.042704204139852</v>
      </c>
      <c r="AI55" s="2">
        <v>21.20115973708219</v>
      </c>
      <c r="AJ55" s="2">
        <v>0</v>
      </c>
      <c r="AK55" s="2">
        <v>0</v>
      </c>
      <c r="AM55" s="1">
        <f t="shared" si="32"/>
        <v>0.38744716818188796</v>
      </c>
      <c r="AN55" s="1">
        <f t="shared" si="33"/>
        <v>1.3548189230441943</v>
      </c>
      <c r="AO55" s="1">
        <f t="shared" si="34"/>
        <v>0</v>
      </c>
      <c r="AP55" s="1" t="e">
        <f t="shared" si="35"/>
        <v>#DIV/0!</v>
      </c>
      <c r="AQ55" s="1" t="e">
        <f t="shared" si="36"/>
        <v>#DIV/0!</v>
      </c>
      <c r="AS55" s="1">
        <f t="shared" si="37"/>
        <v>0.14981290503033001</v>
      </c>
      <c r="AT55" s="1">
        <f t="shared" si="38"/>
        <v>0.48984621840974496</v>
      </c>
      <c r="AU55" s="1">
        <f t="shared" si="39"/>
        <v>1.1980476688534056</v>
      </c>
      <c r="AV55" s="1" t="e">
        <f t="shared" si="40"/>
        <v>#DIV/0!</v>
      </c>
      <c r="AW55" s="1" t="e">
        <f t="shared" si="41"/>
        <v>#DIV/0!</v>
      </c>
    </row>
    <row r="56" spans="2:49" x14ac:dyDescent="0.15">
      <c r="B56" s="2">
        <v>52</v>
      </c>
      <c r="C56" s="2">
        <v>45</v>
      </c>
      <c r="D56" s="2">
        <v>115</v>
      </c>
      <c r="E56" s="2">
        <v>0</v>
      </c>
      <c r="F56" s="2">
        <v>0</v>
      </c>
      <c r="G56" s="2">
        <v>0</v>
      </c>
      <c r="I56" s="2">
        <v>17.55</v>
      </c>
      <c r="J56" s="2">
        <v>35.1</v>
      </c>
      <c r="K56" s="2">
        <v>26.05</v>
      </c>
      <c r="L56" s="2">
        <v>4.25</v>
      </c>
      <c r="M56" s="2">
        <v>0</v>
      </c>
      <c r="O56" s="3">
        <f t="shared" si="27"/>
        <v>62.55</v>
      </c>
      <c r="P56" s="3">
        <f t="shared" si="28"/>
        <v>150.1</v>
      </c>
      <c r="Q56" s="3">
        <f t="shared" si="29"/>
        <v>26.05</v>
      </c>
      <c r="R56" s="3">
        <f t="shared" si="30"/>
        <v>4.25</v>
      </c>
      <c r="S56" s="3">
        <f t="shared" si="31"/>
        <v>0</v>
      </c>
      <c r="U56" s="1">
        <f t="shared" si="17"/>
        <v>0.71942446043165476</v>
      </c>
      <c r="V56" s="1">
        <f t="shared" si="18"/>
        <v>0.76615589606928713</v>
      </c>
      <c r="W56" s="1">
        <f t="shared" si="19"/>
        <v>0</v>
      </c>
      <c r="X56" s="1">
        <f t="shared" si="20"/>
        <v>0</v>
      </c>
      <c r="Y56" s="1" t="e">
        <f t="shared" si="21"/>
        <v>#DIV/0!</v>
      </c>
      <c r="AA56" s="1">
        <f t="shared" si="22"/>
        <v>0.28057553956834536</v>
      </c>
      <c r="AB56" s="1">
        <f t="shared" si="23"/>
        <v>0.23384410393071287</v>
      </c>
      <c r="AC56" s="1">
        <f t="shared" si="24"/>
        <v>1</v>
      </c>
      <c r="AD56" s="1">
        <f t="shared" si="25"/>
        <v>1</v>
      </c>
      <c r="AE56" s="1" t="e">
        <f t="shared" si="26"/>
        <v>#DIV/0!</v>
      </c>
      <c r="AG56" s="2">
        <v>127.87780318097867</v>
      </c>
      <c r="AH56" s="2">
        <v>79.10909750563674</v>
      </c>
      <c r="AI56" s="2">
        <v>24.317720785387806</v>
      </c>
      <c r="AJ56" s="2">
        <v>0</v>
      </c>
      <c r="AK56" s="2">
        <v>0</v>
      </c>
      <c r="AM56" s="1">
        <f t="shared" si="32"/>
        <v>0.35189844430087597</v>
      </c>
      <c r="AN56" s="1">
        <f t="shared" si="33"/>
        <v>1.4536886859543043</v>
      </c>
      <c r="AO56" s="1">
        <f t="shared" si="34"/>
        <v>0</v>
      </c>
      <c r="AP56" s="1" t="e">
        <f t="shared" si="35"/>
        <v>#DIV/0!</v>
      </c>
      <c r="AQ56" s="1" t="e">
        <f t="shared" si="36"/>
        <v>#DIV/0!</v>
      </c>
      <c r="AS56" s="1">
        <f t="shared" si="37"/>
        <v>0.13724039327734161</v>
      </c>
      <c r="AT56" s="1">
        <f t="shared" si="38"/>
        <v>0.44369106849561812</v>
      </c>
      <c r="AU56" s="1">
        <f t="shared" si="39"/>
        <v>1.0712352621325063</v>
      </c>
      <c r="AV56" s="1" t="e">
        <f t="shared" si="40"/>
        <v>#DIV/0!</v>
      </c>
      <c r="AW56" s="1" t="e">
        <f t="shared" si="41"/>
        <v>#DIV/0!</v>
      </c>
    </row>
    <row r="57" spans="2:49" x14ac:dyDescent="0.15">
      <c r="B57" s="2">
        <v>53</v>
      </c>
      <c r="C57" s="2">
        <v>45</v>
      </c>
      <c r="D57" s="2">
        <v>137.5</v>
      </c>
      <c r="E57" s="2">
        <v>0</v>
      </c>
      <c r="F57" s="2">
        <v>0</v>
      </c>
      <c r="G57" s="2">
        <v>0</v>
      </c>
      <c r="I57" s="2">
        <v>17.7</v>
      </c>
      <c r="J57" s="2">
        <v>35.4</v>
      </c>
      <c r="K57" s="2">
        <v>26.700000000000003</v>
      </c>
      <c r="L57" s="2">
        <v>4.5</v>
      </c>
      <c r="M57" s="2">
        <v>0</v>
      </c>
      <c r="O57" s="3">
        <f t="shared" si="27"/>
        <v>62.7</v>
      </c>
      <c r="P57" s="3">
        <f t="shared" si="28"/>
        <v>172.9</v>
      </c>
      <c r="Q57" s="3">
        <f t="shared" si="29"/>
        <v>26.700000000000003</v>
      </c>
      <c r="R57" s="3">
        <f t="shared" si="30"/>
        <v>4.5</v>
      </c>
      <c r="S57" s="3">
        <f t="shared" si="31"/>
        <v>0</v>
      </c>
      <c r="U57" s="1">
        <f t="shared" si="17"/>
        <v>0.71770334928229662</v>
      </c>
      <c r="V57" s="1">
        <f t="shared" si="18"/>
        <v>0.79525737420474263</v>
      </c>
      <c r="W57" s="1">
        <f t="shared" si="19"/>
        <v>0</v>
      </c>
      <c r="X57" s="1">
        <f t="shared" si="20"/>
        <v>0</v>
      </c>
      <c r="Y57" s="1" t="e">
        <f t="shared" si="21"/>
        <v>#DIV/0!</v>
      </c>
      <c r="AA57" s="1">
        <f t="shared" si="22"/>
        <v>0.28229665071770332</v>
      </c>
      <c r="AB57" s="1">
        <f t="shared" si="23"/>
        <v>0.20474262579525737</v>
      </c>
      <c r="AC57" s="1">
        <f t="shared" si="24"/>
        <v>1</v>
      </c>
      <c r="AD57" s="1">
        <f t="shared" si="25"/>
        <v>1</v>
      </c>
      <c r="AE57" s="1" t="e">
        <f t="shared" si="26"/>
        <v>#DIV/0!</v>
      </c>
      <c r="AG57" s="2">
        <v>140.78897801703707</v>
      </c>
      <c r="AH57" s="2">
        <v>88.107795118647132</v>
      </c>
      <c r="AI57" s="2">
        <v>27.838950286131002</v>
      </c>
      <c r="AJ57" s="2">
        <v>0</v>
      </c>
      <c r="AK57" s="2">
        <v>0</v>
      </c>
      <c r="AM57" s="1">
        <f t="shared" si="32"/>
        <v>0.3196272935126675</v>
      </c>
      <c r="AN57" s="1">
        <f t="shared" si="33"/>
        <v>1.5605883658175836</v>
      </c>
      <c r="AO57" s="1">
        <f t="shared" si="34"/>
        <v>0</v>
      </c>
      <c r="AP57" s="1" t="e">
        <f t="shared" si="35"/>
        <v>#DIV/0!</v>
      </c>
      <c r="AQ57" s="1" t="e">
        <f t="shared" si="36"/>
        <v>#DIV/0!</v>
      </c>
      <c r="AS57" s="1">
        <f t="shared" si="37"/>
        <v>0.12572006878164921</v>
      </c>
      <c r="AT57" s="1">
        <f t="shared" si="38"/>
        <v>0.4017805683632179</v>
      </c>
      <c r="AU57" s="1">
        <f t="shared" si="39"/>
        <v>0.95908788677644896</v>
      </c>
      <c r="AV57" s="1" t="e">
        <f t="shared" si="40"/>
        <v>#DIV/0!</v>
      </c>
      <c r="AW57" s="1" t="e">
        <f t="shared" si="41"/>
        <v>#DIV/0!</v>
      </c>
    </row>
    <row r="58" spans="2:49" x14ac:dyDescent="0.15">
      <c r="B58" s="2">
        <v>54</v>
      </c>
      <c r="C58" s="2">
        <v>45</v>
      </c>
      <c r="D58" s="2">
        <v>160</v>
      </c>
      <c r="E58" s="2">
        <v>0</v>
      </c>
      <c r="F58" s="2">
        <v>0</v>
      </c>
      <c r="G58" s="2">
        <v>0</v>
      </c>
      <c r="I58" s="2">
        <v>17.850000000000001</v>
      </c>
      <c r="J58" s="2">
        <v>35.700000000000003</v>
      </c>
      <c r="K58" s="2">
        <v>27.35</v>
      </c>
      <c r="L58" s="2">
        <v>4.75</v>
      </c>
      <c r="M58" s="2">
        <v>0</v>
      </c>
      <c r="O58" s="3">
        <f t="shared" si="27"/>
        <v>62.85</v>
      </c>
      <c r="P58" s="3">
        <f t="shared" si="28"/>
        <v>195.7</v>
      </c>
      <c r="Q58" s="3">
        <f t="shared" si="29"/>
        <v>27.35</v>
      </c>
      <c r="R58" s="3">
        <f t="shared" si="30"/>
        <v>4.75</v>
      </c>
      <c r="S58" s="3">
        <f t="shared" si="31"/>
        <v>0</v>
      </c>
      <c r="U58" s="1">
        <f t="shared" si="17"/>
        <v>0.71599045346062051</v>
      </c>
      <c r="V58" s="1">
        <f t="shared" si="18"/>
        <v>0.81757792539601437</v>
      </c>
      <c r="W58" s="1">
        <f t="shared" si="19"/>
        <v>0</v>
      </c>
      <c r="X58" s="1">
        <f t="shared" si="20"/>
        <v>0</v>
      </c>
      <c r="Y58" s="1" t="e">
        <f t="shared" si="21"/>
        <v>#DIV/0!</v>
      </c>
      <c r="AA58" s="1">
        <f t="shared" si="22"/>
        <v>0.28400954653937949</v>
      </c>
      <c r="AB58" s="1">
        <f t="shared" si="23"/>
        <v>0.18242207460398571</v>
      </c>
      <c r="AC58" s="1">
        <f t="shared" si="24"/>
        <v>1</v>
      </c>
      <c r="AD58" s="1">
        <f t="shared" si="25"/>
        <v>1</v>
      </c>
      <c r="AE58" s="1" t="e">
        <f t="shared" si="26"/>
        <v>#DIV/0!</v>
      </c>
      <c r="AG58" s="2">
        <v>154.98759435710542</v>
      </c>
      <c r="AH58" s="2">
        <v>98.130347829283608</v>
      </c>
      <c r="AI58" s="2">
        <v>31.806210734091273</v>
      </c>
      <c r="AJ58" s="2">
        <v>0</v>
      </c>
      <c r="AK58" s="2">
        <v>0</v>
      </c>
      <c r="AM58" s="1">
        <f t="shared" si="32"/>
        <v>0.2903458188809353</v>
      </c>
      <c r="AN58" s="1">
        <f t="shared" si="33"/>
        <v>1.6304843867296834</v>
      </c>
      <c r="AO58" s="1">
        <f t="shared" si="34"/>
        <v>0</v>
      </c>
      <c r="AP58" s="1" t="e">
        <f t="shared" si="35"/>
        <v>#DIV/0!</v>
      </c>
      <c r="AQ58" s="1" t="e">
        <f t="shared" si="36"/>
        <v>#DIV/0!</v>
      </c>
      <c r="AS58" s="1">
        <f t="shared" si="37"/>
        <v>0.11517050815610434</v>
      </c>
      <c r="AT58" s="1">
        <f t="shared" si="38"/>
        <v>0.36380182878906064</v>
      </c>
      <c r="AU58" s="1">
        <f t="shared" si="39"/>
        <v>0.85989495034958963</v>
      </c>
      <c r="AV58" s="1" t="e">
        <f t="shared" si="40"/>
        <v>#DIV/0!</v>
      </c>
      <c r="AW58" s="1" t="e">
        <f t="shared" si="41"/>
        <v>#DIV/0!</v>
      </c>
    </row>
    <row r="59" spans="2:49" x14ac:dyDescent="0.15">
      <c r="B59" s="2">
        <v>55</v>
      </c>
      <c r="C59" s="2">
        <v>45</v>
      </c>
      <c r="D59" s="2">
        <v>182.5</v>
      </c>
      <c r="E59" s="2">
        <v>0</v>
      </c>
      <c r="F59" s="2">
        <v>0</v>
      </c>
      <c r="G59" s="2">
        <v>0</v>
      </c>
      <c r="I59" s="2">
        <v>18</v>
      </c>
      <c r="J59" s="2">
        <v>36</v>
      </c>
      <c r="K59" s="2">
        <v>28</v>
      </c>
      <c r="L59" s="2">
        <v>5</v>
      </c>
      <c r="M59" s="2">
        <v>0</v>
      </c>
      <c r="O59" s="3">
        <f t="shared" si="27"/>
        <v>63</v>
      </c>
      <c r="P59" s="3">
        <f t="shared" si="28"/>
        <v>218.5</v>
      </c>
      <c r="Q59" s="3">
        <f t="shared" si="29"/>
        <v>28</v>
      </c>
      <c r="R59" s="3">
        <f t="shared" si="30"/>
        <v>5</v>
      </c>
      <c r="S59" s="3">
        <f t="shared" si="31"/>
        <v>0</v>
      </c>
      <c r="U59" s="1">
        <f t="shared" si="17"/>
        <v>0.7142857142857143</v>
      </c>
      <c r="V59" s="1">
        <f t="shared" si="18"/>
        <v>0.83524027459954231</v>
      </c>
      <c r="W59" s="1">
        <f t="shared" si="19"/>
        <v>0</v>
      </c>
      <c r="X59" s="1">
        <f t="shared" si="20"/>
        <v>0</v>
      </c>
      <c r="Y59" s="1" t="e">
        <f t="shared" si="21"/>
        <v>#DIV/0!</v>
      </c>
      <c r="AA59" s="1">
        <f t="shared" si="22"/>
        <v>0.2857142857142857</v>
      </c>
      <c r="AB59" s="1">
        <f t="shared" si="23"/>
        <v>0.16475972540045766</v>
      </c>
      <c r="AC59" s="1">
        <f t="shared" si="24"/>
        <v>1</v>
      </c>
      <c r="AD59" s="1">
        <f t="shared" si="25"/>
        <v>1</v>
      </c>
      <c r="AE59" s="1" t="e">
        <f t="shared" si="26"/>
        <v>#DIV/0!</v>
      </c>
      <c r="AG59" s="2">
        <v>170.59258426418316</v>
      </c>
      <c r="AH59" s="2">
        <v>109.27676919148199</v>
      </c>
      <c r="AI59" s="2">
        <v>36.264779278970622</v>
      </c>
      <c r="AJ59" s="2">
        <v>0</v>
      </c>
      <c r="AK59" s="2">
        <v>0</v>
      </c>
      <c r="AM59" s="1">
        <f t="shared" si="32"/>
        <v>0.26378637848824704</v>
      </c>
      <c r="AN59" s="1">
        <f t="shared" si="33"/>
        <v>1.6700713367560438</v>
      </c>
      <c r="AO59" s="1">
        <f t="shared" si="34"/>
        <v>0</v>
      </c>
      <c r="AP59" s="1" t="e">
        <f t="shared" si="35"/>
        <v>#DIV/0!</v>
      </c>
      <c r="AQ59" s="1" t="e">
        <f t="shared" si="36"/>
        <v>#DIV/0!</v>
      </c>
      <c r="AS59" s="1">
        <f t="shared" si="37"/>
        <v>0.10551455139529883</v>
      </c>
      <c r="AT59" s="1">
        <f t="shared" si="38"/>
        <v>0.32943872944228814</v>
      </c>
      <c r="AU59" s="1">
        <f t="shared" si="39"/>
        <v>0.77209900505962159</v>
      </c>
      <c r="AV59" s="1" t="e">
        <f t="shared" si="40"/>
        <v>#DIV/0!</v>
      </c>
      <c r="AW59" s="1" t="e">
        <f t="shared" si="41"/>
        <v>#DIV/0!</v>
      </c>
    </row>
    <row r="60" spans="2:49" x14ac:dyDescent="0.15">
      <c r="B60" s="2">
        <v>56</v>
      </c>
      <c r="C60" s="2">
        <v>45</v>
      </c>
      <c r="D60" s="2">
        <v>205</v>
      </c>
      <c r="E60" s="2">
        <v>0</v>
      </c>
      <c r="F60" s="2">
        <v>0</v>
      </c>
      <c r="G60" s="2">
        <v>0</v>
      </c>
      <c r="I60" s="2">
        <v>19</v>
      </c>
      <c r="J60" s="2">
        <v>38</v>
      </c>
      <c r="K60" s="2">
        <v>29</v>
      </c>
      <c r="L60" s="2">
        <v>6.333333333333333</v>
      </c>
      <c r="M60" s="2">
        <v>0.46666666666666667</v>
      </c>
      <c r="O60" s="3">
        <f t="shared" si="27"/>
        <v>64</v>
      </c>
      <c r="P60" s="3">
        <f t="shared" si="28"/>
        <v>243</v>
      </c>
      <c r="Q60" s="3">
        <f t="shared" si="29"/>
        <v>29</v>
      </c>
      <c r="R60" s="3">
        <f t="shared" si="30"/>
        <v>6.333333333333333</v>
      </c>
      <c r="S60" s="3">
        <f t="shared" si="31"/>
        <v>0.46666666666666667</v>
      </c>
      <c r="U60" s="1">
        <f t="shared" si="17"/>
        <v>0.703125</v>
      </c>
      <c r="V60" s="1">
        <f t="shared" si="18"/>
        <v>0.84362139917695478</v>
      </c>
      <c r="W60" s="1">
        <f t="shared" si="19"/>
        <v>0</v>
      </c>
      <c r="X60" s="1">
        <f t="shared" si="20"/>
        <v>0</v>
      </c>
      <c r="Y60" s="1">
        <f t="shared" si="21"/>
        <v>0</v>
      </c>
      <c r="AA60" s="1">
        <f t="shared" si="22"/>
        <v>0.296875</v>
      </c>
      <c r="AB60" s="1">
        <f t="shared" si="23"/>
        <v>0.15637860082304528</v>
      </c>
      <c r="AC60" s="1">
        <f t="shared" si="24"/>
        <v>1</v>
      </c>
      <c r="AD60" s="1">
        <f t="shared" si="25"/>
        <v>1</v>
      </c>
      <c r="AE60" s="1">
        <f t="shared" si="26"/>
        <v>1</v>
      </c>
      <c r="AG60" s="2">
        <v>183.92436374980076</v>
      </c>
      <c r="AH60" s="2">
        <v>118.799468824066</v>
      </c>
      <c r="AI60" s="2">
        <v>41.502264076891819</v>
      </c>
      <c r="AJ60" s="2">
        <v>0.47613498162920004</v>
      </c>
      <c r="AK60" s="2">
        <v>0</v>
      </c>
      <c r="AM60" s="1">
        <f t="shared" si="32"/>
        <v>0.24466579132069308</v>
      </c>
      <c r="AN60" s="1">
        <f t="shared" si="33"/>
        <v>1.7255969410401251</v>
      </c>
      <c r="AO60" s="1">
        <f t="shared" si="34"/>
        <v>0</v>
      </c>
      <c r="AP60" s="1">
        <f t="shared" si="35"/>
        <v>0</v>
      </c>
      <c r="AQ60" s="1" t="e">
        <f t="shared" si="36"/>
        <v>#DIV/0!</v>
      </c>
      <c r="AS60" s="1">
        <f t="shared" si="37"/>
        <v>0.10330333411318152</v>
      </c>
      <c r="AT60" s="1">
        <f t="shared" si="38"/>
        <v>0.3198667500464622</v>
      </c>
      <c r="AU60" s="1">
        <f t="shared" si="39"/>
        <v>0.69875705928407417</v>
      </c>
      <c r="AV60" s="1">
        <f t="shared" si="40"/>
        <v>13.301550143747992</v>
      </c>
      <c r="AW60" s="1" t="e">
        <f t="shared" si="41"/>
        <v>#DIV/0!</v>
      </c>
    </row>
    <row r="61" spans="2:49" x14ac:dyDescent="0.15">
      <c r="B61" s="2">
        <v>57</v>
      </c>
      <c r="C61" s="2">
        <v>45</v>
      </c>
      <c r="D61" s="2">
        <v>205</v>
      </c>
      <c r="E61" s="2">
        <v>10</v>
      </c>
      <c r="F61" s="2">
        <v>0</v>
      </c>
      <c r="G61" s="2">
        <v>0</v>
      </c>
      <c r="I61" s="2">
        <v>20</v>
      </c>
      <c r="J61" s="2">
        <v>40</v>
      </c>
      <c r="K61" s="2">
        <v>30</v>
      </c>
      <c r="L61" s="2">
        <v>7.6666666666666661</v>
      </c>
      <c r="M61" s="2">
        <v>0.93333333333333335</v>
      </c>
      <c r="O61" s="3">
        <f t="shared" si="27"/>
        <v>65</v>
      </c>
      <c r="P61" s="3">
        <f t="shared" si="28"/>
        <v>245</v>
      </c>
      <c r="Q61" s="3">
        <f t="shared" si="29"/>
        <v>40</v>
      </c>
      <c r="R61" s="3">
        <f t="shared" si="30"/>
        <v>7.6666666666666661</v>
      </c>
      <c r="S61" s="3">
        <f t="shared" si="31"/>
        <v>0.93333333333333335</v>
      </c>
      <c r="U61" s="1">
        <f t="shared" si="17"/>
        <v>0.69230769230769229</v>
      </c>
      <c r="V61" s="1">
        <f t="shared" si="18"/>
        <v>0.83673469387755106</v>
      </c>
      <c r="W61" s="1">
        <f t="shared" si="19"/>
        <v>0.25</v>
      </c>
      <c r="X61" s="1">
        <f t="shared" si="20"/>
        <v>0</v>
      </c>
      <c r="Y61" s="1">
        <f t="shared" si="21"/>
        <v>0</v>
      </c>
      <c r="AA61" s="1">
        <f t="shared" si="22"/>
        <v>0.30769230769230771</v>
      </c>
      <c r="AB61" s="1">
        <f t="shared" si="23"/>
        <v>0.16326530612244897</v>
      </c>
      <c r="AC61" s="1">
        <f t="shared" si="24"/>
        <v>0.75</v>
      </c>
      <c r="AD61" s="1">
        <f t="shared" si="25"/>
        <v>1</v>
      </c>
      <c r="AE61" s="1">
        <f t="shared" si="26"/>
        <v>1</v>
      </c>
      <c r="AG61" s="2">
        <v>194.60467552048561</v>
      </c>
      <c r="AH61" s="2">
        <v>126.42826294598375</v>
      </c>
      <c r="AI61" s="2">
        <v>47.605299374426018</v>
      </c>
      <c r="AJ61" s="2">
        <v>1.4933075312182329</v>
      </c>
      <c r="AK61" s="2">
        <v>0</v>
      </c>
      <c r="AM61" s="1">
        <f t="shared" si="32"/>
        <v>0.2312380207702818</v>
      </c>
      <c r="AN61" s="1">
        <f t="shared" si="33"/>
        <v>1.6214728829074072</v>
      </c>
      <c r="AO61" s="1">
        <f t="shared" si="34"/>
        <v>0.21006064726844439</v>
      </c>
      <c r="AP61" s="1">
        <f t="shared" si="35"/>
        <v>0</v>
      </c>
      <c r="AQ61" s="1" t="e">
        <f t="shared" si="36"/>
        <v>#DIV/0!</v>
      </c>
      <c r="AS61" s="1">
        <f t="shared" si="37"/>
        <v>0.10277245367568079</v>
      </c>
      <c r="AT61" s="1">
        <f t="shared" si="38"/>
        <v>0.31638495276242096</v>
      </c>
      <c r="AU61" s="1">
        <f t="shared" si="39"/>
        <v>0.63018194180533316</v>
      </c>
      <c r="AV61" s="1">
        <f t="shared" si="40"/>
        <v>5.1340172780165636</v>
      </c>
      <c r="AW61" s="1" t="e">
        <f t="shared" si="41"/>
        <v>#DIV/0!</v>
      </c>
    </row>
    <row r="62" spans="2:49" x14ac:dyDescent="0.15">
      <c r="B62" s="2">
        <v>58</v>
      </c>
      <c r="C62" s="2">
        <v>45</v>
      </c>
      <c r="D62" s="2">
        <v>205</v>
      </c>
      <c r="E62" s="2">
        <v>20</v>
      </c>
      <c r="F62" s="2">
        <v>0</v>
      </c>
      <c r="G62" s="2">
        <v>0</v>
      </c>
      <c r="I62" s="2">
        <v>21</v>
      </c>
      <c r="J62" s="2">
        <v>42</v>
      </c>
      <c r="K62" s="2">
        <v>31</v>
      </c>
      <c r="L62" s="2">
        <v>9</v>
      </c>
      <c r="M62" s="2">
        <v>1.4</v>
      </c>
      <c r="O62" s="3">
        <f t="shared" si="27"/>
        <v>66</v>
      </c>
      <c r="P62" s="3">
        <f t="shared" si="28"/>
        <v>247</v>
      </c>
      <c r="Q62" s="3">
        <f t="shared" si="29"/>
        <v>51</v>
      </c>
      <c r="R62" s="3">
        <f t="shared" si="30"/>
        <v>9</v>
      </c>
      <c r="S62" s="3">
        <f t="shared" si="31"/>
        <v>1.4</v>
      </c>
      <c r="U62" s="1">
        <f t="shared" si="17"/>
        <v>0.68181818181818177</v>
      </c>
      <c r="V62" s="1">
        <f t="shared" si="18"/>
        <v>0.82995951417004044</v>
      </c>
      <c r="W62" s="1">
        <f t="shared" si="19"/>
        <v>0.39215686274509803</v>
      </c>
      <c r="X62" s="1">
        <f t="shared" si="20"/>
        <v>0</v>
      </c>
      <c r="Y62" s="1">
        <f t="shared" si="21"/>
        <v>0</v>
      </c>
      <c r="AA62" s="1">
        <f t="shared" si="22"/>
        <v>0.31818181818181818</v>
      </c>
      <c r="AB62" s="1">
        <f t="shared" si="23"/>
        <v>0.17004048582995951</v>
      </c>
      <c r="AC62" s="1">
        <f t="shared" si="24"/>
        <v>0.60784313725490191</v>
      </c>
      <c r="AD62" s="1">
        <f t="shared" si="25"/>
        <v>1</v>
      </c>
      <c r="AE62" s="1">
        <f t="shared" si="26"/>
        <v>1</v>
      </c>
      <c r="AG62" s="2">
        <v>202.2118094553627</v>
      </c>
      <c r="AH62" s="2">
        <v>131.86193004232453</v>
      </c>
      <c r="AI62" s="2">
        <v>54.669066599669023</v>
      </c>
      <c r="AJ62" s="2">
        <v>3.1234076601204643</v>
      </c>
      <c r="AK62" s="2">
        <v>0</v>
      </c>
      <c r="AM62" s="1">
        <f t="shared" si="32"/>
        <v>0.22253893143631426</v>
      </c>
      <c r="AN62" s="1">
        <f t="shared" si="33"/>
        <v>1.554656449622722</v>
      </c>
      <c r="AO62" s="1">
        <f t="shared" si="34"/>
        <v>0.3658375978221125</v>
      </c>
      <c r="AP62" s="1">
        <f t="shared" si="35"/>
        <v>0</v>
      </c>
      <c r="AQ62" s="1" t="e">
        <f t="shared" si="36"/>
        <v>#DIV/0!</v>
      </c>
      <c r="AS62" s="1">
        <f t="shared" si="37"/>
        <v>0.10385150133694665</v>
      </c>
      <c r="AT62" s="1">
        <f t="shared" si="38"/>
        <v>0.318514979922704</v>
      </c>
      <c r="AU62" s="1">
        <f t="shared" si="39"/>
        <v>0.56704827662427437</v>
      </c>
      <c r="AV62" s="1">
        <f t="shared" si="40"/>
        <v>2.8814682485772241</v>
      </c>
      <c r="AW62" s="1" t="e">
        <f t="shared" si="41"/>
        <v>#DIV/0!</v>
      </c>
    </row>
    <row r="63" spans="2:49" x14ac:dyDescent="0.15">
      <c r="B63" s="2">
        <v>59</v>
      </c>
      <c r="C63" s="2">
        <v>45</v>
      </c>
      <c r="D63" s="2">
        <v>205</v>
      </c>
      <c r="E63" s="2">
        <v>30</v>
      </c>
      <c r="F63" s="2">
        <v>0</v>
      </c>
      <c r="G63" s="2">
        <v>0</v>
      </c>
      <c r="I63" s="2">
        <v>22</v>
      </c>
      <c r="J63" s="2">
        <v>44</v>
      </c>
      <c r="K63" s="2">
        <v>32</v>
      </c>
      <c r="L63" s="2">
        <v>10.333333333333332</v>
      </c>
      <c r="M63" s="2">
        <v>1.8666666666666667</v>
      </c>
      <c r="O63" s="3">
        <f t="shared" si="27"/>
        <v>67</v>
      </c>
      <c r="P63" s="3">
        <f t="shared" si="28"/>
        <v>249</v>
      </c>
      <c r="Q63" s="3">
        <f t="shared" si="29"/>
        <v>62</v>
      </c>
      <c r="R63" s="3">
        <f t="shared" si="30"/>
        <v>10.333333333333332</v>
      </c>
      <c r="S63" s="3">
        <f t="shared" si="31"/>
        <v>1.8666666666666667</v>
      </c>
      <c r="U63" s="1">
        <f t="shared" si="17"/>
        <v>0.67164179104477617</v>
      </c>
      <c r="V63" s="1">
        <f t="shared" si="18"/>
        <v>0.82329317269076308</v>
      </c>
      <c r="W63" s="1">
        <f t="shared" si="19"/>
        <v>0.4838709677419355</v>
      </c>
      <c r="X63" s="1">
        <f t="shared" si="20"/>
        <v>0</v>
      </c>
      <c r="Y63" s="1">
        <f t="shared" si="21"/>
        <v>0</v>
      </c>
      <c r="AA63" s="1">
        <f t="shared" si="22"/>
        <v>0.32835820895522388</v>
      </c>
      <c r="AB63" s="1">
        <f t="shared" si="23"/>
        <v>0.17670682730923695</v>
      </c>
      <c r="AC63" s="1">
        <f t="shared" si="24"/>
        <v>0.5161290322580645</v>
      </c>
      <c r="AD63" s="1">
        <f t="shared" si="25"/>
        <v>1</v>
      </c>
      <c r="AE63" s="1">
        <f t="shared" si="26"/>
        <v>1</v>
      </c>
      <c r="AG63" s="2">
        <v>206.27631365233694</v>
      </c>
      <c r="AH63" s="2">
        <v>134.76514732587756</v>
      </c>
      <c r="AI63" s="2">
        <v>62.798074993617483</v>
      </c>
      <c r="AJ63" s="2">
        <v>5.4459814869628822</v>
      </c>
      <c r="AK63" s="2">
        <v>0</v>
      </c>
      <c r="AM63" s="1">
        <f t="shared" si="32"/>
        <v>0.21815398580296563</v>
      </c>
      <c r="AN63" s="1">
        <f t="shared" si="33"/>
        <v>1.5211648120287846</v>
      </c>
      <c r="AO63" s="1">
        <f t="shared" si="34"/>
        <v>0.47772164995581579</v>
      </c>
      <c r="AP63" s="1">
        <f t="shared" si="35"/>
        <v>0</v>
      </c>
      <c r="AQ63" s="1" t="e">
        <f t="shared" si="36"/>
        <v>#DIV/0!</v>
      </c>
      <c r="AS63" s="1">
        <f t="shared" si="37"/>
        <v>0.10665305972589431</v>
      </c>
      <c r="AT63" s="1">
        <f t="shared" si="38"/>
        <v>0.32649391087447083</v>
      </c>
      <c r="AU63" s="1">
        <f t="shared" si="39"/>
        <v>0.50956975995287013</v>
      </c>
      <c r="AV63" s="1">
        <f t="shared" si="40"/>
        <v>1.8974235145804785</v>
      </c>
      <c r="AW63" s="1" t="e">
        <f t="shared" si="41"/>
        <v>#DIV/0!</v>
      </c>
    </row>
    <row r="64" spans="2:49" x14ac:dyDescent="0.15">
      <c r="B64" s="2">
        <v>60</v>
      </c>
      <c r="C64" s="2">
        <v>45</v>
      </c>
      <c r="D64" s="2">
        <v>205</v>
      </c>
      <c r="E64" s="2">
        <v>40</v>
      </c>
      <c r="F64" s="2">
        <v>0</v>
      </c>
      <c r="G64" s="2">
        <v>0</v>
      </c>
      <c r="I64" s="2">
        <v>23</v>
      </c>
      <c r="J64" s="2">
        <v>46</v>
      </c>
      <c r="K64" s="2">
        <v>33</v>
      </c>
      <c r="L64" s="2">
        <v>11.666666666666666</v>
      </c>
      <c r="M64" s="2">
        <v>2.3333333333333335</v>
      </c>
      <c r="O64" s="3">
        <f t="shared" si="27"/>
        <v>68</v>
      </c>
      <c r="P64" s="3">
        <f t="shared" si="28"/>
        <v>251</v>
      </c>
      <c r="Q64" s="3">
        <f t="shared" si="29"/>
        <v>73</v>
      </c>
      <c r="R64" s="3">
        <f t="shared" si="30"/>
        <v>11.666666666666666</v>
      </c>
      <c r="S64" s="3">
        <f t="shared" si="31"/>
        <v>2.3333333333333335</v>
      </c>
      <c r="U64" s="1">
        <f t="shared" si="17"/>
        <v>0.66176470588235292</v>
      </c>
      <c r="V64" s="1">
        <f t="shared" si="18"/>
        <v>0.81673306772908372</v>
      </c>
      <c r="W64" s="1">
        <f t="shared" si="19"/>
        <v>0.54794520547945202</v>
      </c>
      <c r="X64" s="1">
        <f t="shared" si="20"/>
        <v>0</v>
      </c>
      <c r="Y64" s="1">
        <f t="shared" si="21"/>
        <v>0</v>
      </c>
      <c r="AA64" s="1">
        <f t="shared" si="22"/>
        <v>0.33823529411764708</v>
      </c>
      <c r="AB64" s="1">
        <f t="shared" si="23"/>
        <v>0.18326693227091634</v>
      </c>
      <c r="AC64" s="1">
        <f t="shared" si="24"/>
        <v>0.45205479452054792</v>
      </c>
      <c r="AD64" s="1">
        <f t="shared" si="25"/>
        <v>1</v>
      </c>
      <c r="AE64" s="1">
        <f t="shared" si="26"/>
        <v>1</v>
      </c>
      <c r="AG64" s="2">
        <v>206.27631365233694</v>
      </c>
      <c r="AH64" s="2">
        <v>134.76514732587756</v>
      </c>
      <c r="AI64" s="2">
        <v>72.107010268570789</v>
      </c>
      <c r="AJ64" s="2">
        <v>8.5489599119473176</v>
      </c>
      <c r="AK64" s="2">
        <v>0</v>
      </c>
      <c r="AM64" s="1">
        <f t="shared" si="32"/>
        <v>0.21815398580296563</v>
      </c>
      <c r="AN64" s="1">
        <f t="shared" si="33"/>
        <v>1.5211648120287846</v>
      </c>
      <c r="AO64" s="1">
        <f t="shared" si="34"/>
        <v>0.55473108441211794</v>
      </c>
      <c r="AP64" s="1">
        <f t="shared" si="35"/>
        <v>0</v>
      </c>
      <c r="AQ64" s="1" t="e">
        <f t="shared" si="36"/>
        <v>#DIV/0!</v>
      </c>
      <c r="AS64" s="1">
        <f t="shared" si="37"/>
        <v>0.11150092607707132</v>
      </c>
      <c r="AT64" s="1">
        <f t="shared" si="38"/>
        <v>0.34133454318694678</v>
      </c>
      <c r="AU64" s="1">
        <f t="shared" si="39"/>
        <v>0.45765314463999734</v>
      </c>
      <c r="AV64" s="1">
        <f t="shared" si="40"/>
        <v>1.364688428397272</v>
      </c>
      <c r="AW64" s="1" t="e">
        <f t="shared" si="41"/>
        <v>#DIV/0!</v>
      </c>
    </row>
    <row r="65" spans="2:49" x14ac:dyDescent="0.15">
      <c r="B65" s="2">
        <v>61</v>
      </c>
      <c r="C65" s="2">
        <v>45</v>
      </c>
      <c r="D65" s="2">
        <v>205</v>
      </c>
      <c r="E65" s="2">
        <v>50</v>
      </c>
      <c r="F65" s="2">
        <v>0</v>
      </c>
      <c r="G65" s="2">
        <v>0</v>
      </c>
      <c r="I65" s="2">
        <v>24</v>
      </c>
      <c r="J65" s="2">
        <v>48</v>
      </c>
      <c r="K65" s="2">
        <v>34</v>
      </c>
      <c r="L65" s="2">
        <v>13</v>
      </c>
      <c r="M65" s="2">
        <v>2.8</v>
      </c>
      <c r="O65" s="3">
        <f t="shared" si="27"/>
        <v>69</v>
      </c>
      <c r="P65" s="3">
        <f t="shared" si="28"/>
        <v>253</v>
      </c>
      <c r="Q65" s="3">
        <f t="shared" si="29"/>
        <v>84</v>
      </c>
      <c r="R65" s="3">
        <f t="shared" si="30"/>
        <v>13</v>
      </c>
      <c r="S65" s="3">
        <f t="shared" si="31"/>
        <v>2.8</v>
      </c>
      <c r="U65" s="1">
        <f t="shared" si="17"/>
        <v>0.65217391304347827</v>
      </c>
      <c r="V65" s="1">
        <f t="shared" si="18"/>
        <v>0.81027667984189722</v>
      </c>
      <c r="W65" s="1">
        <f t="shared" si="19"/>
        <v>0.59523809523809523</v>
      </c>
      <c r="X65" s="1">
        <f t="shared" si="20"/>
        <v>0</v>
      </c>
      <c r="Y65" s="1">
        <f t="shared" si="21"/>
        <v>0</v>
      </c>
      <c r="AA65" s="1">
        <f t="shared" si="22"/>
        <v>0.34782608695652173</v>
      </c>
      <c r="AB65" s="1">
        <f t="shared" si="23"/>
        <v>0.18972332015810275</v>
      </c>
      <c r="AC65" s="1">
        <f t="shared" si="24"/>
        <v>0.40476190476190477</v>
      </c>
      <c r="AD65" s="1">
        <f t="shared" si="25"/>
        <v>1</v>
      </c>
      <c r="AE65" s="1">
        <f t="shared" si="26"/>
        <v>1</v>
      </c>
      <c r="AG65" s="2">
        <v>206.27631365233694</v>
      </c>
      <c r="AH65" s="2">
        <v>134.76514732587756</v>
      </c>
      <c r="AI65" s="2">
        <v>82.721657037263981</v>
      </c>
      <c r="AJ65" s="2">
        <v>12.1977447386856</v>
      </c>
      <c r="AK65" s="2">
        <v>0</v>
      </c>
      <c r="AM65" s="1">
        <f t="shared" si="32"/>
        <v>0.21815398580296563</v>
      </c>
      <c r="AN65" s="1">
        <f t="shared" si="33"/>
        <v>1.5211648120287846</v>
      </c>
      <c r="AO65" s="1">
        <f t="shared" si="34"/>
        <v>0.6044366347433815</v>
      </c>
      <c r="AP65" s="1">
        <f t="shared" si="35"/>
        <v>0</v>
      </c>
      <c r="AQ65" s="1" t="e">
        <f t="shared" si="36"/>
        <v>#DIV/0!</v>
      </c>
      <c r="AS65" s="1">
        <f t="shared" si="37"/>
        <v>0.11634879242824835</v>
      </c>
      <c r="AT65" s="1">
        <f t="shared" si="38"/>
        <v>0.35617517549942274</v>
      </c>
      <c r="AU65" s="1">
        <f t="shared" si="39"/>
        <v>0.41101691162549941</v>
      </c>
      <c r="AV65" s="1">
        <f t="shared" si="40"/>
        <v>1.0657707861986994</v>
      </c>
      <c r="AW65" s="1" t="e">
        <f t="shared" si="41"/>
        <v>#DIV/0!</v>
      </c>
    </row>
    <row r="66" spans="2:49" x14ac:dyDescent="0.15">
      <c r="B66" s="2">
        <v>62</v>
      </c>
      <c r="C66" s="2">
        <v>45</v>
      </c>
      <c r="D66" s="2">
        <v>205</v>
      </c>
      <c r="E66" s="2">
        <v>60</v>
      </c>
      <c r="F66" s="2">
        <v>0</v>
      </c>
      <c r="G66" s="2">
        <v>0</v>
      </c>
      <c r="I66" s="2">
        <v>25</v>
      </c>
      <c r="J66" s="2">
        <v>50</v>
      </c>
      <c r="K66" s="2">
        <v>35</v>
      </c>
      <c r="L66" s="2">
        <v>14.333333333333332</v>
      </c>
      <c r="M66" s="2">
        <v>3.2666666666666666</v>
      </c>
      <c r="O66" s="3">
        <f t="shared" si="27"/>
        <v>70</v>
      </c>
      <c r="P66" s="3">
        <f t="shared" si="28"/>
        <v>255</v>
      </c>
      <c r="Q66" s="3">
        <f t="shared" si="29"/>
        <v>95</v>
      </c>
      <c r="R66" s="3">
        <f t="shared" si="30"/>
        <v>14.333333333333332</v>
      </c>
      <c r="S66" s="3">
        <f t="shared" si="31"/>
        <v>3.2666666666666666</v>
      </c>
      <c r="U66" s="1">
        <f t="shared" si="17"/>
        <v>0.6428571428571429</v>
      </c>
      <c r="V66" s="1">
        <f t="shared" si="18"/>
        <v>0.80392156862745101</v>
      </c>
      <c r="W66" s="1">
        <f t="shared" si="19"/>
        <v>0.63157894736842102</v>
      </c>
      <c r="X66" s="1">
        <f t="shared" si="20"/>
        <v>0</v>
      </c>
      <c r="Y66" s="1">
        <f t="shared" si="21"/>
        <v>0</v>
      </c>
      <c r="AA66" s="1">
        <f t="shared" si="22"/>
        <v>0.35714285714285715</v>
      </c>
      <c r="AB66" s="1">
        <f t="shared" si="23"/>
        <v>0.19607843137254902</v>
      </c>
      <c r="AC66" s="1">
        <f t="shared" si="24"/>
        <v>0.36842105263157893</v>
      </c>
      <c r="AD66" s="1">
        <f t="shared" si="25"/>
        <v>1</v>
      </c>
      <c r="AE66" s="1">
        <f t="shared" si="26"/>
        <v>1</v>
      </c>
      <c r="AG66" s="2">
        <v>206.27631365233694</v>
      </c>
      <c r="AH66" s="2">
        <v>134.76514732587756</v>
      </c>
      <c r="AI66" s="2">
        <v>94.77990123048636</v>
      </c>
      <c r="AJ66" s="2">
        <v>16.453595630411144</v>
      </c>
      <c r="AK66" s="2">
        <v>0</v>
      </c>
      <c r="AM66" s="1">
        <f t="shared" si="32"/>
        <v>0.21815398580296563</v>
      </c>
      <c r="AN66" s="1">
        <f t="shared" si="33"/>
        <v>1.5211648120287846</v>
      </c>
      <c r="AO66" s="1">
        <f t="shared" si="34"/>
        <v>0.63304560588316738</v>
      </c>
      <c r="AP66" s="1">
        <f t="shared" si="35"/>
        <v>0</v>
      </c>
      <c r="AQ66" s="1" t="e">
        <f t="shared" si="36"/>
        <v>#DIV/0!</v>
      </c>
      <c r="AS66" s="1">
        <f t="shared" si="37"/>
        <v>0.12119665877942536</v>
      </c>
      <c r="AT66" s="1">
        <f t="shared" si="38"/>
        <v>0.37101580781189869</v>
      </c>
      <c r="AU66" s="1">
        <f t="shared" si="39"/>
        <v>0.36927660343184765</v>
      </c>
      <c r="AV66" s="1">
        <f t="shared" si="40"/>
        <v>0.8711368417758526</v>
      </c>
      <c r="AW66" s="1" t="e">
        <f t="shared" si="41"/>
        <v>#DIV/0!</v>
      </c>
    </row>
    <row r="67" spans="2:49" x14ac:dyDescent="0.15">
      <c r="B67" s="2">
        <v>63</v>
      </c>
      <c r="C67" s="2">
        <v>45</v>
      </c>
      <c r="D67" s="2">
        <v>205</v>
      </c>
      <c r="E67" s="2">
        <v>97.5</v>
      </c>
      <c r="F67" s="2">
        <v>0</v>
      </c>
      <c r="G67" s="2">
        <v>0</v>
      </c>
      <c r="I67" s="2">
        <v>26</v>
      </c>
      <c r="J67" s="2">
        <v>52</v>
      </c>
      <c r="K67" s="2">
        <v>36</v>
      </c>
      <c r="L67" s="2">
        <v>15.666666666666666</v>
      </c>
      <c r="M67" s="2">
        <v>3.7333333333333334</v>
      </c>
      <c r="O67" s="3">
        <f t="shared" si="27"/>
        <v>71</v>
      </c>
      <c r="P67" s="3">
        <f t="shared" si="28"/>
        <v>257</v>
      </c>
      <c r="Q67" s="3">
        <f t="shared" si="29"/>
        <v>133.5</v>
      </c>
      <c r="R67" s="3">
        <f t="shared" si="30"/>
        <v>15.666666666666666</v>
      </c>
      <c r="S67" s="3">
        <f t="shared" si="31"/>
        <v>3.7333333333333334</v>
      </c>
      <c r="U67" s="1">
        <f t="shared" si="17"/>
        <v>0.63380281690140849</v>
      </c>
      <c r="V67" s="1">
        <f t="shared" si="18"/>
        <v>0.7976653696498055</v>
      </c>
      <c r="W67" s="1">
        <f t="shared" si="19"/>
        <v>0.7303370786516854</v>
      </c>
      <c r="X67" s="1">
        <f t="shared" si="20"/>
        <v>0</v>
      </c>
      <c r="Y67" s="1">
        <f t="shared" si="21"/>
        <v>0</v>
      </c>
      <c r="AA67" s="1">
        <f t="shared" si="22"/>
        <v>0.36619718309859156</v>
      </c>
      <c r="AB67" s="1">
        <f t="shared" si="23"/>
        <v>0.20233463035019456</v>
      </c>
      <c r="AC67" s="1">
        <f t="shared" si="24"/>
        <v>0.2696629213483146</v>
      </c>
      <c r="AD67" s="1">
        <f t="shared" si="25"/>
        <v>1</v>
      </c>
      <c r="AE67" s="1">
        <f t="shared" si="26"/>
        <v>1</v>
      </c>
      <c r="AG67" s="2">
        <v>206.27631365233694</v>
      </c>
      <c r="AH67" s="2">
        <v>134.76514732587756</v>
      </c>
      <c r="AI67" s="2">
        <v>108.43281923345924</v>
      </c>
      <c r="AJ67" s="2">
        <v>21.383816020373573</v>
      </c>
      <c r="AK67" s="2">
        <v>0</v>
      </c>
      <c r="AM67" s="1">
        <f t="shared" si="32"/>
        <v>0.21815398580296563</v>
      </c>
      <c r="AN67" s="1">
        <f t="shared" si="33"/>
        <v>1.5211648120287846</v>
      </c>
      <c r="AO67" s="1">
        <f t="shared" si="34"/>
        <v>0.89917426005570744</v>
      </c>
      <c r="AP67" s="1">
        <f t="shared" si="35"/>
        <v>0</v>
      </c>
      <c r="AQ67" s="1" t="e">
        <f t="shared" si="36"/>
        <v>#DIV/0!</v>
      </c>
      <c r="AS67" s="1">
        <f t="shared" si="37"/>
        <v>0.12604452513060238</v>
      </c>
      <c r="AT67" s="1">
        <f t="shared" si="38"/>
        <v>0.38585644012437459</v>
      </c>
      <c r="AU67" s="1">
        <f t="shared" si="39"/>
        <v>0.3320028037128766</v>
      </c>
      <c r="AV67" s="1">
        <f t="shared" si="40"/>
        <v>0.73264129525525967</v>
      </c>
      <c r="AW67" s="1" t="e">
        <f t="shared" si="41"/>
        <v>#DIV/0!</v>
      </c>
    </row>
    <row r="68" spans="2:49" x14ac:dyDescent="0.15">
      <c r="B68" s="2">
        <v>64</v>
      </c>
      <c r="C68" s="2">
        <v>45</v>
      </c>
      <c r="D68" s="2">
        <v>205</v>
      </c>
      <c r="E68" s="2">
        <v>135</v>
      </c>
      <c r="F68" s="2">
        <v>0</v>
      </c>
      <c r="G68" s="2">
        <v>0</v>
      </c>
      <c r="I68" s="2">
        <v>27</v>
      </c>
      <c r="J68" s="2">
        <v>54</v>
      </c>
      <c r="K68" s="2">
        <v>37</v>
      </c>
      <c r="L68" s="2">
        <v>17</v>
      </c>
      <c r="M68" s="2">
        <v>4.2</v>
      </c>
      <c r="O68" s="3">
        <f t="shared" si="27"/>
        <v>72</v>
      </c>
      <c r="P68" s="3">
        <f t="shared" si="28"/>
        <v>259</v>
      </c>
      <c r="Q68" s="3">
        <f t="shared" si="29"/>
        <v>172</v>
      </c>
      <c r="R68" s="3">
        <f t="shared" si="30"/>
        <v>17</v>
      </c>
      <c r="S68" s="3">
        <f t="shared" si="31"/>
        <v>4.2</v>
      </c>
      <c r="U68" s="1">
        <f t="shared" si="17"/>
        <v>0.625</v>
      </c>
      <c r="V68" s="1">
        <f t="shared" si="18"/>
        <v>0.79150579150579148</v>
      </c>
      <c r="W68" s="1">
        <f t="shared" si="19"/>
        <v>0.78488372093023251</v>
      </c>
      <c r="X68" s="1">
        <f t="shared" si="20"/>
        <v>0</v>
      </c>
      <c r="Y68" s="1">
        <f t="shared" si="21"/>
        <v>0</v>
      </c>
      <c r="AA68" s="1">
        <f t="shared" si="22"/>
        <v>0.375</v>
      </c>
      <c r="AB68" s="1">
        <f t="shared" si="23"/>
        <v>0.20849420849420849</v>
      </c>
      <c r="AC68" s="1">
        <f t="shared" si="24"/>
        <v>0.21511627906976744</v>
      </c>
      <c r="AD68" s="1">
        <f t="shared" si="25"/>
        <v>1</v>
      </c>
      <c r="AE68" s="1">
        <f t="shared" si="26"/>
        <v>1</v>
      </c>
      <c r="AG68" s="2">
        <v>206.27631365233694</v>
      </c>
      <c r="AH68" s="2">
        <v>134.76514732587756</v>
      </c>
      <c r="AI68" s="2">
        <v>123.84586102530027</v>
      </c>
      <c r="AJ68" s="2">
        <v>27.062305101578158</v>
      </c>
      <c r="AK68" s="2">
        <v>0</v>
      </c>
      <c r="AM68" s="1">
        <f t="shared" si="32"/>
        <v>0.21815398580296563</v>
      </c>
      <c r="AN68" s="1">
        <f t="shared" si="33"/>
        <v>1.5211648120287846</v>
      </c>
      <c r="AO68" s="1">
        <f t="shared" si="34"/>
        <v>1.0900646891414569</v>
      </c>
      <c r="AP68" s="1">
        <f t="shared" si="35"/>
        <v>0</v>
      </c>
      <c r="AQ68" s="1" t="e">
        <f t="shared" si="36"/>
        <v>#DIV/0!</v>
      </c>
      <c r="AS68" s="1">
        <f t="shared" si="37"/>
        <v>0.13089239148177939</v>
      </c>
      <c r="AT68" s="1">
        <f t="shared" si="38"/>
        <v>0.40069707243685054</v>
      </c>
      <c r="AU68" s="1">
        <f t="shared" si="39"/>
        <v>0.2987584703572882</v>
      </c>
      <c r="AV68" s="1">
        <f t="shared" si="40"/>
        <v>0.62818004365077651</v>
      </c>
      <c r="AW68" s="1" t="e">
        <f t="shared" si="41"/>
        <v>#DIV/0!</v>
      </c>
    </row>
    <row r="69" spans="2:49" x14ac:dyDescent="0.15">
      <c r="B69" s="2">
        <v>65</v>
      </c>
      <c r="C69" s="2">
        <v>45</v>
      </c>
      <c r="D69" s="2">
        <v>205</v>
      </c>
      <c r="E69" s="2">
        <v>165</v>
      </c>
      <c r="F69" s="2">
        <v>0</v>
      </c>
      <c r="G69" s="2">
        <v>0</v>
      </c>
      <c r="I69" s="2">
        <v>28</v>
      </c>
      <c r="J69" s="2">
        <v>56</v>
      </c>
      <c r="K69" s="2">
        <v>38</v>
      </c>
      <c r="L69" s="2">
        <v>18.333333333333332</v>
      </c>
      <c r="M69" s="2">
        <v>4.666666666666667</v>
      </c>
      <c r="O69" s="3">
        <f t="shared" ref="O69:O104" si="42">C69+I69</f>
        <v>73</v>
      </c>
      <c r="P69" s="3">
        <f t="shared" ref="P69:P104" si="43">D69+J69</f>
        <v>261</v>
      </c>
      <c r="Q69" s="3">
        <f t="shared" ref="Q69:Q104" si="44">E69+K69</f>
        <v>203</v>
      </c>
      <c r="R69" s="3">
        <f t="shared" ref="R69:R104" si="45">F69+L69</f>
        <v>18.333333333333332</v>
      </c>
      <c r="S69" s="3">
        <f t="shared" ref="S69:S104" si="46">G69+M69</f>
        <v>4.666666666666667</v>
      </c>
      <c r="U69" s="1">
        <f t="shared" si="17"/>
        <v>0.61643835616438358</v>
      </c>
      <c r="V69" s="1">
        <f t="shared" si="18"/>
        <v>0.78544061302681989</v>
      </c>
      <c r="W69" s="1">
        <f t="shared" si="19"/>
        <v>0.81280788177339902</v>
      </c>
      <c r="X69" s="1">
        <f t="shared" si="20"/>
        <v>0</v>
      </c>
      <c r="Y69" s="1">
        <f t="shared" si="21"/>
        <v>0</v>
      </c>
      <c r="AA69" s="1">
        <f t="shared" si="22"/>
        <v>0.38356164383561642</v>
      </c>
      <c r="AB69" s="1">
        <f t="shared" si="23"/>
        <v>0.21455938697318008</v>
      </c>
      <c r="AC69" s="1">
        <f t="shared" si="24"/>
        <v>0.18719211822660098</v>
      </c>
      <c r="AD69" s="1">
        <f t="shared" si="25"/>
        <v>1</v>
      </c>
      <c r="AE69" s="1">
        <f t="shared" si="26"/>
        <v>1</v>
      </c>
      <c r="AG69" s="2">
        <v>206.27631365233694</v>
      </c>
      <c r="AH69" s="2">
        <v>134.76514732587756</v>
      </c>
      <c r="AI69" s="2">
        <v>141.20013520481768</v>
      </c>
      <c r="AJ69" s="2">
        <v>33.570157918897188</v>
      </c>
      <c r="AK69" s="2">
        <v>0</v>
      </c>
      <c r="AM69" s="1">
        <f t="shared" ref="AM69:AM104" si="47">C69/AG69</f>
        <v>0.21815398580296563</v>
      </c>
      <c r="AN69" s="1">
        <f t="shared" ref="AN69:AN104" si="48">D69/AH69</f>
        <v>1.5211648120287846</v>
      </c>
      <c r="AO69" s="1">
        <f t="shared" ref="AO69:AO104" si="49">E69/AI69</f>
        <v>1.168554121854483</v>
      </c>
      <c r="AP69" s="1">
        <f t="shared" ref="AP69:AP104" si="50">F69/AJ69</f>
        <v>0</v>
      </c>
      <c r="AQ69" s="1" t="e">
        <f t="shared" ref="AQ69:AQ104" si="51">G69/AK69</f>
        <v>#DIV/0!</v>
      </c>
      <c r="AS69" s="1">
        <f t="shared" ref="AS69:AS104" si="52">I69/AG69</f>
        <v>0.1357402578329564</v>
      </c>
      <c r="AT69" s="1">
        <f t="shared" ref="AT69:AT104" si="53">J69/AH69</f>
        <v>0.4155377047493265</v>
      </c>
      <c r="AU69" s="1">
        <f t="shared" ref="AU69:AU104" si="54">K69/AI69</f>
        <v>0.26912155533618398</v>
      </c>
      <c r="AV69" s="1">
        <f t="shared" ref="AV69:AV104" si="55">L69/AJ69</f>
        <v>0.54611996099706162</v>
      </c>
      <c r="AW69" s="1" t="e">
        <f t="shared" ref="AW69:AW104" si="56">M69/AK69</f>
        <v>#DIV/0!</v>
      </c>
    </row>
    <row r="70" spans="2:49" x14ac:dyDescent="0.15">
      <c r="B70" s="2">
        <v>66</v>
      </c>
      <c r="C70" s="2">
        <v>45</v>
      </c>
      <c r="D70" s="2">
        <v>205</v>
      </c>
      <c r="E70" s="2">
        <v>195</v>
      </c>
      <c r="F70" s="2">
        <v>0</v>
      </c>
      <c r="G70" s="2">
        <v>0</v>
      </c>
      <c r="I70" s="2">
        <v>29</v>
      </c>
      <c r="J70" s="2">
        <v>58</v>
      </c>
      <c r="K70" s="2">
        <v>39</v>
      </c>
      <c r="L70" s="2">
        <v>19.666666666666664</v>
      </c>
      <c r="M70" s="2">
        <v>5.1333333333333337</v>
      </c>
      <c r="O70" s="3">
        <f t="shared" si="42"/>
        <v>74</v>
      </c>
      <c r="P70" s="3">
        <f t="shared" si="43"/>
        <v>263</v>
      </c>
      <c r="Q70" s="3">
        <f t="shared" si="44"/>
        <v>234</v>
      </c>
      <c r="R70" s="3">
        <f t="shared" si="45"/>
        <v>19.666666666666664</v>
      </c>
      <c r="S70" s="3">
        <f t="shared" si="46"/>
        <v>5.1333333333333337</v>
      </c>
      <c r="U70" s="1">
        <f t="shared" ref="U70:U104" si="57">C70/O70</f>
        <v>0.60810810810810811</v>
      </c>
      <c r="V70" s="1">
        <f t="shared" ref="V70:V104" si="58">D70/P70</f>
        <v>0.77946768060836502</v>
      </c>
      <c r="W70" s="1">
        <f t="shared" ref="W70:W104" si="59">E70/Q70</f>
        <v>0.83333333333333337</v>
      </c>
      <c r="X70" s="1">
        <f t="shared" ref="X70:X104" si="60">F70/R70</f>
        <v>0</v>
      </c>
      <c r="Y70" s="1">
        <f t="shared" ref="Y70:Y104" si="61">G70/S70</f>
        <v>0</v>
      </c>
      <c r="AA70" s="1">
        <f t="shared" ref="AA70:AA104" si="62">I70/O70</f>
        <v>0.39189189189189189</v>
      </c>
      <c r="AB70" s="1">
        <f t="shared" ref="AB70:AB104" si="63">J70/P70</f>
        <v>0.22053231939163498</v>
      </c>
      <c r="AC70" s="1">
        <f t="shared" ref="AC70:AC104" si="64">K70/Q70</f>
        <v>0.16666666666666666</v>
      </c>
      <c r="AD70" s="1">
        <f t="shared" ref="AD70:AD104" si="65">L70/R70</f>
        <v>1</v>
      </c>
      <c r="AE70" s="1">
        <f t="shared" ref="AE70:AE104" si="66">M70/S70</f>
        <v>1</v>
      </c>
      <c r="AG70" s="2">
        <v>206.27631365233694</v>
      </c>
      <c r="AH70" s="2">
        <v>134.76514732587756</v>
      </c>
      <c r="AI70" s="2">
        <v>160.69380443324417</v>
      </c>
      <c r="AJ70" s="2">
        <v>40.996317624964419</v>
      </c>
      <c r="AK70" s="2">
        <v>0</v>
      </c>
      <c r="AM70" s="1">
        <f t="shared" si="47"/>
        <v>0.21815398580296563</v>
      </c>
      <c r="AN70" s="1">
        <f t="shared" si="48"/>
        <v>1.5211648120287846</v>
      </c>
      <c r="AO70" s="1">
        <f t="shared" si="49"/>
        <v>1.2134879791274553</v>
      </c>
      <c r="AP70" s="1">
        <f t="shared" si="50"/>
        <v>0</v>
      </c>
      <c r="AQ70" s="1" t="e">
        <f t="shared" si="51"/>
        <v>#DIV/0!</v>
      </c>
      <c r="AS70" s="1">
        <f t="shared" si="52"/>
        <v>0.14058812418413341</v>
      </c>
      <c r="AT70" s="1">
        <f t="shared" si="53"/>
        <v>0.43037833706180245</v>
      </c>
      <c r="AU70" s="1">
        <f t="shared" si="54"/>
        <v>0.24269759582549108</v>
      </c>
      <c r="AV70" s="1">
        <f t="shared" si="55"/>
        <v>0.47971788214195088</v>
      </c>
      <c r="AW70" s="1" t="e">
        <f t="shared" si="56"/>
        <v>#DIV/0!</v>
      </c>
    </row>
    <row r="71" spans="2:49" x14ac:dyDescent="0.15">
      <c r="B71" s="2">
        <v>67</v>
      </c>
      <c r="C71" s="2">
        <v>45</v>
      </c>
      <c r="D71" s="2">
        <v>205</v>
      </c>
      <c r="E71" s="2">
        <v>225</v>
      </c>
      <c r="F71" s="2">
        <v>0</v>
      </c>
      <c r="G71" s="2">
        <v>0</v>
      </c>
      <c r="I71" s="2">
        <v>30</v>
      </c>
      <c r="J71" s="2">
        <v>60</v>
      </c>
      <c r="K71" s="2">
        <v>40</v>
      </c>
      <c r="L71" s="2">
        <v>21</v>
      </c>
      <c r="M71" s="2">
        <v>5.6</v>
      </c>
      <c r="O71" s="3">
        <f t="shared" si="42"/>
        <v>75</v>
      </c>
      <c r="P71" s="3">
        <f t="shared" si="43"/>
        <v>265</v>
      </c>
      <c r="Q71" s="3">
        <f t="shared" si="44"/>
        <v>265</v>
      </c>
      <c r="R71" s="3">
        <f t="shared" si="45"/>
        <v>21</v>
      </c>
      <c r="S71" s="3">
        <f t="shared" si="46"/>
        <v>5.6</v>
      </c>
      <c r="U71" s="1">
        <f t="shared" si="57"/>
        <v>0.6</v>
      </c>
      <c r="V71" s="1">
        <f t="shared" si="58"/>
        <v>0.77358490566037741</v>
      </c>
      <c r="W71" s="1">
        <f t="shared" si="59"/>
        <v>0.84905660377358494</v>
      </c>
      <c r="X71" s="1">
        <f t="shared" si="60"/>
        <v>0</v>
      </c>
      <c r="Y71" s="1">
        <f t="shared" si="61"/>
        <v>0</v>
      </c>
      <c r="AA71" s="1">
        <f t="shared" si="62"/>
        <v>0.4</v>
      </c>
      <c r="AB71" s="1">
        <f t="shared" si="63"/>
        <v>0.22641509433962265</v>
      </c>
      <c r="AC71" s="1">
        <f t="shared" si="64"/>
        <v>0.15094339622641509</v>
      </c>
      <c r="AD71" s="1">
        <f t="shared" si="65"/>
        <v>1</v>
      </c>
      <c r="AE71" s="1">
        <f t="shared" si="66"/>
        <v>1</v>
      </c>
      <c r="AG71" s="2">
        <v>206.27631365233694</v>
      </c>
      <c r="AH71" s="2">
        <v>134.76514732587756</v>
      </c>
      <c r="AI71" s="2">
        <v>182.54360052420273</v>
      </c>
      <c r="AJ71" s="2">
        <v>49.438284296471139</v>
      </c>
      <c r="AK71" s="2">
        <v>0</v>
      </c>
      <c r="AM71" s="1">
        <f t="shared" si="47"/>
        <v>0.21815398580296563</v>
      </c>
      <c r="AN71" s="1">
        <f t="shared" si="48"/>
        <v>1.5211648120287846</v>
      </c>
      <c r="AO71" s="1">
        <f t="shared" si="49"/>
        <v>1.2325822398258663</v>
      </c>
      <c r="AP71" s="1">
        <f t="shared" si="50"/>
        <v>0</v>
      </c>
      <c r="AQ71" s="1" t="e">
        <f t="shared" si="51"/>
        <v>#DIV/0!</v>
      </c>
      <c r="AS71" s="1">
        <f t="shared" si="52"/>
        <v>0.14543599053531042</v>
      </c>
      <c r="AT71" s="1">
        <f t="shared" si="53"/>
        <v>0.44521896937427841</v>
      </c>
      <c r="AU71" s="1">
        <f t="shared" si="54"/>
        <v>0.21912573152459847</v>
      </c>
      <c r="AV71" s="1">
        <f t="shared" si="55"/>
        <v>0.42477202230699096</v>
      </c>
      <c r="AW71" s="1" t="e">
        <f t="shared" si="56"/>
        <v>#DIV/0!</v>
      </c>
    </row>
    <row r="72" spans="2:49" x14ac:dyDescent="0.15">
      <c r="B72" s="2">
        <v>68</v>
      </c>
      <c r="C72" s="2">
        <v>45</v>
      </c>
      <c r="D72" s="2">
        <v>205</v>
      </c>
      <c r="E72" s="2">
        <v>260</v>
      </c>
      <c r="F72" s="2">
        <v>0</v>
      </c>
      <c r="G72" s="2">
        <v>0</v>
      </c>
      <c r="I72" s="2">
        <v>31</v>
      </c>
      <c r="J72" s="2">
        <v>62</v>
      </c>
      <c r="K72" s="2">
        <v>41</v>
      </c>
      <c r="L72" s="2">
        <v>22.333333333333332</v>
      </c>
      <c r="M72" s="2">
        <v>6.0666666666666664</v>
      </c>
      <c r="O72" s="3">
        <f t="shared" si="42"/>
        <v>76</v>
      </c>
      <c r="P72" s="3">
        <f t="shared" si="43"/>
        <v>267</v>
      </c>
      <c r="Q72" s="3">
        <f t="shared" si="44"/>
        <v>301</v>
      </c>
      <c r="R72" s="3">
        <f t="shared" si="45"/>
        <v>22.333333333333332</v>
      </c>
      <c r="S72" s="3">
        <f t="shared" si="46"/>
        <v>6.0666666666666664</v>
      </c>
      <c r="U72" s="1">
        <f t="shared" si="57"/>
        <v>0.59210526315789469</v>
      </c>
      <c r="V72" s="1">
        <f t="shared" si="58"/>
        <v>0.76779026217228463</v>
      </c>
      <c r="W72" s="1">
        <f t="shared" si="59"/>
        <v>0.86378737541528239</v>
      </c>
      <c r="X72" s="1">
        <f t="shared" si="60"/>
        <v>0</v>
      </c>
      <c r="Y72" s="1">
        <f t="shared" si="61"/>
        <v>0</v>
      </c>
      <c r="AA72" s="1">
        <f t="shared" si="62"/>
        <v>0.40789473684210525</v>
      </c>
      <c r="AB72" s="1">
        <f t="shared" si="63"/>
        <v>0.23220973782771537</v>
      </c>
      <c r="AC72" s="1">
        <f t="shared" si="64"/>
        <v>0.13621262458471761</v>
      </c>
      <c r="AD72" s="1">
        <f t="shared" si="65"/>
        <v>1</v>
      </c>
      <c r="AE72" s="1">
        <f t="shared" si="66"/>
        <v>1</v>
      </c>
      <c r="AG72" s="2">
        <v>206.27631365233694</v>
      </c>
      <c r="AH72" s="2">
        <v>134.76514732587756</v>
      </c>
      <c r="AI72" s="2">
        <v>206.98646916737044</v>
      </c>
      <c r="AJ72" s="2">
        <v>59.002885069884591</v>
      </c>
      <c r="AK72" s="2">
        <v>0</v>
      </c>
      <c r="AM72" s="1">
        <f t="shared" si="47"/>
        <v>0.21815398580296563</v>
      </c>
      <c r="AN72" s="1">
        <f t="shared" si="48"/>
        <v>1.5211648120287846</v>
      </c>
      <c r="AO72" s="1">
        <f t="shared" si="49"/>
        <v>1.2561207553608855</v>
      </c>
      <c r="AP72" s="1">
        <f t="shared" si="50"/>
        <v>0</v>
      </c>
      <c r="AQ72" s="1" t="e">
        <f t="shared" si="51"/>
        <v>#DIV/0!</v>
      </c>
      <c r="AS72" s="1">
        <f t="shared" si="52"/>
        <v>0.15028385688648743</v>
      </c>
      <c r="AT72" s="1">
        <f t="shared" si="53"/>
        <v>0.46005960168675436</v>
      </c>
      <c r="AU72" s="1">
        <f t="shared" si="54"/>
        <v>0.19808058065306272</v>
      </c>
      <c r="AV72" s="1">
        <f t="shared" si="55"/>
        <v>0.37851256437513414</v>
      </c>
      <c r="AW72" s="1" t="e">
        <f t="shared" si="56"/>
        <v>#DIV/0!</v>
      </c>
    </row>
    <row r="73" spans="2:49" x14ac:dyDescent="0.15">
      <c r="B73" s="2">
        <v>69</v>
      </c>
      <c r="C73" s="2">
        <v>45</v>
      </c>
      <c r="D73" s="2">
        <v>205</v>
      </c>
      <c r="E73" s="2">
        <v>295</v>
      </c>
      <c r="F73" s="2">
        <v>0</v>
      </c>
      <c r="G73" s="2">
        <v>0</v>
      </c>
      <c r="I73" s="2">
        <v>32</v>
      </c>
      <c r="J73" s="2">
        <v>64</v>
      </c>
      <c r="K73" s="2">
        <v>42</v>
      </c>
      <c r="L73" s="2">
        <v>23.666666666666664</v>
      </c>
      <c r="M73" s="2">
        <v>6.5333333333333332</v>
      </c>
      <c r="O73" s="3">
        <f t="shared" si="42"/>
        <v>77</v>
      </c>
      <c r="P73" s="3">
        <f t="shared" si="43"/>
        <v>269</v>
      </c>
      <c r="Q73" s="3">
        <f t="shared" si="44"/>
        <v>337</v>
      </c>
      <c r="R73" s="3">
        <f t="shared" si="45"/>
        <v>23.666666666666664</v>
      </c>
      <c r="S73" s="3">
        <f t="shared" si="46"/>
        <v>6.5333333333333332</v>
      </c>
      <c r="U73" s="1">
        <f t="shared" si="57"/>
        <v>0.58441558441558439</v>
      </c>
      <c r="V73" s="1">
        <f t="shared" si="58"/>
        <v>0.76208178438661711</v>
      </c>
      <c r="W73" s="1">
        <f t="shared" si="59"/>
        <v>0.87537091988130566</v>
      </c>
      <c r="X73" s="1">
        <f t="shared" si="60"/>
        <v>0</v>
      </c>
      <c r="Y73" s="1">
        <f t="shared" si="61"/>
        <v>0</v>
      </c>
      <c r="AA73" s="1">
        <f t="shared" si="62"/>
        <v>0.41558441558441561</v>
      </c>
      <c r="AB73" s="1">
        <f t="shared" si="63"/>
        <v>0.23791821561338289</v>
      </c>
      <c r="AC73" s="1">
        <f t="shared" si="64"/>
        <v>0.12462908011869436</v>
      </c>
      <c r="AD73" s="1">
        <f t="shared" si="65"/>
        <v>1</v>
      </c>
      <c r="AE73" s="1">
        <f t="shared" si="66"/>
        <v>1</v>
      </c>
      <c r="AG73" s="2">
        <v>206.27631365233694</v>
      </c>
      <c r="AH73" s="2">
        <v>134.76514732587756</v>
      </c>
      <c r="AI73" s="2">
        <v>234.28135508947921</v>
      </c>
      <c r="AJ73" s="2">
        <v>69.807110747385977</v>
      </c>
      <c r="AK73" s="2">
        <v>0</v>
      </c>
      <c r="AM73" s="1">
        <f t="shared" si="47"/>
        <v>0.21815398580296563</v>
      </c>
      <c r="AN73" s="1">
        <f t="shared" si="48"/>
        <v>1.5211648120287846</v>
      </c>
      <c r="AO73" s="1">
        <f t="shared" si="49"/>
        <v>1.2591697699858808</v>
      </c>
      <c r="AP73" s="1">
        <f t="shared" si="50"/>
        <v>0</v>
      </c>
      <c r="AQ73" s="1" t="e">
        <f t="shared" si="51"/>
        <v>#DIV/0!</v>
      </c>
      <c r="AS73" s="1">
        <f t="shared" si="52"/>
        <v>0.15513172323766444</v>
      </c>
      <c r="AT73" s="1">
        <f t="shared" si="53"/>
        <v>0.47490023399923031</v>
      </c>
      <c r="AU73" s="1">
        <f t="shared" si="54"/>
        <v>0.17927162826917625</v>
      </c>
      <c r="AV73" s="1">
        <f t="shared" si="55"/>
        <v>0.33902945435330017</v>
      </c>
      <c r="AW73" s="1" t="e">
        <f t="shared" si="56"/>
        <v>#DIV/0!</v>
      </c>
    </row>
    <row r="74" spans="2:49" x14ac:dyDescent="0.15">
      <c r="B74" s="2">
        <v>70</v>
      </c>
      <c r="C74" s="2">
        <v>45</v>
      </c>
      <c r="D74" s="2">
        <v>205</v>
      </c>
      <c r="E74" s="2">
        <v>330</v>
      </c>
      <c r="F74" s="2">
        <v>0</v>
      </c>
      <c r="G74" s="2">
        <v>0</v>
      </c>
      <c r="I74" s="2">
        <v>33</v>
      </c>
      <c r="J74" s="2">
        <v>66</v>
      </c>
      <c r="K74" s="2">
        <v>43</v>
      </c>
      <c r="L74" s="2">
        <v>25</v>
      </c>
      <c r="M74" s="2">
        <v>7</v>
      </c>
      <c r="O74" s="3">
        <f t="shared" si="42"/>
        <v>78</v>
      </c>
      <c r="P74" s="3">
        <f t="shared" si="43"/>
        <v>271</v>
      </c>
      <c r="Q74" s="3">
        <f t="shared" si="44"/>
        <v>373</v>
      </c>
      <c r="R74" s="3">
        <f t="shared" si="45"/>
        <v>25</v>
      </c>
      <c r="S74" s="3">
        <f t="shared" si="46"/>
        <v>7</v>
      </c>
      <c r="U74" s="1">
        <f t="shared" si="57"/>
        <v>0.57692307692307687</v>
      </c>
      <c r="V74" s="1">
        <f t="shared" si="58"/>
        <v>0.75645756457564572</v>
      </c>
      <c r="W74" s="1">
        <f t="shared" si="59"/>
        <v>0.88471849865951746</v>
      </c>
      <c r="X74" s="1">
        <f t="shared" si="60"/>
        <v>0</v>
      </c>
      <c r="Y74" s="1">
        <f t="shared" si="61"/>
        <v>0</v>
      </c>
      <c r="AA74" s="1">
        <f t="shared" si="62"/>
        <v>0.42307692307692307</v>
      </c>
      <c r="AB74" s="1">
        <f t="shared" si="63"/>
        <v>0.24354243542435425</v>
      </c>
      <c r="AC74" s="1">
        <f t="shared" si="64"/>
        <v>0.11528150134048257</v>
      </c>
      <c r="AD74" s="1">
        <f t="shared" si="65"/>
        <v>1</v>
      </c>
      <c r="AE74" s="1">
        <f t="shared" si="66"/>
        <v>1</v>
      </c>
      <c r="AG74" s="2">
        <v>206.27631365233694</v>
      </c>
      <c r="AH74" s="2">
        <v>134.76514732587756</v>
      </c>
      <c r="AI74" s="2">
        <v>264.71113933932384</v>
      </c>
      <c r="AJ74" s="2">
        <v>81.979024447323823</v>
      </c>
      <c r="AK74" s="2">
        <v>0</v>
      </c>
      <c r="AM74" s="1">
        <f t="shared" si="47"/>
        <v>0.21815398580296563</v>
      </c>
      <c r="AN74" s="1">
        <f t="shared" si="48"/>
        <v>1.5211648120287846</v>
      </c>
      <c r="AO74" s="1">
        <f t="shared" si="49"/>
        <v>1.2466419086995228</v>
      </c>
      <c r="AP74" s="1">
        <f t="shared" si="50"/>
        <v>0</v>
      </c>
      <c r="AQ74" s="1" t="e">
        <f t="shared" si="51"/>
        <v>#DIV/0!</v>
      </c>
      <c r="AS74" s="1">
        <f t="shared" si="52"/>
        <v>0.15997958958884148</v>
      </c>
      <c r="AT74" s="1">
        <f t="shared" si="53"/>
        <v>0.48974086631170627</v>
      </c>
      <c r="AU74" s="1">
        <f t="shared" si="54"/>
        <v>0.16244121840630146</v>
      </c>
      <c r="AV74" s="1">
        <f t="shared" si="55"/>
        <v>0.30495605636370948</v>
      </c>
      <c r="AW74" s="1" t="e">
        <f t="shared" si="56"/>
        <v>#DIV/0!</v>
      </c>
    </row>
    <row r="75" spans="2:49" x14ac:dyDescent="0.15">
      <c r="B75" s="2">
        <v>71</v>
      </c>
      <c r="C75" s="2">
        <v>45</v>
      </c>
      <c r="D75" s="2">
        <v>205</v>
      </c>
      <c r="E75" s="2">
        <v>330</v>
      </c>
      <c r="F75" s="2">
        <v>15</v>
      </c>
      <c r="G75" s="2">
        <v>0</v>
      </c>
      <c r="I75" s="2">
        <v>33.471428571428568</v>
      </c>
      <c r="J75" s="2">
        <v>66.942857142857136</v>
      </c>
      <c r="K75" s="2">
        <v>43.614285714285714</v>
      </c>
      <c r="L75" s="2">
        <v>25.357142857142858</v>
      </c>
      <c r="M75" s="2">
        <v>7.1</v>
      </c>
      <c r="O75" s="3">
        <f t="shared" si="42"/>
        <v>78.471428571428561</v>
      </c>
      <c r="P75" s="3">
        <f t="shared" si="43"/>
        <v>271.94285714285712</v>
      </c>
      <c r="Q75" s="3">
        <f t="shared" si="44"/>
        <v>373.6142857142857</v>
      </c>
      <c r="R75" s="3">
        <f t="shared" si="45"/>
        <v>40.357142857142861</v>
      </c>
      <c r="S75" s="3">
        <f t="shared" si="46"/>
        <v>7.1</v>
      </c>
      <c r="U75" s="1">
        <f t="shared" si="57"/>
        <v>0.57345712725286735</v>
      </c>
      <c r="V75" s="1">
        <f t="shared" si="58"/>
        <v>0.75383483925194372</v>
      </c>
      <c r="W75" s="1">
        <f t="shared" si="59"/>
        <v>0.88326387030168629</v>
      </c>
      <c r="X75" s="1">
        <f t="shared" si="60"/>
        <v>0.37168141592920351</v>
      </c>
      <c r="Y75" s="1">
        <f t="shared" si="61"/>
        <v>0</v>
      </c>
      <c r="AA75" s="1">
        <f t="shared" si="62"/>
        <v>0.42654287274713271</v>
      </c>
      <c r="AB75" s="1">
        <f t="shared" si="63"/>
        <v>0.24616516074805631</v>
      </c>
      <c r="AC75" s="1">
        <f t="shared" si="64"/>
        <v>0.11673612969831378</v>
      </c>
      <c r="AD75" s="1">
        <f t="shared" si="65"/>
        <v>0.62831858407079644</v>
      </c>
      <c r="AE75" s="1">
        <f t="shared" si="66"/>
        <v>1</v>
      </c>
      <c r="AG75" s="2">
        <v>206.27631365233694</v>
      </c>
      <c r="AH75" s="2">
        <v>134.76514732587756</v>
      </c>
      <c r="AI75" s="2">
        <v>290.76775626105689</v>
      </c>
      <c r="AJ75" s="2">
        <v>96.310163754276999</v>
      </c>
      <c r="AK75" s="2">
        <v>0.651415423043326</v>
      </c>
      <c r="AM75" s="1">
        <f t="shared" si="47"/>
        <v>0.21815398580296563</v>
      </c>
      <c r="AN75" s="1">
        <f t="shared" si="48"/>
        <v>1.5211648120287846</v>
      </c>
      <c r="AO75" s="1">
        <f t="shared" si="49"/>
        <v>1.1349263902002933</v>
      </c>
      <c r="AP75" s="1">
        <f t="shared" si="50"/>
        <v>0.1557468019499019</v>
      </c>
      <c r="AQ75" s="1">
        <f t="shared" si="51"/>
        <v>0</v>
      </c>
      <c r="AS75" s="1">
        <f t="shared" si="52"/>
        <v>0.16226501229725349</v>
      </c>
      <c r="AT75" s="1">
        <f t="shared" si="53"/>
        <v>0.49673716440187343</v>
      </c>
      <c r="AU75" s="1">
        <f t="shared" si="54"/>
        <v>0.14999698135417727</v>
      </c>
      <c r="AV75" s="1">
        <f t="shared" si="55"/>
        <v>0.2632862604391199</v>
      </c>
      <c r="AW75" s="1">
        <f t="shared" si="56"/>
        <v>10.899342798532073</v>
      </c>
    </row>
    <row r="76" spans="2:49" x14ac:dyDescent="0.15">
      <c r="B76" s="2">
        <v>72</v>
      </c>
      <c r="C76" s="2">
        <v>45</v>
      </c>
      <c r="D76" s="2">
        <v>205</v>
      </c>
      <c r="E76" s="2">
        <v>330</v>
      </c>
      <c r="F76" s="2">
        <v>30</v>
      </c>
      <c r="G76" s="2">
        <v>0</v>
      </c>
      <c r="I76" s="2">
        <v>33.942857142857143</v>
      </c>
      <c r="J76" s="2">
        <v>67.885714285714286</v>
      </c>
      <c r="K76" s="2">
        <v>44.228571428571428</v>
      </c>
      <c r="L76" s="2">
        <v>25.714285714285715</v>
      </c>
      <c r="M76" s="2">
        <v>7.2</v>
      </c>
      <c r="O76" s="3">
        <f t="shared" si="42"/>
        <v>78.94285714285715</v>
      </c>
      <c r="P76" s="3">
        <f t="shared" si="43"/>
        <v>272.8857142857143</v>
      </c>
      <c r="Q76" s="3">
        <f t="shared" si="44"/>
        <v>374.2285714285714</v>
      </c>
      <c r="R76" s="3">
        <f t="shared" si="45"/>
        <v>55.714285714285715</v>
      </c>
      <c r="S76" s="3">
        <f t="shared" si="46"/>
        <v>7.2</v>
      </c>
      <c r="U76" s="1">
        <f t="shared" si="57"/>
        <v>0.5700325732899022</v>
      </c>
      <c r="V76" s="1">
        <f t="shared" si="58"/>
        <v>0.75123023767144792</v>
      </c>
      <c r="W76" s="1">
        <f t="shared" si="59"/>
        <v>0.88181401740723786</v>
      </c>
      <c r="X76" s="1">
        <f t="shared" si="60"/>
        <v>0.53846153846153844</v>
      </c>
      <c r="Y76" s="1">
        <f t="shared" si="61"/>
        <v>0</v>
      </c>
      <c r="AA76" s="1">
        <f t="shared" si="62"/>
        <v>0.42996742671009769</v>
      </c>
      <c r="AB76" s="1">
        <f t="shared" si="63"/>
        <v>0.24876976232855197</v>
      </c>
      <c r="AC76" s="1">
        <f t="shared" si="64"/>
        <v>0.11818598259276226</v>
      </c>
      <c r="AD76" s="1">
        <f t="shared" si="65"/>
        <v>0.46153846153846156</v>
      </c>
      <c r="AE76" s="1">
        <f t="shared" si="66"/>
        <v>1</v>
      </c>
      <c r="AG76" s="2">
        <v>206.27631365233694</v>
      </c>
      <c r="AH76" s="2">
        <v>134.76514732587756</v>
      </c>
      <c r="AI76" s="2">
        <v>311.68701071968457</v>
      </c>
      <c r="AJ76" s="2">
        <v>113.04556732117913</v>
      </c>
      <c r="AK76" s="2">
        <v>2.046032386951838</v>
      </c>
      <c r="AM76" s="1">
        <f t="shared" si="47"/>
        <v>0.21815398580296563</v>
      </c>
      <c r="AN76" s="1">
        <f t="shared" si="48"/>
        <v>1.5211648120287846</v>
      </c>
      <c r="AO76" s="1">
        <f t="shared" si="49"/>
        <v>1.0587544191784919</v>
      </c>
      <c r="AP76" s="1">
        <f t="shared" si="50"/>
        <v>0.26537971112804071</v>
      </c>
      <c r="AQ76" s="1">
        <f t="shared" si="51"/>
        <v>0</v>
      </c>
      <c r="AS76" s="1">
        <f t="shared" si="52"/>
        <v>0.16455043500566552</v>
      </c>
      <c r="AT76" s="1">
        <f t="shared" si="53"/>
        <v>0.50373346249204076</v>
      </c>
      <c r="AU76" s="1">
        <f t="shared" si="54"/>
        <v>0.14190059228470175</v>
      </c>
      <c r="AV76" s="1">
        <f t="shared" si="55"/>
        <v>0.22746832382403492</v>
      </c>
      <c r="AW76" s="1">
        <f t="shared" si="56"/>
        <v>3.5190058798270054</v>
      </c>
    </row>
    <row r="77" spans="2:49" x14ac:dyDescent="0.15">
      <c r="B77" s="2">
        <v>73</v>
      </c>
      <c r="C77" s="2">
        <v>45</v>
      </c>
      <c r="D77" s="2">
        <v>205</v>
      </c>
      <c r="E77" s="2">
        <v>330</v>
      </c>
      <c r="F77" s="2">
        <v>45</v>
      </c>
      <c r="G77" s="2">
        <v>0</v>
      </c>
      <c r="I77" s="2">
        <v>34.414285714285711</v>
      </c>
      <c r="J77" s="2">
        <v>68.828571428571422</v>
      </c>
      <c r="K77" s="2">
        <v>44.842857142857142</v>
      </c>
      <c r="L77" s="2">
        <v>26.071428571428573</v>
      </c>
      <c r="M77" s="2">
        <v>7.3</v>
      </c>
      <c r="O77" s="3">
        <f t="shared" si="42"/>
        <v>79.414285714285711</v>
      </c>
      <c r="P77" s="3">
        <f t="shared" si="43"/>
        <v>273.82857142857142</v>
      </c>
      <c r="Q77" s="3">
        <f t="shared" si="44"/>
        <v>374.84285714285716</v>
      </c>
      <c r="R77" s="3">
        <f t="shared" si="45"/>
        <v>71.071428571428569</v>
      </c>
      <c r="S77" s="3">
        <f t="shared" si="46"/>
        <v>7.3</v>
      </c>
      <c r="U77" s="1">
        <f t="shared" si="57"/>
        <v>0.56664867781975181</v>
      </c>
      <c r="V77" s="1">
        <f t="shared" si="58"/>
        <v>0.74864357262103509</v>
      </c>
      <c r="W77" s="1">
        <f t="shared" si="59"/>
        <v>0.88036891649834215</v>
      </c>
      <c r="X77" s="1">
        <f t="shared" si="60"/>
        <v>0.63316582914572861</v>
      </c>
      <c r="Y77" s="1">
        <f t="shared" si="61"/>
        <v>0</v>
      </c>
      <c r="AA77" s="1">
        <f t="shared" si="62"/>
        <v>0.43335132218024824</v>
      </c>
      <c r="AB77" s="1">
        <f t="shared" si="63"/>
        <v>0.25135642737896491</v>
      </c>
      <c r="AC77" s="1">
        <f t="shared" si="64"/>
        <v>0.11963108350165783</v>
      </c>
      <c r="AD77" s="1">
        <f t="shared" si="65"/>
        <v>0.36683417085427139</v>
      </c>
      <c r="AE77" s="1">
        <f t="shared" si="66"/>
        <v>1</v>
      </c>
      <c r="AG77" s="2">
        <v>206.27631365233694</v>
      </c>
      <c r="AH77" s="2">
        <v>134.76514732587756</v>
      </c>
      <c r="AI77" s="2">
        <v>326.61691961187671</v>
      </c>
      <c r="AJ77" s="2">
        <v>132.4544488810289</v>
      </c>
      <c r="AK77" s="2">
        <v>4.2855187207806562</v>
      </c>
      <c r="AM77" s="1">
        <f t="shared" si="47"/>
        <v>0.21815398580296563</v>
      </c>
      <c r="AN77" s="1">
        <f t="shared" si="48"/>
        <v>1.5211648120287846</v>
      </c>
      <c r="AO77" s="1">
        <f t="shared" si="49"/>
        <v>1.01035794591457</v>
      </c>
      <c r="AP77" s="1">
        <f t="shared" si="50"/>
        <v>0.33973943782302984</v>
      </c>
      <c r="AQ77" s="1">
        <f t="shared" si="51"/>
        <v>0</v>
      </c>
      <c r="AS77" s="1">
        <f t="shared" si="52"/>
        <v>0.16683585771407752</v>
      </c>
      <c r="AT77" s="1">
        <f t="shared" si="53"/>
        <v>0.51072976058220787</v>
      </c>
      <c r="AU77" s="1">
        <f t="shared" si="54"/>
        <v>0.13729496070241712</v>
      </c>
      <c r="AV77" s="1">
        <f t="shared" si="55"/>
        <v>0.19683316635778714</v>
      </c>
      <c r="AW77" s="1">
        <f t="shared" si="56"/>
        <v>1.7034110630766819</v>
      </c>
    </row>
    <row r="78" spans="2:49" x14ac:dyDescent="0.15">
      <c r="B78" s="2">
        <v>74</v>
      </c>
      <c r="C78" s="2">
        <v>45</v>
      </c>
      <c r="D78" s="2">
        <v>205</v>
      </c>
      <c r="E78" s="2">
        <v>330</v>
      </c>
      <c r="F78" s="2">
        <v>60</v>
      </c>
      <c r="G78" s="2">
        <v>0</v>
      </c>
      <c r="I78" s="2">
        <v>34.885714285714286</v>
      </c>
      <c r="J78" s="2">
        <v>69.771428571428572</v>
      </c>
      <c r="K78" s="2">
        <v>45.457142857142856</v>
      </c>
      <c r="L78" s="2">
        <v>26.428571428571427</v>
      </c>
      <c r="M78" s="2">
        <v>7.4</v>
      </c>
      <c r="O78" s="3">
        <f t="shared" si="42"/>
        <v>79.885714285714286</v>
      </c>
      <c r="P78" s="3">
        <f t="shared" si="43"/>
        <v>274.7714285714286</v>
      </c>
      <c r="Q78" s="3">
        <f t="shared" si="44"/>
        <v>375.45714285714286</v>
      </c>
      <c r="R78" s="3">
        <f t="shared" si="45"/>
        <v>86.428571428571431</v>
      </c>
      <c r="S78" s="3">
        <f t="shared" si="46"/>
        <v>7.4</v>
      </c>
      <c r="U78" s="1">
        <f t="shared" si="57"/>
        <v>0.56330472103004292</v>
      </c>
      <c r="V78" s="1">
        <f t="shared" si="58"/>
        <v>0.74607465945721108</v>
      </c>
      <c r="W78" s="1">
        <f t="shared" si="59"/>
        <v>0.87892854425081801</v>
      </c>
      <c r="X78" s="1">
        <f t="shared" si="60"/>
        <v>0.69421487603305787</v>
      </c>
      <c r="Y78" s="1">
        <f t="shared" si="61"/>
        <v>0</v>
      </c>
      <c r="AA78" s="1">
        <f t="shared" si="62"/>
        <v>0.43669527896995708</v>
      </c>
      <c r="AB78" s="1">
        <f t="shared" si="63"/>
        <v>0.25392534054278881</v>
      </c>
      <c r="AC78" s="1">
        <f t="shared" si="64"/>
        <v>0.12107145574918195</v>
      </c>
      <c r="AD78" s="1">
        <f t="shared" si="65"/>
        <v>0.30578512396694213</v>
      </c>
      <c r="AE78" s="1">
        <f t="shared" si="66"/>
        <v>1</v>
      </c>
      <c r="AG78" s="2">
        <v>206.27631365233694</v>
      </c>
      <c r="AH78" s="2">
        <v>134.76514732587756</v>
      </c>
      <c r="AI78" s="2">
        <v>334.60904687074043</v>
      </c>
      <c r="AJ78" s="2">
        <v>154.83240520584724</v>
      </c>
      <c r="AK78" s="2">
        <v>7.4823696243261342</v>
      </c>
      <c r="AM78" s="1">
        <f t="shared" si="47"/>
        <v>0.21815398580296563</v>
      </c>
      <c r="AN78" s="1">
        <f t="shared" si="48"/>
        <v>1.5211648120287846</v>
      </c>
      <c r="AO78" s="1">
        <f t="shared" si="49"/>
        <v>0.98622557604510641</v>
      </c>
      <c r="AP78" s="1">
        <f t="shared" si="50"/>
        <v>0.38751577823925776</v>
      </c>
      <c r="AQ78" s="1">
        <f t="shared" si="51"/>
        <v>0</v>
      </c>
      <c r="AS78" s="1">
        <f t="shared" si="52"/>
        <v>0.16912128042248956</v>
      </c>
      <c r="AT78" s="1">
        <f t="shared" si="53"/>
        <v>0.5177260586723752</v>
      </c>
      <c r="AU78" s="1">
        <f t="shared" si="54"/>
        <v>0.13585150575651639</v>
      </c>
      <c r="AV78" s="1">
        <f t="shared" si="55"/>
        <v>0.17069147374824448</v>
      </c>
      <c r="AW78" s="1">
        <f t="shared" si="56"/>
        <v>0.98899150557086357</v>
      </c>
    </row>
    <row r="79" spans="2:49" x14ac:dyDescent="0.15">
      <c r="B79" s="2">
        <v>75</v>
      </c>
      <c r="C79" s="2">
        <v>45</v>
      </c>
      <c r="D79" s="2">
        <v>205</v>
      </c>
      <c r="E79" s="2">
        <v>330</v>
      </c>
      <c r="F79" s="2">
        <v>97.5</v>
      </c>
      <c r="G79" s="2">
        <v>0</v>
      </c>
      <c r="I79" s="2">
        <v>35.357142857142854</v>
      </c>
      <c r="J79" s="2">
        <v>70.714285714285708</v>
      </c>
      <c r="K79" s="2">
        <v>46.071428571428569</v>
      </c>
      <c r="L79" s="2">
        <v>26.785714285714285</v>
      </c>
      <c r="M79" s="2">
        <v>7.5</v>
      </c>
      <c r="O79" s="3">
        <f t="shared" si="42"/>
        <v>80.357142857142861</v>
      </c>
      <c r="P79" s="3">
        <f t="shared" si="43"/>
        <v>275.71428571428572</v>
      </c>
      <c r="Q79" s="3">
        <f t="shared" si="44"/>
        <v>376.07142857142856</v>
      </c>
      <c r="R79" s="3">
        <f t="shared" si="45"/>
        <v>124.28571428571428</v>
      </c>
      <c r="S79" s="3">
        <f t="shared" si="46"/>
        <v>7.5</v>
      </c>
      <c r="U79" s="1">
        <f t="shared" si="57"/>
        <v>0.55999999999999994</v>
      </c>
      <c r="V79" s="1">
        <f t="shared" si="58"/>
        <v>0.74352331606217614</v>
      </c>
      <c r="W79" s="1">
        <f t="shared" si="59"/>
        <v>0.87749287749287752</v>
      </c>
      <c r="X79" s="1">
        <f t="shared" si="60"/>
        <v>0.78448275862068972</v>
      </c>
      <c r="Y79" s="1">
        <f t="shared" si="61"/>
        <v>0</v>
      </c>
      <c r="AA79" s="1">
        <f t="shared" si="62"/>
        <v>0.43999999999999995</v>
      </c>
      <c r="AB79" s="1">
        <f t="shared" si="63"/>
        <v>0.2564766839378238</v>
      </c>
      <c r="AC79" s="1">
        <f t="shared" si="64"/>
        <v>0.12250712250712251</v>
      </c>
      <c r="AD79" s="1">
        <f t="shared" si="65"/>
        <v>0.21551724137931036</v>
      </c>
      <c r="AE79" s="1">
        <f t="shared" si="66"/>
        <v>1</v>
      </c>
      <c r="AG79" s="2">
        <v>206.27631365233694</v>
      </c>
      <c r="AH79" s="2">
        <v>134.76514732587756</v>
      </c>
      <c r="AI79" s="2">
        <v>334.60904687074043</v>
      </c>
      <c r="AJ79" s="2">
        <v>180.5038164751233</v>
      </c>
      <c r="AK79" s="2">
        <v>11.760938169205478</v>
      </c>
      <c r="AM79" s="1">
        <f t="shared" si="47"/>
        <v>0.21815398580296563</v>
      </c>
      <c r="AN79" s="1">
        <f t="shared" si="48"/>
        <v>1.5211648120287846</v>
      </c>
      <c r="AO79" s="1">
        <f t="shared" si="49"/>
        <v>0.98622557604510641</v>
      </c>
      <c r="AP79" s="1">
        <f t="shared" si="50"/>
        <v>0.54015478400390093</v>
      </c>
      <c r="AQ79" s="1">
        <f t="shared" si="51"/>
        <v>0</v>
      </c>
      <c r="AS79" s="1">
        <f t="shared" si="52"/>
        <v>0.17140670313090156</v>
      </c>
      <c r="AT79" s="1">
        <f t="shared" si="53"/>
        <v>0.52472235676254231</v>
      </c>
      <c r="AU79" s="1">
        <f t="shared" si="54"/>
        <v>0.13768733691538823</v>
      </c>
      <c r="AV79" s="1">
        <f t="shared" si="55"/>
        <v>0.14839417142964312</v>
      </c>
      <c r="AW79" s="1">
        <f t="shared" si="56"/>
        <v>0.63770422836145824</v>
      </c>
    </row>
    <row r="80" spans="2:49" x14ac:dyDescent="0.15">
      <c r="B80" s="2">
        <v>76</v>
      </c>
      <c r="C80" s="2">
        <v>45</v>
      </c>
      <c r="D80" s="2">
        <v>205</v>
      </c>
      <c r="E80" s="2">
        <v>330</v>
      </c>
      <c r="F80" s="2">
        <v>135</v>
      </c>
      <c r="G80" s="2">
        <v>0</v>
      </c>
      <c r="I80" s="2">
        <v>35.828571428571429</v>
      </c>
      <c r="J80" s="2">
        <v>71.657142857142858</v>
      </c>
      <c r="K80" s="2">
        <v>46.685714285714283</v>
      </c>
      <c r="L80" s="2">
        <v>27.142857142857142</v>
      </c>
      <c r="M80" s="2">
        <v>7.6</v>
      </c>
      <c r="O80" s="3">
        <f t="shared" si="42"/>
        <v>80.828571428571422</v>
      </c>
      <c r="P80" s="3">
        <f t="shared" si="43"/>
        <v>276.65714285714284</v>
      </c>
      <c r="Q80" s="3">
        <f t="shared" si="44"/>
        <v>376.68571428571431</v>
      </c>
      <c r="R80" s="3">
        <f t="shared" si="45"/>
        <v>162.14285714285714</v>
      </c>
      <c r="S80" s="3">
        <f t="shared" si="46"/>
        <v>7.6</v>
      </c>
      <c r="U80" s="1">
        <f t="shared" si="57"/>
        <v>0.55673382820784734</v>
      </c>
      <c r="V80" s="1">
        <f t="shared" si="58"/>
        <v>0.74098936280078487</v>
      </c>
      <c r="W80" s="1">
        <f t="shared" si="59"/>
        <v>0.87606189320388339</v>
      </c>
      <c r="X80" s="1">
        <f t="shared" si="60"/>
        <v>0.83259911894273131</v>
      </c>
      <c r="Y80" s="1">
        <f t="shared" si="61"/>
        <v>0</v>
      </c>
      <c r="AA80" s="1">
        <f t="shared" si="62"/>
        <v>0.44326617179215277</v>
      </c>
      <c r="AB80" s="1">
        <f t="shared" si="63"/>
        <v>0.25901063719921513</v>
      </c>
      <c r="AC80" s="1">
        <f t="shared" si="64"/>
        <v>0.12393810679611648</v>
      </c>
      <c r="AD80" s="1">
        <f t="shared" si="65"/>
        <v>0.16740088105726872</v>
      </c>
      <c r="AE80" s="1">
        <f t="shared" si="66"/>
        <v>1</v>
      </c>
      <c r="AG80" s="2">
        <v>206.27631365233694</v>
      </c>
      <c r="AH80" s="2">
        <v>134.76514732587756</v>
      </c>
      <c r="AI80" s="2">
        <v>334.60904687074043</v>
      </c>
      <c r="AJ80" s="2">
        <v>209.82445529939227</v>
      </c>
      <c r="AK80" s="2">
        <v>16.800422967126707</v>
      </c>
      <c r="AM80" s="1">
        <f t="shared" si="47"/>
        <v>0.21815398580296563</v>
      </c>
      <c r="AN80" s="1">
        <f t="shared" si="48"/>
        <v>1.5211648120287846</v>
      </c>
      <c r="AO80" s="1">
        <f t="shared" si="49"/>
        <v>0.98622557604510641</v>
      </c>
      <c r="AP80" s="1">
        <f t="shared" si="50"/>
        <v>0.64339497418150104</v>
      </c>
      <c r="AQ80" s="1">
        <f t="shared" si="51"/>
        <v>0</v>
      </c>
      <c r="AS80" s="1">
        <f t="shared" si="52"/>
        <v>0.17369212583931359</v>
      </c>
      <c r="AT80" s="1">
        <f t="shared" si="53"/>
        <v>0.53171865485270964</v>
      </c>
      <c r="AU80" s="1">
        <f t="shared" si="54"/>
        <v>0.13952316807426007</v>
      </c>
      <c r="AV80" s="1">
        <f t="shared" si="55"/>
        <v>0.12935983607882032</v>
      </c>
      <c r="AW80" s="1">
        <f t="shared" si="56"/>
        <v>0.45236956324676331</v>
      </c>
    </row>
    <row r="81" spans="2:49" x14ac:dyDescent="0.15">
      <c r="B81" s="2">
        <v>77</v>
      </c>
      <c r="C81" s="2">
        <v>45</v>
      </c>
      <c r="D81" s="2">
        <v>205</v>
      </c>
      <c r="E81" s="2">
        <v>330</v>
      </c>
      <c r="F81" s="2">
        <v>195</v>
      </c>
      <c r="G81" s="2">
        <v>0</v>
      </c>
      <c r="I81" s="2">
        <v>36.299999999999997</v>
      </c>
      <c r="J81" s="2">
        <v>72.599999999999994</v>
      </c>
      <c r="K81" s="2">
        <v>47.3</v>
      </c>
      <c r="L81" s="2">
        <v>27.5</v>
      </c>
      <c r="M81" s="2">
        <v>7.7</v>
      </c>
      <c r="O81" s="3">
        <f t="shared" si="42"/>
        <v>81.3</v>
      </c>
      <c r="P81" s="3">
        <f t="shared" si="43"/>
        <v>277.60000000000002</v>
      </c>
      <c r="Q81" s="3">
        <f t="shared" si="44"/>
        <v>377.3</v>
      </c>
      <c r="R81" s="3">
        <f t="shared" si="45"/>
        <v>222.5</v>
      </c>
      <c r="S81" s="3">
        <f t="shared" si="46"/>
        <v>7.7</v>
      </c>
      <c r="U81" s="1">
        <f t="shared" si="57"/>
        <v>0.55350553505535061</v>
      </c>
      <c r="V81" s="1">
        <f t="shared" si="58"/>
        <v>0.73847262247838608</v>
      </c>
      <c r="W81" s="1">
        <f t="shared" si="59"/>
        <v>0.87463556851311952</v>
      </c>
      <c r="X81" s="1">
        <f t="shared" si="60"/>
        <v>0.8764044943820225</v>
      </c>
      <c r="Y81" s="1">
        <f t="shared" si="61"/>
        <v>0</v>
      </c>
      <c r="AA81" s="1">
        <f t="shared" si="62"/>
        <v>0.44649446494464945</v>
      </c>
      <c r="AB81" s="1">
        <f t="shared" si="63"/>
        <v>0.26152737752161381</v>
      </c>
      <c r="AC81" s="1">
        <f t="shared" si="64"/>
        <v>0.12536443148688045</v>
      </c>
      <c r="AD81" s="1">
        <f t="shared" si="65"/>
        <v>0.12359550561797752</v>
      </c>
      <c r="AE81" s="1">
        <f t="shared" si="66"/>
        <v>1</v>
      </c>
      <c r="AG81" s="2">
        <v>206.27631365233694</v>
      </c>
      <c r="AH81" s="2">
        <v>134.76514732587756</v>
      </c>
      <c r="AI81" s="2">
        <v>334.60904687074043</v>
      </c>
      <c r="AJ81" s="2">
        <v>243.18432198541922</v>
      </c>
      <c r="AK81" s="2">
        <v>22.687458264660876</v>
      </c>
      <c r="AM81" s="1">
        <f t="shared" si="47"/>
        <v>0.21815398580296563</v>
      </c>
      <c r="AN81" s="1">
        <f t="shared" si="48"/>
        <v>1.5211648120287846</v>
      </c>
      <c r="AO81" s="1">
        <f t="shared" si="49"/>
        <v>0.98622557604510641</v>
      </c>
      <c r="AP81" s="1">
        <f t="shared" si="50"/>
        <v>0.80186090290677436</v>
      </c>
      <c r="AQ81" s="1">
        <f t="shared" si="51"/>
        <v>0</v>
      </c>
      <c r="AS81" s="1">
        <f t="shared" si="52"/>
        <v>0.1759775485477256</v>
      </c>
      <c r="AT81" s="1">
        <f t="shared" si="53"/>
        <v>0.53871495294287686</v>
      </c>
      <c r="AU81" s="1">
        <f t="shared" si="54"/>
        <v>0.14135899923313192</v>
      </c>
      <c r="AV81" s="1">
        <f t="shared" si="55"/>
        <v>0.11308294784582716</v>
      </c>
      <c r="AW81" s="1">
        <f t="shared" si="56"/>
        <v>0.33939456373541443</v>
      </c>
    </row>
    <row r="82" spans="2:49" x14ac:dyDescent="0.15">
      <c r="B82" s="2">
        <v>78</v>
      </c>
      <c r="C82" s="2">
        <v>45</v>
      </c>
      <c r="D82" s="2">
        <v>205</v>
      </c>
      <c r="E82" s="2">
        <v>330</v>
      </c>
      <c r="F82" s="2">
        <v>255</v>
      </c>
      <c r="G82" s="2">
        <v>0</v>
      </c>
      <c r="I82" s="2">
        <v>36.771428571428572</v>
      </c>
      <c r="J82" s="2">
        <v>73.542857142857144</v>
      </c>
      <c r="K82" s="2">
        <v>47.914285714285711</v>
      </c>
      <c r="L82" s="2">
        <v>27.857142857142858</v>
      </c>
      <c r="M82" s="2">
        <v>7.8</v>
      </c>
      <c r="O82" s="3">
        <f t="shared" si="42"/>
        <v>81.771428571428572</v>
      </c>
      <c r="P82" s="3">
        <f t="shared" si="43"/>
        <v>278.54285714285714</v>
      </c>
      <c r="Q82" s="3">
        <f t="shared" si="44"/>
        <v>377.91428571428571</v>
      </c>
      <c r="R82" s="3">
        <f t="shared" si="45"/>
        <v>282.85714285714283</v>
      </c>
      <c r="S82" s="3">
        <f t="shared" si="46"/>
        <v>7.8</v>
      </c>
      <c r="U82" s="1">
        <f t="shared" si="57"/>
        <v>0.55031446540880502</v>
      </c>
      <c r="V82" s="1">
        <f t="shared" si="58"/>
        <v>0.73597292029951789</v>
      </c>
      <c r="W82" s="1">
        <f t="shared" si="59"/>
        <v>0.87321388069857109</v>
      </c>
      <c r="X82" s="1">
        <f t="shared" si="60"/>
        <v>0.9015151515151516</v>
      </c>
      <c r="Y82" s="1">
        <f t="shared" si="61"/>
        <v>0</v>
      </c>
      <c r="AA82" s="1">
        <f t="shared" si="62"/>
        <v>0.44968553459119498</v>
      </c>
      <c r="AB82" s="1">
        <f t="shared" si="63"/>
        <v>0.26402707970048211</v>
      </c>
      <c r="AC82" s="1">
        <f t="shared" si="64"/>
        <v>0.12678611930142888</v>
      </c>
      <c r="AD82" s="1">
        <f t="shared" si="65"/>
        <v>9.8484848484848495E-2</v>
      </c>
      <c r="AE82" s="1">
        <f t="shared" si="66"/>
        <v>1</v>
      </c>
      <c r="AG82" s="2">
        <v>206.27631365233694</v>
      </c>
      <c r="AH82" s="2">
        <v>134.76514732587756</v>
      </c>
      <c r="AI82" s="2">
        <v>334.60904687074043</v>
      </c>
      <c r="AJ82" s="2">
        <v>281.01072507907293</v>
      </c>
      <c r="AK82" s="2">
        <v>29.517225489903904</v>
      </c>
      <c r="AM82" s="1">
        <f t="shared" si="47"/>
        <v>0.21815398580296563</v>
      </c>
      <c r="AN82" s="1">
        <f t="shared" si="48"/>
        <v>1.5211648120287846</v>
      </c>
      <c r="AO82" s="1">
        <f t="shared" si="49"/>
        <v>0.98622557604510641</v>
      </c>
      <c r="AP82" s="1">
        <f t="shared" si="50"/>
        <v>0.90743867490554375</v>
      </c>
      <c r="AQ82" s="1">
        <f t="shared" si="51"/>
        <v>0</v>
      </c>
      <c r="AS82" s="1">
        <f t="shared" si="52"/>
        <v>0.17826297125613763</v>
      </c>
      <c r="AT82" s="1">
        <f t="shared" si="53"/>
        <v>0.54571125103304408</v>
      </c>
      <c r="AU82" s="1">
        <f t="shared" si="54"/>
        <v>0.14319483039200376</v>
      </c>
      <c r="AV82" s="1">
        <f t="shared" si="55"/>
        <v>9.9131956082118236E-2</v>
      </c>
      <c r="AW82" s="1">
        <f t="shared" si="56"/>
        <v>0.26425247869817298</v>
      </c>
    </row>
    <row r="83" spans="2:49" x14ac:dyDescent="0.15">
      <c r="B83" s="2">
        <v>79</v>
      </c>
      <c r="C83" s="2">
        <v>45</v>
      </c>
      <c r="D83" s="2">
        <v>205</v>
      </c>
      <c r="E83" s="2">
        <v>330</v>
      </c>
      <c r="F83" s="2">
        <v>325</v>
      </c>
      <c r="G83" s="2">
        <v>0</v>
      </c>
      <c r="I83" s="2">
        <v>37.24285714285714</v>
      </c>
      <c r="J83" s="2">
        <v>74.48571428571428</v>
      </c>
      <c r="K83" s="2">
        <v>48.528571428571425</v>
      </c>
      <c r="L83" s="2">
        <v>28.214285714285715</v>
      </c>
      <c r="M83" s="2">
        <v>7.9</v>
      </c>
      <c r="O83" s="3">
        <f t="shared" si="42"/>
        <v>82.242857142857133</v>
      </c>
      <c r="P83" s="3">
        <f t="shared" si="43"/>
        <v>279.48571428571427</v>
      </c>
      <c r="Q83" s="3">
        <f t="shared" si="44"/>
        <v>378.52857142857141</v>
      </c>
      <c r="R83" s="3">
        <f t="shared" si="45"/>
        <v>353.21428571428572</v>
      </c>
      <c r="S83" s="3">
        <f t="shared" si="46"/>
        <v>7.9</v>
      </c>
      <c r="U83" s="1">
        <f t="shared" si="57"/>
        <v>0.54715997915581038</v>
      </c>
      <c r="V83" s="1">
        <f t="shared" si="58"/>
        <v>0.73349008382743819</v>
      </c>
      <c r="W83" s="1">
        <f t="shared" si="59"/>
        <v>0.87179680718571917</v>
      </c>
      <c r="X83" s="1">
        <f t="shared" si="60"/>
        <v>0.92012133468149648</v>
      </c>
      <c r="Y83" s="1">
        <f t="shared" si="61"/>
        <v>0</v>
      </c>
      <c r="AA83" s="1">
        <f t="shared" si="62"/>
        <v>0.45284002084418973</v>
      </c>
      <c r="AB83" s="1">
        <f t="shared" si="63"/>
        <v>0.26650991617256187</v>
      </c>
      <c r="AC83" s="1">
        <f t="shared" si="64"/>
        <v>0.12820319281428086</v>
      </c>
      <c r="AD83" s="1">
        <f t="shared" si="65"/>
        <v>7.9878665318503544E-2</v>
      </c>
      <c r="AE83" s="1">
        <f t="shared" si="66"/>
        <v>1</v>
      </c>
      <c r="AG83" s="2">
        <v>206.27631365233694</v>
      </c>
      <c r="AH83" s="2">
        <v>134.76514732587756</v>
      </c>
      <c r="AI83" s="2">
        <v>334.60904687074043</v>
      </c>
      <c r="AJ83" s="2">
        <v>323.77162778907848</v>
      </c>
      <c r="AK83" s="2">
        <v>37.394233883852294</v>
      </c>
      <c r="AM83" s="1">
        <f t="shared" si="47"/>
        <v>0.21815398580296563</v>
      </c>
      <c r="AN83" s="1">
        <f t="shared" si="48"/>
        <v>1.5211648120287846</v>
      </c>
      <c r="AO83" s="1">
        <f t="shared" si="49"/>
        <v>0.98622557604510641</v>
      </c>
      <c r="AP83" s="1">
        <f t="shared" si="50"/>
        <v>1.0037939464285663</v>
      </c>
      <c r="AQ83" s="1">
        <f t="shared" si="51"/>
        <v>0</v>
      </c>
      <c r="AS83" s="1">
        <f t="shared" si="52"/>
        <v>0.18054839396454964</v>
      </c>
      <c r="AT83" s="1">
        <f t="shared" si="53"/>
        <v>0.55270754912321129</v>
      </c>
      <c r="AU83" s="1">
        <f t="shared" si="54"/>
        <v>0.1450306615508756</v>
      </c>
      <c r="AV83" s="1">
        <f t="shared" si="55"/>
        <v>8.7142551393249182E-2</v>
      </c>
      <c r="AW83" s="1">
        <f t="shared" si="56"/>
        <v>0.21126251775976096</v>
      </c>
    </row>
    <row r="84" spans="2:49" x14ac:dyDescent="0.15">
      <c r="B84" s="2">
        <v>80</v>
      </c>
      <c r="C84" s="2">
        <v>45</v>
      </c>
      <c r="D84" s="2">
        <v>205</v>
      </c>
      <c r="E84" s="2">
        <v>330</v>
      </c>
      <c r="F84" s="2">
        <v>395</v>
      </c>
      <c r="G84" s="2">
        <v>0</v>
      </c>
      <c r="I84" s="2">
        <v>37.714285714285715</v>
      </c>
      <c r="J84" s="2">
        <v>75.428571428571431</v>
      </c>
      <c r="K84" s="2">
        <v>49.142857142857146</v>
      </c>
      <c r="L84" s="2">
        <v>28.571428571428573</v>
      </c>
      <c r="M84" s="2">
        <v>8</v>
      </c>
      <c r="O84" s="3">
        <f t="shared" si="42"/>
        <v>82.714285714285722</v>
      </c>
      <c r="P84" s="3">
        <f t="shared" si="43"/>
        <v>280.42857142857144</v>
      </c>
      <c r="Q84" s="3">
        <f t="shared" si="44"/>
        <v>379.14285714285717</v>
      </c>
      <c r="R84" s="3">
        <f t="shared" si="45"/>
        <v>423.57142857142856</v>
      </c>
      <c r="S84" s="3">
        <f t="shared" si="46"/>
        <v>8</v>
      </c>
      <c r="U84" s="1">
        <f t="shared" si="57"/>
        <v>0.54404145077720201</v>
      </c>
      <c r="V84" s="1">
        <f t="shared" si="58"/>
        <v>0.7310239429444727</v>
      </c>
      <c r="W84" s="1">
        <f t="shared" si="59"/>
        <v>0.87038432554634504</v>
      </c>
      <c r="X84" s="1">
        <f t="shared" si="60"/>
        <v>0.93254637436762233</v>
      </c>
      <c r="Y84" s="1">
        <f t="shared" si="61"/>
        <v>0</v>
      </c>
      <c r="AA84" s="1">
        <f t="shared" si="62"/>
        <v>0.45595854922279788</v>
      </c>
      <c r="AB84" s="1">
        <f t="shared" si="63"/>
        <v>0.26897605705552724</v>
      </c>
      <c r="AC84" s="1">
        <f t="shared" si="64"/>
        <v>0.12961567445365485</v>
      </c>
      <c r="AD84" s="1">
        <f t="shared" si="65"/>
        <v>6.7453625632377751E-2</v>
      </c>
      <c r="AE84" s="1">
        <f t="shared" si="66"/>
        <v>1</v>
      </c>
      <c r="AG84" s="2">
        <v>206.27631365233694</v>
      </c>
      <c r="AH84" s="2">
        <v>134.76514732587756</v>
      </c>
      <c r="AI84" s="2">
        <v>334.60904687074043</v>
      </c>
      <c r="AJ84" s="2">
        <v>371.97928258882985</v>
      </c>
      <c r="AK84" s="2">
        <v>46.433169158805676</v>
      </c>
      <c r="AM84" s="1">
        <f t="shared" si="47"/>
        <v>0.21815398580296563</v>
      </c>
      <c r="AN84" s="1">
        <f t="shared" si="48"/>
        <v>1.5211648120287846</v>
      </c>
      <c r="AO84" s="1">
        <f t="shared" si="49"/>
        <v>0.98622557604510641</v>
      </c>
      <c r="AP84" s="1">
        <f t="shared" si="50"/>
        <v>1.0618870955687505</v>
      </c>
      <c r="AQ84" s="1">
        <f t="shared" si="51"/>
        <v>0</v>
      </c>
      <c r="AS84" s="1">
        <f t="shared" si="52"/>
        <v>0.1828338166729617</v>
      </c>
      <c r="AT84" s="1">
        <f t="shared" si="53"/>
        <v>0.55970384721337862</v>
      </c>
      <c r="AU84" s="1">
        <f t="shared" si="54"/>
        <v>0.14686649270974747</v>
      </c>
      <c r="AV84" s="1">
        <f t="shared" si="55"/>
        <v>7.6809193169529874E-2</v>
      </c>
      <c r="AW84" s="1">
        <f t="shared" si="56"/>
        <v>0.17229063070494435</v>
      </c>
    </row>
    <row r="85" spans="2:49" x14ac:dyDescent="0.15">
      <c r="B85" s="2">
        <v>81</v>
      </c>
      <c r="C85" s="2">
        <v>45</v>
      </c>
      <c r="D85" s="2">
        <v>205</v>
      </c>
      <c r="E85" s="2">
        <v>330</v>
      </c>
      <c r="F85" s="2">
        <v>475</v>
      </c>
      <c r="G85" s="2">
        <v>0</v>
      </c>
      <c r="I85" s="2">
        <v>38.185714285714283</v>
      </c>
      <c r="J85" s="2">
        <v>76.371428571428567</v>
      </c>
      <c r="K85" s="2">
        <v>49.75714285714286</v>
      </c>
      <c r="L85" s="2">
        <v>28.928571428571431</v>
      </c>
      <c r="M85" s="2">
        <v>8.1</v>
      </c>
      <c r="O85" s="3">
        <f t="shared" si="42"/>
        <v>83.185714285714283</v>
      </c>
      <c r="P85" s="3">
        <f t="shared" si="43"/>
        <v>281.37142857142857</v>
      </c>
      <c r="Q85" s="3">
        <f t="shared" si="44"/>
        <v>379.75714285714287</v>
      </c>
      <c r="R85" s="3">
        <f t="shared" si="45"/>
        <v>503.92857142857144</v>
      </c>
      <c r="S85" s="3">
        <f t="shared" si="46"/>
        <v>8.1</v>
      </c>
      <c r="U85" s="1">
        <f t="shared" si="57"/>
        <v>0.54095826893353938</v>
      </c>
      <c r="V85" s="1">
        <f t="shared" si="58"/>
        <v>0.72857432981316006</v>
      </c>
      <c r="W85" s="1">
        <f t="shared" si="59"/>
        <v>0.86897641349734789</v>
      </c>
      <c r="X85" s="1">
        <f t="shared" si="60"/>
        <v>0.94259390503189222</v>
      </c>
      <c r="Y85" s="1">
        <f t="shared" si="61"/>
        <v>0</v>
      </c>
      <c r="AA85" s="1">
        <f t="shared" si="62"/>
        <v>0.45904173106646057</v>
      </c>
      <c r="AB85" s="1">
        <f t="shared" si="63"/>
        <v>0.27142567018683994</v>
      </c>
      <c r="AC85" s="1">
        <f t="shared" si="64"/>
        <v>0.13102358650265208</v>
      </c>
      <c r="AD85" s="1">
        <f t="shared" si="65"/>
        <v>5.7406094968107731E-2</v>
      </c>
      <c r="AE85" s="1">
        <f t="shared" si="66"/>
        <v>1</v>
      </c>
      <c r="AG85" s="2">
        <v>206.27631365233694</v>
      </c>
      <c r="AH85" s="2">
        <v>134.76514732587756</v>
      </c>
      <c r="AI85" s="2">
        <v>334.60904687074043</v>
      </c>
      <c r="AJ85" s="2">
        <v>426.1941781244692</v>
      </c>
      <c r="AK85" s="2">
        <v>56.759815927498892</v>
      </c>
      <c r="AM85" s="1">
        <f t="shared" si="47"/>
        <v>0.21815398580296563</v>
      </c>
      <c r="AN85" s="1">
        <f t="shared" si="48"/>
        <v>1.5211648120287846</v>
      </c>
      <c r="AO85" s="1">
        <f t="shared" si="49"/>
        <v>0.98622557604510641</v>
      </c>
      <c r="AP85" s="1">
        <f t="shared" si="50"/>
        <v>1.1145154588697295</v>
      </c>
      <c r="AQ85" s="1">
        <f t="shared" si="51"/>
        <v>0</v>
      </c>
      <c r="AS85" s="1">
        <f t="shared" si="52"/>
        <v>0.1851192393813737</v>
      </c>
      <c r="AT85" s="1">
        <f t="shared" si="53"/>
        <v>0.56670014530354573</v>
      </c>
      <c r="AU85" s="1">
        <f t="shared" si="54"/>
        <v>0.14870232386861931</v>
      </c>
      <c r="AV85" s="1">
        <f t="shared" si="55"/>
        <v>6.787650538981059E-2</v>
      </c>
      <c r="AW85" s="1">
        <f t="shared" si="56"/>
        <v>0.14270659387525828</v>
      </c>
    </row>
    <row r="86" spans="2:49" x14ac:dyDescent="0.15">
      <c r="B86" s="2">
        <v>82</v>
      </c>
      <c r="C86" s="2">
        <v>45</v>
      </c>
      <c r="D86" s="2">
        <v>205</v>
      </c>
      <c r="E86" s="2">
        <v>330</v>
      </c>
      <c r="F86" s="2">
        <v>555</v>
      </c>
      <c r="G86" s="2">
        <v>0</v>
      </c>
      <c r="I86" s="2">
        <v>38.657142857142858</v>
      </c>
      <c r="J86" s="2">
        <v>77.314285714285717</v>
      </c>
      <c r="K86" s="2">
        <v>50.371428571428574</v>
      </c>
      <c r="L86" s="2">
        <v>29.285714285714285</v>
      </c>
      <c r="M86" s="2">
        <v>8.1999999999999993</v>
      </c>
      <c r="O86" s="3">
        <f t="shared" si="42"/>
        <v>83.657142857142858</v>
      </c>
      <c r="P86" s="3">
        <f t="shared" si="43"/>
        <v>282.31428571428569</v>
      </c>
      <c r="Q86" s="3">
        <f t="shared" si="44"/>
        <v>380.37142857142857</v>
      </c>
      <c r="R86" s="3">
        <f t="shared" si="45"/>
        <v>584.28571428571433</v>
      </c>
      <c r="S86" s="3">
        <f t="shared" si="46"/>
        <v>8.1999999999999993</v>
      </c>
      <c r="U86" s="1">
        <f t="shared" si="57"/>
        <v>0.53790983606557374</v>
      </c>
      <c r="V86" s="1">
        <f t="shared" si="58"/>
        <v>0.72614107883817436</v>
      </c>
      <c r="W86" s="1">
        <f t="shared" si="59"/>
        <v>0.86757304889957187</v>
      </c>
      <c r="X86" s="1">
        <f t="shared" si="60"/>
        <v>0.94987775061124691</v>
      </c>
      <c r="Y86" s="1">
        <f t="shared" si="61"/>
        <v>0</v>
      </c>
      <c r="AA86" s="1">
        <f t="shared" si="62"/>
        <v>0.46209016393442626</v>
      </c>
      <c r="AB86" s="1">
        <f t="shared" si="63"/>
        <v>0.27385892116182575</v>
      </c>
      <c r="AC86" s="1">
        <f t="shared" si="64"/>
        <v>0.13242695110042815</v>
      </c>
      <c r="AD86" s="1">
        <f t="shared" si="65"/>
        <v>5.0122249388753051E-2</v>
      </c>
      <c r="AE86" s="1">
        <f t="shared" si="66"/>
        <v>1</v>
      </c>
      <c r="AG86" s="2">
        <v>206.27631365233694</v>
      </c>
      <c r="AH86" s="2">
        <v>134.76514732587756</v>
      </c>
      <c r="AI86" s="2">
        <v>334.60904687074043</v>
      </c>
      <c r="AJ86" s="2">
        <v>487.02932453644308</v>
      </c>
      <c r="AK86" s="2">
        <v>68.512060120721117</v>
      </c>
      <c r="AM86" s="1">
        <f t="shared" si="47"/>
        <v>0.21815398580296563</v>
      </c>
      <c r="AN86" s="1">
        <f t="shared" si="48"/>
        <v>1.5211648120287846</v>
      </c>
      <c r="AO86" s="1">
        <f t="shared" si="49"/>
        <v>0.98622557604510641</v>
      </c>
      <c r="AP86" s="1">
        <f t="shared" si="50"/>
        <v>1.1395617718260636</v>
      </c>
      <c r="AQ86" s="1">
        <f t="shared" si="51"/>
        <v>0</v>
      </c>
      <c r="AS86" s="1">
        <f t="shared" si="52"/>
        <v>0.18740466208978573</v>
      </c>
      <c r="AT86" s="1">
        <f t="shared" si="53"/>
        <v>0.57369644339371306</v>
      </c>
      <c r="AU86" s="1">
        <f t="shared" si="54"/>
        <v>0.15053815502749116</v>
      </c>
      <c r="AV86" s="1">
        <f t="shared" si="55"/>
        <v>6.0131316145262036E-2</v>
      </c>
      <c r="AW86" s="1">
        <f t="shared" si="56"/>
        <v>0.11968695709268203</v>
      </c>
    </row>
    <row r="87" spans="2:49" x14ac:dyDescent="0.15">
      <c r="B87" s="2">
        <v>83</v>
      </c>
      <c r="C87" s="2">
        <v>45</v>
      </c>
      <c r="D87" s="2">
        <v>205</v>
      </c>
      <c r="E87" s="2">
        <v>330</v>
      </c>
      <c r="F87" s="2">
        <v>555</v>
      </c>
      <c r="G87" s="2">
        <v>30</v>
      </c>
      <c r="I87" s="2">
        <v>39.128571428571426</v>
      </c>
      <c r="J87" s="2">
        <v>78.257142857142853</v>
      </c>
      <c r="K87" s="2">
        <v>50.985714285714288</v>
      </c>
      <c r="L87" s="2">
        <v>29.642857142857142</v>
      </c>
      <c r="M87" s="2">
        <v>8.3000000000000007</v>
      </c>
      <c r="O87" s="3">
        <f t="shared" si="42"/>
        <v>84.128571428571433</v>
      </c>
      <c r="P87" s="3">
        <f t="shared" si="43"/>
        <v>283.25714285714287</v>
      </c>
      <c r="Q87" s="3">
        <f t="shared" si="44"/>
        <v>380.98571428571427</v>
      </c>
      <c r="R87" s="3">
        <f t="shared" si="45"/>
        <v>584.64285714285711</v>
      </c>
      <c r="S87" s="3">
        <f t="shared" si="46"/>
        <v>38.299999999999997</v>
      </c>
      <c r="U87" s="1">
        <f t="shared" si="57"/>
        <v>0.53489556800815075</v>
      </c>
      <c r="V87" s="1">
        <f t="shared" si="58"/>
        <v>0.72372402662900948</v>
      </c>
      <c r="W87" s="1">
        <f t="shared" si="59"/>
        <v>0.86617420975664638</v>
      </c>
      <c r="X87" s="1">
        <f t="shared" si="60"/>
        <v>0.94929749541844843</v>
      </c>
      <c r="Y87" s="1">
        <f t="shared" si="61"/>
        <v>0.78328981723237601</v>
      </c>
      <c r="AA87" s="1">
        <f t="shared" si="62"/>
        <v>0.46510443199184914</v>
      </c>
      <c r="AB87" s="1">
        <f t="shared" si="63"/>
        <v>0.27627597337099047</v>
      </c>
      <c r="AC87" s="1">
        <f t="shared" si="64"/>
        <v>0.13382579024335373</v>
      </c>
      <c r="AD87" s="1">
        <f t="shared" si="65"/>
        <v>5.0702504581551622E-2</v>
      </c>
      <c r="AE87" s="1">
        <f t="shared" si="66"/>
        <v>0.21671018276762405</v>
      </c>
      <c r="AG87" s="2">
        <v>206.27631365233694</v>
      </c>
      <c r="AH87" s="2">
        <v>134.76514732587756</v>
      </c>
      <c r="AI87" s="2">
        <v>334.60904687074043</v>
      </c>
      <c r="AJ87" s="2">
        <v>555.15490544052841</v>
      </c>
      <c r="AK87" s="2">
        <v>81.840978123694342</v>
      </c>
      <c r="AM87" s="1">
        <f t="shared" si="47"/>
        <v>0.21815398580296563</v>
      </c>
      <c r="AN87" s="1">
        <f t="shared" si="48"/>
        <v>1.5211648120287846</v>
      </c>
      <c r="AO87" s="1">
        <f t="shared" si="49"/>
        <v>0.98622557604510641</v>
      </c>
      <c r="AP87" s="1">
        <f t="shared" si="50"/>
        <v>0.99972096897818907</v>
      </c>
      <c r="AQ87" s="1">
        <f t="shared" si="51"/>
        <v>0.3665645339020514</v>
      </c>
      <c r="AS87" s="1">
        <f t="shared" si="52"/>
        <v>0.18969008479819774</v>
      </c>
      <c r="AT87" s="1">
        <f t="shared" si="53"/>
        <v>0.58069274148388017</v>
      </c>
      <c r="AU87" s="1">
        <f t="shared" si="54"/>
        <v>0.152373986186363</v>
      </c>
      <c r="AV87" s="1">
        <f t="shared" si="55"/>
        <v>5.3395650209259779E-2</v>
      </c>
      <c r="AW87" s="1">
        <f t="shared" si="56"/>
        <v>0.1014161877129009</v>
      </c>
    </row>
    <row r="88" spans="2:49" x14ac:dyDescent="0.15">
      <c r="B88" s="2">
        <v>84</v>
      </c>
      <c r="C88" s="2">
        <v>45</v>
      </c>
      <c r="D88" s="2">
        <v>205</v>
      </c>
      <c r="E88" s="2">
        <v>330</v>
      </c>
      <c r="F88" s="2">
        <v>555</v>
      </c>
      <c r="G88" s="2">
        <v>60</v>
      </c>
      <c r="I88" s="2">
        <v>39.6</v>
      </c>
      <c r="J88" s="2">
        <v>79.2</v>
      </c>
      <c r="K88" s="2">
        <v>51.6</v>
      </c>
      <c r="L88" s="2">
        <v>30</v>
      </c>
      <c r="M88" s="2">
        <v>8.4</v>
      </c>
      <c r="O88" s="3">
        <f t="shared" si="42"/>
        <v>84.6</v>
      </c>
      <c r="P88" s="3">
        <f t="shared" si="43"/>
        <v>284.2</v>
      </c>
      <c r="Q88" s="3">
        <f t="shared" si="44"/>
        <v>381.6</v>
      </c>
      <c r="R88" s="3">
        <f t="shared" si="45"/>
        <v>585</v>
      </c>
      <c r="S88" s="3">
        <f t="shared" si="46"/>
        <v>68.400000000000006</v>
      </c>
      <c r="U88" s="1">
        <f t="shared" si="57"/>
        <v>0.53191489361702127</v>
      </c>
      <c r="V88" s="1">
        <f t="shared" si="58"/>
        <v>0.72132301196340609</v>
      </c>
      <c r="W88" s="1">
        <f t="shared" si="59"/>
        <v>0.8647798742138364</v>
      </c>
      <c r="X88" s="1">
        <f t="shared" si="60"/>
        <v>0.94871794871794868</v>
      </c>
      <c r="Y88" s="1">
        <f t="shared" si="61"/>
        <v>0.8771929824561403</v>
      </c>
      <c r="AA88" s="1">
        <f t="shared" si="62"/>
        <v>0.46808510638297879</v>
      </c>
      <c r="AB88" s="1">
        <f t="shared" si="63"/>
        <v>0.27867698803659396</v>
      </c>
      <c r="AC88" s="1">
        <f t="shared" si="64"/>
        <v>0.13522012578616352</v>
      </c>
      <c r="AD88" s="1">
        <f t="shared" si="65"/>
        <v>5.128205128205128E-2</v>
      </c>
      <c r="AE88" s="1">
        <f t="shared" si="66"/>
        <v>0.12280701754385964</v>
      </c>
      <c r="AG88" s="2">
        <v>206.27631365233694</v>
      </c>
      <c r="AH88" s="2">
        <v>134.76514732587756</v>
      </c>
      <c r="AI88" s="2">
        <v>334.60904687074043</v>
      </c>
      <c r="AJ88" s="2">
        <v>631.30332712561892</v>
      </c>
      <c r="AK88" s="2">
        <v>96.912019915535168</v>
      </c>
      <c r="AM88" s="1">
        <f t="shared" si="47"/>
        <v>0.21815398580296563</v>
      </c>
      <c r="AN88" s="1">
        <f t="shared" si="48"/>
        <v>1.5211648120287846</v>
      </c>
      <c r="AO88" s="1">
        <f t="shared" si="49"/>
        <v>0.98622557604510641</v>
      </c>
      <c r="AP88" s="1">
        <f t="shared" si="50"/>
        <v>0.87913365279882993</v>
      </c>
      <c r="AQ88" s="1">
        <f t="shared" si="51"/>
        <v>0.61911824820382155</v>
      </c>
      <c r="AS88" s="1">
        <f t="shared" si="52"/>
        <v>0.19197550750660977</v>
      </c>
      <c r="AT88" s="1">
        <f t="shared" si="53"/>
        <v>0.5876890395740475</v>
      </c>
      <c r="AU88" s="1">
        <f t="shared" si="54"/>
        <v>0.15420981734523484</v>
      </c>
      <c r="AV88" s="1">
        <f t="shared" si="55"/>
        <v>4.7520737989125941E-2</v>
      </c>
      <c r="AW88" s="1">
        <f t="shared" si="56"/>
        <v>8.6676554748535015E-2</v>
      </c>
    </row>
    <row r="89" spans="2:49" x14ac:dyDescent="0.15">
      <c r="B89" s="2">
        <v>85</v>
      </c>
      <c r="C89" s="2">
        <v>45</v>
      </c>
      <c r="D89" s="2">
        <v>205</v>
      </c>
      <c r="E89" s="2">
        <v>330</v>
      </c>
      <c r="F89" s="2">
        <v>555</v>
      </c>
      <c r="G89" s="2">
        <v>97.5</v>
      </c>
      <c r="I89" s="2">
        <v>40.071428571428569</v>
      </c>
      <c r="J89" s="2">
        <v>80.142857142857139</v>
      </c>
      <c r="K89" s="2">
        <v>52.214285714285715</v>
      </c>
      <c r="L89" s="2">
        <v>30.357142857142858</v>
      </c>
      <c r="M89" s="2">
        <v>8.5</v>
      </c>
      <c r="O89" s="3">
        <f t="shared" si="42"/>
        <v>85.071428571428569</v>
      </c>
      <c r="P89" s="3">
        <f t="shared" si="43"/>
        <v>285.14285714285711</v>
      </c>
      <c r="Q89" s="3">
        <f t="shared" si="44"/>
        <v>382.21428571428572</v>
      </c>
      <c r="R89" s="3">
        <f t="shared" si="45"/>
        <v>585.35714285714289</v>
      </c>
      <c r="S89" s="3">
        <f t="shared" si="46"/>
        <v>106</v>
      </c>
      <c r="U89" s="1">
        <f t="shared" si="57"/>
        <v>0.52896725440806047</v>
      </c>
      <c r="V89" s="1">
        <f t="shared" si="58"/>
        <v>0.71893787575150314</v>
      </c>
      <c r="W89" s="1">
        <f t="shared" si="59"/>
        <v>0.86339002055690528</v>
      </c>
      <c r="X89" s="1">
        <f t="shared" si="60"/>
        <v>0.94813910921293465</v>
      </c>
      <c r="Y89" s="1">
        <f t="shared" si="61"/>
        <v>0.91981132075471694</v>
      </c>
      <c r="AA89" s="1">
        <f t="shared" si="62"/>
        <v>0.47103274559193953</v>
      </c>
      <c r="AB89" s="1">
        <f t="shared" si="63"/>
        <v>0.28106212424849703</v>
      </c>
      <c r="AC89" s="1">
        <f t="shared" si="64"/>
        <v>0.13660997944309475</v>
      </c>
      <c r="AD89" s="1">
        <f t="shared" si="65"/>
        <v>5.1860890787065281E-2</v>
      </c>
      <c r="AE89" s="1">
        <f t="shared" si="66"/>
        <v>8.0188679245283015E-2</v>
      </c>
      <c r="AG89" s="2">
        <v>206.27631365233694</v>
      </c>
      <c r="AH89" s="2">
        <v>134.76514732587756</v>
      </c>
      <c r="AI89" s="2">
        <v>334.60904687074043</v>
      </c>
      <c r="AJ89" s="2">
        <v>716.27469802320593</v>
      </c>
      <c r="AK89" s="2">
        <v>113.90629409505257</v>
      </c>
      <c r="AM89" s="1">
        <f t="shared" si="47"/>
        <v>0.21815398580296563</v>
      </c>
      <c r="AN89" s="1">
        <f t="shared" si="48"/>
        <v>1.5211648120287846</v>
      </c>
      <c r="AO89" s="1">
        <f t="shared" si="49"/>
        <v>0.98622557604510641</v>
      </c>
      <c r="AP89" s="1">
        <f t="shared" si="50"/>
        <v>0.77484239151781276</v>
      </c>
      <c r="AQ89" s="1">
        <f t="shared" si="51"/>
        <v>0.8559667468299702</v>
      </c>
      <c r="AS89" s="1">
        <f t="shared" si="52"/>
        <v>0.19426093021502178</v>
      </c>
      <c r="AT89" s="1">
        <f t="shared" si="53"/>
        <v>0.59468533766421472</v>
      </c>
      <c r="AU89" s="1">
        <f t="shared" si="54"/>
        <v>0.15604564850410668</v>
      </c>
      <c r="AV89" s="1">
        <f t="shared" si="55"/>
        <v>4.2381984092029652E-2</v>
      </c>
      <c r="AW89" s="1">
        <f t="shared" si="56"/>
        <v>7.4622742031330735E-2</v>
      </c>
    </row>
    <row r="90" spans="2:49" x14ac:dyDescent="0.15">
      <c r="B90" s="2">
        <v>86</v>
      </c>
      <c r="C90" s="2">
        <v>45</v>
      </c>
      <c r="D90" s="2">
        <v>205</v>
      </c>
      <c r="E90" s="2">
        <v>330</v>
      </c>
      <c r="F90" s="2">
        <v>555</v>
      </c>
      <c r="G90" s="2">
        <v>135</v>
      </c>
      <c r="I90" s="2">
        <v>40.542857142857144</v>
      </c>
      <c r="J90" s="2">
        <v>81.085714285714289</v>
      </c>
      <c r="K90" s="2">
        <v>52.828571428571429</v>
      </c>
      <c r="L90" s="2">
        <v>30.714285714285715</v>
      </c>
      <c r="M90" s="2">
        <v>8.6</v>
      </c>
      <c r="O90" s="3">
        <f t="shared" si="42"/>
        <v>85.542857142857144</v>
      </c>
      <c r="P90" s="3">
        <f t="shared" si="43"/>
        <v>286.08571428571429</v>
      </c>
      <c r="Q90" s="3">
        <f t="shared" si="44"/>
        <v>382.82857142857142</v>
      </c>
      <c r="R90" s="3">
        <f t="shared" si="45"/>
        <v>585.71428571428567</v>
      </c>
      <c r="S90" s="3">
        <f t="shared" si="46"/>
        <v>143.6</v>
      </c>
      <c r="U90" s="1">
        <f t="shared" si="57"/>
        <v>0.52605210420841686</v>
      </c>
      <c r="V90" s="1">
        <f t="shared" si="58"/>
        <v>0.71656846100069904</v>
      </c>
      <c r="W90" s="1">
        <f t="shared" si="59"/>
        <v>0.86200462721098592</v>
      </c>
      <c r="X90" s="1">
        <f t="shared" si="60"/>
        <v>0.94756097560975616</v>
      </c>
      <c r="Y90" s="1">
        <f t="shared" si="61"/>
        <v>0.94011142061281339</v>
      </c>
      <c r="AA90" s="1">
        <f t="shared" si="62"/>
        <v>0.4739478957915832</v>
      </c>
      <c r="AB90" s="1">
        <f t="shared" si="63"/>
        <v>0.2834315389993009</v>
      </c>
      <c r="AC90" s="1">
        <f t="shared" si="64"/>
        <v>0.13799537278901411</v>
      </c>
      <c r="AD90" s="1">
        <f t="shared" si="65"/>
        <v>5.2439024390243907E-2</v>
      </c>
      <c r="AE90" s="1">
        <f t="shared" si="66"/>
        <v>5.9888579387186627E-2</v>
      </c>
      <c r="AG90" s="2">
        <v>206.27631365233694</v>
      </c>
      <c r="AH90" s="2">
        <v>134.76514732587756</v>
      </c>
      <c r="AI90" s="2">
        <v>334.60904687074043</v>
      </c>
      <c r="AJ90" s="2">
        <v>789.09629508387832</v>
      </c>
      <c r="AK90" s="2">
        <v>133.0219633234791</v>
      </c>
      <c r="AM90" s="1">
        <f t="shared" si="47"/>
        <v>0.21815398580296563</v>
      </c>
      <c r="AN90" s="1">
        <f t="shared" si="48"/>
        <v>1.5211648120287846</v>
      </c>
      <c r="AO90" s="1">
        <f t="shared" si="49"/>
        <v>0.98622557604510641</v>
      </c>
      <c r="AP90" s="1">
        <f t="shared" si="50"/>
        <v>0.70333621315634909</v>
      </c>
      <c r="AQ90" s="1">
        <f t="shared" si="51"/>
        <v>1.0148700006156937</v>
      </c>
      <c r="AS90" s="1">
        <f t="shared" si="52"/>
        <v>0.19654635292343381</v>
      </c>
      <c r="AT90" s="1">
        <f t="shared" si="53"/>
        <v>0.60168163575438194</v>
      </c>
      <c r="AU90" s="1">
        <f t="shared" si="54"/>
        <v>0.15788147966297852</v>
      </c>
      <c r="AV90" s="1">
        <f t="shared" si="55"/>
        <v>3.8923368295653814E-2</v>
      </c>
      <c r="AW90" s="1">
        <f t="shared" si="56"/>
        <v>6.465097781699973E-2</v>
      </c>
    </row>
    <row r="91" spans="2:49" x14ac:dyDescent="0.15">
      <c r="B91" s="2">
        <v>87</v>
      </c>
      <c r="C91" s="2">
        <v>45</v>
      </c>
      <c r="D91" s="2">
        <v>205</v>
      </c>
      <c r="E91" s="2">
        <v>330</v>
      </c>
      <c r="F91" s="2">
        <v>555</v>
      </c>
      <c r="G91" s="2">
        <v>195</v>
      </c>
      <c r="I91" s="2">
        <v>41.014285714285712</v>
      </c>
      <c r="J91" s="2">
        <v>82.028571428571425</v>
      </c>
      <c r="K91" s="2">
        <v>53.442857142857143</v>
      </c>
      <c r="L91" s="2">
        <v>31.071428571428569</v>
      </c>
      <c r="M91" s="2">
        <v>8.6999999999999993</v>
      </c>
      <c r="O91" s="3">
        <f t="shared" si="42"/>
        <v>86.014285714285705</v>
      </c>
      <c r="P91" s="3">
        <f t="shared" si="43"/>
        <v>287.02857142857141</v>
      </c>
      <c r="Q91" s="3">
        <f t="shared" si="44"/>
        <v>383.44285714285712</v>
      </c>
      <c r="R91" s="3">
        <f t="shared" si="45"/>
        <v>586.07142857142856</v>
      </c>
      <c r="S91" s="3">
        <f t="shared" si="46"/>
        <v>203.7</v>
      </c>
      <c r="U91" s="1">
        <f t="shared" si="57"/>
        <v>0.52316890881913314</v>
      </c>
      <c r="V91" s="1">
        <f t="shared" si="58"/>
        <v>0.71421461278120646</v>
      </c>
      <c r="W91" s="1">
        <f t="shared" si="59"/>
        <v>0.86062367273946583</v>
      </c>
      <c r="X91" s="1">
        <f t="shared" si="60"/>
        <v>0.94698354661791595</v>
      </c>
      <c r="Y91" s="1">
        <f t="shared" si="61"/>
        <v>0.95729013254786455</v>
      </c>
      <c r="AA91" s="1">
        <f t="shared" si="62"/>
        <v>0.47683109118086697</v>
      </c>
      <c r="AB91" s="1">
        <f t="shared" si="63"/>
        <v>0.28578538721879354</v>
      </c>
      <c r="AC91" s="1">
        <f t="shared" si="64"/>
        <v>0.13937632726053426</v>
      </c>
      <c r="AD91" s="1">
        <f t="shared" si="65"/>
        <v>5.3016453382084092E-2</v>
      </c>
      <c r="AE91" s="1">
        <f t="shared" si="66"/>
        <v>4.2709867452135494E-2</v>
      </c>
      <c r="AG91" s="2">
        <v>206.27631365233694</v>
      </c>
      <c r="AH91" s="2">
        <v>134.76514732587756</v>
      </c>
      <c r="AI91" s="2">
        <v>334.60904687074043</v>
      </c>
      <c r="AJ91" s="2">
        <v>847.6066480592192</v>
      </c>
      <c r="AK91" s="2">
        <v>154.47575941443739</v>
      </c>
      <c r="AM91" s="1">
        <f t="shared" si="47"/>
        <v>0.21815398580296563</v>
      </c>
      <c r="AN91" s="1">
        <f t="shared" si="48"/>
        <v>1.5211648120287846</v>
      </c>
      <c r="AO91" s="1">
        <f t="shared" si="49"/>
        <v>0.98622557604510641</v>
      </c>
      <c r="AP91" s="1">
        <f t="shared" si="50"/>
        <v>0.65478485954634014</v>
      </c>
      <c r="AQ91" s="1">
        <f t="shared" si="51"/>
        <v>1.2623339787367001</v>
      </c>
      <c r="AS91" s="1">
        <f t="shared" si="52"/>
        <v>0.19883177563184581</v>
      </c>
      <c r="AT91" s="1">
        <f t="shared" si="53"/>
        <v>0.60867793384454916</v>
      </c>
      <c r="AU91" s="1">
        <f t="shared" si="54"/>
        <v>0.15971731082185037</v>
      </c>
      <c r="AV91" s="1">
        <f t="shared" si="55"/>
        <v>3.6657839627111707E-2</v>
      </c>
      <c r="AW91" s="1">
        <f t="shared" si="56"/>
        <v>5.6319515974406612E-2</v>
      </c>
    </row>
    <row r="92" spans="2:49" x14ac:dyDescent="0.15">
      <c r="B92" s="2">
        <v>88</v>
      </c>
      <c r="C92" s="2">
        <v>45</v>
      </c>
      <c r="D92" s="2">
        <v>205</v>
      </c>
      <c r="E92" s="2">
        <v>330</v>
      </c>
      <c r="F92" s="2">
        <v>555</v>
      </c>
      <c r="G92" s="2">
        <v>255</v>
      </c>
      <c r="I92" s="2">
        <v>41.485714285714288</v>
      </c>
      <c r="J92" s="2">
        <v>82.971428571428575</v>
      </c>
      <c r="K92" s="2">
        <v>54.057142857142857</v>
      </c>
      <c r="L92" s="2">
        <v>31.428571428571431</v>
      </c>
      <c r="M92" s="2">
        <v>8.8000000000000007</v>
      </c>
      <c r="O92" s="3">
        <f t="shared" si="42"/>
        <v>86.485714285714295</v>
      </c>
      <c r="P92" s="3">
        <f t="shared" si="43"/>
        <v>287.97142857142859</v>
      </c>
      <c r="Q92" s="3">
        <f t="shared" si="44"/>
        <v>384.05714285714288</v>
      </c>
      <c r="R92" s="3">
        <f t="shared" si="45"/>
        <v>586.42857142857144</v>
      </c>
      <c r="S92" s="3">
        <f t="shared" si="46"/>
        <v>263.8</v>
      </c>
      <c r="U92" s="1">
        <f t="shared" si="57"/>
        <v>0.52031714568880072</v>
      </c>
      <c r="V92" s="1">
        <f t="shared" si="58"/>
        <v>0.71187617819228088</v>
      </c>
      <c r="W92" s="1">
        <f t="shared" si="59"/>
        <v>0.85924713584288048</v>
      </c>
      <c r="X92" s="1">
        <f t="shared" si="60"/>
        <v>0.9464068209500609</v>
      </c>
      <c r="Y92" s="1">
        <f t="shared" si="61"/>
        <v>0.96664139499620916</v>
      </c>
      <c r="AA92" s="1">
        <f t="shared" si="62"/>
        <v>0.47968285431119917</v>
      </c>
      <c r="AB92" s="1">
        <f t="shared" si="63"/>
        <v>0.288123821807719</v>
      </c>
      <c r="AC92" s="1">
        <f t="shared" si="64"/>
        <v>0.14075286415711946</v>
      </c>
      <c r="AD92" s="1">
        <f t="shared" si="65"/>
        <v>5.3593179049939099E-2</v>
      </c>
      <c r="AE92" s="1">
        <f t="shared" si="66"/>
        <v>3.3358605003790752E-2</v>
      </c>
      <c r="AG92" s="2">
        <v>206.27631365233694</v>
      </c>
      <c r="AH92" s="2">
        <v>134.76514732587756</v>
      </c>
      <c r="AI92" s="2">
        <v>334.60904687074043</v>
      </c>
      <c r="AJ92" s="2">
        <v>889.39598482994597</v>
      </c>
      <c r="AK92" s="2">
        <v>178.50462805760532</v>
      </c>
      <c r="AM92" s="1">
        <f t="shared" si="47"/>
        <v>0.21815398580296563</v>
      </c>
      <c r="AN92" s="1">
        <f t="shared" si="48"/>
        <v>1.5211648120287846</v>
      </c>
      <c r="AO92" s="1">
        <f t="shared" si="49"/>
        <v>0.98622557604510641</v>
      </c>
      <c r="AP92" s="1">
        <f t="shared" si="50"/>
        <v>0.62401900780574915</v>
      </c>
      <c r="AQ92" s="1">
        <f t="shared" si="51"/>
        <v>1.4285343902551861</v>
      </c>
      <c r="AS92" s="1">
        <f t="shared" si="52"/>
        <v>0.20111719834025785</v>
      </c>
      <c r="AT92" s="1">
        <f t="shared" si="53"/>
        <v>0.61567423193471649</v>
      </c>
      <c r="AU92" s="1">
        <f t="shared" si="54"/>
        <v>0.16155314198072221</v>
      </c>
      <c r="AV92" s="1">
        <f t="shared" si="55"/>
        <v>3.5336983711007679E-2</v>
      </c>
      <c r="AW92" s="1">
        <f t="shared" si="56"/>
        <v>4.9298441702924072E-2</v>
      </c>
    </row>
    <row r="93" spans="2:49" x14ac:dyDescent="0.15">
      <c r="B93" s="2">
        <v>89</v>
      </c>
      <c r="C93" s="2">
        <v>45</v>
      </c>
      <c r="D93" s="2">
        <v>205</v>
      </c>
      <c r="E93" s="2">
        <v>330</v>
      </c>
      <c r="F93" s="2">
        <v>555</v>
      </c>
      <c r="G93" s="2">
        <v>325</v>
      </c>
      <c r="I93" s="2">
        <v>41.957142857142856</v>
      </c>
      <c r="J93" s="2">
        <v>83.914285714285711</v>
      </c>
      <c r="K93" s="2">
        <v>54.671428571428571</v>
      </c>
      <c r="L93" s="2">
        <v>31.785714285714285</v>
      </c>
      <c r="M93" s="2">
        <v>8.9</v>
      </c>
      <c r="O93" s="3">
        <f t="shared" si="42"/>
        <v>86.957142857142856</v>
      </c>
      <c r="P93" s="3">
        <f t="shared" si="43"/>
        <v>288.91428571428571</v>
      </c>
      <c r="Q93" s="3">
        <f t="shared" si="44"/>
        <v>384.67142857142858</v>
      </c>
      <c r="R93" s="3">
        <f t="shared" si="45"/>
        <v>586.78571428571433</v>
      </c>
      <c r="S93" s="3">
        <f t="shared" si="46"/>
        <v>333.9</v>
      </c>
      <c r="U93" s="1">
        <f t="shared" si="57"/>
        <v>0.5174963035978315</v>
      </c>
      <c r="V93" s="1">
        <f t="shared" si="58"/>
        <v>0.70955300632911389</v>
      </c>
      <c r="W93" s="1">
        <f t="shared" si="59"/>
        <v>0.8578749953578193</v>
      </c>
      <c r="X93" s="1">
        <f t="shared" si="60"/>
        <v>0.94583079732197195</v>
      </c>
      <c r="Y93" s="1">
        <f t="shared" si="61"/>
        <v>0.97334531296795457</v>
      </c>
      <c r="AA93" s="1">
        <f t="shared" si="62"/>
        <v>0.48250369640216856</v>
      </c>
      <c r="AB93" s="1">
        <f t="shared" si="63"/>
        <v>0.29044699367088606</v>
      </c>
      <c r="AC93" s="1">
        <f t="shared" si="64"/>
        <v>0.1421250046421807</v>
      </c>
      <c r="AD93" s="1">
        <f t="shared" si="65"/>
        <v>5.4169202678027994E-2</v>
      </c>
      <c r="AE93" s="1">
        <f t="shared" si="66"/>
        <v>2.6654687032045526E-2</v>
      </c>
      <c r="AG93" s="2">
        <v>206.27631365233694</v>
      </c>
      <c r="AH93" s="2">
        <v>134.76514732587756</v>
      </c>
      <c r="AI93" s="2">
        <v>334.60904687074043</v>
      </c>
      <c r="AJ93" s="2">
        <v>911.78172309836998</v>
      </c>
      <c r="AK93" s="2">
        <v>205.36751397971415</v>
      </c>
      <c r="AM93" s="1">
        <f t="shared" si="47"/>
        <v>0.21815398580296563</v>
      </c>
      <c r="AN93" s="1">
        <f t="shared" si="48"/>
        <v>1.5211648120287846</v>
      </c>
      <c r="AO93" s="1">
        <f t="shared" si="49"/>
        <v>0.98622557604510641</v>
      </c>
      <c r="AP93" s="1">
        <f t="shared" si="50"/>
        <v>0.60869831664757157</v>
      </c>
      <c r="AQ93" s="1">
        <f t="shared" si="51"/>
        <v>1.5825287734266624</v>
      </c>
      <c r="AS93" s="1">
        <f t="shared" si="52"/>
        <v>0.20340262104866985</v>
      </c>
      <c r="AT93" s="1">
        <f t="shared" si="53"/>
        <v>0.6226705300248836</v>
      </c>
      <c r="AU93" s="1">
        <f t="shared" si="54"/>
        <v>0.16338897313959405</v>
      </c>
      <c r="AV93" s="1">
        <f t="shared" si="55"/>
        <v>3.4861100502981898E-2</v>
      </c>
      <c r="AW93" s="1">
        <f t="shared" si="56"/>
        <v>4.3336941795376296E-2</v>
      </c>
    </row>
    <row r="94" spans="2:49" x14ac:dyDescent="0.15">
      <c r="B94" s="2">
        <v>90</v>
      </c>
      <c r="C94" s="2">
        <v>45</v>
      </c>
      <c r="D94" s="2">
        <v>205</v>
      </c>
      <c r="E94" s="2">
        <v>330</v>
      </c>
      <c r="F94" s="2">
        <v>555</v>
      </c>
      <c r="G94" s="2">
        <v>395</v>
      </c>
      <c r="I94" s="2">
        <v>42.428571428571431</v>
      </c>
      <c r="J94" s="2">
        <v>84.857142857142861</v>
      </c>
      <c r="K94" s="2">
        <v>55.285714285714285</v>
      </c>
      <c r="L94" s="2">
        <v>32.142857142857146</v>
      </c>
      <c r="M94" s="2">
        <v>9</v>
      </c>
      <c r="O94" s="3">
        <f t="shared" si="42"/>
        <v>87.428571428571431</v>
      </c>
      <c r="P94" s="3">
        <f t="shared" si="43"/>
        <v>289.85714285714289</v>
      </c>
      <c r="Q94" s="3">
        <f t="shared" si="44"/>
        <v>385.28571428571428</v>
      </c>
      <c r="R94" s="3">
        <f t="shared" si="45"/>
        <v>587.14285714285711</v>
      </c>
      <c r="S94" s="3">
        <f t="shared" si="46"/>
        <v>404</v>
      </c>
      <c r="U94" s="1">
        <f t="shared" si="57"/>
        <v>0.51470588235294112</v>
      </c>
      <c r="V94" s="1">
        <f t="shared" si="58"/>
        <v>0.70724494825036954</v>
      </c>
      <c r="W94" s="1">
        <f t="shared" si="59"/>
        <v>0.85650723025583986</v>
      </c>
      <c r="X94" s="1">
        <f t="shared" si="60"/>
        <v>0.94525547445255476</v>
      </c>
      <c r="Y94" s="1">
        <f t="shared" si="61"/>
        <v>0.9777227722772277</v>
      </c>
      <c r="AA94" s="1">
        <f t="shared" si="62"/>
        <v>0.48529411764705882</v>
      </c>
      <c r="AB94" s="1">
        <f t="shared" si="63"/>
        <v>0.29275505174963035</v>
      </c>
      <c r="AC94" s="1">
        <f t="shared" si="64"/>
        <v>0.14349276974416017</v>
      </c>
      <c r="AD94" s="1">
        <f t="shared" si="65"/>
        <v>5.4744525547445265E-2</v>
      </c>
      <c r="AE94" s="1">
        <f t="shared" si="66"/>
        <v>2.2277227722772276E-2</v>
      </c>
      <c r="AG94" s="2">
        <v>206.27631365233694</v>
      </c>
      <c r="AH94" s="2">
        <v>134.76514732587756</v>
      </c>
      <c r="AI94" s="2">
        <v>334.60904687074043</v>
      </c>
      <c r="AJ94" s="2">
        <v>911.78172309836998</v>
      </c>
      <c r="AK94" s="2">
        <v>235.34729822955867</v>
      </c>
      <c r="AM94" s="1">
        <f t="shared" si="47"/>
        <v>0.21815398580296563</v>
      </c>
      <c r="AN94" s="1">
        <f t="shared" si="48"/>
        <v>1.5211648120287846</v>
      </c>
      <c r="AO94" s="1">
        <f t="shared" si="49"/>
        <v>0.98622557604510641</v>
      </c>
      <c r="AP94" s="1">
        <f t="shared" si="50"/>
        <v>0.60869831664757157</v>
      </c>
      <c r="AQ94" s="1">
        <f t="shared" si="51"/>
        <v>1.6783706589005134</v>
      </c>
      <c r="AS94" s="1">
        <f t="shared" si="52"/>
        <v>0.20568804375708191</v>
      </c>
      <c r="AT94" s="1">
        <f t="shared" si="53"/>
        <v>0.62966682811505092</v>
      </c>
      <c r="AU94" s="1">
        <f t="shared" si="54"/>
        <v>0.16522480429846589</v>
      </c>
      <c r="AV94" s="1">
        <f t="shared" si="55"/>
        <v>3.525279826144237E-2</v>
      </c>
      <c r="AW94" s="1">
        <f t="shared" si="56"/>
        <v>3.8241356785074988E-2</v>
      </c>
    </row>
    <row r="95" spans="2:49" x14ac:dyDescent="0.15">
      <c r="B95" s="2">
        <v>91</v>
      </c>
      <c r="C95" s="2">
        <v>45</v>
      </c>
      <c r="D95" s="2">
        <v>205</v>
      </c>
      <c r="E95" s="2">
        <v>330</v>
      </c>
      <c r="F95" s="2">
        <v>555</v>
      </c>
      <c r="G95" s="2">
        <v>495</v>
      </c>
      <c r="I95" s="2">
        <v>42.9</v>
      </c>
      <c r="J95" s="2">
        <v>85.8</v>
      </c>
      <c r="K95" s="2">
        <v>55.9</v>
      </c>
      <c r="L95" s="2">
        <v>32.5</v>
      </c>
      <c r="M95" s="2">
        <v>9.1</v>
      </c>
      <c r="O95" s="3">
        <f t="shared" si="42"/>
        <v>87.9</v>
      </c>
      <c r="P95" s="3">
        <f t="shared" si="43"/>
        <v>290.8</v>
      </c>
      <c r="Q95" s="3">
        <f t="shared" si="44"/>
        <v>385.9</v>
      </c>
      <c r="R95" s="3">
        <f t="shared" si="45"/>
        <v>587.5</v>
      </c>
      <c r="S95" s="3">
        <f t="shared" si="46"/>
        <v>504.1</v>
      </c>
      <c r="U95" s="1">
        <f t="shared" si="57"/>
        <v>0.51194539249146753</v>
      </c>
      <c r="V95" s="1">
        <f t="shared" si="58"/>
        <v>0.70495185694635487</v>
      </c>
      <c r="W95" s="1">
        <f t="shared" si="59"/>
        <v>0.8551438196423945</v>
      </c>
      <c r="X95" s="1">
        <f t="shared" si="60"/>
        <v>0.94468085106382982</v>
      </c>
      <c r="Y95" s="1">
        <f t="shared" si="61"/>
        <v>0.98194802618528065</v>
      </c>
      <c r="AA95" s="1">
        <f t="shared" si="62"/>
        <v>0.48805460750853236</v>
      </c>
      <c r="AB95" s="1">
        <f t="shared" si="63"/>
        <v>0.29504814305364507</v>
      </c>
      <c r="AC95" s="1">
        <f t="shared" si="64"/>
        <v>0.14485618035760561</v>
      </c>
      <c r="AD95" s="1">
        <f t="shared" si="65"/>
        <v>5.5319148936170209E-2</v>
      </c>
      <c r="AE95" s="1">
        <f t="shared" si="66"/>
        <v>1.8051973814719301E-2</v>
      </c>
      <c r="AG95" s="2">
        <v>206.27631365233694</v>
      </c>
      <c r="AH95" s="2">
        <v>134.76514732587756</v>
      </c>
      <c r="AI95" s="2">
        <v>334.60904687074043</v>
      </c>
      <c r="AJ95" s="2">
        <v>911.78172309836998</v>
      </c>
      <c r="AK95" s="2">
        <v>268.11048480476836</v>
      </c>
      <c r="AM95" s="1">
        <f t="shared" si="47"/>
        <v>0.21815398580296563</v>
      </c>
      <c r="AN95" s="1">
        <f t="shared" si="48"/>
        <v>1.5211648120287846</v>
      </c>
      <c r="AO95" s="1">
        <f t="shared" si="49"/>
        <v>0.98622557604510641</v>
      </c>
      <c r="AP95" s="1">
        <f t="shared" si="50"/>
        <v>0.60869831664757157</v>
      </c>
      <c r="AQ95" s="1">
        <f t="shared" si="51"/>
        <v>1.8462537948131612</v>
      </c>
      <c r="AS95" s="1">
        <f t="shared" si="52"/>
        <v>0.20797346646549392</v>
      </c>
      <c r="AT95" s="1">
        <f t="shared" si="53"/>
        <v>0.63666312620521814</v>
      </c>
      <c r="AU95" s="1">
        <f t="shared" si="54"/>
        <v>0.16706063545733774</v>
      </c>
      <c r="AV95" s="1">
        <f t="shared" si="55"/>
        <v>3.5644496019902841E-2</v>
      </c>
      <c r="AW95" s="1">
        <f t="shared" si="56"/>
        <v>3.394123137939347E-2</v>
      </c>
    </row>
    <row r="96" spans="2:49" x14ac:dyDescent="0.15">
      <c r="B96" s="2">
        <v>92</v>
      </c>
      <c r="C96" s="2">
        <v>45</v>
      </c>
      <c r="D96" s="2">
        <v>205</v>
      </c>
      <c r="E96" s="2">
        <v>330</v>
      </c>
      <c r="F96" s="2">
        <v>555</v>
      </c>
      <c r="G96" s="2">
        <v>595</v>
      </c>
      <c r="I96" s="2">
        <v>43.371428571428574</v>
      </c>
      <c r="J96" s="2">
        <v>86.742857142857147</v>
      </c>
      <c r="K96" s="2">
        <v>56.51428571428572</v>
      </c>
      <c r="L96" s="2">
        <v>32.857142857142861</v>
      </c>
      <c r="M96" s="2">
        <v>9.1999999999999993</v>
      </c>
      <c r="O96" s="3">
        <f t="shared" si="42"/>
        <v>88.371428571428567</v>
      </c>
      <c r="P96" s="3">
        <f t="shared" si="43"/>
        <v>291.74285714285713</v>
      </c>
      <c r="Q96" s="3">
        <f t="shared" si="44"/>
        <v>386.51428571428573</v>
      </c>
      <c r="R96" s="3">
        <f t="shared" si="45"/>
        <v>587.85714285714289</v>
      </c>
      <c r="S96" s="3">
        <f t="shared" si="46"/>
        <v>604.20000000000005</v>
      </c>
      <c r="U96" s="1">
        <f t="shared" si="57"/>
        <v>0.50921435499515033</v>
      </c>
      <c r="V96" s="1">
        <f t="shared" si="58"/>
        <v>0.70267358730780538</v>
      </c>
      <c r="W96" s="1">
        <f t="shared" si="59"/>
        <v>0.85378474275576577</v>
      </c>
      <c r="X96" s="1">
        <f t="shared" si="60"/>
        <v>0.94410692588092338</v>
      </c>
      <c r="Y96" s="1">
        <f t="shared" si="61"/>
        <v>0.98477325388944048</v>
      </c>
      <c r="AA96" s="1">
        <f t="shared" si="62"/>
        <v>0.49078564500484972</v>
      </c>
      <c r="AB96" s="1">
        <f t="shared" si="63"/>
        <v>0.29732641269219473</v>
      </c>
      <c r="AC96" s="1">
        <f t="shared" si="64"/>
        <v>0.14621525724423418</v>
      </c>
      <c r="AD96" s="1">
        <f t="shared" si="65"/>
        <v>5.5893074119076555E-2</v>
      </c>
      <c r="AE96" s="1">
        <f t="shared" si="66"/>
        <v>1.5226746110559415E-2</v>
      </c>
      <c r="AG96" s="2">
        <v>206.27631365233694</v>
      </c>
      <c r="AH96" s="2">
        <v>134.76514732587756</v>
      </c>
      <c r="AI96" s="2">
        <v>334.60904687074043</v>
      </c>
      <c r="AJ96" s="2">
        <v>911.78172309836998</v>
      </c>
      <c r="AK96" s="2">
        <v>303.90252586638928</v>
      </c>
      <c r="AM96" s="1">
        <f t="shared" si="47"/>
        <v>0.21815398580296563</v>
      </c>
      <c r="AN96" s="1">
        <f t="shared" si="48"/>
        <v>1.5211648120287846</v>
      </c>
      <c r="AO96" s="1">
        <f t="shared" si="49"/>
        <v>0.98622557604510641</v>
      </c>
      <c r="AP96" s="1">
        <f t="shared" si="50"/>
        <v>0.60869831664757157</v>
      </c>
      <c r="AQ96" s="1">
        <f t="shared" si="51"/>
        <v>1.9578646090674208</v>
      </c>
      <c r="AS96" s="1">
        <f t="shared" si="52"/>
        <v>0.21025888917390595</v>
      </c>
      <c r="AT96" s="1">
        <f t="shared" si="53"/>
        <v>0.64365942429538536</v>
      </c>
      <c r="AU96" s="1">
        <f t="shared" si="54"/>
        <v>0.16889646661620958</v>
      </c>
      <c r="AV96" s="1">
        <f t="shared" si="55"/>
        <v>3.6036193778363312E-2</v>
      </c>
      <c r="AW96" s="1">
        <f t="shared" si="56"/>
        <v>3.0272864543563479E-2</v>
      </c>
    </row>
    <row r="97" spans="2:49" x14ac:dyDescent="0.15">
      <c r="B97" s="2">
        <v>93</v>
      </c>
      <c r="C97" s="2">
        <v>45</v>
      </c>
      <c r="D97" s="2">
        <v>205</v>
      </c>
      <c r="E97" s="2">
        <v>330</v>
      </c>
      <c r="F97" s="2">
        <v>555</v>
      </c>
      <c r="G97" s="2">
        <v>720</v>
      </c>
      <c r="I97" s="2">
        <v>43.842857142857142</v>
      </c>
      <c r="J97" s="2">
        <v>87.685714285714283</v>
      </c>
      <c r="K97" s="2">
        <v>57.128571428571433</v>
      </c>
      <c r="L97" s="2">
        <v>33.214285714285715</v>
      </c>
      <c r="M97" s="2">
        <v>9.3000000000000007</v>
      </c>
      <c r="O97" s="3">
        <f t="shared" si="42"/>
        <v>88.842857142857142</v>
      </c>
      <c r="P97" s="3">
        <f t="shared" si="43"/>
        <v>292.68571428571431</v>
      </c>
      <c r="Q97" s="3">
        <f t="shared" si="44"/>
        <v>387.12857142857143</v>
      </c>
      <c r="R97" s="3">
        <f t="shared" si="45"/>
        <v>588.21428571428567</v>
      </c>
      <c r="S97" s="3">
        <f t="shared" si="46"/>
        <v>729.3</v>
      </c>
      <c r="U97" s="1">
        <f t="shared" si="57"/>
        <v>0.50651230101302458</v>
      </c>
      <c r="V97" s="1">
        <f t="shared" si="58"/>
        <v>0.70040999609527521</v>
      </c>
      <c r="W97" s="1">
        <f t="shared" si="59"/>
        <v>0.85242997896601347</v>
      </c>
      <c r="X97" s="1">
        <f t="shared" si="60"/>
        <v>0.94353369763205841</v>
      </c>
      <c r="Y97" s="1">
        <f t="shared" si="61"/>
        <v>0.98724804607157557</v>
      </c>
      <c r="AA97" s="1">
        <f t="shared" si="62"/>
        <v>0.49348769898697536</v>
      </c>
      <c r="AB97" s="1">
        <f t="shared" si="63"/>
        <v>0.29959000390472468</v>
      </c>
      <c r="AC97" s="1">
        <f t="shared" si="64"/>
        <v>0.1475700210339865</v>
      </c>
      <c r="AD97" s="1">
        <f t="shared" si="65"/>
        <v>5.6466302367941722E-2</v>
      </c>
      <c r="AE97" s="1">
        <f t="shared" si="66"/>
        <v>1.2751953928424518E-2</v>
      </c>
      <c r="AG97" s="2">
        <v>206.27631365233694</v>
      </c>
      <c r="AH97" s="2">
        <v>134.76514732587756</v>
      </c>
      <c r="AI97" s="2">
        <v>334.60904687074043</v>
      </c>
      <c r="AJ97" s="2">
        <v>911.78172309836998</v>
      </c>
      <c r="AK97" s="2">
        <v>342.98978443069871</v>
      </c>
      <c r="AM97" s="1">
        <f t="shared" si="47"/>
        <v>0.21815398580296563</v>
      </c>
      <c r="AN97" s="1">
        <f t="shared" si="48"/>
        <v>1.5211648120287846</v>
      </c>
      <c r="AO97" s="1">
        <f t="shared" si="49"/>
        <v>0.98622557604510641</v>
      </c>
      <c r="AP97" s="1">
        <f t="shared" si="50"/>
        <v>0.60869831664757157</v>
      </c>
      <c r="AQ97" s="1">
        <f t="shared" si="51"/>
        <v>2.0991878845460961</v>
      </c>
      <c r="AS97" s="1">
        <f t="shared" si="52"/>
        <v>0.21254431188231795</v>
      </c>
      <c r="AT97" s="1">
        <f t="shared" si="53"/>
        <v>0.65065572238555258</v>
      </c>
      <c r="AU97" s="1">
        <f t="shared" si="54"/>
        <v>0.17073229777508142</v>
      </c>
      <c r="AV97" s="1">
        <f t="shared" si="55"/>
        <v>3.6427891536823777E-2</v>
      </c>
      <c r="AW97" s="1">
        <f t="shared" si="56"/>
        <v>2.7114510175387078E-2</v>
      </c>
    </row>
    <row r="98" spans="2:49" x14ac:dyDescent="0.15">
      <c r="B98" s="2">
        <v>94</v>
      </c>
      <c r="C98" s="2">
        <v>45</v>
      </c>
      <c r="D98" s="2">
        <v>205</v>
      </c>
      <c r="E98" s="2">
        <v>330</v>
      </c>
      <c r="F98" s="2">
        <v>555</v>
      </c>
      <c r="G98" s="2">
        <v>845</v>
      </c>
      <c r="I98" s="2">
        <v>44.314285714285717</v>
      </c>
      <c r="J98" s="2">
        <v>88.628571428571433</v>
      </c>
      <c r="K98" s="2">
        <v>57.742857142857147</v>
      </c>
      <c r="L98" s="2">
        <v>33.571428571428569</v>
      </c>
      <c r="M98" s="2">
        <v>9.4</v>
      </c>
      <c r="O98" s="3">
        <f t="shared" si="42"/>
        <v>89.314285714285717</v>
      </c>
      <c r="P98" s="3">
        <f t="shared" si="43"/>
        <v>293.62857142857143</v>
      </c>
      <c r="Q98" s="3">
        <f t="shared" si="44"/>
        <v>387.74285714285713</v>
      </c>
      <c r="R98" s="3">
        <f t="shared" si="45"/>
        <v>588.57142857142856</v>
      </c>
      <c r="S98" s="3">
        <f t="shared" si="46"/>
        <v>854.4</v>
      </c>
      <c r="U98" s="1">
        <f t="shared" si="57"/>
        <v>0.50383877159309021</v>
      </c>
      <c r="V98" s="1">
        <f t="shared" si="58"/>
        <v>0.69816094190911748</v>
      </c>
      <c r="W98" s="1">
        <f t="shared" si="59"/>
        <v>0.85107950777392971</v>
      </c>
      <c r="X98" s="1">
        <f t="shared" si="60"/>
        <v>0.94296116504854377</v>
      </c>
      <c r="Y98" s="1">
        <f t="shared" si="61"/>
        <v>0.98899812734082404</v>
      </c>
      <c r="AA98" s="1">
        <f t="shared" si="62"/>
        <v>0.49616122840690979</v>
      </c>
      <c r="AB98" s="1">
        <f t="shared" si="63"/>
        <v>0.30183905809088257</v>
      </c>
      <c r="AC98" s="1">
        <f t="shared" si="64"/>
        <v>0.14892049222607032</v>
      </c>
      <c r="AD98" s="1">
        <f t="shared" si="65"/>
        <v>5.7038834951456306E-2</v>
      </c>
      <c r="AE98" s="1">
        <f t="shared" si="66"/>
        <v>1.1001872659176031E-2</v>
      </c>
      <c r="AG98" s="2">
        <v>206.27631365233694</v>
      </c>
      <c r="AH98" s="2">
        <v>134.76514732587756</v>
      </c>
      <c r="AI98" s="2">
        <v>334.60904687074043</v>
      </c>
      <c r="AJ98" s="2">
        <v>911.78172309836998</v>
      </c>
      <c r="AK98" s="2">
        <v>385.66127162856276</v>
      </c>
      <c r="AM98" s="1">
        <f t="shared" si="47"/>
        <v>0.21815398580296563</v>
      </c>
      <c r="AN98" s="1">
        <f t="shared" si="48"/>
        <v>1.5211648120287846</v>
      </c>
      <c r="AO98" s="1">
        <f t="shared" si="49"/>
        <v>0.98622557604510641</v>
      </c>
      <c r="AP98" s="1">
        <f t="shared" si="50"/>
        <v>0.60869831664757157</v>
      </c>
      <c r="AQ98" s="1">
        <f t="shared" si="51"/>
        <v>2.1910418861394891</v>
      </c>
      <c r="AS98" s="1">
        <f t="shared" si="52"/>
        <v>0.21482973459072999</v>
      </c>
      <c r="AT98" s="1">
        <f t="shared" si="53"/>
        <v>0.6576520204757198</v>
      </c>
      <c r="AU98" s="1">
        <f t="shared" si="54"/>
        <v>0.17256812893395326</v>
      </c>
      <c r="AV98" s="1">
        <f t="shared" si="55"/>
        <v>3.6819589295284248E-2</v>
      </c>
      <c r="AW98" s="1">
        <f t="shared" si="56"/>
        <v>2.4373720390190767E-2</v>
      </c>
    </row>
    <row r="99" spans="2:49" x14ac:dyDescent="0.15">
      <c r="B99" s="2">
        <v>95</v>
      </c>
      <c r="C99" s="2">
        <v>45.478723404255319</v>
      </c>
      <c r="D99" s="2">
        <v>207.18085106382978</v>
      </c>
      <c r="E99" s="2">
        <v>333.51063829787233</v>
      </c>
      <c r="F99" s="2">
        <v>560.90425531914889</v>
      </c>
      <c r="G99" s="2">
        <v>853.98936170212767</v>
      </c>
      <c r="I99" s="2">
        <v>44.785714285714285</v>
      </c>
      <c r="J99" s="2">
        <v>89.571428571428569</v>
      </c>
      <c r="K99" s="2">
        <v>58.357142857142861</v>
      </c>
      <c r="L99" s="2">
        <v>33.928571428571431</v>
      </c>
      <c r="M99" s="2">
        <v>9.5</v>
      </c>
      <c r="O99" s="3">
        <f t="shared" si="42"/>
        <v>90.264437689969611</v>
      </c>
      <c r="P99" s="3">
        <f t="shared" si="43"/>
        <v>296.75227963525833</v>
      </c>
      <c r="Q99" s="3">
        <f t="shared" si="44"/>
        <v>391.86778115501522</v>
      </c>
      <c r="R99" s="3">
        <f t="shared" si="45"/>
        <v>594.83282674772033</v>
      </c>
      <c r="S99" s="3">
        <f t="shared" si="46"/>
        <v>863.48936170212767</v>
      </c>
      <c r="U99" s="1">
        <f t="shared" si="57"/>
        <v>0.50383877159309021</v>
      </c>
      <c r="V99" s="1">
        <f t="shared" si="58"/>
        <v>0.69816094190911748</v>
      </c>
      <c r="W99" s="1">
        <f t="shared" si="59"/>
        <v>0.8510795077739296</v>
      </c>
      <c r="X99" s="1">
        <f t="shared" si="60"/>
        <v>0.94296116504854366</v>
      </c>
      <c r="Y99" s="1">
        <f t="shared" si="61"/>
        <v>0.98899812734082393</v>
      </c>
      <c r="AA99" s="1">
        <f t="shared" si="62"/>
        <v>0.49616122840690974</v>
      </c>
      <c r="AB99" s="1">
        <f t="shared" si="63"/>
        <v>0.30183905809088257</v>
      </c>
      <c r="AC99" s="1">
        <f t="shared" si="64"/>
        <v>0.14892049222607029</v>
      </c>
      <c r="AD99" s="1">
        <f t="shared" si="65"/>
        <v>5.703883495145632E-2</v>
      </c>
      <c r="AE99" s="1">
        <f t="shared" si="66"/>
        <v>1.1001872659176029E-2</v>
      </c>
      <c r="AG99" s="2">
        <v>206.27631365233694</v>
      </c>
      <c r="AH99" s="2">
        <v>134.76514732587756</v>
      </c>
      <c r="AI99" s="2">
        <v>334.60904687074043</v>
      </c>
      <c r="AJ99" s="2">
        <v>911.78172309836998</v>
      </c>
      <c r="AK99" s="2">
        <v>432.23052562223552</v>
      </c>
      <c r="AM99" s="1">
        <f t="shared" si="47"/>
        <v>0.22047477288597592</v>
      </c>
      <c r="AN99" s="1">
        <f t="shared" si="48"/>
        <v>1.5373474164120695</v>
      </c>
      <c r="AO99" s="1">
        <f t="shared" si="49"/>
        <v>0.99671733749239477</v>
      </c>
      <c r="AP99" s="1">
        <f t="shared" si="50"/>
        <v>0.61517383065446052</v>
      </c>
      <c r="AQ99" s="1">
        <f t="shared" si="51"/>
        <v>1.9757729060730536</v>
      </c>
      <c r="AS99" s="1">
        <f t="shared" si="52"/>
        <v>0.21711515729914199</v>
      </c>
      <c r="AT99" s="1">
        <f t="shared" si="53"/>
        <v>0.66464831856588702</v>
      </c>
      <c r="AU99" s="1">
        <f t="shared" si="54"/>
        <v>0.17440396009282511</v>
      </c>
      <c r="AV99" s="1">
        <f t="shared" si="55"/>
        <v>3.721128705374472E-2</v>
      </c>
      <c r="AW99" s="1">
        <f t="shared" si="56"/>
        <v>2.1979012209570062E-2</v>
      </c>
    </row>
    <row r="100" spans="2:49" x14ac:dyDescent="0.15">
      <c r="B100" s="2">
        <v>96</v>
      </c>
      <c r="C100" s="2">
        <v>45.957446808510639</v>
      </c>
      <c r="D100" s="2">
        <v>209.36170212765958</v>
      </c>
      <c r="E100" s="2">
        <v>337.02127659574467</v>
      </c>
      <c r="F100" s="2">
        <v>566.80851063829789</v>
      </c>
      <c r="G100" s="2">
        <v>862.97872340425533</v>
      </c>
      <c r="I100" s="2">
        <v>45.257142857142853</v>
      </c>
      <c r="J100" s="2">
        <v>90.514285714285705</v>
      </c>
      <c r="K100" s="2">
        <v>58.971428571428575</v>
      </c>
      <c r="L100" s="2">
        <v>34.285714285714285</v>
      </c>
      <c r="M100" s="2">
        <v>9.6</v>
      </c>
      <c r="O100" s="3">
        <f t="shared" si="42"/>
        <v>91.214589665653492</v>
      </c>
      <c r="P100" s="3">
        <f t="shared" si="43"/>
        <v>299.87598784194529</v>
      </c>
      <c r="Q100" s="3">
        <f t="shared" si="44"/>
        <v>395.99270516717326</v>
      </c>
      <c r="R100" s="3">
        <f t="shared" si="45"/>
        <v>601.09422492401222</v>
      </c>
      <c r="S100" s="3">
        <f t="shared" si="46"/>
        <v>872.57872340425536</v>
      </c>
      <c r="U100" s="1">
        <f t="shared" si="57"/>
        <v>0.50383877159309021</v>
      </c>
      <c r="V100" s="1">
        <f t="shared" si="58"/>
        <v>0.69816094190911748</v>
      </c>
      <c r="W100" s="1">
        <f t="shared" si="59"/>
        <v>0.85107950777392971</v>
      </c>
      <c r="X100" s="1">
        <f t="shared" si="60"/>
        <v>0.94296116504854366</v>
      </c>
      <c r="Y100" s="1">
        <f t="shared" si="61"/>
        <v>0.98899812734082393</v>
      </c>
      <c r="AA100" s="1">
        <f t="shared" si="62"/>
        <v>0.49616122840690974</v>
      </c>
      <c r="AB100" s="1">
        <f t="shared" si="63"/>
        <v>0.30183905809088252</v>
      </c>
      <c r="AC100" s="1">
        <f t="shared" si="64"/>
        <v>0.14892049222607032</v>
      </c>
      <c r="AD100" s="1">
        <f t="shared" si="65"/>
        <v>5.7038834951456306E-2</v>
      </c>
      <c r="AE100" s="1">
        <f t="shared" si="66"/>
        <v>1.1001872659176029E-2</v>
      </c>
      <c r="AG100" s="2">
        <v>206.27631365233694</v>
      </c>
      <c r="AH100" s="2">
        <v>134.76514732587756</v>
      </c>
      <c r="AI100" s="2">
        <v>334.60904687074043</v>
      </c>
      <c r="AJ100" s="2">
        <v>911.78172309836998</v>
      </c>
      <c r="AK100" s="2">
        <v>483.03764356470623</v>
      </c>
      <c r="AM100" s="1">
        <f t="shared" si="47"/>
        <v>0.2227955599689862</v>
      </c>
      <c r="AN100" s="1">
        <f t="shared" si="48"/>
        <v>1.5535300207953544</v>
      </c>
      <c r="AO100" s="1">
        <f t="shared" si="49"/>
        <v>1.0072090989396831</v>
      </c>
      <c r="AP100" s="1">
        <f t="shared" si="50"/>
        <v>0.62164934466134969</v>
      </c>
      <c r="AQ100" s="1">
        <f t="shared" si="51"/>
        <v>1.786566191892772</v>
      </c>
      <c r="AS100" s="1">
        <f t="shared" si="52"/>
        <v>0.219400580007554</v>
      </c>
      <c r="AT100" s="1">
        <f t="shared" si="53"/>
        <v>0.67164461665605424</v>
      </c>
      <c r="AU100" s="1">
        <f t="shared" si="54"/>
        <v>0.17623979125169695</v>
      </c>
      <c r="AV100" s="1">
        <f t="shared" si="55"/>
        <v>3.7602984812205191E-2</v>
      </c>
      <c r="AW100" s="1">
        <f t="shared" si="56"/>
        <v>1.9874227460108942E-2</v>
      </c>
    </row>
    <row r="101" spans="2:49" x14ac:dyDescent="0.15">
      <c r="B101" s="2">
        <v>97</v>
      </c>
      <c r="C101" s="2">
        <v>46.436170212765958</v>
      </c>
      <c r="D101" s="2">
        <v>211.54255319148936</v>
      </c>
      <c r="E101" s="2">
        <v>340.531914893617</v>
      </c>
      <c r="F101" s="2">
        <v>572.71276595744678</v>
      </c>
      <c r="G101" s="2">
        <v>871.968085106383</v>
      </c>
      <c r="I101" s="2">
        <v>45.728571428571428</v>
      </c>
      <c r="J101" s="2">
        <v>91.457142857142856</v>
      </c>
      <c r="K101" s="2">
        <v>59.585714285714289</v>
      </c>
      <c r="L101" s="2">
        <v>34.642857142857139</v>
      </c>
      <c r="M101" s="2">
        <v>9.6999999999999993</v>
      </c>
      <c r="O101" s="3">
        <f t="shared" si="42"/>
        <v>92.164741641337386</v>
      </c>
      <c r="P101" s="3">
        <f t="shared" si="43"/>
        <v>302.99969604863225</v>
      </c>
      <c r="Q101" s="3">
        <f t="shared" si="44"/>
        <v>400.11762917933129</v>
      </c>
      <c r="R101" s="3">
        <f t="shared" si="45"/>
        <v>607.35562310030389</v>
      </c>
      <c r="S101" s="3">
        <f t="shared" si="46"/>
        <v>881.66808510638305</v>
      </c>
      <c r="U101" s="1">
        <f t="shared" si="57"/>
        <v>0.50383877159309021</v>
      </c>
      <c r="V101" s="1">
        <f t="shared" si="58"/>
        <v>0.69816094190911737</v>
      </c>
      <c r="W101" s="1">
        <f t="shared" si="59"/>
        <v>0.85107950777392971</v>
      </c>
      <c r="X101" s="1">
        <f t="shared" si="60"/>
        <v>0.94296116504854377</v>
      </c>
      <c r="Y101" s="1">
        <f t="shared" si="61"/>
        <v>0.98899812734082393</v>
      </c>
      <c r="AA101" s="1">
        <f t="shared" si="62"/>
        <v>0.49616122840690979</v>
      </c>
      <c r="AB101" s="1">
        <f t="shared" si="63"/>
        <v>0.30183905809088252</v>
      </c>
      <c r="AC101" s="1">
        <f t="shared" si="64"/>
        <v>0.14892049222607032</v>
      </c>
      <c r="AD101" s="1">
        <f t="shared" si="65"/>
        <v>5.7038834951456313E-2</v>
      </c>
      <c r="AE101" s="1">
        <f t="shared" si="66"/>
        <v>1.1001872659176029E-2</v>
      </c>
      <c r="AG101" s="2">
        <v>206.27631365233694</v>
      </c>
      <c r="AH101" s="2">
        <v>134.76514732587756</v>
      </c>
      <c r="AI101" s="2">
        <v>334.60904687074043</v>
      </c>
      <c r="AJ101" s="2">
        <v>911.78172309836998</v>
      </c>
      <c r="AK101" s="2">
        <v>538.45147889128009</v>
      </c>
      <c r="AM101" s="1">
        <f t="shared" si="47"/>
        <v>0.22511634705199646</v>
      </c>
      <c r="AN101" s="1">
        <f t="shared" si="48"/>
        <v>1.5697126251786393</v>
      </c>
      <c r="AO101" s="1">
        <f t="shared" si="49"/>
        <v>1.0177008603869715</v>
      </c>
      <c r="AP101" s="1">
        <f t="shared" si="50"/>
        <v>0.62812485866823864</v>
      </c>
      <c r="AQ101" s="1">
        <f t="shared" si="51"/>
        <v>1.6193995546299613</v>
      </c>
      <c r="AS101" s="1">
        <f t="shared" si="52"/>
        <v>0.22168600271596603</v>
      </c>
      <c r="AT101" s="1">
        <f t="shared" si="53"/>
        <v>0.67864091474622146</v>
      </c>
      <c r="AU101" s="1">
        <f t="shared" si="54"/>
        <v>0.17807562241056879</v>
      </c>
      <c r="AV101" s="1">
        <f t="shared" si="55"/>
        <v>3.7994682570665655E-2</v>
      </c>
      <c r="AW101" s="1">
        <f t="shared" si="56"/>
        <v>1.8014622264522644E-2</v>
      </c>
    </row>
    <row r="102" spans="2:49" x14ac:dyDescent="0.15">
      <c r="B102" s="2">
        <v>98</v>
      </c>
      <c r="C102" s="2">
        <v>46.914893617021278</v>
      </c>
      <c r="D102" s="2">
        <v>213.72340425531914</v>
      </c>
      <c r="E102" s="2">
        <v>344.04255319148933</v>
      </c>
      <c r="F102" s="2">
        <v>578.61702127659578</v>
      </c>
      <c r="G102" s="2">
        <v>880.95744680851067</v>
      </c>
      <c r="I102" s="2">
        <v>46.2</v>
      </c>
      <c r="J102" s="2">
        <v>92.4</v>
      </c>
      <c r="K102" s="2">
        <v>60.2</v>
      </c>
      <c r="L102" s="2">
        <v>35</v>
      </c>
      <c r="M102" s="2">
        <v>9.8000000000000007</v>
      </c>
      <c r="O102" s="3">
        <f t="shared" si="42"/>
        <v>93.114893617021281</v>
      </c>
      <c r="P102" s="3">
        <f t="shared" si="43"/>
        <v>306.12340425531914</v>
      </c>
      <c r="Q102" s="3">
        <f t="shared" si="44"/>
        <v>404.24255319148932</v>
      </c>
      <c r="R102" s="3">
        <f t="shared" si="45"/>
        <v>613.61702127659578</v>
      </c>
      <c r="S102" s="3">
        <f t="shared" si="46"/>
        <v>890.75744680851062</v>
      </c>
      <c r="U102" s="1">
        <f t="shared" si="57"/>
        <v>0.50383877159309021</v>
      </c>
      <c r="V102" s="1">
        <f t="shared" si="58"/>
        <v>0.69816094190911737</v>
      </c>
      <c r="W102" s="1">
        <f t="shared" si="59"/>
        <v>0.85107950777392971</v>
      </c>
      <c r="X102" s="1">
        <f t="shared" si="60"/>
        <v>0.94296116504854366</v>
      </c>
      <c r="Y102" s="1">
        <f t="shared" si="61"/>
        <v>0.98899812734082404</v>
      </c>
      <c r="AA102" s="1">
        <f t="shared" si="62"/>
        <v>0.49616122840690979</v>
      </c>
      <c r="AB102" s="1">
        <f t="shared" si="63"/>
        <v>0.30183905809088257</v>
      </c>
      <c r="AC102" s="1">
        <f t="shared" si="64"/>
        <v>0.14892049222607032</v>
      </c>
      <c r="AD102" s="1">
        <f t="shared" si="65"/>
        <v>5.7038834951456306E-2</v>
      </c>
      <c r="AE102" s="1">
        <f t="shared" si="66"/>
        <v>1.1001872659176031E-2</v>
      </c>
      <c r="AG102" s="2">
        <v>206.27631365233694</v>
      </c>
      <c r="AH102" s="2">
        <v>134.76514732587756</v>
      </c>
      <c r="AI102" s="2">
        <v>334.60904687074043</v>
      </c>
      <c r="AJ102" s="2">
        <v>911.78172309836998</v>
      </c>
      <c r="AK102" s="2">
        <v>598.87201720883411</v>
      </c>
      <c r="AM102" s="1">
        <f t="shared" si="47"/>
        <v>0.22743713413500674</v>
      </c>
      <c r="AN102" s="1">
        <f t="shared" si="48"/>
        <v>1.5858952295619242</v>
      </c>
      <c r="AO102" s="1">
        <f t="shared" si="49"/>
        <v>1.0281926218342599</v>
      </c>
      <c r="AP102" s="1">
        <f t="shared" si="50"/>
        <v>0.63460037267512781</v>
      </c>
      <c r="AQ102" s="1">
        <f t="shared" si="51"/>
        <v>1.4710279016114221</v>
      </c>
      <c r="AS102" s="1">
        <f t="shared" si="52"/>
        <v>0.22397142542437806</v>
      </c>
      <c r="AT102" s="1">
        <f t="shared" si="53"/>
        <v>0.68563721283638879</v>
      </c>
      <c r="AU102" s="1">
        <f t="shared" si="54"/>
        <v>0.17991145356944063</v>
      </c>
      <c r="AV102" s="1">
        <f t="shared" si="55"/>
        <v>3.8386380329126134E-2</v>
      </c>
      <c r="AW102" s="1">
        <f t="shared" si="56"/>
        <v>1.6364097367038304E-2</v>
      </c>
    </row>
    <row r="103" spans="2:49" x14ac:dyDescent="0.15">
      <c r="B103" s="2">
        <v>99</v>
      </c>
      <c r="C103" s="2">
        <v>47.393617021276597</v>
      </c>
      <c r="D103" s="2">
        <v>215.90425531914894</v>
      </c>
      <c r="E103" s="2">
        <v>347.55319148936172</v>
      </c>
      <c r="F103" s="2">
        <v>584.52127659574467</v>
      </c>
      <c r="G103" s="2">
        <v>889.94680851063833</v>
      </c>
      <c r="I103" s="2">
        <v>46.671428571428571</v>
      </c>
      <c r="J103" s="2">
        <v>93.342857142857142</v>
      </c>
      <c r="K103" s="2">
        <v>60.814285714285717</v>
      </c>
      <c r="L103" s="2">
        <v>35.357142857142861</v>
      </c>
      <c r="M103" s="2">
        <v>9.9</v>
      </c>
      <c r="O103" s="3">
        <f t="shared" si="42"/>
        <v>94.065045592705161</v>
      </c>
      <c r="P103" s="3">
        <f t="shared" si="43"/>
        <v>309.2471124620061</v>
      </c>
      <c r="Q103" s="3">
        <f t="shared" si="44"/>
        <v>408.36747720364747</v>
      </c>
      <c r="R103" s="3">
        <f t="shared" si="45"/>
        <v>619.87841945288756</v>
      </c>
      <c r="S103" s="3">
        <f t="shared" si="46"/>
        <v>899.84680851063831</v>
      </c>
      <c r="U103" s="1">
        <f t="shared" si="57"/>
        <v>0.50383877159309021</v>
      </c>
      <c r="V103" s="1">
        <f t="shared" si="58"/>
        <v>0.69816094190911737</v>
      </c>
      <c r="W103" s="1">
        <f t="shared" si="59"/>
        <v>0.8510795077739296</v>
      </c>
      <c r="X103" s="1">
        <f t="shared" si="60"/>
        <v>0.94296116504854366</v>
      </c>
      <c r="Y103" s="1">
        <f t="shared" si="61"/>
        <v>0.98899812734082404</v>
      </c>
      <c r="AA103" s="1">
        <f t="shared" si="62"/>
        <v>0.49616122840690979</v>
      </c>
      <c r="AB103" s="1">
        <f t="shared" si="63"/>
        <v>0.30183905809088252</v>
      </c>
      <c r="AC103" s="1">
        <f t="shared" si="64"/>
        <v>0.14892049222607029</v>
      </c>
      <c r="AD103" s="1">
        <f t="shared" si="65"/>
        <v>5.7038834951456313E-2</v>
      </c>
      <c r="AE103" s="1">
        <f t="shared" si="66"/>
        <v>1.1001872659176031E-2</v>
      </c>
      <c r="AG103" s="2">
        <v>206.27631365233694</v>
      </c>
      <c r="AH103" s="2">
        <v>134.76514732587756</v>
      </c>
      <c r="AI103" s="2">
        <v>334.60904687074043</v>
      </c>
      <c r="AJ103" s="2">
        <v>911.78172309836998</v>
      </c>
      <c r="AK103" s="2">
        <v>664.73294510068479</v>
      </c>
      <c r="AM103" s="1">
        <f t="shared" si="47"/>
        <v>0.22975792121801702</v>
      </c>
      <c r="AN103" s="1">
        <f t="shared" si="48"/>
        <v>1.6020778339452093</v>
      </c>
      <c r="AO103" s="1">
        <f t="shared" si="49"/>
        <v>1.0386843832815484</v>
      </c>
      <c r="AP103" s="1">
        <f t="shared" si="50"/>
        <v>0.64107588668201676</v>
      </c>
      <c r="AQ103" s="1">
        <f t="shared" si="51"/>
        <v>1.3388035226324477</v>
      </c>
      <c r="AS103" s="1">
        <f t="shared" si="52"/>
        <v>0.22625684813279007</v>
      </c>
      <c r="AT103" s="1">
        <f t="shared" si="53"/>
        <v>0.69263351092655601</v>
      </c>
      <c r="AU103" s="1">
        <f t="shared" si="54"/>
        <v>0.18174728472831247</v>
      </c>
      <c r="AV103" s="1">
        <f t="shared" si="55"/>
        <v>3.8778078087586605E-2</v>
      </c>
      <c r="AW103" s="1">
        <f t="shared" si="56"/>
        <v>1.4893198949994094E-2</v>
      </c>
    </row>
    <row r="104" spans="2:49" x14ac:dyDescent="0.15">
      <c r="B104" s="2">
        <v>100</v>
      </c>
      <c r="C104" s="2">
        <v>47.872340425531917</v>
      </c>
      <c r="D104" s="2">
        <v>218.08510638297872</v>
      </c>
      <c r="E104" s="2">
        <v>351.06382978723406</v>
      </c>
      <c r="F104" s="2">
        <v>590.42553191489355</v>
      </c>
      <c r="G104" s="2">
        <v>898.936170212766</v>
      </c>
      <c r="I104" s="2">
        <v>47.142857142857139</v>
      </c>
      <c r="J104" s="2">
        <v>94.285714285714278</v>
      </c>
      <c r="K104" s="2">
        <v>61.428571428571431</v>
      </c>
      <c r="L104" s="2">
        <v>35.714285714285715</v>
      </c>
      <c r="M104" s="2">
        <v>10</v>
      </c>
      <c r="O104" s="3">
        <f t="shared" si="42"/>
        <v>95.015197568389056</v>
      </c>
      <c r="P104" s="3">
        <f t="shared" si="43"/>
        <v>312.370820668693</v>
      </c>
      <c r="Q104" s="3">
        <f t="shared" si="44"/>
        <v>412.4924012158055</v>
      </c>
      <c r="R104" s="3">
        <f t="shared" si="45"/>
        <v>626.13981762917922</v>
      </c>
      <c r="S104" s="3">
        <f t="shared" si="46"/>
        <v>908.936170212766</v>
      </c>
      <c r="U104" s="1">
        <f t="shared" si="57"/>
        <v>0.50383877159309021</v>
      </c>
      <c r="V104" s="1">
        <f t="shared" si="58"/>
        <v>0.69816094190911748</v>
      </c>
      <c r="W104" s="1">
        <f t="shared" si="59"/>
        <v>0.85107950777392971</v>
      </c>
      <c r="X104" s="1">
        <f t="shared" si="60"/>
        <v>0.94296116504854377</v>
      </c>
      <c r="Y104" s="1">
        <f t="shared" si="61"/>
        <v>0.98899812734082393</v>
      </c>
      <c r="AA104" s="1">
        <f t="shared" si="62"/>
        <v>0.49616122840690974</v>
      </c>
      <c r="AB104" s="1">
        <f t="shared" si="63"/>
        <v>0.30183905809088252</v>
      </c>
      <c r="AC104" s="1">
        <f t="shared" si="64"/>
        <v>0.14892049222607029</v>
      </c>
      <c r="AD104" s="1">
        <f t="shared" si="65"/>
        <v>5.703883495145632E-2</v>
      </c>
      <c r="AE104" s="1">
        <f t="shared" si="66"/>
        <v>1.1001872659176029E-2</v>
      </c>
      <c r="AG104" s="2">
        <v>206.27631365233694</v>
      </c>
      <c r="AH104" s="2">
        <v>134.76514732587756</v>
      </c>
      <c r="AI104" s="2">
        <v>334.60904687074043</v>
      </c>
      <c r="AJ104" s="2">
        <v>911.78172309836998</v>
      </c>
      <c r="AK104" s="2">
        <v>736.50442730031159</v>
      </c>
      <c r="AM104" s="1">
        <f t="shared" si="47"/>
        <v>0.23207870830102728</v>
      </c>
      <c r="AN104" s="1">
        <f t="shared" si="48"/>
        <v>1.6182604383284942</v>
      </c>
      <c r="AO104" s="1">
        <f t="shared" si="49"/>
        <v>1.0491761447288366</v>
      </c>
      <c r="AP104" s="1">
        <f t="shared" si="50"/>
        <v>0.64755140068890582</v>
      </c>
      <c r="AQ104" s="1">
        <f t="shared" si="51"/>
        <v>1.2205441500302379</v>
      </c>
      <c r="AS104" s="1">
        <f t="shared" si="52"/>
        <v>0.22854227084120207</v>
      </c>
      <c r="AT104" s="1">
        <f t="shared" si="53"/>
        <v>0.69962980901672311</v>
      </c>
      <c r="AU104" s="1">
        <f t="shared" si="54"/>
        <v>0.18358311588718432</v>
      </c>
      <c r="AV104" s="1">
        <f t="shared" si="55"/>
        <v>3.9169775846047077E-2</v>
      </c>
      <c r="AW104" s="1">
        <f t="shared" si="56"/>
        <v>1.3577650899744659E-2</v>
      </c>
    </row>
    <row r="105" spans="2:49" x14ac:dyDescent="0.15">
      <c r="AM105" s="1"/>
      <c r="AN105" s="1"/>
      <c r="AO105" s="1"/>
      <c r="AP105" s="1"/>
      <c r="AQ105" s="1"/>
    </row>
  </sheetData>
  <mergeCells count="8">
    <mergeCell ref="C3:G3"/>
    <mergeCell ref="I3:M3"/>
    <mergeCell ref="AG3:AK3"/>
    <mergeCell ref="AM3:AQ3"/>
    <mergeCell ref="AS3:AW3"/>
    <mergeCell ref="O3:S3"/>
    <mergeCell ref="U3:Y3"/>
    <mergeCell ref="AA3:AE3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AS2035"/>
  <sheetViews>
    <sheetView topLeftCell="B2" workbookViewId="0">
      <selection activeCell="J37" sqref="J37"/>
    </sheetView>
  </sheetViews>
  <sheetFormatPr defaultColWidth="6.625" defaultRowHeight="11.25" x14ac:dyDescent="0.15"/>
  <cols>
    <col min="1" max="1" width="6.625" style="5"/>
    <col min="2" max="2" width="10.5" style="5" bestFit="1" customWidth="1"/>
    <col min="3" max="8" width="6.625" style="6"/>
    <col min="9" max="9" width="6.625" style="5"/>
    <col min="10" max="22" width="6.625" style="9"/>
    <col min="23" max="23" width="6.625" style="11"/>
    <col min="24" max="24" width="6.625" style="13"/>
    <col min="25" max="31" width="6.625" style="11"/>
    <col min="32" max="32" width="6.625" style="7"/>
    <col min="33" max="38" width="6.625" style="11"/>
    <col min="39" max="39" width="6.625" style="7"/>
    <col min="40" max="45" width="6.625" style="11"/>
    <col min="46" max="16384" width="6.625" style="5"/>
  </cols>
  <sheetData>
    <row r="2" spans="2:45" x14ac:dyDescent="0.15">
      <c r="D2" s="62" t="s">
        <v>74</v>
      </c>
      <c r="E2" s="62"/>
      <c r="F2" s="62"/>
      <c r="G2" s="62"/>
      <c r="H2" s="62"/>
      <c r="K2" s="61" t="s">
        <v>75</v>
      </c>
      <c r="L2" s="61"/>
      <c r="M2" s="61"/>
      <c r="N2" s="61"/>
      <c r="O2" s="61"/>
      <c r="R2" s="61" t="s">
        <v>76</v>
      </c>
      <c r="S2" s="61"/>
      <c r="T2" s="61"/>
      <c r="U2" s="61"/>
      <c r="V2" s="61"/>
      <c r="AA2" s="61" t="s">
        <v>55</v>
      </c>
      <c r="AB2" s="61"/>
      <c r="AC2" s="61"/>
      <c r="AD2" s="61"/>
      <c r="AE2" s="61"/>
      <c r="AH2" s="61" t="s">
        <v>56</v>
      </c>
      <c r="AI2" s="61"/>
      <c r="AJ2" s="61"/>
      <c r="AK2" s="61"/>
      <c r="AL2" s="61"/>
      <c r="AO2" s="61" t="s">
        <v>57</v>
      </c>
      <c r="AP2" s="61"/>
      <c r="AQ2" s="61"/>
      <c r="AR2" s="61"/>
      <c r="AS2" s="61"/>
    </row>
    <row r="3" spans="2:45" x14ac:dyDescent="0.15">
      <c r="B3" s="14" t="str">
        <f>[1]节奏总纲!N3</f>
        <v>对应玩家等级</v>
      </c>
      <c r="C3" s="6" t="s">
        <v>77</v>
      </c>
      <c r="D3" s="6" t="s">
        <v>20</v>
      </c>
      <c r="E3" s="6" t="s">
        <v>21</v>
      </c>
      <c r="F3" s="6" t="s">
        <v>22</v>
      </c>
      <c r="G3" s="6" t="s">
        <v>16</v>
      </c>
      <c r="H3" s="6" t="s">
        <v>23</v>
      </c>
      <c r="J3" s="9" t="s">
        <v>77</v>
      </c>
      <c r="K3" s="9" t="s">
        <v>34</v>
      </c>
      <c r="L3" s="9" t="s">
        <v>18</v>
      </c>
      <c r="M3" s="9" t="s">
        <v>17</v>
      </c>
      <c r="N3" s="9" t="s">
        <v>16</v>
      </c>
      <c r="O3" s="9" t="s">
        <v>15</v>
      </c>
      <c r="Q3" s="9" t="s">
        <v>35</v>
      </c>
      <c r="R3" s="9" t="s">
        <v>0</v>
      </c>
      <c r="S3" s="9" t="s">
        <v>18</v>
      </c>
      <c r="T3" s="9" t="s">
        <v>17</v>
      </c>
      <c r="U3" s="9" t="s">
        <v>16</v>
      </c>
      <c r="V3" s="9" t="s">
        <v>15</v>
      </c>
      <c r="Z3" s="11" t="s">
        <v>58</v>
      </c>
      <c r="AA3" s="11" t="s">
        <v>59</v>
      </c>
      <c r="AB3" s="11" t="s">
        <v>60</v>
      </c>
      <c r="AC3" s="11" t="s">
        <v>17</v>
      </c>
      <c r="AD3" s="11" t="s">
        <v>16</v>
      </c>
      <c r="AE3" s="11" t="s">
        <v>61</v>
      </c>
      <c r="AG3" s="11" t="s">
        <v>58</v>
      </c>
      <c r="AH3" s="11" t="s">
        <v>20</v>
      </c>
      <c r="AI3" s="11" t="s">
        <v>60</v>
      </c>
      <c r="AJ3" s="11" t="s">
        <v>17</v>
      </c>
      <c r="AK3" s="11" t="s">
        <v>62</v>
      </c>
      <c r="AL3" s="11" t="s">
        <v>63</v>
      </c>
      <c r="AN3" s="11" t="s">
        <v>64</v>
      </c>
      <c r="AO3" s="11" t="s">
        <v>20</v>
      </c>
      <c r="AP3" s="11" t="s">
        <v>19</v>
      </c>
      <c r="AQ3" s="11" t="s">
        <v>17</v>
      </c>
      <c r="AR3" s="11" t="s">
        <v>16</v>
      </c>
      <c r="AS3" s="11" t="s">
        <v>61</v>
      </c>
    </row>
    <row r="4" spans="2:45" x14ac:dyDescent="0.15">
      <c r="B4" s="14">
        <f>[1]节奏总纲!N4</f>
        <v>2</v>
      </c>
      <c r="C4" s="6">
        <v>1</v>
      </c>
      <c r="D4" s="6">
        <f>[1]节奏总纲!P4</f>
        <v>7.1773462536293131E-2</v>
      </c>
      <c r="E4" s="6">
        <f>[1]节奏总纲!Q4</f>
        <v>5.9787294292732177E-2</v>
      </c>
      <c r="F4" s="6">
        <f>[1]节奏总纲!R4</f>
        <v>4.677476553490223E-2</v>
      </c>
      <c r="G4" s="6">
        <f>[1]节奏总纲!S4</f>
        <v>3.2585151991477081E-2</v>
      </c>
      <c r="H4" s="6">
        <f>[1]节奏总纲!T4</f>
        <v>1.7039020006115988E-2</v>
      </c>
      <c r="J4" s="9">
        <v>1</v>
      </c>
      <c r="K4" s="10">
        <f>[1]节奏总纲!W4</f>
        <v>7.1773462536293131E-2</v>
      </c>
      <c r="L4" s="10">
        <f>[1]节奏总纲!X4</f>
        <v>5.9787294292732177E-2</v>
      </c>
      <c r="M4" s="10">
        <f>[1]节奏总纲!Y4</f>
        <v>4.677476553490223E-2</v>
      </c>
      <c r="N4" s="10">
        <f>[1]节奏总纲!Z4</f>
        <v>3.2585151991477081E-2</v>
      </c>
      <c r="O4" s="10">
        <f>[1]节奏总纲!AA4</f>
        <v>1.7039020006115988E-2</v>
      </c>
      <c r="Q4" s="9">
        <v>1</v>
      </c>
      <c r="R4" s="10">
        <f>[1]节奏总纲!AD4</f>
        <v>10</v>
      </c>
      <c r="S4" s="10">
        <f>[1]节奏总纲!AE4</f>
        <v>11.148446722089302</v>
      </c>
      <c r="T4" s="10">
        <f>[1]节奏总纲!AF4</f>
        <v>12.761737853656415</v>
      </c>
      <c r="U4" s="10">
        <f>[1]节奏总纲!AG4</f>
        <v>15.452231935206081</v>
      </c>
      <c r="V4" s="10">
        <f>[1]节奏总纲!AH4</f>
        <v>21.291911942729964</v>
      </c>
      <c r="Z4" s="12">
        <f>[1]节奏总纲!AL4</f>
        <v>1</v>
      </c>
      <c r="AA4" s="12">
        <f>[1]节奏总纲!AM4</f>
        <v>7.4349177498517554E-3</v>
      </c>
      <c r="AB4" s="12">
        <f>[1]节奏总纲!AN4</f>
        <v>5.947934199881405E-3</v>
      </c>
      <c r="AC4" s="12">
        <f>[1]节奏总纲!AO4</f>
        <v>4.4609506499110529E-3</v>
      </c>
      <c r="AD4" s="12">
        <f>[1]节奏总纲!AP4</f>
        <v>2.9739670999407025E-3</v>
      </c>
      <c r="AE4" s="12">
        <f>[1]节奏总纲!AQ4</f>
        <v>1.4869835499703513E-3</v>
      </c>
      <c r="AG4" s="12">
        <f>[1]节奏总纲!AS4</f>
        <v>1</v>
      </c>
      <c r="AH4" s="12">
        <f>[1]节奏总纲!AT4</f>
        <v>7.4349177498517554E-3</v>
      </c>
      <c r="AI4" s="12">
        <f>[1]节奏总纲!AU4</f>
        <v>5.947934199881405E-3</v>
      </c>
      <c r="AJ4" s="12">
        <f>[1]节奏总纲!AV4</f>
        <v>4.4609506499110529E-3</v>
      </c>
      <c r="AK4" s="12">
        <f>[1]节奏总纲!AW4</f>
        <v>2.9739670999407025E-3</v>
      </c>
      <c r="AL4" s="12">
        <f>[1]节奏总纲!AX4</f>
        <v>1.4869835499703513E-3</v>
      </c>
      <c r="AM4" s="11"/>
      <c r="AN4" s="12">
        <f>[1]节奏总纲!AZ4</f>
        <v>1</v>
      </c>
      <c r="AO4" s="12">
        <f>[1]节奏总纲!BA4</f>
        <v>11.296493250964016</v>
      </c>
      <c r="AP4" s="12">
        <f>[1]节奏总纲!BB4</f>
        <v>12.361596792946616</v>
      </c>
      <c r="AQ4" s="12">
        <f>[1]节奏总纲!BC4</f>
        <v>13.798091195443488</v>
      </c>
      <c r="AR4" s="12">
        <f>[1]节奏总纲!BD4</f>
        <v>15.911635365458322</v>
      </c>
      <c r="AS4" s="12">
        <f>[1]节奏总纲!BE4</f>
        <v>19.707330185578734</v>
      </c>
    </row>
    <row r="5" spans="2:45" x14ac:dyDescent="0.15">
      <c r="B5" s="14">
        <f>[1]节奏总纲!N5</f>
        <v>4</v>
      </c>
      <c r="C5" s="6">
        <v>2</v>
      </c>
      <c r="D5" s="6">
        <f>[1]节奏总纲!P5</f>
        <v>0.1486983549970351</v>
      </c>
      <c r="E5" s="6">
        <f>[1]节奏总纲!Q5</f>
        <v>0.12505531655250651</v>
      </c>
      <c r="F5" s="6">
        <f>[1]节奏总纲!R5</f>
        <v>9.883979656652922E-2</v>
      </c>
      <c r="G5" s="6">
        <f>[1]节奏总纲!S5</f>
        <v>6.9828747506607683E-2</v>
      </c>
      <c r="H5" s="6">
        <f>[1]节奏总纲!T5</f>
        <v>3.7085369736260552E-2</v>
      </c>
      <c r="J5" s="9">
        <v>2</v>
      </c>
      <c r="K5" s="10">
        <f>[1]节奏总纲!W5</f>
        <v>7.6924892460741967E-2</v>
      </c>
      <c r="L5" s="10">
        <f>[1]节奏总纲!X5</f>
        <v>6.5268022259774336E-2</v>
      </c>
      <c r="M5" s="10">
        <f>[1]节奏总纲!Y5</f>
        <v>5.206503103162699E-2</v>
      </c>
      <c r="N5" s="10">
        <f>[1]节奏总纲!Z5</f>
        <v>3.7243595515130602E-2</v>
      </c>
      <c r="O5" s="10">
        <f>[1]节奏总纲!AA5</f>
        <v>2.0046349730144564E-2</v>
      </c>
      <c r="Q5" s="9">
        <v>2</v>
      </c>
      <c r="R5" s="10">
        <f>[1]节奏总纲!AD5</f>
        <v>15.845161563010114</v>
      </c>
      <c r="S5" s="10">
        <f>[1]节奏总纲!AE5</f>
        <v>17.271997130667014</v>
      </c>
      <c r="T5" s="10">
        <f>[1]节奏总纲!AF5</f>
        <v>19.263096801323076</v>
      </c>
      <c r="U5" s="10">
        <f>[1]节奏总纲!AG5</f>
        <v>22.536681597650272</v>
      </c>
      <c r="V5" s="10">
        <f>[1]节奏总纲!AH5</f>
        <v>29.386000042029625</v>
      </c>
      <c r="Z5" s="12">
        <f>[1]节奏总纲!AL5</f>
        <v>2</v>
      </c>
      <c r="AA5" s="12">
        <f>[1]节奏总纲!AM5</f>
        <v>2.3963093307967063E-2</v>
      </c>
      <c r="AB5" s="12">
        <f>[1]节奏总纲!AN5</f>
        <v>1.9170474646373652E-2</v>
      </c>
      <c r="AC5" s="12">
        <f>[1]节奏总纲!AO5</f>
        <v>1.4377855984780237E-2</v>
      </c>
      <c r="AD5" s="12">
        <f>[1]节奏总纲!AP5</f>
        <v>9.5852373231868262E-3</v>
      </c>
      <c r="AE5" s="12">
        <f>[1]节奏总纲!AQ5</f>
        <v>4.7926186615934131E-3</v>
      </c>
      <c r="AG5" s="12">
        <f>[1]节奏总纲!AS5</f>
        <v>2</v>
      </c>
      <c r="AH5" s="12">
        <f>[1]节奏总纲!AT5</f>
        <v>1.6528175558115307E-2</v>
      </c>
      <c r="AI5" s="12">
        <f>[1]节奏总纲!AU5</f>
        <v>1.3222540446492247E-2</v>
      </c>
      <c r="AJ5" s="12">
        <f>[1]节奏总纲!AV5</f>
        <v>9.9169053348691846E-3</v>
      </c>
      <c r="AK5" s="12">
        <f>[1]节奏总纲!AW5</f>
        <v>6.6112702232461237E-3</v>
      </c>
      <c r="AL5" s="12">
        <f>[1]节奏总纲!AX5</f>
        <v>3.3056351116230618E-3</v>
      </c>
      <c r="AM5" s="11"/>
      <c r="AN5" s="12">
        <f>[1]节奏总纲!AZ5</f>
        <v>2</v>
      </c>
      <c r="AO5" s="12">
        <f>[1]节奏总纲!BA5</f>
        <v>14.729965238833779</v>
      </c>
      <c r="AP5" s="12">
        <f>[1]节奏总纲!BB5</f>
        <v>15.911635365458322</v>
      </c>
      <c r="AQ5" s="12">
        <f>[1]节奏总纲!BC5</f>
        <v>17.448850811924295</v>
      </c>
      <c r="AR5" s="12">
        <f>[1]节奏总纲!BD5</f>
        <v>19.707330185578734</v>
      </c>
      <c r="AS5" s="12">
        <f>[1]节奏总纲!BE5</f>
        <v>23.710496742673982</v>
      </c>
    </row>
    <row r="6" spans="2:45" x14ac:dyDescent="0.15">
      <c r="B6" s="14">
        <f>[1]节奏总纲!N6</f>
        <v>6</v>
      </c>
      <c r="C6" s="6">
        <v>3</v>
      </c>
      <c r="D6" s="6">
        <f>[1]节奏总纲!P6</f>
        <v>0.23114441334491631</v>
      </c>
      <c r="E6" s="6">
        <f>[1]节奏总纲!Q6</f>
        <v>0.19582554698581309</v>
      </c>
      <c r="F6" s="6">
        <f>[1]节奏总纲!R6</f>
        <v>0.15616116565582547</v>
      </c>
      <c r="G6" s="6">
        <f>[1]节奏总纲!S6</f>
        <v>0.11120357726023924</v>
      </c>
      <c r="H6" s="6">
        <f>[1]节奏总纲!T6</f>
        <v>5.9380999788309005E-2</v>
      </c>
      <c r="J6" s="9">
        <v>3</v>
      </c>
      <c r="K6" s="10">
        <f>[1]节奏总纲!W6</f>
        <v>8.2446058347881213E-2</v>
      </c>
      <c r="L6" s="10">
        <f>[1]节奏总纲!X6</f>
        <v>7.0770230433306575E-2</v>
      </c>
      <c r="M6" s="10">
        <f>[1]节奏总纲!Y6</f>
        <v>5.7321369089296248E-2</v>
      </c>
      <c r="N6" s="10">
        <f>[1]节奏总纲!Z6</f>
        <v>4.1374829753631562E-2</v>
      </c>
      <c r="O6" s="10">
        <f>[1]节奏总纲!AA6</f>
        <v>2.2295630052048453E-2</v>
      </c>
      <c r="Q6" s="9">
        <v>3</v>
      </c>
      <c r="R6" s="10">
        <f>[1]节奏总纲!AD6</f>
        <v>20</v>
      </c>
      <c r="S6" s="10">
        <f>[1]节奏总纲!AE6</f>
        <v>21.543844702365945</v>
      </c>
      <c r="T6" s="10">
        <f>[1]节奏总纲!AF6</f>
        <v>23.734615677065324</v>
      </c>
      <c r="U6" s="10">
        <f>[1]节奏总纲!AG6</f>
        <v>27.324610510337703</v>
      </c>
      <c r="V6" s="10">
        <f>[1]节奏总纲!AH6</f>
        <v>34.517938607173015</v>
      </c>
      <c r="Z6" s="12">
        <f>[1]节奏总纲!AL6</f>
        <v>3</v>
      </c>
      <c r="AA6" s="12">
        <f>[1]节奏总纲!AM6</f>
        <v>5.1571656651039799E-2</v>
      </c>
      <c r="AB6" s="12">
        <f>[1]节奏总纲!AN6</f>
        <v>4.1257325320831845E-2</v>
      </c>
      <c r="AC6" s="12">
        <f>[1]节奏总纲!AO6</f>
        <v>3.0942993990623877E-2</v>
      </c>
      <c r="AD6" s="12">
        <f>[1]节奏总纲!AP6</f>
        <v>2.0628662660415922E-2</v>
      </c>
      <c r="AE6" s="12">
        <f>[1]节奏总纲!AQ6</f>
        <v>1.0314331330207961E-2</v>
      </c>
      <c r="AG6" s="12">
        <f>[1]节奏总纲!AS6</f>
        <v>3</v>
      </c>
      <c r="AH6" s="12">
        <f>[1]节奏总纲!AT6</f>
        <v>2.7608563343072736E-2</v>
      </c>
      <c r="AI6" s="12">
        <f>[1]节奏总纲!AU6</f>
        <v>2.2086850674458192E-2</v>
      </c>
      <c r="AJ6" s="12">
        <f>[1]节奏总纲!AV6</f>
        <v>1.6565138005843638E-2</v>
      </c>
      <c r="AK6" s="12">
        <f>[1]节奏总纲!AW6</f>
        <v>1.1043425337229096E-2</v>
      </c>
      <c r="AL6" s="12">
        <f>[1]节奏总纲!AX6</f>
        <v>5.5217126686145481E-3</v>
      </c>
      <c r="AM6" s="11"/>
      <c r="AN6" s="12">
        <f>[1]节奏总纲!AZ6</f>
        <v>3</v>
      </c>
      <c r="AO6" s="12">
        <f>[1]节奏总纲!BA6</f>
        <v>16.888397947066121</v>
      </c>
      <c r="AP6" s="12">
        <f>[1]节奏总纲!BB6</f>
        <v>18.108391417375849</v>
      </c>
      <c r="AQ6" s="12">
        <f>[1]节奏总纲!BC6</f>
        <v>19.707330185578734</v>
      </c>
      <c r="AR6" s="12">
        <f>[1]节奏总纲!BD6</f>
        <v>22.041972908628715</v>
      </c>
      <c r="AS6" s="12">
        <f>[1]节奏总纲!BE6</f>
        <v>26.127796402772656</v>
      </c>
    </row>
    <row r="7" spans="2:45" x14ac:dyDescent="0.15">
      <c r="B7" s="14">
        <f>[1]节奏总纲!N7</f>
        <v>8</v>
      </c>
      <c r="C7" s="6">
        <v>4</v>
      </c>
      <c r="D7" s="6">
        <f>[1]节奏总纲!P7</f>
        <v>0.3195079107728942</v>
      </c>
      <c r="E7" s="6">
        <f>[1]节奏总纲!Q7</f>
        <v>0.2719651336498875</v>
      </c>
      <c r="F7" s="6">
        <f>[1]节奏总纲!R7</f>
        <v>0.21816000147573214</v>
      </c>
      <c r="G7" s="6">
        <f>[1]节奏总纲!S7</f>
        <v>0.15607961441255883</v>
      </c>
      <c r="H7" s="6">
        <f>[1]节奏总纲!T7</f>
        <v>8.4062531324348461E-2</v>
      </c>
      <c r="J7" s="9">
        <v>4</v>
      </c>
      <c r="K7" s="10">
        <f>[1]节奏总纲!W7</f>
        <v>8.8363497427977888E-2</v>
      </c>
      <c r="L7" s="10">
        <f>[1]节奏总纲!X7</f>
        <v>7.6139586664074416E-2</v>
      </c>
      <c r="M7" s="10">
        <f>[1]节奏总纲!Y7</f>
        <v>6.1998835819906672E-2</v>
      </c>
      <c r="N7" s="10">
        <f>[1]节奏总纲!Z7</f>
        <v>4.4876037152319581E-2</v>
      </c>
      <c r="O7" s="10">
        <f>[1]节奏总纲!AA7</f>
        <v>2.4681531536039455E-2</v>
      </c>
      <c r="Q7" s="9">
        <v>4</v>
      </c>
      <c r="R7" s="10">
        <f>[1]节奏总纲!AD7</f>
        <v>23.213386604241784</v>
      </c>
      <c r="S7" s="10">
        <f>[1]节奏总纲!AE7</f>
        <v>24.836966034810484</v>
      </c>
      <c r="T7" s="10">
        <f>[1]节奏总纲!AF7</f>
        <v>27.155717181399513</v>
      </c>
      <c r="U7" s="10">
        <f>[1]节奏总纲!AG7</f>
        <v>30.831257561377125</v>
      </c>
      <c r="V7" s="10">
        <f>[1]节奏总纲!AH7</f>
        <v>38.431365705145346</v>
      </c>
      <c r="Z7" s="12">
        <f>[1]节奏总纲!AL7</f>
        <v>4</v>
      </c>
      <c r="AA7" s="12">
        <f>[1]节奏总纲!AM7</f>
        <v>9.2637640824031031E-2</v>
      </c>
      <c r="AB7" s="12">
        <f>[1]节奏总纲!AN7</f>
        <v>7.4110112659224833E-2</v>
      </c>
      <c r="AC7" s="12">
        <f>[1]节奏总纲!AO7</f>
        <v>5.5582584494418615E-2</v>
      </c>
      <c r="AD7" s="12">
        <f>[1]节奏总纲!AP7</f>
        <v>3.7055056329612417E-2</v>
      </c>
      <c r="AE7" s="12">
        <f>[1]节奏总纲!AQ7</f>
        <v>1.8527528164806208E-2</v>
      </c>
      <c r="AG7" s="12">
        <f>[1]节奏总纲!AS7</f>
        <v>4</v>
      </c>
      <c r="AH7" s="12">
        <f>[1]节奏总纲!AT7</f>
        <v>4.1065984172991232E-2</v>
      </c>
      <c r="AI7" s="12">
        <f>[1]节奏总纲!AU7</f>
        <v>3.2852787338392989E-2</v>
      </c>
      <c r="AJ7" s="12">
        <f>[1]节奏总纲!AV7</f>
        <v>2.4639590503794738E-2</v>
      </c>
      <c r="AK7" s="12">
        <f>[1]节奏总纲!AW7</f>
        <v>1.6426393669196494E-2</v>
      </c>
      <c r="AL7" s="12">
        <f>[1]节奏总纲!AX7</f>
        <v>8.2131968345982471E-3</v>
      </c>
      <c r="AM7" s="11"/>
      <c r="AN7" s="12">
        <f>[1]节奏总纲!AZ7</f>
        <v>4</v>
      </c>
      <c r="AO7" s="12">
        <f>[1]节奏总纲!BA7</f>
        <v>18.453550676044042</v>
      </c>
      <c r="AP7" s="12">
        <f>[1]节奏总纲!BB7</f>
        <v>19.707330185578734</v>
      </c>
      <c r="AQ7" s="12">
        <f>[1]节奏总纲!BC7</f>
        <v>21.34613466141565</v>
      </c>
      <c r="AR7" s="12">
        <f>[1]节奏总纲!BD7</f>
        <v>23.710496742673982</v>
      </c>
      <c r="AS7" s="12">
        <f>[1]节奏总纲!BE7</f>
        <v>27.863030247590562</v>
      </c>
    </row>
    <row r="8" spans="2:45" x14ac:dyDescent="0.15">
      <c r="B8" s="14">
        <f>[1]节奏总纲!N8</f>
        <v>10</v>
      </c>
      <c r="C8" s="6">
        <v>5</v>
      </c>
      <c r="D8" s="6">
        <f>[1]节奏总纲!P8</f>
        <v>0.41421356237309515</v>
      </c>
      <c r="E8" s="6">
        <f>[1]节奏总纲!Q8</f>
        <v>0.35241289886702937</v>
      </c>
      <c r="F8" s="6">
        <f>[1]节奏总纲!R8</f>
        <v>0.28315639123824782</v>
      </c>
      <c r="G8" s="6">
        <f>[1]节奏总纲!S8</f>
        <v>0.20296464556281663</v>
      </c>
      <c r="H8" s="6">
        <f>[1]节奏总纲!T8</f>
        <v>0.10951806589144637</v>
      </c>
      <c r="J8" s="9">
        <v>5</v>
      </c>
      <c r="K8" s="10">
        <f>[1]节奏总纲!W8</f>
        <v>9.4705651600200946E-2</v>
      </c>
      <c r="L8" s="10">
        <f>[1]节奏总纲!X8</f>
        <v>8.0447765217141864E-2</v>
      </c>
      <c r="M8" s="10">
        <f>[1]节奏总纲!Y8</f>
        <v>6.4996389762515677E-2</v>
      </c>
      <c r="N8" s="10">
        <f>[1]节奏总纲!Z8</f>
        <v>4.68850311502578E-2</v>
      </c>
      <c r="O8" s="10">
        <f>[1]节奏总纲!AA8</f>
        <v>2.5455534567097912E-2</v>
      </c>
      <c r="Q8" s="9">
        <v>5</v>
      </c>
      <c r="R8" s="10">
        <f>[1]节奏总纲!AD8</f>
        <v>25.845161563010112</v>
      </c>
      <c r="S8" s="10">
        <f>[1]节奏总纲!AE8</f>
        <v>27.525245270311611</v>
      </c>
      <c r="T8" s="10">
        <f>[1]节奏总纲!AF8</f>
        <v>29.892344464157688</v>
      </c>
      <c r="U8" s="10">
        <f>[1]节奏总纲!AG8</f>
        <v>33.672145166817529</v>
      </c>
      <c r="V8" s="10">
        <f>[1]节奏总纲!AH8</f>
        <v>41.359260538726978</v>
      </c>
      <c r="Z8" s="12">
        <f>[1]节奏总纲!AL8</f>
        <v>5</v>
      </c>
      <c r="AA8" s="12">
        <f>[1]节奏总纲!AM8</f>
        <v>0.15</v>
      </c>
      <c r="AB8" s="12">
        <f>[1]节奏总纲!AN8</f>
        <v>0.12</v>
      </c>
      <c r="AC8" s="12">
        <f>[1]节奏总纲!AO8</f>
        <v>0.09</v>
      </c>
      <c r="AD8" s="12">
        <f>[1]节奏总纲!AP8</f>
        <v>0.06</v>
      </c>
      <c r="AE8" s="12">
        <f>[1]节奏总纲!AQ8</f>
        <v>0.03</v>
      </c>
      <c r="AG8" s="12">
        <f>[1]节奏总纲!AS8</f>
        <v>5</v>
      </c>
      <c r="AH8" s="12">
        <f>[1]节奏总纲!AT8</f>
        <v>5.7362359175968963E-2</v>
      </c>
      <c r="AI8" s="12">
        <f>[1]节奏总纲!AU8</f>
        <v>4.5889887340775162E-2</v>
      </c>
      <c r="AJ8" s="12">
        <f>[1]节奏总纲!AV8</f>
        <v>3.4417415505581382E-2</v>
      </c>
      <c r="AK8" s="12">
        <f>[1]节奏总纲!AW8</f>
        <v>2.2944943670387581E-2</v>
      </c>
      <c r="AL8" s="12">
        <f>[1]节奏总纲!AX8</f>
        <v>1.1472471835193791E-2</v>
      </c>
      <c r="AM8" s="11"/>
      <c r="AN8" s="12">
        <f>[1]节奏总纲!AZ8</f>
        <v>5</v>
      </c>
      <c r="AO8" s="12">
        <f>[1]节奏总纲!BA8</f>
        <v>19.707330185578734</v>
      </c>
      <c r="AP8" s="12">
        <f>[1]节奏总纲!BB8</f>
        <v>20.993539484876777</v>
      </c>
      <c r="AQ8" s="12">
        <f>[1]节奏总纲!BC8</f>
        <v>22.639743033177162</v>
      </c>
      <c r="AR8" s="12">
        <f>[1]节奏总纲!BD8</f>
        <v>25.044229735272328</v>
      </c>
      <c r="AS8" s="12">
        <f>[1]节奏总纲!BE8</f>
        <v>29.216428548527322</v>
      </c>
    </row>
    <row r="9" spans="2:45" x14ac:dyDescent="0.15">
      <c r="B9" s="14">
        <f>[1]节奏总纲!N9</f>
        <v>12</v>
      </c>
      <c r="C9" s="6">
        <v>6</v>
      </c>
      <c r="D9" s="6">
        <f>[1]节奏总纲!P9</f>
        <v>0.51571656651039799</v>
      </c>
      <c r="E9" s="6">
        <f>[1]节奏总纲!Q9</f>
        <v>0.43939051466685908</v>
      </c>
      <c r="F9" s="6">
        <f>[1]节奏总纲!R9</f>
        <v>0.35336899137292471</v>
      </c>
      <c r="G9" s="6">
        <f>[1]节奏总纲!S9</f>
        <v>0.25440298225957936</v>
      </c>
      <c r="H9" s="6">
        <f>[1]节奏总纲!T9</f>
        <v>0.13836675479473978</v>
      </c>
      <c r="J9" s="9">
        <v>6</v>
      </c>
      <c r="K9" s="10">
        <f>[1]节奏总纲!W9</f>
        <v>0.10150300413730284</v>
      </c>
      <c r="L9" s="10">
        <f>[1]节奏总纲!X9</f>
        <v>8.6977615799829711E-2</v>
      </c>
      <c r="M9" s="10">
        <f>[1]节奏总纲!Y9</f>
        <v>7.0212600134676895E-2</v>
      </c>
      <c r="N9" s="10">
        <f>[1]节奏总纲!Z9</f>
        <v>5.1438336696762732E-2</v>
      </c>
      <c r="O9" s="10">
        <f>[1]节奏总纲!AA9</f>
        <v>2.884868890329341E-2</v>
      </c>
      <c r="Q9" s="9">
        <v>6</v>
      </c>
      <c r="R9" s="10">
        <f>[1]节奏总纲!AD9</f>
        <v>28.071211008105138</v>
      </c>
      <c r="S9" s="10">
        <f>[1]节奏总纲!AE9</f>
        <v>29.78183527117605</v>
      </c>
      <c r="T9" s="10">
        <f>[1]节奏总纲!AF9</f>
        <v>32.202183458664891</v>
      </c>
      <c r="U9" s="10">
        <f>[1]节奏总纲!AG9</f>
        <v>36.067019846099676</v>
      </c>
      <c r="V9" s="10">
        <f>[1]节奏总纲!AH9</f>
        <v>43.870275262019007</v>
      </c>
      <c r="Z9" s="12">
        <f>[1]节奏总纲!AL9</f>
        <v>6</v>
      </c>
      <c r="AA9" s="12">
        <f>[1]节奏总纲!AM9</f>
        <v>0.22055744069899194</v>
      </c>
      <c r="AB9" s="12">
        <f>[1]节奏总纲!AN9</f>
        <v>0.17644595255919357</v>
      </c>
      <c r="AC9" s="12">
        <f>[1]节奏总纲!AO9</f>
        <v>0.13233446441939517</v>
      </c>
      <c r="AD9" s="12">
        <f>[1]节奏总纲!AP9</f>
        <v>8.8222976279596785E-2</v>
      </c>
      <c r="AE9" s="12">
        <f>[1]节奏总纲!AQ9</f>
        <v>4.4111488139798392E-2</v>
      </c>
      <c r="AG9" s="12">
        <f>[1]节奏总纲!AS9</f>
        <v>6</v>
      </c>
      <c r="AH9" s="12">
        <f>[1]节奏总纲!AT9</f>
        <v>7.0557440698991947E-2</v>
      </c>
      <c r="AI9" s="12">
        <f>[1]节奏总纲!AU9</f>
        <v>5.6445952559193574E-2</v>
      </c>
      <c r="AJ9" s="12">
        <f>[1]节奏总纲!AV9</f>
        <v>4.2334464419395174E-2</v>
      </c>
      <c r="AK9" s="12">
        <f>[1]节奏总纲!AW9</f>
        <v>2.8222976279596787E-2</v>
      </c>
      <c r="AL9" s="12">
        <f>[1]节奏总纲!AX9</f>
        <v>1.4111488139798394E-2</v>
      </c>
      <c r="AM9" s="11"/>
      <c r="AN9" s="12">
        <f>[1]节奏总纲!AZ9</f>
        <v>6</v>
      </c>
      <c r="AO9" s="12">
        <f>[1]节奏总纲!BA9</f>
        <v>20.745154613657583</v>
      </c>
      <c r="AP9" s="12">
        <f>[1]节奏总纲!BB9</f>
        <v>22.041972908628715</v>
      </c>
      <c r="AQ9" s="12">
        <f>[1]节奏总纲!BC9</f>
        <v>23.710496742673982</v>
      </c>
      <c r="AR9" s="12">
        <f>[1]节奏总纲!BD9</f>
        <v>26.127796402772656</v>
      </c>
      <c r="AS9" s="12">
        <f>[1]节奏总纲!BE9</f>
        <v>30.329493925593439</v>
      </c>
    </row>
    <row r="10" spans="2:45" x14ac:dyDescent="0.15">
      <c r="B10" s="14">
        <f>[1]节奏总纲!N10</f>
        <v>14</v>
      </c>
      <c r="C10" s="6">
        <v>7</v>
      </c>
      <c r="D10" s="6">
        <f>[1]节奏总纲!P10</f>
        <v>0.62450479271247095</v>
      </c>
      <c r="E10" s="6">
        <f>[1]节奏总纲!Q10</f>
        <v>0.53413894920697635</v>
      </c>
      <c r="F10" s="6">
        <f>[1]节奏总纲!R10</f>
        <v>0.43072095553379119</v>
      </c>
      <c r="G10" s="6">
        <f>[1]节奏总纲!S10</f>
        <v>0.30950457526830061</v>
      </c>
      <c r="H10" s="6">
        <f>[1]节奏总纲!T10</f>
        <v>0.16699258157131475</v>
      </c>
      <c r="J10" s="9">
        <v>7</v>
      </c>
      <c r="K10" s="10">
        <f>[1]节奏总纲!W10</f>
        <v>0.10878822620207296</v>
      </c>
      <c r="L10" s="10">
        <f>[1]节奏总纲!X10</f>
        <v>9.4748434540117277E-2</v>
      </c>
      <c r="M10" s="10">
        <f>[1]节奏总纲!Y10</f>
        <v>7.7351964160866482E-2</v>
      </c>
      <c r="N10" s="10">
        <f>[1]节奏总纲!Z10</f>
        <v>5.510159300872125E-2</v>
      </c>
      <c r="O10" s="10">
        <f>[1]节奏总纲!AA10</f>
        <v>2.8625826776574964E-2</v>
      </c>
      <c r="Q10" s="9">
        <v>7</v>
      </c>
      <c r="R10" s="10">
        <f>[1]节奏总纲!AD10</f>
        <v>30</v>
      </c>
      <c r="S10" s="10">
        <f>[1]节奏总纲!AE10</f>
        <v>31.718819483847451</v>
      </c>
      <c r="T10" s="10">
        <f>[1]节奏总纲!AF10</f>
        <v>34.192155176139416</v>
      </c>
      <c r="U10" s="10">
        <f>[1]节奏总纲!AG10</f>
        <v>38.19822972207853</v>
      </c>
      <c r="V10" s="10">
        <f>[1]节奏总纲!AH10</f>
        <v>46.093186357957826</v>
      </c>
      <c r="Z10" s="12">
        <f>[1]节奏总纲!AL10</f>
        <v>7</v>
      </c>
      <c r="AA10" s="12">
        <f>[1]节奏总纲!AM10</f>
        <v>0.31141300609369982</v>
      </c>
      <c r="AB10" s="12">
        <f>[1]节奏总纲!AN10</f>
        <v>0.24913040487495985</v>
      </c>
      <c r="AC10" s="12">
        <f>[1]节奏总纲!AO10</f>
        <v>0.18684780365621989</v>
      </c>
      <c r="AD10" s="12">
        <f>[1]节奏总纲!AP10</f>
        <v>0.12456520243747993</v>
      </c>
      <c r="AE10" s="12">
        <f>[1]节奏总纲!AQ10</f>
        <v>6.2282601218739964E-2</v>
      </c>
      <c r="AG10" s="12">
        <f>[1]节奏总纲!AS10</f>
        <v>7</v>
      </c>
      <c r="AH10" s="12">
        <f>[1]节奏总纲!AT10</f>
        <v>9.0855565394707877E-2</v>
      </c>
      <c r="AI10" s="12">
        <f>[1]节奏总纲!AU10</f>
        <v>7.2684452315766285E-2</v>
      </c>
      <c r="AJ10" s="12">
        <f>[1]节奏总纲!AV10</f>
        <v>5.451333923682472E-2</v>
      </c>
      <c r="AK10" s="12">
        <f>[1]节奏总纲!AW10</f>
        <v>3.6342226157883142E-2</v>
      </c>
      <c r="AL10" s="12">
        <f>[1]节奏总纲!AX10</f>
        <v>1.8171113078941571E-2</v>
      </c>
      <c r="AM10" s="11"/>
      <c r="AN10" s="12">
        <f>[1]节奏总纲!AZ10</f>
        <v>7</v>
      </c>
      <c r="AO10" s="12">
        <f>[1]节奏总纲!BA10</f>
        <v>21.627432338833255</v>
      </c>
      <c r="AP10" s="12">
        <f>[1]节奏总纲!BB10</f>
        <v>22.938628095451385</v>
      </c>
      <c r="AQ10" s="12">
        <f>[1]节奏总纲!BC10</f>
        <v>24.619152272059132</v>
      </c>
      <c r="AR10" s="12">
        <f>[1]节奏总纲!BD10</f>
        <v>27.059707353051884</v>
      </c>
      <c r="AS10" s="12">
        <f>[1]节奏总纲!BE10</f>
        <v>31.280110398778046</v>
      </c>
    </row>
    <row r="11" spans="2:45" x14ac:dyDescent="0.15">
      <c r="B11" s="14">
        <f>[1]节奏总纲!N11</f>
        <v>16</v>
      </c>
      <c r="C11" s="6">
        <v>8</v>
      </c>
      <c r="D11" s="6">
        <f>[1]节奏总纲!P11</f>
        <v>0.74110112659224825</v>
      </c>
      <c r="E11" s="6">
        <f>[1]节奏总纲!Q11</f>
        <v>0.63089938906798093</v>
      </c>
      <c r="F11" s="6">
        <f>[1]节奏总纲!R11</f>
        <v>0.50550507844857251</v>
      </c>
      <c r="G11" s="6">
        <f>[1]节奏总纲!S11</f>
        <v>0.36195379022765406</v>
      </c>
      <c r="H11" s="6">
        <f>[1]节奏总纲!T11</f>
        <v>0.19579891764567198</v>
      </c>
      <c r="J11" s="9">
        <v>8</v>
      </c>
      <c r="K11" s="10">
        <f>[1]节奏总纲!W11</f>
        <v>0.1165963338797773</v>
      </c>
      <c r="L11" s="10">
        <f>[1]节奏总纲!X11</f>
        <v>9.6760439861004577E-2</v>
      </c>
      <c r="M11" s="10">
        <f>[1]节奏总纲!Y11</f>
        <v>7.4784122914781315E-2</v>
      </c>
      <c r="N11" s="10">
        <f>[1]节奏总纲!Z11</f>
        <v>5.2449214959353452E-2</v>
      </c>
      <c r="O11" s="10">
        <f>[1]节奏总纲!AA11</f>
        <v>2.8806336074357231E-2</v>
      </c>
      <c r="Q11" s="9">
        <v>8</v>
      </c>
      <c r="R11" s="10">
        <f>[1]节奏总纲!AD11</f>
        <v>31.691928656135214</v>
      </c>
      <c r="S11" s="10">
        <f>[1]节奏总纲!AE11</f>
        <v>33.465251056098396</v>
      </c>
      <c r="T11" s="10">
        <f>[1]节奏总纲!AF11</f>
        <v>35.930751746472978</v>
      </c>
      <c r="U11" s="10">
        <f>[1]节奏总纲!AG11</f>
        <v>39.998279638578282</v>
      </c>
      <c r="V11" s="10">
        <f>[1]节奏总纲!AH11</f>
        <v>48.067140183443534</v>
      </c>
      <c r="Z11" s="12">
        <f>[1]节奏总纲!AL11</f>
        <v>8</v>
      </c>
      <c r="AA11" s="12">
        <f>[1]节奏总纲!AM11</f>
        <v>0.42660095793436714</v>
      </c>
      <c r="AB11" s="12">
        <f>[1]节奏总纲!AN11</f>
        <v>0.34128076634749371</v>
      </c>
      <c r="AC11" s="12">
        <f>[1]节奏总纲!AO11</f>
        <v>0.25596057476062029</v>
      </c>
      <c r="AD11" s="12">
        <f>[1]节奏总纲!AP11</f>
        <v>0.17064038317374686</v>
      </c>
      <c r="AE11" s="12">
        <f>[1]节奏总纲!AQ11</f>
        <v>8.5320191586873428E-2</v>
      </c>
      <c r="AG11" s="12">
        <f>[1]节奏总纲!AS11</f>
        <v>8</v>
      </c>
      <c r="AH11" s="12">
        <f>[1]节奏总纲!AT11</f>
        <v>0.11518795184066732</v>
      </c>
      <c r="AI11" s="12">
        <f>[1]节奏总纲!AU11</f>
        <v>9.2150361472533859E-2</v>
      </c>
      <c r="AJ11" s="12">
        <f>[1]节奏总纲!AV11</f>
        <v>6.9112771104400395E-2</v>
      </c>
      <c r="AK11" s="12">
        <f>[1]节奏总纲!AW11</f>
        <v>4.607518073626693E-2</v>
      </c>
      <c r="AL11" s="12">
        <f>[1]节奏总纲!AX11</f>
        <v>2.3037590368133465E-2</v>
      </c>
      <c r="AM11" s="11"/>
      <c r="AN11" s="12">
        <f>[1]节奏总纲!AZ11</f>
        <v>8</v>
      </c>
      <c r="AO11" s="12">
        <f>[1]节奏总纲!BA11</f>
        <v>22.400634983357783</v>
      </c>
      <c r="AP11" s="12">
        <f>[1]节奏总纲!BB11</f>
        <v>23.710496742673982</v>
      </c>
      <c r="AQ11" s="12">
        <f>[1]节奏总纲!BC11</f>
        <v>25.412810862541733</v>
      </c>
      <c r="AR11" s="12">
        <f>[1]节奏总纲!BD11</f>
        <v>27.863030247590562</v>
      </c>
      <c r="AS11" s="12">
        <f>[1]节奏总纲!BE11</f>
        <v>32.113552950216736</v>
      </c>
    </row>
    <row r="12" spans="2:45" x14ac:dyDescent="0.15">
      <c r="B12" s="14">
        <f>[1]节奏总纲!N12</f>
        <v>18</v>
      </c>
      <c r="C12" s="6">
        <v>9</v>
      </c>
      <c r="D12" s="6">
        <f>[1]节奏总纲!P12</f>
        <v>0.86606598307361482</v>
      </c>
      <c r="E12" s="6">
        <f>[1]节奏总纲!Q12</f>
        <v>0.73702215159564621</v>
      </c>
      <c r="F12" s="6">
        <f>[1]节奏总纲!R12</f>
        <v>0.59282216541388932</v>
      </c>
      <c r="G12" s="6">
        <f>[1]节奏总纲!S12</f>
        <v>0.42766338244175101</v>
      </c>
      <c r="H12" s="6">
        <f>[1]节奏总纲!T12</f>
        <v>0.23193247026711403</v>
      </c>
      <c r="J12" s="9">
        <v>9</v>
      </c>
      <c r="K12" s="10">
        <f>[1]节奏总纲!W12</f>
        <v>0.12496485648136657</v>
      </c>
      <c r="L12" s="10">
        <f>[1]节奏总纲!X12</f>
        <v>0.10612276252766528</v>
      </c>
      <c r="M12" s="10">
        <f>[1]节奏总纲!Y12</f>
        <v>8.7317086965316815E-2</v>
      </c>
      <c r="N12" s="10">
        <f>[1]节奏总纲!Z12</f>
        <v>6.5709592214096946E-2</v>
      </c>
      <c r="O12" s="10">
        <f>[1]节奏总纲!AA12</f>
        <v>3.613355262144205E-2</v>
      </c>
      <c r="Q12" s="9">
        <v>9</v>
      </c>
      <c r="R12" s="10">
        <f>[1]节奏总纲!AD12</f>
        <v>33.213386604241784</v>
      </c>
      <c r="S12" s="10">
        <f>[1]节奏总纲!AE12</f>
        <v>34.992730785174565</v>
      </c>
      <c r="T12" s="10">
        <f>[1]节奏总纲!AF12</f>
        <v>37.510565846691456</v>
      </c>
      <c r="U12" s="10">
        <f>[1]节奏总纲!AG12</f>
        <v>41.534743419557365</v>
      </c>
      <c r="V12" s="10">
        <f>[1]节奏总纲!AH12</f>
        <v>49.706056771838036</v>
      </c>
      <c r="Z12" s="12">
        <f>[1]节奏总纲!AL12</f>
        <v>9</v>
      </c>
      <c r="AA12" s="12">
        <f>[1]节奏总纲!AM12</f>
        <v>0.57090651823243421</v>
      </c>
      <c r="AB12" s="12">
        <f>[1]节奏总纲!AN12</f>
        <v>0.45672521458594739</v>
      </c>
      <c r="AC12" s="12">
        <f>[1]节奏总纲!AO12</f>
        <v>0.34254391093946052</v>
      </c>
      <c r="AD12" s="12">
        <f>[1]节奏总纲!AP12</f>
        <v>0.2283626072929737</v>
      </c>
      <c r="AE12" s="12">
        <f>[1]节奏总纲!AQ12</f>
        <v>0.11418130364648685</v>
      </c>
      <c r="AG12" s="12">
        <f>[1]节奏总纲!AS12</f>
        <v>9</v>
      </c>
      <c r="AH12" s="12">
        <f>[1]节奏总纲!AT12</f>
        <v>0.14430556029806707</v>
      </c>
      <c r="AI12" s="12">
        <f>[1]节奏总纲!AU12</f>
        <v>0.11544444823845368</v>
      </c>
      <c r="AJ12" s="12">
        <f>[1]节奏总纲!AV12</f>
        <v>8.6583336178840231E-2</v>
      </c>
      <c r="AK12" s="12">
        <f>[1]节奏总纲!AW12</f>
        <v>5.7722224119226839E-2</v>
      </c>
      <c r="AL12" s="12">
        <f>[1]节奏总纲!AX12</f>
        <v>2.886111205961342E-2</v>
      </c>
      <c r="AM12" s="11"/>
      <c r="AN12" s="12">
        <f>[1]节奏总纲!AZ12</f>
        <v>9</v>
      </c>
      <c r="AO12" s="12">
        <f>[1]节奏总纲!BA12</f>
        <v>23.100336713798686</v>
      </c>
      <c r="AP12" s="12">
        <f>[1]节奏总纲!BB12</f>
        <v>24.402761517547276</v>
      </c>
      <c r="AQ12" s="12">
        <f>[1]节奏总纲!BC12</f>
        <v>26.127796402772656</v>
      </c>
      <c r="AR12" s="12">
        <f>[1]节奏总纲!BD12</f>
        <v>28.568390277483555</v>
      </c>
      <c r="AS12" s="12">
        <f>[1]节奏总纲!BE12</f>
        <v>32.842201900114915</v>
      </c>
    </row>
    <row r="13" spans="2:45" x14ac:dyDescent="0.15">
      <c r="B13" s="14">
        <f>[1]节奏总纲!N13</f>
        <v>20</v>
      </c>
      <c r="C13" s="6">
        <v>10</v>
      </c>
      <c r="D13" s="6">
        <f>[1]节奏总纲!P13</f>
        <v>1</v>
      </c>
      <c r="E13" s="6">
        <f>[1]节奏总纲!Q13</f>
        <v>0.8548</v>
      </c>
      <c r="F13" s="6">
        <f>[1]节奏总纲!R13</f>
        <v>0.6895</v>
      </c>
      <c r="G13" s="6">
        <f>[1]节奏总纲!S13</f>
        <v>0.49980000000000002</v>
      </c>
      <c r="H13" s="6">
        <f>[1]节奏总纲!T13</f>
        <v>0.2732</v>
      </c>
      <c r="J13" s="9">
        <v>10</v>
      </c>
      <c r="K13" s="10">
        <f>[1]节奏总纲!W13</f>
        <v>0.13393401692638518</v>
      </c>
      <c r="L13" s="10">
        <f>[1]节奏总纲!X13</f>
        <v>0.11777784840435379</v>
      </c>
      <c r="M13" s="10">
        <f>[1]节奏总纲!Y13</f>
        <v>9.6677834586110678E-2</v>
      </c>
      <c r="N13" s="10">
        <f>[1]节奏总纲!Z13</f>
        <v>7.2136617558249017E-2</v>
      </c>
      <c r="O13" s="10">
        <f>[1]节奏总纲!AA13</f>
        <v>4.1267529732885971E-2</v>
      </c>
      <c r="Q13" s="9">
        <v>10</v>
      </c>
      <c r="R13" s="10">
        <f>[1]节奏总纲!AD13</f>
        <v>34.585942742481357</v>
      </c>
      <c r="S13" s="10">
        <f>[1]节奏总纲!AE13</f>
        <v>36.36169634498642</v>
      </c>
      <c r="T13" s="10">
        <f>[1]节奏总纲!AF13</f>
        <v>38.977035507933373</v>
      </c>
      <c r="U13" s="10">
        <f>[1]节奏总纲!AG13</f>
        <v>42.970748198558951</v>
      </c>
      <c r="V13" s="10">
        <f>[1]节奏总纲!AH13</f>
        <v>51.212821897464167</v>
      </c>
      <c r="Z13" s="12">
        <f>[1]节奏总纲!AL13</f>
        <v>10</v>
      </c>
      <c r="AA13" s="12">
        <f>[1]节奏总纲!AM13</f>
        <v>0.75</v>
      </c>
      <c r="AB13" s="12">
        <f>[1]节奏总纲!AN13</f>
        <v>0.60000000000000009</v>
      </c>
      <c r="AC13" s="12">
        <f>[1]节奏总纲!AO13</f>
        <v>0.44999999999999996</v>
      </c>
      <c r="AD13" s="12">
        <f>[1]节奏总纲!AP13</f>
        <v>0.30000000000000004</v>
      </c>
      <c r="AE13" s="12">
        <f>[1]节奏总纲!AQ13</f>
        <v>0.15000000000000002</v>
      </c>
      <c r="AG13" s="12">
        <f>[1]节奏总纲!AS13</f>
        <v>10</v>
      </c>
      <c r="AH13" s="12">
        <f>[1]节奏总纲!AT13</f>
        <v>0.17909348176756579</v>
      </c>
      <c r="AI13" s="12">
        <f>[1]节奏总纲!AU13</f>
        <v>0.1432747854140527</v>
      </c>
      <c r="AJ13" s="12">
        <f>[1]节奏总纲!AV13</f>
        <v>0.10745608906053944</v>
      </c>
      <c r="AK13" s="12">
        <f>[1]节奏总纲!AW13</f>
        <v>7.1637392707026348E-2</v>
      </c>
      <c r="AL13" s="12">
        <f>[1]节奏总纲!AX13</f>
        <v>3.5818696353513174E-2</v>
      </c>
      <c r="AM13" s="11"/>
      <c r="AN13" s="12">
        <f>[1]节奏总纲!AZ13</f>
        <v>10</v>
      </c>
      <c r="AO13" s="12">
        <f>[1]节奏总纲!BA13</f>
        <v>23.710496742673982</v>
      </c>
      <c r="AP13" s="12">
        <f>[1]节奏总纲!BB13</f>
        <v>25.044229735272328</v>
      </c>
      <c r="AQ13" s="12">
        <f>[1]节奏总纲!BC13</f>
        <v>26.755953543357073</v>
      </c>
      <c r="AR13" s="12">
        <f>[1]节奏总纲!BD13</f>
        <v>29.216428548527322</v>
      </c>
      <c r="AS13" s="12">
        <f>[1]节奏总纲!BE13</f>
        <v>33.487933395889513</v>
      </c>
    </row>
    <row r="14" spans="2:45" x14ac:dyDescent="0.15">
      <c r="B14" s="14">
        <f>[1]节奏总纲!N14</f>
        <v>21</v>
      </c>
      <c r="C14" s="6">
        <v>11</v>
      </c>
      <c r="D14" s="6">
        <f>[1]节奏总纲!P14</f>
        <v>1.1435469250725863</v>
      </c>
      <c r="E14" s="6">
        <f>[1]节奏总纲!Q14</f>
        <v>0.98036277886472811</v>
      </c>
      <c r="F14" s="6">
        <f>[1]节奏总纲!R14</f>
        <v>0.79453640354043287</v>
      </c>
      <c r="G14" s="6">
        <f>[1]节奏总纲!S14</f>
        <v>0.57577587677404707</v>
      </c>
      <c r="H14" s="6">
        <f>[1]节奏总纲!T14</f>
        <v>0.31767733578516444</v>
      </c>
      <c r="J14" s="9">
        <v>11</v>
      </c>
      <c r="K14" s="10">
        <f>[1]节奏总纲!W14</f>
        <v>0.14354692507258626</v>
      </c>
      <c r="L14" s="10">
        <f>[1]节奏总纲!X14</f>
        <v>0.12556277886472811</v>
      </c>
      <c r="M14" s="10">
        <f>[1]节奏总纲!Y14</f>
        <v>0.10503640354043287</v>
      </c>
      <c r="N14" s="10">
        <f>[1]节奏总纲!Z14</f>
        <v>7.5975876774047046E-2</v>
      </c>
      <c r="O14" s="10">
        <f>[1]节奏总纲!AA14</f>
        <v>4.447733578516444E-2</v>
      </c>
      <c r="Q14" s="9">
        <v>11</v>
      </c>
      <c r="R14" s="10">
        <f>[1]节奏总纲!AD14</f>
        <v>35.845161563010116</v>
      </c>
      <c r="S14" s="10">
        <f>[1]节奏总纲!AE14</f>
        <v>37.6388925299823</v>
      </c>
      <c r="T14" s="10">
        <f>[1]节奏总纲!AF14</f>
        <v>40.259528204263837</v>
      </c>
      <c r="U14" s="10">
        <f>[1]节奏总纲!AG14</f>
        <v>44.288230531994081</v>
      </c>
      <c r="V14" s="10">
        <f>[1]节奏总纲!AH14</f>
        <v>52.559419343629337</v>
      </c>
      <c r="Z14" s="12">
        <f>[1]节奏总纲!AL14</f>
        <v>11</v>
      </c>
      <c r="AA14" s="12">
        <f>[1]节奏总纲!AM14</f>
        <v>0.93464628919691628</v>
      </c>
      <c r="AB14" s="12">
        <f>[1]节奏总纲!AN14</f>
        <v>0.74771703135753309</v>
      </c>
      <c r="AC14" s="12">
        <f>[1]节奏总纲!AO14</f>
        <v>0.56078777351814979</v>
      </c>
      <c r="AD14" s="12">
        <f>[1]节奏总纲!AP14</f>
        <v>0.37385851567876655</v>
      </c>
      <c r="AE14" s="12">
        <f>[1]节奏总纲!AQ14</f>
        <v>0.18692925783938327</v>
      </c>
      <c r="AG14" s="12">
        <f>[1]节奏总纲!AS14</f>
        <v>11</v>
      </c>
      <c r="AH14" s="12">
        <f>[1]节奏总纲!AT14</f>
        <v>0.18464628919691628</v>
      </c>
      <c r="AI14" s="12">
        <f>[1]节奏总纲!AU14</f>
        <v>0.147717031357533</v>
      </c>
      <c r="AJ14" s="12">
        <f>[1]节奏总纲!AV14</f>
        <v>0.11078777351814983</v>
      </c>
      <c r="AK14" s="12">
        <f>[1]节奏总纲!AW14</f>
        <v>7.3858515678766501E-2</v>
      </c>
      <c r="AL14" s="12">
        <f>[1]节奏总纲!AX14</f>
        <v>3.692925783938325E-2</v>
      </c>
      <c r="AM14" s="11"/>
      <c r="AN14" s="12">
        <f>[1]节奏总纲!AZ14</f>
        <v>11</v>
      </c>
      <c r="AO14" s="12">
        <f>[1]节奏总纲!BA14</f>
        <v>24.272927064840161</v>
      </c>
      <c r="AP14" s="12">
        <f>[1]节奏总纲!BB14</f>
        <v>25.597101426176433</v>
      </c>
      <c r="AQ14" s="12">
        <f>[1]节奏总纲!BC14</f>
        <v>27.327481651231444</v>
      </c>
      <c r="AR14" s="12">
        <f>[1]节奏总纲!BD14</f>
        <v>29.80118336305917</v>
      </c>
      <c r="AS14" s="12">
        <f>[1]节奏总纲!BE14</f>
        <v>34.09469189131628</v>
      </c>
    </row>
    <row r="15" spans="2:45" x14ac:dyDescent="0.15">
      <c r="B15" s="14">
        <f>[1]节奏总纲!N15</f>
        <v>22</v>
      </c>
      <c r="C15" s="6">
        <v>12</v>
      </c>
      <c r="D15" s="6">
        <f>[1]节奏总纲!P15</f>
        <v>1.2973967099940702</v>
      </c>
      <c r="E15" s="6">
        <f>[1]节奏总纲!Q15</f>
        <v>1.1126474184909145</v>
      </c>
      <c r="F15" s="6">
        <f>[1]节奏总纲!R15</f>
        <v>0.9058423829178599</v>
      </c>
      <c r="G15" s="6">
        <f>[1]节奏总纲!S15</f>
        <v>0.66219128078097333</v>
      </c>
      <c r="H15" s="6">
        <f>[1]节奏总纲!T15</f>
        <v>0.36560639287632896</v>
      </c>
      <c r="J15" s="9">
        <v>12</v>
      </c>
      <c r="K15" s="10">
        <f>[1]节奏总纲!W15</f>
        <v>0.15384978492148393</v>
      </c>
      <c r="L15" s="10">
        <f>[1]节奏总纲!X15</f>
        <v>0.13228463962618642</v>
      </c>
      <c r="M15" s="10">
        <f>[1]节奏总纲!Y15</f>
        <v>0.11130597937742703</v>
      </c>
      <c r="N15" s="10">
        <f>[1]节奏总纲!Z15</f>
        <v>8.6415404006926266E-2</v>
      </c>
      <c r="O15" s="10">
        <f>[1]节奏总纲!AA15</f>
        <v>4.7929057091164518E-2</v>
      </c>
      <c r="Q15" s="9">
        <v>12</v>
      </c>
      <c r="R15" s="10">
        <f>[1]节奏总纲!AD15</f>
        <v>37.004247194324648</v>
      </c>
      <c r="S15" s="10">
        <f>[1]节奏总纲!AE15</f>
        <v>38.827998824669805</v>
      </c>
      <c r="T15" s="10">
        <f>[1]节奏总纲!AF15</f>
        <v>41.408320762540754</v>
      </c>
      <c r="U15" s="10">
        <f>[1]节奏总纲!AG15</f>
        <v>45.500930067545958</v>
      </c>
      <c r="V15" s="10">
        <f>[1]节奏总纲!AH15</f>
        <v>53.855547243088772</v>
      </c>
      <c r="Z15" s="12">
        <f>[1]节奏总纲!AL15</f>
        <v>12</v>
      </c>
      <c r="AA15" s="12">
        <f>[1]节奏总纲!AM15</f>
        <v>1.1550685436347259</v>
      </c>
      <c r="AB15" s="12">
        <f>[1]节奏总纲!AN15</f>
        <v>0.92405483490778073</v>
      </c>
      <c r="AC15" s="12">
        <f>[1]节奏总纲!AO15</f>
        <v>0.69304112618083547</v>
      </c>
      <c r="AD15" s="12">
        <f>[1]节奏总纲!AP15</f>
        <v>0.46202741745389037</v>
      </c>
      <c r="AE15" s="12">
        <f>[1]节奏总纲!AQ15</f>
        <v>0.23101370872694518</v>
      </c>
      <c r="AG15" s="12">
        <f>[1]节奏总纲!AS15</f>
        <v>12</v>
      </c>
      <c r="AH15" s="12">
        <f>[1]节奏总纲!AT15</f>
        <v>0.22042225443780961</v>
      </c>
      <c r="AI15" s="12">
        <f>[1]节奏总纲!AU15</f>
        <v>0.17633780355024764</v>
      </c>
      <c r="AJ15" s="12">
        <f>[1]节奏总纲!AV15</f>
        <v>0.13225335266268567</v>
      </c>
      <c r="AK15" s="12">
        <f>[1]节奏总纲!AW15</f>
        <v>8.816890177512382E-2</v>
      </c>
      <c r="AL15" s="12">
        <f>[1]节奏总纲!AX15</f>
        <v>4.408445088756191E-2</v>
      </c>
      <c r="AM15" s="11"/>
      <c r="AN15" s="12">
        <f>[1]节奏总纲!AZ15</f>
        <v>12</v>
      </c>
      <c r="AO15" s="12">
        <f>[1]节奏总纲!BA15</f>
        <v>24.792264875668618</v>
      </c>
      <c r="AP15" s="12">
        <f>[1]节奏总纲!BB15</f>
        <v>26.127796402772656</v>
      </c>
      <c r="AQ15" s="12">
        <f>[1]节奏总纲!BC15</f>
        <v>27.863030247590562</v>
      </c>
      <c r="AR15" s="12">
        <f>[1]节奏总纲!BD15</f>
        <v>30.329493925593439</v>
      </c>
      <c r="AS15" s="12">
        <f>[1]节奏总纲!BE15</f>
        <v>34.627226072894942</v>
      </c>
    </row>
    <row r="16" spans="2:45" x14ac:dyDescent="0.15">
      <c r="B16" s="14">
        <f>[1]节奏总纲!N16</f>
        <v>23</v>
      </c>
      <c r="C16" s="6">
        <v>13</v>
      </c>
      <c r="D16" s="6">
        <f>[1]节奏总纲!P16</f>
        <v>1.4622888266898326</v>
      </c>
      <c r="E16" s="6">
        <f>[1]节奏总纲!Q16</f>
        <v>1.2628326307293396</v>
      </c>
      <c r="F16" s="6">
        <f>[1]节奏总纲!R16</f>
        <v>1.0294513339896421</v>
      </c>
      <c r="G16" s="6">
        <f>[1]节奏总纲!S16</f>
        <v>0.75556463675063656</v>
      </c>
      <c r="H16" s="6">
        <f>[1]节奏总纲!T16</f>
        <v>0.41865329108129906</v>
      </c>
      <c r="J16" s="9">
        <v>13</v>
      </c>
      <c r="K16" s="10">
        <f>[1]节奏总纲!W16</f>
        <v>0.16489211669576243</v>
      </c>
      <c r="L16" s="10">
        <f>[1]节奏总纲!X16</f>
        <v>0.15018521223842507</v>
      </c>
      <c r="M16" s="10">
        <f>[1]节奏总纲!Y16</f>
        <v>0.12360895107178216</v>
      </c>
      <c r="N16" s="10">
        <f>[1]节奏总纲!Z16</f>
        <v>9.337335596966323E-2</v>
      </c>
      <c r="O16" s="10">
        <f>[1]节奏总纲!AA16</f>
        <v>5.3046898204970105E-2</v>
      </c>
      <c r="Q16" s="9">
        <v>13</v>
      </c>
      <c r="R16" s="10">
        <f>[1]节奏总纲!AD16</f>
        <v>38.071211008105138</v>
      </c>
      <c r="S16" s="10">
        <f>[1]节奏总纲!AE16</f>
        <v>39.935302111946527</v>
      </c>
      <c r="T16" s="10">
        <f>[1]节奏总纲!AF16</f>
        <v>42.470214785133983</v>
      </c>
      <c r="U16" s="10">
        <f>[1]节奏总纲!AG16</f>
        <v>46.631096344914496</v>
      </c>
      <c r="V16" s="10">
        <f>[1]节奏总纲!AH16</f>
        <v>55.062101953238496</v>
      </c>
      <c r="Z16" s="12">
        <f>[1]节奏总纲!AL16</f>
        <v>13</v>
      </c>
      <c r="AA16" s="12">
        <f>[1]节奏总纲!AM16</f>
        <v>1.417602554491646</v>
      </c>
      <c r="AB16" s="12">
        <f>[1]节奏总纲!AN16</f>
        <v>1.1340820435933168</v>
      </c>
      <c r="AC16" s="12">
        <f>[1]节奏总纲!AO16</f>
        <v>0.85056153269498758</v>
      </c>
      <c r="AD16" s="12">
        <f>[1]节奏总纲!AP16</f>
        <v>0.56704102179665838</v>
      </c>
      <c r="AE16" s="12">
        <f>[1]节奏总纲!AQ16</f>
        <v>0.28352051089832919</v>
      </c>
      <c r="AG16" s="12">
        <f>[1]节奏总纲!AS16</f>
        <v>13</v>
      </c>
      <c r="AH16" s="12">
        <f>[1]节奏总纲!AT16</f>
        <v>0.26253401085692007</v>
      </c>
      <c r="AI16" s="12">
        <f>[1]节奏总纲!AU16</f>
        <v>0.21002720868553604</v>
      </c>
      <c r="AJ16" s="12">
        <f>[1]节奏总纲!AV16</f>
        <v>0.15752040651415211</v>
      </c>
      <c r="AK16" s="12">
        <f>[1]节奏总纲!AW16</f>
        <v>0.10501360434276802</v>
      </c>
      <c r="AL16" s="12">
        <f>[1]节奏总纲!AX16</f>
        <v>5.2506802171384009E-2</v>
      </c>
      <c r="AM16" s="11"/>
      <c r="AN16" s="12">
        <f>[1]节奏总纲!AZ16</f>
        <v>13</v>
      </c>
      <c r="AO16" s="12">
        <f>[1]节奏总纲!BA16</f>
        <v>25.265378411633971</v>
      </c>
      <c r="AP16" s="12">
        <f>[1]节奏总纲!BB16</f>
        <v>26.598914258210968</v>
      </c>
      <c r="AQ16" s="12">
        <f>[1]节奏总纲!BC16</f>
        <v>28.339982398803929</v>
      </c>
      <c r="AR16" s="12">
        <f>[1]节奏总纲!BD16</f>
        <v>30.828727146189561</v>
      </c>
      <c r="AS16" s="12">
        <f>[1]节奏总纲!BE16</f>
        <v>35.146386283795508</v>
      </c>
    </row>
    <row r="17" spans="2:45" x14ac:dyDescent="0.15">
      <c r="B17" s="14">
        <f>[1]节奏总纲!N17</f>
        <v>24</v>
      </c>
      <c r="C17" s="6">
        <v>14</v>
      </c>
      <c r="D17" s="6">
        <f>[1]节奏总纲!P17</f>
        <v>1.6390158215457884</v>
      </c>
      <c r="E17" s="6">
        <f>[1]节奏总纲!Q17</f>
        <v>1.4136511460832426</v>
      </c>
      <c r="F17" s="6">
        <f>[1]节奏总纲!R17</f>
        <v>1.1545227446968533</v>
      </c>
      <c r="G17" s="6">
        <f>[1]节奏总纲!S17</f>
        <v>0.84605996708193598</v>
      </c>
      <c r="H17" s="6">
        <f>[1]节奏总纲!T17</f>
        <v>0.46810291863347719</v>
      </c>
      <c r="J17" s="9">
        <v>14</v>
      </c>
      <c r="K17" s="10">
        <f>[1]节奏总纲!W17</f>
        <v>0.17672699485595578</v>
      </c>
      <c r="L17" s="10">
        <f>[1]节奏总纲!X17</f>
        <v>0.150818515353903</v>
      </c>
      <c r="M17" s="10">
        <f>[1]节奏总纲!Y17</f>
        <v>0.12507141070721128</v>
      </c>
      <c r="N17" s="10">
        <f>[1]节奏总纲!Z17</f>
        <v>9.0495330331299417E-2</v>
      </c>
      <c r="O17" s="10">
        <f>[1]节奏总纲!AA17</f>
        <v>4.9449627552178133E-2</v>
      </c>
      <c r="Q17" s="9">
        <v>14</v>
      </c>
      <c r="R17" s="10">
        <f>[1]节奏总纲!AD17</f>
        <v>39.066704614192943</v>
      </c>
      <c r="S17" s="10">
        <f>[1]节奏总纲!AE17</f>
        <v>40.935169244165145</v>
      </c>
      <c r="T17" s="10">
        <f>[1]节奏总纲!AF17</f>
        <v>43.484929789964411</v>
      </c>
      <c r="U17" s="10">
        <f>[1]节奏总纲!AG17</f>
        <v>47.711408234944486</v>
      </c>
      <c r="V17" s="10">
        <f>[1]节奏总纲!AH17</f>
        <v>56.165983112651688</v>
      </c>
      <c r="Z17" s="12">
        <f>[1]节奏总纲!AL17</f>
        <v>14</v>
      </c>
      <c r="AA17" s="12">
        <f>[1]节奏总纲!AM17</f>
        <v>1.7296773068470075</v>
      </c>
      <c r="AB17" s="12">
        <f>[1]节奏总纲!AN17</f>
        <v>1.383741845477606</v>
      </c>
      <c r="AC17" s="12">
        <f>[1]节奏总纲!AO17</f>
        <v>1.0378063841082044</v>
      </c>
      <c r="AD17" s="12">
        <f>[1]节奏总纲!AP17</f>
        <v>0.69187092273880302</v>
      </c>
      <c r="AE17" s="12">
        <f>[1]节奏总纲!AQ17</f>
        <v>0.34593546136940151</v>
      </c>
      <c r="AG17" s="12">
        <f>[1]节奏总纲!AS17</f>
        <v>14</v>
      </c>
      <c r="AH17" s="12">
        <f>[1]节奏总纲!AT17</f>
        <v>0.31207475235536153</v>
      </c>
      <c r="AI17" s="12">
        <f>[1]节奏总纲!AU17</f>
        <v>0.24965980188428927</v>
      </c>
      <c r="AJ17" s="12">
        <f>[1]节奏总纲!AV17</f>
        <v>0.18724485141321678</v>
      </c>
      <c r="AK17" s="12">
        <f>[1]节奏总纲!AW17</f>
        <v>0.12482990094214463</v>
      </c>
      <c r="AL17" s="12">
        <f>[1]节奏总纲!AX17</f>
        <v>6.2414950471072317E-2</v>
      </c>
      <c r="AM17" s="11"/>
      <c r="AN17" s="12">
        <f>[1]节奏总纲!AZ17</f>
        <v>14</v>
      </c>
      <c r="AO17" s="12">
        <f>[1]节奏总纲!BA17</f>
        <v>25.707675764357255</v>
      </c>
      <c r="AP17" s="12">
        <f>[1]节奏总纲!BB17</f>
        <v>27.059707353051884</v>
      </c>
      <c r="AQ17" s="12">
        <f>[1]节奏总纲!BC17</f>
        <v>28.796798156163181</v>
      </c>
      <c r="AR17" s="12">
        <f>[1]节奏总纲!BD17</f>
        <v>31.280110398778046</v>
      </c>
      <c r="AS17" s="12">
        <f>[1]节奏总纲!BE17</f>
        <v>35.634340563113874</v>
      </c>
    </row>
    <row r="18" spans="2:45" x14ac:dyDescent="0.15">
      <c r="B18" s="14">
        <f>[1]节奏总纲!N18</f>
        <v>25</v>
      </c>
      <c r="C18" s="6">
        <v>15</v>
      </c>
      <c r="D18" s="6">
        <f>[1]节奏总纲!P18</f>
        <v>1.8284271247461898</v>
      </c>
      <c r="E18" s="6">
        <f>[1]节奏总纲!Q18</f>
        <v>1.5793953503557587</v>
      </c>
      <c r="F18" s="6">
        <f>[1]节奏总纲!R18</f>
        <v>1.2928808199080308</v>
      </c>
      <c r="G18" s="6">
        <f>[1]节奏总纲!S18</f>
        <v>0.94895367774327255</v>
      </c>
      <c r="H18" s="6">
        <f>[1]节奏总纲!T18</f>
        <v>0.5271355400643265</v>
      </c>
      <c r="J18" s="9">
        <v>15</v>
      </c>
      <c r="K18" s="10">
        <f>[1]节奏总纲!W18</f>
        <v>0.18941130320040145</v>
      </c>
      <c r="L18" s="10">
        <f>[1]节奏总纲!X18</f>
        <v>0.16574420427251613</v>
      </c>
      <c r="M18" s="10">
        <f>[1]节奏总纲!Y18</f>
        <v>0.13835807521117749</v>
      </c>
      <c r="N18" s="10">
        <f>[1]节奏总纲!Z18</f>
        <v>0.10289371066133657</v>
      </c>
      <c r="O18" s="10">
        <f>[1]节奏总纲!AA18</f>
        <v>5.9032621430849308E-2</v>
      </c>
      <c r="Q18" s="9">
        <v>15</v>
      </c>
      <c r="R18" s="10">
        <f>[1]节奏总纲!AD18</f>
        <v>40</v>
      </c>
      <c r="S18" s="10">
        <f>[1]节奏总纲!AE18</f>
        <v>41.83669503626701</v>
      </c>
      <c r="T18" s="10">
        <f>[1]节奏总纲!AF18</f>
        <v>44.442238853326032</v>
      </c>
      <c r="U18" s="10">
        <f>[1]节奏总纲!AG18</f>
        <v>48.731413734867289</v>
      </c>
      <c r="V18" s="10">
        <f>[1]节奏总纲!AH18</f>
        <v>57.176846218996921</v>
      </c>
      <c r="Z18" s="12">
        <f>[1]节奏总纲!AL18</f>
        <v>15</v>
      </c>
      <c r="AA18" s="12">
        <f>[1]节奏总纲!AM18</f>
        <v>2.1</v>
      </c>
      <c r="AB18" s="12">
        <f>[1]节奏总纲!AN18</f>
        <v>1.6800000000000002</v>
      </c>
      <c r="AC18" s="12">
        <f>[1]节奏总纲!AO18</f>
        <v>1.26</v>
      </c>
      <c r="AD18" s="12">
        <f>[1]节奏总纲!AP18</f>
        <v>0.84000000000000008</v>
      </c>
      <c r="AE18" s="12">
        <f>[1]节奏总纲!AQ18</f>
        <v>0.42000000000000004</v>
      </c>
      <c r="AG18" s="12">
        <f>[1]节奏总纲!AS18</f>
        <v>15</v>
      </c>
      <c r="AH18" s="12">
        <f>[1]节奏总纲!AT18</f>
        <v>0.3703226931529926</v>
      </c>
      <c r="AI18" s="12">
        <f>[1]节奏总纲!AU18</f>
        <v>0.29625815452239412</v>
      </c>
      <c r="AJ18" s="12">
        <f>[1]节奏总纲!AV18</f>
        <v>0.22219361589179565</v>
      </c>
      <c r="AK18" s="12">
        <f>[1]节奏总纲!AW18</f>
        <v>0.14812907726119706</v>
      </c>
      <c r="AL18" s="12">
        <f>[1]节奏总纲!AX18</f>
        <v>7.4064538630598531E-2</v>
      </c>
      <c r="AM18" s="11"/>
      <c r="AN18" s="12">
        <f>[1]节奏总纲!AZ18</f>
        <v>15</v>
      </c>
      <c r="AO18" s="12">
        <f>[1]节奏总纲!BA18</f>
        <v>26.127796402772656</v>
      </c>
      <c r="AP18" s="12">
        <f>[1]节奏总纲!BB18</f>
        <v>27.461368800321225</v>
      </c>
      <c r="AQ18" s="12">
        <f>[1]节奏总纲!BC18</f>
        <v>29.216428548527322</v>
      </c>
      <c r="AR18" s="12">
        <f>[1]节奏总纲!BD18</f>
        <v>31.706504654507764</v>
      </c>
      <c r="AS18" s="12">
        <f>[1]节奏总纲!BE18</f>
        <v>36.105477566569242</v>
      </c>
    </row>
    <row r="19" spans="2:45" x14ac:dyDescent="0.15">
      <c r="B19" s="14">
        <f>[1]节奏总纲!N19</f>
        <v>26</v>
      </c>
      <c r="C19" s="6">
        <v>16</v>
      </c>
      <c r="D19" s="6">
        <f>[1]节奏总纲!P19</f>
        <v>2.031433133020796</v>
      </c>
      <c r="E19" s="6">
        <f>[1]节奏总纲!Q19</f>
        <v>1.7586116632561031</v>
      </c>
      <c r="F19" s="6">
        <f>[1]节奏总纲!R19</f>
        <v>1.4398798046851402</v>
      </c>
      <c r="G19" s="6">
        <f>[1]节奏总纲!S19</f>
        <v>1.0618300986299702</v>
      </c>
      <c r="H19" s="6">
        <f>[1]节奏总纲!T19</f>
        <v>0.59460047803518701</v>
      </c>
      <c r="J19" s="9">
        <v>16</v>
      </c>
      <c r="K19" s="10">
        <f>[1]节奏总纲!W19</f>
        <v>0.20300600827460613</v>
      </c>
      <c r="L19" s="10">
        <f>[1]节奏总纲!X19</f>
        <v>0.17921631290034434</v>
      </c>
      <c r="M19" s="10">
        <f>[1]节奏总纲!Y19</f>
        <v>0.14699898477710938</v>
      </c>
      <c r="N19" s="10">
        <f>[1]节奏总纲!Z19</f>
        <v>0.11287642088669769</v>
      </c>
      <c r="O19" s="10">
        <f>[1]节奏总纲!AA19</f>
        <v>6.7464937970860506E-2</v>
      </c>
      <c r="Q19" s="9">
        <v>16</v>
      </c>
      <c r="R19" s="10">
        <f>[1]节奏总纲!AD19</f>
        <v>40.870795385807064</v>
      </c>
      <c r="S19" s="10">
        <f>[1]节奏总纲!AE19</f>
        <v>42.707142308553742</v>
      </c>
      <c r="T19" s="10">
        <f>[1]节奏总纲!AF19</f>
        <v>45.343250058486468</v>
      </c>
      <c r="U19" s="10">
        <f>[1]节奏总纲!AG19</f>
        <v>49.654306534727205</v>
      </c>
      <c r="V19" s="10">
        <f>[1]节奏总纲!AH19</f>
        <v>58.12511610143563</v>
      </c>
      <c r="Z19" s="12">
        <f>[1]节奏总纲!AL19</f>
        <v>16</v>
      </c>
      <c r="AA19" s="12">
        <f>[1]节奏总纲!AM19</f>
        <v>2.5387719203926467</v>
      </c>
      <c r="AB19" s="12">
        <f>[1]节奏总纲!AN19</f>
        <v>2.0310175363141174</v>
      </c>
      <c r="AC19" s="12">
        <f>[1]节奏总纲!AO19</f>
        <v>1.5232631522355879</v>
      </c>
      <c r="AD19" s="12">
        <f>[1]节奏总纲!AP19</f>
        <v>1.0155087681570587</v>
      </c>
      <c r="AE19" s="12">
        <f>[1]节奏总纲!AQ19</f>
        <v>0.50775438407852935</v>
      </c>
      <c r="AG19" s="12">
        <f>[1]节奏总纲!AS19</f>
        <v>16</v>
      </c>
      <c r="AH19" s="12">
        <f>[1]节奏总纲!AT19</f>
        <v>0.43877192039264656</v>
      </c>
      <c r="AI19" s="12">
        <f>[1]节奏总纲!AU19</f>
        <v>0.35101753631411725</v>
      </c>
      <c r="AJ19" s="12">
        <f>[1]节奏总纲!AV19</f>
        <v>0.26326315223558794</v>
      </c>
      <c r="AK19" s="12">
        <f>[1]节奏总纲!AW19</f>
        <v>0.17550876815705863</v>
      </c>
      <c r="AL19" s="12">
        <f>[1]节奏总纲!AX19</f>
        <v>8.7754384078529313E-2</v>
      </c>
      <c r="AM19" s="11"/>
      <c r="AN19" s="12">
        <f>[1]节奏总纲!AZ19</f>
        <v>16</v>
      </c>
      <c r="AO19" s="12">
        <f>[1]节奏总纲!BA19</f>
        <v>26.504690687123308</v>
      </c>
      <c r="AP19" s="12">
        <f>[1]节奏总纲!BB19</f>
        <v>27.863030247590562</v>
      </c>
      <c r="AQ19" s="12">
        <f>[1]节奏总纲!BC19</f>
        <v>29.606265091548554</v>
      </c>
      <c r="AR19" s="12">
        <f>[1]节奏总纲!BD19</f>
        <v>32.113552950216736</v>
      </c>
      <c r="AS19" s="12">
        <f>[1]节奏总纲!BE19</f>
        <v>36.526331209747774</v>
      </c>
    </row>
    <row r="20" spans="2:45" x14ac:dyDescent="0.15">
      <c r="B20" s="14">
        <f>[1]节奏总纲!N20</f>
        <v>27</v>
      </c>
      <c r="C20" s="6">
        <v>17</v>
      </c>
      <c r="D20" s="6">
        <f>[1]节奏总纲!P20</f>
        <v>2.2490095854249419</v>
      </c>
      <c r="E20" s="6">
        <f>[1]节奏总纲!Q20</f>
        <v>1.9433691827656923</v>
      </c>
      <c r="F20" s="6">
        <f>[1]节奏总纲!R20</f>
        <v>1.5904995788125189</v>
      </c>
      <c r="G20" s="6">
        <f>[1]节奏总纲!S20</f>
        <v>1.1742079045503622</v>
      </c>
      <c r="H20" s="6">
        <f>[1]节奏总纲!T20</f>
        <v>0.65311238360740309</v>
      </c>
      <c r="J20" s="9">
        <v>17</v>
      </c>
      <c r="K20" s="10">
        <f>[1]节奏总纲!W20</f>
        <v>0.21757645240414591</v>
      </c>
      <c r="L20" s="10">
        <f>[1]节奏总纲!X20</f>
        <v>0.18475751950958919</v>
      </c>
      <c r="M20" s="10">
        <f>[1]节奏总纲!Y20</f>
        <v>0.1506197741273787</v>
      </c>
      <c r="N20" s="10">
        <f>[1]节奏总纲!Z20</f>
        <v>0.11237780592039193</v>
      </c>
      <c r="O20" s="10">
        <f>[1]节奏总纲!AA20</f>
        <v>5.8511905572216083E-2</v>
      </c>
      <c r="Q20" s="9">
        <v>17</v>
      </c>
      <c r="R20" s="10">
        <f>[1]节奏总纲!AD20</f>
        <v>41.691928656135218</v>
      </c>
      <c r="S20" s="10">
        <f>[1]节奏总纲!AE20</f>
        <v>43.535389560453282</v>
      </c>
      <c r="T20" s="10">
        <f>[1]节奏总纲!AF20</f>
        <v>46.195785611164197</v>
      </c>
      <c r="U20" s="10">
        <f>[1]节奏总纲!AG20</f>
        <v>50.510850036206186</v>
      </c>
      <c r="V20" s="10">
        <f>[1]节奏总纲!AH20</f>
        <v>58.996855914896834</v>
      </c>
      <c r="Z20" s="12">
        <f>[1]节奏总纲!AL20</f>
        <v>17</v>
      </c>
      <c r="AA20" s="12">
        <f>[1]节奏总纲!AM20</f>
        <v>3.0579402515786085</v>
      </c>
      <c r="AB20" s="12">
        <f>[1]节奏总纲!AN20</f>
        <v>2.4463522012628869</v>
      </c>
      <c r="AC20" s="12">
        <f>[1]节奏总纲!AO20</f>
        <v>1.8347641509471651</v>
      </c>
      <c r="AD20" s="12">
        <f>[1]节奏总纲!AP20</f>
        <v>1.2231761006314434</v>
      </c>
      <c r="AE20" s="12">
        <f>[1]节奏总纲!AQ20</f>
        <v>0.61158805031572172</v>
      </c>
      <c r="AG20" s="12">
        <f>[1]节奏总纲!AS20</f>
        <v>17</v>
      </c>
      <c r="AH20" s="12">
        <f>[1]节奏总纲!AT20</f>
        <v>0.51916833118596184</v>
      </c>
      <c r="AI20" s="12">
        <f>[1]节奏总纲!AU20</f>
        <v>0.41533466494876947</v>
      </c>
      <c r="AJ20" s="12">
        <f>[1]节奏总纲!AV20</f>
        <v>0.3115009987115771</v>
      </c>
      <c r="AK20" s="12">
        <f>[1]节奏总纲!AW20</f>
        <v>0.20766733247438474</v>
      </c>
      <c r="AL20" s="12">
        <f>[1]节奏总纲!AX20</f>
        <v>0.10383366623719237</v>
      </c>
      <c r="AM20" s="11"/>
      <c r="AN20" s="12">
        <f>[1]节奏总纲!AZ20</f>
        <v>17</v>
      </c>
      <c r="AO20" s="12">
        <f>[1]节奏总纲!BA20</f>
        <v>26.881584971473956</v>
      </c>
      <c r="AP20" s="12">
        <f>[1]节奏总纲!BB20</f>
        <v>28.225778459464117</v>
      </c>
      <c r="AQ20" s="12">
        <f>[1]节奏总纲!BC20</f>
        <v>29.996101634569786</v>
      </c>
      <c r="AR20" s="12">
        <f>[1]节奏总纲!BD20</f>
        <v>32.477877425165822</v>
      </c>
      <c r="AS20" s="12">
        <f>[1]节奏总纲!BE20</f>
        <v>36.947184852926306</v>
      </c>
    </row>
    <row r="21" spans="2:45" x14ac:dyDescent="0.15">
      <c r="B21" s="14">
        <f>[1]节奏总纲!N21</f>
        <v>28</v>
      </c>
      <c r="C21" s="6">
        <v>18</v>
      </c>
      <c r="D21" s="6">
        <f>[1]节奏总纲!P21</f>
        <v>2.4822022531844965</v>
      </c>
      <c r="E21" s="6">
        <f>[1]节奏总纲!Q21</f>
        <v>2.1515729130603214</v>
      </c>
      <c r="F21" s="6">
        <f>[1]节奏总纲!R21</f>
        <v>1.7690655458445907</v>
      </c>
      <c r="G21" s="6">
        <f>[1]节奏总纲!S21</f>
        <v>1.3066312660763189</v>
      </c>
      <c r="H21" s="6">
        <f>[1]节奏总纲!T21</f>
        <v>0.72554771860582834</v>
      </c>
      <c r="J21" s="9">
        <v>18</v>
      </c>
      <c r="K21" s="10">
        <f>[1]节奏总纲!W21</f>
        <v>0.23319266775955461</v>
      </c>
      <c r="L21" s="10">
        <f>[1]节奏总纲!X21</f>
        <v>0.20820373029462913</v>
      </c>
      <c r="M21" s="10">
        <f>[1]节奏总纲!Y21</f>
        <v>0.17856596703207184</v>
      </c>
      <c r="N21" s="10">
        <f>[1]节奏总纲!Z21</f>
        <v>0.13242336152595668</v>
      </c>
      <c r="O21" s="10">
        <f>[1]节奏总纲!AA21</f>
        <v>7.2435334998425249E-2</v>
      </c>
      <c r="Q21" s="9">
        <v>18</v>
      </c>
      <c r="R21" s="10">
        <f>[1]节奏总纲!AD21</f>
        <v>42.470630686057078</v>
      </c>
      <c r="S21" s="10">
        <f>[1]节奏总纲!AE21</f>
        <v>44.32123076997032</v>
      </c>
      <c r="T21" s="10">
        <f>[1]节奏总纲!AF21</f>
        <v>47.002405448181747</v>
      </c>
      <c r="U21" s="10">
        <f>[1]节奏总纲!AG21</f>
        <v>51.307235833425089</v>
      </c>
      <c r="V21" s="10">
        <f>[1]节奏总纲!AH21</f>
        <v>59.782901351568675</v>
      </c>
      <c r="Z21" s="12">
        <f>[1]节奏总纲!AL21</f>
        <v>18</v>
      </c>
      <c r="AA21" s="12">
        <f>[1]节奏总纲!AM21</f>
        <v>3.671491735587451</v>
      </c>
      <c r="AB21" s="12">
        <f>[1]节奏总纲!AN21</f>
        <v>2.9371933884699608</v>
      </c>
      <c r="AC21" s="12">
        <f>[1]节奏总纲!AO21</f>
        <v>2.2028950413524706</v>
      </c>
      <c r="AD21" s="12">
        <f>[1]节奏总纲!AP21</f>
        <v>1.4685966942349804</v>
      </c>
      <c r="AE21" s="12">
        <f>[1]节奏总纲!AQ21</f>
        <v>0.7342983471174902</v>
      </c>
      <c r="AG21" s="12">
        <f>[1]节奏总纲!AS21</f>
        <v>18</v>
      </c>
      <c r="AH21" s="12">
        <f>[1]节奏总纲!AT21</f>
        <v>0.61355148400884252</v>
      </c>
      <c r="AI21" s="12">
        <f>[1]节奏总纲!AU21</f>
        <v>0.49084118720707393</v>
      </c>
      <c r="AJ21" s="12">
        <f>[1]节奏总纲!AV21</f>
        <v>0.36813089040530556</v>
      </c>
      <c r="AK21" s="12">
        <f>[1]节奏总纲!AW21</f>
        <v>0.24542059360353696</v>
      </c>
      <c r="AL21" s="12">
        <f>[1]节奏总纲!AX21</f>
        <v>0.12271029680176848</v>
      </c>
      <c r="AM21" s="11"/>
      <c r="AN21" s="12">
        <f>[1]节奏总纲!AZ21</f>
        <v>18</v>
      </c>
      <c r="AO21" s="12">
        <f>[1]节奏总纲!BA21</f>
        <v>27.220371931959619</v>
      </c>
      <c r="AP21" s="12">
        <f>[1]节奏总纲!BB21</f>
        <v>28.568390277483555</v>
      </c>
      <c r="AQ21" s="12">
        <f>[1]节奏总纲!BC21</f>
        <v>30.329493925593439</v>
      </c>
      <c r="AR21" s="12">
        <f>[1]节奏总纲!BD21</f>
        <v>32.842201900114915</v>
      </c>
      <c r="AS21" s="12">
        <f>[1]节奏总纲!BE21</f>
        <v>37.317457773889828</v>
      </c>
    </row>
    <row r="22" spans="2:45" x14ac:dyDescent="0.15">
      <c r="B22" s="14">
        <f>[1]节奏总纲!N22</f>
        <v>29</v>
      </c>
      <c r="C22" s="6">
        <v>19</v>
      </c>
      <c r="D22" s="6">
        <f>[1]节奏总纲!P22</f>
        <v>2.7321319661472296</v>
      </c>
      <c r="E22" s="6">
        <f>[1]节奏总纲!Q22</f>
        <v>2.3734030389920986</v>
      </c>
      <c r="F22" s="6">
        <f>[1]节奏总纲!R22</f>
        <v>1.9510154370257367</v>
      </c>
      <c r="G22" s="6">
        <f>[1]节奏总纲!S22</f>
        <v>1.4395603329629754</v>
      </c>
      <c r="H22" s="6">
        <f>[1]节奏总纲!T22</f>
        <v>0.80270037165405606</v>
      </c>
      <c r="J22" s="9">
        <v>19</v>
      </c>
      <c r="K22" s="10">
        <f>[1]节奏总纲!W22</f>
        <v>0.24992971296273314</v>
      </c>
      <c r="L22" s="10">
        <f>[1]节奏总纲!X22</f>
        <v>0.2218301259317772</v>
      </c>
      <c r="M22" s="10">
        <f>[1]节奏总纲!Y22</f>
        <v>0.18194989118114591</v>
      </c>
      <c r="N22" s="10">
        <f>[1]节奏总纲!Z22</f>
        <v>0.13292906688665651</v>
      </c>
      <c r="O22" s="10">
        <f>[1]节奏总纲!AA22</f>
        <v>7.7152653048227715E-2</v>
      </c>
      <c r="Q22" s="9">
        <v>19</v>
      </c>
      <c r="R22" s="10">
        <f>[1]节奏总纲!AD22</f>
        <v>43.213386604241784</v>
      </c>
      <c r="S22" s="10">
        <f>[1]节奏总纲!AE22</f>
        <v>45.070782602372333</v>
      </c>
      <c r="T22" s="10">
        <f>[1]节奏总纲!AF22</f>
        <v>47.752799438858894</v>
      </c>
      <c r="U22" s="10">
        <f>[1]节奏总纲!AG22</f>
        <v>52.050057424983954</v>
      </c>
      <c r="V22" s="10">
        <f>[1]节奏总纲!AH22</f>
        <v>60.54585273688761</v>
      </c>
      <c r="Z22" s="12">
        <f>[1]节奏总纲!AL22</f>
        <v>19</v>
      </c>
      <c r="AA22" s="12">
        <f>[1]节奏总纲!AM22</f>
        <v>4.3957950643309154</v>
      </c>
      <c r="AB22" s="12">
        <f>[1]节奏总纲!AN22</f>
        <v>3.5166360514647326</v>
      </c>
      <c r="AC22" s="12">
        <f>[1]节奏总纲!AO22</f>
        <v>2.6374770385985493</v>
      </c>
      <c r="AD22" s="12">
        <f>[1]节奏总纲!AP22</f>
        <v>1.7583180257323663</v>
      </c>
      <c r="AE22" s="12">
        <f>[1]节奏总纲!AQ22</f>
        <v>0.87915901286618314</v>
      </c>
      <c r="AG22" s="12">
        <f>[1]节奏总纲!AS22</f>
        <v>19</v>
      </c>
      <c r="AH22" s="12">
        <f>[1]节奏总纲!AT22</f>
        <v>0.72430332874346437</v>
      </c>
      <c r="AI22" s="12">
        <f>[1]节奏总纲!AU22</f>
        <v>0.57944266299477176</v>
      </c>
      <c r="AJ22" s="12">
        <f>[1]节奏总纲!AV22</f>
        <v>0.43458199724607871</v>
      </c>
      <c r="AK22" s="12">
        <f>[1]节奏总纲!AW22</f>
        <v>0.28972133149738588</v>
      </c>
      <c r="AL22" s="12">
        <f>[1]节奏总纲!AX22</f>
        <v>0.14486066574869294</v>
      </c>
      <c r="AM22" s="11"/>
      <c r="AN22" s="12">
        <f>[1]节奏总纲!AZ22</f>
        <v>19</v>
      </c>
      <c r="AO22" s="12">
        <f>[1]节奏总纲!BA22</f>
        <v>27.541701089775092</v>
      </c>
      <c r="AP22" s="12">
        <f>[1]节奏总纲!BB22</f>
        <v>28.911002095502997</v>
      </c>
      <c r="AQ22" s="12">
        <f>[1]节奏总纲!BC22</f>
        <v>30.662316072657521</v>
      </c>
      <c r="AR22" s="12">
        <f>[1]节奏总纲!BD22</f>
        <v>33.176527924103851</v>
      </c>
      <c r="AS22" s="12">
        <f>[1]节奏总纲!BE22</f>
        <v>37.680472138177471</v>
      </c>
    </row>
    <row r="23" spans="2:45" x14ac:dyDescent="0.15">
      <c r="B23" s="14">
        <f>[1]节奏总纲!N23</f>
        <v>30</v>
      </c>
      <c r="C23" s="6">
        <v>20</v>
      </c>
      <c r="D23" s="6">
        <f>[1]节奏总纲!P23</f>
        <v>3</v>
      </c>
      <c r="E23" s="6">
        <f>[1]节奏总纲!Q23</f>
        <v>2.6036999999999999</v>
      </c>
      <c r="F23" s="6">
        <f>[1]节奏总纲!R23</f>
        <v>2.1372</v>
      </c>
      <c r="G23" s="6">
        <f>[1]节奏总纲!S23</f>
        <v>1.5800999999999998</v>
      </c>
      <c r="H23" s="6">
        <f>[1]节奏总纲!T23</f>
        <v>0.87990000000000002</v>
      </c>
      <c r="J23" s="9">
        <v>20</v>
      </c>
      <c r="K23" s="10">
        <f>[1]节奏总纲!W23</f>
        <v>0.26786803385277036</v>
      </c>
      <c r="L23" s="10">
        <f>[1]节奏总纲!X23</f>
        <v>0.23029696100790131</v>
      </c>
      <c r="M23" s="10">
        <f>[1]节奏总纲!Y23</f>
        <v>0.18618456297426333</v>
      </c>
      <c r="N23" s="10">
        <f>[1]节奏总纲!Z23</f>
        <v>0.14053966703702447</v>
      </c>
      <c r="O23" s="10">
        <f>[1]节奏总纲!AA23</f>
        <v>7.719962834594396E-2</v>
      </c>
      <c r="Q23" s="9">
        <v>20</v>
      </c>
      <c r="R23" s="10">
        <f>[1]节奏总纲!AD23</f>
        <v>43.920692243099523</v>
      </c>
      <c r="S23" s="10">
        <f>[1]节奏总纲!AE23</f>
        <v>45.780025086357675</v>
      </c>
      <c r="T23" s="10">
        <f>[1]节奏总纲!AF23</f>
        <v>48.482447528152484</v>
      </c>
      <c r="U23" s="10">
        <f>[1]节奏总纲!AG23</f>
        <v>52.769987980532711</v>
      </c>
      <c r="V23" s="10">
        <f>[1]节奏总纲!AH23</f>
        <v>61.261422558944936</v>
      </c>
      <c r="Z23" s="12">
        <f>[1]节奏总纲!AL23</f>
        <v>20</v>
      </c>
      <c r="AA23" s="12">
        <f>[1]节奏总纲!AM23</f>
        <v>5.25</v>
      </c>
      <c r="AB23" s="12">
        <f>[1]节奏总纲!AN23</f>
        <v>4.2</v>
      </c>
      <c r="AC23" s="12">
        <f>[1]节奏总纲!AO23</f>
        <v>3.15</v>
      </c>
      <c r="AD23" s="12">
        <f>[1]节奏总纲!AP23</f>
        <v>2.1</v>
      </c>
      <c r="AE23" s="12">
        <f>[1]节奏总纲!AQ23</f>
        <v>1.05</v>
      </c>
      <c r="AG23" s="12">
        <f>[1]节奏总纲!AS23</f>
        <v>20</v>
      </c>
      <c r="AH23" s="12">
        <f>[1]节奏总纲!AT23</f>
        <v>0.85420493566908462</v>
      </c>
      <c r="AI23" s="12">
        <f>[1]节奏总纲!AU23</f>
        <v>0.68336394853526761</v>
      </c>
      <c r="AJ23" s="12">
        <f>[1]节奏总纲!AV23</f>
        <v>0.51252296140145059</v>
      </c>
      <c r="AK23" s="12">
        <f>[1]节奏总纲!AW23</f>
        <v>0.3416819742676338</v>
      </c>
      <c r="AL23" s="12">
        <f>[1]节奏总纲!AX23</f>
        <v>0.1708409871338169</v>
      </c>
      <c r="AM23" s="11"/>
      <c r="AN23" s="12">
        <f>[1]节奏总纲!AZ23</f>
        <v>20</v>
      </c>
      <c r="AO23" s="12">
        <f>[1]节奏总纲!BA23</f>
        <v>27.863030247590562</v>
      </c>
      <c r="AP23" s="12">
        <f>[1]节奏总纲!BB23</f>
        <v>29.216428548527322</v>
      </c>
      <c r="AQ23" s="12">
        <f>[1]节奏总纲!BC23</f>
        <v>30.995138219721603</v>
      </c>
      <c r="AR23" s="12">
        <f>[1]节奏总纲!BD23</f>
        <v>33.487933395889513</v>
      </c>
      <c r="AS23" s="12">
        <f>[1]节奏总纲!BE23</f>
        <v>38.037513426486328</v>
      </c>
    </row>
    <row r="24" spans="2:45" x14ac:dyDescent="0.15">
      <c r="B24" s="14">
        <f>[1]节奏总纲!N24</f>
        <v>31</v>
      </c>
      <c r="C24" s="6">
        <v>21</v>
      </c>
      <c r="D24" s="6">
        <f>[1]节奏总纲!P24</f>
        <v>3.2870938501451725</v>
      </c>
      <c r="E24" s="6">
        <f>[1]节奏总纲!Q24</f>
        <v>2.8518826243859516</v>
      </c>
      <c r="F24" s="6">
        <f>[1]节奏总纲!R24</f>
        <v>2.3466562996186386</v>
      </c>
      <c r="G24" s="6">
        <f>[1]节奏总纲!S24</f>
        <v>1.7365716810316947</v>
      </c>
      <c r="H24" s="6">
        <f>[1]节奏总纲!T24</f>
        <v>0.97166494210291288</v>
      </c>
      <c r="J24" s="9">
        <v>21</v>
      </c>
      <c r="K24" s="10">
        <f>[1]节奏总纲!W24</f>
        <v>0.28709385014517252</v>
      </c>
      <c r="L24" s="10">
        <f>[1]节奏总纲!X24</f>
        <v>0.24818262438595173</v>
      </c>
      <c r="M24" s="10">
        <f>[1]节奏总纲!Y24</f>
        <v>0.20945629961863865</v>
      </c>
      <c r="N24" s="10">
        <f>[1]节奏总纲!Z24</f>
        <v>0.15647168103169484</v>
      </c>
      <c r="O24" s="10">
        <f>[1]节奏总纲!AA24</f>
        <v>9.1764942102912861E-2</v>
      </c>
      <c r="Q24" s="9">
        <v>21</v>
      </c>
      <c r="R24" s="10">
        <f>[1]节奏总纲!AD24</f>
        <v>44.585942742481357</v>
      </c>
      <c r="S24" s="10">
        <f>[1]节奏总纲!AE24</f>
        <v>46.455967430551723</v>
      </c>
      <c r="T24" s="10">
        <f>[1]节奏总纲!AF24</f>
        <v>49.18886033229559</v>
      </c>
      <c r="U24" s="10">
        <f>[1]节奏总纲!AG24</f>
        <v>53.471660769826336</v>
      </c>
      <c r="V24" s="10">
        <f>[1]节奏总纲!AH24</f>
        <v>61.918453772109508</v>
      </c>
      <c r="Z24" s="12">
        <f>[1]节奏总纲!AL24</f>
        <v>21</v>
      </c>
      <c r="AA24" s="12">
        <f>[1]节奏总纲!AM24</f>
        <v>6.2565025247829205</v>
      </c>
      <c r="AB24" s="12">
        <f>[1]节奏总纲!AN24</f>
        <v>5.0052020198263367</v>
      </c>
      <c r="AC24" s="12">
        <f>[1]节奏总纲!AO24</f>
        <v>3.7539015148697521</v>
      </c>
      <c r="AD24" s="12">
        <f>[1]节奏总纲!AP24</f>
        <v>2.5026010099131684</v>
      </c>
      <c r="AE24" s="12">
        <f>[1]节奏总纲!AQ24</f>
        <v>1.2513005049565842</v>
      </c>
      <c r="AG24" s="12">
        <f>[1]节奏总纲!AS24</f>
        <v>21</v>
      </c>
      <c r="AH24" s="12">
        <f>[1]节奏总纲!AT24</f>
        <v>1.0065025247829205</v>
      </c>
      <c r="AI24" s="12">
        <f>[1]节奏总纲!AU24</f>
        <v>0.80520201982633655</v>
      </c>
      <c r="AJ24" s="12">
        <f>[1]节奏总纲!AV24</f>
        <v>0.60390151486975219</v>
      </c>
      <c r="AK24" s="12">
        <f>[1]节奏总纲!AW24</f>
        <v>0.40260100991316827</v>
      </c>
      <c r="AL24" s="12">
        <f>[1]节奏总纲!AX24</f>
        <v>0.20130050495658414</v>
      </c>
      <c r="AM24" s="11"/>
      <c r="AN24" s="12">
        <f>[1]节奏总纲!AZ24</f>
        <v>21</v>
      </c>
      <c r="AO24" s="12">
        <f>[1]节奏总纲!BA24</f>
        <v>28.157256095860227</v>
      </c>
      <c r="AP24" s="12">
        <f>[1]节奏总纲!BB24</f>
        <v>29.508805955793246</v>
      </c>
      <c r="AQ24" s="12">
        <f>[1]节奏总纲!BC24</f>
        <v>31.280110398778046</v>
      </c>
      <c r="AR24" s="12">
        <f>[1]节奏总纲!BD24</f>
        <v>33.799338867675175</v>
      </c>
      <c r="AS24" s="12">
        <f>[1]节奏总纲!BE24</f>
        <v>38.35066605767593</v>
      </c>
    </row>
    <row r="25" spans="2:45" x14ac:dyDescent="0.15">
      <c r="B25" s="14">
        <f>[1]节奏总纲!N25</f>
        <v>32</v>
      </c>
      <c r="C25" s="6">
        <v>22</v>
      </c>
      <c r="D25" s="6">
        <f>[1]节奏总纲!P25</f>
        <v>3.5947934199881395</v>
      </c>
      <c r="E25" s="6">
        <f>[1]节奏总纲!Q25</f>
        <v>3.124234961311692</v>
      </c>
      <c r="F25" s="6">
        <f>[1]节奏总纲!R25</f>
        <v>2.5749505267375046</v>
      </c>
      <c r="G25" s="6">
        <f>[1]节奏总纲!S25</f>
        <v>1.9077568679877055</v>
      </c>
      <c r="H25" s="6">
        <f>[1]节奏总纲!T25</f>
        <v>1.0687320837624739</v>
      </c>
      <c r="J25" s="9">
        <v>22</v>
      </c>
      <c r="K25" s="10">
        <f>[1]节奏总纲!W25</f>
        <v>0.30769956984296698</v>
      </c>
      <c r="L25" s="10">
        <f>[1]节奏总纲!X25</f>
        <v>0.27235233692574035</v>
      </c>
      <c r="M25" s="10">
        <f>[1]节奏总纲!Y25</f>
        <v>0.22829422711886593</v>
      </c>
      <c r="N25" s="10">
        <f>[1]节奏总纲!Z25</f>
        <v>0.17118518695601082</v>
      </c>
      <c r="O25" s="10">
        <f>[1]节奏总纲!AA25</f>
        <v>9.7067141659560985E-2</v>
      </c>
      <c r="Q25" s="9">
        <v>22</v>
      </c>
      <c r="R25" s="10">
        <f>[1]节奏总纲!AD25</f>
        <v>45.229416240679988</v>
      </c>
      <c r="S25" s="10">
        <f>[1]节奏总纲!AE25</f>
        <v>47.110426931480873</v>
      </c>
      <c r="T25" s="10">
        <f>[1]节奏总纲!AF25</f>
        <v>49.861837738505173</v>
      </c>
      <c r="U25" s="10">
        <f>[1]节奏总纲!AG25</f>
        <v>54.15637358335789</v>
      </c>
      <c r="V25" s="10">
        <f>[1]节奏总纲!AH25</f>
        <v>62.555781631668886</v>
      </c>
      <c r="Z25" s="12">
        <f>[1]节奏总纲!AL25</f>
        <v>22</v>
      </c>
      <c r="AA25" s="12">
        <f>[1]节奏总纲!AM25</f>
        <v>7.4414868317755332</v>
      </c>
      <c r="AB25" s="12">
        <f>[1]节奏总纲!AN25</f>
        <v>5.9531894654204267</v>
      </c>
      <c r="AC25" s="12">
        <f>[1]节奏总纲!AO25</f>
        <v>4.4648920990653194</v>
      </c>
      <c r="AD25" s="12">
        <f>[1]节奏总纲!AP25</f>
        <v>2.9765947327102134</v>
      </c>
      <c r="AE25" s="12">
        <f>[1]节奏总纲!AQ25</f>
        <v>1.4882973663551067</v>
      </c>
      <c r="AG25" s="12">
        <f>[1]节奏总纲!AS25</f>
        <v>22</v>
      </c>
      <c r="AH25" s="12">
        <f>[1]节奏总纲!AT25</f>
        <v>1.1849843069926127</v>
      </c>
      <c r="AI25" s="12">
        <f>[1]节奏总纲!AU25</f>
        <v>0.94798744559408998</v>
      </c>
      <c r="AJ25" s="12">
        <f>[1]节奏总纲!AV25</f>
        <v>0.71099058419556727</v>
      </c>
      <c r="AK25" s="12">
        <f>[1]节奏总纲!AW25</f>
        <v>0.47399372279704499</v>
      </c>
      <c r="AL25" s="12">
        <f>[1]节奏总纲!AX25</f>
        <v>0.2369968613985225</v>
      </c>
      <c r="AM25" s="11"/>
      <c r="AN25" s="12">
        <f>[1]节奏总纲!AZ25</f>
        <v>22</v>
      </c>
      <c r="AO25" s="12">
        <f>[1]节奏总纲!BA25</f>
        <v>28.431345550275779</v>
      </c>
      <c r="AP25" s="12">
        <f>[1]节奏总纲!BB25</f>
        <v>29.80118336305917</v>
      </c>
      <c r="AQ25" s="12">
        <f>[1]节奏总纲!BC25</f>
        <v>31.564373235931193</v>
      </c>
      <c r="AR25" s="12">
        <f>[1]节奏总纲!BD25</f>
        <v>34.09469189131628</v>
      </c>
      <c r="AS25" s="12">
        <f>[1]节奏总纲!BE25</f>
        <v>38.663818688865533</v>
      </c>
    </row>
    <row r="26" spans="2:45" x14ac:dyDescent="0.15">
      <c r="B26" s="14">
        <f>[1]节奏总纲!N26</f>
        <v>33</v>
      </c>
      <c r="C26" s="6">
        <v>23</v>
      </c>
      <c r="D26" s="6">
        <f>[1]节奏总纲!P26</f>
        <v>3.9245776533796644</v>
      </c>
      <c r="E26" s="6">
        <f>[1]节奏总纲!Q26</f>
        <v>3.4081032341949005</v>
      </c>
      <c r="F26" s="6">
        <f>[1]节奏总纲!R26</f>
        <v>2.8064654799317976</v>
      </c>
      <c r="G26" s="6">
        <f>[1]节奏总纲!S26</f>
        <v>2.0796336985258841</v>
      </c>
      <c r="H26" s="6">
        <f>[1]节奏总纲!T26</f>
        <v>1.1608900698697047</v>
      </c>
      <c r="J26" s="9">
        <v>23</v>
      </c>
      <c r="K26" s="10">
        <f>[1]节奏总纲!W26</f>
        <v>0.32978423339152485</v>
      </c>
      <c r="L26" s="10">
        <f>[1]节奏总纲!X26</f>
        <v>0.28386827288320848</v>
      </c>
      <c r="M26" s="10">
        <f>[1]节奏总纲!Y26</f>
        <v>0.23151495319429305</v>
      </c>
      <c r="N26" s="10">
        <f>[1]节奏总纲!Z26</f>
        <v>0.17187683053817859</v>
      </c>
      <c r="O26" s="10">
        <f>[1]节奏总纲!AA26</f>
        <v>9.2157986107230805E-2</v>
      </c>
      <c r="Q26" s="9">
        <v>23</v>
      </c>
      <c r="R26" s="10">
        <f>[1]节奏总纲!AD26</f>
        <v>45.845161563010116</v>
      </c>
      <c r="S26" s="10">
        <f>[1]节奏总纲!AE26</f>
        <v>47.734594805743399</v>
      </c>
      <c r="T26" s="10">
        <f>[1]节奏总纲!AF26</f>
        <v>50.503430607741265</v>
      </c>
      <c r="U26" s="10">
        <f>[1]节奏总纲!AG26</f>
        <v>54.814188287451351</v>
      </c>
      <c r="V26" s="10">
        <f>[1]节奏总纲!AH26</f>
        <v>63.182677965405439</v>
      </c>
      <c r="Z26" s="12">
        <f>[1]节奏总纲!AL26</f>
        <v>23</v>
      </c>
      <c r="AA26" s="12">
        <f>[1]节奏总纲!AM26</f>
        <v>8.8355567243832152</v>
      </c>
      <c r="AB26" s="12">
        <f>[1]节奏总纲!AN26</f>
        <v>7.0684453795065725</v>
      </c>
      <c r="AC26" s="12">
        <f>[1]节奏总纲!AO26</f>
        <v>5.3013340346299289</v>
      </c>
      <c r="AD26" s="12">
        <f>[1]节奏总纲!AP26</f>
        <v>3.5342226897532862</v>
      </c>
      <c r="AE26" s="12">
        <f>[1]节奏总纲!AQ26</f>
        <v>1.7671113448766431</v>
      </c>
      <c r="AG26" s="12">
        <f>[1]节奏总纲!AS26</f>
        <v>23</v>
      </c>
      <c r="AH26" s="12">
        <f>[1]节奏总纲!AT26</f>
        <v>1.394069892607682</v>
      </c>
      <c r="AI26" s="12">
        <f>[1]节奏总纲!AU26</f>
        <v>1.1152559140861458</v>
      </c>
      <c r="AJ26" s="12">
        <f>[1]节奏总纲!AV26</f>
        <v>0.83644193556460955</v>
      </c>
      <c r="AK26" s="12">
        <f>[1]节奏总纲!AW26</f>
        <v>0.55762795704307289</v>
      </c>
      <c r="AL26" s="12">
        <f>[1]节奏总纲!AX26</f>
        <v>0.27881397852153644</v>
      </c>
      <c r="AM26" s="11"/>
      <c r="AN26" s="12">
        <f>[1]节奏总纲!AZ26</f>
        <v>23</v>
      </c>
      <c r="AO26" s="12">
        <f>[1]节奏总纲!BA26</f>
        <v>28.705435004691331</v>
      </c>
      <c r="AP26" s="12">
        <f>[1]节奏总纲!BB26</f>
        <v>30.079877315295377</v>
      </c>
      <c r="AQ26" s="12">
        <f>[1]节奏总纲!BC26</f>
        <v>31.848636073084339</v>
      </c>
      <c r="AR26" s="12">
        <f>[1]节奏总纲!BD26</f>
        <v>34.360958982105608</v>
      </c>
      <c r="AS26" s="12">
        <f>[1]节奏总纲!BE26</f>
        <v>38.976971320055128</v>
      </c>
    </row>
    <row r="27" spans="2:45" x14ac:dyDescent="0.15">
      <c r="B27" s="14">
        <f>[1]节奏总纲!N27</f>
        <v>34</v>
      </c>
      <c r="C27" s="6">
        <v>24</v>
      </c>
      <c r="D27" s="6">
        <f>[1]节奏总纲!P27</f>
        <v>4.2780316430915768</v>
      </c>
      <c r="E27" s="6">
        <f>[1]节奏总纲!Q27</f>
        <v>3.7214597263253628</v>
      </c>
      <c r="F27" s="6">
        <f>[1]节奏总纲!R27</f>
        <v>3.0699155070825155</v>
      </c>
      <c r="G27" s="6">
        <f>[1]节奏总纲!S27</f>
        <v>2.2742016214674821</v>
      </c>
      <c r="H27" s="6">
        <f>[1]节奏总纲!T27</f>
        <v>1.2692919885052709</v>
      </c>
      <c r="J27" s="9">
        <v>24</v>
      </c>
      <c r="K27" s="10">
        <f>[1]节奏总纲!W27</f>
        <v>0.35345398971191244</v>
      </c>
      <c r="L27" s="10">
        <f>[1]节奏总纲!X27</f>
        <v>0.31335649213046235</v>
      </c>
      <c r="M27" s="10">
        <f>[1]节奏总纲!Y27</f>
        <v>0.26345002715071786</v>
      </c>
      <c r="N27" s="10">
        <f>[1]节奏总纲!Z27</f>
        <v>0.19456792294159797</v>
      </c>
      <c r="O27" s="10">
        <f>[1]节奏总纲!AA27</f>
        <v>0.10840191863556625</v>
      </c>
      <c r="Q27" s="9">
        <v>24</v>
      </c>
      <c r="R27" s="10">
        <f>[1]节奏总纲!AD27</f>
        <v>46.430041330048923</v>
      </c>
      <c r="S27" s="10">
        <f>[1]节奏总纲!AE27</f>
        <v>48.330142263709867</v>
      </c>
      <c r="T27" s="10">
        <f>[1]节奏总纲!AF27</f>
        <v>51.118578408701396</v>
      </c>
      <c r="U27" s="10">
        <f>[1]节奏总纲!AG27</f>
        <v>55.44072585486321</v>
      </c>
      <c r="V27" s="10">
        <f>[1]节奏总纲!AH27</f>
        <v>63.791742872142052</v>
      </c>
      <c r="Z27" s="12">
        <f>[1]节奏总纲!AL27</f>
        <v>24</v>
      </c>
      <c r="AA27" s="12">
        <f>[1]节奏总纲!AM27</f>
        <v>10.47447102993563</v>
      </c>
      <c r="AB27" s="12">
        <f>[1]节奏总纲!AN27</f>
        <v>8.3795768239485042</v>
      </c>
      <c r="AC27" s="12">
        <f>[1]节奏总纲!AO27</f>
        <v>6.2846826179613782</v>
      </c>
      <c r="AD27" s="12">
        <f>[1]节奏总纲!AP27</f>
        <v>4.1897884119742521</v>
      </c>
      <c r="AE27" s="12">
        <f>[1]节奏总纲!AQ27</f>
        <v>2.0948942059871261</v>
      </c>
      <c r="AG27" s="12">
        <f>[1]节奏总纲!AS27</f>
        <v>24</v>
      </c>
      <c r="AH27" s="12">
        <f>[1]节奏总纲!AT27</f>
        <v>1.6389143055524151</v>
      </c>
      <c r="AI27" s="12">
        <f>[1]节奏总纲!AU27</f>
        <v>1.3111314444419317</v>
      </c>
      <c r="AJ27" s="12">
        <f>[1]节奏总纲!AV27</f>
        <v>0.98334858333144926</v>
      </c>
      <c r="AK27" s="12">
        <f>[1]节奏总纲!AW27</f>
        <v>0.65556572222096587</v>
      </c>
      <c r="AL27" s="12">
        <f>[1]节奏总纲!AX27</f>
        <v>0.32778286111048294</v>
      </c>
      <c r="AM27" s="11"/>
      <c r="AN27" s="12">
        <f>[1]节奏总纲!AZ27</f>
        <v>24</v>
      </c>
      <c r="AO27" s="12">
        <f>[1]节奏总纲!BA27</f>
        <v>28.979524459106884</v>
      </c>
      <c r="AP27" s="12">
        <f>[1]节奏总纲!BB27</f>
        <v>30.329493925593439</v>
      </c>
      <c r="AQ27" s="12">
        <f>[1]节奏总纲!BC27</f>
        <v>32.113552950216736</v>
      </c>
      <c r="AR27" s="12">
        <f>[1]节奏总纲!BD27</f>
        <v>34.627226072894942</v>
      </c>
      <c r="AS27" s="12">
        <f>[1]节奏总纲!BE27</f>
        <v>39.250296194358178</v>
      </c>
    </row>
    <row r="28" spans="2:45" x14ac:dyDescent="0.15">
      <c r="B28" s="14">
        <f>[1]节奏总纲!N28</f>
        <v>35</v>
      </c>
      <c r="C28" s="6">
        <v>25</v>
      </c>
      <c r="D28" s="6">
        <f>[1]节奏总纲!P28</f>
        <v>4.6568542494923806</v>
      </c>
      <c r="E28" s="6">
        <f>[1]节奏总纲!Q28</f>
        <v>4.054257309608067</v>
      </c>
      <c r="F28" s="6">
        <f>[1]节奏总纲!R28</f>
        <v>3.3445527219854276</v>
      </c>
      <c r="G28" s="6">
        <f>[1]节奏总纲!S28</f>
        <v>2.478377831579845</v>
      </c>
      <c r="H28" s="6">
        <f>[1]节奏总纲!T28</f>
        <v>1.3802915995495415</v>
      </c>
      <c r="J28" s="9">
        <v>25</v>
      </c>
      <c r="K28" s="10">
        <f>[1]节奏总纲!W28</f>
        <v>0.37882260640080379</v>
      </c>
      <c r="L28" s="10">
        <f>[1]节奏总纲!X28</f>
        <v>0.33279758328270415</v>
      </c>
      <c r="M28" s="10">
        <f>[1]节奏总纲!Y28</f>
        <v>0.27463721490291215</v>
      </c>
      <c r="N28" s="10">
        <f>[1]节奏总纲!Z28</f>
        <v>0.20417621011236298</v>
      </c>
      <c r="O28" s="10">
        <f>[1]节奏总纲!AA28</f>
        <v>0.11099961104427059</v>
      </c>
      <c r="Q28" s="9">
        <v>25</v>
      </c>
      <c r="R28" s="10">
        <f>[1]节奏总纲!AD28</f>
        <v>47.004247194324648</v>
      </c>
      <c r="S28" s="10">
        <f>[1]节奏总纲!AE28</f>
        <v>48.904516930942819</v>
      </c>
      <c r="T28" s="10">
        <f>[1]节奏总纲!AF28</f>
        <v>51.667220029142385</v>
      </c>
      <c r="U28" s="10">
        <f>[1]节奏总纲!AG28</f>
        <v>56.05100027504308</v>
      </c>
      <c r="V28" s="10">
        <f>[1]节奏总纲!AH28</f>
        <v>64.398425477456215</v>
      </c>
      <c r="Z28" s="12">
        <f>[1]节奏总纲!AL28</f>
        <v>25</v>
      </c>
      <c r="AA28" s="12">
        <f>[1]节奏总纲!AM28</f>
        <v>12.4</v>
      </c>
      <c r="AB28" s="12">
        <f>[1]节奏总纲!AN28</f>
        <v>9.9200000000000017</v>
      </c>
      <c r="AC28" s="12">
        <f>[1]节奏总纲!AO28</f>
        <v>7.4399999999999995</v>
      </c>
      <c r="AD28" s="12">
        <f>[1]节奏总纲!AP28</f>
        <v>4.9600000000000009</v>
      </c>
      <c r="AE28" s="12">
        <f>[1]节奏总纲!AQ28</f>
        <v>2.4800000000000004</v>
      </c>
      <c r="AG28" s="12">
        <f>[1]节奏总纲!AS28</f>
        <v>25</v>
      </c>
      <c r="AH28" s="12">
        <f>[1]节奏总纲!AT28</f>
        <v>1.9255289700643701</v>
      </c>
      <c r="AI28" s="12">
        <f>[1]节奏总纲!AU28</f>
        <v>1.5404231760514975</v>
      </c>
      <c r="AJ28" s="12">
        <f>[1]节奏总纲!AV28</f>
        <v>1.1553173820386213</v>
      </c>
      <c r="AK28" s="12">
        <f>[1]节奏总纲!AW28</f>
        <v>0.77021158802574874</v>
      </c>
      <c r="AL28" s="12">
        <f>[1]节奏总纲!AX28</f>
        <v>0.38510579401287437</v>
      </c>
      <c r="AM28" s="11"/>
      <c r="AN28" s="12">
        <f>[1]节奏总纲!AZ28</f>
        <v>25</v>
      </c>
      <c r="AO28" s="12">
        <f>[1]节奏总纲!BA28</f>
        <v>29.216428548527322</v>
      </c>
      <c r="AP28" s="12">
        <f>[1]节奏总纲!BB28</f>
        <v>30.579110535891502</v>
      </c>
      <c r="AQ28" s="12">
        <f>[1]节奏总纲!BC28</f>
        <v>32.356435933516131</v>
      </c>
      <c r="AR28" s="12">
        <f>[1]节奏总纲!BD28</f>
        <v>34.893493163684269</v>
      </c>
      <c r="AS28" s="12">
        <f>[1]节奏总纲!BE28</f>
        <v>39.520459727922798</v>
      </c>
    </row>
    <row r="29" spans="2:45" x14ac:dyDescent="0.15">
      <c r="B29" s="14">
        <f>[1]节奏总纲!N29</f>
        <v>36</v>
      </c>
      <c r="C29" s="6">
        <v>26</v>
      </c>
      <c r="D29" s="6">
        <f>[1]节奏总纲!P29</f>
        <v>5.062866266041592</v>
      </c>
      <c r="E29" s="6">
        <f>[1]节奏总纲!Q29</f>
        <v>4.408743944469018</v>
      </c>
      <c r="F29" s="6">
        <f>[1]节奏总纲!R29</f>
        <v>3.63716312552428</v>
      </c>
      <c r="G29" s="6">
        <f>[1]节奏总纲!S29</f>
        <v>2.6914197070277099</v>
      </c>
      <c r="H29" s="6">
        <f>[1]节奏总纲!T29</f>
        <v>1.4996209880015197</v>
      </c>
      <c r="J29" s="9">
        <v>26</v>
      </c>
      <c r="K29" s="10">
        <f>[1]节奏总纲!W29</f>
        <v>0.40601201654921137</v>
      </c>
      <c r="L29" s="10">
        <f>[1]节奏总纲!X29</f>
        <v>0.354486634860951</v>
      </c>
      <c r="M29" s="10">
        <f>[1]节奏总纲!Y29</f>
        <v>0.29261040353885237</v>
      </c>
      <c r="N29" s="10">
        <f>[1]节奏总纲!Z29</f>
        <v>0.2130418754478649</v>
      </c>
      <c r="O29" s="10">
        <f>[1]节奏总纲!AA29</f>
        <v>0.11932938845197816</v>
      </c>
      <c r="Q29" s="9">
        <v>26</v>
      </c>
      <c r="R29" s="10">
        <f>[1]节奏总纲!AD29</f>
        <v>47.540284631526092</v>
      </c>
      <c r="S29" s="10">
        <f>[1]节奏总纲!AE29</f>
        <v>49.446133440059114</v>
      </c>
      <c r="T29" s="10">
        <f>[1]节奏总纲!AF29</f>
        <v>52.199341027338768</v>
      </c>
      <c r="U29" s="10">
        <f>[1]节奏总纲!AG29</f>
        <v>56.621068614050692</v>
      </c>
      <c r="V29" s="10">
        <f>[1]节奏总纲!AH29</f>
        <v>65.00344105132713</v>
      </c>
      <c r="Z29" s="12">
        <f>[1]节奏总纲!AL29</f>
        <v>26</v>
      </c>
      <c r="AA29" s="12">
        <f>[1]节奏总纲!AM29</f>
        <v>14.6609224175611</v>
      </c>
      <c r="AB29" s="12">
        <f>[1]节奏总纲!AN29</f>
        <v>11.72873793404888</v>
      </c>
      <c r="AC29" s="12">
        <f>[1]节奏总纲!AO29</f>
        <v>8.7965534505366598</v>
      </c>
      <c r="AD29" s="12">
        <f>[1]节奏总纲!AP29</f>
        <v>5.8643689670244399</v>
      </c>
      <c r="AE29" s="12">
        <f>[1]节奏总纲!AQ29</f>
        <v>2.9321844835122199</v>
      </c>
      <c r="AG29" s="12">
        <f>[1]节奏总纲!AS29</f>
        <v>26</v>
      </c>
      <c r="AH29" s="12">
        <f>[1]节奏总纲!AT29</f>
        <v>2.2609224175610994</v>
      </c>
      <c r="AI29" s="12">
        <f>[1]节奏总纲!AU29</f>
        <v>1.8087379340488781</v>
      </c>
      <c r="AJ29" s="12">
        <f>[1]节奏总纲!AV29</f>
        <v>1.3565534505366603</v>
      </c>
      <c r="AK29" s="12">
        <f>[1]节奏总纲!AW29</f>
        <v>0.90436896702443903</v>
      </c>
      <c r="AL29" s="12">
        <f>[1]节奏总纲!AX29</f>
        <v>0.45218448351221951</v>
      </c>
      <c r="AM29" s="11"/>
      <c r="AN29" s="12">
        <f>[1]节奏总纲!AZ29</f>
        <v>26</v>
      </c>
      <c r="AO29" s="12">
        <f>[1]节奏总纲!BA29</f>
        <v>29.45033047434006</v>
      </c>
      <c r="AP29" s="12">
        <f>[1]节奏总纲!BB29</f>
        <v>30.828727146189561</v>
      </c>
      <c r="AQ29" s="12">
        <f>[1]节奏总纲!BC29</f>
        <v>32.59931891681552</v>
      </c>
      <c r="AR29" s="12">
        <f>[1]节奏总纲!BD29</f>
        <v>35.146386283795508</v>
      </c>
      <c r="AS29" s="12">
        <f>[1]节奏总纲!BE29</f>
        <v>39.790623261487418</v>
      </c>
    </row>
    <row r="30" spans="2:45" x14ac:dyDescent="0.15">
      <c r="B30" s="14">
        <f>[1]节奏总纲!N30</f>
        <v>37</v>
      </c>
      <c r="C30" s="6">
        <v>27</v>
      </c>
      <c r="D30" s="6">
        <f>[1]节奏总纲!P30</f>
        <v>5.4980191708498847</v>
      </c>
      <c r="E30" s="6">
        <f>[1]节奏总纲!Q30</f>
        <v>4.7882248958931646</v>
      </c>
      <c r="F30" s="6">
        <f>[1]节奏总纲!R30</f>
        <v>3.9492271704214725</v>
      </c>
      <c r="G30" s="6">
        <f>[1]节奏总纲!S30</f>
        <v>2.9205477835554587</v>
      </c>
      <c r="H30" s="6">
        <f>[1]节奏总纲!T30</f>
        <v>1.6290630803228208</v>
      </c>
      <c r="J30" s="9">
        <v>27</v>
      </c>
      <c r="K30" s="10">
        <f>[1]节奏总纲!W30</f>
        <v>0.43515290480829272</v>
      </c>
      <c r="L30" s="10">
        <f>[1]节奏总纲!X30</f>
        <v>0.37948095142414662</v>
      </c>
      <c r="M30" s="10">
        <f>[1]节奏总纲!Y30</f>
        <v>0.31206404489719253</v>
      </c>
      <c r="N30" s="10">
        <f>[1]节奏总纲!Z30</f>
        <v>0.2291280765277488</v>
      </c>
      <c r="O30" s="10">
        <f>[1]节奏总纲!AA30</f>
        <v>0.12944209232130111</v>
      </c>
      <c r="Q30" s="9">
        <v>27</v>
      </c>
      <c r="R30" s="10">
        <f>[1]节奏总纲!AD30</f>
        <v>48.071211008105138</v>
      </c>
      <c r="S30" s="10">
        <f>[1]节奏总纲!AE30</f>
        <v>49.981218513907905</v>
      </c>
      <c r="T30" s="10">
        <f>[1]节奏总纲!AF30</f>
        <v>52.705993248660157</v>
      </c>
      <c r="U30" s="10">
        <f>[1]节奏总纲!AG30</f>
        <v>57.175765669822162</v>
      </c>
      <c r="V30" s="10">
        <f>[1]节奏总纲!AH30</f>
        <v>65.541743280100334</v>
      </c>
      <c r="Z30" s="12">
        <f>[1]节奏总纲!AL30</f>
        <v>27</v>
      </c>
      <c r="AA30" s="12">
        <f>[1]节奏总纲!AM30</f>
        <v>17.314186320787698</v>
      </c>
      <c r="AB30" s="12">
        <f>[1]节奏总纲!AN30</f>
        <v>13.851349056630159</v>
      </c>
      <c r="AC30" s="12">
        <f>[1]节奏总纲!AO30</f>
        <v>10.388511792472618</v>
      </c>
      <c r="AD30" s="12">
        <f>[1]节奏总纲!AP30</f>
        <v>6.9256745283150796</v>
      </c>
      <c r="AE30" s="12">
        <f>[1]节奏总纲!AQ30</f>
        <v>3.4628372641575398</v>
      </c>
      <c r="AG30" s="12">
        <f>[1]节奏总纲!AS30</f>
        <v>27</v>
      </c>
      <c r="AH30" s="12">
        <f>[1]节奏总纲!AT30</f>
        <v>2.6532639032265983</v>
      </c>
      <c r="AI30" s="12">
        <f>[1]节奏总纲!AU30</f>
        <v>2.1226111225812794</v>
      </c>
      <c r="AJ30" s="12">
        <f>[1]节奏总纲!AV30</f>
        <v>1.5919583419359586</v>
      </c>
      <c r="AK30" s="12">
        <f>[1]节奏总纲!AW30</f>
        <v>1.0613055612906397</v>
      </c>
      <c r="AL30" s="12">
        <f>[1]节奏总纲!AX30</f>
        <v>0.53065278064531984</v>
      </c>
      <c r="AM30" s="11"/>
      <c r="AN30" s="12">
        <f>[1]节奏总纲!AZ30</f>
        <v>27</v>
      </c>
      <c r="AO30" s="12">
        <f>[1]节奏总纲!BA30</f>
        <v>29.684232400152801</v>
      </c>
      <c r="AP30" s="12">
        <f>[1]节奏总纲!BB30</f>
        <v>31.066913270913183</v>
      </c>
      <c r="AQ30" s="12">
        <f>[1]节奏总纲!BC30</f>
        <v>32.842201900114915</v>
      </c>
      <c r="AR30" s="12">
        <f>[1]节奏总纲!BD30</f>
        <v>35.390363423454687</v>
      </c>
      <c r="AS30" s="12">
        <f>[1]节奏总纲!BE30</f>
        <v>40.052446592012309</v>
      </c>
    </row>
    <row r="31" spans="2:45" x14ac:dyDescent="0.15">
      <c r="B31" s="14">
        <f>[1]节奏总纲!N31</f>
        <v>38</v>
      </c>
      <c r="C31" s="6">
        <v>28</v>
      </c>
      <c r="D31" s="6">
        <f>[1]节奏总纲!P31</f>
        <v>5.9644045063689921</v>
      </c>
      <c r="E31" s="6">
        <f>[1]节奏总纲!Q31</f>
        <v>5.1914176823435705</v>
      </c>
      <c r="F31" s="6">
        <f>[1]节奏总纲!R31</f>
        <v>4.2752851501652938</v>
      </c>
      <c r="G31" s="6">
        <f>[1]节奏总纲!S31</f>
        <v>3.1653094715300236</v>
      </c>
      <c r="H31" s="6">
        <f>[1]节奏总纲!T31</f>
        <v>1.7738139001941382</v>
      </c>
      <c r="J31" s="9">
        <v>28</v>
      </c>
      <c r="K31" s="10">
        <f>[1]节奏总纲!W31</f>
        <v>0.46638533551910744</v>
      </c>
      <c r="L31" s="10">
        <f>[1]节奏总纲!X31</f>
        <v>0.4031927864504059</v>
      </c>
      <c r="M31" s="10">
        <f>[1]节奏总纲!Y31</f>
        <v>0.32605797974382122</v>
      </c>
      <c r="N31" s="10">
        <f>[1]节奏总纲!Z31</f>
        <v>0.24476168797456488</v>
      </c>
      <c r="O31" s="10">
        <f>[1]节奏总纲!AA31</f>
        <v>0.14475081987131744</v>
      </c>
      <c r="Q31" s="9">
        <v>28</v>
      </c>
      <c r="R31" s="10">
        <f>[1]节奏总纲!AD31</f>
        <v>48.571351621712928</v>
      </c>
      <c r="S31" s="10">
        <f>[1]节奏总纲!AE31</f>
        <v>50.509688493127967</v>
      </c>
      <c r="T31" s="10">
        <f>[1]节奏总纲!AF31</f>
        <v>53.212684955585161</v>
      </c>
      <c r="U31" s="10">
        <f>[1]节奏总纲!AG31</f>
        <v>57.699988965458331</v>
      </c>
      <c r="V31" s="10">
        <f>[1]节奏总纲!AH31</f>
        <v>66.076345334947405</v>
      </c>
      <c r="Z31" s="12">
        <f>[1]节奏总纲!AL31</f>
        <v>28</v>
      </c>
      <c r="AA31" s="12">
        <f>[1]节奏总纲!AM31</f>
        <v>20.42625995518307</v>
      </c>
      <c r="AB31" s="12">
        <f>[1]节奏总纲!AN31</f>
        <v>16.341007964146456</v>
      </c>
      <c r="AC31" s="12">
        <f>[1]节奏总纲!AO31</f>
        <v>12.255755973109842</v>
      </c>
      <c r="AD31" s="12">
        <f>[1]节奏总纲!AP31</f>
        <v>8.1705039820732281</v>
      </c>
      <c r="AE31" s="12">
        <f>[1]节奏总纲!AQ31</f>
        <v>4.0852519910366141</v>
      </c>
      <c r="AG31" s="12">
        <f>[1]节奏总纲!AS31</f>
        <v>28</v>
      </c>
      <c r="AH31" s="12">
        <f>[1]节奏总纲!AT31</f>
        <v>3.1120736343953723</v>
      </c>
      <c r="AI31" s="12">
        <f>[1]节奏总纲!AU31</f>
        <v>2.4896589075162971</v>
      </c>
      <c r="AJ31" s="12">
        <f>[1]节奏总纲!AV31</f>
        <v>1.8672441806372237</v>
      </c>
      <c r="AK31" s="12">
        <f>[1]节奏总纲!AW31</f>
        <v>1.2448294537581486</v>
      </c>
      <c r="AL31" s="12">
        <f>[1]节奏总纲!AX31</f>
        <v>0.62241472687907429</v>
      </c>
      <c r="AM31" s="11"/>
      <c r="AN31" s="12">
        <f>[1]节奏总纲!AZ31</f>
        <v>28</v>
      </c>
      <c r="AO31" s="12">
        <f>[1]节奏总纲!BA31</f>
        <v>29.918134325965539</v>
      </c>
      <c r="AP31" s="12">
        <f>[1]节奏总纲!BB31</f>
        <v>31.280110398778046</v>
      </c>
      <c r="AQ31" s="12">
        <f>[1]节奏总纲!BC31</f>
        <v>33.072726100175295</v>
      </c>
      <c r="AR31" s="12">
        <f>[1]节奏总纲!BD31</f>
        <v>35.634340563113874</v>
      </c>
      <c r="AS31" s="12">
        <f>[1]节奏总纲!BE31</f>
        <v>40.28554255651148</v>
      </c>
    </row>
    <row r="32" spans="2:45" x14ac:dyDescent="0.15">
      <c r="B32" s="14">
        <f>[1]节奏总纲!N32</f>
        <v>39</v>
      </c>
      <c r="C32" s="6">
        <v>29</v>
      </c>
      <c r="D32" s="6">
        <f>[1]节奏总纲!P32</f>
        <v>6.4642639322944575</v>
      </c>
      <c r="E32" s="6">
        <f>[1]节奏总纲!Q32</f>
        <v>5.6323131642081607</v>
      </c>
      <c r="F32" s="6">
        <f>[1]节奏总纲!R32</f>
        <v>4.6510378992858623</v>
      </c>
      <c r="G32" s="6">
        <f>[1]节奏总纲!S32</f>
        <v>3.4532097926316991</v>
      </c>
      <c r="H32" s="6">
        <f>[1]节奏总纲!T32</f>
        <v>1.9366934741154194</v>
      </c>
      <c r="J32" s="9">
        <v>29</v>
      </c>
      <c r="K32" s="10">
        <f>[1]节奏总纲!W32</f>
        <v>0.49985942592546539</v>
      </c>
      <c r="L32" s="10">
        <f>[1]节奏总纲!X32</f>
        <v>0.44089548186459027</v>
      </c>
      <c r="M32" s="10">
        <f>[1]节奏总纲!Y32</f>
        <v>0.37575274912056855</v>
      </c>
      <c r="N32" s="10">
        <f>[1]节奏总纲!Z32</f>
        <v>0.28790032110167552</v>
      </c>
      <c r="O32" s="10">
        <f>[1]节奏总纲!AA32</f>
        <v>0.16287957392128116</v>
      </c>
      <c r="Q32" s="9">
        <v>29</v>
      </c>
      <c r="R32" s="10">
        <f>[1]节奏总纲!AD32</f>
        <v>49.066704614192936</v>
      </c>
      <c r="S32" s="10">
        <f>[1]节奏总纲!AE32</f>
        <v>51.033341828534468</v>
      </c>
      <c r="T32" s="10">
        <f>[1]节奏总纲!AF32</f>
        <v>53.719431255885922</v>
      </c>
      <c r="U32" s="10">
        <f>[1]节奏总纲!AG32</f>
        <v>58.210135614815364</v>
      </c>
      <c r="V32" s="10">
        <f>[1]节奏总纲!AH32</f>
        <v>66.589764070576265</v>
      </c>
      <c r="Z32" s="12">
        <f>[1]节奏总纲!AL32</f>
        <v>29</v>
      </c>
      <c r="AA32" s="12">
        <f>[1]节奏总纲!AM32</f>
        <v>24.074703862418847</v>
      </c>
      <c r="AB32" s="12">
        <f>[1]节奏总纲!AN32</f>
        <v>19.259763089935078</v>
      </c>
      <c r="AC32" s="12">
        <f>[1]节奏总纲!AO32</f>
        <v>14.444822317451308</v>
      </c>
      <c r="AD32" s="12">
        <f>[1]节奏总纲!AP32</f>
        <v>9.6298815449675388</v>
      </c>
      <c r="AE32" s="12">
        <f>[1]节奏总纲!AQ32</f>
        <v>4.8149407724837694</v>
      </c>
      <c r="AG32" s="12">
        <f>[1]节奏总纲!AS32</f>
        <v>29</v>
      </c>
      <c r="AH32" s="12">
        <f>[1]节奏总纲!AT32</f>
        <v>3.6484439072357766</v>
      </c>
      <c r="AI32" s="12">
        <f>[1]节奏总纲!AU32</f>
        <v>2.9187551257886213</v>
      </c>
      <c r="AJ32" s="12">
        <f>[1]节奏总纲!AV32</f>
        <v>2.189066344341466</v>
      </c>
      <c r="AK32" s="12">
        <f>[1]节奏总纲!AW32</f>
        <v>1.4593775628943106</v>
      </c>
      <c r="AL32" s="12">
        <f>[1]节奏总纲!AX32</f>
        <v>0.72968878144715532</v>
      </c>
      <c r="AM32" s="11"/>
      <c r="AN32" s="12">
        <f>[1]节奏总纲!AZ32</f>
        <v>29</v>
      </c>
      <c r="AO32" s="12">
        <f>[1]节奏总纲!BA32</f>
        <v>30.12980063735499</v>
      </c>
      <c r="AP32" s="12">
        <f>[1]节奏总纲!BB32</f>
        <v>31.493307526642905</v>
      </c>
      <c r="AQ32" s="12">
        <f>[1]节奏总纲!BC32</f>
        <v>33.280329748032408</v>
      </c>
      <c r="AR32" s="12">
        <f>[1]节奏总纲!BD32</f>
        <v>35.878317702773053</v>
      </c>
      <c r="AS32" s="12">
        <f>[1]节奏总纲!BE32</f>
        <v>40.518638521010644</v>
      </c>
    </row>
    <row r="33" spans="2:45" x14ac:dyDescent="0.15">
      <c r="B33" s="14">
        <f>[1]节奏总纲!N33</f>
        <v>40</v>
      </c>
      <c r="C33" s="6">
        <v>30</v>
      </c>
      <c r="D33" s="6">
        <f>[1]节奏总纲!P33</f>
        <v>7</v>
      </c>
      <c r="E33" s="6">
        <f>[1]节奏总纲!Q33</f>
        <v>6.1025999999999998</v>
      </c>
      <c r="F33" s="6">
        <f>[1]节奏总纲!R33</f>
        <v>5.0421000000000005</v>
      </c>
      <c r="G33" s="6">
        <f>[1]节奏总纲!S33</f>
        <v>3.7428999999999997</v>
      </c>
      <c r="H33" s="6">
        <f>[1]节奏总纲!T33</f>
        <v>2.1006999999999998</v>
      </c>
      <c r="J33" s="9">
        <v>30</v>
      </c>
      <c r="K33" s="10">
        <f>[1]节奏总纲!W33</f>
        <v>0.5357360677055425</v>
      </c>
      <c r="L33" s="10">
        <f>[1]节奏总纲!X33</f>
        <v>0.47028683579183905</v>
      </c>
      <c r="M33" s="10">
        <f>[1]节奏总纲!Y33</f>
        <v>0.39106210071413816</v>
      </c>
      <c r="N33" s="10">
        <f>[1]节奏总纲!Z33</f>
        <v>0.28969020736830053</v>
      </c>
      <c r="O33" s="10">
        <f>[1]节奏总纲!AA33</f>
        <v>0.16400652588458042</v>
      </c>
      <c r="Q33" s="9">
        <v>30</v>
      </c>
      <c r="R33" s="10">
        <f>[1]节奏总纲!AD33</f>
        <v>49.533352307096472</v>
      </c>
      <c r="S33" s="10">
        <f>[1]节奏总纲!AE33</f>
        <v>51.497823295559343</v>
      </c>
      <c r="T33" s="10">
        <f>[1]节奏总纲!AF33</f>
        <v>54.213705787583436</v>
      </c>
      <c r="U33" s="10">
        <f>[1]节奏总纲!AG33</f>
        <v>58.701446767877648</v>
      </c>
      <c r="V33" s="10">
        <f>[1]节奏总纲!AH33</f>
        <v>67.097551508592701</v>
      </c>
      <c r="Z33" s="12">
        <f>[1]节奏总纲!AL33</f>
        <v>30</v>
      </c>
      <c r="AA33" s="12">
        <f>[1]节奏总纲!AM33</f>
        <v>28.35</v>
      </c>
      <c r="AB33" s="12">
        <f>[1]节奏总纲!AN33</f>
        <v>22.680000000000003</v>
      </c>
      <c r="AC33" s="12">
        <f>[1]节奏总纲!AO33</f>
        <v>17.010000000000002</v>
      </c>
      <c r="AD33" s="12">
        <f>[1]节奏总纲!AP33</f>
        <v>11.340000000000002</v>
      </c>
      <c r="AE33" s="12">
        <f>[1]节奏总纲!AQ33</f>
        <v>5.6700000000000008</v>
      </c>
      <c r="AG33" s="12">
        <f>[1]节奏总纲!AS33</f>
        <v>30</v>
      </c>
      <c r="AH33" s="12">
        <f>[1]节奏总纲!AT33</f>
        <v>4.2752961375811545</v>
      </c>
      <c r="AI33" s="12">
        <f>[1]节奏总纲!AU33</f>
        <v>3.4202369100649257</v>
      </c>
      <c r="AJ33" s="12">
        <f>[1]节奏总纲!AV33</f>
        <v>2.5651776825486934</v>
      </c>
      <c r="AK33" s="12">
        <f>[1]节奏总纲!AW33</f>
        <v>1.7101184550324628</v>
      </c>
      <c r="AL33" s="12">
        <f>[1]节奏总纲!AX33</f>
        <v>0.85505922751623142</v>
      </c>
      <c r="AM33" s="11"/>
      <c r="AN33" s="12">
        <f>[1]节奏总纲!AZ33</f>
        <v>30</v>
      </c>
      <c r="AO33" s="12">
        <f>[1]节奏总纲!BA33</f>
        <v>30.329493925593439</v>
      </c>
      <c r="AP33" s="12">
        <f>[1]节奏总纲!BB33</f>
        <v>31.706504654507764</v>
      </c>
      <c r="AQ33" s="12">
        <f>[1]节奏总纲!BC33</f>
        <v>33.487933395889513</v>
      </c>
      <c r="AR33" s="12">
        <f>[1]节奏总纲!BD33</f>
        <v>36.105477566569242</v>
      </c>
      <c r="AS33" s="12">
        <f>[1]节奏总纲!BE33</f>
        <v>40.751734485509814</v>
      </c>
    </row>
    <row r="34" spans="2:45" x14ac:dyDescent="0.15">
      <c r="B34" s="14">
        <f>[1]节奏总纲!N34</f>
        <v>41</v>
      </c>
      <c r="C34" s="6">
        <v>31</v>
      </c>
      <c r="D34" s="6">
        <f>[1]节奏总纲!P34</f>
        <v>7.5741877002903433</v>
      </c>
      <c r="E34" s="6">
        <f>[1]节奏总纲!Q34</f>
        <v>6.6115084435834408</v>
      </c>
      <c r="F34" s="6">
        <f>[1]节奏总纲!R34</f>
        <v>5.4632615882194253</v>
      </c>
      <c r="G34" s="6">
        <f>[1]节奏总纲!S34</f>
        <v>4.052190419655334</v>
      </c>
      <c r="H34" s="6">
        <f>[1]节奏总纲!T34</f>
        <v>2.2783156602473356</v>
      </c>
      <c r="J34" s="9">
        <v>31</v>
      </c>
      <c r="K34" s="10">
        <f>[1]节奏总纲!W34</f>
        <v>0.57418770029034327</v>
      </c>
      <c r="L34" s="10">
        <f>[1]节奏总纲!X34</f>
        <v>0.50890844358344101</v>
      </c>
      <c r="M34" s="10">
        <f>[1]节奏总纲!Y34</f>
        <v>0.42116158821942484</v>
      </c>
      <c r="N34" s="10">
        <f>[1]节奏总纲!Z34</f>
        <v>0.30929041965533433</v>
      </c>
      <c r="O34" s="10">
        <f>[1]节奏总纲!AA34</f>
        <v>0.17761566024733577</v>
      </c>
      <c r="Q34" s="9">
        <v>31</v>
      </c>
      <c r="R34" s="10">
        <f>[1]节奏总纲!AD34</f>
        <v>50</v>
      </c>
      <c r="S34" s="10">
        <f>[1]节奏总纲!AE34</f>
        <v>51.96230476258421</v>
      </c>
      <c r="T34" s="10">
        <f>[1]节奏总纲!AF34</f>
        <v>54.692509339255828</v>
      </c>
      <c r="U34" s="10">
        <f>[1]节奏总纲!AG34</f>
        <v>59.178112178215827</v>
      </c>
      <c r="V34" s="10">
        <f>[1]节奏总纲!AH34</f>
        <v>67.582949939226467</v>
      </c>
      <c r="Z34" s="12">
        <f>[1]节奏总纲!AL34</f>
        <v>31</v>
      </c>
      <c r="AA34" s="12">
        <f>[1]节奏总纲!AM34</f>
        <v>33.357679571112705</v>
      </c>
      <c r="AB34" s="12">
        <f>[1]节奏总纲!AN34</f>
        <v>26.686143656890167</v>
      </c>
      <c r="AC34" s="12">
        <f>[1]节奏总纲!AO34</f>
        <v>20.014607742667621</v>
      </c>
      <c r="AD34" s="12">
        <f>[1]节奏总纲!AP34</f>
        <v>13.343071828445083</v>
      </c>
      <c r="AE34" s="12">
        <f>[1]节奏总纲!AQ34</f>
        <v>6.6715359142225417</v>
      </c>
      <c r="AG34" s="12">
        <f>[1]节奏总纲!AS34</f>
        <v>31</v>
      </c>
      <c r="AH34" s="12">
        <f>[1]节奏总纲!AT34</f>
        <v>5.0076795711127033</v>
      </c>
      <c r="AI34" s="12">
        <f>[1]节奏总纲!AU34</f>
        <v>4.0061436568901634</v>
      </c>
      <c r="AJ34" s="12">
        <f>[1]节奏总纲!AV34</f>
        <v>3.0046077426676199</v>
      </c>
      <c r="AK34" s="12">
        <f>[1]节奏总纲!AW34</f>
        <v>2.0030718284450817</v>
      </c>
      <c r="AL34" s="12">
        <f>[1]节奏总纲!AX34</f>
        <v>1.0015359142225408</v>
      </c>
      <c r="AM34" s="11"/>
      <c r="AN34" s="12">
        <f>[1]节奏总纲!AZ34</f>
        <v>31</v>
      </c>
      <c r="AO34" s="12">
        <f>[1]节奏总纲!BA34</f>
        <v>30.529187213831889</v>
      </c>
      <c r="AP34" s="12">
        <f>[1]节奏总纲!BB34</f>
        <v>31.919701782372627</v>
      </c>
      <c r="AQ34" s="12">
        <f>[1]节奏总纲!BC34</f>
        <v>33.695537043746626</v>
      </c>
      <c r="AR34" s="12">
        <f>[1]节奏总纲!BD34</f>
        <v>36.315904388158508</v>
      </c>
      <c r="AS34" s="12">
        <f>[1]节奏总纲!BE34</f>
        <v>40.984830450008978</v>
      </c>
    </row>
    <row r="35" spans="2:45" x14ac:dyDescent="0.15">
      <c r="B35" s="14">
        <f>[1]节奏总纲!N35</f>
        <v>42</v>
      </c>
      <c r="C35" s="6">
        <v>32</v>
      </c>
      <c r="D35" s="6">
        <f>[1]节奏总纲!P35</f>
        <v>8.189586839976279</v>
      </c>
      <c r="E35" s="6">
        <f>[1]节奏总纲!Q35</f>
        <v>7.1519661873512845</v>
      </c>
      <c r="F35" s="6">
        <f>[1]节奏总纲!R35</f>
        <v>5.906330028990892</v>
      </c>
      <c r="G35" s="6">
        <f>[1]节奏总纲!S35</f>
        <v>4.3855237528072974</v>
      </c>
      <c r="H35" s="6">
        <f>[1]节奏总纲!T35</f>
        <v>2.46506563883286</v>
      </c>
      <c r="J35" s="9">
        <v>32</v>
      </c>
      <c r="K35" s="10">
        <f>[1]节奏总纲!W35</f>
        <v>0.61539913968593574</v>
      </c>
      <c r="L35" s="10">
        <f>[1]节奏总纲!X35</f>
        <v>0.54045774376784372</v>
      </c>
      <c r="M35" s="10">
        <f>[1]节奏总纲!Y35</f>
        <v>0.44306844077146668</v>
      </c>
      <c r="N35" s="10">
        <f>[1]节奏总纲!Z35</f>
        <v>0.33333333315196345</v>
      </c>
      <c r="O35" s="10">
        <f>[1]节奏总纲!AA35</f>
        <v>0.18674997858552445</v>
      </c>
      <c r="Q35" s="9">
        <v>32</v>
      </c>
      <c r="R35" s="10">
        <f>[1]节奏总纲!AD35</f>
        <v>50.435397692903535</v>
      </c>
      <c r="S35" s="10">
        <f>[1]节奏总纲!AE35</f>
        <v>52.391506955233744</v>
      </c>
      <c r="T35" s="10">
        <f>[1]节奏总纲!AF35</f>
        <v>55.159275389027101</v>
      </c>
      <c r="U35" s="10">
        <f>[1]节奏总纲!AG35</f>
        <v>59.632093520341421</v>
      </c>
      <c r="V35" s="10">
        <f>[1]节奏总纲!AH35</f>
        <v>68.063981730538742</v>
      </c>
      <c r="Z35" s="12">
        <f>[1]节奏总纲!AL35</f>
        <v>32</v>
      </c>
      <c r="AA35" s="12">
        <f>[1]节奏总纲!AM35</f>
        <v>39.220797956048642</v>
      </c>
      <c r="AB35" s="12">
        <f>[1]节奏总纲!AN35</f>
        <v>31.376638364838914</v>
      </c>
      <c r="AC35" s="12">
        <f>[1]节奏总纲!AO35</f>
        <v>23.532478773629183</v>
      </c>
      <c r="AD35" s="12">
        <f>[1]节奏总纲!AP35</f>
        <v>15.688319182419457</v>
      </c>
      <c r="AE35" s="12">
        <f>[1]节奏总纲!AQ35</f>
        <v>7.8441595912097286</v>
      </c>
      <c r="AG35" s="12">
        <f>[1]节奏总纲!AS35</f>
        <v>32</v>
      </c>
      <c r="AH35" s="12">
        <f>[1]节奏总纲!AT35</f>
        <v>5.8631183849359374</v>
      </c>
      <c r="AI35" s="12">
        <f>[1]节奏总纲!AU35</f>
        <v>4.6904947079487478</v>
      </c>
      <c r="AJ35" s="12">
        <f>[1]节奏总纲!AV35</f>
        <v>3.5178710309615617</v>
      </c>
      <c r="AK35" s="12">
        <f>[1]节奏总纲!AW35</f>
        <v>2.3452473539743739</v>
      </c>
      <c r="AL35" s="12">
        <f>[1]节奏总纲!AX35</f>
        <v>1.1726236769871869</v>
      </c>
      <c r="AM35" s="11"/>
      <c r="AN35" s="12">
        <f>[1]节奏总纲!AZ35</f>
        <v>32</v>
      </c>
      <c r="AO35" s="12">
        <f>[1]节奏总纲!BA35</f>
        <v>30.728880502070336</v>
      </c>
      <c r="AP35" s="12">
        <f>[1]节奏总纲!BB35</f>
        <v>32.113552950216736</v>
      </c>
      <c r="AQ35" s="12">
        <f>[1]节奏总纲!BC35</f>
        <v>33.903140691603731</v>
      </c>
      <c r="AR35" s="12">
        <f>[1]节奏总纲!BD35</f>
        <v>36.526331209747774</v>
      </c>
      <c r="AS35" s="12">
        <f>[1]节奏总纲!BE35</f>
        <v>41.188041754455355</v>
      </c>
    </row>
    <row r="36" spans="2:45" x14ac:dyDescent="0.15">
      <c r="B36" s="14">
        <f>[1]节奏总纲!N36</f>
        <v>43</v>
      </c>
      <c r="C36" s="6">
        <v>33</v>
      </c>
      <c r="D36" s="6">
        <f>[1]节奏总纲!P36</f>
        <v>8.8491553067593287</v>
      </c>
      <c r="E36" s="6">
        <f>[1]节奏总纲!Q36</f>
        <v>7.7120388498407557</v>
      </c>
      <c r="F36" s="6">
        <f>[1]节奏总纲!R36</f>
        <v>6.3696219898053652</v>
      </c>
      <c r="G36" s="6">
        <f>[1]节奏总纲!S36</f>
        <v>4.736067920177593</v>
      </c>
      <c r="H36" s="6">
        <f>[1]节奏总纲!T36</f>
        <v>2.6627108318038819</v>
      </c>
      <c r="J36" s="9">
        <v>33</v>
      </c>
      <c r="K36" s="10">
        <f>[1]节奏总纲!W36</f>
        <v>0.6595684667830497</v>
      </c>
      <c r="L36" s="10">
        <f>[1]节奏总纲!X36</f>
        <v>0.56007266248947118</v>
      </c>
      <c r="M36" s="10">
        <f>[1]节奏总纲!Y36</f>
        <v>0.46329196081447321</v>
      </c>
      <c r="N36" s="10">
        <f>[1]节奏总纲!Z36</f>
        <v>0.35054416737029559</v>
      </c>
      <c r="O36" s="10">
        <f>[1]节奏总纲!AA36</f>
        <v>0.1976451929710219</v>
      </c>
      <c r="Q36" s="9">
        <v>33</v>
      </c>
      <c r="R36" s="10">
        <f>[1]节奏总纲!AD36</f>
        <v>50.870795385807064</v>
      </c>
      <c r="S36" s="10">
        <f>[1]节奏总纲!AE36</f>
        <v>52.81759316022675</v>
      </c>
      <c r="T36" s="10">
        <f>[1]节奏总纲!AF36</f>
        <v>55.604435245632025</v>
      </c>
      <c r="U36" s="10">
        <f>[1]节奏总纲!AG36</f>
        <v>60.078368706270226</v>
      </c>
      <c r="V36" s="10">
        <f>[1]节奏总纲!AH36</f>
        <v>68.518369035696878</v>
      </c>
      <c r="Z36" s="12">
        <f>[1]节奏总纲!AL36</f>
        <v>33</v>
      </c>
      <c r="AA36" s="12">
        <f>[1]节奏总纲!AM36</f>
        <v>46.082812923199413</v>
      </c>
      <c r="AB36" s="12">
        <f>[1]节奏总纲!AN36</f>
        <v>36.866250338559531</v>
      </c>
      <c r="AC36" s="12">
        <f>[1]节奏总纲!AO36</f>
        <v>27.649687753919647</v>
      </c>
      <c r="AD36" s="12">
        <f>[1]节奏总纲!AP36</f>
        <v>18.433125169279766</v>
      </c>
      <c r="AE36" s="12">
        <f>[1]节奏总纲!AQ36</f>
        <v>9.2165625846398829</v>
      </c>
      <c r="AG36" s="12">
        <f>[1]节奏总纲!AS36</f>
        <v>33</v>
      </c>
      <c r="AH36" s="12">
        <f>[1]节奏总纲!AT36</f>
        <v>6.8620149671507704</v>
      </c>
      <c r="AI36" s="12">
        <f>[1]节奏总纲!AU36</f>
        <v>5.489611973720617</v>
      </c>
      <c r="AJ36" s="12">
        <f>[1]节奏总纲!AV36</f>
        <v>4.1172089802904637</v>
      </c>
      <c r="AK36" s="12">
        <f>[1]节奏总纲!AW36</f>
        <v>2.7448059868603085</v>
      </c>
      <c r="AL36" s="12">
        <f>[1]节奏总纲!AX36</f>
        <v>1.3724029934301543</v>
      </c>
      <c r="AM36" s="11"/>
      <c r="AN36" s="12">
        <f>[1]节奏总纲!AZ36</f>
        <v>33</v>
      </c>
      <c r="AO36" s="12">
        <f>[1]节奏总纲!BA36</f>
        <v>30.928573790308786</v>
      </c>
      <c r="AP36" s="12">
        <f>[1]节奏总纲!BB36</f>
        <v>32.295715187691279</v>
      </c>
      <c r="AQ36" s="12">
        <f>[1]节奏总纲!BC36</f>
        <v>34.09469189131628</v>
      </c>
      <c r="AR36" s="12">
        <f>[1]节奏总纲!BD36</f>
        <v>36.73675803133704</v>
      </c>
      <c r="AS36" s="12">
        <f>[1]节奏总纲!BE36</f>
        <v>41.389172829914081</v>
      </c>
    </row>
    <row r="37" spans="2:45" x14ac:dyDescent="0.15">
      <c r="B37" s="14">
        <f>[1]节奏总纲!N37</f>
        <v>44</v>
      </c>
      <c r="C37" s="6">
        <v>34</v>
      </c>
      <c r="D37" s="6">
        <f>[1]节奏总纲!P37</f>
        <v>9.5560632861831518</v>
      </c>
      <c r="E37" s="6">
        <f>[1]节奏总纲!Q37</f>
        <v>8.3309759728944712</v>
      </c>
      <c r="F37" s="6">
        <f>[1]节奏总纲!R37</f>
        <v>6.8918328419952886</v>
      </c>
      <c r="G37" s="6">
        <f>[1]节奏总纲!S37</f>
        <v>5.1287391656944967</v>
      </c>
      <c r="H37" s="6">
        <f>[1]节奏总纲!T37</f>
        <v>2.8811530807842201</v>
      </c>
      <c r="J37" s="9">
        <v>34</v>
      </c>
      <c r="K37" s="10">
        <f>[1]节奏总纲!W37</f>
        <v>0.70690797942382311</v>
      </c>
      <c r="L37" s="10">
        <f>[1]节奏总纲!X37</f>
        <v>0.61893712305371551</v>
      </c>
      <c r="M37" s="10">
        <f>[1]节奏总纲!Y37</f>
        <v>0.52221085218992336</v>
      </c>
      <c r="N37" s="10">
        <f>[1]节奏总纲!Z37</f>
        <v>0.39267124551690369</v>
      </c>
      <c r="O37" s="10">
        <f>[1]节奏总纲!AA37</f>
        <v>0.21844224898033815</v>
      </c>
      <c r="Q37" s="9">
        <v>34</v>
      </c>
      <c r="R37" s="10">
        <f>[1]节奏总纲!AD37</f>
        <v>51.285688244217212</v>
      </c>
      <c r="S37" s="10">
        <f>[1]节奏总纲!AE37</f>
        <v>53.226994578658328</v>
      </c>
      <c r="T37" s="10">
        <f>[1]节奏总纲!AF37</f>
        <v>56.045896281048073</v>
      </c>
      <c r="U37" s="10">
        <f>[1]节奏总纲!AG37</f>
        <v>60.491705764657482</v>
      </c>
      <c r="V37" s="10">
        <f>[1]节奏总纲!AH37</f>
        <v>68.972756340855</v>
      </c>
      <c r="Z37" s="12">
        <f>[1]节奏总纲!AL37</f>
        <v>34</v>
      </c>
      <c r="AA37" s="12">
        <f>[1]节奏总纲!AM37</f>
        <v>54.110931329932889</v>
      </c>
      <c r="AB37" s="12">
        <f>[1]节奏总纲!AN37</f>
        <v>43.288745063946315</v>
      </c>
      <c r="AC37" s="12">
        <f>[1]节奏总纲!AO37</f>
        <v>32.466558797959735</v>
      </c>
      <c r="AD37" s="12">
        <f>[1]节奏总纲!AP37</f>
        <v>21.644372531973158</v>
      </c>
      <c r="AE37" s="12">
        <f>[1]节奏总纲!AQ37</f>
        <v>10.822186265986579</v>
      </c>
      <c r="AG37" s="12">
        <f>[1]节奏总纲!AS37</f>
        <v>34</v>
      </c>
      <c r="AH37" s="12">
        <f>[1]节奏总纲!AT37</f>
        <v>8.0281184067334763</v>
      </c>
      <c r="AI37" s="12">
        <f>[1]节奏总纲!AU37</f>
        <v>6.4224947253867839</v>
      </c>
      <c r="AJ37" s="12">
        <f>[1]节奏总纲!AV37</f>
        <v>4.8168710440400879</v>
      </c>
      <c r="AK37" s="12">
        <f>[1]节奏总纲!AW37</f>
        <v>3.2112473626933919</v>
      </c>
      <c r="AL37" s="12">
        <f>[1]节奏总纲!AX37</f>
        <v>1.605623681346696</v>
      </c>
      <c r="AM37" s="11"/>
      <c r="AN37" s="12">
        <f>[1]节奏总纲!AZ37</f>
        <v>34</v>
      </c>
      <c r="AO37" s="12">
        <f>[1]节奏总纲!BA37</f>
        <v>31.109552696486158</v>
      </c>
      <c r="AP37" s="12">
        <f>[1]节奏总纲!BB37</f>
        <v>32.477877425165822</v>
      </c>
      <c r="AQ37" s="12">
        <f>[1]节奏总纲!BC37</f>
        <v>34.272203285175834</v>
      </c>
      <c r="AR37" s="12">
        <f>[1]节奏总纲!BD37</f>
        <v>36.947184852926306</v>
      </c>
      <c r="AS37" s="12">
        <f>[1]节奏总纲!BE37</f>
        <v>41.590303905372799</v>
      </c>
    </row>
    <row r="38" spans="2:45" x14ac:dyDescent="0.15">
      <c r="B38" s="14">
        <f>[1]节奏总纲!N38</f>
        <v>45</v>
      </c>
      <c r="C38" s="6">
        <v>35</v>
      </c>
      <c r="D38" s="6">
        <f>[1]节奏总纲!P38</f>
        <v>10.313708498984759</v>
      </c>
      <c r="E38" s="6">
        <f>[1]节奏总纲!Q38</f>
        <v>9.0048988904635934</v>
      </c>
      <c r="F38" s="6">
        <f>[1]节奏总纲!R38</f>
        <v>7.4547485030661838</v>
      </c>
      <c r="G38" s="6">
        <f>[1]节奏总纲!S38</f>
        <v>5.5405242056546129</v>
      </c>
      <c r="H38" s="6">
        <f>[1]节奏总纲!T38</f>
        <v>3.1106144832938032</v>
      </c>
      <c r="J38" s="9">
        <v>35</v>
      </c>
      <c r="K38" s="10">
        <f>[1]节奏总纲!W38</f>
        <v>0.75764521280160757</v>
      </c>
      <c r="L38" s="10">
        <f>[1]节奏总纲!X38</f>
        <v>0.67392291756912215</v>
      </c>
      <c r="M38" s="10">
        <f>[1]节奏总纲!Y38</f>
        <v>0.56291566107089519</v>
      </c>
      <c r="N38" s="10">
        <f>[1]节奏总纲!Z38</f>
        <v>0.41178503996011617</v>
      </c>
      <c r="O38" s="10">
        <f>[1]节奏总纲!AA38</f>
        <v>0.22946140250958313</v>
      </c>
      <c r="Q38" s="9">
        <v>35</v>
      </c>
      <c r="R38" s="10">
        <f>[1]节奏总纲!AD38</f>
        <v>51.691928656135211</v>
      </c>
      <c r="S38" s="10">
        <f>[1]节奏总纲!AE38</f>
        <v>53.623906555539456</v>
      </c>
      <c r="T38" s="10">
        <f>[1]节奏总纲!AF38</f>
        <v>56.457855949816349</v>
      </c>
      <c r="U38" s="10">
        <f>[1]节奏总纲!AG38</f>
        <v>60.905042823044738</v>
      </c>
      <c r="V38" s="10">
        <f>[1]节奏总纲!AH38</f>
        <v>69.385288338144662</v>
      </c>
      <c r="Z38" s="12">
        <f>[1]节奏总纲!AL38</f>
        <v>35</v>
      </c>
      <c r="AA38" s="12">
        <f>[1]节奏总纲!AM38</f>
        <v>63.5</v>
      </c>
      <c r="AB38" s="12">
        <f>[1]节奏总纲!AN38</f>
        <v>50.800000000000004</v>
      </c>
      <c r="AC38" s="12">
        <f>[1]节奏总纲!AO38</f>
        <v>38.1</v>
      </c>
      <c r="AD38" s="12">
        <f>[1]节奏总纲!AP38</f>
        <v>25.400000000000002</v>
      </c>
      <c r="AE38" s="12">
        <f>[1]节奏总纲!AQ38</f>
        <v>12.700000000000001</v>
      </c>
      <c r="AG38" s="12">
        <f>[1]节奏总纲!AS38</f>
        <v>35</v>
      </c>
      <c r="AH38" s="12">
        <f>[1]节奏总纲!AT38</f>
        <v>9.3890686700671111</v>
      </c>
      <c r="AI38" s="12">
        <f>[1]节奏总纲!AU38</f>
        <v>7.5112549360536889</v>
      </c>
      <c r="AJ38" s="12">
        <f>[1]节奏总纲!AV38</f>
        <v>5.6334412020402667</v>
      </c>
      <c r="AK38" s="12">
        <f>[1]节奏总纲!AW38</f>
        <v>3.7556274680268444</v>
      </c>
      <c r="AL38" s="12">
        <f>[1]节奏总纲!AX38</f>
        <v>1.8778137340134222</v>
      </c>
      <c r="AM38" s="11"/>
      <c r="AN38" s="12">
        <f>[1]节奏总纲!AZ38</f>
        <v>35</v>
      </c>
      <c r="AO38" s="12">
        <f>[1]节奏总纲!BA38</f>
        <v>31.280110398778046</v>
      </c>
      <c r="AP38" s="12">
        <f>[1]节奏总纲!BB38</f>
        <v>32.660039662640372</v>
      </c>
      <c r="AQ38" s="12">
        <f>[1]节奏总纲!BC38</f>
        <v>34.449714679035388</v>
      </c>
      <c r="AR38" s="12">
        <f>[1]节奏总纲!BD38</f>
        <v>37.135950591746003</v>
      </c>
      <c r="AS38" s="12">
        <f>[1]节奏总纲!BE38</f>
        <v>41.791434980831518</v>
      </c>
    </row>
    <row r="39" spans="2:45" x14ac:dyDescent="0.15">
      <c r="B39" s="14">
        <f>[1]节奏总纲!N39</f>
        <v>46</v>
      </c>
      <c r="C39" s="6">
        <v>36</v>
      </c>
      <c r="D39" s="6">
        <f>[1]节奏总纲!P39</f>
        <v>11.125732532083184</v>
      </c>
      <c r="E39" s="6">
        <f>[1]节奏总纲!Q39</f>
        <v>9.7261153795471191</v>
      </c>
      <c r="F39" s="6">
        <f>[1]节奏总纲!R39</f>
        <v>8.0405669009365166</v>
      </c>
      <c r="G39" s="6">
        <f>[1]节奏总纲!S39</f>
        <v>5.9700680767158358</v>
      </c>
      <c r="H39" s="6">
        <f>[1]节奏总纲!T39</f>
        <v>3.3388323328781633</v>
      </c>
      <c r="J39" s="9">
        <v>36</v>
      </c>
      <c r="K39" s="10">
        <f>[1]节奏总纲!W39</f>
        <v>0.81202403309842452</v>
      </c>
      <c r="L39" s="10">
        <f>[1]节奏总纲!X39</f>
        <v>0.72121648908352576</v>
      </c>
      <c r="M39" s="10">
        <f>[1]节奏总纲!Y39</f>
        <v>0.58581839787033285</v>
      </c>
      <c r="N39" s="10">
        <f>[1]节奏总纲!Z39</f>
        <v>0.42954387106122294</v>
      </c>
      <c r="O39" s="10">
        <f>[1]节奏总纲!AA39</f>
        <v>0.22821784958436009</v>
      </c>
      <c r="Q39" s="9">
        <v>36</v>
      </c>
      <c r="R39" s="10">
        <f>[1]节奏总纲!AD39</f>
        <v>52.091594979242075</v>
      </c>
      <c r="S39" s="10">
        <f>[1]节奏总纲!AE39</f>
        <v>54.020289560649204</v>
      </c>
      <c r="T39" s="10">
        <f>[1]节奏总纲!AF39</f>
        <v>56.869815618584624</v>
      </c>
      <c r="U39" s="10">
        <f>[1]节奏总纲!AG39</f>
        <v>61.294362422865476</v>
      </c>
      <c r="V39" s="10">
        <f>[1]节奏总纲!AH39</f>
        <v>69.795150761037945</v>
      </c>
      <c r="Z39" s="12">
        <f>[1]节奏总纲!AL39</f>
        <v>36</v>
      </c>
      <c r="AA39" s="12">
        <f>[1]节奏总纲!AM39</f>
        <v>73.746861667008318</v>
      </c>
      <c r="AB39" s="12">
        <f>[1]节奏总纲!AN39</f>
        <v>58.997489333606659</v>
      </c>
      <c r="AC39" s="12">
        <f>[1]节奏总纲!AO39</f>
        <v>44.248117000204992</v>
      </c>
      <c r="AD39" s="12">
        <f>[1]节奏总纲!AP39</f>
        <v>29.498744666803329</v>
      </c>
      <c r="AE39" s="12">
        <f>[1]节奏总纲!AQ39</f>
        <v>14.749372333401665</v>
      </c>
      <c r="AG39" s="12">
        <f>[1]节奏总纲!AS39</f>
        <v>36</v>
      </c>
      <c r="AH39" s="12">
        <f>[1]节奏总纲!AT39</f>
        <v>10.246861667008318</v>
      </c>
      <c r="AI39" s="12">
        <f>[1]节奏总纲!AU39</f>
        <v>8.1974893336066543</v>
      </c>
      <c r="AJ39" s="12">
        <f>[1]节奏总纲!AV39</f>
        <v>6.1481170002049907</v>
      </c>
      <c r="AK39" s="12">
        <f>[1]节奏总纲!AW39</f>
        <v>4.0987446668033272</v>
      </c>
      <c r="AL39" s="12">
        <f>[1]节奏总纲!AX39</f>
        <v>2.0493723334016636</v>
      </c>
      <c r="AM39" s="11"/>
      <c r="AN39" s="12">
        <f>[1]节奏总纲!AZ39</f>
        <v>36</v>
      </c>
      <c r="AO39" s="12">
        <f>[1]节奏总纲!BA39</f>
        <v>31.450668101069933</v>
      </c>
      <c r="AP39" s="12">
        <f>[1]节奏总纲!BB39</f>
        <v>32.842201900114915</v>
      </c>
      <c r="AQ39" s="12">
        <f>[1]节奏总纲!BC39</f>
        <v>34.627226072894942</v>
      </c>
      <c r="AR39" s="12">
        <f>[1]节奏总纲!BD39</f>
        <v>37.317457773889828</v>
      </c>
      <c r="AS39" s="12">
        <f>[1]节奏总纲!BE39</f>
        <v>41.992566056290244</v>
      </c>
    </row>
    <row r="40" spans="2:45" x14ac:dyDescent="0.15">
      <c r="B40" s="14">
        <f>[1]节奏总纲!N40</f>
        <v>47</v>
      </c>
      <c r="C40" s="6">
        <v>37</v>
      </c>
      <c r="D40" s="6">
        <f>[1]节奏总纲!P40</f>
        <v>11.996038341699768</v>
      </c>
      <c r="E40" s="6">
        <f>[1]节奏总纲!Q40</f>
        <v>10.483337906811427</v>
      </c>
      <c r="F40" s="6">
        <f>[1]节奏总纲!R40</f>
        <v>8.6671377018780831</v>
      </c>
      <c r="G40" s="6">
        <f>[1]节奏总纲!S40</f>
        <v>6.4166809089752066</v>
      </c>
      <c r="H40" s="6">
        <f>[1]节奏总纲!T40</f>
        <v>3.6000111063441</v>
      </c>
      <c r="J40" s="9">
        <v>37</v>
      </c>
      <c r="K40" s="10">
        <f>[1]节奏总纲!W40</f>
        <v>0.87030580961658366</v>
      </c>
      <c r="L40" s="10">
        <f>[1]节奏总纲!X40</f>
        <v>0.75722252726430739</v>
      </c>
      <c r="M40" s="10">
        <f>[1]节奏总纲!Y40</f>
        <v>0.62657080094156647</v>
      </c>
      <c r="N40" s="10">
        <f>[1]节奏总纲!Z40</f>
        <v>0.44661283225937076</v>
      </c>
      <c r="O40" s="10">
        <f>[1]节奏总纲!AA40</f>
        <v>0.26117877346593676</v>
      </c>
      <c r="Q40" s="9">
        <v>37</v>
      </c>
      <c r="R40" s="10">
        <f>[1]节奏总纲!AD40</f>
        <v>52.470630686057078</v>
      </c>
      <c r="S40" s="10">
        <f>[1]节奏总纲!AE40</f>
        <v>54.407116521581436</v>
      </c>
      <c r="T40" s="10">
        <f>[1]节奏总纲!AF40</f>
        <v>57.263329041432932</v>
      </c>
      <c r="U40" s="10">
        <f>[1]节奏总纲!AG40</f>
        <v>61.676518787205197</v>
      </c>
      <c r="V40" s="10">
        <f>[1]节奏总纲!AH40</f>
        <v>70.190427169053478</v>
      </c>
      <c r="Z40" s="12">
        <f>[1]节奏总纲!AL40</f>
        <v>37</v>
      </c>
      <c r="AA40" s="12">
        <f>[1]节奏总纲!AM40</f>
        <v>85.62747641525452</v>
      </c>
      <c r="AB40" s="12">
        <f>[1]节奏总纲!AN40</f>
        <v>68.501981132203625</v>
      </c>
      <c r="AC40" s="12">
        <f>[1]节奏总纲!AO40</f>
        <v>51.376485849152708</v>
      </c>
      <c r="AD40" s="12">
        <f>[1]节奏总纲!AP40</f>
        <v>34.250990566101812</v>
      </c>
      <c r="AE40" s="12">
        <f>[1]节奏总纲!AQ40</f>
        <v>17.125495283050906</v>
      </c>
      <c r="AG40" s="12">
        <f>[1]节奏总纲!AS40</f>
        <v>37</v>
      </c>
      <c r="AH40" s="12">
        <f>[1]节奏总纲!AT40</f>
        <v>11.880614748246202</v>
      </c>
      <c r="AI40" s="12">
        <f>[1]节奏总纲!AU40</f>
        <v>9.5044917985969661</v>
      </c>
      <c r="AJ40" s="12">
        <f>[1]节奏总纲!AV40</f>
        <v>7.1283688489477157</v>
      </c>
      <c r="AK40" s="12">
        <f>[1]节奏总纲!AW40</f>
        <v>4.7522458992984831</v>
      </c>
      <c r="AL40" s="12">
        <f>[1]节奏总纲!AX40</f>
        <v>2.3761229496492415</v>
      </c>
      <c r="AM40" s="11"/>
      <c r="AN40" s="12">
        <f>[1]节奏总纲!AZ40</f>
        <v>37</v>
      </c>
      <c r="AO40" s="12">
        <f>[1]节奏总纲!BA40</f>
        <v>31.621225803361821</v>
      </c>
      <c r="AP40" s="12">
        <f>[1]节奏总纲!BB40</f>
        <v>33.02082518821102</v>
      </c>
      <c r="AQ40" s="12">
        <f>[1]节奏总纲!BC40</f>
        <v>34.804737466754489</v>
      </c>
      <c r="AR40" s="12">
        <f>[1]节奏总纲!BD40</f>
        <v>37.498964956033646</v>
      </c>
      <c r="AS40" s="12">
        <f>[1]节奏总纲!BE40</f>
        <v>42.167148737437564</v>
      </c>
    </row>
    <row r="41" spans="2:45" x14ac:dyDescent="0.15">
      <c r="B41" s="14">
        <f>[1]节奏总纲!N41</f>
        <v>48</v>
      </c>
      <c r="C41" s="6">
        <v>38</v>
      </c>
      <c r="D41" s="6">
        <f>[1]节奏总纲!P41</f>
        <v>12.928809012737984</v>
      </c>
      <c r="E41" s="6">
        <f>[1]节奏总纲!Q41</f>
        <v>11.292021791725356</v>
      </c>
      <c r="F41" s="6">
        <f>[1]节奏总纲!R41</f>
        <v>9.3190855363815395</v>
      </c>
      <c r="G41" s="6">
        <f>[1]节奏总纲!S41</f>
        <v>6.8962267273944402</v>
      </c>
      <c r="H41" s="6">
        <f>[1]节奏总纲!T41</f>
        <v>3.8708854184137524</v>
      </c>
      <c r="J41" s="9">
        <v>38</v>
      </c>
      <c r="K41" s="10">
        <f>[1]节奏总纲!W41</f>
        <v>0.93277067103821665</v>
      </c>
      <c r="L41" s="10">
        <f>[1]节奏总纲!X41</f>
        <v>0.80868388491392906</v>
      </c>
      <c r="M41" s="10">
        <f>[1]节奏总纲!Y41</f>
        <v>0.65194783450345639</v>
      </c>
      <c r="N41" s="10">
        <f>[1]节奏总纲!Z41</f>
        <v>0.4795458184192336</v>
      </c>
      <c r="O41" s="10">
        <f>[1]节奏总纲!AA41</f>
        <v>0.2708743120696524</v>
      </c>
      <c r="Q41" s="9">
        <v>38</v>
      </c>
      <c r="R41" s="10">
        <f>[1]节奏总纲!AD41</f>
        <v>52.849666392872081</v>
      </c>
      <c r="S41" s="10">
        <f>[1]节奏总纲!AE41</f>
        <v>54.793943482513676</v>
      </c>
      <c r="T41" s="10">
        <f>[1]节奏总纲!AF41</f>
        <v>57.64832002380362</v>
      </c>
      <c r="U41" s="10">
        <f>[1]节奏总纲!AG41</f>
        <v>62.054222259937362</v>
      </c>
      <c r="V41" s="10">
        <f>[1]节奏总纲!AH41</f>
        <v>70.571129226337533</v>
      </c>
      <c r="Z41" s="12">
        <f>[1]节奏总纲!AL41</f>
        <v>38</v>
      </c>
      <c r="AA41" s="12">
        <f>[1]节奏总纲!AM41</f>
        <v>99.401036064365428</v>
      </c>
      <c r="AB41" s="12">
        <f>[1]节奏总纲!AN41</f>
        <v>79.520828851492354</v>
      </c>
      <c r="AC41" s="12">
        <f>[1]节奏总纲!AO41</f>
        <v>59.640621638619251</v>
      </c>
      <c r="AD41" s="12">
        <f>[1]节奏总纲!AP41</f>
        <v>39.760414425746177</v>
      </c>
      <c r="AE41" s="12">
        <f>[1]节奏总纲!AQ41</f>
        <v>19.880207212873088</v>
      </c>
      <c r="AG41" s="12">
        <f>[1]节奏总纲!AS41</f>
        <v>38</v>
      </c>
      <c r="AH41" s="12">
        <f>[1]节奏总纲!AT41</f>
        <v>13.773559649110908</v>
      </c>
      <c r="AI41" s="12">
        <f>[1]节奏总纲!AU41</f>
        <v>11.018847719288729</v>
      </c>
      <c r="AJ41" s="12">
        <f>[1]节奏总纲!AV41</f>
        <v>8.2641357894665433</v>
      </c>
      <c r="AK41" s="12">
        <f>[1]节奏总纲!AW41</f>
        <v>5.5094238596443645</v>
      </c>
      <c r="AL41" s="12">
        <f>[1]节奏总纲!AX41</f>
        <v>2.7547119298221823</v>
      </c>
      <c r="AM41" s="11"/>
      <c r="AN41" s="12">
        <f>[1]节奏总纲!AZ41</f>
        <v>38</v>
      </c>
      <c r="AO41" s="12">
        <f>[1]节奏总纲!BA41</f>
        <v>31.791783505653711</v>
      </c>
      <c r="AP41" s="12">
        <f>[1]节奏总纲!BB41</f>
        <v>33.176527924103851</v>
      </c>
      <c r="AQ41" s="12">
        <f>[1]节奏总纲!BC41</f>
        <v>34.982248860614042</v>
      </c>
      <c r="AR41" s="12">
        <f>[1]节奏总纲!BD41</f>
        <v>37.680472138177471</v>
      </c>
      <c r="AS41" s="12">
        <f>[1]节奏总纲!BE41</f>
        <v>42.340712512072891</v>
      </c>
    </row>
    <row r="42" spans="2:45" x14ac:dyDescent="0.15">
      <c r="B42" s="14">
        <f>[1]节奏总纲!N42</f>
        <v>49</v>
      </c>
      <c r="C42" s="6">
        <v>39</v>
      </c>
      <c r="D42" s="6">
        <f>[1]节奏总纲!P42</f>
        <v>13.928527864588917</v>
      </c>
      <c r="E42" s="6">
        <f>[1]节奏总纲!Q42</f>
        <v>12.147069150707994</v>
      </c>
      <c r="F42" s="6">
        <f>[1]节奏总纲!R42</f>
        <v>10.016004387425889</v>
      </c>
      <c r="G42" s="6">
        <f>[1]节奏总纲!S42</f>
        <v>7.4197267934665154</v>
      </c>
      <c r="H42" s="6">
        <f>[1]节奏总纲!T42</f>
        <v>4.1702012426579218</v>
      </c>
      <c r="J42" s="9">
        <v>39</v>
      </c>
      <c r="K42" s="10">
        <f>[1]节奏总纲!W42</f>
        <v>0.99971885185093257</v>
      </c>
      <c r="L42" s="10">
        <f>[1]节奏总纲!X42</f>
        <v>0.85504735898263817</v>
      </c>
      <c r="M42" s="10">
        <f>[1]节奏总纲!Y42</f>
        <v>0.69691885104434981</v>
      </c>
      <c r="N42" s="10">
        <f>[1]节奏总纲!Z42</f>
        <v>0.52350006607207522</v>
      </c>
      <c r="O42" s="10">
        <f>[1]节奏总纲!AA42</f>
        <v>0.29931582424416936</v>
      </c>
      <c r="Q42" s="9">
        <v>39</v>
      </c>
      <c r="R42" s="10">
        <f>[1]节奏总纲!AD42</f>
        <v>53.213386604241784</v>
      </c>
      <c r="S42" s="10">
        <f>[1]节奏总纲!AE42</f>
        <v>55.170390866416149</v>
      </c>
      <c r="T42" s="10">
        <f>[1]节奏总纲!AF42</f>
        <v>58.030740707238266</v>
      </c>
      <c r="U42" s="10">
        <f>[1]节奏总纲!AG42</f>
        <v>62.407376554018477</v>
      </c>
      <c r="V42" s="10">
        <f>[1]节奏总纲!AH42</f>
        <v>70.951831283621587</v>
      </c>
      <c r="Z42" s="12">
        <f>[1]节奏总纲!AL42</f>
        <v>39</v>
      </c>
      <c r="AA42" s="12">
        <f>[1]节奏总纲!AM42</f>
        <v>115.36769098598003</v>
      </c>
      <c r="AB42" s="12">
        <f>[1]节奏总纲!AN42</f>
        <v>92.294152788784032</v>
      </c>
      <c r="AC42" s="12">
        <f>[1]节奏总纲!AO42</f>
        <v>69.220614591588017</v>
      </c>
      <c r="AD42" s="12">
        <f>[1]节奏总纲!AP42</f>
        <v>46.147076394392016</v>
      </c>
      <c r="AE42" s="12">
        <f>[1]节奏总纲!AQ42</f>
        <v>23.073538197196008</v>
      </c>
      <c r="AG42" s="12">
        <f>[1]节奏总纲!AS42</f>
        <v>39</v>
      </c>
      <c r="AH42" s="12">
        <f>[1]节奏总纲!AT42</f>
        <v>15.966654921614605</v>
      </c>
      <c r="AI42" s="12">
        <f>[1]节奏总纲!AU42</f>
        <v>12.773323937291678</v>
      </c>
      <c r="AJ42" s="12">
        <f>[1]节奏总纲!AV42</f>
        <v>9.579992952968766</v>
      </c>
      <c r="AK42" s="12">
        <f>[1]节奏总纲!AW42</f>
        <v>6.3866619686458392</v>
      </c>
      <c r="AL42" s="12">
        <f>[1]节奏总纲!AX42</f>
        <v>3.1933309843229196</v>
      </c>
      <c r="AM42" s="11"/>
      <c r="AN42" s="12">
        <f>[1]节奏总纲!AZ42</f>
        <v>39</v>
      </c>
      <c r="AO42" s="12">
        <f>[1]节奏总纲!BA42</f>
        <v>31.962341207945599</v>
      </c>
      <c r="AP42" s="12">
        <f>[1]节奏总纲!BB42</f>
        <v>33.332230659996682</v>
      </c>
      <c r="AQ42" s="12">
        <f>[1]节奏总纲!BC42</f>
        <v>35.146386283795508</v>
      </c>
      <c r="AR42" s="12">
        <f>[1]节奏总纲!BD42</f>
        <v>37.861979320321296</v>
      </c>
      <c r="AS42" s="12">
        <f>[1]节奏总纲!BE42</f>
        <v>42.51427628670821</v>
      </c>
    </row>
    <row r="43" spans="2:45" x14ac:dyDescent="0.15">
      <c r="B43" s="14">
        <f>[1]节奏总纲!N43</f>
        <v>50</v>
      </c>
      <c r="C43" s="6">
        <v>40</v>
      </c>
      <c r="D43" s="6">
        <f>[1]节奏总纲!P43</f>
        <v>15</v>
      </c>
      <c r="E43" s="6">
        <f>[1]节奏总纲!Q43</f>
        <v>13.059000000000001</v>
      </c>
      <c r="F43" s="6">
        <f>[1]节奏总纲!R43</f>
        <v>10.782</v>
      </c>
      <c r="G43" s="6">
        <f>[1]节奏总纲!S43</f>
        <v>8.0009999999999994</v>
      </c>
      <c r="H43" s="6">
        <f>[1]节奏总纲!T43</f>
        <v>4.5</v>
      </c>
      <c r="J43" s="9">
        <v>40</v>
      </c>
      <c r="K43" s="10">
        <f>[1]节奏总纲!W43</f>
        <v>1.0714721354110832</v>
      </c>
      <c r="L43" s="10">
        <f>[1]节奏总纲!X43</f>
        <v>0.9119308492920073</v>
      </c>
      <c r="M43" s="10">
        <f>[1]节奏总纲!Y43</f>
        <v>0.76599561257411075</v>
      </c>
      <c r="N43" s="10">
        <f>[1]节奏总纲!Z43</f>
        <v>0.58127320653348402</v>
      </c>
      <c r="O43" s="10">
        <f>[1]节奏总纲!AA43</f>
        <v>0.3297987573420782</v>
      </c>
      <c r="Q43" s="9">
        <v>40</v>
      </c>
      <c r="R43" s="10">
        <f>[1]节奏总纲!AD43</f>
        <v>53.567039423670657</v>
      </c>
      <c r="S43" s="10">
        <f>[1]节奏总纲!AE43</f>
        <v>55.535006783542492</v>
      </c>
      <c r="T43" s="10">
        <f>[1]节奏总纲!AF43</f>
        <v>58.38602553461638</v>
      </c>
      <c r="U43" s="10">
        <f>[1]节奏总纲!AG43</f>
        <v>62.760530848099599</v>
      </c>
      <c r="V43" s="10">
        <f>[1]节奏总纲!AH43</f>
        <v>71.315281959371688</v>
      </c>
      <c r="Z43" s="12">
        <f>[1]节奏总纲!AL43</f>
        <v>40</v>
      </c>
      <c r="AA43" s="12">
        <f>[1]节奏总纲!AM43</f>
        <v>133.875</v>
      </c>
      <c r="AB43" s="12">
        <f>[1]节奏总纲!AN43</f>
        <v>107.10000000000001</v>
      </c>
      <c r="AC43" s="12">
        <f>[1]节奏总纲!AO43</f>
        <v>80.325000000000003</v>
      </c>
      <c r="AD43" s="12">
        <f>[1]节奏总纲!AP43</f>
        <v>53.550000000000004</v>
      </c>
      <c r="AE43" s="12">
        <f>[1]节奏总纲!AQ43</f>
        <v>26.775000000000002</v>
      </c>
      <c r="AG43" s="12">
        <f>[1]节奏总纲!AS43</f>
        <v>40</v>
      </c>
      <c r="AH43" s="12">
        <f>[1]节奏总纲!AT43</f>
        <v>18.507309014019967</v>
      </c>
      <c r="AI43" s="12">
        <f>[1]节奏总纲!AU43</f>
        <v>14.805847211215976</v>
      </c>
      <c r="AJ43" s="12">
        <f>[1]节奏总纲!AV43</f>
        <v>11.104385408411986</v>
      </c>
      <c r="AK43" s="12">
        <f>[1]节奏总纲!AW43</f>
        <v>7.4029236056079881</v>
      </c>
      <c r="AL43" s="12">
        <f>[1]节奏总纲!AX43</f>
        <v>3.7014618028039941</v>
      </c>
      <c r="AM43" s="11"/>
      <c r="AN43" s="12">
        <f>[1]节奏总纲!AZ43</f>
        <v>40</v>
      </c>
      <c r="AO43" s="12">
        <f>[1]节奏总纲!BA43</f>
        <v>32.113552950216736</v>
      </c>
      <c r="AP43" s="12">
        <f>[1]节奏总纲!BB43</f>
        <v>33.487933395889513</v>
      </c>
      <c r="AQ43" s="12">
        <f>[1]节奏总纲!BC43</f>
        <v>35.309037710234961</v>
      </c>
      <c r="AR43" s="12">
        <f>[1]节奏总纲!BD43</f>
        <v>38.037513426486328</v>
      </c>
      <c r="AS43" s="12">
        <f>[1]节奏总纲!BE43</f>
        <v>42.687840061343536</v>
      </c>
    </row>
    <row r="44" spans="2:45" x14ac:dyDescent="0.15">
      <c r="B44" s="14">
        <f>[1]节奏总纲!N44</f>
        <v>51</v>
      </c>
      <c r="C44" s="6">
        <v>41</v>
      </c>
      <c r="D44" s="6">
        <f>[1]节奏总纲!P44</f>
        <v>16.148375400580683</v>
      </c>
      <c r="E44" s="6">
        <f>[1]节奏总纲!Q44</f>
        <v>14.065234973905774</v>
      </c>
      <c r="F44" s="6">
        <f>[1]节奏总纲!R44</f>
        <v>11.621985775797917</v>
      </c>
      <c r="G44" s="6">
        <f>[1]节奏总纲!S44</f>
        <v>8.6296918140703163</v>
      </c>
      <c r="H44" s="6">
        <f>[1]节奏总纲!T44</f>
        <v>4.8606609955747855</v>
      </c>
      <c r="J44" s="9">
        <v>41</v>
      </c>
      <c r="K44" s="10">
        <f>[1]节奏总纲!W44</f>
        <v>1.148375400580683</v>
      </c>
      <c r="L44" s="10">
        <f>[1]节奏总纲!X44</f>
        <v>1.006234973905773</v>
      </c>
      <c r="M44" s="10">
        <f>[1]节奏总纲!Y44</f>
        <v>0.839985775797917</v>
      </c>
      <c r="N44" s="10">
        <f>[1]节奏总纲!Z44</f>
        <v>0.62869181407031682</v>
      </c>
      <c r="O44" s="10">
        <f>[1]节奏总纲!AA44</f>
        <v>0.36066099557478548</v>
      </c>
      <c r="Q44" s="9">
        <v>41</v>
      </c>
      <c r="R44" s="10">
        <f>[1]节奏总纲!AD44</f>
        <v>53.920692243099523</v>
      </c>
      <c r="S44" s="10">
        <f>[1]节奏总纲!AE44</f>
        <v>55.899622700668843</v>
      </c>
      <c r="T44" s="10">
        <f>[1]节奏总纲!AF44</f>
        <v>58.741310361994486</v>
      </c>
      <c r="U44" s="10">
        <f>[1]节奏总纲!AG44</f>
        <v>63.10587219844583</v>
      </c>
      <c r="V44" s="10">
        <f>[1]节奏总纲!AH44</f>
        <v>71.676233707038421</v>
      </c>
      <c r="Z44" s="12">
        <f>[1]节奏总纲!AL44</f>
        <v>41</v>
      </c>
      <c r="AA44" s="12">
        <f>[1]节奏总纲!AM44</f>
        <v>155.32539280599755</v>
      </c>
      <c r="AB44" s="12">
        <f>[1]节奏总纲!AN44</f>
        <v>124.26031424479805</v>
      </c>
      <c r="AC44" s="12">
        <f>[1]节奏总纲!AO44</f>
        <v>93.195235683598526</v>
      </c>
      <c r="AD44" s="12">
        <f>[1]节奏总纲!AP44</f>
        <v>62.130157122399027</v>
      </c>
      <c r="AE44" s="12">
        <f>[1]节奏总纲!AQ44</f>
        <v>31.065078561199513</v>
      </c>
      <c r="AG44" s="12">
        <f>[1]节奏总纲!AS44</f>
        <v>41</v>
      </c>
      <c r="AH44" s="12">
        <f>[1]节奏总纲!AT44</f>
        <v>21.450392805997552</v>
      </c>
      <c r="AI44" s="12">
        <f>[1]节奏总纲!AU44</f>
        <v>17.160314244798045</v>
      </c>
      <c r="AJ44" s="12">
        <f>[1]节奏总纲!AV44</f>
        <v>12.870235683598523</v>
      </c>
      <c r="AK44" s="12">
        <f>[1]节奏总纲!AW44</f>
        <v>8.5801571223990223</v>
      </c>
      <c r="AL44" s="12">
        <f>[1]节奏总纲!AX44</f>
        <v>4.2900785611995111</v>
      </c>
      <c r="AM44" s="11"/>
      <c r="AN44" s="12">
        <f>[1]节奏总纲!AZ44</f>
        <v>41</v>
      </c>
      <c r="AO44" s="12">
        <f>[1]节奏总纲!BA44</f>
        <v>32.259282740196369</v>
      </c>
      <c r="AP44" s="12">
        <f>[1]节奏总纲!BB44</f>
        <v>33.643636131782344</v>
      </c>
      <c r="AQ44" s="12">
        <f>[1]节奏总纲!BC44</f>
        <v>35.471689136674414</v>
      </c>
      <c r="AR44" s="12">
        <f>[1]节奏总纲!BD44</f>
        <v>38.194089742081125</v>
      </c>
      <c r="AS44" s="12">
        <f>[1]节奏总纲!BE44</f>
        <v>42.861403835978855</v>
      </c>
    </row>
    <row r="45" spans="2:45" x14ac:dyDescent="0.15">
      <c r="B45" s="14">
        <f>[1]节奏总纲!N45</f>
        <v>52</v>
      </c>
      <c r="C45" s="6">
        <v>42</v>
      </c>
      <c r="D45" s="6">
        <f>[1]节奏总纲!P45</f>
        <v>17.379173679952558</v>
      </c>
      <c r="E45" s="6">
        <f>[1]节奏总纲!Q45</f>
        <v>15.182446126806555</v>
      </c>
      <c r="F45" s="6">
        <f>[1]节奏总纲!R45</f>
        <v>12.547763396925747</v>
      </c>
      <c r="G45" s="6">
        <f>[1]节奏总纲!S45</f>
        <v>9.3221887619265527</v>
      </c>
      <c r="H45" s="6">
        <f>[1]节奏总纲!T45</f>
        <v>5.2485104513456724</v>
      </c>
      <c r="J45" s="9">
        <v>42</v>
      </c>
      <c r="K45" s="10">
        <f>[1]节奏总纲!W45</f>
        <v>1.230798279371875</v>
      </c>
      <c r="L45" s="10">
        <f>[1]节奏总纲!X45</f>
        <v>1.1172111529007811</v>
      </c>
      <c r="M45" s="10">
        <f>[1]节奏总纲!Y45</f>
        <v>0.92577762112783013</v>
      </c>
      <c r="N45" s="10">
        <f>[1]节奏总纲!Z45</f>
        <v>0.69249694785623639</v>
      </c>
      <c r="O45" s="10">
        <f>[1]节奏总纲!AA45</f>
        <v>0.38784945577088692</v>
      </c>
      <c r="Q45" s="9">
        <v>42</v>
      </c>
      <c r="R45" s="10">
        <f>[1]节奏总纲!AD45</f>
        <v>54.255972994404218</v>
      </c>
      <c r="S45" s="10">
        <f>[1]节奏总纲!AE45</f>
        <v>56.238779717153008</v>
      </c>
      <c r="T45" s="10">
        <f>[1]节奏总纲!AF45</f>
        <v>59.09095196730258</v>
      </c>
      <c r="U45" s="10">
        <f>[1]节奏总纲!AG45</f>
        <v>63.434756173851497</v>
      </c>
      <c r="V45" s="10">
        <f>[1]节奏总纲!AH45</f>
        <v>72.034562459436771</v>
      </c>
      <c r="Z45" s="12">
        <f>[1]节奏总纲!AL45</f>
        <v>42</v>
      </c>
      <c r="AA45" s="12">
        <f>[1]节奏总纲!AM45</f>
        <v>180.18480345945557</v>
      </c>
      <c r="AB45" s="12">
        <f>[1]节奏总纲!AN45</f>
        <v>144.14784276756447</v>
      </c>
      <c r="AC45" s="12">
        <f>[1]节奏总纲!AO45</f>
        <v>108.11088207567333</v>
      </c>
      <c r="AD45" s="12">
        <f>[1]节奏总纲!AP45</f>
        <v>72.073921383782235</v>
      </c>
      <c r="AE45" s="12">
        <f>[1]节奏总纲!AQ45</f>
        <v>36.036960691891117</v>
      </c>
      <c r="AG45" s="12">
        <f>[1]节奏总纲!AS45</f>
        <v>42</v>
      </c>
      <c r="AH45" s="12">
        <f>[1]节奏总纲!AT45</f>
        <v>24.859410653458013</v>
      </c>
      <c r="AI45" s="12">
        <f>[1]节奏总纲!AU45</f>
        <v>19.887528522766416</v>
      </c>
      <c r="AJ45" s="12">
        <f>[1]节奏总纲!AV45</f>
        <v>14.915646392074805</v>
      </c>
      <c r="AK45" s="12">
        <f>[1]节奏总纲!AW45</f>
        <v>9.9437642613832082</v>
      </c>
      <c r="AL45" s="12">
        <f>[1]节奏总纲!AX45</f>
        <v>4.9718821306916041</v>
      </c>
      <c r="AM45" s="11"/>
      <c r="AN45" s="12">
        <f>[1]节奏总纲!AZ45</f>
        <v>42</v>
      </c>
      <c r="AO45" s="12">
        <f>[1]节奏总纲!BA45</f>
        <v>32.405012530176009</v>
      </c>
      <c r="AP45" s="12">
        <f>[1]节奏总纲!BB45</f>
        <v>33.799338867675175</v>
      </c>
      <c r="AQ45" s="12">
        <f>[1]节奏总纲!BC45</f>
        <v>35.634340563113874</v>
      </c>
      <c r="AR45" s="12">
        <f>[1]节奏总纲!BD45</f>
        <v>38.35066605767593</v>
      </c>
      <c r="AS45" s="12">
        <f>[1]节奏总纲!BE45</f>
        <v>43.030177309109042</v>
      </c>
    </row>
    <row r="46" spans="2:45" x14ac:dyDescent="0.15">
      <c r="B46" s="14">
        <f>[1]节奏总纲!N46</f>
        <v>53</v>
      </c>
      <c r="C46" s="6">
        <v>43</v>
      </c>
      <c r="D46" s="6">
        <f>[1]节奏总纲!P46</f>
        <v>18.698310613518661</v>
      </c>
      <c r="E46" s="6">
        <f>[1]节奏总纲!Q46</f>
        <v>16.338583814092605</v>
      </c>
      <c r="F46" s="6">
        <f>[1]节奏总纲!R46</f>
        <v>13.509529418267233</v>
      </c>
      <c r="G46" s="6">
        <f>[1]节奏总纲!S46</f>
        <v>10.020424657784652</v>
      </c>
      <c r="H46" s="6">
        <f>[1]节奏总纲!T46</f>
        <v>5.6394104810372276</v>
      </c>
      <c r="J46" s="9">
        <v>43</v>
      </c>
      <c r="K46" s="10">
        <f>[1]节奏总纲!W46</f>
        <v>1.319136933566103</v>
      </c>
      <c r="L46" s="10">
        <f>[1]节奏总纲!X46</f>
        <v>1.1561376872860496</v>
      </c>
      <c r="M46" s="10">
        <f>[1]节奏总纲!Y46</f>
        <v>0.96176602134148581</v>
      </c>
      <c r="N46" s="10">
        <f>[1]节奏总纲!Z46</f>
        <v>0.6982358958580992</v>
      </c>
      <c r="O46" s="10">
        <f>[1]节奏总纲!AA46</f>
        <v>0.39090002969155524</v>
      </c>
      <c r="Q46" s="9">
        <v>43</v>
      </c>
      <c r="R46" s="10">
        <f>[1]节奏总纲!AD46</f>
        <v>54.585942742481357</v>
      </c>
      <c r="S46" s="10">
        <f>[1]节奏总纲!AE46</f>
        <v>56.568265567054013</v>
      </c>
      <c r="T46" s="10">
        <f>[1]节奏总纲!AF46</f>
        <v>59.425480572843689</v>
      </c>
      <c r="U46" s="10">
        <f>[1]节奏总纲!AG46</f>
        <v>63.763640149257171</v>
      </c>
      <c r="V46" s="10">
        <f>[1]节奏总纲!AH46</f>
        <v>72.370053318329937</v>
      </c>
      <c r="Z46" s="12">
        <f>[1]节奏总纲!AL46</f>
        <v>43</v>
      </c>
      <c r="AA46" s="12">
        <f>[1]节奏总纲!AM46</f>
        <v>208.99265815439742</v>
      </c>
      <c r="AB46" s="12">
        <f>[1]节奏总纲!AN46</f>
        <v>167.19412652351795</v>
      </c>
      <c r="AC46" s="12">
        <f>[1]节奏总纲!AO46</f>
        <v>125.39559489263844</v>
      </c>
      <c r="AD46" s="12">
        <f>[1]节奏总纲!AP46</f>
        <v>83.597063261758976</v>
      </c>
      <c r="AE46" s="12">
        <f>[1]节奏总纲!AQ46</f>
        <v>41.798531630879488</v>
      </c>
      <c r="AG46" s="12">
        <f>[1]节奏总纲!AS46</f>
        <v>43</v>
      </c>
      <c r="AH46" s="12">
        <f>[1]节奏总纲!AT46</f>
        <v>28.807854694941852</v>
      </c>
      <c r="AI46" s="12">
        <f>[1]节奏总纲!AU46</f>
        <v>23.046283755953482</v>
      </c>
      <c r="AJ46" s="12">
        <f>[1]节奏总纲!AV46</f>
        <v>17.284712816965111</v>
      </c>
      <c r="AK46" s="12">
        <f>[1]节奏总纲!AW46</f>
        <v>11.523141877976741</v>
      </c>
      <c r="AL46" s="12">
        <f>[1]节奏总纲!AX46</f>
        <v>5.7615709389883705</v>
      </c>
      <c r="AM46" s="11"/>
      <c r="AN46" s="12">
        <f>[1]节奏总纲!AZ46</f>
        <v>43</v>
      </c>
      <c r="AO46" s="12">
        <f>[1]节奏总纲!BA46</f>
        <v>32.550742320155642</v>
      </c>
      <c r="AP46" s="12">
        <f>[1]节奏总纲!BB46</f>
        <v>33.955041603568006</v>
      </c>
      <c r="AQ46" s="12">
        <f>[1]节奏总纲!BC46</f>
        <v>35.796991989553327</v>
      </c>
      <c r="AR46" s="12">
        <f>[1]节奏总纲!BD46</f>
        <v>38.507242373270728</v>
      </c>
      <c r="AS46" s="12">
        <f>[1]节奏总纲!BE46</f>
        <v>43.179964142847631</v>
      </c>
    </row>
    <row r="47" spans="2:45" x14ac:dyDescent="0.15">
      <c r="B47" s="14">
        <f>[1]节奏总纲!N47</f>
        <v>54</v>
      </c>
      <c r="C47" s="6">
        <v>44</v>
      </c>
      <c r="D47" s="6">
        <f>[1]节奏总纲!P47</f>
        <v>20.112126572366307</v>
      </c>
      <c r="E47" s="6">
        <f>[1]节奏总纲!Q47</f>
        <v>17.573976198933678</v>
      </c>
      <c r="F47" s="6">
        <f>[1]节奏总纲!R47</f>
        <v>14.520955385248474</v>
      </c>
      <c r="G47" s="6">
        <f>[1]节奏总纲!S47</f>
        <v>10.768032566844921</v>
      </c>
      <c r="H47" s="6">
        <f>[1]节奏总纲!T47</f>
        <v>6.0537500982822579</v>
      </c>
      <c r="J47" s="9">
        <v>44</v>
      </c>
      <c r="K47" s="10">
        <f>[1]节奏总纲!W47</f>
        <v>1.4138159588476462</v>
      </c>
      <c r="L47" s="10">
        <f>[1]节奏总纲!X47</f>
        <v>1.2353923848410737</v>
      </c>
      <c r="M47" s="10">
        <f>[1]节奏总纲!Y47</f>
        <v>1.0114259669812409</v>
      </c>
      <c r="N47" s="10">
        <f>[1]节奏总纲!Z47</f>
        <v>0.74760790906026919</v>
      </c>
      <c r="O47" s="10">
        <f>[1]节奏总纲!AA47</f>
        <v>0.41433961724503021</v>
      </c>
      <c r="Q47" s="9">
        <v>44</v>
      </c>
      <c r="R47" s="10">
        <f>[1]节奏总纲!AD47</f>
        <v>54.915912490558505</v>
      </c>
      <c r="S47" s="10">
        <f>[1]节奏总纲!AE47</f>
        <v>56.897751416955018</v>
      </c>
      <c r="T47" s="10">
        <f>[1]节奏总纲!AF47</f>
        <v>59.760009178384806</v>
      </c>
      <c r="U47" s="10">
        <f>[1]节奏总纲!AG47</f>
        <v>64.08760696397195</v>
      </c>
      <c r="V47" s="10">
        <f>[1]节奏总纲!AH47</f>
        <v>72.705544177223089</v>
      </c>
      <c r="Z47" s="12">
        <f>[1]节奏总纲!AL47</f>
        <v>44</v>
      </c>
      <c r="AA47" s="12">
        <f>[1]节奏总纲!AM47</f>
        <v>242.37342918215046</v>
      </c>
      <c r="AB47" s="12">
        <f>[1]节奏总纲!AN47</f>
        <v>193.89874334572039</v>
      </c>
      <c r="AC47" s="12">
        <f>[1]节奏总纲!AO47</f>
        <v>145.42405750929026</v>
      </c>
      <c r="AD47" s="12">
        <f>[1]节奏总纲!AP47</f>
        <v>96.949371672860195</v>
      </c>
      <c r="AE47" s="12">
        <f>[1]节奏总纲!AQ47</f>
        <v>48.474685836430098</v>
      </c>
      <c r="AG47" s="12">
        <f>[1]节奏总纲!AS47</f>
        <v>44</v>
      </c>
      <c r="AH47" s="12">
        <f>[1]节奏总纲!AT47</f>
        <v>33.380771027753042</v>
      </c>
      <c r="AI47" s="12">
        <f>[1]节奏总纲!AU47</f>
        <v>26.704616822202439</v>
      </c>
      <c r="AJ47" s="12">
        <f>[1]节奏总纲!AV47</f>
        <v>20.028462616651822</v>
      </c>
      <c r="AK47" s="12">
        <f>[1]节奏总纲!AW47</f>
        <v>13.35230841110122</v>
      </c>
      <c r="AL47" s="12">
        <f>[1]节奏总纲!AX47</f>
        <v>6.6761542055506098</v>
      </c>
      <c r="AM47" s="11"/>
      <c r="AN47" s="12">
        <f>[1]节奏总纲!AZ47</f>
        <v>44</v>
      </c>
      <c r="AO47" s="12">
        <f>[1]节奏总纲!BA47</f>
        <v>32.696472110135275</v>
      </c>
      <c r="AP47" s="12">
        <f>[1]节奏总纲!BB47</f>
        <v>34.09469189131628</v>
      </c>
      <c r="AQ47" s="12">
        <f>[1]节奏总纲!BC47</f>
        <v>35.95964341599278</v>
      </c>
      <c r="AR47" s="12">
        <f>[1]节奏总纲!BD47</f>
        <v>38.663818688865533</v>
      </c>
      <c r="AS47" s="12">
        <f>[1]节奏总纲!BE47</f>
        <v>43.329750976586219</v>
      </c>
    </row>
    <row r="48" spans="2:45" x14ac:dyDescent="0.15">
      <c r="B48" s="14">
        <f>[1]节奏总纲!N48</f>
        <v>55</v>
      </c>
      <c r="C48" s="6">
        <v>45</v>
      </c>
      <c r="D48" s="6">
        <f>[1]节奏总纲!P48</f>
        <v>21.627416997969519</v>
      </c>
      <c r="E48" s="6">
        <f>[1]节奏总纲!Q48</f>
        <v>18.900199714525563</v>
      </c>
      <c r="F48" s="6">
        <f>[1]节奏总纲!R48</f>
        <v>15.604181364035009</v>
      </c>
      <c r="G48" s="6">
        <f>[1]节奏总纲!S48</f>
        <v>11.572830835613489</v>
      </c>
      <c r="H48" s="6">
        <f>[1]节奏总纲!T48</f>
        <v>6.49903880788984</v>
      </c>
      <c r="J48" s="9">
        <v>45</v>
      </c>
      <c r="K48" s="10">
        <f>[1]节奏总纲!W48</f>
        <v>1.5152904256032116</v>
      </c>
      <c r="L48" s="10">
        <f>[1]节奏总纲!X48</f>
        <v>1.3262235155918844</v>
      </c>
      <c r="M48" s="10">
        <f>[1]节奏总纲!Y48</f>
        <v>1.083225978786535</v>
      </c>
      <c r="N48" s="10">
        <f>[1]节奏总纲!Z48</f>
        <v>0.80479826876856819</v>
      </c>
      <c r="O48" s="10">
        <f>[1]节奏总纲!AA48</f>
        <v>0.44528870960758216</v>
      </c>
      <c r="Q48" s="9">
        <v>45</v>
      </c>
      <c r="R48" s="10">
        <f>[1]节奏总纲!AD48</f>
        <v>55.229416240679981</v>
      </c>
      <c r="S48" s="10">
        <f>[1]节奏总纲!AE48</f>
        <v>57.218966664386244</v>
      </c>
      <c r="T48" s="10">
        <f>[1]节奏总纲!AF48</f>
        <v>60.086674688654931</v>
      </c>
      <c r="U48" s="10">
        <f>[1]节奏总纲!AG48</f>
        <v>64.399012521055653</v>
      </c>
      <c r="V48" s="10">
        <f>[1]节奏总纲!AH48</f>
        <v>73.037155126421851</v>
      </c>
      <c r="Z48" s="12">
        <f>[1]节奏总纲!AL48</f>
        <v>45</v>
      </c>
      <c r="AA48" s="12">
        <f>[1]节奏总纲!AM48</f>
        <v>281.05</v>
      </c>
      <c r="AB48" s="12">
        <f>[1]节奏总纲!AN48</f>
        <v>224.84000000000003</v>
      </c>
      <c r="AC48" s="12">
        <f>[1]节奏总纲!AO48</f>
        <v>168.63</v>
      </c>
      <c r="AD48" s="12">
        <f>[1]节奏总纲!AP48</f>
        <v>112.42000000000002</v>
      </c>
      <c r="AE48" s="12">
        <f>[1]节奏总纲!AQ48</f>
        <v>56.210000000000008</v>
      </c>
      <c r="AG48" s="12">
        <f>[1]节奏总纲!AS48</f>
        <v>45</v>
      </c>
      <c r="AH48" s="12">
        <f>[1]节奏总纲!AT48</f>
        <v>38.676570817849552</v>
      </c>
      <c r="AI48" s="12">
        <f>[1]节奏总纲!AU48</f>
        <v>30.941256654279641</v>
      </c>
      <c r="AJ48" s="12">
        <f>[1]节奏总纲!AV48</f>
        <v>23.205942490709731</v>
      </c>
      <c r="AK48" s="12">
        <f>[1]节奏总纲!AW48</f>
        <v>15.470628327139821</v>
      </c>
      <c r="AL48" s="12">
        <f>[1]节奏总纲!AX48</f>
        <v>7.7353141635699103</v>
      </c>
      <c r="AM48" s="11"/>
      <c r="AN48" s="12">
        <f>[1]节奏总纲!AZ48</f>
        <v>45</v>
      </c>
      <c r="AO48" s="12">
        <f>[1]节奏总纲!BA48</f>
        <v>32.842201900114915</v>
      </c>
      <c r="AP48" s="12">
        <f>[1]节奏总纲!BB48</f>
        <v>34.227825436710944</v>
      </c>
      <c r="AQ48" s="12">
        <f>[1]节奏总纲!BC48</f>
        <v>36.105477566569242</v>
      </c>
      <c r="AR48" s="12">
        <f>[1]节奏总纲!BD48</f>
        <v>38.82039500446033</v>
      </c>
      <c r="AS48" s="12">
        <f>[1]节奏总纲!BE48</f>
        <v>43.479537810324807</v>
      </c>
    </row>
    <row r="49" spans="2:45" x14ac:dyDescent="0.15">
      <c r="B49" s="14">
        <f>[1]节奏总纲!N49</f>
        <v>56</v>
      </c>
      <c r="C49" s="6">
        <v>46</v>
      </c>
      <c r="D49" s="6">
        <f>[1]节奏总纲!P49</f>
        <v>23.251465064166357</v>
      </c>
      <c r="E49" s="6">
        <f>[1]节奏总纲!Q49</f>
        <v>20.310154733549314</v>
      </c>
      <c r="F49" s="6">
        <f>[1]节奏总纲!R49</f>
        <v>16.757330871744692</v>
      </c>
      <c r="G49" s="6">
        <f>[1]节奏总纲!S49</f>
        <v>12.425582930290501</v>
      </c>
      <c r="H49" s="6">
        <f>[1]节奏总纲!T49</f>
        <v>6.9545132006921566</v>
      </c>
      <c r="J49" s="9">
        <v>46</v>
      </c>
      <c r="K49" s="10">
        <f>[1]节奏总纲!W49</f>
        <v>1.6240480661968384</v>
      </c>
      <c r="L49" s="10">
        <f>[1]节奏总纲!X49</f>
        <v>1.4099550190237515</v>
      </c>
      <c r="M49" s="10">
        <f>[1]节奏总纲!Y49</f>
        <v>1.1531495077096832</v>
      </c>
      <c r="N49" s="10">
        <f>[1]节奏总纲!Z49</f>
        <v>0.85275209467701174</v>
      </c>
      <c r="O49" s="10">
        <f>[1]节奏总纲!AA49</f>
        <v>0.45547439280231661</v>
      </c>
      <c r="Q49" s="9">
        <v>46</v>
      </c>
      <c r="R49" s="10">
        <f>[1]节奏总纲!AD49</f>
        <v>55.537288901845052</v>
      </c>
      <c r="S49" s="10">
        <f>[1]节奏总纲!AE49</f>
        <v>57.53646043868428</v>
      </c>
      <c r="T49" s="10">
        <f>[1]节奏总纲!AF49</f>
        <v>60.393379177879737</v>
      </c>
      <c r="U49" s="10">
        <f>[1]节奏总纲!AG49</f>
        <v>64.710418078139355</v>
      </c>
      <c r="V49" s="10">
        <f>[1]节奏总纲!AH49</f>
        <v>73.340924940105893</v>
      </c>
      <c r="Z49" s="12">
        <f>[1]节奏总纲!AL49</f>
        <v>46</v>
      </c>
      <c r="AA49" s="12">
        <f>[1]节奏总纲!AM49</f>
        <v>325.85912455595718</v>
      </c>
      <c r="AB49" s="12">
        <f>[1]节奏总纲!AN49</f>
        <v>260.68729964476574</v>
      </c>
      <c r="AC49" s="12">
        <f>[1]节奏总纲!AO49</f>
        <v>195.51547473357431</v>
      </c>
      <c r="AD49" s="12">
        <f>[1]节奏总纲!AP49</f>
        <v>130.34364982238287</v>
      </c>
      <c r="AE49" s="12">
        <f>[1]节奏总纲!AQ49</f>
        <v>65.171824911191436</v>
      </c>
      <c r="AG49" s="12">
        <f>[1]节奏总纲!AS49</f>
        <v>46</v>
      </c>
      <c r="AH49" s="12">
        <f>[1]节奏总纲!AT49</f>
        <v>44.809124555957169</v>
      </c>
      <c r="AI49" s="12">
        <f>[1]节奏总纲!AU49</f>
        <v>35.847299644765712</v>
      </c>
      <c r="AJ49" s="12">
        <f>[1]节奏总纲!AV49</f>
        <v>26.885474733574313</v>
      </c>
      <c r="AK49" s="12">
        <f>[1]节奏总纲!AW49</f>
        <v>17.923649822382856</v>
      </c>
      <c r="AL49" s="12">
        <f>[1]节奏总纲!AX49</f>
        <v>8.9618249111914281</v>
      </c>
      <c r="AM49" s="11"/>
      <c r="AN49" s="12">
        <f>[1]节奏总纲!AZ49</f>
        <v>46</v>
      </c>
      <c r="AO49" s="12">
        <f>[1]节奏总纲!BA49</f>
        <v>32.987931690094548</v>
      </c>
      <c r="AP49" s="12">
        <f>[1]节奏总纲!BB49</f>
        <v>34.360958982105608</v>
      </c>
      <c r="AQ49" s="12">
        <f>[1]节奏总纲!BC49</f>
        <v>36.245762114295424</v>
      </c>
      <c r="AR49" s="12">
        <f>[1]节奏总纲!BD49</f>
        <v>38.976971320055128</v>
      </c>
      <c r="AS49" s="12">
        <f>[1]节奏总纲!BE49</f>
        <v>43.629324644063402</v>
      </c>
    </row>
    <row r="50" spans="2:45" x14ac:dyDescent="0.15">
      <c r="B50" s="14">
        <f>[1]节奏总纲!N50</f>
        <v>57</v>
      </c>
      <c r="C50" s="6">
        <v>47</v>
      </c>
      <c r="D50" s="6">
        <f>[1]节奏总纲!P50</f>
        <v>24.992076683399535</v>
      </c>
      <c r="E50" s="6">
        <f>[1]节奏总纲!Q50</f>
        <v>21.823081359944474</v>
      </c>
      <c r="F50" s="6">
        <f>[1]节奏总纲!R50</f>
        <v>17.996794419716004</v>
      </c>
      <c r="G50" s="6">
        <f>[1]节奏总纲!S50</f>
        <v>13.335772118261991</v>
      </c>
      <c r="H50" s="6">
        <f>[1]节奏总纲!T50</f>
        <v>7.4426404363163821</v>
      </c>
      <c r="J50" s="9">
        <v>47</v>
      </c>
      <c r="K50" s="10">
        <f>[1]节奏总纲!W50</f>
        <v>1.740611619233178</v>
      </c>
      <c r="L50" s="10">
        <f>[1]节奏总纲!X50</f>
        <v>1.51292662639516</v>
      </c>
      <c r="M50" s="10">
        <f>[1]节奏总纲!Y50</f>
        <v>1.2394635479713116</v>
      </c>
      <c r="N50" s="10">
        <f>[1]节奏总纲!Z50</f>
        <v>0.91018918797148984</v>
      </c>
      <c r="O50" s="10">
        <f>[1]节奏总纲!AA50</f>
        <v>0.48812723562422544</v>
      </c>
      <c r="Q50" s="9">
        <v>47</v>
      </c>
      <c r="R50" s="10">
        <f>[1]节奏总纲!AD50</f>
        <v>55.845161563010116</v>
      </c>
      <c r="S50" s="10">
        <f>[1]节奏总纲!AE50</f>
        <v>57.853954212982316</v>
      </c>
      <c r="T50" s="10">
        <f>[1]节奏总纲!AF50</f>
        <v>60.700083667104536</v>
      </c>
      <c r="U50" s="10">
        <f>[1]节奏总纲!AG50</f>
        <v>65.021675833900701</v>
      </c>
      <c r="V50" s="10">
        <f>[1]节奏总纲!AH50</f>
        <v>73.644694753789935</v>
      </c>
      <c r="Z50" s="12">
        <f>[1]节奏总纲!AL50</f>
        <v>47</v>
      </c>
      <c r="AA50" s="12">
        <f>[1]节奏总纲!AM50</f>
        <v>377.76930817680426</v>
      </c>
      <c r="AB50" s="12">
        <f>[1]节奏总纲!AN50</f>
        <v>302.21544654144344</v>
      </c>
      <c r="AC50" s="12">
        <f>[1]节奏总纲!AO50</f>
        <v>226.66158490608254</v>
      </c>
      <c r="AD50" s="12">
        <f>[1]节奏总纲!AP50</f>
        <v>151.10772327072172</v>
      </c>
      <c r="AE50" s="12">
        <f>[1]节奏总纲!AQ50</f>
        <v>75.55386163536086</v>
      </c>
      <c r="AG50" s="12">
        <f>[1]节奏总纲!AS50</f>
        <v>47</v>
      </c>
      <c r="AH50" s="12">
        <f>[1]节奏总纲!AT50</f>
        <v>51.910183620847079</v>
      </c>
      <c r="AI50" s="12">
        <f>[1]节奏总纲!AU50</f>
        <v>41.528146896677697</v>
      </c>
      <c r="AJ50" s="12">
        <f>[1]节奏总纲!AV50</f>
        <v>31.14611017250823</v>
      </c>
      <c r="AK50" s="12">
        <f>[1]节奏总纲!AW50</f>
        <v>20.764073448338848</v>
      </c>
      <c r="AL50" s="12">
        <f>[1]节奏总纲!AX50</f>
        <v>10.382036724169424</v>
      </c>
      <c r="AM50" s="11"/>
      <c r="AN50" s="12">
        <f>[1]节奏总纲!AZ50</f>
        <v>47</v>
      </c>
      <c r="AO50" s="12">
        <f>[1]节奏总纲!BA50</f>
        <v>33.114246829746719</v>
      </c>
      <c r="AP50" s="12">
        <f>[1]节奏总纲!BB50</f>
        <v>34.494092527500278</v>
      </c>
      <c r="AQ50" s="12">
        <f>[1]节奏总纲!BC50</f>
        <v>36.386046662021599</v>
      </c>
      <c r="AR50" s="12">
        <f>[1]节奏总纲!BD50</f>
        <v>39.115214427575864</v>
      </c>
      <c r="AS50" s="12">
        <f>[1]节奏总纲!BE50</f>
        <v>43.77911147780199</v>
      </c>
    </row>
    <row r="51" spans="2:45" x14ac:dyDescent="0.15">
      <c r="B51" s="14">
        <f>[1]节奏总纲!N51</f>
        <v>58</v>
      </c>
      <c r="C51" s="6">
        <v>48</v>
      </c>
      <c r="D51" s="6">
        <f>[1]节奏总纲!P51</f>
        <v>26.857618025475972</v>
      </c>
      <c r="E51" s="6">
        <f>[1]节奏总纲!Q51</f>
        <v>23.425214441820142</v>
      </c>
      <c r="F51" s="6">
        <f>[1]节奏总纲!R51</f>
        <v>19.329427692935056</v>
      </c>
      <c r="G51" s="6">
        <f>[1]节奏总纲!S51</f>
        <v>14.269452456935383</v>
      </c>
      <c r="H51" s="6">
        <f>[1]节奏总纲!T51</f>
        <v>7.9605979827510778</v>
      </c>
      <c r="J51" s="9">
        <v>48</v>
      </c>
      <c r="K51" s="10">
        <f>[1]节奏总纲!W51</f>
        <v>1.8655413420764368</v>
      </c>
      <c r="L51" s="10">
        <f>[1]节奏总纲!X51</f>
        <v>1.6021330818756674</v>
      </c>
      <c r="M51" s="10">
        <f>[1]节奏总纲!Y51</f>
        <v>1.3326332732190522</v>
      </c>
      <c r="N51" s="10">
        <f>[1]节奏总纲!Z51</f>
        <v>0.93368033867339228</v>
      </c>
      <c r="O51" s="10">
        <f>[1]节奏总纲!AA51</f>
        <v>0.51795754643469571</v>
      </c>
      <c r="Q51" s="9">
        <v>48</v>
      </c>
      <c r="R51" s="10">
        <f>[1]节奏总纲!AD51</f>
        <v>56.142785979989682</v>
      </c>
      <c r="S51" s="10">
        <f>[1]节奏总纲!AE51</f>
        <v>58.155157256402767</v>
      </c>
      <c r="T51" s="10">
        <f>[1]节奏总纲!AF51</f>
        <v>61.006268532239034</v>
      </c>
      <c r="U51" s="10">
        <f>[1]节奏总纲!AG51</f>
        <v>65.330972386106993</v>
      </c>
      <c r="V51" s="10">
        <f>[1]节奏总纲!AH51</f>
        <v>73.948464567473962</v>
      </c>
      <c r="Z51" s="12">
        <f>[1]节奏总纲!AL51</f>
        <v>48</v>
      </c>
      <c r="AA51" s="12">
        <f>[1]节奏总纲!AM51</f>
        <v>437.90148836012787</v>
      </c>
      <c r="AB51" s="12">
        <f>[1]节奏总纲!AN51</f>
        <v>350.32119068810232</v>
      </c>
      <c r="AC51" s="12">
        <f>[1]节奏总纲!AO51</f>
        <v>262.74089301607671</v>
      </c>
      <c r="AD51" s="12">
        <f>[1]节奏总纲!AP51</f>
        <v>175.16059534405116</v>
      </c>
      <c r="AE51" s="12">
        <f>[1]节奏总纲!AQ51</f>
        <v>87.58029767202558</v>
      </c>
      <c r="AG51" s="12">
        <f>[1]节奏总纲!AS51</f>
        <v>48</v>
      </c>
      <c r="AH51" s="12">
        <f>[1]节奏总纲!AT51</f>
        <v>60.132180183323612</v>
      </c>
      <c r="AI51" s="12">
        <f>[1]节奏总纲!AU51</f>
        <v>48.105744146658878</v>
      </c>
      <c r="AJ51" s="12">
        <f>[1]节奏总纲!AV51</f>
        <v>36.079308109994173</v>
      </c>
      <c r="AK51" s="12">
        <f>[1]节奏总纲!AW51</f>
        <v>24.052872073329439</v>
      </c>
      <c r="AL51" s="12">
        <f>[1]节奏总纲!AX51</f>
        <v>12.02643603666472</v>
      </c>
      <c r="AM51" s="11"/>
      <c r="AN51" s="12">
        <f>[1]节奏总纲!AZ51</f>
        <v>48</v>
      </c>
      <c r="AO51" s="12">
        <f>[1]节奏总纲!BA51</f>
        <v>33.238809018460984</v>
      </c>
      <c r="AP51" s="12">
        <f>[1]节奏总纲!BB51</f>
        <v>34.627226072894942</v>
      </c>
      <c r="AQ51" s="12">
        <f>[1]节奏总纲!BC51</f>
        <v>36.526331209747774</v>
      </c>
      <c r="AR51" s="12">
        <f>[1]节奏总纲!BD51</f>
        <v>39.250296194358178</v>
      </c>
      <c r="AS51" s="12">
        <f>[1]节奏总纲!BE51</f>
        <v>43.928898311540578</v>
      </c>
    </row>
    <row r="52" spans="2:45" x14ac:dyDescent="0.15">
      <c r="B52" s="14">
        <f>[1]节奏总纲!N52</f>
        <v>59</v>
      </c>
      <c r="C52" s="6">
        <v>49</v>
      </c>
      <c r="D52" s="6">
        <f>[1]节奏总纲!P52</f>
        <v>28.857055729177837</v>
      </c>
      <c r="E52" s="6">
        <f>[1]节奏总纲!Q52</f>
        <v>25.166238301415991</v>
      </c>
      <c r="F52" s="6">
        <f>[1]节奏总纲!R52</f>
        <v>20.719366013549685</v>
      </c>
      <c r="G52" s="6">
        <f>[1]节奏总纲!S52</f>
        <v>15.268268186307994</v>
      </c>
      <c r="H52" s="6">
        <f>[1]节奏总纲!T52</f>
        <v>8.5474599069824766</v>
      </c>
      <c r="J52" s="9">
        <v>49</v>
      </c>
      <c r="K52" s="10">
        <f>[1]节奏总纲!W52</f>
        <v>1.9994377037018651</v>
      </c>
      <c r="L52" s="10">
        <f>[1]节奏总纲!X52</f>
        <v>1.7410238595958489</v>
      </c>
      <c r="M52" s="10">
        <f>[1]节奏总纲!Y52</f>
        <v>1.389938320614629</v>
      </c>
      <c r="N52" s="10">
        <f>[1]节奏总纲!Z52</f>
        <v>0.99881572937261076</v>
      </c>
      <c r="O52" s="10">
        <f>[1]节奏总纲!AA52</f>
        <v>0.58686192423139882</v>
      </c>
      <c r="Q52" s="9">
        <v>49</v>
      </c>
      <c r="R52" s="10">
        <f>[1]节奏总纲!AD52</f>
        <v>56.430041330048923</v>
      </c>
      <c r="S52" s="10">
        <f>[1]节奏总纲!AE52</f>
        <v>58.442483247955479</v>
      </c>
      <c r="T52" s="10">
        <f>[1]节奏总纲!AF52</f>
        <v>61.289495211956165</v>
      </c>
      <c r="U52" s="10">
        <f>[1]节奏总纲!AG52</f>
        <v>65.640268938313284</v>
      </c>
      <c r="V52" s="10">
        <f>[1]节奏总纲!AH52</f>
        <v>74.231558509323534</v>
      </c>
      <c r="Z52" s="12">
        <f>[1]节奏总纲!AL52</f>
        <v>49</v>
      </c>
      <c r="AA52" s="12">
        <f>[1]节奏总纲!AM52</f>
        <v>507.55295278468168</v>
      </c>
      <c r="AB52" s="12">
        <f>[1]节奏总纲!AN52</f>
        <v>406.04236222774534</v>
      </c>
      <c r="AC52" s="12">
        <f>[1]节奏总纲!AO52</f>
        <v>304.53177167080901</v>
      </c>
      <c r="AD52" s="12">
        <f>[1]节奏总纲!AP52</f>
        <v>203.02118111387267</v>
      </c>
      <c r="AE52" s="12">
        <f>[1]节奏总纲!AQ52</f>
        <v>101.51059055693634</v>
      </c>
      <c r="AG52" s="12">
        <f>[1]节奏总纲!AS52</f>
        <v>49</v>
      </c>
      <c r="AH52" s="12">
        <f>[1]节奏总纲!AT52</f>
        <v>69.651464424553808</v>
      </c>
      <c r="AI52" s="12">
        <f>[1]节奏总纲!AU52</f>
        <v>55.721171539643024</v>
      </c>
      <c r="AJ52" s="12">
        <f>[1]节奏总纲!AV52</f>
        <v>41.790878654732296</v>
      </c>
      <c r="AK52" s="12">
        <f>[1]节奏总纲!AW52</f>
        <v>27.860585769821512</v>
      </c>
      <c r="AL52" s="12">
        <f>[1]节奏总纲!AX52</f>
        <v>13.930292884910756</v>
      </c>
      <c r="AM52" s="11"/>
      <c r="AN52" s="12">
        <f>[1]节奏总纲!AZ52</f>
        <v>49</v>
      </c>
      <c r="AO52" s="12">
        <f>[1]节奏总纲!BA52</f>
        <v>33.363371207175248</v>
      </c>
      <c r="AP52" s="12">
        <f>[1]节奏总纲!BB52</f>
        <v>34.760359618289606</v>
      </c>
      <c r="AQ52" s="12">
        <f>[1]节奏总纲!BC52</f>
        <v>36.666615757473956</v>
      </c>
      <c r="AR52" s="12">
        <f>[1]节奏总纲!BD52</f>
        <v>39.385377961140485</v>
      </c>
      <c r="AS52" s="12">
        <f>[1]节奏总纲!BE52</f>
        <v>44.067911160744309</v>
      </c>
    </row>
    <row r="53" spans="2:45" x14ac:dyDescent="0.15">
      <c r="B53" s="14">
        <f>[1]节奏总纲!N53</f>
        <v>60</v>
      </c>
      <c r="C53" s="6">
        <v>50</v>
      </c>
      <c r="D53" s="6">
        <f>[1]节奏总纲!P53</f>
        <v>31</v>
      </c>
      <c r="E53" s="6">
        <f>[1]节奏总纲!Q53</f>
        <v>27.0351</v>
      </c>
      <c r="F53" s="6">
        <f>[1]节奏总纲!R53</f>
        <v>22.205300000000001</v>
      </c>
      <c r="G53" s="6">
        <f>[1]节奏总纲!S53</f>
        <v>16.386599999999998</v>
      </c>
      <c r="H53" s="6">
        <f>[1]节奏总纲!T53</f>
        <v>9.1883999999999997</v>
      </c>
      <c r="J53" s="9">
        <v>50</v>
      </c>
      <c r="K53" s="10">
        <f>[1]节奏总纲!W53</f>
        <v>2.1429442708221629</v>
      </c>
      <c r="L53" s="10">
        <f>[1]节奏总纲!X53</f>
        <v>1.8688616985840092</v>
      </c>
      <c r="M53" s="10">
        <f>[1]节奏总纲!Y53</f>
        <v>1.4859339864503163</v>
      </c>
      <c r="N53" s="10">
        <f>[1]节奏总纲!Z53</f>
        <v>1.118331813692004</v>
      </c>
      <c r="O53" s="10">
        <f>[1]节奏总纲!AA53</f>
        <v>0.64094009301752308</v>
      </c>
      <c r="Q53" s="9">
        <v>50</v>
      </c>
      <c r="R53" s="10">
        <f>[1]节奏总纲!AD53</f>
        <v>56.717296680108156</v>
      </c>
      <c r="S53" s="10">
        <f>[1]节奏总纲!AE53</f>
        <v>58.729809239508185</v>
      </c>
      <c r="T53" s="10">
        <f>[1]节奏总纲!AF53</f>
        <v>61.572721891673297</v>
      </c>
      <c r="U53" s="10">
        <f>[1]节奏总纲!AG53</f>
        <v>65.949565490519575</v>
      </c>
      <c r="V53" s="10">
        <f>[1]节奏总纲!AH53</f>
        <v>74.51042804689898</v>
      </c>
      <c r="Z53" s="12">
        <f>[1]节奏总纲!AL53</f>
        <v>50</v>
      </c>
      <c r="AA53" s="12">
        <f>[1]节奏总纲!AM53</f>
        <v>588.22499999999991</v>
      </c>
      <c r="AB53" s="12">
        <f>[1]节奏总纲!AN53</f>
        <v>470.57999999999993</v>
      </c>
      <c r="AC53" s="12">
        <f>[1]节奏总纲!AO53</f>
        <v>352.93499999999995</v>
      </c>
      <c r="AD53" s="12">
        <f>[1]节奏总纲!AP53</f>
        <v>235.28999999999996</v>
      </c>
      <c r="AE53" s="12">
        <f>[1]节奏总纲!AQ53</f>
        <v>117.64499999999998</v>
      </c>
      <c r="AG53" s="12">
        <f>[1]节奏总纲!AS53</f>
        <v>50</v>
      </c>
      <c r="AH53" s="12">
        <f>[1]节奏总纲!AT53</f>
        <v>80.67204721531823</v>
      </c>
      <c r="AI53" s="12">
        <f>[1]节奏总纲!AU53</f>
        <v>64.537637772254584</v>
      </c>
      <c r="AJ53" s="12">
        <f>[1]节奏总纲!AV53</f>
        <v>48.403228329190938</v>
      </c>
      <c r="AK53" s="12">
        <f>[1]节奏总纲!AW53</f>
        <v>32.268818886127292</v>
      </c>
      <c r="AL53" s="12">
        <f>[1]节奏总纲!AX53</f>
        <v>16.134409443063646</v>
      </c>
      <c r="AM53" s="11"/>
      <c r="AN53" s="12">
        <f>[1]节奏总纲!AZ53</f>
        <v>50</v>
      </c>
      <c r="AO53" s="12">
        <f>[1]节奏总纲!BA53</f>
        <v>33.487933395889513</v>
      </c>
      <c r="AP53" s="12">
        <f>[1]节奏总纲!BB53</f>
        <v>34.893493163684269</v>
      </c>
      <c r="AQ53" s="12">
        <f>[1]节奏总纲!BC53</f>
        <v>36.806900305200131</v>
      </c>
      <c r="AR53" s="12">
        <f>[1]节奏总纲!BD53</f>
        <v>39.520459727922798</v>
      </c>
      <c r="AS53" s="12">
        <f>[1]节奏总纲!BE53</f>
        <v>44.197188392263818</v>
      </c>
    </row>
    <row r="54" spans="2:45" x14ac:dyDescent="0.15">
      <c r="B54" s="14">
        <f>[1]节奏总纲!N54</f>
        <v>61</v>
      </c>
      <c r="C54" s="6">
        <v>51</v>
      </c>
      <c r="D54" s="6">
        <f>[1]节奏总纲!P54</f>
        <v>33.296750801161366</v>
      </c>
      <c r="E54" s="6">
        <f>[1]节奏总纲!Q54</f>
        <v>28.928217096048996</v>
      </c>
      <c r="F54" s="6">
        <f>[1]节奏总纲!R54</f>
        <v>23.783869097269566</v>
      </c>
      <c r="G54" s="6">
        <f>[1]节奏总纲!S54</f>
        <v>17.587343773173433</v>
      </c>
      <c r="H54" s="6">
        <f>[1]节奏总纲!T54</f>
        <v>9.8458492119034169</v>
      </c>
      <c r="J54" s="9">
        <v>51</v>
      </c>
      <c r="K54" s="10">
        <f>[1]节奏总纲!W54</f>
        <v>2.296750801161366</v>
      </c>
      <c r="L54" s="10">
        <f>[1]节奏总纲!X54</f>
        <v>1.8931170960489965</v>
      </c>
      <c r="M54" s="10">
        <f>[1]节奏总纲!Y54</f>
        <v>1.5785690972695647</v>
      </c>
      <c r="N54" s="10">
        <f>[1]节奏总纲!Z54</f>
        <v>1.2007437731734356</v>
      </c>
      <c r="O54" s="10">
        <f>[1]节奏总纲!AA54</f>
        <v>0.65744921190341721</v>
      </c>
      <c r="Q54" s="9">
        <v>51</v>
      </c>
      <c r="R54" s="10">
        <f>[1]节奏总纲!AD54</f>
        <v>57.004247194324648</v>
      </c>
      <c r="S54" s="10">
        <f>[1]节奏总纲!AE54</f>
        <v>59.016342740868758</v>
      </c>
      <c r="T54" s="10">
        <f>[1]节奏总纲!AF54</f>
        <v>61.855948571390428</v>
      </c>
      <c r="U54" s="10">
        <f>[1]节奏总纲!AG54</f>
        <v>66.241691764589476</v>
      </c>
      <c r="V54" s="10">
        <f>[1]节奏总纲!AH54</f>
        <v>74.789297584474426</v>
      </c>
      <c r="AN54" s="12">
        <f>[1]节奏总纲!AZ54</f>
        <v>51</v>
      </c>
      <c r="AO54" s="12">
        <f>[1]节奏总纲!BA54</f>
        <v>33.612495584603778</v>
      </c>
      <c r="AP54" s="12">
        <f>[1]节奏总纲!BB54</f>
        <v>35.024397713965918</v>
      </c>
      <c r="AQ54" s="12">
        <f>[1]节奏总纲!BC54</f>
        <v>36.947184852926306</v>
      </c>
      <c r="AR54" s="12">
        <f>[1]节奏总纲!BD54</f>
        <v>39.655541494705105</v>
      </c>
      <c r="AS54" s="12">
        <f>[1]节奏总纲!BE54</f>
        <v>44.326465623783335</v>
      </c>
    </row>
    <row r="55" spans="2:45" x14ac:dyDescent="0.15">
      <c r="B55" s="14">
        <f>[1]节奏总纲!N55</f>
        <v>62</v>
      </c>
      <c r="C55" s="6">
        <v>52</v>
      </c>
      <c r="D55" s="6">
        <f>[1]节奏总纲!P55</f>
        <v>35.758347359905123</v>
      </c>
      <c r="E55" s="6">
        <f>[1]节奏总纲!Q55</f>
        <v>31.081155525229534</v>
      </c>
      <c r="F55" s="6">
        <f>[1]节奏总纲!R55</f>
        <v>25.606552544428059</v>
      </c>
      <c r="G55" s="6">
        <f>[1]节奏总纲!S55</f>
        <v>18.930469092333773</v>
      </c>
      <c r="H55" s="6">
        <f>[1]节奏总纲!T55</f>
        <v>10.570167479587953</v>
      </c>
      <c r="J55" s="9">
        <v>52</v>
      </c>
      <c r="K55" s="10">
        <f>[1]节奏总纲!W55</f>
        <v>2.4615965587437572</v>
      </c>
      <c r="L55" s="10">
        <f>[1]节奏总纲!X55</f>
        <v>2.1529384291805371</v>
      </c>
      <c r="M55" s="10">
        <f>[1]节奏总纲!Y55</f>
        <v>1.822683447158493</v>
      </c>
      <c r="N55" s="10">
        <f>[1]节奏总纲!Z55</f>
        <v>1.3431253191603396</v>
      </c>
      <c r="O55" s="10">
        <f>[1]节奏总纲!AA55</f>
        <v>0.72431826768453611</v>
      </c>
      <c r="Q55" s="9">
        <v>52</v>
      </c>
      <c r="R55" s="10">
        <f>[1]节奏总纲!AD55</f>
        <v>57.27226591292537</v>
      </c>
      <c r="S55" s="10">
        <f>[1]节奏总纲!AE55</f>
        <v>59.290380144164828</v>
      </c>
      <c r="T55" s="10">
        <f>[1]节奏总纲!AF55</f>
        <v>62.130298748930763</v>
      </c>
      <c r="U55" s="10">
        <f>[1]节奏总纲!AG55</f>
        <v>66.530472725664353</v>
      </c>
      <c r="V55" s="10">
        <f>[1]节奏总纲!AH55</f>
        <v>75.062532510920803</v>
      </c>
      <c r="AN55" s="12">
        <f>[1]节奏总纲!AZ55</f>
        <v>52</v>
      </c>
      <c r="AO55" s="12">
        <f>[1]节奏总纲!BA55</f>
        <v>33.737057773318043</v>
      </c>
      <c r="AP55" s="12">
        <f>[1]节奏总纲!BB55</f>
        <v>35.146386283795508</v>
      </c>
      <c r="AQ55" s="12">
        <f>[1]节奏总纲!BC55</f>
        <v>37.075448197698059</v>
      </c>
      <c r="AR55" s="12">
        <f>[1]节奏总纲!BD55</f>
        <v>39.790623261487418</v>
      </c>
      <c r="AS55" s="12">
        <f>[1]节奏总纲!BE55</f>
        <v>44.455742855302844</v>
      </c>
    </row>
    <row r="56" spans="2:45" x14ac:dyDescent="0.15">
      <c r="B56" s="14">
        <f>[1]节奏总纲!N56</f>
        <v>63</v>
      </c>
      <c r="C56" s="6">
        <v>53</v>
      </c>
      <c r="D56" s="6">
        <f>[1]节奏总纲!P56</f>
        <v>38.396621227037308</v>
      </c>
      <c r="E56" s="6">
        <f>[1]节奏总纲!Q56</f>
        <v>33.42809844025868</v>
      </c>
      <c r="F56" s="6">
        <f>[1]节奏总纲!R56</f>
        <v>27.5802930273809</v>
      </c>
      <c r="G56" s="6">
        <f>[1]节奏总纲!S56</f>
        <v>20.319491953348145</v>
      </c>
      <c r="H56" s="6">
        <f>[1]节奏总纲!T56</f>
        <v>11.338522248344118</v>
      </c>
      <c r="J56" s="9">
        <v>53</v>
      </c>
      <c r="K56" s="10">
        <f>[1]节奏总纲!W56</f>
        <v>2.6382738671321846</v>
      </c>
      <c r="L56" s="10">
        <f>[1]节奏总纲!X56</f>
        <v>2.3469429150291461</v>
      </c>
      <c r="M56" s="10">
        <f>[1]节奏总纲!Y56</f>
        <v>1.9737404829528415</v>
      </c>
      <c r="N56" s="10">
        <f>[1]节奏总纲!Z56</f>
        <v>1.3890228610143716</v>
      </c>
      <c r="O56" s="10">
        <f>[1]节奏总纲!AA56</f>
        <v>0.76835476875616493</v>
      </c>
      <c r="Q56" s="9">
        <v>53</v>
      </c>
      <c r="R56" s="10">
        <f>[1]节奏总纲!AD56</f>
        <v>57.540284631526099</v>
      </c>
      <c r="S56" s="10">
        <f>[1]节奏总纲!AE56</f>
        <v>59.564417547460899</v>
      </c>
      <c r="T56" s="10">
        <f>[1]节奏总纲!AF56</f>
        <v>62.395461425033538</v>
      </c>
      <c r="U56" s="10">
        <f>[1]节奏总纲!AG56</f>
        <v>66.819253686739231</v>
      </c>
      <c r="V56" s="10">
        <f>[1]节奏总纲!AH56</f>
        <v>75.318351032805268</v>
      </c>
      <c r="AN56" s="12">
        <f>[1]节奏总纲!AZ56</f>
        <v>53</v>
      </c>
      <c r="AO56" s="12">
        <f>[1]节奏总纲!BA56</f>
        <v>33.861619962032307</v>
      </c>
      <c r="AP56" s="12">
        <f>[1]节奏总纲!BB56</f>
        <v>35.268374853625097</v>
      </c>
      <c r="AQ56" s="12">
        <f>[1]节奏总纲!BC56</f>
        <v>37.196452985793947</v>
      </c>
      <c r="AR56" s="12">
        <f>[1]节奏总纲!BD56</f>
        <v>39.925705028269732</v>
      </c>
      <c r="AS56" s="12">
        <f>[1]节奏总纲!BE56</f>
        <v>44.585020086822361</v>
      </c>
    </row>
    <row r="57" spans="2:45" x14ac:dyDescent="0.15">
      <c r="B57" s="14">
        <f>[1]节奏总纲!N57</f>
        <v>64</v>
      </c>
      <c r="C57" s="6">
        <v>54</v>
      </c>
      <c r="D57" s="6">
        <f>[1]节奏总纲!P57</f>
        <v>41.224253144732614</v>
      </c>
      <c r="E57" s="6">
        <f>[1]节奏总纲!Q57</f>
        <v>35.947548742206841</v>
      </c>
      <c r="F57" s="6">
        <f>[1]节奏总纲!R57</f>
        <v>29.553667079458812</v>
      </c>
      <c r="G57" s="6">
        <f>[1]节奏总纲!S57</f>
        <v>21.762283235104348</v>
      </c>
      <c r="H57" s="6">
        <f>[1]节奏总纲!T57</f>
        <v>12.111685573922442</v>
      </c>
      <c r="J57" s="9">
        <v>54</v>
      </c>
      <c r="K57" s="10">
        <f>[1]节奏总纲!W57</f>
        <v>2.8276319176953066</v>
      </c>
      <c r="L57" s="10">
        <f>[1]节奏总纲!X57</f>
        <v>2.5194503019481616</v>
      </c>
      <c r="M57" s="10">
        <f>[1]节奏总纲!Y57</f>
        <v>1.9733740520779115</v>
      </c>
      <c r="N57" s="10">
        <f>[1]节奏总纲!Z57</f>
        <v>1.4427912817562039</v>
      </c>
      <c r="O57" s="10">
        <f>[1]节奏总纲!AA57</f>
        <v>0.77316332557832368</v>
      </c>
      <c r="Q57" s="9">
        <v>54</v>
      </c>
      <c r="R57" s="10">
        <f>[1]节奏总纲!AD57</f>
        <v>57.80830335012682</v>
      </c>
      <c r="S57" s="10">
        <f>[1]节奏总纲!AE57</f>
        <v>59.838454950756969</v>
      </c>
      <c r="T57" s="10">
        <f>[1]节奏总纲!AF57</f>
        <v>62.660624101136307</v>
      </c>
      <c r="U57" s="10">
        <f>[1]节奏总纲!AG57</f>
        <v>67.098789255934349</v>
      </c>
      <c r="V57" s="10">
        <f>[1]节奏总纲!AH57</f>
        <v>75.574169554689718</v>
      </c>
      <c r="AN57" s="12">
        <f>[1]节奏总纲!AZ57</f>
        <v>54</v>
      </c>
      <c r="AO57" s="12">
        <f>[1]节奏总纲!BA57</f>
        <v>33.986182150746572</v>
      </c>
      <c r="AP57" s="12">
        <f>[1]节奏总纲!BB57</f>
        <v>35.390363423454687</v>
      </c>
      <c r="AQ57" s="12">
        <f>[1]节奏总纲!BC57</f>
        <v>37.317457773889828</v>
      </c>
      <c r="AR57" s="12">
        <f>[1]节奏总纲!BD57</f>
        <v>40.052446592012309</v>
      </c>
      <c r="AS57" s="12">
        <f>[1]节奏总纲!BE57</f>
        <v>44.71429731834187</v>
      </c>
    </row>
    <row r="58" spans="2:45" x14ac:dyDescent="0.15">
      <c r="B58" s="14">
        <f>[1]节奏总纲!N58</f>
        <v>65</v>
      </c>
      <c r="C58" s="6">
        <v>55</v>
      </c>
      <c r="D58" s="6">
        <f>[1]节奏总纲!P58</f>
        <v>44.254833995939045</v>
      </c>
      <c r="E58" s="6">
        <f>[1]节奏总纲!Q58</f>
        <v>38.53268396026413</v>
      </c>
      <c r="F58" s="6">
        <f>[1]节奏总纲!R58</f>
        <v>31.642206307096416</v>
      </c>
      <c r="G58" s="6">
        <f>[1]节奏总纲!S58</f>
        <v>23.282468165263531</v>
      </c>
      <c r="H58" s="6">
        <f>[1]节奏总纲!T58</f>
        <v>12.944538943812169</v>
      </c>
      <c r="J58" s="9">
        <v>55</v>
      </c>
      <c r="K58" s="10">
        <f>[1]节奏总纲!W58</f>
        <v>3.0305808512064303</v>
      </c>
      <c r="L58" s="10">
        <f>[1]节奏总纲!X58</f>
        <v>2.5851352180572889</v>
      </c>
      <c r="M58" s="10">
        <f>[1]节奏总纲!Y58</f>
        <v>2.0885392276376038</v>
      </c>
      <c r="N58" s="10">
        <f>[1]节奏总纲!Z58</f>
        <v>1.5201849301591821</v>
      </c>
      <c r="O58" s="10">
        <f>[1]节奏总纲!AA58</f>
        <v>0.8328533698897278</v>
      </c>
      <c r="Q58" s="9">
        <v>55</v>
      </c>
      <c r="R58" s="10">
        <f>[1]节奏总纲!AD58</f>
        <v>58.071211008105138</v>
      </c>
      <c r="S58" s="10">
        <f>[1]节奏总纲!AE58</f>
        <v>60.102437883401088</v>
      </c>
      <c r="T58" s="10">
        <f>[1]节奏总纲!AF58</f>
        <v>62.925786777239075</v>
      </c>
      <c r="U58" s="10">
        <f>[1]节奏总纲!AG58</f>
        <v>67.36285691246691</v>
      </c>
      <c r="V58" s="10">
        <f>[1]节奏总纲!AH58</f>
        <v>75.829988076574182</v>
      </c>
      <c r="AN58" s="12">
        <f>[1]节奏总纲!AZ58</f>
        <v>55</v>
      </c>
      <c r="AO58" s="12">
        <f>[1]节奏总纲!BA58</f>
        <v>34.09469189131628</v>
      </c>
      <c r="AP58" s="12">
        <f>[1]节奏总纲!BB58</f>
        <v>35.512351993284277</v>
      </c>
      <c r="AQ58" s="12">
        <f>[1]节奏总纲!BC58</f>
        <v>37.438462561985709</v>
      </c>
      <c r="AR58" s="12">
        <f>[1]节奏总纲!BD58</f>
        <v>40.168994574261895</v>
      </c>
      <c r="AS58" s="12">
        <f>[1]节奏总纲!BE58</f>
        <v>44.843574549861387</v>
      </c>
    </row>
    <row r="59" spans="2:45" x14ac:dyDescent="0.15">
      <c r="B59" s="14">
        <f>[1]节奏总纲!N59</f>
        <v>66</v>
      </c>
      <c r="C59" s="6">
        <v>56</v>
      </c>
      <c r="D59" s="6">
        <f>[1]节奏总纲!P59</f>
        <v>47.502930128332721</v>
      </c>
      <c r="E59" s="6">
        <f>[1]节奏总纲!Q59</f>
        <v>41.275295988508304</v>
      </c>
      <c r="F59" s="6">
        <f>[1]节奏总纲!R59</f>
        <v>33.888590353552566</v>
      </c>
      <c r="G59" s="6">
        <f>[1]节奏总纲!S59</f>
        <v>24.910536559297679</v>
      </c>
      <c r="H59" s="6">
        <f>[1]节奏总纲!T59</f>
        <v>13.837603546383322</v>
      </c>
      <c r="J59" s="9">
        <v>56</v>
      </c>
      <c r="K59" s="10">
        <f>[1]节奏总纲!W59</f>
        <v>3.2480961323936768</v>
      </c>
      <c r="L59" s="10">
        <f>[1]节奏总纲!X59</f>
        <v>2.7426120282441744</v>
      </c>
      <c r="M59" s="10">
        <f>[1]节奏总纲!Y59</f>
        <v>2.24638404645615</v>
      </c>
      <c r="N59" s="10">
        <f>[1]节奏总纲!Z59</f>
        <v>1.6280683940341483</v>
      </c>
      <c r="O59" s="10">
        <f>[1]节奏总纲!AA59</f>
        <v>0.89306460257115283</v>
      </c>
      <c r="Q59" s="9">
        <v>56</v>
      </c>
      <c r="R59" s="10">
        <f>[1]节奏总纲!AD59</f>
        <v>58.321281314909029</v>
      </c>
      <c r="S59" s="10">
        <f>[1]节奏总纲!AE59</f>
        <v>60.351982057337977</v>
      </c>
      <c r="T59" s="10">
        <f>[1]节奏总纲!AF59</f>
        <v>63.17626763611517</v>
      </c>
      <c r="U59" s="10">
        <f>[1]节奏总纲!AG59</f>
        <v>67.626924568999456</v>
      </c>
      <c r="V59" s="10">
        <f>[1]节奏总纲!AH59</f>
        <v>76.086647524934079</v>
      </c>
      <c r="AN59" s="12">
        <f>[1]节奏总纲!AZ59</f>
        <v>56</v>
      </c>
      <c r="AO59" s="12">
        <f>[1]节奏总纲!BA59</f>
        <v>34.201198727632011</v>
      </c>
      <c r="AP59" s="12">
        <f>[1]节奏总纲!BB59</f>
        <v>35.634340563113874</v>
      </c>
      <c r="AQ59" s="12">
        <f>[1]节奏总纲!BC59</f>
        <v>37.55946735008159</v>
      </c>
      <c r="AR59" s="12">
        <f>[1]节奏总纲!BD59</f>
        <v>40.28554255651148</v>
      </c>
      <c r="AS59" s="12">
        <f>[1]节奏总纲!BE59</f>
        <v>44.972851781380903</v>
      </c>
    </row>
    <row r="60" spans="2:45" x14ac:dyDescent="0.15">
      <c r="B60" s="14">
        <f>[1]节奏总纲!N60</f>
        <v>67</v>
      </c>
      <c r="C60" s="6">
        <v>57</v>
      </c>
      <c r="D60" s="6">
        <f>[1]节奏总纲!P60</f>
        <v>50.984153366799077</v>
      </c>
      <c r="E60" s="6">
        <f>[1]节奏总纲!Q60</f>
        <v>44.310327691085078</v>
      </c>
      <c r="F60" s="6">
        <f>[1]节奏总纲!R60</f>
        <v>36.316012443170983</v>
      </c>
      <c r="G60" s="6">
        <f>[1]节奏总纲!S60</f>
        <v>26.664712210835919</v>
      </c>
      <c r="H60" s="6">
        <f>[1]节奏总纲!T60</f>
        <v>14.815994968391813</v>
      </c>
      <c r="J60" s="9">
        <v>57</v>
      </c>
      <c r="K60" s="10">
        <f>[1]节奏总纲!W60</f>
        <v>3.481223238466356</v>
      </c>
      <c r="L60" s="10">
        <f>[1]节奏总纲!X60</f>
        <v>3.0350317025767737</v>
      </c>
      <c r="M60" s="10">
        <f>[1]节奏总纲!Y60</f>
        <v>2.4274220896184175</v>
      </c>
      <c r="N60" s="10">
        <f>[1]节奏总纲!Z60</f>
        <v>1.7541756515382403</v>
      </c>
      <c r="O60" s="10">
        <f>[1]节奏总纲!AA60</f>
        <v>0.97839142200849061</v>
      </c>
      <c r="Q60" s="9">
        <v>57</v>
      </c>
      <c r="R60" s="10">
        <f>[1]节奏总纲!AD60</f>
        <v>58.571351621712921</v>
      </c>
      <c r="S60" s="10">
        <f>[1]节奏总纲!AE60</f>
        <v>60.60152623127486</v>
      </c>
      <c r="T60" s="10">
        <f>[1]节奏总纲!AF60</f>
        <v>63.421042351541736</v>
      </c>
      <c r="U60" s="10">
        <f>[1]节奏总纲!AG60</f>
        <v>67.890992225532017</v>
      </c>
      <c r="V60" s="10">
        <f>[1]节奏总纲!AH60</f>
        <v>76.344973133357612</v>
      </c>
      <c r="AN60" s="12">
        <f>[1]节奏总纲!AZ60</f>
        <v>57</v>
      </c>
      <c r="AO60" s="12">
        <f>[1]节奏总纲!BA60</f>
        <v>34.307705563947749</v>
      </c>
      <c r="AP60" s="12">
        <f>[1]节奏总纲!BB60</f>
        <v>35.756329132943463</v>
      </c>
      <c r="AQ60" s="12">
        <f>[1]节奏总纲!BC60</f>
        <v>37.680472138177478</v>
      </c>
      <c r="AR60" s="12">
        <f>[1]节奏总纲!BD60</f>
        <v>40.402090538761065</v>
      </c>
      <c r="AS60" s="12">
        <f>[1]节奏总纲!BE60</f>
        <v>45.088151688727308</v>
      </c>
    </row>
    <row r="61" spans="2:45" x14ac:dyDescent="0.15">
      <c r="B61" s="14">
        <f>[1]节奏总纲!N61</f>
        <v>68</v>
      </c>
      <c r="C61" s="6">
        <v>58</v>
      </c>
      <c r="D61" s="6">
        <f>[1]节奏总纲!P61</f>
        <v>54.715236050951923</v>
      </c>
      <c r="E61" s="6">
        <f>[1]节奏总纲!Q61</f>
        <v>47.459995750595695</v>
      </c>
      <c r="F61" s="6">
        <f>[1]节奏总纲!R61</f>
        <v>38.913475879437009</v>
      </c>
      <c r="G61" s="6">
        <f>[1]节奏总纲!S61</f>
        <v>28.572296265807093</v>
      </c>
      <c r="H61" s="6">
        <f>[1]节奏总纲!T61</f>
        <v>15.856475407565867</v>
      </c>
      <c r="J61" s="9">
        <v>58</v>
      </c>
      <c r="K61" s="10">
        <f>[1]节奏总纲!W61</f>
        <v>3.7310826841528453</v>
      </c>
      <c r="L61" s="10">
        <f>[1]节奏总纲!X61</f>
        <v>3.149668059510617</v>
      </c>
      <c r="M61" s="10">
        <f>[1]节奏总纲!Y61</f>
        <v>2.5974634362660254</v>
      </c>
      <c r="N61" s="10">
        <f>[1]节奏总纲!Z61</f>
        <v>1.9075840549711742</v>
      </c>
      <c r="O61" s="10">
        <f>[1]节奏总纲!AA61</f>
        <v>1.0404804391740541</v>
      </c>
      <c r="Q61" s="9">
        <v>58</v>
      </c>
      <c r="R61" s="10">
        <f>[1]节奏总纲!AD61</f>
        <v>58.821421928516813</v>
      </c>
      <c r="S61" s="10">
        <f>[1]节奏总纲!AE61</f>
        <v>60.851070405211743</v>
      </c>
      <c r="T61" s="10">
        <f>[1]节奏总纲!AF61</f>
        <v>63.665817066968295</v>
      </c>
      <c r="U61" s="10">
        <f>[1]节奏总纲!AG61</f>
        <v>68.142437172458173</v>
      </c>
      <c r="V61" s="10">
        <f>[1]节奏总纲!AH61</f>
        <v>76.60329874178116</v>
      </c>
      <c r="AN61" s="12">
        <f>[1]节奏总纲!AZ61</f>
        <v>58</v>
      </c>
      <c r="AO61" s="12">
        <f>[1]节奏总纲!BA61</f>
        <v>34.41421240026348</v>
      </c>
      <c r="AP61" s="12">
        <f>[1]节奏总纲!BB61</f>
        <v>35.878317702773053</v>
      </c>
      <c r="AQ61" s="12">
        <f>[1]节奏总纲!BC61</f>
        <v>37.801476926273359</v>
      </c>
      <c r="AR61" s="12">
        <f>[1]节奏总纲!BD61</f>
        <v>40.518638521010644</v>
      </c>
      <c r="AS61" s="12">
        <f>[1]节奏总纲!BE61</f>
        <v>45.199736104837825</v>
      </c>
    </row>
    <row r="62" spans="2:45" x14ac:dyDescent="0.15">
      <c r="B62" s="14">
        <f>[1]节奏总纲!N62</f>
        <v>69</v>
      </c>
      <c r="C62" s="6">
        <v>59</v>
      </c>
      <c r="D62" s="6">
        <f>[1]节奏总纲!P62</f>
        <v>58.714111458355703</v>
      </c>
      <c r="E62" s="6">
        <f>[1]节奏总纲!Q62</f>
        <v>50.940363101269412</v>
      </c>
      <c r="F62" s="6">
        <f>[1]节奏总纲!R62</f>
        <v>41.728119013453394</v>
      </c>
      <c r="G62" s="6">
        <f>[1]节奏总纲!S62</f>
        <v>30.607666303240826</v>
      </c>
      <c r="H62" s="6">
        <f>[1]节奏总纲!T62</f>
        <v>17.003606678339814</v>
      </c>
      <c r="J62" s="9">
        <v>59</v>
      </c>
      <c r="K62" s="10">
        <f>[1]节奏总纲!W62</f>
        <v>3.99887540740378</v>
      </c>
      <c r="L62" s="10">
        <f>[1]节奏总纲!X62</f>
        <v>3.4803673506737169</v>
      </c>
      <c r="M62" s="10">
        <f>[1]节奏总纲!Y62</f>
        <v>2.8146431340163858</v>
      </c>
      <c r="N62" s="10">
        <f>[1]节奏总纲!Z62</f>
        <v>2.0353700374337329</v>
      </c>
      <c r="O62" s="10">
        <f>[1]节奏总纲!AA62</f>
        <v>1.1471312707739472</v>
      </c>
      <c r="Q62" s="9">
        <v>59</v>
      </c>
      <c r="R62" s="10">
        <f>[1]节奏总纲!AD62</f>
        <v>59.066704614192936</v>
      </c>
      <c r="S62" s="10">
        <f>[1]节奏总纲!AE62</f>
        <v>61.094954819415335</v>
      </c>
      <c r="T62" s="10">
        <f>[1]节奏总纲!AF62</f>
        <v>63.91059178239486</v>
      </c>
      <c r="U62" s="10">
        <f>[1]节奏总纲!AG62</f>
        <v>68.385008299388929</v>
      </c>
      <c r="V62" s="10">
        <f>[1]节奏总纲!AH62</f>
        <v>76.861624350204693</v>
      </c>
      <c r="AN62" s="12">
        <f>[1]节奏总纲!AZ62</f>
        <v>59</v>
      </c>
      <c r="AO62" s="12">
        <f>[1]节奏总纲!BA62</f>
        <v>34.520719236579211</v>
      </c>
      <c r="AP62" s="12">
        <f>[1]节奏总纲!BB62</f>
        <v>36.000264155774609</v>
      </c>
      <c r="AQ62" s="12">
        <f>[1]节奏总纲!BC62</f>
        <v>37.922481714369241</v>
      </c>
      <c r="AR62" s="12">
        <f>[1]节奏总纲!BD62</f>
        <v>40.635186503260229</v>
      </c>
      <c r="AS62" s="12">
        <f>[1]节奏总纲!BE62</f>
        <v>45.31132052094835</v>
      </c>
    </row>
    <row r="63" spans="2:45" x14ac:dyDescent="0.15">
      <c r="B63" s="14">
        <f>[1]节奏总纲!N63</f>
        <v>70</v>
      </c>
      <c r="C63" s="6">
        <v>60</v>
      </c>
      <c r="D63" s="6">
        <f>[1]节奏总纲!P63</f>
        <v>63</v>
      </c>
      <c r="E63" s="6">
        <f>[1]节奏总纲!Q63</f>
        <v>54.589500000000001</v>
      </c>
      <c r="F63" s="6">
        <f>[1]节奏总纲!R63</f>
        <v>44.717399999999998</v>
      </c>
      <c r="G63" s="6">
        <f>[1]节奏总纲!S63</f>
        <v>32.810400000000001</v>
      </c>
      <c r="H63" s="6">
        <f>[1]节奏总纲!T63</f>
        <v>18.276300000000003</v>
      </c>
      <c r="J63" s="9">
        <v>60</v>
      </c>
      <c r="K63" s="10">
        <f>[1]节奏总纲!W63</f>
        <v>4.2858885416442973</v>
      </c>
      <c r="L63" s="10">
        <f>[1]节奏总纲!X63</f>
        <v>3.649136898730589</v>
      </c>
      <c r="M63" s="10">
        <f>[1]节奏总纲!Y63</f>
        <v>2.9892809865466035</v>
      </c>
      <c r="N63" s="10">
        <f>[1]节奏总纲!Z63</f>
        <v>2.2027336967591751</v>
      </c>
      <c r="O63" s="10">
        <f>[1]节奏总纲!AA63</f>
        <v>1.2726933216601886</v>
      </c>
      <c r="Q63" s="9">
        <v>60</v>
      </c>
      <c r="R63" s="10">
        <f>[1]节奏总纲!AD63</f>
        <v>59.300028460644697</v>
      </c>
      <c r="S63" s="10">
        <f>[1]节奏总纲!AE63</f>
        <v>61.330461663183208</v>
      </c>
      <c r="T63" s="10">
        <f>[1]节奏总纲!AF63</f>
        <v>64.14304723627319</v>
      </c>
      <c r="U63" s="10">
        <f>[1]节奏总纲!AG63</f>
        <v>68.627579426319684</v>
      </c>
      <c r="V63" s="10">
        <f>[1]节奏总纲!AH63</f>
        <v>77.112805903056142</v>
      </c>
      <c r="AN63" s="12">
        <f>[1]节奏总纲!AZ63</f>
        <v>60</v>
      </c>
      <c r="AO63" s="12">
        <f>[1]节奏总纲!BA63</f>
        <v>34.627226072894942</v>
      </c>
      <c r="AP63" s="12">
        <f>[1]节奏总纲!BB63</f>
        <v>36.105477566569242</v>
      </c>
      <c r="AQ63" s="12">
        <f>[1]节奏总纲!BC63</f>
        <v>38.037513426486328</v>
      </c>
      <c r="AR63" s="12">
        <f>[1]节奏总纲!BD63</f>
        <v>40.751734485509814</v>
      </c>
      <c r="AS63" s="12">
        <f>[1]节奏总纲!BE63</f>
        <v>45.422904937058867</v>
      </c>
    </row>
    <row r="64" spans="2:45" x14ac:dyDescent="0.15">
      <c r="B64" s="14">
        <f>[1]节奏总纲!N64</f>
        <v>71</v>
      </c>
      <c r="C64" s="6">
        <v>61</v>
      </c>
      <c r="D64" s="6">
        <f>[1]节奏总纲!P64</f>
        <v>67.593501602322732</v>
      </c>
      <c r="E64" s="6">
        <f>[1]节奏总纲!Q64</f>
        <v>58.596806539053574</v>
      </c>
      <c r="F64" s="6">
        <f>[1]节奏总纲!R64</f>
        <v>47.977867437328676</v>
      </c>
      <c r="G64" s="6">
        <f>[1]节奏总纲!S64</f>
        <v>35.229733035130607</v>
      </c>
      <c r="H64" s="6">
        <f>[1]节奏总纲!T64</f>
        <v>19.602115464673592</v>
      </c>
      <c r="J64" s="9">
        <v>61</v>
      </c>
      <c r="K64" s="10">
        <f>[1]节奏总纲!W64</f>
        <v>4.593501602322732</v>
      </c>
      <c r="L64" s="10">
        <f>[1]节奏总纲!X64</f>
        <v>4.0073065390535731</v>
      </c>
      <c r="M64" s="10">
        <f>[1]节奏总纲!Y64</f>
        <v>3.2604674373286784</v>
      </c>
      <c r="N64" s="10">
        <f>[1]节奏总纲!Z64</f>
        <v>2.4193330351306059</v>
      </c>
      <c r="O64" s="10">
        <f>[1]节奏总纲!AA64</f>
        <v>1.3258154646735889</v>
      </c>
      <c r="Q64" s="9">
        <v>61</v>
      </c>
      <c r="R64" s="10">
        <f>[1]节奏总纲!AD64</f>
        <v>59.533352307096465</v>
      </c>
      <c r="S64" s="10">
        <f>[1]节奏总纲!AE64</f>
        <v>61.56596850695108</v>
      </c>
      <c r="T64" s="10">
        <f>[1]节奏总纲!AF64</f>
        <v>64.368413367596901</v>
      </c>
      <c r="U64" s="10">
        <f>[1]节奏总纲!AG64</f>
        <v>68.870150553250454</v>
      </c>
      <c r="V64" s="10">
        <f>[1]节奏总纲!AH64</f>
        <v>77.355745991356301</v>
      </c>
      <c r="AN64" s="12">
        <f>[1]节奏总纲!AZ64</f>
        <v>61</v>
      </c>
      <c r="AO64" s="12">
        <f>[1]节奏总纲!BA64</f>
        <v>34.733732909210673</v>
      </c>
      <c r="AP64" s="12">
        <f>[1]节奏总纲!BB64</f>
        <v>36.210690977363875</v>
      </c>
      <c r="AQ64" s="12">
        <f>[1]节奏总纲!BC64</f>
        <v>38.14189763688286</v>
      </c>
      <c r="AR64" s="12">
        <f>[1]节奏总纲!BD64</f>
        <v>40.8682824677594</v>
      </c>
      <c r="AS64" s="12">
        <f>[1]节奏总纲!BE64</f>
        <v>45.534489353169384</v>
      </c>
    </row>
    <row r="65" spans="2:45" x14ac:dyDescent="0.15">
      <c r="B65" s="14">
        <f>[1]节奏总纲!N65</f>
        <v>72</v>
      </c>
      <c r="C65" s="6">
        <v>62</v>
      </c>
      <c r="D65" s="6">
        <f>[1]节奏总纲!P65</f>
        <v>72.516694719810218</v>
      </c>
      <c r="E65" s="6">
        <f>[1]节奏总纲!Q65</f>
        <v>62.842967644187539</v>
      </c>
      <c r="F65" s="6">
        <f>[1]节奏总纲!R65</f>
        <v>51.5086082594812</v>
      </c>
      <c r="G65" s="6">
        <f>[1]节奏总纲!S65</f>
        <v>37.846462974268952</v>
      </c>
      <c r="H65" s="6">
        <f>[1]节奏总纲!T65</f>
        <v>21.124113171880715</v>
      </c>
      <c r="J65" s="9">
        <v>62</v>
      </c>
      <c r="K65" s="10">
        <f>[1]节奏总纲!W65</f>
        <v>4.9231931174874859</v>
      </c>
      <c r="L65" s="10">
        <f>[1]节奏总纲!X65</f>
        <v>4.2461611051339645</v>
      </c>
      <c r="M65" s="10">
        <f>[1]节奏总纲!Y65</f>
        <v>3.5307408221525236</v>
      </c>
      <c r="N65" s="10">
        <f>[1]节奏总纲!Z65</f>
        <v>2.6167299391383452</v>
      </c>
      <c r="O65" s="10">
        <f>[1]节奏总纲!AA65</f>
        <v>1.5219977072071238</v>
      </c>
      <c r="Q65" s="9">
        <v>62</v>
      </c>
      <c r="R65" s="10">
        <f>[1]节奏总纲!AD65</f>
        <v>59.766676153548232</v>
      </c>
      <c r="S65" s="10">
        <f>[1]节奏总纲!AE65</f>
        <v>61.801475350718952</v>
      </c>
      <c r="T65" s="10">
        <f>[1]节奏总纲!AF65</f>
        <v>64.593779498920611</v>
      </c>
      <c r="U65" s="10">
        <f>[1]节奏总纲!AG65</f>
        <v>69.105843627521551</v>
      </c>
      <c r="V65" s="10">
        <f>[1]节奏总纲!AH65</f>
        <v>77.59868607965646</v>
      </c>
      <c r="AN65" s="12">
        <f>[1]节奏总纲!AZ65</f>
        <v>62</v>
      </c>
      <c r="AO65" s="12">
        <f>[1]节奏总纲!BA65</f>
        <v>34.840239745526404</v>
      </c>
      <c r="AP65" s="12">
        <f>[1]节奏总纲!BB65</f>
        <v>36.315904388158508</v>
      </c>
      <c r="AQ65" s="12">
        <f>[1]节奏总纲!BC65</f>
        <v>38.246281847279398</v>
      </c>
      <c r="AR65" s="12">
        <f>[1]节奏总纲!BD65</f>
        <v>40.984830450008978</v>
      </c>
      <c r="AS65" s="12">
        <f>[1]节奏总纲!BE65</f>
        <v>45.646073769279901</v>
      </c>
    </row>
    <row r="66" spans="2:45" x14ac:dyDescent="0.15">
      <c r="B66" s="14">
        <f>[1]节奏总纲!N66</f>
        <v>73</v>
      </c>
      <c r="C66" s="6">
        <v>63</v>
      </c>
      <c r="D66" s="6">
        <f>[1]节奏总纲!P66</f>
        <v>77.793242454074615</v>
      </c>
      <c r="E66" s="6">
        <f>[1]节奏总纲!Q66</f>
        <v>67.470079180418907</v>
      </c>
      <c r="F66" s="6">
        <f>[1]节奏总纲!R66</f>
        <v>55.27987808786542</v>
      </c>
      <c r="G66" s="6">
        <f>[1]节奏总纲!S66</f>
        <v>40.678086479235617</v>
      </c>
      <c r="H66" s="6">
        <f>[1]节奏总纲!T66</f>
        <v>22.700068148098975</v>
      </c>
      <c r="J66" s="9">
        <v>63</v>
      </c>
      <c r="K66" s="10">
        <f>[1]节奏总纲!W66</f>
        <v>5.2765477342643976</v>
      </c>
      <c r="L66" s="10">
        <f>[1]节奏总纲!X66</f>
        <v>4.6271115362313679</v>
      </c>
      <c r="M66" s="10">
        <f>[1]节奏总纲!Y66</f>
        <v>3.7712698283842201</v>
      </c>
      <c r="N66" s="10">
        <f>[1]节奏总纲!Z66</f>
        <v>2.8316235049666645</v>
      </c>
      <c r="O66" s="10">
        <f>[1]节奏总纲!AA66</f>
        <v>1.5759549762182594</v>
      </c>
      <c r="Q66" s="9">
        <v>63</v>
      </c>
      <c r="R66" s="10">
        <f>[1]节奏总纲!AD66</f>
        <v>60</v>
      </c>
      <c r="S66" s="10">
        <f>[1]节奏总纲!AE66</f>
        <v>62.033937447710706</v>
      </c>
      <c r="T66" s="10">
        <f>[1]节奏总纲!AF66</f>
        <v>64.819145630244321</v>
      </c>
      <c r="U66" s="10">
        <f>[1]节奏总纲!AG66</f>
        <v>69.333613546893503</v>
      </c>
      <c r="V66" s="10">
        <f>[1]节奏总纲!AH66</f>
        <v>77.841626167956619</v>
      </c>
      <c r="AN66" s="12">
        <f>[1]节奏总纲!AZ66</f>
        <v>63</v>
      </c>
      <c r="AO66" s="12">
        <f>[1]节奏总纲!BA66</f>
        <v>34.946746581842135</v>
      </c>
      <c r="AP66" s="12">
        <f>[1]节奏总纲!BB66</f>
        <v>36.421117798953141</v>
      </c>
      <c r="AQ66" s="12">
        <f>[1]节奏总纲!BC66</f>
        <v>38.35066605767593</v>
      </c>
      <c r="AR66" s="12">
        <f>[1]节奏总纲!BD66</f>
        <v>41.087476216725996</v>
      </c>
      <c r="AS66" s="12">
        <f>[1]节奏总纲!BE66</f>
        <v>45.757658185390426</v>
      </c>
    </row>
    <row r="67" spans="2:45" x14ac:dyDescent="0.15">
      <c r="B67" s="14">
        <f>[1]节奏总纲!N67</f>
        <v>74</v>
      </c>
      <c r="C67" s="6">
        <v>64</v>
      </c>
      <c r="D67" s="6">
        <f>[1]节奏总纲!P67</f>
        <v>83.4485062894652</v>
      </c>
      <c r="E67" s="6">
        <f>[1]节奏总纲!Q67</f>
        <v>72.399924056740005</v>
      </c>
      <c r="F67" s="6">
        <f>[1]节奏总纲!R67</f>
        <v>59.365267374325548</v>
      </c>
      <c r="G67" s="6">
        <f>[1]节奏总纲!S67</f>
        <v>43.718672445050821</v>
      </c>
      <c r="H67" s="6">
        <f>[1]节奏总纲!T67</f>
        <v>24.341929284637001</v>
      </c>
      <c r="J67" s="9">
        <v>64</v>
      </c>
      <c r="K67" s="10">
        <f>[1]节奏总纲!W67</f>
        <v>5.6552638353905849</v>
      </c>
      <c r="L67" s="10">
        <f>[1]节奏总纲!X67</f>
        <v>4.9298448763210985</v>
      </c>
      <c r="M67" s="10">
        <f>[1]节奏总纲!Y67</f>
        <v>4.0853892864601278</v>
      </c>
      <c r="N67" s="10">
        <f>[1]节奏总纲!Z67</f>
        <v>3.0405859658152039</v>
      </c>
      <c r="O67" s="10">
        <f>[1]节奏总纲!AA67</f>
        <v>1.6418611365380258</v>
      </c>
      <c r="Q67" s="9">
        <v>64</v>
      </c>
      <c r="R67" s="10">
        <f>[1]节奏总纲!AD67</f>
        <v>60.217698846451768</v>
      </c>
      <c r="S67" s="10">
        <f>[1]节奏总纲!AE67</f>
        <v>62.250054995811666</v>
      </c>
      <c r="T67" s="10">
        <f>[1]节奏总纲!AF67</f>
        <v>65.042129882798193</v>
      </c>
      <c r="U67" s="10">
        <f>[1]节奏总纲!AG67</f>
        <v>69.56138346626544</v>
      </c>
      <c r="V67" s="10">
        <f>[1]节奏总纲!AH67</f>
        <v>78.077870469399883</v>
      </c>
      <c r="AN67" s="12">
        <f>[1]节奏总纲!AZ67</f>
        <v>64</v>
      </c>
      <c r="AO67" s="12">
        <f>[1]节奏总纲!BA67</f>
        <v>35.048795427931836</v>
      </c>
      <c r="AP67" s="12">
        <f>[1]节奏总纲!BB67</f>
        <v>36.526331209747774</v>
      </c>
      <c r="AQ67" s="12">
        <f>[1]节奏总纲!BC67</f>
        <v>38.455050268072462</v>
      </c>
      <c r="AR67" s="12">
        <f>[1]节奏总纲!BD67</f>
        <v>41.188041754455355</v>
      </c>
      <c r="AS67" s="12">
        <f>[1]节奏总纲!BE67</f>
        <v>45.869242601500943</v>
      </c>
    </row>
    <row r="68" spans="2:45" x14ac:dyDescent="0.15">
      <c r="B68" s="14">
        <f>[1]节奏总纲!N68</f>
        <v>75</v>
      </c>
      <c r="C68" s="6">
        <v>65</v>
      </c>
      <c r="D68" s="6">
        <f>[1]节奏总纲!P68</f>
        <v>89.509667991878061</v>
      </c>
      <c r="E68" s="6">
        <f>[1]节奏总纲!Q68</f>
        <v>77.64963698295422</v>
      </c>
      <c r="F68" s="6">
        <f>[1]节奏总纲!R68</f>
        <v>63.802491344610679</v>
      </c>
      <c r="G68" s="6">
        <f>[1]节奏总纲!S68</f>
        <v>46.929918928141667</v>
      </c>
      <c r="H68" s="6">
        <f>[1]节奏总纲!T68</f>
        <v>25.993607584841389</v>
      </c>
      <c r="J68" s="9">
        <v>65</v>
      </c>
      <c r="K68" s="10">
        <f>[1]节奏总纲!W68</f>
        <v>6.0611617024128606</v>
      </c>
      <c r="L68" s="10">
        <f>[1]节奏总纲!X68</f>
        <v>5.2497129262142153</v>
      </c>
      <c r="M68" s="10">
        <f>[1]节奏总纲!Y68</f>
        <v>4.4372239702851317</v>
      </c>
      <c r="N68" s="10">
        <f>[1]节奏总纲!Z68</f>
        <v>3.2112464830908465</v>
      </c>
      <c r="O68" s="10">
        <f>[1]节奏总纲!AA68</f>
        <v>1.651678300204388</v>
      </c>
      <c r="Q68" s="9">
        <v>65</v>
      </c>
      <c r="R68" s="10">
        <f>[1]节奏总纲!AD68</f>
        <v>60.435397692903535</v>
      </c>
      <c r="S68" s="10">
        <f>[1]节奏总纲!AE68</f>
        <v>62.466172543912634</v>
      </c>
      <c r="T68" s="10">
        <f>[1]节奏总纲!AF68</f>
        <v>65.255436396961542</v>
      </c>
      <c r="U68" s="10">
        <f>[1]节奏总纲!AG68</f>
        <v>69.789153385637391</v>
      </c>
      <c r="V68" s="10">
        <f>[1]节奏总纲!AH68</f>
        <v>78.301575047908599</v>
      </c>
      <c r="AN68" s="12">
        <f>[1]节奏总纲!AZ68</f>
        <v>65</v>
      </c>
      <c r="AO68" s="12">
        <f>[1]节奏总纲!BA68</f>
        <v>35.146386283795508</v>
      </c>
      <c r="AP68" s="12">
        <f>[1]节奏总纲!BB68</f>
        <v>36.631544620542407</v>
      </c>
      <c r="AQ68" s="12">
        <f>[1]节奏总纲!BC68</f>
        <v>38.559434478468994</v>
      </c>
      <c r="AR68" s="12">
        <f>[1]节奏总纲!BD68</f>
        <v>41.288607292184714</v>
      </c>
      <c r="AS68" s="12">
        <f>[1]节奏总纲!BE68</f>
        <v>45.98082701761146</v>
      </c>
    </row>
    <row r="69" spans="2:45" x14ac:dyDescent="0.15">
      <c r="B69" s="14">
        <f>[1]节奏总纲!N69</f>
        <v>76</v>
      </c>
      <c r="C69" s="6">
        <v>66</v>
      </c>
      <c r="D69" s="6">
        <f>[1]节奏总纲!P69</f>
        <v>96.005860256665443</v>
      </c>
      <c r="E69" s="6">
        <f>[1]节奏总纲!Q69</f>
        <v>83.352287874836932</v>
      </c>
      <c r="F69" s="6">
        <f>[1]节奏总纲!R69</f>
        <v>68.490580707105124</v>
      </c>
      <c r="G69" s="6">
        <f>[1]节奏总纲!S69</f>
        <v>50.163061984107692</v>
      </c>
      <c r="H69" s="6">
        <f>[1]节奏总纲!T69</f>
        <v>27.851300060458648</v>
      </c>
      <c r="J69" s="9">
        <v>66</v>
      </c>
      <c r="K69" s="10">
        <f>[1]节奏总纲!W69</f>
        <v>6.496192264787382</v>
      </c>
      <c r="L69" s="10">
        <f>[1]节奏总纲!X69</f>
        <v>5.7026508918827119</v>
      </c>
      <c r="M69" s="10">
        <f>[1]节奏总纲!Y69</f>
        <v>4.6880893624944449</v>
      </c>
      <c r="N69" s="10">
        <f>[1]节奏总纲!Z69</f>
        <v>3.2331430559660248</v>
      </c>
      <c r="O69" s="10">
        <f>[1]节奏总纲!AA69</f>
        <v>1.8576924756172595</v>
      </c>
      <c r="Q69" s="9">
        <v>66</v>
      </c>
      <c r="R69" s="10">
        <f>[1]节奏总纲!AD69</f>
        <v>60.653096539355303</v>
      </c>
      <c r="S69" s="10">
        <f>[1]节奏总纲!AE69</f>
        <v>62.682290092013595</v>
      </c>
      <c r="T69" s="10">
        <f>[1]节奏总纲!AF69</f>
        <v>65.468742911124906</v>
      </c>
      <c r="U69" s="10">
        <f>[1]节奏总纲!AG69</f>
        <v>70.015851474333999</v>
      </c>
      <c r="V69" s="10">
        <f>[1]节奏总纲!AH69</f>
        <v>78.525279626417301</v>
      </c>
      <c r="AN69" s="12">
        <f>[1]节奏总纲!AZ69</f>
        <v>66</v>
      </c>
      <c r="AO69" s="12">
        <f>[1]节奏总纲!BA69</f>
        <v>35.243977139659179</v>
      </c>
      <c r="AP69" s="12">
        <f>[1]节奏总纲!BB69</f>
        <v>36.73675803133704</v>
      </c>
      <c r="AQ69" s="12">
        <f>[1]节奏总纲!BC69</f>
        <v>38.663818688865533</v>
      </c>
      <c r="AR69" s="12">
        <f>[1]节奏总纲!BD69</f>
        <v>41.389172829914081</v>
      </c>
      <c r="AS69" s="12">
        <f>[1]节奏总纲!BE69</f>
        <v>46.079770001861057</v>
      </c>
    </row>
    <row r="70" spans="2:45" x14ac:dyDescent="0.15">
      <c r="B70" s="14">
        <f>[1]节奏总纲!N70</f>
        <v>77</v>
      </c>
      <c r="C70" s="6">
        <v>67</v>
      </c>
      <c r="D70" s="6">
        <f>[1]节奏总纲!P70</f>
        <v>102.96830673359811</v>
      </c>
      <c r="E70" s="6">
        <f>[1]节奏总纲!Q70</f>
        <v>89.469161720823394</v>
      </c>
      <c r="F70" s="6">
        <f>[1]节奏总纲!R70</f>
        <v>73.292840732975137</v>
      </c>
      <c r="G70" s="6">
        <f>[1]节奏总纲!S70</f>
        <v>53.625894146857902</v>
      </c>
      <c r="H70" s="6">
        <f>[1]节奏总纲!T70</f>
        <v>29.799027968703292</v>
      </c>
      <c r="J70" s="9">
        <v>67</v>
      </c>
      <c r="K70" s="10">
        <f>[1]节奏总纲!W70</f>
        <v>6.9624464769326693</v>
      </c>
      <c r="L70" s="10">
        <f>[1]节奏总纲!X70</f>
        <v>6.1168738459864613</v>
      </c>
      <c r="M70" s="10">
        <f>[1]节奏总纲!Y70</f>
        <v>4.8022600258700123</v>
      </c>
      <c r="N70" s="10">
        <f>[1]节奏总纲!Z70</f>
        <v>3.4628321627502103</v>
      </c>
      <c r="O70" s="10">
        <f>[1]节奏总纲!AA70</f>
        <v>1.9477279082446444</v>
      </c>
      <c r="Q70" s="9">
        <v>67</v>
      </c>
      <c r="R70" s="10">
        <f>[1]节奏总纲!AD70</f>
        <v>60.870795385807064</v>
      </c>
      <c r="S70" s="10">
        <f>[1]节奏总纲!AE70</f>
        <v>62.898407640114556</v>
      </c>
      <c r="T70" s="10">
        <f>[1]节奏总纲!AF70</f>
        <v>65.682049425288255</v>
      </c>
      <c r="U70" s="10">
        <f>[1]节奏总纲!AG70</f>
        <v>70.229195678021767</v>
      </c>
      <c r="V70" s="10">
        <f>[1]节奏总纲!AH70</f>
        <v>78.748984204926018</v>
      </c>
      <c r="AN70" s="12">
        <f>[1]节奏总纲!AZ70</f>
        <v>67</v>
      </c>
      <c r="AO70" s="12">
        <f>[1]节奏总纲!BA70</f>
        <v>35.341567995522851</v>
      </c>
      <c r="AP70" s="12">
        <f>[1]节奏总纲!BB70</f>
        <v>36.841971442131673</v>
      </c>
      <c r="AQ70" s="12">
        <f>[1]节奏总纲!BC70</f>
        <v>38.768202899262064</v>
      </c>
      <c r="AR70" s="12">
        <f>[1]节奏总纲!BD70</f>
        <v>41.48973836764344</v>
      </c>
      <c r="AS70" s="12">
        <f>[1]节奏总纲!BE70</f>
        <v>46.176090215954694</v>
      </c>
    </row>
    <row r="71" spans="2:45" x14ac:dyDescent="0.15">
      <c r="B71" s="14">
        <f>[1]节奏总纲!N71</f>
        <v>78</v>
      </c>
      <c r="C71" s="6">
        <v>68</v>
      </c>
      <c r="D71" s="6">
        <f>[1]节奏总纲!P71</f>
        <v>110.43047210190386</v>
      </c>
      <c r="E71" s="6">
        <f>[1]节奏总纲!Q71</f>
        <v>95.831563690032169</v>
      </c>
      <c r="F71" s="6">
        <f>[1]节奏总纲!R71</f>
        <v>78.251032531409081</v>
      </c>
      <c r="G71" s="6">
        <f>[1]节奏总纲!S71</f>
        <v>57.412802445779818</v>
      </c>
      <c r="H71" s="6">
        <f>[1]节奏总纲!T71</f>
        <v>31.859191201399263</v>
      </c>
      <c r="J71" s="9">
        <v>68</v>
      </c>
      <c r="K71" s="10">
        <f>[1]节奏总纲!W71</f>
        <v>7.4621653683057474</v>
      </c>
      <c r="L71" s="10">
        <f>[1]节奏总纲!X71</f>
        <v>6.3624019692087757</v>
      </c>
      <c r="M71" s="10">
        <f>[1]节奏总纲!Y71</f>
        <v>4.9581917984339441</v>
      </c>
      <c r="N71" s="10">
        <f>[1]节奏总纲!Z71</f>
        <v>3.7869082989219152</v>
      </c>
      <c r="O71" s="10">
        <f>[1]节奏总纲!AA71</f>
        <v>2.0601632326959702</v>
      </c>
      <c r="Q71" s="9">
        <v>68</v>
      </c>
      <c r="R71" s="10">
        <f>[1]节奏总纲!AD71</f>
        <v>61.082568038258209</v>
      </c>
      <c r="S71" s="10">
        <f>[1]节奏总纲!AE71</f>
        <v>63.107492392331935</v>
      </c>
      <c r="T71" s="10">
        <f>[1]节奏总纲!AF71</f>
        <v>65.895355939451605</v>
      </c>
      <c r="U71" s="10">
        <f>[1]节奏总纲!AG71</f>
        <v>70.442539881709536</v>
      </c>
      <c r="V71" s="10">
        <f>[1]节奏总纲!AH71</f>
        <v>78.972688783434734</v>
      </c>
      <c r="AN71" s="12">
        <f>[1]节奏总纲!AZ71</f>
        <v>68</v>
      </c>
      <c r="AO71" s="12">
        <f>[1]节奏总纲!BA71</f>
        <v>35.439158851386523</v>
      </c>
      <c r="AP71" s="12">
        <f>[1]节奏总纲!BB71</f>
        <v>36.947184852926306</v>
      </c>
      <c r="AQ71" s="12">
        <f>[1]节奏总纲!BC71</f>
        <v>38.872587109658596</v>
      </c>
      <c r="AR71" s="12">
        <f>[1]节奏总纲!BD71</f>
        <v>41.590303905372799</v>
      </c>
      <c r="AS71" s="12">
        <f>[1]节奏总纲!BE71</f>
        <v>46.272410430048332</v>
      </c>
    </row>
    <row r="72" spans="2:45" x14ac:dyDescent="0.15">
      <c r="B72" s="14">
        <f>[1]节奏总纲!N72</f>
        <v>79</v>
      </c>
      <c r="C72" s="6">
        <v>69</v>
      </c>
      <c r="D72" s="6">
        <f>[1]节奏总纲!P72</f>
        <v>118.42822291671132</v>
      </c>
      <c r="E72" s="6">
        <f>[1]节奏总纲!Q72</f>
        <v>102.51146975670532</v>
      </c>
      <c r="F72" s="6">
        <f>[1]节奏总纲!R72</f>
        <v>83.894553114198303</v>
      </c>
      <c r="G72" s="6">
        <f>[1]节奏总纲!S72</f>
        <v>61.535304627523196</v>
      </c>
      <c r="H72" s="6">
        <f>[1]节奏总纲!T72</f>
        <v>34.059956910846175</v>
      </c>
      <c r="J72" s="9">
        <v>69</v>
      </c>
      <c r="K72" s="10">
        <f>[1]节奏总纲!W72</f>
        <v>7.9977508148074605</v>
      </c>
      <c r="L72" s="10">
        <f>[1]节奏总纲!X72</f>
        <v>6.6799060666731549</v>
      </c>
      <c r="M72" s="10">
        <f>[1]节奏总纲!Y72</f>
        <v>5.6435205827892219</v>
      </c>
      <c r="N72" s="10">
        <f>[1]节奏总纲!Z72</f>
        <v>4.1225021817433785</v>
      </c>
      <c r="O72" s="10">
        <f>[1]节奏总纲!AA72</f>
        <v>2.2007657094469124</v>
      </c>
      <c r="Q72" s="9">
        <v>69</v>
      </c>
      <c r="R72" s="10">
        <f>[1]节奏总纲!AD72</f>
        <v>61.285688244217212</v>
      </c>
      <c r="S72" s="10">
        <f>[1]节奏总纲!AE72</f>
        <v>63.310338531528565</v>
      </c>
      <c r="T72" s="10">
        <f>[1]节奏总纲!AF72</f>
        <v>66.106079073217742</v>
      </c>
      <c r="U72" s="10">
        <f>[1]节奏总纲!AG72</f>
        <v>70.655884085397304</v>
      </c>
      <c r="V72" s="10">
        <f>[1]节奏总纲!AH72</f>
        <v>79.188599387584361</v>
      </c>
      <c r="AN72" s="12">
        <f>[1]节奏总纲!AZ72</f>
        <v>69</v>
      </c>
      <c r="AO72" s="12">
        <f>[1]节奏总纲!BA72</f>
        <v>35.536749707250202</v>
      </c>
      <c r="AP72" s="12">
        <f>[1]节奏总纲!BB72</f>
        <v>37.045197000674086</v>
      </c>
      <c r="AQ72" s="12">
        <f>[1]节奏总纲!BC72</f>
        <v>38.976971320055128</v>
      </c>
      <c r="AR72" s="12">
        <f>[1]节奏总纲!BD72</f>
        <v>41.690869443102159</v>
      </c>
      <c r="AS72" s="12">
        <f>[1]节奏总纲!BE72</f>
        <v>46.368730644141969</v>
      </c>
    </row>
    <row r="73" spans="2:45" x14ac:dyDescent="0.15">
      <c r="B73" s="14">
        <f>[1]节奏总纲!N73</f>
        <v>80</v>
      </c>
      <c r="C73" s="6">
        <v>70</v>
      </c>
      <c r="D73" s="6">
        <f>[1]节奏总纲!P73</f>
        <v>127</v>
      </c>
      <c r="E73" s="6">
        <f>[1]节奏总纲!Q73</f>
        <v>109.9693</v>
      </c>
      <c r="F73" s="6">
        <f>[1]节奏总纲!R73</f>
        <v>90.106499999999997</v>
      </c>
      <c r="G73" s="6">
        <f>[1]节奏总纲!S73</f>
        <v>65.925700000000006</v>
      </c>
      <c r="H73" s="6">
        <f>[1]节奏总纲!T73</f>
        <v>36.4998</v>
      </c>
      <c r="J73" s="9">
        <v>70</v>
      </c>
      <c r="K73" s="10">
        <f>[1]节奏总纲!W73</f>
        <v>8.5717770832886799</v>
      </c>
      <c r="L73" s="10">
        <f>[1]节奏总纲!X73</f>
        <v>7.4578302432946799</v>
      </c>
      <c r="M73" s="10">
        <f>[1]节奏总纲!Y73</f>
        <v>6.2119468858016944</v>
      </c>
      <c r="N73" s="10">
        <f>[1]节奏总纲!Z73</f>
        <v>4.3903953724768101</v>
      </c>
      <c r="O73" s="10">
        <f>[1]节奏总纲!AA73</f>
        <v>2.4398430891538254</v>
      </c>
      <c r="Q73" s="9">
        <v>70</v>
      </c>
      <c r="R73" s="10">
        <f>[1]节奏总纲!AD73</f>
        <v>61.488808450176215</v>
      </c>
      <c r="S73" s="10">
        <f>[1]节奏总纲!AE73</f>
        <v>63.513184670725188</v>
      </c>
      <c r="T73" s="10">
        <f>[1]节奏总纲!AF73</f>
        <v>66.314314361313961</v>
      </c>
      <c r="U73" s="10">
        <f>[1]节奏总纲!AG73</f>
        <v>70.869228289085072</v>
      </c>
      <c r="V73" s="10">
        <f>[1]节奏总纲!AH73</f>
        <v>79.403426131671111</v>
      </c>
      <c r="AN73" s="12">
        <f>[1]节奏总纲!AZ73</f>
        <v>70</v>
      </c>
      <c r="AO73" s="12">
        <f>[1]节奏总纲!BA73</f>
        <v>35.634340563113874</v>
      </c>
      <c r="AP73" s="12">
        <f>[1]节奏总纲!BB73</f>
        <v>37.135950591746003</v>
      </c>
      <c r="AQ73" s="12">
        <f>[1]节奏总纲!BC73</f>
        <v>39.070187171981765</v>
      </c>
      <c r="AR73" s="12">
        <f>[1]节奏总纲!BD73</f>
        <v>41.791434980831518</v>
      </c>
      <c r="AS73" s="12">
        <f>[1]节奏总纲!BE73</f>
        <v>46.465050858235607</v>
      </c>
    </row>
    <row r="74" spans="2:45" x14ac:dyDescent="0.15">
      <c r="B74" s="14">
        <f>[1]节奏总纲!N74</f>
        <v>81</v>
      </c>
      <c r="C74" s="6">
        <v>71</v>
      </c>
      <c r="D74" s="6">
        <f>[1]节奏总纲!P74</f>
        <v>136.18700320464549</v>
      </c>
      <c r="E74" s="6">
        <f>[1]节奏总纲!Q74</f>
        <v>118.03327567746625</v>
      </c>
      <c r="F74" s="6">
        <f>[1]节奏总纲!R74</f>
        <v>96.583822672734584</v>
      </c>
      <c r="G74" s="6">
        <f>[1]节奏总纲!S74</f>
        <v>70.612961161608681</v>
      </c>
      <c r="H74" s="6">
        <f>[1]节奏总纲!T74</f>
        <v>39.126526020694648</v>
      </c>
      <c r="J74" s="9">
        <v>71</v>
      </c>
      <c r="K74" s="10">
        <f>[1]节奏总纲!W74</f>
        <v>9.1870032046454924</v>
      </c>
      <c r="L74" s="10">
        <f>[1]节奏总纲!X74</f>
        <v>8.0639756774662459</v>
      </c>
      <c r="M74" s="10">
        <f>[1]节奏总纲!Y74</f>
        <v>6.4773226727345872</v>
      </c>
      <c r="N74" s="10">
        <f>[1]节奏总纲!Z74</f>
        <v>4.6872611616086743</v>
      </c>
      <c r="O74" s="10">
        <f>[1]节奏总纲!AA74</f>
        <v>2.6267260206946474</v>
      </c>
      <c r="Q74" s="9">
        <v>71</v>
      </c>
      <c r="R74" s="10">
        <f>[1]节奏总纲!AD74</f>
        <v>61.691928656135218</v>
      </c>
      <c r="S74" s="10">
        <f>[1]节奏总纲!AE74</f>
        <v>63.716030809921811</v>
      </c>
      <c r="T74" s="10">
        <f>[1]节奏总纲!AF74</f>
        <v>66.52254964941018</v>
      </c>
      <c r="U74" s="10">
        <f>[1]节奏总纲!AG74</f>
        <v>71.07781362467729</v>
      </c>
      <c r="V74" s="10">
        <f>[1]节奏总纲!AH74</f>
        <v>79.618252875757847</v>
      </c>
      <c r="AN74" s="12">
        <f>[1]节奏总纲!AZ74</f>
        <v>71</v>
      </c>
      <c r="AO74" s="12">
        <f>[1]节奏总纲!BA74</f>
        <v>35.731931418977545</v>
      </c>
      <c r="AP74" s="12">
        <f>[1]节奏总纲!BB74</f>
        <v>37.226704182817912</v>
      </c>
      <c r="AQ74" s="12">
        <f>[1]节奏总纲!BC74</f>
        <v>39.160241683169971</v>
      </c>
      <c r="AR74" s="12">
        <f>[1]节奏总纲!BD74</f>
        <v>41.892000518560877</v>
      </c>
      <c r="AS74" s="12">
        <f>[1]节奏总纲!BE74</f>
        <v>46.561371072329244</v>
      </c>
    </row>
    <row r="75" spans="2:45" x14ac:dyDescent="0.15">
      <c r="B75" s="14">
        <f>[1]节奏总纲!N75</f>
        <v>82</v>
      </c>
      <c r="C75" s="6">
        <v>72</v>
      </c>
      <c r="D75" s="6">
        <f>[1]节奏总纲!P75</f>
        <v>146.03338943962044</v>
      </c>
      <c r="E75" s="6">
        <f>[1]节奏总纲!Q75</f>
        <v>126.581741966263</v>
      </c>
      <c r="F75" s="6">
        <f>[1]节奏总纲!R75</f>
        <v>103.31862302853146</v>
      </c>
      <c r="G75" s="6">
        <f>[1]节奏总纲!S75</f>
        <v>75.586882373947532</v>
      </c>
      <c r="H75" s="6">
        <f>[1]节奏总纲!T75</f>
        <v>41.896979430227098</v>
      </c>
      <c r="J75" s="9">
        <v>72</v>
      </c>
      <c r="K75" s="10">
        <f>[1]节奏总纲!W75</f>
        <v>9.8463862349749434</v>
      </c>
      <c r="L75" s="10">
        <f>[1]节奏总纲!X75</f>
        <v>8.548466288796746</v>
      </c>
      <c r="M75" s="10">
        <f>[1]节奏总纲!Y75</f>
        <v>6.7348003557968781</v>
      </c>
      <c r="N75" s="10">
        <f>[1]节奏总纲!Z75</f>
        <v>4.9739212123388512</v>
      </c>
      <c r="O75" s="10">
        <f>[1]节奏总纲!AA75</f>
        <v>2.7704534095324505</v>
      </c>
      <c r="Q75" s="9">
        <v>72</v>
      </c>
      <c r="R75" s="10">
        <f>[1]节奏总纲!AD75</f>
        <v>61.895048862094221</v>
      </c>
      <c r="S75" s="10">
        <f>[1]节奏总纲!AE75</f>
        <v>63.918876949118435</v>
      </c>
      <c r="T75" s="10">
        <f>[1]节奏总纲!AF75</f>
        <v>66.7307849375064</v>
      </c>
      <c r="U75" s="10">
        <f>[1]节奏总纲!AG75</f>
        <v>71.278862245535876</v>
      </c>
      <c r="V75" s="10">
        <f>[1]节奏总纲!AH75</f>
        <v>79.833079619844597</v>
      </c>
      <c r="AN75" s="12">
        <f>[1]节奏总纲!AZ75</f>
        <v>72</v>
      </c>
      <c r="AO75" s="12">
        <f>[1]节奏总纲!BA75</f>
        <v>35.829522274841217</v>
      </c>
      <c r="AP75" s="12">
        <f>[1]节奏总纲!BB75</f>
        <v>37.317457773889828</v>
      </c>
      <c r="AQ75" s="12">
        <f>[1]节奏总纲!BC75</f>
        <v>39.250296194358178</v>
      </c>
      <c r="AR75" s="12">
        <f>[1]节奏总纲!BD75</f>
        <v>41.992566056290244</v>
      </c>
      <c r="AS75" s="12">
        <f>[1]节奏总纲!BE75</f>
        <v>46.657691286422882</v>
      </c>
    </row>
    <row r="76" spans="2:45" x14ac:dyDescent="0.15">
      <c r="B76" s="14">
        <f>[1]节奏总纲!N76</f>
        <v>83</v>
      </c>
      <c r="C76" s="6">
        <v>73</v>
      </c>
      <c r="D76" s="6">
        <f>[1]节奏总纲!P76</f>
        <v>156.58648490814926</v>
      </c>
      <c r="E76" s="6">
        <f>[1]节奏总纲!Q76</f>
        <v>135.41599214856748</v>
      </c>
      <c r="F76" s="6">
        <f>[1]节奏总纲!R76</f>
        <v>110.58137564213501</v>
      </c>
      <c r="G76" s="6">
        <f>[1]节奏总纲!S76</f>
        <v>80.955212697513176</v>
      </c>
      <c r="H76" s="6">
        <f>[1]节奏总纲!T76</f>
        <v>44.877686574675579</v>
      </c>
      <c r="J76" s="9">
        <v>73</v>
      </c>
      <c r="K76" s="10">
        <f>[1]节奏总纲!W76</f>
        <v>10.553095468528824</v>
      </c>
      <c r="L76" s="10">
        <f>[1]节奏总纲!X76</f>
        <v>8.834250182304487</v>
      </c>
      <c r="M76" s="10">
        <f>[1]节奏总纲!Y76</f>
        <v>7.2627526136035527</v>
      </c>
      <c r="N76" s="10">
        <f>[1]节奏总纲!Z76</f>
        <v>5.3683303235656439</v>
      </c>
      <c r="O76" s="10">
        <f>[1]节奏总纲!AA76</f>
        <v>2.9807071444484805</v>
      </c>
      <c r="Q76" s="9">
        <v>73</v>
      </c>
      <c r="R76" s="10">
        <f>[1]节奏总纲!AD76</f>
        <v>62.091594979242075</v>
      </c>
      <c r="S76" s="10">
        <f>[1]节奏总纲!AE76</f>
        <v>64.114306430026588</v>
      </c>
      <c r="T76" s="10">
        <f>[1]节奏总纲!AF76</f>
        <v>66.939020225602619</v>
      </c>
      <c r="U76" s="10">
        <f>[1]节奏总纲!AG76</f>
        <v>71.479910866394462</v>
      </c>
      <c r="V76" s="10">
        <f>[1]节奏总纲!AH76</f>
        <v>80.043898354812981</v>
      </c>
      <c r="AN76" s="12">
        <f>[1]节奏总纲!AZ76</f>
        <v>73</v>
      </c>
      <c r="AO76" s="12">
        <f>[1]节奏总纲!BA76</f>
        <v>35.927113130704889</v>
      </c>
      <c r="AP76" s="12">
        <f>[1]节奏总纲!BB76</f>
        <v>37.408211364961737</v>
      </c>
      <c r="AQ76" s="12">
        <f>[1]节奏总纲!BC76</f>
        <v>39.340350705546385</v>
      </c>
      <c r="AR76" s="12">
        <f>[1]节奏总纲!BD76</f>
        <v>42.080366850119908</v>
      </c>
      <c r="AS76" s="12">
        <f>[1]节奏总纲!BE76</f>
        <v>46.754011500516519</v>
      </c>
    </row>
    <row r="77" spans="2:45" x14ac:dyDescent="0.15">
      <c r="B77" s="14">
        <f>[1]节奏总纲!N77</f>
        <v>84</v>
      </c>
      <c r="C77" s="6">
        <v>74</v>
      </c>
      <c r="D77" s="6">
        <f>[1]节奏总纲!P77</f>
        <v>167.89701257893043</v>
      </c>
      <c r="E77" s="6">
        <f>[1]节奏总纲!Q77</f>
        <v>145.16375707574326</v>
      </c>
      <c r="F77" s="6">
        <f>[1]节奏总纲!R77</f>
        <v>118.70318789330381</v>
      </c>
      <c r="G77" s="6">
        <f>[1]节奏总纲!S77</f>
        <v>86.869914308338593</v>
      </c>
      <c r="H77" s="6">
        <f>[1]节奏总纲!T77</f>
        <v>48.169652908895138</v>
      </c>
      <c r="J77" s="9">
        <v>74</v>
      </c>
      <c r="K77" s="10">
        <f>[1]节奏总纲!W77</f>
        <v>11.31052767078117</v>
      </c>
      <c r="L77" s="10">
        <f>[1]节奏总纲!X77</f>
        <v>9.7477649271757798</v>
      </c>
      <c r="M77" s="10">
        <f>[1]节奏总纲!Y77</f>
        <v>8.1218122511687909</v>
      </c>
      <c r="N77" s="10">
        <f>[1]节奏总纲!Z77</f>
        <v>5.9147016108254178</v>
      </c>
      <c r="O77" s="10">
        <f>[1]节奏总纲!AA77</f>
        <v>3.2919663342195591</v>
      </c>
      <c r="Q77" s="9">
        <v>74</v>
      </c>
      <c r="R77" s="10">
        <f>[1]节奏总纲!AD77</f>
        <v>62.281112832649576</v>
      </c>
      <c r="S77" s="10">
        <f>[1]节奏总纲!AE77</f>
        <v>64.304793036447776</v>
      </c>
      <c r="T77" s="10">
        <f>[1]节奏总纲!AF77</f>
        <v>67.14262442756818</v>
      </c>
      <c r="U77" s="10">
        <f>[1]节奏总纲!AG77</f>
        <v>71.680959487253048</v>
      </c>
      <c r="V77" s="10">
        <f>[1]节奏总纲!AH77</f>
        <v>80.24075196383977</v>
      </c>
      <c r="AN77" s="12">
        <f>[1]节奏总纲!AZ77</f>
        <v>74</v>
      </c>
      <c r="AO77" s="12">
        <f>[1]节奏总纲!BA77</f>
        <v>36.021306837933537</v>
      </c>
      <c r="AP77" s="12">
        <f>[1]节奏总纲!BB77</f>
        <v>37.498964956033646</v>
      </c>
      <c r="AQ77" s="12">
        <f>[1]节奏总纲!BC77</f>
        <v>39.430405216734592</v>
      </c>
      <c r="AR77" s="12">
        <f>[1]节奏总纲!BD77</f>
        <v>42.167148737437564</v>
      </c>
      <c r="AS77" s="12">
        <f>[1]节奏总纲!BE77</f>
        <v>46.850331714610157</v>
      </c>
    </row>
    <row r="78" spans="2:45" x14ac:dyDescent="0.15">
      <c r="B78" s="14">
        <f>[1]节奏总纲!N78</f>
        <v>85</v>
      </c>
      <c r="C78" s="6">
        <v>75</v>
      </c>
      <c r="D78" s="6">
        <f>[1]节奏总纲!P78</f>
        <v>180.01933598375612</v>
      </c>
      <c r="E78" s="6">
        <f>[1]节奏总纲!Q78</f>
        <v>155.75272949314578</v>
      </c>
      <c r="F78" s="6">
        <f>[1]节奏总纲!R78</f>
        <v>127.38168214210583</v>
      </c>
      <c r="G78" s="6">
        <f>[1]节奏总纲!S78</f>
        <v>93.214012172388934</v>
      </c>
      <c r="H78" s="6">
        <f>[1]节奏总纲!T78</f>
        <v>51.755559095329879</v>
      </c>
      <c r="J78" s="9">
        <v>75</v>
      </c>
      <c r="K78" s="10">
        <f>[1]节奏总纲!W78</f>
        <v>12.122323404825693</v>
      </c>
      <c r="L78" s="10">
        <f>[1]节奏总纲!X78</f>
        <v>10.588972417402516</v>
      </c>
      <c r="M78" s="10">
        <f>[1]节奏总纲!Y78</f>
        <v>8.6784942488020249</v>
      </c>
      <c r="N78" s="10">
        <f>[1]节奏总纲!Z78</f>
        <v>6.3440978640503403</v>
      </c>
      <c r="O78" s="10">
        <f>[1]节奏总纲!AA78</f>
        <v>3.585906186434741</v>
      </c>
      <c r="Q78" s="9">
        <v>75</v>
      </c>
      <c r="R78" s="10">
        <f>[1]节奏总纲!AD78</f>
        <v>62.470630686057078</v>
      </c>
      <c r="S78" s="10">
        <f>[1]节奏总纲!AE78</f>
        <v>64.495279642868965</v>
      </c>
      <c r="T78" s="10">
        <f>[1]节奏总纲!AF78</f>
        <v>67.344310856946692</v>
      </c>
      <c r="U78" s="10">
        <f>[1]节奏总纲!AG78</f>
        <v>71.882008108111634</v>
      </c>
      <c r="V78" s="10">
        <f>[1]节奏总纲!AH78</f>
        <v>80.437605572866573</v>
      </c>
      <c r="AN78" s="12">
        <f>[1]节奏总纲!AZ78</f>
        <v>75</v>
      </c>
      <c r="AO78" s="12">
        <f>[1]节奏总纲!BA78</f>
        <v>36.105477566569242</v>
      </c>
      <c r="AP78" s="12">
        <f>[1]节奏总纲!BB78</f>
        <v>37.589718547105562</v>
      </c>
      <c r="AQ78" s="12">
        <f>[1]节奏总纲!BC78</f>
        <v>39.520459727922798</v>
      </c>
      <c r="AR78" s="12">
        <f>[1]节奏总纲!BD78</f>
        <v>42.253930624755228</v>
      </c>
      <c r="AS78" s="12">
        <f>[1]节奏总纲!BE78</f>
        <v>46.946651928703787</v>
      </c>
    </row>
    <row r="79" spans="2:45" x14ac:dyDescent="0.15">
      <c r="B79" s="14">
        <f>[1]节奏总纲!N79</f>
        <v>86</v>
      </c>
      <c r="C79" s="6">
        <v>76</v>
      </c>
      <c r="D79" s="6">
        <f>[1]节奏总纲!P79</f>
        <v>193.01172051333091</v>
      </c>
      <c r="E79" s="6">
        <f>[1]节奏总纲!Q79</f>
        <v>166.97443941608256</v>
      </c>
      <c r="F79" s="6">
        <f>[1]节奏总纲!R79</f>
        <v>136.51718991907896</v>
      </c>
      <c r="G79" s="6">
        <f>[1]节奏总纲!S79</f>
        <v>100.0379747420594</v>
      </c>
      <c r="H79" s="6">
        <f>[1]节奏总纲!T79</f>
        <v>55.664580196044632</v>
      </c>
      <c r="J79" s="9">
        <v>76</v>
      </c>
      <c r="K79" s="10">
        <f>[1]节奏总纲!W79</f>
        <v>12.992384529574792</v>
      </c>
      <c r="L79" s="10">
        <f>[1]节奏总纲!X79</f>
        <v>11.221709922936782</v>
      </c>
      <c r="M79" s="10">
        <f>[1]节奏总纲!Y79</f>
        <v>9.1355077769731281</v>
      </c>
      <c r="N79" s="10">
        <f>[1]节奏总纲!Z79</f>
        <v>6.8239625696704707</v>
      </c>
      <c r="O79" s="10">
        <f>[1]节奏总纲!AA79</f>
        <v>3.9090211007147531</v>
      </c>
      <c r="Q79" s="9">
        <v>76</v>
      </c>
      <c r="R79" s="10">
        <f>[1]节奏总纲!AD79</f>
        <v>62.660148539464579</v>
      </c>
      <c r="S79" s="10">
        <f>[1]节奏总纲!AE79</f>
        <v>64.685766249290154</v>
      </c>
      <c r="T79" s="10">
        <f>[1]节奏总纲!AF79</f>
        <v>67.545997286325218</v>
      </c>
      <c r="U79" s="10">
        <f>[1]节奏总纲!AG79</f>
        <v>72.076954583856178</v>
      </c>
      <c r="V79" s="10">
        <f>[1]节奏总纲!AH79</f>
        <v>80.634459181893376</v>
      </c>
      <c r="AN79" s="12">
        <f>[1]节奏总纲!AZ79</f>
        <v>76</v>
      </c>
      <c r="AO79" s="12">
        <f>[1]节奏总纲!BA79</f>
        <v>36.189648295204947</v>
      </c>
      <c r="AP79" s="12">
        <f>[1]节奏总纲!BB79</f>
        <v>37.680472138177471</v>
      </c>
      <c r="AQ79" s="12">
        <f>[1]节奏总纲!BC79</f>
        <v>39.610514239111005</v>
      </c>
      <c r="AR79" s="12">
        <f>[1]节奏总纲!BD79</f>
        <v>42.340712512072891</v>
      </c>
      <c r="AS79" s="12">
        <f>[1]节奏总纲!BE79</f>
        <v>47.037096473408994</v>
      </c>
    </row>
    <row r="80" spans="2:45" x14ac:dyDescent="0.15">
      <c r="B80" s="14">
        <f>[1]节奏总纲!N80</f>
        <v>87</v>
      </c>
      <c r="C80" s="6">
        <v>77</v>
      </c>
      <c r="D80" s="6">
        <f>[1]节奏总纲!P80</f>
        <v>206.93661346719625</v>
      </c>
      <c r="E80" s="6">
        <f>[1]节奏总纲!Q80</f>
        <v>179.12433261720508</v>
      </c>
      <c r="F80" s="6">
        <f>[1]节奏总纲!R80</f>
        <v>146.53181599612165</v>
      </c>
      <c r="G80" s="6">
        <f>[1]节奏总纲!S80</f>
        <v>107.42079605082158</v>
      </c>
      <c r="H80" s="6">
        <f>[1]节奏总纲!T80</f>
        <v>59.535663694512365</v>
      </c>
      <c r="J80" s="9">
        <v>77</v>
      </c>
      <c r="K80" s="10">
        <f>[1]节奏总纲!W80</f>
        <v>13.924892953865339</v>
      </c>
      <c r="L80" s="10">
        <f>[1]节奏总纲!X80</f>
        <v>12.149893201122524</v>
      </c>
      <c r="M80" s="10">
        <f>[1]节奏总纲!Y80</f>
        <v>10.014626077042692</v>
      </c>
      <c r="N80" s="10">
        <f>[1]节奏总纲!Z80</f>
        <v>7.3828213087621748</v>
      </c>
      <c r="O80" s="10">
        <f>[1]节奏总纲!AA80</f>
        <v>3.8710834984677334</v>
      </c>
      <c r="Q80" s="9">
        <v>77</v>
      </c>
      <c r="R80" s="10">
        <f>[1]节奏总纲!AD80</f>
        <v>62.849666392872081</v>
      </c>
      <c r="S80" s="10">
        <f>[1]节奏总纲!AE80</f>
        <v>64.876252855711357</v>
      </c>
      <c r="T80" s="10">
        <f>[1]节奏总纲!AF80</f>
        <v>67.747683715703729</v>
      </c>
      <c r="U80" s="10">
        <f>[1]节奏总纲!AG80</f>
        <v>72.263232241847945</v>
      </c>
      <c r="V80" s="10">
        <f>[1]节奏总纲!AH80</f>
        <v>80.83131279092018</v>
      </c>
      <c r="AN80" s="12">
        <f>[1]节奏总纲!AZ80</f>
        <v>77</v>
      </c>
      <c r="AO80" s="12">
        <f>[1]节奏总纲!BA80</f>
        <v>36.273819023840659</v>
      </c>
      <c r="AP80" s="12">
        <f>[1]节奏总纲!BB80</f>
        <v>37.771225729249387</v>
      </c>
      <c r="AQ80" s="12">
        <f>[1]节奏总纲!BC80</f>
        <v>39.700568750299212</v>
      </c>
      <c r="AR80" s="12">
        <f>[1]节奏总纲!BD80</f>
        <v>42.427494399390554</v>
      </c>
      <c r="AS80" s="12">
        <f>[1]节奏总纲!BE80</f>
        <v>47.12024662670057</v>
      </c>
    </row>
    <row r="81" spans="2:45" x14ac:dyDescent="0.15">
      <c r="B81" s="14">
        <f>[1]节奏总纲!N81</f>
        <v>88</v>
      </c>
      <c r="C81" s="6">
        <v>78</v>
      </c>
      <c r="D81" s="6">
        <f>[1]节奏总纲!P81</f>
        <v>221.86094420380775</v>
      </c>
      <c r="E81" s="6">
        <f>[1]节奏总纲!Q81</f>
        <v>192.04283330281601</v>
      </c>
      <c r="F81" s="6">
        <f>[1]节奏总纲!R81</f>
        <v>157.23285115723854</v>
      </c>
      <c r="G81" s="6">
        <f>[1]节奏总纲!S81</f>
        <v>115.1680161361966</v>
      </c>
      <c r="H81" s="6">
        <f>[1]节奏总纲!T81</f>
        <v>63.651904892072437</v>
      </c>
      <c r="J81" s="9">
        <v>78</v>
      </c>
      <c r="K81" s="10">
        <f>[1]节奏总纲!W81</f>
        <v>14.924330736611495</v>
      </c>
      <c r="L81" s="10">
        <f>[1]节奏总纲!X81</f>
        <v>12.918500685610923</v>
      </c>
      <c r="M81" s="10">
        <f>[1]节奏总纲!Y81</f>
        <v>10.701035161116891</v>
      </c>
      <c r="N81" s="10">
        <f>[1]节奏总纲!Z81</f>
        <v>7.7472200853750195</v>
      </c>
      <c r="O81" s="10">
        <f>[1]节奏总纲!AA81</f>
        <v>4.1162411975600719</v>
      </c>
      <c r="Q81" s="9">
        <v>78</v>
      </c>
      <c r="R81" s="10">
        <f>[1]节奏总纲!AD81</f>
        <v>63.036560194527354</v>
      </c>
      <c r="S81" s="10">
        <f>[1]节奏总纲!AE81</f>
        <v>65.061438622789353</v>
      </c>
      <c r="T81" s="10">
        <f>[1]节奏总纲!AF81</f>
        <v>67.949370145082256</v>
      </c>
      <c r="U81" s="10">
        <f>[1]节奏总纲!AG81</f>
        <v>72.449509899839711</v>
      </c>
      <c r="V81" s="10">
        <f>[1]节奏总纲!AH81</f>
        <v>81.026624803116562</v>
      </c>
      <c r="AN81" s="12">
        <f>[1]节奏总纲!AZ81</f>
        <v>78</v>
      </c>
      <c r="AO81" s="12">
        <f>[1]节奏总纲!BA81</f>
        <v>36.357989752476364</v>
      </c>
      <c r="AP81" s="12">
        <f>[1]节奏总纲!BB81</f>
        <v>37.861979320321296</v>
      </c>
      <c r="AQ81" s="12">
        <f>[1]节奏总纲!BC81</f>
        <v>39.790623261487418</v>
      </c>
      <c r="AR81" s="12">
        <f>[1]节奏总纲!BD81</f>
        <v>42.51427628670821</v>
      </c>
      <c r="AS81" s="12">
        <f>[1]节奏总纲!BE81</f>
        <v>47.203396779992147</v>
      </c>
    </row>
    <row r="82" spans="2:45" x14ac:dyDescent="0.15">
      <c r="B82" s="14">
        <f>[1]节奏总纲!N82</f>
        <v>89</v>
      </c>
      <c r="C82" s="6">
        <v>79</v>
      </c>
      <c r="D82" s="6">
        <f>[1]节奏总纲!P82</f>
        <v>237.85644583342264</v>
      </c>
      <c r="E82" s="6">
        <f>[1]节奏总纲!Q82</f>
        <v>206.07882467007735</v>
      </c>
      <c r="F82" s="6">
        <f>[1]节奏总纲!R82</f>
        <v>168.73536267423003</v>
      </c>
      <c r="G82" s="6">
        <f>[1]节奏总纲!S82</f>
        <v>123.11449636337954</v>
      </c>
      <c r="H82" s="6">
        <f>[1]节奏总纲!T82</f>
        <v>68.122086086692235</v>
      </c>
      <c r="J82" s="9">
        <v>79</v>
      </c>
      <c r="K82" s="10">
        <f>[1]节奏总纲!W82</f>
        <v>15.995501629614893</v>
      </c>
      <c r="L82" s="10">
        <f>[1]节奏总纲!X82</f>
        <v>14.035991367261346</v>
      </c>
      <c r="M82" s="10">
        <f>[1]节奏总纲!Y82</f>
        <v>11.50251151699149</v>
      </c>
      <c r="N82" s="10">
        <f>[1]节奏总纲!Z82</f>
        <v>7.9464802271829456</v>
      </c>
      <c r="O82" s="10">
        <f>[1]节奏总纲!AA82</f>
        <v>4.4701811946197978</v>
      </c>
      <c r="Q82" s="9">
        <v>79</v>
      </c>
      <c r="R82" s="10">
        <f>[1]节奏总纲!AD82</f>
        <v>63.213386604241791</v>
      </c>
      <c r="S82" s="10">
        <f>[1]节奏总纲!AE82</f>
        <v>65.23679566619937</v>
      </c>
      <c r="T82" s="10">
        <f>[1]节奏总纲!AF82</f>
        <v>68.132712808893615</v>
      </c>
      <c r="U82" s="10">
        <f>[1]节奏总纲!AG82</f>
        <v>72.635787557831478</v>
      </c>
      <c r="V82" s="10">
        <f>[1]节奏总纲!AH82</f>
        <v>81.212704266341873</v>
      </c>
      <c r="AN82" s="12">
        <f>[1]节奏总纲!AZ82</f>
        <v>79</v>
      </c>
      <c r="AO82" s="12">
        <f>[1]节奏总纲!BA82</f>
        <v>36.442160481112069</v>
      </c>
      <c r="AP82" s="12">
        <f>[1]节奏总纲!BB82</f>
        <v>37.952732911393213</v>
      </c>
      <c r="AQ82" s="12">
        <f>[1]节奏总纲!BC82</f>
        <v>39.880677772675625</v>
      </c>
      <c r="AR82" s="12">
        <f>[1]节奏总纲!BD82</f>
        <v>42.601058174025873</v>
      </c>
      <c r="AS82" s="12">
        <f>[1]节奏总纲!BE82</f>
        <v>47.286546933283724</v>
      </c>
    </row>
    <row r="83" spans="2:45" x14ac:dyDescent="0.15">
      <c r="B83" s="14">
        <f>[1]节奏总纲!N83</f>
        <v>90</v>
      </c>
      <c r="C83" s="6">
        <v>80</v>
      </c>
      <c r="D83" s="6">
        <f>[1]节奏总纲!P83</f>
        <v>255</v>
      </c>
      <c r="E83" s="6">
        <f>[1]节奏总纲!Q83</f>
        <v>221.08500000000001</v>
      </c>
      <c r="F83" s="6">
        <f>[1]节奏总纲!R83</f>
        <v>180.33600000000001</v>
      </c>
      <c r="G83" s="6">
        <f>[1]节奏总纲!S83</f>
        <v>131.58000000000001</v>
      </c>
      <c r="H83" s="6">
        <f>[1]节奏总纲!T83</f>
        <v>72.777000000000001</v>
      </c>
      <c r="J83" s="9">
        <v>80</v>
      </c>
      <c r="K83" s="10">
        <f>[1]节奏总纲!W83</f>
        <v>17.14355416657736</v>
      </c>
      <c r="L83" s="10">
        <f>[1]节奏总纲!X83</f>
        <v>15.006175329922655</v>
      </c>
      <c r="M83" s="10">
        <f>[1]节奏总纲!Y83</f>
        <v>11.600637325769981</v>
      </c>
      <c r="N83" s="10">
        <f>[1]节奏总纲!Z83</f>
        <v>8.4655036366204683</v>
      </c>
      <c r="O83" s="10">
        <f>[1]节奏总纲!AA83</f>
        <v>4.6549139133077659</v>
      </c>
      <c r="Q83" s="9">
        <v>80</v>
      </c>
      <c r="R83" s="10">
        <f>[1]节奏总纲!AD83</f>
        <v>63.39021301395622</v>
      </c>
      <c r="S83" s="10">
        <f>[1]节奏总纲!AE83</f>
        <v>65.412152709609373</v>
      </c>
      <c r="T83" s="10">
        <f>[1]节奏总纲!AF83</f>
        <v>68.309907165737044</v>
      </c>
      <c r="U83" s="10">
        <f>[1]节奏总纲!AG83</f>
        <v>72.822065215823244</v>
      </c>
      <c r="V83" s="10">
        <f>[1]节奏总纲!AH83</f>
        <v>81.398783729567185</v>
      </c>
      <c r="AN83" s="12">
        <f>[1]节奏总纲!AZ83</f>
        <v>80</v>
      </c>
      <c r="AO83" s="12">
        <f>[1]节奏总纲!BA83</f>
        <v>36.526331209747774</v>
      </c>
      <c r="AP83" s="12">
        <f>[1]节奏总纲!BB83</f>
        <v>38.037513426486328</v>
      </c>
      <c r="AQ83" s="12">
        <f>[1]节奏总纲!BC83</f>
        <v>39.970732283863832</v>
      </c>
      <c r="AR83" s="12">
        <f>[1]节奏总纲!BD83</f>
        <v>42.687840061343536</v>
      </c>
      <c r="AS83" s="12">
        <f>[1]节奏总纲!BE83</f>
        <v>47.3696970865753</v>
      </c>
    </row>
    <row r="84" spans="2:45" x14ac:dyDescent="0.15">
      <c r="B84" s="14">
        <f>[1]节奏总纲!N84</f>
        <v>91</v>
      </c>
      <c r="C84" s="6">
        <v>81</v>
      </c>
      <c r="D84" s="6">
        <f>[1]节奏总纲!P84</f>
        <v>273.37400640929098</v>
      </c>
      <c r="E84" s="6">
        <f>[1]节奏总纲!Q84</f>
        <v>236.35916594147301</v>
      </c>
      <c r="F84" s="6">
        <f>[1]节奏总纲!R84</f>
        <v>192.67399971726829</v>
      </c>
      <c r="G84" s="6">
        <f>[1]节奏总纲!S84</f>
        <v>140.76027590014394</v>
      </c>
      <c r="H84" s="6">
        <f>[1]节奏总纲!T84</f>
        <v>77.856917025366073</v>
      </c>
      <c r="J84" s="9">
        <v>81</v>
      </c>
      <c r="K84" s="10">
        <f>[1]节奏总纲!W84</f>
        <v>18.374006409290985</v>
      </c>
      <c r="L84" s="10">
        <f>[1]节奏总纲!X84</f>
        <v>15.274165941473001</v>
      </c>
      <c r="M84" s="10">
        <f>[1]节奏总纲!Y84</f>
        <v>12.337999717268275</v>
      </c>
      <c r="N84" s="10">
        <f>[1]节奏总纲!Z84</f>
        <v>9.1802759001439256</v>
      </c>
      <c r="O84" s="10">
        <f>[1]节奏总纲!AA84</f>
        <v>5.0799170253660719</v>
      </c>
      <c r="Q84" s="9">
        <v>81</v>
      </c>
      <c r="R84" s="10">
        <f>[1]节奏总纲!AD84</f>
        <v>63.567039423670657</v>
      </c>
      <c r="S84" s="10">
        <f>[1]节奏总纲!AE84</f>
        <v>65.58750975301939</v>
      </c>
      <c r="T84" s="10">
        <f>[1]节奏总纲!AF84</f>
        <v>68.487101522580488</v>
      </c>
      <c r="U84" s="10">
        <f>[1]节奏总纲!AG84</f>
        <v>73.007572199822363</v>
      </c>
      <c r="V84" s="10">
        <f>[1]节奏总纲!AH84</f>
        <v>81.584863192792497</v>
      </c>
      <c r="AN84" s="12">
        <f>[1]节奏总纲!AZ84</f>
        <v>81</v>
      </c>
      <c r="AO84" s="12">
        <f>[1]节奏总纲!BA84</f>
        <v>36.610501938383479</v>
      </c>
      <c r="AP84" s="12">
        <f>[1]节奏总纲!BB84</f>
        <v>38.11580158428373</v>
      </c>
      <c r="AQ84" s="12">
        <f>[1]节奏总纲!BC84</f>
        <v>40.052446592012309</v>
      </c>
      <c r="AR84" s="12">
        <f>[1]节奏总纲!BD84</f>
        <v>42.774621948661192</v>
      </c>
      <c r="AS84" s="12">
        <f>[1]节奏总纲!BE84</f>
        <v>47.452847239866877</v>
      </c>
    </row>
    <row r="85" spans="2:45" x14ac:dyDescent="0.15">
      <c r="B85" s="14">
        <f>[1]节奏总纲!N85</f>
        <v>92</v>
      </c>
      <c r="C85" s="6">
        <v>82</v>
      </c>
      <c r="D85" s="6">
        <f>[1]节奏总纲!P85</f>
        <v>293.06677887924064</v>
      </c>
      <c r="E85" s="6">
        <f>[1]节奏总纲!Q85</f>
        <v>253.15108359588808</v>
      </c>
      <c r="F85" s="6">
        <f>[1]节奏总纲!R85</f>
        <v>206.37762568676126</v>
      </c>
      <c r="G85" s="6">
        <f>[1]节奏总纲!S85</f>
        <v>150.81216441125721</v>
      </c>
      <c r="H85" s="6">
        <f>[1]节奏总纲!T85</f>
        <v>83.230965201704336</v>
      </c>
      <c r="J85" s="9">
        <v>82</v>
      </c>
      <c r="K85" s="10">
        <f>[1]节奏总纲!W85</f>
        <v>19.692772469949659</v>
      </c>
      <c r="L85" s="10">
        <f>[1]节奏总纲!X85</f>
        <v>16.791917654415073</v>
      </c>
      <c r="M85" s="10">
        <f>[1]节奏总纲!Y85</f>
        <v>13.703625969492975</v>
      </c>
      <c r="N85" s="10">
        <f>[1]节奏总纲!Z85</f>
        <v>10.051888511113276</v>
      </c>
      <c r="O85" s="10">
        <f>[1]节奏总纲!AA85</f>
        <v>5.3740481763382633</v>
      </c>
      <c r="Q85" s="9">
        <v>82</v>
      </c>
      <c r="R85" s="10">
        <f>[1]节奏总纲!AD85</f>
        <v>63.743865833385094</v>
      </c>
      <c r="S85" s="10">
        <f>[1]节奏总纲!AE85</f>
        <v>65.762866796429392</v>
      </c>
      <c r="T85" s="10">
        <f>[1]节奏总纲!AF85</f>
        <v>68.664295879423918</v>
      </c>
      <c r="U85" s="10">
        <f>[1]节奏总纲!AG85</f>
        <v>73.176642436293761</v>
      </c>
      <c r="V85" s="10">
        <f>[1]节奏总纲!AH85</f>
        <v>81.770942656017823</v>
      </c>
      <c r="AN85" s="12">
        <f>[1]节奏总纲!AZ85</f>
        <v>82</v>
      </c>
      <c r="AO85" s="12">
        <f>[1]节奏总纲!BA85</f>
        <v>36.694672667019191</v>
      </c>
      <c r="AP85" s="12">
        <f>[1]节奏总纲!BB85</f>
        <v>38.194089742081125</v>
      </c>
      <c r="AQ85" s="12">
        <f>[1]节奏总纲!BC85</f>
        <v>40.130145246845366</v>
      </c>
      <c r="AR85" s="12">
        <f>[1]节奏总纲!BD85</f>
        <v>42.861403835978855</v>
      </c>
      <c r="AS85" s="12">
        <f>[1]节奏总纲!BE85</f>
        <v>47.535997393158453</v>
      </c>
    </row>
    <row r="86" spans="2:45" x14ac:dyDescent="0.15">
      <c r="B86" s="14">
        <f>[1]节奏总纲!N86</f>
        <v>93</v>
      </c>
      <c r="C86" s="6">
        <v>83</v>
      </c>
      <c r="D86" s="6">
        <f>[1]节奏总纲!P86</f>
        <v>314.1729698162988</v>
      </c>
      <c r="E86" s="6">
        <f>[1]节奏总纲!Q86</f>
        <v>271.53969781222702</v>
      </c>
      <c r="F86" s="6">
        <f>[1]节奏总纲!R86</f>
        <v>221.55477831445393</v>
      </c>
      <c r="G86" s="6">
        <f>[1]节奏总纲!S86</f>
        <v>161.57915837652246</v>
      </c>
      <c r="H86" s="6">
        <f>[1]节奏总纲!T86</f>
        <v>89.193706130847232</v>
      </c>
      <c r="J86" s="9">
        <v>83</v>
      </c>
      <c r="K86" s="10">
        <f>[1]节奏总纲!W86</f>
        <v>21.106190937058159</v>
      </c>
      <c r="L86" s="10">
        <f>[1]节奏总纲!X86</f>
        <v>18.388614216338937</v>
      </c>
      <c r="M86" s="10">
        <f>[1]节奏总纲!Y86</f>
        <v>15.177152627692664</v>
      </c>
      <c r="N86" s="10">
        <f>[1]节奏总纲!Z86</f>
        <v>10.766993965265243</v>
      </c>
      <c r="O86" s="10">
        <f>[1]节奏总纲!AA86</f>
        <v>5.9627409291428961</v>
      </c>
      <c r="Q86" s="9">
        <v>83</v>
      </c>
      <c r="R86" s="10">
        <f>[1]节奏总纲!AD86</f>
        <v>63.920692243099523</v>
      </c>
      <c r="S86" s="10">
        <f>[1]节奏总纲!AE86</f>
        <v>65.938223839839395</v>
      </c>
      <c r="T86" s="10">
        <f>[1]节奏总纲!AF86</f>
        <v>68.841490236267347</v>
      </c>
      <c r="U86" s="10">
        <f>[1]节奏总纲!AG86</f>
        <v>73.34571267276516</v>
      </c>
      <c r="V86" s="10">
        <f>[1]节奏总纲!AH86</f>
        <v>81.957022119243135</v>
      </c>
      <c r="AN86" s="12">
        <f>[1]节奏总纲!AZ86</f>
        <v>83</v>
      </c>
      <c r="AO86" s="12">
        <f>[1]节奏总纲!BA86</f>
        <v>36.778843395654896</v>
      </c>
      <c r="AP86" s="12">
        <f>[1]节奏总纲!BB86</f>
        <v>38.272377899878528</v>
      </c>
      <c r="AQ86" s="12">
        <f>[1]节奏总纲!BC86</f>
        <v>40.207843901678423</v>
      </c>
      <c r="AR86" s="12">
        <f>[1]节奏总纲!BD86</f>
        <v>42.948185723296518</v>
      </c>
      <c r="AS86" s="12">
        <f>[1]节奏总纲!BE86</f>
        <v>47.619147546450023</v>
      </c>
    </row>
    <row r="87" spans="2:45" x14ac:dyDescent="0.15">
      <c r="B87" s="14">
        <f>[1]节奏总纲!N87</f>
        <v>94</v>
      </c>
      <c r="C87" s="6">
        <v>84</v>
      </c>
      <c r="D87" s="6">
        <f>[1]节奏总纲!P87</f>
        <v>336.79402515786086</v>
      </c>
      <c r="E87" s="6">
        <f>[1]节奏总纲!Q87</f>
        <v>291.2594729565181</v>
      </c>
      <c r="F87" s="6">
        <f>[1]节奏总纲!R87</f>
        <v>237.27139072371298</v>
      </c>
      <c r="G87" s="6">
        <f>[1]节奏总纲!S87</f>
        <v>172.97741132107731</v>
      </c>
      <c r="H87" s="6">
        <f>[1]节奏总纲!T87</f>
        <v>95.64950314483248</v>
      </c>
      <c r="J87" s="9">
        <v>84</v>
      </c>
      <c r="K87" s="10">
        <f>[1]节奏总纲!W87</f>
        <v>22.621055341562055</v>
      </c>
      <c r="L87" s="10">
        <f>[1]节奏总纲!X87</f>
        <v>19.719775144291077</v>
      </c>
      <c r="M87" s="10">
        <f>[1]节奏总纲!Y87</f>
        <v>15.716612409259056</v>
      </c>
      <c r="N87" s="10">
        <f>[1]节奏总纲!Z87</f>
        <v>11.398252944554855</v>
      </c>
      <c r="O87" s="10">
        <f>[1]节奏总纲!AA87</f>
        <v>6.4557970139852472</v>
      </c>
      <c r="Q87" s="9">
        <v>84</v>
      </c>
      <c r="R87" s="10">
        <f>[1]节奏总纲!AD87</f>
        <v>64.090988120365651</v>
      </c>
      <c r="S87" s="10">
        <f>[1]节奏总纲!AE87</f>
        <v>66.105889403880397</v>
      </c>
      <c r="T87" s="10">
        <f>[1]节奏总纲!AF87</f>
        <v>69.01697485309198</v>
      </c>
      <c r="U87" s="10">
        <f>[1]节奏总纲!AG87</f>
        <v>73.514782909236544</v>
      </c>
      <c r="V87" s="10">
        <f>[1]节奏总纲!AH87</f>
        <v>82.128973371044353</v>
      </c>
      <c r="AN87" s="12">
        <f>[1]节奏总纲!AZ87</f>
        <v>84</v>
      </c>
      <c r="AO87" s="12">
        <f>[1]节奏总纲!BA87</f>
        <v>36.863014124290601</v>
      </c>
      <c r="AP87" s="12">
        <f>[1]节奏总纲!BB87</f>
        <v>38.35066605767593</v>
      </c>
      <c r="AQ87" s="12">
        <f>[1]节奏总纲!BC87</f>
        <v>40.28554255651148</v>
      </c>
      <c r="AR87" s="12">
        <f>[1]节奏总纲!BD87</f>
        <v>43.030177309109042</v>
      </c>
      <c r="AS87" s="12">
        <f>[1]节奏总纲!BE87</f>
        <v>47.7022976997416</v>
      </c>
    </row>
    <row r="88" spans="2:45" x14ac:dyDescent="0.15">
      <c r="B88" s="14">
        <f>[1]节奏总纲!N88</f>
        <v>95</v>
      </c>
      <c r="C88" s="6">
        <v>85</v>
      </c>
      <c r="D88" s="6">
        <f>[1]节奏总纲!P88</f>
        <v>361.0386719675123</v>
      </c>
      <c r="E88" s="6">
        <f>[1]节奏总纲!Q88</f>
        <v>311.72078937675008</v>
      </c>
      <c r="F88" s="6">
        <f>[1]节奏总纲!R88</f>
        <v>253.91849799475142</v>
      </c>
      <c r="G88" s="6">
        <f>[1]节奏总纲!S88</f>
        <v>185.57387739130132</v>
      </c>
      <c r="H88" s="6">
        <f>[1]节奏总纲!T88</f>
        <v>102.53498283877349</v>
      </c>
      <c r="J88" s="9">
        <v>85</v>
      </c>
      <c r="K88" s="10">
        <f>[1]节奏总纲!W88</f>
        <v>24.244646809651442</v>
      </c>
      <c r="L88" s="10">
        <f>[1]节奏总纲!X88</f>
        <v>20.461316420231981</v>
      </c>
      <c r="M88" s="10">
        <f>[1]节奏总纲!Y88</f>
        <v>16.647107271038436</v>
      </c>
      <c r="N88" s="10">
        <f>[1]节奏总纲!Z88</f>
        <v>12.596466070224011</v>
      </c>
      <c r="O88" s="10">
        <f>[1]节奏总纲!AA88</f>
        <v>6.8854796939410079</v>
      </c>
      <c r="Q88" s="9">
        <v>85</v>
      </c>
      <c r="R88" s="10">
        <f>[1]节奏总纲!AD88</f>
        <v>64.255972994404218</v>
      </c>
      <c r="S88" s="10">
        <f>[1]节奏总纲!AE88</f>
        <v>66.269371604948859</v>
      </c>
      <c r="T88" s="10">
        <f>[1]节奏总纲!AF88</f>
        <v>69.17795498031839</v>
      </c>
      <c r="U88" s="10">
        <f>[1]节奏总纲!AG88</f>
        <v>73.683853145707943</v>
      </c>
      <c r="V88" s="10">
        <f>[1]节奏总纲!AH88</f>
        <v>82.296681479091191</v>
      </c>
      <c r="AN88" s="12">
        <f>[1]节奏总纲!AZ88</f>
        <v>85</v>
      </c>
      <c r="AO88" s="12">
        <f>[1]节奏总纲!BA88</f>
        <v>36.947184852926306</v>
      </c>
      <c r="AP88" s="12">
        <f>[1]节奏总纲!BB88</f>
        <v>38.428954215473325</v>
      </c>
      <c r="AQ88" s="12">
        <f>[1]节奏总纲!BC88</f>
        <v>40.363241211344537</v>
      </c>
      <c r="AR88" s="12">
        <f>[1]节奏总纲!BD88</f>
        <v>43.105070725978337</v>
      </c>
      <c r="AS88" s="12">
        <f>[1]节奏总纲!BE88</f>
        <v>47.785447853033176</v>
      </c>
    </row>
    <row r="89" spans="2:45" x14ac:dyDescent="0.15">
      <c r="B89" s="14">
        <f>[1]节奏总纲!N89</f>
        <v>96</v>
      </c>
      <c r="C89" s="6">
        <v>86</v>
      </c>
      <c r="D89" s="6">
        <f>[1]节奏总纲!P89</f>
        <v>387.02344102666189</v>
      </c>
      <c r="E89" s="6">
        <f>[1]节奏总纲!Q89</f>
        <v>334.00122960600919</v>
      </c>
      <c r="F89" s="6">
        <f>[1]节奏总纲!R89</f>
        <v>272.23228841815398</v>
      </c>
      <c r="G89" s="6">
        <f>[1]节奏总纲!S89</f>
        <v>199.39447681693619</v>
      </c>
      <c r="H89" s="6">
        <f>[1]节奏总纲!T89</f>
        <v>108.94709864900531</v>
      </c>
      <c r="J89" s="9">
        <v>86</v>
      </c>
      <c r="K89" s="10">
        <f>[1]节奏总纲!W89</f>
        <v>25.984769059149585</v>
      </c>
      <c r="L89" s="10">
        <f>[1]节奏总纲!X89</f>
        <v>22.280440229259113</v>
      </c>
      <c r="M89" s="10">
        <f>[1]节奏总纲!Y89</f>
        <v>18.313790423402565</v>
      </c>
      <c r="N89" s="10">
        <f>[1]节奏总纲!Z89</f>
        <v>13.820599425634867</v>
      </c>
      <c r="O89" s="10">
        <f>[1]节奏总纲!AA89</f>
        <v>6.4121158102318248</v>
      </c>
      <c r="Q89" s="9">
        <v>86</v>
      </c>
      <c r="R89" s="10">
        <f>[1]节奏总纲!AD89</f>
        <v>64.420957868442798</v>
      </c>
      <c r="S89" s="10">
        <f>[1]节奏总纲!AE89</f>
        <v>66.43285380601732</v>
      </c>
      <c r="T89" s="10">
        <f>[1]节奏总纲!AF89</f>
        <v>69.338935107544785</v>
      </c>
      <c r="U89" s="10">
        <f>[1]节奏总纲!AG89</f>
        <v>73.852923382179341</v>
      </c>
      <c r="V89" s="10">
        <f>[1]节奏总纲!AH89</f>
        <v>82.464389587138029</v>
      </c>
      <c r="AN89" s="12">
        <f>[1]节奏总纲!AZ89</f>
        <v>86</v>
      </c>
      <c r="AO89" s="12">
        <f>[1]节奏总纲!BA89</f>
        <v>37.027046282459708</v>
      </c>
      <c r="AP89" s="12">
        <f>[1]节奏总纲!BB89</f>
        <v>38.507242373270728</v>
      </c>
      <c r="AQ89" s="12">
        <f>[1]节奏总纲!BC89</f>
        <v>40.440939866177594</v>
      </c>
      <c r="AR89" s="12">
        <f>[1]节奏总纲!BD89</f>
        <v>43.179964142847631</v>
      </c>
      <c r="AS89" s="12">
        <f>[1]节奏总纲!BE89</f>
        <v>47.868598006324753</v>
      </c>
    </row>
    <row r="90" spans="2:45" x14ac:dyDescent="0.15">
      <c r="B90" s="14">
        <f>[1]节奏总纲!N90</f>
        <v>97</v>
      </c>
      <c r="C90" s="6">
        <v>87</v>
      </c>
      <c r="D90" s="6">
        <f>[1]节奏总纲!P90</f>
        <v>414.87322693439216</v>
      </c>
      <c r="E90" s="6">
        <f>[1]节奏总纲!Q90</f>
        <v>358.28451878054108</v>
      </c>
      <c r="F90" s="6">
        <f>[1]节奏总纲!R90</f>
        <v>292.4026503433596</v>
      </c>
      <c r="G90" s="6">
        <f>[1]节奏总纲!S90</f>
        <v>212.58104148118252</v>
      </c>
      <c r="H90" s="6">
        <f>[1]节奏总纲!T90</f>
        <v>115.74963031469542</v>
      </c>
      <c r="J90" s="9">
        <v>87</v>
      </c>
      <c r="K90" s="10">
        <f>[1]节奏总纲!W90</f>
        <v>27.849785907730279</v>
      </c>
      <c r="L90" s="10">
        <f>[1]节奏总纲!X90</f>
        <v>24.283289174531888</v>
      </c>
      <c r="M90" s="10">
        <f>[1]节奏总纲!Y90</f>
        <v>20.170361925205611</v>
      </c>
      <c r="N90" s="10">
        <f>[1]节奏总纲!Z90</f>
        <v>13.186564664246333</v>
      </c>
      <c r="O90" s="10">
        <f>[1]节奏总纲!AA90</f>
        <v>6.8025316656901111</v>
      </c>
      <c r="Q90" s="9">
        <v>87</v>
      </c>
      <c r="R90" s="10">
        <f>[1]节奏总纲!AD90</f>
        <v>64.585942742481365</v>
      </c>
      <c r="S90" s="10">
        <f>[1]节奏总纲!AE90</f>
        <v>66.596336007085796</v>
      </c>
      <c r="T90" s="10">
        <f>[1]节奏总纲!AF90</f>
        <v>69.49991523477118</v>
      </c>
      <c r="U90" s="10">
        <f>[1]节奏总纲!AG90</f>
        <v>74.02050499447661</v>
      </c>
      <c r="V90" s="10">
        <f>[1]节奏总纲!AH90</f>
        <v>82.632097695184868</v>
      </c>
      <c r="AN90" s="12">
        <f>[1]节奏总纲!AZ90</f>
        <v>87</v>
      </c>
      <c r="AO90" s="12">
        <f>[1]节奏总纲!BA90</f>
        <v>37.099649155317238</v>
      </c>
      <c r="AP90" s="12">
        <f>[1]节奏总纲!BB90</f>
        <v>38.58553053106813</v>
      </c>
      <c r="AQ90" s="12">
        <f>[1]节奏总纲!BC90</f>
        <v>40.518638521010651</v>
      </c>
      <c r="AR90" s="12">
        <f>[1]节奏总纲!BD90</f>
        <v>43.254857559716925</v>
      </c>
      <c r="AS90" s="12">
        <f>[1]节奏总纲!BE90</f>
        <v>47.951748159616329</v>
      </c>
    </row>
    <row r="91" spans="2:45" x14ac:dyDescent="0.15">
      <c r="B91" s="14">
        <f>[1]节奏总纲!N91</f>
        <v>98</v>
      </c>
      <c r="C91" s="6">
        <v>88</v>
      </c>
      <c r="D91" s="6">
        <f>[1]节奏总纲!P91</f>
        <v>444.72188840761549</v>
      </c>
      <c r="E91" s="6">
        <f>[1]节奏总纲!Q91</f>
        <v>384.7733778502689</v>
      </c>
      <c r="F91" s="6">
        <f>[1]节奏总纲!R91</f>
        <v>312.90632068359827</v>
      </c>
      <c r="G91" s="6">
        <f>[1]节奏总纲!S91</f>
        <v>226.0076636887502</v>
      </c>
      <c r="H91" s="6">
        <f>[1]节奏总纲!T91</f>
        <v>123.1879630889095</v>
      </c>
      <c r="J91" s="9">
        <v>88</v>
      </c>
      <c r="K91" s="10">
        <f>[1]节奏总纲!W91</f>
        <v>29.848661473223331</v>
      </c>
      <c r="L91" s="10">
        <f>[1]节奏总纲!X91</f>
        <v>26.488859069727823</v>
      </c>
      <c r="M91" s="10">
        <f>[1]节奏总纲!Y91</f>
        <v>20.503670340238671</v>
      </c>
      <c r="N91" s="10">
        <f>[1]节奏总纲!Z91</f>
        <v>13.426622207567675</v>
      </c>
      <c r="O91" s="10">
        <f>[1]节奏总纲!AA91</f>
        <v>7.438332774214075</v>
      </c>
      <c r="Q91" s="9">
        <v>88</v>
      </c>
      <c r="R91" s="10">
        <f>[1]节奏总纲!AD91</f>
        <v>64.750927616519931</v>
      </c>
      <c r="S91" s="10">
        <f>[1]节奏总纲!AE91</f>
        <v>66.759818208154257</v>
      </c>
      <c r="T91" s="10">
        <f>[1]节奏总纲!AF91</f>
        <v>69.660895361997589</v>
      </c>
      <c r="U91" s="10">
        <f>[1]节奏总纲!AG91</f>
        <v>74.178131818877702</v>
      </c>
      <c r="V91" s="10">
        <f>[1]节奏总纲!AH91</f>
        <v>82.799805803231706</v>
      </c>
      <c r="AN91" s="12">
        <f>[1]节奏总纲!AZ91</f>
        <v>88</v>
      </c>
      <c r="AO91" s="12">
        <f>[1]节奏总纲!BA91</f>
        <v>37.172252028174768</v>
      </c>
      <c r="AP91" s="12">
        <f>[1]节奏总纲!BB91</f>
        <v>38.663818688865533</v>
      </c>
      <c r="AQ91" s="12">
        <f>[1]节奏总纲!BC91</f>
        <v>40.596337175843701</v>
      </c>
      <c r="AR91" s="12">
        <f>[1]节奏总纲!BD91</f>
        <v>43.329750976586219</v>
      </c>
      <c r="AS91" s="12">
        <f>[1]节奏总纲!BE91</f>
        <v>48.030128751164234</v>
      </c>
    </row>
    <row r="92" spans="2:45" x14ac:dyDescent="0.15">
      <c r="B92" s="14">
        <f>[1]节奏总纲!N92</f>
        <v>99</v>
      </c>
      <c r="C92" s="6">
        <v>89</v>
      </c>
      <c r="D92" s="6">
        <f>[1]节奏总纲!P92</f>
        <v>476.71289166684534</v>
      </c>
      <c r="E92" s="6">
        <f>[1]节奏总纲!Q92</f>
        <v>411.78459582182103</v>
      </c>
      <c r="F92" s="6">
        <f>[1]节奏总纲!R92</f>
        <v>332.60258451595797</v>
      </c>
      <c r="G92" s="6">
        <f>[1]节奏总纲!S92</f>
        <v>240.31096868925673</v>
      </c>
      <c r="H92" s="6">
        <f>[1]节奏总纲!T92</f>
        <v>130.61933231671563</v>
      </c>
      <c r="J92" s="9">
        <v>89</v>
      </c>
      <c r="K92" s="10">
        <f>[1]节奏总纲!W92</f>
        <v>31.991003259229842</v>
      </c>
      <c r="L92" s="10">
        <f>[1]节奏总纲!X92</f>
        <v>27.011217971552128</v>
      </c>
      <c r="M92" s="10">
        <f>[1]节奏总纲!Y92</f>
        <v>19.696263832359705</v>
      </c>
      <c r="N92" s="10">
        <f>[1]节奏总纲!Z92</f>
        <v>14.303305000506526</v>
      </c>
      <c r="O92" s="10">
        <f>[1]节奏总纲!AA92</f>
        <v>7.4313692278061296</v>
      </c>
      <c r="Q92" s="9">
        <v>89</v>
      </c>
      <c r="R92" s="10">
        <f>[1]节奏总纲!AD92</f>
        <v>64.915912490558512</v>
      </c>
      <c r="S92" s="10">
        <f>[1]节奏总纲!AE92</f>
        <v>66.923300409222719</v>
      </c>
      <c r="T92" s="10">
        <f>[1]节奏总纲!AF92</f>
        <v>69.821875489223984</v>
      </c>
      <c r="U92" s="10">
        <f>[1]节奏总纲!AG92</f>
        <v>74.335758643278794</v>
      </c>
      <c r="V92" s="10">
        <f>[1]节奏总纲!AH92</f>
        <v>82.967513911278544</v>
      </c>
      <c r="AN92" s="12">
        <f>[1]节奏总纲!AZ92</f>
        <v>89</v>
      </c>
      <c r="AO92" s="12">
        <f>[1]节奏总纲!BA92</f>
        <v>37.244854901032298</v>
      </c>
      <c r="AP92" s="12">
        <f>[1]节奏总纲!BB92</f>
        <v>38.742106846662928</v>
      </c>
      <c r="AQ92" s="12">
        <f>[1]节奏总纲!BC92</f>
        <v>40.674035830676758</v>
      </c>
      <c r="AR92" s="12">
        <f>[1]节奏总纲!BD92</f>
        <v>43.404644393455513</v>
      </c>
      <c r="AS92" s="12">
        <f>[1]节奏总纲!BE92</f>
        <v>48.101914750802706</v>
      </c>
    </row>
    <row r="93" spans="2:45" x14ac:dyDescent="0.15">
      <c r="B93" s="14">
        <f>[1]节奏总纲!N93</f>
        <v>100</v>
      </c>
      <c r="C93" s="6">
        <v>90</v>
      </c>
      <c r="D93" s="6">
        <f>[1]节奏总纲!P93</f>
        <v>511</v>
      </c>
      <c r="E93" s="6">
        <f>[1]节奏总纲!Q93</f>
        <v>438.13140000000004</v>
      </c>
      <c r="F93" s="6">
        <f>[1]节奏总纲!R93</f>
        <v>354.12299999999999</v>
      </c>
      <c r="G93" s="6">
        <f>[1]节奏总纲!S93</f>
        <v>254.88680000000002</v>
      </c>
      <c r="H93" s="6">
        <f>[1]节奏总纲!T93</f>
        <v>138.48100000000002</v>
      </c>
      <c r="J93" s="9">
        <v>90</v>
      </c>
      <c r="K93" s="10">
        <f>[1]节奏总纲!W93</f>
        <v>34.287108333154663</v>
      </c>
      <c r="L93" s="10">
        <f>[1]节奏总纲!X93</f>
        <v>26.346804178179013</v>
      </c>
      <c r="M93" s="10">
        <f>[1]节奏总纲!Y93</f>
        <v>21.520415484042019</v>
      </c>
      <c r="N93" s="10">
        <f>[1]节奏总纲!Z93</f>
        <v>14.575831310743297</v>
      </c>
      <c r="O93" s="10">
        <f>[1]节奏总纲!AA93</f>
        <v>7.861667683284395</v>
      </c>
      <c r="Q93" s="9">
        <v>90</v>
      </c>
      <c r="R93" s="10">
        <f>[1]节奏总纲!AD93</f>
        <v>65.075479910097457</v>
      </c>
      <c r="S93" s="10">
        <f>[1]节奏总纲!AE93</f>
        <v>67.083433628014333</v>
      </c>
      <c r="T93" s="10">
        <f>[1]节奏总纲!AF93</f>
        <v>69.982855616450394</v>
      </c>
      <c r="U93" s="10">
        <f>[1]节奏总纲!AG93</f>
        <v>74.493385467679886</v>
      </c>
      <c r="V93" s="10">
        <f>[1]节奏总纲!AH93</f>
        <v>83.124894550960335</v>
      </c>
      <c r="AN93" s="12">
        <f>[1]节奏总纲!AZ93</f>
        <v>90</v>
      </c>
      <c r="AO93" s="12">
        <f>[1]节奏总纲!BA93</f>
        <v>37.317457773889828</v>
      </c>
      <c r="AP93" s="12">
        <f>[1]节奏总纲!BB93</f>
        <v>38.82039500446033</v>
      </c>
      <c r="AQ93" s="12">
        <f>[1]节奏总纲!BC93</f>
        <v>40.751734485509814</v>
      </c>
      <c r="AR93" s="12">
        <f>[1]节奏总纲!BD93</f>
        <v>43.479537810324807</v>
      </c>
      <c r="AS93" s="12">
        <f>[1]节奏总纲!BE93</f>
        <v>48.173700750441178</v>
      </c>
    </row>
    <row r="94" spans="2:45" x14ac:dyDescent="0.15">
      <c r="B94" s="14">
        <f>[1]节奏总纲!N94</f>
        <v>101</v>
      </c>
      <c r="C94" s="6">
        <v>91</v>
      </c>
      <c r="D94" s="6">
        <f>[1]节奏总纲!P94</f>
        <v>547.74801281858208</v>
      </c>
      <c r="E94" s="6">
        <f>[1]节奏总纲!Q94</f>
        <v>469.6391461906523</v>
      </c>
      <c r="F94" s="6">
        <f>[1]节奏总纲!R94</f>
        <v>378.43910205635837</v>
      </c>
      <c r="G94" s="6">
        <f>[1]节奏总纲!S94</f>
        <v>272.61418597980827</v>
      </c>
      <c r="H94" s="6">
        <f>[1]节奏总纲!T94</f>
        <v>147.89196346101718</v>
      </c>
      <c r="J94" s="9">
        <v>91</v>
      </c>
      <c r="K94" s="10">
        <f>[1]节奏总纲!W94</f>
        <v>36.748012818582083</v>
      </c>
      <c r="L94" s="10">
        <f>[1]节奏总纲!X94</f>
        <v>31.507746190652256</v>
      </c>
      <c r="M94" s="10">
        <f>[1]节奏总纲!Y94</f>
        <v>24.316102056358375</v>
      </c>
      <c r="N94" s="10">
        <f>[1]节奏总纲!Z94</f>
        <v>17.727385979808247</v>
      </c>
      <c r="O94" s="10">
        <f>[1]节奏总纲!AA94</f>
        <v>9.4109634610171611</v>
      </c>
      <c r="Q94" s="9">
        <v>91</v>
      </c>
      <c r="R94" s="10">
        <f>[1]节奏总纲!AD94</f>
        <v>65.229416240679981</v>
      </c>
      <c r="S94" s="10">
        <f>[1]节奏总纲!AE94</f>
        <v>67.240606973055961</v>
      </c>
      <c r="T94" s="10">
        <f>[1]节奏总纲!AF94</f>
        <v>70.137942795989005</v>
      </c>
      <c r="U94" s="10">
        <f>[1]节奏总纲!AG94</f>
        <v>74.651012292080978</v>
      </c>
      <c r="V94" s="10">
        <f>[1]节奏总纲!AH94</f>
        <v>83.279794092850153</v>
      </c>
      <c r="AN94" s="12">
        <f>[1]节奏总纲!AZ94</f>
        <v>91</v>
      </c>
      <c r="AO94" s="12">
        <f>[1]节奏总纲!BA94</f>
        <v>37.390060646747358</v>
      </c>
      <c r="AP94" s="12">
        <f>[1]节奏总纲!BB94</f>
        <v>38.898683162257733</v>
      </c>
      <c r="AQ94" s="12">
        <f>[1]节奏总纲!BC94</f>
        <v>40.829433140342871</v>
      </c>
      <c r="AR94" s="12">
        <f>[1]节奏总纲!BD94</f>
        <v>43.554431227194108</v>
      </c>
      <c r="AS94" s="12">
        <f>[1]节奏总纲!BE94</f>
        <v>48.24548675007965</v>
      </c>
    </row>
    <row r="95" spans="2:45" x14ac:dyDescent="0.15">
      <c r="B95" s="14">
        <f>[1]节奏总纲!N95</f>
        <v>102</v>
      </c>
      <c r="C95" s="6">
        <v>92</v>
      </c>
      <c r="D95" s="6">
        <f>[1]节奏总纲!P95</f>
        <v>587.1335577584814</v>
      </c>
      <c r="E95" s="6">
        <f>[1]节奏总纲!Q95</f>
        <v>502.29275866238083</v>
      </c>
      <c r="F95" s="6">
        <f>[1]节奏总纲!R95</f>
        <v>405.12215485335213</v>
      </c>
      <c r="G95" s="6">
        <f>[1]节奏总纲!S95</f>
        <v>291.57052478286187</v>
      </c>
      <c r="H95" s="6">
        <f>[1]节奏总纲!T95</f>
        <v>157.64536025815227</v>
      </c>
      <c r="J95" s="9">
        <v>92</v>
      </c>
      <c r="K95" s="10">
        <f>[1]节奏总纲!W95</f>
        <v>39.385544939899319</v>
      </c>
      <c r="L95" s="10">
        <f>[1]节奏总纲!X95</f>
        <v>32.653612471728536</v>
      </c>
      <c r="M95" s="10">
        <f>[1]节奏总纲!Y95</f>
        <v>26.683052796993763</v>
      </c>
      <c r="N95" s="10">
        <f>[1]节奏总纲!Z95</f>
        <v>18.956338803053598</v>
      </c>
      <c r="O95" s="10">
        <f>[1]节奏总纲!AA95</f>
        <v>9.7533967971350819</v>
      </c>
      <c r="Q95" s="9">
        <v>92</v>
      </c>
      <c r="R95" s="10">
        <f>[1]节奏总纲!AD95</f>
        <v>65.38335257126252</v>
      </c>
      <c r="S95" s="10">
        <f>[1]节奏总纲!AE95</f>
        <v>67.397780318097588</v>
      </c>
      <c r="T95" s="10">
        <f>[1]节奏总纲!AF95</f>
        <v>70.292327570459079</v>
      </c>
      <c r="U95" s="10">
        <f>[1]节奏总纲!AG95</f>
        <v>74.808639116482055</v>
      </c>
      <c r="V95" s="10">
        <f>[1]节奏总纲!AH95</f>
        <v>83.434693634739986</v>
      </c>
      <c r="AN95" s="12">
        <f>[1]节奏总纲!AZ95</f>
        <v>92</v>
      </c>
      <c r="AO95" s="12">
        <f>[1]节奏总纲!BA95</f>
        <v>37.462663519604888</v>
      </c>
      <c r="AP95" s="12">
        <f>[1]节奏总纲!BB95</f>
        <v>38.976971320055128</v>
      </c>
      <c r="AQ95" s="12">
        <f>[1]节奏总纲!BC95</f>
        <v>40.907131795175928</v>
      </c>
      <c r="AR95" s="12">
        <f>[1]节奏总纲!BD95</f>
        <v>43.629324644063402</v>
      </c>
      <c r="AS95" s="12">
        <f>[1]节奏总纲!BE95</f>
        <v>48.317272749718121</v>
      </c>
    </row>
    <row r="96" spans="2:45" x14ac:dyDescent="0.15">
      <c r="B96" s="14">
        <f>[1]节奏总纲!N96</f>
        <v>103</v>
      </c>
      <c r="C96" s="6">
        <v>93</v>
      </c>
      <c r="D96" s="6">
        <f>[1]节奏总纲!P96</f>
        <v>629.34593963259704</v>
      </c>
      <c r="E96" s="6">
        <f>[1]节奏总纲!Q96</f>
        <v>538.34251676172357</v>
      </c>
      <c r="F96" s="6">
        <f>[1]节奏总纲!R96</f>
        <v>433.68228700082267</v>
      </c>
      <c r="G96" s="6">
        <f>[1]节奏总纲!S96</f>
        <v>311.52624011813555</v>
      </c>
      <c r="H96" s="6">
        <f>[1]节奏总纲!T96</f>
        <v>168.35003885171972</v>
      </c>
      <c r="J96" s="9">
        <v>93</v>
      </c>
      <c r="K96" s="10">
        <f>[1]节奏总纲!W96</f>
        <v>42.212381874115636</v>
      </c>
      <c r="L96" s="10">
        <f>[1]节奏总纲!X96</f>
        <v>36.049758099342739</v>
      </c>
      <c r="M96" s="10">
        <f>[1]节奏总纲!Y96</f>
        <v>28.56013214747054</v>
      </c>
      <c r="N96" s="10">
        <f>[1]节奏总纲!Z96</f>
        <v>19.95571533527368</v>
      </c>
      <c r="O96" s="10">
        <f>[1]节奏总纲!AA96</f>
        <v>10.704678593567451</v>
      </c>
      <c r="Q96" s="9">
        <v>93</v>
      </c>
      <c r="R96" s="10">
        <f>[1]节奏总纲!AD96</f>
        <v>65.537288901845059</v>
      </c>
      <c r="S96" s="10">
        <f>[1]节奏总纲!AE96</f>
        <v>67.554953663139216</v>
      </c>
      <c r="T96" s="10">
        <f>[1]节奏总纲!AF96</f>
        <v>70.446712344929153</v>
      </c>
      <c r="U96" s="10">
        <f>[1]节奏总纲!AG96</f>
        <v>74.966265940883147</v>
      </c>
      <c r="V96" s="10">
        <f>[1]节奏总纲!AH96</f>
        <v>83.589593176629805</v>
      </c>
      <c r="AN96" s="12">
        <f>[1]节奏总纲!AZ96</f>
        <v>93</v>
      </c>
      <c r="AO96" s="12">
        <f>[1]节奏总纲!BA96</f>
        <v>37.535266392462418</v>
      </c>
      <c r="AP96" s="12">
        <f>[1]节奏总纲!BB96</f>
        <v>39.047673544184711</v>
      </c>
      <c r="AQ96" s="12">
        <f>[1]节奏总纲!BC96</f>
        <v>40.984830450008985</v>
      </c>
      <c r="AR96" s="12">
        <f>[1]节奏总纲!BD96</f>
        <v>43.704218060932696</v>
      </c>
      <c r="AS96" s="12">
        <f>[1]节奏总纲!BE96</f>
        <v>48.389058749356593</v>
      </c>
    </row>
    <row r="97" spans="2:45" x14ac:dyDescent="0.15">
      <c r="B97" s="14">
        <f>[1]节奏总纲!N97</f>
        <v>104</v>
      </c>
      <c r="C97" s="6">
        <v>94</v>
      </c>
      <c r="D97" s="6">
        <f>[1]节奏总纲!P97</f>
        <v>674.58805031572183</v>
      </c>
      <c r="E97" s="6">
        <f>[1]节奏总纲!Q97</f>
        <v>576.30057138472114</v>
      </c>
      <c r="F97" s="6">
        <f>[1]节奏总纲!R97</f>
        <v>464.04911981218504</v>
      </c>
      <c r="G97" s="6">
        <f>[1]节奏总纲!S97</f>
        <v>332.70682641571403</v>
      </c>
      <c r="H97" s="6">
        <f>[1]节奏总纲!T97</f>
        <v>179.6427977990767</v>
      </c>
      <c r="J97" s="9">
        <v>94</v>
      </c>
      <c r="K97" s="10">
        <f>[1]节奏总纲!W97</f>
        <v>45.242110683124793</v>
      </c>
      <c r="L97" s="10">
        <f>[1]节奏总纲!X97</f>
        <v>37.958054622997565</v>
      </c>
      <c r="M97" s="10">
        <f>[1]节奏总纲!Y97</f>
        <v>30.366832811362372</v>
      </c>
      <c r="N97" s="10">
        <f>[1]节奏总纲!Z97</f>
        <v>21.180586297578486</v>
      </c>
      <c r="O97" s="10">
        <f>[1]节奏总纲!AA97</f>
        <v>11.292758947356987</v>
      </c>
      <c r="Q97" s="9">
        <v>94</v>
      </c>
      <c r="R97" s="10">
        <f>[1]节奏总纲!AD97</f>
        <v>65.691225232427584</v>
      </c>
      <c r="S97" s="10">
        <f>[1]节奏总纲!AE97</f>
        <v>67.712127008180858</v>
      </c>
      <c r="T97" s="10">
        <f>[1]节奏总纲!AF97</f>
        <v>70.601097119399213</v>
      </c>
      <c r="U97" s="10">
        <f>[1]节奏总纲!AG97</f>
        <v>75.115180559621535</v>
      </c>
      <c r="V97" s="10">
        <f>[1]节奏总纲!AH97</f>
        <v>83.744492718519624</v>
      </c>
      <c r="AN97" s="12">
        <f>[1]节奏总纲!AZ97</f>
        <v>94</v>
      </c>
      <c r="AO97" s="12">
        <f>[1]节奏总纲!BA97</f>
        <v>37.607869265319941</v>
      </c>
      <c r="AP97" s="12">
        <f>[1]节奏总纲!BB97</f>
        <v>39.115214427575864</v>
      </c>
      <c r="AQ97" s="12">
        <f>[1]节奏总纲!BC97</f>
        <v>41.053954370816207</v>
      </c>
      <c r="AR97" s="12">
        <f>[1]节奏总纲!BD97</f>
        <v>43.77911147780199</v>
      </c>
      <c r="AS97" s="12">
        <f>[1]节奏总纲!BE97</f>
        <v>48.460844748995065</v>
      </c>
    </row>
    <row r="98" spans="2:45" x14ac:dyDescent="0.15">
      <c r="B98" s="14">
        <f>[1]节奏总纲!N98</f>
        <v>105</v>
      </c>
      <c r="C98" s="6">
        <v>95</v>
      </c>
      <c r="D98" s="6">
        <f>[1]节奏总纲!P98</f>
        <v>723.0773439350246</v>
      </c>
      <c r="E98" s="6">
        <f>[1]节奏总纲!Q98</f>
        <v>618.15882133005255</v>
      </c>
      <c r="F98" s="6">
        <f>[1]节奏总纲!R98</f>
        <v>495.95875020503337</v>
      </c>
      <c r="G98" s="6">
        <f>[1]节奏总纲!S98</f>
        <v>355.39251454406457</v>
      </c>
      <c r="H98" s="6">
        <f>[1]节奏总纲!T98</f>
        <v>192.84472762747106</v>
      </c>
      <c r="J98" s="9">
        <v>95</v>
      </c>
      <c r="K98" s="10">
        <f>[1]节奏总纲!W98</f>
        <v>48.489293619302771</v>
      </c>
      <c r="L98" s="10">
        <f>[1]节奏总纲!X98</f>
        <v>41.858249945331409</v>
      </c>
      <c r="M98" s="10">
        <f>[1]节奏总纲!Y98</f>
        <v>31.909630392848328</v>
      </c>
      <c r="N98" s="10">
        <f>[1]节奏总纲!Z98</f>
        <v>22.685688128350534</v>
      </c>
      <c r="O98" s="10">
        <f>[1]节奏总纲!AA98</f>
        <v>13.201929828394356</v>
      </c>
      <c r="Q98" s="9">
        <v>95</v>
      </c>
      <c r="R98" s="10">
        <f>[1]节奏总纲!AD98</f>
        <v>65.845161563010123</v>
      </c>
      <c r="S98" s="10">
        <f>[1]节奏总纲!AE98</f>
        <v>67.869300353222485</v>
      </c>
      <c r="T98" s="10">
        <f>[1]节奏总纲!AF98</f>
        <v>70.755481893869288</v>
      </c>
      <c r="U98" s="10">
        <f>[1]节奏总纲!AG98</f>
        <v>75.261722981240993</v>
      </c>
      <c r="V98" s="10">
        <f>[1]节奏总纲!AH98</f>
        <v>83.899392260409456</v>
      </c>
      <c r="AN98" s="12">
        <f>[1]节奏总纲!AZ98</f>
        <v>95</v>
      </c>
      <c r="AO98" s="12">
        <f>[1]节奏总纲!BA98</f>
        <v>37.680472138177471</v>
      </c>
      <c r="AP98" s="12">
        <f>[1]节奏总纲!BB98</f>
        <v>39.182755310967018</v>
      </c>
      <c r="AQ98" s="12">
        <f>[1]节奏总纲!BC98</f>
        <v>41.120998062635785</v>
      </c>
      <c r="AR98" s="12">
        <f>[1]节奏总纲!BD98</f>
        <v>43.854004894671284</v>
      </c>
      <c r="AS98" s="12">
        <f>[1]节奏总纲!BE98</f>
        <v>48.532630748633537</v>
      </c>
    </row>
    <row r="99" spans="2:45" x14ac:dyDescent="0.15">
      <c r="B99" s="14">
        <f>[1]节奏总纲!N99</f>
        <v>106</v>
      </c>
      <c r="C99" s="6">
        <v>96</v>
      </c>
      <c r="D99" s="6">
        <f>[1]节奏总纲!P99</f>
        <v>775.04688205332377</v>
      </c>
      <c r="E99" s="6">
        <f>[1]节奏总纲!Q99</f>
        <v>661.0374857032798</v>
      </c>
      <c r="F99" s="6">
        <f>[1]节奏总纲!R99</f>
        <v>529.97705794806279</v>
      </c>
      <c r="G99" s="6">
        <f>[1]节奏总纲!S99</f>
        <v>380.70302846459265</v>
      </c>
      <c r="H99" s="6">
        <f>[1]节奏总纲!T99</f>
        <v>206.86001282003213</v>
      </c>
      <c r="J99" s="9">
        <v>96</v>
      </c>
      <c r="K99" s="10">
        <f>[1]节奏总纲!W99</f>
        <v>51.96953811829917</v>
      </c>
      <c r="L99" s="10">
        <f>[1]节奏总纲!X99</f>
        <v>42.878664373227252</v>
      </c>
      <c r="M99" s="10">
        <f>[1]节奏总纲!Y99</f>
        <v>34.018307743029425</v>
      </c>
      <c r="N99" s="10">
        <f>[1]节奏总纲!Z99</f>
        <v>25.310513920528081</v>
      </c>
      <c r="O99" s="10">
        <f>[1]节奏总纲!AA99</f>
        <v>14.015285192561066</v>
      </c>
      <c r="Q99" s="9">
        <v>96</v>
      </c>
      <c r="R99" s="10">
        <f>[1]节奏总纲!AD99</f>
        <v>65.999097893592648</v>
      </c>
      <c r="S99" s="10">
        <f>[1]节奏总纲!AE99</f>
        <v>68.025215371037646</v>
      </c>
      <c r="T99" s="10">
        <f>[1]节奏总纲!AF99</f>
        <v>70.909866668339362</v>
      </c>
      <c r="U99" s="10">
        <f>[1]节奏总纲!AG99</f>
        <v>75.408265402860437</v>
      </c>
      <c r="V99" s="10">
        <f>[1]节奏总纲!AH99</f>
        <v>84.050903767166133</v>
      </c>
      <c r="AN99" s="12">
        <f>[1]节奏总纲!AZ99</f>
        <v>96</v>
      </c>
      <c r="AO99" s="12">
        <f>[1]节奏总纲!BA99</f>
        <v>37.753075011035001</v>
      </c>
      <c r="AP99" s="12">
        <f>[1]节奏总纲!BB99</f>
        <v>39.250296194358178</v>
      </c>
      <c r="AQ99" s="12">
        <f>[1]节奏总纲!BC99</f>
        <v>41.188041754455355</v>
      </c>
      <c r="AR99" s="12">
        <f>[1]节奏总纲!BD99</f>
        <v>43.928898311540578</v>
      </c>
      <c r="AS99" s="12">
        <f>[1]节奏总纲!BE99</f>
        <v>48.604416748272008</v>
      </c>
    </row>
    <row r="100" spans="2:45" x14ac:dyDescent="0.15">
      <c r="B100" s="14">
        <f>[1]节奏总纲!N100</f>
        <v>107</v>
      </c>
      <c r="C100" s="6">
        <v>97</v>
      </c>
      <c r="D100" s="6">
        <f>[1]节奏总纲!P100</f>
        <v>830.74645386878444</v>
      </c>
      <c r="E100" s="6">
        <f>[1]节奏总纲!Q100</f>
        <v>707.71290405081743</v>
      </c>
      <c r="F100" s="6">
        <f>[1]节奏总纲!R100</f>
        <v>569.31054483627804</v>
      </c>
      <c r="G100" s="6">
        <f>[1]节奏总纲!S100</f>
        <v>409.80722569347137</v>
      </c>
      <c r="H100" s="6">
        <f>[1]节奏总纲!T100</f>
        <v>223.30464679992923</v>
      </c>
      <c r="J100" s="9">
        <v>97</v>
      </c>
      <c r="K100" s="10">
        <f>[1]节奏总纲!W100</f>
        <v>55.699571815460672</v>
      </c>
      <c r="L100" s="10">
        <f>[1]节奏总纲!X100</f>
        <v>46.675418347537629</v>
      </c>
      <c r="M100" s="10">
        <f>[1]节奏总纲!Y100</f>
        <v>39.333486888215248</v>
      </c>
      <c r="N100" s="10">
        <f>[1]节奏总纲!Z100</f>
        <v>29.104197228878718</v>
      </c>
      <c r="O100" s="10">
        <f>[1]节奏总纲!AA100</f>
        <v>16.444633979897105</v>
      </c>
      <c r="Q100" s="9">
        <v>97</v>
      </c>
      <c r="R100" s="10">
        <f>[1]节奏总纲!AD100</f>
        <v>66.142785979989682</v>
      </c>
      <c r="S100" s="10">
        <f>[1]节奏总纲!AE100</f>
        <v>68.174918074940805</v>
      </c>
      <c r="T100" s="10">
        <f>[1]节奏总纲!AF100</f>
        <v>71.061795050376986</v>
      </c>
      <c r="U100" s="10">
        <f>[1]节奏总纲!AG100</f>
        <v>75.554807824479894</v>
      </c>
      <c r="V100" s="10">
        <f>[1]节奏总纲!AH100</f>
        <v>84.196136930932482</v>
      </c>
      <c r="AN100" s="12">
        <f>[1]节奏总纲!AZ100</f>
        <v>97</v>
      </c>
      <c r="AO100" s="12">
        <f>[1]节奏总纲!BA100</f>
        <v>37.825677883892531</v>
      </c>
      <c r="AP100" s="12">
        <f>[1]节奏总纲!BB100</f>
        <v>39.317837077749331</v>
      </c>
      <c r="AQ100" s="12">
        <f>[1]节奏总纲!BC100</f>
        <v>41.255085446274933</v>
      </c>
      <c r="AR100" s="12">
        <f>[1]节奏总纲!BD100</f>
        <v>44.003272544984547</v>
      </c>
      <c r="AS100" s="12">
        <f>[1]节奏总纲!BE100</f>
        <v>48.67620274791048</v>
      </c>
    </row>
    <row r="101" spans="2:45" x14ac:dyDescent="0.15">
      <c r="B101" s="14">
        <f>[1]节奏总纲!N101</f>
        <v>108</v>
      </c>
      <c r="C101" s="6">
        <v>98</v>
      </c>
      <c r="D101" s="6">
        <f>[1]节奏总纲!P101</f>
        <v>890.4437768152311</v>
      </c>
      <c r="E101" s="6">
        <f>[1]节奏总纲!Q101</f>
        <v>760.34994102252585</v>
      </c>
      <c r="F101" s="6">
        <f>[1]节奏总纲!R101</f>
        <v>612.98149595960513</v>
      </c>
      <c r="G101" s="6">
        <f>[1]节奏总纲!S101</f>
        <v>441.9272464333992</v>
      </c>
      <c r="H101" s="6">
        <f>[1]节奏总纲!T101</f>
        <v>240.77599725083846</v>
      </c>
      <c r="J101" s="9">
        <v>98</v>
      </c>
      <c r="K101" s="10">
        <f>[1]节奏总纲!W101</f>
        <v>59.697322946446661</v>
      </c>
      <c r="L101" s="10">
        <f>[1]节奏总纲!X101</f>
        <v>52.637036971708426</v>
      </c>
      <c r="M101" s="10">
        <f>[1]节奏总纲!Y101</f>
        <v>43.670951123327086</v>
      </c>
      <c r="N101" s="10">
        <f>[1]节奏总纲!Z101</f>
        <v>32.120020739927838</v>
      </c>
      <c r="O101" s="10">
        <f>[1]节奏总纲!AA101</f>
        <v>17.471350450909227</v>
      </c>
      <c r="Q101" s="9">
        <v>98</v>
      </c>
      <c r="R101" s="10">
        <f>[1]节奏总纲!AD101</f>
        <v>66.286413655019302</v>
      </c>
      <c r="S101" s="10">
        <f>[1]节奏总纲!AE101</f>
        <v>68.324620778843951</v>
      </c>
      <c r="T101" s="10">
        <f>[1]节奏总纲!AF101</f>
        <v>71.210277551293188</v>
      </c>
      <c r="U101" s="10">
        <f>[1]节奏总纲!AG101</f>
        <v>75.701350246099338</v>
      </c>
      <c r="V101" s="10">
        <f>[1]节奏总纲!AH101</f>
        <v>84.341370094698831</v>
      </c>
      <c r="AN101" s="12">
        <f>[1]节奏总纲!AZ101</f>
        <v>98</v>
      </c>
      <c r="AO101" s="12">
        <f>[1]节奏总纲!BA101</f>
        <v>37.898280756750061</v>
      </c>
      <c r="AP101" s="12">
        <f>[1]节奏总纲!BB101</f>
        <v>39.385377961140485</v>
      </c>
      <c r="AQ101" s="12">
        <f>[1]节奏总纲!BC101</f>
        <v>41.322129138094503</v>
      </c>
      <c r="AR101" s="12">
        <f>[1]节奏总纲!BD101</f>
        <v>44.067911160744309</v>
      </c>
      <c r="AS101" s="12">
        <f>[1]节奏总纲!BE101</f>
        <v>48.747988747548945</v>
      </c>
    </row>
    <row r="102" spans="2:45" x14ac:dyDescent="0.15">
      <c r="B102" s="14">
        <f>[1]节奏总纲!N102</f>
        <v>109</v>
      </c>
      <c r="C102" s="6">
        <v>99</v>
      </c>
      <c r="D102" s="6">
        <f>[1]节奏总纲!P102</f>
        <v>954.42578333369079</v>
      </c>
      <c r="E102" s="6">
        <f>[1]节奏总纲!Q102</f>
        <v>816.51125764197252</v>
      </c>
      <c r="F102" s="6">
        <f>[1]节奏总纲!R102</f>
        <v>658.6492330785801</v>
      </c>
      <c r="G102" s="6">
        <f>[1]节奏总纲!S102</f>
        <v>475.39948267851139</v>
      </c>
      <c r="H102" s="6">
        <f>[1]节奏总纲!T102</f>
        <v>257.59951892176309</v>
      </c>
      <c r="J102" s="9">
        <v>99</v>
      </c>
      <c r="K102" s="10">
        <f>[1]节奏总纲!W102</f>
        <v>63.982006518459684</v>
      </c>
      <c r="L102" s="10">
        <f>[1]节奏总纲!X102</f>
        <v>56.161316619446666</v>
      </c>
      <c r="M102" s="10">
        <f>[1]节奏总纲!Y102</f>
        <v>45.667737118974969</v>
      </c>
      <c r="N102" s="10">
        <f>[1]节奏总纲!Z102</f>
        <v>33.472236245112185</v>
      </c>
      <c r="O102" s="10">
        <f>[1]节奏总纲!AA102</f>
        <v>16.823521670924634</v>
      </c>
      <c r="Q102" s="9">
        <v>99</v>
      </c>
      <c r="R102" s="10">
        <f>[1]节奏总纲!AD102</f>
        <v>66.430041330048923</v>
      </c>
      <c r="S102" s="10">
        <f>[1]节奏总纲!AE102</f>
        <v>68.474323482747096</v>
      </c>
      <c r="T102" s="10">
        <f>[1]节奏总纲!AF102</f>
        <v>71.358760052209377</v>
      </c>
      <c r="U102" s="10">
        <f>[1]节奏总纲!AG102</f>
        <v>75.847892667718796</v>
      </c>
      <c r="V102" s="10">
        <f>[1]节奏总纲!AH102</f>
        <v>84.48660325846518</v>
      </c>
      <c r="AN102" s="12">
        <f>[1]节奏总纲!AZ102</f>
        <v>99</v>
      </c>
      <c r="AO102" s="12">
        <f>[1]节奏总纲!BA102</f>
        <v>37.970883629607592</v>
      </c>
      <c r="AP102" s="12">
        <f>[1]节奏总纲!BB102</f>
        <v>39.452918844531645</v>
      </c>
      <c r="AQ102" s="12">
        <f>[1]节奏总纲!BC102</f>
        <v>41.389172829914081</v>
      </c>
      <c r="AR102" s="12">
        <f>[1]节奏总纲!BD102</f>
        <v>44.132549776504064</v>
      </c>
      <c r="AS102" s="12">
        <f>[1]节奏总纲!BE102</f>
        <v>48.819774747187417</v>
      </c>
    </row>
    <row r="103" spans="2:45" x14ac:dyDescent="0.15">
      <c r="B103" s="14">
        <f>[1]节奏总纲!N103</f>
        <v>110</v>
      </c>
      <c r="C103" s="6">
        <v>100</v>
      </c>
      <c r="D103" s="6">
        <f>[1]节奏总纲!P103</f>
        <v>1023</v>
      </c>
      <c r="E103" s="6">
        <f>[1]节奏总纲!Q103</f>
        <v>875.38110000000006</v>
      </c>
      <c r="F103" s="6">
        <f>[1]节奏总纲!R103</f>
        <v>706.6884</v>
      </c>
      <c r="G103" s="6">
        <f>[1]节奏总纲!S103</f>
        <v>508.22640000000001</v>
      </c>
      <c r="H103" s="6">
        <f>[1]节奏总纲!T103</f>
        <v>274.77780000000001</v>
      </c>
      <c r="J103" s="9">
        <v>100</v>
      </c>
      <c r="K103" s="10">
        <f>[1]节奏总纲!W103</f>
        <v>68.574216666309212</v>
      </c>
      <c r="L103" s="10">
        <f>[1]节奏总纲!X103</f>
        <v>58.86984235802754</v>
      </c>
      <c r="M103" s="10">
        <f>[1]节奏总纲!Y103</f>
        <v>48.039166921419906</v>
      </c>
      <c r="N103" s="10">
        <f>[1]节奏总纲!Z103</f>
        <v>32.826917321488622</v>
      </c>
      <c r="O103" s="10">
        <f>[1]节奏总纲!AA103</f>
        <v>17.178281078236921</v>
      </c>
      <c r="Q103" s="9">
        <v>100</v>
      </c>
      <c r="R103" s="10">
        <f>[1]节奏总纲!AD103</f>
        <v>66.573669005078543</v>
      </c>
      <c r="S103" s="10">
        <f>[1]节奏总纲!AE103</f>
        <v>68.624026186650241</v>
      </c>
      <c r="T103" s="10">
        <f>[1]节奏总纲!AF103</f>
        <v>71.507242553125565</v>
      </c>
      <c r="U103" s="10">
        <f>[1]节奏总纲!AG103</f>
        <v>75.994435089338239</v>
      </c>
      <c r="V103" s="10">
        <f>[1]节奏总纲!AH103</f>
        <v>84.63183642223153</v>
      </c>
      <c r="AN103" s="12">
        <f>[1]节奏总纲!AZ103</f>
        <v>100</v>
      </c>
      <c r="AO103" s="12">
        <f>[1]节奏总纲!BA103</f>
        <v>38.037513426486328</v>
      </c>
      <c r="AP103" s="12">
        <f>[1]节奏总纲!BB103</f>
        <v>39.520459727922798</v>
      </c>
      <c r="AQ103" s="12">
        <f>[1]节奏总纲!BC103</f>
        <v>41.456216521733651</v>
      </c>
      <c r="AR103" s="12">
        <f>[1]节奏总纲!BD103</f>
        <v>44.197188392263818</v>
      </c>
      <c r="AS103" s="12">
        <f>[1]节奏总纲!BE103</f>
        <v>48.891560746825888</v>
      </c>
    </row>
    <row r="104" spans="2:45" x14ac:dyDescent="0.15">
      <c r="B104" s="14">
        <f>[1]节奏总纲!N104</f>
        <v>111</v>
      </c>
      <c r="C104" s="6">
        <v>101</v>
      </c>
      <c r="D104" s="6">
        <f>[1]节奏总纲!P104</f>
        <v>1096.4960256371633</v>
      </c>
      <c r="E104" s="6">
        <f>[1]节奏总纲!Q104</f>
        <v>939.14884595823037</v>
      </c>
      <c r="F104" s="6">
        <f>[1]节奏总纲!R104</f>
        <v>756.25330888195151</v>
      </c>
      <c r="G104" s="6">
        <f>[1]节奏总纲!S104</f>
        <v>541.99798547244984</v>
      </c>
      <c r="H104" s="6">
        <f>[1]节奏总纲!T104</f>
        <v>293.42233646050488</v>
      </c>
      <c r="J104" s="9">
        <v>101</v>
      </c>
      <c r="K104" s="10">
        <f>[1]节奏总纲!W104</f>
        <v>73.496025637163257</v>
      </c>
      <c r="L104" s="10">
        <f>[1]节奏总纲!X104</f>
        <v>63.767745958230307</v>
      </c>
      <c r="M104" s="10">
        <f>[1]节奏总纲!Y104</f>
        <v>49.56490888195151</v>
      </c>
      <c r="N104" s="10">
        <f>[1]节奏总纲!Z104</f>
        <v>33.771585472449829</v>
      </c>
      <c r="O104" s="10">
        <f>[1]节奏总纲!AA104</f>
        <v>18.644536460504867</v>
      </c>
      <c r="Q104" s="9">
        <v>101</v>
      </c>
      <c r="R104" s="10">
        <f>[1]节奏总纲!AD104</f>
        <v>66.717296680108163</v>
      </c>
      <c r="S104" s="10">
        <f>[1]节奏总纲!AE104</f>
        <v>68.773728890553386</v>
      </c>
      <c r="T104" s="10">
        <f>[1]节奏总纲!AF104</f>
        <v>71.655725054041767</v>
      </c>
      <c r="U104" s="10">
        <f>[1]节奏总纲!AG104</f>
        <v>76.130305911210229</v>
      </c>
      <c r="V104" s="10">
        <f>[1]节奏总纲!AH104</f>
        <v>84.777069585997879</v>
      </c>
      <c r="AN104" s="12">
        <f>[1]节奏总纲!AZ104</f>
        <v>101</v>
      </c>
      <c r="AO104" s="12">
        <f>[1]节奏总纲!BA104</f>
        <v>38.100143952724252</v>
      </c>
      <c r="AP104" s="12">
        <f>[1]节奏总纲!BB104</f>
        <v>39.588000611313952</v>
      </c>
      <c r="AQ104" s="12">
        <f>[1]节奏总纲!BC104</f>
        <v>41.523260213553229</v>
      </c>
      <c r="AR104" s="12">
        <f>[1]节奏总纲!BD104</f>
        <v>44.261827008023573</v>
      </c>
      <c r="AS104" s="12">
        <f>[1]节奏总纲!BE104</f>
        <v>48.96334674646436</v>
      </c>
    </row>
    <row r="105" spans="2:45" x14ac:dyDescent="0.15">
      <c r="B105" s="14">
        <f>[1]节奏总纲!N105</f>
        <v>112</v>
      </c>
      <c r="C105" s="6">
        <v>102</v>
      </c>
      <c r="D105" s="6">
        <f>[1]节奏总纲!P105</f>
        <v>1175.2671155169628</v>
      </c>
      <c r="E105" s="6">
        <f>[1]节奏总纲!Q105</f>
        <v>1004.2657502092447</v>
      </c>
      <c r="F105" s="6">
        <f>[1]节奏总纲!R105</f>
        <v>806.23324124463659</v>
      </c>
      <c r="G105" s="6">
        <f>[1]节奏总纲!S105</f>
        <v>577.99636741124232</v>
      </c>
      <c r="H105" s="6">
        <f>[1]节奏总纲!T105</f>
        <v>313.56126641992563</v>
      </c>
      <c r="J105" s="9">
        <v>102</v>
      </c>
      <c r="K105" s="10">
        <f>[1]节奏总纲!W105</f>
        <v>78.771089879799547</v>
      </c>
      <c r="L105" s="10">
        <f>[1]节奏总纲!X105</f>
        <v>65.116904251014375</v>
      </c>
      <c r="M105" s="10">
        <f>[1]节奏总纲!Y105</f>
        <v>49.979932362685076</v>
      </c>
      <c r="N105" s="10">
        <f>[1]节奏总纲!Z105</f>
        <v>35.998381938792477</v>
      </c>
      <c r="O105" s="10">
        <f>[1]节奏总纲!AA105</f>
        <v>20.13892995942075</v>
      </c>
      <c r="Q105" s="9">
        <v>102</v>
      </c>
      <c r="R105" s="10">
        <f>[1]节奏总纲!AD105</f>
        <v>66.860924355137783</v>
      </c>
      <c r="S105" s="10">
        <f>[1]节奏总纲!AE105</f>
        <v>68.923431594456531</v>
      </c>
      <c r="T105" s="10">
        <f>[1]节奏总纲!AF105</f>
        <v>71.804207554957955</v>
      </c>
      <c r="U105" s="10">
        <f>[1]节奏总纲!AG105</f>
        <v>76.265755485049056</v>
      </c>
      <c r="V105" s="10">
        <f>[1]节奏总纲!AH105</f>
        <v>84.922302749764228</v>
      </c>
      <c r="AN105" s="12">
        <f>[1]节奏总纲!AZ105</f>
        <v>102</v>
      </c>
      <c r="AO105" s="12">
        <f>[1]节奏总纲!BA105</f>
        <v>38.16277447896217</v>
      </c>
      <c r="AP105" s="12">
        <f>[1]节奏总纲!BB105</f>
        <v>39.655541494705105</v>
      </c>
      <c r="AQ105" s="12">
        <f>[1]节奏总纲!BC105</f>
        <v>41.590303905372799</v>
      </c>
      <c r="AR105" s="12">
        <f>[1]节奏总纲!BD105</f>
        <v>44.326465623783335</v>
      </c>
      <c r="AS105" s="12">
        <f>[1]节奏总纲!BE105</f>
        <v>49.030333272797542</v>
      </c>
    </row>
    <row r="106" spans="2:45" x14ac:dyDescent="0.15">
      <c r="B106" s="14">
        <f>[1]节奏总纲!N106</f>
        <v>113</v>
      </c>
      <c r="C106" s="6">
        <v>103</v>
      </c>
      <c r="D106" s="6">
        <f>[1]节奏总纲!P106</f>
        <v>1259.6918792651943</v>
      </c>
      <c r="E106" s="6">
        <f>[1]节奏总纲!Q106</f>
        <v>1073.383450321872</v>
      </c>
      <c r="F106" s="6">
        <f>[1]节奏总纲!R106</f>
        <v>861.50327622946634</v>
      </c>
      <c r="G106" s="6">
        <f>[1]节奏总纲!S106</f>
        <v>619.01258947091651</v>
      </c>
      <c r="H106" s="6">
        <f>[1]节奏总纲!T106</f>
        <v>335.8338550121008</v>
      </c>
      <c r="J106" s="9">
        <v>103</v>
      </c>
      <c r="K106" s="10">
        <f>[1]节奏总纲!W106</f>
        <v>84.424763748231499</v>
      </c>
      <c r="L106" s="10">
        <f>[1]节奏总纲!X106</f>
        <v>69.11770011262729</v>
      </c>
      <c r="M106" s="10">
        <f>[1]节奏总纲!Y106</f>
        <v>55.270034984829749</v>
      </c>
      <c r="N106" s="10">
        <f>[1]节奏总纲!Z106</f>
        <v>41.016222059674192</v>
      </c>
      <c r="O106" s="10">
        <f>[1]节奏总纲!AA106</f>
        <v>22.272588592175168</v>
      </c>
      <c r="Q106" s="9">
        <v>103</v>
      </c>
      <c r="R106" s="10">
        <f>[1]节奏总纲!AD106</f>
        <v>67.004247194324648</v>
      </c>
      <c r="S106" s="10">
        <f>[1]节奏总纲!AE106</f>
        <v>69.0655056802525</v>
      </c>
      <c r="T106" s="10">
        <f>[1]节奏总纲!AF106</f>
        <v>71.952690055874157</v>
      </c>
      <c r="U106" s="10">
        <f>[1]节奏总纲!AG106</f>
        <v>76.401205058887882</v>
      </c>
      <c r="V106" s="10">
        <f>[1]节奏总纲!AH106</f>
        <v>85.072521641060263</v>
      </c>
      <c r="AN106" s="12">
        <f>[1]节奏总纲!AZ106</f>
        <v>103</v>
      </c>
      <c r="AO106" s="12">
        <f>[1]节奏总纲!BA106</f>
        <v>38.225405005200088</v>
      </c>
      <c r="AP106" s="12">
        <f>[1]节奏总纲!BB106</f>
        <v>39.723082378096265</v>
      </c>
      <c r="AQ106" s="12">
        <f>[1]节奏总纲!BC106</f>
        <v>41.657347597192377</v>
      </c>
      <c r="AR106" s="12">
        <f>[1]节奏总纲!BD106</f>
        <v>44.39110423954309</v>
      </c>
      <c r="AS106" s="12">
        <f>[1]节奏总纲!BE106</f>
        <v>49.09231260978715</v>
      </c>
    </row>
    <row r="107" spans="2:45" x14ac:dyDescent="0.15">
      <c r="B107" s="14">
        <f>[1]节奏总纲!N107</f>
        <v>114</v>
      </c>
      <c r="C107" s="6">
        <v>104</v>
      </c>
      <c r="D107" s="6">
        <f>[1]节奏总纲!P107</f>
        <v>1350.1761006314437</v>
      </c>
      <c r="E107" s="6">
        <f>[1]节奏总纲!Q107</f>
        <v>1150.7550905681794</v>
      </c>
      <c r="F107" s="6">
        <f>[1]节奏总纲!R107</f>
        <v>925.41069937279144</v>
      </c>
      <c r="G107" s="6">
        <f>[1]节奏总纲!S107</f>
        <v>665.09674717104917</v>
      </c>
      <c r="H107" s="6">
        <f>[1]节奏总纲!T107</f>
        <v>360.49701886859549</v>
      </c>
      <c r="J107" s="9">
        <v>104</v>
      </c>
      <c r="K107" s="10">
        <f>[1]节奏总纲!W107</f>
        <v>90.484221366249358</v>
      </c>
      <c r="L107" s="10">
        <f>[1]节奏总纲!X107</f>
        <v>77.371640246307379</v>
      </c>
      <c r="M107" s="10">
        <f>[1]节奏总纲!Y107</f>
        <v>63.907423143325104</v>
      </c>
      <c r="N107" s="10">
        <f>[1]节奏总纲!Z107</f>
        <v>46.084157700132664</v>
      </c>
      <c r="O107" s="10">
        <f>[1]节奏总纲!AA107</f>
        <v>24.663163856494691</v>
      </c>
      <c r="Q107" s="9">
        <v>104</v>
      </c>
      <c r="R107" s="10">
        <f>[1]节奏总纲!AD107</f>
        <v>67.138256553625013</v>
      </c>
      <c r="S107" s="10">
        <f>[1]节奏总纲!AE107</f>
        <v>69.199592937186125</v>
      </c>
      <c r="T107" s="10">
        <f>[1]节奏总纲!AF107</f>
        <v>72.093818006439079</v>
      </c>
      <c r="U107" s="10">
        <f>[1]节奏总纲!AG107</f>
        <v>76.536654632726695</v>
      </c>
      <c r="V107" s="10">
        <f>[1]节奏总纲!AH107</f>
        <v>85.228476403824274</v>
      </c>
      <c r="AN107" s="12">
        <f>[1]节奏总纲!AZ107</f>
        <v>104</v>
      </c>
      <c r="AO107" s="12">
        <f>[1]节奏总纲!BA107</f>
        <v>38.288035531438013</v>
      </c>
      <c r="AP107" s="12">
        <f>[1]节奏总纲!BB107</f>
        <v>39.790623261487418</v>
      </c>
      <c r="AQ107" s="12">
        <f>[1]节奏总纲!BC107</f>
        <v>41.724391289011947</v>
      </c>
      <c r="AR107" s="12">
        <f>[1]节奏总纲!BD107</f>
        <v>44.455742855302844</v>
      </c>
      <c r="AS107" s="12">
        <f>[1]节奏总纲!BE107</f>
        <v>49.154291946776759</v>
      </c>
    </row>
    <row r="108" spans="2:45" x14ac:dyDescent="0.15">
      <c r="B108" s="14">
        <f>[1]节奏总纲!N108</f>
        <v>115</v>
      </c>
      <c r="C108" s="6">
        <v>105</v>
      </c>
      <c r="D108" s="6">
        <f>[1]节奏总纲!P108</f>
        <v>1447.1546878700494</v>
      </c>
      <c r="E108" s="6">
        <f>[1]节奏总纲!Q108</f>
        <v>1234.8570951595132</v>
      </c>
      <c r="F108" s="6">
        <f>[1]节奏总纲!R108</f>
        <v>993.18226228521496</v>
      </c>
      <c r="G108" s="6">
        <f>[1]节奏总纲!S108</f>
        <v>713.59197658872131</v>
      </c>
      <c r="H108" s="6">
        <f>[1]节奏总纲!T108</f>
        <v>386.39030166130323</v>
      </c>
      <c r="J108" s="9">
        <v>105</v>
      </c>
      <c r="K108" s="10">
        <f>[1]节奏总纲!W108</f>
        <v>96.978587238605769</v>
      </c>
      <c r="L108" s="10">
        <f>[1]节奏总纲!X108</f>
        <v>84.102004591333753</v>
      </c>
      <c r="M108" s="10">
        <f>[1]节奏总纲!Y108</f>
        <v>67.771562912423519</v>
      </c>
      <c r="N108" s="10">
        <f>[1]节奏总纲!Z108</f>
        <v>48.495229417672135</v>
      </c>
      <c r="O108" s="10">
        <f>[1]节奏总纲!AA108</f>
        <v>25.893282792707737</v>
      </c>
      <c r="Q108" s="9">
        <v>105</v>
      </c>
      <c r="R108" s="10">
        <f>[1]节奏总纲!AD108</f>
        <v>67.272265912925377</v>
      </c>
      <c r="S108" s="10">
        <f>[1]节奏总纲!AE108</f>
        <v>69.333680194119751</v>
      </c>
      <c r="T108" s="10">
        <f>[1]节奏总纲!AF108</f>
        <v>72.23150684883845</v>
      </c>
      <c r="U108" s="10">
        <f>[1]节奏总纲!AG108</f>
        <v>76.672104206565521</v>
      </c>
      <c r="V108" s="10">
        <f>[1]节奏总纲!AH108</f>
        <v>85.384431166588271</v>
      </c>
      <c r="AN108" s="12">
        <f>[1]节奏总纲!AZ108</f>
        <v>105</v>
      </c>
      <c r="AO108" s="12">
        <f>[1]节奏总纲!BA108</f>
        <v>38.35066605767593</v>
      </c>
      <c r="AP108" s="12">
        <f>[1]节奏总纲!BB108</f>
        <v>39.858164144878572</v>
      </c>
      <c r="AQ108" s="12">
        <f>[1]节奏总纲!BC108</f>
        <v>41.791434980831518</v>
      </c>
      <c r="AR108" s="12">
        <f>[1]节奏总纲!BD108</f>
        <v>44.520381471062606</v>
      </c>
      <c r="AS108" s="12">
        <f>[1]节奏总纲!BE108</f>
        <v>49.216271283766375</v>
      </c>
    </row>
    <row r="109" spans="2:45" x14ac:dyDescent="0.15">
      <c r="B109" s="14">
        <f>[1]节奏总纲!N109</f>
        <v>116</v>
      </c>
      <c r="C109" s="6">
        <v>106</v>
      </c>
      <c r="D109" s="6">
        <f>[1]节奏总纲!P109</f>
        <v>1551.0937641066464</v>
      </c>
      <c r="E109" s="6">
        <f>[1]节奏总纲!Q109</f>
        <v>1324.4789651706653</v>
      </c>
      <c r="F109" s="6">
        <f>[1]节奏总纲!R109</f>
        <v>1064.6707596828021</v>
      </c>
      <c r="G109" s="6">
        <f>[1]节奏总纲!S109</f>
        <v>764.3790069517554</v>
      </c>
      <c r="H109" s="6">
        <f>[1]节奏总纲!T109</f>
        <v>412.59094125236794</v>
      </c>
      <c r="J109" s="9">
        <v>106</v>
      </c>
      <c r="K109" s="10">
        <f>[1]节奏总纲!W109</f>
        <v>103.93907623659697</v>
      </c>
      <c r="L109" s="10">
        <f>[1]节奏总纲!X109</f>
        <v>89.621870011152168</v>
      </c>
      <c r="M109" s="10">
        <f>[1]节奏总纲!Y109</f>
        <v>71.488497397587139</v>
      </c>
      <c r="N109" s="10">
        <f>[1]节奏总纲!Z109</f>
        <v>50.787030363034091</v>
      </c>
      <c r="O109" s="10">
        <f>[1]节奏总纲!AA109</f>
        <v>26.200639591064714</v>
      </c>
      <c r="Q109" s="9">
        <v>106</v>
      </c>
      <c r="R109" s="10">
        <f>[1]节奏总纲!AD109</f>
        <v>67.406275272225741</v>
      </c>
      <c r="S109" s="10">
        <f>[1]节奏总纲!AE109</f>
        <v>69.467767451053362</v>
      </c>
      <c r="T109" s="10">
        <f>[1]节奏总纲!AF109</f>
        <v>72.369195691237806</v>
      </c>
      <c r="U109" s="10">
        <f>[1]节奏总纲!AG109</f>
        <v>76.807553780404334</v>
      </c>
      <c r="V109" s="10">
        <f>[1]节奏总纲!AH109</f>
        <v>85.540385929352269</v>
      </c>
      <c r="AN109" s="12">
        <f>[1]节奏总纲!AZ109</f>
        <v>106</v>
      </c>
      <c r="AO109" s="12">
        <f>[1]节奏总纲!BA109</f>
        <v>38.413296583913848</v>
      </c>
      <c r="AP109" s="12">
        <f>[1]节奏总纲!BB109</f>
        <v>39.925705028269732</v>
      </c>
      <c r="AQ109" s="12">
        <f>[1]节奏总纲!BC109</f>
        <v>41.858478672651096</v>
      </c>
      <c r="AR109" s="12">
        <f>[1]节奏总纲!BD109</f>
        <v>44.585020086822361</v>
      </c>
      <c r="AS109" s="12">
        <f>[1]节奏总纲!BE109</f>
        <v>49.278250620755983</v>
      </c>
    </row>
    <row r="110" spans="2:45" x14ac:dyDescent="0.15">
      <c r="B110" s="14">
        <f>[1]节奏总纲!N110</f>
        <v>117</v>
      </c>
      <c r="C110" s="6">
        <v>107</v>
      </c>
      <c r="D110" s="6">
        <f>[1]节奏总纲!P110</f>
        <v>1662.4929077375689</v>
      </c>
      <c r="E110" s="6">
        <f>[1]节奏总纲!Q110</f>
        <v>1418.9376967540152</v>
      </c>
      <c r="F110" s="6">
        <f>[1]节奏总纲!R110</f>
        <v>1141.6338797433884</v>
      </c>
      <c r="G110" s="6">
        <f>[1]节奏总纲!S110</f>
        <v>816.11776840837263</v>
      </c>
      <c r="H110" s="6">
        <f>[1]节奏总纲!T110</f>
        <v>440.22812196890823</v>
      </c>
      <c r="J110" s="9">
        <v>107</v>
      </c>
      <c r="K110" s="10">
        <f>[1]节奏总纲!W110</f>
        <v>111.39914363092248</v>
      </c>
      <c r="L110" s="10">
        <f>[1]节奏总纲!X110</f>
        <v>94.458731583349845</v>
      </c>
      <c r="M110" s="10">
        <f>[1]节奏总纲!Y110</f>
        <v>76.963120060586334</v>
      </c>
      <c r="N110" s="10">
        <f>[1]节奏总纲!Z110</f>
        <v>51.738761456617226</v>
      </c>
      <c r="O110" s="10">
        <f>[1]节奏总纲!AA110</f>
        <v>27.637180716540286</v>
      </c>
      <c r="Q110" s="9">
        <v>107</v>
      </c>
      <c r="R110" s="10">
        <f>[1]节奏总纲!AD110</f>
        <v>67.540284631526106</v>
      </c>
      <c r="S110" s="10">
        <f>[1]节奏总纲!AE110</f>
        <v>69.601854707986988</v>
      </c>
      <c r="T110" s="10">
        <f>[1]节奏总纲!AF110</f>
        <v>72.506884533637162</v>
      </c>
      <c r="U110" s="10">
        <f>[1]节奏总纲!AG110</f>
        <v>76.94300335424316</v>
      </c>
      <c r="V110" s="10">
        <f>[1]节奏总纲!AH110</f>
        <v>85.696340692116266</v>
      </c>
      <c r="AN110" s="12">
        <f>[1]节奏总纲!AZ110</f>
        <v>107</v>
      </c>
      <c r="AO110" s="12">
        <f>[1]节奏总纲!BA110</f>
        <v>38.475927110151773</v>
      </c>
      <c r="AP110" s="12">
        <f>[1]节奏总纲!BB110</f>
        <v>39.993245911660885</v>
      </c>
      <c r="AQ110" s="12">
        <f>[1]节奏总纲!BC110</f>
        <v>41.925522364470666</v>
      </c>
      <c r="AR110" s="12">
        <f>[1]节奏总纲!BD110</f>
        <v>44.649658702582116</v>
      </c>
      <c r="AS110" s="12">
        <f>[1]节奏总纲!BE110</f>
        <v>49.340229957745592</v>
      </c>
    </row>
    <row r="111" spans="2:45" x14ac:dyDescent="0.15">
      <c r="B111" s="14">
        <f>[1]节奏总纲!N111</f>
        <v>118</v>
      </c>
      <c r="C111" s="6">
        <v>108</v>
      </c>
      <c r="D111" s="6">
        <f>[1]节奏总纲!P111</f>
        <v>1781.8875536304624</v>
      </c>
      <c r="E111" s="6">
        <f>[1]节奏总纲!Q111</f>
        <v>1520.8410270235997</v>
      </c>
      <c r="F111" s="6">
        <f>[1]节奏总纲!R111</f>
        <v>1218.0983316617842</v>
      </c>
      <c r="G111" s="6">
        <f>[1]节奏总纲!S111</f>
        <v>871.69939123602228</v>
      </c>
      <c r="H111" s="6">
        <f>[1]节奏总纲!T111</f>
        <v>471.13106917989433</v>
      </c>
      <c r="J111" s="9">
        <v>108</v>
      </c>
      <c r="K111" s="10">
        <f>[1]节奏总纲!W111</f>
        <v>119.39464589289355</v>
      </c>
      <c r="L111" s="10">
        <f>[1]节奏总纲!X111</f>
        <v>101.90333026958456</v>
      </c>
      <c r="M111" s="10">
        <f>[1]节奏总纲!Y111</f>
        <v>76.464451918395753</v>
      </c>
      <c r="N111" s="10">
        <f>[1]节奏总纲!Z111</f>
        <v>55.581622827649653</v>
      </c>
      <c r="O111" s="10">
        <f>[1]节奏总纲!AA111</f>
        <v>30.902947210986099</v>
      </c>
      <c r="Q111" s="9">
        <v>108</v>
      </c>
      <c r="R111" s="10">
        <f>[1]节奏总纲!AD111</f>
        <v>67.674293990826456</v>
      </c>
      <c r="S111" s="10">
        <f>[1]节奏总纲!AE111</f>
        <v>69.735941964920613</v>
      </c>
      <c r="T111" s="10">
        <f>[1]节奏总纲!AF111</f>
        <v>72.644573376036519</v>
      </c>
      <c r="U111" s="10">
        <f>[1]节奏总纲!AG111</f>
        <v>77.074762810762508</v>
      </c>
      <c r="V111" s="10">
        <f>[1]节奏总纲!AH111</f>
        <v>85.852295454880277</v>
      </c>
      <c r="AN111" s="12">
        <f>[1]节奏总纲!AZ111</f>
        <v>108</v>
      </c>
      <c r="AO111" s="12">
        <f>[1]节奏总纲!BA111</f>
        <v>38.53855763638969</v>
      </c>
      <c r="AP111" s="12">
        <f>[1]节奏总纲!BB111</f>
        <v>40.052446592012309</v>
      </c>
      <c r="AQ111" s="12">
        <f>[1]节奏总纲!BC111</f>
        <v>41.992566056290244</v>
      </c>
      <c r="AR111" s="12">
        <f>[1]节奏总纲!BD111</f>
        <v>44.71429731834187</v>
      </c>
      <c r="AS111" s="12">
        <f>[1]节奏总纲!BE111</f>
        <v>49.402209294735208</v>
      </c>
    </row>
    <row r="112" spans="2:45" x14ac:dyDescent="0.15">
      <c r="B112" s="14">
        <f>[1]节奏总纲!N112</f>
        <v>119</v>
      </c>
      <c r="C112" s="6">
        <v>109</v>
      </c>
      <c r="D112" s="6">
        <f>[1]节奏总纲!P112</f>
        <v>1909.8515666673818</v>
      </c>
      <c r="E112" s="6">
        <f>[1]节奏总纲!Q112</f>
        <v>1624.7107277639418</v>
      </c>
      <c r="F112" s="6">
        <f>[1]节奏总纲!R112</f>
        <v>1301.5638426838207</v>
      </c>
      <c r="G112" s="6">
        <f>[1]节奏总纲!S112</f>
        <v>931.81657937701561</v>
      </c>
      <c r="H112" s="6">
        <f>[1]节奏总纲!T112</f>
        <v>504.58278391352223</v>
      </c>
      <c r="J112" s="9">
        <v>109</v>
      </c>
      <c r="K112" s="10">
        <f>[1]节奏总纲!W112</f>
        <v>127.96401303691937</v>
      </c>
      <c r="L112" s="10">
        <f>[1]节奏总纲!X112</f>
        <v>103.86970074034207</v>
      </c>
      <c r="M112" s="10">
        <f>[1]节奏总纲!Y112</f>
        <v>83.46551102203648</v>
      </c>
      <c r="N112" s="10">
        <f>[1]节奏总纲!Z112</f>
        <v>60.117188140993335</v>
      </c>
      <c r="O112" s="10">
        <f>[1]节奏总纲!AA112</f>
        <v>33.451714733627909</v>
      </c>
      <c r="Q112" s="9">
        <v>109</v>
      </c>
      <c r="R112" s="10">
        <f>[1]节奏总纲!AD112</f>
        <v>67.80830335012682</v>
      </c>
      <c r="S112" s="10">
        <f>[1]节奏总纲!AE112</f>
        <v>69.870029221854239</v>
      </c>
      <c r="T112" s="10">
        <f>[1]节奏总纲!AF112</f>
        <v>72.782262218435889</v>
      </c>
      <c r="U112" s="10">
        <f>[1]节奏总纲!AG112</f>
        <v>77.203841369133116</v>
      </c>
      <c r="V112" s="10">
        <f>[1]节奏总纲!AH112</f>
        <v>86.007776715139968</v>
      </c>
      <c r="AN112" s="12">
        <f>[1]节奏总纲!AZ112</f>
        <v>109</v>
      </c>
      <c r="AO112" s="12">
        <f>[1]节奏总纲!BA112</f>
        <v>38.601188162627608</v>
      </c>
      <c r="AP112" s="12">
        <f>[1]节奏总纲!BB112</f>
        <v>40.110720583137102</v>
      </c>
      <c r="AQ112" s="12">
        <f>[1]节奏总纲!BC112</f>
        <v>42.051439554347354</v>
      </c>
      <c r="AR112" s="12">
        <f>[1]节奏总纲!BD112</f>
        <v>44.778935934101632</v>
      </c>
      <c r="AS112" s="12">
        <f>[1]节奏总纲!BE112</f>
        <v>49.464188631724817</v>
      </c>
    </row>
    <row r="113" spans="2:45" x14ac:dyDescent="0.15">
      <c r="B113" s="14">
        <f>[1]节奏总纲!N113</f>
        <v>120</v>
      </c>
      <c r="C113" s="6">
        <v>110</v>
      </c>
      <c r="D113" s="6">
        <f>[1]节奏总纲!P113</f>
        <v>2047</v>
      </c>
      <c r="E113" s="6">
        <f>[1]节奏总纲!Q113</f>
        <v>1741.3829000000001</v>
      </c>
      <c r="F113" s="6">
        <f>[1]节奏总纲!R113</f>
        <v>1397.2821999999999</v>
      </c>
      <c r="G113" s="6">
        <f>[1]节奏总纲!S113</f>
        <v>1001.3924000000001</v>
      </c>
      <c r="H113" s="6">
        <f>[1]节奏总纲!T113</f>
        <v>542.04559999999992</v>
      </c>
      <c r="J113" s="9">
        <v>110</v>
      </c>
      <c r="K113" s="10">
        <f>[1]节奏总纲!W113</f>
        <v>137.1484333326182</v>
      </c>
      <c r="L113" s="10">
        <f>[1]节奏总纲!X113</f>
        <v>116.67217223605826</v>
      </c>
      <c r="M113" s="10">
        <f>[1]节奏总纲!Y113</f>
        <v>95.718357316179208</v>
      </c>
      <c r="N113" s="10">
        <f>[1]节奏总纲!Z113</f>
        <v>69.575820622984452</v>
      </c>
      <c r="O113" s="10">
        <f>[1]节奏总纲!AA113</f>
        <v>37.462816086477687</v>
      </c>
      <c r="Q113" s="9">
        <v>110</v>
      </c>
      <c r="R113" s="10">
        <f>[1]节奏总纲!AD113</f>
        <v>67.942312709427185</v>
      </c>
      <c r="S113" s="10">
        <f>[1]节奏总纲!AE113</f>
        <v>70.003807055133578</v>
      </c>
      <c r="T113" s="10">
        <f>[1]节奏总纲!AF113</f>
        <v>72.919951060835245</v>
      </c>
      <c r="U113" s="10">
        <f>[1]节奏总纲!AG113</f>
        <v>77.332919927503724</v>
      </c>
      <c r="V113" s="10">
        <f>[1]节奏总纲!AH113</f>
        <v>86.154780808490045</v>
      </c>
      <c r="AN113" s="12">
        <f>[1]节奏总纲!AZ113</f>
        <v>110</v>
      </c>
      <c r="AO113" s="12">
        <f>[1]节奏总纲!BA113</f>
        <v>38.663818688865533</v>
      </c>
      <c r="AP113" s="12">
        <f>[1]节奏总纲!BB113</f>
        <v>40.168994574261895</v>
      </c>
      <c r="AQ113" s="12">
        <f>[1]节奏总纲!BC113</f>
        <v>42.109294145892463</v>
      </c>
      <c r="AR113" s="12">
        <f>[1]节奏总纲!BD113</f>
        <v>44.843574549861387</v>
      </c>
      <c r="AS113" s="12">
        <f>[1]节奏总纲!BE113</f>
        <v>49.526167968714425</v>
      </c>
    </row>
    <row r="114" spans="2:45" x14ac:dyDescent="0.15">
      <c r="B114" s="39">
        <f>[1]节奏总纲!N114</f>
        <v>121</v>
      </c>
      <c r="C114" s="39">
        <v>111</v>
      </c>
      <c r="D114" s="39">
        <f>[1]节奏总纲!P114</f>
        <v>2193.9920512743265</v>
      </c>
      <c r="E114" s="39">
        <f>[1]节奏总纲!Q114</f>
        <v>1869.0618284805987</v>
      </c>
      <c r="F114" s="39">
        <f>[1]节奏总纲!R114</f>
        <v>1500.4711638665117</v>
      </c>
      <c r="G114" s="39">
        <f>[1]节奏总纲!S114</f>
        <v>1076.5918995603122</v>
      </c>
      <c r="H114" s="39">
        <f>[1]节奏总纲!T114</f>
        <v>583.16308722871599</v>
      </c>
      <c r="J114" s="38">
        <v>111</v>
      </c>
      <c r="K114" s="39">
        <f>[1]节奏总纲!W114</f>
        <v>146.99205127432651</v>
      </c>
      <c r="L114" s="39">
        <f>[1]节奏总纲!X114</f>
        <v>127.67892848059864</v>
      </c>
      <c r="M114" s="39">
        <f>[1]节奏总纲!Y114</f>
        <v>103.18896386651181</v>
      </c>
      <c r="N114" s="39">
        <f>[1]节奏总纲!Z114</f>
        <v>75.19949956031212</v>
      </c>
      <c r="O114" s="39">
        <f>[1]节奏总纲!AA114</f>
        <v>41.117487228716072</v>
      </c>
      <c r="Q114" s="9">
        <v>111</v>
      </c>
      <c r="R114" s="10">
        <f>[1]节奏总纲!AD114</f>
        <v>68.071211008105138</v>
      </c>
      <c r="S114" s="10">
        <f>[1]节奏总纲!AE114</f>
        <v>70.127815365673797</v>
      </c>
      <c r="T114" s="10">
        <f>[1]节奏总纲!AF114</f>
        <v>73.051543220271398</v>
      </c>
      <c r="U114" s="10">
        <f>[1]节奏总纲!AG114</f>
        <v>77.461998485874332</v>
      </c>
      <c r="V114" s="10">
        <f>[1]节奏总纲!AH114</f>
        <v>86.301784901840136</v>
      </c>
      <c r="AN114" s="12">
        <f>[1]节奏总纲!AZ114</f>
        <v>111</v>
      </c>
      <c r="AO114" s="12">
        <f>[1]节奏总纲!BA114</f>
        <v>38.72644921510345</v>
      </c>
      <c r="AP114" s="12">
        <f>[1]节奏总纲!BB114</f>
        <v>40.227268565386687</v>
      </c>
      <c r="AQ114" s="12">
        <f>[1]节奏总纲!BC114</f>
        <v>42.167148737437572</v>
      </c>
      <c r="AR114" s="12">
        <f>[1]节奏总纲!BD114</f>
        <v>44.908213165621142</v>
      </c>
      <c r="AS114" s="12">
        <f>[1]节奏总纲!BE114</f>
        <v>49.588147305704041</v>
      </c>
    </row>
    <row r="115" spans="2:45" x14ac:dyDescent="0.15">
      <c r="B115" s="39">
        <f>[1]节奏总纲!N115</f>
        <v>122</v>
      </c>
      <c r="C115" s="39">
        <v>112</v>
      </c>
      <c r="D115" s="39">
        <f>[1]节奏总纲!P115</f>
        <v>2351.5342310339256</v>
      </c>
      <c r="E115" s="39">
        <f>[1]节奏总纲!Q115</f>
        <v>2004.6829319564217</v>
      </c>
      <c r="F115" s="39">
        <f>[1]节奏总纲!R115</f>
        <v>1609.3900277196187</v>
      </c>
      <c r="G115" s="39">
        <f>[1]节奏总纲!S115</f>
        <v>1155.3087677069677</v>
      </c>
      <c r="H115" s="39">
        <f>[1]节奏总纲!T115</f>
        <v>623.15657122399034</v>
      </c>
      <c r="J115" s="38">
        <v>112</v>
      </c>
      <c r="K115" s="39">
        <f>[1]节奏总纲!W115</f>
        <v>157.54217975959909</v>
      </c>
      <c r="L115" s="39">
        <f>[1]节奏总纲!X115</f>
        <v>135.62110347582302</v>
      </c>
      <c r="M115" s="39">
        <f>[1]节奏总纲!Y115</f>
        <v>108.91886385310704</v>
      </c>
      <c r="N115" s="39">
        <f>[1]节奏总纲!Z115</f>
        <v>78.716868146655543</v>
      </c>
      <c r="O115" s="39">
        <f>[1]节奏总纲!AA115</f>
        <v>39.993483995274346</v>
      </c>
      <c r="Q115" s="9">
        <v>112</v>
      </c>
      <c r="R115" s="10">
        <f>[1]节奏总纲!AD115</f>
        <v>68.196246161507091</v>
      </c>
      <c r="S115" s="10">
        <f>[1]节奏总纲!AE115</f>
        <v>70.251823676214016</v>
      </c>
      <c r="T115" s="10">
        <f>[1]节奏总纲!AF115</f>
        <v>73.174668450093861</v>
      </c>
      <c r="U115" s="10">
        <f>[1]节奏总纲!AG115</f>
        <v>77.591077044244926</v>
      </c>
      <c r="V115" s="10">
        <f>[1]节奏总纲!AH115</f>
        <v>86.448788995190213</v>
      </c>
      <c r="AN115" s="12">
        <f>[1]节奏总纲!AZ115</f>
        <v>112</v>
      </c>
      <c r="AO115" s="12">
        <f>[1]节奏总纲!BA115</f>
        <v>38.789079741341368</v>
      </c>
      <c r="AP115" s="12">
        <f>[1]节奏总纲!BB115</f>
        <v>40.28554255651148</v>
      </c>
      <c r="AQ115" s="12">
        <f>[1]节奏总纲!BC115</f>
        <v>42.225003328982673</v>
      </c>
      <c r="AR115" s="12">
        <f>[1]节奏总纲!BD115</f>
        <v>44.972851781380903</v>
      </c>
      <c r="AS115" s="12">
        <f>[1]节奏总纲!BE115</f>
        <v>49.65012664269365</v>
      </c>
    </row>
    <row r="116" spans="2:45" x14ac:dyDescent="0.15">
      <c r="B116" s="39">
        <f>[1]节奏总纲!N116</f>
        <v>123</v>
      </c>
      <c r="C116" s="39">
        <v>113</v>
      </c>
      <c r="D116" s="39">
        <f>[1]节奏总纲!P116</f>
        <v>2520.3837585303886</v>
      </c>
      <c r="E116" s="39">
        <f>[1]节奏总纲!Q116</f>
        <v>2149.6353076505684</v>
      </c>
      <c r="F116" s="39">
        <f>[1]节奏总纲!R116</f>
        <v>1726.7149129691693</v>
      </c>
      <c r="G116" s="39">
        <f>[1]节奏总纲!S116</f>
        <v>1235.7441568074496</v>
      </c>
      <c r="H116" s="39">
        <f>[1]节奏总纲!T116</f>
        <v>665.63335062787564</v>
      </c>
      <c r="J116" s="38">
        <v>113</v>
      </c>
      <c r="K116" s="39">
        <f>[1]节奏总纲!W116</f>
        <v>168.849527496463</v>
      </c>
      <c r="L116" s="39">
        <f>[1]节奏总纲!X116</f>
        <v>144.95237569414667</v>
      </c>
      <c r="M116" s="39">
        <f>[1]节奏总纲!Y116</f>
        <v>117.32488524955056</v>
      </c>
      <c r="N116" s="39">
        <f>[1]节奏总纲!Z116</f>
        <v>80.435389100481871</v>
      </c>
      <c r="O116" s="39">
        <f>[1]节奏总纲!AA116</f>
        <v>42.476779403885303</v>
      </c>
      <c r="Q116" s="9">
        <v>113</v>
      </c>
      <c r="R116" s="10">
        <f>[1]节奏总纲!AD116</f>
        <v>68.321281314909029</v>
      </c>
      <c r="S116" s="10">
        <f>[1]节奏总纲!AE116</f>
        <v>70.375831986754235</v>
      </c>
      <c r="T116" s="10">
        <f>[1]节奏总纲!AF116</f>
        <v>73.297793679916325</v>
      </c>
      <c r="U116" s="10">
        <f>[1]节奏总纲!AG116</f>
        <v>77.720155602615534</v>
      </c>
      <c r="V116" s="10">
        <f>[1]节奏总纲!AH116</f>
        <v>86.595793088540304</v>
      </c>
      <c r="AN116" s="12">
        <f>[1]节奏总纲!AZ116</f>
        <v>113</v>
      </c>
      <c r="AO116" s="12">
        <f>[1]节奏总纲!BA116</f>
        <v>38.851710267579293</v>
      </c>
      <c r="AP116" s="12">
        <f>[1]节奏总纲!BB116</f>
        <v>40.343816547636273</v>
      </c>
      <c r="AQ116" s="12">
        <f>[1]节奏总纲!BC116</f>
        <v>42.282857920527782</v>
      </c>
      <c r="AR116" s="12">
        <f>[1]节奏总纲!BD116</f>
        <v>45.032359480672049</v>
      </c>
      <c r="AS116" s="12">
        <f>[1]节奏总纲!BE116</f>
        <v>49.712105979683258</v>
      </c>
    </row>
    <row r="117" spans="2:45" x14ac:dyDescent="0.15">
      <c r="B117" s="39">
        <f>[1]节奏总纲!N117</f>
        <v>124</v>
      </c>
      <c r="C117" s="39">
        <v>114</v>
      </c>
      <c r="D117" s="39">
        <f>[1]节奏总纲!P117</f>
        <v>2701.3522012628878</v>
      </c>
      <c r="E117" s="39">
        <f>[1]节奏总纲!Q117</f>
        <v>2304.5235628973696</v>
      </c>
      <c r="F117" s="39">
        <f>[1]节奏总纲!R117</f>
        <v>1846.3742295631837</v>
      </c>
      <c r="G117" s="39">
        <f>[1]节奏总纲!S117</f>
        <v>1319.3404150967945</v>
      </c>
      <c r="H117" s="39">
        <f>[1]节奏总纲!T117</f>
        <v>710.99589937239205</v>
      </c>
      <c r="J117" s="38">
        <v>114</v>
      </c>
      <c r="K117" s="39">
        <f>[1]节奏总纲!W117</f>
        <v>180.96844273249917</v>
      </c>
      <c r="L117" s="39">
        <f>[1]节奏总纲!X117</f>
        <v>154.88825524680124</v>
      </c>
      <c r="M117" s="39">
        <f>[1]节奏总纲!Y117</f>
        <v>119.6593165940144</v>
      </c>
      <c r="N117" s="39">
        <f>[1]节奏总纲!Z117</f>
        <v>83.59625828934486</v>
      </c>
      <c r="O117" s="39">
        <f>[1]节奏总纲!AA117</f>
        <v>45.362548744516403</v>
      </c>
      <c r="Q117" s="9">
        <v>114</v>
      </c>
      <c r="R117" s="10">
        <f>[1]节奏总纲!AD117</f>
        <v>68.446316468310982</v>
      </c>
      <c r="S117" s="10">
        <f>[1]节奏总纲!AE117</f>
        <v>70.499840297294455</v>
      </c>
      <c r="T117" s="10">
        <f>[1]节奏总纲!AF117</f>
        <v>73.420918909738774</v>
      </c>
      <c r="U117" s="10">
        <f>[1]节奏总纲!AG117</f>
        <v>77.849234160986143</v>
      </c>
      <c r="V117" s="10">
        <f>[1]节奏总纲!AH117</f>
        <v>86.742797181890381</v>
      </c>
      <c r="AN117" s="12">
        <f>[1]节奏总纲!AZ117</f>
        <v>114</v>
      </c>
      <c r="AO117" s="12">
        <f>[1]节奏总纲!BA117</f>
        <v>38.91434079381721</v>
      </c>
      <c r="AP117" s="12">
        <f>[1]节奏总纲!BB117</f>
        <v>40.402090538761065</v>
      </c>
      <c r="AQ117" s="12">
        <f>[1]节奏总纲!BC117</f>
        <v>42.340712512072891</v>
      </c>
      <c r="AR117" s="12">
        <f>[1]节奏总纲!BD117</f>
        <v>45.088151688727308</v>
      </c>
      <c r="AS117" s="12">
        <f>[1]节奏总纲!BE117</f>
        <v>49.774085316672867</v>
      </c>
    </row>
    <row r="118" spans="2:45" x14ac:dyDescent="0.15">
      <c r="B118" s="39">
        <f>[1]节奏总纲!N118</f>
        <v>125</v>
      </c>
      <c r="C118" s="39">
        <v>115</v>
      </c>
      <c r="D118" s="39">
        <f>[1]节奏总纲!P118</f>
        <v>2895.3093757400989</v>
      </c>
      <c r="E118" s="39">
        <f>[1]节奏总纲!Q118</f>
        <v>2463.0396859421021</v>
      </c>
      <c r="F118" s="39">
        <f>[1]节奏总纲!R118</f>
        <v>1969.9684992535633</v>
      </c>
      <c r="G118" s="39">
        <f>[1]节奏总纲!S118</f>
        <v>1407.1203566096881</v>
      </c>
      <c r="H118" s="39">
        <f>[1]节奏总纲!T118</f>
        <v>758.86058738147995</v>
      </c>
      <c r="J118" s="38">
        <v>115</v>
      </c>
      <c r="K118" s="39">
        <f>[1]节奏总纲!W118</f>
        <v>193.95717447721108</v>
      </c>
      <c r="L118" s="39">
        <f>[1]节奏总纲!X118</f>
        <v>158.51612304473247</v>
      </c>
      <c r="M118" s="39">
        <f>[1]节奏总纲!Y118</f>
        <v>123.59426969037963</v>
      </c>
      <c r="N118" s="39">
        <f>[1]节奏总纲!Z118</f>
        <v>87.779941512893629</v>
      </c>
      <c r="O118" s="39">
        <f>[1]节奏总纲!AA118</f>
        <v>47.864688009087899</v>
      </c>
      <c r="Q118" s="9">
        <v>115</v>
      </c>
      <c r="R118" s="10">
        <f>[1]节奏总纲!AD118</f>
        <v>68.571351621712935</v>
      </c>
      <c r="S118" s="10">
        <f>[1]节奏总纲!AE118</f>
        <v>70.623848607834674</v>
      </c>
      <c r="T118" s="10">
        <f>[1]节奏总纲!AF118</f>
        <v>73.544044139561237</v>
      </c>
      <c r="U118" s="10">
        <f>[1]节奏总纲!AG118</f>
        <v>77.978312719356751</v>
      </c>
      <c r="V118" s="10">
        <f>[1]节奏总纲!AH118</f>
        <v>86.889801275240458</v>
      </c>
      <c r="AN118" s="12">
        <f>[1]节奏总纲!AZ118</f>
        <v>115</v>
      </c>
      <c r="AO118" s="12">
        <f>[1]节奏总纲!BA118</f>
        <v>38.976971320055128</v>
      </c>
      <c r="AP118" s="12">
        <f>[1]节奏总纲!BB118</f>
        <v>40.460364529885858</v>
      </c>
      <c r="AQ118" s="12">
        <f>[1]节奏总纲!BC118</f>
        <v>42.398567103617999</v>
      </c>
      <c r="AR118" s="12">
        <f>[1]节奏总纲!BD118</f>
        <v>45.143943896782567</v>
      </c>
      <c r="AS118" s="12">
        <f>[1]节奏总纲!BE118</f>
        <v>49.836064653662483</v>
      </c>
    </row>
    <row r="119" spans="2:45" x14ac:dyDescent="0.15">
      <c r="B119" s="39">
        <f>[1]节奏总纲!N119</f>
        <v>126</v>
      </c>
      <c r="C119" s="39">
        <v>116</v>
      </c>
      <c r="D119" s="39">
        <f>[1]节奏总纲!P119</f>
        <v>3103.1875282132928</v>
      </c>
      <c r="E119" s="39">
        <f>[1]节奏总纲!Q119</f>
        <v>2636.7784427228348</v>
      </c>
      <c r="F119" s="39">
        <f>[1]节奏总纲!R119</f>
        <v>2108.9262441737537</v>
      </c>
      <c r="G119" s="39">
        <f>[1]节奏总纲!S119</f>
        <v>1509.0800949701243</v>
      </c>
      <c r="H119" s="39">
        <f>[1]节奏总纲!T119</f>
        <v>813.34545114470404</v>
      </c>
      <c r="J119" s="38">
        <v>116</v>
      </c>
      <c r="K119" s="39">
        <f>[1]节奏总纲!W119</f>
        <v>207.87815247319395</v>
      </c>
      <c r="L119" s="39">
        <f>[1]节奏总纲!X119</f>
        <v>173.73875678073273</v>
      </c>
      <c r="M119" s="39">
        <f>[1]节奏总纲!Y119</f>
        <v>138.95774492019041</v>
      </c>
      <c r="N119" s="39">
        <f>[1]节奏总纲!Z119</f>
        <v>101.95973836043618</v>
      </c>
      <c r="O119" s="39">
        <f>[1]节奏总纲!AA119</f>
        <v>54.484863763224098</v>
      </c>
      <c r="Q119" s="9">
        <v>116</v>
      </c>
      <c r="R119" s="10">
        <f>[1]节奏总纲!AD119</f>
        <v>68.696386775114874</v>
      </c>
      <c r="S119" s="10">
        <f>[1]节奏总纲!AE119</f>
        <v>70.747856918374893</v>
      </c>
      <c r="T119" s="10">
        <f>[1]节奏总纲!AF119</f>
        <v>73.667169369383686</v>
      </c>
      <c r="U119" s="10">
        <f>[1]节奏总纲!AG119</f>
        <v>78.10469841238104</v>
      </c>
      <c r="V119" s="10">
        <f>[1]节奏总纲!AH119</f>
        <v>87.033659382136349</v>
      </c>
      <c r="AN119" s="12">
        <f>[1]节奏总纲!AZ119</f>
        <v>116</v>
      </c>
      <c r="AO119" s="12">
        <f>[1]节奏总纲!BA119</f>
        <v>39.034165367506482</v>
      </c>
      <c r="AP119" s="12">
        <f>[1]节奏总纲!BB119</f>
        <v>40.518638521010644</v>
      </c>
      <c r="AQ119" s="12">
        <f>[1]节奏总纲!BC119</f>
        <v>42.456421695163108</v>
      </c>
      <c r="AR119" s="12">
        <f>[1]节奏总纲!BD119</f>
        <v>45.199736104837825</v>
      </c>
      <c r="AS119" s="12">
        <f>[1]节奏总纲!BE119</f>
        <v>49.898043990652091</v>
      </c>
    </row>
    <row r="120" spans="2:45" x14ac:dyDescent="0.15">
      <c r="B120" s="39">
        <f>[1]节奏总纲!N120</f>
        <v>127</v>
      </c>
      <c r="C120" s="39">
        <v>117</v>
      </c>
      <c r="D120" s="39">
        <f>[1]节奏总纲!P120</f>
        <v>3325.985815475135</v>
      </c>
      <c r="E120" s="39">
        <f>[1]节奏总纲!Q120</f>
        <v>2826.7553445723174</v>
      </c>
      <c r="F120" s="39">
        <f>[1]节奏总纲!R120</f>
        <v>2262.6681502677343</v>
      </c>
      <c r="G120" s="39">
        <f>[1]节奏总纲!S120</f>
        <v>1618.0920992286531</v>
      </c>
      <c r="H120" s="39">
        <f>[1]节奏总纲!T120</f>
        <v>873.07127656222303</v>
      </c>
      <c r="J120" s="38">
        <v>117</v>
      </c>
      <c r="K120" s="39">
        <f>[1]节奏总纲!W120</f>
        <v>222.79828726184223</v>
      </c>
      <c r="L120" s="39">
        <f>[1]节奏总纲!X120</f>
        <v>189.9769018494826</v>
      </c>
      <c r="M120" s="39">
        <f>[1]节奏总纲!Y120</f>
        <v>153.74190609398056</v>
      </c>
      <c r="N120" s="39">
        <f>[1]节奏总纲!Z120</f>
        <v>109.0120042585288</v>
      </c>
      <c r="O120" s="39">
        <f>[1]节奏总纲!AA120</f>
        <v>59.72582541751899</v>
      </c>
      <c r="Q120" s="9">
        <v>117</v>
      </c>
      <c r="R120" s="10">
        <f>[1]节奏总纲!AD120</f>
        <v>68.821421928516827</v>
      </c>
      <c r="S120" s="10">
        <f>[1]节奏总纲!AE120</f>
        <v>70.871865228915112</v>
      </c>
      <c r="T120" s="10">
        <f>[1]节奏总纲!AF120</f>
        <v>73.790294599206149</v>
      </c>
      <c r="U120" s="10">
        <f>[1]节奏总纲!AG120</f>
        <v>78.230540290975199</v>
      </c>
      <c r="V120" s="10">
        <f>[1]节奏总纲!AH120</f>
        <v>87.168098110592624</v>
      </c>
      <c r="AN120" s="12">
        <f>[1]节奏总纲!AZ120</f>
        <v>117</v>
      </c>
      <c r="AO120" s="12">
        <f>[1]节奏总纲!BA120</f>
        <v>39.088198074219406</v>
      </c>
      <c r="AP120" s="12">
        <f>[1]节奏总纲!BB120</f>
        <v>40.576912512135436</v>
      </c>
      <c r="AQ120" s="12">
        <f>[1]节奏总纲!BC120</f>
        <v>42.51427628670821</v>
      </c>
      <c r="AR120" s="12">
        <f>[1]节奏总纲!BD120</f>
        <v>45.255528312893091</v>
      </c>
      <c r="AS120" s="12">
        <f>[1]节奏总纲!BE120</f>
        <v>49.9600233276417</v>
      </c>
    </row>
    <row r="121" spans="2:45" x14ac:dyDescent="0.15">
      <c r="B121" s="39">
        <f>[1]节奏总纲!N121</f>
        <v>128</v>
      </c>
      <c r="C121" s="39">
        <v>118</v>
      </c>
      <c r="D121" s="39">
        <f>[1]节奏总纲!P121</f>
        <v>3564.7751072609281</v>
      </c>
      <c r="E121" s="39">
        <f>[1]节奏总纲!Q121</f>
        <v>3030.4153186825147</v>
      </c>
      <c r="F121" s="39">
        <f>[1]节奏总纲!R121</f>
        <v>2426.1859380017877</v>
      </c>
      <c r="G121" s="39">
        <f>[1]节奏总纲!S121</f>
        <v>1737.4713872789764</v>
      </c>
      <c r="H121" s="39">
        <f>[1]节奏总纲!T121</f>
        <v>936.10994316671975</v>
      </c>
      <c r="J121" s="38">
        <v>118</v>
      </c>
      <c r="K121" s="39">
        <f>[1]节奏总纲!W121</f>
        <v>238.78929178579301</v>
      </c>
      <c r="L121" s="39">
        <f>[1]节奏总纲!X121</f>
        <v>203.65997411019725</v>
      </c>
      <c r="M121" s="39">
        <f>[1]节奏总纲!Y121</f>
        <v>163.5177877340534</v>
      </c>
      <c r="N121" s="39">
        <f>[1]节奏总纲!Z121</f>
        <v>119.37928805032334</v>
      </c>
      <c r="O121" s="39">
        <f>[1]节奏总纲!AA121</f>
        <v>63.038666604496711</v>
      </c>
      <c r="Q121" s="9">
        <v>118</v>
      </c>
      <c r="R121" s="10">
        <f>[1]节奏总纲!AD121</f>
        <v>68.946457081918766</v>
      </c>
      <c r="S121" s="10">
        <f>[1]节奏总纲!AE121</f>
        <v>70.995873539455332</v>
      </c>
      <c r="T121" s="10">
        <f>[1]节奏总纲!AF121</f>
        <v>73.913419829028598</v>
      </c>
      <c r="U121" s="10">
        <f>[1]节奏总纲!AG121</f>
        <v>78.356382169569343</v>
      </c>
      <c r="V121" s="10">
        <f>[1]节奏总纲!AH121</f>
        <v>87.302536839048898</v>
      </c>
      <c r="AN121" s="12">
        <f>[1]节奏总纲!AZ121</f>
        <v>118</v>
      </c>
      <c r="AO121" s="12">
        <f>[1]节奏总纲!BA121</f>
        <v>39.14223078093233</v>
      </c>
      <c r="AP121" s="12">
        <f>[1]节奏总纲!BB121</f>
        <v>40.635186503260229</v>
      </c>
      <c r="AQ121" s="12">
        <f>[1]节奏总纲!BC121</f>
        <v>42.572130878253319</v>
      </c>
      <c r="AR121" s="12">
        <f>[1]节奏总纲!BD121</f>
        <v>45.31132052094835</v>
      </c>
      <c r="AS121" s="12">
        <f>[1]节奏总纲!BE121</f>
        <v>50.018998195299922</v>
      </c>
    </row>
    <row r="122" spans="2:45" x14ac:dyDescent="0.15">
      <c r="B122" s="39">
        <f>[1]节奏总纲!N122</f>
        <v>129</v>
      </c>
      <c r="C122" s="39">
        <v>119</v>
      </c>
      <c r="D122" s="39">
        <f>[1]节奏总纲!P122</f>
        <v>3820.7031333347636</v>
      </c>
      <c r="E122" s="39">
        <f>[1]节奏总纲!Q122</f>
        <v>3250.2721555278836</v>
      </c>
      <c r="F122" s="39">
        <f>[1]节奏总纲!R122</f>
        <v>2604.5733259943081</v>
      </c>
      <c r="G122" s="39">
        <f>[1]节奏总纲!S122</f>
        <v>1863.3569181273642</v>
      </c>
      <c r="H122" s="39">
        <f>[1]节奏总纲!T122</f>
        <v>1000.260080307041</v>
      </c>
      <c r="J122" s="38">
        <v>119</v>
      </c>
      <c r="K122" s="39">
        <f>[1]节奏总纲!W122</f>
        <v>255.92802607383555</v>
      </c>
      <c r="L122" s="39">
        <f>[1]节奏总纲!X122</f>
        <v>219.85683684536889</v>
      </c>
      <c r="M122" s="39">
        <f>[1]节奏总纲!Y122</f>
        <v>178.38738799252042</v>
      </c>
      <c r="N122" s="39">
        <f>[1]节奏总纲!Z122</f>
        <v>125.88553084838782</v>
      </c>
      <c r="O122" s="39">
        <f>[1]节奏总纲!AA122</f>
        <v>64.150137140321249</v>
      </c>
      <c r="Q122" s="9">
        <v>119</v>
      </c>
      <c r="R122" s="10">
        <f>[1]节奏总纲!AD122</f>
        <v>69.066704614192943</v>
      </c>
      <c r="S122" s="10">
        <f>[1]节奏总纲!AE122</f>
        <v>71.113087458015798</v>
      </c>
      <c r="T122" s="10">
        <f>[1]节奏总纲!AF122</f>
        <v>74.034200876118248</v>
      </c>
      <c r="U122" s="10">
        <f>[1]节奏总纲!AG122</f>
        <v>78.482224048163502</v>
      </c>
      <c r="V122" s="10">
        <f>[1]节奏总纲!AH122</f>
        <v>87.436975567505186</v>
      </c>
      <c r="AN122" s="12">
        <f>[1]节奏总纲!AZ122</f>
        <v>119</v>
      </c>
      <c r="AO122" s="12">
        <f>[1]节奏总纲!BA122</f>
        <v>39.196263487645254</v>
      </c>
      <c r="AP122" s="12">
        <f>[1]节奏总纲!BB122</f>
        <v>40.693460494385022</v>
      </c>
      <c r="AQ122" s="12">
        <f>[1]节奏总纲!BC122</f>
        <v>42.629985469798427</v>
      </c>
      <c r="AR122" s="12">
        <f>[1]节奏总纲!BD122</f>
        <v>45.367112729003608</v>
      </c>
      <c r="AS122" s="12">
        <f>[1]节奏总纲!BE122</f>
        <v>50.072514238398277</v>
      </c>
    </row>
    <row r="123" spans="2:45" x14ac:dyDescent="0.15">
      <c r="B123" s="39">
        <f>[1]节奏总纲!N123</f>
        <v>130</v>
      </c>
      <c r="C123" s="39">
        <v>120</v>
      </c>
      <c r="D123" s="39">
        <f>[1]节奏总纲!P123</f>
        <v>4095</v>
      </c>
      <c r="E123" s="39">
        <f>[1]节奏总纲!Q123</f>
        <v>3486.0735</v>
      </c>
      <c r="F123" s="39">
        <f>[1]节奏总纲!R123</f>
        <v>2791.971</v>
      </c>
      <c r="G123" s="39">
        <f>[1]节奏总纲!S123</f>
        <v>1988.5319999999999</v>
      </c>
      <c r="H123" s="39">
        <f>[1]节奏总纲!T123</f>
        <v>1067.9759999999999</v>
      </c>
      <c r="J123" s="38">
        <v>120</v>
      </c>
      <c r="K123" s="39">
        <f>[1]节奏总纲!W123</f>
        <v>274.29686666523639</v>
      </c>
      <c r="L123" s="39">
        <f>[1]节奏总纲!X123</f>
        <v>235.8013444721164</v>
      </c>
      <c r="M123" s="39">
        <f>[1]节奏总纲!Y123</f>
        <v>187.3976740056919</v>
      </c>
      <c r="N123" s="39">
        <f>[1]节奏总纲!Z123</f>
        <v>125.1750818726357</v>
      </c>
      <c r="O123" s="39">
        <f>[1]节奏总纲!AA123</f>
        <v>67.715919692958892</v>
      </c>
      <c r="Q123" s="9">
        <v>120</v>
      </c>
      <c r="R123" s="10">
        <f>[1]节奏总纲!AD123</f>
        <v>69.18336653741882</v>
      </c>
      <c r="S123" s="10">
        <f>[1]节奏总纲!AE123</f>
        <v>71.230067506391322</v>
      </c>
      <c r="T123" s="10">
        <f>[1]节奏总纲!AF123</f>
        <v>74.149428238300118</v>
      </c>
      <c r="U123" s="10">
        <f>[1]节奏总纲!AG123</f>
        <v>78.608065926757661</v>
      </c>
      <c r="V123" s="10">
        <f>[1]节奏总纲!AH123</f>
        <v>87.571414295961461</v>
      </c>
      <c r="AN123" s="12">
        <f>[1]节奏总纲!AZ123</f>
        <v>120</v>
      </c>
      <c r="AO123" s="12">
        <f>[1]节奏总纲!BA123</f>
        <v>39.250296194358178</v>
      </c>
      <c r="AP123" s="12">
        <f>[1]节奏总纲!BB123</f>
        <v>40.751734485509814</v>
      </c>
      <c r="AQ123" s="12">
        <f>[1]节奏总纲!BC123</f>
        <v>42.687840061343536</v>
      </c>
      <c r="AR123" s="12">
        <f>[1]节奏总纲!BD123</f>
        <v>45.422904937058867</v>
      </c>
      <c r="AS123" s="12">
        <f>[1]节奏总纲!BE123</f>
        <v>50.126030281496639</v>
      </c>
    </row>
    <row r="124" spans="2:45" x14ac:dyDescent="0.15">
      <c r="B124" s="39">
        <f>[1]节奏总纲!N124</f>
        <v>131</v>
      </c>
      <c r="C124" s="39">
        <v>121</v>
      </c>
      <c r="D124" s="39">
        <f>[1]节奏总纲!P124</f>
        <v>4388.9841025486576</v>
      </c>
      <c r="E124" s="39">
        <f>[1]节奏总纲!Q124</f>
        <v>3731.5142839868686</v>
      </c>
      <c r="F124" s="39">
        <f>[1]节奏总纲!R124</f>
        <v>2978.8035103997736</v>
      </c>
      <c r="G124" s="39">
        <f>[1]节奏总纲!S124</f>
        <v>2122.0738135822758</v>
      </c>
      <c r="H124" s="39">
        <f>[1]节奏总纲!T124</f>
        <v>1143.3303587139253</v>
      </c>
      <c r="J124" s="38">
        <v>121</v>
      </c>
      <c r="K124" s="39">
        <f>[1]节奏总纲!W124</f>
        <v>293.98410254865757</v>
      </c>
      <c r="L124" s="39">
        <f>[1]节奏总纲!X124</f>
        <v>245.44078398686861</v>
      </c>
      <c r="M124" s="39">
        <f>[1]节奏总纲!Y124</f>
        <v>186.83251039977358</v>
      </c>
      <c r="N124" s="39">
        <f>[1]节奏总纲!Z124</f>
        <v>133.54181358227584</v>
      </c>
      <c r="O124" s="39">
        <f>[1]节奏总纲!AA124</f>
        <v>75.354358713925421</v>
      </c>
      <c r="Q124" s="9">
        <v>121</v>
      </c>
      <c r="R124" s="10">
        <f>[1]节奏总纲!AD124</f>
        <v>69.300028460644711</v>
      </c>
      <c r="S124" s="10">
        <f>[1]节奏总纲!AE124</f>
        <v>71.347047554766846</v>
      </c>
      <c r="T124" s="10">
        <f>[1]节奏总纲!AF124</f>
        <v>74.264655600481987</v>
      </c>
      <c r="U124" s="10">
        <f>[1]节奏总纲!AG124</f>
        <v>78.733907805351805</v>
      </c>
      <c r="V124" s="10">
        <f>[1]节奏总纲!AH124</f>
        <v>87.705853024417735</v>
      </c>
      <c r="AN124" s="12">
        <f>[1]节奏总纲!AZ124</f>
        <v>121</v>
      </c>
      <c r="AO124" s="12">
        <f>[1]节奏总纲!BA124</f>
        <v>39.304328901071102</v>
      </c>
      <c r="AP124" s="12">
        <f>[1]节奏总纲!BB124</f>
        <v>40.810008476634607</v>
      </c>
      <c r="AQ124" s="12">
        <f>[1]节奏总纲!BC124</f>
        <v>42.745694652888645</v>
      </c>
      <c r="AR124" s="12">
        <f>[1]节奏总纲!BD124</f>
        <v>45.478697145114126</v>
      </c>
      <c r="AS124" s="12">
        <f>[1]节奏总纲!BE124</f>
        <v>50.179546324595002</v>
      </c>
    </row>
    <row r="125" spans="2:45" x14ac:dyDescent="0.15">
      <c r="B125" s="39">
        <f>[1]节奏总纲!N125</f>
        <v>132</v>
      </c>
      <c r="C125" s="39">
        <v>122</v>
      </c>
      <c r="D125" s="39">
        <f>[1]节奏总纲!P125</f>
        <v>4704.0684620678521</v>
      </c>
      <c r="E125" s="39">
        <f>[1]节奏总纲!Q125</f>
        <v>3989.5204626797454</v>
      </c>
      <c r="F125" s="39">
        <f>[1]节奏总纲!R125</f>
        <v>3183.7135351275219</v>
      </c>
      <c r="G125" s="39">
        <f>[1]节奏总纲!S125</f>
        <v>2271.1242534863591</v>
      </c>
      <c r="H125" s="39">
        <f>[1]节奏总纲!T125</f>
        <v>1223.9986138300551</v>
      </c>
      <c r="J125" s="38">
        <v>122</v>
      </c>
      <c r="K125" s="39">
        <f>[1]节奏总纲!W125</f>
        <v>315.08435951919455</v>
      </c>
      <c r="L125" s="39">
        <f>[1]节奏总纲!X125</f>
        <v>258.0061786928768</v>
      </c>
      <c r="M125" s="39">
        <f>[1]节奏总纲!Y125</f>
        <v>204.91002472774835</v>
      </c>
      <c r="N125" s="39">
        <f>[1]节奏总纲!Z125</f>
        <v>149.05043990408331</v>
      </c>
      <c r="O125" s="39">
        <f>[1]节奏总纲!AA125</f>
        <v>80.668255116129785</v>
      </c>
      <c r="Q125" s="9">
        <v>122</v>
      </c>
      <c r="R125" s="10">
        <f>[1]节奏总纲!AD125</f>
        <v>69.416690383870588</v>
      </c>
      <c r="S125" s="10">
        <f>[1]节奏总纲!AE125</f>
        <v>71.46402760314237</v>
      </c>
      <c r="T125" s="10">
        <f>[1]节奏总纲!AF125</f>
        <v>74.379882962663856</v>
      </c>
      <c r="U125" s="10">
        <f>[1]节奏总纲!AG125</f>
        <v>78.859749683945964</v>
      </c>
      <c r="V125" s="10">
        <f>[1]节奏总纲!AH125</f>
        <v>87.840291752874009</v>
      </c>
      <c r="AN125" s="12">
        <f>[1]节奏总纲!AZ125</f>
        <v>122</v>
      </c>
      <c r="AO125" s="12">
        <f>[1]节奏总纲!BA125</f>
        <v>39.358361607784026</v>
      </c>
      <c r="AP125" s="12">
        <f>[1]节奏总纲!BB125</f>
        <v>40.8682824677594</v>
      </c>
      <c r="AQ125" s="12">
        <f>[1]节奏总纲!BC125</f>
        <v>42.803549244433754</v>
      </c>
      <c r="AR125" s="12">
        <f>[1]节奏总纲!BD125</f>
        <v>45.534489353169384</v>
      </c>
      <c r="AS125" s="12">
        <f>[1]节奏总纲!BE125</f>
        <v>50.233062367693357</v>
      </c>
    </row>
    <row r="126" spans="2:45" x14ac:dyDescent="0.15">
      <c r="B126" s="39">
        <f>[1]节奏总纲!N126</f>
        <v>133</v>
      </c>
      <c r="C126" s="39">
        <v>123</v>
      </c>
      <c r="D126" s="39">
        <f>[1]节奏总纲!P126</f>
        <v>5041.7675170607781</v>
      </c>
      <c r="E126" s="39">
        <f>[1]节奏总纲!Q126</f>
        <v>4275.9230312192458</v>
      </c>
      <c r="F126" s="39">
        <f>[1]节奏总纲!R126</f>
        <v>3419.8309068223257</v>
      </c>
      <c r="G126" s="39">
        <f>[1]节奏总纲!S126</f>
        <v>2442.7363620159467</v>
      </c>
      <c r="H126" s="39">
        <f>[1]节奏总纲!T126</f>
        <v>1316.4054987045693</v>
      </c>
      <c r="J126" s="38">
        <v>123</v>
      </c>
      <c r="K126" s="39">
        <f>[1]节奏总纲!W126</f>
        <v>337.69905499292599</v>
      </c>
      <c r="L126" s="39">
        <f>[1]节奏总纲!X126</f>
        <v>286.40256853950041</v>
      </c>
      <c r="M126" s="39">
        <f>[1]节奏总纲!Y126</f>
        <v>236.11737169480375</v>
      </c>
      <c r="N126" s="39">
        <f>[1]节奏总纲!Z126</f>
        <v>171.61210852958766</v>
      </c>
      <c r="O126" s="39">
        <f>[1]节奏总纲!AA126</f>
        <v>92.406884874514162</v>
      </c>
      <c r="Q126" s="9">
        <v>123</v>
      </c>
      <c r="R126" s="10">
        <f>[1]节奏总纲!AD126</f>
        <v>69.533352307096465</v>
      </c>
      <c r="S126" s="10">
        <f>[1]节奏总纲!AE126</f>
        <v>71.581007651517908</v>
      </c>
      <c r="T126" s="10">
        <f>[1]节奏总纲!AF126</f>
        <v>74.495110324845726</v>
      </c>
      <c r="U126" s="10">
        <f>[1]节奏总纲!AG126</f>
        <v>78.985591562540122</v>
      </c>
      <c r="V126" s="10">
        <f>[1]节奏总纲!AH126</f>
        <v>87.974730481330297</v>
      </c>
      <c r="AN126" s="12">
        <f>[1]节奏总纲!AZ126</f>
        <v>123</v>
      </c>
      <c r="AO126" s="12">
        <f>[1]节奏总纲!BA126</f>
        <v>39.41239431449695</v>
      </c>
      <c r="AP126" s="12">
        <f>[1]节奏总纲!BB126</f>
        <v>40.926556458884193</v>
      </c>
      <c r="AQ126" s="12">
        <f>[1]节奏总纲!BC126</f>
        <v>42.861403835978855</v>
      </c>
      <c r="AR126" s="12">
        <f>[1]节奏总纲!BD126</f>
        <v>45.590281561224643</v>
      </c>
      <c r="AS126" s="12">
        <f>[1]节奏总纲!BE126</f>
        <v>50.286578410791719</v>
      </c>
    </row>
    <row r="127" spans="2:45" x14ac:dyDescent="0.15">
      <c r="B127" s="39">
        <f>[1]节奏总纲!N127</f>
        <v>134</v>
      </c>
      <c r="C127" s="39">
        <v>124</v>
      </c>
      <c r="D127" s="39">
        <f>[1]节奏总纲!P127</f>
        <v>5403.704402525771</v>
      </c>
      <c r="E127" s="39">
        <f>[1]节奏总纲!Q127</f>
        <v>4591.5276308261473</v>
      </c>
      <c r="F127" s="39">
        <f>[1]节奏总纲!R127</f>
        <v>3671.276771076009</v>
      </c>
      <c r="G127" s="39">
        <f>[1]节奏总纲!S127</f>
        <v>2624.0388578665143</v>
      </c>
      <c r="H127" s="39">
        <f>[1]节奏总纲!T127</f>
        <v>1415.7705534617521</v>
      </c>
      <c r="J127" s="38">
        <v>124</v>
      </c>
      <c r="K127" s="39">
        <f>[1]节奏总纲!W127</f>
        <v>361.93688546499288</v>
      </c>
      <c r="L127" s="39">
        <f>[1]节奏总纲!X127</f>
        <v>315.6045996069015</v>
      </c>
      <c r="M127" s="39">
        <f>[1]节奏总纲!Y127</f>
        <v>251.44586425368334</v>
      </c>
      <c r="N127" s="39">
        <f>[1]节奏总纲!Z127</f>
        <v>181.30249585056754</v>
      </c>
      <c r="O127" s="39">
        <f>[1]节奏总纲!AA127</f>
        <v>99.365054757182861</v>
      </c>
      <c r="Q127" s="9">
        <v>124</v>
      </c>
      <c r="R127" s="10">
        <f>[1]节奏总纲!AD127</f>
        <v>69.650014230322356</v>
      </c>
      <c r="S127" s="10">
        <f>[1]节奏总纲!AE127</f>
        <v>71.697987699893432</v>
      </c>
      <c r="T127" s="10">
        <f>[1]节奏总纲!AF127</f>
        <v>74.610337687027609</v>
      </c>
      <c r="U127" s="10">
        <f>[1]节奏总纲!AG127</f>
        <v>79.104601412347151</v>
      </c>
      <c r="V127" s="10">
        <f>[1]节奏总纲!AH127</f>
        <v>88.109271506528316</v>
      </c>
      <c r="AN127" s="12">
        <f>[1]节奏总纲!AZ127</f>
        <v>124</v>
      </c>
      <c r="AO127" s="12">
        <f>[1]节奏总纲!BA127</f>
        <v>39.466427021209874</v>
      </c>
      <c r="AP127" s="12">
        <f>[1]节奏总纲!BB127</f>
        <v>40.984830450008978</v>
      </c>
      <c r="AQ127" s="12">
        <f>[1]节奏总纲!BC127</f>
        <v>42.919258427523964</v>
      </c>
      <c r="AR127" s="12">
        <f>[1]节奏总纲!BD127</f>
        <v>45.646073769279901</v>
      </c>
      <c r="AS127" s="12">
        <f>[1]节奏总纲!BE127</f>
        <v>50.340094453890082</v>
      </c>
    </row>
    <row r="128" spans="2:45" x14ac:dyDescent="0.15">
      <c r="B128" s="39">
        <f>[1]节奏总纲!N128</f>
        <v>135</v>
      </c>
      <c r="C128" s="39">
        <v>125</v>
      </c>
      <c r="D128" s="39">
        <f>[1]节奏总纲!P128</f>
        <v>5791.6187514801986</v>
      </c>
      <c r="E128" s="39">
        <f>[1]节奏总纲!Q128</f>
        <v>4918.821805632133</v>
      </c>
      <c r="F128" s="39">
        <f>[1]节奏总纲!R128</f>
        <v>3940.0382366319791</v>
      </c>
      <c r="G128" s="39">
        <f>[1]节奏总纲!S128</f>
        <v>2816.4641988448207</v>
      </c>
      <c r="H128" s="39">
        <f>[1]节奏总纲!T128</f>
        <v>1509.8750085108877</v>
      </c>
      <c r="J128" s="38">
        <v>125</v>
      </c>
      <c r="K128" s="39">
        <f>[1]节奏总纲!W128</f>
        <v>387.91434895442762</v>
      </c>
      <c r="L128" s="39">
        <f>[1]节奏总纲!X128</f>
        <v>327.29417480598568</v>
      </c>
      <c r="M128" s="39">
        <f>[1]节奏总纲!Y128</f>
        <v>268.76146555597006</v>
      </c>
      <c r="N128" s="39">
        <f>[1]节奏总纲!Z128</f>
        <v>192.42534097830639</v>
      </c>
      <c r="O128" s="39">
        <f>[1]节奏总纲!AA128</f>
        <v>94.104455049135595</v>
      </c>
      <c r="Q128" s="9">
        <v>125</v>
      </c>
      <c r="R128" s="10">
        <f>[1]节奏总纲!AD128</f>
        <v>69.766676153548232</v>
      </c>
      <c r="S128" s="10">
        <f>[1]节奏总纲!AE128</f>
        <v>71.814967748268955</v>
      </c>
      <c r="T128" s="10">
        <f>[1]节奏总纲!AF128</f>
        <v>74.725565049209479</v>
      </c>
      <c r="U128" s="10">
        <f>[1]节奏总纲!AG128</f>
        <v>79.222727875098187</v>
      </c>
      <c r="V128" s="10">
        <f>[1]节奏总纲!AH128</f>
        <v>88.243836210467165</v>
      </c>
      <c r="AN128" s="12">
        <f>[1]节奏总纲!AZ128</f>
        <v>125</v>
      </c>
      <c r="AO128" s="12">
        <f>[1]节奏总纲!BA128</f>
        <v>39.520459727922798</v>
      </c>
      <c r="AP128" s="12">
        <f>[1]节奏总纲!BB128</f>
        <v>41.037193447861313</v>
      </c>
      <c r="AQ128" s="12">
        <f>[1]节奏总纲!BC128</f>
        <v>42.977113019069073</v>
      </c>
      <c r="AR128" s="12">
        <f>[1]节奏总纲!BD128</f>
        <v>45.701865977335167</v>
      </c>
      <c r="AS128" s="12">
        <f>[1]节奏总纲!BE128</f>
        <v>50.393610496988437</v>
      </c>
    </row>
    <row r="129" spans="2:45" x14ac:dyDescent="0.15">
      <c r="B129" s="39">
        <f>[1]节奏总纲!N129</f>
        <v>136</v>
      </c>
      <c r="C129" s="39">
        <v>126</v>
      </c>
      <c r="D129" s="39">
        <f>[1]节奏总纲!P129</f>
        <v>6207.3750564265865</v>
      </c>
      <c r="E129" s="39">
        <f>[1]节奏总纲!Q129</f>
        <v>5279.3724854908123</v>
      </c>
      <c r="F129" s="39">
        <f>[1]节奏总纲!R129</f>
        <v>4225.9809384152195</v>
      </c>
      <c r="G129" s="39">
        <f>[1]节奏总纲!S129</f>
        <v>3006.8524773330387</v>
      </c>
      <c r="H129" s="39">
        <f>[1]节奏总纲!T129</f>
        <v>1610.1930896370566</v>
      </c>
      <c r="J129" s="38">
        <v>126</v>
      </c>
      <c r="K129" s="39">
        <f>[1]节奏总纲!W129</f>
        <v>415.7563049463879</v>
      </c>
      <c r="L129" s="39">
        <f>[1]节奏总纲!X129</f>
        <v>360.55067985867936</v>
      </c>
      <c r="M129" s="39">
        <f>[1]节奏总纲!Y129</f>
        <v>285.94270178324041</v>
      </c>
      <c r="N129" s="39">
        <f>[1]节奏总纲!Z129</f>
        <v>190.38827848821802</v>
      </c>
      <c r="O129" s="39">
        <f>[1]节奏总纲!AA129</f>
        <v>100.31808112616886</v>
      </c>
      <c r="Q129" s="9">
        <v>126</v>
      </c>
      <c r="R129" s="10">
        <f>[1]节奏总纲!AD129</f>
        <v>69.883338076774123</v>
      </c>
      <c r="S129" s="10">
        <f>[1]节奏总纲!AE129</f>
        <v>71.931947796644479</v>
      </c>
      <c r="T129" s="10">
        <f>[1]节奏总纲!AF129</f>
        <v>74.840792411391348</v>
      </c>
      <c r="U129" s="10">
        <f>[1]节奏总纲!AG129</f>
        <v>79.340854337849223</v>
      </c>
      <c r="V129" s="10">
        <f>[1]节奏总纲!AH129</f>
        <v>88.378400914406001</v>
      </c>
      <c r="AN129" s="12">
        <f>[1]节奏总纲!AZ129</f>
        <v>126</v>
      </c>
      <c r="AO129" s="12">
        <f>[1]节奏总纲!BA129</f>
        <v>39.574492434635722</v>
      </c>
      <c r="AP129" s="12">
        <f>[1]节奏总纲!BB129</f>
        <v>41.087476216725996</v>
      </c>
      <c r="AQ129" s="12">
        <f>[1]节奏总纲!BC129</f>
        <v>43.030177309109042</v>
      </c>
      <c r="AR129" s="12">
        <f>[1]节奏总纲!BD129</f>
        <v>45.757658185390426</v>
      </c>
      <c r="AS129" s="12">
        <f>[1]节奏总纲!BE129</f>
        <v>50.447126540086799</v>
      </c>
    </row>
    <row r="130" spans="2:45" x14ac:dyDescent="0.15">
      <c r="B130" s="39">
        <f>[1]节奏总纲!N130</f>
        <v>137</v>
      </c>
      <c r="C130" s="39">
        <v>127</v>
      </c>
      <c r="D130" s="39">
        <f>[1]节奏总纲!P130</f>
        <v>6652.971630950271</v>
      </c>
      <c r="E130" s="39">
        <f>[1]节奏总纲!Q130</f>
        <v>5658.3523721232059</v>
      </c>
      <c r="F130" s="39">
        <f>[1]节奏总纲!R130</f>
        <v>4508.7188742949984</v>
      </c>
      <c r="G130" s="39">
        <f>[1]节奏总纲!S130</f>
        <v>3203.4058403025556</v>
      </c>
      <c r="H130" s="39">
        <f>[1]节奏总纲!T130</f>
        <v>1719.793166600645</v>
      </c>
      <c r="J130" s="38">
        <v>127</v>
      </c>
      <c r="K130" s="39">
        <f>[1]节奏总纲!W130</f>
        <v>445.59657452368447</v>
      </c>
      <c r="L130" s="39">
        <f>[1]节奏总纲!X130</f>
        <v>378.97988663239357</v>
      </c>
      <c r="M130" s="39">
        <f>[1]节奏总纲!Y130</f>
        <v>282.73793587977889</v>
      </c>
      <c r="N130" s="39">
        <f>[1]节奏总纲!Z130</f>
        <v>196.55336296951691</v>
      </c>
      <c r="O130" s="39">
        <f>[1]节奏总纲!AA130</f>
        <v>109.60007696358844</v>
      </c>
      <c r="Q130" s="9">
        <v>127</v>
      </c>
      <c r="R130" s="10">
        <f>[1]节奏总纲!AD130</f>
        <v>70</v>
      </c>
      <c r="S130" s="10">
        <f>[1]节奏总纲!AE130</f>
        <v>72.047345051940553</v>
      </c>
      <c r="T130" s="10">
        <f>[1]节奏总纲!AF130</f>
        <v>74.956019773573217</v>
      </c>
      <c r="U130" s="10">
        <f>[1]节奏总纲!AG130</f>
        <v>79.458980800600258</v>
      </c>
      <c r="V130" s="10">
        <f>[1]节奏总纲!AH130</f>
        <v>88.51296561834485</v>
      </c>
      <c r="AN130" s="12">
        <f>[1]节奏总纲!AZ130</f>
        <v>127</v>
      </c>
      <c r="AO130" s="12">
        <f>[1]节奏总纲!BA130</f>
        <v>39.628525141348646</v>
      </c>
      <c r="AP130" s="12">
        <f>[1]节奏总纲!BB130</f>
        <v>41.137758985590679</v>
      </c>
      <c r="AQ130" s="12">
        <f>[1]节奏总纲!BC130</f>
        <v>43.080106253688569</v>
      </c>
      <c r="AR130" s="12">
        <f>[1]节奏总纲!BD130</f>
        <v>45.813450393445684</v>
      </c>
      <c r="AS130" s="12">
        <f>[1]节奏总纲!BE130</f>
        <v>50.500642583185162</v>
      </c>
    </row>
    <row r="131" spans="2:45" x14ac:dyDescent="0.15">
      <c r="B131" s="39">
        <f>[1]节奏总纲!N131</f>
        <v>138</v>
      </c>
      <c r="C131" s="39">
        <v>128</v>
      </c>
      <c r="D131" s="39">
        <f>[1]节奏总纲!P131</f>
        <v>7130.5502145218443</v>
      </c>
      <c r="E131" s="39">
        <f>[1]节奏总纲!Q131</f>
        <v>6036.010756592741</v>
      </c>
      <c r="F131" s="39">
        <f>[1]节奏总纲!R131</f>
        <v>4805.9908445877236</v>
      </c>
      <c r="G131" s="39">
        <f>[1]节奏总纲!S131</f>
        <v>3419.0988278632244</v>
      </c>
      <c r="H131" s="39">
        <f>[1]节奏总纲!T131</f>
        <v>1838.9689003251838</v>
      </c>
      <c r="J131" s="38">
        <v>128</v>
      </c>
      <c r="K131" s="39">
        <f>[1]节奏总纲!W131</f>
        <v>477.57858357157329</v>
      </c>
      <c r="L131" s="39">
        <f>[1]节奏总纲!X131</f>
        <v>377.65838446953512</v>
      </c>
      <c r="M131" s="39">
        <f>[1]节奏总纲!Y131</f>
        <v>297.2719702927252</v>
      </c>
      <c r="N131" s="39">
        <f>[1]节奏总纲!Z131</f>
        <v>215.69298756066883</v>
      </c>
      <c r="O131" s="39">
        <f>[1]节奏总纲!AA131</f>
        <v>119.17573372453876</v>
      </c>
      <c r="Q131" s="9">
        <v>128</v>
      </c>
      <c r="R131" s="10">
        <f>[1]节奏总纲!AD131</f>
        <v>70.108849423225877</v>
      </c>
      <c r="S131" s="10">
        <f>[1]节奏总纲!AE131</f>
        <v>72.160540850040434</v>
      </c>
      <c r="T131" s="10">
        <f>[1]节奏总纲!AF131</f>
        <v>75.067682921736733</v>
      </c>
      <c r="U131" s="10">
        <f>[1]节奏总纲!AG131</f>
        <v>79.577107263351294</v>
      </c>
      <c r="V131" s="10">
        <f>[1]节奏总纲!AH131</f>
        <v>88.6475303222837</v>
      </c>
      <c r="AN131" s="12">
        <f>[1]节奏总纲!AZ131</f>
        <v>128</v>
      </c>
      <c r="AO131" s="12">
        <f>[1]节奏总纲!BA131</f>
        <v>39.68255784806157</v>
      </c>
      <c r="AP131" s="12">
        <f>[1]节奏总纲!BB131</f>
        <v>41.188041754455355</v>
      </c>
      <c r="AQ131" s="12">
        <f>[1]节奏总纲!BC131</f>
        <v>43.130035198268104</v>
      </c>
      <c r="AR131" s="12">
        <f>[1]节奏总纲!BD131</f>
        <v>45.869242601500943</v>
      </c>
      <c r="AS131" s="12">
        <f>[1]节奏总纲!BE131</f>
        <v>50.554158626283517</v>
      </c>
    </row>
    <row r="132" spans="2:45" x14ac:dyDescent="0.15">
      <c r="B132" s="39">
        <f>[1]节奏总纲!N132</f>
        <v>139</v>
      </c>
      <c r="C132" s="39">
        <v>129</v>
      </c>
      <c r="D132" s="39">
        <f>[1]节奏总纲!P132</f>
        <v>7642.4062666695281</v>
      </c>
      <c r="E132" s="39">
        <f>[1]节奏总纲!Q132</f>
        <v>6469.2969047357556</v>
      </c>
      <c r="F132" s="39">
        <f>[1]节奏总纲!R132</f>
        <v>5159.388470628599</v>
      </c>
      <c r="G132" s="39">
        <f>[1]节奏总纲!S132</f>
        <v>3676.7616548947103</v>
      </c>
      <c r="H132" s="39">
        <f>[1]节奏总纲!T132</f>
        <v>1975.5620199340731</v>
      </c>
      <c r="J132" s="38">
        <v>129</v>
      </c>
      <c r="K132" s="39">
        <f>[1]节奏总纲!W132</f>
        <v>511.85605214768384</v>
      </c>
      <c r="L132" s="39">
        <f>[1]节奏总纲!X132</f>
        <v>433.28614814301454</v>
      </c>
      <c r="M132" s="39">
        <f>[1]节奏总纲!Y132</f>
        <v>353.39762604087537</v>
      </c>
      <c r="N132" s="39">
        <f>[1]节奏总纲!Z132</f>
        <v>257.6628270314859</v>
      </c>
      <c r="O132" s="39">
        <f>[1]节奏总纲!AA132</f>
        <v>136.59311960888931</v>
      </c>
      <c r="Q132" s="9">
        <v>129</v>
      </c>
      <c r="R132" s="10">
        <f>[1]节奏总纲!AD132</f>
        <v>70.217698846451768</v>
      </c>
      <c r="S132" s="10">
        <f>[1]节奏总纲!AE132</f>
        <v>72.273736648140314</v>
      </c>
      <c r="T132" s="10">
        <f>[1]节奏总纲!AF132</f>
        <v>75.177145912126889</v>
      </c>
      <c r="U132" s="10">
        <f>[1]节奏总纲!AG132</f>
        <v>79.69523372610233</v>
      </c>
      <c r="V132" s="10">
        <f>[1]节奏总纲!AH132</f>
        <v>88.782095026222549</v>
      </c>
      <c r="AN132" s="12">
        <f>[1]节奏总纲!AZ132</f>
        <v>129</v>
      </c>
      <c r="AO132" s="12">
        <f>[1]节奏总纲!BA132</f>
        <v>39.736590554774494</v>
      </c>
      <c r="AP132" s="12">
        <f>[1]节奏总纲!BB132</f>
        <v>41.238324523320038</v>
      </c>
      <c r="AQ132" s="12">
        <f>[1]节奏总纲!BC132</f>
        <v>43.179964142847631</v>
      </c>
      <c r="AR132" s="12">
        <f>[1]节奏总纲!BD132</f>
        <v>45.925034809556202</v>
      </c>
      <c r="AS132" s="12">
        <f>[1]节奏总纲!BE132</f>
        <v>50.607674669381879</v>
      </c>
    </row>
    <row r="133" spans="2:45" x14ac:dyDescent="0.15">
      <c r="B133" s="39">
        <f>[1]节奏总纲!N133</f>
        <v>140</v>
      </c>
      <c r="C133" s="39">
        <v>130</v>
      </c>
      <c r="D133" s="39">
        <f>[1]节奏总纲!P133</f>
        <v>8191</v>
      </c>
      <c r="E133" s="39">
        <f>[1]节奏总纲!Q133</f>
        <v>6941.8725000000004</v>
      </c>
      <c r="F133" s="39">
        <f>[1]节奏总纲!R133</f>
        <v>5542.0306</v>
      </c>
      <c r="G133" s="39">
        <f>[1]节奏总纲!S133</f>
        <v>3951.3384000000001</v>
      </c>
      <c r="H133" s="39">
        <f>[1]节奏总纲!T133</f>
        <v>2124.7454000000002</v>
      </c>
      <c r="J133" s="38">
        <v>130</v>
      </c>
      <c r="K133" s="39">
        <f>[1]节奏总纲!W133</f>
        <v>548.59373333047188</v>
      </c>
      <c r="L133" s="39">
        <f>[1]节奏总纲!X133</f>
        <v>472.57559526424484</v>
      </c>
      <c r="M133" s="39">
        <f>[1]节奏总纲!Y133</f>
        <v>382.6421293714011</v>
      </c>
      <c r="N133" s="39">
        <f>[1]节奏总纲!Z133</f>
        <v>274.57674510528977</v>
      </c>
      <c r="O133" s="39">
        <f>[1]节奏总纲!AA133</f>
        <v>149.18338006592717</v>
      </c>
      <c r="Q133" s="9">
        <v>130</v>
      </c>
      <c r="R133" s="10">
        <f>[1]节奏总纲!AD133</f>
        <v>70.326548269677644</v>
      </c>
      <c r="S133" s="10">
        <f>[1]节奏总纲!AE133</f>
        <v>72.386932446240195</v>
      </c>
      <c r="T133" s="10">
        <f>[1]节奏总纲!AF133</f>
        <v>75.286608902517045</v>
      </c>
      <c r="U133" s="10">
        <f>[1]节奏总纲!AG133</f>
        <v>79.813360188853366</v>
      </c>
      <c r="V133" s="10">
        <f>[1]节奏总纲!AH133</f>
        <v>88.916659730161399</v>
      </c>
      <c r="AN133" s="12">
        <f>[1]节奏总纲!AZ133</f>
        <v>130</v>
      </c>
      <c r="AO133" s="12">
        <f>[1]节奏总纲!BA133</f>
        <v>39.790623261487418</v>
      </c>
      <c r="AP133" s="12">
        <f>[1]节奏总纲!BB133</f>
        <v>41.288607292184714</v>
      </c>
      <c r="AQ133" s="12">
        <f>[1]节奏总纲!BC133</f>
        <v>43.229893087427158</v>
      </c>
      <c r="AR133" s="12">
        <f>[1]节奏总纲!BD133</f>
        <v>45.98082701761146</v>
      </c>
      <c r="AS133" s="12">
        <f>[1]节奏总纲!BE133</f>
        <v>50.661190712480241</v>
      </c>
    </row>
    <row r="134" spans="2:45" x14ac:dyDescent="0.15">
      <c r="B134" s="39">
        <f>[1]节奏总纲!N134</f>
        <v>141</v>
      </c>
      <c r="C134" s="39">
        <v>131</v>
      </c>
      <c r="D134" s="39">
        <f>[1]节奏总纲!P134</f>
        <v>8778.9682050973151</v>
      </c>
      <c r="E134" s="39">
        <f>[1]节奏总纲!Q134</f>
        <v>7443.6871411020138</v>
      </c>
      <c r="F134" s="39">
        <f>[1]节奏总纲!R134</f>
        <v>5945.117268491902</v>
      </c>
      <c r="G134" s="39">
        <f>[1]节奏总纲!S134</f>
        <v>4244.6311271645518</v>
      </c>
      <c r="H134" s="39">
        <f>[1]节奏总纲!T134</f>
        <v>2275.5085587612239</v>
      </c>
      <c r="J134" s="38">
        <v>131</v>
      </c>
      <c r="K134" s="39">
        <f>[1]节奏总纲!W134</f>
        <v>587.96820509731515</v>
      </c>
      <c r="L134" s="39">
        <f>[1]节奏总纲!X134</f>
        <v>501.81464110201341</v>
      </c>
      <c r="M134" s="39">
        <f>[1]节奏总纲!Y134</f>
        <v>403.08666849190195</v>
      </c>
      <c r="N134" s="39">
        <f>[1]节奏总纲!Z134</f>
        <v>293.29272716455171</v>
      </c>
      <c r="O134" s="39">
        <f>[1]节奏总纲!AA134</f>
        <v>150.76315876122362</v>
      </c>
      <c r="Q134" s="9">
        <v>131</v>
      </c>
      <c r="R134" s="10">
        <f>[1]节奏总纲!AD134</f>
        <v>70.435397692903535</v>
      </c>
      <c r="S134" s="10">
        <f>[1]节奏总纲!AE134</f>
        <v>72.50012824434009</v>
      </c>
      <c r="T134" s="10">
        <f>[1]节奏总纲!AF134</f>
        <v>75.396071892907202</v>
      </c>
      <c r="U134" s="10">
        <f>[1]节奏总纲!AG134</f>
        <v>79.931486651604402</v>
      </c>
      <c r="V134" s="10">
        <f>[1]节奏总纲!AH134</f>
        <v>89.048420729369383</v>
      </c>
      <c r="AN134" s="12">
        <f>[1]节奏总纲!AZ134</f>
        <v>131</v>
      </c>
      <c r="AO134" s="12">
        <f>[1]节奏总纲!BA134</f>
        <v>39.844655968200342</v>
      </c>
      <c r="AP134" s="12">
        <f>[1]节奏总纲!BB134</f>
        <v>41.338890061049398</v>
      </c>
      <c r="AQ134" s="12">
        <f>[1]节奏总纲!BC134</f>
        <v>43.279822032006692</v>
      </c>
      <c r="AR134" s="12">
        <f>[1]节奏总纲!BD134</f>
        <v>46.031609894814238</v>
      </c>
      <c r="AS134" s="12">
        <f>[1]节奏总纲!BE134</f>
        <v>50.714706755578604</v>
      </c>
    </row>
    <row r="135" spans="2:45" x14ac:dyDescent="0.15">
      <c r="B135" s="39">
        <f>[1]节奏总纲!N135</f>
        <v>142</v>
      </c>
      <c r="C135" s="39">
        <v>132</v>
      </c>
      <c r="D135" s="39">
        <f>[1]节奏总纲!P135</f>
        <v>9409.1369241357042</v>
      </c>
      <c r="E135" s="39">
        <f>[1]节奏总纲!Q135</f>
        <v>7983.6526801291457</v>
      </c>
      <c r="F135" s="39">
        <f>[1]节奏总纲!R135</f>
        <v>6385.9812304109018</v>
      </c>
      <c r="G135" s="39">
        <f>[1]节奏总纲!S135</f>
        <v>4544.6131343575453</v>
      </c>
      <c r="H135" s="39">
        <f>[1]节奏总纲!T135</f>
        <v>2431.3209811966663</v>
      </c>
      <c r="J135" s="38">
        <v>132</v>
      </c>
      <c r="K135" s="39">
        <f>[1]节奏总纲!W135</f>
        <v>630.1687190383891</v>
      </c>
      <c r="L135" s="39">
        <f>[1]节奏总纲!X135</f>
        <v>539.96553902713185</v>
      </c>
      <c r="M135" s="39">
        <f>[1]节奏总纲!Y135</f>
        <v>440.86396191899985</v>
      </c>
      <c r="N135" s="39">
        <f>[1]节奏总纲!Z135</f>
        <v>299.98200719299348</v>
      </c>
      <c r="O135" s="39">
        <f>[1]节奏总纲!AA135</f>
        <v>155.81242243544239</v>
      </c>
      <c r="Q135" s="9">
        <v>132</v>
      </c>
      <c r="R135" s="10">
        <f>[1]节奏总纲!AD135</f>
        <v>70.544247116129412</v>
      </c>
      <c r="S135" s="10">
        <f>[1]节奏总纲!AE135</f>
        <v>72.61332404243997</v>
      </c>
      <c r="T135" s="10">
        <f>[1]节奏总纲!AF135</f>
        <v>75.505534883297358</v>
      </c>
      <c r="U135" s="10">
        <f>[1]节奏总纲!AG135</f>
        <v>80.045750258986601</v>
      </c>
      <c r="V135" s="10">
        <f>[1]节奏总纲!AH135</f>
        <v>89.175620204122851</v>
      </c>
      <c r="AN135" s="12">
        <f>[1]节奏总纲!AZ135</f>
        <v>132</v>
      </c>
      <c r="AO135" s="12">
        <f>[1]节奏总纲!BA135</f>
        <v>39.898688674913267</v>
      </c>
      <c r="AP135" s="12">
        <f>[1]节奏总纲!BB135</f>
        <v>41.389172829914081</v>
      </c>
      <c r="AQ135" s="12">
        <f>[1]节奏总纲!BC135</f>
        <v>43.329750976586219</v>
      </c>
      <c r="AR135" s="12">
        <f>[1]节奏总纲!BD135</f>
        <v>46.079770001861057</v>
      </c>
      <c r="AS135" s="12">
        <f>[1]节奏总纲!BE135</f>
        <v>50.768222798676959</v>
      </c>
    </row>
    <row r="136" spans="2:45" x14ac:dyDescent="0.15">
      <c r="B136" s="39">
        <f>[1]节奏总纲!N136</f>
        <v>143</v>
      </c>
      <c r="C136" s="39">
        <v>133</v>
      </c>
      <c r="D136" s="39">
        <f>[1]节奏总纲!P136</f>
        <v>10084.535034121556</v>
      </c>
      <c r="E136" s="39">
        <f>[1]节奏总纲!Q136</f>
        <v>8562.7786974726132</v>
      </c>
      <c r="F136" s="39">
        <f>[1]节奏总纲!R136</f>
        <v>6827.2302181002942</v>
      </c>
      <c r="G136" s="39">
        <f>[1]节奏总纲!S136</f>
        <v>4847.6359909022322</v>
      </c>
      <c r="H136" s="39">
        <f>[1]节奏总纲!T136</f>
        <v>2595.759317782889</v>
      </c>
      <c r="J136" s="38">
        <v>133</v>
      </c>
      <c r="K136" s="39">
        <f>[1]节奏总纲!W136</f>
        <v>675.39810998585199</v>
      </c>
      <c r="L136" s="39">
        <f>[1]节奏总纲!X136</f>
        <v>579.12601734346754</v>
      </c>
      <c r="M136" s="39">
        <f>[1]节奏总纲!Y136</f>
        <v>441.24898768939238</v>
      </c>
      <c r="N136" s="39">
        <f>[1]节奏总纲!Z136</f>
        <v>303.02285654468687</v>
      </c>
      <c r="O136" s="39">
        <f>[1]节奏总纲!AA136</f>
        <v>164.4383365862227</v>
      </c>
      <c r="Q136" s="9">
        <v>133</v>
      </c>
      <c r="R136" s="10">
        <f>[1]节奏总纲!AD136</f>
        <v>70.653096539355303</v>
      </c>
      <c r="S136" s="10">
        <f>[1]节奏总纲!AE136</f>
        <v>72.726519840539851</v>
      </c>
      <c r="T136" s="10">
        <f>[1]节奏总纲!AF136</f>
        <v>75.614997873687514</v>
      </c>
      <c r="U136" s="10">
        <f>[1]节奏总纲!AG136</f>
        <v>80.154679447049915</v>
      </c>
      <c r="V136" s="10">
        <f>[1]节奏总纲!AH136</f>
        <v>89.302819678876304</v>
      </c>
      <c r="AN136" s="12">
        <f>[1]节奏总纲!AZ136</f>
        <v>133</v>
      </c>
      <c r="AO136" s="12">
        <f>[1]节奏总纲!BA136</f>
        <v>39.952721381626191</v>
      </c>
      <c r="AP136" s="12">
        <f>[1]节奏总纲!BB136</f>
        <v>41.439455598778757</v>
      </c>
      <c r="AQ136" s="12">
        <f>[1]节奏总纲!BC136</f>
        <v>43.379679921165753</v>
      </c>
      <c r="AR136" s="12">
        <f>[1]节奏总纲!BD136</f>
        <v>46.127930108907876</v>
      </c>
      <c r="AS136" s="12">
        <f>[1]节奏总纲!BE136</f>
        <v>50.821738841775321</v>
      </c>
    </row>
    <row r="137" spans="2:45" x14ac:dyDescent="0.15">
      <c r="B137" s="39">
        <f>[1]节奏总纲!N137</f>
        <v>144</v>
      </c>
      <c r="C137" s="39">
        <v>134</v>
      </c>
      <c r="D137" s="39">
        <f>[1]节奏总纲!P137</f>
        <v>10808.408805051544</v>
      </c>
      <c r="E137" s="39">
        <f>[1]节奏总纲!Q137</f>
        <v>9151.4797352371424</v>
      </c>
      <c r="F137" s="39">
        <f>[1]节奏总纲!R137</f>
        <v>7283.7866937242361</v>
      </c>
      <c r="G137" s="39">
        <f>[1]节奏总纲!S137</f>
        <v>5175.0661358586794</v>
      </c>
      <c r="H137" s="39">
        <f>[1]节奏总纲!T137</f>
        <v>2775.5993811372364</v>
      </c>
      <c r="J137" s="38">
        <v>134</v>
      </c>
      <c r="K137" s="39">
        <f>[1]节奏总纲!W137</f>
        <v>723.87377092998759</v>
      </c>
      <c r="L137" s="39">
        <f>[1]节奏总纲!X137</f>
        <v>588.70103776452925</v>
      </c>
      <c r="M137" s="39">
        <f>[1]节奏总纲!Y137</f>
        <v>456.55647562394188</v>
      </c>
      <c r="N137" s="39">
        <f>[1]节奏总纲!Z137</f>
        <v>327.43014495644729</v>
      </c>
      <c r="O137" s="39">
        <f>[1]节奏总纲!AA137</f>
        <v>179.84006335434742</v>
      </c>
      <c r="Q137" s="9">
        <v>134</v>
      </c>
      <c r="R137" s="10">
        <f>[1]节奏总纲!AD137</f>
        <v>70.76194596258118</v>
      </c>
      <c r="S137" s="10">
        <f>[1]节奏总纲!AE137</f>
        <v>72.839715638639731</v>
      </c>
      <c r="T137" s="10">
        <f>[1]节奏总纲!AF137</f>
        <v>75.72446086407767</v>
      </c>
      <c r="U137" s="10">
        <f>[1]节奏总纲!AG137</f>
        <v>80.263608635113243</v>
      </c>
      <c r="V137" s="10">
        <f>[1]节奏总纲!AH137</f>
        <v>89.430019153629758</v>
      </c>
      <c r="AN137" s="12">
        <f>[1]节奏总纲!AZ137</f>
        <v>134</v>
      </c>
      <c r="AO137" s="12">
        <f>[1]节奏总纲!BA137</f>
        <v>40.005827399112476</v>
      </c>
      <c r="AP137" s="12">
        <f>[1]节奏总纲!BB137</f>
        <v>41.48973836764344</v>
      </c>
      <c r="AQ137" s="12">
        <f>[1]节奏总纲!BC137</f>
        <v>43.42960886574528</v>
      </c>
      <c r="AR137" s="12">
        <f>[1]节奏总纲!BD137</f>
        <v>46.176090215954694</v>
      </c>
      <c r="AS137" s="12">
        <f>[1]节奏总纲!BE137</f>
        <v>50.875254884873684</v>
      </c>
    </row>
    <row r="138" spans="2:45" x14ac:dyDescent="0.15">
      <c r="B138" s="39">
        <f>[1]节奏总纲!N138</f>
        <v>145</v>
      </c>
      <c r="C138" s="39">
        <v>135</v>
      </c>
      <c r="D138" s="39">
        <f>[1]节奏总纲!P138</f>
        <v>11584.237502960397</v>
      </c>
      <c r="E138" s="39">
        <f>[1]节奏总纲!Q138</f>
        <v>9796.789656253608</v>
      </c>
      <c r="F138" s="39">
        <f>[1]节奏总纲!R138</f>
        <v>7796.1918394923478</v>
      </c>
      <c r="G138" s="39">
        <f>[1]节奏总纲!S138</f>
        <v>5548.8497639180305</v>
      </c>
      <c r="H138" s="39">
        <f>[1]节奏总纲!T138</f>
        <v>2979.465885761414</v>
      </c>
      <c r="J138" s="38">
        <v>135</v>
      </c>
      <c r="K138" s="39">
        <f>[1]节奏总纲!W138</f>
        <v>775.82869790885343</v>
      </c>
      <c r="L138" s="39">
        <f>[1]节奏总纲!X138</f>
        <v>645.30992101646552</v>
      </c>
      <c r="M138" s="39">
        <f>[1]节奏总纲!Y138</f>
        <v>512.40514576811165</v>
      </c>
      <c r="N138" s="39">
        <f>[1]节奏总纲!Z138</f>
        <v>373.78362805935103</v>
      </c>
      <c r="O138" s="39">
        <f>[1]节奏总纲!AA138</f>
        <v>203.86650462417765</v>
      </c>
      <c r="Q138" s="9">
        <v>135</v>
      </c>
      <c r="R138" s="10">
        <f>[1]节奏总纲!AD138</f>
        <v>70.870795385807057</v>
      </c>
      <c r="S138" s="10">
        <f>[1]节奏总纲!AE138</f>
        <v>72.952911436739612</v>
      </c>
      <c r="T138" s="10">
        <f>[1]节奏总纲!AF138</f>
        <v>75.833923854467812</v>
      </c>
      <c r="U138" s="10">
        <f>[1]节奏总纲!AG138</f>
        <v>80.372537823176572</v>
      </c>
      <c r="V138" s="10">
        <f>[1]节奏总纲!AH138</f>
        <v>89.557218628383211</v>
      </c>
      <c r="AN138" s="12">
        <f>[1]节奏总纲!AZ138</f>
        <v>135</v>
      </c>
      <c r="AO138" s="12">
        <f>[1]节奏总纲!BA138</f>
        <v>40.052446592012309</v>
      </c>
      <c r="AP138" s="12">
        <f>[1]节奏总纲!BB138</f>
        <v>41.540021136508116</v>
      </c>
      <c r="AQ138" s="12">
        <f>[1]节奏总纲!BC138</f>
        <v>43.479537810324814</v>
      </c>
      <c r="AR138" s="12">
        <f>[1]节奏总纲!BD138</f>
        <v>46.224250323001513</v>
      </c>
      <c r="AS138" s="12">
        <f>[1]节奏总纲!BE138</f>
        <v>50.928770927972039</v>
      </c>
    </row>
    <row r="139" spans="2:45" x14ac:dyDescent="0.15">
      <c r="B139" s="39">
        <f>[1]节奏总纲!N139</f>
        <v>146</v>
      </c>
      <c r="C139" s="39">
        <v>136</v>
      </c>
      <c r="D139" s="39">
        <f>[1]节奏总纲!P139</f>
        <v>12415.750112853173</v>
      </c>
      <c r="E139" s="39">
        <f>[1]节奏总纲!Q139</f>
        <v>10507.449320507641</v>
      </c>
      <c r="F139" s="39">
        <f>[1]节奏总纲!R139</f>
        <v>8384.3560512097483</v>
      </c>
      <c r="G139" s="39">
        <f>[1]节奏总纲!S139</f>
        <v>5967.009504237235</v>
      </c>
      <c r="H139" s="39">
        <f>[1]节奏总纲!T139</f>
        <v>3204.5051041274041</v>
      </c>
      <c r="J139" s="38">
        <v>136</v>
      </c>
      <c r="K139" s="39">
        <f>[1]节奏总纲!W139</f>
        <v>831.5126098927758</v>
      </c>
      <c r="L139" s="39">
        <f>[1]节奏总纲!X139</f>
        <v>710.65966425403349</v>
      </c>
      <c r="M139" s="39">
        <f>[1]节奏总纲!Y139</f>
        <v>588.16421171740058</v>
      </c>
      <c r="N139" s="39">
        <f>[1]节奏总纲!Z139</f>
        <v>418.1597403192045</v>
      </c>
      <c r="O139" s="39">
        <f>[1]节奏总纲!AA139</f>
        <v>225.03921836599011</v>
      </c>
      <c r="Q139" s="9">
        <v>136</v>
      </c>
      <c r="R139" s="10">
        <f>[1]节奏总纲!AD139</f>
        <v>70.979644809032948</v>
      </c>
      <c r="S139" s="10">
        <f>[1]节奏总纲!AE139</f>
        <v>73.059911975288244</v>
      </c>
      <c r="T139" s="10">
        <f>[1]节奏总纲!AF139</f>
        <v>75.943386844857969</v>
      </c>
      <c r="U139" s="10">
        <f>[1]节奏总纲!AG139</f>
        <v>80.4814670112399</v>
      </c>
      <c r="V139" s="10">
        <f>[1]节奏总纲!AH139</f>
        <v>89.684418103136665</v>
      </c>
      <c r="AN139" s="12">
        <f>[1]节奏总纲!AZ139</f>
        <v>136</v>
      </c>
      <c r="AO139" s="12">
        <f>[1]节奏总纲!BA139</f>
        <v>40.099065784912149</v>
      </c>
      <c r="AP139" s="12">
        <f>[1]节奏总纲!BB139</f>
        <v>41.590303905372799</v>
      </c>
      <c r="AQ139" s="12">
        <f>[1]节奏总纲!BC139</f>
        <v>43.529466754904341</v>
      </c>
      <c r="AR139" s="12">
        <f>[1]节奏总纲!BD139</f>
        <v>46.272410430048332</v>
      </c>
      <c r="AS139" s="12">
        <f>[1]节奏总纲!BE139</f>
        <v>50.982286971070401</v>
      </c>
    </row>
    <row r="140" spans="2:45" x14ac:dyDescent="0.15">
      <c r="B140" s="39">
        <f>[1]节奏总纲!N140</f>
        <v>147</v>
      </c>
      <c r="C140" s="39">
        <v>137</v>
      </c>
      <c r="D140" s="39">
        <f>[1]节奏总纲!P140</f>
        <v>13306.943261900544</v>
      </c>
      <c r="E140" s="39">
        <f>[1]节奏总纲!Q140</f>
        <v>11274.973025808331</v>
      </c>
      <c r="F140" s="39">
        <f>[1]节奏总纲!R140</f>
        <v>8995.4936450447676</v>
      </c>
      <c r="G140" s="39">
        <f>[1]节奏总纲!S140</f>
        <v>6407.293180605112</v>
      </c>
      <c r="H140" s="39">
        <f>[1]节奏总纲!T140</f>
        <v>3438.5141388751008</v>
      </c>
      <c r="J140" s="38">
        <v>137</v>
      </c>
      <c r="K140" s="39">
        <f>[1]节奏总纲!W140</f>
        <v>891.19314904737075</v>
      </c>
      <c r="L140" s="39">
        <f>[1]节奏总纲!X140</f>
        <v>767.52370530068947</v>
      </c>
      <c r="M140" s="39">
        <f>[1]节奏总纲!Y140</f>
        <v>611.13759383501929</v>
      </c>
      <c r="N140" s="39">
        <f>[1]节奏总纲!Z140</f>
        <v>440.28367636787698</v>
      </c>
      <c r="O140" s="39">
        <f>[1]节奏总纲!AA140</f>
        <v>234.00903474769666</v>
      </c>
      <c r="Q140" s="9">
        <v>137</v>
      </c>
      <c r="R140" s="10">
        <f>[1]节奏总纲!AD140</f>
        <v>71.082568038258202</v>
      </c>
      <c r="S140" s="10">
        <f>[1]节奏总纲!AE140</f>
        <v>73.162499594857536</v>
      </c>
      <c r="T140" s="10">
        <f>[1]节奏总纲!AF140</f>
        <v>76.048210495050611</v>
      </c>
      <c r="U140" s="10">
        <f>[1]节奏总纲!AG140</f>
        <v>80.590396199303228</v>
      </c>
      <c r="V140" s="10">
        <f>[1]节奏总纲!AH140</f>
        <v>89.811617577890132</v>
      </c>
      <c r="AN140" s="12">
        <f>[1]节奏总纲!AZ140</f>
        <v>137</v>
      </c>
      <c r="AO140" s="12">
        <f>[1]节奏总纲!BA140</f>
        <v>40.145684977811982</v>
      </c>
      <c r="AP140" s="12">
        <f>[1]节奏总纲!BB140</f>
        <v>41.640586674237483</v>
      </c>
      <c r="AQ140" s="12">
        <f>[1]节奏总纲!BC140</f>
        <v>43.579395699483875</v>
      </c>
      <c r="AR140" s="12">
        <f>[1]节奏总纲!BD140</f>
        <v>46.320570537095151</v>
      </c>
      <c r="AS140" s="12">
        <f>[1]节奏总纲!BE140</f>
        <v>51.030916192165336</v>
      </c>
    </row>
    <row r="141" spans="2:45" x14ac:dyDescent="0.15">
      <c r="B141" s="39">
        <f>[1]节奏总纲!N141</f>
        <v>148</v>
      </c>
      <c r="C141" s="39">
        <v>138</v>
      </c>
      <c r="D141" s="39">
        <f>[1]节奏总纲!P141</f>
        <v>14262.10042904369</v>
      </c>
      <c r="E141" s="39">
        <f>[1]节奏总纲!Q141</f>
        <v>12084.27769352872</v>
      </c>
      <c r="F141" s="39">
        <f>[1]节奏总纲!R141</f>
        <v>9648.3109402480568</v>
      </c>
      <c r="G141" s="39">
        <f>[1]节奏总纲!S141</f>
        <v>6871.4799867132497</v>
      </c>
      <c r="H141" s="39">
        <f>[1]节奏总纲!T141</f>
        <v>3671.064650435846</v>
      </c>
      <c r="J141" s="38">
        <v>138</v>
      </c>
      <c r="K141" s="39">
        <f>[1]节奏总纲!W141</f>
        <v>955.15716714314658</v>
      </c>
      <c r="L141" s="39">
        <f>[1]节奏总纲!X141</f>
        <v>809.30466772038926</v>
      </c>
      <c r="M141" s="39">
        <f>[1]节奏总纲!Y141</f>
        <v>652.81729520328918</v>
      </c>
      <c r="N141" s="39">
        <f>[1]节奏总纲!Z141</f>
        <v>464.18680610813772</v>
      </c>
      <c r="O141" s="39">
        <f>[1]节奏总纲!AA141</f>
        <v>232.55051156074524</v>
      </c>
      <c r="Q141" s="9">
        <v>138</v>
      </c>
      <c r="R141" s="10">
        <f>[1]节奏总纲!AD141</f>
        <v>71.184128141237707</v>
      </c>
      <c r="S141" s="10">
        <f>[1]节奏总纲!AE141</f>
        <v>73.265087214426828</v>
      </c>
      <c r="T141" s="10">
        <f>[1]节奏总纲!AF141</f>
        <v>76.148064447889894</v>
      </c>
      <c r="U141" s="10">
        <f>[1]节奏总纲!AG141</f>
        <v>80.699325387366557</v>
      </c>
      <c r="V141" s="10">
        <f>[1]节奏总纲!AH141</f>
        <v>89.938817052643586</v>
      </c>
      <c r="AN141" s="12">
        <f>[1]节奏总纲!AZ141</f>
        <v>138</v>
      </c>
      <c r="AO141" s="12">
        <f>[1]节奏总纲!BA141</f>
        <v>40.192304170711814</v>
      </c>
      <c r="AP141" s="12">
        <f>[1]节奏总纲!BB141</f>
        <v>41.690869443102159</v>
      </c>
      <c r="AQ141" s="12">
        <f>[1]节奏总纲!BC141</f>
        <v>43.629324644063402</v>
      </c>
      <c r="AR141" s="12">
        <f>[1]节奏总纲!BD141</f>
        <v>46.368730644141969</v>
      </c>
      <c r="AS141" s="12">
        <f>[1]节奏总纲!BE141</f>
        <v>51.077127728003028</v>
      </c>
    </row>
    <row r="142" spans="2:45" x14ac:dyDescent="0.15">
      <c r="B142" s="39">
        <f>[1]节奏总纲!N142</f>
        <v>149</v>
      </c>
      <c r="C142" s="39">
        <v>139</v>
      </c>
      <c r="D142" s="39">
        <f>[1]节奏总纲!P142</f>
        <v>15285.812533339058</v>
      </c>
      <c r="E142" s="39">
        <f>[1]节奏总纲!Q142</f>
        <v>12957.783284511519</v>
      </c>
      <c r="F142" s="39">
        <f>[1]节奏总纲!R142</f>
        <v>10342.380760057207</v>
      </c>
      <c r="G142" s="39">
        <f>[1]节奏总纲!S142</f>
        <v>7335.6614347494142</v>
      </c>
      <c r="H142" s="39">
        <f>[1]节奏总纲!T142</f>
        <v>3920.8109148014687</v>
      </c>
      <c r="J142" s="38">
        <v>139</v>
      </c>
      <c r="K142" s="39">
        <f>[1]节奏总纲!W142</f>
        <v>1023.7121042953677</v>
      </c>
      <c r="L142" s="39">
        <f>[1]节奏总纲!X142</f>
        <v>873.50559098279882</v>
      </c>
      <c r="M142" s="39">
        <f>[1]节奏总纲!Y142</f>
        <v>694.06981980915043</v>
      </c>
      <c r="N142" s="39">
        <f>[1]节奏总纲!Z142</f>
        <v>464.18144803616451</v>
      </c>
      <c r="O142" s="39">
        <f>[1]节奏总纲!AA142</f>
        <v>249.74626436562266</v>
      </c>
      <c r="Q142" s="9">
        <v>139</v>
      </c>
      <c r="R142" s="10">
        <f>[1]节奏总纲!AD142</f>
        <v>71.285688244217212</v>
      </c>
      <c r="S142" s="10">
        <f>[1]节奏总纲!AE142</f>
        <v>73.367674833996119</v>
      </c>
      <c r="T142" s="10">
        <f>[1]节奏总纲!AF142</f>
        <v>76.247918400729162</v>
      </c>
      <c r="U142" s="10">
        <f>[1]节奏总纲!AG142</f>
        <v>80.808254575429885</v>
      </c>
      <c r="V142" s="10">
        <f>[1]节奏总纲!AH142</f>
        <v>90.055148444912135</v>
      </c>
      <c r="AN142" s="12">
        <f>[1]节奏总纲!AZ142</f>
        <v>139</v>
      </c>
      <c r="AO142" s="12">
        <f>[1]节奏总纲!BA142</f>
        <v>40.238923363611647</v>
      </c>
      <c r="AP142" s="12">
        <f>[1]节奏总纲!BB142</f>
        <v>41.741152211966842</v>
      </c>
      <c r="AQ142" s="12">
        <f>[1]节奏总纲!BC142</f>
        <v>43.679253588642929</v>
      </c>
      <c r="AR142" s="12">
        <f>[1]节奏总纲!BD142</f>
        <v>46.416890751188788</v>
      </c>
      <c r="AS142" s="12">
        <f>[1]节奏总纲!BE142</f>
        <v>51.12333926384072</v>
      </c>
    </row>
    <row r="143" spans="2:45" x14ac:dyDescent="0.15">
      <c r="B143" s="39">
        <f>[1]节奏总纲!N143</f>
        <v>150</v>
      </c>
      <c r="C143" s="39">
        <v>140</v>
      </c>
      <c r="D143" s="39">
        <f>[1]节奏总纲!P143</f>
        <v>16383</v>
      </c>
      <c r="E143" s="39">
        <f>[1]节奏总纲!Q143</f>
        <v>13881.315900000001</v>
      </c>
      <c r="F143" s="39">
        <f>[1]节奏总纲!R143</f>
        <v>11037.2271</v>
      </c>
      <c r="G143" s="39">
        <f>[1]节奏总纲!S143</f>
        <v>7827.7974000000004</v>
      </c>
      <c r="H143" s="39">
        <f>[1]节奏总纲!T143</f>
        <v>4192.4097000000002</v>
      </c>
      <c r="J143" s="38">
        <v>140</v>
      </c>
      <c r="K143" s="39">
        <f>[1]节奏总纲!W143</f>
        <v>1097.1874666609419</v>
      </c>
      <c r="L143" s="39">
        <f>[1]节奏总纲!X143</f>
        <v>923.53261548848241</v>
      </c>
      <c r="M143" s="39">
        <f>[1]节奏总纲!Y143</f>
        <v>694.84633994279284</v>
      </c>
      <c r="N143" s="39">
        <f>[1]节奏总纲!Z143</f>
        <v>492.1359652505862</v>
      </c>
      <c r="O143" s="39">
        <f>[1]节奏总纲!AA143</f>
        <v>271.59878519853146</v>
      </c>
      <c r="Q143" s="9">
        <v>140</v>
      </c>
      <c r="R143" s="10">
        <f>[1]节奏总纲!AD143</f>
        <v>71.387248347196717</v>
      </c>
      <c r="S143" s="10">
        <f>[1]节奏总纲!AE143</f>
        <v>73.470262453565411</v>
      </c>
      <c r="T143" s="10">
        <f>[1]节奏总纲!AF143</f>
        <v>76.347772353568445</v>
      </c>
      <c r="U143" s="10">
        <f>[1]节奏总纲!AG143</f>
        <v>80.917183763493213</v>
      </c>
      <c r="V143" s="10">
        <f>[1]节奏总纲!AH143</f>
        <v>90.16140749098561</v>
      </c>
      <c r="AN143" s="12">
        <f>[1]节奏总纲!AZ143</f>
        <v>140</v>
      </c>
      <c r="AO143" s="12">
        <f>[1]节奏总纲!BA143</f>
        <v>40.28554255651148</v>
      </c>
      <c r="AP143" s="12">
        <f>[1]节奏总纲!BB143</f>
        <v>41.791434980831518</v>
      </c>
      <c r="AQ143" s="12">
        <f>[1]节奏总纲!BC143</f>
        <v>43.729182533222463</v>
      </c>
      <c r="AR143" s="12">
        <f>[1]节奏总纲!BD143</f>
        <v>46.465050858235607</v>
      </c>
      <c r="AS143" s="12">
        <f>[1]节奏总纲!BE143</f>
        <v>51.169550799678412</v>
      </c>
    </row>
    <row r="144" spans="2:45" x14ac:dyDescent="0.15">
      <c r="B144" s="39">
        <f>[1]节奏总纲!N144</f>
        <v>151</v>
      </c>
      <c r="C144" s="39">
        <v>141</v>
      </c>
      <c r="D144" s="39">
        <f>[1]节奏总纲!P144</f>
        <v>17558.936410194601</v>
      </c>
      <c r="E144" s="39">
        <f>[1]节奏总纲!Q144</f>
        <v>14839.057160255457</v>
      </c>
      <c r="F144" s="39">
        <f>[1]节奏总纲!R144</f>
        <v>11789.069905804656</v>
      </c>
      <c r="G144" s="39">
        <f>[1]节奏总纲!S144</f>
        <v>8380.8803485858825</v>
      </c>
      <c r="H144" s="39">
        <f>[1]节奏总纲!T144</f>
        <v>4489.820040086759</v>
      </c>
      <c r="J144" s="38">
        <v>141</v>
      </c>
      <c r="K144" s="39">
        <f>[1]节奏总纲!W144</f>
        <v>1175.9364101946012</v>
      </c>
      <c r="L144" s="39">
        <f>[1]节奏总纲!X144</f>
        <v>957.74126025545593</v>
      </c>
      <c r="M144" s="39">
        <f>[1]节奏总纲!Y144</f>
        <v>751.84280580465565</v>
      </c>
      <c r="N144" s="39">
        <f>[1]节奏总纲!Z144</f>
        <v>553.08294858588215</v>
      </c>
      <c r="O144" s="39">
        <f>[1]节奏总纲!AA144</f>
        <v>297.41034008675888</v>
      </c>
      <c r="Q144" s="9">
        <v>141</v>
      </c>
      <c r="R144" s="10">
        <f>[1]节奏总纲!AD144</f>
        <v>71.488808450176208</v>
      </c>
      <c r="S144" s="10">
        <f>[1]节奏总纲!AE144</f>
        <v>73.572850073134703</v>
      </c>
      <c r="T144" s="10">
        <f>[1]节奏总纲!AF144</f>
        <v>76.447626306407713</v>
      </c>
      <c r="U144" s="10">
        <f>[1]节奏总纲!AG144</f>
        <v>81.023848662825003</v>
      </c>
      <c r="V144" s="10">
        <f>[1]节奏总纲!AH144</f>
        <v>90.267666537059071</v>
      </c>
      <c r="AN144" s="12">
        <f>[1]节奏总纲!AZ144</f>
        <v>141</v>
      </c>
      <c r="AO144" s="12">
        <f>[1]节奏总纲!BA144</f>
        <v>40.332161749411313</v>
      </c>
      <c r="AP144" s="12">
        <f>[1]节奏总纲!BB144</f>
        <v>41.841717749696201</v>
      </c>
      <c r="AQ144" s="12">
        <f>[1]节奏总纲!BC144</f>
        <v>43.77911147780199</v>
      </c>
      <c r="AR144" s="12">
        <f>[1]节奏总纲!BD144</f>
        <v>46.513210965282425</v>
      </c>
      <c r="AS144" s="12">
        <f>[1]节奏总纲!BE144</f>
        <v>51.215762335516104</v>
      </c>
    </row>
    <row r="145" spans="2:45" x14ac:dyDescent="0.15">
      <c r="B145" s="39">
        <f>[1]节奏总纲!N145</f>
        <v>152</v>
      </c>
      <c r="C145" s="39">
        <v>142</v>
      </c>
      <c r="D145" s="39">
        <f>[1]节奏总纲!P145</f>
        <v>18819.273848271412</v>
      </c>
      <c r="E145" s="39">
        <f>[1]节奏总纲!Q145</f>
        <v>15904.16832917417</v>
      </c>
      <c r="F145" s="39">
        <f>[1]节奏总纲!R145</f>
        <v>12667.253227271489</v>
      </c>
      <c r="G145" s="39">
        <f>[1]节奏总纲!S145</f>
        <v>9003.140609013044</v>
      </c>
      <c r="H145" s="39">
        <f>[1]节奏总纲!T145</f>
        <v>4823.3798873119622</v>
      </c>
      <c r="J145" s="38">
        <v>142</v>
      </c>
      <c r="K145" s="39">
        <f>[1]节奏总纲!W145</f>
        <v>1260.3374380768109</v>
      </c>
      <c r="L145" s="39">
        <f>[1]节奏总纲!X145</f>
        <v>1065.1111689187128</v>
      </c>
      <c r="M145" s="39">
        <f>[1]节奏总纲!Y145</f>
        <v>878.18332146683315</v>
      </c>
      <c r="N145" s="39">
        <f>[1]节奏总纲!Z145</f>
        <v>622.26026042716148</v>
      </c>
      <c r="O145" s="39">
        <f>[1]节奏总纲!AA145</f>
        <v>333.55984722520316</v>
      </c>
      <c r="Q145" s="9">
        <v>142</v>
      </c>
      <c r="R145" s="10">
        <f>[1]节奏总纲!AD145</f>
        <v>71.590368553155713</v>
      </c>
      <c r="S145" s="10">
        <f>[1]节奏总纲!AE145</f>
        <v>73.675437692703994</v>
      </c>
      <c r="T145" s="10">
        <f>[1]节奏总纲!AF145</f>
        <v>76.547480259246996</v>
      </c>
      <c r="U145" s="10">
        <f>[1]节奏总纲!AG145</f>
        <v>81.123332456233015</v>
      </c>
      <c r="V145" s="10">
        <f>[1]节奏总纲!AH145</f>
        <v>90.373925583132547</v>
      </c>
      <c r="AN145" s="12">
        <f>[1]节奏总纲!AZ145</f>
        <v>142</v>
      </c>
      <c r="AO145" s="12">
        <f>[1]节奏总纲!BA145</f>
        <v>40.378780942311145</v>
      </c>
      <c r="AP145" s="12">
        <f>[1]节奏总纲!BB145</f>
        <v>41.892000518560877</v>
      </c>
      <c r="AQ145" s="12">
        <f>[1]节奏总纲!BC145</f>
        <v>43.829040422381524</v>
      </c>
      <c r="AR145" s="12">
        <f>[1]节奏总纲!BD145</f>
        <v>46.561371072329244</v>
      </c>
      <c r="AS145" s="12">
        <f>[1]节奏总纲!BE145</f>
        <v>51.261973871353796</v>
      </c>
    </row>
    <row r="146" spans="2:45" x14ac:dyDescent="0.15">
      <c r="B146" s="39">
        <f>[1]节奏总纲!N146</f>
        <v>153</v>
      </c>
      <c r="C146" s="39">
        <v>143</v>
      </c>
      <c r="D146" s="39">
        <f>[1]节奏总纲!P146</f>
        <v>20170.070068243116</v>
      </c>
      <c r="E146" s="39">
        <f>[1]节奏总纲!Q146</f>
        <v>17065.896284740498</v>
      </c>
      <c r="F146" s="39">
        <f>[1]节奏总纲!R146</f>
        <v>13594.62722599586</v>
      </c>
      <c r="G146" s="39">
        <f>[1]节奏总纲!S146</f>
        <v>9669.5315907157492</v>
      </c>
      <c r="H146" s="39">
        <f>[1]节奏总纲!T146</f>
        <v>5185.7250145453054</v>
      </c>
      <c r="J146" s="38">
        <v>143</v>
      </c>
      <c r="K146" s="39">
        <f>[1]节奏总纲!W146</f>
        <v>1350.796219971704</v>
      </c>
      <c r="L146" s="39">
        <f>[1]节奏总纲!X146</f>
        <v>1161.7279555663281</v>
      </c>
      <c r="M146" s="39">
        <f>[1]节奏总纲!Y146</f>
        <v>927.37399872437163</v>
      </c>
      <c r="N146" s="39">
        <f>[1]节奏总纲!Z146</f>
        <v>666.39098170270518</v>
      </c>
      <c r="O146" s="39">
        <f>[1]节奏总纲!AA146</f>
        <v>362.34512723334319</v>
      </c>
      <c r="Q146" s="9">
        <v>143</v>
      </c>
      <c r="R146" s="10">
        <f>[1]节奏总纲!AD146</f>
        <v>71.691928656135218</v>
      </c>
      <c r="S146" s="10">
        <f>[1]节奏总纲!AE146</f>
        <v>73.778025312273286</v>
      </c>
      <c r="T146" s="10">
        <f>[1]节奏总纲!AF146</f>
        <v>76.647334212086264</v>
      </c>
      <c r="U146" s="10">
        <f>[1]节奏总纲!AG146</f>
        <v>81.222816249641028</v>
      </c>
      <c r="V146" s="10">
        <f>[1]节奏总纲!AH146</f>
        <v>90.480184629206022</v>
      </c>
      <c r="AN146" s="12">
        <f>[1]节奏总纲!AZ146</f>
        <v>143</v>
      </c>
      <c r="AO146" s="12">
        <f>[1]节奏总纲!BA146</f>
        <v>40.425400135210978</v>
      </c>
      <c r="AP146" s="12">
        <f>[1]节奏总纲!BB146</f>
        <v>41.94228328742556</v>
      </c>
      <c r="AQ146" s="12">
        <f>[1]节奏总纲!BC146</f>
        <v>43.878969366961051</v>
      </c>
      <c r="AR146" s="12">
        <f>[1]节奏总纲!BD146</f>
        <v>46.609531179376063</v>
      </c>
      <c r="AS146" s="12">
        <f>[1]节奏总纲!BE146</f>
        <v>51.308185407191495</v>
      </c>
    </row>
    <row r="147" spans="2:45" x14ac:dyDescent="0.15">
      <c r="B147" s="39">
        <f>[1]节奏总纲!N147</f>
        <v>154</v>
      </c>
      <c r="C147" s="39">
        <v>144</v>
      </c>
      <c r="D147" s="39">
        <f>[1]节奏总纲!P147</f>
        <v>21617.817610103088</v>
      </c>
      <c r="E147" s="39">
        <f>[1]节奏总纲!Q147</f>
        <v>18290.835479908223</v>
      </c>
      <c r="F147" s="39">
        <f>[1]节奏总纲!R147</f>
        <v>14585.541541536553</v>
      </c>
      <c r="G147" s="39">
        <f>[1]节奏总纲!S147</f>
        <v>10380.876016371503</v>
      </c>
      <c r="H147" s="39">
        <f>[1]节奏总纲!T147</f>
        <v>5547.1319987524521</v>
      </c>
      <c r="J147" s="38">
        <v>144</v>
      </c>
      <c r="K147" s="39">
        <f>[1]节奏总纲!W147</f>
        <v>1447.7475418599715</v>
      </c>
      <c r="L147" s="39">
        <f>[1]节奏总纲!X147</f>
        <v>1224.9391951677244</v>
      </c>
      <c r="M147" s="39">
        <f>[1]节奏总纲!Y147</f>
        <v>990.91431554069277</v>
      </c>
      <c r="N147" s="39">
        <f>[1]节奏总纲!Z147</f>
        <v>711.34442565575409</v>
      </c>
      <c r="O147" s="39">
        <f>[1]节奏总纲!AA147</f>
        <v>361.40698420714671</v>
      </c>
      <c r="Q147" s="9">
        <v>144</v>
      </c>
      <c r="R147" s="10">
        <f>[1]节奏总纲!AD147</f>
        <v>71.793488759114723</v>
      </c>
      <c r="S147" s="10">
        <f>[1]节奏总纲!AE147</f>
        <v>73.880612931842577</v>
      </c>
      <c r="T147" s="10">
        <f>[1]节奏总纲!AF147</f>
        <v>76.747188164925547</v>
      </c>
      <c r="U147" s="10">
        <f>[1]节奏总纲!AG147</f>
        <v>81.322300043049054</v>
      </c>
      <c r="V147" s="10">
        <f>[1]节奏总纲!AH147</f>
        <v>90.586443675279497</v>
      </c>
      <c r="AN147" s="12">
        <f>[1]节奏总纲!AZ147</f>
        <v>144</v>
      </c>
      <c r="AO147" s="12">
        <f>[1]节奏总纲!BA147</f>
        <v>40.472019328110811</v>
      </c>
      <c r="AP147" s="12">
        <f>[1]节奏总纲!BB147</f>
        <v>41.992566056290244</v>
      </c>
      <c r="AQ147" s="12">
        <f>[1]节奏总纲!BC147</f>
        <v>43.928898311540586</v>
      </c>
      <c r="AR147" s="12">
        <f>[1]节奏总纲!BD147</f>
        <v>46.657691286422882</v>
      </c>
      <c r="AS147" s="12">
        <f>[1]节奏总纲!BE147</f>
        <v>51.354396943029187</v>
      </c>
    </row>
    <row r="148" spans="2:45" x14ac:dyDescent="0.15">
      <c r="B148" s="39">
        <f>[1]节奏总纲!N148</f>
        <v>155</v>
      </c>
      <c r="C148" s="39">
        <v>145</v>
      </c>
      <c r="D148" s="39">
        <f>[1]节奏总纲!P148</f>
        <v>23169.475005920798</v>
      </c>
      <c r="E148" s="39">
        <f>[1]节奏总纲!Q148</f>
        <v>19631.496172516694</v>
      </c>
      <c r="F148" s="39">
        <f>[1]节奏总纲!R148</f>
        <v>15650.9803664995</v>
      </c>
      <c r="G148" s="39">
        <f>[1]节奏总纲!S148</f>
        <v>11105.129370337838</v>
      </c>
      <c r="H148" s="39">
        <f>[1]节奏总纲!T148</f>
        <v>5926.7517065145412</v>
      </c>
      <c r="J148" s="38">
        <v>145</v>
      </c>
      <c r="K148" s="39">
        <f>[1]节奏总纲!W148</f>
        <v>1551.6573958177105</v>
      </c>
      <c r="L148" s="39">
        <f>[1]节奏总纲!X148</f>
        <v>1340.6606926084714</v>
      </c>
      <c r="M148" s="39">
        <f>[1]节奏总纲!Y148</f>
        <v>1065.4388249629465</v>
      </c>
      <c r="N148" s="39">
        <f>[1]节奏总纲!Z148</f>
        <v>724.25335396633454</v>
      </c>
      <c r="O148" s="39">
        <f>[1]节奏总纲!AA148</f>
        <v>379.61970776208909</v>
      </c>
      <c r="Q148" s="9">
        <v>145</v>
      </c>
      <c r="R148" s="10">
        <f>[1]节奏总纲!AD148</f>
        <v>71.895048862094214</v>
      </c>
      <c r="S148" s="10">
        <f>[1]节奏总纲!AE148</f>
        <v>73.983200551411869</v>
      </c>
      <c r="T148" s="10">
        <f>[1]节奏总纲!AF148</f>
        <v>76.847042117764815</v>
      </c>
      <c r="U148" s="10">
        <f>[1]节奏总纲!AG148</f>
        <v>81.421783836457067</v>
      </c>
      <c r="V148" s="10">
        <f>[1]节奏总纲!AH148</f>
        <v>90.692702721352973</v>
      </c>
      <c r="AN148" s="12">
        <f>[1]节奏总纲!AZ148</f>
        <v>145</v>
      </c>
      <c r="AO148" s="12">
        <f>[1]节奏总纲!BA148</f>
        <v>40.518638521010651</v>
      </c>
      <c r="AP148" s="12">
        <f>[1]节奏总纲!BB148</f>
        <v>42.036975906461073</v>
      </c>
      <c r="AQ148" s="12">
        <f>[1]节奏总纲!BC148</f>
        <v>43.978827256120113</v>
      </c>
      <c r="AR148" s="12">
        <f>[1]节奏总纲!BD148</f>
        <v>46.7058513934697</v>
      </c>
      <c r="AS148" s="12">
        <f>[1]节奏总纲!BE148</f>
        <v>51.400608478866879</v>
      </c>
    </row>
    <row r="149" spans="2:45" x14ac:dyDescent="0.15">
      <c r="B149" s="39">
        <f>[1]节奏总纲!N149</f>
        <v>156</v>
      </c>
      <c r="C149" s="39">
        <v>146</v>
      </c>
      <c r="D149" s="39">
        <f>[1]节奏总纲!P149</f>
        <v>24832.50022570635</v>
      </c>
      <c r="E149" s="39">
        <f>[1]节奏总纲!Q149</f>
        <v>21035.61094119585</v>
      </c>
      <c r="F149" s="39">
        <f>[1]节奏总纲!R149</f>
        <v>16719.722401968087</v>
      </c>
      <c r="G149" s="39">
        <f>[1]节奏总纲!S149</f>
        <v>11847.5858576845</v>
      </c>
      <c r="H149" s="39">
        <f>[1]节奏总纲!T149</f>
        <v>6324.8378074874072</v>
      </c>
      <c r="J149" s="38">
        <v>146</v>
      </c>
      <c r="K149" s="39">
        <f>[1]节奏总纲!W149</f>
        <v>1663.0252197855516</v>
      </c>
      <c r="L149" s="39">
        <f>[1]节奏总纲!X149</f>
        <v>1404.1147686791555</v>
      </c>
      <c r="M149" s="39">
        <f>[1]节奏总纲!Y149</f>
        <v>1068.7420354685873</v>
      </c>
      <c r="N149" s="39">
        <f>[1]节奏总纲!Z149</f>
        <v>742.45648734666247</v>
      </c>
      <c r="O149" s="39">
        <f>[1]节奏总纲!AA149</f>
        <v>398.08610097286601</v>
      </c>
      <c r="Q149" s="9">
        <v>146</v>
      </c>
      <c r="R149" s="10">
        <f>[1]节奏总纲!AD149</f>
        <v>71.996608965073719</v>
      </c>
      <c r="S149" s="10">
        <f>[1]节奏总纲!AE149</f>
        <v>74.078973000522922</v>
      </c>
      <c r="T149" s="10">
        <f>[1]节奏总纲!AF149</f>
        <v>76.946896070604097</v>
      </c>
      <c r="U149" s="10">
        <f>[1]节奏总纲!AG149</f>
        <v>81.521267629865079</v>
      </c>
      <c r="V149" s="10">
        <f>[1]节奏总纲!AH149</f>
        <v>90.798961767426448</v>
      </c>
      <c r="AN149" s="12">
        <f>[1]节奏总纲!AZ149</f>
        <v>146</v>
      </c>
      <c r="AO149" s="12">
        <f>[1]节奏总纲!BA149</f>
        <v>40.565257713910484</v>
      </c>
      <c r="AP149" s="12">
        <f>[1]节奏总纲!BB149</f>
        <v>42.080366850119908</v>
      </c>
      <c r="AQ149" s="12">
        <f>[1]节奏总纲!BC149</f>
        <v>44.024818750237806</v>
      </c>
      <c r="AR149" s="12">
        <f>[1]节奏总纲!BD149</f>
        <v>46.754011500516519</v>
      </c>
      <c r="AS149" s="12">
        <f>[1]节奏总纲!BE149</f>
        <v>51.446820014704571</v>
      </c>
    </row>
    <row r="150" spans="2:45" x14ac:dyDescent="0.15">
      <c r="B150" s="39">
        <f>[1]节奏总纲!N150</f>
        <v>157</v>
      </c>
      <c r="C150" s="39">
        <v>147</v>
      </c>
      <c r="D150" s="39">
        <f>[1]节奏总纲!P150</f>
        <v>26614.886523801088</v>
      </c>
      <c r="E150" s="39">
        <f>[1]节奏总纲!Q150</f>
        <v>22470.948692045258</v>
      </c>
      <c r="F150" s="39">
        <f>[1]节奏总纲!R150</f>
        <v>17837.296948251489</v>
      </c>
      <c r="G150" s="39">
        <f>[1]节奏总纲!S150</f>
        <v>12631.425144195997</v>
      </c>
      <c r="H150" s="39">
        <f>[1]节奏总纲!T150</f>
        <v>6754.8581997407164</v>
      </c>
      <c r="J150" s="38">
        <v>147</v>
      </c>
      <c r="K150" s="39">
        <f>[1]节奏总纲!W150</f>
        <v>1782.3862980947379</v>
      </c>
      <c r="L150" s="39">
        <f>[1]节奏总纲!X150</f>
        <v>1435.3377508494086</v>
      </c>
      <c r="M150" s="39">
        <f>[1]节奏总纲!Y150</f>
        <v>1117.574546283402</v>
      </c>
      <c r="N150" s="39">
        <f>[1]节奏总纲!Z150</f>
        <v>783.83928651149654</v>
      </c>
      <c r="O150" s="39">
        <f>[1]节奏总纲!AA150</f>
        <v>430.02039225330918</v>
      </c>
      <c r="Q150" s="9">
        <v>147</v>
      </c>
      <c r="R150" s="10">
        <f>[1]节奏总纲!AD150</f>
        <v>72.091594979242075</v>
      </c>
      <c r="S150" s="10">
        <f>[1]节奏总纲!AE150</f>
        <v>74.173410870467364</v>
      </c>
      <c r="T150" s="10">
        <f>[1]节奏总纲!AF150</f>
        <v>77.043751281705866</v>
      </c>
      <c r="U150" s="10">
        <f>[1]节奏总纲!AG150</f>
        <v>81.620751423273092</v>
      </c>
      <c r="V150" s="10">
        <f>[1]节奏总纲!AH150</f>
        <v>90.905220813499923</v>
      </c>
      <c r="AN150" s="12">
        <f>[1]节奏总纲!AZ150</f>
        <v>147</v>
      </c>
      <c r="AO150" s="12">
        <f>[1]节奏总纲!BA150</f>
        <v>40.611876906810316</v>
      </c>
      <c r="AP150" s="12">
        <f>[1]节奏总纲!BB150</f>
        <v>42.123757793778736</v>
      </c>
      <c r="AQ150" s="12">
        <f>[1]节奏总纲!BC150</f>
        <v>44.067911160744309</v>
      </c>
      <c r="AR150" s="12">
        <f>[1]节奏总纲!BD150</f>
        <v>46.802171607563338</v>
      </c>
      <c r="AS150" s="12">
        <f>[1]节奏总纲!BE150</f>
        <v>51.493031550542263</v>
      </c>
    </row>
    <row r="151" spans="2:45" x14ac:dyDescent="0.15">
      <c r="B151" s="39">
        <f>[1]节奏总纲!N151</f>
        <v>158</v>
      </c>
      <c r="C151" s="39">
        <v>148</v>
      </c>
      <c r="D151" s="39">
        <f>[1]节奏总纲!P151</f>
        <v>28525.200858087381</v>
      </c>
      <c r="E151" s="39">
        <f>[1]节奏总纲!Q151</f>
        <v>24083.827084483179</v>
      </c>
      <c r="F151" s="39">
        <f>[1]节奏总纲!R151</f>
        <v>19128.999695433398</v>
      </c>
      <c r="G151" s="39">
        <f>[1]节奏总纲!S151</f>
        <v>13566.58552810636</v>
      </c>
      <c r="H151" s="39">
        <f>[1]节奏总纲!T151</f>
        <v>7242.5484978683862</v>
      </c>
      <c r="J151" s="38">
        <v>148</v>
      </c>
      <c r="K151" s="39">
        <f>[1]节奏总纲!W151</f>
        <v>1910.3143342862932</v>
      </c>
      <c r="L151" s="39">
        <f>[1]节奏总纲!X151</f>
        <v>1612.8783924379204</v>
      </c>
      <c r="M151" s="39">
        <f>[1]节奏总纲!Y151</f>
        <v>1291.7027471819092</v>
      </c>
      <c r="N151" s="39">
        <f>[1]节奏总纲!Z151</f>
        <v>935.16038391036273</v>
      </c>
      <c r="O151" s="39">
        <f>[1]节奏总纲!AA151</f>
        <v>487.69029812766985</v>
      </c>
      <c r="Q151" s="9">
        <v>148</v>
      </c>
      <c r="R151" s="10">
        <f>[1]节奏总纲!AD151</f>
        <v>72.186353905945822</v>
      </c>
      <c r="S151" s="10">
        <f>[1]节奏总纲!AE151</f>
        <v>74.267848740411821</v>
      </c>
      <c r="T151" s="10">
        <f>[1]节奏总纲!AF151</f>
        <v>77.137200185007629</v>
      </c>
      <c r="U151" s="10">
        <f>[1]节奏总纲!AG151</f>
        <v>81.720235216681118</v>
      </c>
      <c r="V151" s="10">
        <f>[1]节奏总纲!AH151</f>
        <v>91.011076811620597</v>
      </c>
      <c r="AN151" s="12">
        <f>[1]节奏总纲!AZ151</f>
        <v>148</v>
      </c>
      <c r="AO151" s="12">
        <f>[1]节奏总纲!BA151</f>
        <v>40.658496099710149</v>
      </c>
      <c r="AP151" s="12">
        <f>[1]节奏总纲!BB151</f>
        <v>42.167148737437564</v>
      </c>
      <c r="AQ151" s="12">
        <f>[1]节奏总纲!BC151</f>
        <v>44.111003571250812</v>
      </c>
      <c r="AR151" s="12">
        <f>[1]节奏总纲!BD151</f>
        <v>46.850331714610157</v>
      </c>
      <c r="AS151" s="12">
        <f>[1]节奏总纲!BE151</f>
        <v>51.539243086379955</v>
      </c>
    </row>
    <row r="152" spans="2:45" x14ac:dyDescent="0.15">
      <c r="B152" s="39">
        <f>[1]节奏总纲!N152</f>
        <v>159</v>
      </c>
      <c r="C152" s="39">
        <v>149</v>
      </c>
      <c r="D152" s="39">
        <f>[1]节奏总纲!P152</f>
        <v>30572.62506667812</v>
      </c>
      <c r="E152" s="39">
        <f>[1]节奏总纲!Q152</f>
        <v>25818.581868809673</v>
      </c>
      <c r="F152" s="39">
        <f>[1]节奏总纲!R152</f>
        <v>20520.345944754354</v>
      </c>
      <c r="G152" s="39">
        <f>[1]节奏总纲!S152</f>
        <v>14549.512269232117</v>
      </c>
      <c r="H152" s="39">
        <f>[1]节奏总纲!T152</f>
        <v>7768.50402944291</v>
      </c>
      <c r="J152" s="38">
        <v>149</v>
      </c>
      <c r="K152" s="39">
        <f>[1]节奏总纲!W152</f>
        <v>2047.424208590739</v>
      </c>
      <c r="L152" s="39">
        <f>[1]节奏总纲!X152</f>
        <v>1734.7547843264947</v>
      </c>
      <c r="M152" s="39">
        <f>[1]节奏总纲!Y152</f>
        <v>1391.3462493209554</v>
      </c>
      <c r="N152" s="39">
        <f>[1]节奏总纲!Z152</f>
        <v>982.92674112575696</v>
      </c>
      <c r="O152" s="39">
        <f>[1]节奏总纲!AA152</f>
        <v>525.95553157452377</v>
      </c>
      <c r="Q152" s="9">
        <v>149</v>
      </c>
      <c r="R152" s="10">
        <f>[1]节奏总纲!AD152</f>
        <v>72.281112832649583</v>
      </c>
      <c r="S152" s="10">
        <f>[1]节奏总纲!AE152</f>
        <v>74.362286610356264</v>
      </c>
      <c r="T152" s="10">
        <f>[1]节奏总纲!AF152</f>
        <v>77.230649088309391</v>
      </c>
      <c r="U152" s="10">
        <f>[1]节奏总纲!AG152</f>
        <v>81.819719010089131</v>
      </c>
      <c r="V152" s="10">
        <f>[1]节奏总纲!AH152</f>
        <v>91.113605194377854</v>
      </c>
      <c r="AN152" s="12">
        <f>[1]节奏总纲!AZ152</f>
        <v>149</v>
      </c>
      <c r="AO152" s="12">
        <f>[1]节奏总纲!BA152</f>
        <v>40.705115292609982</v>
      </c>
      <c r="AP152" s="12">
        <f>[1]节奏总纲!BB152</f>
        <v>42.2105396810964</v>
      </c>
      <c r="AQ152" s="12">
        <f>[1]节奏总纲!BC152</f>
        <v>44.154095981757315</v>
      </c>
      <c r="AR152" s="12">
        <f>[1]节奏总纲!BD152</f>
        <v>46.898491821656968</v>
      </c>
      <c r="AS152" s="12">
        <f>[1]节奏总纲!BE152</f>
        <v>51.585454622217647</v>
      </c>
    </row>
    <row r="153" spans="2:45" x14ac:dyDescent="0.15">
      <c r="B153" s="39">
        <f>[1]节奏总纲!N153</f>
        <v>160</v>
      </c>
      <c r="C153" s="39">
        <v>150</v>
      </c>
      <c r="D153" s="39">
        <f>[1]节奏总纲!P153</f>
        <v>32767</v>
      </c>
      <c r="E153" s="39">
        <f>[1]节奏总纲!Q153</f>
        <v>27671.731500000002</v>
      </c>
      <c r="F153" s="39">
        <f>[1]节奏总纲!R153</f>
        <v>21996.487099999998</v>
      </c>
      <c r="G153" s="39">
        <f>[1]节奏总纲!S153</f>
        <v>15603.645400000001</v>
      </c>
      <c r="H153" s="39">
        <f>[1]节奏总纲!T153</f>
        <v>8355.5850000000009</v>
      </c>
      <c r="J153" s="38">
        <v>150</v>
      </c>
      <c r="K153" s="39">
        <f>[1]节奏总纲!W153</f>
        <v>2194.3749333218802</v>
      </c>
      <c r="L153" s="39">
        <f>[1]节奏总纲!X153</f>
        <v>1853.1496311903284</v>
      </c>
      <c r="M153" s="39">
        <f>[1]节奏总纲!Y153</f>
        <v>1476.1411552456448</v>
      </c>
      <c r="N153" s="39">
        <f>[1]节奏总纲!Z153</f>
        <v>1054.1331307678847</v>
      </c>
      <c r="O153" s="39">
        <f>[1]节奏总纲!AA153</f>
        <v>587.08097055709095</v>
      </c>
      <c r="Q153" s="9">
        <v>150</v>
      </c>
      <c r="R153" s="10">
        <f>[1]节奏总纲!AD153</f>
        <v>72.375871759353331</v>
      </c>
      <c r="S153" s="10">
        <f>[1]节奏总纲!AE153</f>
        <v>74.456724480300707</v>
      </c>
      <c r="T153" s="10">
        <f>[1]节奏总纲!AF153</f>
        <v>77.324097991611154</v>
      </c>
      <c r="U153" s="10">
        <f>[1]节奏总纲!AG153</f>
        <v>81.919202803497143</v>
      </c>
      <c r="V153" s="10">
        <f>[1]节奏总纲!AH153</f>
        <v>91.216133577135096</v>
      </c>
      <c r="AN153" s="12">
        <f>[1]节奏总纲!AZ153</f>
        <v>150</v>
      </c>
      <c r="AO153" s="12">
        <f>[1]节奏总纲!BA153</f>
        <v>40.751734485509814</v>
      </c>
      <c r="AP153" s="12">
        <f>[1]节奏总纲!BB153</f>
        <v>42.253930624755228</v>
      </c>
      <c r="AQ153" s="12">
        <f>[1]节奏总纲!BC153</f>
        <v>44.197188392263818</v>
      </c>
      <c r="AR153" s="12">
        <f>[1]节奏总纲!BD153</f>
        <v>46.946651928703787</v>
      </c>
      <c r="AS153" s="12">
        <f>[1]节奏总纲!BE153</f>
        <v>51.631666158055346</v>
      </c>
    </row>
    <row r="154" spans="2:45" x14ac:dyDescent="0.15">
      <c r="B154" s="39">
        <f>[1]节奏总纲!N154</f>
        <v>161</v>
      </c>
      <c r="C154" s="39">
        <v>151</v>
      </c>
      <c r="D154" s="39">
        <f>[1]节奏总纲!P154</f>
        <v>35118.87282038921</v>
      </c>
      <c r="E154" s="39">
        <f>[1]节奏总纲!Q154</f>
        <v>29671.935645946844</v>
      </c>
      <c r="F154" s="39">
        <f>[1]节奏总纲!R154</f>
        <v>23592.858760737468</v>
      </c>
      <c r="G154" s="39">
        <f>[1]节奏总纲!S154</f>
        <v>16804.380644556237</v>
      </c>
      <c r="H154" s="39">
        <f>[1]节奏总纲!T154</f>
        <v>9095.7880604808051</v>
      </c>
      <c r="J154" s="38">
        <v>151</v>
      </c>
      <c r="K154" s="39">
        <f>[1]节奏总纲!W154</f>
        <v>2351.8728203892097</v>
      </c>
      <c r="L154" s="39">
        <f>[1]节奏总纲!X154</f>
        <v>2000.2041459468419</v>
      </c>
      <c r="M154" s="39">
        <f>[1]节奏总纲!Y154</f>
        <v>1596.3716607374699</v>
      </c>
      <c r="N154" s="39">
        <f>[1]节奏总纲!Z154</f>
        <v>1200.7352445562356</v>
      </c>
      <c r="O154" s="39">
        <f>[1]节奏总纲!AA154</f>
        <v>740.2030604808042</v>
      </c>
      <c r="Q154" s="9">
        <v>151</v>
      </c>
      <c r="R154" s="10">
        <f>[1]节奏总纲!AD154</f>
        <v>72.470630686057078</v>
      </c>
      <c r="S154" s="10">
        <f>[1]节奏总纲!AE154</f>
        <v>74.551162350245164</v>
      </c>
      <c r="T154" s="10">
        <f>[1]节奏总纲!AF154</f>
        <v>77.417546894912917</v>
      </c>
      <c r="U154" s="10">
        <f>[1]节奏总纲!AG154</f>
        <v>82.01744549958407</v>
      </c>
      <c r="V154" s="10">
        <f>[1]节奏总纲!AH154</f>
        <v>91.318661959892353</v>
      </c>
      <c r="AN154" s="12">
        <f>[1]节奏总纲!AZ154</f>
        <v>151</v>
      </c>
      <c r="AO154" s="12">
        <f>[1]节奏总纲!BA154</f>
        <v>40.798353678409647</v>
      </c>
      <c r="AP154" s="12">
        <f>[1]节奏总纲!BB154</f>
        <v>42.297321568414056</v>
      </c>
      <c r="AQ154" s="12">
        <f>[1]节奏总纲!BC154</f>
        <v>44.240280802770329</v>
      </c>
      <c r="AR154" s="12">
        <f>[1]节奏总纲!BD154</f>
        <v>46.994812035750606</v>
      </c>
      <c r="AS154" s="12">
        <f>[1]节奏总纲!BE154</f>
        <v>51.677877693893038</v>
      </c>
    </row>
    <row r="155" spans="2:45" x14ac:dyDescent="0.15">
      <c r="B155" s="39">
        <f>[1]节奏总纲!N155</f>
        <v>162</v>
      </c>
      <c r="C155" s="39">
        <v>152</v>
      </c>
      <c r="D155" s="39">
        <f>[1]节奏总纲!P155</f>
        <v>37639.547696542824</v>
      </c>
      <c r="E155" s="39">
        <f>[1]节奏总纲!Q155</f>
        <v>31794.125939269725</v>
      </c>
      <c r="F155" s="39">
        <f>[1]节奏总纲!R155</f>
        <v>25425.514469014677</v>
      </c>
      <c r="G155" s="39">
        <f>[1]节奏总纲!S155</f>
        <v>18255.180632823271</v>
      </c>
      <c r="H155" s="39">
        <f>[1]节奏总纲!T155</f>
        <v>14114.830386203559</v>
      </c>
      <c r="J155" s="38">
        <v>152</v>
      </c>
      <c r="K155" s="39">
        <f>[1]节奏总纲!W155</f>
        <v>2520.6748761536146</v>
      </c>
      <c r="L155" s="39">
        <f>[1]节奏总纲!X155</f>
        <v>2122.1902933228812</v>
      </c>
      <c r="M155" s="39">
        <f>[1]节奏总纲!Y155</f>
        <v>1832.6557082772088</v>
      </c>
      <c r="N155" s="39">
        <f>[1]节奏总纲!Z155</f>
        <v>1450.7999882670338</v>
      </c>
      <c r="O155" s="39">
        <f>[1]节奏总纲!AA155</f>
        <v>5019.042325722754</v>
      </c>
      <c r="Q155" s="9">
        <v>152</v>
      </c>
      <c r="R155" s="10">
        <f>[1]节奏总纲!AD155</f>
        <v>72.565389612760825</v>
      </c>
      <c r="S155" s="10">
        <f>[1]节奏总纲!AE155</f>
        <v>74.645600220189607</v>
      </c>
      <c r="T155" s="10">
        <f>[1]节奏总纲!AF155</f>
        <v>77.51099579821468</v>
      </c>
      <c r="U155" s="10">
        <f>[1]节奏总纲!AG155</f>
        <v>82.110321933176039</v>
      </c>
      <c r="V155" s="10">
        <f>[1]节奏总纲!AH155</f>
        <v>91.421190342649595</v>
      </c>
      <c r="AN155" s="12">
        <f>[1]节奏总纲!AZ155</f>
        <v>152</v>
      </c>
      <c r="AO155" s="12">
        <f>[1]节奏总纲!BA155</f>
        <v>40.84497287130948</v>
      </c>
      <c r="AP155" s="12">
        <f>[1]节奏总纲!BB155</f>
        <v>42.340712512072891</v>
      </c>
      <c r="AQ155" s="12">
        <f>[1]节奏总纲!BC155</f>
        <v>44.283373213276832</v>
      </c>
      <c r="AR155" s="12">
        <f>[1]节奏总纲!BD155</f>
        <v>47.037096473408994</v>
      </c>
      <c r="AS155" s="12">
        <f>[1]节奏总纲!BE155</f>
        <v>51.72408922973073</v>
      </c>
    </row>
    <row r="156" spans="2:45" x14ac:dyDescent="0.15">
      <c r="B156" s="39">
        <f>[1]节奏总纲!N156</f>
        <v>163</v>
      </c>
      <c r="C156" s="39">
        <v>153</v>
      </c>
      <c r="D156" s="39">
        <f>[1]节奏总纲!P156</f>
        <v>40341.140136486232</v>
      </c>
      <c r="E156" s="39">
        <f>[1]节奏总纲!Q156</f>
        <v>34330.31025614978</v>
      </c>
      <c r="F156" s="39">
        <f>[1]节奏总纲!R156</f>
        <v>27552.998713220099</v>
      </c>
      <c r="G156" s="39">
        <f>[1]节奏总纲!S156</f>
        <v>24204.684081891737</v>
      </c>
      <c r="H156" s="39">
        <f>[1]节奏总纲!T156</f>
        <v>24204.684081891737</v>
      </c>
      <c r="J156" s="38">
        <v>153</v>
      </c>
      <c r="K156" s="39">
        <f>[1]节奏总纲!W156</f>
        <v>2701.592439943408</v>
      </c>
      <c r="L156" s="39">
        <f>[1]节奏总纲!X156</f>
        <v>2536.1843168800551</v>
      </c>
      <c r="M156" s="39">
        <f>[1]节奏总纲!Y156</f>
        <v>2127.4842442054214</v>
      </c>
      <c r="N156" s="39">
        <f>[1]节奏总纲!Z156</f>
        <v>5949.5034490684666</v>
      </c>
      <c r="O156" s="39">
        <f>[1]节奏总纲!AA156</f>
        <v>10089.853695688178</v>
      </c>
      <c r="Q156" s="9">
        <v>153</v>
      </c>
      <c r="R156" s="10">
        <f>[1]节奏总纲!AD156</f>
        <v>72.660148539464572</v>
      </c>
      <c r="S156" s="10">
        <f>[1]节奏总纲!AE156</f>
        <v>74.74003809013405</v>
      </c>
      <c r="T156" s="10">
        <f>[1]节奏总纲!AF156</f>
        <v>77.604444701516456</v>
      </c>
      <c r="U156" s="10">
        <f>[1]节奏总纲!AG156</f>
        <v>82.203198366767992</v>
      </c>
      <c r="V156" s="10">
        <f>[1]节奏总纲!AH156</f>
        <v>91.523718725406852</v>
      </c>
      <c r="AN156" s="12">
        <f>[1]节奏总纲!AZ156</f>
        <v>153</v>
      </c>
      <c r="AO156" s="12">
        <f>[1]节奏总纲!BA156</f>
        <v>40.891592064209313</v>
      </c>
      <c r="AP156" s="12">
        <f>[1]节奏总纲!BB156</f>
        <v>42.384103455731719</v>
      </c>
      <c r="AQ156" s="12">
        <f>[1]节奏总纲!BC156</f>
        <v>44.326465623783335</v>
      </c>
      <c r="AR156" s="12">
        <f>[1]节奏总纲!BD156</f>
        <v>47.078671550054786</v>
      </c>
      <c r="AS156" s="12">
        <f>[1]节奏总纲!BE156</f>
        <v>51.770300765568422</v>
      </c>
    </row>
    <row r="157" spans="2:45" x14ac:dyDescent="0.15">
      <c r="B157" s="39">
        <f>[1]节奏总纲!N157</f>
        <v>164</v>
      </c>
      <c r="C157" s="39">
        <v>154</v>
      </c>
      <c r="D157" s="39">
        <f>[1]节奏总纲!P157</f>
        <v>43236.635220206183</v>
      </c>
      <c r="E157" s="39">
        <f>[1]节奏总纲!Q157</f>
        <v>36967.323113276288</v>
      </c>
      <c r="F157" s="39">
        <f>[1]节奏总纲!R157</f>
        <v>33940.758647861854</v>
      </c>
      <c r="G157" s="39">
        <f>[1]节奏总纲!S157</f>
        <v>34156.941823962887</v>
      </c>
      <c r="H157" s="39">
        <f>[1]节奏总纲!T157</f>
        <v>34156.941823962887</v>
      </c>
      <c r="J157" s="38">
        <v>154</v>
      </c>
      <c r="K157" s="39">
        <f>[1]节奏总纲!W157</f>
        <v>2895.4950837199503</v>
      </c>
      <c r="L157" s="39">
        <f>[1]节奏总纲!X157</f>
        <v>2637.0128571265086</v>
      </c>
      <c r="M157" s="39">
        <f>[1]节奏总纲!Y157</f>
        <v>6387.7599346417555</v>
      </c>
      <c r="N157" s="39">
        <f>[1]节奏总纲!Z157</f>
        <v>9952.2577420711496</v>
      </c>
      <c r="O157" s="39">
        <f>[1]节奏总纲!AA157</f>
        <v>9952.2577420711496</v>
      </c>
      <c r="Q157" s="9">
        <v>154</v>
      </c>
      <c r="R157" s="10">
        <f>[1]节奏总纲!AD157</f>
        <v>72.754907466168333</v>
      </c>
      <c r="S157" s="10">
        <f>[1]节奏总纲!AE157</f>
        <v>74.834475960078507</v>
      </c>
      <c r="T157" s="10">
        <f>[1]节奏总纲!AF157</f>
        <v>77.697893604818219</v>
      </c>
      <c r="U157" s="10">
        <f>[1]节奏总纲!AG157</f>
        <v>82.29607480035996</v>
      </c>
      <c r="V157" s="10">
        <f>[1]节奏总纲!AH157</f>
        <v>91.626247108164094</v>
      </c>
      <c r="AN157" s="12">
        <f>[1]节奏总纲!AZ157</f>
        <v>154</v>
      </c>
      <c r="AO157" s="12">
        <f>[1]节奏总纲!BA157</f>
        <v>40.938211257109145</v>
      </c>
      <c r="AP157" s="12">
        <f>[1]节奏总纲!BB157</f>
        <v>42.427494399390554</v>
      </c>
      <c r="AQ157" s="12">
        <f>[1]节奏总纲!BC157</f>
        <v>44.369558034289838</v>
      </c>
      <c r="AR157" s="12">
        <f>[1]节奏总纲!BD157</f>
        <v>47.12024662670057</v>
      </c>
      <c r="AS157" s="12">
        <f>[1]节奏总纲!BE157</f>
        <v>51.816512301406114</v>
      </c>
    </row>
    <row r="158" spans="2:45" x14ac:dyDescent="0.15">
      <c r="B158" s="39">
        <f>[1]节奏总纲!N158</f>
        <v>165</v>
      </c>
      <c r="C158" s="39">
        <v>155</v>
      </c>
      <c r="D158" s="39">
        <f>[1]节奏总纲!P158</f>
        <v>46339.950011841604</v>
      </c>
      <c r="E158" s="39">
        <f>[1]节奏总纲!Q158</f>
        <v>44078.560451263736</v>
      </c>
      <c r="F158" s="39">
        <f>[1]节奏总纲!R158</f>
        <v>44402.940101346627</v>
      </c>
      <c r="G158" s="39">
        <f>[1]节奏总纲!S158</f>
        <v>44402.940101346627</v>
      </c>
      <c r="H158" s="39">
        <f>[1]节奏总纲!T158</f>
        <v>44541.959951382152</v>
      </c>
      <c r="J158" s="38">
        <v>155</v>
      </c>
      <c r="K158" s="39">
        <f>[1]节奏总纲!W158</f>
        <v>3103.314791635421</v>
      </c>
      <c r="L158" s="39">
        <f>[1]节奏总纲!X158</f>
        <v>7111.237337987448</v>
      </c>
      <c r="M158" s="39">
        <f>[1]节奏总纲!Y158</f>
        <v>10462.181453484773</v>
      </c>
      <c r="N158" s="39">
        <f>[1]节奏总纲!Z158</f>
        <v>10245.99827738374</v>
      </c>
      <c r="O158" s="39">
        <f>[1]节奏总纲!AA158</f>
        <v>10385.018127419266</v>
      </c>
      <c r="Q158" s="9">
        <v>155</v>
      </c>
      <c r="R158" s="10">
        <f>[1]节奏总纲!AD158</f>
        <v>72.849666392872081</v>
      </c>
      <c r="S158" s="10">
        <f>[1]节奏总纲!AE158</f>
        <v>74.92891383002295</v>
      </c>
      <c r="T158" s="10">
        <f>[1]节奏总纲!AF158</f>
        <v>77.791342508119982</v>
      </c>
      <c r="U158" s="10">
        <f>[1]节奏总纲!AG158</f>
        <v>82.388951233951914</v>
      </c>
      <c r="V158" s="10">
        <f>[1]节奏总纲!AH158</f>
        <v>91.72877549092135</v>
      </c>
      <c r="AN158" s="12">
        <f>[1]节奏总纲!AZ158</f>
        <v>155</v>
      </c>
      <c r="AO158" s="12">
        <f>[1]节奏总纲!BA158</f>
        <v>40.984830450008985</v>
      </c>
      <c r="AP158" s="12">
        <f>[1]节奏总纲!BB158</f>
        <v>42.470885343049382</v>
      </c>
      <c r="AQ158" s="12">
        <f>[1]节奏总纲!BC158</f>
        <v>44.412650444796341</v>
      </c>
      <c r="AR158" s="12">
        <f>[1]节奏总纲!BD158</f>
        <v>47.161821703346362</v>
      </c>
      <c r="AS158" s="12">
        <f>[1]节奏总纲!BE158</f>
        <v>51.862723837243806</v>
      </c>
    </row>
    <row r="159" spans="2:45" x14ac:dyDescent="0.15">
      <c r="B159" s="39">
        <f>[1]节奏总纲!N159</f>
        <v>166</v>
      </c>
      <c r="C159" s="39">
        <v>156</v>
      </c>
      <c r="D159" s="39">
        <f>[1]节奏总纲!P159</f>
        <v>49666.000451412707</v>
      </c>
      <c r="E159" s="39">
        <f>[1]节奏总纲!Q159</f>
        <v>49666.000451412707</v>
      </c>
      <c r="F159" s="39">
        <f>[1]节奏总纲!R159</f>
        <v>50162.660455926831</v>
      </c>
      <c r="G159" s="39">
        <f>[1]节奏总纲!S159</f>
        <v>50162.660455926831</v>
      </c>
      <c r="H159" s="39">
        <f>[1]节奏总纲!T159</f>
        <v>50311.658457281068</v>
      </c>
      <c r="J159" s="38">
        <v>156</v>
      </c>
      <c r="K159" s="39">
        <f>[1]节奏总纲!W159</f>
        <v>3326.0504395711032</v>
      </c>
      <c r="L159" s="39">
        <f>[1]节奏总纲!X159</f>
        <v>5587.4400001489703</v>
      </c>
      <c r="M159" s="39">
        <f>[1]节奏总纲!Y159</f>
        <v>5759.720354580204</v>
      </c>
      <c r="N159" s="39">
        <f>[1]节奏总纲!Z159</f>
        <v>5759.720354580204</v>
      </c>
      <c r="O159" s="39">
        <f>[1]节奏总纲!AA159</f>
        <v>5769.6985058989158</v>
      </c>
      <c r="Q159" s="9">
        <v>156</v>
      </c>
      <c r="R159" s="10">
        <f>[1]节奏总纲!AD159</f>
        <v>72.944425319575828</v>
      </c>
      <c r="S159" s="10">
        <f>[1]节奏总纲!AE159</f>
        <v>75.022035011469043</v>
      </c>
      <c r="T159" s="10">
        <f>[1]节奏总纲!AF159</f>
        <v>77.884791411421745</v>
      </c>
      <c r="U159" s="10">
        <f>[1]节奏总纲!AG159</f>
        <v>82.481827667543882</v>
      </c>
      <c r="V159" s="10">
        <f>[1]节奏总纲!AH159</f>
        <v>91.831303873678593</v>
      </c>
      <c r="AN159" s="12">
        <f>[1]节奏总纲!AZ159</f>
        <v>156</v>
      </c>
      <c r="AO159" s="12">
        <f>[1]节奏总纲!BA159</f>
        <v>41.027136894088379</v>
      </c>
      <c r="AP159" s="12">
        <f>[1]节奏总纲!BB159</f>
        <v>42.51427628670821</v>
      </c>
      <c r="AQ159" s="12">
        <f>[1]节奏总纲!BC159</f>
        <v>44.455742855302844</v>
      </c>
      <c r="AR159" s="12">
        <f>[1]节奏总纲!BD159</f>
        <v>47.203396779992147</v>
      </c>
      <c r="AS159" s="12">
        <f>[1]节奏总纲!BE159</f>
        <v>51.908935373081505</v>
      </c>
    </row>
    <row r="160" spans="2:45" x14ac:dyDescent="0.15">
      <c r="B160" s="39">
        <f>[1]节奏总纲!N160</f>
        <v>167</v>
      </c>
      <c r="C160" s="39">
        <v>157</v>
      </c>
      <c r="D160" s="39">
        <f>[1]节奏总纲!P160</f>
        <v>53230.773047602182</v>
      </c>
      <c r="E160" s="39">
        <f>[1]节奏总纲!Q160</f>
        <v>53230.773047602182</v>
      </c>
      <c r="F160" s="39">
        <f>[1]节奏总纲!R160</f>
        <v>53763.080778078205</v>
      </c>
      <c r="G160" s="39">
        <f>[1]节奏总纲!S160</f>
        <v>53763.080778078205</v>
      </c>
      <c r="H160" s="39">
        <f>[1]节奏总纲!T160</f>
        <v>53763.080778078205</v>
      </c>
      <c r="J160" s="38">
        <v>157</v>
      </c>
      <c r="K160" s="39">
        <f>[1]节奏总纲!W160</f>
        <v>3564.7725961894757</v>
      </c>
      <c r="L160" s="39">
        <f>[1]节奏总纲!X160</f>
        <v>3564.7725961894757</v>
      </c>
      <c r="M160" s="39">
        <f>[1]节奏总纲!Y160</f>
        <v>3600.4203221513744</v>
      </c>
      <c r="N160" s="39">
        <f>[1]节奏总纲!Z160</f>
        <v>3600.4203221513744</v>
      </c>
      <c r="O160" s="39">
        <f>[1]节奏总纲!AA160</f>
        <v>3451.4223207971372</v>
      </c>
      <c r="Q160" s="9">
        <v>157</v>
      </c>
      <c r="R160" s="10">
        <f>[1]节奏总纲!AD160</f>
        <v>73.036560194527354</v>
      </c>
      <c r="S160" s="10">
        <f>[1]节奏总纲!AE160</f>
        <v>75.111147990406067</v>
      </c>
      <c r="T160" s="10">
        <f>[1]节奏总纲!AF160</f>
        <v>77.978240314723507</v>
      </c>
      <c r="U160" s="10">
        <f>[1]节奏总纲!AG160</f>
        <v>82.574704101135836</v>
      </c>
      <c r="V160" s="10">
        <f>[1]节奏总纲!AH160</f>
        <v>91.933832256435849</v>
      </c>
      <c r="AN160" s="12">
        <f>[1]节奏总纲!AZ160</f>
        <v>157</v>
      </c>
      <c r="AO160" s="12">
        <f>[1]节奏总纲!BA160</f>
        <v>41.067363109180121</v>
      </c>
      <c r="AP160" s="12">
        <f>[1]节奏总纲!BB160</f>
        <v>42.557667230367045</v>
      </c>
      <c r="AQ160" s="12">
        <f>[1]节奏总纲!BC160</f>
        <v>44.498835265809355</v>
      </c>
      <c r="AR160" s="12">
        <f>[1]节奏总纲!BD160</f>
        <v>47.244971856637939</v>
      </c>
      <c r="AS160" s="12">
        <f>[1]节奏总纲!BE160</f>
        <v>51.955146908919197</v>
      </c>
    </row>
    <row r="161" spans="2:45" x14ac:dyDescent="0.15">
      <c r="B161" s="39">
        <f>[1]节奏总纲!N161</f>
        <v>168</v>
      </c>
      <c r="C161" s="39">
        <v>158</v>
      </c>
      <c r="D161" s="39">
        <f>[1]节奏总纲!P161</f>
        <v>57051.401716174769</v>
      </c>
      <c r="E161" s="39">
        <f>[1]节奏总纲!Q161</f>
        <v>57051.401716174769</v>
      </c>
      <c r="F161" s="39">
        <f>[1]节奏总纲!R161</f>
        <v>57621.915733336515</v>
      </c>
      <c r="G161" s="39">
        <f>[1]节奏总纲!S161</f>
        <v>57621.915733336515</v>
      </c>
      <c r="H161" s="39">
        <f>[1]节奏总纲!T161</f>
        <v>57621.915733336515</v>
      </c>
      <c r="J161" s="38">
        <v>158</v>
      </c>
      <c r="K161" s="39">
        <f>[1]节奏总纲!W161</f>
        <v>3820.6286685725863</v>
      </c>
      <c r="L161" s="39">
        <f>[1]节奏总纲!X161</f>
        <v>3820.6286685725863</v>
      </c>
      <c r="M161" s="39">
        <f>[1]节奏总纲!Y161</f>
        <v>3858.8349552583095</v>
      </c>
      <c r="N161" s="39">
        <f>[1]节奏总纲!Z161</f>
        <v>3858.8349552583095</v>
      </c>
      <c r="O161" s="39">
        <f>[1]节奏总纲!AA161</f>
        <v>3858.8349552583095</v>
      </c>
      <c r="Q161" s="9">
        <v>158</v>
      </c>
      <c r="R161" s="10">
        <f>[1]节奏总纲!AD161</f>
        <v>73.124973399384572</v>
      </c>
      <c r="S161" s="10">
        <f>[1]节奏总纲!AE161</f>
        <v>75.200260969343077</v>
      </c>
      <c r="T161" s="10">
        <f>[1]节奏总纲!AF161</f>
        <v>78.066694029528094</v>
      </c>
      <c r="U161" s="10">
        <f>[1]节奏总纲!AG161</f>
        <v>82.667580534727804</v>
      </c>
      <c r="V161" s="10">
        <f>[1]节奏总纲!AH161</f>
        <v>92.033129415212969</v>
      </c>
      <c r="AN161" s="12">
        <f>[1]节奏总纲!AZ161</f>
        <v>158</v>
      </c>
      <c r="AO161" s="12">
        <f>[1]节奏总纲!BA161</f>
        <v>41.107589324271871</v>
      </c>
      <c r="AP161" s="12">
        <f>[1]节奏总纲!BB161</f>
        <v>42.601058174025873</v>
      </c>
      <c r="AQ161" s="12">
        <f>[1]节奏总纲!BC161</f>
        <v>44.541927676315858</v>
      </c>
      <c r="AR161" s="12">
        <f>[1]节奏总纲!BD161</f>
        <v>47.286546933283724</v>
      </c>
      <c r="AS161" s="12">
        <f>[1]节奏总纲!BE161</f>
        <v>52.001173105835825</v>
      </c>
    </row>
    <row r="162" spans="2:45" x14ac:dyDescent="0.15">
      <c r="B162" s="39">
        <f>[1]节奏总纲!N162</f>
        <v>169</v>
      </c>
      <c r="C162" s="39">
        <v>159</v>
      </c>
      <c r="D162" s="39">
        <f>[1]节奏总纲!P162</f>
        <v>61146.25013335624</v>
      </c>
      <c r="E162" s="39">
        <f>[1]节奏总纲!Q162</f>
        <v>61146.25013335624</v>
      </c>
      <c r="F162" s="39">
        <f>[1]节奏总纲!R162</f>
        <v>61757.7126346898</v>
      </c>
      <c r="G162" s="39">
        <f>[1]节奏总纲!S162</f>
        <v>61757.7126346898</v>
      </c>
      <c r="H162" s="39">
        <f>[1]节奏总纲!T162</f>
        <v>61757.7126346898</v>
      </c>
      <c r="J162" s="38">
        <v>159</v>
      </c>
      <c r="K162" s="39">
        <f>[1]节奏总纲!W162</f>
        <v>4094.8484171814707</v>
      </c>
      <c r="L162" s="39">
        <f>[1]节奏总纲!X162</f>
        <v>4094.8484171814707</v>
      </c>
      <c r="M162" s="39">
        <f>[1]节奏总纲!Y162</f>
        <v>4135.7969013532856</v>
      </c>
      <c r="N162" s="39">
        <f>[1]节奏总纲!Z162</f>
        <v>4135.7969013532856</v>
      </c>
      <c r="O162" s="39">
        <f>[1]节奏总纲!AA162</f>
        <v>4135.7969013532856</v>
      </c>
      <c r="Q162" s="9">
        <v>159</v>
      </c>
      <c r="R162" s="10">
        <f>[1]节奏总纲!AD162</f>
        <v>73.213386604241791</v>
      </c>
      <c r="S162" s="10">
        <f>[1]节奏总纲!AE162</f>
        <v>75.289373948280101</v>
      </c>
      <c r="T162" s="10">
        <f>[1]节奏总纲!AF162</f>
        <v>78.153631564737054</v>
      </c>
      <c r="U162" s="10">
        <f>[1]节奏总纲!AG162</f>
        <v>82.760456968319758</v>
      </c>
      <c r="V162" s="10">
        <f>[1]节奏总纲!AH162</f>
        <v>92.126546512350387</v>
      </c>
      <c r="AN162" s="12">
        <f>[1]节奏总纲!AZ162</f>
        <v>159</v>
      </c>
      <c r="AO162" s="12">
        <f>[1]节奏总纲!BA162</f>
        <v>41.147815539363613</v>
      </c>
      <c r="AP162" s="12">
        <f>[1]节奏总纲!BB162</f>
        <v>42.644449117684701</v>
      </c>
      <c r="AQ162" s="12">
        <f>[1]节奏总纲!BC162</f>
        <v>44.585020086822361</v>
      </c>
      <c r="AR162" s="12">
        <f>[1]节奏总纲!BD162</f>
        <v>47.328122009929508</v>
      </c>
      <c r="AS162" s="12">
        <f>[1]节奏总纲!BE162</f>
        <v>52.041079787427918</v>
      </c>
    </row>
    <row r="163" spans="2:45" x14ac:dyDescent="0.15">
      <c r="B163" s="39">
        <f>[1]节奏总纲!N163</f>
        <v>170</v>
      </c>
      <c r="C163" s="39">
        <v>160</v>
      </c>
      <c r="D163" s="39">
        <f>[1]节奏总纲!P163</f>
        <v>65535</v>
      </c>
      <c r="E163" s="39">
        <f>[1]节奏总纲!Q163</f>
        <v>65535</v>
      </c>
      <c r="F163" s="39">
        <f>[1]节奏总纲!R163</f>
        <v>66190.350000000006</v>
      </c>
      <c r="G163" s="39">
        <f>[1]节奏总纲!S163</f>
        <v>66190.350000000006</v>
      </c>
      <c r="H163" s="39">
        <f>[1]节奏总纲!T163</f>
        <v>66190.350000000006</v>
      </c>
      <c r="J163" s="38">
        <v>160</v>
      </c>
      <c r="K163" s="39">
        <f>[1]节奏总纲!W163</f>
        <v>4388.7498666437605</v>
      </c>
      <c r="L163" s="39">
        <f>[1]节奏总纲!X163</f>
        <v>4388.7498666437605</v>
      </c>
      <c r="M163" s="39">
        <f>[1]节奏总纲!Y163</f>
        <v>4432.6373653102055</v>
      </c>
      <c r="N163" s="39">
        <f>[1]节奏总纲!Z163</f>
        <v>4432.6373653102055</v>
      </c>
      <c r="O163" s="39">
        <f>[1]节奏总纲!AA163</f>
        <v>4432.6373653102055</v>
      </c>
      <c r="Q163" s="9">
        <v>160</v>
      </c>
      <c r="R163" s="10">
        <f>[1]节奏总纲!AD163</f>
        <v>73.301799809099009</v>
      </c>
      <c r="S163" s="10">
        <f>[1]节奏总纲!AE163</f>
        <v>75.378486927217125</v>
      </c>
      <c r="T163" s="10">
        <f>[1]节奏总纲!AF163</f>
        <v>78.240569099946029</v>
      </c>
      <c r="U163" s="10">
        <f>[1]节奏总纲!AG163</f>
        <v>82.853333401911726</v>
      </c>
      <c r="V163" s="10">
        <f>[1]节奏总纲!AH163</f>
        <v>92.219963609487792</v>
      </c>
      <c r="AN163" s="12">
        <f>[1]节奏总纲!AZ163</f>
        <v>160</v>
      </c>
      <c r="AO163" s="12">
        <f>[1]节奏总纲!BA163</f>
        <v>41.188041754455355</v>
      </c>
      <c r="AP163" s="12">
        <f>[1]节奏总纲!BB163</f>
        <v>42.687840061343536</v>
      </c>
      <c r="AQ163" s="12">
        <f>[1]节奏总纲!BC163</f>
        <v>44.628112497328864</v>
      </c>
      <c r="AR163" s="12">
        <f>[1]节奏总纲!BD163</f>
        <v>47.3696970865753</v>
      </c>
      <c r="AS163" s="12">
        <f>[1]节奏总纲!BE163</f>
        <v>52.080986469020011</v>
      </c>
    </row>
    <row r="164" spans="2:45" x14ac:dyDescent="0.15">
      <c r="Q164" s="9">
        <v>161</v>
      </c>
      <c r="R164" s="10">
        <f>[1]节奏总纲!AD164</f>
        <v>73.390213013956213</v>
      </c>
      <c r="S164" s="10">
        <f>[1]节奏总纲!AE164</f>
        <v>75.467599906154135</v>
      </c>
      <c r="T164" s="10">
        <f>[1]节奏总纲!AF164</f>
        <v>78.32750663515499</v>
      </c>
      <c r="U164" s="10">
        <f>[1]节奏总纲!AG164</f>
        <v>82.94620983550368</v>
      </c>
      <c r="V164" s="10">
        <f>[1]节奏总纲!AH164</f>
        <v>92.313380706625196</v>
      </c>
      <c r="AN164" s="12">
        <f>[1]节奏总纲!AZ164</f>
        <v>161</v>
      </c>
      <c r="AO164" s="12">
        <f>[1]节奏总纲!BA164</f>
        <v>41.228267969547105</v>
      </c>
      <c r="AP164" s="12">
        <f>[1]节奏总纲!BB164</f>
        <v>42.731231005002364</v>
      </c>
      <c r="AQ164" s="12">
        <f>[1]节奏总纲!BC164</f>
        <v>44.671204907835367</v>
      </c>
      <c r="AR164" s="12">
        <f>[1]节奏总纲!BD164</f>
        <v>47.411272163221085</v>
      </c>
      <c r="AS164" s="12">
        <f>[1]节奏总纲!BE164</f>
        <v>52.120893150612112</v>
      </c>
    </row>
    <row r="165" spans="2:45" x14ac:dyDescent="0.15">
      <c r="Q165" s="9">
        <v>162</v>
      </c>
      <c r="R165" s="10">
        <f>[1]节奏总纲!AD165</f>
        <v>73.478626218813432</v>
      </c>
      <c r="S165" s="10">
        <f>[1]节奏总纲!AE165</f>
        <v>75.556712885091159</v>
      </c>
      <c r="T165" s="10">
        <f>[1]节奏总纲!AF165</f>
        <v>78.414444170363964</v>
      </c>
      <c r="U165" s="10">
        <f>[1]节奏总纲!AG165</f>
        <v>83.036921590135321</v>
      </c>
      <c r="V165" s="10">
        <f>[1]节奏总纲!AH165</f>
        <v>92.406797803762601</v>
      </c>
      <c r="AN165" s="12">
        <f>[1]节奏总纲!AZ165</f>
        <v>162</v>
      </c>
      <c r="AO165" s="12">
        <f>[1]节奏总纲!BA165</f>
        <v>41.268494184638847</v>
      </c>
      <c r="AP165" s="12">
        <f>[1]节奏总纲!BB165</f>
        <v>42.774621948661192</v>
      </c>
      <c r="AQ165" s="12">
        <f>[1]节奏总纲!BC165</f>
        <v>44.714297318341877</v>
      </c>
      <c r="AR165" s="12">
        <f>[1]节奏总纲!BD165</f>
        <v>47.452847239866877</v>
      </c>
      <c r="AS165" s="12">
        <f>[1]节奏总纲!BE165</f>
        <v>52.160799832204205</v>
      </c>
    </row>
    <row r="166" spans="2:45" x14ac:dyDescent="0.15">
      <c r="Q166" s="9">
        <v>163</v>
      </c>
      <c r="R166" s="10">
        <f>[1]节奏总纲!AD166</f>
        <v>73.56703942367065</v>
      </c>
      <c r="S166" s="10">
        <f>[1]节奏总纲!AE166</f>
        <v>75.645825864028183</v>
      </c>
      <c r="T166" s="10">
        <f>[1]节奏总纲!AF166</f>
        <v>78.501381705572925</v>
      </c>
      <c r="U166" s="10">
        <f>[1]节奏总纲!AG166</f>
        <v>83.124654333465756</v>
      </c>
      <c r="V166" s="10">
        <f>[1]节奏总纲!AH166</f>
        <v>92.500214900900005</v>
      </c>
      <c r="AN166" s="12">
        <f>[1]节奏总纲!AZ166</f>
        <v>163</v>
      </c>
      <c r="AO166" s="12">
        <f>[1]节奏总纲!BA166</f>
        <v>41.308720399730589</v>
      </c>
      <c r="AP166" s="12">
        <f>[1]节奏总纲!BB166</f>
        <v>42.818012892320027</v>
      </c>
      <c r="AQ166" s="12">
        <f>[1]节奏总纲!BC166</f>
        <v>44.757389728848381</v>
      </c>
      <c r="AR166" s="12">
        <f>[1]节奏总纲!BD166</f>
        <v>47.494422316512662</v>
      </c>
      <c r="AS166" s="12">
        <f>[1]节奏总纲!BE166</f>
        <v>52.200706513796298</v>
      </c>
    </row>
    <row r="167" spans="2:45" x14ac:dyDescent="0.15">
      <c r="Q167" s="9">
        <v>164</v>
      </c>
      <c r="R167" s="10">
        <f>[1]节奏总纲!AD167</f>
        <v>73.655452628527868</v>
      </c>
      <c r="S167" s="10">
        <f>[1]节奏总纲!AE167</f>
        <v>75.734938842965192</v>
      </c>
      <c r="T167" s="10">
        <f>[1]节奏总纲!AF167</f>
        <v>78.5883192407819</v>
      </c>
      <c r="U167" s="10">
        <f>[1]节奏总纲!AG167</f>
        <v>83.21238707679619</v>
      </c>
      <c r="V167" s="10">
        <f>[1]节奏总纲!AH167</f>
        <v>92.593631998037409</v>
      </c>
      <c r="AN167" s="12">
        <f>[1]节奏总纲!AZ167</f>
        <v>164</v>
      </c>
      <c r="AO167" s="12">
        <f>[1]节奏总纲!BA167</f>
        <v>41.348946614822331</v>
      </c>
      <c r="AP167" s="12">
        <f>[1]节奏总纲!BB167</f>
        <v>42.861403835978855</v>
      </c>
      <c r="AQ167" s="12">
        <f>[1]节奏总纲!BC167</f>
        <v>44.800482139354884</v>
      </c>
      <c r="AR167" s="12">
        <f>[1]节奏总纲!BD167</f>
        <v>47.535997393158453</v>
      </c>
      <c r="AS167" s="12">
        <f>[1]节奏总纲!BE167</f>
        <v>52.240613195388391</v>
      </c>
    </row>
    <row r="168" spans="2:45" x14ac:dyDescent="0.15">
      <c r="Q168" s="9">
        <v>165</v>
      </c>
      <c r="R168" s="10">
        <f>[1]节奏总纲!AD168</f>
        <v>73.743865833385087</v>
      </c>
      <c r="S168" s="10">
        <f>[1]节奏总纲!AE168</f>
        <v>75.824051821902216</v>
      </c>
      <c r="T168" s="10">
        <f>[1]节奏总纲!AF168</f>
        <v>78.67525677599086</v>
      </c>
      <c r="U168" s="10">
        <f>[1]节奏总纲!AG168</f>
        <v>83.300119820126625</v>
      </c>
      <c r="V168" s="10">
        <f>[1]节奏总纲!AH168</f>
        <v>92.687049095174814</v>
      </c>
      <c r="AN168" s="12">
        <f>[1]节奏总纲!AZ168</f>
        <v>165</v>
      </c>
      <c r="AO168" s="12">
        <f>[1]节奏总纲!BA168</f>
        <v>41.389172829914081</v>
      </c>
      <c r="AP168" s="12">
        <f>[1]节奏总纲!BB168</f>
        <v>42.904794779637683</v>
      </c>
      <c r="AQ168" s="12">
        <f>[1]节奏总纲!BC168</f>
        <v>44.843574549861387</v>
      </c>
      <c r="AR168" s="12">
        <f>[1]节奏总纲!BD168</f>
        <v>47.577572469804238</v>
      </c>
      <c r="AS168" s="12">
        <f>[1]节奏总纲!BE168</f>
        <v>52.280519876980485</v>
      </c>
    </row>
    <row r="169" spans="2:45" x14ac:dyDescent="0.15">
      <c r="Q169" s="9">
        <v>166</v>
      </c>
      <c r="R169" s="10">
        <f>[1]节奏总纲!AD169</f>
        <v>73.832279038242305</v>
      </c>
      <c r="S169" s="10">
        <f>[1]节奏总纲!AE169</f>
        <v>75.91316480083924</v>
      </c>
      <c r="T169" s="10">
        <f>[1]节奏总纲!AF169</f>
        <v>78.762194311199835</v>
      </c>
      <c r="U169" s="10">
        <f>[1]节奏总纲!AG169</f>
        <v>83.387852563457059</v>
      </c>
      <c r="V169" s="10">
        <f>[1]节奏总纲!AH169</f>
        <v>92.780466192312218</v>
      </c>
      <c r="AN169" s="12">
        <f>[1]节奏总纲!AZ169</f>
        <v>166</v>
      </c>
      <c r="AO169" s="12">
        <f>[1]节奏总纲!BA169</f>
        <v>41.429399045005823</v>
      </c>
      <c r="AP169" s="12">
        <f>[1]节奏总纲!BB169</f>
        <v>42.948185723296518</v>
      </c>
      <c r="AQ169" s="12">
        <f>[1]节奏总纲!BC169</f>
        <v>44.88666696036789</v>
      </c>
      <c r="AR169" s="12">
        <f>[1]节奏总纲!BD169</f>
        <v>47.619147546450023</v>
      </c>
      <c r="AS169" s="12">
        <f>[1]节奏总纲!BE169</f>
        <v>52.320426558572585</v>
      </c>
    </row>
    <row r="170" spans="2:45" x14ac:dyDescent="0.15">
      <c r="Q170" s="9">
        <v>167</v>
      </c>
      <c r="R170" s="10">
        <f>[1]节奏总纲!AD170</f>
        <v>73.920692243099523</v>
      </c>
      <c r="S170" s="10">
        <f>[1]节奏总纲!AE170</f>
        <v>76.002103770254962</v>
      </c>
      <c r="T170" s="10">
        <f>[1]节奏总纲!AF170</f>
        <v>78.849131846408795</v>
      </c>
      <c r="U170" s="10">
        <f>[1]节奏总纲!AG170</f>
        <v>83.475585306787494</v>
      </c>
      <c r="V170" s="10">
        <f>[1]节奏总纲!AH170</f>
        <v>92.873883289449623</v>
      </c>
      <c r="AN170" s="12">
        <f>[1]节奏总纲!AZ170</f>
        <v>167</v>
      </c>
      <c r="AO170" s="12">
        <f>[1]节奏总纲!BA170</f>
        <v>41.469625260097565</v>
      </c>
      <c r="AP170" s="12">
        <f>[1]节奏总纲!BB170</f>
        <v>42.991576666955346</v>
      </c>
      <c r="AQ170" s="12">
        <f>[1]节奏总纲!BC170</f>
        <v>44.9297593708744</v>
      </c>
      <c r="AR170" s="12">
        <f>[1]节奏总纲!BD170</f>
        <v>47.660722623095815</v>
      </c>
      <c r="AS170" s="12">
        <f>[1]节奏总纲!BE170</f>
        <v>52.360333240164678</v>
      </c>
    </row>
    <row r="171" spans="2:45" x14ac:dyDescent="0.15">
      <c r="Q171" s="9">
        <v>168</v>
      </c>
      <c r="R171" s="10">
        <f>[1]节奏总纲!AD171</f>
        <v>74.008495683346354</v>
      </c>
      <c r="S171" s="10">
        <f>[1]节奏总纲!AE171</f>
        <v>76.084409020469636</v>
      </c>
      <c r="T171" s="10">
        <f>[1]节奏总纲!AF171</f>
        <v>78.93606938161777</v>
      </c>
      <c r="U171" s="10">
        <f>[1]节奏总纲!AG171</f>
        <v>83.563318050117928</v>
      </c>
      <c r="V171" s="10">
        <f>[1]节奏总纲!AH171</f>
        <v>92.967300386587027</v>
      </c>
      <c r="AN171" s="12">
        <f>[1]节奏总纲!AZ171</f>
        <v>168</v>
      </c>
      <c r="AO171" s="12">
        <f>[1]节奏总纲!BA171</f>
        <v>41.509851475189308</v>
      </c>
      <c r="AP171" s="12">
        <f>[1]节奏总纲!BB171</f>
        <v>43.030177309109042</v>
      </c>
      <c r="AQ171" s="12">
        <f>[1]节奏总纲!BC171</f>
        <v>44.972851781380903</v>
      </c>
      <c r="AR171" s="12">
        <f>[1]节奏总纲!BD171</f>
        <v>47.7022976997416</v>
      </c>
      <c r="AS171" s="12">
        <f>[1]节奏总纲!BE171</f>
        <v>52.400239921756771</v>
      </c>
    </row>
    <row r="172" spans="2:45" x14ac:dyDescent="0.15">
      <c r="Q172" s="9">
        <v>169</v>
      </c>
      <c r="R172" s="10">
        <f>[1]节奏总纲!AD172</f>
        <v>74.090988120365651</v>
      </c>
      <c r="S172" s="10">
        <f>[1]节奏总纲!AE172</f>
        <v>76.166714270684309</v>
      </c>
      <c r="T172" s="10">
        <f>[1]节奏总纲!AF172</f>
        <v>79.022812309215297</v>
      </c>
      <c r="U172" s="10">
        <f>[1]节奏总纲!AG172</f>
        <v>83.651050793448363</v>
      </c>
      <c r="V172" s="10">
        <f>[1]节奏总纲!AH172</f>
        <v>93.057555567360481</v>
      </c>
      <c r="AN172" s="12">
        <f>[1]节奏总纲!AZ172</f>
        <v>169</v>
      </c>
      <c r="AO172" s="12">
        <f>[1]节奏总纲!BA172</f>
        <v>41.550077690281057</v>
      </c>
      <c r="AP172" s="12">
        <f>[1]节奏总纲!BB172</f>
        <v>43.067624017543686</v>
      </c>
      <c r="AQ172" s="12">
        <f>[1]节奏总纲!BC172</f>
        <v>45.013762077986961</v>
      </c>
      <c r="AR172" s="12">
        <f>[1]节奏总纲!BD172</f>
        <v>47.743872776387391</v>
      </c>
      <c r="AS172" s="12">
        <f>[1]节奏总纲!BE172</f>
        <v>52.440146603348865</v>
      </c>
    </row>
    <row r="173" spans="2:45" x14ac:dyDescent="0.15">
      <c r="Q173" s="9">
        <v>170</v>
      </c>
      <c r="R173" s="10">
        <f>[1]节奏总纲!AD173</f>
        <v>74.173480557384934</v>
      </c>
      <c r="S173" s="10">
        <f>[1]节奏总纲!AE173</f>
        <v>76.249019520898997</v>
      </c>
      <c r="T173" s="10">
        <f>[1]节奏总纲!AF173</f>
        <v>79.109014469658547</v>
      </c>
      <c r="U173" s="10">
        <f>[1]节奏总纲!AG173</f>
        <v>83.738783536778797</v>
      </c>
      <c r="V173" s="10">
        <f>[1]节奏总纲!AH173</f>
        <v>93.146107887007233</v>
      </c>
      <c r="AN173" s="12">
        <f>[1]节奏总纲!AZ173</f>
        <v>170</v>
      </c>
      <c r="AO173" s="12">
        <f>[1]节奏总纲!BA173</f>
        <v>41.590303905372799</v>
      </c>
      <c r="AP173" s="12">
        <f>[1]节奏总纲!BB173</f>
        <v>43.105070725978337</v>
      </c>
      <c r="AQ173" s="12">
        <f>[1]节奏总纲!BC173</f>
        <v>45.050956883357138</v>
      </c>
      <c r="AR173" s="12">
        <f>[1]节奏总纲!BD173</f>
        <v>47.785447853033176</v>
      </c>
      <c r="AS173" s="12">
        <f>[1]节奏总纲!BE173</f>
        <v>52.480053284940965</v>
      </c>
    </row>
    <row r="174" spans="2:45" x14ac:dyDescent="0.15">
      <c r="Q174" s="9">
        <v>171</v>
      </c>
      <c r="R174" s="10">
        <f>[1]节奏总纲!AD174</f>
        <v>74.255972994404218</v>
      </c>
      <c r="S174" s="10">
        <f>[1]节奏总纲!AE174</f>
        <v>76.331324771113671</v>
      </c>
      <c r="T174" s="10">
        <f>[1]节奏总纲!AF174</f>
        <v>79.195216630101797</v>
      </c>
      <c r="U174" s="10">
        <f>[1]节奏总纲!AG174</f>
        <v>83.826516280109232</v>
      </c>
      <c r="V174" s="10">
        <f>[1]节奏总纲!AH174</f>
        <v>93.23466020665397</v>
      </c>
      <c r="AN174" s="12">
        <f>[1]节奏总纲!AZ174</f>
        <v>171</v>
      </c>
      <c r="AO174" s="12">
        <f>[1]节奏总纲!BA174</f>
        <v>41.630530120464542</v>
      </c>
      <c r="AP174" s="12">
        <f>[1]节奏总纲!BB174</f>
        <v>43.14251743441298</v>
      </c>
      <c r="AQ174" s="12">
        <f>[1]节奏总纲!BC174</f>
        <v>45.088151688727308</v>
      </c>
      <c r="AR174" s="12">
        <f>[1]节奏总纲!BD174</f>
        <v>47.827022929678968</v>
      </c>
      <c r="AS174" s="12">
        <f>[1]节奏总纲!BE174</f>
        <v>52.519959966533058</v>
      </c>
    </row>
    <row r="175" spans="2:45" x14ac:dyDescent="0.15">
      <c r="Q175" s="9">
        <v>172</v>
      </c>
      <c r="R175" s="10">
        <f>[1]节奏总纲!AD175</f>
        <v>74.338465431423501</v>
      </c>
      <c r="S175" s="10">
        <f>[1]节奏总纲!AE175</f>
        <v>76.413630021328345</v>
      </c>
      <c r="T175" s="10">
        <f>[1]节奏总纲!AF175</f>
        <v>79.281418790545047</v>
      </c>
      <c r="U175" s="10">
        <f>[1]节奏总纲!AG175</f>
        <v>83.914249023439666</v>
      </c>
      <c r="V175" s="10">
        <f>[1]节奏总纲!AH175</f>
        <v>93.323212526300722</v>
      </c>
      <c r="AN175" s="12">
        <f>[1]节奏总纲!AZ175</f>
        <v>172</v>
      </c>
      <c r="AO175" s="12">
        <f>[1]节奏总纲!BA175</f>
        <v>41.670756335556291</v>
      </c>
      <c r="AP175" s="12">
        <f>[1]节奏总纲!BB175</f>
        <v>43.179964142847631</v>
      </c>
      <c r="AQ175" s="12">
        <f>[1]节奏总纲!BC175</f>
        <v>45.125346494097485</v>
      </c>
      <c r="AR175" s="12">
        <f>[1]节奏总纲!BD175</f>
        <v>47.868598006324753</v>
      </c>
      <c r="AS175" s="12">
        <f>[1]节奏总纲!BE175</f>
        <v>52.559866648125151</v>
      </c>
    </row>
    <row r="176" spans="2:45" x14ac:dyDescent="0.15">
      <c r="Q176" s="9">
        <v>173</v>
      </c>
      <c r="R176" s="10">
        <f>[1]节奏总纲!AD176</f>
        <v>74.420957868442784</v>
      </c>
      <c r="S176" s="10">
        <f>[1]节奏总纲!AE176</f>
        <v>76.495935271543019</v>
      </c>
      <c r="T176" s="10">
        <f>[1]节奏总纲!AF176</f>
        <v>79.367620950988297</v>
      </c>
      <c r="U176" s="10">
        <f>[1]节奏总纲!AG176</f>
        <v>84.00179325525086</v>
      </c>
      <c r="V176" s="10">
        <f>[1]节奏总纲!AH176</f>
        <v>93.411764845947459</v>
      </c>
      <c r="AN176" s="12">
        <f>[1]节奏总纲!AZ176</f>
        <v>173</v>
      </c>
      <c r="AO176" s="12">
        <f>[1]节奏总纲!BA176</f>
        <v>41.710982550648033</v>
      </c>
      <c r="AP176" s="12">
        <f>[1]节奏总纲!BB176</f>
        <v>43.217410851282274</v>
      </c>
      <c r="AQ176" s="12">
        <f>[1]节奏总纲!BC176</f>
        <v>45.162541299467655</v>
      </c>
      <c r="AR176" s="12">
        <f>[1]节奏总纲!BD176</f>
        <v>47.910173082970537</v>
      </c>
      <c r="AS176" s="12">
        <f>[1]节奏总纲!BE176</f>
        <v>52.599773329717245</v>
      </c>
    </row>
    <row r="177" spans="17:45" x14ac:dyDescent="0.15">
      <c r="Q177" s="9">
        <v>174</v>
      </c>
      <c r="R177" s="10">
        <f>[1]节奏总纲!AD177</f>
        <v>74.503450305462081</v>
      </c>
      <c r="S177" s="10">
        <f>[1]节奏总纲!AE177</f>
        <v>76.578240521757706</v>
      </c>
      <c r="T177" s="10">
        <f>[1]节奏总纲!AF177</f>
        <v>79.453823111431561</v>
      </c>
      <c r="U177" s="10">
        <f>[1]节奏总纲!AG177</f>
        <v>84.08118060043364</v>
      </c>
      <c r="V177" s="10">
        <f>[1]节奏总纲!AH177</f>
        <v>93.500317165594211</v>
      </c>
      <c r="AN177" s="12">
        <f>[1]节奏总纲!AZ177</f>
        <v>174</v>
      </c>
      <c r="AO177" s="12">
        <f>[1]节奏总纲!BA177</f>
        <v>41.751208765739776</v>
      </c>
      <c r="AP177" s="12">
        <f>[1]节奏总纲!BB177</f>
        <v>43.254857559716925</v>
      </c>
      <c r="AQ177" s="12">
        <f>[1]节奏总纲!BC177</f>
        <v>45.199736104837832</v>
      </c>
      <c r="AR177" s="12">
        <f>[1]节奏总纲!BD177</f>
        <v>47.951748159616329</v>
      </c>
      <c r="AS177" s="12">
        <f>[1]节奏总纲!BE177</f>
        <v>52.639680011309345</v>
      </c>
    </row>
    <row r="178" spans="17:45" x14ac:dyDescent="0.15">
      <c r="Q178" s="9">
        <v>175</v>
      </c>
      <c r="R178" s="10">
        <f>[1]节奏总纲!AD178</f>
        <v>74.585942742481365</v>
      </c>
      <c r="S178" s="10">
        <f>[1]节奏总纲!AE178</f>
        <v>76.66054577197238</v>
      </c>
      <c r="T178" s="10">
        <f>[1]节奏总纲!AF178</f>
        <v>79.540025271874811</v>
      </c>
      <c r="U178" s="10">
        <f>[1]节奏总纲!AG178</f>
        <v>84.160567945616407</v>
      </c>
      <c r="V178" s="10">
        <f>[1]节奏总纲!AH178</f>
        <v>93.588869485240949</v>
      </c>
      <c r="AN178" s="12">
        <f>[1]节奏总纲!AZ178</f>
        <v>175</v>
      </c>
      <c r="AO178" s="12">
        <f>[1]节奏总纲!BA178</f>
        <v>41.791434980831518</v>
      </c>
      <c r="AP178" s="12">
        <f>[1]节奏总纲!BB178</f>
        <v>43.292304268151575</v>
      </c>
      <c r="AQ178" s="12">
        <f>[1]节奏总纲!BC178</f>
        <v>45.236930910208002</v>
      </c>
      <c r="AR178" s="12">
        <f>[1]节奏总纲!BD178</f>
        <v>47.993323236262114</v>
      </c>
      <c r="AS178" s="12">
        <f>[1]节奏总纲!BE178</f>
        <v>52.679586692901438</v>
      </c>
    </row>
    <row r="179" spans="17:45" x14ac:dyDescent="0.15">
      <c r="Q179" s="9">
        <v>176</v>
      </c>
      <c r="R179" s="10">
        <f>[1]节奏总纲!AD179</f>
        <v>74.668435179500648</v>
      </c>
      <c r="S179" s="10">
        <f>[1]节奏总纲!AE179</f>
        <v>76.742851022187054</v>
      </c>
      <c r="T179" s="10">
        <f>[1]节奏总纲!AF179</f>
        <v>79.626227432318061</v>
      </c>
      <c r="U179" s="10">
        <f>[1]节奏总纲!AG179</f>
        <v>84.239955290799188</v>
      </c>
      <c r="V179" s="10">
        <f>[1]节奏总纲!AH179</f>
        <v>93.6774218048877</v>
      </c>
      <c r="AN179" s="12">
        <f>[1]节奏总纲!AZ179</f>
        <v>176</v>
      </c>
      <c r="AO179" s="12">
        <f>[1]节奏总纲!BA179</f>
        <v>41.831661195923267</v>
      </c>
      <c r="AP179" s="12">
        <f>[1]节奏总纲!BB179</f>
        <v>43.329750976586219</v>
      </c>
      <c r="AQ179" s="12">
        <f>[1]节奏总纲!BC179</f>
        <v>45.274125715578172</v>
      </c>
      <c r="AR179" s="12">
        <f>[1]节奏总纲!BD179</f>
        <v>48.030128751164234</v>
      </c>
      <c r="AS179" s="12">
        <f>[1]节奏总纲!BE179</f>
        <v>52.719493374493531</v>
      </c>
    </row>
    <row r="180" spans="17:45" x14ac:dyDescent="0.15">
      <c r="Q180" s="9">
        <v>177</v>
      </c>
      <c r="R180" s="10">
        <f>[1]节奏总纲!AD180</f>
        <v>74.750927616519931</v>
      </c>
      <c r="S180" s="10">
        <f>[1]节奏总纲!AE180</f>
        <v>76.825156272401728</v>
      </c>
      <c r="T180" s="10">
        <f>[1]节奏总纲!AF180</f>
        <v>79.71242959276131</v>
      </c>
      <c r="U180" s="10">
        <f>[1]节奏总纲!AG180</f>
        <v>84.319342635981968</v>
      </c>
      <c r="V180" s="10">
        <f>[1]节奏总纲!AH180</f>
        <v>93.765974124534438</v>
      </c>
      <c r="AN180" s="12">
        <f>[1]节奏总纲!AZ180</f>
        <v>177</v>
      </c>
      <c r="AO180" s="12">
        <f>[1]节奏总纲!BA180</f>
        <v>41.87188741101501</v>
      </c>
      <c r="AP180" s="12">
        <f>[1]节奏总纲!BB180</f>
        <v>43.367197685020869</v>
      </c>
      <c r="AQ180" s="12">
        <f>[1]节奏总纲!BC180</f>
        <v>45.31132052094835</v>
      </c>
      <c r="AR180" s="12">
        <f>[1]节奏总纲!BD180</f>
        <v>48.066021750983474</v>
      </c>
      <c r="AS180" s="12">
        <f>[1]节奏总纲!BE180</f>
        <v>52.759400056085624</v>
      </c>
    </row>
    <row r="181" spans="17:45" x14ac:dyDescent="0.15">
      <c r="Q181" s="9">
        <v>178</v>
      </c>
      <c r="R181" s="10">
        <f>[1]节奏总纲!AD181</f>
        <v>74.833420053539214</v>
      </c>
      <c r="S181" s="10">
        <f>[1]节奏总纲!AE181</f>
        <v>76.907461522616416</v>
      </c>
      <c r="T181" s="10">
        <f>[1]节奏总纲!AF181</f>
        <v>79.79863175320456</v>
      </c>
      <c r="U181" s="10">
        <f>[1]节奏总纲!AG181</f>
        <v>84.398729981164735</v>
      </c>
      <c r="V181" s="10">
        <f>[1]节奏总纲!AH181</f>
        <v>93.85452644418119</v>
      </c>
      <c r="AN181" s="12">
        <f>[1]节奏总纲!AZ181</f>
        <v>178</v>
      </c>
      <c r="AO181" s="12">
        <f>[1]节奏总纲!BA181</f>
        <v>41.912113626106752</v>
      </c>
      <c r="AP181" s="12">
        <f>[1]节奏总纲!BB181</f>
        <v>43.404644393455513</v>
      </c>
      <c r="AQ181" s="12">
        <f>[1]节奏总纲!BC181</f>
        <v>45.34851532631852</v>
      </c>
      <c r="AR181" s="12">
        <f>[1]节奏总纲!BD181</f>
        <v>48.101914750802706</v>
      </c>
      <c r="AS181" s="12">
        <f>[1]节奏总纲!BE181</f>
        <v>52.799306737677718</v>
      </c>
    </row>
    <row r="182" spans="17:45" x14ac:dyDescent="0.15">
      <c r="Q182" s="9">
        <v>179</v>
      </c>
      <c r="R182" s="10">
        <f>[1]节奏总纲!AD182</f>
        <v>74.915912490558512</v>
      </c>
      <c r="S182" s="10">
        <f>[1]节奏总纲!AE182</f>
        <v>76.989766772831089</v>
      </c>
      <c r="T182" s="10">
        <f>[1]节奏总纲!AF182</f>
        <v>79.88483391364781</v>
      </c>
      <c r="U182" s="10">
        <f>[1]节奏总纲!AG182</f>
        <v>84.478117326347515</v>
      </c>
      <c r="V182" s="10">
        <f>[1]节奏总纲!AH182</f>
        <v>93.943078763827941</v>
      </c>
      <c r="AN182" s="12">
        <f>[1]节奏总纲!AZ182</f>
        <v>179</v>
      </c>
      <c r="AO182" s="12">
        <f>[1]节奏总纲!BA182</f>
        <v>41.952339841198494</v>
      </c>
      <c r="AP182" s="12">
        <f>[1]节奏总纲!BB182</f>
        <v>43.442091101890163</v>
      </c>
      <c r="AQ182" s="12">
        <f>[1]节奏总纲!BC182</f>
        <v>45.385710131688697</v>
      </c>
      <c r="AR182" s="12">
        <f>[1]节奏总纲!BD182</f>
        <v>48.137807750621946</v>
      </c>
      <c r="AS182" s="12">
        <f>[1]节奏总纲!BE182</f>
        <v>52.839213419269818</v>
      </c>
    </row>
    <row r="183" spans="17:45" x14ac:dyDescent="0.15">
      <c r="Q183" s="9">
        <v>180</v>
      </c>
      <c r="R183" s="10">
        <f>[1]节奏总纲!AD183</f>
        <v>74.998404927577795</v>
      </c>
      <c r="S183" s="10">
        <f>[1]节奏总纲!AE183</f>
        <v>77.06778397927944</v>
      </c>
      <c r="T183" s="10">
        <f>[1]节奏总纲!AF183</f>
        <v>79.97103607409106</v>
      </c>
      <c r="U183" s="10">
        <f>[1]节奏总纲!AG183</f>
        <v>84.557504671530296</v>
      </c>
      <c r="V183" s="10">
        <f>[1]节奏总纲!AH183</f>
        <v>94.027056817114342</v>
      </c>
      <c r="AN183" s="12">
        <f>[1]节奏总纲!AZ183</f>
        <v>180</v>
      </c>
      <c r="AO183" s="12">
        <f>[1]节奏总纲!BA183</f>
        <v>41.992566056290244</v>
      </c>
      <c r="AP183" s="12">
        <f>[1]节奏总纲!BB183</f>
        <v>43.479537810324807</v>
      </c>
      <c r="AQ183" s="12">
        <f>[1]节奏总纲!BC183</f>
        <v>45.422904937058867</v>
      </c>
      <c r="AR183" s="12">
        <f>[1]节奏总纲!BD183</f>
        <v>48.173700750441178</v>
      </c>
      <c r="AS183" s="12">
        <f>[1]节奏总纲!BE183</f>
        <v>52.879120100861911</v>
      </c>
    </row>
    <row r="184" spans="17:45" x14ac:dyDescent="0.15">
      <c r="Q184" s="9">
        <v>181</v>
      </c>
      <c r="R184" s="10">
        <f>[1]节奏总纲!AD184</f>
        <v>75.075479910097457</v>
      </c>
      <c r="S184" s="10">
        <f>[1]节奏总纲!AE184</f>
        <v>77.145192343015793</v>
      </c>
      <c r="T184" s="10">
        <f>[1]节奏总纲!AF184</f>
        <v>80.053817475702374</v>
      </c>
      <c r="U184" s="10">
        <f>[1]节奏总纲!AG184</f>
        <v>84.636892016713063</v>
      </c>
      <c r="V184" s="10">
        <f>[1]节奏总纲!AH184</f>
        <v>94.102803318799971</v>
      </c>
      <c r="AN184" s="12">
        <f>[1]节奏总纲!AZ184</f>
        <v>181</v>
      </c>
      <c r="AO184" s="12">
        <f>[1]节奏总纲!BA184</f>
        <v>42.028297717729309</v>
      </c>
      <c r="AP184" s="12">
        <f>[1]节奏总纲!BB184</f>
        <v>43.516984518759458</v>
      </c>
      <c r="AQ184" s="12">
        <f>[1]节奏总纲!BC184</f>
        <v>45.460099742429037</v>
      </c>
      <c r="AR184" s="12">
        <f>[1]节奏总纲!BD184</f>
        <v>48.209593750260417</v>
      </c>
      <c r="AS184" s="12">
        <f>[1]节奏总纲!BE184</f>
        <v>52.919026782454004</v>
      </c>
    </row>
    <row r="185" spans="17:45" x14ac:dyDescent="0.15">
      <c r="Q185" s="9">
        <v>182</v>
      </c>
      <c r="R185" s="10">
        <f>[1]节奏总纲!AD185</f>
        <v>75.152448075388719</v>
      </c>
      <c r="S185" s="10">
        <f>[1]节奏总纲!AE185</f>
        <v>77.222600706752132</v>
      </c>
      <c r="T185" s="10">
        <f>[1]节奏总纲!AF185</f>
        <v>80.134867890916794</v>
      </c>
      <c r="U185" s="10">
        <f>[1]节奏总纲!AG185</f>
        <v>84.716279361895843</v>
      </c>
      <c r="V185" s="10">
        <f>[1]节奏总纲!AH185</f>
        <v>94.1785498204856</v>
      </c>
      <c r="AN185" s="12">
        <f>[1]节奏总纲!AZ185</f>
        <v>182</v>
      </c>
      <c r="AO185" s="12">
        <f>[1]节奏总纲!BA185</f>
        <v>42.063010472656373</v>
      </c>
      <c r="AP185" s="12">
        <f>[1]节奏总纲!BB185</f>
        <v>43.554431227194108</v>
      </c>
      <c r="AQ185" s="12">
        <f>[1]节奏总纲!BC185</f>
        <v>45.497294547799214</v>
      </c>
      <c r="AR185" s="12">
        <f>[1]节奏总纲!BD185</f>
        <v>48.24548675007965</v>
      </c>
      <c r="AS185" s="12">
        <f>[1]节奏总纲!BE185</f>
        <v>52.958933464046098</v>
      </c>
    </row>
    <row r="186" spans="17:45" x14ac:dyDescent="0.15">
      <c r="Q186" s="9">
        <v>183</v>
      </c>
      <c r="R186" s="10">
        <f>[1]节奏总纲!AD186</f>
        <v>75.229416240679981</v>
      </c>
      <c r="S186" s="10">
        <f>[1]节奏总纲!AE186</f>
        <v>77.300009070488485</v>
      </c>
      <c r="T186" s="10">
        <f>[1]节奏总纲!AF186</f>
        <v>80.215918306131215</v>
      </c>
      <c r="U186" s="10">
        <f>[1]节奏总纲!AG186</f>
        <v>84.795666707078624</v>
      </c>
      <c r="V186" s="10">
        <f>[1]节奏总纲!AH186</f>
        <v>94.254296322171228</v>
      </c>
      <c r="AN186" s="12">
        <f>[1]节奏总纲!AZ186</f>
        <v>183</v>
      </c>
      <c r="AO186" s="12">
        <f>[1]节奏总纲!BA186</f>
        <v>42.097723227583437</v>
      </c>
      <c r="AP186" s="12">
        <f>[1]节奏总纲!BB186</f>
        <v>43.591877935628752</v>
      </c>
      <c r="AQ186" s="12">
        <f>[1]节奏总纲!BC186</f>
        <v>45.534489353169384</v>
      </c>
      <c r="AR186" s="12">
        <f>[1]节奏总纲!BD186</f>
        <v>48.281379749898889</v>
      </c>
      <c r="AS186" s="12">
        <f>[1]节奏总纲!BE186</f>
        <v>52.998840145638198</v>
      </c>
    </row>
    <row r="187" spans="17:45" x14ac:dyDescent="0.15">
      <c r="Q187" s="9">
        <v>184</v>
      </c>
      <c r="R187" s="10">
        <f>[1]节奏总纲!AD187</f>
        <v>75.306384405971258</v>
      </c>
      <c r="S187" s="10">
        <f>[1]节奏总纲!AE187</f>
        <v>77.377417434224824</v>
      </c>
      <c r="T187" s="10">
        <f>[1]节奏总纲!AF187</f>
        <v>80.296968721345635</v>
      </c>
      <c r="U187" s="10">
        <f>[1]节奏总纲!AG187</f>
        <v>84.87505405226139</v>
      </c>
      <c r="V187" s="10">
        <f>[1]节奏总纲!AH187</f>
        <v>94.330042823856857</v>
      </c>
      <c r="AN187" s="12">
        <f>[1]节奏总纲!AZ187</f>
        <v>184</v>
      </c>
      <c r="AO187" s="12">
        <f>[1]节奏总纲!BA187</f>
        <v>42.132435982510501</v>
      </c>
      <c r="AP187" s="12">
        <f>[1]节奏总纲!BB187</f>
        <v>43.629324644063402</v>
      </c>
      <c r="AQ187" s="12">
        <f>[1]节奏总纲!BC187</f>
        <v>45.571684158539561</v>
      </c>
      <c r="AR187" s="12">
        <f>[1]节奏总纲!BD187</f>
        <v>48.317272749718121</v>
      </c>
      <c r="AS187" s="12">
        <f>[1]节奏总纲!BE187</f>
        <v>53.033462597729766</v>
      </c>
    </row>
    <row r="188" spans="17:45" x14ac:dyDescent="0.15">
      <c r="Q188" s="9">
        <v>185</v>
      </c>
      <c r="R188" s="10">
        <f>[1]节奏总纲!AD188</f>
        <v>75.38335257126252</v>
      </c>
      <c r="S188" s="10">
        <f>[1]节奏总纲!AE188</f>
        <v>77.454825797961163</v>
      </c>
      <c r="T188" s="10">
        <f>[1]节奏总纲!AF188</f>
        <v>80.378019136560056</v>
      </c>
      <c r="U188" s="10">
        <f>[1]节奏总纲!AG188</f>
        <v>84.954441397444171</v>
      </c>
      <c r="V188" s="10">
        <f>[1]节奏总纲!AH188</f>
        <v>94.405789325542486</v>
      </c>
      <c r="AN188" s="12">
        <f>[1]节奏总纲!AZ188</f>
        <v>185</v>
      </c>
      <c r="AO188" s="12">
        <f>[1]节奏总纲!BA188</f>
        <v>42.167148737437564</v>
      </c>
      <c r="AP188" s="12">
        <f>[1]节奏总纲!BB188</f>
        <v>43.666771352498046</v>
      </c>
      <c r="AQ188" s="12">
        <f>[1]节奏总纲!BC188</f>
        <v>45.608878963909731</v>
      </c>
      <c r="AR188" s="12">
        <f>[1]节奏总纲!BD188</f>
        <v>48.353165749537354</v>
      </c>
      <c r="AS188" s="12">
        <f>[1]节奏总纲!BE188</f>
        <v>53.067926870763252</v>
      </c>
    </row>
    <row r="189" spans="17:45" x14ac:dyDescent="0.15">
      <c r="Q189" s="9">
        <v>186</v>
      </c>
      <c r="R189" s="10">
        <f>[1]节奏总纲!AD189</f>
        <v>75.460320736553783</v>
      </c>
      <c r="S189" s="10">
        <f>[1]节奏总纲!AE189</f>
        <v>77.532234161697517</v>
      </c>
      <c r="T189" s="10">
        <f>[1]节奏总纲!AF189</f>
        <v>80.459069551774476</v>
      </c>
      <c r="U189" s="10">
        <f>[1]节奏总纲!AG189</f>
        <v>85.030832425973387</v>
      </c>
      <c r="V189" s="10">
        <f>[1]节奏总纲!AH189</f>
        <v>94.4815358272281</v>
      </c>
      <c r="AN189" s="12">
        <f>[1]节奏总纲!AZ189</f>
        <v>186</v>
      </c>
      <c r="AO189" s="12">
        <f>[1]节奏总纲!BA189</f>
        <v>42.201861492364635</v>
      </c>
      <c r="AP189" s="12">
        <f>[1]节奏总纲!BB189</f>
        <v>43.704218060932696</v>
      </c>
      <c r="AQ189" s="12">
        <f>[1]节奏总纲!BC189</f>
        <v>45.646073769279901</v>
      </c>
      <c r="AR189" s="12">
        <f>[1]节奏总纲!BD189</f>
        <v>48.389058749356593</v>
      </c>
      <c r="AS189" s="12">
        <f>[1]节奏总纲!BE189</f>
        <v>53.102391143796744</v>
      </c>
    </row>
    <row r="190" spans="17:45" x14ac:dyDescent="0.15">
      <c r="Q190" s="9">
        <v>187</v>
      </c>
      <c r="R190" s="10">
        <f>[1]节奏总纲!AD190</f>
        <v>75.537288901845045</v>
      </c>
      <c r="S190" s="10">
        <f>[1]节奏总纲!AE190</f>
        <v>77.609642525433856</v>
      </c>
      <c r="T190" s="10">
        <f>[1]节奏总纲!AF190</f>
        <v>80.540119966988897</v>
      </c>
      <c r="U190" s="10">
        <f>[1]节奏总纲!AG190</f>
        <v>85.103188187775231</v>
      </c>
      <c r="V190" s="10">
        <f>[1]节奏总纲!AH190</f>
        <v>94.557282328913729</v>
      </c>
      <c r="AN190" s="12">
        <f>[1]节奏总纲!AZ190</f>
        <v>187</v>
      </c>
      <c r="AO190" s="12">
        <f>[1]节奏总纲!BA190</f>
        <v>42.236574247291699</v>
      </c>
      <c r="AP190" s="12">
        <f>[1]节奏总纲!BB190</f>
        <v>43.741664769367347</v>
      </c>
      <c r="AQ190" s="12">
        <f>[1]节奏总纲!BC190</f>
        <v>45.683268574650079</v>
      </c>
      <c r="AR190" s="12">
        <f>[1]节奏总纲!BD190</f>
        <v>48.424951749175825</v>
      </c>
      <c r="AS190" s="12">
        <f>[1]节奏总纲!BE190</f>
        <v>53.13685541683023</v>
      </c>
    </row>
    <row r="191" spans="17:45" x14ac:dyDescent="0.15">
      <c r="Q191" s="9">
        <v>188</v>
      </c>
      <c r="R191" s="10">
        <f>[1]节奏总纲!AD191</f>
        <v>75.614257067136322</v>
      </c>
      <c r="S191" s="10">
        <f>[1]节奏总纲!AE191</f>
        <v>77.687050889170209</v>
      </c>
      <c r="T191" s="10">
        <f>[1]节奏总纲!AF191</f>
        <v>80.621170382203317</v>
      </c>
      <c r="U191" s="10">
        <f>[1]节奏总纲!AG191</f>
        <v>85.175543949577076</v>
      </c>
      <c r="V191" s="10">
        <f>[1]节奏总纲!AH191</f>
        <v>94.633028830599358</v>
      </c>
      <c r="AN191" s="12">
        <f>[1]节奏总纲!AZ191</f>
        <v>188</v>
      </c>
      <c r="AO191" s="12">
        <f>[1]节奏总纲!BA191</f>
        <v>42.271287002218763</v>
      </c>
      <c r="AP191" s="12">
        <f>[1]节奏总纲!BB191</f>
        <v>43.77911147780199</v>
      </c>
      <c r="AQ191" s="12">
        <f>[1]节奏总纲!BC191</f>
        <v>45.720463380020249</v>
      </c>
      <c r="AR191" s="12">
        <f>[1]节奏总纲!BD191</f>
        <v>48.460844748995065</v>
      </c>
      <c r="AS191" s="12">
        <f>[1]节奏总纲!BE191</f>
        <v>53.171319689863722</v>
      </c>
    </row>
    <row r="192" spans="17:45" x14ac:dyDescent="0.15">
      <c r="Q192" s="9">
        <v>189</v>
      </c>
      <c r="R192" s="10">
        <f>[1]节奏总纲!AD192</f>
        <v>75.691225232427584</v>
      </c>
      <c r="S192" s="10">
        <f>[1]节奏总纲!AE192</f>
        <v>77.764459252906548</v>
      </c>
      <c r="T192" s="10">
        <f>[1]节奏总纲!AF192</f>
        <v>80.702220797417738</v>
      </c>
      <c r="U192" s="10">
        <f>[1]节奏总纲!AG192</f>
        <v>85.247899711378935</v>
      </c>
      <c r="V192" s="10">
        <f>[1]节奏总纲!AH192</f>
        <v>94.708775332284986</v>
      </c>
      <c r="AN192" s="12">
        <f>[1]节奏总纲!AZ192</f>
        <v>189</v>
      </c>
      <c r="AO192" s="12">
        <f>[1]节奏总纲!BA192</f>
        <v>42.305999757145827</v>
      </c>
      <c r="AP192" s="12">
        <f>[1]节奏总纲!BB192</f>
        <v>43.816558186236641</v>
      </c>
      <c r="AQ192" s="12">
        <f>[1]节奏总纲!BC192</f>
        <v>45.757658185390426</v>
      </c>
      <c r="AR192" s="12">
        <f>[1]节奏总纲!BD192</f>
        <v>48.496737748814297</v>
      </c>
      <c r="AS192" s="12">
        <f>[1]节奏总纲!BE192</f>
        <v>53.205783962897208</v>
      </c>
    </row>
    <row r="193" spans="17:45" x14ac:dyDescent="0.15">
      <c r="Q193" s="9">
        <v>190</v>
      </c>
      <c r="R193" s="10">
        <f>[1]节奏总纲!AD193</f>
        <v>75.768193397718846</v>
      </c>
      <c r="S193" s="10">
        <f>[1]节奏总纲!AE193</f>
        <v>77.841867616642901</v>
      </c>
      <c r="T193" s="10">
        <f>[1]节奏总纲!AF193</f>
        <v>80.783271212632158</v>
      </c>
      <c r="U193" s="10">
        <f>[1]节奏总纲!AG193</f>
        <v>85.320255473180779</v>
      </c>
      <c r="V193" s="10">
        <f>[1]节奏总纲!AH193</f>
        <v>94.784521833970615</v>
      </c>
      <c r="AN193" s="12">
        <f>[1]节奏总纲!AZ193</f>
        <v>190</v>
      </c>
      <c r="AO193" s="12">
        <f>[1]节奏总纲!BA193</f>
        <v>42.340712512072891</v>
      </c>
      <c r="AP193" s="12">
        <f>[1]节奏总纲!BB193</f>
        <v>43.854004894671284</v>
      </c>
      <c r="AQ193" s="12">
        <f>[1]节奏总纲!BC193</f>
        <v>45.794852990760596</v>
      </c>
      <c r="AR193" s="12">
        <f>[1]节奏总纲!BD193</f>
        <v>48.532630748633537</v>
      </c>
      <c r="AS193" s="12">
        <f>[1]节奏总纲!BE193</f>
        <v>53.240248235930693</v>
      </c>
    </row>
    <row r="194" spans="17:45" x14ac:dyDescent="0.15">
      <c r="Q194" s="9">
        <v>191</v>
      </c>
      <c r="R194" s="10">
        <f>[1]节奏总纲!AD194</f>
        <v>75.845161563010109</v>
      </c>
      <c r="S194" s="10">
        <f>[1]节奏总纲!AE194</f>
        <v>77.91927598037924</v>
      </c>
      <c r="T194" s="10">
        <f>[1]节奏总纲!AF194</f>
        <v>80.864321627846579</v>
      </c>
      <c r="U194" s="10">
        <f>[1]节奏总纲!AG194</f>
        <v>85.392611234982624</v>
      </c>
      <c r="V194" s="10">
        <f>[1]节奏总纲!AH194</f>
        <v>94.860268335656244</v>
      </c>
      <c r="AN194" s="12">
        <f>[1]节奏总纲!AZ194</f>
        <v>191</v>
      </c>
      <c r="AO194" s="12">
        <f>[1]节奏总纲!BA194</f>
        <v>42.375425266999954</v>
      </c>
      <c r="AP194" s="12">
        <f>[1]节奏总纲!BB194</f>
        <v>43.891451603105935</v>
      </c>
      <c r="AQ194" s="12">
        <f>[1]节奏总纲!BC194</f>
        <v>45.832047796130773</v>
      </c>
      <c r="AR194" s="12">
        <f>[1]节奏总纲!BD194</f>
        <v>48.568523748452769</v>
      </c>
      <c r="AS194" s="12">
        <f>[1]节奏总纲!BE194</f>
        <v>53.274712508964186</v>
      </c>
    </row>
    <row r="195" spans="17:45" x14ac:dyDescent="0.15">
      <c r="Q195" s="9">
        <v>192</v>
      </c>
      <c r="R195" s="10">
        <f>[1]节奏总纲!AD195</f>
        <v>75.922129728301385</v>
      </c>
      <c r="S195" s="10">
        <f>[1]节奏总纲!AE195</f>
        <v>77.996684344115593</v>
      </c>
      <c r="T195" s="10">
        <f>[1]节奏总纲!AF195</f>
        <v>80.945372043060999</v>
      </c>
      <c r="U195" s="10">
        <f>[1]节奏总纲!AG195</f>
        <v>85.464966996784469</v>
      </c>
      <c r="V195" s="10">
        <f>[1]节奏总纲!AH195</f>
        <v>94.936014837341872</v>
      </c>
      <c r="AN195" s="12">
        <f>[1]节奏总纲!AZ195</f>
        <v>192</v>
      </c>
      <c r="AO195" s="12">
        <f>[1]节奏总纲!BA195</f>
        <v>42.410138021927018</v>
      </c>
      <c r="AP195" s="12">
        <f>[1]节奏总纲!BB195</f>
        <v>43.928898311540578</v>
      </c>
      <c r="AQ195" s="12">
        <f>[1]节奏总纲!BC195</f>
        <v>45.869242601500943</v>
      </c>
      <c r="AR195" s="12">
        <f>[1]节奏总纲!BD195</f>
        <v>48.604416748272008</v>
      </c>
      <c r="AS195" s="12">
        <f>[1]节奏总纲!BE195</f>
        <v>53.309176781997671</v>
      </c>
    </row>
    <row r="196" spans="17:45" x14ac:dyDescent="0.15">
      <c r="Q196" s="9">
        <v>193</v>
      </c>
      <c r="R196" s="10">
        <f>[1]节奏总纲!AD196</f>
        <v>75.999097893592648</v>
      </c>
      <c r="S196" s="10">
        <f>[1]节奏总纲!AE196</f>
        <v>78.068193736526268</v>
      </c>
      <c r="T196" s="10">
        <f>[1]节奏总纲!AF196</f>
        <v>81.02378934476593</v>
      </c>
      <c r="U196" s="10">
        <f>[1]节奏总纲!AG196</f>
        <v>85.537322758586328</v>
      </c>
      <c r="V196" s="10">
        <f>[1]节奏总纲!AH196</f>
        <v>95.011078787937279</v>
      </c>
      <c r="AN196" s="12">
        <f>[1]节奏总纲!AZ196</f>
        <v>193</v>
      </c>
      <c r="AO196" s="12">
        <f>[1]节奏总纲!BA196</f>
        <v>42.444850776854082</v>
      </c>
      <c r="AP196" s="12">
        <f>[1]节奏总纲!BB196</f>
        <v>43.966345019975229</v>
      </c>
      <c r="AQ196" s="12">
        <f>[1]节奏总纲!BC196</f>
        <v>45.906437406871113</v>
      </c>
      <c r="AR196" s="12">
        <f>[1]节奏总纲!BD196</f>
        <v>48.640309748091241</v>
      </c>
      <c r="AS196" s="12">
        <f>[1]节奏总纲!BE196</f>
        <v>53.343641055031163</v>
      </c>
    </row>
    <row r="197" spans="17:45" x14ac:dyDescent="0.15">
      <c r="Q197" s="9">
        <v>194</v>
      </c>
      <c r="R197" s="10">
        <f>[1]节奏总纲!AD197</f>
        <v>76.070972142474872</v>
      </c>
      <c r="S197" s="10">
        <f>[1]节奏总纲!AE197</f>
        <v>78.139439149396253</v>
      </c>
      <c r="T197" s="10">
        <f>[1]节奏总纲!AF197</f>
        <v>81.096762731680187</v>
      </c>
      <c r="U197" s="10">
        <f>[1]节奏总纲!AG197</f>
        <v>85.609678520388172</v>
      </c>
      <c r="V197" s="10">
        <f>[1]节奏总纲!AH197</f>
        <v>95.082429458741387</v>
      </c>
      <c r="AN197" s="12">
        <f>[1]节奏总纲!AZ197</f>
        <v>194</v>
      </c>
      <c r="AO197" s="12">
        <f>[1]节奏总纲!BA197</f>
        <v>42.479563531781146</v>
      </c>
      <c r="AP197" s="12">
        <f>[1]节奏总纲!BB197</f>
        <v>44.003272544984547</v>
      </c>
      <c r="AQ197" s="12">
        <f>[1]节奏总纲!BC197</f>
        <v>45.94363221224129</v>
      </c>
      <c r="AR197" s="12">
        <f>[1]节奏总纲!BD197</f>
        <v>48.67620274791048</v>
      </c>
      <c r="AS197" s="12">
        <f>[1]节奏总纲!BE197</f>
        <v>53.378105328064649</v>
      </c>
    </row>
    <row r="198" spans="17:45" x14ac:dyDescent="0.15">
      <c r="Q198" s="9">
        <v>195</v>
      </c>
      <c r="R198" s="10">
        <f>[1]节奏总纲!AD198</f>
        <v>76.142785979989682</v>
      </c>
      <c r="S198" s="10">
        <f>[1]节奏总纲!AE198</f>
        <v>78.210684562266223</v>
      </c>
      <c r="T198" s="10">
        <f>[1]节奏总纲!AF198</f>
        <v>81.169736118594443</v>
      </c>
      <c r="U198" s="10">
        <f>[1]节奏总纲!AG198</f>
        <v>85.682034282190017</v>
      </c>
      <c r="V198" s="10">
        <f>[1]节奏总纲!AH198</f>
        <v>95.153780129545481</v>
      </c>
      <c r="AN198" s="12">
        <f>[1]节奏总纲!AZ198</f>
        <v>195</v>
      </c>
      <c r="AO198" s="12">
        <f>[1]节奏总纲!BA198</f>
        <v>42.51427628670821</v>
      </c>
      <c r="AP198" s="12">
        <f>[1]节奏总纲!BB198</f>
        <v>44.035591852864428</v>
      </c>
      <c r="AQ198" s="12">
        <f>[1]节奏总纲!BC198</f>
        <v>45.98082701761146</v>
      </c>
      <c r="AR198" s="12">
        <f>[1]节奏总纲!BD198</f>
        <v>48.712095747729713</v>
      </c>
      <c r="AS198" s="12">
        <f>[1]节奏总纲!BE198</f>
        <v>53.412569601098134</v>
      </c>
    </row>
    <row r="199" spans="17:45" x14ac:dyDescent="0.15">
      <c r="Q199" s="9">
        <v>196</v>
      </c>
      <c r="R199" s="10">
        <f>[1]节奏总纲!AD199</f>
        <v>76.214599817504492</v>
      </c>
      <c r="S199" s="10">
        <f>[1]节奏总纲!AE199</f>
        <v>78.281929975136208</v>
      </c>
      <c r="T199" s="10">
        <f>[1]节奏总纲!AF199</f>
        <v>81.242709505508685</v>
      </c>
      <c r="U199" s="10">
        <f>[1]节奏总纲!AG199</f>
        <v>85.754390043991862</v>
      </c>
      <c r="V199" s="10">
        <f>[1]节奏总纲!AH199</f>
        <v>95.225130800349589</v>
      </c>
      <c r="AN199" s="12">
        <f>[1]节奏总纲!AZ199</f>
        <v>196</v>
      </c>
      <c r="AO199" s="12">
        <f>[1]节奏总纲!BA199</f>
        <v>42.548989041635274</v>
      </c>
      <c r="AP199" s="12">
        <f>[1]节奏总纲!BB199</f>
        <v>44.067911160744309</v>
      </c>
      <c r="AQ199" s="12">
        <f>[1]节奏总纲!BC199</f>
        <v>46.01555652579863</v>
      </c>
      <c r="AR199" s="12">
        <f>[1]节奏总纲!BD199</f>
        <v>48.747988747548945</v>
      </c>
      <c r="AS199" s="12">
        <f>[1]节奏总纲!BE199</f>
        <v>53.447033874131627</v>
      </c>
    </row>
    <row r="200" spans="17:45" x14ac:dyDescent="0.15">
      <c r="Q200" s="9">
        <v>197</v>
      </c>
      <c r="R200" s="10">
        <f>[1]节奏总纲!AD200</f>
        <v>76.286413655019302</v>
      </c>
      <c r="S200" s="10">
        <f>[1]节奏总纲!AE200</f>
        <v>78.353175388006179</v>
      </c>
      <c r="T200" s="10">
        <f>[1]节奏总纲!AF200</f>
        <v>81.315682892422942</v>
      </c>
      <c r="U200" s="10">
        <f>[1]节奏总纲!AG200</f>
        <v>85.82674580579372</v>
      </c>
      <c r="V200" s="10">
        <f>[1]节奏总纲!AH200</f>
        <v>95.296481471153683</v>
      </c>
      <c r="AN200" s="12">
        <f>[1]节奏总纲!AZ200</f>
        <v>197</v>
      </c>
      <c r="AO200" s="12">
        <f>[1]节奏总纲!BA200</f>
        <v>42.583701796562345</v>
      </c>
      <c r="AP200" s="12">
        <f>[1]节奏总纲!BB200</f>
        <v>44.100230468624183</v>
      </c>
      <c r="AQ200" s="12">
        <f>[1]节奏总纲!BC200</f>
        <v>46.047663263829847</v>
      </c>
      <c r="AR200" s="12">
        <f>[1]节奏总纲!BD200</f>
        <v>48.783881747368184</v>
      </c>
      <c r="AS200" s="12">
        <f>[1]节奏总纲!BE200</f>
        <v>53.481498147165112</v>
      </c>
    </row>
    <row r="201" spans="17:45" x14ac:dyDescent="0.15">
      <c r="Q201" s="9">
        <v>198</v>
      </c>
      <c r="R201" s="10">
        <f>[1]节奏总纲!AD201</f>
        <v>76.358227492534112</v>
      </c>
      <c r="S201" s="10">
        <f>[1]节奏总纲!AE201</f>
        <v>78.424420800876163</v>
      </c>
      <c r="T201" s="10">
        <f>[1]节奏总纲!AF201</f>
        <v>81.388656279337198</v>
      </c>
      <c r="U201" s="10">
        <f>[1]节奏总纲!AG201</f>
        <v>85.899101567595565</v>
      </c>
      <c r="V201" s="10">
        <f>[1]节奏总纲!AH201</f>
        <v>95.367832141957777</v>
      </c>
      <c r="AN201" s="12">
        <f>[1]节奏总纲!AZ201</f>
        <v>198</v>
      </c>
      <c r="AO201" s="12">
        <f>[1]节奏总纲!BA201</f>
        <v>42.618414551489408</v>
      </c>
      <c r="AP201" s="12">
        <f>[1]节奏总纲!BB201</f>
        <v>44.132549776504064</v>
      </c>
      <c r="AQ201" s="12">
        <f>[1]节奏总纲!BC201</f>
        <v>46.079770001861057</v>
      </c>
      <c r="AR201" s="12">
        <f>[1]节奏总纲!BD201</f>
        <v>48.819774747187417</v>
      </c>
      <c r="AS201" s="12">
        <f>[1]节奏总纲!BE201</f>
        <v>53.515962420198605</v>
      </c>
    </row>
    <row r="202" spans="17:45" x14ac:dyDescent="0.15">
      <c r="Q202" s="9">
        <v>199</v>
      </c>
      <c r="R202" s="10">
        <f>[1]节奏总纲!AD202</f>
        <v>76.430041330048923</v>
      </c>
      <c r="S202" s="10">
        <f>[1]节奏总纲!AE202</f>
        <v>78.495666213746148</v>
      </c>
      <c r="T202" s="10">
        <f>[1]节奏总纲!AF202</f>
        <v>81.461629666251454</v>
      </c>
      <c r="U202" s="10">
        <f>[1]节奏总纲!AG202</f>
        <v>85.97145732939741</v>
      </c>
      <c r="V202" s="10">
        <f>[1]节奏总纲!AH202</f>
        <v>95.439182812761885</v>
      </c>
      <c r="AN202" s="12">
        <f>[1]节奏总纲!AZ202</f>
        <v>199</v>
      </c>
      <c r="AO202" s="12">
        <f>[1]节奏总纲!BA202</f>
        <v>42.653127306416472</v>
      </c>
      <c r="AP202" s="12">
        <f>[1]节奏总纲!BB202</f>
        <v>44.164869084383938</v>
      </c>
      <c r="AQ202" s="12">
        <f>[1]节奏总纲!BC202</f>
        <v>46.111876739892267</v>
      </c>
      <c r="AR202" s="12">
        <f>[1]节奏总纲!BD202</f>
        <v>48.855667747006656</v>
      </c>
      <c r="AS202" s="12">
        <f>[1]节奏总纲!BE202</f>
        <v>53.55042669323209</v>
      </c>
    </row>
    <row r="203" spans="17:45" x14ac:dyDescent="0.15">
      <c r="Q203" s="9">
        <v>200</v>
      </c>
      <c r="R203" s="10">
        <f>[1]节奏总纲!AD203</f>
        <v>76.501855167563733</v>
      </c>
      <c r="S203" s="10">
        <f>[1]节奏总纲!AE203</f>
        <v>78.566911626616118</v>
      </c>
      <c r="T203" s="10">
        <f>[1]节奏总纲!AF203</f>
        <v>81.534603053165696</v>
      </c>
      <c r="U203" s="10">
        <f>[1]节奏总纲!AG203</f>
        <v>86.045919706798657</v>
      </c>
      <c r="V203" s="10">
        <f>[1]节奏总纲!AH203</f>
        <v>95.510533483565979</v>
      </c>
      <c r="AN203" s="12">
        <f>[1]节奏总纲!AZ203</f>
        <v>200</v>
      </c>
      <c r="AO203" s="12">
        <f>[1]节奏总纲!BA203</f>
        <v>42.687840061343536</v>
      </c>
      <c r="AP203" s="12">
        <f>[1]节奏总纲!BB203</f>
        <v>44.197188392263818</v>
      </c>
      <c r="AQ203" s="12">
        <f>[1]节奏总纲!BC203</f>
        <v>46.143983477923484</v>
      </c>
      <c r="AR203" s="12">
        <f>[1]节奏总纲!BD203</f>
        <v>48.891560746825888</v>
      </c>
      <c r="AS203" s="12">
        <f>[1]节奏总纲!BE203</f>
        <v>53.584890966265583</v>
      </c>
    </row>
    <row r="204" spans="17:45" x14ac:dyDescent="0.15">
      <c r="Q204" s="9">
        <v>201</v>
      </c>
      <c r="R204" s="10">
        <f>[1]节奏总纲!AD204</f>
        <v>76.573669005078543</v>
      </c>
      <c r="S204" s="10">
        <f>[1]节奏总纲!AE204</f>
        <v>78.638157039486103</v>
      </c>
      <c r="T204" s="10">
        <f>[1]节奏总纲!AF204</f>
        <v>81.607576440079953</v>
      </c>
      <c r="U204" s="10">
        <f>[1]节奏总纲!AG204</f>
        <v>86.121754469336281</v>
      </c>
      <c r="V204" s="10">
        <f>[1]节奏总纲!AH204</f>
        <v>95.581884154370087</v>
      </c>
      <c r="AN204" s="12">
        <f>[1]节奏总纲!AZ204</f>
        <v>201</v>
      </c>
      <c r="AO204" s="12">
        <f>[1]节奏总纲!BA204</f>
        <v>42.7225528162706</v>
      </c>
      <c r="AP204" s="12">
        <f>[1]节奏总纲!BB204</f>
        <v>44.229507700143699</v>
      </c>
      <c r="AQ204" s="12">
        <f>[1]节奏总纲!BC204</f>
        <v>46.176090215954694</v>
      </c>
      <c r="AR204" s="12">
        <f>[1]节奏总纲!BD204</f>
        <v>48.927453746645128</v>
      </c>
      <c r="AS204" s="12">
        <f>[1]节奏总纲!BE204</f>
        <v>53.619355239299068</v>
      </c>
    </row>
    <row r="205" spans="17:45" x14ac:dyDescent="0.15">
      <c r="Q205" s="9">
        <v>202</v>
      </c>
      <c r="R205" s="10">
        <f>[1]节奏总纲!AD205</f>
        <v>76.645482842593353</v>
      </c>
      <c r="S205" s="10">
        <f>[1]节奏总纲!AE205</f>
        <v>78.709402452356088</v>
      </c>
      <c r="T205" s="10">
        <f>[1]节奏总纲!AF205</f>
        <v>81.680549826994209</v>
      </c>
      <c r="U205" s="10">
        <f>[1]节奏总纲!AG205</f>
        <v>86.197589231873891</v>
      </c>
      <c r="V205" s="10">
        <f>[1]节奏总纲!AH205</f>
        <v>95.653234825174181</v>
      </c>
      <c r="AN205" s="12">
        <f>[1]节奏总纲!AZ205</f>
        <v>202</v>
      </c>
      <c r="AO205" s="12">
        <f>[1]节奏总纲!BA205</f>
        <v>42.757265571197664</v>
      </c>
      <c r="AP205" s="12">
        <f>[1]节奏总纲!BB205</f>
        <v>44.261827008023573</v>
      </c>
      <c r="AQ205" s="12">
        <f>[1]节奏总纲!BC205</f>
        <v>46.208196953985905</v>
      </c>
      <c r="AR205" s="12">
        <f>[1]节奏总纲!BD205</f>
        <v>48.96334674646436</v>
      </c>
      <c r="AS205" s="12">
        <f>[1]节奏总纲!BE205</f>
        <v>53.653819512332554</v>
      </c>
    </row>
    <row r="206" spans="17:45" x14ac:dyDescent="0.15">
      <c r="Q206" s="9">
        <v>203</v>
      </c>
      <c r="R206" s="10">
        <f>[1]节奏总纲!AD206</f>
        <v>76.717296680108163</v>
      </c>
      <c r="S206" s="10">
        <f>[1]节奏总纲!AE206</f>
        <v>78.780647865226058</v>
      </c>
      <c r="T206" s="10">
        <f>[1]节奏总纲!AF206</f>
        <v>81.753523213908451</v>
      </c>
      <c r="U206" s="10">
        <f>[1]节奏总纲!AG206</f>
        <v>86.273423994411502</v>
      </c>
      <c r="V206" s="10">
        <f>[1]节奏总纲!AH206</f>
        <v>95.724585495978289</v>
      </c>
      <c r="AN206" s="12">
        <f>[1]节奏总纲!AZ206</f>
        <v>203</v>
      </c>
      <c r="AO206" s="12">
        <f>[1]节奏总纲!BA206</f>
        <v>42.791978326124728</v>
      </c>
      <c r="AP206" s="12">
        <f>[1]节奏总纲!BB206</f>
        <v>44.294146315903454</v>
      </c>
      <c r="AQ206" s="12">
        <f>[1]节奏总纲!BC206</f>
        <v>46.240303692017122</v>
      </c>
      <c r="AR206" s="12">
        <f>[1]节奏总纲!BD206</f>
        <v>48.9992397462836</v>
      </c>
      <c r="AS206" s="12">
        <f>[1]节奏总纲!BE206</f>
        <v>53.688283785366046</v>
      </c>
    </row>
    <row r="207" spans="17:45" x14ac:dyDescent="0.15">
      <c r="Q207" s="9">
        <v>204</v>
      </c>
      <c r="R207" s="10">
        <f>[1]节奏总纲!AD207</f>
        <v>76.789110517622973</v>
      </c>
      <c r="S207" s="10">
        <f>[1]节奏总纲!AE207</f>
        <v>78.851893278096043</v>
      </c>
      <c r="T207" s="10">
        <f>[1]节奏总纲!AF207</f>
        <v>81.826496600822708</v>
      </c>
      <c r="U207" s="10">
        <f>[1]节奏总纲!AG207</f>
        <v>86.349258756949112</v>
      </c>
      <c r="V207" s="10">
        <f>[1]节奏总纲!AH207</f>
        <v>95.795936166782383</v>
      </c>
      <c r="AN207" s="12">
        <f>[1]节奏总纲!AZ207</f>
        <v>204</v>
      </c>
      <c r="AO207" s="12">
        <f>[1]节奏总纲!BA207</f>
        <v>42.826691081051791</v>
      </c>
      <c r="AP207" s="12">
        <f>[1]节奏总纲!BB207</f>
        <v>44.326465623783335</v>
      </c>
      <c r="AQ207" s="12">
        <f>[1]节奏总纲!BC207</f>
        <v>46.272410430048332</v>
      </c>
      <c r="AR207" s="12">
        <f>[1]节奏总纲!BD207</f>
        <v>49.030333272797542</v>
      </c>
      <c r="AS207" s="12">
        <f>[1]节奏总纲!BE207</f>
        <v>53.722748058399532</v>
      </c>
    </row>
    <row r="208" spans="17:45" x14ac:dyDescent="0.15">
      <c r="Q208" s="9">
        <v>205</v>
      </c>
      <c r="R208" s="10">
        <f>[1]节奏总纲!AD208</f>
        <v>76.860924355137783</v>
      </c>
      <c r="S208" s="10">
        <f>[1]节奏总纲!AE208</f>
        <v>78.923138690966013</v>
      </c>
      <c r="T208" s="10">
        <f>[1]节奏总纲!AF208</f>
        <v>81.899469987736964</v>
      </c>
      <c r="U208" s="10">
        <f>[1]节奏总纲!AG208</f>
        <v>86.425093519486722</v>
      </c>
      <c r="V208" s="10">
        <f>[1]节奏总纲!AH208</f>
        <v>95.867286837586477</v>
      </c>
      <c r="AN208" s="12">
        <f>[1]节奏总纲!AZ208</f>
        <v>205</v>
      </c>
      <c r="AO208" s="12">
        <f>[1]节奏总纲!BA208</f>
        <v>42.861403835978855</v>
      </c>
      <c r="AP208" s="12">
        <f>[1]节奏总纲!BB208</f>
        <v>44.358784931663209</v>
      </c>
      <c r="AQ208" s="12">
        <f>[1]节奏总纲!BC208</f>
        <v>46.304517168079542</v>
      </c>
      <c r="AR208" s="12">
        <f>[1]节奏总纲!BD208</f>
        <v>49.061322941292346</v>
      </c>
      <c r="AS208" s="12">
        <f>[1]节奏总纲!BE208</f>
        <v>53.757212331433024</v>
      </c>
    </row>
    <row r="209" spans="17:45" x14ac:dyDescent="0.15">
      <c r="Q209" s="9">
        <v>206</v>
      </c>
      <c r="R209" s="10">
        <f>[1]节奏总纲!AD209</f>
        <v>76.932738192652593</v>
      </c>
      <c r="S209" s="10">
        <f>[1]节奏总纲!AE209</f>
        <v>78.994384103835998</v>
      </c>
      <c r="T209" s="10">
        <f>[1]节奏总纲!AF209</f>
        <v>81.972443374651206</v>
      </c>
      <c r="U209" s="10">
        <f>[1]节奏总纲!AG209</f>
        <v>86.500928282024347</v>
      </c>
      <c r="V209" s="10">
        <f>[1]节奏总纲!AH209</f>
        <v>95.938637508390585</v>
      </c>
      <c r="AN209" s="12">
        <f>[1]节奏总纲!AZ209</f>
        <v>206</v>
      </c>
      <c r="AO209" s="12">
        <f>[1]节奏总纲!BA209</f>
        <v>42.896116590905919</v>
      </c>
      <c r="AP209" s="12">
        <f>[1]节奏总纲!BB209</f>
        <v>44.39110423954309</v>
      </c>
      <c r="AQ209" s="12">
        <f>[1]节奏总纲!BC209</f>
        <v>46.336623906110759</v>
      </c>
      <c r="AR209" s="12">
        <f>[1]节奏总纲!BD209</f>
        <v>49.09231260978715</v>
      </c>
      <c r="AS209" s="12">
        <f>[1]节奏总纲!BE209</f>
        <v>53.79167660446651</v>
      </c>
    </row>
    <row r="210" spans="17:45" x14ac:dyDescent="0.15">
      <c r="Q210" s="9">
        <v>207</v>
      </c>
      <c r="R210" s="10">
        <f>[1]节奏总纲!AD210</f>
        <v>77.004247194324648</v>
      </c>
      <c r="S210" s="10">
        <f>[1]节奏总纲!AE210</f>
        <v>79.061386416569832</v>
      </c>
      <c r="T210" s="10">
        <f>[1]节奏总纲!AF210</f>
        <v>82.041007317281839</v>
      </c>
      <c r="U210" s="10">
        <f>[1]节奏总纲!AG210</f>
        <v>86.576763044561957</v>
      </c>
      <c r="V210" s="10">
        <f>[1]节奏总纲!AH210</f>
        <v>96.008512635801992</v>
      </c>
      <c r="AN210" s="12">
        <f>[1]节奏总纲!AZ210</f>
        <v>207</v>
      </c>
      <c r="AO210" s="12">
        <f>[1]节奏总纲!BA210</f>
        <v>42.930829345832983</v>
      </c>
      <c r="AP210" s="12">
        <f>[1]节奏总纲!BB210</f>
        <v>44.423423547422971</v>
      </c>
      <c r="AQ210" s="12">
        <f>[1]节奏总纲!BC210</f>
        <v>46.368730644141969</v>
      </c>
      <c r="AR210" s="12">
        <f>[1]节奏总纲!BD210</f>
        <v>49.123302278281955</v>
      </c>
      <c r="AS210" s="12">
        <f>[1]节奏总纲!BE210</f>
        <v>53.826140877499995</v>
      </c>
    </row>
    <row r="211" spans="17:45" x14ac:dyDescent="0.15">
      <c r="Q211" s="9">
        <v>208</v>
      </c>
      <c r="R211" s="10">
        <f>[1]节奏总纲!AD211</f>
        <v>77.07125187397483</v>
      </c>
      <c r="S211" s="10">
        <f>[1]节奏总纲!AE211</f>
        <v>79.128025648620252</v>
      </c>
      <c r="T211" s="10">
        <f>[1]节奏总纲!AF211</f>
        <v>82.106895829081836</v>
      </c>
      <c r="U211" s="10">
        <f>[1]节奏总纲!AG211</f>
        <v>86.652597807099568</v>
      </c>
      <c r="V211" s="10">
        <f>[1]节奏总纲!AH211</f>
        <v>96.069322745727362</v>
      </c>
      <c r="AN211" s="12">
        <f>[1]节奏总纲!AZ211</f>
        <v>208</v>
      </c>
      <c r="AO211" s="12">
        <f>[1]节奏总纲!BA211</f>
        <v>42.965542100760054</v>
      </c>
      <c r="AP211" s="12">
        <f>[1]节奏总纲!BB211</f>
        <v>44.455742855302844</v>
      </c>
      <c r="AQ211" s="12">
        <f>[1]节奏总纲!BC211</f>
        <v>46.400837382173179</v>
      </c>
      <c r="AR211" s="12">
        <f>[1]节奏总纲!BD211</f>
        <v>49.154291946776759</v>
      </c>
      <c r="AS211" s="12">
        <f>[1]节奏总纲!BE211</f>
        <v>53.860605150533488</v>
      </c>
    </row>
    <row r="212" spans="17:45" x14ac:dyDescent="0.15">
      <c r="Q212" s="9">
        <v>209</v>
      </c>
      <c r="R212" s="10">
        <f>[1]节奏总纲!AD212</f>
        <v>77.138256553625013</v>
      </c>
      <c r="S212" s="10">
        <f>[1]节奏总纲!AE212</f>
        <v>79.194664880670672</v>
      </c>
      <c r="T212" s="10">
        <f>[1]节奏总纲!AF212</f>
        <v>82.172784340881819</v>
      </c>
      <c r="U212" s="10">
        <f>[1]节奏总纲!AG212</f>
        <v>86.728432569637178</v>
      </c>
      <c r="V212" s="10">
        <f>[1]节奏总纲!AH212</f>
        <v>96.130132855652732</v>
      </c>
      <c r="AN212" s="12">
        <f>[1]节奏总纲!AZ212</f>
        <v>209</v>
      </c>
      <c r="AO212" s="12">
        <f>[1]节奏总纲!BA212</f>
        <v>43.000219942361319</v>
      </c>
      <c r="AP212" s="12">
        <f>[1]节奏总纲!BB212</f>
        <v>44.488062163182725</v>
      </c>
      <c r="AQ212" s="12">
        <f>[1]节奏总纲!BC212</f>
        <v>46.432944120204397</v>
      </c>
      <c r="AR212" s="12">
        <f>[1]节奏总纲!BD212</f>
        <v>49.18528161527157</v>
      </c>
      <c r="AS212" s="12">
        <f>[1]节奏总纲!BE212</f>
        <v>53.895069423566973</v>
      </c>
    </row>
    <row r="213" spans="17:45" x14ac:dyDescent="0.15">
      <c r="Q213" s="9">
        <v>210</v>
      </c>
      <c r="R213" s="10">
        <f>[1]节奏总纲!AD213</f>
        <v>77.205261233275195</v>
      </c>
      <c r="S213" s="10">
        <f>[1]节奏总纲!AE213</f>
        <v>79.261304112721092</v>
      </c>
      <c r="T213" s="10">
        <f>[1]节奏总纲!AF213</f>
        <v>82.238672852681816</v>
      </c>
      <c r="U213" s="10">
        <f>[1]节奏总纲!AG213</f>
        <v>86.804267332174788</v>
      </c>
      <c r="V213" s="10">
        <f>[1]节奏总纲!AH213</f>
        <v>96.190942965578103</v>
      </c>
      <c r="AN213" s="12">
        <f>[1]节奏总纲!AZ213</f>
        <v>210</v>
      </c>
      <c r="AO213" s="12">
        <f>[1]节奏总纲!BA213</f>
        <v>43.030177309109042</v>
      </c>
      <c r="AP213" s="12">
        <f>[1]节奏总纲!BB213</f>
        <v>44.520381471062606</v>
      </c>
      <c r="AQ213" s="12">
        <f>[1]节奏总纲!BC213</f>
        <v>46.465050858235607</v>
      </c>
      <c r="AR213" s="12">
        <f>[1]节奏总纲!BD213</f>
        <v>49.216271283766375</v>
      </c>
      <c r="AS213" s="12">
        <f>[1]节奏总纲!BE213</f>
        <v>53.929533696600465</v>
      </c>
    </row>
    <row r="214" spans="17:45" x14ac:dyDescent="0.15">
      <c r="Q214" s="9">
        <v>211</v>
      </c>
      <c r="R214" s="10">
        <f>[1]节奏总纲!AD214</f>
        <v>77.272265912925377</v>
      </c>
      <c r="S214" s="10">
        <f>[1]节奏总纲!AE214</f>
        <v>79.327943344771512</v>
      </c>
      <c r="T214" s="10">
        <f>[1]节奏总纲!AF214</f>
        <v>82.304561364481813</v>
      </c>
      <c r="U214" s="10">
        <f>[1]节奏总纲!AG214</f>
        <v>86.880102094712413</v>
      </c>
      <c r="V214" s="10">
        <f>[1]节奏总纲!AH214</f>
        <v>96.251753075503458</v>
      </c>
      <c r="AN214" s="12">
        <f>[1]节奏总纲!AZ214</f>
        <v>211</v>
      </c>
      <c r="AO214" s="12">
        <f>[1]节奏总纲!BA214</f>
        <v>43.060134675856759</v>
      </c>
      <c r="AP214" s="12">
        <f>[1]节奏总纲!BB214</f>
        <v>44.55270077894248</v>
      </c>
      <c r="AQ214" s="12">
        <f>[1]节奏总纲!BC214</f>
        <v>46.497157596266817</v>
      </c>
      <c r="AR214" s="12">
        <f>[1]节奏总纲!BD214</f>
        <v>49.247260952261179</v>
      </c>
      <c r="AS214" s="12">
        <f>[1]节奏总纲!BE214</f>
        <v>53.963997969633951</v>
      </c>
    </row>
    <row r="215" spans="17:45" x14ac:dyDescent="0.15">
      <c r="Q215" s="9">
        <v>212</v>
      </c>
      <c r="R215" s="10">
        <f>[1]节奏总纲!AD215</f>
        <v>77.339270592575559</v>
      </c>
      <c r="S215" s="10">
        <f>[1]节奏总纲!AE215</f>
        <v>79.394582576821932</v>
      </c>
      <c r="T215" s="10">
        <f>[1]节奏总纲!AF215</f>
        <v>82.370449876281796</v>
      </c>
      <c r="U215" s="10">
        <f>[1]节奏总纲!AG215</f>
        <v>86.955936857250023</v>
      </c>
      <c r="V215" s="10">
        <f>[1]节奏总纲!AH215</f>
        <v>96.312563185428829</v>
      </c>
      <c r="AN215" s="12">
        <f>[1]节奏总纲!AZ215</f>
        <v>212</v>
      </c>
      <c r="AO215" s="12">
        <f>[1]节奏总纲!BA215</f>
        <v>43.090092042604475</v>
      </c>
      <c r="AP215" s="12">
        <f>[1]节奏总纲!BB215</f>
        <v>44.585020086822361</v>
      </c>
      <c r="AQ215" s="12">
        <f>[1]节奏总纲!BC215</f>
        <v>46.529264334298034</v>
      </c>
      <c r="AR215" s="12">
        <f>[1]节奏总纲!BD215</f>
        <v>49.278250620755983</v>
      </c>
      <c r="AS215" s="12">
        <f>[1]节奏总纲!BE215</f>
        <v>53.998462242667436</v>
      </c>
    </row>
    <row r="216" spans="17:45" x14ac:dyDescent="0.15">
      <c r="Q216" s="9">
        <v>213</v>
      </c>
      <c r="R216" s="10">
        <f>[1]节奏总纲!AD216</f>
        <v>77.406275272225741</v>
      </c>
      <c r="S216" s="10">
        <f>[1]节奏总纲!AE216</f>
        <v>79.461221808872352</v>
      </c>
      <c r="T216" s="10">
        <f>[1]节奏总纲!AF216</f>
        <v>82.436338388081793</v>
      </c>
      <c r="U216" s="10">
        <f>[1]节奏总纲!AG216</f>
        <v>87.031203567981635</v>
      </c>
      <c r="V216" s="10">
        <f>[1]节奏总纲!AH216</f>
        <v>96.373373295354199</v>
      </c>
      <c r="AN216" s="12">
        <f>[1]节奏总纲!AZ216</f>
        <v>213</v>
      </c>
      <c r="AO216" s="12">
        <f>[1]节奏总纲!BA216</f>
        <v>43.120049409352191</v>
      </c>
      <c r="AP216" s="12">
        <f>[1]节奏总纲!BB216</f>
        <v>44.617339394702242</v>
      </c>
      <c r="AQ216" s="12">
        <f>[1]节奏总纲!BC216</f>
        <v>46.561371072329244</v>
      </c>
      <c r="AR216" s="12">
        <f>[1]节奏总纲!BD216</f>
        <v>49.309240289250788</v>
      </c>
      <c r="AS216" s="12">
        <f>[1]节奏总纲!BE216</f>
        <v>54.028437871105552</v>
      </c>
    </row>
    <row r="217" spans="17:45" x14ac:dyDescent="0.15">
      <c r="Q217" s="9">
        <v>214</v>
      </c>
      <c r="R217" s="10">
        <f>[1]节奏总纲!AD217</f>
        <v>77.473279951875909</v>
      </c>
      <c r="S217" s="10">
        <f>[1]节奏总纲!AE217</f>
        <v>79.527861040922772</v>
      </c>
      <c r="T217" s="10">
        <f>[1]节奏总纲!AF217</f>
        <v>82.502226899881776</v>
      </c>
      <c r="U217" s="10">
        <f>[1]节奏总纲!AG217</f>
        <v>87.10568246405397</v>
      </c>
      <c r="V217" s="10">
        <f>[1]节奏总纲!AH217</f>
        <v>96.434183405279569</v>
      </c>
      <c r="AN217" s="12">
        <f>[1]节奏总纲!AZ217</f>
        <v>214</v>
      </c>
      <c r="AO217" s="12">
        <f>[1]节奏总纲!BA217</f>
        <v>43.150006776099914</v>
      </c>
      <c r="AP217" s="12">
        <f>[1]节奏总纲!BB217</f>
        <v>44.649658702582116</v>
      </c>
      <c r="AQ217" s="12">
        <f>[1]节奏总纲!BC217</f>
        <v>46.593477810360454</v>
      </c>
      <c r="AR217" s="12">
        <f>[1]节奏总纲!BD217</f>
        <v>49.340229957745592</v>
      </c>
      <c r="AS217" s="12">
        <f>[1]节奏总纲!BE217</f>
        <v>54.058203867701586</v>
      </c>
    </row>
    <row r="218" spans="17:45" x14ac:dyDescent="0.15">
      <c r="Q218" s="9">
        <v>215</v>
      </c>
      <c r="R218" s="10">
        <f>[1]节奏总纲!AD218</f>
        <v>77.540284631526092</v>
      </c>
      <c r="S218" s="10">
        <f>[1]节奏总纲!AE218</f>
        <v>79.594500272973193</v>
      </c>
      <c r="T218" s="10">
        <f>[1]节奏总纲!AF218</f>
        <v>82.568115411681774</v>
      </c>
      <c r="U218" s="10">
        <f>[1]节奏总纲!AG218</f>
        <v>87.180161360126306</v>
      </c>
      <c r="V218" s="10">
        <f>[1]节奏总纲!AH218</f>
        <v>96.494993515204939</v>
      </c>
      <c r="AN218" s="12">
        <f>[1]节奏总纲!AZ218</f>
        <v>215</v>
      </c>
      <c r="AO218" s="12">
        <f>[1]节奏总纲!BA218</f>
        <v>43.179964142847631</v>
      </c>
      <c r="AP218" s="12">
        <f>[1]节奏总纲!BB218</f>
        <v>44.681978010461997</v>
      </c>
      <c r="AQ218" s="12">
        <f>[1]节奏总纲!BC218</f>
        <v>46.625584548391664</v>
      </c>
      <c r="AR218" s="12">
        <f>[1]节奏总纲!BD218</f>
        <v>49.371219626240396</v>
      </c>
      <c r="AS218" s="12">
        <f>[1]节奏总纲!BE218</f>
        <v>54.087969864297619</v>
      </c>
    </row>
    <row r="219" spans="17:45" x14ac:dyDescent="0.15">
      <c r="Q219" s="9">
        <v>216</v>
      </c>
      <c r="R219" s="10">
        <f>[1]节奏总纲!AD219</f>
        <v>77.607289311176274</v>
      </c>
      <c r="S219" s="10">
        <f>[1]节奏总纲!AE219</f>
        <v>79.661139505023613</v>
      </c>
      <c r="T219" s="10">
        <f>[1]节奏总纲!AF219</f>
        <v>82.634003923481771</v>
      </c>
      <c r="U219" s="10">
        <f>[1]节奏总纲!AG219</f>
        <v>87.254640256198641</v>
      </c>
      <c r="V219" s="10">
        <f>[1]节奏总纲!AH219</f>
        <v>96.555803625130309</v>
      </c>
      <c r="AN219" s="12">
        <f>[1]节奏总纲!AZ219</f>
        <v>216</v>
      </c>
      <c r="AO219" s="12">
        <f>[1]节奏总纲!BA219</f>
        <v>43.209921509595347</v>
      </c>
      <c r="AP219" s="12">
        <f>[1]节奏总纲!BB219</f>
        <v>44.71429731834187</v>
      </c>
      <c r="AQ219" s="12">
        <f>[1]节奏总纲!BC219</f>
        <v>46.657691286422882</v>
      </c>
      <c r="AR219" s="12">
        <f>[1]节奏总纲!BD219</f>
        <v>49.402209294735208</v>
      </c>
      <c r="AS219" s="12">
        <f>[1]节奏总纲!BE219</f>
        <v>54.117735860893646</v>
      </c>
    </row>
    <row r="220" spans="17:45" x14ac:dyDescent="0.15">
      <c r="Q220" s="9">
        <v>217</v>
      </c>
      <c r="R220" s="10">
        <f>[1]节奏总纲!AD220</f>
        <v>77.674293990826456</v>
      </c>
      <c r="S220" s="10">
        <f>[1]节奏总纲!AE220</f>
        <v>79.727778737074033</v>
      </c>
      <c r="T220" s="10">
        <f>[1]节奏总纲!AF220</f>
        <v>82.699892435281754</v>
      </c>
      <c r="U220" s="10">
        <f>[1]节奏总纲!AG220</f>
        <v>87.329119152270991</v>
      </c>
      <c r="V220" s="10">
        <f>[1]节奏总纲!AH220</f>
        <v>96.61661373505568</v>
      </c>
      <c r="AN220" s="12">
        <f>[1]节奏总纲!AZ220</f>
        <v>217</v>
      </c>
      <c r="AO220" s="12">
        <f>[1]节奏总纲!BA220</f>
        <v>43.239878876343063</v>
      </c>
      <c r="AP220" s="12">
        <f>[1]节奏总纲!BB220</f>
        <v>44.746616626221751</v>
      </c>
      <c r="AQ220" s="12">
        <f>[1]节奏总纲!BC220</f>
        <v>46.689798024454092</v>
      </c>
      <c r="AR220" s="12">
        <f>[1]节奏总纲!BD220</f>
        <v>49.433198963230012</v>
      </c>
      <c r="AS220" s="12">
        <f>[1]节奏总纲!BE220</f>
        <v>54.147501857489679</v>
      </c>
    </row>
    <row r="221" spans="17:45" x14ac:dyDescent="0.15">
      <c r="Q221" s="9">
        <v>218</v>
      </c>
      <c r="R221" s="10">
        <f>[1]节奏总纲!AD221</f>
        <v>77.741298670476638</v>
      </c>
      <c r="S221" s="10">
        <f>[1]节奏总纲!AE221</f>
        <v>79.794417969124453</v>
      </c>
      <c r="T221" s="10">
        <f>[1]节奏总纲!AF221</f>
        <v>82.765780947081751</v>
      </c>
      <c r="U221" s="10">
        <f>[1]节奏总纲!AG221</f>
        <v>87.403598048343326</v>
      </c>
      <c r="V221" s="10">
        <f>[1]节奏总纲!AH221</f>
        <v>96.67742384498105</v>
      </c>
      <c r="AN221" s="12">
        <f>[1]节奏总纲!AZ221</f>
        <v>218</v>
      </c>
      <c r="AO221" s="12">
        <f>[1]节奏总纲!BA221</f>
        <v>43.269836243090786</v>
      </c>
      <c r="AP221" s="12">
        <f>[1]节奏总纲!BB221</f>
        <v>44.778935934101632</v>
      </c>
      <c r="AQ221" s="12">
        <f>[1]节奏总纲!BC221</f>
        <v>46.721904762485302</v>
      </c>
      <c r="AR221" s="12">
        <f>[1]节奏总纲!BD221</f>
        <v>49.464188631724817</v>
      </c>
      <c r="AS221" s="12">
        <f>[1]节奏总纲!BE221</f>
        <v>54.177267854085706</v>
      </c>
    </row>
    <row r="222" spans="17:45" x14ac:dyDescent="0.15">
      <c r="Q222" s="9">
        <v>219</v>
      </c>
      <c r="R222" s="10">
        <f>[1]节奏总纲!AD222</f>
        <v>77.80830335012682</v>
      </c>
      <c r="S222" s="10">
        <f>[1]节奏总纲!AE222</f>
        <v>79.861057201174873</v>
      </c>
      <c r="T222" s="10">
        <f>[1]节奏总纲!AF222</f>
        <v>82.831669458881734</v>
      </c>
      <c r="U222" s="10">
        <f>[1]节奏总纲!AG222</f>
        <v>87.478076944415662</v>
      </c>
      <c r="V222" s="10">
        <f>[1]节奏总纲!AH222</f>
        <v>96.73823395490642</v>
      </c>
      <c r="AN222" s="12">
        <f>[1]节奏总纲!AZ222</f>
        <v>219</v>
      </c>
      <c r="AO222" s="12">
        <f>[1]节奏总纲!BA222</f>
        <v>43.299793609838503</v>
      </c>
      <c r="AP222" s="12">
        <f>[1]节奏总纲!BB222</f>
        <v>44.811255241981506</v>
      </c>
      <c r="AQ222" s="12">
        <f>[1]节奏总纲!BC222</f>
        <v>46.754011500516519</v>
      </c>
      <c r="AR222" s="12">
        <f>[1]节奏总纲!BD222</f>
        <v>49.495178300219621</v>
      </c>
      <c r="AS222" s="12">
        <f>[1]节奏总纲!BE222</f>
        <v>54.207033850681739</v>
      </c>
    </row>
    <row r="223" spans="17:45" x14ac:dyDescent="0.15">
      <c r="Q223" s="9">
        <v>220</v>
      </c>
      <c r="R223" s="10">
        <f>[1]节奏总纲!AD223</f>
        <v>77.875308029777003</v>
      </c>
      <c r="S223" s="10">
        <f>[1]节奏总纲!AE223</f>
        <v>79.927696433225293</v>
      </c>
      <c r="T223" s="10">
        <f>[1]节奏总纲!AF223</f>
        <v>82.897557970681731</v>
      </c>
      <c r="U223" s="10">
        <f>[1]节奏总纲!AG223</f>
        <v>87.552555840488012</v>
      </c>
      <c r="V223" s="10">
        <f>[1]节奏总纲!AH223</f>
        <v>96.79904406483179</v>
      </c>
      <c r="AN223" s="12">
        <f>[1]节奏总纲!AZ223</f>
        <v>220</v>
      </c>
      <c r="AO223" s="12">
        <f>[1]节奏总纲!BA223</f>
        <v>43.329750976586219</v>
      </c>
      <c r="AP223" s="12">
        <f>[1]节奏总纲!BB223</f>
        <v>44.843574549861387</v>
      </c>
      <c r="AQ223" s="12">
        <f>[1]节奏总纲!BC223</f>
        <v>46.786118238547729</v>
      </c>
      <c r="AR223" s="12">
        <f>[1]节奏总纲!BD223</f>
        <v>49.526167968714425</v>
      </c>
      <c r="AS223" s="12">
        <f>[1]节奏总纲!BE223</f>
        <v>54.236799847277773</v>
      </c>
    </row>
    <row r="224" spans="17:45" x14ac:dyDescent="0.15">
      <c r="Q224" s="9">
        <v>221</v>
      </c>
      <c r="R224" s="10">
        <f>[1]节奏总纲!AD224</f>
        <v>77.942312709427185</v>
      </c>
      <c r="S224" s="10">
        <f>[1]节奏总纲!AE224</f>
        <v>79.994335665275713</v>
      </c>
      <c r="T224" s="10">
        <f>[1]节奏总纲!AF224</f>
        <v>82.963446482481729</v>
      </c>
      <c r="U224" s="10">
        <f>[1]节奏总纲!AG224</f>
        <v>87.627034736560347</v>
      </c>
      <c r="V224" s="10">
        <f>[1]节奏总纲!AH224</f>
        <v>96.85985417475716</v>
      </c>
      <c r="AN224" s="12">
        <f>[1]节奏总纲!AZ224</f>
        <v>221</v>
      </c>
      <c r="AO224" s="12">
        <f>[1]节奏总纲!BA224</f>
        <v>43.359708343333942</v>
      </c>
      <c r="AP224" s="12">
        <f>[1]节奏总纲!BB224</f>
        <v>44.875893857741268</v>
      </c>
      <c r="AQ224" s="12">
        <f>[1]节奏总纲!BC224</f>
        <v>46.818224976578939</v>
      </c>
      <c r="AR224" s="12">
        <f>[1]节奏总纲!BD224</f>
        <v>49.55715763720923</v>
      </c>
      <c r="AS224" s="12">
        <f>[1]节奏总纲!BE224</f>
        <v>54.266565843873799</v>
      </c>
    </row>
    <row r="225" spans="17:45" x14ac:dyDescent="0.15">
      <c r="Q225" s="9">
        <v>222</v>
      </c>
      <c r="R225" s="10">
        <f>[1]节奏总纲!AD225</f>
        <v>78.008693431404168</v>
      </c>
      <c r="S225" s="10">
        <f>[1]节奏总纲!AE225</f>
        <v>80.05990507131493</v>
      </c>
      <c r="T225" s="10">
        <f>[1]节奏总纲!AF225</f>
        <v>83.028328094754301</v>
      </c>
      <c r="U225" s="10">
        <f>[1]节奏总纲!AG225</f>
        <v>87.701513632632683</v>
      </c>
      <c r="V225" s="10">
        <f>[1]节奏总纲!AH225</f>
        <v>96.920664284682516</v>
      </c>
      <c r="AN225" s="12">
        <f>[1]节奏总纲!AZ225</f>
        <v>222</v>
      </c>
      <c r="AO225" s="12">
        <f>[1]节奏总纲!BA225</f>
        <v>43.389665710081658</v>
      </c>
      <c r="AP225" s="12">
        <f>[1]节奏总纲!BB225</f>
        <v>44.908213165621142</v>
      </c>
      <c r="AQ225" s="12">
        <f>[1]节奏总纲!BC225</f>
        <v>46.850331714610157</v>
      </c>
      <c r="AR225" s="12">
        <f>[1]节奏总纲!BD225</f>
        <v>49.588147305704041</v>
      </c>
      <c r="AS225" s="12">
        <f>[1]节奏总纲!BE225</f>
        <v>54.296331840469833</v>
      </c>
    </row>
    <row r="226" spans="17:45" x14ac:dyDescent="0.15">
      <c r="Q226" s="9">
        <v>223</v>
      </c>
      <c r="R226" s="10">
        <f>[1]节奏总纲!AD226</f>
        <v>78.071211008105138</v>
      </c>
      <c r="S226" s="10">
        <f>[1]节奏总纲!AE226</f>
        <v>80.125375094609936</v>
      </c>
      <c r="T226" s="10">
        <f>[1]节奏总纲!AF226</f>
        <v>83.091955037632331</v>
      </c>
      <c r="U226" s="10">
        <f>[1]节奏总纲!AG226</f>
        <v>87.775992528705018</v>
      </c>
      <c r="V226" s="10">
        <f>[1]节奏总纲!AH226</f>
        <v>96.981474394607886</v>
      </c>
      <c r="AN226" s="12">
        <f>[1]节奏总纲!AZ226</f>
        <v>223</v>
      </c>
      <c r="AO226" s="12">
        <f>[1]节奏总纲!BA226</f>
        <v>43.419623076829374</v>
      </c>
      <c r="AP226" s="12">
        <f>[1]节奏总纲!BB226</f>
        <v>44.940532473501023</v>
      </c>
      <c r="AQ226" s="12">
        <f>[1]节奏总纲!BC226</f>
        <v>46.882438452641367</v>
      </c>
      <c r="AR226" s="12">
        <f>[1]节奏总纲!BD226</f>
        <v>49.619136974198845</v>
      </c>
      <c r="AS226" s="12">
        <f>[1]节奏总纲!BE226</f>
        <v>54.326097837065859</v>
      </c>
    </row>
    <row r="227" spans="17:45" x14ac:dyDescent="0.15">
      <c r="Q227" s="9">
        <v>224</v>
      </c>
      <c r="R227" s="10">
        <f>[1]节奏总纲!AD227</f>
        <v>78.133728584806107</v>
      </c>
      <c r="S227" s="10">
        <f>[1]节奏总纲!AE227</f>
        <v>80.190845117904942</v>
      </c>
      <c r="T227" s="10">
        <f>[1]节奏总纲!AF227</f>
        <v>83.155581980510348</v>
      </c>
      <c r="U227" s="10">
        <f>[1]节奏总纲!AG227</f>
        <v>87.850471424777368</v>
      </c>
      <c r="V227" s="10">
        <f>[1]节奏总纲!AH227</f>
        <v>97.03979962522213</v>
      </c>
      <c r="AN227" s="12">
        <f>[1]节奏总纲!AZ227</f>
        <v>224</v>
      </c>
      <c r="AO227" s="12">
        <f>[1]节奏总纲!BA227</f>
        <v>43.449580443577091</v>
      </c>
      <c r="AP227" s="12">
        <f>[1]节奏总纲!BB227</f>
        <v>44.972851781380903</v>
      </c>
      <c r="AQ227" s="12">
        <f>[1]节奏总纲!BC227</f>
        <v>46.914545190672577</v>
      </c>
      <c r="AR227" s="12">
        <f>[1]节奏总纲!BD227</f>
        <v>49.65012664269365</v>
      </c>
      <c r="AS227" s="12">
        <f>[1]节奏总纲!BE227</f>
        <v>54.355863833661893</v>
      </c>
    </row>
    <row r="228" spans="17:45" x14ac:dyDescent="0.15">
      <c r="Q228" s="9">
        <v>225</v>
      </c>
      <c r="R228" s="10">
        <f>[1]节奏总纲!AD228</f>
        <v>78.196246161507091</v>
      </c>
      <c r="S228" s="10">
        <f>[1]节奏总纲!AE228</f>
        <v>80.256315141199948</v>
      </c>
      <c r="T228" s="10">
        <f>[1]节奏总纲!AF228</f>
        <v>83.219208923388379</v>
      </c>
      <c r="U228" s="10">
        <f>[1]节奏总纲!AG228</f>
        <v>87.924950320849703</v>
      </c>
      <c r="V228" s="10">
        <f>[1]节奏总纲!AH228</f>
        <v>97.097036185315744</v>
      </c>
      <c r="AN228" s="12">
        <f>[1]节奏总纲!AZ228</f>
        <v>225</v>
      </c>
      <c r="AO228" s="12">
        <f>[1]节奏总纲!BA228</f>
        <v>43.479537810324814</v>
      </c>
      <c r="AP228" s="12">
        <f>[1]节奏总纲!BB228</f>
        <v>45.004463376644416</v>
      </c>
      <c r="AQ228" s="12">
        <f>[1]节奏总纲!BC228</f>
        <v>46.946651928703794</v>
      </c>
      <c r="AR228" s="12">
        <f>[1]节奏总纲!BD228</f>
        <v>49.681116311188454</v>
      </c>
      <c r="AS228" s="12">
        <f>[1]节奏总纲!BE228</f>
        <v>54.385629830257926</v>
      </c>
    </row>
    <row r="229" spans="17:45" x14ac:dyDescent="0.15">
      <c r="Q229" s="9">
        <v>226</v>
      </c>
      <c r="R229" s="10">
        <f>[1]节奏总纲!AD229</f>
        <v>78.25876373820806</v>
      </c>
      <c r="S229" s="10">
        <f>[1]节奏总纲!AE229</f>
        <v>80.321785164494941</v>
      </c>
      <c r="T229" s="10">
        <f>[1]节奏总纲!AF229</f>
        <v>83.282835866266396</v>
      </c>
      <c r="U229" s="10">
        <f>[1]节奏总纲!AG229</f>
        <v>87.999429216922039</v>
      </c>
      <c r="V229" s="10">
        <f>[1]节奏总纲!AH229</f>
        <v>97.154272745409358</v>
      </c>
      <c r="AN229" s="12">
        <f>[1]节奏总纲!AZ229</f>
        <v>226</v>
      </c>
      <c r="AO229" s="12">
        <f>[1]节奏总纲!BA229</f>
        <v>43.50949517707253</v>
      </c>
      <c r="AP229" s="12">
        <f>[1]节奏总纲!BB229</f>
        <v>45.032359480672049</v>
      </c>
      <c r="AQ229" s="12">
        <f>[1]节奏总纲!BC229</f>
        <v>46.978758666735004</v>
      </c>
      <c r="AR229" s="12">
        <f>[1]节奏总纲!BD229</f>
        <v>49.712105979683258</v>
      </c>
      <c r="AS229" s="12">
        <f>[1]节奏总纲!BE229</f>
        <v>54.415395826853953</v>
      </c>
    </row>
    <row r="230" spans="17:45" x14ac:dyDescent="0.15">
      <c r="Q230" s="9">
        <v>227</v>
      </c>
      <c r="R230" s="10">
        <f>[1]节奏总纲!AD230</f>
        <v>78.321281314909029</v>
      </c>
      <c r="S230" s="10">
        <f>[1]节奏总纲!AE230</f>
        <v>80.387255187789947</v>
      </c>
      <c r="T230" s="10">
        <f>[1]节奏总纲!AF230</f>
        <v>83.346462809144427</v>
      </c>
      <c r="U230" s="10">
        <f>[1]节奏总纲!AG230</f>
        <v>88.069378113045531</v>
      </c>
      <c r="V230" s="10">
        <f>[1]节奏总纲!AH230</f>
        <v>97.211509305502972</v>
      </c>
      <c r="AN230" s="12">
        <f>[1]节奏总纲!AZ230</f>
        <v>227</v>
      </c>
      <c r="AO230" s="12">
        <f>[1]节奏总纲!BA230</f>
        <v>43.539452543820246</v>
      </c>
      <c r="AP230" s="12">
        <f>[1]节奏总纲!BB230</f>
        <v>45.060255584699682</v>
      </c>
      <c r="AQ230" s="12">
        <f>[1]节奏总纲!BC230</f>
        <v>47.009379755645142</v>
      </c>
      <c r="AR230" s="12">
        <f>[1]节奏总纲!BD230</f>
        <v>49.743095648178063</v>
      </c>
      <c r="AS230" s="12">
        <f>[1]节奏总纲!BE230</f>
        <v>54.445161823449986</v>
      </c>
    </row>
    <row r="231" spans="17:45" x14ac:dyDescent="0.15">
      <c r="Q231" s="9">
        <v>228</v>
      </c>
      <c r="R231" s="10">
        <f>[1]节奏总纲!AD231</f>
        <v>78.383798891610013</v>
      </c>
      <c r="S231" s="10">
        <f>[1]节奏总纲!AE231</f>
        <v>80.452725211084953</v>
      </c>
      <c r="T231" s="10">
        <f>[1]节奏总纲!AF231</f>
        <v>83.410089752022458</v>
      </c>
      <c r="U231" s="10">
        <f>[1]节奏总纲!AG231</f>
        <v>88.139292024548126</v>
      </c>
      <c r="V231" s="10">
        <f>[1]节奏总纲!AH231</f>
        <v>97.268745865596571</v>
      </c>
      <c r="AN231" s="12">
        <f>[1]节奏总纲!AZ231</f>
        <v>228</v>
      </c>
      <c r="AO231" s="12">
        <f>[1]节奏总纲!BA231</f>
        <v>43.569409910567963</v>
      </c>
      <c r="AP231" s="12">
        <f>[1]节奏总纲!BB231</f>
        <v>45.088151688727308</v>
      </c>
      <c r="AQ231" s="12">
        <f>[1]节奏总纲!BC231</f>
        <v>47.037096473409001</v>
      </c>
      <c r="AR231" s="12">
        <f>[1]节奏总纲!BD231</f>
        <v>49.774085316672867</v>
      </c>
      <c r="AS231" s="12">
        <f>[1]节奏总纲!BE231</f>
        <v>54.47492782004602</v>
      </c>
    </row>
    <row r="232" spans="17:45" x14ac:dyDescent="0.15">
      <c r="Q232" s="9">
        <v>229</v>
      </c>
      <c r="R232" s="10">
        <f>[1]节奏总纲!AD232</f>
        <v>78.446316468310982</v>
      </c>
      <c r="S232" s="10">
        <f>[1]节奏总纲!AE232</f>
        <v>80.518195234379959</v>
      </c>
      <c r="T232" s="10">
        <f>[1]节奏总纲!AF232</f>
        <v>83.473716694900475</v>
      </c>
      <c r="U232" s="10">
        <f>[1]节奏总纲!AG232</f>
        <v>88.209205936050708</v>
      </c>
      <c r="V232" s="10">
        <f>[1]节奏总纲!AH232</f>
        <v>97.325982425690185</v>
      </c>
      <c r="AN232" s="12">
        <f>[1]节奏总纲!AZ232</f>
        <v>229</v>
      </c>
      <c r="AO232" s="12">
        <f>[1]节奏总纲!BA232</f>
        <v>43.599367277315686</v>
      </c>
      <c r="AP232" s="12">
        <f>[1]节奏总纲!BB232</f>
        <v>45.116047792754941</v>
      </c>
      <c r="AQ232" s="12">
        <f>[1]节奏总纲!BC232</f>
        <v>47.06481319117286</v>
      </c>
      <c r="AR232" s="12">
        <f>[1]节奏总纲!BD232</f>
        <v>49.805074985167678</v>
      </c>
      <c r="AS232" s="12">
        <f>[1]节奏总纲!BE232</f>
        <v>54.504693816642046</v>
      </c>
    </row>
    <row r="233" spans="17:45" x14ac:dyDescent="0.15">
      <c r="Q233" s="9">
        <v>230</v>
      </c>
      <c r="R233" s="10">
        <f>[1]节奏总纲!AD233</f>
        <v>78.508834045011952</v>
      </c>
      <c r="S233" s="10">
        <f>[1]节奏总纲!AE233</f>
        <v>80.583665257674966</v>
      </c>
      <c r="T233" s="10">
        <f>[1]节奏总纲!AF233</f>
        <v>83.537343637778505</v>
      </c>
      <c r="U233" s="10">
        <f>[1]节奏总纲!AG233</f>
        <v>88.279119847553304</v>
      </c>
      <c r="V233" s="10">
        <f>[1]节奏总纲!AH233</f>
        <v>97.383218985783799</v>
      </c>
      <c r="AN233" s="12">
        <f>[1]节奏总纲!AZ233</f>
        <v>230</v>
      </c>
      <c r="AO233" s="12">
        <f>[1]节奏总纲!BA233</f>
        <v>43.629324644063402</v>
      </c>
      <c r="AP233" s="12">
        <f>[1]节奏总纲!BB233</f>
        <v>45.143943896782567</v>
      </c>
      <c r="AQ233" s="12">
        <f>[1]节奏总纲!BC233</f>
        <v>47.092529908936719</v>
      </c>
      <c r="AR233" s="12">
        <f>[1]节奏总纲!BD233</f>
        <v>49.836064653662483</v>
      </c>
      <c r="AS233" s="12">
        <f>[1]节奏总纲!BE233</f>
        <v>54.53445981323808</v>
      </c>
    </row>
    <row r="234" spans="17:45" x14ac:dyDescent="0.15">
      <c r="Q234" s="9">
        <v>231</v>
      </c>
      <c r="R234" s="10">
        <f>[1]节奏总纲!AD234</f>
        <v>78.571351621712921</v>
      </c>
      <c r="S234" s="10">
        <f>[1]节奏总纲!AE234</f>
        <v>80.649135280969972</v>
      </c>
      <c r="T234" s="10">
        <f>[1]节奏总纲!AF234</f>
        <v>83.600970580656536</v>
      </c>
      <c r="U234" s="10">
        <f>[1]节奏总纲!AG234</f>
        <v>88.349033759055899</v>
      </c>
      <c r="V234" s="10">
        <f>[1]节奏总纲!AH234</f>
        <v>97.440455545877413</v>
      </c>
      <c r="AN234" s="12">
        <f>[1]节奏总纲!AZ234</f>
        <v>231</v>
      </c>
      <c r="AO234" s="12">
        <f>[1]节奏总纲!BA234</f>
        <v>43.659282010811118</v>
      </c>
      <c r="AP234" s="12">
        <f>[1]节奏总纲!BB234</f>
        <v>45.171840000810199</v>
      </c>
      <c r="AQ234" s="12">
        <f>[1]节奏总纲!BC234</f>
        <v>47.120246626700578</v>
      </c>
      <c r="AR234" s="12">
        <f>[1]节奏总纲!BD234</f>
        <v>49.867054322157287</v>
      </c>
      <c r="AS234" s="12">
        <f>[1]节奏总纲!BE234</f>
        <v>54.564225809834106</v>
      </c>
    </row>
    <row r="235" spans="17:45" x14ac:dyDescent="0.15">
      <c r="Q235" s="9">
        <v>232</v>
      </c>
      <c r="R235" s="10">
        <f>[1]节奏总纲!AD235</f>
        <v>78.633869198413905</v>
      </c>
      <c r="S235" s="10">
        <f>[1]节奏总纲!AE235</f>
        <v>80.714605304264978</v>
      </c>
      <c r="T235" s="10">
        <f>[1]节奏总纲!AF235</f>
        <v>83.664597523534553</v>
      </c>
      <c r="U235" s="10">
        <f>[1]节奏总纲!AG235</f>
        <v>88.418947670558495</v>
      </c>
      <c r="V235" s="10">
        <f>[1]节奏总纲!AH235</f>
        <v>97.497692105971026</v>
      </c>
      <c r="AN235" s="12">
        <f>[1]节奏总纲!AZ235</f>
        <v>232</v>
      </c>
      <c r="AO235" s="12">
        <f>[1]节奏总纲!BA235</f>
        <v>43.689239377558835</v>
      </c>
      <c r="AP235" s="12">
        <f>[1]节奏总纲!BB235</f>
        <v>45.199736104837825</v>
      </c>
      <c r="AQ235" s="12">
        <f>[1]节奏总纲!BC235</f>
        <v>47.147963344464429</v>
      </c>
      <c r="AR235" s="12">
        <f>[1]节奏总纲!BD235</f>
        <v>49.898043990652091</v>
      </c>
      <c r="AS235" s="12">
        <f>[1]节奏总纲!BE235</f>
        <v>54.593991806430139</v>
      </c>
    </row>
    <row r="236" spans="17:45" x14ac:dyDescent="0.15">
      <c r="Q236" s="9">
        <v>233</v>
      </c>
      <c r="R236" s="10">
        <f>[1]节奏总纲!AD236</f>
        <v>78.696386775114874</v>
      </c>
      <c r="S236" s="10">
        <f>[1]节奏总纲!AE236</f>
        <v>80.78007532755997</v>
      </c>
      <c r="T236" s="10">
        <f>[1]节奏总纲!AF236</f>
        <v>83.728224466412584</v>
      </c>
      <c r="U236" s="10">
        <f>[1]节奏总纲!AG236</f>
        <v>88.488861582061077</v>
      </c>
      <c r="V236" s="10">
        <f>[1]节奏总纲!AH236</f>
        <v>97.554928666064626</v>
      </c>
      <c r="AN236" s="12">
        <f>[1]节奏总纲!AZ236</f>
        <v>233</v>
      </c>
      <c r="AO236" s="12">
        <f>[1]节奏总纲!BA236</f>
        <v>43.719196744306558</v>
      </c>
      <c r="AP236" s="12">
        <f>[1]节奏总纲!BB236</f>
        <v>45.227632208865458</v>
      </c>
      <c r="AQ236" s="12">
        <f>[1]节奏总纲!BC236</f>
        <v>47.175680062228288</v>
      </c>
      <c r="AR236" s="12">
        <f>[1]节奏总纲!BD236</f>
        <v>49.929033659146896</v>
      </c>
      <c r="AS236" s="12">
        <f>[1]节奏总纲!BE236</f>
        <v>54.623757803026173</v>
      </c>
    </row>
    <row r="237" spans="17:45" x14ac:dyDescent="0.15">
      <c r="Q237" s="9">
        <v>234</v>
      </c>
      <c r="R237" s="10">
        <f>[1]节奏总纲!AD237</f>
        <v>78.758904351815843</v>
      </c>
      <c r="S237" s="10">
        <f>[1]节奏总纲!AE237</f>
        <v>80.845545350854977</v>
      </c>
      <c r="T237" s="10">
        <f>[1]节奏总纲!AF237</f>
        <v>83.791851409290615</v>
      </c>
      <c r="U237" s="10">
        <f>[1]节奏总纲!AG237</f>
        <v>88.558775493563672</v>
      </c>
      <c r="V237" s="10">
        <f>[1]节奏总纲!AH237</f>
        <v>97.61216522615824</v>
      </c>
      <c r="AN237" s="12">
        <f>[1]节奏总纲!AZ237</f>
        <v>234</v>
      </c>
      <c r="AO237" s="12">
        <f>[1]节奏总纲!BA237</f>
        <v>43.749154111054274</v>
      </c>
      <c r="AP237" s="12">
        <f>[1]节奏总纲!BB237</f>
        <v>45.255528312893091</v>
      </c>
      <c r="AQ237" s="12">
        <f>[1]节奏总纲!BC237</f>
        <v>47.203396779992147</v>
      </c>
      <c r="AR237" s="12">
        <f>[1]节奏总纲!BD237</f>
        <v>49.9600233276417</v>
      </c>
      <c r="AS237" s="12">
        <f>[1]节奏总纲!BE237</f>
        <v>54.653523799622199</v>
      </c>
    </row>
    <row r="238" spans="17:45" x14ac:dyDescent="0.15">
      <c r="Q238" s="9">
        <v>235</v>
      </c>
      <c r="R238" s="10">
        <f>[1]节奏总纲!AD238</f>
        <v>78.821421928516827</v>
      </c>
      <c r="S238" s="10">
        <f>[1]节奏总纲!AE238</f>
        <v>80.911015374149983</v>
      </c>
      <c r="T238" s="10">
        <f>[1]节奏总纲!AF238</f>
        <v>83.855478352168632</v>
      </c>
      <c r="U238" s="10">
        <f>[1]节奏总纲!AG238</f>
        <v>88.628689405066268</v>
      </c>
      <c r="V238" s="10">
        <f>[1]节奏总纲!AH238</f>
        <v>97.669401786251854</v>
      </c>
      <c r="AN238" s="12">
        <f>[1]节奏总纲!AZ238</f>
        <v>235</v>
      </c>
      <c r="AO238" s="12">
        <f>[1]节奏总纲!BA238</f>
        <v>43.77911147780199</v>
      </c>
      <c r="AP238" s="12">
        <f>[1]节奏总纲!BB238</f>
        <v>45.283424416920717</v>
      </c>
      <c r="AQ238" s="12">
        <f>[1]节奏总纲!BC238</f>
        <v>47.231113497756006</v>
      </c>
      <c r="AR238" s="12">
        <f>[1]节奏总纲!BD238</f>
        <v>49.991012996136504</v>
      </c>
      <c r="AS238" s="12">
        <f>[1]节奏总纲!BE238</f>
        <v>54.683289796218233</v>
      </c>
    </row>
    <row r="239" spans="17:45" x14ac:dyDescent="0.15">
      <c r="Q239" s="9">
        <v>236</v>
      </c>
      <c r="R239" s="10">
        <f>[1]节奏总纲!AD239</f>
        <v>78.883939505217796</v>
      </c>
      <c r="S239" s="10">
        <f>[1]节奏总纲!AE239</f>
        <v>80.976485397444989</v>
      </c>
      <c r="T239" s="10">
        <f>[1]节奏总纲!AF239</f>
        <v>83.919105295046663</v>
      </c>
      <c r="U239" s="10">
        <f>[1]节奏总纲!AG239</f>
        <v>88.698603316568864</v>
      </c>
      <c r="V239" s="10">
        <f>[1]节奏总纲!AH239</f>
        <v>97.726638346345467</v>
      </c>
      <c r="AN239" s="12">
        <f>[1]节奏总纲!AZ239</f>
        <v>236</v>
      </c>
      <c r="AO239" s="12">
        <f>[1]节奏总纲!BA239</f>
        <v>43.809068844549707</v>
      </c>
      <c r="AP239" s="12">
        <f>[1]节奏总纲!BB239</f>
        <v>45.31132052094835</v>
      </c>
      <c r="AQ239" s="12">
        <f>[1]节奏总纲!BC239</f>
        <v>47.258830215519865</v>
      </c>
      <c r="AR239" s="12">
        <f>[1]节奏总纲!BD239</f>
        <v>50.018998195299922</v>
      </c>
      <c r="AS239" s="12">
        <f>[1]节奏总纲!BE239</f>
        <v>54.713055792814259</v>
      </c>
    </row>
    <row r="240" spans="17:45" x14ac:dyDescent="0.15">
      <c r="Q240" s="9">
        <v>237</v>
      </c>
      <c r="R240" s="10">
        <f>[1]节奏总纲!AD240</f>
        <v>78.946457081918766</v>
      </c>
      <c r="S240" s="10">
        <f>[1]节奏总纲!AE240</f>
        <v>81.038163244467697</v>
      </c>
      <c r="T240" s="10">
        <f>[1]节奏总纲!AF240</f>
        <v>83.982732237924694</v>
      </c>
      <c r="U240" s="10">
        <f>[1]节奏总纲!AG240</f>
        <v>88.768517228071445</v>
      </c>
      <c r="V240" s="10">
        <f>[1]节奏总纲!AH240</f>
        <v>97.783874906439081</v>
      </c>
      <c r="AN240" s="12">
        <f>[1]节奏总纲!AZ240</f>
        <v>237</v>
      </c>
      <c r="AO240" s="12">
        <f>[1]节奏总纲!BA240</f>
        <v>43.83902621129743</v>
      </c>
      <c r="AP240" s="12">
        <f>[1]节奏总纲!BB240</f>
        <v>45.339216624975975</v>
      </c>
      <c r="AQ240" s="12">
        <f>[1]节奏总纲!BC240</f>
        <v>47.286546933283724</v>
      </c>
      <c r="AR240" s="12">
        <f>[1]节奏总纲!BD240</f>
        <v>50.045756216849099</v>
      </c>
      <c r="AS240" s="12">
        <f>[1]节奏总纲!BE240</f>
        <v>54.742821789410293</v>
      </c>
    </row>
    <row r="241" spans="17:45" x14ac:dyDescent="0.15">
      <c r="Q241" s="9">
        <v>238</v>
      </c>
      <c r="R241" s="10">
        <f>[1]节奏总纲!AD241</f>
        <v>79.008373652580005</v>
      </c>
      <c r="S241" s="10">
        <f>[1]节奏总纲!AE241</f>
        <v>81.097715704203424</v>
      </c>
      <c r="T241" s="10">
        <f>[1]节奏总纲!AF241</f>
        <v>84.043767921022209</v>
      </c>
      <c r="U241" s="10">
        <f>[1]节奏总纲!AG241</f>
        <v>88.838431139574041</v>
      </c>
      <c r="V241" s="10">
        <f>[1]节奏总纲!AH241</f>
        <v>97.841111466532681</v>
      </c>
      <c r="AN241" s="12">
        <f>[1]节奏总纲!AZ241</f>
        <v>238</v>
      </c>
      <c r="AO241" s="12">
        <f>[1]节奏总纲!BA241</f>
        <v>43.868983578045146</v>
      </c>
      <c r="AP241" s="12">
        <f>[1]节奏总纲!BB241</f>
        <v>45.367112729003608</v>
      </c>
      <c r="AQ241" s="12">
        <f>[1]节奏总纲!BC241</f>
        <v>47.314263651047582</v>
      </c>
      <c r="AR241" s="12">
        <f>[1]节奏总纲!BD241</f>
        <v>50.072514238398277</v>
      </c>
      <c r="AS241" s="12">
        <f>[1]节奏总纲!BE241</f>
        <v>54.772587786006326</v>
      </c>
    </row>
    <row r="242" spans="17:45" x14ac:dyDescent="0.15">
      <c r="Q242" s="9">
        <v>239</v>
      </c>
      <c r="R242" s="10">
        <f>[1]节奏总纲!AD242</f>
        <v>79.066704614192943</v>
      </c>
      <c r="S242" s="10">
        <f>[1]节奏总纲!AE242</f>
        <v>81.157268163939136</v>
      </c>
      <c r="T242" s="10">
        <f>[1]节奏总纲!AF242</f>
        <v>84.103838417578672</v>
      </c>
      <c r="U242" s="10">
        <f>[1]节奏总纲!AG242</f>
        <v>88.908345051076637</v>
      </c>
      <c r="V242" s="10">
        <f>[1]节奏总纲!AH242</f>
        <v>97.898348026626294</v>
      </c>
      <c r="AN242" s="12">
        <f>[1]节奏总纲!AZ242</f>
        <v>239</v>
      </c>
      <c r="AO242" s="12">
        <f>[1]节奏总纲!BA242</f>
        <v>43.898940944792862</v>
      </c>
      <c r="AP242" s="12">
        <f>[1]节奏总纲!BB242</f>
        <v>45.395008833031234</v>
      </c>
      <c r="AQ242" s="12">
        <f>[1]节奏总纲!BC242</f>
        <v>47.341980368811441</v>
      </c>
      <c r="AR242" s="12">
        <f>[1]节奏总纲!BD242</f>
        <v>50.099272259947462</v>
      </c>
      <c r="AS242" s="12">
        <f>[1]节奏总纲!BE242</f>
        <v>54.802353782602353</v>
      </c>
    </row>
    <row r="243" spans="17:45" x14ac:dyDescent="0.15">
      <c r="Q243" s="9">
        <v>240</v>
      </c>
      <c r="R243" s="10">
        <f>[1]节奏总纲!AD243</f>
        <v>79.125035575805882</v>
      </c>
      <c r="S243" s="10">
        <f>[1]节奏总纲!AE243</f>
        <v>81.216820623674849</v>
      </c>
      <c r="T243" s="10">
        <f>[1]节奏总纲!AF243</f>
        <v>84.163908914135135</v>
      </c>
      <c r="U243" s="10">
        <f>[1]节奏总纲!AG243</f>
        <v>88.978258962579233</v>
      </c>
      <c r="V243" s="10">
        <f>[1]节奏总纲!AH243</f>
        <v>97.955584586719908</v>
      </c>
      <c r="AN243" s="12">
        <f>[1]节奏总纲!AZ243</f>
        <v>240</v>
      </c>
      <c r="AO243" s="12">
        <f>[1]节奏总纲!BA243</f>
        <v>43.928898311540586</v>
      </c>
      <c r="AP243" s="12">
        <f>[1]节奏总纲!BB243</f>
        <v>45.422904937058867</v>
      </c>
      <c r="AQ243" s="12">
        <f>[1]节奏总纲!BC243</f>
        <v>47.3696970865753</v>
      </c>
      <c r="AR243" s="12">
        <f>[1]节奏总纲!BD243</f>
        <v>50.126030281496639</v>
      </c>
      <c r="AS243" s="12">
        <f>[1]节奏总纲!BE243</f>
        <v>54.832119779198386</v>
      </c>
    </row>
    <row r="244" spans="17:45" x14ac:dyDescent="0.15">
      <c r="Q244" s="9">
        <v>241</v>
      </c>
      <c r="R244" s="10">
        <f>[1]节奏总纲!AD244</f>
        <v>79.18336653741882</v>
      </c>
      <c r="S244" s="10">
        <f>[1]节奏总纲!AE244</f>
        <v>81.276373083410562</v>
      </c>
      <c r="T244" s="10">
        <f>[1]节奏总纲!AF244</f>
        <v>84.223979410691598</v>
      </c>
      <c r="U244" s="10">
        <f>[1]节奏总纲!AG244</f>
        <v>89.047272179270863</v>
      </c>
      <c r="V244" s="10">
        <f>[1]节奏总纲!AH244</f>
        <v>98.013314854852808</v>
      </c>
      <c r="AN244" s="12">
        <f>[1]节奏总纲!AZ244</f>
        <v>241</v>
      </c>
      <c r="AO244" s="12">
        <f>[1]节奏总纲!BA244</f>
        <v>43.958855678288302</v>
      </c>
      <c r="AP244" s="12">
        <f>[1]节奏总纲!BB244</f>
        <v>45.450801041086493</v>
      </c>
      <c r="AQ244" s="12">
        <f>[1]节奏总纲!BC244</f>
        <v>47.397413804339159</v>
      </c>
      <c r="AR244" s="12">
        <f>[1]节奏总纲!BD244</f>
        <v>50.152788303045817</v>
      </c>
      <c r="AS244" s="12">
        <f>[1]节奏总纲!BE244</f>
        <v>54.86188577579442</v>
      </c>
    </row>
    <row r="245" spans="17:45" x14ac:dyDescent="0.15">
      <c r="Q245" s="9">
        <v>242</v>
      </c>
      <c r="R245" s="10">
        <f>[1]节奏总纲!AD245</f>
        <v>79.241697499031773</v>
      </c>
      <c r="S245" s="10">
        <f>[1]节奏总纲!AE245</f>
        <v>81.335925543146274</v>
      </c>
      <c r="T245" s="10">
        <f>[1]节奏总纲!AF245</f>
        <v>84.284049907248061</v>
      </c>
      <c r="U245" s="10">
        <f>[1]节奏总纲!AG245</f>
        <v>89.11587890081428</v>
      </c>
      <c r="V245" s="10">
        <f>[1]节奏总纲!AH245</f>
        <v>98.072755441643167</v>
      </c>
      <c r="AN245" s="12">
        <f>[1]节奏总纲!AZ245</f>
        <v>242</v>
      </c>
      <c r="AO245" s="12">
        <f>[1]节奏总纲!BA245</f>
        <v>43.988813045036018</v>
      </c>
      <c r="AP245" s="12">
        <f>[1]节奏总纲!BB245</f>
        <v>45.478697145114126</v>
      </c>
      <c r="AQ245" s="12">
        <f>[1]节奏总纲!BC245</f>
        <v>47.425130522103018</v>
      </c>
      <c r="AR245" s="12">
        <f>[1]节奏总纲!BD245</f>
        <v>50.179546324595002</v>
      </c>
      <c r="AS245" s="12">
        <f>[1]节奏总纲!BE245</f>
        <v>54.891651772390446</v>
      </c>
    </row>
    <row r="246" spans="17:45" x14ac:dyDescent="0.15">
      <c r="Q246" s="9">
        <v>243</v>
      </c>
      <c r="R246" s="10">
        <f>[1]节奏总纲!AD246</f>
        <v>79.300028460644711</v>
      </c>
      <c r="S246" s="10">
        <f>[1]节奏总纲!AE246</f>
        <v>81.395478002882001</v>
      </c>
      <c r="T246" s="10">
        <f>[1]节奏总纲!AF246</f>
        <v>84.344120403804524</v>
      </c>
      <c r="U246" s="10">
        <f>[1]节奏总纲!AG246</f>
        <v>89.184485622357698</v>
      </c>
      <c r="V246" s="10">
        <f>[1]节奏总纲!AH246</f>
        <v>98.132196028433526</v>
      </c>
      <c r="AN246" s="12">
        <f>[1]节奏总纲!AZ246</f>
        <v>243</v>
      </c>
      <c r="AO246" s="12">
        <f>[1]节奏总纲!BA246</f>
        <v>44.016200268136501</v>
      </c>
      <c r="AP246" s="12">
        <f>[1]节奏总纲!BB246</f>
        <v>45.506593249141758</v>
      </c>
      <c r="AQ246" s="12">
        <f>[1]节奏总纲!BC246</f>
        <v>47.452847239866877</v>
      </c>
      <c r="AR246" s="12">
        <f>[1]节奏总纲!BD246</f>
        <v>50.206304346144179</v>
      </c>
      <c r="AS246" s="12">
        <f>[1]节奏总纲!BE246</f>
        <v>54.92141776898648</v>
      </c>
    </row>
    <row r="247" spans="17:45" x14ac:dyDescent="0.15">
      <c r="Q247" s="9">
        <v>244</v>
      </c>
      <c r="R247" s="10">
        <f>[1]节奏总纲!AD247</f>
        <v>79.358359422257649</v>
      </c>
      <c r="S247" s="10">
        <f>[1]节奏总纲!AE247</f>
        <v>81.455030462617714</v>
      </c>
      <c r="T247" s="10">
        <f>[1]节奏总纲!AF247</f>
        <v>84.404190900360987</v>
      </c>
      <c r="U247" s="10">
        <f>[1]节奏总纲!AG247</f>
        <v>89.253092343901116</v>
      </c>
      <c r="V247" s="10">
        <f>[1]节奏总纲!AH247</f>
        <v>98.191636615223871</v>
      </c>
      <c r="AN247" s="12">
        <f>[1]节奏总纲!AZ247</f>
        <v>244</v>
      </c>
      <c r="AO247" s="12">
        <f>[1]节奏总纲!BA247</f>
        <v>44.042055714440401</v>
      </c>
      <c r="AP247" s="12">
        <f>[1]节奏总纲!BB247</f>
        <v>45.534489353169384</v>
      </c>
      <c r="AQ247" s="12">
        <f>[1]节奏总纲!BC247</f>
        <v>47.480563957630736</v>
      </c>
      <c r="AR247" s="12">
        <f>[1]节奏总纲!BD247</f>
        <v>50.233062367693357</v>
      </c>
      <c r="AS247" s="12">
        <f>[1]节奏总纲!BE247</f>
        <v>54.951183765582506</v>
      </c>
    </row>
    <row r="248" spans="17:45" x14ac:dyDescent="0.15">
      <c r="Q248" s="9">
        <v>245</v>
      </c>
      <c r="R248" s="10">
        <f>[1]节奏总纲!AD248</f>
        <v>79.416690383870588</v>
      </c>
      <c r="S248" s="10">
        <f>[1]节奏总纲!AE248</f>
        <v>81.514582922353426</v>
      </c>
      <c r="T248" s="10">
        <f>[1]节奏总纲!AF248</f>
        <v>84.46426139691745</v>
      </c>
      <c r="U248" s="10">
        <f>[1]节奏总纲!AG248</f>
        <v>89.321699065444534</v>
      </c>
      <c r="V248" s="10">
        <f>[1]节奏总纲!AH248</f>
        <v>98.25107720201423</v>
      </c>
      <c r="AN248" s="12">
        <f>[1]节奏总纲!AZ248</f>
        <v>245</v>
      </c>
      <c r="AO248" s="12">
        <f>[1]节奏总纲!BA248</f>
        <v>44.067911160744309</v>
      </c>
      <c r="AP248" s="12">
        <f>[1]节奏总纲!BB248</f>
        <v>45.562385457197017</v>
      </c>
      <c r="AQ248" s="12">
        <f>[1]节奏总纲!BC248</f>
        <v>47.508280675394595</v>
      </c>
      <c r="AR248" s="12">
        <f>[1]节奏总纲!BD248</f>
        <v>50.259820389242542</v>
      </c>
      <c r="AS248" s="12">
        <f>[1]节奏总纲!BE248</f>
        <v>54.98094976217854</v>
      </c>
    </row>
    <row r="249" spans="17:45" x14ac:dyDescent="0.15">
      <c r="Q249" s="9">
        <v>246</v>
      </c>
      <c r="R249" s="10">
        <f>[1]节奏总纲!AD249</f>
        <v>79.475021345483526</v>
      </c>
      <c r="S249" s="10">
        <f>[1]节奏总纲!AE249</f>
        <v>81.574135382089139</v>
      </c>
      <c r="T249" s="10">
        <f>[1]节奏总纲!AF249</f>
        <v>84.524331893473914</v>
      </c>
      <c r="U249" s="10">
        <f>[1]节奏总纲!AG249</f>
        <v>89.390305786987952</v>
      </c>
      <c r="V249" s="10">
        <f>[1]节奏总纲!AH249</f>
        <v>98.310517788804589</v>
      </c>
      <c r="AN249" s="12">
        <f>[1]节奏总纲!AZ249</f>
        <v>246</v>
      </c>
      <c r="AO249" s="12">
        <f>[1]节奏总纲!BA249</f>
        <v>44.093766607048209</v>
      </c>
      <c r="AP249" s="12">
        <f>[1]节奏总纲!BB249</f>
        <v>45.590281561224643</v>
      </c>
      <c r="AQ249" s="12">
        <f>[1]节奏总纲!BC249</f>
        <v>47.535997393158453</v>
      </c>
      <c r="AR249" s="12">
        <f>[1]节奏总纲!BD249</f>
        <v>50.286578410791719</v>
      </c>
      <c r="AS249" s="12">
        <f>[1]节奏总纲!BE249</f>
        <v>55.009255535630842</v>
      </c>
    </row>
    <row r="250" spans="17:45" x14ac:dyDescent="0.15">
      <c r="Q250" s="9">
        <v>247</v>
      </c>
      <c r="R250" s="10">
        <f>[1]节奏总纲!AD250</f>
        <v>79.533352307096465</v>
      </c>
      <c r="S250" s="10">
        <f>[1]节奏总纲!AE250</f>
        <v>81.633687841824852</v>
      </c>
      <c r="T250" s="10">
        <f>[1]节奏总纲!AF250</f>
        <v>84.584402390030377</v>
      </c>
      <c r="U250" s="10">
        <f>[1]节奏总纲!AG250</f>
        <v>89.45891250853137</v>
      </c>
      <c r="V250" s="10">
        <f>[1]节奏总纲!AH250</f>
        <v>98.369958375594933</v>
      </c>
      <c r="AN250" s="12">
        <f>[1]节奏总纲!AZ250</f>
        <v>247</v>
      </c>
      <c r="AO250" s="12">
        <f>[1]节奏总纲!BA250</f>
        <v>44.11962205335211</v>
      </c>
      <c r="AP250" s="12">
        <f>[1]节奏总纲!BB250</f>
        <v>45.618177665252276</v>
      </c>
      <c r="AQ250" s="12">
        <f>[1]节奏总纲!BC250</f>
        <v>47.563714110922312</v>
      </c>
      <c r="AR250" s="12">
        <f>[1]节奏总纲!BD250</f>
        <v>50.313336432340897</v>
      </c>
      <c r="AS250" s="12">
        <f>[1]节奏总纲!BE250</f>
        <v>55.034965356827627</v>
      </c>
    </row>
    <row r="251" spans="17:45" x14ac:dyDescent="0.15">
      <c r="Q251" s="9">
        <v>248</v>
      </c>
      <c r="R251" s="10">
        <f>[1]节奏总纲!AD251</f>
        <v>79.591683268709417</v>
      </c>
      <c r="S251" s="10">
        <f>[1]节奏总纲!AE251</f>
        <v>81.693240301560579</v>
      </c>
      <c r="T251" s="10">
        <f>[1]节奏总纲!AF251</f>
        <v>84.64447288658684</v>
      </c>
      <c r="U251" s="10">
        <f>[1]节奏总纲!AG251</f>
        <v>89.527519230074788</v>
      </c>
      <c r="V251" s="10">
        <f>[1]节奏总纲!AH251</f>
        <v>98.429398962385292</v>
      </c>
      <c r="AN251" s="12">
        <f>[1]节奏总纲!AZ251</f>
        <v>248</v>
      </c>
      <c r="AO251" s="12">
        <f>[1]节奏总纲!BA251</f>
        <v>44.145477499656018</v>
      </c>
      <c r="AP251" s="12">
        <f>[1]节奏总纲!BB251</f>
        <v>45.646073769279901</v>
      </c>
      <c r="AQ251" s="12">
        <f>[1]节奏总纲!BC251</f>
        <v>47.591430828686171</v>
      </c>
      <c r="AR251" s="12">
        <f>[1]节奏总纲!BD251</f>
        <v>50.340094453890082</v>
      </c>
      <c r="AS251" s="12">
        <f>[1]节奏总纲!BE251</f>
        <v>55.060675178024418</v>
      </c>
    </row>
    <row r="252" spans="17:45" x14ac:dyDescent="0.15">
      <c r="Q252" s="9">
        <v>249</v>
      </c>
      <c r="R252" s="10">
        <f>[1]节奏总纲!AD252</f>
        <v>79.650014230322356</v>
      </c>
      <c r="S252" s="10">
        <f>[1]节奏总纲!AE252</f>
        <v>81.752792761296291</v>
      </c>
      <c r="T252" s="10">
        <f>[1]节奏总纲!AF252</f>
        <v>84.704543383143317</v>
      </c>
      <c r="U252" s="10">
        <f>[1]节奏总纲!AG252</f>
        <v>89.596125951618205</v>
      </c>
      <c r="V252" s="10">
        <f>[1]节奏总纲!AH252</f>
        <v>98.488839549175651</v>
      </c>
      <c r="AN252" s="12">
        <f>[1]节奏总纲!AZ252</f>
        <v>249</v>
      </c>
      <c r="AO252" s="12">
        <f>[1]节奏总纲!BA252</f>
        <v>44.171332945959918</v>
      </c>
      <c r="AP252" s="12">
        <f>[1]节奏总纲!BB252</f>
        <v>45.673969873307534</v>
      </c>
      <c r="AQ252" s="12">
        <f>[1]节奏总纲!BC252</f>
        <v>47.61914754645003</v>
      </c>
      <c r="AR252" s="12">
        <f>[1]节奏总纲!BD252</f>
        <v>50.366852475439259</v>
      </c>
      <c r="AS252" s="12">
        <f>[1]节奏总纲!BE252</f>
        <v>55.086384999221202</v>
      </c>
    </row>
    <row r="253" spans="17:45" x14ac:dyDescent="0.15">
      <c r="Q253" s="9">
        <v>250</v>
      </c>
      <c r="R253" s="10">
        <f>[1]节奏总纲!AD253</f>
        <v>79.708345191935294</v>
      </c>
      <c r="S253" s="10">
        <f>[1]节奏总纲!AE253</f>
        <v>81.812345221032004</v>
      </c>
      <c r="T253" s="10">
        <f>[1]节奏总纲!AF253</f>
        <v>84.76461387969978</v>
      </c>
      <c r="U253" s="10">
        <f>[1]节奏总纲!AG253</f>
        <v>89.664732673161623</v>
      </c>
      <c r="V253" s="10">
        <f>[1]节奏总纲!AH253</f>
        <v>98.548280135965996</v>
      </c>
      <c r="AN253" s="12">
        <f>[1]节奏总纲!AZ253</f>
        <v>250</v>
      </c>
      <c r="AO253" s="12">
        <f>[1]节奏总纲!BA253</f>
        <v>44.197188392263818</v>
      </c>
      <c r="AP253" s="12">
        <f>[1]节奏总纲!BB253</f>
        <v>45.701865977335167</v>
      </c>
      <c r="AQ253" s="12">
        <f>[1]节奏总纲!BC253</f>
        <v>47.646864264213889</v>
      </c>
      <c r="AR253" s="12">
        <f>[1]节奏总纲!BD253</f>
        <v>50.393610496988437</v>
      </c>
      <c r="AS253" s="12">
        <f>[1]节奏总纲!BE253</f>
        <v>55.112094820417994</v>
      </c>
    </row>
    <row r="254" spans="17:45" x14ac:dyDescent="0.15">
      <c r="Q254" s="9">
        <v>251</v>
      </c>
      <c r="R254" s="10">
        <f>[1]节奏总纲!AD254</f>
        <v>79.766676153548232</v>
      </c>
      <c r="S254" s="10">
        <f>[1]节奏总纲!AE254</f>
        <v>81.871897680767717</v>
      </c>
      <c r="T254" s="10">
        <f>[1]节奏总纲!AF254</f>
        <v>84.824684376256243</v>
      </c>
      <c r="U254" s="10">
        <f>[1]节奏总纲!AG254</f>
        <v>89.733339394705041</v>
      </c>
      <c r="V254" s="10">
        <f>[1]节奏总纲!AH254</f>
        <v>98.607720722756355</v>
      </c>
      <c r="AN254" s="12">
        <f>[1]节奏总纲!AZ254</f>
        <v>251</v>
      </c>
      <c r="AO254" s="12">
        <f>[1]节奏总纲!BA254</f>
        <v>44.223043838567726</v>
      </c>
      <c r="AP254" s="12">
        <f>[1]节奏总纲!BB254</f>
        <v>45.729762081362793</v>
      </c>
      <c r="AQ254" s="12">
        <f>[1]节奏总纲!BC254</f>
        <v>47.674580981977748</v>
      </c>
      <c r="AR254" s="12">
        <f>[1]节奏总纲!BD254</f>
        <v>50.420368518537622</v>
      </c>
      <c r="AS254" s="12">
        <f>[1]节奏总纲!BE254</f>
        <v>55.137804641614778</v>
      </c>
    </row>
    <row r="255" spans="17:45" x14ac:dyDescent="0.15">
      <c r="Q255" s="9">
        <v>252</v>
      </c>
      <c r="R255" s="10">
        <f>[1]节奏总纲!AD255</f>
        <v>79.825007115161171</v>
      </c>
      <c r="S255" s="10">
        <f>[1]节奏总纲!AE255</f>
        <v>81.931450140503429</v>
      </c>
      <c r="T255" s="10">
        <f>[1]节奏总纲!AF255</f>
        <v>84.884754872812707</v>
      </c>
      <c r="U255" s="10">
        <f>[1]节奏总纲!AG255</f>
        <v>89.801946116248459</v>
      </c>
      <c r="V255" s="10">
        <f>[1]节奏总纲!AH255</f>
        <v>98.667161309546714</v>
      </c>
      <c r="AN255" s="12">
        <f>[1]节奏总纲!AZ255</f>
        <v>252</v>
      </c>
      <c r="AO255" s="12">
        <f>[1]节奏总纲!BA255</f>
        <v>44.248899284871626</v>
      </c>
      <c r="AP255" s="12">
        <f>[1]节奏总纲!BB255</f>
        <v>45.757658185390426</v>
      </c>
      <c r="AQ255" s="12">
        <f>[1]节奏总纲!BC255</f>
        <v>47.7022976997416</v>
      </c>
      <c r="AR255" s="12">
        <f>[1]节奏总纲!BD255</f>
        <v>50.447126540086799</v>
      </c>
      <c r="AS255" s="12">
        <f>[1]节奏总纲!BE255</f>
        <v>55.163514462811563</v>
      </c>
    </row>
    <row r="256" spans="17:45" x14ac:dyDescent="0.15">
      <c r="Q256" s="9">
        <v>253</v>
      </c>
      <c r="R256" s="10">
        <f>[1]节奏总纲!AD256</f>
        <v>79.883338076774123</v>
      </c>
      <c r="S256" s="10">
        <f>[1]节奏总纲!AE256</f>
        <v>81.991002600239142</v>
      </c>
      <c r="T256" s="10">
        <f>[1]节奏总纲!AF256</f>
        <v>84.94482536936917</v>
      </c>
      <c r="U256" s="10">
        <f>[1]节奏总纲!AG256</f>
        <v>89.870552837791877</v>
      </c>
      <c r="V256" s="10">
        <f>[1]节奏总纲!AH256</f>
        <v>98.726601896337058</v>
      </c>
      <c r="AN256" s="12">
        <f>[1]节奏总纲!AZ256</f>
        <v>253</v>
      </c>
      <c r="AO256" s="12">
        <f>[1]节奏总纲!BA256</f>
        <v>44.274754731175527</v>
      </c>
      <c r="AP256" s="12">
        <f>[1]节奏总纲!BB256</f>
        <v>45.785554289418052</v>
      </c>
      <c r="AQ256" s="12">
        <f>[1]节奏总纲!BC256</f>
        <v>47.730014417505458</v>
      </c>
      <c r="AR256" s="12">
        <f>[1]节奏总纲!BD256</f>
        <v>50.473884561635977</v>
      </c>
      <c r="AS256" s="12">
        <f>[1]节奏总纲!BE256</f>
        <v>55.189224284008354</v>
      </c>
    </row>
    <row r="257" spans="17:45" x14ac:dyDescent="0.15">
      <c r="Q257" s="9">
        <v>254</v>
      </c>
      <c r="R257" s="10">
        <f>[1]节奏总纲!AD257</f>
        <v>79.941669038387062</v>
      </c>
      <c r="S257" s="10">
        <f>[1]节奏总纲!AE257</f>
        <v>82.046165327855846</v>
      </c>
      <c r="T257" s="10">
        <f>[1]节奏总纲!AF257</f>
        <v>85.004450307848032</v>
      </c>
      <c r="U257" s="10">
        <f>[1]节奏总纲!AG257</f>
        <v>89.939159559335295</v>
      </c>
      <c r="V257" s="10">
        <f>[1]节奏总纲!AH257</f>
        <v>98.786042483127417</v>
      </c>
      <c r="AN257" s="12">
        <f>[1]节奏总纲!AZ257</f>
        <v>254</v>
      </c>
      <c r="AO257" s="12">
        <f>[1]节奏总纲!BA257</f>
        <v>44.300610177479435</v>
      </c>
      <c r="AP257" s="12">
        <f>[1]节奏总纲!BB257</f>
        <v>45.813450393445684</v>
      </c>
      <c r="AQ257" s="12">
        <f>[1]节奏总纲!BC257</f>
        <v>47.757731135269317</v>
      </c>
      <c r="AR257" s="12">
        <f>[1]节奏总纲!BD257</f>
        <v>50.500642583185162</v>
      </c>
      <c r="AS257" s="12">
        <f>[1]节奏总纲!BE257</f>
        <v>55.214934105205138</v>
      </c>
    </row>
    <row r="258" spans="17:45" x14ac:dyDescent="0.15">
      <c r="Q258" s="9">
        <v>255</v>
      </c>
      <c r="R258" s="10">
        <f>[1]节奏总纲!AD258</f>
        <v>80</v>
      </c>
      <c r="S258" s="10">
        <f>[1]节奏总纲!AE258</f>
        <v>82.100546804797787</v>
      </c>
      <c r="T258" s="10">
        <f>[1]节奏总纲!AF258</f>
        <v>85.059053968634842</v>
      </c>
      <c r="U258" s="10">
        <f>[1]节奏总纲!AG258</f>
        <v>90.006385600230558</v>
      </c>
      <c r="V258" s="10">
        <f>[1]节奏总纲!AH258</f>
        <v>98.845483069917776</v>
      </c>
      <c r="AN258" s="12">
        <f>[1]节奏总纲!AZ258</f>
        <v>255</v>
      </c>
      <c r="AO258" s="12">
        <f>[1]节奏总纲!BA258</f>
        <v>44.326465623783335</v>
      </c>
      <c r="AP258" s="12">
        <f>[1]节奏总纲!BB258</f>
        <v>45.84134649747331</v>
      </c>
      <c r="AQ258" s="12">
        <f>[1]节奏总纲!BC258</f>
        <v>47.785447853033176</v>
      </c>
      <c r="AR258" s="12">
        <f>[1]节奏总纲!BD258</f>
        <v>50.527400604734339</v>
      </c>
      <c r="AS258" s="12">
        <f>[1]节奏总纲!BE258</f>
        <v>55.24064392640193</v>
      </c>
    </row>
    <row r="259" spans="17:45" x14ac:dyDescent="0.15">
      <c r="Q259" s="9">
        <v>256</v>
      </c>
      <c r="R259" s="10">
        <f>[1]节奏总纲!AD259</f>
        <v>80.054424711612938</v>
      </c>
      <c r="S259" s="10">
        <f>[1]节奏总纲!AE259</f>
        <v>82.154928281739714</v>
      </c>
      <c r="T259" s="10">
        <f>[1]节奏总纲!AF259</f>
        <v>85.113657629421638</v>
      </c>
      <c r="U259" s="10">
        <f>[1]节奏总纲!AG259</f>
        <v>90.062795496260307</v>
      </c>
      <c r="V259" s="10">
        <f>[1]节奏总纲!AH259</f>
        <v>98.904923656708121</v>
      </c>
      <c r="AN259" s="12">
        <f>[1]节奏总纲!AZ259</f>
        <v>256</v>
      </c>
      <c r="AO259" s="12">
        <f>[1]节奏总纲!BA259</f>
        <v>44.352321070087235</v>
      </c>
      <c r="AP259" s="12">
        <f>[1]节奏总纲!BB259</f>
        <v>45.869242601500943</v>
      </c>
      <c r="AQ259" s="12">
        <f>[1]节奏总纲!BC259</f>
        <v>47.813164570797035</v>
      </c>
      <c r="AR259" s="12">
        <f>[1]节奏总纲!BD259</f>
        <v>50.554158626283517</v>
      </c>
      <c r="AS259" s="12">
        <f>[1]节奏总纲!BE259</f>
        <v>55.266353747598714</v>
      </c>
    </row>
    <row r="260" spans="17:45" x14ac:dyDescent="0.15">
      <c r="Q260" s="9">
        <v>257</v>
      </c>
      <c r="R260" s="10">
        <f>[1]节奏总纲!AD260</f>
        <v>80.108849423225877</v>
      </c>
      <c r="S260" s="10">
        <f>[1]节奏总纲!AE260</f>
        <v>82.209309758681655</v>
      </c>
      <c r="T260" s="10">
        <f>[1]节奏总纲!AF260</f>
        <v>85.168261290208434</v>
      </c>
      <c r="U260" s="10">
        <f>[1]节奏总纲!AG260</f>
        <v>90.119205392290041</v>
      </c>
      <c r="V260" s="10">
        <f>[1]节奏总纲!AH260</f>
        <v>98.96436424349848</v>
      </c>
      <c r="AN260" s="12">
        <f>[1]节奏总纲!AZ260</f>
        <v>257</v>
      </c>
      <c r="AO260" s="12">
        <f>[1]节奏总纲!BA260</f>
        <v>44.378176516391136</v>
      </c>
      <c r="AP260" s="12">
        <f>[1]节奏总纲!BB260</f>
        <v>45.897138705528576</v>
      </c>
      <c r="AQ260" s="12">
        <f>[1]节奏总纲!BC260</f>
        <v>47.840881288560894</v>
      </c>
      <c r="AR260" s="12">
        <f>[1]节奏总纲!BD260</f>
        <v>50.580916647832701</v>
      </c>
      <c r="AS260" s="12">
        <f>[1]节奏总纲!BE260</f>
        <v>55.292063568795498</v>
      </c>
    </row>
    <row r="261" spans="17:45" x14ac:dyDescent="0.15">
      <c r="Q261" s="9">
        <v>258</v>
      </c>
      <c r="R261" s="10">
        <f>[1]节奏总纲!AD261</f>
        <v>80.163274134838829</v>
      </c>
      <c r="S261" s="10">
        <f>[1]节奏总纲!AE261</f>
        <v>82.263691235623583</v>
      </c>
      <c r="T261" s="10">
        <f>[1]节奏总纲!AF261</f>
        <v>85.222864950995231</v>
      </c>
      <c r="U261" s="10">
        <f>[1]节奏总纲!AG261</f>
        <v>90.175615288319776</v>
      </c>
      <c r="V261" s="10">
        <f>[1]节奏总纲!AH261</f>
        <v>99.023313221876677</v>
      </c>
      <c r="AN261" s="12">
        <f>[1]节奏总纲!AZ261</f>
        <v>258</v>
      </c>
      <c r="AO261" s="12">
        <f>[1]节奏总纲!BA261</f>
        <v>44.404031962695043</v>
      </c>
      <c r="AP261" s="12">
        <f>[1]节奏总纲!BB261</f>
        <v>45.925034809556202</v>
      </c>
      <c r="AQ261" s="12">
        <f>[1]节奏总纲!BC261</f>
        <v>47.868598006324753</v>
      </c>
      <c r="AR261" s="12">
        <f>[1]节奏总纲!BD261</f>
        <v>50.607674669381879</v>
      </c>
      <c r="AS261" s="12">
        <f>[1]节奏总纲!BE261</f>
        <v>55.31777338999229</v>
      </c>
    </row>
    <row r="262" spans="17:45" x14ac:dyDescent="0.15">
      <c r="Q262" s="9">
        <v>259</v>
      </c>
      <c r="R262" s="10">
        <f>[1]节奏总纲!AD262</f>
        <v>80.217698846451768</v>
      </c>
      <c r="S262" s="10">
        <f>[1]节奏总纲!AE262</f>
        <v>82.318072712565524</v>
      </c>
      <c r="T262" s="10">
        <f>[1]节奏总纲!AF262</f>
        <v>85.277468611782027</v>
      </c>
      <c r="U262" s="10">
        <f>[1]节奏总纲!AG262</f>
        <v>90.23202518434951</v>
      </c>
      <c r="V262" s="10">
        <f>[1]节奏总纲!AH262</f>
        <v>99.081526263999208</v>
      </c>
      <c r="AN262" s="12">
        <f>[1]节奏总纲!AZ262</f>
        <v>259</v>
      </c>
      <c r="AO262" s="12">
        <f>[1]节奏总纲!BA262</f>
        <v>44.429887408998944</v>
      </c>
      <c r="AP262" s="12">
        <f>[1]节奏总纲!BB262</f>
        <v>45.952930913583835</v>
      </c>
      <c r="AQ262" s="12">
        <f>[1]节奏总纲!BC262</f>
        <v>47.896314724088612</v>
      </c>
      <c r="AR262" s="12">
        <f>[1]节奏总纲!BD262</f>
        <v>50.634432690931064</v>
      </c>
      <c r="AS262" s="12">
        <f>[1]节奏总纲!BE262</f>
        <v>55.343483211189074</v>
      </c>
    </row>
    <row r="263" spans="17:45" x14ac:dyDescent="0.15">
      <c r="Q263" s="9">
        <v>260</v>
      </c>
      <c r="R263" s="10">
        <f>[1]节奏总纲!AD263</f>
        <v>80.272123558064706</v>
      </c>
      <c r="S263" s="10">
        <f>[1]节奏总纲!AE263</f>
        <v>82.372454189507465</v>
      </c>
      <c r="T263" s="10">
        <f>[1]节奏总纲!AF263</f>
        <v>85.332072272568837</v>
      </c>
      <c r="U263" s="10">
        <f>[1]节奏总纲!AG263</f>
        <v>90.288435080379244</v>
      </c>
      <c r="V263" s="10">
        <f>[1]节奏总纲!AH263</f>
        <v>99.139739306121726</v>
      </c>
      <c r="AN263" s="12">
        <f>[1]节奏总纲!AZ263</f>
        <v>260</v>
      </c>
      <c r="AO263" s="12">
        <f>[1]节奏总纲!BA263</f>
        <v>44.455742855302844</v>
      </c>
      <c r="AP263" s="12">
        <f>[1]节奏总纲!BB263</f>
        <v>45.98082701761146</v>
      </c>
      <c r="AQ263" s="12">
        <f>[1]节奏总纲!BC263</f>
        <v>47.92403144185247</v>
      </c>
      <c r="AR263" s="12">
        <f>[1]节奏总纲!BD263</f>
        <v>50.661190712480241</v>
      </c>
      <c r="AS263" s="12">
        <f>[1]节奏总纲!BE263</f>
        <v>55.369193032385866</v>
      </c>
    </row>
    <row r="264" spans="17:45" x14ac:dyDescent="0.15">
      <c r="Q264" s="9">
        <v>261</v>
      </c>
      <c r="R264" s="10">
        <f>[1]节奏总纲!AD264</f>
        <v>80.326548269677644</v>
      </c>
      <c r="S264" s="10">
        <f>[1]节奏总纲!AE264</f>
        <v>82.426835666449392</v>
      </c>
      <c r="T264" s="10">
        <f>[1]节奏总纲!AF264</f>
        <v>85.386675933355633</v>
      </c>
      <c r="U264" s="10">
        <f>[1]节奏总纲!AG264</f>
        <v>90.344844976408993</v>
      </c>
      <c r="V264" s="10">
        <f>[1]节奏总纲!AH264</f>
        <v>99.197952348244257</v>
      </c>
      <c r="AN264" s="12">
        <f>[1]节奏总纲!AZ264</f>
        <v>261</v>
      </c>
      <c r="AO264" s="12">
        <f>[1]节奏总纲!BA264</f>
        <v>44.481598301606752</v>
      </c>
      <c r="AP264" s="12">
        <f>[1]节奏总纲!BB264</f>
        <v>46.007529841290832</v>
      </c>
      <c r="AQ264" s="12">
        <f>[1]节奏总纲!BC264</f>
        <v>47.951748159616329</v>
      </c>
      <c r="AR264" s="12">
        <f>[1]节奏总纲!BD264</f>
        <v>50.687948734029419</v>
      </c>
      <c r="AS264" s="12">
        <f>[1]节奏总纲!BE264</f>
        <v>55.39490285358265</v>
      </c>
    </row>
    <row r="265" spans="17:45" x14ac:dyDescent="0.15">
      <c r="Q265" s="9">
        <v>262</v>
      </c>
      <c r="R265" s="10">
        <f>[1]节奏总纲!AD265</f>
        <v>80.380972981290597</v>
      </c>
      <c r="S265" s="10">
        <f>[1]节奏总纲!AE265</f>
        <v>82.481217143391333</v>
      </c>
      <c r="T265" s="10">
        <f>[1]节奏总纲!AF265</f>
        <v>85.441279594142429</v>
      </c>
      <c r="U265" s="10">
        <f>[1]节奏总纲!AG265</f>
        <v>90.401254872438727</v>
      </c>
      <c r="V265" s="10">
        <f>[1]节奏总纲!AH265</f>
        <v>99.256165390366789</v>
      </c>
      <c r="AN265" s="12">
        <f>[1]节奏总纲!AZ265</f>
        <v>262</v>
      </c>
      <c r="AO265" s="12">
        <f>[1]节奏总纲!BA265</f>
        <v>44.507453747910652</v>
      </c>
      <c r="AP265" s="12">
        <f>[1]节奏总纲!BB265</f>
        <v>46.031609894814238</v>
      </c>
      <c r="AQ265" s="12">
        <f>[1]节奏总纲!BC265</f>
        <v>47.979464877380188</v>
      </c>
      <c r="AR265" s="12">
        <f>[1]节奏总纲!BD265</f>
        <v>50.714706755578604</v>
      </c>
      <c r="AS265" s="12">
        <f>[1]节奏总纲!BE265</f>
        <v>55.420612674779434</v>
      </c>
    </row>
    <row r="266" spans="17:45" x14ac:dyDescent="0.15">
      <c r="Q266" s="9">
        <v>263</v>
      </c>
      <c r="R266" s="10">
        <f>[1]节奏总纲!AD266</f>
        <v>80.435397692903535</v>
      </c>
      <c r="S266" s="10">
        <f>[1]节奏总纲!AE266</f>
        <v>82.535598620333275</v>
      </c>
      <c r="T266" s="10">
        <f>[1]节奏总纲!AF266</f>
        <v>85.495883254929225</v>
      </c>
      <c r="U266" s="10">
        <f>[1]节奏总纲!AG266</f>
        <v>90.457664768468462</v>
      </c>
      <c r="V266" s="10">
        <f>[1]节奏总纲!AH266</f>
        <v>99.314378432489306</v>
      </c>
      <c r="AN266" s="12">
        <f>[1]节奏总纲!AZ266</f>
        <v>263</v>
      </c>
      <c r="AO266" s="12">
        <f>[1]节奏总纲!BA266</f>
        <v>44.533309194214553</v>
      </c>
      <c r="AP266" s="12">
        <f>[1]节奏总纲!BB266</f>
        <v>46.055689948337651</v>
      </c>
      <c r="AQ266" s="12">
        <f>[1]节奏总纲!BC266</f>
        <v>48.006200084618079</v>
      </c>
      <c r="AR266" s="12">
        <f>[1]节奏总纲!BD266</f>
        <v>50.741464777127781</v>
      </c>
      <c r="AS266" s="12">
        <f>[1]节奏总纲!BE266</f>
        <v>55.446322495976226</v>
      </c>
    </row>
    <row r="267" spans="17:45" x14ac:dyDescent="0.15">
      <c r="Q267" s="9">
        <v>264</v>
      </c>
      <c r="R267" s="10">
        <f>[1]节奏总纲!AD267</f>
        <v>80.489822404516474</v>
      </c>
      <c r="S267" s="10">
        <f>[1]节奏总纲!AE267</f>
        <v>82.589980097275202</v>
      </c>
      <c r="T267" s="10">
        <f>[1]节奏总纲!AF267</f>
        <v>85.550486915716021</v>
      </c>
      <c r="U267" s="10">
        <f>[1]节奏总纲!AG267</f>
        <v>90.514074664498196</v>
      </c>
      <c r="V267" s="10">
        <f>[1]节奏总纲!AH267</f>
        <v>99.372591474611838</v>
      </c>
      <c r="AN267" s="12">
        <f>[1]节奏总纲!AZ267</f>
        <v>264</v>
      </c>
      <c r="AO267" s="12">
        <f>[1]节奏总纲!BA267</f>
        <v>44.55916464051846</v>
      </c>
      <c r="AP267" s="12">
        <f>[1]节奏总纲!BB267</f>
        <v>46.079770001861057</v>
      </c>
      <c r="AQ267" s="12">
        <f>[1]节奏总纲!BC267</f>
        <v>48.030128751164241</v>
      </c>
      <c r="AR267" s="12">
        <f>[1]节奏总纲!BD267</f>
        <v>50.768222798676959</v>
      </c>
      <c r="AS267" s="12">
        <f>[1]节奏总纲!BE267</f>
        <v>55.47203231717301</v>
      </c>
    </row>
    <row r="268" spans="17:45" x14ac:dyDescent="0.15">
      <c r="Q268" s="9">
        <v>265</v>
      </c>
      <c r="R268" s="10">
        <f>[1]节奏总纲!AD268</f>
        <v>80.544247116129412</v>
      </c>
      <c r="S268" s="10">
        <f>[1]节奏总纲!AE268</f>
        <v>82.644361574217143</v>
      </c>
      <c r="T268" s="10">
        <f>[1]节奏总纲!AF268</f>
        <v>85.605090576502832</v>
      </c>
      <c r="U268" s="10">
        <f>[1]节奏总纲!AG268</f>
        <v>90.57048456052793</v>
      </c>
      <c r="V268" s="10">
        <f>[1]节奏总纲!AH268</f>
        <v>99.430804516734369</v>
      </c>
      <c r="AN268" s="12">
        <f>[1]节奏总纲!AZ268</f>
        <v>265</v>
      </c>
      <c r="AO268" s="12">
        <f>[1]节奏总纲!BA268</f>
        <v>44.585020086822361</v>
      </c>
      <c r="AP268" s="12">
        <f>[1]节奏总纲!BB268</f>
        <v>46.10385005538447</v>
      </c>
      <c r="AQ268" s="12">
        <f>[1]节奏总纲!BC268</f>
        <v>48.054057417710396</v>
      </c>
      <c r="AR268" s="12">
        <f>[1]节奏总纲!BD268</f>
        <v>50.794980820226144</v>
      </c>
      <c r="AS268" s="12">
        <f>[1]节奏总纲!BE268</f>
        <v>55.497742138369794</v>
      </c>
    </row>
    <row r="269" spans="17:45" x14ac:dyDescent="0.15">
      <c r="Q269" s="9">
        <v>266</v>
      </c>
      <c r="R269" s="10">
        <f>[1]节奏总纲!AD269</f>
        <v>80.598671827742351</v>
      </c>
      <c r="S269" s="10">
        <f>[1]节奏总纲!AE269</f>
        <v>82.698743051159084</v>
      </c>
      <c r="T269" s="10">
        <f>[1]节奏总纲!AF269</f>
        <v>85.659694237289628</v>
      </c>
      <c r="U269" s="10">
        <f>[1]节奏总纲!AG269</f>
        <v>90.626894456557665</v>
      </c>
      <c r="V269" s="10">
        <f>[1]节奏总纲!AH269</f>
        <v>99.489017558856887</v>
      </c>
      <c r="AN269" s="12">
        <f>[1]节奏总纲!AZ269</f>
        <v>266</v>
      </c>
      <c r="AO269" s="12">
        <f>[1]节奏总纲!BA269</f>
        <v>44.610875533126261</v>
      </c>
      <c r="AP269" s="12">
        <f>[1]节奏总纲!BB269</f>
        <v>46.127930108907876</v>
      </c>
      <c r="AQ269" s="12">
        <f>[1]节奏总纲!BC269</f>
        <v>48.077986084256551</v>
      </c>
      <c r="AR269" s="12">
        <f>[1]节奏总纲!BD269</f>
        <v>50.821738841775321</v>
      </c>
      <c r="AS269" s="12">
        <f>[1]节奏总纲!BE269</f>
        <v>55.523451959566586</v>
      </c>
    </row>
    <row r="270" spans="17:45" x14ac:dyDescent="0.15">
      <c r="Q270" s="9">
        <v>267</v>
      </c>
      <c r="R270" s="10">
        <f>[1]节奏总纲!AD270</f>
        <v>80.653096539355303</v>
      </c>
      <c r="S270" s="10">
        <f>[1]节奏总纲!AE270</f>
        <v>82.753124528101011</v>
      </c>
      <c r="T270" s="10">
        <f>[1]节奏总纲!AF270</f>
        <v>85.714297898076424</v>
      </c>
      <c r="U270" s="10">
        <f>[1]节奏总纲!AG270</f>
        <v>90.683304352587413</v>
      </c>
      <c r="V270" s="10">
        <f>[1]节奏总纲!AH270</f>
        <v>99.547230600979418</v>
      </c>
      <c r="AN270" s="12">
        <f>[1]节奏总纲!AZ270</f>
        <v>267</v>
      </c>
      <c r="AO270" s="12">
        <f>[1]节奏总纲!BA270</f>
        <v>44.636730979430169</v>
      </c>
      <c r="AP270" s="12">
        <f>[1]节奏总纲!BB270</f>
        <v>46.152010162431289</v>
      </c>
      <c r="AQ270" s="12">
        <f>[1]节奏总纲!BC270</f>
        <v>48.101914750802706</v>
      </c>
      <c r="AR270" s="12">
        <f>[1]节奏总纲!BD270</f>
        <v>50.848496863324499</v>
      </c>
      <c r="AS270" s="12">
        <f>[1]节奏总纲!BE270</f>
        <v>55.54916178076337</v>
      </c>
    </row>
    <row r="271" spans="17:45" x14ac:dyDescent="0.15">
      <c r="Q271" s="9">
        <v>268</v>
      </c>
      <c r="R271" s="10">
        <f>[1]节奏总纲!AD271</f>
        <v>80.707521250968242</v>
      </c>
      <c r="S271" s="10">
        <f>[1]节奏总纲!AE271</f>
        <v>82.807506005042953</v>
      </c>
      <c r="T271" s="10">
        <f>[1]节奏总纲!AF271</f>
        <v>85.76890155886322</v>
      </c>
      <c r="U271" s="10">
        <f>[1]节奏总纲!AG271</f>
        <v>90.739714248617148</v>
      </c>
      <c r="V271" s="10">
        <f>[1]节奏总纲!AH271</f>
        <v>99.605443643101935</v>
      </c>
      <c r="AN271" s="12">
        <f>[1]节奏总纲!AZ271</f>
        <v>268</v>
      </c>
      <c r="AO271" s="12">
        <f>[1]节奏总纲!BA271</f>
        <v>44.662586425734069</v>
      </c>
      <c r="AP271" s="12">
        <f>[1]节奏总纲!BB271</f>
        <v>46.176090215954694</v>
      </c>
      <c r="AQ271" s="12">
        <f>[1]节奏总纲!BC271</f>
        <v>48.125843417348868</v>
      </c>
      <c r="AR271" s="12">
        <f>[1]节奏总纲!BD271</f>
        <v>50.875254884873684</v>
      </c>
      <c r="AS271" s="12">
        <f>[1]节奏总纲!BE271</f>
        <v>55.574871601960162</v>
      </c>
    </row>
    <row r="272" spans="17:45" x14ac:dyDescent="0.15">
      <c r="Q272" s="9">
        <v>269</v>
      </c>
      <c r="R272" s="10">
        <f>[1]节奏总纲!AD272</f>
        <v>80.76194596258118</v>
      </c>
      <c r="S272" s="10">
        <f>[1]节奏总纲!AE272</f>
        <v>82.861887481984894</v>
      </c>
      <c r="T272" s="10">
        <f>[1]节奏总纲!AF272</f>
        <v>85.823505219650016</v>
      </c>
      <c r="U272" s="10">
        <f>[1]节奏总纲!AG272</f>
        <v>90.796124144646882</v>
      </c>
      <c r="V272" s="10">
        <f>[1]节奏总纲!AH272</f>
        <v>99.663656685224467</v>
      </c>
      <c r="AN272" s="12">
        <f>[1]节奏总纲!AZ272</f>
        <v>269</v>
      </c>
      <c r="AO272" s="12">
        <f>[1]节奏总纲!BA272</f>
        <v>44.68844187203797</v>
      </c>
      <c r="AP272" s="12">
        <f>[1]节奏总纲!BB272</f>
        <v>46.200170269478107</v>
      </c>
      <c r="AQ272" s="12">
        <f>[1]节奏总纲!BC272</f>
        <v>48.149772083895023</v>
      </c>
      <c r="AR272" s="12">
        <f>[1]节奏总纲!BD272</f>
        <v>50.902012906422861</v>
      </c>
      <c r="AS272" s="12">
        <f>[1]节奏总纲!BE272</f>
        <v>55.600581423156946</v>
      </c>
    </row>
    <row r="273" spans="17:45" x14ac:dyDescent="0.15">
      <c r="Q273" s="9">
        <v>270</v>
      </c>
      <c r="R273" s="10">
        <f>[1]节奏总纲!AD273</f>
        <v>80.816370674194118</v>
      </c>
      <c r="S273" s="10">
        <f>[1]节奏总纲!AE273</f>
        <v>82.916268958926821</v>
      </c>
      <c r="T273" s="10">
        <f>[1]节奏总纲!AF273</f>
        <v>85.878108880436827</v>
      </c>
      <c r="U273" s="10">
        <f>[1]节奏总纲!AG273</f>
        <v>90.852534040676616</v>
      </c>
      <c r="V273" s="10">
        <f>[1]节奏总纲!AH273</f>
        <v>99.721869727346999</v>
      </c>
      <c r="AN273" s="12">
        <f>[1]节奏总纲!AZ273</f>
        <v>270</v>
      </c>
      <c r="AO273" s="12">
        <f>[1]节奏总纲!BA273</f>
        <v>44.714297318341877</v>
      </c>
      <c r="AP273" s="12">
        <f>[1]节奏总纲!BB273</f>
        <v>46.224250323001513</v>
      </c>
      <c r="AQ273" s="12">
        <f>[1]节奏总纲!BC273</f>
        <v>48.173700750441178</v>
      </c>
      <c r="AR273" s="12">
        <f>[1]节奏总纲!BD273</f>
        <v>50.928770927972039</v>
      </c>
      <c r="AS273" s="12">
        <f>[1]节奏总纲!BE273</f>
        <v>55.62629124435373</v>
      </c>
    </row>
    <row r="274" spans="17:45" x14ac:dyDescent="0.15">
      <c r="Q274" s="9">
        <v>271</v>
      </c>
      <c r="R274" s="10">
        <f>[1]节奏总纲!AD274</f>
        <v>80.870795385807057</v>
      </c>
      <c r="S274" s="10">
        <f>[1]节奏总纲!AE274</f>
        <v>82.970650435868762</v>
      </c>
      <c r="T274" s="10">
        <f>[1]节奏总纲!AF274</f>
        <v>85.932712541223623</v>
      </c>
      <c r="U274" s="10">
        <f>[1]节奏总纲!AG274</f>
        <v>90.908943936706351</v>
      </c>
      <c r="V274" s="10">
        <f>[1]节奏总纲!AH274</f>
        <v>99.780082769469516</v>
      </c>
      <c r="AN274" s="12">
        <f>[1]节奏总纲!AZ274</f>
        <v>271</v>
      </c>
      <c r="AO274" s="12">
        <f>[1]节奏总纲!BA274</f>
        <v>44.740152764645778</v>
      </c>
      <c r="AP274" s="12">
        <f>[1]节奏总纲!BB274</f>
        <v>46.248330376524919</v>
      </c>
      <c r="AQ274" s="12">
        <f>[1]节奏总纲!BC274</f>
        <v>48.19762941698734</v>
      </c>
      <c r="AR274" s="12">
        <f>[1]节奏总纲!BD274</f>
        <v>50.955528949521224</v>
      </c>
      <c r="AS274" s="12">
        <f>[1]节奏总纲!BE274</f>
        <v>55.652001065550522</v>
      </c>
    </row>
    <row r="275" spans="17:45" x14ac:dyDescent="0.15">
      <c r="Q275" s="9">
        <v>272</v>
      </c>
      <c r="R275" s="10">
        <f>[1]节奏总纲!AD275</f>
        <v>80.925220097420009</v>
      </c>
      <c r="S275" s="10">
        <f>[1]节奏总纲!AE275</f>
        <v>83.023342162088809</v>
      </c>
      <c r="T275" s="10">
        <f>[1]节奏总纲!AF275</f>
        <v>85.987316202010419</v>
      </c>
      <c r="U275" s="10">
        <f>[1]节奏总纲!AG275</f>
        <v>90.965353832736099</v>
      </c>
      <c r="V275" s="10">
        <f>[1]节奏总纲!AH275</f>
        <v>99.838295811592047</v>
      </c>
      <c r="AN275" s="12">
        <f>[1]节奏总纲!AZ275</f>
        <v>272</v>
      </c>
      <c r="AO275" s="12">
        <f>[1]节奏总纲!BA275</f>
        <v>44.766008210949678</v>
      </c>
      <c r="AP275" s="12">
        <f>[1]节奏总纲!BB275</f>
        <v>46.272410430048332</v>
      </c>
      <c r="AQ275" s="12">
        <f>[1]节奏总纲!BC275</f>
        <v>48.221558083533495</v>
      </c>
      <c r="AR275" s="12">
        <f>[1]节奏总纲!BD275</f>
        <v>50.982286971070401</v>
      </c>
      <c r="AS275" s="12">
        <f>[1]节奏总纲!BE275</f>
        <v>55.677710886747306</v>
      </c>
    </row>
    <row r="276" spans="17:45" x14ac:dyDescent="0.15">
      <c r="Q276" s="9">
        <v>273</v>
      </c>
      <c r="R276" s="10">
        <f>[1]节奏总纲!AD276</f>
        <v>80.979644809032948</v>
      </c>
      <c r="S276" s="10">
        <f>[1]节奏总纲!AE276</f>
        <v>83.07405267945947</v>
      </c>
      <c r="T276" s="10">
        <f>[1]节奏总纲!AF276</f>
        <v>86.038061368689995</v>
      </c>
      <c r="U276" s="10">
        <f>[1]节奏总纲!AG276</f>
        <v>91.020352770869948</v>
      </c>
      <c r="V276" s="10">
        <f>[1]节奏总纲!AH276</f>
        <v>99.896508853714579</v>
      </c>
      <c r="AN276" s="12">
        <f>[1]节奏总纲!AZ276</f>
        <v>273</v>
      </c>
      <c r="AO276" s="12">
        <f>[1]节奏总纲!BA276</f>
        <v>44.791863657253586</v>
      </c>
      <c r="AP276" s="12">
        <f>[1]节奏总纲!BB276</f>
        <v>46.296490483571738</v>
      </c>
      <c r="AQ276" s="12">
        <f>[1]节奏总纲!BC276</f>
        <v>48.24548675007965</v>
      </c>
      <c r="AR276" s="12">
        <f>[1]节奏总纲!BD276</f>
        <v>51.007810424246486</v>
      </c>
      <c r="AS276" s="12">
        <f>[1]节奏总纲!BE276</f>
        <v>55.703420707944098</v>
      </c>
    </row>
    <row r="277" spans="17:45" x14ac:dyDescent="0.15">
      <c r="Q277" s="9">
        <v>274</v>
      </c>
      <c r="R277" s="10">
        <f>[1]节奏总纲!AD277</f>
        <v>81.031787986768464</v>
      </c>
      <c r="S277" s="10">
        <f>[1]节奏总纲!AE277</f>
        <v>83.124763196830131</v>
      </c>
      <c r="T277" s="10">
        <f>[1]节奏总纲!AF277</f>
        <v>86.087639061133402</v>
      </c>
      <c r="U277" s="10">
        <f>[1]节奏总纲!AG277</f>
        <v>91.073105573528181</v>
      </c>
      <c r="V277" s="10">
        <f>[1]节奏总纲!AH277</f>
        <v>99.954721895837096</v>
      </c>
      <c r="AN277" s="12">
        <f>[1]节奏总纲!AZ277</f>
        <v>274</v>
      </c>
      <c r="AO277" s="12">
        <f>[1]节奏总纲!BA277</f>
        <v>44.817719103557486</v>
      </c>
      <c r="AP277" s="12">
        <f>[1]节奏总纲!BB277</f>
        <v>46.320570537095151</v>
      </c>
      <c r="AQ277" s="12">
        <f>[1]节奏总纲!BC277</f>
        <v>48.269415416625804</v>
      </c>
      <c r="AR277" s="12">
        <f>[1]节奏总纲!BD277</f>
        <v>51.030916192165336</v>
      </c>
      <c r="AS277" s="12">
        <f>[1]节奏总纲!BE277</f>
        <v>55.729130529140882</v>
      </c>
    </row>
    <row r="278" spans="17:45" x14ac:dyDescent="0.15">
      <c r="Q278" s="9">
        <v>275</v>
      </c>
      <c r="R278" s="10">
        <f>[1]节奏总纲!AD278</f>
        <v>81.082568038258216</v>
      </c>
      <c r="S278" s="10">
        <f>[1]节奏总纲!AE278</f>
        <v>83.175473714200777</v>
      </c>
      <c r="T278" s="10">
        <f>[1]节奏总纲!AF278</f>
        <v>86.137216753576809</v>
      </c>
      <c r="U278" s="10">
        <f>[1]节奏总纲!AG278</f>
        <v>91.125858376186414</v>
      </c>
      <c r="V278" s="10">
        <f>[1]节奏总纲!AH278</f>
        <v>100.01191770041967</v>
      </c>
      <c r="AN278" s="12">
        <f>[1]节奏总纲!AZ278</f>
        <v>275</v>
      </c>
      <c r="AO278" s="12">
        <f>[1]节奏总纲!BA278</f>
        <v>44.843574549861387</v>
      </c>
      <c r="AP278" s="12">
        <f>[1]节奏总纲!BB278</f>
        <v>46.344650590618556</v>
      </c>
      <c r="AQ278" s="12">
        <f>[1]节奏总纲!BC278</f>
        <v>48.293344083171966</v>
      </c>
      <c r="AR278" s="12">
        <f>[1]节奏总纲!BD278</f>
        <v>51.054021960084178</v>
      </c>
      <c r="AS278" s="12">
        <f>[1]节奏总纲!BE278</f>
        <v>55.754840350337666</v>
      </c>
    </row>
    <row r="279" spans="17:45" x14ac:dyDescent="0.15">
      <c r="Q279" s="9">
        <v>276</v>
      </c>
      <c r="R279" s="10">
        <f>[1]节奏总纲!AD279</f>
        <v>81.133348089747955</v>
      </c>
      <c r="S279" s="10">
        <f>[1]节奏总纲!AE279</f>
        <v>83.226184231571438</v>
      </c>
      <c r="T279" s="10">
        <f>[1]节奏总纲!AF279</f>
        <v>86.186794446020215</v>
      </c>
      <c r="U279" s="10">
        <f>[1]节奏总纲!AG279</f>
        <v>91.178611178844633</v>
      </c>
      <c r="V279" s="10">
        <f>[1]节奏总纲!AH279</f>
        <v>100.06555271580974</v>
      </c>
      <c r="AN279" s="12">
        <f>[1]节奏总纲!AZ279</f>
        <v>276</v>
      </c>
      <c r="AO279" s="12">
        <f>[1]节奏总纲!BA279</f>
        <v>44.869429996165294</v>
      </c>
      <c r="AP279" s="12">
        <f>[1]节奏总纲!BB279</f>
        <v>46.368730644141969</v>
      </c>
      <c r="AQ279" s="12">
        <f>[1]节奏总纲!BC279</f>
        <v>48.317272749718121</v>
      </c>
      <c r="AR279" s="12">
        <f>[1]节奏总纲!BD279</f>
        <v>51.077127728003028</v>
      </c>
      <c r="AS279" s="12">
        <f>[1]节奏总纲!BE279</f>
        <v>55.780550171534458</v>
      </c>
    </row>
    <row r="280" spans="17:45" x14ac:dyDescent="0.15">
      <c r="Q280" s="9">
        <v>277</v>
      </c>
      <c r="R280" s="10">
        <f>[1]节奏总纲!AD280</f>
        <v>81.184128141237707</v>
      </c>
      <c r="S280" s="10">
        <f>[1]节奏总纲!AE280</f>
        <v>83.276894748942098</v>
      </c>
      <c r="T280" s="10">
        <f>[1]节奏总纲!AF280</f>
        <v>86.236372138463622</v>
      </c>
      <c r="U280" s="10">
        <f>[1]节奏总纲!AG280</f>
        <v>91.231363981502867</v>
      </c>
      <c r="V280" s="10">
        <f>[1]节奏总纲!AH280</f>
        <v>100.11918773119983</v>
      </c>
      <c r="AN280" s="12">
        <f>[1]节奏总纲!AZ280</f>
        <v>277</v>
      </c>
      <c r="AO280" s="12">
        <f>[1]节奏总纲!BA280</f>
        <v>44.895285442469195</v>
      </c>
      <c r="AP280" s="12">
        <f>[1]节奏总纲!BB280</f>
        <v>46.392810697665375</v>
      </c>
      <c r="AQ280" s="12">
        <f>[1]节奏总纲!BC280</f>
        <v>48.341201416264276</v>
      </c>
      <c r="AR280" s="12">
        <f>[1]节奏总纲!BD280</f>
        <v>51.10023349592187</v>
      </c>
      <c r="AS280" s="12">
        <f>[1]节奏总纲!BE280</f>
        <v>55.806259992731242</v>
      </c>
    </row>
    <row r="281" spans="17:45" x14ac:dyDescent="0.15">
      <c r="Q281" s="9">
        <v>278</v>
      </c>
      <c r="R281" s="10">
        <f>[1]节奏总纲!AD281</f>
        <v>81.23490819272746</v>
      </c>
      <c r="S281" s="10">
        <f>[1]节奏总纲!AE281</f>
        <v>83.327605266312744</v>
      </c>
      <c r="T281" s="10">
        <f>[1]节奏总纲!AF281</f>
        <v>86.285949830907029</v>
      </c>
      <c r="U281" s="10">
        <f>[1]节奏总纲!AG281</f>
        <v>91.2841167841611</v>
      </c>
      <c r="V281" s="10">
        <f>[1]节奏总纲!AH281</f>
        <v>100.1728227465899</v>
      </c>
      <c r="AN281" s="12">
        <f>[1]节奏总纲!AZ281</f>
        <v>278</v>
      </c>
      <c r="AO281" s="12">
        <f>[1]节奏总纲!BA281</f>
        <v>44.921140888773095</v>
      </c>
      <c r="AP281" s="12">
        <f>[1]节奏总纲!BB281</f>
        <v>46.416890751188788</v>
      </c>
      <c r="AQ281" s="12">
        <f>[1]节奏总纲!BC281</f>
        <v>48.365130082810438</v>
      </c>
      <c r="AR281" s="12">
        <f>[1]节奏总纲!BD281</f>
        <v>51.12333926384072</v>
      </c>
      <c r="AS281" s="12">
        <f>[1]节奏总纲!BE281</f>
        <v>55.831969813928033</v>
      </c>
    </row>
    <row r="282" spans="17:45" x14ac:dyDescent="0.15">
      <c r="Q282" s="9">
        <v>279</v>
      </c>
      <c r="R282" s="10">
        <f>[1]节奏总纲!AD282</f>
        <v>81.285688244217212</v>
      </c>
      <c r="S282" s="10">
        <f>[1]节奏总纲!AE282</f>
        <v>83.378315783683405</v>
      </c>
      <c r="T282" s="10">
        <f>[1]节奏总纲!AF282</f>
        <v>86.335527523350422</v>
      </c>
      <c r="U282" s="10">
        <f>[1]节奏总纲!AG282</f>
        <v>91.336869586819319</v>
      </c>
      <c r="V282" s="10">
        <f>[1]节奏总纲!AH282</f>
        <v>100.22645776197997</v>
      </c>
      <c r="AN282" s="12">
        <f>[1]节奏总纲!AZ282</f>
        <v>279</v>
      </c>
      <c r="AO282" s="12">
        <f>[1]节奏总纲!BA282</f>
        <v>44.946996335076996</v>
      </c>
      <c r="AP282" s="12">
        <f>[1]节奏总纲!BB282</f>
        <v>46.440970804712194</v>
      </c>
      <c r="AQ282" s="12">
        <f>[1]节奏总纲!BC282</f>
        <v>48.389058749356593</v>
      </c>
      <c r="AR282" s="12">
        <f>[1]节奏总纲!BD282</f>
        <v>51.146445031759569</v>
      </c>
      <c r="AS282" s="12">
        <f>[1]节奏总纲!BE282</f>
        <v>55.857679635124818</v>
      </c>
    </row>
    <row r="283" spans="17:45" x14ac:dyDescent="0.15">
      <c r="Q283" s="9">
        <v>280</v>
      </c>
      <c r="R283" s="10">
        <f>[1]节奏总纲!AD283</f>
        <v>81.336468295706965</v>
      </c>
      <c r="S283" s="10">
        <f>[1]节奏总纲!AE283</f>
        <v>83.429026301054066</v>
      </c>
      <c r="T283" s="10">
        <f>[1]节奏总纲!AF283</f>
        <v>86.385105215793828</v>
      </c>
      <c r="U283" s="10">
        <f>[1]节奏总纲!AG283</f>
        <v>91.389622389477552</v>
      </c>
      <c r="V283" s="10">
        <f>[1]节奏总纲!AH283</f>
        <v>100.28009277737006</v>
      </c>
      <c r="AN283" s="12">
        <f>[1]节奏总纲!AZ283</f>
        <v>280</v>
      </c>
      <c r="AO283" s="12">
        <f>[1]节奏总纲!BA283</f>
        <v>44.972851781380903</v>
      </c>
      <c r="AP283" s="12">
        <f>[1]节奏总纲!BB283</f>
        <v>46.465050858235607</v>
      </c>
      <c r="AQ283" s="12">
        <f>[1]节奏总纲!BC283</f>
        <v>48.412987415902748</v>
      </c>
      <c r="AR283" s="12">
        <f>[1]节奏总纲!BD283</f>
        <v>51.169550799678412</v>
      </c>
      <c r="AS283" s="12">
        <f>[1]节奏总纲!BE283</f>
        <v>55.883389456321602</v>
      </c>
    </row>
    <row r="284" spans="17:45" x14ac:dyDescent="0.15">
      <c r="Q284" s="9">
        <v>281</v>
      </c>
      <c r="R284" s="10">
        <f>[1]节奏总纲!AD284</f>
        <v>81.387248347196717</v>
      </c>
      <c r="S284" s="10">
        <f>[1]节奏总纲!AE284</f>
        <v>83.479736818424712</v>
      </c>
      <c r="T284" s="10">
        <f>[1]节奏总纲!AF284</f>
        <v>86.434682908237235</v>
      </c>
      <c r="U284" s="10">
        <f>[1]节奏总纲!AG284</f>
        <v>91.442375192135771</v>
      </c>
      <c r="V284" s="10">
        <f>[1]节奏总纲!AH284</f>
        <v>100.33372779276013</v>
      </c>
      <c r="AN284" s="12">
        <f>[1]节奏总纲!AZ284</f>
        <v>281</v>
      </c>
      <c r="AO284" s="12">
        <f>[1]节奏总纲!BA284</f>
        <v>44.998707227684804</v>
      </c>
      <c r="AP284" s="12">
        <f>[1]节奏总纲!BB284</f>
        <v>46.489130911759013</v>
      </c>
      <c r="AQ284" s="12">
        <f>[1]节奏总纲!BC284</f>
        <v>48.43691608244891</v>
      </c>
      <c r="AR284" s="12">
        <f>[1]节奏总纲!BD284</f>
        <v>51.192656567597261</v>
      </c>
      <c r="AS284" s="12">
        <f>[1]节奏总纲!BE284</f>
        <v>55.909099277518393</v>
      </c>
    </row>
    <row r="285" spans="17:45" x14ac:dyDescent="0.15">
      <c r="Q285" s="9">
        <v>282</v>
      </c>
      <c r="R285" s="10">
        <f>[1]节奏总纲!AD285</f>
        <v>81.43802839868647</v>
      </c>
      <c r="S285" s="10">
        <f>[1]节奏总纲!AE285</f>
        <v>83.530447335795373</v>
      </c>
      <c r="T285" s="10">
        <f>[1]节奏总纲!AF285</f>
        <v>86.484260600680642</v>
      </c>
      <c r="U285" s="10">
        <f>[1]节奏总纲!AG285</f>
        <v>91.495127994794004</v>
      </c>
      <c r="V285" s="10">
        <f>[1]节奏总纲!AH285</f>
        <v>100.3873628081502</v>
      </c>
      <c r="AN285" s="12">
        <f>[1]节奏总纲!AZ285</f>
        <v>282</v>
      </c>
      <c r="AO285" s="12">
        <f>[1]节奏总纲!BA285</f>
        <v>45.021201039060998</v>
      </c>
      <c r="AP285" s="12">
        <f>[1]节奏总纲!BB285</f>
        <v>46.513210965282425</v>
      </c>
      <c r="AQ285" s="12">
        <f>[1]节奏总纲!BC285</f>
        <v>48.460844748995065</v>
      </c>
      <c r="AR285" s="12">
        <f>[1]节奏总纲!BD285</f>
        <v>51.215762335516104</v>
      </c>
      <c r="AS285" s="12">
        <f>[1]节奏总纲!BE285</f>
        <v>55.934809098715178</v>
      </c>
    </row>
    <row r="286" spans="17:45" x14ac:dyDescent="0.15">
      <c r="Q286" s="9">
        <v>283</v>
      </c>
      <c r="R286" s="10">
        <f>[1]节奏总纲!AD286</f>
        <v>81.488808450176222</v>
      </c>
      <c r="S286" s="10">
        <f>[1]节奏总纲!AE286</f>
        <v>83.581157853166033</v>
      </c>
      <c r="T286" s="10">
        <f>[1]节奏总纲!AF286</f>
        <v>86.533838293124049</v>
      </c>
      <c r="U286" s="10">
        <f>[1]节奏总纲!AG286</f>
        <v>91.547880797452237</v>
      </c>
      <c r="V286" s="10">
        <f>[1]节奏总纲!AH286</f>
        <v>100.44099782354027</v>
      </c>
      <c r="AN286" s="12">
        <f>[1]节奏总纲!AZ286</f>
        <v>283</v>
      </c>
      <c r="AO286" s="12">
        <f>[1]节奏总纲!BA286</f>
        <v>45.043517922283101</v>
      </c>
      <c r="AP286" s="12">
        <f>[1]节奏总纲!BB286</f>
        <v>46.537291018805831</v>
      </c>
      <c r="AQ286" s="12">
        <f>[1]节奏总纲!BC286</f>
        <v>48.48477341554122</v>
      </c>
      <c r="AR286" s="12">
        <f>[1]节奏总纲!BD286</f>
        <v>51.238868103434953</v>
      </c>
      <c r="AS286" s="12">
        <f>[1]节奏总纲!BE286</f>
        <v>55.960518919911962</v>
      </c>
    </row>
    <row r="287" spans="17:45" x14ac:dyDescent="0.15">
      <c r="Q287" s="9">
        <v>284</v>
      </c>
      <c r="R287" s="10">
        <f>[1]节奏总纲!AD287</f>
        <v>81.539588501665975</v>
      </c>
      <c r="S287" s="10">
        <f>[1]节奏总纲!AE287</f>
        <v>83.631868370536679</v>
      </c>
      <c r="T287" s="10">
        <f>[1]节奏总纲!AF287</f>
        <v>86.583415985567456</v>
      </c>
      <c r="U287" s="10">
        <f>[1]节奏总纲!AG287</f>
        <v>91.600633600110456</v>
      </c>
      <c r="V287" s="10">
        <f>[1]节奏总纲!AH287</f>
        <v>100.49463283893036</v>
      </c>
      <c r="AN287" s="12">
        <f>[1]节奏总纲!AZ287</f>
        <v>284</v>
      </c>
      <c r="AO287" s="12">
        <f>[1]节奏总纲!BA287</f>
        <v>45.065834805505204</v>
      </c>
      <c r="AP287" s="12">
        <f>[1]节奏总纲!BB287</f>
        <v>46.561371072329244</v>
      </c>
      <c r="AQ287" s="12">
        <f>[1]节奏总纲!BC287</f>
        <v>48.508702082087382</v>
      </c>
      <c r="AR287" s="12">
        <f>[1]节奏总纲!BD287</f>
        <v>51.261973871353796</v>
      </c>
      <c r="AS287" s="12">
        <f>[1]节奏总纲!BE287</f>
        <v>55.986228741108754</v>
      </c>
    </row>
    <row r="288" spans="17:45" x14ac:dyDescent="0.15">
      <c r="Q288" s="9">
        <v>285</v>
      </c>
      <c r="R288" s="10">
        <f>[1]节奏总纲!AD288</f>
        <v>81.590368553155727</v>
      </c>
      <c r="S288" s="10">
        <f>[1]节奏总纲!AE288</f>
        <v>83.68257888790734</v>
      </c>
      <c r="T288" s="10">
        <f>[1]节奏总纲!AF288</f>
        <v>86.632993678010848</v>
      </c>
      <c r="U288" s="10">
        <f>[1]节奏总纲!AG288</f>
        <v>91.653386402768689</v>
      </c>
      <c r="V288" s="10">
        <f>[1]节奏总纲!AH288</f>
        <v>100.54826785432043</v>
      </c>
      <c r="AN288" s="12">
        <f>[1]节奏总纲!AZ288</f>
        <v>285</v>
      </c>
      <c r="AO288" s="12">
        <f>[1]节奏总纲!BA288</f>
        <v>45.088151688727308</v>
      </c>
      <c r="AP288" s="12">
        <f>[1]节奏总纲!BB288</f>
        <v>46.58545112585265</v>
      </c>
      <c r="AQ288" s="12">
        <f>[1]节奏总纲!BC288</f>
        <v>48.532630748633537</v>
      </c>
      <c r="AR288" s="12">
        <f>[1]节奏总纲!BD288</f>
        <v>51.285079639272645</v>
      </c>
      <c r="AS288" s="12">
        <f>[1]节奏总纲!BE288</f>
        <v>56.010312347085055</v>
      </c>
    </row>
    <row r="289" spans="17:45" x14ac:dyDescent="0.15">
      <c r="Q289" s="9">
        <v>286</v>
      </c>
      <c r="R289" s="10">
        <f>[1]节奏总纲!AD289</f>
        <v>81.64114860464548</v>
      </c>
      <c r="S289" s="10">
        <f>[1]节奏总纲!AE289</f>
        <v>83.733289405278001</v>
      </c>
      <c r="T289" s="10">
        <f>[1]节奏总纲!AF289</f>
        <v>86.682571370454255</v>
      </c>
      <c r="U289" s="10">
        <f>[1]节奏总纲!AG289</f>
        <v>91.706139205426922</v>
      </c>
      <c r="V289" s="10">
        <f>[1]节奏总纲!AH289</f>
        <v>100.6019028697105</v>
      </c>
      <c r="AN289" s="12">
        <f>[1]节奏总纲!AZ289</f>
        <v>286</v>
      </c>
      <c r="AO289" s="12">
        <f>[1]节奏总纲!BA289</f>
        <v>45.110468571949411</v>
      </c>
      <c r="AP289" s="12">
        <f>[1]节奏总纲!BB289</f>
        <v>46.609531179376063</v>
      </c>
      <c r="AQ289" s="12">
        <f>[1]节奏总纲!BC289</f>
        <v>48.556559415179692</v>
      </c>
      <c r="AR289" s="12">
        <f>[1]节奏总纲!BD289</f>
        <v>51.308185407191495</v>
      </c>
      <c r="AS289" s="12">
        <f>[1]节奏总纲!BE289</f>
        <v>56.032520096468168</v>
      </c>
    </row>
    <row r="290" spans="17:45" x14ac:dyDescent="0.15">
      <c r="Q290" s="9">
        <v>287</v>
      </c>
      <c r="R290" s="10">
        <f>[1]节奏总纲!AD290</f>
        <v>81.691928656135218</v>
      </c>
      <c r="S290" s="10">
        <f>[1]节奏总纲!AE290</f>
        <v>83.783999922648647</v>
      </c>
      <c r="T290" s="10">
        <f>[1]节奏总纲!AF290</f>
        <v>86.732149062897662</v>
      </c>
      <c r="U290" s="10">
        <f>[1]节奏总纲!AG290</f>
        <v>91.758892008085141</v>
      </c>
      <c r="V290" s="10">
        <f>[1]节奏总纲!AH290</f>
        <v>100.65553788510059</v>
      </c>
      <c r="AN290" s="12">
        <f>[1]节奏总纲!AZ290</f>
        <v>287</v>
      </c>
      <c r="AO290" s="12">
        <f>[1]节奏总纲!BA290</f>
        <v>45.132785455171515</v>
      </c>
      <c r="AP290" s="12">
        <f>[1]节奏总纲!BB290</f>
        <v>46.633611232899469</v>
      </c>
      <c r="AQ290" s="12">
        <f>[1]节奏总纲!BC290</f>
        <v>48.580488081725846</v>
      </c>
      <c r="AR290" s="12">
        <f>[1]节奏总纲!BD290</f>
        <v>51.331291175110337</v>
      </c>
      <c r="AS290" s="12">
        <f>[1]节奏总纲!BE290</f>
        <v>56.054727845851275</v>
      </c>
    </row>
    <row r="291" spans="17:45" x14ac:dyDescent="0.15">
      <c r="Q291" s="9">
        <v>288</v>
      </c>
      <c r="R291" s="10">
        <f>[1]节奏总纲!AD291</f>
        <v>81.742708707624971</v>
      </c>
      <c r="S291" s="10">
        <f>[1]节奏总纲!AE291</f>
        <v>83.834710440019307</v>
      </c>
      <c r="T291" s="10">
        <f>[1]节奏总纲!AF291</f>
        <v>86.781726755341069</v>
      </c>
      <c r="U291" s="10">
        <f>[1]节奏总纲!AG291</f>
        <v>91.811644810743374</v>
      </c>
      <c r="V291" s="10">
        <f>[1]节奏总纲!AH291</f>
        <v>100.70917290049066</v>
      </c>
      <c r="AN291" s="12">
        <f>[1]节奏总纲!AZ291</f>
        <v>288</v>
      </c>
      <c r="AO291" s="12">
        <f>[1]节奏总纲!BA291</f>
        <v>45.155102338393618</v>
      </c>
      <c r="AP291" s="12">
        <f>[1]节奏总纲!BB291</f>
        <v>46.657691286422882</v>
      </c>
      <c r="AQ291" s="12">
        <f>[1]节奏总纲!BC291</f>
        <v>48.604416748272008</v>
      </c>
      <c r="AR291" s="12">
        <f>[1]节奏总纲!BD291</f>
        <v>51.354396943029187</v>
      </c>
      <c r="AS291" s="12">
        <f>[1]节奏总纲!BE291</f>
        <v>56.076935595234382</v>
      </c>
    </row>
    <row r="292" spans="17:45" x14ac:dyDescent="0.15">
      <c r="Q292" s="9">
        <v>289</v>
      </c>
      <c r="R292" s="10">
        <f>[1]节奏总纲!AD292</f>
        <v>81.793488759114723</v>
      </c>
      <c r="S292" s="10">
        <f>[1]节奏总纲!AE292</f>
        <v>83.885420957389968</v>
      </c>
      <c r="T292" s="10">
        <f>[1]节奏总纲!AF292</f>
        <v>86.831304447784476</v>
      </c>
      <c r="U292" s="10">
        <f>[1]节奏总纲!AG292</f>
        <v>91.864397613401607</v>
      </c>
      <c r="V292" s="10">
        <f>[1]节奏总纲!AH292</f>
        <v>100.76280791588073</v>
      </c>
      <c r="AN292" s="12">
        <f>[1]节奏总纲!AZ292</f>
        <v>289</v>
      </c>
      <c r="AO292" s="12">
        <f>[1]节奏总纲!BA292</f>
        <v>45.177419221615722</v>
      </c>
      <c r="AP292" s="12">
        <f>[1]节奏总纲!BB292</f>
        <v>46.681771339946287</v>
      </c>
      <c r="AQ292" s="12">
        <f>[1]节奏总纲!BC292</f>
        <v>48.628345414818163</v>
      </c>
      <c r="AR292" s="12">
        <f>[1]节奏总纲!BD292</f>
        <v>51.377502710948029</v>
      </c>
      <c r="AS292" s="12">
        <f>[1]节奏总纲!BE292</f>
        <v>56.099143344617488</v>
      </c>
    </row>
    <row r="293" spans="17:45" x14ac:dyDescent="0.15">
      <c r="Q293" s="9">
        <v>290</v>
      </c>
      <c r="R293" s="10">
        <f>[1]节奏总纲!AD293</f>
        <v>81.844268810604476</v>
      </c>
      <c r="S293" s="10">
        <f>[1]节奏总纲!AE293</f>
        <v>83.936131474760614</v>
      </c>
      <c r="T293" s="10">
        <f>[1]节奏总纲!AF293</f>
        <v>86.880882140227882</v>
      </c>
      <c r="U293" s="10">
        <f>[1]节奏总纲!AG293</f>
        <v>91.917150416059826</v>
      </c>
      <c r="V293" s="10">
        <f>[1]节奏总纲!AH293</f>
        <v>100.8164429312708</v>
      </c>
      <c r="AN293" s="12">
        <f>[1]节奏总纲!AZ293</f>
        <v>290</v>
      </c>
      <c r="AO293" s="12">
        <f>[1]节奏总纲!BA293</f>
        <v>45.199736104837825</v>
      </c>
      <c r="AP293" s="12">
        <f>[1]节奏总纲!BB293</f>
        <v>46.7058513934697</v>
      </c>
      <c r="AQ293" s="12">
        <f>[1]节奏总纲!BC293</f>
        <v>48.652274081364318</v>
      </c>
      <c r="AR293" s="12">
        <f>[1]节奏总纲!BD293</f>
        <v>51.400608478866879</v>
      </c>
      <c r="AS293" s="12">
        <f>[1]节奏总纲!BE293</f>
        <v>56.121351094000602</v>
      </c>
    </row>
    <row r="294" spans="17:45" x14ac:dyDescent="0.15">
      <c r="Q294" s="9">
        <v>291</v>
      </c>
      <c r="R294" s="10">
        <f>[1]节奏总纲!AD294</f>
        <v>81.895048862094228</v>
      </c>
      <c r="S294" s="10">
        <f>[1]节奏总纲!AE294</f>
        <v>83.986841992131275</v>
      </c>
      <c r="T294" s="10">
        <f>[1]节奏总纲!AF294</f>
        <v>86.930459832671289</v>
      </c>
      <c r="U294" s="10">
        <f>[1]节奏总纲!AG294</f>
        <v>91.969903218718059</v>
      </c>
      <c r="V294" s="10">
        <f>[1]节奏总纲!AH294</f>
        <v>100.87007794666089</v>
      </c>
      <c r="AN294" s="12">
        <f>[1]节奏总纲!AZ294</f>
        <v>291</v>
      </c>
      <c r="AO294" s="12">
        <f>[1]节奏总纲!BA294</f>
        <v>45.222052988059936</v>
      </c>
      <c r="AP294" s="12">
        <f>[1]节奏总纲!BB294</f>
        <v>46.729931446993106</v>
      </c>
      <c r="AQ294" s="12">
        <f>[1]节奏总纲!BC294</f>
        <v>48.67620274791048</v>
      </c>
      <c r="AR294" s="12">
        <f>[1]节奏总纲!BD294</f>
        <v>51.423714246785721</v>
      </c>
      <c r="AS294" s="12">
        <f>[1]节奏总纲!BE294</f>
        <v>56.143558843383708</v>
      </c>
    </row>
    <row r="295" spans="17:45" x14ac:dyDescent="0.15">
      <c r="Q295" s="9">
        <v>292</v>
      </c>
      <c r="R295" s="10">
        <f>[1]节奏总纲!AD295</f>
        <v>81.945828913583981</v>
      </c>
      <c r="S295" s="10">
        <f>[1]节奏总纲!AE295</f>
        <v>84.036191564035917</v>
      </c>
      <c r="T295" s="10">
        <f>[1]节奏总纲!AF295</f>
        <v>86.980037525114682</v>
      </c>
      <c r="U295" s="10">
        <f>[1]节奏总纲!AG295</f>
        <v>92.021521414287719</v>
      </c>
      <c r="V295" s="10">
        <f>[1]节奏总纲!AH295</f>
        <v>100.92371296205096</v>
      </c>
      <c r="AN295" s="12">
        <f>[1]节奏总纲!AZ295</f>
        <v>292</v>
      </c>
      <c r="AO295" s="12">
        <f>[1]节奏总纲!BA295</f>
        <v>45.244369871282039</v>
      </c>
      <c r="AP295" s="12">
        <f>[1]节奏总纲!BB295</f>
        <v>46.754011500516519</v>
      </c>
      <c r="AQ295" s="12">
        <f>[1]节奏总纲!BC295</f>
        <v>48.700131414456635</v>
      </c>
      <c r="AR295" s="12">
        <f>[1]节奏总纲!BD295</f>
        <v>51.446820014704571</v>
      </c>
      <c r="AS295" s="12">
        <f>[1]节奏总纲!BE295</f>
        <v>56.165766592766815</v>
      </c>
    </row>
    <row r="296" spans="17:45" x14ac:dyDescent="0.15">
      <c r="Q296" s="9">
        <v>293</v>
      </c>
      <c r="R296" s="10">
        <f>[1]节奏总纲!AD296</f>
        <v>81.996608965073733</v>
      </c>
      <c r="S296" s="10">
        <f>[1]节奏总纲!AE296</f>
        <v>84.085064274836242</v>
      </c>
      <c r="T296" s="10">
        <f>[1]节奏总纲!AF296</f>
        <v>87.029133791498197</v>
      </c>
      <c r="U296" s="10">
        <f>[1]节奏总纲!AG296</f>
        <v>92.071632371634976</v>
      </c>
      <c r="V296" s="10">
        <f>[1]节奏总纲!AH296</f>
        <v>100.97734797744103</v>
      </c>
      <c r="AN296" s="12">
        <f>[1]节奏总纲!AZ296</f>
        <v>293</v>
      </c>
      <c r="AO296" s="12">
        <f>[1]节奏总纲!BA296</f>
        <v>45.266686754504143</v>
      </c>
      <c r="AP296" s="12">
        <f>[1]节奏总纲!BB296</f>
        <v>46.778091554039925</v>
      </c>
      <c r="AQ296" s="12">
        <f>[1]节奏总纲!BC296</f>
        <v>48.72406008100279</v>
      </c>
      <c r="AR296" s="12">
        <f>[1]节奏总纲!BD296</f>
        <v>51.46992578262342</v>
      </c>
      <c r="AS296" s="12">
        <f>[1]节奏总纲!BE296</f>
        <v>56.187974342149921</v>
      </c>
    </row>
    <row r="297" spans="17:45" x14ac:dyDescent="0.15">
      <c r="Q297" s="9">
        <v>294</v>
      </c>
      <c r="R297" s="10">
        <f>[1]节奏总纲!AD297</f>
        <v>82.044215515890215</v>
      </c>
      <c r="S297" s="10">
        <f>[1]节奏总纲!AE297</f>
        <v>84.133936985636566</v>
      </c>
      <c r="T297" s="10">
        <f>[1]节奏总纲!AF297</f>
        <v>87.077905547159801</v>
      </c>
      <c r="U297" s="10">
        <f>[1]节奏总纲!AG297</f>
        <v>92.121743328982234</v>
      </c>
      <c r="V297" s="10">
        <f>[1]节奏总纲!AH297</f>
        <v>101.02868392415382</v>
      </c>
      <c r="AN297" s="12">
        <f>[1]节奏总纲!AZ297</f>
        <v>294</v>
      </c>
      <c r="AO297" s="12">
        <f>[1]节奏总纲!BA297</f>
        <v>45.289003637726246</v>
      </c>
      <c r="AP297" s="12">
        <f>[1]节奏总纲!BB297</f>
        <v>46.802171607563338</v>
      </c>
      <c r="AQ297" s="12">
        <f>[1]节奏总纲!BC297</f>
        <v>48.747988747548945</v>
      </c>
      <c r="AR297" s="12">
        <f>[1]节奏总纲!BD297</f>
        <v>51.493031550542263</v>
      </c>
      <c r="AS297" s="12">
        <f>[1]节奏总纲!BE297</f>
        <v>56.210182091533035</v>
      </c>
    </row>
    <row r="298" spans="17:45" x14ac:dyDescent="0.15">
      <c r="Q298" s="9">
        <v>295</v>
      </c>
      <c r="R298" s="10">
        <f>[1]节奏总纲!AD298</f>
        <v>82.091594979242089</v>
      </c>
      <c r="S298" s="10">
        <f>[1]节奏总纲!AE298</f>
        <v>84.182809696436891</v>
      </c>
      <c r="T298" s="10">
        <f>[1]节奏总纲!AF298</f>
        <v>87.126677302821392</v>
      </c>
      <c r="U298" s="10">
        <f>[1]节奏总纲!AG298</f>
        <v>92.171854286329506</v>
      </c>
      <c r="V298" s="10">
        <f>[1]节奏总纲!AH298</f>
        <v>101.07833899530283</v>
      </c>
      <c r="AN298" s="12">
        <f>[1]节奏总纲!AZ298</f>
        <v>295</v>
      </c>
      <c r="AO298" s="12">
        <f>[1]节奏总纲!BA298</f>
        <v>45.31132052094835</v>
      </c>
      <c r="AP298" s="12">
        <f>[1]节奏总纲!BB298</f>
        <v>46.826251661086744</v>
      </c>
      <c r="AQ298" s="12">
        <f>[1]节奏总纲!BC298</f>
        <v>48.771917414095107</v>
      </c>
      <c r="AR298" s="12">
        <f>[1]节奏总纲!BD298</f>
        <v>51.516137318461112</v>
      </c>
      <c r="AS298" s="12">
        <f>[1]节奏总纲!BE298</f>
        <v>56.232389840916142</v>
      </c>
    </row>
    <row r="299" spans="17:45" x14ac:dyDescent="0.15">
      <c r="Q299" s="9">
        <v>296</v>
      </c>
      <c r="R299" s="10">
        <f>[1]节奏总纲!AD299</f>
        <v>82.138974442593963</v>
      </c>
      <c r="S299" s="10">
        <f>[1]节奏总纲!AE299</f>
        <v>84.23168240723723</v>
      </c>
      <c r="T299" s="10">
        <f>[1]节奏总纲!AF299</f>
        <v>87.175449058482982</v>
      </c>
      <c r="U299" s="10">
        <f>[1]节奏总纲!AG299</f>
        <v>92.221965243676763</v>
      </c>
      <c r="V299" s="10">
        <f>[1]节奏总纲!AH299</f>
        <v>101.12799406645185</v>
      </c>
      <c r="AN299" s="12">
        <f>[1]节奏总纲!AZ299</f>
        <v>296</v>
      </c>
      <c r="AO299" s="12">
        <f>[1]节奏总纲!BA299</f>
        <v>45.333637404170453</v>
      </c>
      <c r="AP299" s="12">
        <f>[1]节奏总纲!BB299</f>
        <v>46.850331714610157</v>
      </c>
      <c r="AQ299" s="12">
        <f>[1]节奏总纲!BC299</f>
        <v>48.795846080641262</v>
      </c>
      <c r="AR299" s="12">
        <f>[1]节奏总纲!BD299</f>
        <v>51.539243086379955</v>
      </c>
      <c r="AS299" s="12">
        <f>[1]节奏总纲!BE299</f>
        <v>56.254597590299248</v>
      </c>
    </row>
    <row r="300" spans="17:45" x14ac:dyDescent="0.15">
      <c r="Q300" s="9">
        <v>297</v>
      </c>
      <c r="R300" s="10">
        <f>[1]节奏总纲!AD300</f>
        <v>82.186353905945836</v>
      </c>
      <c r="S300" s="10">
        <f>[1]节奏总纲!AE300</f>
        <v>84.280555118037555</v>
      </c>
      <c r="T300" s="10">
        <f>[1]节奏总纲!AF300</f>
        <v>87.224220814144587</v>
      </c>
      <c r="U300" s="10">
        <f>[1]节奏总纲!AG300</f>
        <v>92.272076201024021</v>
      </c>
      <c r="V300" s="10">
        <f>[1]节奏总纲!AH300</f>
        <v>101.17764913760085</v>
      </c>
      <c r="AN300" s="12">
        <f>[1]节奏总纲!AZ300</f>
        <v>297</v>
      </c>
      <c r="AO300" s="12">
        <f>[1]节奏总纲!BA300</f>
        <v>45.355954287392557</v>
      </c>
      <c r="AP300" s="12">
        <f>[1]节奏总纲!BB300</f>
        <v>46.874411768133562</v>
      </c>
      <c r="AQ300" s="12">
        <f>[1]节奏总纲!BC300</f>
        <v>48.819774747187417</v>
      </c>
      <c r="AR300" s="12">
        <f>[1]节奏总纲!BD300</f>
        <v>51.562348854298804</v>
      </c>
      <c r="AS300" s="12">
        <f>[1]节奏总纲!BE300</f>
        <v>56.276805339682355</v>
      </c>
    </row>
    <row r="301" spans="17:45" x14ac:dyDescent="0.15">
      <c r="Q301" s="9">
        <v>298</v>
      </c>
      <c r="R301" s="10">
        <f>[1]节奏总纲!AD301</f>
        <v>82.23373336929771</v>
      </c>
      <c r="S301" s="10">
        <f>[1]节奏总纲!AE301</f>
        <v>84.329427828837879</v>
      </c>
      <c r="T301" s="10">
        <f>[1]节奏总纲!AF301</f>
        <v>87.272992569806178</v>
      </c>
      <c r="U301" s="10">
        <f>[1]节奏总纲!AG301</f>
        <v>92.322187158371293</v>
      </c>
      <c r="V301" s="10">
        <f>[1]节奏总纲!AH301</f>
        <v>101.22730420874987</v>
      </c>
      <c r="AN301" s="12">
        <f>[1]节奏总纲!AZ301</f>
        <v>298</v>
      </c>
      <c r="AO301" s="12">
        <f>[1]节奏总纲!BA301</f>
        <v>45.37827117061466</v>
      </c>
      <c r="AP301" s="12">
        <f>[1]节奏总纲!BB301</f>
        <v>46.898491821656968</v>
      </c>
      <c r="AQ301" s="12">
        <f>[1]节奏总纲!BC301</f>
        <v>48.843703413733579</v>
      </c>
      <c r="AR301" s="12">
        <f>[1]节奏总纲!BD301</f>
        <v>51.585454622217647</v>
      </c>
      <c r="AS301" s="12">
        <f>[1]节奏总纲!BE301</f>
        <v>56.299013089065468</v>
      </c>
    </row>
    <row r="302" spans="17:45" x14ac:dyDescent="0.15">
      <c r="Q302" s="9">
        <v>299</v>
      </c>
      <c r="R302" s="10">
        <f>[1]节奏总纲!AD302</f>
        <v>82.281112832649583</v>
      </c>
      <c r="S302" s="10">
        <f>[1]节奏总纲!AE302</f>
        <v>84.378300539638204</v>
      </c>
      <c r="T302" s="10">
        <f>[1]节奏总纲!AF302</f>
        <v>87.321764325467768</v>
      </c>
      <c r="U302" s="10">
        <f>[1]节奏总纲!AG302</f>
        <v>92.37229811571855</v>
      </c>
      <c r="V302" s="10">
        <f>[1]节奏总纲!AH302</f>
        <v>101.27695927989888</v>
      </c>
      <c r="AN302" s="12">
        <f>[1]节奏总纲!AZ302</f>
        <v>299</v>
      </c>
      <c r="AO302" s="12">
        <f>[1]节奏总纲!BA302</f>
        <v>45.400588053836763</v>
      </c>
      <c r="AP302" s="12">
        <f>[1]节奏总纲!BB302</f>
        <v>46.922571875180381</v>
      </c>
      <c r="AQ302" s="12">
        <f>[1]节奏总纲!BC302</f>
        <v>48.867632080279733</v>
      </c>
      <c r="AR302" s="12">
        <f>[1]节奏总纲!BD302</f>
        <v>51.608560390136496</v>
      </c>
      <c r="AS302" s="12">
        <f>[1]节奏总纲!BE302</f>
        <v>56.321220838448575</v>
      </c>
    </row>
    <row r="303" spans="17:45" x14ac:dyDescent="0.15">
      <c r="Q303" s="9">
        <v>300</v>
      </c>
      <c r="R303" s="10">
        <f>[1]节奏总纲!AD303</f>
        <v>82.328492296001457</v>
      </c>
      <c r="S303" s="10">
        <f>[1]节奏总纲!AE303</f>
        <v>84.427173250438543</v>
      </c>
      <c r="T303" s="10">
        <f>[1]节奏总纲!AF303</f>
        <v>87.370536081129359</v>
      </c>
      <c r="U303" s="10">
        <f>[1]节奏总纲!AG303</f>
        <v>92.422409073065808</v>
      </c>
      <c r="V303" s="10">
        <f>[1]节奏总纲!AH303</f>
        <v>101.32661435104789</v>
      </c>
      <c r="AN303" s="12">
        <f>[1]节奏总纲!AZ303</f>
        <v>300</v>
      </c>
      <c r="AO303" s="12">
        <f>[1]节奏总纲!BA303</f>
        <v>45.422904937058867</v>
      </c>
      <c r="AP303" s="12">
        <f>[1]节奏总纲!BB303</f>
        <v>46.946651928703787</v>
      </c>
      <c r="AQ303" s="12">
        <f>[1]节奏总纲!BC303</f>
        <v>48.891560746825888</v>
      </c>
      <c r="AR303" s="12">
        <f>[1]节奏总纲!BD303</f>
        <v>51.631666158055346</v>
      </c>
      <c r="AS303" s="12">
        <f>[1]节奏总纲!BE303</f>
        <v>56.343428587831681</v>
      </c>
    </row>
    <row r="304" spans="17:45" x14ac:dyDescent="0.15">
      <c r="Q304" s="9">
        <v>301</v>
      </c>
      <c r="R304" s="10">
        <f>[1]节奏总纲!AD304</f>
        <v>82.375871759353331</v>
      </c>
      <c r="S304" s="10">
        <f>[1]节奏总纲!AE304</f>
        <v>84.476045961238867</v>
      </c>
      <c r="T304" s="10">
        <f>[1]节奏总纲!AF304</f>
        <v>87.419307836790964</v>
      </c>
      <c r="U304" s="10">
        <f>[1]节奏总纲!AG304</f>
        <v>92.472520030413079</v>
      </c>
      <c r="V304" s="10">
        <f>[1]节奏总纲!AH304</f>
        <v>101.3762694221969</v>
      </c>
      <c r="AN304" s="12">
        <f>[1]节奏总纲!AZ304</f>
        <v>301</v>
      </c>
      <c r="AO304" s="12">
        <f>[1]节奏总纲!BA304</f>
        <v>45.44522182028097</v>
      </c>
      <c r="AP304" s="12">
        <f>[1]节奏总纲!BB304</f>
        <v>46.9707319822272</v>
      </c>
      <c r="AQ304" s="12">
        <f>[1]节奏总纲!BC304</f>
        <v>48.91548941337205</v>
      </c>
      <c r="AR304" s="12">
        <f>[1]节奏总纲!BD304</f>
        <v>51.654771925974188</v>
      </c>
      <c r="AS304" s="12">
        <f>[1]节奏总纲!BE304</f>
        <v>56.365636337214795</v>
      </c>
    </row>
    <row r="305" spans="17:45" x14ac:dyDescent="0.15">
      <c r="Q305" s="9">
        <v>302</v>
      </c>
      <c r="R305" s="10">
        <f>[1]节奏总纲!AD305</f>
        <v>82.423251222705204</v>
      </c>
      <c r="S305" s="10">
        <f>[1]节奏总纲!AE305</f>
        <v>84.524918672039192</v>
      </c>
      <c r="T305" s="10">
        <f>[1]节奏总纲!AF305</f>
        <v>87.468079592452554</v>
      </c>
      <c r="U305" s="10">
        <f>[1]节奏总纲!AG305</f>
        <v>92.522630987760337</v>
      </c>
      <c r="V305" s="10">
        <f>[1]节奏总纲!AH305</f>
        <v>101.42592449334592</v>
      </c>
      <c r="AN305" s="12">
        <f>[1]节奏总纲!AZ305</f>
        <v>302</v>
      </c>
      <c r="AO305" s="12">
        <f>[1]节奏总纲!BA305</f>
        <v>45.467538703503074</v>
      </c>
      <c r="AP305" s="12">
        <f>[1]节奏总纲!BB305</f>
        <v>46.994812035750606</v>
      </c>
      <c r="AQ305" s="12">
        <f>[1]节奏总纲!BC305</f>
        <v>48.939418079918205</v>
      </c>
      <c r="AR305" s="12">
        <f>[1]节奏总纲!BD305</f>
        <v>51.677877693893038</v>
      </c>
      <c r="AS305" s="12">
        <f>[1]节奏总纲!BE305</f>
        <v>56.387844086597902</v>
      </c>
    </row>
    <row r="306" spans="17:45" x14ac:dyDescent="0.15">
      <c r="Q306" s="9">
        <v>303</v>
      </c>
      <c r="R306" s="10">
        <f>[1]节奏总纲!AD306</f>
        <v>82.470630686057078</v>
      </c>
      <c r="S306" s="10">
        <f>[1]节奏总纲!AE306</f>
        <v>84.573791382839516</v>
      </c>
      <c r="T306" s="10">
        <f>[1]节奏总纲!AF306</f>
        <v>87.516851348114145</v>
      </c>
      <c r="U306" s="10">
        <f>[1]节奏总纲!AG306</f>
        <v>92.572741945107595</v>
      </c>
      <c r="V306" s="10">
        <f>[1]节奏总纲!AH306</f>
        <v>101.47557956449492</v>
      </c>
      <c r="AN306" s="12">
        <f>[1]节奏总纲!AZ306</f>
        <v>303</v>
      </c>
      <c r="AO306" s="12">
        <f>[1]节奏总纲!BA306</f>
        <v>45.489855586725177</v>
      </c>
      <c r="AP306" s="12">
        <f>[1]节奏总纲!BB306</f>
        <v>47.016308935086101</v>
      </c>
      <c r="AQ306" s="12">
        <f>[1]节奏总纲!BC306</f>
        <v>48.96334674646436</v>
      </c>
      <c r="AR306" s="12">
        <f>[1]节奏总纲!BD306</f>
        <v>51.70098346181188</v>
      </c>
      <c r="AS306" s="12">
        <f>[1]节奏总纲!BE306</f>
        <v>56.410051835981008</v>
      </c>
    </row>
    <row r="307" spans="17:45" x14ac:dyDescent="0.15">
      <c r="Q307" s="9">
        <v>304</v>
      </c>
      <c r="R307" s="10">
        <f>[1]节奏总纲!AD307</f>
        <v>82.518010149408951</v>
      </c>
      <c r="S307" s="10">
        <f>[1]节奏总纲!AE307</f>
        <v>84.622664093639855</v>
      </c>
      <c r="T307" s="10">
        <f>[1]节奏总纲!AF307</f>
        <v>87.565623103775735</v>
      </c>
      <c r="U307" s="10">
        <f>[1]节奏总纲!AG307</f>
        <v>92.622852902454852</v>
      </c>
      <c r="V307" s="10">
        <f>[1]节奏总纲!AH307</f>
        <v>101.52523463564394</v>
      </c>
      <c r="AN307" s="12">
        <f>[1]节奏总纲!AZ307</f>
        <v>304</v>
      </c>
      <c r="AO307" s="12">
        <f>[1]节奏总纲!BA307</f>
        <v>45.512172469947281</v>
      </c>
      <c r="AP307" s="12">
        <f>[1]节奏总纲!BB307</f>
        <v>47.037096473408994</v>
      </c>
      <c r="AQ307" s="12">
        <f>[1]节奏总纲!BC307</f>
        <v>48.987275413010522</v>
      </c>
      <c r="AR307" s="12">
        <f>[1]节奏总纲!BD307</f>
        <v>51.72408922973073</v>
      </c>
      <c r="AS307" s="12">
        <f>[1]节奏总纲!BE307</f>
        <v>56.432259585364115</v>
      </c>
    </row>
    <row r="308" spans="17:45" x14ac:dyDescent="0.15">
      <c r="Q308" s="9">
        <v>305</v>
      </c>
      <c r="R308" s="10">
        <f>[1]节奏总纲!AD308</f>
        <v>82.565389612760825</v>
      </c>
      <c r="S308" s="10">
        <f>[1]节奏总纲!AE308</f>
        <v>84.67153680444018</v>
      </c>
      <c r="T308" s="10">
        <f>[1]节奏总纲!AF308</f>
        <v>87.61439485943734</v>
      </c>
      <c r="U308" s="10">
        <f>[1]节奏总纲!AG308</f>
        <v>92.672963859802124</v>
      </c>
      <c r="V308" s="10">
        <f>[1]节奏总纲!AH308</f>
        <v>101.57488970679294</v>
      </c>
      <c r="AN308" s="12">
        <f>[1]节奏总纲!AZ308</f>
        <v>305</v>
      </c>
      <c r="AO308" s="12">
        <f>[1]节奏总纲!BA308</f>
        <v>45.534489353169384</v>
      </c>
      <c r="AP308" s="12">
        <f>[1]节奏总纲!BB308</f>
        <v>47.057884011731893</v>
      </c>
      <c r="AQ308" s="12">
        <f>[1]节奏总纲!BC308</f>
        <v>49.009673493801003</v>
      </c>
      <c r="AR308" s="12">
        <f>[1]节奏总纲!BD308</f>
        <v>51.747194997649579</v>
      </c>
      <c r="AS308" s="12">
        <f>[1]节奏总纲!BE308</f>
        <v>56.454467334747228</v>
      </c>
    </row>
    <row r="309" spans="17:45" x14ac:dyDescent="0.15">
      <c r="Q309" s="9">
        <v>306</v>
      </c>
      <c r="R309" s="10">
        <f>[1]节奏总纲!AD309</f>
        <v>82.612769076112698</v>
      </c>
      <c r="S309" s="10">
        <f>[1]节奏总纲!AE309</f>
        <v>84.720409515240505</v>
      </c>
      <c r="T309" s="10">
        <f>[1]节奏总纲!AF309</f>
        <v>87.66316661509893</v>
      </c>
      <c r="U309" s="10">
        <f>[1]节奏总纲!AG309</f>
        <v>92.723074817149381</v>
      </c>
      <c r="V309" s="10">
        <f>[1]节奏总纲!AH309</f>
        <v>101.62454477794196</v>
      </c>
      <c r="AN309" s="12">
        <f>[1]节奏总纲!AZ309</f>
        <v>306</v>
      </c>
      <c r="AO309" s="12">
        <f>[1]节奏总纲!BA309</f>
        <v>45.556806236391488</v>
      </c>
      <c r="AP309" s="12">
        <f>[1]节奏总纲!BB309</f>
        <v>47.078671550054786</v>
      </c>
      <c r="AQ309" s="12">
        <f>[1]节奏总纲!BC309</f>
        <v>49.030333272797542</v>
      </c>
      <c r="AR309" s="12">
        <f>[1]节奏总纲!BD309</f>
        <v>51.770300765568422</v>
      </c>
      <c r="AS309" s="12">
        <f>[1]节奏总纲!BE309</f>
        <v>56.476675084130335</v>
      </c>
    </row>
    <row r="310" spans="17:45" x14ac:dyDescent="0.15">
      <c r="Q310" s="9">
        <v>307</v>
      </c>
      <c r="R310" s="10">
        <f>[1]节奏总纲!AD310</f>
        <v>82.660148539464572</v>
      </c>
      <c r="S310" s="10">
        <f>[1]节奏总纲!AE310</f>
        <v>84.769282226040829</v>
      </c>
      <c r="T310" s="10">
        <f>[1]节奏总纲!AF310</f>
        <v>87.711938370760521</v>
      </c>
      <c r="U310" s="10">
        <f>[1]节奏总纲!AG310</f>
        <v>92.773185774496639</v>
      </c>
      <c r="V310" s="10">
        <f>[1]节奏总纲!AH310</f>
        <v>101.67419984909097</v>
      </c>
      <c r="AN310" s="12">
        <f>[1]节奏总纲!AZ310</f>
        <v>307</v>
      </c>
      <c r="AO310" s="12">
        <f>[1]节奏总纲!BA310</f>
        <v>45.579123119613591</v>
      </c>
      <c r="AP310" s="12">
        <f>[1]节奏总纲!BB310</f>
        <v>47.099459088377678</v>
      </c>
      <c r="AQ310" s="12">
        <f>[1]节奏总纲!BC310</f>
        <v>49.05099305179408</v>
      </c>
      <c r="AR310" s="12">
        <f>[1]节奏总纲!BD310</f>
        <v>51.793406533487271</v>
      </c>
      <c r="AS310" s="12">
        <f>[1]节奏总纲!BE310</f>
        <v>56.498882833513441</v>
      </c>
    </row>
    <row r="311" spans="17:45" x14ac:dyDescent="0.15">
      <c r="Q311" s="9">
        <v>308</v>
      </c>
      <c r="R311" s="10">
        <f>[1]节奏总纲!AD311</f>
        <v>82.707528002816446</v>
      </c>
      <c r="S311" s="10">
        <f>[1]节奏总纲!AE311</f>
        <v>84.818154936841154</v>
      </c>
      <c r="T311" s="10">
        <f>[1]节奏总纲!AF311</f>
        <v>87.760710126422126</v>
      </c>
      <c r="U311" s="10">
        <f>[1]节奏总纲!AG311</f>
        <v>92.823296731843911</v>
      </c>
      <c r="V311" s="10">
        <f>[1]节奏总纲!AH311</f>
        <v>101.72385492023999</v>
      </c>
      <c r="AN311" s="12">
        <f>[1]节奏总纲!AZ311</f>
        <v>308</v>
      </c>
      <c r="AO311" s="12">
        <f>[1]节奏总纲!BA311</f>
        <v>45.601440002835695</v>
      </c>
      <c r="AP311" s="12">
        <f>[1]节奏总纲!BB311</f>
        <v>47.12024662670057</v>
      </c>
      <c r="AQ311" s="12">
        <f>[1]节奏总纲!BC311</f>
        <v>49.071652830790612</v>
      </c>
      <c r="AR311" s="12">
        <f>[1]节奏总纲!BD311</f>
        <v>51.816512301406114</v>
      </c>
      <c r="AS311" s="12">
        <f>[1]节奏总纲!BE311</f>
        <v>56.521090582896548</v>
      </c>
    </row>
    <row r="312" spans="17:45" x14ac:dyDescent="0.15">
      <c r="Q312" s="9">
        <v>309</v>
      </c>
      <c r="R312" s="10">
        <f>[1]节奏总纲!AD312</f>
        <v>82.754907466168319</v>
      </c>
      <c r="S312" s="10">
        <f>[1]节奏总纲!AE312</f>
        <v>84.867027647641493</v>
      </c>
      <c r="T312" s="10">
        <f>[1]节奏总纲!AF312</f>
        <v>87.809481882083716</v>
      </c>
      <c r="U312" s="10">
        <f>[1]节奏总纲!AG312</f>
        <v>92.873407689191168</v>
      </c>
      <c r="V312" s="10">
        <f>[1]节奏总纲!AH312</f>
        <v>101.77350999138899</v>
      </c>
      <c r="AN312" s="12">
        <f>[1]节奏总纲!AZ312</f>
        <v>309</v>
      </c>
      <c r="AO312" s="12">
        <f>[1]节奏总纲!BA312</f>
        <v>45.623756886057798</v>
      </c>
      <c r="AP312" s="12">
        <f>[1]节奏总纲!BB312</f>
        <v>47.14103416502347</v>
      </c>
      <c r="AQ312" s="12">
        <f>[1]节奏总纲!BC312</f>
        <v>49.09231260978715</v>
      </c>
      <c r="AR312" s="12">
        <f>[1]节奏总纲!BD312</f>
        <v>51.839618069324963</v>
      </c>
      <c r="AS312" s="12">
        <f>[1]节奏总纲!BE312</f>
        <v>56.543298332279662</v>
      </c>
    </row>
    <row r="313" spans="17:45" x14ac:dyDescent="0.15">
      <c r="Q313" s="9">
        <v>310</v>
      </c>
      <c r="R313" s="10">
        <f>[1]节奏总纲!AD313</f>
        <v>82.802286929520193</v>
      </c>
      <c r="S313" s="10">
        <f>[1]节奏总纲!AE313</f>
        <v>84.915900358441817</v>
      </c>
      <c r="T313" s="10">
        <f>[1]节奏总纲!AF313</f>
        <v>87.858253637745307</v>
      </c>
      <c r="U313" s="10">
        <f>[1]节奏总纲!AG313</f>
        <v>92.923518646538426</v>
      </c>
      <c r="V313" s="10">
        <f>[1]节奏总纲!AH313</f>
        <v>101.82316506253801</v>
      </c>
      <c r="AN313" s="12">
        <f>[1]节奏总纲!AZ313</f>
        <v>310</v>
      </c>
      <c r="AO313" s="12">
        <f>[1]节奏总纲!BA313</f>
        <v>45.646073769279901</v>
      </c>
      <c r="AP313" s="12">
        <f>[1]节奏总纲!BB313</f>
        <v>47.161821703346362</v>
      </c>
      <c r="AQ313" s="12">
        <f>[1]节奏总纲!BC313</f>
        <v>49.112972388783689</v>
      </c>
      <c r="AR313" s="12">
        <f>[1]节奏总纲!BD313</f>
        <v>51.862723837243806</v>
      </c>
      <c r="AS313" s="12">
        <f>[1]节奏总纲!BE313</f>
        <v>56.565506081662768</v>
      </c>
    </row>
    <row r="314" spans="17:45" x14ac:dyDescent="0.15">
      <c r="Q314" s="9">
        <v>311</v>
      </c>
      <c r="R314" s="10">
        <f>[1]节奏总纲!AD314</f>
        <v>82.849666392872066</v>
      </c>
      <c r="S314" s="10">
        <f>[1]节奏总纲!AE314</f>
        <v>84.964773069242142</v>
      </c>
      <c r="T314" s="10">
        <f>[1]节奏总纲!AF314</f>
        <v>87.907025393406897</v>
      </c>
      <c r="U314" s="10">
        <f>[1]节奏总纲!AG314</f>
        <v>92.973629603885698</v>
      </c>
      <c r="V314" s="10">
        <f>[1]节奏总纲!AH314</f>
        <v>101.87282013368701</v>
      </c>
      <c r="AN314" s="12">
        <f>[1]节奏总纲!AZ314</f>
        <v>311</v>
      </c>
      <c r="AO314" s="12">
        <f>[1]节奏总纲!BA314</f>
        <v>45.668390652502012</v>
      </c>
      <c r="AP314" s="12">
        <f>[1]节奏总纲!BB314</f>
        <v>47.182609241669255</v>
      </c>
      <c r="AQ314" s="12">
        <f>[1]节奏总纲!BC314</f>
        <v>49.133632167780227</v>
      </c>
      <c r="AR314" s="12">
        <f>[1]节奏总纲!BD314</f>
        <v>51.885829605162655</v>
      </c>
      <c r="AS314" s="12">
        <f>[1]节奏总纲!BE314</f>
        <v>56.587713831045875</v>
      </c>
    </row>
    <row r="315" spans="17:45" x14ac:dyDescent="0.15">
      <c r="Q315" s="9">
        <v>312</v>
      </c>
      <c r="R315" s="10">
        <f>[1]节奏总纲!AD315</f>
        <v>82.89704585622394</v>
      </c>
      <c r="S315" s="10">
        <f>[1]节奏总纲!AE315</f>
        <v>85.012531647506819</v>
      </c>
      <c r="T315" s="10">
        <f>[1]节奏总纲!AF315</f>
        <v>87.955797149068502</v>
      </c>
      <c r="U315" s="10">
        <f>[1]节奏总纲!AG315</f>
        <v>93.022367647203353</v>
      </c>
      <c r="V315" s="10">
        <f>[1]节奏总纲!AH315</f>
        <v>101.92247520483603</v>
      </c>
      <c r="AN315" s="12">
        <f>[1]节奏总纲!AZ315</f>
        <v>312</v>
      </c>
      <c r="AO315" s="12">
        <f>[1]节奏总纲!BA315</f>
        <v>45.690707535724115</v>
      </c>
      <c r="AP315" s="12">
        <f>[1]节奏总纲!BB315</f>
        <v>47.203396779992147</v>
      </c>
      <c r="AQ315" s="12">
        <f>[1]节奏总纲!BC315</f>
        <v>49.154291946776759</v>
      </c>
      <c r="AR315" s="12">
        <f>[1]节奏总纲!BD315</f>
        <v>51.908935373081505</v>
      </c>
      <c r="AS315" s="12">
        <f>[1]节奏总纲!BE315</f>
        <v>56.609921580428981</v>
      </c>
    </row>
    <row r="316" spans="17:45" x14ac:dyDescent="0.15">
      <c r="Q316" s="9">
        <v>313</v>
      </c>
      <c r="R316" s="10">
        <f>[1]节奏总纲!AD316</f>
        <v>82.944425319575814</v>
      </c>
      <c r="S316" s="10">
        <f>[1]节奏总纲!AE316</f>
        <v>85.057414064088832</v>
      </c>
      <c r="T316" s="10">
        <f>[1]节奏总纲!AF316</f>
        <v>88.004756197276762</v>
      </c>
      <c r="U316" s="10">
        <f>[1]节奏总纲!AG316</f>
        <v>93.069580693431178</v>
      </c>
      <c r="V316" s="10">
        <f>[1]节奏总纲!AH316</f>
        <v>101.97213027598504</v>
      </c>
      <c r="AN316" s="12">
        <f>[1]节奏总纲!AZ316</f>
        <v>313</v>
      </c>
      <c r="AO316" s="12">
        <f>[1]节奏总纲!BA316</f>
        <v>45.713024418946219</v>
      </c>
      <c r="AP316" s="12">
        <f>[1]节奏总纲!BB316</f>
        <v>47.224184318315039</v>
      </c>
      <c r="AQ316" s="12">
        <f>[1]节奏总纲!BC316</f>
        <v>49.174951725773298</v>
      </c>
      <c r="AR316" s="12">
        <f>[1]节奏总纲!BD316</f>
        <v>51.932041141000347</v>
      </c>
      <c r="AS316" s="12">
        <f>[1]节奏总纲!BE316</f>
        <v>56.632129329812095</v>
      </c>
    </row>
    <row r="317" spans="17:45" x14ac:dyDescent="0.15">
      <c r="Q317" s="9">
        <v>314</v>
      </c>
      <c r="R317" s="10">
        <f>[1]节奏总纲!AD317</f>
        <v>82.991804782927687</v>
      </c>
      <c r="S317" s="10">
        <f>[1]节奏总纲!AE317</f>
        <v>85.10229648067083</v>
      </c>
      <c r="T317" s="10">
        <f>[1]节奏总纲!AF317</f>
        <v>88.05552724748766</v>
      </c>
      <c r="U317" s="10">
        <f>[1]节奏总纲!AG317</f>
        <v>93.116793739659002</v>
      </c>
      <c r="V317" s="10">
        <f>[1]节奏总纲!AH317</f>
        <v>102.01969836502204</v>
      </c>
      <c r="AN317" s="12">
        <f>[1]节奏总纲!AZ317</f>
        <v>314</v>
      </c>
      <c r="AO317" s="12">
        <f>[1]节奏总纲!BA317</f>
        <v>45.735341302168322</v>
      </c>
      <c r="AP317" s="12">
        <f>[1]节奏总纲!BB317</f>
        <v>47.244971856637939</v>
      </c>
      <c r="AQ317" s="12">
        <f>[1]节奏总纲!BC317</f>
        <v>49.195611504769836</v>
      </c>
      <c r="AR317" s="12">
        <f>[1]节奏总纲!BD317</f>
        <v>51.955146908919197</v>
      </c>
      <c r="AS317" s="12">
        <f>[1]节奏总纲!BE317</f>
        <v>56.654337079195201</v>
      </c>
    </row>
    <row r="318" spans="17:45" x14ac:dyDescent="0.15">
      <c r="Q318" s="9">
        <v>315</v>
      </c>
      <c r="R318" s="10">
        <f>[1]节奏总纲!AD318</f>
        <v>83.03656019452734</v>
      </c>
      <c r="S318" s="10">
        <f>[1]节奏总纲!AE318</f>
        <v>85.147178897252829</v>
      </c>
      <c r="T318" s="10">
        <f>[1]节奏总纲!AF318</f>
        <v>88.106298297698572</v>
      </c>
      <c r="U318" s="10">
        <f>[1]节奏总纲!AG318</f>
        <v>93.164006785886826</v>
      </c>
      <c r="V318" s="10">
        <f>[1]节奏总纲!AH318</f>
        <v>102.06459660376342</v>
      </c>
      <c r="AN318" s="12">
        <f>[1]节奏总纲!AZ318</f>
        <v>315</v>
      </c>
      <c r="AO318" s="12">
        <f>[1]节奏总纲!BA318</f>
        <v>45.757658185390426</v>
      </c>
      <c r="AP318" s="12">
        <f>[1]节奏总纲!BB318</f>
        <v>47.265759394960831</v>
      </c>
      <c r="AQ318" s="12">
        <f>[1]节奏总纲!BC318</f>
        <v>49.216271283766375</v>
      </c>
      <c r="AR318" s="12">
        <f>[1]节奏总纲!BD318</f>
        <v>51.978252676838039</v>
      </c>
      <c r="AS318" s="12">
        <f>[1]节奏总纲!BE318</f>
        <v>56.676544828578308</v>
      </c>
    </row>
    <row r="319" spans="17:45" x14ac:dyDescent="0.15">
      <c r="Q319" s="9">
        <v>316</v>
      </c>
      <c r="R319" s="10">
        <f>[1]节奏总纲!AD319</f>
        <v>83.080766796955942</v>
      </c>
      <c r="S319" s="10">
        <f>[1]节奏总纲!AE319</f>
        <v>85.192061313834827</v>
      </c>
      <c r="T319" s="10">
        <f>[1]节奏总纲!AF319</f>
        <v>88.15706934790947</v>
      </c>
      <c r="U319" s="10">
        <f>[1]节奏总纲!AG319</f>
        <v>93.211219832114651</v>
      </c>
      <c r="V319" s="10">
        <f>[1]节奏总纲!AH319</f>
        <v>102.1094948425048</v>
      </c>
      <c r="AN319" s="12">
        <f>[1]节奏总纲!AZ319</f>
        <v>316</v>
      </c>
      <c r="AO319" s="12">
        <f>[1]节奏总纲!BA319</f>
        <v>45.779975068612529</v>
      </c>
      <c r="AP319" s="12">
        <f>[1]节奏总纲!BB319</f>
        <v>47.286546933283724</v>
      </c>
      <c r="AQ319" s="12">
        <f>[1]节奏总纲!BC319</f>
        <v>49.236931062762913</v>
      </c>
      <c r="AR319" s="12">
        <f>[1]节奏总纲!BD319</f>
        <v>52.001173105835825</v>
      </c>
      <c r="AS319" s="12">
        <f>[1]节奏总纲!BE319</f>
        <v>56.698752577961415</v>
      </c>
    </row>
    <row r="320" spans="17:45" x14ac:dyDescent="0.15">
      <c r="Q320" s="9">
        <v>317</v>
      </c>
      <c r="R320" s="10">
        <f>[1]节奏总纲!AD320</f>
        <v>83.124973399384558</v>
      </c>
      <c r="S320" s="10">
        <f>[1]节奏总纲!AE320</f>
        <v>85.236943730416826</v>
      </c>
      <c r="T320" s="10">
        <f>[1]节奏总纲!AF320</f>
        <v>88.207840398120382</v>
      </c>
      <c r="U320" s="10">
        <f>[1]节奏总纲!AG320</f>
        <v>93.258432878342475</v>
      </c>
      <c r="V320" s="10">
        <f>[1]节奏总纲!AH320</f>
        <v>102.15439308124618</v>
      </c>
      <c r="AN320" s="12">
        <f>[1]节奏总纲!AZ320</f>
        <v>317</v>
      </c>
      <c r="AO320" s="12">
        <f>[1]节奏总纲!BA320</f>
        <v>45.802291951834633</v>
      </c>
      <c r="AP320" s="12">
        <f>[1]节奏总纲!BB320</f>
        <v>47.307334471606616</v>
      </c>
      <c r="AQ320" s="12">
        <f>[1]节奏总纲!BC320</f>
        <v>49.257590841759445</v>
      </c>
      <c r="AR320" s="12">
        <f>[1]节奏总纲!BD320</f>
        <v>52.021126446631868</v>
      </c>
      <c r="AS320" s="12">
        <f>[1]节奏总纲!BE320</f>
        <v>56.720960327344528</v>
      </c>
    </row>
    <row r="321" spans="17:45" x14ac:dyDescent="0.15">
      <c r="Q321" s="9">
        <v>318</v>
      </c>
      <c r="R321" s="10">
        <f>[1]节奏总纲!AD321</f>
        <v>83.16918000181316</v>
      </c>
      <c r="S321" s="10">
        <f>[1]节奏总纲!AE321</f>
        <v>85.281826146998839</v>
      </c>
      <c r="T321" s="10">
        <f>[1]节奏总纲!AF321</f>
        <v>88.258611448331294</v>
      </c>
      <c r="U321" s="10">
        <f>[1]节奏总纲!AG321</f>
        <v>93.3056459245703</v>
      </c>
      <c r="V321" s="10">
        <f>[1]节奏总纲!AH321</f>
        <v>102.19929131998755</v>
      </c>
      <c r="AN321" s="12">
        <f>[1]节奏总纲!AZ321</f>
        <v>318</v>
      </c>
      <c r="AO321" s="12">
        <f>[1]节奏总纲!BA321</f>
        <v>45.824608835056736</v>
      </c>
      <c r="AP321" s="12">
        <f>[1]节奏总纲!BB321</f>
        <v>47.328122009929508</v>
      </c>
      <c r="AQ321" s="12">
        <f>[1]节奏总纲!BC321</f>
        <v>49.278250620755983</v>
      </c>
      <c r="AR321" s="12">
        <f>[1]节奏总纲!BD321</f>
        <v>52.041079787427918</v>
      </c>
      <c r="AS321" s="12">
        <f>[1]节奏总纲!BE321</f>
        <v>56.743168076727635</v>
      </c>
    </row>
    <row r="322" spans="17:45" x14ac:dyDescent="0.15">
      <c r="Q322" s="9">
        <v>319</v>
      </c>
      <c r="R322" s="10">
        <f>[1]节奏总纲!AD322</f>
        <v>83.213386604241776</v>
      </c>
      <c r="S322" s="10">
        <f>[1]节奏总纲!AE322</f>
        <v>85.326708563580837</v>
      </c>
      <c r="T322" s="10">
        <f>[1]节奏总纲!AF322</f>
        <v>88.309382498542192</v>
      </c>
      <c r="U322" s="10">
        <f>[1]节奏总纲!AG322</f>
        <v>93.352858970798124</v>
      </c>
      <c r="V322" s="10">
        <f>[1]节奏总纲!AH322</f>
        <v>102.24418955872893</v>
      </c>
      <c r="AN322" s="12">
        <f>[1]节奏总纲!AZ322</f>
        <v>319</v>
      </c>
      <c r="AO322" s="12">
        <f>[1]节奏总纲!BA322</f>
        <v>45.84692571827884</v>
      </c>
      <c r="AP322" s="12">
        <f>[1]节奏总纲!BB322</f>
        <v>47.348909548252408</v>
      </c>
      <c r="AQ322" s="12">
        <f>[1]节奏总纲!BC322</f>
        <v>49.298910399752522</v>
      </c>
      <c r="AR322" s="12">
        <f>[1]节奏总纲!BD322</f>
        <v>52.061033128223968</v>
      </c>
      <c r="AS322" s="12">
        <f>[1]节奏总纲!BE322</f>
        <v>56.765375826110741</v>
      </c>
    </row>
    <row r="323" spans="17:45" x14ac:dyDescent="0.15">
      <c r="Q323" s="9">
        <v>320</v>
      </c>
      <c r="R323" s="10">
        <f>[1]节奏总纲!AD323</f>
        <v>83.257593206670379</v>
      </c>
      <c r="S323" s="10">
        <f>[1]节奏总纲!AE323</f>
        <v>85.371590980162836</v>
      </c>
      <c r="T323" s="10">
        <f>[1]节奏总纲!AF323</f>
        <v>88.360153548753104</v>
      </c>
      <c r="U323" s="10">
        <f>[1]节奏总纲!AG323</f>
        <v>93.400072017025948</v>
      </c>
      <c r="V323" s="10">
        <f>[1]节奏总纲!AH323</f>
        <v>102.28908779747032</v>
      </c>
      <c r="AN323" s="12">
        <f>[1]节奏总纲!AZ323</f>
        <v>320</v>
      </c>
      <c r="AO323" s="12">
        <f>[1]节奏总纲!BA323</f>
        <v>45.869242601500943</v>
      </c>
      <c r="AP323" s="12">
        <f>[1]节奏总纲!BB323</f>
        <v>47.3696970865753</v>
      </c>
      <c r="AQ323" s="12">
        <f>[1]节奏总纲!BC323</f>
        <v>49.319570178749061</v>
      </c>
      <c r="AR323" s="12">
        <f>[1]节奏总纲!BD323</f>
        <v>52.080986469020011</v>
      </c>
      <c r="AS323" s="12">
        <f>[1]节奏总纲!BE323</f>
        <v>56.787583575493848</v>
      </c>
    </row>
    <row r="324" spans="17:45" x14ac:dyDescent="0.15">
      <c r="Q324" s="9">
        <v>321</v>
      </c>
      <c r="R324" s="10">
        <f>[1]节奏总纲!AD324</f>
        <v>83.301799809098995</v>
      </c>
      <c r="S324" s="10">
        <f>[1]节奏总纲!AE324</f>
        <v>85.416473396744834</v>
      </c>
      <c r="T324" s="10">
        <f>[1]节奏总纲!AF324</f>
        <v>88.410924598964016</v>
      </c>
      <c r="U324" s="10">
        <f>[1]节奏总纲!AG324</f>
        <v>93.447285063253773</v>
      </c>
      <c r="V324" s="10">
        <f>[1]节奏总纲!AH324</f>
        <v>102.3339860362117</v>
      </c>
      <c r="AN324" s="12">
        <f>[1]节奏总纲!AZ324</f>
        <v>321</v>
      </c>
      <c r="AO324" s="12">
        <f>[1]节奏总纲!BA324</f>
        <v>45.891559484723047</v>
      </c>
      <c r="AP324" s="12">
        <f>[1]节奏总纲!BB324</f>
        <v>47.390484624898193</v>
      </c>
      <c r="AQ324" s="12">
        <f>[1]节奏总纲!BC324</f>
        <v>49.340229957745592</v>
      </c>
      <c r="AR324" s="12">
        <f>[1]节奏总纲!BD324</f>
        <v>52.100939809816062</v>
      </c>
      <c r="AS324" s="12">
        <f>[1]节奏总纲!BE324</f>
        <v>56.809791324876961</v>
      </c>
    </row>
    <row r="325" spans="17:45" x14ac:dyDescent="0.15">
      <c r="Q325" s="9">
        <v>322</v>
      </c>
      <c r="R325" s="10">
        <f>[1]节奏总纲!AD325</f>
        <v>83.346006411527597</v>
      </c>
      <c r="S325" s="10">
        <f>[1]节奏总纲!AE325</f>
        <v>85.461355813326847</v>
      </c>
      <c r="T325" s="10">
        <f>[1]节奏总纲!AF325</f>
        <v>88.461695649174914</v>
      </c>
      <c r="U325" s="10">
        <f>[1]节奏总纲!AG325</f>
        <v>93.494498109481597</v>
      </c>
      <c r="V325" s="10">
        <f>[1]节奏总纲!AH325</f>
        <v>102.37888427495307</v>
      </c>
      <c r="AN325" s="12">
        <f>[1]节奏总纲!AZ325</f>
        <v>322</v>
      </c>
      <c r="AO325" s="12">
        <f>[1]节奏总纲!BA325</f>
        <v>45.91387636794515</v>
      </c>
      <c r="AP325" s="12">
        <f>[1]节奏总纲!BB325</f>
        <v>47.411272163221085</v>
      </c>
      <c r="AQ325" s="12">
        <f>[1]节奏总纲!BC325</f>
        <v>49.360889736742131</v>
      </c>
      <c r="AR325" s="12">
        <f>[1]节奏总纲!BD325</f>
        <v>52.120893150612112</v>
      </c>
      <c r="AS325" s="12">
        <f>[1]节奏总纲!BE325</f>
        <v>56.831999074260068</v>
      </c>
    </row>
    <row r="326" spans="17:45" x14ac:dyDescent="0.15">
      <c r="Q326" s="9">
        <v>323</v>
      </c>
      <c r="R326" s="10">
        <f>[1]节奏总纲!AD326</f>
        <v>83.390213013956213</v>
      </c>
      <c r="S326" s="10">
        <f>[1]节奏总纲!AE326</f>
        <v>85.506238229908845</v>
      </c>
      <c r="T326" s="10">
        <f>[1]节奏总纲!AF326</f>
        <v>88.512466699385826</v>
      </c>
      <c r="U326" s="10">
        <f>[1]节奏总纲!AG326</f>
        <v>93.541711155709422</v>
      </c>
      <c r="V326" s="10">
        <f>[1]节奏总纲!AH326</f>
        <v>102.42378251369445</v>
      </c>
      <c r="AN326" s="12">
        <f>[1]节奏总纲!AZ326</f>
        <v>323</v>
      </c>
      <c r="AO326" s="12">
        <f>[1]节奏总纲!BA326</f>
        <v>45.936193251167253</v>
      </c>
      <c r="AP326" s="12">
        <f>[1]节奏总纲!BB326</f>
        <v>47.432059701543984</v>
      </c>
      <c r="AQ326" s="12">
        <f>[1]节奏总纲!BC326</f>
        <v>49.381549515738669</v>
      </c>
      <c r="AR326" s="12">
        <f>[1]节奏总纲!BD326</f>
        <v>52.140846491408155</v>
      </c>
      <c r="AS326" s="12">
        <f>[1]节奏总纲!BE326</f>
        <v>56.854206823643175</v>
      </c>
    </row>
    <row r="327" spans="17:45" x14ac:dyDescent="0.15">
      <c r="Q327" s="9">
        <v>324</v>
      </c>
      <c r="R327" s="10">
        <f>[1]节奏总纲!AD327</f>
        <v>83.434419616384815</v>
      </c>
      <c r="S327" s="10">
        <f>[1]节奏总纲!AE327</f>
        <v>85.551120646490844</v>
      </c>
      <c r="T327" s="10">
        <f>[1]节奏总纲!AF327</f>
        <v>88.563237749596723</v>
      </c>
      <c r="U327" s="10">
        <f>[1]节奏总纲!AG327</f>
        <v>93.588924201937246</v>
      </c>
      <c r="V327" s="10">
        <f>[1]节奏总纲!AH327</f>
        <v>102.46868075243583</v>
      </c>
      <c r="AN327" s="12">
        <f>[1]节奏总纲!AZ327</f>
        <v>324</v>
      </c>
      <c r="AO327" s="12">
        <f>[1]节奏总纲!BA327</f>
        <v>45.958510134389357</v>
      </c>
      <c r="AP327" s="12">
        <f>[1]节奏总纲!BB327</f>
        <v>47.452847239866877</v>
      </c>
      <c r="AQ327" s="12">
        <f>[1]节奏总纲!BC327</f>
        <v>49.402209294735208</v>
      </c>
      <c r="AR327" s="12">
        <f>[1]节奏总纲!BD327</f>
        <v>52.160799832204205</v>
      </c>
      <c r="AS327" s="12">
        <f>[1]节奏总纲!BE327</f>
        <v>56.876414573026281</v>
      </c>
    </row>
    <row r="328" spans="17:45" x14ac:dyDescent="0.15">
      <c r="Q328" s="9">
        <v>325</v>
      </c>
      <c r="R328" s="10">
        <f>[1]节奏总纲!AD328</f>
        <v>83.478626218813432</v>
      </c>
      <c r="S328" s="10">
        <f>[1]节奏总纲!AE328</f>
        <v>85.596003063072843</v>
      </c>
      <c r="T328" s="10">
        <f>[1]节奏总纲!AF328</f>
        <v>88.614008799807635</v>
      </c>
      <c r="U328" s="10">
        <f>[1]节奏总纲!AG328</f>
        <v>93.63613724816507</v>
      </c>
      <c r="V328" s="10">
        <f>[1]节奏总纲!AH328</f>
        <v>102.51357899117721</v>
      </c>
      <c r="AN328" s="12">
        <f>[1]节奏总纲!AZ328</f>
        <v>325</v>
      </c>
      <c r="AO328" s="12">
        <f>[1]节奏总纲!BA328</f>
        <v>45.98082701761146</v>
      </c>
      <c r="AP328" s="12">
        <f>[1]节奏总纲!BB328</f>
        <v>47.473634778189769</v>
      </c>
      <c r="AQ328" s="12">
        <f>[1]节奏总纲!BC328</f>
        <v>49.422869073731739</v>
      </c>
      <c r="AR328" s="12">
        <f>[1]节奏总纲!BD328</f>
        <v>52.180753173000248</v>
      </c>
      <c r="AS328" s="12">
        <f>[1]节奏总纲!BE328</f>
        <v>56.898622322409395</v>
      </c>
    </row>
    <row r="329" spans="17:45" x14ac:dyDescent="0.15">
      <c r="Q329" s="9">
        <v>326</v>
      </c>
      <c r="R329" s="10">
        <f>[1]节奏总纲!AD329</f>
        <v>83.522832821242034</v>
      </c>
      <c r="S329" s="10">
        <f>[1]节奏总纲!AE329</f>
        <v>85.640885479654855</v>
      </c>
      <c r="T329" s="10">
        <f>[1]节奏总纲!AF329</f>
        <v>88.664779850018547</v>
      </c>
      <c r="U329" s="10">
        <f>[1]节奏总纲!AG329</f>
        <v>93.683350294392895</v>
      </c>
      <c r="V329" s="10">
        <f>[1]节奏总纲!AH329</f>
        <v>102.55847722991859</v>
      </c>
      <c r="AN329" s="12">
        <f>[1]节奏总纲!AZ329</f>
        <v>326</v>
      </c>
      <c r="AO329" s="12">
        <f>[1]节奏总纲!BA329</f>
        <v>46.002713830586146</v>
      </c>
      <c r="AP329" s="12">
        <f>[1]节奏总纲!BB329</f>
        <v>47.494422316512662</v>
      </c>
      <c r="AQ329" s="12">
        <f>[1]节奏总纲!BC329</f>
        <v>49.443528852728278</v>
      </c>
      <c r="AR329" s="12">
        <f>[1]节奏总纲!BD329</f>
        <v>52.200706513796298</v>
      </c>
      <c r="AS329" s="12">
        <f>[1]节奏总纲!BE329</f>
        <v>56.920830071792501</v>
      </c>
    </row>
    <row r="330" spans="17:45" x14ac:dyDescent="0.15">
      <c r="Q330" s="9">
        <v>327</v>
      </c>
      <c r="R330" s="10">
        <f>[1]节奏总纲!AD330</f>
        <v>83.56703942367065</v>
      </c>
      <c r="S330" s="10">
        <f>[1]节奏总纲!AE330</f>
        <v>85.685767896236854</v>
      </c>
      <c r="T330" s="10">
        <f>[1]节奏总纲!AF330</f>
        <v>88.715550900229445</v>
      </c>
      <c r="U330" s="10">
        <f>[1]节奏总纲!AG330</f>
        <v>93.730563340620719</v>
      </c>
      <c r="V330" s="10">
        <f>[1]节奏总纲!AH330</f>
        <v>102.60337546865996</v>
      </c>
      <c r="AN330" s="12">
        <f>[1]节奏总纲!AZ330</f>
        <v>327</v>
      </c>
      <c r="AO330" s="12">
        <f>[1]节奏总纲!BA330</f>
        <v>46.021977873404879</v>
      </c>
      <c r="AP330" s="12">
        <f>[1]节奏总纲!BB330</f>
        <v>47.515209854835554</v>
      </c>
      <c r="AQ330" s="12">
        <f>[1]节奏总纲!BC330</f>
        <v>49.464188631724817</v>
      </c>
      <c r="AR330" s="12">
        <f>[1]节奏总纲!BD330</f>
        <v>52.220659854592348</v>
      </c>
      <c r="AS330" s="12">
        <f>[1]节奏总纲!BE330</f>
        <v>56.943037821175608</v>
      </c>
    </row>
    <row r="331" spans="17:45" x14ac:dyDescent="0.15">
      <c r="Q331" s="9">
        <v>328</v>
      </c>
      <c r="R331" s="10">
        <f>[1]节奏总纲!AD331</f>
        <v>83.611246026099252</v>
      </c>
      <c r="S331" s="10">
        <f>[1]节奏总纲!AE331</f>
        <v>85.730650312818852</v>
      </c>
      <c r="T331" s="10">
        <f>[1]节奏总纲!AF331</f>
        <v>88.766321950440357</v>
      </c>
      <c r="U331" s="10">
        <f>[1]节奏总纲!AG331</f>
        <v>93.777776386848544</v>
      </c>
      <c r="V331" s="10">
        <f>[1]节奏总纲!AH331</f>
        <v>102.64827370740134</v>
      </c>
      <c r="AN331" s="12">
        <f>[1]节奏总纲!AZ331</f>
        <v>328</v>
      </c>
      <c r="AO331" s="12">
        <f>[1]节奏总纲!BA331</f>
        <v>46.041241916223605</v>
      </c>
      <c r="AP331" s="12">
        <f>[1]节奏总纲!BB331</f>
        <v>47.535997393158453</v>
      </c>
      <c r="AQ331" s="12">
        <f>[1]节奏总纲!BC331</f>
        <v>49.484848410721355</v>
      </c>
      <c r="AR331" s="12">
        <f>[1]节奏总纲!BD331</f>
        <v>52.240613195388391</v>
      </c>
      <c r="AS331" s="12">
        <f>[1]节奏总纲!BE331</f>
        <v>56.965245570558714</v>
      </c>
    </row>
    <row r="332" spans="17:45" x14ac:dyDescent="0.15">
      <c r="Q332" s="9">
        <v>329</v>
      </c>
      <c r="R332" s="10">
        <f>[1]节奏总纲!AD332</f>
        <v>83.655452628527868</v>
      </c>
      <c r="S332" s="10">
        <f>[1]节奏总纲!AE332</f>
        <v>85.775532729400851</v>
      </c>
      <c r="T332" s="10">
        <f>[1]节奏总纲!AF332</f>
        <v>88.817093000651269</v>
      </c>
      <c r="U332" s="10">
        <f>[1]节奏总纲!AG332</f>
        <v>93.824989433076368</v>
      </c>
      <c r="V332" s="10">
        <f>[1]节奏总纲!AH332</f>
        <v>102.69317194614273</v>
      </c>
      <c r="AN332" s="12">
        <f>[1]节奏总纲!AZ332</f>
        <v>329</v>
      </c>
      <c r="AO332" s="12">
        <f>[1]节奏总纲!BA332</f>
        <v>46.060505959042331</v>
      </c>
      <c r="AP332" s="12">
        <f>[1]节奏总纲!BB332</f>
        <v>47.556784931481346</v>
      </c>
      <c r="AQ332" s="12">
        <f>[1]节奏总纲!BC332</f>
        <v>49.505508189717887</v>
      </c>
      <c r="AR332" s="12">
        <f>[1]节奏总纲!BD332</f>
        <v>52.260566536184442</v>
      </c>
      <c r="AS332" s="12">
        <f>[1]节奏总纲!BE332</f>
        <v>56.987453319941828</v>
      </c>
    </row>
    <row r="333" spans="17:45" x14ac:dyDescent="0.15">
      <c r="Q333" s="9">
        <v>330</v>
      </c>
      <c r="R333" s="10">
        <f>[1]节奏总纲!AD333</f>
        <v>83.69965923095647</v>
      </c>
      <c r="S333" s="10">
        <f>[1]节奏总纲!AE333</f>
        <v>85.820415145982849</v>
      </c>
      <c r="T333" s="10">
        <f>[1]节奏总纲!AF333</f>
        <v>88.867864050862167</v>
      </c>
      <c r="U333" s="10">
        <f>[1]节奏总纲!AG333</f>
        <v>93.872202479304192</v>
      </c>
      <c r="V333" s="10">
        <f>[1]节奏总纲!AH333</f>
        <v>102.73807018488411</v>
      </c>
      <c r="AN333" s="12">
        <f>[1]节奏总纲!AZ333</f>
        <v>330</v>
      </c>
      <c r="AO333" s="12">
        <f>[1]节奏总纲!BA333</f>
        <v>46.079770001861057</v>
      </c>
      <c r="AP333" s="12">
        <f>[1]节奏总纲!BB333</f>
        <v>47.577572469804238</v>
      </c>
      <c r="AQ333" s="12">
        <f>[1]节奏总纲!BC333</f>
        <v>49.526167968714425</v>
      </c>
      <c r="AR333" s="12">
        <f>[1]节奏总纲!BD333</f>
        <v>52.280519876980485</v>
      </c>
      <c r="AS333" s="12">
        <f>[1]节奏总纲!BE333</f>
        <v>57.008345591208631</v>
      </c>
    </row>
    <row r="334" spans="17:45" x14ac:dyDescent="0.15">
      <c r="Q334" s="9">
        <v>331</v>
      </c>
      <c r="R334" s="10">
        <f>[1]节奏总纲!AD334</f>
        <v>83.743865833385087</v>
      </c>
      <c r="S334" s="10">
        <f>[1]节奏总纲!AE334</f>
        <v>85.865297562564862</v>
      </c>
      <c r="T334" s="10">
        <f>[1]节奏总纲!AF334</f>
        <v>88.918635101073079</v>
      </c>
      <c r="U334" s="10">
        <f>[1]节奏总纲!AG334</f>
        <v>93.919415525532017</v>
      </c>
      <c r="V334" s="10">
        <f>[1]节奏总纲!AH334</f>
        <v>102.78296842362549</v>
      </c>
      <c r="AN334" s="12">
        <f>[1]节奏总纲!AZ334</f>
        <v>331</v>
      </c>
      <c r="AO334" s="12">
        <f>[1]节奏总纲!BA334</f>
        <v>46.099034044679783</v>
      </c>
      <c r="AP334" s="12">
        <f>[1]节奏总纲!BB334</f>
        <v>47.598360008127131</v>
      </c>
      <c r="AQ334" s="12">
        <f>[1]节奏总纲!BC334</f>
        <v>49.546827747710964</v>
      </c>
      <c r="AR334" s="12">
        <f>[1]节奏总纲!BD334</f>
        <v>52.300473217776535</v>
      </c>
      <c r="AS334" s="12">
        <f>[1]节奏总纲!BE334</f>
        <v>57.027529471561998</v>
      </c>
    </row>
    <row r="335" spans="17:45" x14ac:dyDescent="0.15">
      <c r="Q335" s="9">
        <v>332</v>
      </c>
      <c r="R335" s="10">
        <f>[1]节奏总纲!AD335</f>
        <v>83.788072435813689</v>
      </c>
      <c r="S335" s="10">
        <f>[1]节奏总纲!AE335</f>
        <v>85.910179979146861</v>
      </c>
      <c r="T335" s="10">
        <f>[1]节奏总纲!AF335</f>
        <v>88.969406151283977</v>
      </c>
      <c r="U335" s="10">
        <f>[1]节奏总纲!AG335</f>
        <v>93.966628571759841</v>
      </c>
      <c r="V335" s="10">
        <f>[1]节奏总纲!AH335</f>
        <v>102.82786666236686</v>
      </c>
      <c r="AN335" s="12">
        <f>[1]节奏总纲!AZ335</f>
        <v>332</v>
      </c>
      <c r="AO335" s="12">
        <f>[1]节奏总纲!BA335</f>
        <v>46.118298087498509</v>
      </c>
      <c r="AP335" s="12">
        <f>[1]节奏总纲!BB335</f>
        <v>47.619147546450023</v>
      </c>
      <c r="AQ335" s="12">
        <f>[1]节奏总纲!BC335</f>
        <v>49.567487526707502</v>
      </c>
      <c r="AR335" s="12">
        <f>[1]节奏总纲!BD335</f>
        <v>52.320426558572585</v>
      </c>
      <c r="AS335" s="12">
        <f>[1]节奏总纲!BE335</f>
        <v>57.046713351915365</v>
      </c>
    </row>
    <row r="336" spans="17:45" x14ac:dyDescent="0.15">
      <c r="Q336" s="9">
        <v>333</v>
      </c>
      <c r="R336" s="10">
        <f>[1]节奏总纲!AD336</f>
        <v>83.832279038242305</v>
      </c>
      <c r="S336" s="10">
        <f>[1]节奏总纲!AE336</f>
        <v>85.955062395728859</v>
      </c>
      <c r="T336" s="10">
        <f>[1]节奏总纲!AF336</f>
        <v>89.018466905731287</v>
      </c>
      <c r="U336" s="10">
        <f>[1]节奏总纲!AG336</f>
        <v>94.012923283729691</v>
      </c>
      <c r="V336" s="10">
        <f>[1]节奏总纲!AH336</f>
        <v>102.87276490110824</v>
      </c>
      <c r="AN336" s="12">
        <f>[1]节奏总纲!AZ336</f>
        <v>333</v>
      </c>
      <c r="AO336" s="12">
        <f>[1]节奏总纲!BA336</f>
        <v>46.137562130317242</v>
      </c>
      <c r="AP336" s="12">
        <f>[1]节奏总纲!BB336</f>
        <v>47.639935084772922</v>
      </c>
      <c r="AQ336" s="12">
        <f>[1]节奏总纲!BC336</f>
        <v>49.588147305704041</v>
      </c>
      <c r="AR336" s="12">
        <f>[1]节奏总纲!BD336</f>
        <v>52.340379899368628</v>
      </c>
      <c r="AS336" s="12">
        <f>[1]节奏总纲!BE336</f>
        <v>57.065897232268732</v>
      </c>
    </row>
    <row r="337" spans="17:45" x14ac:dyDescent="0.15">
      <c r="Q337" s="9">
        <v>334</v>
      </c>
      <c r="R337" s="10">
        <f>[1]节奏总纲!AD337</f>
        <v>83.876485640670907</v>
      </c>
      <c r="S337" s="10">
        <f>[1]节奏总纲!AE337</f>
        <v>85.999944812310858</v>
      </c>
      <c r="T337" s="10">
        <f>[1]节奏总纲!AF337</f>
        <v>89.064934410075779</v>
      </c>
      <c r="U337" s="10">
        <f>[1]节奏总纲!AG337</f>
        <v>94.057003939090123</v>
      </c>
      <c r="V337" s="10">
        <f>[1]节奏总纲!AH337</f>
        <v>102.91766313984962</v>
      </c>
      <c r="AN337" s="12">
        <f>[1]节奏总纲!AZ337</f>
        <v>334</v>
      </c>
      <c r="AO337" s="12">
        <f>[1]节奏总纲!BA337</f>
        <v>46.156826173135968</v>
      </c>
      <c r="AP337" s="12">
        <f>[1]节奏总纲!BB337</f>
        <v>47.660722623095815</v>
      </c>
      <c r="AQ337" s="12">
        <f>[1]节奏总纲!BC337</f>
        <v>49.608807084700572</v>
      </c>
      <c r="AR337" s="12">
        <f>[1]节奏总纲!BD337</f>
        <v>52.360333240164678</v>
      </c>
      <c r="AS337" s="12">
        <f>[1]节奏总纲!BE337</f>
        <v>57.085081112622099</v>
      </c>
    </row>
    <row r="338" spans="17:45" x14ac:dyDescent="0.15">
      <c r="Q338" s="9">
        <v>335</v>
      </c>
      <c r="R338" s="10">
        <f>[1]节奏总纲!AD338</f>
        <v>83.920692243099523</v>
      </c>
      <c r="S338" s="10">
        <f>[1]节奏总纲!AE338</f>
        <v>86.041129946887025</v>
      </c>
      <c r="T338" s="10">
        <f>[1]节奏总纲!AF338</f>
        <v>89.11140191442027</v>
      </c>
      <c r="U338" s="10">
        <f>[1]节奏总纲!AG338</f>
        <v>94.101084594450555</v>
      </c>
      <c r="V338" s="10">
        <f>[1]节奏总纲!AH338</f>
        <v>102.962561378591</v>
      </c>
      <c r="AN338" s="12">
        <f>[1]节奏总纲!AZ338</f>
        <v>335</v>
      </c>
      <c r="AO338" s="12">
        <f>[1]节奏总纲!BA338</f>
        <v>46.176090215954694</v>
      </c>
      <c r="AP338" s="12">
        <f>[1]节奏总纲!BB338</f>
        <v>47.681510161418707</v>
      </c>
      <c r="AQ338" s="12">
        <f>[1]节奏总纲!BC338</f>
        <v>49.629466863697111</v>
      </c>
      <c r="AR338" s="12">
        <f>[1]节奏总纲!BD338</f>
        <v>52.380286580960728</v>
      </c>
      <c r="AS338" s="12">
        <f>[1]节奏总纲!BE338</f>
        <v>57.104264992975466</v>
      </c>
    </row>
    <row r="339" spans="17:45" x14ac:dyDescent="0.15">
      <c r="Q339" s="9">
        <v>336</v>
      </c>
      <c r="R339" s="10">
        <f>[1]节奏总纲!AD339</f>
        <v>83.964898845528126</v>
      </c>
      <c r="S339" s="10">
        <f>[1]节奏总纲!AE339</f>
        <v>86.082310529666103</v>
      </c>
      <c r="T339" s="10">
        <f>[1]节奏总纲!AF339</f>
        <v>89.157869418764761</v>
      </c>
      <c r="U339" s="10">
        <f>[1]节奏总纲!AG339</f>
        <v>94.145165249810972</v>
      </c>
      <c r="V339" s="10">
        <f>[1]节奏总纲!AH339</f>
        <v>103.00673656424885</v>
      </c>
      <c r="AN339" s="12">
        <f>[1]节奏总纲!AZ339</f>
        <v>336</v>
      </c>
      <c r="AO339" s="12">
        <f>[1]节奏总纲!BA339</f>
        <v>46.19535425877342</v>
      </c>
      <c r="AP339" s="12">
        <f>[1]节奏总纲!BB339</f>
        <v>47.7022976997416</v>
      </c>
      <c r="AQ339" s="12">
        <f>[1]节奏总纲!BC339</f>
        <v>49.65012664269365</v>
      </c>
      <c r="AR339" s="12">
        <f>[1]节奏总纲!BD339</f>
        <v>52.400239921756771</v>
      </c>
      <c r="AS339" s="12">
        <f>[1]节奏总纲!BE339</f>
        <v>57.123448873328833</v>
      </c>
    </row>
    <row r="340" spans="17:45" x14ac:dyDescent="0.15">
      <c r="Q340" s="9">
        <v>337</v>
      </c>
      <c r="R340" s="10">
        <f>[1]节奏总纲!AD340</f>
        <v>84.008495683346354</v>
      </c>
      <c r="S340" s="10">
        <f>[1]节奏总纲!AE340</f>
        <v>86.12349111244518</v>
      </c>
      <c r="T340" s="10">
        <f>[1]节奏总纲!AF340</f>
        <v>89.204336923109267</v>
      </c>
      <c r="U340" s="10">
        <f>[1]节奏总纲!AG340</f>
        <v>94.189245905171404</v>
      </c>
      <c r="V340" s="10">
        <f>[1]节奏总纲!AH340</f>
        <v>103.04728286259964</v>
      </c>
      <c r="AN340" s="12">
        <f>[1]节奏总纲!AZ340</f>
        <v>337</v>
      </c>
      <c r="AO340" s="12">
        <f>[1]节奏总纲!BA340</f>
        <v>46.214618301592147</v>
      </c>
      <c r="AP340" s="12">
        <f>[1]节奏总纲!BB340</f>
        <v>47.723085238064499</v>
      </c>
      <c r="AQ340" s="12">
        <f>[1]节奏总纲!BC340</f>
        <v>49.670786421690188</v>
      </c>
      <c r="AR340" s="12">
        <f>[1]节奏总纲!BD340</f>
        <v>52.420193262552822</v>
      </c>
      <c r="AS340" s="12">
        <f>[1]节奏总纲!BE340</f>
        <v>57.1426327536822</v>
      </c>
    </row>
    <row r="341" spans="17:45" x14ac:dyDescent="0.15">
      <c r="Q341" s="9">
        <v>338</v>
      </c>
      <c r="R341" s="10">
        <f>[1]节奏总纲!AD341</f>
        <v>84.049741901856009</v>
      </c>
      <c r="S341" s="10">
        <f>[1]节奏总纲!AE341</f>
        <v>86.164671695224243</v>
      </c>
      <c r="T341" s="10">
        <f>[1]节奏总纲!AF341</f>
        <v>89.250804427453758</v>
      </c>
      <c r="U341" s="10">
        <f>[1]节奏总纲!AG341</f>
        <v>94.233326560531836</v>
      </c>
      <c r="V341" s="10">
        <f>[1]节奏总纲!AH341</f>
        <v>103.08782916095045</v>
      </c>
      <c r="AN341" s="12">
        <f>[1]节奏总纲!AZ341</f>
        <v>338</v>
      </c>
      <c r="AO341" s="12">
        <f>[1]节奏总纲!BA341</f>
        <v>46.23388234441088</v>
      </c>
      <c r="AP341" s="12">
        <f>[1]节奏总纲!BB341</f>
        <v>47.743872776387391</v>
      </c>
      <c r="AQ341" s="12">
        <f>[1]节奏总纲!BC341</f>
        <v>49.69144620068672</v>
      </c>
      <c r="AR341" s="12">
        <f>[1]节奏总纲!BD341</f>
        <v>52.440146603348865</v>
      </c>
      <c r="AS341" s="12">
        <f>[1]节奏总纲!BE341</f>
        <v>57.161816634035567</v>
      </c>
    </row>
    <row r="342" spans="17:45" x14ac:dyDescent="0.15">
      <c r="Q342" s="9">
        <v>339</v>
      </c>
      <c r="R342" s="10">
        <f>[1]节奏总纲!AD342</f>
        <v>84.090988120365651</v>
      </c>
      <c r="S342" s="10">
        <f>[1]节奏总纲!AE342</f>
        <v>86.20585227800332</v>
      </c>
      <c r="T342" s="10">
        <f>[1]节奏总纲!AF342</f>
        <v>89.29727193179825</v>
      </c>
      <c r="U342" s="10">
        <f>[1]节奏总纲!AG342</f>
        <v>94.277407215892268</v>
      </c>
      <c r="V342" s="10">
        <f>[1]节奏总纲!AH342</f>
        <v>103.12837545930124</v>
      </c>
      <c r="AN342" s="12">
        <f>[1]节奏总纲!AZ342</f>
        <v>339</v>
      </c>
      <c r="AO342" s="12">
        <f>[1]节奏总纲!BA342</f>
        <v>46.253146387229606</v>
      </c>
      <c r="AP342" s="12">
        <f>[1]节奏总纲!BB342</f>
        <v>47.764660314710284</v>
      </c>
      <c r="AQ342" s="12">
        <f>[1]节奏总纲!BC342</f>
        <v>49.712105979683258</v>
      </c>
      <c r="AR342" s="12">
        <f>[1]节奏总纲!BD342</f>
        <v>52.460099944144915</v>
      </c>
      <c r="AS342" s="12">
        <f>[1]节奏总纲!BE342</f>
        <v>57.181000514388934</v>
      </c>
    </row>
    <row r="343" spans="17:45" x14ac:dyDescent="0.15">
      <c r="Q343" s="9">
        <v>340</v>
      </c>
      <c r="R343" s="10">
        <f>[1]节奏总纲!AD343</f>
        <v>84.132234338875293</v>
      </c>
      <c r="S343" s="10">
        <f>[1]节奏总纲!AE343</f>
        <v>86.247032860782397</v>
      </c>
      <c r="T343" s="10">
        <f>[1]节奏总纲!AF343</f>
        <v>89.343739436142741</v>
      </c>
      <c r="U343" s="10">
        <f>[1]节奏总纲!AG343</f>
        <v>94.3214878712527</v>
      </c>
      <c r="V343" s="10">
        <f>[1]节奏总纲!AH343</f>
        <v>103.16892175765203</v>
      </c>
      <c r="AN343" s="12">
        <f>[1]节奏总纲!AZ343</f>
        <v>340</v>
      </c>
      <c r="AO343" s="12">
        <f>[1]节奏总纲!BA343</f>
        <v>46.272410430048332</v>
      </c>
      <c r="AP343" s="12">
        <f>[1]节奏总纲!BB343</f>
        <v>47.785447853033176</v>
      </c>
      <c r="AQ343" s="12">
        <f>[1]节奏总纲!BC343</f>
        <v>49.732765758679797</v>
      </c>
      <c r="AR343" s="12">
        <f>[1]节奏总纲!BD343</f>
        <v>52.480053284940965</v>
      </c>
      <c r="AS343" s="12">
        <f>[1]节奏总纲!BE343</f>
        <v>57.200184394742301</v>
      </c>
    </row>
    <row r="344" spans="17:45" x14ac:dyDescent="0.15">
      <c r="Q344" s="9">
        <v>341</v>
      </c>
      <c r="R344" s="10">
        <f>[1]节奏总纲!AD344</f>
        <v>84.173480557384934</v>
      </c>
      <c r="S344" s="10">
        <f>[1]节奏总纲!AE344</f>
        <v>86.288213443561474</v>
      </c>
      <c r="T344" s="10">
        <f>[1]节奏总纲!AF344</f>
        <v>89.390206940487232</v>
      </c>
      <c r="U344" s="10">
        <f>[1]节奏总纲!AG344</f>
        <v>94.365568526613131</v>
      </c>
      <c r="V344" s="10">
        <f>[1]节奏总纲!AH344</f>
        <v>103.20946805600283</v>
      </c>
      <c r="AN344" s="12">
        <f>[1]节奏总纲!AZ344</f>
        <v>341</v>
      </c>
      <c r="AO344" s="12">
        <f>[1]节奏总纲!BA344</f>
        <v>46.291674472867058</v>
      </c>
      <c r="AP344" s="12">
        <f>[1]节奏总纲!BB344</f>
        <v>47.806235391356068</v>
      </c>
      <c r="AQ344" s="12">
        <f>[1]节奏总纲!BC344</f>
        <v>49.753425537676335</v>
      </c>
      <c r="AR344" s="12">
        <f>[1]节奏总纲!BD344</f>
        <v>52.500006625737008</v>
      </c>
      <c r="AS344" s="12">
        <f>[1]节奏总纲!BE344</f>
        <v>57.219368275095675</v>
      </c>
    </row>
    <row r="345" spans="17:45" x14ac:dyDescent="0.15">
      <c r="Q345" s="9">
        <v>342</v>
      </c>
      <c r="R345" s="10">
        <f>[1]节奏总纲!AD345</f>
        <v>84.214726775894576</v>
      </c>
      <c r="S345" s="10">
        <f>[1]节奏总纲!AE345</f>
        <v>86.329394026340537</v>
      </c>
      <c r="T345" s="10">
        <f>[1]节奏总纲!AF345</f>
        <v>89.436674444831723</v>
      </c>
      <c r="U345" s="10">
        <f>[1]节奏总纲!AG345</f>
        <v>94.409649181973549</v>
      </c>
      <c r="V345" s="10">
        <f>[1]节奏总纲!AH345</f>
        <v>103.25001435435362</v>
      </c>
      <c r="AN345" s="12">
        <f>[1]节奏总纲!AZ345</f>
        <v>342</v>
      </c>
      <c r="AO345" s="12">
        <f>[1]节奏总纲!BA345</f>
        <v>46.310938515685784</v>
      </c>
      <c r="AP345" s="12">
        <f>[1]节奏总纲!BB345</f>
        <v>47.827022929678968</v>
      </c>
      <c r="AQ345" s="12">
        <f>[1]节奏总纲!BC345</f>
        <v>49.774085316672867</v>
      </c>
      <c r="AR345" s="12">
        <f>[1]节奏总纲!BD345</f>
        <v>52.519959966533058</v>
      </c>
      <c r="AS345" s="12">
        <f>[1]节奏总纲!BE345</f>
        <v>57.238552155449042</v>
      </c>
    </row>
    <row r="346" spans="17:45" x14ac:dyDescent="0.15">
      <c r="Q346" s="9">
        <v>343</v>
      </c>
      <c r="R346" s="10">
        <f>[1]节奏总纲!AD346</f>
        <v>84.255972994404218</v>
      </c>
      <c r="S346" s="10">
        <f>[1]节奏总纲!AE346</f>
        <v>86.370574609119615</v>
      </c>
      <c r="T346" s="10">
        <f>[1]节奏总纲!AF346</f>
        <v>89.483141949176215</v>
      </c>
      <c r="U346" s="10">
        <f>[1]节奏总纲!AG346</f>
        <v>94.453729837333981</v>
      </c>
      <c r="V346" s="10">
        <f>[1]节奏总纲!AH346</f>
        <v>103.29056065270443</v>
      </c>
      <c r="AN346" s="12">
        <f>[1]节奏总纲!AZ346</f>
        <v>343</v>
      </c>
      <c r="AO346" s="12">
        <f>[1]节奏总纲!BA346</f>
        <v>46.330202558504517</v>
      </c>
      <c r="AP346" s="12">
        <f>[1]节奏总纲!BB346</f>
        <v>47.84781046800186</v>
      </c>
      <c r="AQ346" s="12">
        <f>[1]节奏总纲!BC346</f>
        <v>49.794745095669406</v>
      </c>
      <c r="AR346" s="12">
        <f>[1]节奏总纲!BD346</f>
        <v>52.539913307329101</v>
      </c>
      <c r="AS346" s="12">
        <f>[1]节奏总纲!BE346</f>
        <v>57.257736035802409</v>
      </c>
    </row>
    <row r="347" spans="17:45" x14ac:dyDescent="0.15">
      <c r="Q347" s="9">
        <v>344</v>
      </c>
      <c r="R347" s="10">
        <f>[1]节奏总纲!AD347</f>
        <v>84.297219212913859</v>
      </c>
      <c r="S347" s="10">
        <f>[1]节奏总纲!AE347</f>
        <v>86.411755191898692</v>
      </c>
      <c r="T347" s="10">
        <f>[1]节奏总纲!AF347</f>
        <v>89.529609453520706</v>
      </c>
      <c r="U347" s="10">
        <f>[1]节奏总纲!AG347</f>
        <v>94.497810492694413</v>
      </c>
      <c r="V347" s="10">
        <f>[1]节奏总纲!AH347</f>
        <v>103.33110695105522</v>
      </c>
      <c r="AN347" s="12">
        <f>[1]节奏总纲!AZ347</f>
        <v>344</v>
      </c>
      <c r="AO347" s="12">
        <f>[1]节奏总纲!BA347</f>
        <v>46.349466601323243</v>
      </c>
      <c r="AP347" s="12">
        <f>[1]节奏总纲!BB347</f>
        <v>47.868598006324753</v>
      </c>
      <c r="AQ347" s="12">
        <f>[1]节奏总纲!BC347</f>
        <v>49.815404874665944</v>
      </c>
      <c r="AR347" s="12">
        <f>[1]节奏总纲!BD347</f>
        <v>52.559866648125151</v>
      </c>
      <c r="AS347" s="12">
        <f>[1]节奏总纲!BE347</f>
        <v>57.276919916155776</v>
      </c>
    </row>
    <row r="348" spans="17:45" x14ac:dyDescent="0.15">
      <c r="Q348" s="9">
        <v>345</v>
      </c>
      <c r="R348" s="10">
        <f>[1]节奏总纲!AD348</f>
        <v>84.338465431423501</v>
      </c>
      <c r="S348" s="10">
        <f>[1]节奏总纲!AE348</f>
        <v>86.452935774677769</v>
      </c>
      <c r="T348" s="10">
        <f>[1]节奏总纲!AF348</f>
        <v>89.576076957865197</v>
      </c>
      <c r="U348" s="10">
        <f>[1]节奏总纲!AG348</f>
        <v>94.541891148054845</v>
      </c>
      <c r="V348" s="10">
        <f>[1]节奏总纲!AH348</f>
        <v>103.37165324940601</v>
      </c>
      <c r="AN348" s="12">
        <f>[1]节奏总纲!AZ348</f>
        <v>345</v>
      </c>
      <c r="AO348" s="12">
        <f>[1]节奏总纲!BA348</f>
        <v>46.368730644141969</v>
      </c>
      <c r="AP348" s="12">
        <f>[1]节奏总纲!BB348</f>
        <v>47.889385544647645</v>
      </c>
      <c r="AQ348" s="12">
        <f>[1]节奏总纲!BC348</f>
        <v>49.836064653662483</v>
      </c>
      <c r="AR348" s="12">
        <f>[1]节奏总纲!BD348</f>
        <v>52.579819988921201</v>
      </c>
      <c r="AS348" s="12">
        <f>[1]节奏总纲!BE348</f>
        <v>57.296103796509144</v>
      </c>
    </row>
    <row r="349" spans="17:45" x14ac:dyDescent="0.15">
      <c r="Q349" s="9">
        <v>346</v>
      </c>
      <c r="R349" s="10">
        <f>[1]节奏总纲!AD349</f>
        <v>84.379711649933142</v>
      </c>
      <c r="S349" s="10">
        <f>[1]节奏总纲!AE349</f>
        <v>86.494116357456846</v>
      </c>
      <c r="T349" s="10">
        <f>[1]节奏总纲!AF349</f>
        <v>89.622544462209689</v>
      </c>
      <c r="U349" s="10">
        <f>[1]节奏总纲!AG349</f>
        <v>94.585971803415276</v>
      </c>
      <c r="V349" s="10">
        <f>[1]节奏总纲!AH349</f>
        <v>103.41219954775681</v>
      </c>
      <c r="AN349" s="12">
        <f>[1]节奏总纲!AZ349</f>
        <v>346</v>
      </c>
      <c r="AO349" s="12">
        <f>[1]节奏总纲!BA349</f>
        <v>46.387994686960695</v>
      </c>
      <c r="AP349" s="12">
        <f>[1]节奏总纲!BB349</f>
        <v>47.910173082970537</v>
      </c>
      <c r="AQ349" s="12">
        <f>[1]节奏总纲!BC349</f>
        <v>49.856724432659014</v>
      </c>
      <c r="AR349" s="12">
        <f>[1]节奏总纲!BD349</f>
        <v>52.599773329717245</v>
      </c>
      <c r="AS349" s="12">
        <f>[1]节奏总纲!BE349</f>
        <v>57.315287676862511</v>
      </c>
    </row>
    <row r="350" spans="17:45" x14ac:dyDescent="0.15">
      <c r="Q350" s="9">
        <v>347</v>
      </c>
      <c r="R350" s="10">
        <f>[1]节奏总纲!AD350</f>
        <v>84.420957868442784</v>
      </c>
      <c r="S350" s="10">
        <f>[1]节奏总纲!AE350</f>
        <v>86.535296940235909</v>
      </c>
      <c r="T350" s="10">
        <f>[1]节奏总纲!AF350</f>
        <v>89.66901196655418</v>
      </c>
      <c r="U350" s="10">
        <f>[1]节奏总纲!AG350</f>
        <v>94.630052458775694</v>
      </c>
      <c r="V350" s="10">
        <f>[1]节奏总纲!AH350</f>
        <v>103.4527458461076</v>
      </c>
      <c r="AN350" s="12">
        <f>[1]节奏总纲!AZ350</f>
        <v>347</v>
      </c>
      <c r="AO350" s="12">
        <f>[1]节奏总纲!BA350</f>
        <v>46.407258729779421</v>
      </c>
      <c r="AP350" s="12">
        <f>[1]节奏总纲!BB350</f>
        <v>47.930960621293437</v>
      </c>
      <c r="AQ350" s="12">
        <f>[1]节奏总纲!BC350</f>
        <v>49.877384211655553</v>
      </c>
      <c r="AR350" s="12">
        <f>[1]节奏总纲!BD350</f>
        <v>52.619726670513295</v>
      </c>
      <c r="AS350" s="12">
        <f>[1]节奏总纲!BE350</f>
        <v>57.334471557215878</v>
      </c>
    </row>
    <row r="351" spans="17:45" x14ac:dyDescent="0.15">
      <c r="Q351" s="9">
        <v>348</v>
      </c>
      <c r="R351" s="10">
        <f>[1]节奏总纲!AD351</f>
        <v>84.462204086952426</v>
      </c>
      <c r="S351" s="10">
        <f>[1]节奏总纲!AE351</f>
        <v>86.576477523014987</v>
      </c>
      <c r="T351" s="10">
        <f>[1]节奏总纲!AF351</f>
        <v>89.715479470898671</v>
      </c>
      <c r="U351" s="10">
        <f>[1]节奏总纲!AG351</f>
        <v>94.674133114136126</v>
      </c>
      <c r="V351" s="10">
        <f>[1]节奏总纲!AH351</f>
        <v>103.49329214445841</v>
      </c>
      <c r="AN351" s="12">
        <f>[1]节奏总纲!AZ351</f>
        <v>348</v>
      </c>
      <c r="AO351" s="12">
        <f>[1]节奏总纲!BA351</f>
        <v>46.426522772598148</v>
      </c>
      <c r="AP351" s="12">
        <f>[1]节奏总纲!BB351</f>
        <v>47.951748159616329</v>
      </c>
      <c r="AQ351" s="12">
        <f>[1]节奏总纲!BC351</f>
        <v>49.898043990652091</v>
      </c>
      <c r="AR351" s="12">
        <f>[1]节奏总纲!BD351</f>
        <v>52.639680011309345</v>
      </c>
      <c r="AS351" s="12">
        <f>[1]节奏总纲!BE351</f>
        <v>57.353655437569245</v>
      </c>
    </row>
    <row r="352" spans="17:45" x14ac:dyDescent="0.15">
      <c r="Q352" s="9">
        <v>349</v>
      </c>
      <c r="R352" s="10">
        <f>[1]节奏总纲!AD352</f>
        <v>84.503450305462081</v>
      </c>
      <c r="S352" s="10">
        <f>[1]节奏总纲!AE352</f>
        <v>86.617658105794064</v>
      </c>
      <c r="T352" s="10">
        <f>[1]节奏总纲!AF352</f>
        <v>89.761946975243163</v>
      </c>
      <c r="U352" s="10">
        <f>[1]节奏总纲!AG352</f>
        <v>94.718213769496558</v>
      </c>
      <c r="V352" s="10">
        <f>[1]节奏总纲!AH352</f>
        <v>103.5338384428092</v>
      </c>
      <c r="AN352" s="12">
        <f>[1]节奏总纲!AZ352</f>
        <v>349</v>
      </c>
      <c r="AO352" s="12">
        <f>[1]节奏总纲!BA352</f>
        <v>46.445786815416881</v>
      </c>
      <c r="AP352" s="12">
        <f>[1]节奏总纲!BB352</f>
        <v>47.972535697939222</v>
      </c>
      <c r="AQ352" s="12">
        <f>[1]节奏总纲!BC352</f>
        <v>49.91870376964863</v>
      </c>
      <c r="AR352" s="12">
        <f>[1]节奏总纲!BD352</f>
        <v>52.659633352105388</v>
      </c>
      <c r="AS352" s="12">
        <f>[1]节奏总纲!BE352</f>
        <v>57.372839317922612</v>
      </c>
    </row>
    <row r="353" spans="17:45" x14ac:dyDescent="0.15">
      <c r="Q353" s="9">
        <v>350</v>
      </c>
      <c r="R353" s="10">
        <f>[1]节奏总纲!AD353</f>
        <v>84.544696523971723</v>
      </c>
      <c r="S353" s="10">
        <f>[1]节奏总纲!AE353</f>
        <v>86.658838688573141</v>
      </c>
      <c r="T353" s="10">
        <f>[1]节奏总纲!AF353</f>
        <v>89.808414479587654</v>
      </c>
      <c r="U353" s="10">
        <f>[1]节奏总纲!AG353</f>
        <v>94.762294424856989</v>
      </c>
      <c r="V353" s="10">
        <f>[1]节奏总纲!AH353</f>
        <v>103.57438474115999</v>
      </c>
      <c r="AN353" s="12">
        <f>[1]节奏总纲!AZ353</f>
        <v>350</v>
      </c>
      <c r="AO353" s="12">
        <f>[1]节奏总纲!BA353</f>
        <v>46.465050858235607</v>
      </c>
      <c r="AP353" s="12">
        <f>[1]节奏总纲!BB353</f>
        <v>47.993323236262114</v>
      </c>
      <c r="AQ353" s="12">
        <f>[1]节奏总纲!BC353</f>
        <v>49.939363548645169</v>
      </c>
      <c r="AR353" s="12">
        <f>[1]节奏总纲!BD353</f>
        <v>52.679586692901438</v>
      </c>
      <c r="AS353" s="12">
        <f>[1]节奏总纲!BE353</f>
        <v>57.392023198275979</v>
      </c>
    </row>
    <row r="354" spans="17:45" x14ac:dyDescent="0.15">
      <c r="Q354" s="9">
        <v>351</v>
      </c>
      <c r="R354" s="10">
        <f>[1]节奏总纲!AD354</f>
        <v>84.585942742481365</v>
      </c>
      <c r="S354" s="10">
        <f>[1]节奏总纲!AE354</f>
        <v>86.700019271352204</v>
      </c>
      <c r="T354" s="10">
        <f>[1]节奏总纲!AF354</f>
        <v>89.854881983932145</v>
      </c>
      <c r="U354" s="10">
        <f>[1]节奏总纲!AG354</f>
        <v>94.806375080217421</v>
      </c>
      <c r="V354" s="10">
        <f>[1]节奏总纲!AH354</f>
        <v>103.61493103951079</v>
      </c>
      <c r="AN354" s="12">
        <f>[1]节奏总纲!AZ354</f>
        <v>351</v>
      </c>
      <c r="AO354" s="12">
        <f>[1]节奏总纲!BA354</f>
        <v>46.484314901054333</v>
      </c>
      <c r="AP354" s="12">
        <f>[1]节奏总纲!BB354</f>
        <v>48.012182251254622</v>
      </c>
      <c r="AQ354" s="12">
        <f>[1]节奏总纲!BC354</f>
        <v>49.9600233276417</v>
      </c>
      <c r="AR354" s="12">
        <f>[1]节奏总纲!BD354</f>
        <v>52.699540033697481</v>
      </c>
      <c r="AS354" s="12">
        <f>[1]节奏总纲!BE354</f>
        <v>57.411207078629346</v>
      </c>
    </row>
    <row r="355" spans="17:45" x14ac:dyDescent="0.15">
      <c r="Q355" s="9">
        <v>352</v>
      </c>
      <c r="R355" s="10">
        <f>[1]节奏总纲!AD355</f>
        <v>84.627188960991006</v>
      </c>
      <c r="S355" s="10">
        <f>[1]节奏总纲!AE355</f>
        <v>86.741199854131281</v>
      </c>
      <c r="T355" s="10">
        <f>[1]节奏总纲!AF355</f>
        <v>89.901349488276637</v>
      </c>
      <c r="U355" s="10">
        <f>[1]节奏总纲!AG355</f>
        <v>94.850455735577853</v>
      </c>
      <c r="V355" s="10">
        <f>[1]节奏总纲!AH355</f>
        <v>103.65547733786158</v>
      </c>
      <c r="AN355" s="12">
        <f>[1]节奏总纲!AZ355</f>
        <v>352</v>
      </c>
      <c r="AO355" s="12">
        <f>[1]节奏总纲!BA355</f>
        <v>46.503578943873059</v>
      </c>
      <c r="AP355" s="12">
        <f>[1]节奏总纲!BB355</f>
        <v>48.030128751164234</v>
      </c>
      <c r="AQ355" s="12">
        <f>[1]节奏总纲!BC355</f>
        <v>49.980683106638239</v>
      </c>
      <c r="AR355" s="12">
        <f>[1]节奏总纲!BD355</f>
        <v>52.719493374493531</v>
      </c>
      <c r="AS355" s="12">
        <f>[1]节奏总纲!BE355</f>
        <v>57.430390958982713</v>
      </c>
    </row>
    <row r="356" spans="17:45" x14ac:dyDescent="0.15">
      <c r="Q356" s="9">
        <v>353</v>
      </c>
      <c r="R356" s="10">
        <f>[1]节奏总纲!AD356</f>
        <v>84.668435179500648</v>
      </c>
      <c r="S356" s="10">
        <f>[1]节奏总纲!AE356</f>
        <v>86.782380436910358</v>
      </c>
      <c r="T356" s="10">
        <f>[1]节奏总纲!AF356</f>
        <v>89.947816992621142</v>
      </c>
      <c r="U356" s="10">
        <f>[1]节奏总纲!AG356</f>
        <v>94.894536390938271</v>
      </c>
      <c r="V356" s="10">
        <f>[1]节奏总纲!AH356</f>
        <v>103.69602363621237</v>
      </c>
      <c r="AN356" s="12">
        <f>[1]节奏总纲!AZ356</f>
        <v>353</v>
      </c>
      <c r="AO356" s="12">
        <f>[1]节奏总纲!BA356</f>
        <v>46.522842986691785</v>
      </c>
      <c r="AP356" s="12">
        <f>[1]节奏总纲!BB356</f>
        <v>48.048075251073854</v>
      </c>
      <c r="AQ356" s="12">
        <f>[1]节奏总纲!BC356</f>
        <v>50.00115951426713</v>
      </c>
      <c r="AR356" s="12">
        <f>[1]节奏总纲!BD356</f>
        <v>52.739446715289581</v>
      </c>
      <c r="AS356" s="12">
        <f>[1]节奏总纲!BE356</f>
        <v>57.44957483933608</v>
      </c>
    </row>
    <row r="357" spans="17:45" x14ac:dyDescent="0.15">
      <c r="Q357" s="9">
        <v>354</v>
      </c>
      <c r="R357" s="10">
        <f>[1]节奏总纲!AD357</f>
        <v>84.709681398010289</v>
      </c>
      <c r="S357" s="10">
        <f>[1]节奏总纲!AE357</f>
        <v>86.823561019689436</v>
      </c>
      <c r="T357" s="10">
        <f>[1]节奏总纲!AF357</f>
        <v>89.994284496965633</v>
      </c>
      <c r="U357" s="10">
        <f>[1]节奏总纲!AG357</f>
        <v>94.938617046298702</v>
      </c>
      <c r="V357" s="10">
        <f>[1]节奏总纲!AH357</f>
        <v>103.73656993456318</v>
      </c>
      <c r="AN357" s="12">
        <f>[1]节奏总纲!AZ357</f>
        <v>354</v>
      </c>
      <c r="AO357" s="12">
        <f>[1]节奏总纲!BA357</f>
        <v>46.542107029510518</v>
      </c>
      <c r="AP357" s="12">
        <f>[1]节奏总纲!BB357</f>
        <v>48.066021750983474</v>
      </c>
      <c r="AQ357" s="12">
        <f>[1]节奏总纲!BC357</f>
        <v>50.018998195299922</v>
      </c>
      <c r="AR357" s="12">
        <f>[1]节奏总纲!BD357</f>
        <v>52.759400056085624</v>
      </c>
      <c r="AS357" s="12">
        <f>[1]节奏总纲!BE357</f>
        <v>57.468758719689447</v>
      </c>
    </row>
    <row r="358" spans="17:45" x14ac:dyDescent="0.15">
      <c r="Q358" s="9">
        <v>355</v>
      </c>
      <c r="R358" s="10">
        <f>[1]节奏总纲!AD358</f>
        <v>84.750927616519931</v>
      </c>
      <c r="S358" s="10">
        <f>[1]节奏总纲!AE358</f>
        <v>86.864741602468499</v>
      </c>
      <c r="T358" s="10">
        <f>[1]节奏总纲!AF358</f>
        <v>90.036066635925749</v>
      </c>
      <c r="U358" s="10">
        <f>[1]节奏总纲!AG358</f>
        <v>94.982697701659134</v>
      </c>
      <c r="V358" s="10">
        <f>[1]节奏总纲!AH358</f>
        <v>103.77711623291397</v>
      </c>
      <c r="AN358" s="12">
        <f>[1]节奏总纲!AZ358</f>
        <v>355</v>
      </c>
      <c r="AO358" s="12">
        <f>[1]节奏总纲!BA358</f>
        <v>46.561371072329244</v>
      </c>
      <c r="AP358" s="12">
        <f>[1]节奏总纲!BB358</f>
        <v>48.083968250893093</v>
      </c>
      <c r="AQ358" s="12">
        <f>[1]节奏总纲!BC358</f>
        <v>50.036836876332707</v>
      </c>
      <c r="AR358" s="12">
        <f>[1]节奏总纲!BD358</f>
        <v>52.779353396881675</v>
      </c>
      <c r="AS358" s="12">
        <f>[1]节奏总纲!BE358</f>
        <v>57.487942600042821</v>
      </c>
    </row>
    <row r="359" spans="17:45" x14ac:dyDescent="0.15">
      <c r="Q359" s="9">
        <v>356</v>
      </c>
      <c r="R359" s="10">
        <f>[1]节奏总纲!AD359</f>
        <v>84.792173835029573</v>
      </c>
      <c r="S359" s="10">
        <f>[1]节奏总纲!AE359</f>
        <v>86.905922185247576</v>
      </c>
      <c r="T359" s="10">
        <f>[1]节奏总纲!AF359</f>
        <v>90.077191648383845</v>
      </c>
      <c r="U359" s="10">
        <f>[1]节奏总纲!AG359</f>
        <v>95.024001308619916</v>
      </c>
      <c r="V359" s="10">
        <f>[1]节奏总纲!AH359</f>
        <v>103.81766253126477</v>
      </c>
      <c r="AN359" s="12">
        <f>[1]节奏总纲!AZ359</f>
        <v>356</v>
      </c>
      <c r="AO359" s="12">
        <f>[1]节奏总纲!BA359</f>
        <v>46.58063511514797</v>
      </c>
      <c r="AP359" s="12">
        <f>[1]节奏总纲!BB359</f>
        <v>48.101914750802706</v>
      </c>
      <c r="AQ359" s="12">
        <f>[1]节奏总纲!BC359</f>
        <v>50.054675557365492</v>
      </c>
      <c r="AR359" s="12">
        <f>[1]节奏总纲!BD359</f>
        <v>52.799306737677718</v>
      </c>
      <c r="AS359" s="12">
        <f>[1]节奏总纲!BE359</f>
        <v>57.507126480396188</v>
      </c>
    </row>
    <row r="360" spans="17:45" x14ac:dyDescent="0.15">
      <c r="Q360" s="9">
        <v>357</v>
      </c>
      <c r="R360" s="10">
        <f>[1]节奏总纲!AD360</f>
        <v>84.833420053539214</v>
      </c>
      <c r="S360" s="10">
        <f>[1]节奏总纲!AE360</f>
        <v>86.947102768026653</v>
      </c>
      <c r="T360" s="10">
        <f>[1]节奏总纲!AF360</f>
        <v>90.118316660841927</v>
      </c>
      <c r="U360" s="10">
        <f>[1]节奏总纲!AG360</f>
        <v>95.063510581451752</v>
      </c>
      <c r="V360" s="10">
        <f>[1]节奏总纲!AH360</f>
        <v>103.85820882961556</v>
      </c>
      <c r="AN360" s="12">
        <f>[1]节奏总纲!AZ360</f>
        <v>357</v>
      </c>
      <c r="AO360" s="12">
        <f>[1]节奏总纲!BA360</f>
        <v>46.599899157966696</v>
      </c>
      <c r="AP360" s="12">
        <f>[1]节奏总纲!BB360</f>
        <v>48.119861250712326</v>
      </c>
      <c r="AQ360" s="12">
        <f>[1]节奏总纲!BC360</f>
        <v>50.072514238398277</v>
      </c>
      <c r="AR360" s="12">
        <f>[1]节奏总纲!BD360</f>
        <v>52.819260078473768</v>
      </c>
      <c r="AS360" s="12">
        <f>[1]节奏总纲!BE360</f>
        <v>57.526310360749555</v>
      </c>
    </row>
    <row r="361" spans="17:45" x14ac:dyDescent="0.15">
      <c r="Q361" s="9">
        <v>358</v>
      </c>
      <c r="R361" s="10">
        <f>[1]节奏总纲!AD361</f>
        <v>84.874666272048856</v>
      </c>
      <c r="S361" s="10">
        <f>[1]节奏总纲!AE361</f>
        <v>86.98828335080573</v>
      </c>
      <c r="T361" s="10">
        <f>[1]节奏总纲!AF361</f>
        <v>90.159441673300023</v>
      </c>
      <c r="U361" s="10">
        <f>[1]节奏总纲!AG361</f>
        <v>95.103019854283588</v>
      </c>
      <c r="V361" s="10">
        <f>[1]节奏总纲!AH361</f>
        <v>103.89875512796635</v>
      </c>
      <c r="AN361" s="12">
        <f>[1]节奏总纲!AZ361</f>
        <v>358</v>
      </c>
      <c r="AO361" s="12">
        <f>[1]节奏总纲!BA361</f>
        <v>46.619163200785422</v>
      </c>
      <c r="AP361" s="12">
        <f>[1]节奏总纲!BB361</f>
        <v>48.137807750621946</v>
      </c>
      <c r="AQ361" s="12">
        <f>[1]节奏总纲!BC361</f>
        <v>50.090352919431069</v>
      </c>
      <c r="AR361" s="12">
        <f>[1]节奏总纲!BD361</f>
        <v>52.839213419269818</v>
      </c>
      <c r="AS361" s="12">
        <f>[1]节奏总纲!BE361</f>
        <v>57.545494241102922</v>
      </c>
    </row>
    <row r="362" spans="17:45" x14ac:dyDescent="0.15">
      <c r="Q362" s="9">
        <v>359</v>
      </c>
      <c r="R362" s="10">
        <f>[1]节奏总纲!AD362</f>
        <v>84.915912490558497</v>
      </c>
      <c r="S362" s="10">
        <f>[1]节奏总纲!AE362</f>
        <v>87.027010646912942</v>
      </c>
      <c r="T362" s="10">
        <f>[1]节奏总纲!AF362</f>
        <v>90.200566685758119</v>
      </c>
      <c r="U362" s="10">
        <f>[1]节奏总纲!AG362</f>
        <v>95.142529127115409</v>
      </c>
      <c r="V362" s="10">
        <f>[1]节奏总纲!AH362</f>
        <v>103.93930142631716</v>
      </c>
      <c r="AN362" s="12">
        <f>[1]节奏总纲!AZ362</f>
        <v>359</v>
      </c>
      <c r="AO362" s="12">
        <f>[1]节奏总纲!BA362</f>
        <v>46.638427243604156</v>
      </c>
      <c r="AP362" s="12">
        <f>[1]节奏总纲!BB362</f>
        <v>48.155754250531558</v>
      </c>
      <c r="AQ362" s="12">
        <f>[1]节奏总纲!BC362</f>
        <v>50.108191600463854</v>
      </c>
      <c r="AR362" s="12">
        <f>[1]节奏总纲!BD362</f>
        <v>52.859166760065861</v>
      </c>
      <c r="AS362" s="12">
        <f>[1]节奏总纲!BE362</f>
        <v>57.564678121456289</v>
      </c>
    </row>
    <row r="363" spans="17:45" x14ac:dyDescent="0.15">
      <c r="Q363" s="9">
        <v>360</v>
      </c>
      <c r="R363" s="36">
        <f>[1]节奏总纲!AD363</f>
        <v>84.957158709068153</v>
      </c>
      <c r="S363" s="36">
        <f>[1]节奏总纲!AE363</f>
        <v>87.064762367263285</v>
      </c>
      <c r="T363" s="36">
        <f>[1]节奏总纲!AF363</f>
        <v>90.241691698216215</v>
      </c>
      <c r="U363" s="36">
        <f>[1]节奏总纲!AG363</f>
        <v>95.182038399947245</v>
      </c>
      <c r="V363" s="36">
        <f>[1]节奏总纲!AH363</f>
        <v>103.97984772466795</v>
      </c>
      <c r="AN363" s="12">
        <f>[1]节奏总纲!AZ363</f>
        <v>360</v>
      </c>
      <c r="AO363" s="12">
        <f>[1]节奏总纲!BA363</f>
        <v>46.657691286422882</v>
      </c>
      <c r="AP363" s="12">
        <f>[1]节奏总纲!BB363</f>
        <v>48.173700750441178</v>
      </c>
      <c r="AQ363" s="12">
        <f>[1]节奏总纲!BC363</f>
        <v>50.126030281496639</v>
      </c>
      <c r="AR363" s="12">
        <f>[1]节奏总纲!BD363</f>
        <v>52.879120100861911</v>
      </c>
      <c r="AS363" s="12">
        <f>[1]节奏总纲!BE363</f>
        <v>57.583862001809656</v>
      </c>
    </row>
    <row r="364" spans="17:45" x14ac:dyDescent="0.15">
      <c r="Q364" s="35">
        <v>361</v>
      </c>
      <c r="R364" s="36">
        <f>[1]节奏总纲!AD364</f>
        <v>84.998404927577795</v>
      </c>
      <c r="S364" s="36">
        <f>[1]节奏总纲!AE364</f>
        <v>87.102514087613613</v>
      </c>
      <c r="T364" s="36">
        <f>[1]节奏总纲!AF364</f>
        <v>90.282816710674311</v>
      </c>
      <c r="U364" s="36">
        <f>[1]节奏总纲!AG364</f>
        <v>95.221547672779081</v>
      </c>
      <c r="V364" s="36">
        <f>[1]节奏总纲!AH364</f>
        <v>104.01942515885031</v>
      </c>
    </row>
    <row r="365" spans="17:45" x14ac:dyDescent="0.15">
      <c r="Q365" s="35">
        <v>362</v>
      </c>
      <c r="R365" s="36">
        <f>[1]节奏总纲!AD365</f>
        <v>85.036995827451818</v>
      </c>
      <c r="S365" s="36">
        <f>[1]节奏总纲!AE365</f>
        <v>87.140265807963956</v>
      </c>
      <c r="T365" s="36">
        <f>[1]节奏总纲!AF365</f>
        <v>90.323941723132393</v>
      </c>
      <c r="U365" s="36">
        <f>[1]节奏总纲!AG365</f>
        <v>95.261056945610903</v>
      </c>
      <c r="V365" s="36">
        <f>[1]节奏总纲!AH365</f>
        <v>104.05804521363463</v>
      </c>
    </row>
    <row r="366" spans="17:45" x14ac:dyDescent="0.15">
      <c r="Q366" s="35">
        <v>363</v>
      </c>
      <c r="R366" s="36">
        <f>[1]节奏总纲!AD366</f>
        <v>85.075479910097457</v>
      </c>
      <c r="S366" s="36">
        <f>[1]节奏总纲!AE366</f>
        <v>87.1780175283143</v>
      </c>
      <c r="T366" s="36">
        <f>[1]节奏总纲!AF366</f>
        <v>90.365066735590489</v>
      </c>
      <c r="U366" s="36">
        <f>[1]节奏总纲!AG366</f>
        <v>95.300566218442739</v>
      </c>
      <c r="V366" s="36">
        <f>[1]节奏总纲!AH366</f>
        <v>104.09666526841893</v>
      </c>
    </row>
    <row r="367" spans="17:45" x14ac:dyDescent="0.15">
      <c r="Q367" s="35">
        <v>364</v>
      </c>
      <c r="R367" s="36">
        <f>[1]节奏总纲!AD367</f>
        <v>85.113963992743081</v>
      </c>
      <c r="S367" s="36">
        <f>[1]节奏总纲!AE367</f>
        <v>87.215769248664643</v>
      </c>
      <c r="T367" s="36">
        <f>[1]节奏总纲!AF367</f>
        <v>90.406191748048585</v>
      </c>
      <c r="U367" s="36">
        <f>[1]节奏总纲!AG367</f>
        <v>95.340075491274575</v>
      </c>
      <c r="V367" s="36">
        <f>[1]节奏总纲!AH367</f>
        <v>104.13528532320325</v>
      </c>
    </row>
    <row r="368" spans="17:45" x14ac:dyDescent="0.15">
      <c r="Q368" s="35">
        <v>365</v>
      </c>
      <c r="R368" s="36">
        <f>[1]节奏总纲!AD368</f>
        <v>85.152448075388719</v>
      </c>
      <c r="S368" s="36">
        <f>[1]节奏总纲!AE368</f>
        <v>87.253520969014986</v>
      </c>
      <c r="T368" s="36">
        <f>[1]节奏总纲!AF368</f>
        <v>90.447316760506681</v>
      </c>
      <c r="U368" s="36">
        <f>[1]节奏总纲!AG368</f>
        <v>95.379584764106397</v>
      </c>
      <c r="V368" s="36">
        <f>[1]节奏总纲!AH368</f>
        <v>104.17390537798755</v>
      </c>
    </row>
    <row r="369" spans="17:22" x14ac:dyDescent="0.15">
      <c r="Q369" s="38">
        <v>366</v>
      </c>
      <c r="R369" s="39">
        <f>[1]节奏总纲!AD369</f>
        <v>85.190932158034357</v>
      </c>
      <c r="S369" s="39">
        <f>[1]节奏总纲!AE369</f>
        <v>87.291272689365329</v>
      </c>
      <c r="T369" s="39">
        <f>[1]节奏总纲!AF369</f>
        <v>90.488441772964777</v>
      </c>
      <c r="U369" s="39">
        <f>[1]节奏总纲!AG369</f>
        <v>95.419094036938233</v>
      </c>
      <c r="V369" s="39">
        <f>[1]节奏总纲!AH369</f>
        <v>104.21252543277187</v>
      </c>
    </row>
    <row r="370" spans="17:22" x14ac:dyDescent="0.15">
      <c r="Q370" s="38">
        <v>367</v>
      </c>
      <c r="R370" s="39">
        <f>[1]节奏总纲!AD370</f>
        <v>85.229416240679981</v>
      </c>
      <c r="S370" s="39">
        <f>[1]节奏总纲!AE370</f>
        <v>87.329024409715672</v>
      </c>
      <c r="T370" s="39">
        <f>[1]节奏总纲!AF370</f>
        <v>90.529566785422858</v>
      </c>
      <c r="U370" s="39">
        <f>[1]节奏总纲!AG370</f>
        <v>95.458603309770069</v>
      </c>
      <c r="V370" s="39">
        <f>[1]节奏总纲!AH370</f>
        <v>104.25114548755617</v>
      </c>
    </row>
    <row r="371" spans="17:22" x14ac:dyDescent="0.15">
      <c r="Q371" s="38">
        <v>368</v>
      </c>
      <c r="R371" s="39">
        <f>[1]节奏总纲!AD371</f>
        <v>85.26790032332562</v>
      </c>
      <c r="S371" s="39">
        <f>[1]节奏总纲!AE371</f>
        <v>87.366776130066015</v>
      </c>
      <c r="T371" s="39">
        <f>[1]节奏总纲!AF371</f>
        <v>90.570691797880954</v>
      </c>
      <c r="U371" s="39">
        <f>[1]节奏总纲!AG371</f>
        <v>95.498112582601891</v>
      </c>
      <c r="V371" s="39">
        <f>[1]节奏总纲!AH371</f>
        <v>104.28976554234049</v>
      </c>
    </row>
    <row r="372" spans="17:22" x14ac:dyDescent="0.15">
      <c r="Q372" s="38">
        <v>369</v>
      </c>
      <c r="R372" s="39">
        <f>[1]节奏总纲!AD372</f>
        <v>85.306384405971258</v>
      </c>
      <c r="S372" s="39">
        <f>[1]节奏总纲!AE372</f>
        <v>87.404527850416358</v>
      </c>
      <c r="T372" s="39">
        <f>[1]节奏总纲!AF372</f>
        <v>90.61181681033905</v>
      </c>
      <c r="U372" s="39">
        <f>[1]节奏总纲!AG372</f>
        <v>95.537621855433727</v>
      </c>
      <c r="V372" s="39">
        <f>[1]节奏总纲!AH372</f>
        <v>104.32838559712479</v>
      </c>
    </row>
    <row r="373" spans="17:22" x14ac:dyDescent="0.15">
      <c r="Q373" s="38">
        <v>370</v>
      </c>
      <c r="R373" s="39">
        <f>[1]节奏总纲!AD373</f>
        <v>85.344868488616882</v>
      </c>
      <c r="S373" s="39">
        <f>[1]节奏总纲!AE373</f>
        <v>87.442279570766701</v>
      </c>
      <c r="T373" s="39">
        <f>[1]节奏总纲!AF373</f>
        <v>90.652941822797146</v>
      </c>
      <c r="U373" s="39">
        <f>[1]节奏总纲!AG373</f>
        <v>95.577131128265563</v>
      </c>
      <c r="V373" s="39">
        <f>[1]节奏总纲!AH373</f>
        <v>104.36700565190911</v>
      </c>
    </row>
    <row r="374" spans="17:22" x14ac:dyDescent="0.15">
      <c r="Q374" s="38">
        <v>371</v>
      </c>
      <c r="R374" s="39">
        <f>[1]节奏总纲!AD374</f>
        <v>85.38335257126252</v>
      </c>
      <c r="S374" s="39">
        <f>[1]节奏总纲!AE374</f>
        <v>87.480031291117044</v>
      </c>
      <c r="T374" s="39">
        <f>[1]节奏总纲!AF374</f>
        <v>90.694066835255242</v>
      </c>
      <c r="U374" s="39">
        <f>[1]节奏总纲!AG374</f>
        <v>95.616640401097385</v>
      </c>
      <c r="V374" s="39">
        <f>[1]节奏总纲!AH374</f>
        <v>104.40562570669341</v>
      </c>
    </row>
    <row r="375" spans="17:22" x14ac:dyDescent="0.15">
      <c r="Q375" s="38">
        <v>372</v>
      </c>
      <c r="R375" s="39">
        <f>[1]节奏总纲!AD375</f>
        <v>85.421836653908144</v>
      </c>
      <c r="S375" s="39">
        <f>[1]节奏总纲!AE375</f>
        <v>87.517783011467387</v>
      </c>
      <c r="T375" s="39">
        <f>[1]节奏总纲!AF375</f>
        <v>90.735191847713324</v>
      </c>
      <c r="U375" s="39">
        <f>[1]节奏总纲!AG375</f>
        <v>95.656149673929221</v>
      </c>
      <c r="V375" s="39">
        <f>[1]节奏总纲!AH375</f>
        <v>104.44424576147773</v>
      </c>
    </row>
    <row r="376" spans="17:22" x14ac:dyDescent="0.15">
      <c r="Q376" s="38">
        <v>373</v>
      </c>
      <c r="R376" s="39">
        <f>[1]节奏总纲!AD376</f>
        <v>85.460320736553783</v>
      </c>
      <c r="S376" s="39">
        <f>[1]节奏总纲!AE376</f>
        <v>87.55553473181773</v>
      </c>
      <c r="T376" s="39">
        <f>[1]节奏总纲!AF376</f>
        <v>90.77631686017142</v>
      </c>
      <c r="U376" s="39">
        <f>[1]节奏总纲!AG376</f>
        <v>95.695658946761043</v>
      </c>
      <c r="V376" s="39">
        <f>[1]节奏总纲!AH376</f>
        <v>104.48286581626203</v>
      </c>
    </row>
    <row r="377" spans="17:22" x14ac:dyDescent="0.15">
      <c r="Q377" s="38">
        <v>374</v>
      </c>
      <c r="R377" s="39">
        <f>[1]节奏总纲!AD377</f>
        <v>85.498804819199421</v>
      </c>
      <c r="S377" s="39">
        <f>[1]节奏总纲!AE377</f>
        <v>87.593286452168073</v>
      </c>
      <c r="T377" s="39">
        <f>[1]节奏总纲!AF377</f>
        <v>90.817441872629516</v>
      </c>
      <c r="U377" s="39">
        <f>[1]节奏总纲!AG377</f>
        <v>95.735168219592879</v>
      </c>
      <c r="V377" s="39">
        <f>[1]节奏总纲!AH377</f>
        <v>104.52148587104634</v>
      </c>
    </row>
    <row r="378" spans="17:22" x14ac:dyDescent="0.15">
      <c r="Q378" s="38">
        <v>375</v>
      </c>
      <c r="R378" s="39">
        <f>[1]节奏总纲!AD378</f>
        <v>85.537288901845045</v>
      </c>
      <c r="S378" s="39">
        <f>[1]节奏总纲!AE378</f>
        <v>87.631038172518416</v>
      </c>
      <c r="T378" s="39">
        <f>[1]节奏总纲!AF378</f>
        <v>90.858566885087612</v>
      </c>
      <c r="U378" s="39">
        <f>[1]节奏总纲!AG378</f>
        <v>95.774677492424715</v>
      </c>
      <c r="V378" s="39">
        <f>[1]节奏总纲!AH378</f>
        <v>104.56010592583065</v>
      </c>
    </row>
    <row r="379" spans="17:22" x14ac:dyDescent="0.15">
      <c r="Q379" s="38">
        <v>376</v>
      </c>
      <c r="R379" s="39">
        <f>[1]节奏总纲!AD379</f>
        <v>85.575772984490683</v>
      </c>
      <c r="S379" s="39">
        <f>[1]节奏总纲!AE379</f>
        <v>87.668789892868759</v>
      </c>
      <c r="T379" s="39">
        <f>[1]节奏总纲!AF379</f>
        <v>90.899691897545708</v>
      </c>
      <c r="U379" s="39">
        <f>[1]节奏总纲!AG379</f>
        <v>95.814186765256537</v>
      </c>
      <c r="V379" s="39">
        <f>[1]节奏总纲!AH379</f>
        <v>104.59872598061496</v>
      </c>
    </row>
    <row r="380" spans="17:22" x14ac:dyDescent="0.15">
      <c r="Q380" s="38">
        <v>377</v>
      </c>
      <c r="R380" s="39">
        <f>[1]节奏总纲!AD380</f>
        <v>85.614257067136322</v>
      </c>
      <c r="S380" s="39">
        <f>[1]节奏总纲!AE380</f>
        <v>87.706541613219102</v>
      </c>
      <c r="T380" s="39">
        <f>[1]节奏总纲!AF380</f>
        <v>90.94081691000379</v>
      </c>
      <c r="U380" s="39">
        <f>[1]节奏总纲!AG380</f>
        <v>95.853696038088373</v>
      </c>
      <c r="V380" s="39">
        <f>[1]节奏总纲!AH380</f>
        <v>104.63734603539928</v>
      </c>
    </row>
    <row r="381" spans="17:22" x14ac:dyDescent="0.15">
      <c r="Q381" s="38">
        <v>378</v>
      </c>
      <c r="R381" s="39">
        <f>[1]节奏总纲!AD381</f>
        <v>85.652741149781946</v>
      </c>
      <c r="S381" s="39">
        <f>[1]节奏总纲!AE381</f>
        <v>87.744293333569445</v>
      </c>
      <c r="T381" s="39">
        <f>[1]节奏总纲!AF381</f>
        <v>90.981941922461885</v>
      </c>
      <c r="U381" s="39">
        <f>[1]节奏总纲!AG381</f>
        <v>95.893205310920209</v>
      </c>
      <c r="V381" s="39">
        <f>[1]节奏总纲!AH381</f>
        <v>104.67596609018358</v>
      </c>
    </row>
    <row r="382" spans="17:22" x14ac:dyDescent="0.15">
      <c r="Q382" s="38">
        <v>379</v>
      </c>
      <c r="R382" s="39">
        <f>[1]节奏总纲!AD382</f>
        <v>85.691225232427584</v>
      </c>
      <c r="S382" s="39">
        <f>[1]节奏总纲!AE382</f>
        <v>87.782045053919788</v>
      </c>
      <c r="T382" s="39">
        <f>[1]节奏总纲!AF382</f>
        <v>91.021020756054753</v>
      </c>
      <c r="U382" s="39">
        <f>[1]节奏总纲!AG382</f>
        <v>95.932714583752031</v>
      </c>
      <c r="V382" s="39">
        <f>[1]节奏总纲!AH382</f>
        <v>104.7145861449679</v>
      </c>
    </row>
    <row r="383" spans="17:22" x14ac:dyDescent="0.15">
      <c r="Q383" s="38">
        <v>380</v>
      </c>
      <c r="R383" s="39">
        <f>[1]节奏总纲!AD383</f>
        <v>85.729709315073208</v>
      </c>
      <c r="S383" s="39">
        <f>[1]节奏总纲!AE383</f>
        <v>87.819796774270131</v>
      </c>
      <c r="T383" s="39">
        <f>[1]节奏总纲!AF383</f>
        <v>91.05849772720974</v>
      </c>
      <c r="U383" s="39">
        <f>[1]节奏总纲!AG383</f>
        <v>95.972223856583867</v>
      </c>
      <c r="V383" s="39">
        <f>[1]节奏总纲!AH383</f>
        <v>104.7532061997522</v>
      </c>
    </row>
    <row r="384" spans="17:22" x14ac:dyDescent="0.15">
      <c r="Q384" s="38">
        <v>381</v>
      </c>
      <c r="R384" s="39">
        <f>[1]节奏总纲!AD384</f>
        <v>85.768193397718846</v>
      </c>
      <c r="S384" s="39">
        <f>[1]节奏总纲!AE384</f>
        <v>87.857548494620474</v>
      </c>
      <c r="T384" s="39">
        <f>[1]节奏总纲!AF384</f>
        <v>91.095974698364728</v>
      </c>
      <c r="U384" s="39">
        <f>[1]节奏总纲!AG384</f>
        <v>96.010203735669876</v>
      </c>
      <c r="V384" s="39">
        <f>[1]节奏总纲!AH384</f>
        <v>104.79182625453652</v>
      </c>
    </row>
    <row r="385" spans="17:22" x14ac:dyDescent="0.15">
      <c r="Q385" s="38">
        <v>382</v>
      </c>
      <c r="R385" s="39">
        <f>[1]节奏总纲!AD385</f>
        <v>85.806677480364485</v>
      </c>
      <c r="S385" s="39">
        <f>[1]节奏总纲!AE385</f>
        <v>87.895300214970817</v>
      </c>
      <c r="T385" s="39">
        <f>[1]节奏总纲!AF385</f>
        <v>91.133451669519715</v>
      </c>
      <c r="U385" s="39">
        <f>[1]节奏总纲!AG385</f>
        <v>96.044563041035204</v>
      </c>
      <c r="V385" s="39">
        <f>[1]节奏总纲!AH385</f>
        <v>104.83044630932082</v>
      </c>
    </row>
    <row r="386" spans="17:22" x14ac:dyDescent="0.15">
      <c r="Q386" s="38">
        <v>383</v>
      </c>
      <c r="R386" s="39">
        <f>[1]节奏总纲!AD386</f>
        <v>85.845161563010109</v>
      </c>
      <c r="S386" s="39">
        <f>[1]节奏总纲!AE386</f>
        <v>87.93305193532116</v>
      </c>
      <c r="T386" s="39">
        <f>[1]节奏总纲!AF386</f>
        <v>91.170928640674703</v>
      </c>
      <c r="U386" s="39">
        <f>[1]节奏总纲!AG386</f>
        <v>96.078922346400546</v>
      </c>
      <c r="V386" s="39">
        <f>[1]节奏总纲!AH386</f>
        <v>104.86906636410514</v>
      </c>
    </row>
    <row r="387" spans="17:22" x14ac:dyDescent="0.15">
      <c r="Q387" s="38">
        <v>384</v>
      </c>
      <c r="R387" s="39">
        <f>[1]节奏总纲!AD387</f>
        <v>85.883645645655747</v>
      </c>
      <c r="S387" s="39">
        <f>[1]节奏总纲!AE387</f>
        <v>87.970803655671503</v>
      </c>
      <c r="T387" s="39">
        <f>[1]节奏总纲!AF387</f>
        <v>91.208405611829704</v>
      </c>
      <c r="U387" s="39">
        <f>[1]节奏总纲!AG387</f>
        <v>96.113281651765874</v>
      </c>
      <c r="V387" s="39">
        <f>[1]节奏总纲!AH387</f>
        <v>104.90768641888944</v>
      </c>
    </row>
    <row r="388" spans="17:22" x14ac:dyDescent="0.15">
      <c r="Q388" s="38">
        <v>385</v>
      </c>
      <c r="R388" s="39">
        <f>[1]节奏总纲!AD388</f>
        <v>85.922129728301385</v>
      </c>
      <c r="S388" s="39">
        <f>[1]节奏总纲!AE388</f>
        <v>88.008389927102499</v>
      </c>
      <c r="T388" s="39">
        <f>[1]节奏总纲!AF388</f>
        <v>91.245882582984692</v>
      </c>
      <c r="U388" s="39">
        <f>[1]节奏总纲!AG388</f>
        <v>96.147640957131216</v>
      </c>
      <c r="V388" s="39">
        <f>[1]节奏总纲!AH388</f>
        <v>104.94630647367376</v>
      </c>
    </row>
    <row r="389" spans="17:22" x14ac:dyDescent="0.15">
      <c r="Q389" s="38">
        <v>386</v>
      </c>
      <c r="R389" s="39">
        <f>[1]节奏总纲!AD389</f>
        <v>85.960613810947009</v>
      </c>
      <c r="S389" s="39">
        <f>[1]节奏总纲!AE389</f>
        <v>88.04541158236637</v>
      </c>
      <c r="T389" s="39">
        <f>[1]节奏总纲!AF389</f>
        <v>91.283359554139679</v>
      </c>
      <c r="U389" s="39">
        <f>[1]节奏总纲!AG389</f>
        <v>96.182000262496558</v>
      </c>
      <c r="V389" s="39">
        <f>[1]节奏总纲!AH389</f>
        <v>104.98492652845806</v>
      </c>
    </row>
    <row r="390" spans="17:22" x14ac:dyDescent="0.15">
      <c r="Q390" s="38">
        <v>387</v>
      </c>
      <c r="R390" s="39">
        <f>[1]节奏总纲!AD390</f>
        <v>85.999097893592648</v>
      </c>
      <c r="S390" s="39">
        <f>[1]节奏总纲!AE390</f>
        <v>88.082433237630241</v>
      </c>
      <c r="T390" s="39">
        <f>[1]节奏总纲!AF390</f>
        <v>91.320836525294666</v>
      </c>
      <c r="U390" s="39">
        <f>[1]节奏总纲!AG390</f>
        <v>96.216359567861886</v>
      </c>
      <c r="V390" s="39">
        <f>[1]节奏总纲!AH390</f>
        <v>105.02327036088481</v>
      </c>
    </row>
    <row r="391" spans="17:22" x14ac:dyDescent="0.15">
      <c r="Q391" s="38">
        <v>388</v>
      </c>
      <c r="R391" s="39">
        <f>[1]节奏总纲!AD391</f>
        <v>86.035065223717467</v>
      </c>
      <c r="S391" s="39">
        <f>[1]节奏总纲!AE391</f>
        <v>88.119454892894112</v>
      </c>
      <c r="T391" s="39">
        <f>[1]节奏总纲!AF391</f>
        <v>91.358313496449654</v>
      </c>
      <c r="U391" s="39">
        <f>[1]节奏总纲!AG391</f>
        <v>96.250718873227228</v>
      </c>
      <c r="V391" s="39">
        <f>[1]节奏总纲!AH391</f>
        <v>105.06143736808798</v>
      </c>
    </row>
    <row r="392" spans="17:22" x14ac:dyDescent="0.15">
      <c r="Q392" s="38">
        <v>389</v>
      </c>
      <c r="R392" s="39">
        <f>[1]节奏总纲!AD392</f>
        <v>86.070972142474872</v>
      </c>
      <c r="S392" s="39">
        <f>[1]节奏总纲!AE392</f>
        <v>88.156476548157968</v>
      </c>
      <c r="T392" s="39">
        <f>[1]节奏总纲!AF392</f>
        <v>91.395790467604641</v>
      </c>
      <c r="U392" s="39">
        <f>[1]节奏总纲!AG392</f>
        <v>96.285078178592556</v>
      </c>
      <c r="V392" s="39">
        <f>[1]节奏总纲!AH392</f>
        <v>105.09960437529116</v>
      </c>
    </row>
    <row r="393" spans="17:22" x14ac:dyDescent="0.15">
      <c r="Q393" s="38">
        <v>390</v>
      </c>
      <c r="R393" s="39">
        <f>[1]节奏总纲!AD393</f>
        <v>86.106879061232277</v>
      </c>
      <c r="S393" s="39">
        <f>[1]节奏总纲!AE393</f>
        <v>88.193498203421839</v>
      </c>
      <c r="T393" s="39">
        <f>[1]节奏总纲!AF393</f>
        <v>91.433267438759643</v>
      </c>
      <c r="U393" s="39">
        <f>[1]节奏总纲!AG393</f>
        <v>96.319437483957898</v>
      </c>
      <c r="V393" s="39">
        <f>[1]节奏总纲!AH393</f>
        <v>105.13777138249434</v>
      </c>
    </row>
    <row r="394" spans="17:22" x14ac:dyDescent="0.15">
      <c r="Q394" s="38">
        <v>391</v>
      </c>
      <c r="R394" s="39">
        <f>[1]节奏总纲!AD394</f>
        <v>86.142785979989682</v>
      </c>
      <c r="S394" s="39">
        <f>[1]节奏总纲!AE394</f>
        <v>88.23051985868571</v>
      </c>
      <c r="T394" s="39">
        <f>[1]节奏总纲!AF394</f>
        <v>91.47074440991463</v>
      </c>
      <c r="U394" s="39">
        <f>[1]节奏总纲!AG394</f>
        <v>96.353796789323226</v>
      </c>
      <c r="V394" s="39">
        <f>[1]节奏总纲!AH394</f>
        <v>105.17593838969751</v>
      </c>
    </row>
    <row r="395" spans="17:22" x14ac:dyDescent="0.15">
      <c r="Q395" s="38">
        <v>392</v>
      </c>
      <c r="R395" s="39">
        <f>[1]节奏总纲!AD395</f>
        <v>86.178692898747087</v>
      </c>
      <c r="S395" s="39">
        <f>[1]节奏总纲!AE395</f>
        <v>88.267541513949581</v>
      </c>
      <c r="T395" s="39">
        <f>[1]节奏总纲!AF395</f>
        <v>91.508221381069617</v>
      </c>
      <c r="U395" s="39">
        <f>[1]节奏总纲!AG395</f>
        <v>96.388156094688568</v>
      </c>
      <c r="V395" s="39">
        <f>[1]节奏总纲!AH395</f>
        <v>105.21410539690069</v>
      </c>
    </row>
    <row r="396" spans="17:22" x14ac:dyDescent="0.15">
      <c r="Q396" s="38">
        <v>393</v>
      </c>
      <c r="R396" s="39">
        <f>[1]节奏总纲!AD396</f>
        <v>86.214599817504492</v>
      </c>
      <c r="S396" s="39">
        <f>[1]节奏总纲!AE396</f>
        <v>88.304563169213452</v>
      </c>
      <c r="T396" s="39">
        <f>[1]节奏总纲!AF396</f>
        <v>91.545698352224605</v>
      </c>
      <c r="U396" s="39">
        <f>[1]节奏总纲!AG396</f>
        <v>96.422515400053896</v>
      </c>
      <c r="V396" s="39">
        <f>[1]节奏总纲!AH396</f>
        <v>105.25227240410386</v>
      </c>
    </row>
    <row r="397" spans="17:22" x14ac:dyDescent="0.15">
      <c r="Q397" s="38">
        <v>394</v>
      </c>
      <c r="R397" s="39">
        <f>[1]节奏总纲!AD397</f>
        <v>86.250506736261897</v>
      </c>
      <c r="S397" s="39">
        <f>[1]节奏总纲!AE397</f>
        <v>88.341584824477309</v>
      </c>
      <c r="T397" s="39">
        <f>[1]节奏总纲!AF397</f>
        <v>91.583175323379592</v>
      </c>
      <c r="U397" s="39">
        <f>[1]节奏总纲!AG397</f>
        <v>96.456874705419239</v>
      </c>
      <c r="V397" s="39">
        <f>[1]节奏总纲!AH397</f>
        <v>105.29043941130703</v>
      </c>
    </row>
    <row r="398" spans="17:22" x14ac:dyDescent="0.15">
      <c r="Q398" s="38">
        <v>395</v>
      </c>
      <c r="R398" s="39">
        <f>[1]节奏总纲!AD398</f>
        <v>86.286413655019302</v>
      </c>
      <c r="S398" s="39">
        <f>[1]节奏总纲!AE398</f>
        <v>88.37860647974118</v>
      </c>
      <c r="T398" s="39">
        <f>[1]节奏总纲!AF398</f>
        <v>91.62065229453458</v>
      </c>
      <c r="U398" s="39">
        <f>[1]节奏总纲!AG398</f>
        <v>96.491234010784567</v>
      </c>
      <c r="V398" s="39">
        <f>[1]节奏总纲!AH398</f>
        <v>105.32860641851022</v>
      </c>
    </row>
    <row r="399" spans="17:22" x14ac:dyDescent="0.15">
      <c r="Q399" s="38">
        <v>396</v>
      </c>
      <c r="R399" s="39">
        <f>[1]节奏总纲!AD399</f>
        <v>86.322320573776707</v>
      </c>
      <c r="S399" s="39">
        <f>[1]节奏总纲!AE399</f>
        <v>88.415628135005051</v>
      </c>
      <c r="T399" s="39">
        <f>[1]节奏总纲!AF399</f>
        <v>91.658129265689567</v>
      </c>
      <c r="U399" s="39">
        <f>[1]节奏总纲!AG399</f>
        <v>96.525593316149909</v>
      </c>
      <c r="V399" s="39">
        <f>[1]节奏总纲!AH399</f>
        <v>105.36677342571339</v>
      </c>
    </row>
    <row r="400" spans="17:22" x14ac:dyDescent="0.15">
      <c r="Q400" s="38">
        <v>397</v>
      </c>
      <c r="R400" s="39">
        <f>[1]节奏总纲!AD400</f>
        <v>86.358227492534112</v>
      </c>
      <c r="S400" s="39">
        <f>[1]节奏总纲!AE400</f>
        <v>88.452649790268921</v>
      </c>
      <c r="T400" s="39">
        <f>[1]节奏总纲!AF400</f>
        <v>91.695606236844569</v>
      </c>
      <c r="U400" s="39">
        <f>[1]节奏总纲!AG400</f>
        <v>96.559952621515251</v>
      </c>
      <c r="V400" s="39">
        <f>[1]节奏总纲!AH400</f>
        <v>105.40494043291658</v>
      </c>
    </row>
    <row r="401" spans="17:22" x14ac:dyDescent="0.15">
      <c r="Q401" s="38">
        <v>398</v>
      </c>
      <c r="R401" s="39">
        <f>[1]节奏总纲!AD401</f>
        <v>86.394134411291517</v>
      </c>
      <c r="S401" s="39">
        <f>[1]节奏总纲!AE401</f>
        <v>88.489671445532792</v>
      </c>
      <c r="T401" s="39">
        <f>[1]节奏总纲!AF401</f>
        <v>91.733083207999556</v>
      </c>
      <c r="U401" s="39">
        <f>[1]节奏总纲!AG401</f>
        <v>96.594311926880579</v>
      </c>
      <c r="V401" s="39">
        <f>[1]节奏总纲!AH401</f>
        <v>105.44310744011975</v>
      </c>
    </row>
    <row r="402" spans="17:22" x14ac:dyDescent="0.15">
      <c r="Q402" s="38">
        <v>399</v>
      </c>
      <c r="R402" s="39">
        <f>[1]节奏总纲!AD402</f>
        <v>86.430041330048923</v>
      </c>
      <c r="S402" s="39">
        <f>[1]节奏总纲!AE402</f>
        <v>88.526693100796649</v>
      </c>
      <c r="T402" s="39">
        <f>[1]节奏总纲!AF402</f>
        <v>91.770560179154543</v>
      </c>
      <c r="U402" s="39">
        <f>[1]节奏总纲!AG402</f>
        <v>96.628671232245921</v>
      </c>
      <c r="V402" s="39">
        <f>[1]节奏总纲!AH402</f>
        <v>105.48127444732292</v>
      </c>
    </row>
    <row r="403" spans="17:22" x14ac:dyDescent="0.15">
      <c r="Q403" s="38">
        <v>400</v>
      </c>
      <c r="R403" s="39">
        <f>[1]节奏总纲!AD403</f>
        <v>86.465948248806328</v>
      </c>
      <c r="S403" s="39">
        <f>[1]节奏总纲!AE403</f>
        <v>88.56371475606052</v>
      </c>
      <c r="T403" s="39">
        <f>[1]节奏总纲!AF403</f>
        <v>91.808037150309531</v>
      </c>
      <c r="U403" s="39">
        <f>[1]节奏总纲!AG403</f>
        <v>96.663030537611249</v>
      </c>
      <c r="V403" s="39">
        <f>[1]节奏总纲!AH403</f>
        <v>105.5194414545261</v>
      </c>
    </row>
    <row r="404" spans="17:22" x14ac:dyDescent="0.15">
      <c r="Q404" s="38">
        <v>401</v>
      </c>
      <c r="R404" s="39">
        <f>[1]节奏总纲!AD404</f>
        <v>86.501855167563733</v>
      </c>
      <c r="S404" s="39">
        <f>[1]节奏总纲!AE404</f>
        <v>88.600736411324391</v>
      </c>
      <c r="T404" s="39">
        <f>[1]节奏总纲!AF404</f>
        <v>91.845514121464518</v>
      </c>
      <c r="U404" s="39">
        <f>[1]节奏总纲!AG404</f>
        <v>96.697389842976591</v>
      </c>
      <c r="V404" s="39">
        <f>[1]节奏总纲!AH404</f>
        <v>105.55760846172927</v>
      </c>
    </row>
    <row r="405" spans="17:22" x14ac:dyDescent="0.15">
      <c r="Q405" s="38">
        <v>402</v>
      </c>
      <c r="R405" s="39">
        <f>[1]节奏总纲!AD405</f>
        <v>86.537762086321138</v>
      </c>
      <c r="S405" s="39">
        <f>[1]节奏总纲!AE405</f>
        <v>88.637758066588262</v>
      </c>
      <c r="T405" s="39">
        <f>[1]节奏总纲!AF405</f>
        <v>91.882991092619505</v>
      </c>
      <c r="U405" s="39">
        <f>[1]节奏总纲!AG405</f>
        <v>96.731749148341919</v>
      </c>
      <c r="V405" s="39">
        <f>[1]节奏总纲!AH405</f>
        <v>105.59577546893246</v>
      </c>
    </row>
    <row r="406" spans="17:22" x14ac:dyDescent="0.15">
      <c r="Q406" s="38">
        <v>403</v>
      </c>
      <c r="R406" s="39">
        <f>[1]节奏总纲!AD406</f>
        <v>86.573669005078543</v>
      </c>
      <c r="S406" s="39">
        <f>[1]节奏总纲!AE406</f>
        <v>88.674779721852133</v>
      </c>
      <c r="T406" s="39">
        <f>[1]节奏总纲!AF406</f>
        <v>91.920468063774507</v>
      </c>
      <c r="U406" s="39">
        <f>[1]节奏总纲!AG406</f>
        <v>96.766108453707261</v>
      </c>
      <c r="V406" s="39">
        <f>[1]节奏总纲!AH406</f>
        <v>105.63394247613563</v>
      </c>
    </row>
    <row r="407" spans="17:22" x14ac:dyDescent="0.15">
      <c r="Q407" s="38">
        <v>404</v>
      </c>
      <c r="R407" s="39">
        <f>[1]节奏总纲!AD407</f>
        <v>86.609575923835948</v>
      </c>
      <c r="S407" s="39">
        <f>[1]节奏总纲!AE407</f>
        <v>88.711801377115989</v>
      </c>
      <c r="T407" s="39">
        <f>[1]节奏总纲!AF407</f>
        <v>91.957945034929494</v>
      </c>
      <c r="U407" s="39">
        <f>[1]节奏总纲!AG407</f>
        <v>96.800467759072589</v>
      </c>
      <c r="V407" s="39">
        <f>[1]节奏总纲!AH407</f>
        <v>105.6721094833388</v>
      </c>
    </row>
    <row r="408" spans="17:22" x14ac:dyDescent="0.15">
      <c r="Q408" s="38">
        <v>405</v>
      </c>
      <c r="R408" s="39">
        <f>[1]节奏总纲!AD408</f>
        <v>86.645482842593353</v>
      </c>
      <c r="S408" s="39">
        <f>[1]节奏总纲!AE408</f>
        <v>88.74882303237986</v>
      </c>
      <c r="T408" s="39">
        <f>[1]节奏总纲!AF408</f>
        <v>91.995422006084482</v>
      </c>
      <c r="U408" s="39">
        <f>[1]节奏总纲!AG408</f>
        <v>96.834827064437931</v>
      </c>
      <c r="V408" s="39">
        <f>[1]节奏总纲!AH408</f>
        <v>105.71027649054199</v>
      </c>
    </row>
    <row r="409" spans="17:22" x14ac:dyDescent="0.15">
      <c r="Q409" s="38">
        <v>406</v>
      </c>
      <c r="R409" s="39">
        <f>[1]节奏总纲!AD409</f>
        <v>86.681389761350758</v>
      </c>
      <c r="S409" s="39">
        <f>[1]节奏总纲!AE409</f>
        <v>88.785844687643731</v>
      </c>
      <c r="T409" s="39">
        <f>[1]节奏总纲!AF409</f>
        <v>92.030736732663385</v>
      </c>
      <c r="U409" s="39">
        <f>[1]节奏总纲!AG409</f>
        <v>96.869186369803259</v>
      </c>
      <c r="V409" s="39">
        <f>[1]节奏总纲!AH409</f>
        <v>105.74844349774516</v>
      </c>
    </row>
    <row r="410" spans="17:22" x14ac:dyDescent="0.15">
      <c r="Q410" s="38">
        <v>407</v>
      </c>
      <c r="R410" s="39">
        <f>[1]节奏总纲!AD410</f>
        <v>86.717296680108163</v>
      </c>
      <c r="S410" s="39">
        <f>[1]节奏总纲!AE410</f>
        <v>88.822866342907602</v>
      </c>
      <c r="T410" s="39">
        <f>[1]节奏总纲!AF410</f>
        <v>92.06575057625615</v>
      </c>
      <c r="U410" s="39">
        <f>[1]节奏总纲!AG410</f>
        <v>96.903545675168601</v>
      </c>
      <c r="V410" s="39">
        <f>[1]节奏总纲!AH410</f>
        <v>105.78661050494834</v>
      </c>
    </row>
    <row r="411" spans="17:22" x14ac:dyDescent="0.15">
      <c r="Q411" s="38">
        <v>408</v>
      </c>
      <c r="R411" s="39">
        <f>[1]节奏总纲!AD411</f>
        <v>86.753203598865568</v>
      </c>
      <c r="S411" s="39">
        <f>[1]节奏总纲!AE411</f>
        <v>88.859887998171473</v>
      </c>
      <c r="T411" s="39">
        <f>[1]节奏总纲!AF411</f>
        <v>92.1007644198489</v>
      </c>
      <c r="U411" s="39">
        <f>[1]节奏总纲!AG411</f>
        <v>96.937904980533943</v>
      </c>
      <c r="V411" s="39">
        <f>[1]节奏总纲!AH411</f>
        <v>105.82477751215151</v>
      </c>
    </row>
    <row r="412" spans="17:22" x14ac:dyDescent="0.15">
      <c r="Q412" s="38">
        <v>409</v>
      </c>
      <c r="R412" s="39">
        <f>[1]节奏总纲!AD412</f>
        <v>86.789110517622973</v>
      </c>
      <c r="S412" s="39">
        <f>[1]节奏总纲!AE412</f>
        <v>88.89690965343533</v>
      </c>
      <c r="T412" s="39">
        <f>[1]节奏总纲!AF412</f>
        <v>92.135778263441665</v>
      </c>
      <c r="U412" s="39">
        <f>[1]节奏总纲!AG412</f>
        <v>96.972264285899271</v>
      </c>
      <c r="V412" s="39">
        <f>[1]节奏总纲!AH412</f>
        <v>105.86294451935468</v>
      </c>
    </row>
    <row r="413" spans="17:22" x14ac:dyDescent="0.15">
      <c r="Q413" s="38">
        <v>410</v>
      </c>
      <c r="R413" s="39">
        <f>[1]节奏总纲!AD413</f>
        <v>86.825017436380378</v>
      </c>
      <c r="S413" s="39">
        <f>[1]节奏总纲!AE413</f>
        <v>88.933931308699201</v>
      </c>
      <c r="T413" s="39">
        <f>[1]节奏总纲!AF413</f>
        <v>92.170792107034416</v>
      </c>
      <c r="U413" s="39">
        <f>[1]节奏总纲!AG413</f>
        <v>97.006001686863456</v>
      </c>
      <c r="V413" s="39">
        <f>[1]节奏总纲!AH413</f>
        <v>105.90111152655787</v>
      </c>
    </row>
    <row r="414" spans="17:22" x14ac:dyDescent="0.15">
      <c r="Q414" s="38">
        <v>411</v>
      </c>
      <c r="R414" s="39">
        <f>[1]节奏总纲!AD414</f>
        <v>86.860924355137783</v>
      </c>
      <c r="S414" s="39">
        <f>[1]节奏总纲!AE414</f>
        <v>88.970952963963072</v>
      </c>
      <c r="T414" s="39">
        <f>[1]节奏总纲!AF414</f>
        <v>92.20580595062718</v>
      </c>
      <c r="U414" s="39">
        <f>[1]节奏总纲!AG414</f>
        <v>97.037134917072009</v>
      </c>
      <c r="V414" s="39">
        <f>[1]节奏总纲!AH414</f>
        <v>105.93927853376104</v>
      </c>
    </row>
    <row r="415" spans="17:22" x14ac:dyDescent="0.15">
      <c r="Q415" s="38">
        <v>412</v>
      </c>
      <c r="R415" s="39">
        <f>[1]节奏总纲!AD415</f>
        <v>86.896831273895188</v>
      </c>
      <c r="S415" s="39">
        <f>[1]节奏总纲!AE415</f>
        <v>89.008175723200509</v>
      </c>
      <c r="T415" s="39">
        <f>[1]节奏总纲!AF415</f>
        <v>92.240819794219931</v>
      </c>
      <c r="U415" s="39">
        <f>[1]节奏总纲!AG415</f>
        <v>97.068268147280577</v>
      </c>
      <c r="V415" s="39">
        <f>[1]节奏总纲!AH415</f>
        <v>105.97744554096421</v>
      </c>
    </row>
    <row r="416" spans="17:22" x14ac:dyDescent="0.15">
      <c r="Q416" s="38">
        <v>413</v>
      </c>
      <c r="R416" s="39">
        <f>[1]节奏总纲!AD416</f>
        <v>86.932738192652593</v>
      </c>
      <c r="S416" s="39">
        <f>[1]节奏总纲!AE416</f>
        <v>89.046130990687118</v>
      </c>
      <c r="T416" s="39">
        <f>[1]节奏总纲!AF416</f>
        <v>92.275833637812681</v>
      </c>
      <c r="U416" s="39">
        <f>[1]节奏总纲!AG416</f>
        <v>97.099401377489144</v>
      </c>
      <c r="V416" s="39">
        <f>[1]节奏总纲!AH416</f>
        <v>106.01480103024355</v>
      </c>
    </row>
    <row r="417" spans="17:22" x14ac:dyDescent="0.15">
      <c r="Q417" s="38">
        <v>414</v>
      </c>
      <c r="R417" s="39">
        <f>[1]节奏总纲!AD417</f>
        <v>86.968645111409998</v>
      </c>
      <c r="S417" s="39">
        <f>[1]节奏总纲!AE417</f>
        <v>89.084086258173727</v>
      </c>
      <c r="T417" s="39">
        <f>[1]节奏总纲!AF417</f>
        <v>92.310847481405446</v>
      </c>
      <c r="U417" s="39">
        <f>[1]节奏总纲!AG417</f>
        <v>97.130534607697712</v>
      </c>
      <c r="V417" s="39">
        <f>[1]节奏总纲!AH417</f>
        <v>106.05098417100079</v>
      </c>
    </row>
    <row r="418" spans="17:22" x14ac:dyDescent="0.15">
      <c r="Q418" s="38">
        <v>415</v>
      </c>
      <c r="R418" s="39">
        <f>[1]节奏总纲!AD418</f>
        <v>87.004247194324662</v>
      </c>
      <c r="S418" s="39">
        <f>[1]节奏总纲!AE418</f>
        <v>89.122041525660336</v>
      </c>
      <c r="T418" s="39">
        <f>[1]节奏总纲!AF418</f>
        <v>92.345861324998197</v>
      </c>
      <c r="U418" s="39">
        <f>[1]节奏总纲!AG418</f>
        <v>97.161667837906265</v>
      </c>
      <c r="V418" s="39">
        <f>[1]节奏总纲!AH418</f>
        <v>106.08716731175804</v>
      </c>
    </row>
    <row r="419" spans="17:22" x14ac:dyDescent="0.15">
      <c r="Q419" s="38">
        <v>416</v>
      </c>
      <c r="R419" s="39">
        <f>[1]节奏总纲!AD419</f>
        <v>87.037749534149754</v>
      </c>
      <c r="S419" s="39">
        <f>[1]节奏总纲!AE419</f>
        <v>89.159996793146931</v>
      </c>
      <c r="T419" s="39">
        <f>[1]节奏总纲!AF419</f>
        <v>92.380875168590961</v>
      </c>
      <c r="U419" s="39">
        <f>[1]节奏总纲!AG419</f>
        <v>97.192801068114832</v>
      </c>
      <c r="V419" s="39">
        <f>[1]节奏总纲!AH419</f>
        <v>106.12335045251528</v>
      </c>
    </row>
    <row r="420" spans="17:22" x14ac:dyDescent="0.15">
      <c r="Q420" s="38">
        <v>417</v>
      </c>
      <c r="R420" s="39">
        <f>[1]节奏总纲!AD420</f>
        <v>87.071251873974845</v>
      </c>
      <c r="S420" s="39">
        <f>[1]节奏总纲!AE420</f>
        <v>89.19795206063354</v>
      </c>
      <c r="T420" s="39">
        <f>[1]节奏总纲!AF420</f>
        <v>92.415889012183712</v>
      </c>
      <c r="U420" s="39">
        <f>[1]节奏总纲!AG420</f>
        <v>97.2239342983234</v>
      </c>
      <c r="V420" s="39">
        <f>[1]节奏总纲!AH420</f>
        <v>106.15953359327253</v>
      </c>
    </row>
    <row r="421" spans="17:22" x14ac:dyDescent="0.15">
      <c r="Q421" s="38">
        <v>418</v>
      </c>
      <c r="R421" s="39">
        <f>[1]节奏总纲!AD421</f>
        <v>87.104754213799936</v>
      </c>
      <c r="S421" s="39">
        <f>[1]节奏总纲!AE421</f>
        <v>89.235907328120149</v>
      </c>
      <c r="T421" s="39">
        <f>[1]节奏总纲!AF421</f>
        <v>92.450902855776476</v>
      </c>
      <c r="U421" s="39">
        <f>[1]节奏总纲!AG421</f>
        <v>97.255067528531953</v>
      </c>
      <c r="V421" s="39">
        <f>[1]节奏总纲!AH421</f>
        <v>106.19571673402977</v>
      </c>
    </row>
    <row r="422" spans="17:22" x14ac:dyDescent="0.15">
      <c r="Q422" s="38">
        <v>419</v>
      </c>
      <c r="R422" s="39">
        <f>[1]节奏总纲!AD422</f>
        <v>87.138256553625027</v>
      </c>
      <c r="S422" s="39">
        <f>[1]节奏总纲!AE422</f>
        <v>89.273862595606758</v>
      </c>
      <c r="T422" s="39">
        <f>[1]节奏总纲!AF422</f>
        <v>92.485916699369227</v>
      </c>
      <c r="U422" s="39">
        <f>[1]节奏总纲!AG422</f>
        <v>97.28620075874052</v>
      </c>
      <c r="V422" s="39">
        <f>[1]节奏总纲!AH422</f>
        <v>106.23189987478702</v>
      </c>
    </row>
    <row r="423" spans="17:22" x14ac:dyDescent="0.15">
      <c r="Q423" s="38">
        <v>420</v>
      </c>
      <c r="R423" s="39">
        <f>[1]节奏总纲!AD423</f>
        <v>87.171758893450118</v>
      </c>
      <c r="S423" s="39">
        <f>[1]节奏总纲!AE423</f>
        <v>89.311817863093353</v>
      </c>
      <c r="T423" s="39">
        <f>[1]节奏总纲!AF423</f>
        <v>92.520930542961992</v>
      </c>
      <c r="U423" s="39">
        <f>[1]节奏总纲!AG423</f>
        <v>97.317333988949088</v>
      </c>
      <c r="V423" s="39">
        <f>[1]节奏总纲!AH423</f>
        <v>106.26808301554426</v>
      </c>
    </row>
    <row r="424" spans="17:22" x14ac:dyDescent="0.15">
      <c r="Q424" s="38">
        <v>421</v>
      </c>
      <c r="R424" s="39">
        <f>[1]节奏总纲!AD424</f>
        <v>87.205261233275209</v>
      </c>
      <c r="S424" s="39">
        <f>[1]节奏总纲!AE424</f>
        <v>89.349773130579962</v>
      </c>
      <c r="T424" s="39">
        <f>[1]节奏总纲!AF424</f>
        <v>92.555944386554742</v>
      </c>
      <c r="U424" s="39">
        <f>[1]节奏总纲!AG424</f>
        <v>97.348467219157655</v>
      </c>
      <c r="V424" s="39">
        <f>[1]节奏总纲!AH424</f>
        <v>106.30426615630151</v>
      </c>
    </row>
    <row r="425" spans="17:22" x14ac:dyDescent="0.15">
      <c r="Q425" s="38">
        <v>422</v>
      </c>
      <c r="R425" s="39">
        <f>[1]节奏总纲!AD425</f>
        <v>87.238763573100286</v>
      </c>
      <c r="S425" s="39">
        <f>[1]节奏总纲!AE425</f>
        <v>89.387728398066571</v>
      </c>
      <c r="T425" s="39">
        <f>[1]节奏总纲!AF425</f>
        <v>92.590958230147493</v>
      </c>
      <c r="U425" s="39">
        <f>[1]节奏总纲!AG425</f>
        <v>97.379600449366208</v>
      </c>
      <c r="V425" s="39">
        <f>[1]节奏总纲!AH425</f>
        <v>106.34044929705875</v>
      </c>
    </row>
    <row r="426" spans="17:22" x14ac:dyDescent="0.15">
      <c r="Q426" s="38">
        <v>423</v>
      </c>
      <c r="R426" s="39">
        <f>[1]节奏总纲!AD426</f>
        <v>87.272265912925377</v>
      </c>
      <c r="S426" s="39">
        <f>[1]节奏总纲!AE426</f>
        <v>89.42568366555318</v>
      </c>
      <c r="T426" s="39">
        <f>[1]节奏总纲!AF426</f>
        <v>92.625972073740257</v>
      </c>
      <c r="U426" s="39">
        <f>[1]节奏总纲!AG426</f>
        <v>97.410733679574776</v>
      </c>
      <c r="V426" s="39">
        <f>[1]节奏总纲!AH426</f>
        <v>106.376632437816</v>
      </c>
    </row>
    <row r="427" spans="17:22" x14ac:dyDescent="0.15">
      <c r="Q427" s="38">
        <v>424</v>
      </c>
      <c r="R427" s="39">
        <f>[1]节奏总纲!AD427</f>
        <v>87.305768252750468</v>
      </c>
      <c r="S427" s="39">
        <f>[1]节奏总纲!AE427</f>
        <v>89.463638933039775</v>
      </c>
      <c r="T427" s="39">
        <f>[1]节奏总纲!AF427</f>
        <v>92.660985917333008</v>
      </c>
      <c r="U427" s="39">
        <f>[1]节奏总纲!AG427</f>
        <v>97.441866909783343</v>
      </c>
      <c r="V427" s="39">
        <f>[1]节奏总纲!AH427</f>
        <v>106.41281557857324</v>
      </c>
    </row>
    <row r="428" spans="17:22" x14ac:dyDescent="0.15">
      <c r="Q428" s="38">
        <v>425</v>
      </c>
      <c r="R428" s="39">
        <f>[1]节奏总纲!AD428</f>
        <v>87.339270592575559</v>
      </c>
      <c r="S428" s="39">
        <f>[1]节奏总纲!AE428</f>
        <v>89.501594200526384</v>
      </c>
      <c r="T428" s="39">
        <f>[1]节奏总纲!AF428</f>
        <v>92.695999760925773</v>
      </c>
      <c r="U428" s="39">
        <f>[1]节奏总纲!AG428</f>
        <v>97.473000139991896</v>
      </c>
      <c r="V428" s="39">
        <f>[1]节奏总纲!AH428</f>
        <v>106.44899871933049</v>
      </c>
    </row>
    <row r="429" spans="17:22" x14ac:dyDescent="0.15">
      <c r="Q429" s="38">
        <v>426</v>
      </c>
      <c r="R429" s="39">
        <f>[1]节奏总纲!AD429</f>
        <v>87.37277293240065</v>
      </c>
      <c r="S429" s="39">
        <f>[1]节奏总纲!AE429</f>
        <v>89.539549468012993</v>
      </c>
      <c r="T429" s="39">
        <f>[1]节奏总纲!AF429</f>
        <v>92.731013604518523</v>
      </c>
      <c r="U429" s="39">
        <f>[1]节奏总纲!AG429</f>
        <v>97.504133370200464</v>
      </c>
      <c r="V429" s="39">
        <f>[1]节奏总纲!AH429</f>
        <v>106.48518186008774</v>
      </c>
    </row>
    <row r="430" spans="17:22" x14ac:dyDescent="0.15">
      <c r="Q430" s="38">
        <v>427</v>
      </c>
      <c r="R430" s="39">
        <f>[1]节奏总纲!AD430</f>
        <v>87.406275272225741</v>
      </c>
      <c r="S430" s="39">
        <f>[1]节奏总纲!AE430</f>
        <v>89.577504735499602</v>
      </c>
      <c r="T430" s="39">
        <f>[1]节奏总纲!AF430</f>
        <v>92.766027448111288</v>
      </c>
      <c r="U430" s="39">
        <f>[1]节奏总纲!AG430</f>
        <v>97.535266600409031</v>
      </c>
      <c r="V430" s="39">
        <f>[1]节奏总纲!AH430</f>
        <v>106.52136500084498</v>
      </c>
    </row>
    <row r="431" spans="17:22" x14ac:dyDescent="0.15">
      <c r="Q431" s="38">
        <v>428</v>
      </c>
      <c r="R431" s="39">
        <f>[1]节奏总纲!AD431</f>
        <v>87.439777612050833</v>
      </c>
      <c r="S431" s="39">
        <f>[1]节奏总纲!AE431</f>
        <v>89.615460002986197</v>
      </c>
      <c r="T431" s="39">
        <f>[1]节奏总纲!AF431</f>
        <v>92.801041291704038</v>
      </c>
      <c r="U431" s="39">
        <f>[1]节奏总纲!AG431</f>
        <v>97.566399830617584</v>
      </c>
      <c r="V431" s="39">
        <f>[1]节奏总纲!AH431</f>
        <v>106.55754814160223</v>
      </c>
    </row>
    <row r="432" spans="17:22" x14ac:dyDescent="0.15">
      <c r="Q432" s="38">
        <v>429</v>
      </c>
      <c r="R432" s="39">
        <f>[1]节奏总纲!AD432</f>
        <v>87.473279951875924</v>
      </c>
      <c r="S432" s="39">
        <f>[1]节奏总纲!AE432</f>
        <v>89.653415270472806</v>
      </c>
      <c r="T432" s="39">
        <f>[1]节奏总纲!AF432</f>
        <v>92.836055135296803</v>
      </c>
      <c r="U432" s="39">
        <f>[1]节奏总纲!AG432</f>
        <v>97.597533060826152</v>
      </c>
      <c r="V432" s="39">
        <f>[1]节奏总纲!AH432</f>
        <v>106.59373128235947</v>
      </c>
    </row>
    <row r="433" spans="17:22" x14ac:dyDescent="0.15">
      <c r="Q433" s="38">
        <v>430</v>
      </c>
      <c r="R433" s="39">
        <f>[1]节奏总纲!AD433</f>
        <v>87.506782291701015</v>
      </c>
      <c r="S433" s="39">
        <f>[1]节奏总纲!AE433</f>
        <v>89.691370537959415</v>
      </c>
      <c r="T433" s="39">
        <f>[1]节奏总纲!AF433</f>
        <v>92.871068978889554</v>
      </c>
      <c r="U433" s="39">
        <f>[1]节奏总纲!AG433</f>
        <v>97.628666291034719</v>
      </c>
      <c r="V433" s="39">
        <f>[1]节奏总纲!AH433</f>
        <v>106.62991442311672</v>
      </c>
    </row>
    <row r="434" spans="17:22" x14ac:dyDescent="0.15">
      <c r="Q434" s="38">
        <v>431</v>
      </c>
      <c r="R434" s="39">
        <f>[1]节奏总纲!AD434</f>
        <v>87.540284631526106</v>
      </c>
      <c r="S434" s="39">
        <f>[1]节奏总纲!AE434</f>
        <v>89.729325805446024</v>
      </c>
      <c r="T434" s="39">
        <f>[1]节奏总纲!AF434</f>
        <v>92.906082822482304</v>
      </c>
      <c r="U434" s="39">
        <f>[1]节奏总纲!AG434</f>
        <v>97.659799521243286</v>
      </c>
      <c r="V434" s="39">
        <f>[1]节奏总纲!AH434</f>
        <v>106.66609756387396</v>
      </c>
    </row>
    <row r="435" spans="17:22" x14ac:dyDescent="0.15">
      <c r="Q435" s="38">
        <v>432</v>
      </c>
      <c r="R435" s="39">
        <f>[1]节奏总纲!AD435</f>
        <v>87.573786971351197</v>
      </c>
      <c r="S435" s="39">
        <f>[1]节奏总纲!AE435</f>
        <v>89.767281072932619</v>
      </c>
      <c r="T435" s="39">
        <f>[1]节奏总纲!AF435</f>
        <v>92.941096666075069</v>
      </c>
      <c r="U435" s="39">
        <f>[1]节奏总纲!AG435</f>
        <v>97.69093275145184</v>
      </c>
      <c r="V435" s="39">
        <f>[1]节奏总纲!AH435</f>
        <v>106.70228070463121</v>
      </c>
    </row>
    <row r="436" spans="17:22" x14ac:dyDescent="0.15">
      <c r="Q436" s="38">
        <v>433</v>
      </c>
      <c r="R436" s="39">
        <f>[1]节奏总纲!AD436</f>
        <v>87.607289311176288</v>
      </c>
      <c r="S436" s="39">
        <f>[1]节奏总纲!AE436</f>
        <v>89.805236340419228</v>
      </c>
      <c r="T436" s="39">
        <f>[1]节奏总纲!AF436</f>
        <v>92.976110509667819</v>
      </c>
      <c r="U436" s="39">
        <f>[1]节奏总纲!AG436</f>
        <v>97.722065981660407</v>
      </c>
      <c r="V436" s="39">
        <f>[1]节奏总纲!AH436</f>
        <v>106.73846384538845</v>
      </c>
    </row>
    <row r="437" spans="17:22" x14ac:dyDescent="0.15">
      <c r="Q437" s="38">
        <v>434</v>
      </c>
      <c r="R437" s="39">
        <f>[1]节奏总纲!AD437</f>
        <v>87.640791651001379</v>
      </c>
      <c r="S437" s="39">
        <f>[1]节奏总纲!AE437</f>
        <v>89.843191607905837</v>
      </c>
      <c r="T437" s="39">
        <f>[1]节奏总纲!AF437</f>
        <v>93.010462500358571</v>
      </c>
      <c r="U437" s="39">
        <f>[1]节奏总纲!AG437</f>
        <v>97.753199211868974</v>
      </c>
      <c r="V437" s="39">
        <f>[1]节奏总纲!AH437</f>
        <v>106.7746469861457</v>
      </c>
    </row>
    <row r="438" spans="17:22" x14ac:dyDescent="0.15">
      <c r="Q438" s="38">
        <v>435</v>
      </c>
      <c r="R438" s="39">
        <f>[1]节奏总纲!AD438</f>
        <v>87.674293990826456</v>
      </c>
      <c r="S438" s="39">
        <f>[1]节奏总纲!AE438</f>
        <v>89.881146875392446</v>
      </c>
      <c r="T438" s="39">
        <f>[1]节奏总纲!AF438</f>
        <v>93.043393165410535</v>
      </c>
      <c r="U438" s="39">
        <f>[1]节奏总纲!AG438</f>
        <v>97.784332442077528</v>
      </c>
      <c r="V438" s="39">
        <f>[1]节奏总纲!AH438</f>
        <v>106.81083012690294</v>
      </c>
    </row>
    <row r="439" spans="17:22" x14ac:dyDescent="0.15">
      <c r="Q439" s="38">
        <v>436</v>
      </c>
      <c r="R439" s="39">
        <f>[1]节奏总纲!AD439</f>
        <v>87.707796330651547</v>
      </c>
      <c r="S439" s="39">
        <f>[1]节奏总纲!AE439</f>
        <v>89.919102142879041</v>
      </c>
      <c r="T439" s="39">
        <f>[1]节奏总纲!AF439</f>
        <v>93.076323830462499</v>
      </c>
      <c r="U439" s="39">
        <f>[1]节奏总纲!AG439</f>
        <v>97.815465672286095</v>
      </c>
      <c r="V439" s="39">
        <f>[1]节奏总纲!AH439</f>
        <v>106.84701326766019</v>
      </c>
    </row>
    <row r="440" spans="17:22" x14ac:dyDescent="0.15">
      <c r="Q440" s="38">
        <v>437</v>
      </c>
      <c r="R440" s="39">
        <f>[1]节奏总纲!AD440</f>
        <v>87.741298670476638</v>
      </c>
      <c r="S440" s="39">
        <f>[1]节奏总纲!AE440</f>
        <v>89.95705741036565</v>
      </c>
      <c r="T440" s="39">
        <f>[1]节奏总纲!AF440</f>
        <v>93.109254495514463</v>
      </c>
      <c r="U440" s="39">
        <f>[1]节奏总纲!AG440</f>
        <v>97.846598902494662</v>
      </c>
      <c r="V440" s="39">
        <f>[1]节奏总纲!AH440</f>
        <v>106.88319640841743</v>
      </c>
    </row>
    <row r="441" spans="17:22" x14ac:dyDescent="0.15">
      <c r="Q441" s="38">
        <v>438</v>
      </c>
      <c r="R441" s="39">
        <f>[1]节奏总纲!AD441</f>
        <v>87.774801010301729</v>
      </c>
      <c r="S441" s="39">
        <f>[1]节奏总纲!AE441</f>
        <v>89.995012677852259</v>
      </c>
      <c r="T441" s="39">
        <f>[1]节奏总纲!AF441</f>
        <v>93.142185160566427</v>
      </c>
      <c r="U441" s="39">
        <f>[1]节奏总纲!AG441</f>
        <v>97.87773213270323</v>
      </c>
      <c r="V441" s="39">
        <f>[1]节奏总纲!AH441</f>
        <v>106.91937954917468</v>
      </c>
    </row>
    <row r="442" spans="17:22" x14ac:dyDescent="0.15">
      <c r="Q442" s="38">
        <v>439</v>
      </c>
      <c r="R442" s="39">
        <f>[1]节奏总纲!AD442</f>
        <v>87.80830335012682</v>
      </c>
      <c r="S442" s="39">
        <f>[1]节奏总纲!AE442</f>
        <v>90.027567823948559</v>
      </c>
      <c r="T442" s="39">
        <f>[1]节奏总纲!AF442</f>
        <v>93.175115825618391</v>
      </c>
      <c r="U442" s="39">
        <f>[1]节奏总纲!AG442</f>
        <v>97.908865362911783</v>
      </c>
      <c r="V442" s="39">
        <f>[1]节奏总纲!AH442</f>
        <v>106.95556268993192</v>
      </c>
    </row>
    <row r="443" spans="17:22" x14ac:dyDescent="0.15">
      <c r="Q443" s="38">
        <v>440</v>
      </c>
      <c r="R443" s="39">
        <f>[1]节奏总纲!AD443</f>
        <v>87.841805689951912</v>
      </c>
      <c r="S443" s="39">
        <f>[1]节奏总纲!AE443</f>
        <v>90.05930605092135</v>
      </c>
      <c r="T443" s="39">
        <f>[1]节奏总纲!AF443</f>
        <v>93.208046490670355</v>
      </c>
      <c r="U443" s="39">
        <f>[1]节奏总纲!AG443</f>
        <v>97.93999859312035</v>
      </c>
      <c r="V443" s="39">
        <f>[1]节奏总纲!AH443</f>
        <v>106.99174583068917</v>
      </c>
    </row>
    <row r="444" spans="17:22" x14ac:dyDescent="0.15">
      <c r="Q444" s="38">
        <v>441</v>
      </c>
      <c r="R444" s="39">
        <f>[1]节奏总纲!AD444</f>
        <v>87.875308029777003</v>
      </c>
      <c r="S444" s="39">
        <f>[1]节奏总纲!AE444</f>
        <v>90.091044277894142</v>
      </c>
      <c r="T444" s="39">
        <f>[1]节奏总纲!AF444</f>
        <v>93.240977155722319</v>
      </c>
      <c r="U444" s="39">
        <f>[1]节奏总纲!AG444</f>
        <v>97.971131823328918</v>
      </c>
      <c r="V444" s="39">
        <f>[1]节奏总纲!AH444</f>
        <v>107.02497748922852</v>
      </c>
    </row>
    <row r="445" spans="17:22" x14ac:dyDescent="0.15">
      <c r="Q445" s="38">
        <v>442</v>
      </c>
      <c r="R445" s="39">
        <f>[1]节奏总纲!AD445</f>
        <v>87.908810369602094</v>
      </c>
      <c r="S445" s="39">
        <f>[1]节奏总纲!AE445</f>
        <v>90.122782504866933</v>
      </c>
      <c r="T445" s="39">
        <f>[1]节奏总纲!AF445</f>
        <v>93.273907820774284</v>
      </c>
      <c r="U445" s="39">
        <f>[1]节奏总纲!AG445</f>
        <v>98.00217354962686</v>
      </c>
      <c r="V445" s="39">
        <f>[1]节奏总纲!AH445</f>
        <v>107.0573368623709</v>
      </c>
    </row>
    <row r="446" spans="17:22" x14ac:dyDescent="0.15">
      <c r="Q446" s="38">
        <v>443</v>
      </c>
      <c r="R446" s="39">
        <f>[1]节奏总纲!AD446</f>
        <v>87.942312709427185</v>
      </c>
      <c r="S446" s="39">
        <f>[1]节奏总纲!AE446</f>
        <v>90.154520731839725</v>
      </c>
      <c r="T446" s="39">
        <f>[1]节奏总纲!AF446</f>
        <v>93.306838485826248</v>
      </c>
      <c r="U446" s="39">
        <f>[1]节奏总纲!AG446</f>
        <v>98.032049055782977</v>
      </c>
      <c r="V446" s="39">
        <f>[1]节奏总纲!AH446</f>
        <v>107.0896962355133</v>
      </c>
    </row>
    <row r="447" spans="17:22" x14ac:dyDescent="0.15">
      <c r="Q447" s="38">
        <v>444</v>
      </c>
      <c r="R447" s="39">
        <f>[1]节奏总纲!AD447</f>
        <v>87.975815049252276</v>
      </c>
      <c r="S447" s="39">
        <f>[1]节奏总纲!AE447</f>
        <v>90.186258958812516</v>
      </c>
      <c r="T447" s="39">
        <f>[1]节奏总纲!AF447</f>
        <v>93.339769150878212</v>
      </c>
      <c r="U447" s="39">
        <f>[1]节奏总纲!AG447</f>
        <v>98.061924561939108</v>
      </c>
      <c r="V447" s="39">
        <f>[1]节奏总纲!AH447</f>
        <v>107.1220556086557</v>
      </c>
    </row>
    <row r="448" spans="17:22" x14ac:dyDescent="0.15">
      <c r="Q448" s="38">
        <v>445</v>
      </c>
      <c r="R448" s="39">
        <f>[1]节奏总纲!AD448</f>
        <v>88.008693431404168</v>
      </c>
      <c r="S448" s="39">
        <f>[1]节奏总纲!AE448</f>
        <v>90.217997185785308</v>
      </c>
      <c r="T448" s="39">
        <f>[1]节奏总纲!AF448</f>
        <v>93.372699815930176</v>
      </c>
      <c r="U448" s="39">
        <f>[1]节奏总纲!AG448</f>
        <v>98.091800068095225</v>
      </c>
      <c r="V448" s="39">
        <f>[1]节奏总纲!AH448</f>
        <v>107.15441498179808</v>
      </c>
    </row>
    <row r="449" spans="17:22" x14ac:dyDescent="0.15">
      <c r="Q449" s="38">
        <v>446</v>
      </c>
      <c r="R449" s="39">
        <f>[1]节奏总纲!AD449</f>
        <v>88.039952219754653</v>
      </c>
      <c r="S449" s="39">
        <f>[1]节奏总纲!AE449</f>
        <v>90.249735412758099</v>
      </c>
      <c r="T449" s="39">
        <f>[1]节奏总纲!AF449</f>
        <v>93.40563048098214</v>
      </c>
      <c r="U449" s="39">
        <f>[1]节奏总纲!AG449</f>
        <v>98.121675574251341</v>
      </c>
      <c r="V449" s="39">
        <f>[1]节奏总纲!AH449</f>
        <v>107.18677435494048</v>
      </c>
    </row>
    <row r="450" spans="17:22" x14ac:dyDescent="0.15">
      <c r="Q450" s="38">
        <v>447</v>
      </c>
      <c r="R450" s="39">
        <f>[1]节奏总纲!AD450</f>
        <v>88.071211008105138</v>
      </c>
      <c r="S450" s="39">
        <f>[1]节奏总纲!AE450</f>
        <v>90.281473639730891</v>
      </c>
      <c r="T450" s="39">
        <f>[1]节奏总纲!AF450</f>
        <v>93.438561146034118</v>
      </c>
      <c r="U450" s="39">
        <f>[1]节奏总纲!AG450</f>
        <v>98.151551080407472</v>
      </c>
      <c r="V450" s="39">
        <f>[1]节奏总纲!AH450</f>
        <v>107.21913372808288</v>
      </c>
    </row>
    <row r="451" spans="17:22" x14ac:dyDescent="0.15">
      <c r="Q451" s="38">
        <v>448</v>
      </c>
      <c r="R451" s="39">
        <f>[1]节奏总纲!AD451</f>
        <v>88.102469796455622</v>
      </c>
      <c r="S451" s="39">
        <f>[1]节奏总纲!AE451</f>
        <v>90.313211866703682</v>
      </c>
      <c r="T451" s="39">
        <f>[1]节奏总纲!AF451</f>
        <v>93.471491811086082</v>
      </c>
      <c r="U451" s="39">
        <f>[1]节奏总纲!AG451</f>
        <v>98.181426586563589</v>
      </c>
      <c r="V451" s="39">
        <f>[1]节奏总纲!AH451</f>
        <v>107.25149310122528</v>
      </c>
    </row>
    <row r="452" spans="17:22" x14ac:dyDescent="0.15">
      <c r="Q452" s="38">
        <v>449</v>
      </c>
      <c r="R452" s="39">
        <f>[1]节奏总纲!AD452</f>
        <v>88.133728584806107</v>
      </c>
      <c r="S452" s="39">
        <f>[1]节奏总纲!AE452</f>
        <v>90.344950093676474</v>
      </c>
      <c r="T452" s="39">
        <f>[1]节奏总纲!AF452</f>
        <v>93.504422476138046</v>
      </c>
      <c r="U452" s="39">
        <f>[1]节奏总纲!AG452</f>
        <v>98.211302092719706</v>
      </c>
      <c r="V452" s="39">
        <f>[1]节奏总纲!AH452</f>
        <v>107.28385247436766</v>
      </c>
    </row>
    <row r="453" spans="17:22" x14ac:dyDescent="0.15">
      <c r="Q453" s="38">
        <v>450</v>
      </c>
      <c r="R453" s="39">
        <f>[1]节奏总纲!AD453</f>
        <v>88.164987373156592</v>
      </c>
      <c r="S453" s="39">
        <f>[1]节奏总纲!AE453</f>
        <v>90.376688320649265</v>
      </c>
      <c r="T453" s="39">
        <f>[1]节奏总纲!AF453</f>
        <v>93.53735314119001</v>
      </c>
      <c r="U453" s="39">
        <f>[1]节奏总纲!AG453</f>
        <v>98.241177598875836</v>
      </c>
      <c r="V453" s="39">
        <f>[1]节奏总纲!AH453</f>
        <v>107.31621184751006</v>
      </c>
    </row>
    <row r="454" spans="17:22" x14ac:dyDescent="0.15">
      <c r="Q454" s="38">
        <v>451</v>
      </c>
      <c r="R454" s="39">
        <f>[1]节奏总纲!AD454</f>
        <v>88.196246161507091</v>
      </c>
      <c r="S454" s="39">
        <f>[1]节奏总纲!AE454</f>
        <v>90.408426547622057</v>
      </c>
      <c r="T454" s="39">
        <f>[1]节奏总纲!AF454</f>
        <v>93.570283806241974</v>
      </c>
      <c r="U454" s="39">
        <f>[1]节奏总纲!AG454</f>
        <v>98.271053105031953</v>
      </c>
      <c r="V454" s="39">
        <f>[1]节奏总纲!AH454</f>
        <v>107.34857122065246</v>
      </c>
    </row>
    <row r="455" spans="17:22" x14ac:dyDescent="0.15">
      <c r="Q455" s="38">
        <v>452</v>
      </c>
      <c r="R455" s="39">
        <f>[1]节奏总纲!AD455</f>
        <v>88.227504949857575</v>
      </c>
      <c r="S455" s="39">
        <f>[1]节奏总纲!AE455</f>
        <v>90.440164774594848</v>
      </c>
      <c r="T455" s="39">
        <f>[1]节奏总纲!AF455</f>
        <v>93.603214471293938</v>
      </c>
      <c r="U455" s="39">
        <f>[1]节奏总纲!AG455</f>
        <v>98.30092861118807</v>
      </c>
      <c r="V455" s="39">
        <f>[1]节奏总纲!AH455</f>
        <v>107.38093059379484</v>
      </c>
    </row>
    <row r="456" spans="17:22" x14ac:dyDescent="0.15">
      <c r="Q456" s="38">
        <v>453</v>
      </c>
      <c r="R456" s="39">
        <f>[1]节奏总纲!AD456</f>
        <v>88.25876373820806</v>
      </c>
      <c r="S456" s="39">
        <f>[1]节奏总纲!AE456</f>
        <v>90.47190300156764</v>
      </c>
      <c r="T456" s="39">
        <f>[1]节奏总纲!AF456</f>
        <v>93.636145136345903</v>
      </c>
      <c r="U456" s="39">
        <f>[1]节奏总纲!AG456</f>
        <v>98.330804117344201</v>
      </c>
      <c r="V456" s="39">
        <f>[1]节奏总纲!AH456</f>
        <v>107.41328996693724</v>
      </c>
    </row>
    <row r="457" spans="17:22" x14ac:dyDescent="0.15">
      <c r="Q457" s="38">
        <v>454</v>
      </c>
      <c r="R457" s="39">
        <f>[1]节奏总纲!AD457</f>
        <v>88.290022526558545</v>
      </c>
      <c r="S457" s="39">
        <f>[1]节奏总纲!AE457</f>
        <v>90.503641228540417</v>
      </c>
      <c r="T457" s="39">
        <f>[1]节奏总纲!AF457</f>
        <v>93.669075801397867</v>
      </c>
      <c r="U457" s="39">
        <f>[1]节奏总纲!AG457</f>
        <v>98.360679623500317</v>
      </c>
      <c r="V457" s="39">
        <f>[1]节奏总纲!AH457</f>
        <v>107.44564934007964</v>
      </c>
    </row>
    <row r="458" spans="17:22" x14ac:dyDescent="0.15">
      <c r="Q458" s="38">
        <v>455</v>
      </c>
      <c r="R458" s="39">
        <f>[1]节奏总纲!AD458</f>
        <v>88.321281314909029</v>
      </c>
      <c r="S458" s="39">
        <f>[1]节奏总纲!AE458</f>
        <v>90.535379455513208</v>
      </c>
      <c r="T458" s="39">
        <f>[1]节奏总纲!AF458</f>
        <v>93.702006466449831</v>
      </c>
      <c r="U458" s="39">
        <f>[1]节奏总纲!AG458</f>
        <v>98.390555129656434</v>
      </c>
      <c r="V458" s="39">
        <f>[1]节奏总纲!AH458</f>
        <v>107.47800871322202</v>
      </c>
    </row>
    <row r="459" spans="17:22" x14ac:dyDescent="0.15">
      <c r="Q459" s="38">
        <v>456</v>
      </c>
      <c r="R459" s="39">
        <f>[1]节奏总纲!AD459</f>
        <v>88.352540103259514</v>
      </c>
      <c r="S459" s="39">
        <f>[1]节奏总纲!AE459</f>
        <v>90.567117682486</v>
      </c>
      <c r="T459" s="39">
        <f>[1]节奏总纲!AF459</f>
        <v>93.734937131501795</v>
      </c>
      <c r="U459" s="39">
        <f>[1]节奏总纲!AG459</f>
        <v>98.420430635812565</v>
      </c>
      <c r="V459" s="39">
        <f>[1]节奏总纲!AH459</f>
        <v>107.51036808636442</v>
      </c>
    </row>
    <row r="460" spans="17:22" x14ac:dyDescent="0.15">
      <c r="Q460" s="38">
        <v>457</v>
      </c>
      <c r="R460" s="39">
        <f>[1]节奏总纲!AD460</f>
        <v>88.383798891610013</v>
      </c>
      <c r="S460" s="39">
        <f>[1]节奏总纲!AE460</f>
        <v>90.598855909458791</v>
      </c>
      <c r="T460" s="39">
        <f>[1]节奏总纲!AF460</f>
        <v>93.767867796553759</v>
      </c>
      <c r="U460" s="39">
        <f>[1]节奏总纲!AG460</f>
        <v>98.450306141968682</v>
      </c>
      <c r="V460" s="39">
        <f>[1]节奏总纲!AH460</f>
        <v>107.54272745950682</v>
      </c>
    </row>
    <row r="461" spans="17:22" x14ac:dyDescent="0.15">
      <c r="Q461" s="38">
        <v>458</v>
      </c>
      <c r="R461" s="39">
        <f>[1]节奏总纲!AD461</f>
        <v>88.415057679960498</v>
      </c>
      <c r="S461" s="39">
        <f>[1]节奏总纲!AE461</f>
        <v>90.630594136431583</v>
      </c>
      <c r="T461" s="39">
        <f>[1]节奏总纲!AF461</f>
        <v>93.800798461605723</v>
      </c>
      <c r="U461" s="39">
        <f>[1]节奏总纲!AG461</f>
        <v>98.480181648124798</v>
      </c>
      <c r="V461" s="39">
        <f>[1]节奏总纲!AH461</f>
        <v>107.57508683264921</v>
      </c>
    </row>
    <row r="462" spans="17:22" x14ac:dyDescent="0.15">
      <c r="Q462" s="38">
        <v>459</v>
      </c>
      <c r="R462" s="39">
        <f>[1]节奏总纲!AD462</f>
        <v>88.446316468310982</v>
      </c>
      <c r="S462" s="39">
        <f>[1]节奏总纲!AE462</f>
        <v>90.662332363404374</v>
      </c>
      <c r="T462" s="39">
        <f>[1]节奏总纲!AF462</f>
        <v>93.833729126657687</v>
      </c>
      <c r="U462" s="39">
        <f>[1]节奏总纲!AG462</f>
        <v>98.510057154280929</v>
      </c>
      <c r="V462" s="39">
        <f>[1]节奏总纲!AH462</f>
        <v>107.6074462057916</v>
      </c>
    </row>
    <row r="463" spans="17:22" x14ac:dyDescent="0.15">
      <c r="Q463" s="38">
        <v>460</v>
      </c>
      <c r="R463" s="39">
        <f>[1]节奏总纲!AD463</f>
        <v>88.477575256661467</v>
      </c>
      <c r="S463" s="39">
        <f>[1]节奏总纲!AE463</f>
        <v>90.694070590377166</v>
      </c>
      <c r="T463" s="39">
        <f>[1]节奏总纲!AF463</f>
        <v>93.866659791709665</v>
      </c>
      <c r="U463" s="39">
        <f>[1]节奏总纲!AG463</f>
        <v>98.539932660437046</v>
      </c>
      <c r="V463" s="39">
        <f>[1]节奏总纲!AH463</f>
        <v>107.639805578934</v>
      </c>
    </row>
    <row r="464" spans="17:22" x14ac:dyDescent="0.15">
      <c r="Q464" s="38">
        <v>461</v>
      </c>
      <c r="R464" s="39">
        <f>[1]节奏总纲!AD464</f>
        <v>88.508834045011952</v>
      </c>
      <c r="S464" s="39">
        <f>[1]节奏总纲!AE464</f>
        <v>90.725808817349957</v>
      </c>
      <c r="T464" s="39">
        <f>[1]节奏总纲!AF464</f>
        <v>93.899590456761629</v>
      </c>
      <c r="U464" s="39">
        <f>[1]节奏总纲!AG464</f>
        <v>98.569808166593162</v>
      </c>
      <c r="V464" s="39">
        <f>[1]节奏总纲!AH464</f>
        <v>107.67216495207639</v>
      </c>
    </row>
    <row r="465" spans="17:22" x14ac:dyDescent="0.15">
      <c r="Q465" s="38">
        <v>462</v>
      </c>
      <c r="R465" s="39">
        <f>[1]节奏总纲!AD465</f>
        <v>88.540092833362436</v>
      </c>
      <c r="S465" s="39">
        <f>[1]节奏总纲!AE465</f>
        <v>90.757547044322749</v>
      </c>
      <c r="T465" s="39">
        <f>[1]节奏总纲!AF465</f>
        <v>93.932521121813593</v>
      </c>
      <c r="U465" s="39">
        <f>[1]节奏总纲!AG465</f>
        <v>98.599683672749293</v>
      </c>
      <c r="V465" s="39">
        <f>[1]节奏总纲!AH465</f>
        <v>107.70452432521878</v>
      </c>
    </row>
    <row r="466" spans="17:22" x14ac:dyDescent="0.15">
      <c r="Q466" s="38">
        <v>463</v>
      </c>
      <c r="R466" s="39">
        <f>[1]节奏总纲!AD466</f>
        <v>88.571351621712921</v>
      </c>
      <c r="S466" s="39">
        <f>[1]节奏总纲!AE466</f>
        <v>90.78928527129554</v>
      </c>
      <c r="T466" s="39">
        <f>[1]节奏总纲!AF466</f>
        <v>93.965451786865557</v>
      </c>
      <c r="U466" s="39">
        <f>[1]节奏总纲!AG466</f>
        <v>98.62955917890541</v>
      </c>
      <c r="V466" s="39">
        <f>[1]节奏总纲!AH466</f>
        <v>107.73688369836118</v>
      </c>
    </row>
    <row r="467" spans="17:22" x14ac:dyDescent="0.15">
      <c r="Q467" s="38">
        <v>464</v>
      </c>
      <c r="R467" s="39">
        <f>[1]节奏总纲!AD467</f>
        <v>88.60261041006342</v>
      </c>
      <c r="S467" s="39">
        <f>[1]节奏总纲!AE467</f>
        <v>90.821023498268332</v>
      </c>
      <c r="T467" s="39">
        <f>[1]节奏总纲!AF467</f>
        <v>93.998382451917522</v>
      </c>
      <c r="U467" s="39">
        <f>[1]节奏总纲!AG467</f>
        <v>98.659434685061527</v>
      </c>
      <c r="V467" s="39">
        <f>[1]节奏总纲!AH467</f>
        <v>107.76924307150358</v>
      </c>
    </row>
    <row r="468" spans="17:22" x14ac:dyDescent="0.15">
      <c r="Q468" s="38">
        <v>465</v>
      </c>
      <c r="R468" s="39">
        <f>[1]节奏总纲!AD468</f>
        <v>88.633869198413905</v>
      </c>
      <c r="S468" s="39">
        <f>[1]节奏总纲!AE468</f>
        <v>90.852761725241123</v>
      </c>
      <c r="T468" s="39">
        <f>[1]节奏总纲!AF468</f>
        <v>94.02979916019423</v>
      </c>
      <c r="U468" s="39">
        <f>[1]节奏总纲!AG468</f>
        <v>98.689310191217658</v>
      </c>
      <c r="V468" s="39">
        <f>[1]节奏总纲!AH468</f>
        <v>107.80160244464597</v>
      </c>
    </row>
    <row r="469" spans="17:22" x14ac:dyDescent="0.15">
      <c r="Q469" s="38">
        <v>466</v>
      </c>
      <c r="R469" s="39">
        <f>[1]节奏总纲!AD469</f>
        <v>88.665127986764389</v>
      </c>
      <c r="S469" s="39">
        <f>[1]节奏总纲!AE469</f>
        <v>90.884499952213915</v>
      </c>
      <c r="T469" s="39">
        <f>[1]节奏总纲!AF469</f>
        <v>94.061137661696392</v>
      </c>
      <c r="U469" s="39">
        <f>[1]节奏总纲!AG469</f>
        <v>98.719185697373774</v>
      </c>
      <c r="V469" s="39">
        <f>[1]节奏总纲!AH469</f>
        <v>107.83396181778836</v>
      </c>
    </row>
    <row r="470" spans="17:22" x14ac:dyDescent="0.15">
      <c r="Q470" s="38">
        <v>467</v>
      </c>
      <c r="R470" s="39">
        <f>[1]节奏总纲!AD470</f>
        <v>88.696386775114874</v>
      </c>
      <c r="S470" s="39">
        <f>[1]节奏总纲!AE470</f>
        <v>90.916238179186706</v>
      </c>
      <c r="T470" s="39">
        <f>[1]节奏总纲!AF470</f>
        <v>94.092476163198569</v>
      </c>
      <c r="U470" s="39">
        <f>[1]节奏总纲!AG470</f>
        <v>98.749061203529891</v>
      </c>
      <c r="V470" s="39">
        <f>[1]节奏总纲!AH470</f>
        <v>107.86632119093076</v>
      </c>
    </row>
    <row r="471" spans="17:22" x14ac:dyDescent="0.15">
      <c r="Q471" s="38">
        <v>468</v>
      </c>
      <c r="R471" s="39">
        <f>[1]节奏总纲!AD471</f>
        <v>88.727645563465359</v>
      </c>
      <c r="S471" s="39">
        <f>[1]节奏总纲!AE471</f>
        <v>90.947976406159498</v>
      </c>
      <c r="T471" s="39">
        <f>[1]节奏总纲!AF471</f>
        <v>94.123814664700731</v>
      </c>
      <c r="U471" s="39">
        <f>[1]节奏总纲!AG471</f>
        <v>98.778936709686022</v>
      </c>
      <c r="V471" s="39">
        <f>[1]节奏总纲!AH471</f>
        <v>107.89868056407315</v>
      </c>
    </row>
    <row r="472" spans="17:22" x14ac:dyDescent="0.15">
      <c r="Q472" s="38">
        <v>469</v>
      </c>
      <c r="R472" s="39">
        <f>[1]节奏总纲!AD472</f>
        <v>88.758904351815843</v>
      </c>
      <c r="S472" s="39">
        <f>[1]节奏总纲!AE472</f>
        <v>90.979714633132289</v>
      </c>
      <c r="T472" s="39">
        <f>[1]节奏总纲!AF472</f>
        <v>94.155153166202908</v>
      </c>
      <c r="U472" s="39">
        <f>[1]节奏总纲!AG472</f>
        <v>98.808812215842138</v>
      </c>
      <c r="V472" s="39">
        <f>[1]节奏总纲!AH472</f>
        <v>107.93103993721554</v>
      </c>
    </row>
    <row r="473" spans="17:22" x14ac:dyDescent="0.15">
      <c r="Q473" s="38">
        <v>470</v>
      </c>
      <c r="R473" s="39">
        <f>[1]节奏总纲!AD473</f>
        <v>88.790163140166328</v>
      </c>
      <c r="S473" s="39">
        <f>[1]节奏总纲!AE473</f>
        <v>91.01105096134954</v>
      </c>
      <c r="T473" s="39">
        <f>[1]节奏总纲!AF473</f>
        <v>94.186491667705084</v>
      </c>
      <c r="U473" s="39">
        <f>[1]节奏总纲!AG473</f>
        <v>98.838687721998255</v>
      </c>
      <c r="V473" s="39">
        <f>[1]节奏总纲!AH473</f>
        <v>107.96339931035794</v>
      </c>
    </row>
    <row r="474" spans="17:22" x14ac:dyDescent="0.15">
      <c r="Q474" s="38">
        <v>471</v>
      </c>
      <c r="R474" s="39">
        <f>[1]节奏总纲!AD474</f>
        <v>88.821421928516827</v>
      </c>
      <c r="S474" s="39">
        <f>[1]节奏总纲!AE474</f>
        <v>91.041675444348641</v>
      </c>
      <c r="T474" s="39">
        <f>[1]节奏总纲!AF474</f>
        <v>94.217830169207247</v>
      </c>
      <c r="U474" s="39">
        <f>[1]节奏总纲!AG474</f>
        <v>98.868563228154386</v>
      </c>
      <c r="V474" s="39">
        <f>[1]节奏总纲!AH474</f>
        <v>107.99575868350033</v>
      </c>
    </row>
    <row r="475" spans="17:22" x14ac:dyDescent="0.15">
      <c r="Q475" s="38">
        <v>472</v>
      </c>
      <c r="R475" s="39">
        <f>[1]节奏总纲!AD475</f>
        <v>88.852680716867312</v>
      </c>
      <c r="S475" s="39">
        <f>[1]节奏总纲!AE475</f>
        <v>91.072299927347757</v>
      </c>
      <c r="T475" s="39">
        <f>[1]节奏总纲!AF475</f>
        <v>94.249168670709423</v>
      </c>
      <c r="U475" s="39">
        <f>[1]节奏总纲!AG475</f>
        <v>98.898438734310503</v>
      </c>
      <c r="V475" s="39">
        <f>[1]节奏总纲!AH475</f>
        <v>108.02597567350507</v>
      </c>
    </row>
    <row r="476" spans="17:22" x14ac:dyDescent="0.15">
      <c r="Q476" s="38">
        <v>473</v>
      </c>
      <c r="R476" s="39">
        <f>[1]节奏总纲!AD476</f>
        <v>88.883939505217796</v>
      </c>
      <c r="S476" s="39">
        <f>[1]节奏总纲!AE476</f>
        <v>91.102924410346859</v>
      </c>
      <c r="T476" s="39">
        <f>[1]节奏总纲!AF476</f>
        <v>94.280507172211585</v>
      </c>
      <c r="U476" s="39">
        <f>[1]节奏总纲!AG476</f>
        <v>98.928314240466619</v>
      </c>
      <c r="V476" s="39">
        <f>[1]节奏总纲!AH476</f>
        <v>108.05586950728798</v>
      </c>
    </row>
    <row r="477" spans="17:22" x14ac:dyDescent="0.15">
      <c r="Q477" s="38">
        <v>474</v>
      </c>
      <c r="R477" s="39">
        <f>[1]节奏总纲!AD477</f>
        <v>88.915198293568281</v>
      </c>
      <c r="S477" s="39">
        <f>[1]节奏总纲!AE477</f>
        <v>91.133548893345974</v>
      </c>
      <c r="T477" s="39">
        <f>[1]节奏总纲!AF477</f>
        <v>94.311845673713762</v>
      </c>
      <c r="U477" s="39">
        <f>[1]节奏总纲!AG477</f>
        <v>98.95818974662275</v>
      </c>
      <c r="V477" s="39">
        <f>[1]节奏总纲!AH477</f>
        <v>108.08576334107087</v>
      </c>
    </row>
    <row r="478" spans="17:22" x14ac:dyDescent="0.15">
      <c r="Q478" s="38">
        <v>475</v>
      </c>
      <c r="R478" s="39">
        <f>[1]节奏总纲!AD478</f>
        <v>88.946457081918766</v>
      </c>
      <c r="S478" s="39">
        <f>[1]节奏总纲!AE478</f>
        <v>91.16417337634509</v>
      </c>
      <c r="T478" s="39">
        <f>[1]节奏总纲!AF478</f>
        <v>94.343184175215939</v>
      </c>
      <c r="U478" s="39">
        <f>[1]节奏总纲!AG478</f>
        <v>98.988065252778867</v>
      </c>
      <c r="V478" s="39">
        <f>[1]节奏总纲!AH478</f>
        <v>108.11565717485377</v>
      </c>
    </row>
    <row r="479" spans="17:22" x14ac:dyDescent="0.15">
      <c r="Q479" s="38">
        <v>476</v>
      </c>
      <c r="R479" s="39">
        <f>[1]节奏总纲!AD479</f>
        <v>88.97771587026925</v>
      </c>
      <c r="S479" s="39">
        <f>[1]节奏总纲!AE479</f>
        <v>91.194797859344192</v>
      </c>
      <c r="T479" s="39">
        <f>[1]节奏总纲!AF479</f>
        <v>94.374522676718101</v>
      </c>
      <c r="U479" s="39">
        <f>[1]节奏总纲!AG479</f>
        <v>99.018293442409089</v>
      </c>
      <c r="V479" s="39">
        <f>[1]节奏总纲!AH479</f>
        <v>108.14555100863667</v>
      </c>
    </row>
    <row r="480" spans="17:22" x14ac:dyDescent="0.15">
      <c r="Q480" s="38">
        <v>477</v>
      </c>
      <c r="R480" s="39">
        <f>[1]节奏总纲!AD480</f>
        <v>89.008373652580005</v>
      </c>
      <c r="S480" s="39">
        <f>[1]节奏总纲!AE480</f>
        <v>91.225422342343307</v>
      </c>
      <c r="T480" s="39">
        <f>[1]节奏总纲!AF480</f>
        <v>94.405861178220277</v>
      </c>
      <c r="U480" s="39">
        <f>[1]节奏总纲!AG480</f>
        <v>99.048756247984358</v>
      </c>
      <c r="V480" s="39">
        <f>[1]节奏总纲!AH480</f>
        <v>108.17544484241957</v>
      </c>
    </row>
    <row r="481" spans="17:22" x14ac:dyDescent="0.15">
      <c r="Q481" s="38">
        <v>478</v>
      </c>
      <c r="R481" s="39">
        <f>[1]节奏总纲!AD481</f>
        <v>89.037539133386474</v>
      </c>
      <c r="S481" s="39">
        <f>[1]节奏总纲!AE481</f>
        <v>91.256046825342423</v>
      </c>
      <c r="T481" s="39">
        <f>[1]节奏总纲!AF481</f>
        <v>94.437199679722454</v>
      </c>
      <c r="U481" s="39">
        <f>[1]节奏总纲!AG481</f>
        <v>99.079219053559626</v>
      </c>
      <c r="V481" s="39">
        <f>[1]节奏总纲!AH481</f>
        <v>108.20533867620246</v>
      </c>
    </row>
    <row r="482" spans="17:22" x14ac:dyDescent="0.15">
      <c r="Q482" s="38">
        <v>479</v>
      </c>
      <c r="R482" s="39">
        <f>[1]节奏总纲!AD482</f>
        <v>89.066704614192943</v>
      </c>
      <c r="S482" s="39">
        <f>[1]节奏总纲!AE482</f>
        <v>91.286671308341525</v>
      </c>
      <c r="T482" s="39">
        <f>[1]节奏总纲!AF482</f>
        <v>94.468538181224616</v>
      </c>
      <c r="U482" s="39">
        <f>[1]节奏总纲!AG482</f>
        <v>99.109681859134909</v>
      </c>
      <c r="V482" s="39">
        <f>[1]节奏总纲!AH482</f>
        <v>108.23523250998537</v>
      </c>
    </row>
    <row r="483" spans="17:22" x14ac:dyDescent="0.15">
      <c r="Q483" s="38">
        <v>480</v>
      </c>
      <c r="R483" s="39">
        <f>[1]节奏总纲!AD483</f>
        <v>89.095870094999412</v>
      </c>
      <c r="S483" s="39">
        <f>[1]节奏总纲!AE483</f>
        <v>91.317295791340641</v>
      </c>
      <c r="T483" s="39">
        <f>[1]节奏总纲!AF483</f>
        <v>94.499876682726793</v>
      </c>
      <c r="U483" s="39">
        <f>[1]节奏总纲!AG483</f>
        <v>99.140144664710178</v>
      </c>
      <c r="V483" s="39">
        <f>[1]节奏总纲!AH483</f>
        <v>108.26512634376826</v>
      </c>
    </row>
    <row r="484" spans="17:22" x14ac:dyDescent="0.15">
      <c r="Q484" s="38">
        <v>481</v>
      </c>
      <c r="R484" s="39">
        <f>[1]节奏总纲!AD484</f>
        <v>89.125035575805882</v>
      </c>
      <c r="S484" s="39">
        <f>[1]节奏总纲!AE484</f>
        <v>91.347920274339756</v>
      </c>
      <c r="T484" s="39">
        <f>[1]节奏总纲!AF484</f>
        <v>94.531215184228955</v>
      </c>
      <c r="U484" s="39">
        <f>[1]节奏总纲!AG484</f>
        <v>99.170607470285447</v>
      </c>
      <c r="V484" s="39">
        <f>[1]节奏总纲!AH484</f>
        <v>108.29502017755117</v>
      </c>
    </row>
    <row r="485" spans="17:22" x14ac:dyDescent="0.15">
      <c r="Q485" s="38">
        <v>482</v>
      </c>
      <c r="R485" s="39">
        <f>[1]节奏总纲!AD485</f>
        <v>89.154201056612351</v>
      </c>
      <c r="S485" s="39">
        <f>[1]节奏总纲!AE485</f>
        <v>91.378544757338858</v>
      </c>
      <c r="T485" s="39">
        <f>[1]节奏总纲!AF485</f>
        <v>94.562553685731132</v>
      </c>
      <c r="U485" s="39">
        <f>[1]节奏总纲!AG485</f>
        <v>99.201070275860715</v>
      </c>
      <c r="V485" s="39">
        <f>[1]节奏总纲!AH485</f>
        <v>108.32491401133406</v>
      </c>
    </row>
    <row r="486" spans="17:22" x14ac:dyDescent="0.15">
      <c r="Q486" s="38">
        <v>483</v>
      </c>
      <c r="R486" s="39">
        <f>[1]节奏总纲!AD486</f>
        <v>89.18336653741882</v>
      </c>
      <c r="S486" s="39">
        <f>[1]节奏总纲!AE486</f>
        <v>91.409169240337974</v>
      </c>
      <c r="T486" s="39">
        <f>[1]节奏总纲!AF486</f>
        <v>94.593892187233308</v>
      </c>
      <c r="U486" s="39">
        <f>[1]节奏总纲!AG486</f>
        <v>99.231533081435984</v>
      </c>
      <c r="V486" s="39">
        <f>[1]节奏总纲!AH486</f>
        <v>108.35480784511695</v>
      </c>
    </row>
    <row r="487" spans="17:22" x14ac:dyDescent="0.15">
      <c r="Q487" s="38">
        <v>484</v>
      </c>
      <c r="R487" s="39">
        <f>[1]节奏总纲!AD487</f>
        <v>89.212532018225289</v>
      </c>
      <c r="S487" s="39">
        <f>[1]节奏总纲!AE487</f>
        <v>91.43979372333709</v>
      </c>
      <c r="T487" s="39">
        <f>[1]节奏总纲!AF487</f>
        <v>94.625230688735471</v>
      </c>
      <c r="U487" s="39">
        <f>[1]节奏总纲!AG487</f>
        <v>99.261995887011253</v>
      </c>
      <c r="V487" s="39">
        <f>[1]节奏总纲!AH487</f>
        <v>108.38470167889986</v>
      </c>
    </row>
    <row r="488" spans="17:22" x14ac:dyDescent="0.15">
      <c r="Q488" s="38">
        <v>485</v>
      </c>
      <c r="R488" s="39">
        <f>[1]节奏总纲!AD488</f>
        <v>89.241697499031758</v>
      </c>
      <c r="S488" s="39">
        <f>[1]节奏总纲!AE488</f>
        <v>91.470418206336191</v>
      </c>
      <c r="T488" s="39">
        <f>[1]节奏总纲!AF488</f>
        <v>94.656569190237647</v>
      </c>
      <c r="U488" s="39">
        <f>[1]节奏总纲!AG488</f>
        <v>99.292458692586521</v>
      </c>
      <c r="V488" s="39">
        <f>[1]节奏总纲!AH488</f>
        <v>108.41459551268275</v>
      </c>
    </row>
    <row r="489" spans="17:22" x14ac:dyDescent="0.15">
      <c r="Q489" s="38">
        <v>486</v>
      </c>
      <c r="R489" s="39">
        <f>[1]节奏总纲!AD489</f>
        <v>89.270862979838242</v>
      </c>
      <c r="S489" s="39">
        <f>[1]节奏总纲!AE489</f>
        <v>91.501042689335307</v>
      </c>
      <c r="T489" s="39">
        <f>[1]节奏总纲!AF489</f>
        <v>94.687907691739809</v>
      </c>
      <c r="U489" s="39">
        <f>[1]节奏总纲!AG489</f>
        <v>99.322921498161804</v>
      </c>
      <c r="V489" s="39">
        <f>[1]节奏总纲!AH489</f>
        <v>108.44448934646564</v>
      </c>
    </row>
    <row r="490" spans="17:22" x14ac:dyDescent="0.15">
      <c r="Q490" s="38">
        <v>487</v>
      </c>
      <c r="R490" s="39">
        <f>[1]节奏总纲!AD490</f>
        <v>89.300028460644711</v>
      </c>
      <c r="S490" s="39">
        <f>[1]节奏总纲!AE490</f>
        <v>91.531667172334409</v>
      </c>
      <c r="T490" s="39">
        <f>[1]节奏总纲!AF490</f>
        <v>94.719246193241986</v>
      </c>
      <c r="U490" s="39">
        <f>[1]节奏总纲!AG490</f>
        <v>99.353384303737073</v>
      </c>
      <c r="V490" s="39">
        <f>[1]节奏总纲!AH490</f>
        <v>108.47438318024855</v>
      </c>
    </row>
    <row r="491" spans="17:22" x14ac:dyDescent="0.15">
      <c r="Q491" s="38">
        <v>488</v>
      </c>
      <c r="R491" s="39">
        <f>[1]节奏总纲!AD491</f>
        <v>89.32919394145118</v>
      </c>
      <c r="S491" s="39">
        <f>[1]节奏总纲!AE491</f>
        <v>91.562291655333524</v>
      </c>
      <c r="T491" s="39">
        <f>[1]节奏总纲!AF491</f>
        <v>94.750584694744163</v>
      </c>
      <c r="U491" s="39">
        <f>[1]节奏总纲!AG491</f>
        <v>99.383847109312342</v>
      </c>
      <c r="V491" s="39">
        <f>[1]节奏总纲!AH491</f>
        <v>108.50427701403144</v>
      </c>
    </row>
    <row r="492" spans="17:22" x14ac:dyDescent="0.15">
      <c r="Q492" s="38">
        <v>489</v>
      </c>
      <c r="R492" s="39">
        <f>[1]节奏总纲!AD492</f>
        <v>89.358359422257649</v>
      </c>
      <c r="S492" s="39">
        <f>[1]节奏总纲!AE492</f>
        <v>91.59291613833264</v>
      </c>
      <c r="T492" s="39">
        <f>[1]节奏总纲!AF492</f>
        <v>94.781923196246325</v>
      </c>
      <c r="U492" s="39">
        <f>[1]节奏总纲!AG492</f>
        <v>99.41430991488761</v>
      </c>
      <c r="V492" s="39">
        <f>[1]节奏总纲!AH492</f>
        <v>108.53417084781435</v>
      </c>
    </row>
    <row r="493" spans="17:22" x14ac:dyDescent="0.15">
      <c r="Q493" s="38">
        <v>490</v>
      </c>
      <c r="R493" s="39">
        <f>[1]节奏总纲!AD493</f>
        <v>89.387524903064119</v>
      </c>
      <c r="S493" s="39">
        <f>[1]节奏总纲!AE493</f>
        <v>91.623540621331742</v>
      </c>
      <c r="T493" s="39">
        <f>[1]节奏总纲!AF493</f>
        <v>94.813261697748501</v>
      </c>
      <c r="U493" s="39">
        <f>[1]节奏总纲!AG493</f>
        <v>99.444772720462879</v>
      </c>
      <c r="V493" s="39">
        <f>[1]节奏总纲!AH493</f>
        <v>108.56406468159724</v>
      </c>
    </row>
    <row r="494" spans="17:22" x14ac:dyDescent="0.15">
      <c r="Q494" s="38">
        <v>491</v>
      </c>
      <c r="R494" s="39">
        <f>[1]节奏总纲!AD494</f>
        <v>89.416690383870588</v>
      </c>
      <c r="S494" s="39">
        <f>[1]节奏总纲!AE494</f>
        <v>91.654165104330858</v>
      </c>
      <c r="T494" s="39">
        <f>[1]节奏总纲!AF494</f>
        <v>94.844600199250664</v>
      </c>
      <c r="U494" s="39">
        <f>[1]节奏总纲!AG494</f>
        <v>99.475235526038148</v>
      </c>
      <c r="V494" s="39">
        <f>[1]节奏总纲!AH494</f>
        <v>108.59395851538014</v>
      </c>
    </row>
    <row r="495" spans="17:22" x14ac:dyDescent="0.15">
      <c r="Q495" s="38">
        <v>492</v>
      </c>
      <c r="R495" s="39">
        <f>[1]节奏总纲!AD495</f>
        <v>89.445855864677057</v>
      </c>
      <c r="S495" s="39">
        <f>[1]节奏总纲!AE495</f>
        <v>91.684789587329973</v>
      </c>
      <c r="T495" s="39">
        <f>[1]节奏总纲!AF495</f>
        <v>94.87593870075284</v>
      </c>
      <c r="U495" s="39">
        <f>[1]节奏总纲!AG495</f>
        <v>99.505698331613431</v>
      </c>
      <c r="V495" s="39">
        <f>[1]节奏总纲!AH495</f>
        <v>108.62385234916304</v>
      </c>
    </row>
    <row r="496" spans="17:22" x14ac:dyDescent="0.15">
      <c r="Q496" s="38">
        <v>493</v>
      </c>
      <c r="R496" s="39">
        <f>[1]节奏总纲!AD496</f>
        <v>89.475021345483526</v>
      </c>
      <c r="S496" s="39">
        <f>[1]节奏总纲!AE496</f>
        <v>91.715414070329075</v>
      </c>
      <c r="T496" s="39">
        <f>[1]节奏总纲!AF496</f>
        <v>94.907277202255017</v>
      </c>
      <c r="U496" s="39">
        <f>[1]节奏总纲!AG496</f>
        <v>99.536161137188699</v>
      </c>
      <c r="V496" s="39">
        <f>[1]节奏总纲!AH496</f>
        <v>108.65374618294594</v>
      </c>
    </row>
    <row r="497" spans="17:22" x14ac:dyDescent="0.15">
      <c r="Q497" s="38">
        <v>494</v>
      </c>
      <c r="R497" s="39">
        <f>[1]节奏总纲!AD497</f>
        <v>89.504186826289995</v>
      </c>
      <c r="S497" s="39">
        <f>[1]节奏总纲!AE497</f>
        <v>91.746038553328191</v>
      </c>
      <c r="T497" s="39">
        <f>[1]节奏总纲!AF497</f>
        <v>94.938615703757179</v>
      </c>
      <c r="U497" s="39">
        <f>[1]节奏总纲!AG497</f>
        <v>99.566623942763968</v>
      </c>
      <c r="V497" s="39">
        <f>[1]节奏总纲!AH497</f>
        <v>108.68364001672883</v>
      </c>
    </row>
    <row r="498" spans="17:22" x14ac:dyDescent="0.15">
      <c r="Q498" s="38">
        <v>495</v>
      </c>
      <c r="R498" s="39">
        <f>[1]节奏总纲!AD498</f>
        <v>89.533352307096465</v>
      </c>
      <c r="S498" s="39">
        <f>[1]节奏总纲!AE498</f>
        <v>91.776663036327307</v>
      </c>
      <c r="T498" s="39">
        <f>[1]节奏总纲!AF498</f>
        <v>94.969954205259356</v>
      </c>
      <c r="U498" s="39">
        <f>[1]节奏总纲!AG498</f>
        <v>99.597086748339237</v>
      </c>
      <c r="V498" s="39">
        <f>[1]节奏总纲!AH498</f>
        <v>108.71353385051174</v>
      </c>
    </row>
    <row r="499" spans="17:22" x14ac:dyDescent="0.15">
      <c r="Q499" s="38">
        <v>496</v>
      </c>
      <c r="R499" s="39">
        <f>[1]节奏总纲!AD499</f>
        <v>89.562517787902948</v>
      </c>
      <c r="S499" s="39">
        <f>[1]节奏总纲!AE499</f>
        <v>91.807287519326408</v>
      </c>
      <c r="T499" s="39">
        <f>[1]节奏总纲!AF499</f>
        <v>95.001212576336201</v>
      </c>
      <c r="U499" s="39">
        <f>[1]节奏总纲!AG499</f>
        <v>99.627549553914506</v>
      </c>
      <c r="V499" s="39">
        <f>[1]节奏总纲!AH499</f>
        <v>108.74342768429463</v>
      </c>
    </row>
    <row r="500" spans="17:22" x14ac:dyDescent="0.15">
      <c r="Q500" s="38">
        <v>497</v>
      </c>
      <c r="R500" s="39">
        <f>[1]节奏总纲!AD500</f>
        <v>89.591683268709417</v>
      </c>
      <c r="S500" s="39">
        <f>[1]节奏总纲!AE500</f>
        <v>91.837912002325524</v>
      </c>
      <c r="T500" s="39">
        <f>[1]节奏总纲!AF500</f>
        <v>95.03060851241726</v>
      </c>
      <c r="U500" s="39">
        <f>[1]节奏总纲!AG500</f>
        <v>99.658012359489774</v>
      </c>
      <c r="V500" s="39">
        <f>[1]节奏总纲!AH500</f>
        <v>108.77332151807754</v>
      </c>
    </row>
    <row r="501" spans="17:22" x14ac:dyDescent="0.15">
      <c r="Q501" s="38">
        <v>498</v>
      </c>
      <c r="R501" s="39">
        <f>[1]节奏总纲!AD501</f>
        <v>89.620848749515886</v>
      </c>
      <c r="S501" s="39">
        <f>[1]节奏总纲!AE501</f>
        <v>91.86853648532464</v>
      </c>
      <c r="T501" s="39">
        <f>[1]节奏总纲!AF501</f>
        <v>95.060004448498319</v>
      </c>
      <c r="U501" s="39">
        <f>[1]节奏总纲!AG501</f>
        <v>99.688475165065043</v>
      </c>
      <c r="V501" s="39">
        <f>[1]节奏总纲!AH501</f>
        <v>108.80321535186043</v>
      </c>
    </row>
    <row r="502" spans="17:22" x14ac:dyDescent="0.15">
      <c r="Q502" s="38">
        <v>499</v>
      </c>
      <c r="R502" s="39">
        <f>[1]节奏总纲!AD502</f>
        <v>89.650014230322356</v>
      </c>
      <c r="S502" s="39">
        <f>[1]节奏总纲!AE502</f>
        <v>91.899160968323741</v>
      </c>
      <c r="T502" s="39">
        <f>[1]节奏总纲!AF502</f>
        <v>95.089400384579378</v>
      </c>
      <c r="U502" s="39">
        <f>[1]节奏总纲!AG502</f>
        <v>99.718937970640326</v>
      </c>
      <c r="V502" s="39">
        <f>[1]节奏总纲!AH502</f>
        <v>108.83310918564332</v>
      </c>
    </row>
    <row r="503" spans="17:22" x14ac:dyDescent="0.15">
      <c r="Q503" s="38">
        <v>500</v>
      </c>
      <c r="R503" s="39">
        <f>[1]节奏总纲!AD503</f>
        <v>89.679179711128825</v>
      </c>
      <c r="S503" s="39">
        <f>[1]节奏总纲!AE503</f>
        <v>91.929785451322857</v>
      </c>
      <c r="T503" s="39">
        <f>[1]节奏总纲!AF503</f>
        <v>95.118796320660451</v>
      </c>
      <c r="U503" s="39">
        <f>[1]节奏总纲!AG503</f>
        <v>99.749400776215595</v>
      </c>
      <c r="V503" s="39">
        <f>[1]节奏总纲!AH503</f>
        <v>108.86300301942623</v>
      </c>
    </row>
    <row r="504" spans="17:22" x14ac:dyDescent="0.15">
      <c r="Q504" s="38">
        <v>501</v>
      </c>
      <c r="R504" s="39">
        <f>[1]节奏总纲!AD504</f>
        <v>89.708345191935294</v>
      </c>
      <c r="S504" s="39">
        <f>[1]节奏总纲!AE504</f>
        <v>91.960409934321959</v>
      </c>
      <c r="T504" s="39">
        <f>[1]节奏总纲!AF504</f>
        <v>95.14819225674151</v>
      </c>
      <c r="U504" s="39">
        <f>[1]节奏总纲!AG504</f>
        <v>99.779863581790863</v>
      </c>
      <c r="V504" s="39">
        <f>[1]节奏总纲!AH504</f>
        <v>108.89289685320912</v>
      </c>
    </row>
    <row r="505" spans="17:22" x14ac:dyDescent="0.15">
      <c r="Q505" s="38">
        <v>502</v>
      </c>
      <c r="R505" s="39">
        <f>[1]节奏总纲!AD505</f>
        <v>89.737510672741763</v>
      </c>
      <c r="S505" s="39">
        <f>[1]节奏总纲!AE505</f>
        <v>91.991034417321075</v>
      </c>
      <c r="T505" s="39">
        <f>[1]节奏总纲!AF505</f>
        <v>95.177588192822569</v>
      </c>
      <c r="U505" s="39">
        <f>[1]节奏总纲!AG505</f>
        <v>99.810326387366132</v>
      </c>
      <c r="V505" s="39">
        <f>[1]节奏总纲!AH505</f>
        <v>108.92279068699202</v>
      </c>
    </row>
    <row r="506" spans="17:22" x14ac:dyDescent="0.15">
      <c r="Q506" s="38">
        <v>503</v>
      </c>
      <c r="R506" s="39">
        <f>[1]节奏总纲!AD506</f>
        <v>89.766676153548232</v>
      </c>
      <c r="S506" s="39">
        <f>[1]节奏总纲!AE506</f>
        <v>92.019618476653022</v>
      </c>
      <c r="T506" s="39">
        <f>[1]节奏总纲!AF506</f>
        <v>95.206984128903628</v>
      </c>
      <c r="U506" s="39">
        <f>[1]节奏总纲!AG506</f>
        <v>99.840789192941401</v>
      </c>
      <c r="V506" s="39">
        <f>[1]节奏总纲!AH506</f>
        <v>108.95268452077492</v>
      </c>
    </row>
    <row r="507" spans="17:22" x14ac:dyDescent="0.15">
      <c r="Q507" s="38">
        <v>504</v>
      </c>
      <c r="R507" s="39">
        <f>[1]节奏总纲!AD507</f>
        <v>89.795841634354701</v>
      </c>
      <c r="S507" s="39">
        <f>[1]节奏总纲!AE507</f>
        <v>92.047357913828833</v>
      </c>
      <c r="T507" s="39">
        <f>[1]节奏总纲!AF507</f>
        <v>95.236380064984701</v>
      </c>
      <c r="U507" s="39">
        <f>[1]节奏总纲!AG507</f>
        <v>99.871251998516669</v>
      </c>
      <c r="V507" s="39">
        <f>[1]节奏总纲!AH507</f>
        <v>108.98257835455782</v>
      </c>
    </row>
    <row r="508" spans="17:22" x14ac:dyDescent="0.15">
      <c r="Q508" s="38">
        <v>505</v>
      </c>
      <c r="R508" s="39">
        <f>[1]节奏总纲!AD508</f>
        <v>89.825007115161171</v>
      </c>
      <c r="S508" s="39">
        <f>[1]节奏总纲!AE508</f>
        <v>92.075097351004658</v>
      </c>
      <c r="T508" s="39">
        <f>[1]节奏总纲!AF508</f>
        <v>95.26577600106576</v>
      </c>
      <c r="U508" s="39">
        <f>[1]节奏总纲!AG508</f>
        <v>99.901714804091952</v>
      </c>
      <c r="V508" s="39">
        <f>[1]节奏总纲!AH508</f>
        <v>109.01113680523949</v>
      </c>
    </row>
    <row r="509" spans="17:22" x14ac:dyDescent="0.15">
      <c r="Q509" s="38">
        <v>506</v>
      </c>
      <c r="R509" s="39">
        <f>[1]节奏总纲!AD509</f>
        <v>89.854172595967654</v>
      </c>
      <c r="S509" s="39">
        <f>[1]节奏总纲!AE509</f>
        <v>92.102836788180468</v>
      </c>
      <c r="T509" s="39">
        <f>[1]节奏总纲!AF509</f>
        <v>95.295171937146819</v>
      </c>
      <c r="U509" s="39">
        <f>[1]节奏总纲!AG509</f>
        <v>99.932177609667221</v>
      </c>
      <c r="V509" s="39">
        <f>[1]节奏总纲!AH509</f>
        <v>109.03782994004526</v>
      </c>
    </row>
    <row r="510" spans="17:22" x14ac:dyDescent="0.15">
      <c r="Q510" s="38">
        <v>507</v>
      </c>
      <c r="R510" s="39">
        <f>[1]节奏总纲!AD510</f>
        <v>89.883338076774123</v>
      </c>
      <c r="S510" s="39">
        <f>[1]节奏总纲!AE510</f>
        <v>92.130576225356279</v>
      </c>
      <c r="T510" s="39">
        <f>[1]节奏总纲!AF510</f>
        <v>95.324567873227878</v>
      </c>
      <c r="U510" s="39">
        <f>[1]节奏总纲!AG510</f>
        <v>99.96264041524249</v>
      </c>
      <c r="V510" s="39">
        <f>[1]节奏总纲!AH510</f>
        <v>109.06452307485102</v>
      </c>
    </row>
    <row r="511" spans="17:22" x14ac:dyDescent="0.15">
      <c r="Q511" s="38">
        <v>508</v>
      </c>
      <c r="R511" s="39">
        <f>[1]节奏总纲!AD511</f>
        <v>89.912503557580592</v>
      </c>
      <c r="S511" s="39">
        <f>[1]节奏总纲!AE511</f>
        <v>92.15831566253209</v>
      </c>
      <c r="T511" s="39">
        <f>[1]节奏总纲!AF511</f>
        <v>95.353963809308951</v>
      </c>
      <c r="U511" s="39">
        <f>[1]节奏总纲!AG511</f>
        <v>99.993103220817758</v>
      </c>
      <c r="V511" s="39">
        <f>[1]节奏总纲!AH511</f>
        <v>109.09121620965679</v>
      </c>
    </row>
    <row r="512" spans="17:22" x14ac:dyDescent="0.15">
      <c r="Q512" s="38">
        <v>509</v>
      </c>
      <c r="R512" s="39">
        <f>[1]节奏总纲!AD512</f>
        <v>89.941669038387062</v>
      </c>
      <c r="S512" s="39">
        <f>[1]节奏总纲!AE512</f>
        <v>92.186055099707914</v>
      </c>
      <c r="T512" s="39">
        <f>[1]节奏总纲!AF512</f>
        <v>95.38335974539001</v>
      </c>
      <c r="U512" s="39">
        <f>[1]节奏总纲!AG512</f>
        <v>100.02290683096982</v>
      </c>
      <c r="V512" s="39">
        <f>[1]节奏总纲!AH512</f>
        <v>109.11790934446255</v>
      </c>
    </row>
    <row r="513" spans="17:22" x14ac:dyDescent="0.15">
      <c r="Q513" s="38">
        <v>510</v>
      </c>
      <c r="R513" s="39">
        <f>[1]节奏总纲!AD513</f>
        <v>89.970834519193531</v>
      </c>
      <c r="S513" s="39">
        <f>[1]节奏总纲!AE513</f>
        <v>92.213794536883725</v>
      </c>
      <c r="T513" s="39">
        <f>[1]节奏总纲!AF513</f>
        <v>95.412755681471069</v>
      </c>
      <c r="U513" s="39">
        <f>[1]节奏总纲!AG513</f>
        <v>100.05251752250267</v>
      </c>
      <c r="V513" s="39">
        <f>[1]节奏总纲!AH513</f>
        <v>109.14460247926831</v>
      </c>
    </row>
    <row r="514" spans="17:22" x14ac:dyDescent="0.15">
      <c r="Q514" s="38">
        <v>511</v>
      </c>
      <c r="R514" s="39">
        <f>[1]节奏总纲!AD514</f>
        <v>90</v>
      </c>
      <c r="S514" s="39">
        <f>[1]节奏总纲!AE514</f>
        <v>92.241533974059536</v>
      </c>
      <c r="T514" s="39">
        <f>[1]节奏总纲!AF514</f>
        <v>95.442151617552128</v>
      </c>
      <c r="U514" s="39">
        <f>[1]节奏总纲!AG514</f>
        <v>100.08212821403551</v>
      </c>
      <c r="V514" s="39">
        <f>[1]节奏总纲!AH514</f>
        <v>109.17129561407408</v>
      </c>
    </row>
    <row r="515" spans="17:22" x14ac:dyDescent="0.15">
      <c r="Q515" s="38">
        <v>512</v>
      </c>
      <c r="R515" s="39">
        <f>[1]节奏总纲!AD515</f>
        <v>90.027212355806469</v>
      </c>
      <c r="S515" s="39">
        <f>[1]节奏总纲!AE515</f>
        <v>92.269273411235346</v>
      </c>
      <c r="T515" s="39">
        <f>[1]节奏总纲!AF515</f>
        <v>95.471547553633187</v>
      </c>
      <c r="U515" s="39">
        <f>[1]节奏总纲!AG515</f>
        <v>100.11173890556836</v>
      </c>
      <c r="V515" s="39">
        <f>[1]节奏总纲!AH515</f>
        <v>109.19798874887985</v>
      </c>
    </row>
    <row r="516" spans="17:22" x14ac:dyDescent="0.15">
      <c r="Q516" s="38">
        <v>513</v>
      </c>
      <c r="R516" s="39">
        <f>[1]节奏总纲!AD516</f>
        <v>90.054424711612938</v>
      </c>
      <c r="S516" s="39">
        <f>[1]节奏总纲!AE516</f>
        <v>92.297012848411157</v>
      </c>
      <c r="T516" s="39">
        <f>[1]节奏总纲!AF516</f>
        <v>95.50094348971426</v>
      </c>
      <c r="U516" s="39">
        <f>[1]节奏总纲!AG516</f>
        <v>100.14134959710121</v>
      </c>
      <c r="V516" s="39">
        <f>[1]节奏总纲!AH516</f>
        <v>109.22468188368562</v>
      </c>
    </row>
    <row r="517" spans="17:22" x14ac:dyDescent="0.15">
      <c r="Q517" s="38">
        <v>514</v>
      </c>
      <c r="R517" s="39">
        <f>[1]节奏总纲!AD517</f>
        <v>90.081637067419408</v>
      </c>
      <c r="S517" s="39">
        <f>[1]节奏总纲!AE517</f>
        <v>92.324752285586982</v>
      </c>
      <c r="T517" s="39">
        <f>[1]节奏总纲!AF517</f>
        <v>95.530339425795319</v>
      </c>
      <c r="U517" s="39">
        <f>[1]节奏总纲!AG517</f>
        <v>100.17096028863406</v>
      </c>
      <c r="V517" s="39">
        <f>[1]节奏总纲!AH517</f>
        <v>109.25137501849139</v>
      </c>
    </row>
    <row r="518" spans="17:22" x14ac:dyDescent="0.15">
      <c r="Q518" s="38">
        <v>515</v>
      </c>
      <c r="R518" s="39">
        <f>[1]节奏总纲!AD518</f>
        <v>90.108849423225877</v>
      </c>
      <c r="S518" s="39">
        <f>[1]节奏总纲!AE518</f>
        <v>92.352491722762792</v>
      </c>
      <c r="T518" s="39">
        <f>[1]节奏总纲!AF518</f>
        <v>95.559735361876378</v>
      </c>
      <c r="U518" s="39">
        <f>[1]节奏总纲!AG518</f>
        <v>100.20057098016692</v>
      </c>
      <c r="V518" s="39">
        <f>[1]节奏总纲!AH518</f>
        <v>109.27806815329716</v>
      </c>
    </row>
    <row r="519" spans="17:22" x14ac:dyDescent="0.15">
      <c r="Q519" s="38">
        <v>516</v>
      </c>
      <c r="R519" s="39">
        <f>[1]节奏总纲!AD519</f>
        <v>90.13606177903236</v>
      </c>
      <c r="S519" s="39">
        <f>[1]节奏总纲!AE519</f>
        <v>92.380231159938603</v>
      </c>
      <c r="T519" s="39">
        <f>[1]节奏总纲!AF519</f>
        <v>95.589131297957437</v>
      </c>
      <c r="U519" s="39">
        <f>[1]节奏总纲!AG519</f>
        <v>100.23018167169977</v>
      </c>
      <c r="V519" s="39">
        <f>[1]节奏总纲!AH519</f>
        <v>109.30476128810292</v>
      </c>
    </row>
    <row r="520" spans="17:22" x14ac:dyDescent="0.15">
      <c r="Q520" s="38">
        <v>517</v>
      </c>
      <c r="R520" s="39">
        <f>[1]节奏总纲!AD520</f>
        <v>90.163274134838829</v>
      </c>
      <c r="S520" s="39">
        <f>[1]节奏总纲!AE520</f>
        <v>92.407970597114414</v>
      </c>
      <c r="T520" s="39">
        <f>[1]节奏总纲!AF520</f>
        <v>95.61852723403851</v>
      </c>
      <c r="U520" s="39">
        <f>[1]节奏总纲!AG520</f>
        <v>100.25979236323262</v>
      </c>
      <c r="V520" s="39">
        <f>[1]节奏总纲!AH520</f>
        <v>109.33145442290869</v>
      </c>
    </row>
    <row r="521" spans="17:22" x14ac:dyDescent="0.15">
      <c r="Q521" s="38">
        <v>518</v>
      </c>
      <c r="R521" s="39">
        <f>[1]节奏总纲!AD521</f>
        <v>90.190486490645299</v>
      </c>
      <c r="S521" s="39">
        <f>[1]节奏总纲!AE521</f>
        <v>92.435710034290224</v>
      </c>
      <c r="T521" s="39">
        <f>[1]节奏总纲!AF521</f>
        <v>95.647923170119569</v>
      </c>
      <c r="U521" s="39">
        <f>[1]节奏总纲!AG521</f>
        <v>100.28940305476547</v>
      </c>
      <c r="V521" s="39">
        <f>[1]节奏总纲!AH521</f>
        <v>109.35814755771446</v>
      </c>
    </row>
    <row r="522" spans="17:22" x14ac:dyDescent="0.15">
      <c r="Q522" s="38">
        <v>519</v>
      </c>
      <c r="R522" s="39">
        <f>[1]节奏总纲!AD522</f>
        <v>90.217698846451768</v>
      </c>
      <c r="S522" s="39">
        <f>[1]节奏总纲!AE522</f>
        <v>92.463449471466049</v>
      </c>
      <c r="T522" s="39">
        <f>[1]节奏总纲!AF522</f>
        <v>95.677319106200628</v>
      </c>
      <c r="U522" s="39">
        <f>[1]节奏总纲!AG522</f>
        <v>100.31901374629831</v>
      </c>
      <c r="V522" s="39">
        <f>[1]节奏总纲!AH522</f>
        <v>109.38484069252023</v>
      </c>
    </row>
    <row r="523" spans="17:22" x14ac:dyDescent="0.15">
      <c r="Q523" s="38">
        <v>520</v>
      </c>
      <c r="R523" s="39">
        <f>[1]节奏总纲!AD523</f>
        <v>90.244911202258237</v>
      </c>
      <c r="S523" s="39">
        <f>[1]节奏总纲!AE523</f>
        <v>92.49118890864186</v>
      </c>
      <c r="T523" s="39">
        <f>[1]节奏总纲!AF523</f>
        <v>95.706715042281687</v>
      </c>
      <c r="U523" s="39">
        <f>[1]节奏总纲!AG523</f>
        <v>100.34862443783116</v>
      </c>
      <c r="V523" s="39">
        <f>[1]节奏总纲!AH523</f>
        <v>109.41153382732598</v>
      </c>
    </row>
    <row r="524" spans="17:22" x14ac:dyDescent="0.15">
      <c r="Q524" s="38">
        <v>521</v>
      </c>
      <c r="R524" s="39">
        <f>[1]节奏总纲!AD524</f>
        <v>90.272123558064706</v>
      </c>
      <c r="S524" s="39">
        <f>[1]节奏总纲!AE524</f>
        <v>92.51892834581767</v>
      </c>
      <c r="T524" s="39">
        <f>[1]节奏总纲!AF524</f>
        <v>95.73611097836276</v>
      </c>
      <c r="U524" s="39">
        <f>[1]节奏总纲!AG524</f>
        <v>100.37823512936401</v>
      </c>
      <c r="V524" s="39">
        <f>[1]节奏总纲!AH524</f>
        <v>109.43822696213175</v>
      </c>
    </row>
    <row r="525" spans="17:22" x14ac:dyDescent="0.15">
      <c r="Q525" s="38">
        <v>522</v>
      </c>
      <c r="R525" s="39">
        <f>[1]节奏总纲!AD525</f>
        <v>90.299335913871175</v>
      </c>
      <c r="S525" s="39">
        <f>[1]节奏总纲!AE525</f>
        <v>92.546667782993481</v>
      </c>
      <c r="T525" s="39">
        <f>[1]节奏总纲!AF525</f>
        <v>95.765506914443819</v>
      </c>
      <c r="U525" s="39">
        <f>[1]节奏总纲!AG525</f>
        <v>100.40784582089687</v>
      </c>
      <c r="V525" s="39">
        <f>[1]节奏总纲!AH525</f>
        <v>109.46492009693752</v>
      </c>
    </row>
    <row r="526" spans="17:22" x14ac:dyDescent="0.15">
      <c r="Q526" s="38">
        <v>523</v>
      </c>
      <c r="R526" s="39">
        <f>[1]节奏总纲!AD526</f>
        <v>90.326548269677644</v>
      </c>
      <c r="S526" s="39">
        <f>[1]节奏总纲!AE526</f>
        <v>92.574407220169306</v>
      </c>
      <c r="T526" s="39">
        <f>[1]节奏总纲!AF526</f>
        <v>95.794902850524878</v>
      </c>
      <c r="U526" s="39">
        <f>[1]节奏总纲!AG526</f>
        <v>100.43745651242972</v>
      </c>
      <c r="V526" s="39">
        <f>[1]节奏总纲!AH526</f>
        <v>109.49161323174329</v>
      </c>
    </row>
    <row r="527" spans="17:22" x14ac:dyDescent="0.15">
      <c r="Q527" s="38">
        <v>524</v>
      </c>
      <c r="R527" s="39">
        <f>[1]节奏总纲!AD527</f>
        <v>90.353760625484114</v>
      </c>
      <c r="S527" s="39">
        <f>[1]节奏总纲!AE527</f>
        <v>92.602146657345116</v>
      </c>
      <c r="T527" s="39">
        <f>[1]节奏总纲!AF527</f>
        <v>95.824298786605937</v>
      </c>
      <c r="U527" s="39">
        <f>[1]节奏总纲!AG527</f>
        <v>100.46706720396257</v>
      </c>
      <c r="V527" s="39">
        <f>[1]节奏总纲!AH527</f>
        <v>109.51830636654906</v>
      </c>
    </row>
    <row r="528" spans="17:22" x14ac:dyDescent="0.15">
      <c r="Q528" s="38">
        <v>525</v>
      </c>
      <c r="R528" s="39">
        <f>[1]节奏总纲!AD528</f>
        <v>90.380972981290583</v>
      </c>
      <c r="S528" s="39">
        <f>[1]节奏总纲!AE528</f>
        <v>92.629886094520927</v>
      </c>
      <c r="T528" s="39">
        <f>[1]节奏总纲!AF528</f>
        <v>95.85369472268701</v>
      </c>
      <c r="U528" s="39">
        <f>[1]节奏总纲!AG528</f>
        <v>100.49667789549542</v>
      </c>
      <c r="V528" s="39">
        <f>[1]节奏总纲!AH528</f>
        <v>109.54499950135482</v>
      </c>
    </row>
    <row r="529" spans="17:22" x14ac:dyDescent="0.15">
      <c r="Q529" s="38">
        <v>526</v>
      </c>
      <c r="R529" s="39">
        <f>[1]节奏总纲!AD529</f>
        <v>90.408185337097066</v>
      </c>
      <c r="S529" s="39">
        <f>[1]节奏总纲!AE529</f>
        <v>92.657625531696738</v>
      </c>
      <c r="T529" s="39">
        <f>[1]节奏总纲!AF529</f>
        <v>95.883090658768069</v>
      </c>
      <c r="U529" s="39">
        <f>[1]节奏总纲!AG529</f>
        <v>100.52628858702826</v>
      </c>
      <c r="V529" s="39">
        <f>[1]节奏总纲!AH529</f>
        <v>109.57169263616059</v>
      </c>
    </row>
    <row r="530" spans="17:22" x14ac:dyDescent="0.15">
      <c r="Q530" s="38">
        <v>527</v>
      </c>
      <c r="R530" s="39">
        <f>[1]节奏总纲!AD530</f>
        <v>90.435397692903535</v>
      </c>
      <c r="S530" s="39">
        <f>[1]节奏总纲!AE530</f>
        <v>92.685364968872548</v>
      </c>
      <c r="T530" s="39">
        <f>[1]节奏总纲!AF530</f>
        <v>95.912486594849128</v>
      </c>
      <c r="U530" s="39">
        <f>[1]节奏总纲!AG530</f>
        <v>100.55589927856111</v>
      </c>
      <c r="V530" s="39">
        <f>[1]节奏总纲!AH530</f>
        <v>109.59838577096636</v>
      </c>
    </row>
    <row r="531" spans="17:22" x14ac:dyDescent="0.15">
      <c r="Q531" s="38">
        <v>528</v>
      </c>
      <c r="R531" s="39">
        <f>[1]节奏总纲!AD531</f>
        <v>90.462610048710005</v>
      </c>
      <c r="S531" s="39">
        <f>[1]节奏总纲!AE531</f>
        <v>92.713104406048373</v>
      </c>
      <c r="T531" s="39">
        <f>[1]节奏总纲!AF531</f>
        <v>95.941882530930187</v>
      </c>
      <c r="U531" s="39">
        <f>[1]节奏总纲!AG531</f>
        <v>100.58550997009397</v>
      </c>
      <c r="V531" s="39">
        <f>[1]节奏总纲!AH531</f>
        <v>109.62507890577213</v>
      </c>
    </row>
    <row r="532" spans="17:22" x14ac:dyDescent="0.15">
      <c r="Q532" s="38">
        <v>529</v>
      </c>
      <c r="R532" s="39">
        <f>[1]节奏总纲!AD532</f>
        <v>90.489822404516474</v>
      </c>
      <c r="S532" s="39">
        <f>[1]节奏总纲!AE532</f>
        <v>92.740843843224184</v>
      </c>
      <c r="T532" s="39">
        <f>[1]节奏总纲!AF532</f>
        <v>95.971278467011246</v>
      </c>
      <c r="U532" s="39">
        <f>[1]节奏总纲!AG532</f>
        <v>100.61512066162682</v>
      </c>
      <c r="V532" s="39">
        <f>[1]节奏总纲!AH532</f>
        <v>109.6517720405779</v>
      </c>
    </row>
    <row r="533" spans="17:22" x14ac:dyDescent="0.15">
      <c r="Q533" s="38">
        <v>530</v>
      </c>
      <c r="R533" s="39">
        <f>[1]节奏总纲!AD533</f>
        <v>90.517034760322943</v>
      </c>
      <c r="S533" s="39">
        <f>[1]节奏总纲!AE533</f>
        <v>92.768583280399994</v>
      </c>
      <c r="T533" s="39">
        <f>[1]节奏总纲!AF533</f>
        <v>96.000583270229825</v>
      </c>
      <c r="U533" s="39">
        <f>[1]节奏总纲!AG533</f>
        <v>100.64473135315967</v>
      </c>
      <c r="V533" s="39">
        <f>[1]节奏总纲!AH533</f>
        <v>109.67846517538365</v>
      </c>
    </row>
    <row r="534" spans="17:22" x14ac:dyDescent="0.15">
      <c r="Q534" s="38">
        <v>531</v>
      </c>
      <c r="R534" s="39">
        <f>[1]节奏总纲!AD534</f>
        <v>90.544247116129412</v>
      </c>
      <c r="S534" s="39">
        <f>[1]节奏总纲!AE534</f>
        <v>92.796322717575805</v>
      </c>
      <c r="T534" s="39">
        <f>[1]节奏总纲!AF534</f>
        <v>96.026006899791128</v>
      </c>
      <c r="U534" s="39">
        <f>[1]节奏总纲!AG534</f>
        <v>100.67434204469252</v>
      </c>
      <c r="V534" s="39">
        <f>[1]节奏总纲!AH534</f>
        <v>109.70515831018942</v>
      </c>
    </row>
    <row r="535" spans="17:22" x14ac:dyDescent="0.15">
      <c r="Q535" s="38">
        <v>532</v>
      </c>
      <c r="R535" s="39">
        <f>[1]节奏总纲!AD535</f>
        <v>90.571459471935881</v>
      </c>
      <c r="S535" s="39">
        <f>[1]节奏总纲!AE535</f>
        <v>92.82406215475163</v>
      </c>
      <c r="T535" s="39">
        <f>[1]节奏总纲!AF535</f>
        <v>96.051430529352416</v>
      </c>
      <c r="U535" s="39">
        <f>[1]节奏总纲!AG535</f>
        <v>100.70395273622538</v>
      </c>
      <c r="V535" s="39">
        <f>[1]节奏总纲!AH535</f>
        <v>109.73185144499519</v>
      </c>
    </row>
    <row r="536" spans="17:22" x14ac:dyDescent="0.15">
      <c r="Q536" s="38">
        <v>533</v>
      </c>
      <c r="R536" s="39">
        <f>[1]节奏总纲!AD536</f>
        <v>90.598671827742351</v>
      </c>
      <c r="S536" s="39">
        <f>[1]节奏总纲!AE536</f>
        <v>92.85180159192744</v>
      </c>
      <c r="T536" s="39">
        <f>[1]节奏总纲!AF536</f>
        <v>96.076854158913704</v>
      </c>
      <c r="U536" s="39">
        <f>[1]节奏总纲!AG536</f>
        <v>100.73356342775821</v>
      </c>
      <c r="V536" s="39">
        <f>[1]节奏总纲!AH536</f>
        <v>109.75854457980095</v>
      </c>
    </row>
    <row r="537" spans="17:22" x14ac:dyDescent="0.15">
      <c r="Q537" s="38">
        <v>534</v>
      </c>
      <c r="R537" s="39">
        <f>[1]节奏总纲!AD537</f>
        <v>90.62588418354882</v>
      </c>
      <c r="S537" s="39">
        <f>[1]节奏总纲!AE537</f>
        <v>92.879541029103251</v>
      </c>
      <c r="T537" s="39">
        <f>[1]节奏总纲!AF537</f>
        <v>96.102277788475007</v>
      </c>
      <c r="U537" s="39">
        <f>[1]节奏总纲!AG537</f>
        <v>100.76317411929107</v>
      </c>
      <c r="V537" s="39">
        <f>[1]节奏总纲!AH537</f>
        <v>109.78523771460672</v>
      </c>
    </row>
    <row r="538" spans="17:22" x14ac:dyDescent="0.15">
      <c r="Q538" s="38">
        <v>535</v>
      </c>
      <c r="R538" s="39">
        <f>[1]节奏总纲!AD538</f>
        <v>90.653096539355289</v>
      </c>
      <c r="S538" s="39">
        <f>[1]节奏总纲!AE538</f>
        <v>92.907280466279062</v>
      </c>
      <c r="T538" s="39">
        <f>[1]节奏总纲!AF538</f>
        <v>96.127701418036295</v>
      </c>
      <c r="U538" s="39">
        <f>[1]节奏总纲!AG538</f>
        <v>100.79278481082392</v>
      </c>
      <c r="V538" s="39">
        <f>[1]节奏总纲!AH538</f>
        <v>109.81193084941249</v>
      </c>
    </row>
    <row r="539" spans="17:22" x14ac:dyDescent="0.15">
      <c r="Q539" s="38">
        <v>536</v>
      </c>
      <c r="R539" s="39">
        <f>[1]节奏总纲!AD539</f>
        <v>90.680308895161772</v>
      </c>
      <c r="S539" s="39">
        <f>[1]节奏总纲!AE539</f>
        <v>92.935019903454872</v>
      </c>
      <c r="T539" s="39">
        <f>[1]节奏总纲!AF539</f>
        <v>96.153125047597598</v>
      </c>
      <c r="U539" s="39">
        <f>[1]节奏总纲!AG539</f>
        <v>100.82239550235677</v>
      </c>
      <c r="V539" s="39">
        <f>[1]节奏总纲!AH539</f>
        <v>109.83862398421826</v>
      </c>
    </row>
    <row r="540" spans="17:22" x14ac:dyDescent="0.15">
      <c r="Q540" s="38">
        <v>537</v>
      </c>
      <c r="R540" s="39">
        <f>[1]节奏总纲!AD540</f>
        <v>90.707521250968242</v>
      </c>
      <c r="S540" s="39">
        <f>[1]节奏总纲!AE540</f>
        <v>92.962759340630697</v>
      </c>
      <c r="T540" s="39">
        <f>[1]节奏总纲!AF540</f>
        <v>96.178548677158886</v>
      </c>
      <c r="U540" s="39">
        <f>[1]节奏总纲!AG540</f>
        <v>100.85200619388962</v>
      </c>
      <c r="V540" s="39">
        <f>[1]节奏总纲!AH540</f>
        <v>109.86531711902403</v>
      </c>
    </row>
    <row r="541" spans="17:22" x14ac:dyDescent="0.15">
      <c r="Q541" s="38">
        <v>538</v>
      </c>
      <c r="R541" s="39">
        <f>[1]节奏总纲!AD541</f>
        <v>90.734733606774711</v>
      </c>
      <c r="S541" s="39">
        <f>[1]节奏总纲!AE541</f>
        <v>92.990498777806508</v>
      </c>
      <c r="T541" s="39">
        <f>[1]节奏总纲!AF541</f>
        <v>96.203972306720175</v>
      </c>
      <c r="U541" s="39">
        <f>[1]节奏总纲!AG541</f>
        <v>100.88161688542247</v>
      </c>
      <c r="V541" s="39">
        <f>[1]节奏总纲!AH541</f>
        <v>109.8920102538298</v>
      </c>
    </row>
    <row r="542" spans="17:22" x14ac:dyDescent="0.15">
      <c r="Q542" s="38">
        <v>539</v>
      </c>
      <c r="R542" s="39">
        <f>[1]节奏总纲!AD542</f>
        <v>90.76194596258118</v>
      </c>
      <c r="S542" s="39">
        <f>[1]节奏总纲!AE542</f>
        <v>93.017321310188493</v>
      </c>
      <c r="T542" s="39">
        <f>[1]节奏总纲!AF542</f>
        <v>96.229395936281477</v>
      </c>
      <c r="U542" s="39">
        <f>[1]节奏总纲!AG542</f>
        <v>100.91122757695533</v>
      </c>
      <c r="V542" s="39">
        <f>[1]节奏总纲!AH542</f>
        <v>109.91870338863556</v>
      </c>
    </row>
    <row r="543" spans="17:22" x14ac:dyDescent="0.15">
      <c r="Q543" s="38">
        <v>540</v>
      </c>
      <c r="R543" s="39">
        <f>[1]节奏总纲!AD543</f>
        <v>90.789158318387649</v>
      </c>
      <c r="S543" s="39">
        <f>[1]节奏总纲!AE543</f>
        <v>93.043666179806593</v>
      </c>
      <c r="T543" s="39">
        <f>[1]节奏总纲!AF543</f>
        <v>96.254819565842766</v>
      </c>
      <c r="U543" s="39">
        <f>[1]节奏总纲!AG543</f>
        <v>100.94083826848818</v>
      </c>
      <c r="V543" s="39">
        <f>[1]节奏总纲!AH543</f>
        <v>109.94539652344133</v>
      </c>
    </row>
    <row r="544" spans="17:22" x14ac:dyDescent="0.15">
      <c r="Q544" s="38">
        <v>541</v>
      </c>
      <c r="R544" s="39">
        <f>[1]节奏总纲!AD544</f>
        <v>90.816370674194118</v>
      </c>
      <c r="S544" s="39">
        <f>[1]节奏总纲!AE544</f>
        <v>93.070011049424707</v>
      </c>
      <c r="T544" s="39">
        <f>[1]节奏总纲!AF544</f>
        <v>96.280243195404069</v>
      </c>
      <c r="U544" s="39">
        <f>[1]节奏总纲!AG544</f>
        <v>100.97044896002102</v>
      </c>
      <c r="V544" s="39">
        <f>[1]节奏总纲!AH544</f>
        <v>109.97208965824709</v>
      </c>
    </row>
    <row r="545" spans="17:22" x14ac:dyDescent="0.15">
      <c r="Q545" s="38">
        <v>542</v>
      </c>
      <c r="R545" s="39">
        <f>[1]节奏总纲!AD545</f>
        <v>90.843583030000588</v>
      </c>
      <c r="S545" s="39">
        <f>[1]节奏总纲!AE545</f>
        <v>93.096355919042821</v>
      </c>
      <c r="T545" s="39">
        <f>[1]节奏总纲!AF545</f>
        <v>96.305666824965357</v>
      </c>
      <c r="U545" s="39">
        <f>[1]节奏总纲!AG545</f>
        <v>101.00005596161387</v>
      </c>
      <c r="V545" s="39">
        <f>[1]节奏总纲!AH545</f>
        <v>109.99878279305285</v>
      </c>
    </row>
    <row r="546" spans="17:22" x14ac:dyDescent="0.15">
      <c r="Q546" s="38">
        <v>543</v>
      </c>
      <c r="R546" s="39">
        <f>[1]节奏总纲!AD546</f>
        <v>90.870795385807057</v>
      </c>
      <c r="S546" s="39">
        <f>[1]节奏总纲!AE546</f>
        <v>93.122700788660936</v>
      </c>
      <c r="T546" s="39">
        <f>[1]节奏总纲!AF546</f>
        <v>96.331090454526645</v>
      </c>
      <c r="U546" s="39">
        <f>[1]节奏总纲!AG546</f>
        <v>101.02783498795179</v>
      </c>
      <c r="V546" s="39">
        <f>[1]节奏总纲!AH546</f>
        <v>110.02321153514784</v>
      </c>
    </row>
    <row r="547" spans="17:22" x14ac:dyDescent="0.15">
      <c r="Q547" s="38">
        <v>544</v>
      </c>
      <c r="R547" s="39">
        <f>[1]节奏总纲!AD547</f>
        <v>90.898007741613526</v>
      </c>
      <c r="S547" s="39">
        <f>[1]节奏总纲!AE547</f>
        <v>93.149045658279036</v>
      </c>
      <c r="T547" s="39">
        <f>[1]节奏总纲!AF547</f>
        <v>96.356514084087948</v>
      </c>
      <c r="U547" s="39">
        <f>[1]节奏总纲!AG547</f>
        <v>101.0556140142897</v>
      </c>
      <c r="V547" s="39">
        <f>[1]节奏总纲!AH547</f>
        <v>110.04753208748211</v>
      </c>
    </row>
    <row r="548" spans="17:22" x14ac:dyDescent="0.15">
      <c r="Q548" s="38">
        <v>545</v>
      </c>
      <c r="R548" s="39">
        <f>[1]节奏总纲!AD548</f>
        <v>90.925220097419995</v>
      </c>
      <c r="S548" s="39">
        <f>[1]节奏总纲!AE548</f>
        <v>93.17539052789715</v>
      </c>
      <c r="T548" s="39">
        <f>[1]节奏总纲!AF548</f>
        <v>96.381937713649236</v>
      </c>
      <c r="U548" s="39">
        <f>[1]节奏总纲!AG548</f>
        <v>101.08339304062761</v>
      </c>
      <c r="V548" s="39">
        <f>[1]节奏总纲!AH548</f>
        <v>110.0718526398164</v>
      </c>
    </row>
    <row r="549" spans="17:22" x14ac:dyDescent="0.15">
      <c r="Q549" s="38">
        <v>546</v>
      </c>
      <c r="R549" s="39">
        <f>[1]节奏总纲!AD549</f>
        <v>90.952432453226479</v>
      </c>
      <c r="S549" s="39">
        <f>[1]节奏总纲!AE549</f>
        <v>93.201735397515264</v>
      </c>
      <c r="T549" s="39">
        <f>[1]节奏总纲!AF549</f>
        <v>96.407361343210539</v>
      </c>
      <c r="U549" s="39">
        <f>[1]节奏总纲!AG549</f>
        <v>101.11117206696554</v>
      </c>
      <c r="V549" s="39">
        <f>[1]节奏总纲!AH549</f>
        <v>110.09617319215067</v>
      </c>
    </row>
    <row r="550" spans="17:22" x14ac:dyDescent="0.15">
      <c r="Q550" s="38">
        <v>547</v>
      </c>
      <c r="R550" s="39">
        <f>[1]节奏总纲!AD550</f>
        <v>90.979644809032948</v>
      </c>
      <c r="S550" s="39">
        <f>[1]节奏总纲!AE550</f>
        <v>93.228080267133379</v>
      </c>
      <c r="T550" s="39">
        <f>[1]节奏总纲!AF550</f>
        <v>96.432784972771827</v>
      </c>
      <c r="U550" s="39">
        <f>[1]节奏总纲!AG550</f>
        <v>101.13895109330345</v>
      </c>
      <c r="V550" s="39">
        <f>[1]节奏总纲!AH550</f>
        <v>110.12049374448495</v>
      </c>
    </row>
    <row r="551" spans="17:22" x14ac:dyDescent="0.15">
      <c r="Q551" s="38">
        <v>548</v>
      </c>
      <c r="R551" s="39">
        <f>[1]节奏总纲!AD551</f>
        <v>91.00639796102358</v>
      </c>
      <c r="S551" s="39">
        <f>[1]节奏总纲!AE551</f>
        <v>93.254425136751479</v>
      </c>
      <c r="T551" s="39">
        <f>[1]节奏总纲!AF551</f>
        <v>96.458208602333116</v>
      </c>
      <c r="U551" s="39">
        <f>[1]节奏总纲!AG551</f>
        <v>101.16673011964136</v>
      </c>
      <c r="V551" s="39">
        <f>[1]节奏总纲!AH551</f>
        <v>110.14481429681923</v>
      </c>
    </row>
    <row r="552" spans="17:22" x14ac:dyDescent="0.15">
      <c r="Q552" s="38">
        <v>549</v>
      </c>
      <c r="R552" s="39">
        <f>[1]节奏总纲!AD552</f>
        <v>91.03178798676845</v>
      </c>
      <c r="S552" s="39">
        <f>[1]节奏总纲!AE552</f>
        <v>93.280770006369593</v>
      </c>
      <c r="T552" s="39">
        <f>[1]节奏总纲!AF552</f>
        <v>96.483632231894418</v>
      </c>
      <c r="U552" s="39">
        <f>[1]节奏总纲!AG552</f>
        <v>101.19450914597927</v>
      </c>
      <c r="V552" s="39">
        <f>[1]节奏总纲!AH552</f>
        <v>110.16913484915351</v>
      </c>
    </row>
    <row r="553" spans="17:22" x14ac:dyDescent="0.15">
      <c r="Q553" s="38">
        <v>550</v>
      </c>
      <c r="R553" s="39">
        <f>[1]节奏总纲!AD553</f>
        <v>91.057178012513333</v>
      </c>
      <c r="S553" s="39">
        <f>[1]节奏总纲!AE553</f>
        <v>93.307114875987708</v>
      </c>
      <c r="T553" s="39">
        <f>[1]节奏总纲!AF553</f>
        <v>96.509055861455707</v>
      </c>
      <c r="U553" s="39">
        <f>[1]节奏总纲!AG553</f>
        <v>101.22228817231719</v>
      </c>
      <c r="V553" s="39">
        <f>[1]节奏总纲!AH553</f>
        <v>110.19345540148778</v>
      </c>
    </row>
    <row r="554" spans="17:22" x14ac:dyDescent="0.15">
      <c r="Q554" s="38">
        <v>551</v>
      </c>
      <c r="R554" s="39">
        <f>[1]节奏总纲!AD554</f>
        <v>91.082568038258202</v>
      </c>
      <c r="S554" s="39">
        <f>[1]节奏总纲!AE554</f>
        <v>93.333459745605822</v>
      </c>
      <c r="T554" s="39">
        <f>[1]节奏总纲!AF554</f>
        <v>96.534479491016995</v>
      </c>
      <c r="U554" s="39">
        <f>[1]节奏总纲!AG554</f>
        <v>101.2500671986551</v>
      </c>
      <c r="V554" s="39">
        <f>[1]节奏总纲!AH554</f>
        <v>110.21777595382206</v>
      </c>
    </row>
    <row r="555" spans="17:22" x14ac:dyDescent="0.15">
      <c r="Q555" s="38">
        <v>552</v>
      </c>
      <c r="R555" s="39">
        <f>[1]节奏总纲!AD555</f>
        <v>91.107958064003085</v>
      </c>
      <c r="S555" s="39">
        <f>[1]节奏总纲!AE555</f>
        <v>93.359804615223922</v>
      </c>
      <c r="T555" s="39">
        <f>[1]节奏总纲!AF555</f>
        <v>96.559903120578298</v>
      </c>
      <c r="U555" s="39">
        <f>[1]节奏总纲!AG555</f>
        <v>101.27784622499301</v>
      </c>
      <c r="V555" s="39">
        <f>[1]节奏总纲!AH555</f>
        <v>110.24209650615634</v>
      </c>
    </row>
    <row r="556" spans="17:22" x14ac:dyDescent="0.15">
      <c r="Q556" s="38">
        <v>553</v>
      </c>
      <c r="R556" s="39">
        <f>[1]节奏总纲!AD556</f>
        <v>91.133348089747955</v>
      </c>
      <c r="S556" s="39">
        <f>[1]节奏总纲!AE556</f>
        <v>93.386149484842036</v>
      </c>
      <c r="T556" s="39">
        <f>[1]节奏总纲!AF556</f>
        <v>96.585326750139586</v>
      </c>
      <c r="U556" s="39">
        <f>[1]节奏总纲!AG556</f>
        <v>101.30562525133092</v>
      </c>
      <c r="V556" s="39">
        <f>[1]节奏总纲!AH556</f>
        <v>110.26641705849062</v>
      </c>
    </row>
    <row r="557" spans="17:22" x14ac:dyDescent="0.15">
      <c r="Q557" s="38">
        <v>554</v>
      </c>
      <c r="R557" s="39">
        <f>[1]节奏总纲!AD557</f>
        <v>91.158738115492838</v>
      </c>
      <c r="S557" s="39">
        <f>[1]节奏总纲!AE557</f>
        <v>93.412494354460151</v>
      </c>
      <c r="T557" s="39">
        <f>[1]节奏总纲!AF557</f>
        <v>96.610750379700889</v>
      </c>
      <c r="U557" s="39">
        <f>[1]节奏总纲!AG557</f>
        <v>101.33340427766885</v>
      </c>
      <c r="V557" s="39">
        <f>[1]节奏总纲!AH557</f>
        <v>110.29073761082489</v>
      </c>
    </row>
    <row r="558" spans="17:22" x14ac:dyDescent="0.15">
      <c r="Q558" s="38">
        <v>555</v>
      </c>
      <c r="R558" s="39">
        <f>[1]节奏总纲!AD558</f>
        <v>91.184128141237707</v>
      </c>
      <c r="S558" s="39">
        <f>[1]节奏总纲!AE558</f>
        <v>93.438839224078265</v>
      </c>
      <c r="T558" s="39">
        <f>[1]节奏总纲!AF558</f>
        <v>96.636174009262177</v>
      </c>
      <c r="U558" s="39">
        <f>[1]节奏总纲!AG558</f>
        <v>101.36118330400676</v>
      </c>
      <c r="V558" s="39">
        <f>[1]节奏总纲!AH558</f>
        <v>110.31505816315918</v>
      </c>
    </row>
    <row r="559" spans="17:22" x14ac:dyDescent="0.15">
      <c r="Q559" s="38">
        <v>556</v>
      </c>
      <c r="R559" s="39">
        <f>[1]节奏总纲!AD559</f>
        <v>91.209518166982591</v>
      </c>
      <c r="S559" s="39">
        <f>[1]节奏总纲!AE559</f>
        <v>93.465184093696365</v>
      </c>
      <c r="T559" s="39">
        <f>[1]节奏总纲!AF559</f>
        <v>96.661597638823466</v>
      </c>
      <c r="U559" s="39">
        <f>[1]节奏总纲!AG559</f>
        <v>101.38896233034467</v>
      </c>
      <c r="V559" s="39">
        <f>[1]节奏总纲!AH559</f>
        <v>110.33937871549345</v>
      </c>
    </row>
    <row r="560" spans="17:22" x14ac:dyDescent="0.15">
      <c r="Q560" s="38">
        <v>557</v>
      </c>
      <c r="R560" s="39">
        <f>[1]节奏总纲!AD560</f>
        <v>91.23490819272746</v>
      </c>
      <c r="S560" s="39">
        <f>[1]节奏总纲!AE560</f>
        <v>93.491528963314479</v>
      </c>
      <c r="T560" s="39">
        <f>[1]节奏总纲!AF560</f>
        <v>96.687021268384768</v>
      </c>
      <c r="U560" s="39">
        <f>[1]节奏总纲!AG560</f>
        <v>101.41674135668258</v>
      </c>
      <c r="V560" s="39">
        <f>[1]节奏总纲!AH560</f>
        <v>110.36369926782773</v>
      </c>
    </row>
    <row r="561" spans="17:22" x14ac:dyDescent="0.15">
      <c r="Q561" s="38">
        <v>558</v>
      </c>
      <c r="R561" s="39">
        <f>[1]节奏总纲!AD561</f>
        <v>91.260298218472343</v>
      </c>
      <c r="S561" s="39">
        <f>[1]节奏总纲!AE561</f>
        <v>93.517873832932594</v>
      </c>
      <c r="T561" s="39">
        <f>[1]节奏总纲!AF561</f>
        <v>96.712444897946057</v>
      </c>
      <c r="U561" s="39">
        <f>[1]节奏总纲!AG561</f>
        <v>101.4445203830205</v>
      </c>
      <c r="V561" s="39">
        <f>[1]节奏总纲!AH561</f>
        <v>110.38801982016201</v>
      </c>
    </row>
    <row r="562" spans="17:22" x14ac:dyDescent="0.15">
      <c r="Q562" s="38">
        <v>559</v>
      </c>
      <c r="R562" s="39">
        <f>[1]节奏总纲!AD562</f>
        <v>91.285688244217212</v>
      </c>
      <c r="S562" s="39">
        <f>[1]节奏总纲!AE562</f>
        <v>93.544218702550708</v>
      </c>
      <c r="T562" s="39">
        <f>[1]节奏总纲!AF562</f>
        <v>96.737868527507359</v>
      </c>
      <c r="U562" s="39">
        <f>[1]节奏总纲!AG562</f>
        <v>101.47229940935841</v>
      </c>
      <c r="V562" s="39">
        <f>[1]节奏总纲!AH562</f>
        <v>110.41234037249629</v>
      </c>
    </row>
    <row r="563" spans="17:22" x14ac:dyDescent="0.15">
      <c r="Q563" s="38">
        <v>560</v>
      </c>
      <c r="R563" s="39">
        <f>[1]节奏总纲!AD563</f>
        <v>91.311078269962081</v>
      </c>
      <c r="S563" s="39">
        <f>[1]节奏总纲!AE563</f>
        <v>93.570563572168808</v>
      </c>
      <c r="T563" s="39">
        <f>[1]节奏总纲!AF563</f>
        <v>96.763292157068648</v>
      </c>
      <c r="U563" s="39">
        <f>[1]节奏总纲!AG563</f>
        <v>101.50007843569632</v>
      </c>
      <c r="V563" s="39">
        <f>[1]节奏总纲!AH563</f>
        <v>110.43666092483056</v>
      </c>
    </row>
    <row r="564" spans="17:22" x14ac:dyDescent="0.15">
      <c r="Q564" s="38">
        <v>561</v>
      </c>
      <c r="R564" s="39">
        <f>[1]节奏总纲!AD564</f>
        <v>91.336468295706965</v>
      </c>
      <c r="S564" s="39">
        <f>[1]节奏总纲!AE564</f>
        <v>93.596908441786923</v>
      </c>
      <c r="T564" s="39">
        <f>[1]节奏总纲!AF564</f>
        <v>96.788715786629936</v>
      </c>
      <c r="U564" s="39">
        <f>[1]节奏总纲!AG564</f>
        <v>101.52785746203423</v>
      </c>
      <c r="V564" s="39">
        <f>[1]节奏总纲!AH564</f>
        <v>110.46098147716484</v>
      </c>
    </row>
    <row r="565" spans="17:22" x14ac:dyDescent="0.15">
      <c r="Q565" s="38">
        <v>562</v>
      </c>
      <c r="R565" s="39">
        <f>[1]节奏总纲!AD565</f>
        <v>91.361858321451834</v>
      </c>
      <c r="S565" s="39">
        <f>[1]节奏总纲!AE565</f>
        <v>93.623253311405037</v>
      </c>
      <c r="T565" s="39">
        <f>[1]节奏总纲!AF565</f>
        <v>96.814139416191239</v>
      </c>
      <c r="U565" s="39">
        <f>[1]节奏总纲!AG565</f>
        <v>101.55563648837216</v>
      </c>
      <c r="V565" s="39">
        <f>[1]节奏总纲!AH565</f>
        <v>110.48530202949912</v>
      </c>
    </row>
    <row r="566" spans="17:22" x14ac:dyDescent="0.15">
      <c r="Q566" s="38">
        <v>563</v>
      </c>
      <c r="R566" s="39">
        <f>[1]节奏总纲!AD566</f>
        <v>91.387248347196717</v>
      </c>
      <c r="S566" s="39">
        <f>[1]节奏总纲!AE566</f>
        <v>93.649598181023151</v>
      </c>
      <c r="T566" s="39">
        <f>[1]节奏总纲!AF566</f>
        <v>96.839563045752527</v>
      </c>
      <c r="U566" s="39">
        <f>[1]节奏总纲!AG566</f>
        <v>101.58341551471007</v>
      </c>
      <c r="V566" s="39">
        <f>[1]节奏总纲!AH566</f>
        <v>110.5096225818334</v>
      </c>
    </row>
    <row r="567" spans="17:22" x14ac:dyDescent="0.15">
      <c r="Q567" s="38">
        <v>564</v>
      </c>
      <c r="R567" s="39">
        <f>[1]节奏总纲!AD567</f>
        <v>91.412638372941586</v>
      </c>
      <c r="S567" s="39">
        <f>[1]节奏总纲!AE567</f>
        <v>93.675943050641251</v>
      </c>
      <c r="T567" s="39">
        <f>[1]节奏总纲!AF567</f>
        <v>96.86498667531383</v>
      </c>
      <c r="U567" s="39">
        <f>[1]节奏总纲!AG567</f>
        <v>101.61119454104798</v>
      </c>
      <c r="V567" s="39">
        <f>[1]节奏总纲!AH567</f>
        <v>110.53394313416767</v>
      </c>
    </row>
    <row r="568" spans="17:22" x14ac:dyDescent="0.15">
      <c r="Q568" s="38">
        <v>565</v>
      </c>
      <c r="R568" s="39">
        <f>[1]节奏总纲!AD568</f>
        <v>91.43802839868647</v>
      </c>
      <c r="S568" s="39">
        <f>[1]节奏总纲!AE568</f>
        <v>93.702287920259366</v>
      </c>
      <c r="T568" s="39">
        <f>[1]节奏总纲!AF568</f>
        <v>96.890410304875118</v>
      </c>
      <c r="U568" s="39">
        <f>[1]节奏总纲!AG568</f>
        <v>101.63897356738589</v>
      </c>
      <c r="V568" s="39">
        <f>[1]节奏总纲!AH568</f>
        <v>110.55826368650196</v>
      </c>
    </row>
    <row r="569" spans="17:22" x14ac:dyDescent="0.15">
      <c r="Q569" s="38">
        <v>566</v>
      </c>
      <c r="R569" s="39">
        <f>[1]节奏总纲!AD569</f>
        <v>91.463418424431339</v>
      </c>
      <c r="S569" s="39">
        <f>[1]节奏总纲!AE569</f>
        <v>93.72863278987748</v>
      </c>
      <c r="T569" s="39">
        <f>[1]节奏总纲!AF569</f>
        <v>96.915833934436407</v>
      </c>
      <c r="U569" s="39">
        <f>[1]节奏总纲!AG569</f>
        <v>101.66675259372381</v>
      </c>
      <c r="V569" s="39">
        <f>[1]节奏总纲!AH569</f>
        <v>110.58258423883623</v>
      </c>
    </row>
    <row r="570" spans="17:22" x14ac:dyDescent="0.15">
      <c r="Q570" s="38">
        <v>567</v>
      </c>
      <c r="R570" s="39">
        <f>[1]节奏总纲!AD570</f>
        <v>91.488808450176222</v>
      </c>
      <c r="S570" s="39">
        <f>[1]节奏总纲!AE570</f>
        <v>93.754977659495594</v>
      </c>
      <c r="T570" s="39">
        <f>[1]节奏总纲!AF570</f>
        <v>96.941257563997709</v>
      </c>
      <c r="U570" s="39">
        <f>[1]节奏总纲!AG570</f>
        <v>101.69453162006172</v>
      </c>
      <c r="V570" s="39">
        <f>[1]节奏总纲!AH570</f>
        <v>110.60690479117051</v>
      </c>
    </row>
    <row r="571" spans="17:22" x14ac:dyDescent="0.15">
      <c r="Q571" s="38">
        <v>568</v>
      </c>
      <c r="R571" s="39">
        <f>[1]节奏总纲!AD571</f>
        <v>91.514198475921091</v>
      </c>
      <c r="S571" s="39">
        <f>[1]节奏总纲!AE571</f>
        <v>93.781322529113694</v>
      </c>
      <c r="T571" s="39">
        <f>[1]节奏总纲!AF571</f>
        <v>96.966681193558998</v>
      </c>
      <c r="U571" s="39">
        <f>[1]节奏总纲!AG571</f>
        <v>101.72231064639963</v>
      </c>
      <c r="V571" s="39">
        <f>[1]节奏总纲!AH571</f>
        <v>110.63122534350479</v>
      </c>
    </row>
    <row r="572" spans="17:22" x14ac:dyDescent="0.15">
      <c r="Q572" s="38">
        <v>569</v>
      </c>
      <c r="R572" s="39">
        <f>[1]节奏总纲!AD572</f>
        <v>91.539588501665975</v>
      </c>
      <c r="S572" s="39">
        <f>[1]节奏总纲!AE572</f>
        <v>93.807667398731809</v>
      </c>
      <c r="T572" s="39">
        <f>[1]节奏总纲!AF572</f>
        <v>96.9921048231203</v>
      </c>
      <c r="U572" s="39">
        <f>[1]节奏总纲!AG572</f>
        <v>101.75008967273754</v>
      </c>
      <c r="V572" s="39">
        <f>[1]节奏总纲!AH572</f>
        <v>110.65554589583907</v>
      </c>
    </row>
    <row r="573" spans="17:22" x14ac:dyDescent="0.15">
      <c r="Q573" s="38">
        <v>570</v>
      </c>
      <c r="R573" s="39">
        <f>[1]节奏总纲!AD573</f>
        <v>91.564978527410844</v>
      </c>
      <c r="S573" s="39">
        <f>[1]节奏总纲!AE573</f>
        <v>93.834012268349923</v>
      </c>
      <c r="T573" s="39">
        <f>[1]节奏总纲!AF573</f>
        <v>97.015787500523516</v>
      </c>
      <c r="U573" s="39">
        <f>[1]节奏总纲!AG573</f>
        <v>101.77786869907547</v>
      </c>
      <c r="V573" s="39">
        <f>[1]节奏总纲!AH573</f>
        <v>110.67986644817334</v>
      </c>
    </row>
    <row r="574" spans="17:22" x14ac:dyDescent="0.15">
      <c r="Q574" s="38">
        <v>571</v>
      </c>
      <c r="R574" s="39">
        <f>[1]节奏总纲!AD574</f>
        <v>91.590368553155713</v>
      </c>
      <c r="S574" s="39">
        <f>[1]节奏总纲!AE574</f>
        <v>93.860357137968037</v>
      </c>
      <c r="T574" s="39">
        <f>[1]节奏总纲!AF574</f>
        <v>97.038686017141032</v>
      </c>
      <c r="U574" s="39">
        <f>[1]节奏总纲!AG574</f>
        <v>101.80564772541338</v>
      </c>
      <c r="V574" s="39">
        <f>[1]节奏总纲!AH574</f>
        <v>110.70418700050762</v>
      </c>
    </row>
    <row r="575" spans="17:22" x14ac:dyDescent="0.15">
      <c r="Q575" s="38">
        <v>572</v>
      </c>
      <c r="R575" s="39">
        <f>[1]节奏总纲!AD575</f>
        <v>91.615758578900596</v>
      </c>
      <c r="S575" s="39">
        <f>[1]节奏总纲!AE575</f>
        <v>93.886702007586138</v>
      </c>
      <c r="T575" s="39">
        <f>[1]节奏总纲!AF575</f>
        <v>97.061584533758534</v>
      </c>
      <c r="U575" s="39">
        <f>[1]节奏总纲!AG575</f>
        <v>101.83342675175129</v>
      </c>
      <c r="V575" s="39">
        <f>[1]节奏总纲!AH575</f>
        <v>110.7285075528419</v>
      </c>
    </row>
    <row r="576" spans="17:22" x14ac:dyDescent="0.15">
      <c r="Q576" s="38">
        <v>573</v>
      </c>
      <c r="R576" s="39">
        <f>[1]节奏总纲!AD576</f>
        <v>91.641148604645466</v>
      </c>
      <c r="S576" s="39">
        <f>[1]节奏总纲!AE576</f>
        <v>93.913046877204252</v>
      </c>
      <c r="T576" s="39">
        <f>[1]节奏总纲!AF576</f>
        <v>97.084483050376051</v>
      </c>
      <c r="U576" s="39">
        <f>[1]节奏总纲!AG576</f>
        <v>101.8612057780892</v>
      </c>
      <c r="V576" s="39">
        <f>[1]节奏总纲!AH576</f>
        <v>110.75282810517618</v>
      </c>
    </row>
    <row r="577" spans="17:22" x14ac:dyDescent="0.15">
      <c r="Q577" s="38">
        <v>574</v>
      </c>
      <c r="R577" s="39">
        <f>[1]节奏总纲!AD577</f>
        <v>91.666538630390349</v>
      </c>
      <c r="S577" s="39">
        <f>[1]节奏总纲!AE577</f>
        <v>93.939391746822366</v>
      </c>
      <c r="T577" s="39">
        <f>[1]节奏总纲!AF577</f>
        <v>97.107381566993553</v>
      </c>
      <c r="U577" s="39">
        <f>[1]节奏总纲!AG577</f>
        <v>101.88898480442712</v>
      </c>
      <c r="V577" s="39">
        <f>[1]节奏总纲!AH577</f>
        <v>110.77714865751045</v>
      </c>
    </row>
    <row r="578" spans="17:22" x14ac:dyDescent="0.15">
      <c r="Q578" s="38">
        <v>575</v>
      </c>
      <c r="R578" s="39">
        <f>[1]节奏总纲!AD578</f>
        <v>91.691928656135218</v>
      </c>
      <c r="S578" s="39">
        <f>[1]节奏总纲!AE578</f>
        <v>93.965736616440481</v>
      </c>
      <c r="T578" s="39">
        <f>[1]节奏总纲!AF578</f>
        <v>97.130280083611069</v>
      </c>
      <c r="U578" s="39">
        <f>[1]节奏总纲!AG578</f>
        <v>101.91676383076503</v>
      </c>
      <c r="V578" s="39">
        <f>[1]节奏总纲!AH578</f>
        <v>110.80146920984474</v>
      </c>
    </row>
    <row r="579" spans="17:22" x14ac:dyDescent="0.15">
      <c r="Q579" s="38">
        <v>576</v>
      </c>
      <c r="R579" s="39">
        <f>[1]节奏总纲!AD579</f>
        <v>91.717318681880101</v>
      </c>
      <c r="S579" s="39">
        <f>[1]节奏总纲!AE579</f>
        <v>93.992081486058581</v>
      </c>
      <c r="T579" s="39">
        <f>[1]节奏总纲!AF579</f>
        <v>97.153178600228586</v>
      </c>
      <c r="U579" s="39">
        <f>[1]节奏总纲!AG579</f>
        <v>101.94454285710295</v>
      </c>
      <c r="V579" s="39">
        <f>[1]节奏总纲!AH579</f>
        <v>110.82578976217901</v>
      </c>
    </row>
    <row r="580" spans="17:22" x14ac:dyDescent="0.15">
      <c r="Q580" s="38">
        <v>577</v>
      </c>
      <c r="R580" s="39">
        <f>[1]节奏总纲!AD580</f>
        <v>91.742708707624971</v>
      </c>
      <c r="S580" s="39">
        <f>[1]节奏总纲!AE580</f>
        <v>94.016709456706678</v>
      </c>
      <c r="T580" s="39">
        <f>[1]节奏总纲!AF580</f>
        <v>97.176077116846088</v>
      </c>
      <c r="U580" s="39">
        <f>[1]节奏总纲!AG580</f>
        <v>101.97232188344086</v>
      </c>
      <c r="V580" s="39">
        <f>[1]节奏总纲!AH580</f>
        <v>110.85011031451329</v>
      </c>
    </row>
    <row r="581" spans="17:22" x14ac:dyDescent="0.15">
      <c r="Q581" s="38">
        <v>578</v>
      </c>
      <c r="R581" s="39">
        <f>[1]节奏总纲!AD581</f>
        <v>91.768098733369854</v>
      </c>
      <c r="S581" s="39">
        <f>[1]节奏总纲!AE581</f>
        <v>94.040599609814038</v>
      </c>
      <c r="T581" s="39">
        <f>[1]节奏总纲!AF581</f>
        <v>97.198975633463604</v>
      </c>
      <c r="U581" s="39">
        <f>[1]节奏总纲!AG581</f>
        <v>102.00008856468429</v>
      </c>
      <c r="V581" s="39">
        <f>[1]节奏总纲!AH581</f>
        <v>110.87443086684758</v>
      </c>
    </row>
    <row r="582" spans="17:22" x14ac:dyDescent="0.15">
      <c r="Q582" s="38">
        <v>579</v>
      </c>
      <c r="R582" s="39">
        <f>[1]节奏总纲!AD582</f>
        <v>91.793488759114723</v>
      </c>
      <c r="S582" s="39">
        <f>[1]节奏总纲!AE582</f>
        <v>94.064489762921397</v>
      </c>
      <c r="T582" s="39">
        <f>[1]节奏总纲!AF582</f>
        <v>97.221874150081106</v>
      </c>
      <c r="U582" s="39">
        <f>[1]节奏总纲!AG582</f>
        <v>102.02446916215973</v>
      </c>
      <c r="V582" s="39">
        <f>[1]节奏总纲!AH582</f>
        <v>110.89875141918185</v>
      </c>
    </row>
    <row r="583" spans="17:22" x14ac:dyDescent="0.15">
      <c r="Q583" s="38">
        <v>580</v>
      </c>
      <c r="R583" s="39">
        <f>[1]节奏总纲!AD583</f>
        <v>91.818878784859606</v>
      </c>
      <c r="S583" s="39">
        <f>[1]节奏总纲!AE583</f>
        <v>94.088379916028757</v>
      </c>
      <c r="T583" s="39">
        <f>[1]节奏总纲!AF583</f>
        <v>97.244772666698623</v>
      </c>
      <c r="U583" s="39">
        <f>[1]节奏总纲!AG583</f>
        <v>102.04884975963516</v>
      </c>
      <c r="V583" s="39">
        <f>[1]节奏总纲!AH583</f>
        <v>110.92307197151612</v>
      </c>
    </row>
    <row r="584" spans="17:22" x14ac:dyDescent="0.15">
      <c r="Q584" s="38">
        <v>581</v>
      </c>
      <c r="R584" s="39">
        <f>[1]节奏总纲!AD584</f>
        <v>91.844268810604476</v>
      </c>
      <c r="S584" s="39">
        <f>[1]节奏总纲!AE584</f>
        <v>94.112270069136102</v>
      </c>
      <c r="T584" s="39">
        <f>[1]节奏总纲!AF584</f>
        <v>97.267671183316139</v>
      </c>
      <c r="U584" s="39">
        <f>[1]节奏总纲!AG584</f>
        <v>102.0732303571106</v>
      </c>
      <c r="V584" s="39">
        <f>[1]节奏总纲!AH584</f>
        <v>110.94739252385041</v>
      </c>
    </row>
    <row r="585" spans="17:22" x14ac:dyDescent="0.15">
      <c r="Q585" s="38">
        <v>582</v>
      </c>
      <c r="R585" s="39">
        <f>[1]节奏总纲!AD585</f>
        <v>91.869658836349345</v>
      </c>
      <c r="S585" s="39">
        <f>[1]节奏总纲!AE585</f>
        <v>94.136160222243461</v>
      </c>
      <c r="T585" s="39">
        <f>[1]节奏总纲!AF585</f>
        <v>97.290569699933641</v>
      </c>
      <c r="U585" s="39">
        <f>[1]节奏总纲!AG585</f>
        <v>102.09761095458603</v>
      </c>
      <c r="V585" s="39">
        <f>[1]节奏总纲!AH585</f>
        <v>110.97171307618468</v>
      </c>
    </row>
    <row r="586" spans="17:22" x14ac:dyDescent="0.15">
      <c r="Q586" s="38">
        <v>583</v>
      </c>
      <c r="R586" s="39">
        <f>[1]节奏总纲!AD586</f>
        <v>91.895048862094228</v>
      </c>
      <c r="S586" s="39">
        <f>[1]节奏总纲!AE586</f>
        <v>94.160050375350821</v>
      </c>
      <c r="T586" s="39">
        <f>[1]节奏总纲!AF586</f>
        <v>97.313468216551158</v>
      </c>
      <c r="U586" s="39">
        <f>[1]节奏总纲!AG586</f>
        <v>102.12199155206147</v>
      </c>
      <c r="V586" s="39">
        <f>[1]节奏总纲!AH586</f>
        <v>110.99603362851896</v>
      </c>
    </row>
    <row r="587" spans="17:22" x14ac:dyDescent="0.15">
      <c r="Q587" s="38">
        <v>584</v>
      </c>
      <c r="R587" s="39">
        <f>[1]节奏总纲!AD587</f>
        <v>91.920438887839097</v>
      </c>
      <c r="S587" s="39">
        <f>[1]节奏总纲!AE587</f>
        <v>94.18394052845818</v>
      </c>
      <c r="T587" s="39">
        <f>[1]节奏总纲!AF587</f>
        <v>97.33636673316866</v>
      </c>
      <c r="U587" s="39">
        <f>[1]节奏总纲!AG587</f>
        <v>102.14637214953692</v>
      </c>
      <c r="V587" s="39">
        <f>[1]节奏总纲!AH587</f>
        <v>111.02092622816714</v>
      </c>
    </row>
    <row r="588" spans="17:22" x14ac:dyDescent="0.15">
      <c r="Q588" s="38">
        <v>585</v>
      </c>
      <c r="R588" s="39">
        <f>[1]节奏总纲!AD588</f>
        <v>91.945828913583981</v>
      </c>
      <c r="S588" s="39">
        <f>[1]节奏总纲!AE588</f>
        <v>94.20783068156554</v>
      </c>
      <c r="T588" s="39">
        <f>[1]节奏总纲!AF588</f>
        <v>97.359265249786176</v>
      </c>
      <c r="U588" s="39">
        <f>[1]节奏总纲!AG588</f>
        <v>102.17075274701234</v>
      </c>
      <c r="V588" s="39">
        <f>[1]节奏总纲!AH588</f>
        <v>111.04593030133361</v>
      </c>
    </row>
    <row r="589" spans="17:22" x14ac:dyDescent="0.15">
      <c r="Q589" s="38">
        <v>586</v>
      </c>
      <c r="R589" s="39">
        <f>[1]节奏总纲!AD589</f>
        <v>91.97121893932885</v>
      </c>
      <c r="S589" s="39">
        <f>[1]节奏总纲!AE589</f>
        <v>94.231720834672899</v>
      </c>
      <c r="T589" s="39">
        <f>[1]节奏总纲!AF589</f>
        <v>97.382163766403693</v>
      </c>
      <c r="U589" s="39">
        <f>[1]节奏总纲!AG589</f>
        <v>102.19513334448779</v>
      </c>
      <c r="V589" s="39">
        <f>[1]节奏总纲!AH589</f>
        <v>111.07093437450008</v>
      </c>
    </row>
    <row r="590" spans="17:22" x14ac:dyDescent="0.15">
      <c r="Q590" s="38">
        <v>587</v>
      </c>
      <c r="R590" s="39">
        <f>[1]节奏总纲!AD590</f>
        <v>91.996608965073733</v>
      </c>
      <c r="S590" s="39">
        <f>[1]节奏总纲!AE590</f>
        <v>94.255610987780258</v>
      </c>
      <c r="T590" s="39">
        <f>[1]节奏总纲!AF590</f>
        <v>97.405062283021195</v>
      </c>
      <c r="U590" s="39">
        <f>[1]节奏总纲!AG590</f>
        <v>102.21951394196321</v>
      </c>
      <c r="V590" s="39">
        <f>[1]节奏总纲!AH590</f>
        <v>111.09593844766655</v>
      </c>
    </row>
    <row r="591" spans="17:22" x14ac:dyDescent="0.15">
      <c r="Q591" s="38">
        <v>588</v>
      </c>
      <c r="R591" s="39">
        <f>[1]节奏总纲!AD591</f>
        <v>92.020525784214271</v>
      </c>
      <c r="S591" s="39">
        <f>[1]节奏总纲!AE591</f>
        <v>94.279501140887604</v>
      </c>
      <c r="T591" s="39">
        <f>[1]节奏总纲!AF591</f>
        <v>97.427960799638711</v>
      </c>
      <c r="U591" s="39">
        <f>[1]节奏总纲!AG591</f>
        <v>102.24389453943866</v>
      </c>
      <c r="V591" s="39">
        <f>[1]节奏总纲!AH591</f>
        <v>111.12094252083303</v>
      </c>
    </row>
    <row r="592" spans="17:22" x14ac:dyDescent="0.15">
      <c r="Q592" s="38">
        <v>589</v>
      </c>
      <c r="R592" s="39">
        <f>[1]节奏总纲!AD592</f>
        <v>92.044215515890215</v>
      </c>
      <c r="S592" s="39">
        <f>[1]节奏总纲!AE592</f>
        <v>94.303391293994963</v>
      </c>
      <c r="T592" s="39">
        <f>[1]节奏总纲!AF592</f>
        <v>97.450859316256214</v>
      </c>
      <c r="U592" s="39">
        <f>[1]节奏总纲!AG592</f>
        <v>102.26827513691408</v>
      </c>
      <c r="V592" s="39">
        <f>[1]节奏总纲!AH592</f>
        <v>111.14594659399951</v>
      </c>
    </row>
    <row r="593" spans="17:22" x14ac:dyDescent="0.15">
      <c r="Q593" s="38">
        <v>590</v>
      </c>
      <c r="R593" s="39">
        <f>[1]节奏总纲!AD593</f>
        <v>92.067905247566145</v>
      </c>
      <c r="S593" s="39">
        <f>[1]节奏总纲!AE593</f>
        <v>94.327281447102322</v>
      </c>
      <c r="T593" s="39">
        <f>[1]节奏总纲!AF593</f>
        <v>97.47375783287373</v>
      </c>
      <c r="U593" s="39">
        <f>[1]节奏总纲!AG593</f>
        <v>102.29265573438953</v>
      </c>
      <c r="V593" s="39">
        <f>[1]节奏总纲!AH593</f>
        <v>111.17095066716598</v>
      </c>
    </row>
    <row r="594" spans="17:22" x14ac:dyDescent="0.15">
      <c r="Q594" s="38">
        <v>591</v>
      </c>
      <c r="R594" s="39">
        <f>[1]节奏总纲!AD594</f>
        <v>92.091594979242089</v>
      </c>
      <c r="S594" s="39">
        <f>[1]节奏总纲!AE594</f>
        <v>94.351171600209682</v>
      </c>
      <c r="T594" s="39">
        <f>[1]节奏总纲!AF594</f>
        <v>97.496656349491232</v>
      </c>
      <c r="U594" s="39">
        <f>[1]节奏总纲!AG594</f>
        <v>102.31703633186495</v>
      </c>
      <c r="V594" s="39">
        <f>[1]节奏总纲!AH594</f>
        <v>111.19595474033245</v>
      </c>
    </row>
    <row r="595" spans="17:22" x14ac:dyDescent="0.15">
      <c r="Q595" s="38">
        <v>592</v>
      </c>
      <c r="R595" s="39">
        <f>[1]节奏总纲!AD595</f>
        <v>92.115284710918019</v>
      </c>
      <c r="S595" s="39">
        <f>[1]节奏总纲!AE595</f>
        <v>94.375061753317041</v>
      </c>
      <c r="T595" s="39">
        <f>[1]节奏总纲!AF595</f>
        <v>97.519554866108749</v>
      </c>
      <c r="U595" s="39">
        <f>[1]节奏总纲!AG595</f>
        <v>102.3414169293404</v>
      </c>
      <c r="V595" s="39">
        <f>[1]节奏总纲!AH595</f>
        <v>111.22095881349892</v>
      </c>
    </row>
    <row r="596" spans="17:22" x14ac:dyDescent="0.15">
      <c r="Q596" s="38">
        <v>593</v>
      </c>
      <c r="R596" s="39">
        <f>[1]节奏总纲!AD596</f>
        <v>92.138974442593963</v>
      </c>
      <c r="S596" s="39">
        <f>[1]节奏总纲!AE596</f>
        <v>94.398951906424401</v>
      </c>
      <c r="T596" s="39">
        <f>[1]节奏总纲!AF596</f>
        <v>97.542453382726265</v>
      </c>
      <c r="U596" s="39">
        <f>[1]节奏总纲!AG596</f>
        <v>102.36579752681583</v>
      </c>
      <c r="V596" s="39">
        <f>[1]节奏总纲!AH596</f>
        <v>111.2459628866654</v>
      </c>
    </row>
    <row r="597" spans="17:22" x14ac:dyDescent="0.15">
      <c r="Q597" s="38">
        <v>594</v>
      </c>
      <c r="R597" s="39">
        <f>[1]节奏总纲!AD597</f>
        <v>92.162664174269892</v>
      </c>
      <c r="S597" s="39">
        <f>[1]节奏总纲!AE597</f>
        <v>94.42284205953176</v>
      </c>
      <c r="T597" s="39">
        <f>[1]节奏总纲!AF597</f>
        <v>97.565351899343767</v>
      </c>
      <c r="U597" s="39">
        <f>[1]节奏总纲!AG597</f>
        <v>102.39017812429127</v>
      </c>
      <c r="V597" s="39">
        <f>[1]节奏总纲!AH597</f>
        <v>111.27096695983187</v>
      </c>
    </row>
    <row r="598" spans="17:22" x14ac:dyDescent="0.15">
      <c r="Q598" s="38">
        <v>595</v>
      </c>
      <c r="R598" s="39">
        <f>[1]节奏总纲!AD598</f>
        <v>92.186353905945836</v>
      </c>
      <c r="S598" s="39">
        <f>[1]节奏总纲!AE598</f>
        <v>94.446732212639105</v>
      </c>
      <c r="T598" s="39">
        <f>[1]节奏总纲!AF598</f>
        <v>97.588250415961284</v>
      </c>
      <c r="U598" s="39">
        <f>[1]节奏总纲!AG598</f>
        <v>102.4145587217667</v>
      </c>
      <c r="V598" s="39">
        <f>[1]节奏总纲!AH598</f>
        <v>111.29597103299834</v>
      </c>
    </row>
    <row r="599" spans="17:22" x14ac:dyDescent="0.15">
      <c r="Q599" s="38">
        <v>596</v>
      </c>
      <c r="R599" s="39">
        <f>[1]节奏总纲!AD599</f>
        <v>92.210043637621766</v>
      </c>
      <c r="S599" s="39">
        <f>[1]节奏总纲!AE599</f>
        <v>94.470622365746465</v>
      </c>
      <c r="T599" s="39">
        <f>[1]节奏总纲!AF599</f>
        <v>97.611148932578786</v>
      </c>
      <c r="U599" s="39">
        <f>[1]节奏总纲!AG599</f>
        <v>102.43893931924214</v>
      </c>
      <c r="V599" s="39">
        <f>[1]节奏总纲!AH599</f>
        <v>111.32097510616481</v>
      </c>
    </row>
    <row r="600" spans="17:22" x14ac:dyDescent="0.15">
      <c r="Q600" s="38">
        <v>597</v>
      </c>
      <c r="R600" s="39">
        <f>[1]节奏总纲!AD600</f>
        <v>92.23373336929771</v>
      </c>
      <c r="S600" s="39">
        <f>[1]节奏总纲!AE600</f>
        <v>94.494512518853824</v>
      </c>
      <c r="T600" s="39">
        <f>[1]节奏总纲!AF600</f>
        <v>97.634047449196302</v>
      </c>
      <c r="U600" s="39">
        <f>[1]节奏总纲!AG600</f>
        <v>102.46331991671757</v>
      </c>
      <c r="V600" s="39">
        <f>[1]节奏总纲!AH600</f>
        <v>111.34597917933129</v>
      </c>
    </row>
    <row r="601" spans="17:22" x14ac:dyDescent="0.15">
      <c r="Q601" s="38">
        <v>598</v>
      </c>
      <c r="R601" s="39">
        <f>[1]节奏总纲!AD601</f>
        <v>92.257423100973654</v>
      </c>
      <c r="S601" s="39">
        <f>[1]节奏总纲!AE601</f>
        <v>94.518402671961184</v>
      </c>
      <c r="T601" s="39">
        <f>[1]节奏总纲!AF601</f>
        <v>97.656945965813819</v>
      </c>
      <c r="U601" s="39">
        <f>[1]节奏总纲!AG601</f>
        <v>102.48770051419301</v>
      </c>
      <c r="V601" s="39">
        <f>[1]节奏总纲!AH601</f>
        <v>111.37098325249777</v>
      </c>
    </row>
    <row r="602" spans="17:22" x14ac:dyDescent="0.15">
      <c r="Q602" s="38">
        <v>599</v>
      </c>
      <c r="R602" s="39">
        <f>[1]节奏总纲!AD602</f>
        <v>92.281112832649583</v>
      </c>
      <c r="S602" s="39">
        <f>[1]节奏总纲!AE602</f>
        <v>94.542292825068543</v>
      </c>
      <c r="T602" s="39">
        <f>[1]节奏总纲!AF602</f>
        <v>97.679844482431321</v>
      </c>
      <c r="U602" s="39">
        <f>[1]节奏总纲!AG602</f>
        <v>102.51208111166844</v>
      </c>
      <c r="V602" s="39">
        <f>[1]节奏总纲!AH602</f>
        <v>111.39598732566424</v>
      </c>
    </row>
    <row r="603" spans="17:22" x14ac:dyDescent="0.15">
      <c r="Q603" s="38">
        <v>600</v>
      </c>
      <c r="R603" s="39">
        <f>[1]节奏总纲!AD603</f>
        <v>92.304802564325527</v>
      </c>
      <c r="S603" s="39">
        <f>[1]节奏总纲!AE603</f>
        <v>94.566182978175902</v>
      </c>
      <c r="T603" s="39">
        <f>[1]节奏总纲!AF603</f>
        <v>97.702742999048837</v>
      </c>
      <c r="U603" s="39">
        <f>[1]节奏总纲!AG603</f>
        <v>102.53646170914388</v>
      </c>
      <c r="V603" s="39">
        <f>[1]节奏总纲!AH603</f>
        <v>111.42099139883071</v>
      </c>
    </row>
    <row r="604" spans="17:22" x14ac:dyDescent="0.15">
      <c r="Q604" s="38">
        <v>601</v>
      </c>
      <c r="R604" s="39">
        <f>[1]节奏总纲!AD604</f>
        <v>92.328492296001457</v>
      </c>
      <c r="S604" s="39">
        <f>[1]节奏总纲!AE604</f>
        <v>94.590073131283262</v>
      </c>
      <c r="T604" s="39">
        <f>[1]节奏总纲!AF604</f>
        <v>97.725641515666339</v>
      </c>
      <c r="U604" s="39">
        <f>[1]节奏总纲!AG604</f>
        <v>102.56084230661932</v>
      </c>
      <c r="V604" s="39">
        <f>[1]节奏总纲!AH604</f>
        <v>111.44599547199718</v>
      </c>
    </row>
    <row r="605" spans="17:22" x14ac:dyDescent="0.15">
      <c r="Q605" s="38">
        <v>602</v>
      </c>
      <c r="R605" s="39">
        <f>[1]节奏总纲!AD605</f>
        <v>92.352182027677401</v>
      </c>
      <c r="S605" s="39">
        <f>[1]节奏总纲!AE605</f>
        <v>94.613963284390607</v>
      </c>
      <c r="T605" s="39">
        <f>[1]节奏总纲!AF605</f>
        <v>97.748540032283856</v>
      </c>
      <c r="U605" s="39">
        <f>[1]节奏总纲!AG605</f>
        <v>102.58522290409475</v>
      </c>
      <c r="V605" s="39">
        <f>[1]节奏总纲!AH605</f>
        <v>111.47099954516365</v>
      </c>
    </row>
    <row r="606" spans="17:22" x14ac:dyDescent="0.15">
      <c r="Q606" s="38">
        <v>603</v>
      </c>
      <c r="R606" s="39">
        <f>[1]节奏总纲!AD606</f>
        <v>92.375871759353331</v>
      </c>
      <c r="S606" s="39">
        <f>[1]节奏总纲!AE606</f>
        <v>94.637853437497967</v>
      </c>
      <c r="T606" s="39">
        <f>[1]节奏总纲!AF606</f>
        <v>97.771438548901372</v>
      </c>
      <c r="U606" s="39">
        <f>[1]节奏总纲!AG606</f>
        <v>102.60960350157019</v>
      </c>
      <c r="V606" s="39">
        <f>[1]节奏总纲!AH606</f>
        <v>111.49600361833012</v>
      </c>
    </row>
    <row r="607" spans="17:22" x14ac:dyDescent="0.15">
      <c r="Q607" s="38">
        <v>604</v>
      </c>
      <c r="R607" s="39">
        <f>[1]节奏总纲!AD607</f>
        <v>92.399561491029274</v>
      </c>
      <c r="S607" s="39">
        <f>[1]节奏总纲!AE607</f>
        <v>94.661743590605326</v>
      </c>
      <c r="T607" s="39">
        <f>[1]节奏总纲!AF607</f>
        <v>97.794337065518874</v>
      </c>
      <c r="U607" s="39">
        <f>[1]节奏总纲!AG607</f>
        <v>102.63398409904562</v>
      </c>
      <c r="V607" s="39">
        <f>[1]节奏总纲!AH607</f>
        <v>111.52100769149659</v>
      </c>
    </row>
    <row r="608" spans="17:22" x14ac:dyDescent="0.15">
      <c r="Q608" s="38">
        <v>605</v>
      </c>
      <c r="R608" s="39">
        <f>[1]节奏总纲!AD608</f>
        <v>92.423251222705204</v>
      </c>
      <c r="S608" s="39">
        <f>[1]节奏总纲!AE608</f>
        <v>94.685633743712685</v>
      </c>
      <c r="T608" s="39">
        <f>[1]节奏总纲!AF608</f>
        <v>97.817235582136391</v>
      </c>
      <c r="U608" s="39">
        <f>[1]节奏总纲!AG608</f>
        <v>102.65836469652106</v>
      </c>
      <c r="V608" s="39">
        <f>[1]节奏总纲!AH608</f>
        <v>111.54601176466306</v>
      </c>
    </row>
    <row r="609" spans="17:22" x14ac:dyDescent="0.15">
      <c r="Q609" s="38">
        <v>606</v>
      </c>
      <c r="R609" s="39">
        <f>[1]节奏总纲!AD609</f>
        <v>92.446940954381148</v>
      </c>
      <c r="S609" s="39">
        <f>[1]节奏总纲!AE609</f>
        <v>94.709523896820045</v>
      </c>
      <c r="T609" s="39">
        <f>[1]节奏总纲!AF609</f>
        <v>97.840134098753893</v>
      </c>
      <c r="U609" s="39">
        <f>[1]节奏总纲!AG609</f>
        <v>102.68274529399649</v>
      </c>
      <c r="V609" s="39">
        <f>[1]节奏总纲!AH609</f>
        <v>111.57101583782955</v>
      </c>
    </row>
    <row r="610" spans="17:22" x14ac:dyDescent="0.15">
      <c r="Q610" s="38">
        <v>607</v>
      </c>
      <c r="R610" s="39">
        <f>[1]节奏总纲!AD610</f>
        <v>92.470630686057078</v>
      </c>
      <c r="S610" s="39">
        <f>[1]节奏总纲!AE610</f>
        <v>94.733414049927404</v>
      </c>
      <c r="T610" s="39">
        <f>[1]节奏总纲!AF610</f>
        <v>97.863032615371409</v>
      </c>
      <c r="U610" s="39">
        <f>[1]节奏总纲!AG610</f>
        <v>102.70712589147193</v>
      </c>
      <c r="V610" s="39">
        <f>[1]节奏总纲!AH610</f>
        <v>111.59601991099602</v>
      </c>
    </row>
    <row r="611" spans="17:22" x14ac:dyDescent="0.15">
      <c r="Q611" s="38">
        <v>608</v>
      </c>
      <c r="R611" s="39">
        <f>[1]节奏总纲!AD611</f>
        <v>92.494320417733022</v>
      </c>
      <c r="S611" s="39">
        <f>[1]节奏总纲!AE611</f>
        <v>94.757304203034764</v>
      </c>
      <c r="T611" s="39">
        <f>[1]节奏总纲!AF611</f>
        <v>97.885931131988926</v>
      </c>
      <c r="U611" s="39">
        <f>[1]节奏总纲!AG611</f>
        <v>102.73150648894736</v>
      </c>
      <c r="V611" s="39">
        <f>[1]节奏总纲!AH611</f>
        <v>111.62102398416249</v>
      </c>
    </row>
    <row r="612" spans="17:22" x14ac:dyDescent="0.15">
      <c r="Q612" s="38">
        <v>609</v>
      </c>
      <c r="R612" s="39">
        <f>[1]节奏总纲!AD612</f>
        <v>92.518010149408951</v>
      </c>
      <c r="S612" s="39">
        <f>[1]节奏总纲!AE612</f>
        <v>94.781194356142109</v>
      </c>
      <c r="T612" s="39">
        <f>[1]节奏总纲!AF612</f>
        <v>97.908829648606428</v>
      </c>
      <c r="U612" s="39">
        <f>[1]节奏总纲!AG612</f>
        <v>102.7558870864228</v>
      </c>
      <c r="V612" s="39">
        <f>[1]节奏总纲!AH612</f>
        <v>111.64602805732896</v>
      </c>
    </row>
    <row r="613" spans="17:22" x14ac:dyDescent="0.15">
      <c r="Q613" s="38">
        <v>610</v>
      </c>
      <c r="R613" s="39">
        <f>[1]节奏总纲!AD613</f>
        <v>92.541699881084895</v>
      </c>
      <c r="S613" s="39">
        <f>[1]节奏总纲!AE613</f>
        <v>94.805084509249468</v>
      </c>
      <c r="T613" s="39">
        <f>[1]节奏总纲!AF613</f>
        <v>97.931728165223944</v>
      </c>
      <c r="U613" s="39">
        <f>[1]节奏总纲!AG613</f>
        <v>102.78026768389823</v>
      </c>
      <c r="V613" s="39">
        <f>[1]节奏总纲!AH613</f>
        <v>111.67103213049543</v>
      </c>
    </row>
    <row r="614" spans="17:22" x14ac:dyDescent="0.15">
      <c r="Q614" s="38">
        <v>611</v>
      </c>
      <c r="R614" s="39">
        <f>[1]节奏总纲!AD614</f>
        <v>92.565389612760825</v>
      </c>
      <c r="S614" s="39">
        <f>[1]节奏总纲!AE614</f>
        <v>94.828974662356828</v>
      </c>
      <c r="T614" s="39">
        <f>[1]节奏总纲!AF614</f>
        <v>97.954626681841447</v>
      </c>
      <c r="U614" s="39">
        <f>[1]节奏总纲!AG614</f>
        <v>102.80464828137367</v>
      </c>
      <c r="V614" s="39">
        <f>[1]节奏总纲!AH614</f>
        <v>111.6960362036619</v>
      </c>
    </row>
    <row r="615" spans="17:22" x14ac:dyDescent="0.15">
      <c r="Q615" s="38">
        <v>612</v>
      </c>
      <c r="R615" s="39">
        <f>[1]节奏总纲!AD615</f>
        <v>92.589079344436769</v>
      </c>
      <c r="S615" s="39">
        <f>[1]节奏总纲!AE615</f>
        <v>94.852864815464187</v>
      </c>
      <c r="T615" s="39">
        <f>[1]节奏总纲!AF615</f>
        <v>97.977525198458963</v>
      </c>
      <c r="U615" s="39">
        <f>[1]节奏总纲!AG615</f>
        <v>102.8290288788491</v>
      </c>
      <c r="V615" s="39">
        <f>[1]节奏总纲!AH615</f>
        <v>111.72104027682838</v>
      </c>
    </row>
    <row r="616" spans="17:22" x14ac:dyDescent="0.15">
      <c r="Q616" s="38">
        <v>613</v>
      </c>
      <c r="R616" s="39">
        <f>[1]节奏总纲!AD616</f>
        <v>92.612769076112713</v>
      </c>
      <c r="S616" s="39">
        <f>[1]节奏总纲!AE616</f>
        <v>94.876754968571547</v>
      </c>
      <c r="T616" s="39">
        <f>[1]节奏总纲!AF616</f>
        <v>98.000405188466999</v>
      </c>
      <c r="U616" s="39">
        <f>[1]节奏总纲!AG616</f>
        <v>102.85340947632454</v>
      </c>
      <c r="V616" s="39">
        <f>[1]节奏总纲!AH616</f>
        <v>111.74604434999485</v>
      </c>
    </row>
    <row r="617" spans="17:22" x14ac:dyDescent="0.15">
      <c r="Q617" s="38">
        <v>614</v>
      </c>
      <c r="R617" s="39">
        <f>[1]节奏总纲!AD617</f>
        <v>92.636458807788642</v>
      </c>
      <c r="S617" s="39">
        <f>[1]节奏总纲!AE617</f>
        <v>94.900645121678906</v>
      </c>
      <c r="T617" s="39">
        <f>[1]节奏总纲!AF617</f>
        <v>98.022302485401042</v>
      </c>
      <c r="U617" s="39">
        <f>[1]节奏总纲!AG617</f>
        <v>102.87779007379997</v>
      </c>
      <c r="V617" s="39">
        <f>[1]节奏总纲!AH617</f>
        <v>111.77104842316133</v>
      </c>
    </row>
    <row r="618" spans="17:22" x14ac:dyDescent="0.15">
      <c r="Q618" s="38">
        <v>615</v>
      </c>
      <c r="R618" s="39">
        <f>[1]节奏总纲!AD618</f>
        <v>92.660148539464586</v>
      </c>
      <c r="S618" s="39">
        <f>[1]节奏总纲!AE618</f>
        <v>94.924535274786265</v>
      </c>
      <c r="T618" s="39">
        <f>[1]节奏总纲!AF618</f>
        <v>98.044199782335085</v>
      </c>
      <c r="U618" s="39">
        <f>[1]节奏总纲!AG618</f>
        <v>102.90217067127541</v>
      </c>
      <c r="V618" s="39">
        <f>[1]节奏总纲!AH618</f>
        <v>111.7960524963278</v>
      </c>
    </row>
    <row r="619" spans="17:22" x14ac:dyDescent="0.15">
      <c r="Q619" s="38">
        <v>616</v>
      </c>
      <c r="R619" s="39">
        <f>[1]节奏总纲!AD619</f>
        <v>92.683838271140516</v>
      </c>
      <c r="S619" s="39">
        <f>[1]节奏总纲!AE619</f>
        <v>94.948425427893611</v>
      </c>
      <c r="T619" s="39">
        <f>[1]节奏总纲!AF619</f>
        <v>98.066097079269127</v>
      </c>
      <c r="U619" s="39">
        <f>[1]节奏总纲!AG619</f>
        <v>102.92655126875084</v>
      </c>
      <c r="V619" s="39">
        <f>[1]节奏总纲!AH619</f>
        <v>111.82105656949427</v>
      </c>
    </row>
    <row r="620" spans="17:22" x14ac:dyDescent="0.15">
      <c r="Q620" s="38">
        <v>617</v>
      </c>
      <c r="R620" s="39">
        <f>[1]节奏总纲!AD620</f>
        <v>92.70752800281646</v>
      </c>
      <c r="S620" s="39">
        <f>[1]节奏总纲!AE620</f>
        <v>94.97231558100097</v>
      </c>
      <c r="T620" s="39">
        <f>[1]节奏总纲!AF620</f>
        <v>98.08799437620317</v>
      </c>
      <c r="U620" s="39">
        <f>[1]节奏总纲!AG620</f>
        <v>102.95093186622628</v>
      </c>
      <c r="V620" s="39">
        <f>[1]节奏总纲!AH620</f>
        <v>111.84606064266075</v>
      </c>
    </row>
    <row r="621" spans="17:22" x14ac:dyDescent="0.15">
      <c r="Q621" s="38">
        <v>618</v>
      </c>
      <c r="R621" s="39">
        <f>[1]节奏总纲!AD621</f>
        <v>92.73121773449239</v>
      </c>
      <c r="S621" s="39">
        <f>[1]节奏总纲!AE621</f>
        <v>94.996205734108329</v>
      </c>
      <c r="T621" s="39">
        <f>[1]节奏总纲!AF621</f>
        <v>98.109891673137213</v>
      </c>
      <c r="U621" s="39">
        <f>[1]节奏总纲!AG621</f>
        <v>102.97531246370173</v>
      </c>
      <c r="V621" s="39">
        <f>[1]节奏总纲!AH621</f>
        <v>111.87106471582722</v>
      </c>
    </row>
    <row r="622" spans="17:22" x14ac:dyDescent="0.15">
      <c r="Q622" s="38">
        <v>619</v>
      </c>
      <c r="R622" s="39">
        <f>[1]节奏总纲!AD622</f>
        <v>92.754907466168333</v>
      </c>
      <c r="S622" s="39">
        <f>[1]节奏总纲!AE622</f>
        <v>95.019617650928339</v>
      </c>
      <c r="T622" s="39">
        <f>[1]节奏总纲!AF622</f>
        <v>98.131788970071256</v>
      </c>
      <c r="U622" s="39">
        <f>[1]节奏总纲!AG622</f>
        <v>102.99969306117715</v>
      </c>
      <c r="V622" s="39">
        <f>[1]节奏总纲!AH622</f>
        <v>111.89606878899369</v>
      </c>
    </row>
    <row r="623" spans="17:22" x14ac:dyDescent="0.15">
      <c r="Q623" s="38">
        <v>620</v>
      </c>
      <c r="R623" s="39">
        <f>[1]节奏总纲!AD623</f>
        <v>92.778597197844263</v>
      </c>
      <c r="S623" s="39">
        <f>[1]节奏总纲!AE623</f>
        <v>95.0429392728729</v>
      </c>
      <c r="T623" s="39">
        <f>[1]节奏总纲!AF623</f>
        <v>98.153686267005298</v>
      </c>
      <c r="U623" s="39">
        <f>[1]节奏总纲!AG623</f>
        <v>103.02142624664008</v>
      </c>
      <c r="V623" s="39">
        <f>[1]节奏总纲!AH623</f>
        <v>111.92107286216016</v>
      </c>
    </row>
    <row r="624" spans="17:22" x14ac:dyDescent="0.15">
      <c r="Q624" s="38">
        <v>621</v>
      </c>
      <c r="R624" s="39">
        <f>[1]节奏总纲!AD624</f>
        <v>92.802286929520207</v>
      </c>
      <c r="S624" s="39">
        <f>[1]节奏总纲!AE624</f>
        <v>95.066260894817461</v>
      </c>
      <c r="T624" s="39">
        <f>[1]节奏总纲!AF624</f>
        <v>98.175583563939341</v>
      </c>
      <c r="U624" s="39">
        <f>[1]节奏总纲!AG624</f>
        <v>103.04312567763559</v>
      </c>
      <c r="V624" s="39">
        <f>[1]节奏总纲!AH624</f>
        <v>111.94607693532663</v>
      </c>
    </row>
    <row r="625" spans="17:22" x14ac:dyDescent="0.15">
      <c r="Q625" s="38">
        <v>622</v>
      </c>
      <c r="R625" s="39">
        <f>[1]节奏总纲!AD625</f>
        <v>92.825976661196137</v>
      </c>
      <c r="S625" s="39">
        <f>[1]节奏总纲!AE625</f>
        <v>95.089582516762022</v>
      </c>
      <c r="T625" s="39">
        <f>[1]节奏总纲!AF625</f>
        <v>98.197480860873384</v>
      </c>
      <c r="U625" s="39">
        <f>[1]节奏总纲!AG625</f>
        <v>103.0648251086311</v>
      </c>
      <c r="V625" s="39">
        <f>[1]节奏总纲!AH625</f>
        <v>111.97108100849312</v>
      </c>
    </row>
    <row r="626" spans="17:22" x14ac:dyDescent="0.15">
      <c r="Q626" s="38">
        <v>623</v>
      </c>
      <c r="R626" s="39">
        <f>[1]节奏总纲!AD626</f>
        <v>92.849666392872081</v>
      </c>
      <c r="S626" s="39">
        <f>[1]节奏总纲!AE626</f>
        <v>95.112904138706568</v>
      </c>
      <c r="T626" s="39">
        <f>[1]节奏总纲!AF626</f>
        <v>98.219378157807427</v>
      </c>
      <c r="U626" s="39">
        <f>[1]节奏总纲!AG626</f>
        <v>103.08652453962659</v>
      </c>
      <c r="V626" s="39">
        <f>[1]节奏总纲!AH626</f>
        <v>111.99608508165959</v>
      </c>
    </row>
    <row r="627" spans="17:22" x14ac:dyDescent="0.15">
      <c r="Q627" s="38">
        <v>624</v>
      </c>
      <c r="R627" s="39">
        <f>[1]节奏总纲!AD627</f>
        <v>92.87335612454801</v>
      </c>
      <c r="S627" s="39">
        <f>[1]节奏总纲!AE627</f>
        <v>95.136225760651129</v>
      </c>
      <c r="T627" s="39">
        <f>[1]节奏总纲!AF627</f>
        <v>98.241275454741469</v>
      </c>
      <c r="U627" s="39">
        <f>[1]节奏总纲!AG627</f>
        <v>103.10822397062211</v>
      </c>
      <c r="V627" s="39">
        <f>[1]节奏总纲!AH627</f>
        <v>112.01985623175406</v>
      </c>
    </row>
    <row r="628" spans="17:22" x14ac:dyDescent="0.15">
      <c r="Q628" s="38">
        <v>625</v>
      </c>
      <c r="R628" s="39">
        <f>[1]节奏总纲!AD628</f>
        <v>92.897045856223954</v>
      </c>
      <c r="S628" s="39">
        <f>[1]节奏总纲!AE628</f>
        <v>95.15954738259569</v>
      </c>
      <c r="T628" s="39">
        <f>[1]节奏总纲!AF628</f>
        <v>98.263172751675512</v>
      </c>
      <c r="U628" s="39">
        <f>[1]节奏总纲!AG628</f>
        <v>103.1299234016176</v>
      </c>
      <c r="V628" s="39">
        <f>[1]节奏总纲!AH628</f>
        <v>112.04339850623988</v>
      </c>
    </row>
    <row r="629" spans="17:22" x14ac:dyDescent="0.15">
      <c r="Q629" s="38">
        <v>626</v>
      </c>
      <c r="R629" s="39">
        <f>[1]节奏总纲!AD629</f>
        <v>92.920735587899898</v>
      </c>
      <c r="S629" s="39">
        <f>[1]节奏总纲!AE629</f>
        <v>95.182869004540251</v>
      </c>
      <c r="T629" s="39">
        <f>[1]节奏总纲!AF629</f>
        <v>98.285070048609555</v>
      </c>
      <c r="U629" s="39">
        <f>[1]节奏总纲!AG629</f>
        <v>103.15162283261311</v>
      </c>
      <c r="V629" s="39">
        <f>[1]节奏总纲!AH629</f>
        <v>112.0669407807257</v>
      </c>
    </row>
    <row r="630" spans="17:22" x14ac:dyDescent="0.15">
      <c r="Q630" s="38">
        <v>627</v>
      </c>
      <c r="R630" s="39">
        <f>[1]节奏总纲!AD630</f>
        <v>92.944425319575828</v>
      </c>
      <c r="S630" s="39">
        <f>[1]节奏总纲!AE630</f>
        <v>95.206190626484812</v>
      </c>
      <c r="T630" s="39">
        <f>[1]节奏总纲!AF630</f>
        <v>98.306967345543598</v>
      </c>
      <c r="U630" s="39">
        <f>[1]节奏总纲!AG630</f>
        <v>103.17332226360861</v>
      </c>
      <c r="V630" s="39">
        <f>[1]节奏总纲!AH630</f>
        <v>112.09048305521152</v>
      </c>
    </row>
    <row r="631" spans="17:22" x14ac:dyDescent="0.15">
      <c r="Q631" s="38">
        <v>628</v>
      </c>
      <c r="R631" s="39">
        <f>[1]节奏总纲!AD631</f>
        <v>92.968115051251772</v>
      </c>
      <c r="S631" s="39">
        <f>[1]节奏总纲!AE631</f>
        <v>95.229512248429359</v>
      </c>
      <c r="T631" s="39">
        <f>[1]节奏总纲!AF631</f>
        <v>98.32886464247764</v>
      </c>
      <c r="U631" s="39">
        <f>[1]节奏总纲!AG631</f>
        <v>103.19502169460412</v>
      </c>
      <c r="V631" s="39">
        <f>[1]节奏总纲!AH631</f>
        <v>112.11402532969736</v>
      </c>
    </row>
    <row r="632" spans="17:22" x14ac:dyDescent="0.15">
      <c r="Q632" s="38">
        <v>629</v>
      </c>
      <c r="R632" s="39">
        <f>[1]节奏总纲!AD632</f>
        <v>92.991804782927701</v>
      </c>
      <c r="S632" s="39">
        <f>[1]节奏总纲!AE632</f>
        <v>95.252833870373919</v>
      </c>
      <c r="T632" s="39">
        <f>[1]节奏总纲!AF632</f>
        <v>98.350761939411683</v>
      </c>
      <c r="U632" s="39">
        <f>[1]节奏总纲!AG632</f>
        <v>103.21672112559963</v>
      </c>
      <c r="V632" s="39">
        <f>[1]节奏总纲!AH632</f>
        <v>112.13756760418318</v>
      </c>
    </row>
    <row r="633" spans="17:22" x14ac:dyDescent="0.15">
      <c r="Q633" s="38">
        <v>630</v>
      </c>
      <c r="R633" s="39">
        <f>[1]节奏总纲!AD633</f>
        <v>93.014456893313053</v>
      </c>
      <c r="S633" s="39">
        <f>[1]节奏总纲!AE633</f>
        <v>95.27615549231848</v>
      </c>
      <c r="T633" s="39">
        <f>[1]节奏总纲!AF633</f>
        <v>98.372659236345726</v>
      </c>
      <c r="U633" s="39">
        <f>[1]节奏总纲!AG633</f>
        <v>103.23842055659513</v>
      </c>
      <c r="V633" s="39">
        <f>[1]节奏总纲!AH633</f>
        <v>112.161109878669</v>
      </c>
    </row>
    <row r="634" spans="17:22" x14ac:dyDescent="0.15">
      <c r="Q634" s="38">
        <v>631</v>
      </c>
      <c r="R634" s="39">
        <f>[1]节奏总纲!AD634</f>
        <v>93.036560194527354</v>
      </c>
      <c r="S634" s="39">
        <f>[1]节奏总纲!AE634</f>
        <v>95.299477114263041</v>
      </c>
      <c r="T634" s="39">
        <f>[1]节奏总纲!AF634</f>
        <v>98.394556533279768</v>
      </c>
      <c r="U634" s="39">
        <f>[1]节奏总纲!AG634</f>
        <v>103.26011998759064</v>
      </c>
      <c r="V634" s="39">
        <f>[1]节奏总纲!AH634</f>
        <v>112.18465215315481</v>
      </c>
    </row>
    <row r="635" spans="17:22" x14ac:dyDescent="0.15">
      <c r="Q635" s="38">
        <v>632</v>
      </c>
      <c r="R635" s="39">
        <f>[1]节奏总纲!AD635</f>
        <v>93.058663495741655</v>
      </c>
      <c r="S635" s="39">
        <f>[1]节奏总纲!AE635</f>
        <v>95.322798736207602</v>
      </c>
      <c r="T635" s="39">
        <f>[1]节奏总纲!AF635</f>
        <v>98.416453830213811</v>
      </c>
      <c r="U635" s="39">
        <f>[1]节奏总纲!AG635</f>
        <v>103.28181941858614</v>
      </c>
      <c r="V635" s="39">
        <f>[1]节奏总纲!AH635</f>
        <v>112.20819442764063</v>
      </c>
    </row>
    <row r="636" spans="17:22" x14ac:dyDescent="0.15">
      <c r="Q636" s="38">
        <v>633</v>
      </c>
      <c r="R636" s="39">
        <f>[1]节奏总纲!AD636</f>
        <v>93.080766796955956</v>
      </c>
      <c r="S636" s="39">
        <f>[1]节奏总纲!AE636</f>
        <v>95.346120358152149</v>
      </c>
      <c r="T636" s="39">
        <f>[1]节奏总纲!AF636</f>
        <v>98.438351127147854</v>
      </c>
      <c r="U636" s="39">
        <f>[1]节奏总纲!AG636</f>
        <v>103.30351884958165</v>
      </c>
      <c r="V636" s="39">
        <f>[1]节奏总纲!AH636</f>
        <v>112.23173670212647</v>
      </c>
    </row>
    <row r="637" spans="17:22" x14ac:dyDescent="0.15">
      <c r="Q637" s="38">
        <v>634</v>
      </c>
      <c r="R637" s="39">
        <f>[1]节奏总纲!AD637</f>
        <v>93.102870098170257</v>
      </c>
      <c r="S637" s="39">
        <f>[1]节奏总纲!AE637</f>
        <v>95.36944198009671</v>
      </c>
      <c r="T637" s="39">
        <f>[1]节奏总纲!AF637</f>
        <v>98.460248424081897</v>
      </c>
      <c r="U637" s="39">
        <f>[1]节奏总纲!AG637</f>
        <v>103.32521828057715</v>
      </c>
      <c r="V637" s="39">
        <f>[1]节奏总纲!AH637</f>
        <v>112.25527897661229</v>
      </c>
    </row>
    <row r="638" spans="17:22" x14ac:dyDescent="0.15">
      <c r="Q638" s="38">
        <v>635</v>
      </c>
      <c r="R638" s="39">
        <f>[1]节奏总纲!AD638</f>
        <v>93.124973399384572</v>
      </c>
      <c r="S638" s="39">
        <f>[1]节奏总纲!AE638</f>
        <v>95.392763602041271</v>
      </c>
      <c r="T638" s="39">
        <f>[1]节奏总纲!AF638</f>
        <v>98.482145721015939</v>
      </c>
      <c r="U638" s="39">
        <f>[1]节奏总纲!AG638</f>
        <v>103.34691771157266</v>
      </c>
      <c r="V638" s="39">
        <f>[1]节奏总纲!AH638</f>
        <v>112.27882125109811</v>
      </c>
    </row>
    <row r="639" spans="17:22" x14ac:dyDescent="0.15">
      <c r="Q639" s="38">
        <v>636</v>
      </c>
      <c r="R639" s="39">
        <f>[1]节奏总纲!AD639</f>
        <v>93.147076700598873</v>
      </c>
      <c r="S639" s="39">
        <f>[1]节奏总纲!AE639</f>
        <v>95.416085223985831</v>
      </c>
      <c r="T639" s="39">
        <f>[1]节奏总纲!AF639</f>
        <v>98.504043017949982</v>
      </c>
      <c r="U639" s="39">
        <f>[1]节奏总纲!AG639</f>
        <v>103.36861714256817</v>
      </c>
      <c r="V639" s="39">
        <f>[1]节奏总纲!AH639</f>
        <v>112.30236352558393</v>
      </c>
    </row>
    <row r="640" spans="17:22" x14ac:dyDescent="0.15">
      <c r="Q640" s="38">
        <v>637</v>
      </c>
      <c r="R640" s="39">
        <f>[1]节奏总纲!AD640</f>
        <v>93.169180001813174</v>
      </c>
      <c r="S640" s="39">
        <f>[1]节奏总纲!AE640</f>
        <v>95.439406845930392</v>
      </c>
      <c r="T640" s="39">
        <f>[1]节奏总纲!AF640</f>
        <v>98.525940314884025</v>
      </c>
      <c r="U640" s="39">
        <f>[1]节奏总纲!AG640</f>
        <v>103.39031657356367</v>
      </c>
      <c r="V640" s="39">
        <f>[1]节奏总纲!AH640</f>
        <v>112.32590580006975</v>
      </c>
    </row>
    <row r="641" spans="17:22" x14ac:dyDescent="0.15">
      <c r="Q641" s="38">
        <v>638</v>
      </c>
      <c r="R641" s="39">
        <f>[1]节奏总纲!AD641</f>
        <v>93.191283303027475</v>
      </c>
      <c r="S641" s="39">
        <f>[1]节奏总纲!AE641</f>
        <v>95.462728467874939</v>
      </c>
      <c r="T641" s="39">
        <f>[1]节奏总纲!AF641</f>
        <v>98.547837611818068</v>
      </c>
      <c r="U641" s="39">
        <f>[1]节奏总纲!AG641</f>
        <v>103.41201600455918</v>
      </c>
      <c r="V641" s="39">
        <f>[1]节奏总纲!AH641</f>
        <v>112.34944807455558</v>
      </c>
    </row>
    <row r="642" spans="17:22" x14ac:dyDescent="0.15">
      <c r="Q642" s="38">
        <v>639</v>
      </c>
      <c r="R642" s="39">
        <f>[1]节奏总纲!AD642</f>
        <v>93.213386604241791</v>
      </c>
      <c r="S642" s="39">
        <f>[1]节奏总纲!AE642</f>
        <v>95.4860500898195</v>
      </c>
      <c r="T642" s="39">
        <f>[1]节奏总纲!AF642</f>
        <v>98.56973490875211</v>
      </c>
      <c r="U642" s="39">
        <f>[1]节奏总纲!AG642</f>
        <v>103.43371543555467</v>
      </c>
      <c r="V642" s="39">
        <f>[1]节奏总纲!AH642</f>
        <v>112.3729903490414</v>
      </c>
    </row>
    <row r="643" spans="17:22" x14ac:dyDescent="0.15">
      <c r="Q643" s="38">
        <v>640</v>
      </c>
      <c r="R643" s="39">
        <f>[1]节奏总纲!AD643</f>
        <v>93.235489905456092</v>
      </c>
      <c r="S643" s="39">
        <f>[1]节奏总纲!AE643</f>
        <v>95.509371711764061</v>
      </c>
      <c r="T643" s="39">
        <f>[1]节奏总纲!AF643</f>
        <v>98.591632205686153</v>
      </c>
      <c r="U643" s="39">
        <f>[1]节奏总纲!AG643</f>
        <v>103.45541486655019</v>
      </c>
      <c r="V643" s="39">
        <f>[1]节奏总纲!AH643</f>
        <v>112.39653262352722</v>
      </c>
    </row>
    <row r="644" spans="17:22" x14ac:dyDescent="0.15">
      <c r="Q644" s="38">
        <v>641</v>
      </c>
      <c r="R644" s="39">
        <f>[1]节奏总纲!AD644</f>
        <v>93.257593206670393</v>
      </c>
      <c r="S644" s="39">
        <f>[1]节奏总纲!AE644</f>
        <v>95.532693333708622</v>
      </c>
      <c r="T644" s="39">
        <f>[1]节奏总纲!AF644</f>
        <v>98.613529502620196</v>
      </c>
      <c r="U644" s="39">
        <f>[1]节奏总纲!AG644</f>
        <v>103.47711429754568</v>
      </c>
      <c r="V644" s="39">
        <f>[1]节奏总纲!AH644</f>
        <v>112.42007489801304</v>
      </c>
    </row>
    <row r="645" spans="17:22" x14ac:dyDescent="0.15">
      <c r="Q645" s="38">
        <v>642</v>
      </c>
      <c r="R645" s="39">
        <f>[1]节奏总纲!AD645</f>
        <v>93.279696507884694</v>
      </c>
      <c r="S645" s="39">
        <f>[1]节奏总纲!AE645</f>
        <v>95.556014955653183</v>
      </c>
      <c r="T645" s="39">
        <f>[1]节奏总纲!AF645</f>
        <v>98.635426799554239</v>
      </c>
      <c r="U645" s="39">
        <f>[1]节奏总纲!AG645</f>
        <v>103.49881372854119</v>
      </c>
      <c r="V645" s="39">
        <f>[1]节奏总纲!AH645</f>
        <v>112.44361717249886</v>
      </c>
    </row>
    <row r="646" spans="17:22" x14ac:dyDescent="0.15">
      <c r="Q646" s="38">
        <v>643</v>
      </c>
      <c r="R646" s="39">
        <f>[1]节奏总纲!AD646</f>
        <v>93.301799809098995</v>
      </c>
      <c r="S646" s="39">
        <f>[1]节奏总纲!AE646</f>
        <v>95.579336577597729</v>
      </c>
      <c r="T646" s="39">
        <f>[1]节奏总纲!AF646</f>
        <v>98.657324096488281</v>
      </c>
      <c r="U646" s="39">
        <f>[1]节奏总纲!AG646</f>
        <v>103.52051315953669</v>
      </c>
      <c r="V646" s="39">
        <f>[1]节奏总纲!AH646</f>
        <v>112.4671594469847</v>
      </c>
    </row>
    <row r="647" spans="17:22" x14ac:dyDescent="0.15">
      <c r="Q647" s="38">
        <v>644</v>
      </c>
      <c r="R647" s="39">
        <f>[1]节奏总纲!AD647</f>
        <v>93.32390311031331</v>
      </c>
      <c r="S647" s="39">
        <f>[1]节奏总纲!AE647</f>
        <v>95.60265819954229</v>
      </c>
      <c r="T647" s="39">
        <f>[1]节奏总纲!AF647</f>
        <v>98.679221393422324</v>
      </c>
      <c r="U647" s="39">
        <f>[1]节奏总纲!AG647</f>
        <v>103.5422125905322</v>
      </c>
      <c r="V647" s="39">
        <f>[1]节奏总纲!AH647</f>
        <v>112.49070172147051</v>
      </c>
    </row>
    <row r="648" spans="17:22" x14ac:dyDescent="0.15">
      <c r="Q648" s="38">
        <v>645</v>
      </c>
      <c r="R648" s="39">
        <f>[1]节奏总纲!AD648</f>
        <v>93.346006411527611</v>
      </c>
      <c r="S648" s="39">
        <f>[1]节奏总纲!AE648</f>
        <v>95.625979821486851</v>
      </c>
      <c r="T648" s="39">
        <f>[1]节奏总纲!AF648</f>
        <v>98.701118690356367</v>
      </c>
      <c r="U648" s="39">
        <f>[1]节奏总纲!AG648</f>
        <v>103.56391202152771</v>
      </c>
      <c r="V648" s="39">
        <f>[1]节奏总纲!AH648</f>
        <v>112.51424399595633</v>
      </c>
    </row>
    <row r="649" spans="17:22" x14ac:dyDescent="0.15">
      <c r="Q649" s="38">
        <v>646</v>
      </c>
      <c r="R649" s="39">
        <f>[1]节奏总纲!AD649</f>
        <v>93.368109712741912</v>
      </c>
      <c r="S649" s="39">
        <f>[1]节奏总纲!AE649</f>
        <v>95.649301443431412</v>
      </c>
      <c r="T649" s="39">
        <f>[1]节奏总纲!AF649</f>
        <v>98.72301598729041</v>
      </c>
      <c r="U649" s="39">
        <f>[1]节奏总纲!AG649</f>
        <v>103.58561145252321</v>
      </c>
      <c r="V649" s="39">
        <f>[1]节奏总纲!AH649</f>
        <v>112.53778627044215</v>
      </c>
    </row>
    <row r="650" spans="17:22" x14ac:dyDescent="0.15">
      <c r="Q650" s="38">
        <v>647</v>
      </c>
      <c r="R650" s="39">
        <f>[1]节奏总纲!AD650</f>
        <v>93.390213013956213</v>
      </c>
      <c r="S650" s="39">
        <f>[1]节奏总纲!AE650</f>
        <v>95.672623065375973</v>
      </c>
      <c r="T650" s="39">
        <f>[1]节奏总纲!AF650</f>
        <v>98.744913284224452</v>
      </c>
      <c r="U650" s="39">
        <f>[1]节奏总纲!AG650</f>
        <v>103.60731088351872</v>
      </c>
      <c r="V650" s="39">
        <f>[1]节奏总纲!AH650</f>
        <v>112.56132854492797</v>
      </c>
    </row>
    <row r="651" spans="17:22" x14ac:dyDescent="0.15">
      <c r="Q651" s="38">
        <v>648</v>
      </c>
      <c r="R651" s="39">
        <f>[1]节奏总纲!AD651</f>
        <v>93.412316315170528</v>
      </c>
      <c r="S651" s="39">
        <f>[1]节奏总纲!AE651</f>
        <v>95.695944687320534</v>
      </c>
      <c r="T651" s="39">
        <f>[1]节奏总纲!AF651</f>
        <v>98.766810581158495</v>
      </c>
      <c r="U651" s="39">
        <f>[1]节奏总纲!AG651</f>
        <v>103.62901031451422</v>
      </c>
      <c r="V651" s="39">
        <f>[1]节奏总纲!AH651</f>
        <v>112.58487081941379</v>
      </c>
    </row>
    <row r="652" spans="17:22" x14ac:dyDescent="0.15">
      <c r="Q652" s="38">
        <v>649</v>
      </c>
      <c r="R652" s="39">
        <f>[1]节奏总纲!AD652</f>
        <v>93.43441961638483</v>
      </c>
      <c r="S652" s="39">
        <f>[1]节奏总纲!AE652</f>
        <v>95.71926630926508</v>
      </c>
      <c r="T652" s="39">
        <f>[1]节奏总纲!AF652</f>
        <v>98.788707878092538</v>
      </c>
      <c r="U652" s="39">
        <f>[1]节奏总纲!AG652</f>
        <v>103.65070974550973</v>
      </c>
      <c r="V652" s="39">
        <f>[1]节奏总纲!AH652</f>
        <v>112.60841309389963</v>
      </c>
    </row>
    <row r="653" spans="17:22" x14ac:dyDescent="0.15">
      <c r="Q653" s="38">
        <v>650</v>
      </c>
      <c r="R653" s="39">
        <f>[1]节奏总纲!AD653</f>
        <v>93.456522917599131</v>
      </c>
      <c r="S653" s="39">
        <f>[1]节奏总纲!AE653</f>
        <v>95.742587931209641</v>
      </c>
      <c r="T653" s="39">
        <f>[1]节奏总纲!AF653</f>
        <v>98.810605175026581</v>
      </c>
      <c r="U653" s="39">
        <f>[1]节奏总纲!AG653</f>
        <v>103.67240917650523</v>
      </c>
      <c r="V653" s="39">
        <f>[1]节奏总纲!AH653</f>
        <v>112.63195536838545</v>
      </c>
    </row>
    <row r="654" spans="17:22" x14ac:dyDescent="0.15">
      <c r="Q654" s="38">
        <v>651</v>
      </c>
      <c r="R654" s="39">
        <f>[1]节奏总纲!AD654</f>
        <v>93.478626218813432</v>
      </c>
      <c r="S654" s="39">
        <f>[1]节奏总纲!AE654</f>
        <v>95.765909553154202</v>
      </c>
      <c r="T654" s="39">
        <f>[1]节奏总纲!AF654</f>
        <v>98.832502471960623</v>
      </c>
      <c r="U654" s="39">
        <f>[1]节奏总纲!AG654</f>
        <v>103.69410860750074</v>
      </c>
      <c r="V654" s="39">
        <f>[1]节奏总纲!AH654</f>
        <v>112.65549764287127</v>
      </c>
    </row>
    <row r="655" spans="17:22" x14ac:dyDescent="0.15">
      <c r="Q655" s="38">
        <v>652</v>
      </c>
      <c r="R655" s="39">
        <f>[1]节奏总纲!AD655</f>
        <v>93.500729520027747</v>
      </c>
      <c r="S655" s="39">
        <f>[1]节奏总纲!AE655</f>
        <v>95.789231175098763</v>
      </c>
      <c r="T655" s="39">
        <f>[1]节奏总纲!AF655</f>
        <v>98.854399768894666</v>
      </c>
      <c r="U655" s="39">
        <f>[1]节奏总纲!AG655</f>
        <v>103.71580803849625</v>
      </c>
      <c r="V655" s="39">
        <f>[1]节奏总纲!AH655</f>
        <v>112.67903991735709</v>
      </c>
    </row>
    <row r="656" spans="17:22" x14ac:dyDescent="0.15">
      <c r="Q656" s="38">
        <v>653</v>
      </c>
      <c r="R656" s="39">
        <f>[1]节奏总纲!AD656</f>
        <v>93.522832821242048</v>
      </c>
      <c r="S656" s="39">
        <f>[1]节奏总纲!AE656</f>
        <v>95.812552797043324</v>
      </c>
      <c r="T656" s="39">
        <f>[1]节奏总纲!AF656</f>
        <v>98.876297065828709</v>
      </c>
      <c r="U656" s="39">
        <f>[1]节奏总纲!AG656</f>
        <v>103.73750746949175</v>
      </c>
      <c r="V656" s="39">
        <f>[1]节奏总纲!AH656</f>
        <v>112.70258219184291</v>
      </c>
    </row>
    <row r="657" spans="17:22" x14ac:dyDescent="0.15">
      <c r="Q657" s="38">
        <v>654</v>
      </c>
      <c r="R657" s="39">
        <f>[1]节奏总纲!AD657</f>
        <v>93.544936122456349</v>
      </c>
      <c r="S657" s="39">
        <f>[1]节奏总纲!AE657</f>
        <v>95.835874418987871</v>
      </c>
      <c r="T657" s="39">
        <f>[1]节奏总纲!AF657</f>
        <v>98.898194362762752</v>
      </c>
      <c r="U657" s="39">
        <f>[1]节奏总纲!AG657</f>
        <v>103.75920690048726</v>
      </c>
      <c r="V657" s="39">
        <f>[1]节奏总纲!AH657</f>
        <v>112.72612446632874</v>
      </c>
    </row>
    <row r="658" spans="17:22" x14ac:dyDescent="0.15">
      <c r="Q658" s="38">
        <v>655</v>
      </c>
      <c r="R658" s="39">
        <f>[1]节奏总纲!AD658</f>
        <v>93.56703942367065</v>
      </c>
      <c r="S658" s="39">
        <f>[1]节奏总纲!AE658</f>
        <v>95.859196040932432</v>
      </c>
      <c r="T658" s="39">
        <f>[1]节奏总纲!AF658</f>
        <v>98.920091659696794</v>
      </c>
      <c r="U658" s="39">
        <f>[1]节奏总纲!AG658</f>
        <v>103.78090633148275</v>
      </c>
      <c r="V658" s="39">
        <f>[1]节奏总纲!AH658</f>
        <v>112.74966674081456</v>
      </c>
    </row>
    <row r="659" spans="17:22" x14ac:dyDescent="0.15">
      <c r="Q659" s="38">
        <v>656</v>
      </c>
      <c r="R659" s="39">
        <f>[1]节奏总纲!AD659</f>
        <v>93.589142724884951</v>
      </c>
      <c r="S659" s="39">
        <f>[1]节奏总纲!AE659</f>
        <v>95.882517662876992</v>
      </c>
      <c r="T659" s="39">
        <f>[1]节奏总纲!AF659</f>
        <v>98.941988956630837</v>
      </c>
      <c r="U659" s="39">
        <f>[1]节奏总纲!AG659</f>
        <v>103.80260576247827</v>
      </c>
      <c r="V659" s="39">
        <f>[1]节奏总纲!AH659</f>
        <v>112.77320901530038</v>
      </c>
    </row>
    <row r="660" spans="17:22" x14ac:dyDescent="0.15">
      <c r="Q660" s="38">
        <v>657</v>
      </c>
      <c r="R660" s="39">
        <f>[1]节奏总纲!AD660</f>
        <v>93.611246026099266</v>
      </c>
      <c r="S660" s="39">
        <f>[1]节奏总纲!AE660</f>
        <v>95.905839284821553</v>
      </c>
      <c r="T660" s="39">
        <f>[1]节奏总纲!AF660</f>
        <v>98.96388625356488</v>
      </c>
      <c r="U660" s="39">
        <f>[1]节奏总纲!AG660</f>
        <v>103.82430519347376</v>
      </c>
      <c r="V660" s="39">
        <f>[1]节奏总纲!AH660</f>
        <v>112.7967512897862</v>
      </c>
    </row>
    <row r="661" spans="17:22" x14ac:dyDescent="0.15">
      <c r="Q661" s="38">
        <v>658</v>
      </c>
      <c r="R661" s="39">
        <f>[1]节奏总纲!AD661</f>
        <v>93.633349327313567</v>
      </c>
      <c r="S661" s="39">
        <f>[1]节奏总纲!AE661</f>
        <v>95.929160906766114</v>
      </c>
      <c r="T661" s="39">
        <f>[1]节奏总纲!AF661</f>
        <v>98.985783550498923</v>
      </c>
      <c r="U661" s="39">
        <f>[1]节奏总纲!AG661</f>
        <v>103.84600462446927</v>
      </c>
      <c r="V661" s="39">
        <f>[1]节奏总纲!AH661</f>
        <v>112.82029356427202</v>
      </c>
    </row>
    <row r="662" spans="17:22" x14ac:dyDescent="0.15">
      <c r="Q662" s="38">
        <v>659</v>
      </c>
      <c r="R662" s="39">
        <f>[1]节奏总纲!AD662</f>
        <v>93.655452628527868</v>
      </c>
      <c r="S662" s="39">
        <f>[1]节奏总纲!AE662</f>
        <v>95.952482528710661</v>
      </c>
      <c r="T662" s="39">
        <f>[1]节奏总纲!AF662</f>
        <v>99.007301686184391</v>
      </c>
      <c r="U662" s="39">
        <f>[1]节奏总纲!AG662</f>
        <v>103.86770405546478</v>
      </c>
      <c r="V662" s="39">
        <f>[1]节奏总纲!AH662</f>
        <v>112.84383583875785</v>
      </c>
    </row>
    <row r="663" spans="17:22" x14ac:dyDescent="0.15">
      <c r="Q663" s="38">
        <v>660</v>
      </c>
      <c r="R663" s="39">
        <f>[1]节奏总纲!AD663</f>
        <v>93.677555929742169</v>
      </c>
      <c r="S663" s="39">
        <f>[1]节奏总纲!AE663</f>
        <v>95.975804150655222</v>
      </c>
      <c r="T663" s="39">
        <f>[1]节奏总纲!AF663</f>
        <v>99.028118033845786</v>
      </c>
      <c r="U663" s="39">
        <f>[1]节奏总纲!AG663</f>
        <v>103.88940348646028</v>
      </c>
      <c r="V663" s="39">
        <f>[1]节奏总纲!AH663</f>
        <v>112.86737811324367</v>
      </c>
    </row>
    <row r="664" spans="17:22" x14ac:dyDescent="0.15">
      <c r="Q664" s="38">
        <v>661</v>
      </c>
      <c r="R664" s="39">
        <f>[1]节奏总纲!AD664</f>
        <v>93.699659230956485</v>
      </c>
      <c r="S664" s="39">
        <f>[1]节奏总纲!AE664</f>
        <v>95.999125772599783</v>
      </c>
      <c r="T664" s="39">
        <f>[1]节奏总纲!AF664</f>
        <v>99.048934381507181</v>
      </c>
      <c r="U664" s="39">
        <f>[1]节奏总纲!AG664</f>
        <v>103.91110291745579</v>
      </c>
      <c r="V664" s="39">
        <f>[1]节奏总纲!AH664</f>
        <v>112.89092038772949</v>
      </c>
    </row>
    <row r="665" spans="17:22" x14ac:dyDescent="0.15">
      <c r="Q665" s="38">
        <v>662</v>
      </c>
      <c r="R665" s="39">
        <f>[1]节奏总纲!AD665</f>
        <v>93.721762532170786</v>
      </c>
      <c r="S665" s="39">
        <f>[1]节奏总纲!AE665</f>
        <v>96.020621439095706</v>
      </c>
      <c r="T665" s="39">
        <f>[1]节奏总纲!AF665</f>
        <v>99.069750729168575</v>
      </c>
      <c r="U665" s="39">
        <f>[1]节奏总纲!AG665</f>
        <v>103.93280234845129</v>
      </c>
      <c r="V665" s="39">
        <f>[1]节奏总纲!AH665</f>
        <v>112.91446266221531</v>
      </c>
    </row>
    <row r="666" spans="17:22" x14ac:dyDescent="0.15">
      <c r="Q666" s="38">
        <v>663</v>
      </c>
      <c r="R666" s="39">
        <f>[1]节奏总纲!AD666</f>
        <v>93.743865833385087</v>
      </c>
      <c r="S666" s="39">
        <f>[1]节奏总纲!AE666</f>
        <v>96.042045992648795</v>
      </c>
      <c r="T666" s="39">
        <f>[1]节奏总纲!AF666</f>
        <v>99.09056707682997</v>
      </c>
      <c r="U666" s="39">
        <f>[1]节奏总纲!AG666</f>
        <v>103.9545017794468</v>
      </c>
      <c r="V666" s="39">
        <f>[1]节奏总纲!AH666</f>
        <v>112.93800493670113</v>
      </c>
    </row>
    <row r="667" spans="17:22" x14ac:dyDescent="0.15">
      <c r="Q667" s="38">
        <v>664</v>
      </c>
      <c r="R667" s="39">
        <f>[1]节奏总纲!AD667</f>
        <v>93.765969134599388</v>
      </c>
      <c r="S667" s="39">
        <f>[1]节奏总纲!AE667</f>
        <v>96.063470546201899</v>
      </c>
      <c r="T667" s="39">
        <f>[1]节奏总纲!AF667</f>
        <v>99.111383424491365</v>
      </c>
      <c r="U667" s="39">
        <f>[1]节奏总纲!AG667</f>
        <v>103.9762012104423</v>
      </c>
      <c r="V667" s="39">
        <f>[1]节奏总纲!AH667</f>
        <v>112.96154721118697</v>
      </c>
    </row>
    <row r="668" spans="17:22" x14ac:dyDescent="0.15">
      <c r="Q668" s="38">
        <v>665</v>
      </c>
      <c r="R668" s="39">
        <f>[1]节奏总纲!AD668</f>
        <v>93.788072435813689</v>
      </c>
      <c r="S668" s="39">
        <f>[1]节奏总纲!AE668</f>
        <v>96.084895099754988</v>
      </c>
      <c r="T668" s="39">
        <f>[1]节奏总纲!AF668</f>
        <v>99.132199772152759</v>
      </c>
      <c r="U668" s="39">
        <f>[1]节奏总纲!AG668</f>
        <v>103.99790064143781</v>
      </c>
      <c r="V668" s="39">
        <f>[1]节奏总纲!AH668</f>
        <v>112.98508948567279</v>
      </c>
    </row>
    <row r="669" spans="17:22" x14ac:dyDescent="0.15">
      <c r="Q669" s="38">
        <v>666</v>
      </c>
      <c r="R669" s="39">
        <f>[1]节奏总纲!AD669</f>
        <v>93.810175737028004</v>
      </c>
      <c r="S669" s="39">
        <f>[1]节奏总纲!AE669</f>
        <v>96.106319653308091</v>
      </c>
      <c r="T669" s="39">
        <f>[1]节奏总纲!AF669</f>
        <v>99.153016119814154</v>
      </c>
      <c r="U669" s="39">
        <f>[1]节奏总纲!AG669</f>
        <v>104.01862560173025</v>
      </c>
      <c r="V669" s="39">
        <f>[1]节奏总纲!AH669</f>
        <v>113.00808264487495</v>
      </c>
    </row>
    <row r="670" spans="17:22" x14ac:dyDescent="0.15">
      <c r="Q670" s="38">
        <v>667</v>
      </c>
      <c r="R670" s="39">
        <f>[1]节奏总纲!AD670</f>
        <v>93.832279038242305</v>
      </c>
      <c r="S670" s="39">
        <f>[1]节奏总纲!AE670</f>
        <v>96.12774420686118</v>
      </c>
      <c r="T670" s="39">
        <f>[1]节奏总纲!AF670</f>
        <v>99.173832467475549</v>
      </c>
      <c r="U670" s="39">
        <f>[1]节奏总纲!AG670</f>
        <v>104.03924618672403</v>
      </c>
      <c r="V670" s="39">
        <f>[1]节奏总纲!AH670</f>
        <v>113.03012726158359</v>
      </c>
    </row>
    <row r="671" spans="17:22" x14ac:dyDescent="0.15">
      <c r="Q671" s="38">
        <v>668</v>
      </c>
      <c r="R671" s="39">
        <f>[1]节奏总纲!AD671</f>
        <v>93.854382339456606</v>
      </c>
      <c r="S671" s="39">
        <f>[1]节奏总纲!AE671</f>
        <v>96.149168760414284</v>
      </c>
      <c r="T671" s="39">
        <f>[1]节奏总纲!AF671</f>
        <v>99.194648815136944</v>
      </c>
      <c r="U671" s="39">
        <f>[1]节奏总纲!AG671</f>
        <v>104.05986677171782</v>
      </c>
      <c r="V671" s="39">
        <f>[1]节奏总纲!AH671</f>
        <v>113.05217187829223</v>
      </c>
    </row>
    <row r="672" spans="17:22" x14ac:dyDescent="0.15">
      <c r="Q672" s="38">
        <v>669</v>
      </c>
      <c r="R672" s="39">
        <f>[1]节奏总纲!AD672</f>
        <v>93.876485640670907</v>
      </c>
      <c r="S672" s="39">
        <f>[1]节奏总纲!AE672</f>
        <v>96.170593313967373</v>
      </c>
      <c r="T672" s="39">
        <f>[1]节奏总纲!AF672</f>
        <v>99.215465162798324</v>
      </c>
      <c r="U672" s="39">
        <f>[1]节奏总纲!AG672</f>
        <v>104.0804873567116</v>
      </c>
      <c r="V672" s="39">
        <f>[1]节奏总纲!AH672</f>
        <v>113.07421649500087</v>
      </c>
    </row>
    <row r="673" spans="17:22" x14ac:dyDescent="0.15">
      <c r="Q673" s="38">
        <v>670</v>
      </c>
      <c r="R673" s="39">
        <f>[1]节奏总纲!AD673</f>
        <v>93.898588941885222</v>
      </c>
      <c r="S673" s="39">
        <f>[1]节奏总纲!AE673</f>
        <v>96.192017867520477</v>
      </c>
      <c r="T673" s="39">
        <f>[1]节奏总纲!AF673</f>
        <v>99.236281510459719</v>
      </c>
      <c r="U673" s="39">
        <f>[1]节奏总纲!AG673</f>
        <v>104.10110794170538</v>
      </c>
      <c r="V673" s="39">
        <f>[1]节奏总纲!AH673</f>
        <v>113.09626111170952</v>
      </c>
    </row>
    <row r="674" spans="17:22" x14ac:dyDescent="0.15">
      <c r="Q674" s="38">
        <v>671</v>
      </c>
      <c r="R674" s="39">
        <f>[1]节奏总纲!AD674</f>
        <v>93.920692243099523</v>
      </c>
      <c r="S674" s="39">
        <f>[1]节奏总纲!AE674</f>
        <v>96.213442421073566</v>
      </c>
      <c r="T674" s="39">
        <f>[1]节奏总纲!AF674</f>
        <v>99.257097858121114</v>
      </c>
      <c r="U674" s="39">
        <f>[1]节奏总纲!AG674</f>
        <v>104.12172852669916</v>
      </c>
      <c r="V674" s="39">
        <f>[1]节奏总纲!AH674</f>
        <v>113.11830572841816</v>
      </c>
    </row>
    <row r="675" spans="17:22" x14ac:dyDescent="0.15">
      <c r="Q675" s="38">
        <v>672</v>
      </c>
      <c r="R675" s="39">
        <f>[1]节奏总纲!AD675</f>
        <v>93.942795544313825</v>
      </c>
      <c r="S675" s="39">
        <f>[1]节奏总纲!AE675</f>
        <v>96.234866974626669</v>
      </c>
      <c r="T675" s="39">
        <f>[1]节奏总纲!AF675</f>
        <v>99.277914205782508</v>
      </c>
      <c r="U675" s="39">
        <f>[1]节奏总纲!AG675</f>
        <v>104.14234911169294</v>
      </c>
      <c r="V675" s="39">
        <f>[1]节奏总纲!AH675</f>
        <v>113.14035034512681</v>
      </c>
    </row>
    <row r="676" spans="17:22" x14ac:dyDescent="0.15">
      <c r="Q676" s="38">
        <v>673</v>
      </c>
      <c r="R676" s="39">
        <f>[1]节奏总纲!AD676</f>
        <v>93.964898845528126</v>
      </c>
      <c r="S676" s="39">
        <f>[1]节奏总纲!AE676</f>
        <v>96.256291528179759</v>
      </c>
      <c r="T676" s="39">
        <f>[1]节奏总纲!AF676</f>
        <v>99.298730553443903</v>
      </c>
      <c r="U676" s="39">
        <f>[1]节奏总纲!AG676</f>
        <v>104.16296969668672</v>
      </c>
      <c r="V676" s="39">
        <f>[1]节奏总纲!AH676</f>
        <v>113.16239496183545</v>
      </c>
    </row>
    <row r="677" spans="17:22" x14ac:dyDescent="0.15">
      <c r="Q677" s="38">
        <v>674</v>
      </c>
      <c r="R677" s="39">
        <f>[1]节奏总纲!AD677</f>
        <v>93.987002146742441</v>
      </c>
      <c r="S677" s="39">
        <f>[1]节奏总纲!AE677</f>
        <v>96.277716081732862</v>
      </c>
      <c r="T677" s="39">
        <f>[1]节奏总纲!AF677</f>
        <v>99.319546901105298</v>
      </c>
      <c r="U677" s="39">
        <f>[1]节奏总纲!AG677</f>
        <v>104.18359028168049</v>
      </c>
      <c r="V677" s="39">
        <f>[1]节奏总纲!AH677</f>
        <v>113.18443957854409</v>
      </c>
    </row>
    <row r="678" spans="17:22" x14ac:dyDescent="0.15">
      <c r="Q678" s="38">
        <v>675</v>
      </c>
      <c r="R678" s="39">
        <f>[1]节奏总纲!AD678</f>
        <v>94.008495683346354</v>
      </c>
      <c r="S678" s="39">
        <f>[1]节奏总纲!AE678</f>
        <v>96.299140635285951</v>
      </c>
      <c r="T678" s="39">
        <f>[1]节奏总纲!AF678</f>
        <v>99.340363248766693</v>
      </c>
      <c r="U678" s="39">
        <f>[1]节奏总纲!AG678</f>
        <v>104.20421086667427</v>
      </c>
      <c r="V678" s="39">
        <f>[1]节奏总纲!AH678</f>
        <v>113.20648419525273</v>
      </c>
    </row>
    <row r="679" spans="17:22" x14ac:dyDescent="0.15">
      <c r="Q679" s="38">
        <v>676</v>
      </c>
      <c r="R679" s="39">
        <f>[1]节奏总纲!AD679</f>
        <v>94.029118792601182</v>
      </c>
      <c r="S679" s="39">
        <f>[1]节奏总纲!AE679</f>
        <v>96.320565188839055</v>
      </c>
      <c r="T679" s="39">
        <f>[1]节奏总纲!AF679</f>
        <v>99.361179596428087</v>
      </c>
      <c r="U679" s="39">
        <f>[1]节奏总纲!AG679</f>
        <v>104.22483145166807</v>
      </c>
      <c r="V679" s="39">
        <f>[1]节奏总纲!AH679</f>
        <v>113.22852881196138</v>
      </c>
    </row>
    <row r="680" spans="17:22" x14ac:dyDescent="0.15">
      <c r="Q680" s="38">
        <v>677</v>
      </c>
      <c r="R680" s="39">
        <f>[1]节奏总纲!AD680</f>
        <v>94.049741901855995</v>
      </c>
      <c r="S680" s="39">
        <f>[1]节奏总纲!AE680</f>
        <v>96.341989742392144</v>
      </c>
      <c r="T680" s="39">
        <f>[1]节奏总纲!AF680</f>
        <v>99.381995944089482</v>
      </c>
      <c r="U680" s="39">
        <f>[1]节奏总纲!AG680</f>
        <v>104.24545203666185</v>
      </c>
      <c r="V680" s="39">
        <f>[1]节奏总纲!AH680</f>
        <v>113.25057342867002</v>
      </c>
    </row>
    <row r="681" spans="17:22" x14ac:dyDescent="0.15">
      <c r="Q681" s="38">
        <v>678</v>
      </c>
      <c r="R681" s="39">
        <f>[1]节奏总纲!AD681</f>
        <v>94.070365011110823</v>
      </c>
      <c r="S681" s="39">
        <f>[1]节奏总纲!AE681</f>
        <v>96.363414295945248</v>
      </c>
      <c r="T681" s="39">
        <f>[1]节奏总纲!AF681</f>
        <v>99.402812291750877</v>
      </c>
      <c r="U681" s="39">
        <f>[1]节奏总纲!AG681</f>
        <v>104.26607262165562</v>
      </c>
      <c r="V681" s="39">
        <f>[1]节奏总纲!AH681</f>
        <v>113.27261804537866</v>
      </c>
    </row>
    <row r="682" spans="17:22" x14ac:dyDescent="0.15">
      <c r="Q682" s="38">
        <v>679</v>
      </c>
      <c r="R682" s="39">
        <f>[1]节奏总纲!AD682</f>
        <v>94.090988120365637</v>
      </c>
      <c r="S682" s="39">
        <f>[1]节奏总纲!AE682</f>
        <v>96.384838849498337</v>
      </c>
      <c r="T682" s="39">
        <f>[1]节奏总纲!AF682</f>
        <v>99.423628639412271</v>
      </c>
      <c r="U682" s="39">
        <f>[1]节奏总纲!AG682</f>
        <v>104.2866932066494</v>
      </c>
      <c r="V682" s="39">
        <f>[1]节奏总纲!AH682</f>
        <v>113.2946626620873</v>
      </c>
    </row>
    <row r="683" spans="17:22" x14ac:dyDescent="0.15">
      <c r="Q683" s="38">
        <v>680</v>
      </c>
      <c r="R683" s="39">
        <f>[1]节奏总纲!AD683</f>
        <v>94.111611229620465</v>
      </c>
      <c r="S683" s="39">
        <f>[1]节奏总纲!AE683</f>
        <v>96.40626340305144</v>
      </c>
      <c r="T683" s="39">
        <f>[1]节奏总纲!AF683</f>
        <v>99.444444987073666</v>
      </c>
      <c r="U683" s="39">
        <f>[1]节奏总纲!AG683</f>
        <v>104.30731379164318</v>
      </c>
      <c r="V683" s="39">
        <f>[1]节奏总纲!AH683</f>
        <v>113.31670727879595</v>
      </c>
    </row>
    <row r="684" spans="17:22" x14ac:dyDescent="0.15">
      <c r="Q684" s="38">
        <v>681</v>
      </c>
      <c r="R684" s="39">
        <f>[1]节奏总纲!AD684</f>
        <v>94.132234338875293</v>
      </c>
      <c r="S684" s="39">
        <f>[1]节奏总纲!AE684</f>
        <v>96.42768795660453</v>
      </c>
      <c r="T684" s="39">
        <f>[1]节奏总纲!AF684</f>
        <v>99.465261334735061</v>
      </c>
      <c r="U684" s="39">
        <f>[1]节奏总纲!AG684</f>
        <v>104.32793437663696</v>
      </c>
      <c r="V684" s="39">
        <f>[1]节奏总纲!AH684</f>
        <v>113.33875189550459</v>
      </c>
    </row>
    <row r="685" spans="17:22" x14ac:dyDescent="0.15">
      <c r="Q685" s="38">
        <v>682</v>
      </c>
      <c r="R685" s="39">
        <f>[1]节奏总纲!AD685</f>
        <v>94.152857448130106</v>
      </c>
      <c r="S685" s="39">
        <f>[1]节奏总纲!AE685</f>
        <v>96.449112510157633</v>
      </c>
      <c r="T685" s="39">
        <f>[1]节奏总纲!AF685</f>
        <v>99.486077682396441</v>
      </c>
      <c r="U685" s="39">
        <f>[1]节奏总纲!AG685</f>
        <v>104.34855496163074</v>
      </c>
      <c r="V685" s="39">
        <f>[1]节奏总纲!AH685</f>
        <v>113.36079651221324</v>
      </c>
    </row>
    <row r="686" spans="17:22" x14ac:dyDescent="0.15">
      <c r="Q686" s="38">
        <v>683</v>
      </c>
      <c r="R686" s="39">
        <f>[1]节奏总纲!AD686</f>
        <v>94.173480557384934</v>
      </c>
      <c r="S686" s="39">
        <f>[1]节奏总纲!AE686</f>
        <v>96.470537063710722</v>
      </c>
      <c r="T686" s="39">
        <f>[1]节奏总纲!AF686</f>
        <v>99.506894030057836</v>
      </c>
      <c r="U686" s="39">
        <f>[1]节奏总纲!AG686</f>
        <v>104.36917554662452</v>
      </c>
      <c r="V686" s="39">
        <f>[1]节奏总纲!AH686</f>
        <v>113.38284112892188</v>
      </c>
    </row>
    <row r="687" spans="17:22" x14ac:dyDescent="0.15">
      <c r="Q687" s="38">
        <v>684</v>
      </c>
      <c r="R687" s="39">
        <f>[1]节奏总纲!AD687</f>
        <v>94.194103666639748</v>
      </c>
      <c r="S687" s="39">
        <f>[1]节奏总纲!AE687</f>
        <v>96.491961617263826</v>
      </c>
      <c r="T687" s="39">
        <f>[1]节奏总纲!AF687</f>
        <v>99.527710377719231</v>
      </c>
      <c r="U687" s="39">
        <f>[1]节奏总纲!AG687</f>
        <v>104.38979613161831</v>
      </c>
      <c r="V687" s="39">
        <f>[1]节奏总纲!AH687</f>
        <v>113.40488574563052</v>
      </c>
    </row>
    <row r="688" spans="17:22" x14ac:dyDescent="0.15">
      <c r="Q688" s="38">
        <v>685</v>
      </c>
      <c r="R688" s="39">
        <f>[1]节奏总纲!AD688</f>
        <v>94.214726775894576</v>
      </c>
      <c r="S688" s="39">
        <f>[1]节奏总纲!AE688</f>
        <v>96.513386170816915</v>
      </c>
      <c r="T688" s="39">
        <f>[1]节奏总纲!AF688</f>
        <v>99.548526725380626</v>
      </c>
      <c r="U688" s="39">
        <f>[1]节奏总纲!AG688</f>
        <v>104.41041671661209</v>
      </c>
      <c r="V688" s="39">
        <f>[1]节奏总纲!AH688</f>
        <v>113.42693036233916</v>
      </c>
    </row>
    <row r="689" spans="17:22" x14ac:dyDescent="0.15">
      <c r="Q689" s="38">
        <v>686</v>
      </c>
      <c r="R689" s="39">
        <f>[1]节奏总纲!AD689</f>
        <v>94.23534988514939</v>
      </c>
      <c r="S689" s="39">
        <f>[1]节奏总纲!AE689</f>
        <v>96.534810724370018</v>
      </c>
      <c r="T689" s="39">
        <f>[1]节奏总纲!AF689</f>
        <v>99.56934307304202</v>
      </c>
      <c r="U689" s="39">
        <f>[1]节奏总纲!AG689</f>
        <v>104.43103730160587</v>
      </c>
      <c r="V689" s="39">
        <f>[1]节奏总纲!AH689</f>
        <v>113.4489749790478</v>
      </c>
    </row>
    <row r="690" spans="17:22" x14ac:dyDescent="0.15">
      <c r="Q690" s="38">
        <v>687</v>
      </c>
      <c r="R690" s="39">
        <f>[1]节奏总纲!AD690</f>
        <v>94.255972994404218</v>
      </c>
      <c r="S690" s="39">
        <f>[1]节奏总纲!AE690</f>
        <v>96.556235277923108</v>
      </c>
      <c r="T690" s="39">
        <f>[1]节奏总纲!AF690</f>
        <v>99.590159420703415</v>
      </c>
      <c r="U690" s="39">
        <f>[1]节奏总纲!AG690</f>
        <v>104.45165788659965</v>
      </c>
      <c r="V690" s="39">
        <f>[1]节奏总纲!AH690</f>
        <v>113.47101959575645</v>
      </c>
    </row>
    <row r="691" spans="17:22" x14ac:dyDescent="0.15">
      <c r="Q691" s="38">
        <v>688</v>
      </c>
      <c r="R691" s="39">
        <f>[1]节奏总纲!AD691</f>
        <v>94.276596103659031</v>
      </c>
      <c r="S691" s="39">
        <f>[1]节奏总纲!AE691</f>
        <v>96.577659831476211</v>
      </c>
      <c r="T691" s="39">
        <f>[1]节奏总纲!AF691</f>
        <v>99.61097576836481</v>
      </c>
      <c r="U691" s="39">
        <f>[1]节奏总纲!AG691</f>
        <v>104.47227847159343</v>
      </c>
      <c r="V691" s="39">
        <f>[1]节奏总纲!AH691</f>
        <v>113.49306421246509</v>
      </c>
    </row>
    <row r="692" spans="17:22" x14ac:dyDescent="0.15">
      <c r="Q692" s="38">
        <v>689</v>
      </c>
      <c r="R692" s="39">
        <f>[1]节奏总纲!AD692</f>
        <v>94.297219212913859</v>
      </c>
      <c r="S692" s="39">
        <f>[1]节奏总纲!AE692</f>
        <v>96.5990843850293</v>
      </c>
      <c r="T692" s="39">
        <f>[1]节奏总纲!AF692</f>
        <v>99.631792116026205</v>
      </c>
      <c r="U692" s="39">
        <f>[1]节奏总纲!AG692</f>
        <v>104.49289905658721</v>
      </c>
      <c r="V692" s="39">
        <f>[1]节奏总纲!AH692</f>
        <v>113.51510882917374</v>
      </c>
    </row>
    <row r="693" spans="17:22" x14ac:dyDescent="0.15">
      <c r="Q693" s="38">
        <v>690</v>
      </c>
      <c r="R693" s="39">
        <f>[1]节奏总纲!AD693</f>
        <v>94.317842322168687</v>
      </c>
      <c r="S693" s="39">
        <f>[1]节奏总纲!AE693</f>
        <v>96.620508938582404</v>
      </c>
      <c r="T693" s="39">
        <f>[1]节奏总纲!AF693</f>
        <v>99.652608463687599</v>
      </c>
      <c r="U693" s="39">
        <f>[1]节奏总纲!AG693</f>
        <v>104.51351964158098</v>
      </c>
      <c r="V693" s="39">
        <f>[1]节奏总纲!AH693</f>
        <v>113.53715344588238</v>
      </c>
    </row>
    <row r="694" spans="17:22" x14ac:dyDescent="0.15">
      <c r="Q694" s="38">
        <v>691</v>
      </c>
      <c r="R694" s="39">
        <f>[1]节奏总纲!AD694</f>
        <v>94.338465431423501</v>
      </c>
      <c r="S694" s="39">
        <f>[1]节奏总纲!AE694</f>
        <v>96.641933492135493</v>
      </c>
      <c r="T694" s="39">
        <f>[1]节奏总纲!AF694</f>
        <v>99.673424811348994</v>
      </c>
      <c r="U694" s="39">
        <f>[1]节奏总纲!AG694</f>
        <v>104.53414022657476</v>
      </c>
      <c r="V694" s="39">
        <f>[1]节奏总纲!AH694</f>
        <v>113.55919806259102</v>
      </c>
    </row>
    <row r="695" spans="17:22" x14ac:dyDescent="0.15">
      <c r="Q695" s="38">
        <v>692</v>
      </c>
      <c r="R695" s="39">
        <f>[1]节奏总纲!AD695</f>
        <v>94.359088540678329</v>
      </c>
      <c r="S695" s="39">
        <f>[1]节奏总纲!AE695</f>
        <v>96.663358045688597</v>
      </c>
      <c r="T695" s="39">
        <f>[1]节奏总纲!AF695</f>
        <v>99.694241159010389</v>
      </c>
      <c r="U695" s="39">
        <f>[1]节奏总纲!AG695</f>
        <v>104.55476081156856</v>
      </c>
      <c r="V695" s="39">
        <f>[1]节奏总纲!AH695</f>
        <v>113.58124267929966</v>
      </c>
    </row>
    <row r="696" spans="17:22" x14ac:dyDescent="0.15">
      <c r="Q696" s="38">
        <v>693</v>
      </c>
      <c r="R696" s="39">
        <f>[1]节奏总纲!AD696</f>
        <v>94.379711649933142</v>
      </c>
      <c r="S696" s="39">
        <f>[1]节奏总纲!AE696</f>
        <v>96.684782599241686</v>
      </c>
      <c r="T696" s="39">
        <f>[1]节奏总纲!AF696</f>
        <v>99.715057506671783</v>
      </c>
      <c r="U696" s="39">
        <f>[1]节奏总纲!AG696</f>
        <v>104.57538139656234</v>
      </c>
      <c r="V696" s="39">
        <f>[1]节奏总纲!AH696</f>
        <v>113.6032872960083</v>
      </c>
    </row>
    <row r="697" spans="17:22" x14ac:dyDescent="0.15">
      <c r="Q697" s="38">
        <v>694</v>
      </c>
      <c r="R697" s="39">
        <f>[1]节奏总纲!AD697</f>
        <v>94.40033475918797</v>
      </c>
      <c r="S697" s="39">
        <f>[1]节奏总纲!AE697</f>
        <v>96.706207152794789</v>
      </c>
      <c r="T697" s="39">
        <f>[1]节奏总纲!AF697</f>
        <v>99.735873854333178</v>
      </c>
      <c r="U697" s="39">
        <f>[1]节奏总纲!AG697</f>
        <v>104.59600198155611</v>
      </c>
      <c r="V697" s="39">
        <f>[1]节奏总纲!AH697</f>
        <v>113.62533191271694</v>
      </c>
    </row>
    <row r="698" spans="17:22" x14ac:dyDescent="0.15">
      <c r="Q698" s="38">
        <v>695</v>
      </c>
      <c r="R698" s="39">
        <f>[1]节奏总纲!AD698</f>
        <v>94.420957868442784</v>
      </c>
      <c r="S698" s="39">
        <f>[1]节奏总纲!AE698</f>
        <v>96.727631706347879</v>
      </c>
      <c r="T698" s="39">
        <f>[1]节奏总纲!AF698</f>
        <v>99.756690201994573</v>
      </c>
      <c r="U698" s="39">
        <f>[1]节奏总纲!AG698</f>
        <v>104.61662256654989</v>
      </c>
      <c r="V698" s="39">
        <f>[1]节奏总纲!AH698</f>
        <v>113.6473765294256</v>
      </c>
    </row>
    <row r="699" spans="17:22" x14ac:dyDescent="0.15">
      <c r="Q699" s="38">
        <v>696</v>
      </c>
      <c r="R699" s="39">
        <f>[1]节奏总纲!AD699</f>
        <v>94.441580977697612</v>
      </c>
      <c r="S699" s="39">
        <f>[1]节奏总纲!AE699</f>
        <v>96.749056259900982</v>
      </c>
      <c r="T699" s="39">
        <f>[1]节奏总纲!AF699</f>
        <v>99.777506549655953</v>
      </c>
      <c r="U699" s="39">
        <f>[1]节奏总纲!AG699</f>
        <v>104.63724315154367</v>
      </c>
      <c r="V699" s="39">
        <f>[1]节奏总纲!AH699</f>
        <v>113.66942114613424</v>
      </c>
    </row>
    <row r="700" spans="17:22" x14ac:dyDescent="0.15">
      <c r="Q700" s="38">
        <v>697</v>
      </c>
      <c r="R700" s="39">
        <f>[1]节奏总纲!AD700</f>
        <v>94.462204086952426</v>
      </c>
      <c r="S700" s="39">
        <f>[1]节奏总纲!AE700</f>
        <v>96.770480813454071</v>
      </c>
      <c r="T700" s="39">
        <f>[1]节奏总纲!AF700</f>
        <v>99.798322897317348</v>
      </c>
      <c r="U700" s="39">
        <f>[1]节奏总纲!AG700</f>
        <v>104.65786373653745</v>
      </c>
      <c r="V700" s="39">
        <f>[1]节奏总纲!AH700</f>
        <v>113.69146576284288</v>
      </c>
    </row>
    <row r="701" spans="17:22" x14ac:dyDescent="0.15">
      <c r="Q701" s="38">
        <v>698</v>
      </c>
      <c r="R701" s="39">
        <f>[1]节奏总纲!AD701</f>
        <v>94.482827196207253</v>
      </c>
      <c r="S701" s="39">
        <f>[1]节奏总纲!AE701</f>
        <v>96.791905367007175</v>
      </c>
      <c r="T701" s="39">
        <f>[1]节奏总纲!AF701</f>
        <v>99.819139244978743</v>
      </c>
      <c r="U701" s="39">
        <f>[1]节奏总纲!AG701</f>
        <v>104.67848432153123</v>
      </c>
      <c r="V701" s="39">
        <f>[1]节奏总纲!AH701</f>
        <v>113.71351037955152</v>
      </c>
    </row>
    <row r="702" spans="17:22" x14ac:dyDescent="0.15">
      <c r="Q702" s="38">
        <v>699</v>
      </c>
      <c r="R702" s="39">
        <f>[1]节奏总纲!AD702</f>
        <v>94.503450305462067</v>
      </c>
      <c r="S702" s="39">
        <f>[1]节奏总纲!AE702</f>
        <v>96.813329920560278</v>
      </c>
      <c r="T702" s="39">
        <f>[1]节奏总纲!AF702</f>
        <v>99.839955592640138</v>
      </c>
      <c r="U702" s="39">
        <f>[1]节奏总纲!AG702</f>
        <v>104.69910490652501</v>
      </c>
      <c r="V702" s="39">
        <f>[1]节奏总纲!AH702</f>
        <v>113.73555499626016</v>
      </c>
    </row>
    <row r="703" spans="17:22" x14ac:dyDescent="0.15">
      <c r="Q703" s="38">
        <v>700</v>
      </c>
      <c r="R703" s="39">
        <f>[1]节奏总纲!AD703</f>
        <v>94.524073414716895</v>
      </c>
      <c r="S703" s="39">
        <f>[1]节奏总纲!AE703</f>
        <v>96.834754474113367</v>
      </c>
      <c r="T703" s="39">
        <f>[1]节奏总纲!AF703</f>
        <v>99.860771940301532</v>
      </c>
      <c r="U703" s="39">
        <f>[1]节奏总纲!AG703</f>
        <v>104.7197254915188</v>
      </c>
      <c r="V703" s="39">
        <f>[1]节奏总纲!AH703</f>
        <v>113.7575996129688</v>
      </c>
    </row>
    <row r="704" spans="17:22" x14ac:dyDescent="0.15">
      <c r="Q704" s="38">
        <v>701</v>
      </c>
      <c r="R704" s="39">
        <f>[1]节奏总纲!AD704</f>
        <v>94.544696523971723</v>
      </c>
      <c r="S704" s="39">
        <f>[1]节奏总纲!AE704</f>
        <v>96.856179027666471</v>
      </c>
      <c r="T704" s="39">
        <f>[1]节奏总纲!AF704</f>
        <v>99.881588287962927</v>
      </c>
      <c r="U704" s="39">
        <f>[1]节奏总纲!AG704</f>
        <v>104.74034607651258</v>
      </c>
      <c r="V704" s="39">
        <f>[1]节奏总纲!AH704</f>
        <v>113.77964422967746</v>
      </c>
    </row>
    <row r="705" spans="17:22" x14ac:dyDescent="0.15">
      <c r="Q705" s="38">
        <v>702</v>
      </c>
      <c r="R705" s="39">
        <f>[1]节奏总纲!AD705</f>
        <v>94.565319633226537</v>
      </c>
      <c r="S705" s="39">
        <f>[1]节奏总纲!AE705</f>
        <v>96.87760358121956</v>
      </c>
      <c r="T705" s="39">
        <f>[1]节奏总纲!AF705</f>
        <v>99.902404635624322</v>
      </c>
      <c r="U705" s="39">
        <f>[1]节奏总纲!AG705</f>
        <v>104.76096666150636</v>
      </c>
      <c r="V705" s="39">
        <f>[1]节奏总纲!AH705</f>
        <v>113.8016888463861</v>
      </c>
    </row>
    <row r="706" spans="17:22" x14ac:dyDescent="0.15">
      <c r="Q706" s="38">
        <v>703</v>
      </c>
      <c r="R706" s="39">
        <f>[1]节奏总纲!AD706</f>
        <v>94.585942742481365</v>
      </c>
      <c r="S706" s="39">
        <f>[1]节奏总纲!AE706</f>
        <v>96.899028134772664</v>
      </c>
      <c r="T706" s="39">
        <f>[1]节奏总纲!AF706</f>
        <v>99.923220983285717</v>
      </c>
      <c r="U706" s="39">
        <f>[1]节奏总纲!AG706</f>
        <v>104.78158724650014</v>
      </c>
      <c r="V706" s="39">
        <f>[1]节奏总纲!AH706</f>
        <v>113.82373346309474</v>
      </c>
    </row>
    <row r="707" spans="17:22" x14ac:dyDescent="0.15">
      <c r="Q707" s="38">
        <v>704</v>
      </c>
      <c r="R707" s="39">
        <f>[1]节奏总纲!AD707</f>
        <v>94.606565851736178</v>
      </c>
      <c r="S707" s="39">
        <f>[1]节奏总纲!AE707</f>
        <v>96.920452688325753</v>
      </c>
      <c r="T707" s="39">
        <f>[1]节奏总纲!AF707</f>
        <v>99.944037330947111</v>
      </c>
      <c r="U707" s="39">
        <f>[1]节奏总纲!AG707</f>
        <v>104.80220783149392</v>
      </c>
      <c r="V707" s="39">
        <f>[1]节奏总纲!AH707</f>
        <v>113.84577807980338</v>
      </c>
    </row>
    <row r="708" spans="17:22" x14ac:dyDescent="0.15">
      <c r="Q708" s="38">
        <v>705</v>
      </c>
      <c r="R708" s="39">
        <f>[1]节奏总纲!AD708</f>
        <v>94.627188960991006</v>
      </c>
      <c r="S708" s="39">
        <f>[1]节奏总纲!AE708</f>
        <v>96.941877241878856</v>
      </c>
      <c r="T708" s="39">
        <f>[1]节奏总纲!AF708</f>
        <v>99.964853678608506</v>
      </c>
      <c r="U708" s="39">
        <f>[1]节奏总纲!AG708</f>
        <v>104.8228284164877</v>
      </c>
      <c r="V708" s="39">
        <f>[1]节奏总纲!AH708</f>
        <v>113.86782269651202</v>
      </c>
    </row>
    <row r="709" spans="17:22" x14ac:dyDescent="0.15">
      <c r="Q709" s="38">
        <v>706</v>
      </c>
      <c r="R709" s="39">
        <f>[1]节奏总纲!AD709</f>
        <v>94.64781207024582</v>
      </c>
      <c r="S709" s="39">
        <f>[1]节奏总纲!AE709</f>
        <v>96.963301795431946</v>
      </c>
      <c r="T709" s="39">
        <f>[1]节奏总纲!AF709</f>
        <v>99.985670026269901</v>
      </c>
      <c r="U709" s="39">
        <f>[1]节奏总纲!AG709</f>
        <v>104.84344900148147</v>
      </c>
      <c r="V709" s="39">
        <f>[1]节奏总纲!AH709</f>
        <v>113.88986731322066</v>
      </c>
    </row>
    <row r="710" spans="17:22" x14ac:dyDescent="0.15">
      <c r="Q710" s="38">
        <v>707</v>
      </c>
      <c r="R710" s="39">
        <f>[1]节奏总纲!AD710</f>
        <v>94.668435179500648</v>
      </c>
      <c r="S710" s="39">
        <f>[1]节奏总纲!AE710</f>
        <v>96.984726348985049</v>
      </c>
      <c r="T710" s="39">
        <f>[1]节奏总纲!AF710</f>
        <v>100.00628670579708</v>
      </c>
      <c r="U710" s="39">
        <f>[1]节奏总纲!AG710</f>
        <v>104.86406958647527</v>
      </c>
      <c r="V710" s="39">
        <f>[1]节奏总纲!AH710</f>
        <v>113.9119119299293</v>
      </c>
    </row>
    <row r="711" spans="17:22" x14ac:dyDescent="0.15">
      <c r="Q711" s="38">
        <v>708</v>
      </c>
      <c r="R711" s="39">
        <f>[1]节奏总纲!AD711</f>
        <v>94.689058288755461</v>
      </c>
      <c r="S711" s="39">
        <f>[1]节奏总纲!AE711</f>
        <v>97.005454257414542</v>
      </c>
      <c r="T711" s="39">
        <f>[1]节奏总纲!AF711</f>
        <v>100.02646226997257</v>
      </c>
      <c r="U711" s="39">
        <f>[1]节奏总纲!AG711</f>
        <v>104.88469017146905</v>
      </c>
      <c r="V711" s="39">
        <f>[1]节奏总纲!AH711</f>
        <v>113.93395654663796</v>
      </c>
    </row>
    <row r="712" spans="17:22" x14ac:dyDescent="0.15">
      <c r="Q712" s="38">
        <v>709</v>
      </c>
      <c r="R712" s="39">
        <f>[1]节奏总纲!AD712</f>
        <v>94.709681398010289</v>
      </c>
      <c r="S712" s="39">
        <f>[1]节奏总纲!AE712</f>
        <v>97.024452287272069</v>
      </c>
      <c r="T712" s="39">
        <f>[1]节奏总纲!AF712</f>
        <v>100.04663783414806</v>
      </c>
      <c r="U712" s="39">
        <f>[1]节奏总纲!AG712</f>
        <v>104.90531075646282</v>
      </c>
      <c r="V712" s="39">
        <f>[1]节奏总纲!AH712</f>
        <v>113.9560011633466</v>
      </c>
    </row>
    <row r="713" spans="17:22" x14ac:dyDescent="0.15">
      <c r="Q713" s="38">
        <v>710</v>
      </c>
      <c r="R713" s="39">
        <f>[1]节奏总纲!AD713</f>
        <v>94.730304507265117</v>
      </c>
      <c r="S713" s="39">
        <f>[1]节奏总纲!AE713</f>
        <v>97.043450317129583</v>
      </c>
      <c r="T713" s="39">
        <f>[1]节奏总纲!AF713</f>
        <v>100.06681339832355</v>
      </c>
      <c r="U713" s="39">
        <f>[1]节奏总纲!AG713</f>
        <v>104.9259313414566</v>
      </c>
      <c r="V713" s="39">
        <f>[1]节奏总纲!AH713</f>
        <v>113.97804578005524</v>
      </c>
    </row>
    <row r="714" spans="17:22" x14ac:dyDescent="0.15">
      <c r="Q714" s="38">
        <v>711</v>
      </c>
      <c r="R714" s="39">
        <f>[1]节奏总纲!AD714</f>
        <v>94.750927616519931</v>
      </c>
      <c r="S714" s="39">
        <f>[1]节奏总纲!AE714</f>
        <v>97.062448346987111</v>
      </c>
      <c r="T714" s="39">
        <f>[1]节奏总纲!AF714</f>
        <v>100.08698896249903</v>
      </c>
      <c r="U714" s="39">
        <f>[1]节奏总纲!AG714</f>
        <v>104.94655192645038</v>
      </c>
      <c r="V714" s="39">
        <f>[1]节奏总纲!AH714</f>
        <v>114.00008567124907</v>
      </c>
    </row>
    <row r="715" spans="17:22" x14ac:dyDescent="0.15">
      <c r="Q715" s="38">
        <v>712</v>
      </c>
      <c r="R715" s="39">
        <f>[1]节奏总纲!AD715</f>
        <v>94.771550725774759</v>
      </c>
      <c r="S715" s="39">
        <f>[1]节奏总纲!AE715</f>
        <v>97.081446376844625</v>
      </c>
      <c r="T715" s="39">
        <f>[1]节奏总纲!AF715</f>
        <v>100.10716452667452</v>
      </c>
      <c r="U715" s="39">
        <f>[1]节奏总纲!AG715</f>
        <v>104.96717251144416</v>
      </c>
      <c r="V715" s="39">
        <f>[1]节奏总纲!AH715</f>
        <v>114.02097789977064</v>
      </c>
    </row>
    <row r="716" spans="17:22" x14ac:dyDescent="0.15">
      <c r="Q716" s="38">
        <v>713</v>
      </c>
      <c r="R716" s="39">
        <f>[1]节奏总纲!AD716</f>
        <v>94.792173835029573</v>
      </c>
      <c r="S716" s="39">
        <f>[1]节奏总纲!AE716</f>
        <v>97.100444406702152</v>
      </c>
      <c r="T716" s="39">
        <f>[1]节奏总纲!AF716</f>
        <v>100.12734009085001</v>
      </c>
      <c r="U716" s="39">
        <f>[1]节奏总纲!AG716</f>
        <v>104.98779309643794</v>
      </c>
      <c r="V716" s="39">
        <f>[1]节奏总纲!AH716</f>
        <v>114.04187012829223</v>
      </c>
    </row>
    <row r="717" spans="17:22" x14ac:dyDescent="0.15">
      <c r="Q717" s="38">
        <v>714</v>
      </c>
      <c r="R717" s="39">
        <f>[1]节奏总纲!AD717</f>
        <v>94.812796944284401</v>
      </c>
      <c r="S717" s="39">
        <f>[1]节奏总纲!AE717</f>
        <v>97.11944243655968</v>
      </c>
      <c r="T717" s="39">
        <f>[1]节奏总纲!AF717</f>
        <v>100.1475156550255</v>
      </c>
      <c r="U717" s="39">
        <f>[1]节奏总纲!AG717</f>
        <v>105.00803400805998</v>
      </c>
      <c r="V717" s="39">
        <f>[1]节奏总纲!AH717</f>
        <v>114.06276235681381</v>
      </c>
    </row>
    <row r="718" spans="17:22" x14ac:dyDescent="0.15">
      <c r="Q718" s="38">
        <v>715</v>
      </c>
      <c r="R718" s="39">
        <f>[1]节奏总纲!AD718</f>
        <v>94.833420053539214</v>
      </c>
      <c r="S718" s="39">
        <f>[1]节奏总纲!AE718</f>
        <v>97.138440466417194</v>
      </c>
      <c r="T718" s="39">
        <f>[1]节奏总纲!AF718</f>
        <v>100.16769121920098</v>
      </c>
      <c r="U718" s="39">
        <f>[1]节奏总纲!AG718</f>
        <v>105.02772407445786</v>
      </c>
      <c r="V718" s="39">
        <f>[1]节奏总纲!AH718</f>
        <v>114.08365458533538</v>
      </c>
    </row>
    <row r="719" spans="17:22" x14ac:dyDescent="0.15">
      <c r="Q719" s="38">
        <v>716</v>
      </c>
      <c r="R719" s="39">
        <f>[1]节奏总纲!AD719</f>
        <v>94.854043162794042</v>
      </c>
      <c r="S719" s="39">
        <f>[1]节奏总纲!AE719</f>
        <v>97.157438496274722</v>
      </c>
      <c r="T719" s="39">
        <f>[1]节奏总纲!AF719</f>
        <v>100.18786678337646</v>
      </c>
      <c r="U719" s="39">
        <f>[1]节奏总纲!AG719</f>
        <v>105.04741414085576</v>
      </c>
      <c r="V719" s="39">
        <f>[1]节奏总纲!AH719</f>
        <v>114.10454681385697</v>
      </c>
    </row>
    <row r="720" spans="17:22" x14ac:dyDescent="0.15">
      <c r="Q720" s="38">
        <v>717</v>
      </c>
      <c r="R720" s="39">
        <f>[1]节奏总纲!AD720</f>
        <v>94.874666272048856</v>
      </c>
      <c r="S720" s="39">
        <f>[1]节奏总纲!AE720</f>
        <v>97.176436526132235</v>
      </c>
      <c r="T720" s="39">
        <f>[1]节奏总纲!AF720</f>
        <v>100.20804234755195</v>
      </c>
      <c r="U720" s="39">
        <f>[1]节奏总纲!AG720</f>
        <v>105.06710420725365</v>
      </c>
      <c r="V720" s="39">
        <f>[1]节奏总纲!AH720</f>
        <v>114.12543904237855</v>
      </c>
    </row>
    <row r="721" spans="17:22" x14ac:dyDescent="0.15">
      <c r="Q721" s="38">
        <v>718</v>
      </c>
      <c r="R721" s="39">
        <f>[1]节奏总纲!AD721</f>
        <v>94.895289381303684</v>
      </c>
      <c r="S721" s="39">
        <f>[1]节奏总纲!AE721</f>
        <v>97.195434555989763</v>
      </c>
      <c r="T721" s="39">
        <f>[1]节奏总纲!AF721</f>
        <v>100.22821791172744</v>
      </c>
      <c r="U721" s="39">
        <f>[1]节奏总纲!AG721</f>
        <v>105.08679427365155</v>
      </c>
      <c r="V721" s="39">
        <f>[1]节奏总纲!AH721</f>
        <v>114.14633127090013</v>
      </c>
    </row>
    <row r="722" spans="17:22" x14ac:dyDescent="0.15">
      <c r="Q722" s="38">
        <v>719</v>
      </c>
      <c r="R722" s="39">
        <f>[1]节奏总纲!AD722</f>
        <v>94.915912490558497</v>
      </c>
      <c r="S722" s="39">
        <f>[1]节奏总纲!AE722</f>
        <v>97.214432585847291</v>
      </c>
      <c r="T722" s="39">
        <f>[1]节奏总纲!AF722</f>
        <v>100.24839347590293</v>
      </c>
      <c r="U722" s="39">
        <f>[1]节奏总纲!AG722</f>
        <v>105.10648434004945</v>
      </c>
      <c r="V722" s="39">
        <f>[1]节奏总纲!AH722</f>
        <v>114.16722349942171</v>
      </c>
    </row>
    <row r="723" spans="17:22" x14ac:dyDescent="0.15">
      <c r="Q723" s="38">
        <v>720</v>
      </c>
      <c r="R723" s="39">
        <f>[1]节奏总纲!AD723</f>
        <v>94.936535599813325</v>
      </c>
      <c r="S723" s="39">
        <f>[1]节奏总纲!AE723</f>
        <v>97.233430615704805</v>
      </c>
      <c r="T723" s="39">
        <f>[1]节奏总纲!AF723</f>
        <v>100.26856904007842</v>
      </c>
      <c r="U723" s="39">
        <f>[1]节奏总纲!AG723</f>
        <v>105.12617440644733</v>
      </c>
      <c r="V723" s="39">
        <f>[1]节奏总纲!AH723</f>
        <v>114.18811572794328</v>
      </c>
    </row>
    <row r="724" spans="17:22" x14ac:dyDescent="0.15">
      <c r="Q724" s="38">
        <v>721</v>
      </c>
      <c r="R724" s="39">
        <f>[1]节奏总纲!AD724</f>
        <v>94.957158709068153</v>
      </c>
      <c r="S724" s="39">
        <f>[1]节奏总纲!AE724</f>
        <v>97.252428645562333</v>
      </c>
      <c r="T724" s="39">
        <f>[1]节奏总纲!AF724</f>
        <v>100.28874460425391</v>
      </c>
      <c r="U724" s="39">
        <f>[1]节奏总纲!AG724</f>
        <v>105.14586447284523</v>
      </c>
      <c r="V724" s="39">
        <f>[1]节奏总纲!AH724</f>
        <v>114.20900795646487</v>
      </c>
    </row>
    <row r="725" spans="17:22" x14ac:dyDescent="0.15">
      <c r="Q725" s="38">
        <v>722</v>
      </c>
      <c r="R725" s="39">
        <f>[1]节奏总纲!AD725</f>
        <v>94.977781818322967</v>
      </c>
      <c r="S725" s="39">
        <f>[1]节奏总纲!AE725</f>
        <v>97.271426675419846</v>
      </c>
      <c r="T725" s="39">
        <f>[1]节奏总纲!AF725</f>
        <v>100.3089201684294</v>
      </c>
      <c r="U725" s="39">
        <f>[1]节奏总纲!AG725</f>
        <v>105.16555453924312</v>
      </c>
      <c r="V725" s="39">
        <f>[1]节奏总纲!AH725</f>
        <v>114.22990018498645</v>
      </c>
    </row>
    <row r="726" spans="17:22" x14ac:dyDescent="0.15">
      <c r="Q726" s="38">
        <v>723</v>
      </c>
      <c r="R726" s="39">
        <f>[1]节奏总纲!AD726</f>
        <v>94.998404927577795</v>
      </c>
      <c r="S726" s="39">
        <f>[1]节奏总纲!AE726</f>
        <v>97.290424705277374</v>
      </c>
      <c r="T726" s="39">
        <f>[1]节奏总纲!AF726</f>
        <v>100.32909573260488</v>
      </c>
      <c r="U726" s="39">
        <f>[1]节奏总纲!AG726</f>
        <v>105.18524460564102</v>
      </c>
      <c r="V726" s="39">
        <f>[1]节奏总纲!AH726</f>
        <v>114.25079241350802</v>
      </c>
    </row>
    <row r="727" spans="17:22" x14ac:dyDescent="0.15">
      <c r="Q727" s="38">
        <v>724</v>
      </c>
      <c r="R727" s="39">
        <f>[1]节奏总纲!AD727</f>
        <v>95.017753786129006</v>
      </c>
      <c r="S727" s="39">
        <f>[1]节奏总纲!AE727</f>
        <v>97.309422735134888</v>
      </c>
      <c r="T727" s="39">
        <f>[1]节奏总纲!AF727</f>
        <v>100.34927129678037</v>
      </c>
      <c r="U727" s="39">
        <f>[1]节奏总纲!AG727</f>
        <v>105.20493467203892</v>
      </c>
      <c r="V727" s="39">
        <f>[1]节奏总纲!AH727</f>
        <v>114.27168464202961</v>
      </c>
    </row>
    <row r="728" spans="17:22" x14ac:dyDescent="0.15">
      <c r="Q728" s="38">
        <v>725</v>
      </c>
      <c r="R728" s="39">
        <f>[1]节奏总纲!AD728</f>
        <v>95.036995827451818</v>
      </c>
      <c r="S728" s="39">
        <f>[1]节奏总纲!AE728</f>
        <v>97.328420764992416</v>
      </c>
      <c r="T728" s="39">
        <f>[1]节奏总纲!AF728</f>
        <v>100.36944686095586</v>
      </c>
      <c r="U728" s="39">
        <f>[1]节奏总纲!AG728</f>
        <v>105.2246247384368</v>
      </c>
      <c r="V728" s="39">
        <f>[1]节奏总纲!AH728</f>
        <v>114.29257687055119</v>
      </c>
    </row>
    <row r="729" spans="17:22" x14ac:dyDescent="0.15">
      <c r="Q729" s="38">
        <v>726</v>
      </c>
      <c r="R729" s="39">
        <f>[1]节奏总纲!AD729</f>
        <v>95.05623786877463</v>
      </c>
      <c r="S729" s="39">
        <f>[1]节奏总纲!AE729</f>
        <v>97.347418794849943</v>
      </c>
      <c r="T729" s="39">
        <f>[1]节奏总纲!AF729</f>
        <v>100.38962242513135</v>
      </c>
      <c r="U729" s="39">
        <f>[1]节奏总纲!AG729</f>
        <v>105.2443148048347</v>
      </c>
      <c r="V729" s="39">
        <f>[1]节奏总纲!AH729</f>
        <v>114.31346909907276</v>
      </c>
    </row>
    <row r="730" spans="17:22" x14ac:dyDescent="0.15">
      <c r="Q730" s="38">
        <v>727</v>
      </c>
      <c r="R730" s="39">
        <f>[1]节奏总纲!AD730</f>
        <v>95.075479910097457</v>
      </c>
      <c r="S730" s="39">
        <f>[1]节奏总纲!AE730</f>
        <v>97.366416824707457</v>
      </c>
      <c r="T730" s="39">
        <f>[1]节奏总纲!AF730</f>
        <v>100.40979798930682</v>
      </c>
      <c r="U730" s="39">
        <f>[1]节奏总纲!AG730</f>
        <v>105.2640048712326</v>
      </c>
      <c r="V730" s="39">
        <f>[1]节奏总纲!AH730</f>
        <v>114.33436132759435</v>
      </c>
    </row>
    <row r="731" spans="17:22" x14ac:dyDescent="0.15">
      <c r="Q731" s="38">
        <v>728</v>
      </c>
      <c r="R731" s="39">
        <f>[1]节奏总纲!AD731</f>
        <v>95.094721951420269</v>
      </c>
      <c r="S731" s="39">
        <f>[1]节奏总纲!AE731</f>
        <v>97.385414854564985</v>
      </c>
      <c r="T731" s="39">
        <f>[1]节奏总纲!AF731</f>
        <v>100.42997355348231</v>
      </c>
      <c r="U731" s="39">
        <f>[1]节奏总纲!AG731</f>
        <v>105.28369493763049</v>
      </c>
      <c r="V731" s="39">
        <f>[1]节奏总纲!AH731</f>
        <v>114.35525355611593</v>
      </c>
    </row>
    <row r="732" spans="17:22" x14ac:dyDescent="0.15">
      <c r="Q732" s="38">
        <v>729</v>
      </c>
      <c r="R732" s="39">
        <f>[1]节奏总纲!AD732</f>
        <v>95.113963992743081</v>
      </c>
      <c r="S732" s="39">
        <f>[1]节奏总纲!AE732</f>
        <v>97.404412884422499</v>
      </c>
      <c r="T732" s="39">
        <f>[1]节奏总纲!AF732</f>
        <v>100.4501491176578</v>
      </c>
      <c r="U732" s="39">
        <f>[1]节奏总纲!AG732</f>
        <v>105.30338500402839</v>
      </c>
      <c r="V732" s="39">
        <f>[1]节奏总纲!AH732</f>
        <v>114.37614578463752</v>
      </c>
    </row>
    <row r="733" spans="17:22" x14ac:dyDescent="0.15">
      <c r="Q733" s="38">
        <v>730</v>
      </c>
      <c r="R733" s="39">
        <f>[1]节奏总纲!AD733</f>
        <v>95.133206034065907</v>
      </c>
      <c r="S733" s="39">
        <f>[1]节奏总纲!AE733</f>
        <v>97.423410914280026</v>
      </c>
      <c r="T733" s="39">
        <f>[1]节奏总纲!AF733</f>
        <v>100.47032468183329</v>
      </c>
      <c r="U733" s="39">
        <f>[1]节奏总纲!AG733</f>
        <v>105.32307507042627</v>
      </c>
      <c r="V733" s="39">
        <f>[1]节奏总纲!AH733</f>
        <v>114.39703801315909</v>
      </c>
    </row>
    <row r="734" spans="17:22" x14ac:dyDescent="0.15">
      <c r="Q734" s="38">
        <v>731</v>
      </c>
      <c r="R734" s="39">
        <f>[1]节奏总纲!AD734</f>
        <v>95.152448075388719</v>
      </c>
      <c r="S734" s="39">
        <f>[1]节奏总纲!AE734</f>
        <v>97.442408944137554</v>
      </c>
      <c r="T734" s="39">
        <f>[1]节奏总纲!AF734</f>
        <v>100.49050024600878</v>
      </c>
      <c r="U734" s="39">
        <f>[1]节奏总纲!AG734</f>
        <v>105.34276513682417</v>
      </c>
      <c r="V734" s="39">
        <f>[1]节奏总纲!AH734</f>
        <v>114.41793024168066</v>
      </c>
    </row>
    <row r="735" spans="17:22" x14ac:dyDescent="0.15">
      <c r="Q735" s="38">
        <v>732</v>
      </c>
      <c r="R735" s="39">
        <f>[1]节奏总纲!AD735</f>
        <v>95.171690116711531</v>
      </c>
      <c r="S735" s="39">
        <f>[1]节奏总纲!AE735</f>
        <v>97.461406973995068</v>
      </c>
      <c r="T735" s="39">
        <f>[1]节奏总纲!AF735</f>
        <v>100.51067581018427</v>
      </c>
      <c r="U735" s="39">
        <f>[1]节奏总纲!AG735</f>
        <v>105.36245520322207</v>
      </c>
      <c r="V735" s="39">
        <f>[1]节奏总纲!AH735</f>
        <v>114.43882247020225</v>
      </c>
    </row>
    <row r="736" spans="17:22" x14ac:dyDescent="0.15">
      <c r="Q736" s="38">
        <v>733</v>
      </c>
      <c r="R736" s="39">
        <f>[1]节奏总纲!AD736</f>
        <v>95.190932158034357</v>
      </c>
      <c r="S736" s="39">
        <f>[1]节奏总纲!AE736</f>
        <v>97.480405003852596</v>
      </c>
      <c r="T736" s="39">
        <f>[1]节奏总纲!AF736</f>
        <v>100.53085137435976</v>
      </c>
      <c r="U736" s="39">
        <f>[1]节奏总纲!AG736</f>
        <v>105.38214526961995</v>
      </c>
      <c r="V736" s="39">
        <f>[1]节奏总纲!AH736</f>
        <v>114.45971469872383</v>
      </c>
    </row>
    <row r="737" spans="17:22" x14ac:dyDescent="0.15">
      <c r="Q737" s="38">
        <v>734</v>
      </c>
      <c r="R737" s="39">
        <f>[1]节奏总纲!AD737</f>
        <v>95.210174199357169</v>
      </c>
      <c r="S737" s="39">
        <f>[1]节奏总纲!AE737</f>
        <v>97.499403033710109</v>
      </c>
      <c r="T737" s="39">
        <f>[1]节奏总纲!AF737</f>
        <v>100.55102693853524</v>
      </c>
      <c r="U737" s="39">
        <f>[1]节奏总纲!AG737</f>
        <v>105.40183533601785</v>
      </c>
      <c r="V737" s="39">
        <f>[1]节奏总纲!AH737</f>
        <v>114.4806069272454</v>
      </c>
    </row>
    <row r="738" spans="17:22" x14ac:dyDescent="0.15">
      <c r="Q738" s="38">
        <v>735</v>
      </c>
      <c r="R738" s="39">
        <f>[1]节奏总纲!AD738</f>
        <v>95.229416240679981</v>
      </c>
      <c r="S738" s="39">
        <f>[1]节奏总纲!AE738</f>
        <v>97.518401063567637</v>
      </c>
      <c r="T738" s="39">
        <f>[1]节奏总纲!AF738</f>
        <v>100.57120250271073</v>
      </c>
      <c r="U738" s="39">
        <f>[1]节奏总纲!AG738</f>
        <v>105.42152540241575</v>
      </c>
      <c r="V738" s="39">
        <f>[1]节奏总纲!AH738</f>
        <v>114.50149915576699</v>
      </c>
    </row>
    <row r="739" spans="17:22" x14ac:dyDescent="0.15">
      <c r="Q739" s="38">
        <v>736</v>
      </c>
      <c r="R739" s="39">
        <f>[1]节奏总纲!AD739</f>
        <v>95.248658282002808</v>
      </c>
      <c r="S739" s="39">
        <f>[1]节奏总纲!AE739</f>
        <v>97.537399093425151</v>
      </c>
      <c r="T739" s="39">
        <f>[1]节奏总纲!AF739</f>
        <v>100.59137806688622</v>
      </c>
      <c r="U739" s="39">
        <f>[1]节奏总纲!AG739</f>
        <v>105.44121546881364</v>
      </c>
      <c r="V739" s="39">
        <f>[1]节奏总纲!AH739</f>
        <v>114.52239138428857</v>
      </c>
    </row>
    <row r="740" spans="17:22" x14ac:dyDescent="0.15">
      <c r="Q740" s="38">
        <v>737</v>
      </c>
      <c r="R740" s="39">
        <f>[1]节奏总纲!AD740</f>
        <v>95.26790032332562</v>
      </c>
      <c r="S740" s="39">
        <f>[1]节奏总纲!AE740</f>
        <v>97.556397123282679</v>
      </c>
      <c r="T740" s="39">
        <f>[1]节奏总纲!AF740</f>
        <v>100.61155363106171</v>
      </c>
      <c r="U740" s="39">
        <f>[1]节奏总纲!AG740</f>
        <v>105.46090553521154</v>
      </c>
      <c r="V740" s="39">
        <f>[1]节奏总纲!AH740</f>
        <v>114.54328361281016</v>
      </c>
    </row>
    <row r="741" spans="17:22" x14ac:dyDescent="0.15">
      <c r="Q741" s="38">
        <v>738</v>
      </c>
      <c r="R741" s="39">
        <f>[1]节奏总纲!AD741</f>
        <v>95.287142364648432</v>
      </c>
      <c r="S741" s="39">
        <f>[1]节奏总纲!AE741</f>
        <v>97.575395153140207</v>
      </c>
      <c r="T741" s="39">
        <f>[1]节奏总纲!AF741</f>
        <v>100.6317291952372</v>
      </c>
      <c r="U741" s="39">
        <f>[1]节奏总纲!AG741</f>
        <v>105.48059560160942</v>
      </c>
      <c r="V741" s="39">
        <f>[1]节奏总纲!AH741</f>
        <v>114.56417584133173</v>
      </c>
    </row>
    <row r="742" spans="17:22" x14ac:dyDescent="0.15">
      <c r="Q742" s="38">
        <v>739</v>
      </c>
      <c r="R742" s="39">
        <f>[1]节奏总纲!AD742</f>
        <v>95.306384405971258</v>
      </c>
      <c r="S742" s="39">
        <f>[1]节奏总纲!AE742</f>
        <v>97.59439318299772</v>
      </c>
      <c r="T742" s="39">
        <f>[1]节奏总纲!AF742</f>
        <v>100.65190475941267</v>
      </c>
      <c r="U742" s="39">
        <f>[1]节奏总纲!AG742</f>
        <v>105.50028566800732</v>
      </c>
      <c r="V742" s="39">
        <f>[1]节奏总纲!AH742</f>
        <v>114.58506806985331</v>
      </c>
    </row>
    <row r="743" spans="17:22" x14ac:dyDescent="0.15">
      <c r="Q743" s="38">
        <v>740</v>
      </c>
      <c r="R743" s="39">
        <f>[1]节奏总纲!AD743</f>
        <v>95.32562644729407</v>
      </c>
      <c r="S743" s="39">
        <f>[1]节奏总纲!AE743</f>
        <v>97.613391212855248</v>
      </c>
      <c r="T743" s="39">
        <f>[1]节奏总纲!AF743</f>
        <v>100.67208032358816</v>
      </c>
      <c r="U743" s="39">
        <f>[1]节奏总纲!AG743</f>
        <v>105.51997573440522</v>
      </c>
      <c r="V743" s="39">
        <f>[1]节奏总纲!AH743</f>
        <v>114.6059602983749</v>
      </c>
    </row>
    <row r="744" spans="17:22" x14ac:dyDescent="0.15">
      <c r="Q744" s="38">
        <v>741</v>
      </c>
      <c r="R744" s="39">
        <f>[1]节奏总纲!AD744</f>
        <v>95.344868488616882</v>
      </c>
      <c r="S744" s="39">
        <f>[1]节奏总纲!AE744</f>
        <v>97.632389242712762</v>
      </c>
      <c r="T744" s="39">
        <f>[1]节奏总纲!AF744</f>
        <v>100.69225588776365</v>
      </c>
      <c r="U744" s="39">
        <f>[1]节奏总纲!AG744</f>
        <v>105.53966580080311</v>
      </c>
      <c r="V744" s="39">
        <f>[1]节奏总纲!AH744</f>
        <v>114.62685252689647</v>
      </c>
    </row>
    <row r="745" spans="17:22" x14ac:dyDescent="0.15">
      <c r="Q745" s="38">
        <v>742</v>
      </c>
      <c r="R745" s="39">
        <f>[1]节奏总纲!AD745</f>
        <v>95.364110529939694</v>
      </c>
      <c r="S745" s="39">
        <f>[1]节奏总纲!AE745</f>
        <v>97.65138727257029</v>
      </c>
      <c r="T745" s="39">
        <f>[1]节奏总纲!AF745</f>
        <v>100.71243145193914</v>
      </c>
      <c r="U745" s="39">
        <f>[1]节奏总纲!AG745</f>
        <v>105.55935586720101</v>
      </c>
      <c r="V745" s="39">
        <f>[1]节奏总纲!AH745</f>
        <v>114.64774475541805</v>
      </c>
    </row>
    <row r="746" spans="17:22" x14ac:dyDescent="0.15">
      <c r="Q746" s="38">
        <v>743</v>
      </c>
      <c r="R746" s="39">
        <f>[1]节奏总纲!AD746</f>
        <v>95.38335257126252</v>
      </c>
      <c r="S746" s="39">
        <f>[1]节奏总纲!AE746</f>
        <v>97.670385302427803</v>
      </c>
      <c r="T746" s="39">
        <f>[1]节奏总纲!AF746</f>
        <v>100.73260701611463</v>
      </c>
      <c r="U746" s="39">
        <f>[1]节奏总纲!AG746</f>
        <v>105.57904593359891</v>
      </c>
      <c r="V746" s="39">
        <f>[1]节奏总纲!AH746</f>
        <v>114.66863698393963</v>
      </c>
    </row>
    <row r="747" spans="17:22" x14ac:dyDescent="0.15">
      <c r="Q747" s="38">
        <v>744</v>
      </c>
      <c r="R747" s="39">
        <f>[1]节奏总纲!AD747</f>
        <v>95.402594612585332</v>
      </c>
      <c r="S747" s="39">
        <f>[1]节奏总纲!AE747</f>
        <v>97.689383332285331</v>
      </c>
      <c r="T747" s="39">
        <f>[1]节奏总纲!AF747</f>
        <v>100.75278258029012</v>
      </c>
      <c r="U747" s="39">
        <f>[1]节奏总纲!AG747</f>
        <v>105.59873599999679</v>
      </c>
      <c r="V747" s="39">
        <f>[1]节奏总纲!AH747</f>
        <v>114.68952921246121</v>
      </c>
    </row>
    <row r="748" spans="17:22" x14ac:dyDescent="0.15">
      <c r="Q748" s="38">
        <v>745</v>
      </c>
      <c r="R748" s="39">
        <f>[1]节奏总纲!AD748</f>
        <v>95.421836653908144</v>
      </c>
      <c r="S748" s="39">
        <f>[1]节奏总纲!AE748</f>
        <v>97.708381362142859</v>
      </c>
      <c r="T748" s="39">
        <f>[1]节奏总纲!AF748</f>
        <v>100.7729581444656</v>
      </c>
      <c r="U748" s="39">
        <f>[1]节奏总纲!AG748</f>
        <v>105.61842606639469</v>
      </c>
      <c r="V748" s="39">
        <f>[1]节奏总纲!AH748</f>
        <v>114.71042144098278</v>
      </c>
    </row>
    <row r="749" spans="17:22" x14ac:dyDescent="0.15">
      <c r="Q749" s="38">
        <v>746</v>
      </c>
      <c r="R749" s="39">
        <f>[1]节奏总纲!AD749</f>
        <v>95.441078695230971</v>
      </c>
      <c r="S749" s="39">
        <f>[1]节奏总纲!AE749</f>
        <v>97.727379392000373</v>
      </c>
      <c r="T749" s="39">
        <f>[1]节奏总纲!AF749</f>
        <v>100.79313370864109</v>
      </c>
      <c r="U749" s="39">
        <f>[1]节奏总纲!AG749</f>
        <v>105.63811613279258</v>
      </c>
      <c r="V749" s="39">
        <f>[1]节奏总纲!AH749</f>
        <v>114.73131366950437</v>
      </c>
    </row>
    <row r="750" spans="17:22" x14ac:dyDescent="0.15">
      <c r="Q750" s="38">
        <v>747</v>
      </c>
      <c r="R750" s="39">
        <f>[1]节奏总纲!AD750</f>
        <v>95.460320736553783</v>
      </c>
      <c r="S750" s="39">
        <f>[1]节奏总纲!AE750</f>
        <v>97.7463774218579</v>
      </c>
      <c r="T750" s="39">
        <f>[1]节奏总纲!AF750</f>
        <v>100.81330927281658</v>
      </c>
      <c r="U750" s="39">
        <f>[1]节奏总纲!AG750</f>
        <v>105.65780619919047</v>
      </c>
      <c r="V750" s="39">
        <f>[1]节奏总纲!AH750</f>
        <v>114.75220589802595</v>
      </c>
    </row>
    <row r="751" spans="17:22" x14ac:dyDescent="0.15">
      <c r="Q751" s="38">
        <v>748</v>
      </c>
      <c r="R751" s="39">
        <f>[1]节奏总纲!AD751</f>
        <v>95.479562777876595</v>
      </c>
      <c r="S751" s="39">
        <f>[1]节奏总纲!AE751</f>
        <v>97.765375451715414</v>
      </c>
      <c r="T751" s="39">
        <f>[1]节奏总纲!AF751</f>
        <v>100.83348483699207</v>
      </c>
      <c r="U751" s="39">
        <f>[1]节奏总纲!AG751</f>
        <v>105.67749626558837</v>
      </c>
      <c r="V751" s="39">
        <f>[1]节奏总纲!AH751</f>
        <v>114.77309812654754</v>
      </c>
    </row>
    <row r="752" spans="17:22" x14ac:dyDescent="0.15">
      <c r="Q752" s="38">
        <v>749</v>
      </c>
      <c r="R752" s="39">
        <f>[1]节奏总纲!AD752</f>
        <v>95.498804819199421</v>
      </c>
      <c r="S752" s="39">
        <f>[1]节奏总纲!AE752</f>
        <v>97.784373481572942</v>
      </c>
      <c r="T752" s="39">
        <f>[1]节奏总纲!AF752</f>
        <v>100.85366040116756</v>
      </c>
      <c r="U752" s="39">
        <f>[1]节奏总纲!AG752</f>
        <v>105.69718633198626</v>
      </c>
      <c r="V752" s="39">
        <f>[1]节奏总纲!AH752</f>
        <v>114.79399035506911</v>
      </c>
    </row>
    <row r="753" spans="17:22" x14ac:dyDescent="0.15">
      <c r="Q753" s="38">
        <v>750</v>
      </c>
      <c r="R753" s="39">
        <f>[1]节奏总纲!AD753</f>
        <v>95.518046860522233</v>
      </c>
      <c r="S753" s="39">
        <f>[1]节奏总纲!AE753</f>
        <v>97.80337151143047</v>
      </c>
      <c r="T753" s="39">
        <f>[1]节奏总纲!AF753</f>
        <v>100.87383596534305</v>
      </c>
      <c r="U753" s="39">
        <f>[1]节奏总纲!AG753</f>
        <v>105.71687639838416</v>
      </c>
      <c r="V753" s="39">
        <f>[1]节奏总纲!AH753</f>
        <v>114.81488258359069</v>
      </c>
    </row>
    <row r="754" spans="17:22" x14ac:dyDescent="0.15">
      <c r="Q754" s="38">
        <v>751</v>
      </c>
      <c r="R754" s="39">
        <f>[1]节奏总纲!AD754</f>
        <v>95.537288901845045</v>
      </c>
      <c r="S754" s="39">
        <f>[1]节奏总纲!AE754</f>
        <v>97.822369541287983</v>
      </c>
      <c r="T754" s="39">
        <f>[1]节奏总纲!AF754</f>
        <v>100.89401152951852</v>
      </c>
      <c r="U754" s="39">
        <f>[1]节奏总纲!AG754</f>
        <v>105.73656646478204</v>
      </c>
      <c r="V754" s="39">
        <f>[1]节奏总纲!AH754</f>
        <v>114.83577481211228</v>
      </c>
    </row>
    <row r="755" spans="17:22" x14ac:dyDescent="0.15">
      <c r="Q755" s="38">
        <v>752</v>
      </c>
      <c r="R755" s="39">
        <f>[1]节奏总纲!AD755</f>
        <v>95.556530943167871</v>
      </c>
      <c r="S755" s="39">
        <f>[1]节奏总纲!AE755</f>
        <v>97.841367571145511</v>
      </c>
      <c r="T755" s="39">
        <f>[1]节奏总纲!AF755</f>
        <v>100.91418709369401</v>
      </c>
      <c r="U755" s="39">
        <f>[1]节奏总纲!AG755</f>
        <v>105.75625653117994</v>
      </c>
      <c r="V755" s="39">
        <f>[1]节奏总纲!AH755</f>
        <v>114.85666704063385</v>
      </c>
    </row>
    <row r="756" spans="17:22" x14ac:dyDescent="0.15">
      <c r="Q756" s="38">
        <v>753</v>
      </c>
      <c r="R756" s="39">
        <f>[1]节奏总纲!AD756</f>
        <v>95.575772984490683</v>
      </c>
      <c r="S756" s="39">
        <f>[1]节奏总纲!AE756</f>
        <v>97.860365601003025</v>
      </c>
      <c r="T756" s="39">
        <f>[1]节奏总纲!AF756</f>
        <v>100.9343626578695</v>
      </c>
      <c r="U756" s="39">
        <f>[1]节奏总纲!AG756</f>
        <v>105.77594659757784</v>
      </c>
      <c r="V756" s="39">
        <f>[1]节奏总纲!AH756</f>
        <v>114.87755926915543</v>
      </c>
    </row>
    <row r="757" spans="17:22" x14ac:dyDescent="0.15">
      <c r="Q757" s="38">
        <v>754</v>
      </c>
      <c r="R757" s="39">
        <f>[1]节奏总纲!AD757</f>
        <v>95.595015025813495</v>
      </c>
      <c r="S757" s="39">
        <f>[1]节奏总纲!AE757</f>
        <v>97.879363630860553</v>
      </c>
      <c r="T757" s="39">
        <f>[1]节奏总纲!AF757</f>
        <v>100.95453822204499</v>
      </c>
      <c r="U757" s="39">
        <f>[1]节奏总纲!AG757</f>
        <v>105.79563666397573</v>
      </c>
      <c r="V757" s="39">
        <f>[1]节奏总纲!AH757</f>
        <v>114.89845149767702</v>
      </c>
    </row>
    <row r="758" spans="17:22" x14ac:dyDescent="0.15">
      <c r="Q758" s="38">
        <v>755</v>
      </c>
      <c r="R758" s="39">
        <f>[1]节奏总纲!AD758</f>
        <v>95.614257067136322</v>
      </c>
      <c r="S758" s="39">
        <f>[1]节奏总纲!AE758</f>
        <v>97.898361660718066</v>
      </c>
      <c r="T758" s="39">
        <f>[1]节奏总纲!AF758</f>
        <v>100.97471378622048</v>
      </c>
      <c r="U758" s="39">
        <f>[1]节奏总纲!AG758</f>
        <v>105.81532673037363</v>
      </c>
      <c r="V758" s="39">
        <f>[1]节奏总纲!AH758</f>
        <v>114.91934372619859</v>
      </c>
    </row>
    <row r="759" spans="17:22" x14ac:dyDescent="0.15">
      <c r="Q759" s="38">
        <v>756</v>
      </c>
      <c r="R759" s="39">
        <f>[1]节奏总纲!AD759</f>
        <v>95.633499108459134</v>
      </c>
      <c r="S759" s="39">
        <f>[1]节奏总纲!AE759</f>
        <v>97.917359690575594</v>
      </c>
      <c r="T759" s="39">
        <f>[1]节奏总纲!AF759</f>
        <v>100.99488935039597</v>
      </c>
      <c r="U759" s="39">
        <f>[1]节奏总纲!AG759</f>
        <v>105.83501679677153</v>
      </c>
      <c r="V759" s="39">
        <f>[1]节奏总纲!AH759</f>
        <v>114.94023595472017</v>
      </c>
    </row>
    <row r="760" spans="17:22" x14ac:dyDescent="0.15">
      <c r="Q760" s="38">
        <v>757</v>
      </c>
      <c r="R760" s="39">
        <f>[1]节奏总纲!AD760</f>
        <v>95.652741149781946</v>
      </c>
      <c r="S760" s="39">
        <f>[1]节奏总纲!AE760</f>
        <v>97.936357720433122</v>
      </c>
      <c r="T760" s="39">
        <f>[1]节奏总纲!AF760</f>
        <v>101.01493981849815</v>
      </c>
      <c r="U760" s="39">
        <f>[1]节奏总纲!AG760</f>
        <v>105.85470686316941</v>
      </c>
      <c r="V760" s="39">
        <f>[1]节奏总纲!AH760</f>
        <v>114.96112818324175</v>
      </c>
    </row>
    <row r="761" spans="17:22" x14ac:dyDescent="0.15">
      <c r="Q761" s="38">
        <v>758</v>
      </c>
      <c r="R761" s="39">
        <f>[1]节奏总纲!AD761</f>
        <v>95.671983191104772</v>
      </c>
      <c r="S761" s="39">
        <f>[1]节奏总纲!AE761</f>
        <v>97.955355750290636</v>
      </c>
      <c r="T761" s="39">
        <f>[1]节奏总纲!AF761</f>
        <v>101.03494784877606</v>
      </c>
      <c r="U761" s="39">
        <f>[1]节奏总纲!AG761</f>
        <v>105.87439692956731</v>
      </c>
      <c r="V761" s="39">
        <f>[1]节奏总纲!AH761</f>
        <v>114.98202041176333</v>
      </c>
    </row>
    <row r="762" spans="17:22" x14ac:dyDescent="0.15">
      <c r="Q762" s="38">
        <v>759</v>
      </c>
      <c r="R762" s="39">
        <f>[1]节奏总纲!AD762</f>
        <v>95.691225232427584</v>
      </c>
      <c r="S762" s="39">
        <f>[1]节奏总纲!AE762</f>
        <v>97.974353780148164</v>
      </c>
      <c r="T762" s="39">
        <f>[1]节奏总纲!AF762</f>
        <v>101.05495587905395</v>
      </c>
      <c r="U762" s="39">
        <f>[1]节奏总纲!AG762</f>
        <v>105.8940869959652</v>
      </c>
      <c r="V762" s="39">
        <f>[1]节奏总纲!AH762</f>
        <v>115.00255874033431</v>
      </c>
    </row>
    <row r="763" spans="17:22" x14ac:dyDescent="0.15">
      <c r="Q763" s="38">
        <v>760</v>
      </c>
      <c r="R763" s="39">
        <f>[1]节奏总纲!AD763</f>
        <v>95.710467273750396</v>
      </c>
      <c r="S763" s="39">
        <f>[1]节奏总纲!AE763</f>
        <v>97.993351810005677</v>
      </c>
      <c r="T763" s="39">
        <f>[1]节奏总纲!AF763</f>
        <v>101.07496390933186</v>
      </c>
      <c r="U763" s="39">
        <f>[1]节奏总纲!AG763</f>
        <v>105.9137770623631</v>
      </c>
      <c r="V763" s="39">
        <f>[1]节奏总纲!AH763</f>
        <v>115.02091246155027</v>
      </c>
    </row>
    <row r="764" spans="17:22" x14ac:dyDescent="0.15">
      <c r="Q764" s="38">
        <v>761</v>
      </c>
      <c r="R764" s="39">
        <f>[1]节奏总纲!AD764</f>
        <v>95.729709315073208</v>
      </c>
      <c r="S764" s="39">
        <f>[1]节奏总纲!AE764</f>
        <v>98.011574852881012</v>
      </c>
      <c r="T764" s="39">
        <f>[1]节奏总纲!AF764</f>
        <v>101.09497193960975</v>
      </c>
      <c r="U764" s="39">
        <f>[1]节奏总纲!AG764</f>
        <v>105.933467128761</v>
      </c>
      <c r="V764" s="39">
        <f>[1]节奏总纲!AH764</f>
        <v>115.03926618276623</v>
      </c>
    </row>
    <row r="765" spans="17:22" x14ac:dyDescent="0.15">
      <c r="Q765" s="38">
        <v>762</v>
      </c>
      <c r="R765" s="39">
        <f>[1]节奏总纲!AD765</f>
        <v>95.748951356396034</v>
      </c>
      <c r="S765" s="39">
        <f>[1]节奏总纲!AE765</f>
        <v>98.029380703245522</v>
      </c>
      <c r="T765" s="39">
        <f>[1]节奏总纲!AF765</f>
        <v>101.11497996988766</v>
      </c>
      <c r="U765" s="39">
        <f>[1]节奏总纲!AG765</f>
        <v>105.95315719515888</v>
      </c>
      <c r="V765" s="39">
        <f>[1]节奏总纲!AH765</f>
        <v>115.0576199039822</v>
      </c>
    </row>
    <row r="766" spans="17:22" x14ac:dyDescent="0.15">
      <c r="Q766" s="38">
        <v>763</v>
      </c>
      <c r="R766" s="39">
        <f>[1]节奏总纲!AD766</f>
        <v>95.768193397718846</v>
      </c>
      <c r="S766" s="39">
        <f>[1]节奏总纲!AE766</f>
        <v>98.047186553610047</v>
      </c>
      <c r="T766" s="39">
        <f>[1]节奏总纲!AF766</f>
        <v>101.13498800016555</v>
      </c>
      <c r="U766" s="39">
        <f>[1]节奏总纲!AG766</f>
        <v>105.97284726155678</v>
      </c>
      <c r="V766" s="39">
        <f>[1]节奏总纲!AH766</f>
        <v>115.07597362519816</v>
      </c>
    </row>
    <row r="767" spans="17:22" x14ac:dyDescent="0.15">
      <c r="Q767" s="38">
        <v>764</v>
      </c>
      <c r="R767" s="39">
        <f>[1]节奏总纲!AD767</f>
        <v>95.787435439041658</v>
      </c>
      <c r="S767" s="39">
        <f>[1]节奏总纲!AE767</f>
        <v>98.064992403974557</v>
      </c>
      <c r="T767" s="39">
        <f>[1]节奏总纲!AF767</f>
        <v>101.15499603044346</v>
      </c>
      <c r="U767" s="39">
        <f>[1]节奏总纲!AG767</f>
        <v>105.99253732795468</v>
      </c>
      <c r="V767" s="39">
        <f>[1]节奏总纲!AH767</f>
        <v>115.09432734641412</v>
      </c>
    </row>
    <row r="768" spans="17:22" x14ac:dyDescent="0.15">
      <c r="Q768" s="38">
        <v>765</v>
      </c>
      <c r="R768" s="39">
        <f>[1]节奏总纲!AD768</f>
        <v>95.806677480364485</v>
      </c>
      <c r="S768" s="39">
        <f>[1]节奏总纲!AE768</f>
        <v>98.082798254339068</v>
      </c>
      <c r="T768" s="39">
        <f>[1]节奏总纲!AF768</f>
        <v>101.17500406072135</v>
      </c>
      <c r="U768" s="39">
        <f>[1]节奏总纲!AG768</f>
        <v>106.0120024722425</v>
      </c>
      <c r="V768" s="39">
        <f>[1]节奏总纲!AH768</f>
        <v>115.11268106763009</v>
      </c>
    </row>
    <row r="769" spans="17:22" x14ac:dyDescent="0.15">
      <c r="Q769" s="38">
        <v>766</v>
      </c>
      <c r="R769" s="39">
        <f>[1]节奏总纲!AD769</f>
        <v>95.825919521687297</v>
      </c>
      <c r="S769" s="39">
        <f>[1]节奏总纲!AE769</f>
        <v>98.100604104703592</v>
      </c>
      <c r="T769" s="39">
        <f>[1]节奏总纲!AF769</f>
        <v>101.19501209099926</v>
      </c>
      <c r="U769" s="39">
        <f>[1]节奏总纲!AG769</f>
        <v>106.03133034117185</v>
      </c>
      <c r="V769" s="39">
        <f>[1]节奏总纲!AH769</f>
        <v>115.13103478884605</v>
      </c>
    </row>
    <row r="770" spans="17:22" x14ac:dyDescent="0.15">
      <c r="Q770" s="38">
        <v>767</v>
      </c>
      <c r="R770" s="39">
        <f>[1]节奏总纲!AD770</f>
        <v>95.845161563010109</v>
      </c>
      <c r="S770" s="39">
        <f>[1]节奏总纲!AE770</f>
        <v>98.118409955068103</v>
      </c>
      <c r="T770" s="39">
        <f>[1]节奏总纲!AF770</f>
        <v>101.21502012127715</v>
      </c>
      <c r="U770" s="39">
        <f>[1]节奏总纲!AG770</f>
        <v>106.05065821010119</v>
      </c>
      <c r="V770" s="39">
        <f>[1]节奏总纲!AH770</f>
        <v>115.14938851006201</v>
      </c>
    </row>
    <row r="771" spans="17:22" x14ac:dyDescent="0.15">
      <c r="Q771" s="38">
        <v>768</v>
      </c>
      <c r="R771" s="39">
        <f>[1]节奏总纲!AD771</f>
        <v>95.864403604332935</v>
      </c>
      <c r="S771" s="39">
        <f>[1]节奏总纲!AE771</f>
        <v>98.136215805432613</v>
      </c>
      <c r="T771" s="39">
        <f>[1]节奏总纲!AF771</f>
        <v>101.23502815155506</v>
      </c>
      <c r="U771" s="39">
        <f>[1]节奏总纲!AG771</f>
        <v>106.06998607903053</v>
      </c>
      <c r="V771" s="39">
        <f>[1]节奏总纲!AH771</f>
        <v>115.16774223127798</v>
      </c>
    </row>
    <row r="772" spans="17:22" x14ac:dyDescent="0.15">
      <c r="Q772" s="38">
        <v>769</v>
      </c>
      <c r="R772" s="39">
        <f>[1]节奏总纲!AD772</f>
        <v>95.883645645655747</v>
      </c>
      <c r="S772" s="39">
        <f>[1]节奏总纲!AE772</f>
        <v>98.154021655797138</v>
      </c>
      <c r="T772" s="39">
        <f>[1]节奏总纲!AF772</f>
        <v>101.25503618183295</v>
      </c>
      <c r="U772" s="39">
        <f>[1]节奏总纲!AG772</f>
        <v>106.08931394795988</v>
      </c>
      <c r="V772" s="39">
        <f>[1]节奏总纲!AH772</f>
        <v>115.18609595249394</v>
      </c>
    </row>
    <row r="773" spans="17:22" x14ac:dyDescent="0.15">
      <c r="Q773" s="38">
        <v>770</v>
      </c>
      <c r="R773" s="39">
        <f>[1]节奏总纲!AD773</f>
        <v>95.902887686978559</v>
      </c>
      <c r="S773" s="39">
        <f>[1]节奏总纲!AE773</f>
        <v>98.171827506161648</v>
      </c>
      <c r="T773" s="39">
        <f>[1]节奏总纲!AF773</f>
        <v>101.27504421211086</v>
      </c>
      <c r="U773" s="39">
        <f>[1]节奏总纲!AG773</f>
        <v>106.10864181688922</v>
      </c>
      <c r="V773" s="39">
        <f>[1]节奏总纲!AH773</f>
        <v>115.20444967370992</v>
      </c>
    </row>
    <row r="774" spans="17:22" x14ac:dyDescent="0.15">
      <c r="Q774" s="38">
        <v>771</v>
      </c>
      <c r="R774" s="39">
        <f>[1]节奏总纲!AD774</f>
        <v>95.922129728301385</v>
      </c>
      <c r="S774" s="39">
        <f>[1]节奏总纲!AE774</f>
        <v>98.189633356526159</v>
      </c>
      <c r="T774" s="39">
        <f>[1]节奏总纲!AF774</f>
        <v>101.29505224238875</v>
      </c>
      <c r="U774" s="39">
        <f>[1]节奏总纲!AG774</f>
        <v>106.12796968581856</v>
      </c>
      <c r="V774" s="39">
        <f>[1]节奏总纲!AH774</f>
        <v>115.22280339492588</v>
      </c>
    </row>
    <row r="775" spans="17:22" x14ac:dyDescent="0.15">
      <c r="Q775" s="38">
        <v>772</v>
      </c>
      <c r="R775" s="39">
        <f>[1]节奏总纲!AD775</f>
        <v>95.941371769624197</v>
      </c>
      <c r="S775" s="39">
        <f>[1]节奏总纲!AE775</f>
        <v>98.207439206890669</v>
      </c>
      <c r="T775" s="39">
        <f>[1]节奏总纲!AF775</f>
        <v>101.31506027266666</v>
      </c>
      <c r="U775" s="39">
        <f>[1]节奏总纲!AG775</f>
        <v>106.14729755474789</v>
      </c>
      <c r="V775" s="39">
        <f>[1]节奏总纲!AH775</f>
        <v>115.24115711614184</v>
      </c>
    </row>
    <row r="776" spans="17:22" x14ac:dyDescent="0.15">
      <c r="Q776" s="38">
        <v>773</v>
      </c>
      <c r="R776" s="39">
        <f>[1]节奏总纲!AD776</f>
        <v>95.960613810947009</v>
      </c>
      <c r="S776" s="39">
        <f>[1]节奏总纲!AE776</f>
        <v>98.225245057255194</v>
      </c>
      <c r="T776" s="39">
        <f>[1]节奏总纲!AF776</f>
        <v>101.33506830294455</v>
      </c>
      <c r="U776" s="39">
        <f>[1]节奏总纲!AG776</f>
        <v>106.16662542367725</v>
      </c>
      <c r="V776" s="39">
        <f>[1]节奏总纲!AH776</f>
        <v>115.25951083735781</v>
      </c>
    </row>
    <row r="777" spans="17:22" x14ac:dyDescent="0.15">
      <c r="Q777" s="38">
        <v>774</v>
      </c>
      <c r="R777" s="39">
        <f>[1]节奏总纲!AD777</f>
        <v>95.979855852269836</v>
      </c>
      <c r="S777" s="39">
        <f>[1]节奏总纲!AE777</f>
        <v>98.243050907619704</v>
      </c>
      <c r="T777" s="39">
        <f>[1]节奏总纲!AF777</f>
        <v>101.35507633322246</v>
      </c>
      <c r="U777" s="39">
        <f>[1]节奏总纲!AG777</f>
        <v>106.18595329260658</v>
      </c>
      <c r="V777" s="39">
        <f>[1]节奏总纲!AH777</f>
        <v>115.27786455857377</v>
      </c>
    </row>
    <row r="778" spans="17:22" x14ac:dyDescent="0.15">
      <c r="Q778" s="38">
        <v>775</v>
      </c>
      <c r="R778" s="39">
        <f>[1]节奏总纲!AD778</f>
        <v>95.999097893592648</v>
      </c>
      <c r="S778" s="39">
        <f>[1]节奏总纲!AE778</f>
        <v>98.260856757984214</v>
      </c>
      <c r="T778" s="39">
        <f>[1]节奏总纲!AF778</f>
        <v>101.37508436350035</v>
      </c>
      <c r="U778" s="39">
        <f>[1]节奏总纲!AG778</f>
        <v>106.20528116153592</v>
      </c>
      <c r="V778" s="39">
        <f>[1]节奏总纲!AH778</f>
        <v>115.29621827978973</v>
      </c>
    </row>
    <row r="779" spans="17:22" x14ac:dyDescent="0.15">
      <c r="Q779" s="38">
        <v>776</v>
      </c>
      <c r="R779" s="39">
        <f>[1]节奏总纲!AD779</f>
        <v>96.017111764338765</v>
      </c>
      <c r="S779" s="39">
        <f>[1]节奏总纲!AE779</f>
        <v>98.278662608348739</v>
      </c>
      <c r="T779" s="39">
        <f>[1]节奏总纲!AF779</f>
        <v>101.39509239377826</v>
      </c>
      <c r="U779" s="39">
        <f>[1]节奏总纲!AG779</f>
        <v>106.22460903046527</v>
      </c>
      <c r="V779" s="39">
        <f>[1]节奏总纲!AH779</f>
        <v>115.3145720010057</v>
      </c>
    </row>
    <row r="780" spans="17:22" x14ac:dyDescent="0.15">
      <c r="Q780" s="38">
        <v>777</v>
      </c>
      <c r="R780" s="39">
        <f>[1]节奏总纲!AD780</f>
        <v>96.035065223717467</v>
      </c>
      <c r="S780" s="39">
        <f>[1]节奏总纲!AE780</f>
        <v>98.29646845871325</v>
      </c>
      <c r="T780" s="39">
        <f>[1]节奏总纲!AF780</f>
        <v>101.41510042405615</v>
      </c>
      <c r="U780" s="39">
        <f>[1]节奏总纲!AG780</f>
        <v>106.24393689939461</v>
      </c>
      <c r="V780" s="39">
        <f>[1]节奏总纲!AH780</f>
        <v>115.33292572222166</v>
      </c>
    </row>
    <row r="781" spans="17:22" x14ac:dyDescent="0.15">
      <c r="Q781" s="38">
        <v>778</v>
      </c>
      <c r="R781" s="39">
        <f>[1]节奏总纲!AD781</f>
        <v>96.05301868309617</v>
      </c>
      <c r="S781" s="39">
        <f>[1]节奏总纲!AE781</f>
        <v>98.31427430907776</v>
      </c>
      <c r="T781" s="39">
        <f>[1]节奏总纲!AF781</f>
        <v>101.43510845433406</v>
      </c>
      <c r="U781" s="39">
        <f>[1]节奏总纲!AG781</f>
        <v>106.26326476832395</v>
      </c>
      <c r="V781" s="39">
        <f>[1]节奏总纲!AH781</f>
        <v>115.35127944343762</v>
      </c>
    </row>
    <row r="782" spans="17:22" x14ac:dyDescent="0.15">
      <c r="Q782" s="38">
        <v>779</v>
      </c>
      <c r="R782" s="39">
        <f>[1]节奏总纲!AD782</f>
        <v>96.070972142474872</v>
      </c>
      <c r="S782" s="39">
        <f>[1]节奏总纲!AE782</f>
        <v>98.332080159442285</v>
      </c>
      <c r="T782" s="39">
        <f>[1]节奏总纲!AF782</f>
        <v>101.45511648461195</v>
      </c>
      <c r="U782" s="39">
        <f>[1]节奏总纲!AG782</f>
        <v>106.2825926372533</v>
      </c>
      <c r="V782" s="39">
        <f>[1]节奏总纲!AH782</f>
        <v>115.36963316465359</v>
      </c>
    </row>
    <row r="783" spans="17:22" x14ac:dyDescent="0.15">
      <c r="Q783" s="38">
        <v>780</v>
      </c>
      <c r="R783" s="39">
        <f>[1]节奏总纲!AD783</f>
        <v>96.088925601853575</v>
      </c>
      <c r="S783" s="39">
        <f>[1]节奏总纲!AE783</f>
        <v>98.349886009806795</v>
      </c>
      <c r="T783" s="39">
        <f>[1]节奏总纲!AF783</f>
        <v>101.47512451488986</v>
      </c>
      <c r="U783" s="39">
        <f>[1]节奏总纲!AG783</f>
        <v>106.30192050618264</v>
      </c>
      <c r="V783" s="39">
        <f>[1]节奏总纲!AH783</f>
        <v>115.38798688586955</v>
      </c>
    </row>
    <row r="784" spans="17:22" x14ac:dyDescent="0.15">
      <c r="Q784" s="38">
        <v>781</v>
      </c>
      <c r="R784" s="39">
        <f>[1]节奏总纲!AD784</f>
        <v>96.106879061232277</v>
      </c>
      <c r="S784" s="39">
        <f>[1]节奏总纲!AE784</f>
        <v>98.367691860171306</v>
      </c>
      <c r="T784" s="39">
        <f>[1]节奏总纲!AF784</f>
        <v>101.49513254516775</v>
      </c>
      <c r="U784" s="39">
        <f>[1]节奏总纲!AG784</f>
        <v>106.32124837511198</v>
      </c>
      <c r="V784" s="39">
        <f>[1]节奏总纲!AH784</f>
        <v>115.40634060708551</v>
      </c>
    </row>
    <row r="785" spans="17:22" x14ac:dyDescent="0.15">
      <c r="Q785" s="38">
        <v>782</v>
      </c>
      <c r="R785" s="39">
        <f>[1]节奏总纲!AD785</f>
        <v>96.12483252061098</v>
      </c>
      <c r="S785" s="39">
        <f>[1]节奏总纲!AE785</f>
        <v>98.385497710535816</v>
      </c>
      <c r="T785" s="39">
        <f>[1]节奏总纲!AF785</f>
        <v>101.51514057544566</v>
      </c>
      <c r="U785" s="39">
        <f>[1]节奏总纲!AG785</f>
        <v>106.34057624404132</v>
      </c>
      <c r="V785" s="39">
        <f>[1]节奏总纲!AH785</f>
        <v>115.42469432830148</v>
      </c>
    </row>
    <row r="786" spans="17:22" x14ac:dyDescent="0.15">
      <c r="Q786" s="38">
        <v>783</v>
      </c>
      <c r="R786" s="39">
        <f>[1]节奏总纲!AD786</f>
        <v>96.142785979989682</v>
      </c>
      <c r="S786" s="39">
        <f>[1]节奏总纲!AE786</f>
        <v>98.403303560900341</v>
      </c>
      <c r="T786" s="39">
        <f>[1]节奏总纲!AF786</f>
        <v>101.53514860572355</v>
      </c>
      <c r="U786" s="39">
        <f>[1]节奏总纲!AG786</f>
        <v>106.35990411297067</v>
      </c>
      <c r="V786" s="39">
        <f>[1]节奏总纲!AH786</f>
        <v>115.44304804951744</v>
      </c>
    </row>
    <row r="787" spans="17:22" x14ac:dyDescent="0.15">
      <c r="Q787" s="38">
        <v>784</v>
      </c>
      <c r="R787" s="39">
        <f>[1]节奏总纲!AD787</f>
        <v>96.160739439368385</v>
      </c>
      <c r="S787" s="39">
        <f>[1]节奏总纲!AE787</f>
        <v>98.421109411264851</v>
      </c>
      <c r="T787" s="39">
        <f>[1]节奏总纲!AF787</f>
        <v>101.55515663600146</v>
      </c>
      <c r="U787" s="39">
        <f>[1]节奏总纲!AG787</f>
        <v>106.37923198190001</v>
      </c>
      <c r="V787" s="39">
        <f>[1]节奏总纲!AH787</f>
        <v>115.4614017707334</v>
      </c>
    </row>
    <row r="788" spans="17:22" x14ac:dyDescent="0.15">
      <c r="Q788" s="38">
        <v>785</v>
      </c>
      <c r="R788" s="39">
        <f>[1]节奏总纲!AD788</f>
        <v>96.178692898747087</v>
      </c>
      <c r="S788" s="39">
        <f>[1]节奏总纲!AE788</f>
        <v>98.438915261629361</v>
      </c>
      <c r="T788" s="39">
        <f>[1]节奏总纲!AF788</f>
        <v>101.57516466627935</v>
      </c>
      <c r="U788" s="39">
        <f>[1]节奏总纲!AG788</f>
        <v>106.39855985082934</v>
      </c>
      <c r="V788" s="39">
        <f>[1]节奏总纲!AH788</f>
        <v>115.47975549194938</v>
      </c>
    </row>
    <row r="789" spans="17:22" x14ac:dyDescent="0.15">
      <c r="Q789" s="38">
        <v>786</v>
      </c>
      <c r="R789" s="39">
        <f>[1]节奏总纲!AD789</f>
        <v>96.19664635812579</v>
      </c>
      <c r="S789" s="39">
        <f>[1]节奏总纲!AE789</f>
        <v>98.456721111993886</v>
      </c>
      <c r="T789" s="39">
        <f>[1]节奏总纲!AF789</f>
        <v>101.59517269655726</v>
      </c>
      <c r="U789" s="39">
        <f>[1]节奏总纲!AG789</f>
        <v>106.4178877197587</v>
      </c>
      <c r="V789" s="39">
        <f>[1]节奏总纲!AH789</f>
        <v>115.49810921316534</v>
      </c>
    </row>
    <row r="790" spans="17:22" x14ac:dyDescent="0.15">
      <c r="Q790" s="38">
        <v>787</v>
      </c>
      <c r="R790" s="39">
        <f>[1]节奏总纲!AD790</f>
        <v>96.214599817504492</v>
      </c>
      <c r="S790" s="39">
        <f>[1]节奏总纲!AE790</f>
        <v>98.474526962358397</v>
      </c>
      <c r="T790" s="39">
        <f>[1]节奏总纲!AF790</f>
        <v>101.61518072683515</v>
      </c>
      <c r="U790" s="39">
        <f>[1]节奏总纲!AG790</f>
        <v>106.43721558868803</v>
      </c>
      <c r="V790" s="39">
        <f>[1]节奏总纲!AH790</f>
        <v>115.51646293438129</v>
      </c>
    </row>
    <row r="791" spans="17:22" x14ac:dyDescent="0.15">
      <c r="Q791" s="38">
        <v>788</v>
      </c>
      <c r="R791" s="39">
        <f>[1]节奏总纲!AD791</f>
        <v>96.232553276883195</v>
      </c>
      <c r="S791" s="39">
        <f>[1]节奏总纲!AE791</f>
        <v>98.492332812722907</v>
      </c>
      <c r="T791" s="39">
        <f>[1]节奏总纲!AF791</f>
        <v>101.63518875711306</v>
      </c>
      <c r="U791" s="39">
        <f>[1]节奏总纲!AG791</f>
        <v>106.45654345761737</v>
      </c>
      <c r="V791" s="39">
        <f>[1]节奏总纲!AH791</f>
        <v>115.53481665559727</v>
      </c>
    </row>
    <row r="792" spans="17:22" x14ac:dyDescent="0.15">
      <c r="Q792" s="38">
        <v>789</v>
      </c>
      <c r="R792" s="39">
        <f>[1]节奏总纲!AD792</f>
        <v>96.250506736261897</v>
      </c>
      <c r="S792" s="39">
        <f>[1]节奏总纲!AE792</f>
        <v>98.510138663087432</v>
      </c>
      <c r="T792" s="39">
        <f>[1]节奏总纲!AF792</f>
        <v>101.65519678739095</v>
      </c>
      <c r="U792" s="39">
        <f>[1]节奏总纲!AG792</f>
        <v>106.47587132654672</v>
      </c>
      <c r="V792" s="39">
        <f>[1]节奏总纲!AH792</f>
        <v>115.55317037681323</v>
      </c>
    </row>
    <row r="793" spans="17:22" x14ac:dyDescent="0.15">
      <c r="Q793" s="38">
        <v>790</v>
      </c>
      <c r="R793" s="39">
        <f>[1]节奏总纲!AD793</f>
        <v>96.2684601956406</v>
      </c>
      <c r="S793" s="39">
        <f>[1]节奏总纲!AE793</f>
        <v>98.527944513451942</v>
      </c>
      <c r="T793" s="39">
        <f>[1]节奏总纲!AF793</f>
        <v>101.67520481766886</v>
      </c>
      <c r="U793" s="39">
        <f>[1]节奏总纲!AG793</f>
        <v>106.49519919547606</v>
      </c>
      <c r="V793" s="39">
        <f>[1]节奏总纲!AH793</f>
        <v>115.57152409802919</v>
      </c>
    </row>
    <row r="794" spans="17:22" x14ac:dyDescent="0.15">
      <c r="Q794" s="38">
        <v>791</v>
      </c>
      <c r="R794" s="39">
        <f>[1]节奏总纲!AD794</f>
        <v>96.286413655019302</v>
      </c>
      <c r="S794" s="39">
        <f>[1]节奏总纲!AE794</f>
        <v>98.545750363816452</v>
      </c>
      <c r="T794" s="39">
        <f>[1]节奏总纲!AF794</f>
        <v>101.69521284794675</v>
      </c>
      <c r="U794" s="39">
        <f>[1]节奏总纲!AG794</f>
        <v>106.5145270644054</v>
      </c>
      <c r="V794" s="39">
        <f>[1]节奏总纲!AH794</f>
        <v>115.58987781924516</v>
      </c>
    </row>
    <row r="795" spans="17:22" x14ac:dyDescent="0.15">
      <c r="Q795" s="38">
        <v>792</v>
      </c>
      <c r="R795" s="39">
        <f>[1]节奏总纲!AD795</f>
        <v>96.304367114398005</v>
      </c>
      <c r="S795" s="39">
        <f>[1]节奏总纲!AE795</f>
        <v>98.563556214180963</v>
      </c>
      <c r="T795" s="39">
        <f>[1]节奏总纲!AF795</f>
        <v>101.71522087822466</v>
      </c>
      <c r="U795" s="39">
        <f>[1]节奏总纲!AG795</f>
        <v>106.53385493333474</v>
      </c>
      <c r="V795" s="39">
        <f>[1]节奏总纲!AH795</f>
        <v>115.60823154046112</v>
      </c>
    </row>
    <row r="796" spans="17:22" x14ac:dyDescent="0.15">
      <c r="Q796" s="38">
        <v>793</v>
      </c>
      <c r="R796" s="39">
        <f>[1]节奏总纲!AD796</f>
        <v>96.322320573776707</v>
      </c>
      <c r="S796" s="39">
        <f>[1]节奏总纲!AE796</f>
        <v>98.581362064545488</v>
      </c>
      <c r="T796" s="39">
        <f>[1]节奏总纲!AF796</f>
        <v>101.73522890850255</v>
      </c>
      <c r="U796" s="39">
        <f>[1]节奏总纲!AG796</f>
        <v>106.55318280226409</v>
      </c>
      <c r="V796" s="39">
        <f>[1]节奏总纲!AH796</f>
        <v>115.62658526167708</v>
      </c>
    </row>
    <row r="797" spans="17:22" x14ac:dyDescent="0.15">
      <c r="Q797" s="38">
        <v>794</v>
      </c>
      <c r="R797" s="39">
        <f>[1]节奏总纲!AD797</f>
        <v>96.34027403315541</v>
      </c>
      <c r="S797" s="39">
        <f>[1]节奏总纲!AE797</f>
        <v>98.599167914909998</v>
      </c>
      <c r="T797" s="39">
        <f>[1]节奏总纲!AF797</f>
        <v>101.75523693878046</v>
      </c>
      <c r="U797" s="39">
        <f>[1]节奏总纲!AG797</f>
        <v>106.57251067119343</v>
      </c>
      <c r="V797" s="39">
        <f>[1]节奏总纲!AH797</f>
        <v>115.64493898289305</v>
      </c>
    </row>
    <row r="798" spans="17:22" x14ac:dyDescent="0.15">
      <c r="Q798" s="38">
        <v>795</v>
      </c>
      <c r="R798" s="39">
        <f>[1]节奏总纲!AD798</f>
        <v>96.358227492534112</v>
      </c>
      <c r="S798" s="39">
        <f>[1]节奏总纲!AE798</f>
        <v>98.616973765274508</v>
      </c>
      <c r="T798" s="39">
        <f>[1]节奏总纲!AF798</f>
        <v>101.77524496905835</v>
      </c>
      <c r="U798" s="39">
        <f>[1]节奏总纲!AG798</f>
        <v>106.59183854012277</v>
      </c>
      <c r="V798" s="39">
        <f>[1]节奏总纲!AH798</f>
        <v>115.66329270410901</v>
      </c>
    </row>
    <row r="799" spans="17:22" x14ac:dyDescent="0.15">
      <c r="Q799" s="38">
        <v>796</v>
      </c>
      <c r="R799" s="39">
        <f>[1]节奏总纲!AD799</f>
        <v>96.376180951912815</v>
      </c>
      <c r="S799" s="39">
        <f>[1]节奏总纲!AE799</f>
        <v>98.634779615639033</v>
      </c>
      <c r="T799" s="39">
        <f>[1]节奏总纲!AF799</f>
        <v>101.79525299933626</v>
      </c>
      <c r="U799" s="39">
        <f>[1]节奏总纲!AG799</f>
        <v>106.61116640905212</v>
      </c>
      <c r="V799" s="39">
        <f>[1]节奏总纲!AH799</f>
        <v>115.68164642532497</v>
      </c>
    </row>
    <row r="800" spans="17:22" x14ac:dyDescent="0.15">
      <c r="Q800" s="38">
        <v>797</v>
      </c>
      <c r="R800" s="39">
        <f>[1]节奏总纲!AD800</f>
        <v>96.394134411291517</v>
      </c>
      <c r="S800" s="39">
        <f>[1]节奏总纲!AE800</f>
        <v>98.652585466003544</v>
      </c>
      <c r="T800" s="39">
        <f>[1]节奏总纲!AF800</f>
        <v>101.81526102961415</v>
      </c>
      <c r="U800" s="39">
        <f>[1]节奏总纲!AG800</f>
        <v>106.63049427798146</v>
      </c>
      <c r="V800" s="39">
        <f>[1]节奏总纲!AH800</f>
        <v>115.70000014654094</v>
      </c>
    </row>
    <row r="801" spans="17:22" x14ac:dyDescent="0.15">
      <c r="Q801" s="38">
        <v>798</v>
      </c>
      <c r="R801" s="39">
        <f>[1]节奏总纲!AD801</f>
        <v>96.41208787067022</v>
      </c>
      <c r="S801" s="39">
        <f>[1]节奏总纲!AE801</f>
        <v>98.670391316368054</v>
      </c>
      <c r="T801" s="39">
        <f>[1]节奏总纲!AF801</f>
        <v>101.83526905989206</v>
      </c>
      <c r="U801" s="39">
        <f>[1]节奏总纲!AG801</f>
        <v>106.64982214691079</v>
      </c>
      <c r="V801" s="39">
        <f>[1]节奏总纲!AH801</f>
        <v>115.7183538677569</v>
      </c>
    </row>
    <row r="802" spans="17:22" x14ac:dyDescent="0.15">
      <c r="Q802" s="38">
        <v>799</v>
      </c>
      <c r="R802" s="39">
        <f>[1]节奏总纲!AD802</f>
        <v>96.430041330048923</v>
      </c>
      <c r="S802" s="39">
        <f>[1]节奏总纲!AE802</f>
        <v>98.688197166732579</v>
      </c>
      <c r="T802" s="39">
        <f>[1]节奏总纲!AF802</f>
        <v>101.85527709016995</v>
      </c>
      <c r="U802" s="39">
        <f>[1]节奏总纲!AG802</f>
        <v>106.66915001584015</v>
      </c>
      <c r="V802" s="39">
        <f>[1]节奏总纲!AH802</f>
        <v>115.73670758897286</v>
      </c>
    </row>
    <row r="803" spans="17:22" x14ac:dyDescent="0.15">
      <c r="Q803" s="38">
        <v>800</v>
      </c>
      <c r="R803" s="39">
        <f>[1]节奏总纲!AD803</f>
        <v>96.447994789427625</v>
      </c>
      <c r="S803" s="39">
        <f>[1]节奏总纲!AE803</f>
        <v>98.706003017097089</v>
      </c>
      <c r="T803" s="39">
        <f>[1]节奏总纲!AF803</f>
        <v>101.87528512044786</v>
      </c>
      <c r="U803" s="39">
        <f>[1]节奏总纲!AG803</f>
        <v>106.68847788476948</v>
      </c>
      <c r="V803" s="39">
        <f>[1]节奏总纲!AH803</f>
        <v>115.75506131018884</v>
      </c>
    </row>
    <row r="804" spans="17:22" x14ac:dyDescent="0.15">
      <c r="Q804" s="38">
        <v>801</v>
      </c>
      <c r="R804" s="39">
        <f>[1]节奏总纲!AD804</f>
        <v>96.465948248806328</v>
      </c>
      <c r="S804" s="39">
        <f>[1]节奏总纲!AE804</f>
        <v>98.723808867461599</v>
      </c>
      <c r="T804" s="39">
        <f>[1]节奏总纲!AF804</f>
        <v>101.89529315072575</v>
      </c>
      <c r="U804" s="39">
        <f>[1]节奏总纲!AG804</f>
        <v>106.70780575369882</v>
      </c>
      <c r="V804" s="39">
        <f>[1]节奏总纲!AH804</f>
        <v>115.7734150314048</v>
      </c>
    </row>
    <row r="805" spans="17:22" x14ac:dyDescent="0.15">
      <c r="Q805" s="38">
        <v>802</v>
      </c>
      <c r="R805" s="39">
        <f>[1]节奏总纲!AD805</f>
        <v>96.48390170818503</v>
      </c>
      <c r="S805" s="39">
        <f>[1]节奏总纲!AE805</f>
        <v>98.74161471782611</v>
      </c>
      <c r="T805" s="39">
        <f>[1]节奏总纲!AF805</f>
        <v>101.91530118100366</v>
      </c>
      <c r="U805" s="39">
        <f>[1]节奏总纲!AG805</f>
        <v>106.72713362262816</v>
      </c>
      <c r="V805" s="39">
        <f>[1]节奏总纲!AH805</f>
        <v>115.79176875262075</v>
      </c>
    </row>
    <row r="806" spans="17:22" x14ac:dyDescent="0.15">
      <c r="Q806" s="38">
        <v>803</v>
      </c>
      <c r="R806" s="39">
        <f>[1]节奏总纲!AD806</f>
        <v>96.501855167563733</v>
      </c>
      <c r="S806" s="39">
        <f>[1]节奏总纲!AE806</f>
        <v>98.759420568190635</v>
      </c>
      <c r="T806" s="39">
        <f>[1]节奏总纲!AF806</f>
        <v>101.93530921128155</v>
      </c>
      <c r="U806" s="39">
        <f>[1]节奏总纲!AG806</f>
        <v>106.74646149155751</v>
      </c>
      <c r="V806" s="39">
        <f>[1]节奏总纲!AH806</f>
        <v>115.81012247383673</v>
      </c>
    </row>
    <row r="807" spans="17:22" x14ac:dyDescent="0.15">
      <c r="Q807" s="38">
        <v>804</v>
      </c>
      <c r="R807" s="39">
        <f>[1]节奏总纲!AD807</f>
        <v>96.519808626942435</v>
      </c>
      <c r="S807" s="39">
        <f>[1]节奏总纲!AE807</f>
        <v>98.777226418555145</v>
      </c>
      <c r="T807" s="39">
        <f>[1]节奏总纲!AF807</f>
        <v>101.95531724155946</v>
      </c>
      <c r="U807" s="39">
        <f>[1]节奏总纲!AG807</f>
        <v>106.76578936048685</v>
      </c>
      <c r="V807" s="39">
        <f>[1]节奏总纲!AH807</f>
        <v>115.82847619505269</v>
      </c>
    </row>
    <row r="808" spans="17:22" x14ac:dyDescent="0.15">
      <c r="Q808" s="38">
        <v>805</v>
      </c>
      <c r="R808" s="39">
        <f>[1]节奏总纲!AD808</f>
        <v>96.537762086321138</v>
      </c>
      <c r="S808" s="39">
        <f>[1]节奏总纲!AE808</f>
        <v>98.795032268919655</v>
      </c>
      <c r="T808" s="39">
        <f>[1]节奏总纲!AF808</f>
        <v>101.97532527183736</v>
      </c>
      <c r="U808" s="39">
        <f>[1]节奏总纲!AG808</f>
        <v>106.78511722941619</v>
      </c>
      <c r="V808" s="39">
        <f>[1]节奏总纲!AH808</f>
        <v>115.84682991626866</v>
      </c>
    </row>
    <row r="809" spans="17:22" x14ac:dyDescent="0.15">
      <c r="Q809" s="38">
        <v>806</v>
      </c>
      <c r="R809" s="39">
        <f>[1]节奏总纲!AD809</f>
        <v>96.55571554569984</v>
      </c>
      <c r="S809" s="39">
        <f>[1]节奏总纲!AE809</f>
        <v>98.81283811928418</v>
      </c>
      <c r="T809" s="39">
        <f>[1]节奏总纲!AF809</f>
        <v>101.99533330211526</v>
      </c>
      <c r="U809" s="39">
        <f>[1]节奏总纲!AG809</f>
        <v>106.80444509834554</v>
      </c>
      <c r="V809" s="39">
        <f>[1]节奏总纲!AH809</f>
        <v>115.86518363748462</v>
      </c>
    </row>
    <row r="810" spans="17:22" x14ac:dyDescent="0.15">
      <c r="Q810" s="38">
        <v>807</v>
      </c>
      <c r="R810" s="39">
        <f>[1]节奏总纲!AD810</f>
        <v>96.573669005078543</v>
      </c>
      <c r="S810" s="39">
        <f>[1]节奏总纲!AE810</f>
        <v>98.83064396964869</v>
      </c>
      <c r="T810" s="39">
        <f>[1]节奏总纲!AF810</f>
        <v>102.01387295585346</v>
      </c>
      <c r="U810" s="39">
        <f>[1]节奏总纲!AG810</f>
        <v>106.82377296727488</v>
      </c>
      <c r="V810" s="39">
        <f>[1]节奏总纲!AH810</f>
        <v>115.88353735870058</v>
      </c>
    </row>
    <row r="811" spans="17:22" x14ac:dyDescent="0.15">
      <c r="Q811" s="38">
        <v>808</v>
      </c>
      <c r="R811" s="39">
        <f>[1]节奏总纲!AD811</f>
        <v>96.591622464457245</v>
      </c>
      <c r="S811" s="39">
        <f>[1]节奏总纲!AE811</f>
        <v>98.848449820013201</v>
      </c>
      <c r="T811" s="39">
        <f>[1]节奏总纲!AF811</f>
        <v>102.03196594241072</v>
      </c>
      <c r="U811" s="39">
        <f>[1]节奏总纲!AG811</f>
        <v>106.84310083620421</v>
      </c>
      <c r="V811" s="39">
        <f>[1]节奏总纲!AH811</f>
        <v>115.90189107991655</v>
      </c>
    </row>
    <row r="812" spans="17:22" x14ac:dyDescent="0.15">
      <c r="Q812" s="38">
        <v>809</v>
      </c>
      <c r="R812" s="39">
        <f>[1]节奏总纲!AD812</f>
        <v>96.609575923835948</v>
      </c>
      <c r="S812" s="39">
        <f>[1]节奏总纲!AE812</f>
        <v>98.866255670377726</v>
      </c>
      <c r="T812" s="39">
        <f>[1]节奏总纲!AF812</f>
        <v>102.05005892896799</v>
      </c>
      <c r="U812" s="39">
        <f>[1]节奏总纲!AG812</f>
        <v>106.86242870513357</v>
      </c>
      <c r="V812" s="39">
        <f>[1]节奏总纲!AH812</f>
        <v>115.92024480113251</v>
      </c>
    </row>
    <row r="813" spans="17:22" x14ac:dyDescent="0.15">
      <c r="Q813" s="38">
        <v>810</v>
      </c>
      <c r="R813" s="39">
        <f>[1]节奏总纲!AD813</f>
        <v>96.62752938321465</v>
      </c>
      <c r="S813" s="39">
        <f>[1]节奏总纲!AE813</f>
        <v>98.884061520742236</v>
      </c>
      <c r="T813" s="39">
        <f>[1]节奏总纲!AF813</f>
        <v>102.06815191552525</v>
      </c>
      <c r="U813" s="39">
        <f>[1]节奏总纲!AG813</f>
        <v>106.8817565740629</v>
      </c>
      <c r="V813" s="39">
        <f>[1]节奏总纲!AH813</f>
        <v>115.93859852234847</v>
      </c>
    </row>
    <row r="814" spans="17:22" x14ac:dyDescent="0.15">
      <c r="Q814" s="38">
        <v>811</v>
      </c>
      <c r="R814" s="39">
        <f>[1]节奏总纲!AD814</f>
        <v>96.645482842593353</v>
      </c>
      <c r="S814" s="39">
        <f>[1]节奏总纲!AE814</f>
        <v>98.901867371106746</v>
      </c>
      <c r="T814" s="39">
        <f>[1]节奏总纲!AF814</f>
        <v>102.08624490208251</v>
      </c>
      <c r="U814" s="39">
        <f>[1]节奏总纲!AG814</f>
        <v>106.90108444299224</v>
      </c>
      <c r="V814" s="39">
        <f>[1]节奏总纲!AH814</f>
        <v>115.95695224356444</v>
      </c>
    </row>
    <row r="815" spans="17:22" x14ac:dyDescent="0.15">
      <c r="Q815" s="38">
        <v>812</v>
      </c>
      <c r="R815" s="39">
        <f>[1]节奏总纲!AD815</f>
        <v>96.663436301972055</v>
      </c>
      <c r="S815" s="39">
        <f>[1]节奏总纲!AE815</f>
        <v>98.919673221471257</v>
      </c>
      <c r="T815" s="39">
        <f>[1]节奏总纲!AF815</f>
        <v>102.10433788863978</v>
      </c>
      <c r="U815" s="39">
        <f>[1]节奏总纲!AG815</f>
        <v>106.92041231192158</v>
      </c>
      <c r="V815" s="39">
        <f>[1]节奏总纲!AH815</f>
        <v>115.9753059647804</v>
      </c>
    </row>
    <row r="816" spans="17:22" x14ac:dyDescent="0.15">
      <c r="Q816" s="38">
        <v>813</v>
      </c>
      <c r="R816" s="39">
        <f>[1]节奏总纲!AD816</f>
        <v>96.681389761350758</v>
      </c>
      <c r="S816" s="39">
        <f>[1]节奏总纲!AE816</f>
        <v>98.937479071835781</v>
      </c>
      <c r="T816" s="39">
        <f>[1]节奏总纲!AF816</f>
        <v>102.12243087519704</v>
      </c>
      <c r="U816" s="39">
        <f>[1]节奏总纲!AG816</f>
        <v>106.93974018085093</v>
      </c>
      <c r="V816" s="39">
        <f>[1]节奏总纲!AH816</f>
        <v>115.99365968599636</v>
      </c>
    </row>
    <row r="817" spans="17:22" x14ac:dyDescent="0.15">
      <c r="Q817" s="38">
        <v>814</v>
      </c>
      <c r="R817" s="39">
        <f>[1]节奏总纲!AD817</f>
        <v>96.69934322072946</v>
      </c>
      <c r="S817" s="39">
        <f>[1]节奏总纲!AE817</f>
        <v>98.955284922200292</v>
      </c>
      <c r="T817" s="39">
        <f>[1]节奏总纲!AF817</f>
        <v>102.1405238617543</v>
      </c>
      <c r="U817" s="39">
        <f>[1]节奏总纲!AG817</f>
        <v>106.95906804978027</v>
      </c>
      <c r="V817" s="39">
        <f>[1]节奏总纲!AH817</f>
        <v>116.01095922661128</v>
      </c>
    </row>
    <row r="818" spans="17:22" x14ac:dyDescent="0.15">
      <c r="Q818" s="38">
        <v>815</v>
      </c>
      <c r="R818" s="39">
        <f>[1]节奏总纲!AD818</f>
        <v>96.717296680108163</v>
      </c>
      <c r="S818" s="39">
        <f>[1]节奏总纲!AE818</f>
        <v>98.973090772564802</v>
      </c>
      <c r="T818" s="39">
        <f>[1]节奏总纲!AF818</f>
        <v>102.15861684831157</v>
      </c>
      <c r="U818" s="39">
        <f>[1]节奏总纲!AG818</f>
        <v>106.97839591870961</v>
      </c>
      <c r="V818" s="39">
        <f>[1]节奏总纲!AH818</f>
        <v>116.02770240249892</v>
      </c>
    </row>
    <row r="819" spans="17:22" x14ac:dyDescent="0.15">
      <c r="Q819" s="38">
        <v>816</v>
      </c>
      <c r="R819" s="39">
        <f>[1]节奏总纲!AD819</f>
        <v>96.735250139486865</v>
      </c>
      <c r="S819" s="39">
        <f>[1]节奏总纲!AE819</f>
        <v>98.990896622929327</v>
      </c>
      <c r="T819" s="39">
        <f>[1]节奏总纲!AF819</f>
        <v>102.17670983486883</v>
      </c>
      <c r="U819" s="39">
        <f>[1]节奏总纲!AG819</f>
        <v>106.99772378763896</v>
      </c>
      <c r="V819" s="39">
        <f>[1]节奏总纲!AH819</f>
        <v>116.04444557838656</v>
      </c>
    </row>
    <row r="820" spans="17:22" x14ac:dyDescent="0.15">
      <c r="Q820" s="38">
        <v>817</v>
      </c>
      <c r="R820" s="39">
        <f>[1]节奏总纲!AD820</f>
        <v>96.753203598865568</v>
      </c>
      <c r="S820" s="39">
        <f>[1]节奏总纲!AE820</f>
        <v>99.008302083689216</v>
      </c>
      <c r="T820" s="39">
        <f>[1]节奏总纲!AF820</f>
        <v>102.19480282142609</v>
      </c>
      <c r="U820" s="39">
        <f>[1]节奏总纲!AG820</f>
        <v>107.01587272099563</v>
      </c>
      <c r="V820" s="39">
        <f>[1]节奏总纲!AH820</f>
        <v>116.0611887542742</v>
      </c>
    </row>
    <row r="821" spans="17:22" x14ac:dyDescent="0.15">
      <c r="Q821" s="38">
        <v>818</v>
      </c>
      <c r="R821" s="39">
        <f>[1]节奏总纲!AD821</f>
        <v>96.77115705824427</v>
      </c>
      <c r="S821" s="39">
        <f>[1]节奏总纲!AE821</f>
        <v>99.0252887097773</v>
      </c>
      <c r="T821" s="39">
        <f>[1]节奏总纲!AF821</f>
        <v>102.21289580798336</v>
      </c>
      <c r="U821" s="39">
        <f>[1]节奏总纲!AG821</f>
        <v>107.03386427916047</v>
      </c>
      <c r="V821" s="39">
        <f>[1]节奏总纲!AH821</f>
        <v>116.07793193016184</v>
      </c>
    </row>
    <row r="822" spans="17:22" x14ac:dyDescent="0.15">
      <c r="Q822" s="38">
        <v>819</v>
      </c>
      <c r="R822" s="39">
        <f>[1]节奏总纲!AD822</f>
        <v>96.789110517622973</v>
      </c>
      <c r="S822" s="39">
        <f>[1]节奏总纲!AE822</f>
        <v>99.042275335865384</v>
      </c>
      <c r="T822" s="39">
        <f>[1]节奏总纲!AF822</f>
        <v>102.23098879454061</v>
      </c>
      <c r="U822" s="39">
        <f>[1]节奏总纲!AG822</f>
        <v>107.05185583732531</v>
      </c>
      <c r="V822" s="39">
        <f>[1]节奏总纲!AH822</f>
        <v>116.09467510604948</v>
      </c>
    </row>
    <row r="823" spans="17:22" x14ac:dyDescent="0.15">
      <c r="Q823" s="38">
        <v>820</v>
      </c>
      <c r="R823" s="39">
        <f>[1]节奏总纲!AD823</f>
        <v>96.807063977001675</v>
      </c>
      <c r="S823" s="39">
        <f>[1]节奏总纲!AE823</f>
        <v>99.059261961953453</v>
      </c>
      <c r="T823" s="39">
        <f>[1]节奏总纲!AF823</f>
        <v>102.24908178109787</v>
      </c>
      <c r="U823" s="39">
        <f>[1]节奏总纲!AG823</f>
        <v>107.06984739549016</v>
      </c>
      <c r="V823" s="39">
        <f>[1]节奏总纲!AH823</f>
        <v>116.11141828193712</v>
      </c>
    </row>
    <row r="824" spans="17:22" x14ac:dyDescent="0.15">
      <c r="Q824" s="38">
        <v>821</v>
      </c>
      <c r="R824" s="39">
        <f>[1]节奏总纲!AD824</f>
        <v>96.825017436380378</v>
      </c>
      <c r="S824" s="39">
        <f>[1]节奏总纲!AE824</f>
        <v>99.076248588041537</v>
      </c>
      <c r="T824" s="39">
        <f>[1]节奏总纲!AF824</f>
        <v>102.26717476765513</v>
      </c>
      <c r="U824" s="39">
        <f>[1]节奏总纲!AG824</f>
        <v>107.08783895365499</v>
      </c>
      <c r="V824" s="39">
        <f>[1]节奏总纲!AH824</f>
        <v>116.12816145782476</v>
      </c>
    </row>
    <row r="825" spans="17:22" x14ac:dyDescent="0.15">
      <c r="Q825" s="38">
        <v>822</v>
      </c>
      <c r="R825" s="39">
        <f>[1]节奏总纲!AD825</f>
        <v>96.84297089575908</v>
      </c>
      <c r="S825" s="39">
        <f>[1]节奏总纲!AE825</f>
        <v>99.093235214129621</v>
      </c>
      <c r="T825" s="39">
        <f>[1]节奏总纲!AF825</f>
        <v>102.2852677542124</v>
      </c>
      <c r="U825" s="39">
        <f>[1]节奏总纲!AG825</f>
        <v>107.10583051181983</v>
      </c>
      <c r="V825" s="39">
        <f>[1]节奏总纲!AH825</f>
        <v>116.1449046337124</v>
      </c>
    </row>
    <row r="826" spans="17:22" x14ac:dyDescent="0.15">
      <c r="Q826" s="38">
        <v>823</v>
      </c>
      <c r="R826" s="39">
        <f>[1]节奏总纲!AD826</f>
        <v>96.860924355137783</v>
      </c>
      <c r="S826" s="39">
        <f>[1]节奏总纲!AE826</f>
        <v>99.11022184021769</v>
      </c>
      <c r="T826" s="39">
        <f>[1]节奏总纲!AF826</f>
        <v>102.30336074076966</v>
      </c>
      <c r="U826" s="39">
        <f>[1]节奏总纲!AG826</f>
        <v>107.12382206998468</v>
      </c>
      <c r="V826" s="39">
        <f>[1]节奏总纲!AH826</f>
        <v>116.16164780960004</v>
      </c>
    </row>
    <row r="827" spans="17:22" x14ac:dyDescent="0.15">
      <c r="Q827" s="38">
        <v>824</v>
      </c>
      <c r="R827" s="39">
        <f>[1]节奏总纲!AD827</f>
        <v>96.878877814516486</v>
      </c>
      <c r="S827" s="39">
        <f>[1]节奏总纲!AE827</f>
        <v>99.127208466305774</v>
      </c>
      <c r="T827" s="39">
        <f>[1]节奏总纲!AF827</f>
        <v>102.32145372732693</v>
      </c>
      <c r="U827" s="39">
        <f>[1]节奏总纲!AG827</f>
        <v>107.14181362814952</v>
      </c>
      <c r="V827" s="39">
        <f>[1]节奏总纲!AH827</f>
        <v>116.17839098548767</v>
      </c>
    </row>
    <row r="828" spans="17:22" x14ac:dyDescent="0.15">
      <c r="Q828" s="38">
        <v>825</v>
      </c>
      <c r="R828" s="39">
        <f>[1]节奏总纲!AD828</f>
        <v>96.896831273895188</v>
      </c>
      <c r="S828" s="39">
        <f>[1]节奏总纲!AE828</f>
        <v>99.144195092393858</v>
      </c>
      <c r="T828" s="39">
        <f>[1]节奏总纲!AF828</f>
        <v>102.33954671388419</v>
      </c>
      <c r="U828" s="39">
        <f>[1]节奏总纲!AG828</f>
        <v>107.15980518631437</v>
      </c>
      <c r="V828" s="39">
        <f>[1]节奏总纲!AH828</f>
        <v>116.19513416137531</v>
      </c>
    </row>
    <row r="829" spans="17:22" x14ac:dyDescent="0.15">
      <c r="Q829" s="38">
        <v>826</v>
      </c>
      <c r="R829" s="39">
        <f>[1]节奏总纲!AD829</f>
        <v>96.914784733273891</v>
      </c>
      <c r="S829" s="39">
        <f>[1]节奏总纲!AE829</f>
        <v>99.161181718481942</v>
      </c>
      <c r="T829" s="39">
        <f>[1]节奏总纲!AF829</f>
        <v>102.35763970044145</v>
      </c>
      <c r="U829" s="39">
        <f>[1]节奏总纲!AG829</f>
        <v>107.17779674447921</v>
      </c>
      <c r="V829" s="39">
        <f>[1]节奏总纲!AH829</f>
        <v>116.21187733726295</v>
      </c>
    </row>
    <row r="830" spans="17:22" x14ac:dyDescent="0.15">
      <c r="Q830" s="38">
        <v>827</v>
      </c>
      <c r="R830" s="39">
        <f>[1]节奏总纲!AD830</f>
        <v>96.932738192652593</v>
      </c>
      <c r="S830" s="39">
        <f>[1]节奏总纲!AE830</f>
        <v>99.178168344570011</v>
      </c>
      <c r="T830" s="39">
        <f>[1]节奏总纲!AF830</f>
        <v>102.37573268699872</v>
      </c>
      <c r="U830" s="39">
        <f>[1]节奏总纲!AG830</f>
        <v>107.19578830264405</v>
      </c>
      <c r="V830" s="39">
        <f>[1]节奏总纲!AH830</f>
        <v>116.22862051315059</v>
      </c>
    </row>
    <row r="831" spans="17:22" x14ac:dyDescent="0.15">
      <c r="Q831" s="38">
        <v>828</v>
      </c>
      <c r="R831" s="39">
        <f>[1]节奏总纲!AD831</f>
        <v>96.950691652031296</v>
      </c>
      <c r="S831" s="39">
        <f>[1]节奏总纲!AE831</f>
        <v>99.195154970658095</v>
      </c>
      <c r="T831" s="39">
        <f>[1]节奏总纲!AF831</f>
        <v>102.39382567355598</v>
      </c>
      <c r="U831" s="39">
        <f>[1]节奏总纲!AG831</f>
        <v>107.2137798608089</v>
      </c>
      <c r="V831" s="39">
        <f>[1]节奏总纲!AH831</f>
        <v>116.24536368903823</v>
      </c>
    </row>
    <row r="832" spans="17:22" x14ac:dyDescent="0.15">
      <c r="Q832" s="38">
        <v>829</v>
      </c>
      <c r="R832" s="39">
        <f>[1]节奏总纲!AD832</f>
        <v>96.968645111409998</v>
      </c>
      <c r="S832" s="39">
        <f>[1]节奏总纲!AE832</f>
        <v>99.212141596746179</v>
      </c>
      <c r="T832" s="39">
        <f>[1]节奏总纲!AF832</f>
        <v>102.41191866011324</v>
      </c>
      <c r="U832" s="39">
        <f>[1]节奏总纲!AG832</f>
        <v>107.23177141897374</v>
      </c>
      <c r="V832" s="39">
        <f>[1]节奏总纲!AH832</f>
        <v>116.26210686492587</v>
      </c>
    </row>
    <row r="833" spans="17:22" x14ac:dyDescent="0.15">
      <c r="Q833" s="38">
        <v>830</v>
      </c>
      <c r="R833" s="39">
        <f>[1]节奏总纲!AD833</f>
        <v>96.986598570788701</v>
      </c>
      <c r="S833" s="39">
        <f>[1]节奏总纲!AE833</f>
        <v>99.229128222834248</v>
      </c>
      <c r="T833" s="39">
        <f>[1]节奏总纲!AF833</f>
        <v>102.43001164667051</v>
      </c>
      <c r="U833" s="39">
        <f>[1]节奏总纲!AG833</f>
        <v>107.24976297713857</v>
      </c>
      <c r="V833" s="39">
        <f>[1]节奏总纲!AH833</f>
        <v>116.27885004081351</v>
      </c>
    </row>
    <row r="834" spans="17:22" x14ac:dyDescent="0.15">
      <c r="Q834" s="38">
        <v>831</v>
      </c>
      <c r="R834" s="39">
        <f>[1]节奏总纲!AD834</f>
        <v>97.004247194324662</v>
      </c>
      <c r="S834" s="39">
        <f>[1]节奏总纲!AE834</f>
        <v>99.246114848922332</v>
      </c>
      <c r="T834" s="39">
        <f>[1]节奏总纲!AF834</f>
        <v>102.44810463322777</v>
      </c>
      <c r="U834" s="39">
        <f>[1]节奏总纲!AG834</f>
        <v>107.26775453530342</v>
      </c>
      <c r="V834" s="39">
        <f>[1]节奏总纲!AH834</f>
        <v>116.29559321670115</v>
      </c>
    </row>
    <row r="835" spans="17:22" x14ac:dyDescent="0.15">
      <c r="Q835" s="38">
        <v>832</v>
      </c>
      <c r="R835" s="39">
        <f>[1]节奏总纲!AD835</f>
        <v>97.020998364237201</v>
      </c>
      <c r="S835" s="39">
        <f>[1]节奏总纲!AE835</f>
        <v>99.263101475010416</v>
      </c>
      <c r="T835" s="39">
        <f>[1]节奏总纲!AF835</f>
        <v>102.46619761978504</v>
      </c>
      <c r="U835" s="39">
        <f>[1]节奏总纲!AG835</f>
        <v>107.28574609346826</v>
      </c>
      <c r="V835" s="39">
        <f>[1]节奏总纲!AH835</f>
        <v>116.31233639258879</v>
      </c>
    </row>
    <row r="836" spans="17:22" x14ac:dyDescent="0.15">
      <c r="Q836" s="38">
        <v>833</v>
      </c>
      <c r="R836" s="39">
        <f>[1]节奏总纲!AD836</f>
        <v>97.037749534149754</v>
      </c>
      <c r="S836" s="39">
        <f>[1]节奏总纲!AE836</f>
        <v>99.280088101098485</v>
      </c>
      <c r="T836" s="39">
        <f>[1]节奏总纲!AF836</f>
        <v>102.4842906063423</v>
      </c>
      <c r="U836" s="39">
        <f>[1]节奏总纲!AG836</f>
        <v>107.30373765163311</v>
      </c>
      <c r="V836" s="39">
        <f>[1]节奏总纲!AH836</f>
        <v>116.32907956847643</v>
      </c>
    </row>
    <row r="837" spans="17:22" x14ac:dyDescent="0.15">
      <c r="Q837" s="38">
        <v>834</v>
      </c>
      <c r="R837" s="39">
        <f>[1]节奏总纲!AD837</f>
        <v>97.054500704062292</v>
      </c>
      <c r="S837" s="39">
        <f>[1]节奏总纲!AE837</f>
        <v>99.297074727186569</v>
      </c>
      <c r="T837" s="39">
        <f>[1]节奏总纲!AF837</f>
        <v>102.50238359289956</v>
      </c>
      <c r="U837" s="39">
        <f>[1]节奏总纲!AG837</f>
        <v>107.32172920979795</v>
      </c>
      <c r="V837" s="39">
        <f>[1]节奏总纲!AH837</f>
        <v>116.34582274436407</v>
      </c>
    </row>
    <row r="838" spans="17:22" x14ac:dyDescent="0.15">
      <c r="Q838" s="38">
        <v>835</v>
      </c>
      <c r="R838" s="39">
        <f>[1]节奏总纲!AD838</f>
        <v>97.071251873974845</v>
      </c>
      <c r="S838" s="39">
        <f>[1]节奏总纲!AE838</f>
        <v>99.314061353274653</v>
      </c>
      <c r="T838" s="39">
        <f>[1]节奏总纲!AF838</f>
        <v>102.52047657945683</v>
      </c>
      <c r="U838" s="39">
        <f>[1]节奏总纲!AG838</f>
        <v>107.33972076796279</v>
      </c>
      <c r="V838" s="39">
        <f>[1]节奏总纲!AH838</f>
        <v>116.36256592025171</v>
      </c>
    </row>
    <row r="839" spans="17:22" x14ac:dyDescent="0.15">
      <c r="Q839" s="38">
        <v>836</v>
      </c>
      <c r="R839" s="39">
        <f>[1]节奏总纲!AD839</f>
        <v>97.088003043887383</v>
      </c>
      <c r="S839" s="39">
        <f>[1]节奏总纲!AE839</f>
        <v>99.331047979362737</v>
      </c>
      <c r="T839" s="39">
        <f>[1]节奏总纲!AF839</f>
        <v>102.53856956601409</v>
      </c>
      <c r="U839" s="39">
        <f>[1]节奏总纲!AG839</f>
        <v>107.35771232612764</v>
      </c>
      <c r="V839" s="39">
        <f>[1]节奏总纲!AH839</f>
        <v>116.37930909613935</v>
      </c>
    </row>
    <row r="840" spans="17:22" x14ac:dyDescent="0.15">
      <c r="Q840" s="38">
        <v>837</v>
      </c>
      <c r="R840" s="39">
        <f>[1]节奏总纲!AD840</f>
        <v>97.104754213799936</v>
      </c>
      <c r="S840" s="39">
        <f>[1]节奏总纲!AE840</f>
        <v>99.348034605450806</v>
      </c>
      <c r="T840" s="39">
        <f>[1]节奏总纲!AF840</f>
        <v>102.55666255257135</v>
      </c>
      <c r="U840" s="39">
        <f>[1]节奏总纲!AG840</f>
        <v>107.37570388429248</v>
      </c>
      <c r="V840" s="39">
        <f>[1]节奏总纲!AH840</f>
        <v>116.39605227202699</v>
      </c>
    </row>
    <row r="841" spans="17:22" x14ac:dyDescent="0.15">
      <c r="Q841" s="38">
        <v>838</v>
      </c>
      <c r="R841" s="39">
        <f>[1]节奏总纲!AD841</f>
        <v>97.121505383712474</v>
      </c>
      <c r="S841" s="39">
        <f>[1]节奏总纲!AE841</f>
        <v>99.36502123153889</v>
      </c>
      <c r="T841" s="39">
        <f>[1]节奏总纲!AF841</f>
        <v>102.57475553912862</v>
      </c>
      <c r="U841" s="39">
        <f>[1]节奏总纲!AG841</f>
        <v>107.39369544245731</v>
      </c>
      <c r="V841" s="39">
        <f>[1]节奏总纲!AH841</f>
        <v>116.41279544791463</v>
      </c>
    </row>
    <row r="842" spans="17:22" x14ac:dyDescent="0.15">
      <c r="Q842" s="38">
        <v>839</v>
      </c>
      <c r="R842" s="39">
        <f>[1]节奏总纲!AD842</f>
        <v>97.138256553625027</v>
      </c>
      <c r="S842" s="39">
        <f>[1]节奏总纲!AE842</f>
        <v>99.382007857626974</v>
      </c>
      <c r="T842" s="39">
        <f>[1]节奏总纲!AF842</f>
        <v>102.59284852568588</v>
      </c>
      <c r="U842" s="39">
        <f>[1]节奏总纲!AG842</f>
        <v>107.41168700062217</v>
      </c>
      <c r="V842" s="39">
        <f>[1]节奏总纲!AH842</f>
        <v>116.42953862380227</v>
      </c>
    </row>
    <row r="843" spans="17:22" x14ac:dyDescent="0.15">
      <c r="Q843" s="38">
        <v>840</v>
      </c>
      <c r="R843" s="39">
        <f>[1]节奏总纲!AD843</f>
        <v>97.155007723537565</v>
      </c>
      <c r="S843" s="39">
        <f>[1]节奏总纲!AE843</f>
        <v>99.398994483715043</v>
      </c>
      <c r="T843" s="39">
        <f>[1]节奏总纲!AF843</f>
        <v>102.61094151224314</v>
      </c>
      <c r="U843" s="39">
        <f>[1]节奏总纲!AG843</f>
        <v>107.429678558787</v>
      </c>
      <c r="V843" s="39">
        <f>[1]节奏总纲!AH843</f>
        <v>116.44628179968991</v>
      </c>
    </row>
    <row r="844" spans="17:22" x14ac:dyDescent="0.15">
      <c r="Q844" s="38">
        <v>841</v>
      </c>
      <c r="R844" s="39">
        <f>[1]节奏总纲!AD844</f>
        <v>97.171758893450104</v>
      </c>
      <c r="S844" s="39">
        <f>[1]节奏总纲!AE844</f>
        <v>99.415981109803127</v>
      </c>
      <c r="T844" s="39">
        <f>[1]节奏总纲!AF844</f>
        <v>102.62903449880041</v>
      </c>
      <c r="U844" s="39">
        <f>[1]节奏总纲!AG844</f>
        <v>107.44767011695184</v>
      </c>
      <c r="V844" s="39">
        <f>[1]节奏总纲!AH844</f>
        <v>116.46302497557755</v>
      </c>
    </row>
    <row r="845" spans="17:22" x14ac:dyDescent="0.15">
      <c r="Q845" s="38">
        <v>842</v>
      </c>
      <c r="R845" s="39">
        <f>[1]节奏总纲!AD845</f>
        <v>97.188510063362656</v>
      </c>
      <c r="S845" s="39">
        <f>[1]节奏总纲!AE845</f>
        <v>99.432967735891211</v>
      </c>
      <c r="T845" s="39">
        <f>[1]节奏总纲!AF845</f>
        <v>102.64712748535767</v>
      </c>
      <c r="U845" s="39">
        <f>[1]节奏总纲!AG845</f>
        <v>107.46566167511669</v>
      </c>
      <c r="V845" s="39">
        <f>[1]节奏总纲!AH845</f>
        <v>116.47976815146519</v>
      </c>
    </row>
    <row r="846" spans="17:22" x14ac:dyDescent="0.15">
      <c r="Q846" s="38">
        <v>843</v>
      </c>
      <c r="R846" s="39">
        <f>[1]节奏总纲!AD846</f>
        <v>97.205261233275195</v>
      </c>
      <c r="S846" s="39">
        <f>[1]节奏总纲!AE846</f>
        <v>99.44995436197928</v>
      </c>
      <c r="T846" s="39">
        <f>[1]节奏总纲!AF846</f>
        <v>102.66522047191494</v>
      </c>
      <c r="U846" s="39">
        <f>[1]节奏总纲!AG846</f>
        <v>107.48365323328153</v>
      </c>
      <c r="V846" s="39">
        <f>[1]节奏总纲!AH846</f>
        <v>116.49651132735283</v>
      </c>
    </row>
    <row r="847" spans="17:22" x14ac:dyDescent="0.15">
      <c r="Q847" s="38">
        <v>844</v>
      </c>
      <c r="R847" s="39">
        <f>[1]节奏总纲!AD847</f>
        <v>97.222012403187748</v>
      </c>
      <c r="S847" s="39">
        <f>[1]节奏总纲!AE847</f>
        <v>99.466940988067364</v>
      </c>
      <c r="T847" s="39">
        <f>[1]节奏总纲!AF847</f>
        <v>102.6833134584722</v>
      </c>
      <c r="U847" s="39">
        <f>[1]节奏总纲!AG847</f>
        <v>107.50164479144638</v>
      </c>
      <c r="V847" s="39">
        <f>[1]节奏总纲!AH847</f>
        <v>116.51325450324047</v>
      </c>
    </row>
    <row r="848" spans="17:22" x14ac:dyDescent="0.15">
      <c r="Q848" s="38">
        <v>845</v>
      </c>
      <c r="R848" s="39">
        <f>[1]节奏总纲!AD848</f>
        <v>97.238763573100286</v>
      </c>
      <c r="S848" s="39">
        <f>[1]节奏总纲!AE848</f>
        <v>99.483927614155448</v>
      </c>
      <c r="T848" s="39">
        <f>[1]节奏总纲!AF848</f>
        <v>102.70140644502946</v>
      </c>
      <c r="U848" s="39">
        <f>[1]节奏总纲!AG848</f>
        <v>107.51963634961122</v>
      </c>
      <c r="V848" s="39">
        <f>[1]节奏总纲!AH848</f>
        <v>116.52999767912812</v>
      </c>
    </row>
    <row r="849" spans="17:22" x14ac:dyDescent="0.15">
      <c r="Q849" s="38">
        <v>846</v>
      </c>
      <c r="R849" s="39">
        <f>[1]节奏总纲!AD849</f>
        <v>97.255514743012839</v>
      </c>
      <c r="S849" s="39">
        <f>[1]节奏总纲!AE849</f>
        <v>99.500914240243532</v>
      </c>
      <c r="T849" s="39">
        <f>[1]节奏总纲!AF849</f>
        <v>102.71949943158673</v>
      </c>
      <c r="U849" s="39">
        <f>[1]节奏总纲!AG849</f>
        <v>107.53762790777606</v>
      </c>
      <c r="V849" s="39">
        <f>[1]节奏总纲!AH849</f>
        <v>116.54674085501576</v>
      </c>
    </row>
    <row r="850" spans="17:22" x14ac:dyDescent="0.15">
      <c r="Q850" s="38">
        <v>847</v>
      </c>
      <c r="R850" s="39">
        <f>[1]节奏总纲!AD850</f>
        <v>97.272265912925377</v>
      </c>
      <c r="S850" s="39">
        <f>[1]节奏总纲!AE850</f>
        <v>99.517900866331601</v>
      </c>
      <c r="T850" s="39">
        <f>[1]节奏总纲!AF850</f>
        <v>102.73759241814399</v>
      </c>
      <c r="U850" s="39">
        <f>[1]节奏总纲!AG850</f>
        <v>107.55561946594091</v>
      </c>
      <c r="V850" s="39">
        <f>[1]节奏总纲!AH850</f>
        <v>116.5634840309034</v>
      </c>
    </row>
    <row r="851" spans="17:22" x14ac:dyDescent="0.15">
      <c r="Q851" s="38">
        <v>848</v>
      </c>
      <c r="R851" s="39">
        <f>[1]节奏总纲!AD851</f>
        <v>97.28901708283793</v>
      </c>
      <c r="S851" s="39">
        <f>[1]节奏总纲!AE851</f>
        <v>99.534887492419685</v>
      </c>
      <c r="T851" s="39">
        <f>[1]节奏总纲!AF851</f>
        <v>102.75568540470125</v>
      </c>
      <c r="U851" s="39">
        <f>[1]节奏总纲!AG851</f>
        <v>107.57361102410574</v>
      </c>
      <c r="V851" s="39">
        <f>[1]节奏总纲!AH851</f>
        <v>116.58022720679104</v>
      </c>
    </row>
    <row r="852" spans="17:22" x14ac:dyDescent="0.15">
      <c r="Q852" s="38">
        <v>849</v>
      </c>
      <c r="R852" s="39">
        <f>[1]节奏总纲!AD852</f>
        <v>97.305768252750468</v>
      </c>
      <c r="S852" s="39">
        <f>[1]节奏总纲!AE852</f>
        <v>99.551874118507769</v>
      </c>
      <c r="T852" s="39">
        <f>[1]节奏总纲!AF852</f>
        <v>102.77377839125852</v>
      </c>
      <c r="U852" s="39">
        <f>[1]节奏总纲!AG852</f>
        <v>107.59160258227058</v>
      </c>
      <c r="V852" s="39">
        <f>[1]节奏总纲!AH852</f>
        <v>116.59697038267868</v>
      </c>
    </row>
    <row r="853" spans="17:22" x14ac:dyDescent="0.15">
      <c r="Q853" s="38">
        <v>850</v>
      </c>
      <c r="R853" s="39">
        <f>[1]节奏总纲!AD853</f>
        <v>97.322519422663021</v>
      </c>
      <c r="S853" s="39">
        <f>[1]节奏总纲!AE853</f>
        <v>99.568860744595838</v>
      </c>
      <c r="T853" s="39">
        <f>[1]节奏总纲!AF853</f>
        <v>102.79187137781578</v>
      </c>
      <c r="U853" s="39">
        <f>[1]节奏总纲!AG853</f>
        <v>107.60959414043543</v>
      </c>
      <c r="V853" s="39">
        <f>[1]节奏总纲!AH853</f>
        <v>116.61371355856632</v>
      </c>
    </row>
    <row r="854" spans="17:22" x14ac:dyDescent="0.15">
      <c r="Q854" s="38">
        <v>851</v>
      </c>
      <c r="R854" s="39">
        <f>[1]节奏总纲!AD854</f>
        <v>97.339270592575559</v>
      </c>
      <c r="S854" s="39">
        <f>[1]节奏总纲!AE854</f>
        <v>99.585847370683922</v>
      </c>
      <c r="T854" s="39">
        <f>[1]节奏总纲!AF854</f>
        <v>102.80996436437304</v>
      </c>
      <c r="U854" s="39">
        <f>[1]节奏总纲!AG854</f>
        <v>107.62758569860027</v>
      </c>
      <c r="V854" s="39">
        <f>[1]节奏总纲!AH854</f>
        <v>116.63045673445396</v>
      </c>
    </row>
    <row r="855" spans="17:22" x14ac:dyDescent="0.15">
      <c r="Q855" s="38">
        <v>852</v>
      </c>
      <c r="R855" s="39">
        <f>[1]节奏总纲!AD855</f>
        <v>97.356021762488112</v>
      </c>
      <c r="S855" s="39">
        <f>[1]节奏总纲!AE855</f>
        <v>99.602833996772006</v>
      </c>
      <c r="T855" s="39">
        <f>[1]节奏总纲!AF855</f>
        <v>102.82805735093031</v>
      </c>
      <c r="U855" s="39">
        <f>[1]节奏总纲!AG855</f>
        <v>107.64557725676511</v>
      </c>
      <c r="V855" s="39">
        <f>[1]节奏总纲!AH855</f>
        <v>116.6471999103416</v>
      </c>
    </row>
    <row r="856" spans="17:22" x14ac:dyDescent="0.15">
      <c r="Q856" s="38">
        <v>853</v>
      </c>
      <c r="R856" s="39">
        <f>[1]节奏总纲!AD856</f>
        <v>97.37277293240065</v>
      </c>
      <c r="S856" s="39">
        <f>[1]节奏总纲!AE856</f>
        <v>99.619820622860075</v>
      </c>
      <c r="T856" s="39">
        <f>[1]节奏总纲!AF856</f>
        <v>102.84615033748757</v>
      </c>
      <c r="U856" s="39">
        <f>[1]节奏总纲!AG856</f>
        <v>107.66356881492996</v>
      </c>
      <c r="V856" s="39">
        <f>[1]节奏总纲!AH856</f>
        <v>116.66394308622924</v>
      </c>
    </row>
    <row r="857" spans="17:22" x14ac:dyDescent="0.15">
      <c r="Q857" s="38">
        <v>854</v>
      </c>
      <c r="R857" s="39">
        <f>[1]节奏总纲!AD857</f>
        <v>97.389524102313189</v>
      </c>
      <c r="S857" s="39">
        <f>[1]节奏总纲!AE857</f>
        <v>99.636807248948159</v>
      </c>
      <c r="T857" s="39">
        <f>[1]节奏总纲!AF857</f>
        <v>102.86424332404484</v>
      </c>
      <c r="U857" s="39">
        <f>[1]节奏总纲!AG857</f>
        <v>107.6815603730948</v>
      </c>
      <c r="V857" s="39">
        <f>[1]节奏总纲!AH857</f>
        <v>116.68068626211688</v>
      </c>
    </row>
    <row r="858" spans="17:22" x14ac:dyDescent="0.15">
      <c r="Q858" s="38">
        <v>855</v>
      </c>
      <c r="R858" s="39">
        <f>[1]节奏总纲!AD858</f>
        <v>97.406275272225741</v>
      </c>
      <c r="S858" s="39">
        <f>[1]节奏总纲!AE858</f>
        <v>99.653793875036243</v>
      </c>
      <c r="T858" s="39">
        <f>[1]节奏总纲!AF858</f>
        <v>102.8823363106021</v>
      </c>
      <c r="U858" s="39">
        <f>[1]节奏总纲!AG858</f>
        <v>107.69955193125965</v>
      </c>
      <c r="V858" s="39">
        <f>[1]节奏总纲!AH858</f>
        <v>116.69742943800452</v>
      </c>
    </row>
    <row r="859" spans="17:22" x14ac:dyDescent="0.15">
      <c r="Q859" s="38">
        <v>856</v>
      </c>
      <c r="R859" s="39">
        <f>[1]节奏总纲!AD859</f>
        <v>97.42302644213828</v>
      </c>
      <c r="S859" s="39">
        <f>[1]节奏总纲!AE859</f>
        <v>99.670780501124327</v>
      </c>
      <c r="T859" s="39">
        <f>[1]节奏总纲!AF859</f>
        <v>102.90042929715936</v>
      </c>
      <c r="U859" s="39">
        <f>[1]节奏总纲!AG859</f>
        <v>107.71754348942449</v>
      </c>
      <c r="V859" s="39">
        <f>[1]节奏总纲!AH859</f>
        <v>116.71417261389216</v>
      </c>
    </row>
    <row r="860" spans="17:22" x14ac:dyDescent="0.15">
      <c r="Q860" s="38">
        <v>857</v>
      </c>
      <c r="R860" s="39">
        <f>[1]节奏总纲!AD860</f>
        <v>97.439777612050833</v>
      </c>
      <c r="S860" s="39">
        <f>[1]节奏总纲!AE860</f>
        <v>99.687767127212396</v>
      </c>
      <c r="T860" s="39">
        <f>[1]节奏总纲!AF860</f>
        <v>102.91852228371663</v>
      </c>
      <c r="U860" s="39">
        <f>[1]节奏总纲!AG860</f>
        <v>107.73553504758932</v>
      </c>
      <c r="V860" s="39">
        <f>[1]节奏总纲!AH860</f>
        <v>116.7309157897798</v>
      </c>
    </row>
    <row r="861" spans="17:22" x14ac:dyDescent="0.15">
      <c r="Q861" s="38">
        <v>858</v>
      </c>
      <c r="R861" s="39">
        <f>[1]节奏总纲!AD861</f>
        <v>97.456528781963371</v>
      </c>
      <c r="S861" s="39">
        <f>[1]节奏总纲!AE861</f>
        <v>99.70475375330048</v>
      </c>
      <c r="T861" s="39">
        <f>[1]节奏总纲!AF861</f>
        <v>102.93661527027389</v>
      </c>
      <c r="U861" s="39">
        <f>[1]节奏总纲!AG861</f>
        <v>107.75352660575417</v>
      </c>
      <c r="V861" s="39">
        <f>[1]节奏总纲!AH861</f>
        <v>116.74765896566743</v>
      </c>
    </row>
    <row r="862" spans="17:22" x14ac:dyDescent="0.15">
      <c r="Q862" s="38">
        <v>859</v>
      </c>
      <c r="R862" s="39">
        <f>[1]节奏总纲!AD862</f>
        <v>97.473279951875924</v>
      </c>
      <c r="S862" s="39">
        <f>[1]节奏总纲!AE862</f>
        <v>99.721740379388564</v>
      </c>
      <c r="T862" s="39">
        <f>[1]节奏总纲!AF862</f>
        <v>102.95470825683115</v>
      </c>
      <c r="U862" s="39">
        <f>[1]节奏总纲!AG862</f>
        <v>107.77151816391901</v>
      </c>
      <c r="V862" s="39">
        <f>[1]节奏总纲!AH862</f>
        <v>116.76440214155507</v>
      </c>
    </row>
    <row r="863" spans="17:22" x14ac:dyDescent="0.15">
      <c r="Q863" s="38">
        <v>860</v>
      </c>
      <c r="R863" s="39">
        <f>[1]节奏总纲!AD863</f>
        <v>97.490031121788462</v>
      </c>
      <c r="S863" s="39">
        <f>[1]节奏总纲!AE863</f>
        <v>99.738727005476633</v>
      </c>
      <c r="T863" s="39">
        <f>[1]节奏总纲!AF863</f>
        <v>102.97280124338842</v>
      </c>
      <c r="U863" s="39">
        <f>[1]节奏总纲!AG863</f>
        <v>107.78950972208385</v>
      </c>
      <c r="V863" s="39">
        <f>[1]节奏总纲!AH863</f>
        <v>116.78114531744271</v>
      </c>
    </row>
    <row r="864" spans="17:22" x14ac:dyDescent="0.15">
      <c r="Q864" s="38">
        <v>861</v>
      </c>
      <c r="R864" s="39">
        <f>[1]节奏总纲!AD864</f>
        <v>97.506782291701015</v>
      </c>
      <c r="S864" s="39">
        <f>[1]节奏总纲!AE864</f>
        <v>99.755713631564717</v>
      </c>
      <c r="T864" s="39">
        <f>[1]节奏总纲!AF864</f>
        <v>102.99089422994568</v>
      </c>
      <c r="U864" s="39">
        <f>[1]节奏总纲!AG864</f>
        <v>107.8075012802487</v>
      </c>
      <c r="V864" s="39">
        <f>[1]节奏总纲!AH864</f>
        <v>116.79788849333035</v>
      </c>
    </row>
    <row r="865" spans="17:22" x14ac:dyDescent="0.15">
      <c r="Q865" s="38">
        <v>862</v>
      </c>
      <c r="R865" s="39">
        <f>[1]节奏总纲!AD865</f>
        <v>97.523533461613553</v>
      </c>
      <c r="S865" s="39">
        <f>[1]节奏总纲!AE865</f>
        <v>99.772700257652801</v>
      </c>
      <c r="T865" s="39">
        <f>[1]节奏总纲!AF865</f>
        <v>103.00777255201511</v>
      </c>
      <c r="U865" s="39">
        <f>[1]节奏总纲!AG865</f>
        <v>107.82549283841354</v>
      </c>
      <c r="V865" s="39">
        <f>[1]节奏总纲!AH865</f>
        <v>116.81463166921799</v>
      </c>
    </row>
    <row r="866" spans="17:22" x14ac:dyDescent="0.15">
      <c r="Q866" s="38">
        <v>863</v>
      </c>
      <c r="R866" s="39">
        <f>[1]节奏总纲!AD866</f>
        <v>97.540284631526106</v>
      </c>
      <c r="S866" s="39">
        <f>[1]节奏总纲!AE866</f>
        <v>99.78968688374087</v>
      </c>
      <c r="T866" s="39">
        <f>[1]节奏总纲!AF866</f>
        <v>103.02342018652789</v>
      </c>
      <c r="U866" s="39">
        <f>[1]节奏总纲!AG866</f>
        <v>107.84348439657839</v>
      </c>
      <c r="V866" s="39">
        <f>[1]节奏总纲!AH866</f>
        <v>116.83137484510563</v>
      </c>
    </row>
    <row r="867" spans="17:22" x14ac:dyDescent="0.15">
      <c r="Q867" s="38">
        <v>864</v>
      </c>
      <c r="R867" s="39">
        <f>[1]节奏总纲!AD867</f>
        <v>97.557035801438644</v>
      </c>
      <c r="S867" s="39">
        <f>[1]节奏总纲!AE867</f>
        <v>99.806673509828954</v>
      </c>
      <c r="T867" s="39">
        <f>[1]节奏总纲!AF867</f>
        <v>103.03906782104067</v>
      </c>
      <c r="U867" s="39">
        <f>[1]节奏总纲!AG867</f>
        <v>107.86147595474323</v>
      </c>
      <c r="V867" s="39">
        <f>[1]节奏总纲!AH867</f>
        <v>116.84811802099327</v>
      </c>
    </row>
    <row r="868" spans="17:22" x14ac:dyDescent="0.15">
      <c r="Q868" s="38">
        <v>865</v>
      </c>
      <c r="R868" s="39">
        <f>[1]节奏总纲!AD868</f>
        <v>97.573786971351197</v>
      </c>
      <c r="S868" s="39">
        <f>[1]节奏总纲!AE868</f>
        <v>99.823660135917038</v>
      </c>
      <c r="T868" s="39">
        <f>[1]节奏总纲!AF868</f>
        <v>103.05471545555345</v>
      </c>
      <c r="U868" s="39">
        <f>[1]节奏总纲!AG868</f>
        <v>107.87946751290806</v>
      </c>
      <c r="V868" s="39">
        <f>[1]节奏总纲!AH868</f>
        <v>116.86486119688091</v>
      </c>
    </row>
    <row r="869" spans="17:22" x14ac:dyDescent="0.15">
      <c r="Q869" s="38">
        <v>866</v>
      </c>
      <c r="R869" s="39">
        <f>[1]节奏总纲!AD869</f>
        <v>97.590538141263735</v>
      </c>
      <c r="S869" s="39">
        <f>[1]节奏总纲!AE869</f>
        <v>99.840646762005122</v>
      </c>
      <c r="T869" s="39">
        <f>[1]节奏总纲!AF869</f>
        <v>103.07036309006622</v>
      </c>
      <c r="U869" s="39">
        <f>[1]节奏总纲!AG869</f>
        <v>107.89745907107292</v>
      </c>
      <c r="V869" s="39">
        <f>[1]节奏总纲!AH869</f>
        <v>116.88160437276855</v>
      </c>
    </row>
    <row r="870" spans="17:22" x14ac:dyDescent="0.15">
      <c r="Q870" s="38">
        <v>867</v>
      </c>
      <c r="R870" s="39">
        <f>[1]节奏总纲!AD870</f>
        <v>97.607289311176274</v>
      </c>
      <c r="S870" s="39">
        <f>[1]节奏总纲!AE870</f>
        <v>99.857633388093191</v>
      </c>
      <c r="T870" s="39">
        <f>[1]节奏总纲!AF870</f>
        <v>103.086010724579</v>
      </c>
      <c r="U870" s="39">
        <f>[1]节奏总纲!AG870</f>
        <v>107.91545062923775</v>
      </c>
      <c r="V870" s="39">
        <f>[1]节奏总纲!AH870</f>
        <v>116.89834754865619</v>
      </c>
    </row>
    <row r="871" spans="17:22" x14ac:dyDescent="0.15">
      <c r="Q871" s="38">
        <v>868</v>
      </c>
      <c r="R871" s="39">
        <f>[1]节奏总纲!AD871</f>
        <v>97.624040481088826</v>
      </c>
      <c r="S871" s="39">
        <f>[1]节奏总纲!AE871</f>
        <v>99.874620014181275</v>
      </c>
      <c r="T871" s="39">
        <f>[1]节奏总纲!AF871</f>
        <v>103.10165835909177</v>
      </c>
      <c r="U871" s="39">
        <f>[1]节奏总纲!AG871</f>
        <v>107.93344218740259</v>
      </c>
      <c r="V871" s="39">
        <f>[1]节奏总纲!AH871</f>
        <v>116.91509072454383</v>
      </c>
    </row>
    <row r="872" spans="17:22" x14ac:dyDescent="0.15">
      <c r="Q872" s="38">
        <v>869</v>
      </c>
      <c r="R872" s="39">
        <f>[1]节奏总纲!AD872</f>
        <v>97.640791651001365</v>
      </c>
      <c r="S872" s="39">
        <f>[1]节奏总纲!AE872</f>
        <v>99.891606640269359</v>
      </c>
      <c r="T872" s="39">
        <f>[1]节奏总纲!AF872</f>
        <v>103.11730599360455</v>
      </c>
      <c r="U872" s="39">
        <f>[1]节奏总纲!AG872</f>
        <v>107.95143374556744</v>
      </c>
      <c r="V872" s="39">
        <f>[1]节奏总纲!AH872</f>
        <v>116.93183390043147</v>
      </c>
    </row>
    <row r="873" spans="17:22" x14ac:dyDescent="0.15">
      <c r="Q873" s="38">
        <v>870</v>
      </c>
      <c r="R873" s="39">
        <f>[1]节奏总纲!AD873</f>
        <v>97.657542820913918</v>
      </c>
      <c r="S873" s="39">
        <f>[1]节奏总纲!AE873</f>
        <v>99.908593266357428</v>
      </c>
      <c r="T873" s="39">
        <f>[1]节奏总纲!AF873</f>
        <v>103.13295362811732</v>
      </c>
      <c r="U873" s="39">
        <f>[1]节奏总纲!AG873</f>
        <v>107.96942530373228</v>
      </c>
      <c r="V873" s="39">
        <f>[1]节奏总纲!AH873</f>
        <v>116.94857707631911</v>
      </c>
    </row>
    <row r="874" spans="17:22" x14ac:dyDescent="0.15">
      <c r="Q874" s="38">
        <v>871</v>
      </c>
      <c r="R874" s="39">
        <f>[1]节奏总纲!AD874</f>
        <v>97.674293990826456</v>
      </c>
      <c r="S874" s="39">
        <f>[1]节奏总纲!AE874</f>
        <v>99.925579892445512</v>
      </c>
      <c r="T874" s="39">
        <f>[1]节奏总纲!AF874</f>
        <v>103.14860126263009</v>
      </c>
      <c r="U874" s="39">
        <f>[1]节奏总纲!AG874</f>
        <v>107.98741686189712</v>
      </c>
      <c r="V874" s="39">
        <f>[1]节奏总纲!AH874</f>
        <v>116.96532025220675</v>
      </c>
    </row>
    <row r="875" spans="17:22" x14ac:dyDescent="0.15">
      <c r="Q875" s="38">
        <v>872</v>
      </c>
      <c r="R875" s="39">
        <f>[1]节奏总纲!AD875</f>
        <v>97.691045160739009</v>
      </c>
      <c r="S875" s="39">
        <f>[1]节奏总纲!AE875</f>
        <v>99.942566518533596</v>
      </c>
      <c r="T875" s="39">
        <f>[1]节奏总纲!AF875</f>
        <v>103.16424889714287</v>
      </c>
      <c r="U875" s="39">
        <f>[1]节奏总纲!AG875</f>
        <v>108.00500037964638</v>
      </c>
      <c r="V875" s="39">
        <f>[1]节奏总纲!AH875</f>
        <v>116.98206342809439</v>
      </c>
    </row>
    <row r="876" spans="17:22" x14ac:dyDescent="0.15">
      <c r="Q876" s="38">
        <v>873</v>
      </c>
      <c r="R876" s="39">
        <f>[1]节奏总纲!AD876</f>
        <v>97.707796330651547</v>
      </c>
      <c r="S876" s="39">
        <f>[1]节奏总纲!AE876</f>
        <v>99.95955314462168</v>
      </c>
      <c r="T876" s="39">
        <f>[1]节奏总纲!AF876</f>
        <v>103.17989653165564</v>
      </c>
      <c r="U876" s="39">
        <f>[1]节奏总纲!AG876</f>
        <v>108.0216345575067</v>
      </c>
      <c r="V876" s="39">
        <f>[1]节奏总纲!AH876</f>
        <v>116.99880660398203</v>
      </c>
    </row>
    <row r="877" spans="17:22" x14ac:dyDescent="0.15">
      <c r="Q877" s="38">
        <v>874</v>
      </c>
      <c r="R877" s="39">
        <f>[1]节奏总纲!AD877</f>
        <v>97.7245475005641</v>
      </c>
      <c r="S877" s="39">
        <f>[1]节奏总纲!AE877</f>
        <v>99.976539770709749</v>
      </c>
      <c r="T877" s="39">
        <f>[1]节奏总纲!AF877</f>
        <v>103.19554416616842</v>
      </c>
      <c r="U877" s="39">
        <f>[1]节奏总纲!AG877</f>
        <v>108.03826873536703</v>
      </c>
      <c r="V877" s="39">
        <f>[1]节奏总纲!AH877</f>
        <v>117.01473259965354</v>
      </c>
    </row>
    <row r="878" spans="17:22" x14ac:dyDescent="0.15">
      <c r="Q878" s="38">
        <v>875</v>
      </c>
      <c r="R878" s="39">
        <f>[1]节奏总纲!AD878</f>
        <v>97.741298670476638</v>
      </c>
      <c r="S878" s="39">
        <f>[1]节奏总纲!AE878</f>
        <v>99.993526396797833</v>
      </c>
      <c r="T878" s="39">
        <f>[1]节奏总纲!AF878</f>
        <v>103.21119180068119</v>
      </c>
      <c r="U878" s="39">
        <f>[1]节奏总纲!AG878</f>
        <v>108.05490291322735</v>
      </c>
      <c r="V878" s="39">
        <f>[1]节奏总纲!AH878</f>
        <v>117.03059587934938</v>
      </c>
    </row>
    <row r="879" spans="17:22" x14ac:dyDescent="0.15">
      <c r="Q879" s="38">
        <v>876</v>
      </c>
      <c r="R879" s="39">
        <f>[1]节奏总纲!AD879</f>
        <v>97.758049840389191</v>
      </c>
      <c r="S879" s="39">
        <f>[1]节奏总纲!AE879</f>
        <v>100.00970553358441</v>
      </c>
      <c r="T879" s="39">
        <f>[1]节奏总纲!AF879</f>
        <v>103.22683943519397</v>
      </c>
      <c r="U879" s="39">
        <f>[1]节奏总纲!AG879</f>
        <v>108.07153709108769</v>
      </c>
      <c r="V879" s="39">
        <f>[1]节奏总纲!AH879</f>
        <v>117.04645915904523</v>
      </c>
    </row>
    <row r="880" spans="17:22" x14ac:dyDescent="0.15">
      <c r="Q880" s="38">
        <v>877</v>
      </c>
      <c r="R880" s="39">
        <f>[1]节奏总纲!AD880</f>
        <v>97.774801010301729</v>
      </c>
      <c r="S880" s="39">
        <f>[1]节奏总纲!AE880</f>
        <v>100.02538744275296</v>
      </c>
      <c r="T880" s="39">
        <f>[1]节奏总纲!AF880</f>
        <v>103.24248706970674</v>
      </c>
      <c r="U880" s="39">
        <f>[1]节奏总纲!AG880</f>
        <v>108.08817126894802</v>
      </c>
      <c r="V880" s="39">
        <f>[1]节奏总纲!AH880</f>
        <v>117.06232243874106</v>
      </c>
    </row>
    <row r="881" spans="17:22" x14ac:dyDescent="0.15">
      <c r="Q881" s="38">
        <v>878</v>
      </c>
      <c r="R881" s="39">
        <f>[1]节奏总纲!AD881</f>
        <v>97.791552180214282</v>
      </c>
      <c r="S881" s="39">
        <f>[1]节奏总纲!AE881</f>
        <v>100.04106935192151</v>
      </c>
      <c r="T881" s="39">
        <f>[1]节奏总纲!AF881</f>
        <v>103.25813470421951</v>
      </c>
      <c r="U881" s="39">
        <f>[1]节奏总纲!AG881</f>
        <v>108.10480544680834</v>
      </c>
      <c r="V881" s="39">
        <f>[1]节奏总纲!AH881</f>
        <v>117.0781857184369</v>
      </c>
    </row>
    <row r="882" spans="17:22" x14ac:dyDescent="0.15">
      <c r="Q882" s="38">
        <v>879</v>
      </c>
      <c r="R882" s="39">
        <f>[1]节奏总纲!AD882</f>
        <v>97.80830335012682</v>
      </c>
      <c r="S882" s="39">
        <f>[1]节奏总纲!AE882</f>
        <v>100.05675126109006</v>
      </c>
      <c r="T882" s="39">
        <f>[1]节奏总纲!AF882</f>
        <v>103.27378233873229</v>
      </c>
      <c r="U882" s="39">
        <f>[1]节奏总纲!AG882</f>
        <v>108.12143962466867</v>
      </c>
      <c r="V882" s="39">
        <f>[1]节奏总纲!AH882</f>
        <v>117.09404899813275</v>
      </c>
    </row>
    <row r="883" spans="17:22" x14ac:dyDescent="0.15">
      <c r="Q883" s="38">
        <v>880</v>
      </c>
      <c r="R883" s="39">
        <f>[1]节奏总纲!AD883</f>
        <v>97.825054520039359</v>
      </c>
      <c r="S883" s="39">
        <f>[1]节奏总纲!AE883</f>
        <v>100.07243317025861</v>
      </c>
      <c r="T883" s="39">
        <f>[1]节奏总纲!AF883</f>
        <v>103.28942997324506</v>
      </c>
      <c r="U883" s="39">
        <f>[1]节奏总纲!AG883</f>
        <v>108.13807380252899</v>
      </c>
      <c r="V883" s="39">
        <f>[1]节奏总纲!AH883</f>
        <v>117.10991227782858</v>
      </c>
    </row>
    <row r="884" spans="17:22" x14ac:dyDescent="0.15">
      <c r="Q884" s="38">
        <v>881</v>
      </c>
      <c r="R884" s="39">
        <f>[1]节奏总纲!AD884</f>
        <v>97.841805689951912</v>
      </c>
      <c r="S884" s="39">
        <f>[1]节奏总纲!AE884</f>
        <v>100.08811507942715</v>
      </c>
      <c r="T884" s="39">
        <f>[1]节奏总纲!AF884</f>
        <v>103.30507760775784</v>
      </c>
      <c r="U884" s="39">
        <f>[1]节奏总纲!AG884</f>
        <v>108.15470798038932</v>
      </c>
      <c r="V884" s="39">
        <f>[1]节奏总纲!AH884</f>
        <v>117.12577555752442</v>
      </c>
    </row>
    <row r="885" spans="17:22" x14ac:dyDescent="0.15">
      <c r="Q885" s="38">
        <v>882</v>
      </c>
      <c r="R885" s="39">
        <f>[1]节奏总纲!AD885</f>
        <v>97.85855685986445</v>
      </c>
      <c r="S885" s="39">
        <f>[1]节奏总纲!AE885</f>
        <v>100.1037969885957</v>
      </c>
      <c r="T885" s="39">
        <f>[1]节奏总纲!AF885</f>
        <v>103.32072524227061</v>
      </c>
      <c r="U885" s="39">
        <f>[1]节奏总纲!AG885</f>
        <v>108.17134215824964</v>
      </c>
      <c r="V885" s="39">
        <f>[1]节奏总纲!AH885</f>
        <v>117.14163883722027</v>
      </c>
    </row>
    <row r="886" spans="17:22" x14ac:dyDescent="0.15">
      <c r="Q886" s="38">
        <v>883</v>
      </c>
      <c r="R886" s="39">
        <f>[1]节奏总纲!AD886</f>
        <v>97.875308029777003</v>
      </c>
      <c r="S886" s="39">
        <f>[1]节奏总纲!AE886</f>
        <v>100.11947889776425</v>
      </c>
      <c r="T886" s="39">
        <f>[1]节奏总纲!AF886</f>
        <v>103.33637287678339</v>
      </c>
      <c r="U886" s="39">
        <f>[1]节奏总纲!AG886</f>
        <v>108.18797633610997</v>
      </c>
      <c r="V886" s="39">
        <f>[1]节奏总纲!AH886</f>
        <v>117.15750211691611</v>
      </c>
    </row>
    <row r="887" spans="17:22" x14ac:dyDescent="0.15">
      <c r="Q887" s="38">
        <v>884</v>
      </c>
      <c r="R887" s="39">
        <f>[1]节奏总纲!AD887</f>
        <v>97.892059199689541</v>
      </c>
      <c r="S887" s="39">
        <f>[1]节奏总纲!AE887</f>
        <v>100.1351608069328</v>
      </c>
      <c r="T887" s="39">
        <f>[1]节奏总纲!AF887</f>
        <v>103.35202051129616</v>
      </c>
      <c r="U887" s="39">
        <f>[1]节奏总纲!AG887</f>
        <v>108.20461051397029</v>
      </c>
      <c r="V887" s="39">
        <f>[1]节奏总纲!AH887</f>
        <v>117.17336539661194</v>
      </c>
    </row>
    <row r="888" spans="17:22" x14ac:dyDescent="0.15">
      <c r="Q888" s="38">
        <v>885</v>
      </c>
      <c r="R888" s="39">
        <f>[1]节奏总纲!AD888</f>
        <v>97.908810369602094</v>
      </c>
      <c r="S888" s="39">
        <f>[1]节奏总纲!AE888</f>
        <v>100.15084271610134</v>
      </c>
      <c r="T888" s="39">
        <f>[1]节奏总纲!AF888</f>
        <v>103.36766814580893</v>
      </c>
      <c r="U888" s="39">
        <f>[1]节奏总纲!AG888</f>
        <v>108.22124469183062</v>
      </c>
      <c r="V888" s="39">
        <f>[1]节奏总纲!AH888</f>
        <v>117.18922867630779</v>
      </c>
    </row>
    <row r="889" spans="17:22" x14ac:dyDescent="0.15">
      <c r="Q889" s="38">
        <v>886</v>
      </c>
      <c r="R889" s="39">
        <f>[1]节奏总纲!AD889</f>
        <v>97.925561539514632</v>
      </c>
      <c r="S889" s="39">
        <f>[1]节奏总纲!AE889</f>
        <v>100.16652462526989</v>
      </c>
      <c r="T889" s="39">
        <f>[1]节奏总纲!AF889</f>
        <v>103.38331578032171</v>
      </c>
      <c r="U889" s="39">
        <f>[1]节奏总纲!AG889</f>
        <v>108.23787886969095</v>
      </c>
      <c r="V889" s="39">
        <f>[1]节奏总纲!AH889</f>
        <v>117.20509195600363</v>
      </c>
    </row>
    <row r="890" spans="17:22" x14ac:dyDescent="0.15">
      <c r="Q890" s="38">
        <v>887</v>
      </c>
      <c r="R890" s="39">
        <f>[1]节奏总纲!AD890</f>
        <v>97.942312709427185</v>
      </c>
      <c r="S890" s="39">
        <f>[1]节奏总纲!AE890</f>
        <v>100.18220653443844</v>
      </c>
      <c r="T890" s="39">
        <f>[1]节奏总纲!AF890</f>
        <v>103.39896341483448</v>
      </c>
      <c r="U890" s="39">
        <f>[1]节奏总纲!AG890</f>
        <v>108.25451304755127</v>
      </c>
      <c r="V890" s="39">
        <f>[1]节奏总纲!AH890</f>
        <v>117.22095523569948</v>
      </c>
    </row>
    <row r="891" spans="17:22" x14ac:dyDescent="0.15">
      <c r="Q891" s="38">
        <v>888</v>
      </c>
      <c r="R891" s="39">
        <f>[1]节奏总纲!AD891</f>
        <v>97.959063879339723</v>
      </c>
      <c r="S891" s="39">
        <f>[1]节奏总纲!AE891</f>
        <v>100.19788844360698</v>
      </c>
      <c r="T891" s="39">
        <f>[1]节奏总纲!AF891</f>
        <v>103.41461104934726</v>
      </c>
      <c r="U891" s="39">
        <f>[1]节奏总纲!AG891</f>
        <v>108.27114722541161</v>
      </c>
      <c r="V891" s="39">
        <f>[1]节奏总纲!AH891</f>
        <v>117.23681851539531</v>
      </c>
    </row>
    <row r="892" spans="17:22" x14ac:dyDescent="0.15">
      <c r="Q892" s="38">
        <v>889</v>
      </c>
      <c r="R892" s="39">
        <f>[1]节奏总纲!AD892</f>
        <v>97.975815049252276</v>
      </c>
      <c r="S892" s="39">
        <f>[1]节奏总纲!AE892</f>
        <v>100.21357035277553</v>
      </c>
      <c r="T892" s="39">
        <f>[1]节奏总纲!AF892</f>
        <v>103.43025868386005</v>
      </c>
      <c r="U892" s="39">
        <f>[1]节奏总纲!AG892</f>
        <v>108.28778140327194</v>
      </c>
      <c r="V892" s="39">
        <f>[1]节奏总纲!AH892</f>
        <v>117.25268179509115</v>
      </c>
    </row>
    <row r="893" spans="17:22" x14ac:dyDescent="0.15">
      <c r="Q893" s="38">
        <v>890</v>
      </c>
      <c r="R893" s="39">
        <f>[1]节奏总纲!AD893</f>
        <v>97.992566219164814</v>
      </c>
      <c r="S893" s="39">
        <f>[1]节奏总纲!AE893</f>
        <v>100.22925226194408</v>
      </c>
      <c r="T893" s="39">
        <f>[1]节奏总纲!AF893</f>
        <v>103.44590631837282</v>
      </c>
      <c r="U893" s="39">
        <f>[1]节奏总纲!AG893</f>
        <v>108.30441558113226</v>
      </c>
      <c r="V893" s="39">
        <f>[1]节奏总纲!AH893</f>
        <v>117.268545074787</v>
      </c>
    </row>
    <row r="894" spans="17:22" x14ac:dyDescent="0.15">
      <c r="Q894" s="38">
        <v>891</v>
      </c>
      <c r="R894" s="39">
        <f>[1]节奏总纲!AD894</f>
        <v>98.008693431404168</v>
      </c>
      <c r="S894" s="39">
        <f>[1]节奏总纲!AE894</f>
        <v>100.24493417111263</v>
      </c>
      <c r="T894" s="39">
        <f>[1]节奏总纲!AF894</f>
        <v>103.46155395288559</v>
      </c>
      <c r="U894" s="39">
        <f>[1]节奏总纲!AG894</f>
        <v>108.32104975899259</v>
      </c>
      <c r="V894" s="39">
        <f>[1]节奏总纲!AH894</f>
        <v>117.28440835448284</v>
      </c>
    </row>
    <row r="895" spans="17:22" x14ac:dyDescent="0.15">
      <c r="Q895" s="38">
        <v>892</v>
      </c>
      <c r="R895" s="39">
        <f>[1]节奏总纲!AD895</f>
        <v>98.024322825579404</v>
      </c>
      <c r="S895" s="39">
        <f>[1]节奏总纲!AE895</f>
        <v>100.26061608028118</v>
      </c>
      <c r="T895" s="39">
        <f>[1]节奏总纲!AF895</f>
        <v>103.47720158739837</v>
      </c>
      <c r="U895" s="39">
        <f>[1]节奏总纲!AG895</f>
        <v>108.33768393685291</v>
      </c>
      <c r="V895" s="39">
        <f>[1]节奏总纲!AH895</f>
        <v>117.30027163417867</v>
      </c>
    </row>
    <row r="896" spans="17:22" x14ac:dyDescent="0.15">
      <c r="Q896" s="38">
        <v>893</v>
      </c>
      <c r="R896" s="39">
        <f>[1]节奏总纲!AD896</f>
        <v>98.039952219754653</v>
      </c>
      <c r="S896" s="39">
        <f>[1]节奏总纲!AE896</f>
        <v>100.27629798944973</v>
      </c>
      <c r="T896" s="39">
        <f>[1]节奏总纲!AF896</f>
        <v>103.49284922191114</v>
      </c>
      <c r="U896" s="39">
        <f>[1]节奏总纲!AG896</f>
        <v>108.35431811471324</v>
      </c>
      <c r="V896" s="39">
        <f>[1]节奏总纲!AH896</f>
        <v>117.31613491387452</v>
      </c>
    </row>
    <row r="897" spans="17:22" x14ac:dyDescent="0.15">
      <c r="Q897" s="38">
        <v>894</v>
      </c>
      <c r="R897" s="39">
        <f>[1]节奏总纲!AD897</f>
        <v>98.055581613929888</v>
      </c>
      <c r="S897" s="39">
        <f>[1]节奏总纲!AE897</f>
        <v>100.29197989861828</v>
      </c>
      <c r="T897" s="39">
        <f>[1]节奏总纲!AF897</f>
        <v>103.50849685642392</v>
      </c>
      <c r="U897" s="39">
        <f>[1]节奏总纲!AG897</f>
        <v>108.37095229257356</v>
      </c>
      <c r="V897" s="39">
        <f>[1]节奏总纲!AH897</f>
        <v>117.33199819357036</v>
      </c>
    </row>
    <row r="898" spans="17:22" x14ac:dyDescent="0.15">
      <c r="Q898" s="38">
        <v>895</v>
      </c>
      <c r="R898" s="39">
        <f>[1]节奏总纲!AD898</f>
        <v>98.071211008105138</v>
      </c>
      <c r="S898" s="39">
        <f>[1]节奏总纲!AE898</f>
        <v>100.30766180778681</v>
      </c>
      <c r="T898" s="39">
        <f>[1]节奏总纲!AF898</f>
        <v>103.52414449093669</v>
      </c>
      <c r="U898" s="39">
        <f>[1]节奏总纲!AG898</f>
        <v>108.38758647043389</v>
      </c>
      <c r="V898" s="39">
        <f>[1]节奏总纲!AH898</f>
        <v>117.34786147326619</v>
      </c>
    </row>
    <row r="899" spans="17:22" x14ac:dyDescent="0.15">
      <c r="Q899" s="38">
        <v>896</v>
      </c>
      <c r="R899" s="39">
        <f>[1]节奏总纲!AD899</f>
        <v>98.086840402280373</v>
      </c>
      <c r="S899" s="39">
        <f>[1]节奏总纲!AE899</f>
        <v>100.32334371695536</v>
      </c>
      <c r="T899" s="39">
        <f>[1]节奏总纲!AF899</f>
        <v>103.53979212544947</v>
      </c>
      <c r="U899" s="39">
        <f>[1]节奏总纲!AG899</f>
        <v>108.40422064829421</v>
      </c>
      <c r="V899" s="39">
        <f>[1]节奏总纲!AH899</f>
        <v>117.36372475296204</v>
      </c>
    </row>
    <row r="900" spans="17:22" x14ac:dyDescent="0.15">
      <c r="Q900" s="38">
        <v>897</v>
      </c>
      <c r="R900" s="39">
        <f>[1]节奏总纲!AD900</f>
        <v>98.102469796455622</v>
      </c>
      <c r="S900" s="39">
        <f>[1]节奏总纲!AE900</f>
        <v>100.33902562612391</v>
      </c>
      <c r="T900" s="39">
        <f>[1]节奏总纲!AF900</f>
        <v>103.55543975996224</v>
      </c>
      <c r="U900" s="39">
        <f>[1]节奏总纲!AG900</f>
        <v>108.42085482615454</v>
      </c>
      <c r="V900" s="39">
        <f>[1]节奏总纲!AH900</f>
        <v>117.37958803265788</v>
      </c>
    </row>
    <row r="901" spans="17:22" x14ac:dyDescent="0.15">
      <c r="Q901" s="38">
        <v>898</v>
      </c>
      <c r="R901" s="39">
        <f>[1]节奏总纲!AD901</f>
        <v>98.118099190630872</v>
      </c>
      <c r="S901" s="39">
        <f>[1]节奏总纲!AE901</f>
        <v>100.35470753529246</v>
      </c>
      <c r="T901" s="39">
        <f>[1]节奏总纲!AF901</f>
        <v>103.57108739447501</v>
      </c>
      <c r="U901" s="39">
        <f>[1]节奏总纲!AG901</f>
        <v>108.43748900401486</v>
      </c>
      <c r="V901" s="39">
        <f>[1]节奏总纲!AH901</f>
        <v>117.39545131235373</v>
      </c>
    </row>
    <row r="902" spans="17:22" x14ac:dyDescent="0.15">
      <c r="Q902" s="38">
        <v>899</v>
      </c>
      <c r="R902" s="39">
        <f>[1]节奏总纲!AD902</f>
        <v>98.133728584806107</v>
      </c>
      <c r="S902" s="39">
        <f>[1]节奏总纲!AE902</f>
        <v>100.37038944446101</v>
      </c>
      <c r="T902" s="39">
        <f>[1]节奏总纲!AF902</f>
        <v>103.58673502898779</v>
      </c>
      <c r="U902" s="39">
        <f>[1]节奏总纲!AG902</f>
        <v>108.45412318187519</v>
      </c>
      <c r="V902" s="39">
        <f>[1]节奏总纲!AH902</f>
        <v>117.41131459204956</v>
      </c>
    </row>
    <row r="903" spans="17:22" x14ac:dyDescent="0.15">
      <c r="Q903" s="38">
        <v>900</v>
      </c>
      <c r="R903" s="39">
        <f>[1]节奏总纲!AD903</f>
        <v>98.149357978981357</v>
      </c>
      <c r="S903" s="39">
        <f>[1]节奏总纲!AE903</f>
        <v>100.38607135362956</v>
      </c>
      <c r="T903" s="39">
        <f>[1]节奏总纲!AF903</f>
        <v>103.60238266350056</v>
      </c>
      <c r="U903" s="39">
        <f>[1]节奏总纲!AG903</f>
        <v>108.47075735973553</v>
      </c>
      <c r="V903" s="39">
        <f>[1]节奏总纲!AH903</f>
        <v>117.4271778717454</v>
      </c>
    </row>
    <row r="904" spans="17:22" x14ac:dyDescent="0.15">
      <c r="Q904" s="38">
        <v>901</v>
      </c>
      <c r="R904" s="39">
        <f>[1]节奏总纲!AD904</f>
        <v>98.164987373156592</v>
      </c>
      <c r="S904" s="39">
        <f>[1]节奏总纲!AE904</f>
        <v>100.40175326279811</v>
      </c>
      <c r="T904" s="39">
        <f>[1]节奏总纲!AF904</f>
        <v>103.61803029801334</v>
      </c>
      <c r="U904" s="39">
        <f>[1]节奏总纲!AG904</f>
        <v>108.48739153759585</v>
      </c>
      <c r="V904" s="39">
        <f>[1]节奏总纲!AH904</f>
        <v>117.44304115144125</v>
      </c>
    </row>
    <row r="905" spans="17:22" x14ac:dyDescent="0.15">
      <c r="Q905" s="38">
        <v>902</v>
      </c>
      <c r="R905" s="39">
        <f>[1]节奏总纲!AD905</f>
        <v>98.180616767331841</v>
      </c>
      <c r="S905" s="39">
        <f>[1]节奏总纲!AE905</f>
        <v>100.41743517196666</v>
      </c>
      <c r="T905" s="39">
        <f>[1]节奏总纲!AF905</f>
        <v>103.63367793252611</v>
      </c>
      <c r="U905" s="39">
        <f>[1]节奏总纲!AG905</f>
        <v>108.50402571545618</v>
      </c>
      <c r="V905" s="39">
        <f>[1]节奏总纲!AH905</f>
        <v>117.45890443113709</v>
      </c>
    </row>
    <row r="906" spans="17:22" x14ac:dyDescent="0.15">
      <c r="Q906" s="38">
        <v>903</v>
      </c>
      <c r="R906" s="39">
        <f>[1]节奏总纲!AD906</f>
        <v>98.196246161507077</v>
      </c>
      <c r="S906" s="39">
        <f>[1]节奏总纲!AE906</f>
        <v>100.43311708113521</v>
      </c>
      <c r="T906" s="39">
        <f>[1]节奏总纲!AF906</f>
        <v>103.64932556703889</v>
      </c>
      <c r="U906" s="39">
        <f>[1]节奏总纲!AG906</f>
        <v>108.52065989331651</v>
      </c>
      <c r="V906" s="39">
        <f>[1]节奏总纲!AH906</f>
        <v>117.47476771083292</v>
      </c>
    </row>
    <row r="907" spans="17:22" x14ac:dyDescent="0.15">
      <c r="Q907" s="38">
        <v>904</v>
      </c>
      <c r="R907" s="39">
        <f>[1]节奏总纲!AD907</f>
        <v>98.211875555682326</v>
      </c>
      <c r="S907" s="39">
        <f>[1]节奏总纲!AE907</f>
        <v>100.44879899030376</v>
      </c>
      <c r="T907" s="39">
        <f>[1]节奏总纲!AF907</f>
        <v>103.66497320155166</v>
      </c>
      <c r="U907" s="39">
        <f>[1]节奏总纲!AG907</f>
        <v>108.53729407117683</v>
      </c>
      <c r="V907" s="39">
        <f>[1]节奏总纲!AH907</f>
        <v>117.49063099052877</v>
      </c>
    </row>
    <row r="908" spans="17:22" x14ac:dyDescent="0.15">
      <c r="Q908" s="38">
        <v>905</v>
      </c>
      <c r="R908" s="39">
        <f>[1]节奏总纲!AD908</f>
        <v>98.227504949857575</v>
      </c>
      <c r="S908" s="39">
        <f>[1]节奏总纲!AE908</f>
        <v>100.46448089947231</v>
      </c>
      <c r="T908" s="39">
        <f>[1]节奏总纲!AF908</f>
        <v>103.68062083606443</v>
      </c>
      <c r="U908" s="39">
        <f>[1]节奏总纲!AG908</f>
        <v>108.55392824903716</v>
      </c>
      <c r="V908" s="39">
        <f>[1]节奏总纲!AH908</f>
        <v>117.50649427022461</v>
      </c>
    </row>
    <row r="909" spans="17:22" x14ac:dyDescent="0.15">
      <c r="Q909" s="38">
        <v>906</v>
      </c>
      <c r="R909" s="39">
        <f>[1]节奏总纲!AD909</f>
        <v>98.243134344032811</v>
      </c>
      <c r="S909" s="39">
        <f>[1]节奏总纲!AE909</f>
        <v>100.48016280864084</v>
      </c>
      <c r="T909" s="39">
        <f>[1]节奏总纲!AF909</f>
        <v>103.69626847057721</v>
      </c>
      <c r="U909" s="39">
        <f>[1]节奏总纲!AG909</f>
        <v>108.57056242689748</v>
      </c>
      <c r="V909" s="39">
        <f>[1]节奏总纲!AH909</f>
        <v>117.52235754992044</v>
      </c>
    </row>
    <row r="910" spans="17:22" x14ac:dyDescent="0.15">
      <c r="Q910" s="38">
        <v>907</v>
      </c>
      <c r="R910" s="39">
        <f>[1]节奏总纲!AD910</f>
        <v>98.25876373820806</v>
      </c>
      <c r="S910" s="39">
        <f>[1]节奏总纲!AE910</f>
        <v>100.49584471780939</v>
      </c>
      <c r="T910" s="39">
        <f>[1]节奏总纲!AF910</f>
        <v>103.71191610508998</v>
      </c>
      <c r="U910" s="39">
        <f>[1]节奏总纲!AG910</f>
        <v>108.58719660475781</v>
      </c>
      <c r="V910" s="39">
        <f>[1]节奏总纲!AH910</f>
        <v>117.53822082961629</v>
      </c>
    </row>
    <row r="911" spans="17:22" x14ac:dyDescent="0.15">
      <c r="Q911" s="38">
        <v>908</v>
      </c>
      <c r="R911" s="39">
        <f>[1]节奏总纲!AD911</f>
        <v>98.274393132383295</v>
      </c>
      <c r="S911" s="39">
        <f>[1]节奏总纲!AE911</f>
        <v>100.51152662697794</v>
      </c>
      <c r="T911" s="39">
        <f>[1]节奏总纲!AF911</f>
        <v>103.72756373960276</v>
      </c>
      <c r="U911" s="39">
        <f>[1]节奏总纲!AG911</f>
        <v>108.60383078261813</v>
      </c>
      <c r="V911" s="39">
        <f>[1]节奏总纲!AH911</f>
        <v>117.55408410931213</v>
      </c>
    </row>
    <row r="912" spans="17:22" x14ac:dyDescent="0.15">
      <c r="Q912" s="38">
        <v>909</v>
      </c>
      <c r="R912" s="39">
        <f>[1]节奏总纲!AD912</f>
        <v>98.290022526558545</v>
      </c>
      <c r="S912" s="39">
        <f>[1]节奏总纲!AE912</f>
        <v>100.52720853614649</v>
      </c>
      <c r="T912" s="39">
        <f>[1]节奏总纲!AF912</f>
        <v>103.74321137411553</v>
      </c>
      <c r="U912" s="39">
        <f>[1]节奏总纲!AG912</f>
        <v>108.62046496047846</v>
      </c>
      <c r="V912" s="39">
        <f>[1]节奏总纲!AH912</f>
        <v>117.56994738900798</v>
      </c>
    </row>
    <row r="913" spans="17:22" x14ac:dyDescent="0.15">
      <c r="Q913" s="38">
        <v>910</v>
      </c>
      <c r="R913" s="39">
        <f>[1]节奏总纲!AD913</f>
        <v>98.305651920733794</v>
      </c>
      <c r="S913" s="39">
        <f>[1]节奏总纲!AE913</f>
        <v>100.54289044531504</v>
      </c>
      <c r="T913" s="39">
        <f>[1]节奏总纲!AF913</f>
        <v>103.75885900862831</v>
      </c>
      <c r="U913" s="39">
        <f>[1]节奏总纲!AG913</f>
        <v>108.63709913833878</v>
      </c>
      <c r="V913" s="39">
        <f>[1]节奏总纲!AH913</f>
        <v>117.58581066870381</v>
      </c>
    </row>
    <row r="914" spans="17:22" x14ac:dyDescent="0.15">
      <c r="Q914" s="38">
        <v>911</v>
      </c>
      <c r="R914" s="39">
        <f>[1]节奏总纲!AD914</f>
        <v>98.321281314909029</v>
      </c>
      <c r="S914" s="39">
        <f>[1]节奏总纲!AE914</f>
        <v>100.55857235448359</v>
      </c>
      <c r="T914" s="39">
        <f>[1]节奏总纲!AF914</f>
        <v>103.77450664314108</v>
      </c>
      <c r="U914" s="39">
        <f>[1]节奏总纲!AG914</f>
        <v>108.65373331619912</v>
      </c>
      <c r="V914" s="39">
        <f>[1]节奏总纲!AH914</f>
        <v>117.60167394839965</v>
      </c>
    </row>
    <row r="915" spans="17:22" x14ac:dyDescent="0.15">
      <c r="Q915" s="38">
        <v>912</v>
      </c>
      <c r="R915" s="39">
        <f>[1]节奏总纲!AD915</f>
        <v>98.336910709084279</v>
      </c>
      <c r="S915" s="39">
        <f>[1]节奏总纲!AE915</f>
        <v>100.57425426365214</v>
      </c>
      <c r="T915" s="39">
        <f>[1]节奏总纲!AF915</f>
        <v>103.79015427765385</v>
      </c>
      <c r="U915" s="39">
        <f>[1]节奏总纲!AG915</f>
        <v>108.67036749405945</v>
      </c>
      <c r="V915" s="39">
        <f>[1]节奏总纲!AH915</f>
        <v>117.6175372280955</v>
      </c>
    </row>
    <row r="916" spans="17:22" x14ac:dyDescent="0.15">
      <c r="Q916" s="38">
        <v>913</v>
      </c>
      <c r="R916" s="39">
        <f>[1]节奏总纲!AD916</f>
        <v>98.352540103259514</v>
      </c>
      <c r="S916" s="39">
        <f>[1]节奏总纲!AE916</f>
        <v>100.58993617282069</v>
      </c>
      <c r="T916" s="39">
        <f>[1]节奏总纲!AF916</f>
        <v>103.80580191216663</v>
      </c>
      <c r="U916" s="39">
        <f>[1]节奏总纲!AG916</f>
        <v>108.68700167191977</v>
      </c>
      <c r="V916" s="39">
        <f>[1]节奏总纲!AH916</f>
        <v>117.63340050779134</v>
      </c>
    </row>
    <row r="917" spans="17:22" x14ac:dyDescent="0.15">
      <c r="Q917" s="38">
        <v>914</v>
      </c>
      <c r="R917" s="39">
        <f>[1]节奏总纲!AD917</f>
        <v>98.368169497434764</v>
      </c>
      <c r="S917" s="39">
        <f>[1]节奏总纲!AE917</f>
        <v>100.60561808198923</v>
      </c>
      <c r="T917" s="39">
        <f>[1]节奏总纲!AF917</f>
        <v>103.8214495466794</v>
      </c>
      <c r="U917" s="39">
        <f>[1]节奏总纲!AG917</f>
        <v>108.7036358497801</v>
      </c>
      <c r="V917" s="39">
        <f>[1]节奏总纲!AH917</f>
        <v>117.64926378748717</v>
      </c>
    </row>
    <row r="918" spans="17:22" x14ac:dyDescent="0.15">
      <c r="Q918" s="38">
        <v>915</v>
      </c>
      <c r="R918" s="39">
        <f>[1]节奏总纲!AD918</f>
        <v>98.383798891609999</v>
      </c>
      <c r="S918" s="39">
        <f>[1]节奏总纲!AE918</f>
        <v>100.62129999115778</v>
      </c>
      <c r="T918" s="39">
        <f>[1]节奏总纲!AF918</f>
        <v>103.83709718119219</v>
      </c>
      <c r="U918" s="39">
        <f>[1]节奏总纲!AG918</f>
        <v>108.72027002764042</v>
      </c>
      <c r="V918" s="39">
        <f>[1]节奏总纲!AH918</f>
        <v>117.66512706718302</v>
      </c>
    </row>
    <row r="919" spans="17:22" x14ac:dyDescent="0.15">
      <c r="Q919" s="38">
        <v>916</v>
      </c>
      <c r="R919" s="39">
        <f>[1]节奏总纲!AD919</f>
        <v>98.399428285785248</v>
      </c>
      <c r="S919" s="39">
        <f>[1]节奏总纲!AE919</f>
        <v>100.63698190032633</v>
      </c>
      <c r="T919" s="39">
        <f>[1]节奏总纲!AF919</f>
        <v>103.85274481570497</v>
      </c>
      <c r="U919" s="39">
        <f>[1]节奏总纲!AG919</f>
        <v>108.73690420550075</v>
      </c>
      <c r="V919" s="39">
        <f>[1]节奏总纲!AH919</f>
        <v>117.68099034687886</v>
      </c>
    </row>
    <row r="920" spans="17:22" x14ac:dyDescent="0.15">
      <c r="Q920" s="38">
        <v>917</v>
      </c>
      <c r="R920" s="39">
        <f>[1]节奏总纲!AD920</f>
        <v>98.415057679960498</v>
      </c>
      <c r="S920" s="39">
        <f>[1]节奏总纲!AE920</f>
        <v>100.65266380949487</v>
      </c>
      <c r="T920" s="39">
        <f>[1]节奏总纲!AF920</f>
        <v>103.86839245021774</v>
      </c>
      <c r="U920" s="39">
        <f>[1]节奏总纲!AG920</f>
        <v>108.75353838336108</v>
      </c>
      <c r="V920" s="39">
        <f>[1]节奏总纲!AH920</f>
        <v>117.69685362657469</v>
      </c>
    </row>
    <row r="921" spans="17:22" x14ac:dyDescent="0.15">
      <c r="Q921" s="38">
        <v>918</v>
      </c>
      <c r="R921" s="39">
        <f>[1]节奏总纲!AD921</f>
        <v>98.430687074135733</v>
      </c>
      <c r="S921" s="39">
        <f>[1]节奏总纲!AE921</f>
        <v>100.66834571866342</v>
      </c>
      <c r="T921" s="39">
        <f>[1]节奏总纲!AF921</f>
        <v>103.88404008473051</v>
      </c>
      <c r="U921" s="39">
        <f>[1]节奏总纲!AG921</f>
        <v>108.7701725612214</v>
      </c>
      <c r="V921" s="39">
        <f>[1]节奏总纲!AH921</f>
        <v>117.71271690627054</v>
      </c>
    </row>
    <row r="922" spans="17:22" x14ac:dyDescent="0.15">
      <c r="Q922" s="38">
        <v>919</v>
      </c>
      <c r="R922" s="39">
        <f>[1]节奏总纲!AD922</f>
        <v>98.446316468310982</v>
      </c>
      <c r="S922" s="39">
        <f>[1]节奏总纲!AE922</f>
        <v>100.68402762783197</v>
      </c>
      <c r="T922" s="39">
        <f>[1]节奏总纲!AF922</f>
        <v>103.89968771924329</v>
      </c>
      <c r="U922" s="39">
        <f>[1]节奏总纲!AG922</f>
        <v>108.78680673908173</v>
      </c>
      <c r="V922" s="39">
        <f>[1]节奏总纲!AH922</f>
        <v>117.72858018596638</v>
      </c>
    </row>
    <row r="923" spans="17:22" x14ac:dyDescent="0.15">
      <c r="Q923" s="38">
        <v>920</v>
      </c>
      <c r="R923" s="39">
        <f>[1]节奏总纲!AD923</f>
        <v>98.461945862486218</v>
      </c>
      <c r="S923" s="39">
        <f>[1]节奏总纲!AE923</f>
        <v>100.69970953700052</v>
      </c>
      <c r="T923" s="39">
        <f>[1]节奏总纲!AF923</f>
        <v>103.91533535375606</v>
      </c>
      <c r="U923" s="39">
        <f>[1]节奏总纲!AG923</f>
        <v>108.80344091694205</v>
      </c>
      <c r="V923" s="39">
        <f>[1]节奏总纲!AH923</f>
        <v>117.74444346566223</v>
      </c>
    </row>
    <row r="924" spans="17:22" x14ac:dyDescent="0.15">
      <c r="Q924" s="38">
        <v>921</v>
      </c>
      <c r="R924" s="39">
        <f>[1]节奏总纲!AD924</f>
        <v>98.477575256661467</v>
      </c>
      <c r="S924" s="39">
        <f>[1]节奏总纲!AE924</f>
        <v>100.71539144616906</v>
      </c>
      <c r="T924" s="39">
        <f>[1]节奏总纲!AF924</f>
        <v>103.93098298826884</v>
      </c>
      <c r="U924" s="39">
        <f>[1]节奏总纲!AG924</f>
        <v>108.82007509480238</v>
      </c>
      <c r="V924" s="39">
        <f>[1]节奏总纲!AH924</f>
        <v>117.76030674535806</v>
      </c>
    </row>
    <row r="925" spans="17:22" x14ac:dyDescent="0.15">
      <c r="Q925" s="38">
        <v>922</v>
      </c>
      <c r="R925" s="39">
        <f>[1]节奏总纲!AD925</f>
        <v>98.493204650836702</v>
      </c>
      <c r="S925" s="39">
        <f>[1]节奏总纲!AE925</f>
        <v>100.73107335533761</v>
      </c>
      <c r="T925" s="39">
        <f>[1]节奏总纲!AF925</f>
        <v>103.94663062278161</v>
      </c>
      <c r="U925" s="39">
        <f>[1]节奏总纲!AG925</f>
        <v>108.8367092726627</v>
      </c>
      <c r="V925" s="39">
        <f>[1]节奏总纲!AH925</f>
        <v>117.7761700250539</v>
      </c>
    </row>
    <row r="926" spans="17:22" x14ac:dyDescent="0.15">
      <c r="Q926" s="38">
        <v>923</v>
      </c>
      <c r="R926" s="39">
        <f>[1]节奏总纲!AD926</f>
        <v>98.508834045011952</v>
      </c>
      <c r="S926" s="39">
        <f>[1]节奏总纲!AE926</f>
        <v>100.74675526450616</v>
      </c>
      <c r="T926" s="39">
        <f>[1]节奏总纲!AF926</f>
        <v>103.96227825729439</v>
      </c>
      <c r="U926" s="39">
        <f>[1]节奏总纲!AG926</f>
        <v>108.85334345052304</v>
      </c>
      <c r="V926" s="39">
        <f>[1]节奏总纲!AH926</f>
        <v>117.79203330474975</v>
      </c>
    </row>
    <row r="927" spans="17:22" x14ac:dyDescent="0.15">
      <c r="Q927" s="38">
        <v>924</v>
      </c>
      <c r="R927" s="39">
        <f>[1]节奏总纲!AD927</f>
        <v>98.524463439187201</v>
      </c>
      <c r="S927" s="39">
        <f>[1]节奏总纲!AE927</f>
        <v>100.76243717367471</v>
      </c>
      <c r="T927" s="39">
        <f>[1]节奏总纲!AF927</f>
        <v>103.97792589180716</v>
      </c>
      <c r="U927" s="39">
        <f>[1]节奏总纲!AG927</f>
        <v>108.86997762838337</v>
      </c>
      <c r="V927" s="39">
        <f>[1]节奏总纲!AH927</f>
        <v>117.80789658444559</v>
      </c>
    </row>
    <row r="928" spans="17:22" x14ac:dyDescent="0.15">
      <c r="Q928" s="38">
        <v>925</v>
      </c>
      <c r="R928" s="39">
        <f>[1]节奏总纲!AD928</f>
        <v>98.540092833362436</v>
      </c>
      <c r="S928" s="39">
        <f>[1]节奏总纲!AE928</f>
        <v>100.77811908284326</v>
      </c>
      <c r="T928" s="39">
        <f>[1]节奏总纲!AF928</f>
        <v>103.99357352631993</v>
      </c>
      <c r="U928" s="39">
        <f>[1]节奏总纲!AG928</f>
        <v>108.88661180624369</v>
      </c>
      <c r="V928" s="39">
        <f>[1]节奏总纲!AH928</f>
        <v>117.82375986414142</v>
      </c>
    </row>
    <row r="929" spans="17:22" x14ac:dyDescent="0.15">
      <c r="Q929" s="38">
        <v>926</v>
      </c>
      <c r="R929" s="39">
        <f>[1]节奏总纲!AD929</f>
        <v>98.555722227537686</v>
      </c>
      <c r="S929" s="39">
        <f>[1]节奏总纲!AE929</f>
        <v>100.79380099201181</v>
      </c>
      <c r="T929" s="39">
        <f>[1]节奏总纲!AF929</f>
        <v>104.00869539673992</v>
      </c>
      <c r="U929" s="39">
        <f>[1]节奏总纲!AG929</f>
        <v>108.90324598410402</v>
      </c>
      <c r="V929" s="39">
        <f>[1]节奏总纲!AH929</f>
        <v>117.83962314383727</v>
      </c>
    </row>
    <row r="930" spans="17:22" x14ac:dyDescent="0.15">
      <c r="Q930" s="38">
        <v>927</v>
      </c>
      <c r="R930" s="39">
        <f>[1]节奏总纲!AD930</f>
        <v>98.571351621712921</v>
      </c>
      <c r="S930" s="39">
        <f>[1]节奏总纲!AE930</f>
        <v>100.80948290118035</v>
      </c>
      <c r="T930" s="39">
        <f>[1]节奏总纲!AF930</f>
        <v>104.02345084809778</v>
      </c>
      <c r="U930" s="39">
        <f>[1]节奏总纲!AG930</f>
        <v>108.91988016196434</v>
      </c>
      <c r="V930" s="39">
        <f>[1]节奏总纲!AH930</f>
        <v>117.85548642353311</v>
      </c>
    </row>
    <row r="931" spans="17:22" x14ac:dyDescent="0.15">
      <c r="Q931" s="38">
        <v>928</v>
      </c>
      <c r="R931" s="39">
        <f>[1]节奏总纲!AD931</f>
        <v>98.586981015888171</v>
      </c>
      <c r="S931" s="39">
        <f>[1]节奏总纲!AE931</f>
        <v>100.82516481034889</v>
      </c>
      <c r="T931" s="39">
        <f>[1]节奏总纲!AF931</f>
        <v>104.03820629945564</v>
      </c>
      <c r="U931" s="39">
        <f>[1]节奏总纲!AG931</f>
        <v>108.93651433982467</v>
      </c>
      <c r="V931" s="39">
        <f>[1]节奏总纲!AH931</f>
        <v>117.87134970322894</v>
      </c>
    </row>
    <row r="932" spans="17:22" x14ac:dyDescent="0.15">
      <c r="Q932" s="38">
        <v>929</v>
      </c>
      <c r="R932" s="39">
        <f>[1]节奏总纲!AD932</f>
        <v>98.602610410063406</v>
      </c>
      <c r="S932" s="39">
        <f>[1]节奏总纲!AE932</f>
        <v>100.84084671951744</v>
      </c>
      <c r="T932" s="39">
        <f>[1]节奏总纲!AF932</f>
        <v>104.05296175081349</v>
      </c>
      <c r="U932" s="39">
        <f>[1]节奏总纲!AG932</f>
        <v>108.95314851768499</v>
      </c>
      <c r="V932" s="39">
        <f>[1]节奏总纲!AH932</f>
        <v>117.88721298292479</v>
      </c>
    </row>
    <row r="933" spans="17:22" x14ac:dyDescent="0.15">
      <c r="Q933" s="38">
        <v>930</v>
      </c>
      <c r="R933" s="39">
        <f>[1]节奏总纲!AD933</f>
        <v>98.618239804238655</v>
      </c>
      <c r="S933" s="39">
        <f>[1]节奏总纲!AE933</f>
        <v>100.85652862868599</v>
      </c>
      <c r="T933" s="39">
        <f>[1]节奏总纲!AF933</f>
        <v>104.06771720217134</v>
      </c>
      <c r="U933" s="39">
        <f>[1]节奏总纲!AG933</f>
        <v>108.96978269554532</v>
      </c>
      <c r="V933" s="39">
        <f>[1]节奏总纲!AH933</f>
        <v>117.90307626262063</v>
      </c>
    </row>
    <row r="934" spans="17:22" x14ac:dyDescent="0.15">
      <c r="Q934" s="38">
        <v>931</v>
      </c>
      <c r="R934" s="39">
        <f>[1]节奏总纲!AD934</f>
        <v>98.633869198413905</v>
      </c>
      <c r="S934" s="39">
        <f>[1]节奏总纲!AE934</f>
        <v>100.87221053785454</v>
      </c>
      <c r="T934" s="39">
        <f>[1]节奏总纲!AF934</f>
        <v>104.08247265352919</v>
      </c>
      <c r="U934" s="39">
        <f>[1]节奏总纲!AG934</f>
        <v>108.98641687340564</v>
      </c>
      <c r="V934" s="39">
        <f>[1]节奏总纲!AH934</f>
        <v>117.91893954231648</v>
      </c>
    </row>
    <row r="935" spans="17:22" x14ac:dyDescent="0.15">
      <c r="Q935" s="38">
        <v>932</v>
      </c>
      <c r="R935" s="39">
        <f>[1]节奏总纲!AD935</f>
        <v>98.64949859258914</v>
      </c>
      <c r="S935" s="39">
        <f>[1]节奏总纲!AE935</f>
        <v>100.88789244702309</v>
      </c>
      <c r="T935" s="39">
        <f>[1]节奏总纲!AF935</f>
        <v>104.09722810488705</v>
      </c>
      <c r="U935" s="39">
        <f>[1]节奏总纲!AG935</f>
        <v>109.00263626963135</v>
      </c>
      <c r="V935" s="39">
        <f>[1]节奏总纲!AH935</f>
        <v>117.93480282201232</v>
      </c>
    </row>
    <row r="936" spans="17:22" x14ac:dyDescent="0.15">
      <c r="Q936" s="38">
        <v>933</v>
      </c>
      <c r="R936" s="39">
        <f>[1]节奏总纲!AD936</f>
        <v>98.665127986764389</v>
      </c>
      <c r="S936" s="39">
        <f>[1]节奏总纲!AE936</f>
        <v>100.90357435619164</v>
      </c>
      <c r="T936" s="39">
        <f>[1]节奏总纲!AF936</f>
        <v>104.11198355624491</v>
      </c>
      <c r="U936" s="39">
        <f>[1]节奏总纲!AG936</f>
        <v>109.01700907890684</v>
      </c>
      <c r="V936" s="39">
        <f>[1]节奏总纲!AH936</f>
        <v>117.95066610170815</v>
      </c>
    </row>
    <row r="937" spans="17:22" x14ac:dyDescent="0.15">
      <c r="Q937" s="38">
        <v>934</v>
      </c>
      <c r="R937" s="39">
        <f>[1]节奏总纲!AD937</f>
        <v>98.680757380939625</v>
      </c>
      <c r="S937" s="39">
        <f>[1]节奏总纲!AE937</f>
        <v>100.91925626536019</v>
      </c>
      <c r="T937" s="39">
        <f>[1]节奏总纲!AF937</f>
        <v>104.12673900760277</v>
      </c>
      <c r="U937" s="39">
        <f>[1]节奏总纲!AG937</f>
        <v>109.03138188818232</v>
      </c>
      <c r="V937" s="39">
        <f>[1]节奏总纲!AH937</f>
        <v>117.966529381404</v>
      </c>
    </row>
    <row r="938" spans="17:22" x14ac:dyDescent="0.15">
      <c r="Q938" s="38">
        <v>935</v>
      </c>
      <c r="R938" s="39">
        <f>[1]节奏总纲!AD938</f>
        <v>98.696386775114874</v>
      </c>
      <c r="S938" s="39">
        <f>[1]节奏总纲!AE938</f>
        <v>100.93493817452874</v>
      </c>
      <c r="T938" s="39">
        <f>[1]节奏总纲!AF938</f>
        <v>104.14149445896061</v>
      </c>
      <c r="U938" s="39">
        <f>[1]节奏总纲!AG938</f>
        <v>109.04575469745782</v>
      </c>
      <c r="V938" s="39">
        <f>[1]节奏总纲!AH938</f>
        <v>117.98239266109984</v>
      </c>
    </row>
    <row r="939" spans="17:22" x14ac:dyDescent="0.15">
      <c r="Q939" s="38">
        <v>936</v>
      </c>
      <c r="R939" s="39">
        <f>[1]节奏总纲!AD939</f>
        <v>98.712016169290109</v>
      </c>
      <c r="S939" s="39">
        <f>[1]节奏总纲!AE939</f>
        <v>100.95062008369729</v>
      </c>
      <c r="T939" s="39">
        <f>[1]节奏总纲!AF939</f>
        <v>104.15624991031846</v>
      </c>
      <c r="U939" s="39">
        <f>[1]节奏总纲!AG939</f>
        <v>109.06012750673331</v>
      </c>
      <c r="V939" s="39">
        <f>[1]节奏总纲!AH939</f>
        <v>117.99825594079567</v>
      </c>
    </row>
    <row r="940" spans="17:22" x14ac:dyDescent="0.15">
      <c r="Q940" s="38">
        <v>937</v>
      </c>
      <c r="R940" s="39">
        <f>[1]节奏总纲!AD940</f>
        <v>98.727645563465359</v>
      </c>
      <c r="S940" s="39">
        <f>[1]节奏总纲!AE940</f>
        <v>100.96630199286584</v>
      </c>
      <c r="T940" s="39">
        <f>[1]节奏总纲!AF940</f>
        <v>104.17100536167632</v>
      </c>
      <c r="U940" s="39">
        <f>[1]节奏总纲!AG940</f>
        <v>109.07450031600881</v>
      </c>
      <c r="V940" s="39">
        <f>[1]节奏总纲!AH940</f>
        <v>118.01387458971963</v>
      </c>
    </row>
    <row r="941" spans="17:22" x14ac:dyDescent="0.15">
      <c r="Q941" s="38">
        <v>938</v>
      </c>
      <c r="R941" s="39">
        <f>[1]节奏总纲!AD941</f>
        <v>98.743274957640608</v>
      </c>
      <c r="S941" s="39">
        <f>[1]节奏总纲!AE941</f>
        <v>100.98198390203437</v>
      </c>
      <c r="T941" s="39">
        <f>[1]节奏总纲!AF941</f>
        <v>104.18576081303418</v>
      </c>
      <c r="U941" s="39">
        <f>[1]节奏总纲!AG941</f>
        <v>109.08887312528429</v>
      </c>
      <c r="V941" s="39">
        <f>[1]节奏总纲!AH941</f>
        <v>118.02946302093082</v>
      </c>
    </row>
    <row r="942" spans="17:22" x14ac:dyDescent="0.15">
      <c r="Q942" s="38">
        <v>939</v>
      </c>
      <c r="R942" s="39">
        <f>[1]节奏总纲!AD942</f>
        <v>98.758904351815843</v>
      </c>
      <c r="S942" s="39">
        <f>[1]节奏总纲!AE942</f>
        <v>100.99766581120292</v>
      </c>
      <c r="T942" s="39">
        <f>[1]节奏总纲!AF942</f>
        <v>104.20051626439204</v>
      </c>
      <c r="U942" s="39">
        <f>[1]节奏总纲!AG942</f>
        <v>109.10324593455979</v>
      </c>
      <c r="V942" s="39">
        <f>[1]节奏总纲!AH942</f>
        <v>118.045051452142</v>
      </c>
    </row>
    <row r="943" spans="17:22" x14ac:dyDescent="0.15">
      <c r="Q943" s="38">
        <v>940</v>
      </c>
      <c r="R943" s="39">
        <f>[1]节奏总纲!AD943</f>
        <v>98.774533745991093</v>
      </c>
      <c r="S943" s="39">
        <f>[1]节奏总纲!AE943</f>
        <v>101.01307116871664</v>
      </c>
      <c r="T943" s="39">
        <f>[1]节奏总纲!AF943</f>
        <v>104.21527171574988</v>
      </c>
      <c r="U943" s="39">
        <f>[1]节奏总纲!AG943</f>
        <v>109.11761874383528</v>
      </c>
      <c r="V943" s="39">
        <f>[1]节奏总纲!AH943</f>
        <v>118.06063988335319</v>
      </c>
    </row>
    <row r="944" spans="17:22" x14ac:dyDescent="0.15">
      <c r="Q944" s="38">
        <v>941</v>
      </c>
      <c r="R944" s="39">
        <f>[1]节奏总纲!AD944</f>
        <v>98.790163140166328</v>
      </c>
      <c r="S944" s="39">
        <f>[1]节奏总纲!AE944</f>
        <v>101.0284281641313</v>
      </c>
      <c r="T944" s="39">
        <f>[1]节奏总纲!AF944</f>
        <v>104.23002716710774</v>
      </c>
      <c r="U944" s="39">
        <f>[1]节奏总纲!AG944</f>
        <v>109.13199155311078</v>
      </c>
      <c r="V944" s="39">
        <f>[1]节奏总纲!AH944</f>
        <v>118.07622831456437</v>
      </c>
    </row>
    <row r="945" spans="17:22" x14ac:dyDescent="0.15">
      <c r="Q945" s="38">
        <v>942</v>
      </c>
      <c r="R945" s="39">
        <f>[1]节奏总纲!AD945</f>
        <v>98.805792534341577</v>
      </c>
      <c r="S945" s="39">
        <f>[1]节奏总纲!AE945</f>
        <v>101.04378515954596</v>
      </c>
      <c r="T945" s="39">
        <f>[1]节奏总纲!AF945</f>
        <v>104.24478261846559</v>
      </c>
      <c r="U945" s="39">
        <f>[1]节奏总纲!AG945</f>
        <v>109.14636436238627</v>
      </c>
      <c r="V945" s="39">
        <f>[1]节奏总纲!AH945</f>
        <v>118.09181674577556</v>
      </c>
    </row>
    <row r="946" spans="17:22" x14ac:dyDescent="0.15">
      <c r="Q946" s="38">
        <v>943</v>
      </c>
      <c r="R946" s="39">
        <f>[1]节奏总纲!AD946</f>
        <v>98.821421928516827</v>
      </c>
      <c r="S946" s="39">
        <f>[1]节奏总纲!AE946</f>
        <v>101.05914215496063</v>
      </c>
      <c r="T946" s="39">
        <f>[1]节奏总纲!AF946</f>
        <v>104.25953806982345</v>
      </c>
      <c r="U946" s="39">
        <f>[1]节奏总纲!AG946</f>
        <v>109.16073717166176</v>
      </c>
      <c r="V946" s="39">
        <f>[1]节奏总纲!AH946</f>
        <v>118.10740517698675</v>
      </c>
    </row>
    <row r="947" spans="17:22" x14ac:dyDescent="0.15">
      <c r="Q947" s="38">
        <v>944</v>
      </c>
      <c r="R947" s="39">
        <f>[1]节奏总纲!AD947</f>
        <v>98.837051322692062</v>
      </c>
      <c r="S947" s="39">
        <f>[1]节奏总纲!AE947</f>
        <v>101.07449915037529</v>
      </c>
      <c r="T947" s="39">
        <f>[1]节奏总纲!AF947</f>
        <v>104.27429352118129</v>
      </c>
      <c r="U947" s="39">
        <f>[1]节奏总纲!AG947</f>
        <v>109.17510998093725</v>
      </c>
      <c r="V947" s="39">
        <f>[1]节奏总纲!AH947</f>
        <v>118.12299360819793</v>
      </c>
    </row>
    <row r="948" spans="17:22" x14ac:dyDescent="0.15">
      <c r="Q948" s="38">
        <v>945</v>
      </c>
      <c r="R948" s="39">
        <f>[1]节奏总纲!AD948</f>
        <v>98.852680716867312</v>
      </c>
      <c r="S948" s="39">
        <f>[1]节奏总纲!AE948</f>
        <v>101.08985614578995</v>
      </c>
      <c r="T948" s="39">
        <f>[1]节奏总纲!AF948</f>
        <v>104.28904897253915</v>
      </c>
      <c r="U948" s="39">
        <f>[1]节奏总纲!AG948</f>
        <v>109.18948279021274</v>
      </c>
      <c r="V948" s="39">
        <f>[1]节奏总纲!AH948</f>
        <v>118.13858203940912</v>
      </c>
    </row>
    <row r="949" spans="17:22" x14ac:dyDescent="0.15">
      <c r="Q949" s="38">
        <v>946</v>
      </c>
      <c r="R949" s="39">
        <f>[1]节奏总纲!AD949</f>
        <v>98.868310111042547</v>
      </c>
      <c r="S949" s="39">
        <f>[1]节奏总纲!AE949</f>
        <v>101.10521314120462</v>
      </c>
      <c r="T949" s="39">
        <f>[1]节奏总纲!AF949</f>
        <v>104.30380442389701</v>
      </c>
      <c r="U949" s="39">
        <f>[1]节奏总纲!AG949</f>
        <v>109.20385559948824</v>
      </c>
      <c r="V949" s="39">
        <f>[1]节奏总纲!AH949</f>
        <v>118.1541704706203</v>
      </c>
    </row>
    <row r="950" spans="17:22" x14ac:dyDescent="0.15">
      <c r="Q950" s="38">
        <v>947</v>
      </c>
      <c r="R950" s="39">
        <f>[1]节奏总纲!AD950</f>
        <v>98.883939505217796</v>
      </c>
      <c r="S950" s="39">
        <f>[1]节奏总纲!AE950</f>
        <v>101.12057013661928</v>
      </c>
      <c r="T950" s="39">
        <f>[1]节奏总纲!AF950</f>
        <v>104.31855987525486</v>
      </c>
      <c r="U950" s="39">
        <f>[1]节奏总纲!AG950</f>
        <v>109.21822840876372</v>
      </c>
      <c r="V950" s="39">
        <f>[1]节奏总纲!AH950</f>
        <v>118.16975890183149</v>
      </c>
    </row>
    <row r="951" spans="17:22" x14ac:dyDescent="0.15">
      <c r="Q951" s="38">
        <v>948</v>
      </c>
      <c r="R951" s="39">
        <f>[1]节奏总纲!AD951</f>
        <v>98.899568899393032</v>
      </c>
      <c r="S951" s="39">
        <f>[1]节奏总纲!AE951</f>
        <v>101.13592713203394</v>
      </c>
      <c r="T951" s="39">
        <f>[1]节奏总纲!AF951</f>
        <v>104.33331532661272</v>
      </c>
      <c r="U951" s="39">
        <f>[1]节奏总纲!AG951</f>
        <v>109.23260121803922</v>
      </c>
      <c r="V951" s="39">
        <f>[1]节奏总纲!AH951</f>
        <v>118.18534733304267</v>
      </c>
    </row>
    <row r="952" spans="17:22" x14ac:dyDescent="0.15">
      <c r="Q952" s="38">
        <v>949</v>
      </c>
      <c r="R952" s="39">
        <f>[1]节奏总纲!AD952</f>
        <v>98.915198293568281</v>
      </c>
      <c r="S952" s="39">
        <f>[1]节奏总纲!AE952</f>
        <v>101.15128412744862</v>
      </c>
      <c r="T952" s="39">
        <f>[1]节奏总纲!AF952</f>
        <v>104.34807077797056</v>
      </c>
      <c r="U952" s="39">
        <f>[1]节奏总纲!AG952</f>
        <v>109.24697402731471</v>
      </c>
      <c r="V952" s="39">
        <f>[1]节奏总纲!AH952</f>
        <v>118.20093576425386</v>
      </c>
    </row>
    <row r="953" spans="17:22" x14ac:dyDescent="0.15">
      <c r="Q953" s="38">
        <v>950</v>
      </c>
      <c r="R953" s="39">
        <f>[1]节奏总纲!AD953</f>
        <v>98.93082768774353</v>
      </c>
      <c r="S953" s="39">
        <f>[1]节奏总纲!AE953</f>
        <v>101.16664112286328</v>
      </c>
      <c r="T953" s="39">
        <f>[1]节奏总纲!AF953</f>
        <v>104.36282622932842</v>
      </c>
      <c r="U953" s="39">
        <f>[1]节奏总纲!AG953</f>
        <v>109.26134683659021</v>
      </c>
      <c r="V953" s="39">
        <f>[1]节奏总纲!AH953</f>
        <v>118.21652419546504</v>
      </c>
    </row>
    <row r="954" spans="17:22" x14ac:dyDescent="0.15">
      <c r="Q954" s="38">
        <v>951</v>
      </c>
      <c r="R954" s="39">
        <f>[1]节奏总纲!AD954</f>
        <v>98.946457081918766</v>
      </c>
      <c r="S954" s="39">
        <f>[1]节奏总纲!AE954</f>
        <v>101.18199811827795</v>
      </c>
      <c r="T954" s="39">
        <f>[1]节奏总纲!AF954</f>
        <v>104.37758168068628</v>
      </c>
      <c r="U954" s="39">
        <f>[1]节奏总纲!AG954</f>
        <v>109.27571964586569</v>
      </c>
      <c r="V954" s="39">
        <f>[1]节奏总纲!AH954</f>
        <v>118.23211262667623</v>
      </c>
    </row>
    <row r="955" spans="17:22" x14ac:dyDescent="0.15">
      <c r="Q955" s="38">
        <v>952</v>
      </c>
      <c r="R955" s="39">
        <f>[1]节奏总纲!AD955</f>
        <v>98.962086476094015</v>
      </c>
      <c r="S955" s="39">
        <f>[1]节奏总纲!AE955</f>
        <v>101.19735511369261</v>
      </c>
      <c r="T955" s="39">
        <f>[1]节奏总纲!AF955</f>
        <v>104.39233713204413</v>
      </c>
      <c r="U955" s="39">
        <f>[1]节奏总纲!AG955</f>
        <v>109.29009245514119</v>
      </c>
      <c r="V955" s="39">
        <f>[1]节奏总纲!AH955</f>
        <v>118.24770105788741</v>
      </c>
    </row>
    <row r="956" spans="17:22" x14ac:dyDescent="0.15">
      <c r="Q956" s="38">
        <v>953</v>
      </c>
      <c r="R956" s="39">
        <f>[1]节奏总纲!AD956</f>
        <v>98.97771587026925</v>
      </c>
      <c r="S956" s="39">
        <f>[1]节奏总纲!AE956</f>
        <v>101.21271210910727</v>
      </c>
      <c r="T956" s="39">
        <f>[1]节奏总纲!AF956</f>
        <v>104.40709258340199</v>
      </c>
      <c r="U956" s="39">
        <f>[1]节奏总纲!AG956</f>
        <v>109.30446526441668</v>
      </c>
      <c r="V956" s="39">
        <f>[1]节奏总纲!AH956</f>
        <v>118.2632894890986</v>
      </c>
    </row>
    <row r="957" spans="17:22" x14ac:dyDescent="0.15">
      <c r="Q957" s="38">
        <v>954</v>
      </c>
      <c r="R957" s="39">
        <f>[1]节奏总纲!AD957</f>
        <v>98.9933452644445</v>
      </c>
      <c r="S957" s="39">
        <f>[1]节奏总纲!AE957</f>
        <v>101.22806910452194</v>
      </c>
      <c r="T957" s="39">
        <f>[1]节奏总纲!AF957</f>
        <v>104.42184803475983</v>
      </c>
      <c r="U957" s="39">
        <f>[1]节奏总纲!AG957</f>
        <v>109.31883807369218</v>
      </c>
      <c r="V957" s="39">
        <f>[1]节奏总纲!AH957</f>
        <v>118.27887792030978</v>
      </c>
    </row>
    <row r="958" spans="17:22" x14ac:dyDescent="0.15">
      <c r="Q958" s="38">
        <v>955</v>
      </c>
      <c r="R958" s="39">
        <f>[1]节奏总纲!AD958</f>
        <v>99.008373652580005</v>
      </c>
      <c r="S958" s="39">
        <f>[1]节奏总纲!AE958</f>
        <v>101.2434260999366</v>
      </c>
      <c r="T958" s="39">
        <f>[1]节奏总纲!AF958</f>
        <v>104.43660348611769</v>
      </c>
      <c r="U958" s="39">
        <f>[1]节奏总纲!AG958</f>
        <v>109.33321088296766</v>
      </c>
      <c r="V958" s="39">
        <f>[1]节奏总纲!AH958</f>
        <v>118.29446635152097</v>
      </c>
    </row>
    <row r="959" spans="17:22" x14ac:dyDescent="0.15">
      <c r="Q959" s="38">
        <v>956</v>
      </c>
      <c r="R959" s="39">
        <f>[1]节奏总纲!AD959</f>
        <v>99.022956392983232</v>
      </c>
      <c r="S959" s="39">
        <f>[1]节奏总纲!AE959</f>
        <v>101.25878309535126</v>
      </c>
      <c r="T959" s="39">
        <f>[1]节奏总纲!AF959</f>
        <v>104.45135893747555</v>
      </c>
      <c r="U959" s="39">
        <f>[1]节奏总纲!AG959</f>
        <v>109.34758369224315</v>
      </c>
      <c r="V959" s="39">
        <f>[1]节奏总纲!AH959</f>
        <v>118.31005478273215</v>
      </c>
    </row>
    <row r="960" spans="17:22" x14ac:dyDescent="0.15">
      <c r="Q960" s="38">
        <v>957</v>
      </c>
      <c r="R960" s="39">
        <f>[1]节奏总纲!AD960</f>
        <v>99.037539133386474</v>
      </c>
      <c r="S960" s="39">
        <f>[1]节奏总纲!AE960</f>
        <v>101.27414009076594</v>
      </c>
      <c r="T960" s="39">
        <f>[1]节奏总纲!AF960</f>
        <v>104.4661143888334</v>
      </c>
      <c r="U960" s="39">
        <f>[1]节奏总纲!AG960</f>
        <v>109.36195650151865</v>
      </c>
      <c r="V960" s="39">
        <f>[1]节奏总纲!AH960</f>
        <v>118.32564321394334</v>
      </c>
    </row>
    <row r="961" spans="17:22" x14ac:dyDescent="0.15">
      <c r="Q961" s="38">
        <v>958</v>
      </c>
      <c r="R961" s="39">
        <f>[1]节奏总纲!AD961</f>
        <v>99.052121873789702</v>
      </c>
      <c r="S961" s="39">
        <f>[1]节奏总纲!AE961</f>
        <v>101.2894970861806</v>
      </c>
      <c r="T961" s="39">
        <f>[1]节奏总纲!AF961</f>
        <v>104.48086984019125</v>
      </c>
      <c r="U961" s="39">
        <f>[1]节奏总纲!AG961</f>
        <v>109.37632931079413</v>
      </c>
      <c r="V961" s="39">
        <f>[1]节奏总纲!AH961</f>
        <v>118.34123164515452</v>
      </c>
    </row>
    <row r="962" spans="17:22" x14ac:dyDescent="0.15">
      <c r="Q962" s="38">
        <v>959</v>
      </c>
      <c r="R962" s="39">
        <f>[1]节奏总纲!AD962</f>
        <v>99.066704614192943</v>
      </c>
      <c r="S962" s="39">
        <f>[1]节奏总纲!AE962</f>
        <v>101.30485408159527</v>
      </c>
      <c r="T962" s="39">
        <f>[1]节奏总纲!AF962</f>
        <v>104.4956252915491</v>
      </c>
      <c r="U962" s="39">
        <f>[1]节奏总纲!AG962</f>
        <v>109.39070212006963</v>
      </c>
      <c r="V962" s="39">
        <f>[1]节奏总纲!AH962</f>
        <v>118.35682007636571</v>
      </c>
    </row>
    <row r="963" spans="17:22" x14ac:dyDescent="0.15">
      <c r="Q963" s="38">
        <v>960</v>
      </c>
      <c r="R963" s="39">
        <f>[1]节奏总纲!AD963</f>
        <v>99.081287354596171</v>
      </c>
      <c r="S963" s="39">
        <f>[1]节奏总纲!AE963</f>
        <v>101.32021107700993</v>
      </c>
      <c r="T963" s="39">
        <f>[1]节奏总纲!AF963</f>
        <v>104.51038074290696</v>
      </c>
      <c r="U963" s="39">
        <f>[1]节奏总纲!AG963</f>
        <v>109.40507492934512</v>
      </c>
      <c r="V963" s="39">
        <f>[1]节奏总纲!AH963</f>
        <v>118.37240850757689</v>
      </c>
    </row>
    <row r="964" spans="17:22" x14ac:dyDescent="0.15">
      <c r="Q964" s="38">
        <v>961</v>
      </c>
      <c r="R964" s="39">
        <f>[1]节奏总纲!AD964</f>
        <v>99.095870094999412</v>
      </c>
      <c r="S964" s="39">
        <f>[1]节奏总纲!AE964</f>
        <v>101.33556807242459</v>
      </c>
      <c r="T964" s="39">
        <f>[1]节奏总纲!AF964</f>
        <v>104.52513619426482</v>
      </c>
      <c r="U964" s="39">
        <f>[1]节奏总纲!AG964</f>
        <v>109.41944773862062</v>
      </c>
      <c r="V964" s="39">
        <f>[1]节奏总纲!AH964</f>
        <v>118.38799693878808</v>
      </c>
    </row>
    <row r="965" spans="17:22" x14ac:dyDescent="0.15">
      <c r="Q965" s="38">
        <v>962</v>
      </c>
      <c r="R965" s="39">
        <f>[1]节奏总纲!AD965</f>
        <v>99.11045283540264</v>
      </c>
      <c r="S965" s="39">
        <f>[1]节奏总纲!AE965</f>
        <v>101.35092506783926</v>
      </c>
      <c r="T965" s="39">
        <f>[1]节奏总纲!AF965</f>
        <v>104.53989164562267</v>
      </c>
      <c r="U965" s="39">
        <f>[1]节奏总纲!AG965</f>
        <v>109.4338205478961</v>
      </c>
      <c r="V965" s="39">
        <f>[1]节奏总纲!AH965</f>
        <v>118.40358536999926</v>
      </c>
    </row>
    <row r="966" spans="17:22" x14ac:dyDescent="0.15">
      <c r="Q966" s="38">
        <v>963</v>
      </c>
      <c r="R966" s="39">
        <f>[1]节奏总纲!AD966</f>
        <v>99.125035575805882</v>
      </c>
      <c r="S966" s="39">
        <f>[1]节奏总纲!AE966</f>
        <v>101.36628206325392</v>
      </c>
      <c r="T966" s="39">
        <f>[1]节奏总纲!AF966</f>
        <v>104.55464709698052</v>
      </c>
      <c r="U966" s="39">
        <f>[1]节奏总纲!AG966</f>
        <v>109.4481933571716</v>
      </c>
      <c r="V966" s="39">
        <f>[1]节奏总纲!AH966</f>
        <v>118.41917380121045</v>
      </c>
    </row>
    <row r="967" spans="17:22" x14ac:dyDescent="0.15">
      <c r="Q967" s="38">
        <v>964</v>
      </c>
      <c r="R967" s="39">
        <f>[1]节奏总纲!AD967</f>
        <v>99.139618316209123</v>
      </c>
      <c r="S967" s="39">
        <f>[1]节奏总纲!AE967</f>
        <v>101.38163905866858</v>
      </c>
      <c r="T967" s="39">
        <f>[1]节奏总纲!AF967</f>
        <v>104.56940254833837</v>
      </c>
      <c r="U967" s="39">
        <f>[1]节奏总纲!AG967</f>
        <v>109.46256616644709</v>
      </c>
      <c r="V967" s="39">
        <f>[1]节奏总纲!AH967</f>
        <v>118.43476223242163</v>
      </c>
    </row>
    <row r="968" spans="17:22" x14ac:dyDescent="0.15">
      <c r="Q968" s="38">
        <v>965</v>
      </c>
      <c r="R968" s="39">
        <f>[1]节奏总纲!AD968</f>
        <v>99.154201056612351</v>
      </c>
      <c r="S968" s="39">
        <f>[1]节奏总纲!AE968</f>
        <v>101.39699605408325</v>
      </c>
      <c r="T968" s="39">
        <f>[1]节奏总纲!AF968</f>
        <v>104.58415799969623</v>
      </c>
      <c r="U968" s="39">
        <f>[1]节奏总纲!AG968</f>
        <v>109.47693897572259</v>
      </c>
      <c r="V968" s="39">
        <f>[1]节奏总纲!AH968</f>
        <v>118.45035066363282</v>
      </c>
    </row>
    <row r="969" spans="17:22" x14ac:dyDescent="0.15">
      <c r="Q969" s="38">
        <v>966</v>
      </c>
      <c r="R969" s="39">
        <f>[1]节奏总纲!AD969</f>
        <v>99.168783797015593</v>
      </c>
      <c r="S969" s="39">
        <f>[1]节奏总纲!AE969</f>
        <v>101.41235304949792</v>
      </c>
      <c r="T969" s="39">
        <f>[1]节奏总纲!AF969</f>
        <v>104.59891345105409</v>
      </c>
      <c r="U969" s="39">
        <f>[1]节奏总纲!AG969</f>
        <v>109.49131178499808</v>
      </c>
      <c r="V969" s="39">
        <f>[1]节奏总纲!AH969</f>
        <v>118.465939094844</v>
      </c>
    </row>
    <row r="970" spans="17:22" x14ac:dyDescent="0.15">
      <c r="Q970" s="38">
        <v>967</v>
      </c>
      <c r="R970" s="39">
        <f>[1]节奏总纲!AD970</f>
        <v>99.18336653741882</v>
      </c>
      <c r="S970" s="39">
        <f>[1]节奏总纲!AE970</f>
        <v>101.42771004491259</v>
      </c>
      <c r="T970" s="39">
        <f>[1]节奏总纲!AF970</f>
        <v>104.61366890241194</v>
      </c>
      <c r="U970" s="39">
        <f>[1]节奏总纲!AG970</f>
        <v>109.50568459427356</v>
      </c>
      <c r="V970" s="39">
        <f>[1]节奏总纲!AH970</f>
        <v>118.48152752605519</v>
      </c>
    </row>
    <row r="971" spans="17:22" x14ac:dyDescent="0.15">
      <c r="Q971" s="38">
        <v>968</v>
      </c>
      <c r="R971" s="39">
        <f>[1]节奏总纲!AD971</f>
        <v>99.197949277822062</v>
      </c>
      <c r="S971" s="39">
        <f>[1]节奏总纲!AE971</f>
        <v>101.44306704032725</v>
      </c>
      <c r="T971" s="39">
        <f>[1]节奏总纲!AF971</f>
        <v>104.62842435376979</v>
      </c>
      <c r="U971" s="39">
        <f>[1]节奏总纲!AG971</f>
        <v>109.52005740354906</v>
      </c>
      <c r="V971" s="39">
        <f>[1]节奏总纲!AH971</f>
        <v>118.49711595726637</v>
      </c>
    </row>
    <row r="972" spans="17:22" x14ac:dyDescent="0.15">
      <c r="Q972" s="38">
        <v>969</v>
      </c>
      <c r="R972" s="39">
        <f>[1]节奏总纲!AD972</f>
        <v>99.212532018225289</v>
      </c>
      <c r="S972" s="39">
        <f>[1]节奏总纲!AE972</f>
        <v>101.45842403574191</v>
      </c>
      <c r="T972" s="39">
        <f>[1]节奏总纲!AF972</f>
        <v>104.64317980512764</v>
      </c>
      <c r="U972" s="39">
        <f>[1]节奏总纲!AG972</f>
        <v>109.53443021282455</v>
      </c>
      <c r="V972" s="39">
        <f>[1]节奏总纲!AH972</f>
        <v>118.51270438847756</v>
      </c>
    </row>
    <row r="973" spans="17:22" x14ac:dyDescent="0.15">
      <c r="Q973" s="38">
        <v>970</v>
      </c>
      <c r="R973" s="39">
        <f>[1]节奏总纲!AD973</f>
        <v>99.227114758628531</v>
      </c>
      <c r="S973" s="39">
        <f>[1]节奏总纲!AE973</f>
        <v>101.47378103115658</v>
      </c>
      <c r="T973" s="39">
        <f>[1]节奏总纲!AF973</f>
        <v>104.6579352564855</v>
      </c>
      <c r="U973" s="39">
        <f>[1]节奏总纲!AG973</f>
        <v>109.54880302210005</v>
      </c>
      <c r="V973" s="39">
        <f>[1]节奏总纲!AH973</f>
        <v>118.52829281968874</v>
      </c>
    </row>
    <row r="974" spans="17:22" x14ac:dyDescent="0.15">
      <c r="Q974" s="38">
        <v>971</v>
      </c>
      <c r="R974" s="39">
        <f>[1]节奏总纲!AD974</f>
        <v>99.241697499031758</v>
      </c>
      <c r="S974" s="39">
        <f>[1]节奏总纲!AE974</f>
        <v>101.48913802657124</v>
      </c>
      <c r="T974" s="39">
        <f>[1]节奏总纲!AF974</f>
        <v>104.67269070784336</v>
      </c>
      <c r="U974" s="39">
        <f>[1]节奏总纲!AG974</f>
        <v>109.56317583137553</v>
      </c>
      <c r="V974" s="39">
        <f>[1]节奏总纲!AH974</f>
        <v>118.54388125089993</v>
      </c>
    </row>
    <row r="975" spans="17:22" x14ac:dyDescent="0.15">
      <c r="Q975" s="38">
        <v>972</v>
      </c>
      <c r="R975" s="39">
        <f>[1]节奏总纲!AD975</f>
        <v>99.256280239435</v>
      </c>
      <c r="S975" s="39">
        <f>[1]节奏总纲!AE975</f>
        <v>101.5044950219859</v>
      </c>
      <c r="T975" s="39">
        <f>[1]节奏总纲!AF975</f>
        <v>104.6874461592012</v>
      </c>
      <c r="U975" s="39">
        <f>[1]节奏总纲!AG975</f>
        <v>109.57754864065103</v>
      </c>
      <c r="V975" s="39">
        <f>[1]节奏总纲!AH975</f>
        <v>118.55946968211111</v>
      </c>
    </row>
    <row r="976" spans="17:22" x14ac:dyDescent="0.15">
      <c r="Q976" s="38">
        <v>973</v>
      </c>
      <c r="R976" s="39">
        <f>[1]节奏总纲!AD976</f>
        <v>99.270862979838228</v>
      </c>
      <c r="S976" s="39">
        <f>[1]节奏总纲!AE976</f>
        <v>101.51985201740057</v>
      </c>
      <c r="T976" s="39">
        <f>[1]节奏总纲!AF976</f>
        <v>104.70220161055906</v>
      </c>
      <c r="U976" s="39">
        <f>[1]节奏总纲!AG976</f>
        <v>109.59192144992652</v>
      </c>
      <c r="V976" s="39">
        <f>[1]节奏总纲!AH976</f>
        <v>118.5750581133223</v>
      </c>
    </row>
    <row r="977" spans="17:22" x14ac:dyDescent="0.15">
      <c r="Q977" s="38">
        <v>974</v>
      </c>
      <c r="R977" s="39">
        <f>[1]节奏总纲!AD977</f>
        <v>99.285445720241469</v>
      </c>
      <c r="S977" s="39">
        <f>[1]节奏总纲!AE977</f>
        <v>101.53520901281523</v>
      </c>
      <c r="T977" s="39">
        <f>[1]节奏总纲!AF977</f>
        <v>104.71695706191691</v>
      </c>
      <c r="U977" s="39">
        <f>[1]节奏总纲!AG977</f>
        <v>109.60629425920202</v>
      </c>
      <c r="V977" s="39">
        <f>[1]节奏总纲!AH977</f>
        <v>118.59064654453348</v>
      </c>
    </row>
    <row r="978" spans="17:22" x14ac:dyDescent="0.15">
      <c r="Q978" s="38">
        <v>975</v>
      </c>
      <c r="R978" s="39">
        <f>[1]节奏总纲!AD978</f>
        <v>99.300028460644711</v>
      </c>
      <c r="S978" s="39">
        <f>[1]节奏总纲!AE978</f>
        <v>101.55056600822991</v>
      </c>
      <c r="T978" s="39">
        <f>[1]节奏总纲!AF978</f>
        <v>104.73171251327477</v>
      </c>
      <c r="U978" s="39">
        <f>[1]节奏总纲!AG978</f>
        <v>109.6206670684775</v>
      </c>
      <c r="V978" s="39">
        <f>[1]节奏总纲!AH978</f>
        <v>118.60623497574467</v>
      </c>
    </row>
    <row r="979" spans="17:22" x14ac:dyDescent="0.15">
      <c r="Q979" s="38">
        <v>976</v>
      </c>
      <c r="R979" s="39">
        <f>[1]节奏总纲!AD979</f>
        <v>99.314611201047938</v>
      </c>
      <c r="S979" s="39">
        <f>[1]节奏总纲!AE979</f>
        <v>101.56592300364457</v>
      </c>
      <c r="T979" s="39">
        <f>[1]节奏总纲!AF979</f>
        <v>104.74646796463263</v>
      </c>
      <c r="U979" s="39">
        <f>[1]节奏总纲!AG979</f>
        <v>109.635039877753</v>
      </c>
      <c r="V979" s="39">
        <f>[1]节奏总纲!AH979</f>
        <v>118.62182340695585</v>
      </c>
    </row>
    <row r="980" spans="17:22" x14ac:dyDescent="0.15">
      <c r="Q980" s="38">
        <v>977</v>
      </c>
      <c r="R980" s="39">
        <f>[1]节奏总纲!AD980</f>
        <v>99.32919394145118</v>
      </c>
      <c r="S980" s="39">
        <f>[1]节奏总纲!AE980</f>
        <v>101.58127999905923</v>
      </c>
      <c r="T980" s="39">
        <f>[1]节奏总纲!AF980</f>
        <v>104.76122341599047</v>
      </c>
      <c r="U980" s="39">
        <f>[1]节奏总纲!AG980</f>
        <v>109.64941268702849</v>
      </c>
      <c r="V980" s="39">
        <f>[1]节奏总纲!AH980</f>
        <v>118.63741183816704</v>
      </c>
    </row>
    <row r="981" spans="17:22" x14ac:dyDescent="0.15">
      <c r="Q981" s="38">
        <v>978</v>
      </c>
      <c r="R981" s="39">
        <f>[1]节奏总纲!AD981</f>
        <v>99.343776681854408</v>
      </c>
      <c r="S981" s="39">
        <f>[1]节奏总纲!AE981</f>
        <v>101.5966369944739</v>
      </c>
      <c r="T981" s="39">
        <f>[1]节奏总纲!AF981</f>
        <v>104.77597886734833</v>
      </c>
      <c r="U981" s="39">
        <f>[1]节奏总纲!AG981</f>
        <v>109.66378549630397</v>
      </c>
      <c r="V981" s="39">
        <f>[1]节奏总纲!AH981</f>
        <v>118.65300026937823</v>
      </c>
    </row>
    <row r="982" spans="17:22" x14ac:dyDescent="0.15">
      <c r="Q982" s="38">
        <v>979</v>
      </c>
      <c r="R982" s="39">
        <f>[1]节奏总纲!AD982</f>
        <v>99.358359422257649</v>
      </c>
      <c r="S982" s="39">
        <f>[1]节奏总纲!AE982</f>
        <v>101.61199398988856</v>
      </c>
      <c r="T982" s="39">
        <f>[1]节奏总纲!AF982</f>
        <v>104.79073431870619</v>
      </c>
      <c r="U982" s="39">
        <f>[1]节奏总纲!AG982</f>
        <v>109.67815830557947</v>
      </c>
      <c r="V982" s="39">
        <f>[1]节奏总纲!AH982</f>
        <v>118.66858870058941</v>
      </c>
    </row>
    <row r="983" spans="17:22" x14ac:dyDescent="0.15">
      <c r="Q983" s="38">
        <v>980</v>
      </c>
      <c r="R983" s="39">
        <f>[1]节奏总纲!AD983</f>
        <v>99.372942162660877</v>
      </c>
      <c r="S983" s="39">
        <f>[1]节奏总纲!AE983</f>
        <v>101.62735098530322</v>
      </c>
      <c r="T983" s="39">
        <f>[1]节奏总纲!AF983</f>
        <v>104.80548977006404</v>
      </c>
      <c r="U983" s="39">
        <f>[1]节奏总纲!AG983</f>
        <v>109.69253111485496</v>
      </c>
      <c r="V983" s="39">
        <f>[1]节奏总纲!AH983</f>
        <v>118.6841771318006</v>
      </c>
    </row>
    <row r="984" spans="17:22" x14ac:dyDescent="0.15">
      <c r="Q984" s="38">
        <v>981</v>
      </c>
      <c r="R984" s="39">
        <f>[1]节奏总纲!AD984</f>
        <v>99.387524903064119</v>
      </c>
      <c r="S984" s="39">
        <f>[1]节奏总纲!AE984</f>
        <v>101.64270798071789</v>
      </c>
      <c r="T984" s="39">
        <f>[1]节奏总纲!AF984</f>
        <v>104.8202452214219</v>
      </c>
      <c r="U984" s="39">
        <f>[1]节奏总纲!AG984</f>
        <v>109.70690392413046</v>
      </c>
      <c r="V984" s="39">
        <f>[1]节奏总纲!AH984</f>
        <v>118.69976556301178</v>
      </c>
    </row>
    <row r="985" spans="17:22" x14ac:dyDescent="0.15">
      <c r="Q985" s="38">
        <v>982</v>
      </c>
      <c r="R985" s="39">
        <f>[1]节奏总纲!AD985</f>
        <v>99.402107643467346</v>
      </c>
      <c r="S985" s="39">
        <f>[1]节奏总纲!AE985</f>
        <v>101.65806497613255</v>
      </c>
      <c r="T985" s="39">
        <f>[1]节奏总纲!AF985</f>
        <v>104.83500067277974</v>
      </c>
      <c r="U985" s="39">
        <f>[1]节奏总纲!AG985</f>
        <v>109.72127673340594</v>
      </c>
      <c r="V985" s="39">
        <f>[1]节奏总纲!AH985</f>
        <v>118.71535399422297</v>
      </c>
    </row>
    <row r="986" spans="17:22" x14ac:dyDescent="0.15">
      <c r="Q986" s="38">
        <v>983</v>
      </c>
      <c r="R986" s="39">
        <f>[1]节奏总纲!AD986</f>
        <v>99.416690383870588</v>
      </c>
      <c r="S986" s="39">
        <f>[1]节奏总纲!AE986</f>
        <v>101.67342197154721</v>
      </c>
      <c r="T986" s="39">
        <f>[1]节奏总纲!AF986</f>
        <v>104.8497561241376</v>
      </c>
      <c r="U986" s="39">
        <f>[1]节奏总纲!AG986</f>
        <v>109.73564954268144</v>
      </c>
      <c r="V986" s="39">
        <f>[1]节奏总纲!AH986</f>
        <v>118.73094242543415</v>
      </c>
    </row>
    <row r="987" spans="17:22" x14ac:dyDescent="0.15">
      <c r="Q987" s="38">
        <v>984</v>
      </c>
      <c r="R987" s="39">
        <f>[1]节奏总纲!AD987</f>
        <v>99.431273124273829</v>
      </c>
      <c r="S987" s="39">
        <f>[1]节奏总纲!AE987</f>
        <v>101.68877896696189</v>
      </c>
      <c r="T987" s="39">
        <f>[1]节奏总纲!AF987</f>
        <v>104.86451157549546</v>
      </c>
      <c r="U987" s="39">
        <f>[1]节奏总纲!AG987</f>
        <v>109.75002235195693</v>
      </c>
      <c r="V987" s="39">
        <f>[1]节奏总纲!AH987</f>
        <v>118.74653085664534</v>
      </c>
    </row>
    <row r="988" spans="17:22" x14ac:dyDescent="0.15">
      <c r="Q988" s="38">
        <v>985</v>
      </c>
      <c r="R988" s="39">
        <f>[1]节奏总纲!AD988</f>
        <v>99.445855864677057</v>
      </c>
      <c r="S988" s="39">
        <f>[1]节奏总纲!AE988</f>
        <v>101.70413596237655</v>
      </c>
      <c r="T988" s="39">
        <f>[1]节奏总纲!AF988</f>
        <v>104.87926702685331</v>
      </c>
      <c r="U988" s="39">
        <f>[1]节奏总纲!AG988</f>
        <v>109.76439516123243</v>
      </c>
      <c r="V988" s="39">
        <f>[1]节奏总纲!AH988</f>
        <v>118.76211928785654</v>
      </c>
    </row>
    <row r="989" spans="17:22" x14ac:dyDescent="0.15">
      <c r="Q989" s="38">
        <v>986</v>
      </c>
      <c r="R989" s="39">
        <f>[1]节奏总纲!AD989</f>
        <v>99.460438605080299</v>
      </c>
      <c r="S989" s="39">
        <f>[1]节奏总纲!AE989</f>
        <v>101.71949295779122</v>
      </c>
      <c r="T989" s="39">
        <f>[1]节奏总纲!AF989</f>
        <v>104.89402247821116</v>
      </c>
      <c r="U989" s="39">
        <f>[1]节奏总纲!AG989</f>
        <v>109.77876797050791</v>
      </c>
      <c r="V989" s="39">
        <f>[1]节奏总纲!AH989</f>
        <v>118.77770771906772</v>
      </c>
    </row>
    <row r="990" spans="17:22" x14ac:dyDescent="0.15">
      <c r="Q990" s="38">
        <v>987</v>
      </c>
      <c r="R990" s="39">
        <f>[1]节奏总纲!AD990</f>
        <v>99.475021345483526</v>
      </c>
      <c r="S990" s="39">
        <f>[1]节奏总纲!AE990</f>
        <v>101.73484995320588</v>
      </c>
      <c r="T990" s="39">
        <f>[1]节奏总纲!AF990</f>
        <v>104.90877792956901</v>
      </c>
      <c r="U990" s="39">
        <f>[1]节奏总纲!AG990</f>
        <v>109.79314077978341</v>
      </c>
      <c r="V990" s="39">
        <f>[1]节奏总纲!AH990</f>
        <v>118.79329615027891</v>
      </c>
    </row>
    <row r="991" spans="17:22" x14ac:dyDescent="0.15">
      <c r="Q991" s="38">
        <v>988</v>
      </c>
      <c r="R991" s="39">
        <f>[1]节奏总纲!AD991</f>
        <v>99.489604085886768</v>
      </c>
      <c r="S991" s="39">
        <f>[1]节奏总纲!AE991</f>
        <v>101.75020694862054</v>
      </c>
      <c r="T991" s="39">
        <f>[1]节奏总纲!AF991</f>
        <v>104.92353338092687</v>
      </c>
      <c r="U991" s="39">
        <f>[1]节奏总纲!AG991</f>
        <v>109.8075135890589</v>
      </c>
      <c r="V991" s="39">
        <f>[1]节奏总纲!AH991</f>
        <v>118.80888458149009</v>
      </c>
    </row>
    <row r="992" spans="17:22" x14ac:dyDescent="0.15">
      <c r="Q992" s="38">
        <v>989</v>
      </c>
      <c r="R992" s="39">
        <f>[1]节奏总纲!AD992</f>
        <v>99.504186826289995</v>
      </c>
      <c r="S992" s="39">
        <f>[1]节奏总纲!AE992</f>
        <v>101.76556394403521</v>
      </c>
      <c r="T992" s="39">
        <f>[1]节奏总纲!AF992</f>
        <v>104.93828883228473</v>
      </c>
      <c r="U992" s="39">
        <f>[1]节奏总纲!AG992</f>
        <v>109.82188639833439</v>
      </c>
      <c r="V992" s="39">
        <f>[1]节奏总纲!AH992</f>
        <v>118.82447301270128</v>
      </c>
    </row>
    <row r="993" spans="17:22" x14ac:dyDescent="0.15">
      <c r="Q993" s="38">
        <v>990</v>
      </c>
      <c r="R993" s="39">
        <f>[1]节奏总纲!AD993</f>
        <v>99.518769566693237</v>
      </c>
      <c r="S993" s="39">
        <f>[1]节奏总纲!AE993</f>
        <v>101.78092093944987</v>
      </c>
      <c r="T993" s="39">
        <f>[1]节奏总纲!AF993</f>
        <v>104.95304428364258</v>
      </c>
      <c r="U993" s="39">
        <f>[1]节奏总纲!AG993</f>
        <v>109.83625920760988</v>
      </c>
      <c r="V993" s="39">
        <f>[1]节奏总纲!AH993</f>
        <v>118.84006144391246</v>
      </c>
    </row>
    <row r="994" spans="17:22" x14ac:dyDescent="0.15">
      <c r="Q994" s="38">
        <v>991</v>
      </c>
      <c r="R994" s="39">
        <f>[1]节奏总纲!AD994</f>
        <v>99.533352307096465</v>
      </c>
      <c r="S994" s="39">
        <f>[1]节奏总纲!AE994</f>
        <v>101.79627793486453</v>
      </c>
      <c r="T994" s="39">
        <f>[1]节奏总纲!AF994</f>
        <v>104.96779973500043</v>
      </c>
      <c r="U994" s="39">
        <f>[1]节奏总纲!AG994</f>
        <v>109.85063201688537</v>
      </c>
      <c r="V994" s="39">
        <f>[1]节奏总纲!AH994</f>
        <v>118.85564987512365</v>
      </c>
    </row>
    <row r="995" spans="17:22" x14ac:dyDescent="0.15">
      <c r="Q995" s="38">
        <v>992</v>
      </c>
      <c r="R995" s="39">
        <f>[1]节奏总纲!AD995</f>
        <v>99.547935047499706</v>
      </c>
      <c r="S995" s="39">
        <f>[1]节奏总纲!AE995</f>
        <v>101.8116349302792</v>
      </c>
      <c r="T995" s="39">
        <f>[1]节奏总纲!AF995</f>
        <v>104.98255518635828</v>
      </c>
      <c r="U995" s="39">
        <f>[1]节奏总纲!AG995</f>
        <v>109.86500482616087</v>
      </c>
      <c r="V995" s="39">
        <f>[1]节奏总纲!AH995</f>
        <v>118.87123830633483</v>
      </c>
    </row>
    <row r="996" spans="17:22" x14ac:dyDescent="0.15">
      <c r="Q996" s="38">
        <v>993</v>
      </c>
      <c r="R996" s="39">
        <f>[1]节奏总纲!AD996</f>
        <v>99.562517787902934</v>
      </c>
      <c r="S996" s="39">
        <f>[1]节奏总纲!AE996</f>
        <v>101.82699192569387</v>
      </c>
      <c r="T996" s="39">
        <f>[1]节奏总纲!AF996</f>
        <v>104.99731063771614</v>
      </c>
      <c r="U996" s="39">
        <f>[1]节奏总纲!AG996</f>
        <v>109.87937763543636</v>
      </c>
      <c r="V996" s="39">
        <f>[1]节奏总纲!AH996</f>
        <v>118.88682673754602</v>
      </c>
    </row>
    <row r="997" spans="17:22" x14ac:dyDescent="0.15">
      <c r="Q997" s="38">
        <v>994</v>
      </c>
      <c r="R997" s="39">
        <f>[1]节奏总纲!AD997</f>
        <v>99.577100528306175</v>
      </c>
      <c r="S997" s="39">
        <f>[1]节奏总纲!AE997</f>
        <v>101.84234892110854</v>
      </c>
      <c r="T997" s="39">
        <f>[1]节奏总纲!AF997</f>
        <v>105.01143873132816</v>
      </c>
      <c r="U997" s="39">
        <f>[1]节奏总纲!AG997</f>
        <v>109.89375044471186</v>
      </c>
      <c r="V997" s="39">
        <f>[1]节奏总纲!AH997</f>
        <v>118.9024151687572</v>
      </c>
    </row>
    <row r="998" spans="17:22" x14ac:dyDescent="0.15">
      <c r="Q998" s="38">
        <v>995</v>
      </c>
      <c r="R998" s="39">
        <f>[1]节奏总纲!AD998</f>
        <v>99.591683268709417</v>
      </c>
      <c r="S998" s="39">
        <f>[1]节奏总纲!AE998</f>
        <v>101.8577059165232</v>
      </c>
      <c r="T998" s="39">
        <f>[1]节奏总纲!AF998</f>
        <v>105.02542699568401</v>
      </c>
      <c r="U998" s="39">
        <f>[1]节奏总纲!AG998</f>
        <v>109.90812325398734</v>
      </c>
      <c r="V998" s="39">
        <f>[1]节奏总纲!AH998</f>
        <v>118.91800359996839</v>
      </c>
    </row>
    <row r="999" spans="17:22" x14ac:dyDescent="0.15">
      <c r="Q999" s="38">
        <v>996</v>
      </c>
      <c r="R999" s="39">
        <f>[1]节奏总纲!AD999</f>
        <v>99.606266009112645</v>
      </c>
      <c r="S999" s="39">
        <f>[1]节奏总纲!AE999</f>
        <v>101.87306291193786</v>
      </c>
      <c r="T999" s="39">
        <f>[1]节奏总纲!AF999</f>
        <v>105.03941526003986</v>
      </c>
      <c r="U999" s="39">
        <f>[1]节奏总纲!AG999</f>
        <v>109.92249606326284</v>
      </c>
      <c r="V999" s="39">
        <f>[1]节奏总纲!AH999</f>
        <v>118.93359203117957</v>
      </c>
    </row>
    <row r="1000" spans="17:22" x14ac:dyDescent="0.15">
      <c r="Q1000" s="38">
        <v>997</v>
      </c>
      <c r="R1000" s="39">
        <f>[1]节奏总纲!AD1000</f>
        <v>99.620848749515886</v>
      </c>
      <c r="S1000" s="39">
        <f>[1]节奏总纲!AE1000</f>
        <v>101.88841990735253</v>
      </c>
      <c r="T1000" s="39">
        <f>[1]节奏总纲!AF1000</f>
        <v>105.05340352439572</v>
      </c>
      <c r="U1000" s="39">
        <f>[1]节奏总纲!AG1000</f>
        <v>109.93686887253833</v>
      </c>
      <c r="V1000" s="39">
        <f>[1]节奏总纲!AH1000</f>
        <v>118.94918046239076</v>
      </c>
    </row>
    <row r="1001" spans="17:22" x14ac:dyDescent="0.15">
      <c r="Q1001" s="38">
        <v>998</v>
      </c>
      <c r="R1001" s="39">
        <f>[1]节奏总纲!AD1001</f>
        <v>99.635431489919114</v>
      </c>
      <c r="S1001" s="39">
        <f>[1]节奏总纲!AE1001</f>
        <v>101.90377690276719</v>
      </c>
      <c r="T1001" s="39">
        <f>[1]节奏总纲!AF1001</f>
        <v>105.06739178875156</v>
      </c>
      <c r="U1001" s="39">
        <f>[1]节奏总纲!AG1001</f>
        <v>109.95124168181383</v>
      </c>
      <c r="V1001" s="39">
        <f>[1]节奏总纲!AH1001</f>
        <v>118.96476889360194</v>
      </c>
    </row>
    <row r="1002" spans="17:22" x14ac:dyDescent="0.15">
      <c r="Q1002" s="38">
        <v>999</v>
      </c>
      <c r="R1002" s="39">
        <f>[1]节奏总纲!AD1002</f>
        <v>99.650014230322356</v>
      </c>
      <c r="S1002" s="39">
        <f>[1]节奏总纲!AE1002</f>
        <v>101.91913389818185</v>
      </c>
      <c r="T1002" s="39">
        <f>[1]节奏总纲!AF1002</f>
        <v>105.08138005310741</v>
      </c>
      <c r="U1002" s="39">
        <f>[1]节奏总纲!AG1002</f>
        <v>109.96561449108931</v>
      </c>
      <c r="V1002" s="39">
        <f>[1]节奏总纲!AH1002</f>
        <v>118.98035732481313</v>
      </c>
    </row>
    <row r="1003" spans="17:22" x14ac:dyDescent="0.15">
      <c r="Q1003" s="38">
        <v>1000</v>
      </c>
      <c r="R1003" s="39">
        <f>[1]节奏总纲!AD1003</f>
        <v>99.664596970725583</v>
      </c>
      <c r="S1003" s="39">
        <f>[1]节奏总纲!AE1003</f>
        <v>101.93449089359652</v>
      </c>
      <c r="T1003" s="39">
        <f>[1]节奏总纲!AF1003</f>
        <v>105.09536831746327</v>
      </c>
      <c r="U1003" s="39">
        <f>[1]节奏总纲!AG1003</f>
        <v>109.9799873003648</v>
      </c>
      <c r="V1003" s="39">
        <f>[1]节奏总纲!AH1003</f>
        <v>118.99594575602431</v>
      </c>
    </row>
    <row r="1004" spans="17:22" x14ac:dyDescent="0.15">
      <c r="Q1004" s="38">
        <v>1001</v>
      </c>
      <c r="R1004" s="39">
        <f>[1]节奏总纲!AD1004</f>
        <v>99.679179711128825</v>
      </c>
      <c r="S1004" s="39">
        <f>[1]节奏总纲!AE1004</f>
        <v>101.94984788901118</v>
      </c>
      <c r="T1004" s="39">
        <f>[1]节奏总纲!AF1004</f>
        <v>105.10935658181911</v>
      </c>
      <c r="U1004" s="39">
        <f>[1]节奏总纲!AG1004</f>
        <v>109.9943601096403</v>
      </c>
      <c r="V1004" s="39">
        <f>[1]节奏总纲!AH1004</f>
        <v>119.01092682040374</v>
      </c>
    </row>
    <row r="1005" spans="17:22" x14ac:dyDescent="0.15">
      <c r="Q1005" s="38">
        <v>1002</v>
      </c>
      <c r="R1005" s="39">
        <f>[1]节奏总纲!AD1005</f>
        <v>99.693762451532052</v>
      </c>
      <c r="S1005" s="39">
        <f>[1]节奏总纲!AE1005</f>
        <v>101.96520488442586</v>
      </c>
      <c r="T1005" s="39">
        <f>[1]节奏总纲!AF1005</f>
        <v>105.12334484617497</v>
      </c>
      <c r="U1005" s="39">
        <f>[1]节奏总纲!AG1005</f>
        <v>110.00807984100364</v>
      </c>
      <c r="V1005" s="39">
        <f>[1]节奏总纲!AH1005</f>
        <v>119.0256943965444</v>
      </c>
    </row>
    <row r="1006" spans="17:22" x14ac:dyDescent="0.15">
      <c r="Q1006" s="38">
        <v>1003</v>
      </c>
      <c r="R1006" s="39">
        <f>[1]节奏总纲!AD1006</f>
        <v>99.708345191935294</v>
      </c>
      <c r="S1006" s="39">
        <f>[1]节奏总纲!AE1006</f>
        <v>101.98056187984052</v>
      </c>
      <c r="T1006" s="39">
        <f>[1]节奏总纲!AF1006</f>
        <v>105.13733311053082</v>
      </c>
      <c r="U1006" s="39">
        <f>[1]节奏总纲!AG1006</f>
        <v>110.02137780183911</v>
      </c>
      <c r="V1006" s="39">
        <f>[1]节奏总纲!AH1006</f>
        <v>119.04046197268504</v>
      </c>
    </row>
    <row r="1007" spans="17:22" x14ac:dyDescent="0.15">
      <c r="Q1007" s="38">
        <v>1004</v>
      </c>
      <c r="R1007" s="39">
        <f>[1]节奏总纲!AD1007</f>
        <v>99.722927932338536</v>
      </c>
      <c r="S1007" s="39">
        <f>[1]节奏总纲!AE1007</f>
        <v>101.99591887525519</v>
      </c>
      <c r="T1007" s="39">
        <f>[1]节奏总纲!AF1007</f>
        <v>105.15132137488666</v>
      </c>
      <c r="U1007" s="39">
        <f>[1]节奏总纲!AG1007</f>
        <v>110.03467576267457</v>
      </c>
      <c r="V1007" s="39">
        <f>[1]节奏总纲!AH1007</f>
        <v>119.05522954882569</v>
      </c>
    </row>
    <row r="1008" spans="17:22" x14ac:dyDescent="0.15">
      <c r="Q1008" s="38">
        <v>1005</v>
      </c>
      <c r="R1008" s="39">
        <f>[1]节奏总纲!AD1008</f>
        <v>99.737510672741763</v>
      </c>
      <c r="S1008" s="39">
        <f>[1]节奏总纲!AE1008</f>
        <v>102.01062318030777</v>
      </c>
      <c r="T1008" s="39">
        <f>[1]节奏总纲!AF1008</f>
        <v>105.16530963924252</v>
      </c>
      <c r="U1008" s="39">
        <f>[1]节奏总纲!AG1008</f>
        <v>110.04797372351004</v>
      </c>
      <c r="V1008" s="39">
        <f>[1]节奏总纲!AH1008</f>
        <v>119.06999712496635</v>
      </c>
    </row>
    <row r="1009" spans="17:22" x14ac:dyDescent="0.15">
      <c r="Q1009" s="38">
        <v>1006</v>
      </c>
      <c r="R1009" s="39">
        <f>[1]节奏总纲!AD1009</f>
        <v>99.752093413145005</v>
      </c>
      <c r="S1009" s="39">
        <f>[1]节奏总纲!AE1009</f>
        <v>102.02509125430865</v>
      </c>
      <c r="T1009" s="39">
        <f>[1]节奏总纲!AF1009</f>
        <v>105.17929790359837</v>
      </c>
      <c r="U1009" s="39">
        <f>[1]节奏总纲!AG1009</f>
        <v>110.06127168434551</v>
      </c>
      <c r="V1009" s="39">
        <f>[1]节奏总纲!AH1009</f>
        <v>119.08476470110699</v>
      </c>
    </row>
    <row r="1010" spans="17:22" x14ac:dyDescent="0.15">
      <c r="Q1010" s="38">
        <v>1007</v>
      </c>
      <c r="R1010" s="39">
        <f>[1]节奏总纲!AD1010</f>
        <v>99.766676153548232</v>
      </c>
      <c r="S1010" s="39">
        <f>[1]节奏总纲!AE1010</f>
        <v>102.03955932830954</v>
      </c>
      <c r="T1010" s="39">
        <f>[1]节奏总纲!AF1010</f>
        <v>105.19328616795423</v>
      </c>
      <c r="U1010" s="39">
        <f>[1]节奏总纲!AG1010</f>
        <v>110.07456964518099</v>
      </c>
      <c r="V1010" s="39">
        <f>[1]节奏总纲!AH1010</f>
        <v>119.09953227724765</v>
      </c>
    </row>
    <row r="1011" spans="17:22" x14ac:dyDescent="0.15">
      <c r="Q1011" s="38">
        <v>1008</v>
      </c>
      <c r="R1011" s="39">
        <f>[1]节奏总纲!AD1011</f>
        <v>99.781258893951474</v>
      </c>
      <c r="S1011" s="39">
        <f>[1]节奏总纲!AE1011</f>
        <v>102.05402740231041</v>
      </c>
      <c r="T1011" s="39">
        <f>[1]节奏总纲!AF1011</f>
        <v>105.20727443231007</v>
      </c>
      <c r="U1011" s="39">
        <f>[1]节奏总纲!AG1011</f>
        <v>110.08786760601646</v>
      </c>
      <c r="V1011" s="39">
        <f>[1]节奏总纲!AH1011</f>
        <v>119.1142998533883</v>
      </c>
    </row>
    <row r="1012" spans="17:22" x14ac:dyDescent="0.15">
      <c r="Q1012" s="38">
        <v>1009</v>
      </c>
      <c r="R1012" s="39">
        <f>[1]节奏总纲!AD1012</f>
        <v>99.795841634354701</v>
      </c>
      <c r="S1012" s="39">
        <f>[1]节奏总纲!AE1012</f>
        <v>102.06849547631128</v>
      </c>
      <c r="T1012" s="39">
        <f>[1]节奏总纲!AF1012</f>
        <v>105.22126269666592</v>
      </c>
      <c r="U1012" s="39">
        <f>[1]节奏总纲!AG1012</f>
        <v>110.10116556685192</v>
      </c>
      <c r="V1012" s="39">
        <f>[1]节奏总纲!AH1012</f>
        <v>119.12906742952894</v>
      </c>
    </row>
    <row r="1013" spans="17:22" x14ac:dyDescent="0.15">
      <c r="Q1013" s="38">
        <v>1010</v>
      </c>
      <c r="R1013" s="39">
        <f>[1]节奏总纲!AD1013</f>
        <v>99.810424374757943</v>
      </c>
      <c r="S1013" s="39">
        <f>[1]节奏总纲!AE1013</f>
        <v>102.08296355031217</v>
      </c>
      <c r="T1013" s="39">
        <f>[1]节奏总纲!AF1013</f>
        <v>105.23525096102178</v>
      </c>
      <c r="U1013" s="39">
        <f>[1]节奏总纲!AG1013</f>
        <v>110.11446352768739</v>
      </c>
      <c r="V1013" s="39">
        <f>[1]节奏总纲!AH1013</f>
        <v>119.1438350056696</v>
      </c>
    </row>
    <row r="1014" spans="17:22" x14ac:dyDescent="0.15">
      <c r="Q1014" s="38">
        <v>1011</v>
      </c>
      <c r="R1014" s="39">
        <f>[1]节奏总纲!AD1014</f>
        <v>99.825007115161171</v>
      </c>
      <c r="S1014" s="39">
        <f>[1]节奏总纲!AE1014</f>
        <v>102.09743162431305</v>
      </c>
      <c r="T1014" s="39">
        <f>[1]节奏总纲!AF1014</f>
        <v>105.24923922537762</v>
      </c>
      <c r="U1014" s="39">
        <f>[1]节奏总纲!AG1014</f>
        <v>110.12776148852286</v>
      </c>
      <c r="V1014" s="39">
        <f>[1]节奏总纲!AH1014</f>
        <v>119.15860258181026</v>
      </c>
    </row>
    <row r="1015" spans="17:22" x14ac:dyDescent="0.15">
      <c r="Q1015" s="38">
        <v>1012</v>
      </c>
      <c r="R1015" s="39">
        <f>[1]节奏总纲!AD1015</f>
        <v>99.839589855564412</v>
      </c>
      <c r="S1015" s="39">
        <f>[1]节奏总纲!AE1015</f>
        <v>102.11189969831392</v>
      </c>
      <c r="T1015" s="39">
        <f>[1]节奏总纲!AF1015</f>
        <v>105.26322748973348</v>
      </c>
      <c r="U1015" s="39">
        <f>[1]节奏总纲!AG1015</f>
        <v>110.14105944935834</v>
      </c>
      <c r="V1015" s="39">
        <f>[1]节奏总纲!AH1015</f>
        <v>119.1733701579509</v>
      </c>
    </row>
    <row r="1016" spans="17:22" x14ac:dyDescent="0.15">
      <c r="Q1016" s="38">
        <v>1013</v>
      </c>
      <c r="R1016" s="39">
        <f>[1]节奏总纲!AD1016</f>
        <v>99.85417259596764</v>
      </c>
      <c r="S1016" s="39">
        <f>[1]节奏总纲!AE1016</f>
        <v>102.12636777231481</v>
      </c>
      <c r="T1016" s="39">
        <f>[1]节奏总纲!AF1016</f>
        <v>105.27721575408933</v>
      </c>
      <c r="U1016" s="39">
        <f>[1]节奏总纲!AG1016</f>
        <v>110.15435741019381</v>
      </c>
      <c r="V1016" s="39">
        <f>[1]节奏总纲!AH1016</f>
        <v>119.18813773409155</v>
      </c>
    </row>
    <row r="1017" spans="17:22" x14ac:dyDescent="0.15">
      <c r="Q1017" s="38">
        <v>1014</v>
      </c>
      <c r="R1017" s="39">
        <f>[1]节奏总纲!AD1017</f>
        <v>99.868755336370882</v>
      </c>
      <c r="S1017" s="39">
        <f>[1]节奏总纲!AE1017</f>
        <v>102.14083584631568</v>
      </c>
      <c r="T1017" s="39">
        <f>[1]节奏总纲!AF1017</f>
        <v>105.29120401844517</v>
      </c>
      <c r="U1017" s="39">
        <f>[1]节奏总纲!AG1017</f>
        <v>110.16765537102927</v>
      </c>
      <c r="V1017" s="39">
        <f>[1]节奏总纲!AH1017</f>
        <v>119.20290531023221</v>
      </c>
    </row>
    <row r="1018" spans="17:22" x14ac:dyDescent="0.15">
      <c r="Q1018" s="38">
        <v>1015</v>
      </c>
      <c r="R1018" s="39">
        <f>[1]节奏总纲!AD1018</f>
        <v>99.883338076774123</v>
      </c>
      <c r="S1018" s="39">
        <f>[1]节奏总纲!AE1018</f>
        <v>102.15530392031656</v>
      </c>
      <c r="T1018" s="39">
        <f>[1]节奏总纲!AF1018</f>
        <v>105.30519228280103</v>
      </c>
      <c r="U1018" s="39">
        <f>[1]节奏总纲!AG1018</f>
        <v>110.18095333186474</v>
      </c>
      <c r="V1018" s="39">
        <f>[1]节奏总纲!AH1018</f>
        <v>119.21767288637285</v>
      </c>
    </row>
    <row r="1019" spans="17:22" x14ac:dyDescent="0.15">
      <c r="Q1019" s="38">
        <v>1016</v>
      </c>
      <c r="R1019" s="39">
        <f>[1]节奏总纲!AD1019</f>
        <v>99.897920817177351</v>
      </c>
      <c r="S1019" s="39">
        <f>[1]节奏总纲!AE1019</f>
        <v>102.16977199431744</v>
      </c>
      <c r="T1019" s="39">
        <f>[1]节奏总纲!AF1019</f>
        <v>105.31918054715688</v>
      </c>
      <c r="U1019" s="39">
        <f>[1]节奏总纲!AG1019</f>
        <v>110.19425129270022</v>
      </c>
      <c r="V1019" s="39">
        <f>[1]节奏总纲!AH1019</f>
        <v>119.23244046251351</v>
      </c>
    </row>
    <row r="1020" spans="17:22" x14ac:dyDescent="0.15">
      <c r="Q1020" s="38">
        <v>1017</v>
      </c>
      <c r="R1020" s="39">
        <f>[1]节奏总纲!AD1020</f>
        <v>99.912503557580592</v>
      </c>
      <c r="S1020" s="39">
        <f>[1]节奏总纲!AE1020</f>
        <v>102.18424006831832</v>
      </c>
      <c r="T1020" s="39">
        <f>[1]节奏总纲!AF1020</f>
        <v>105.33316881151273</v>
      </c>
      <c r="U1020" s="39">
        <f>[1]节奏总纲!AG1020</f>
        <v>110.20754925353569</v>
      </c>
      <c r="V1020" s="39">
        <f>[1]节奏总纲!AH1020</f>
        <v>119.24720803865416</v>
      </c>
    </row>
    <row r="1021" spans="17:22" x14ac:dyDescent="0.15">
      <c r="Q1021" s="38">
        <v>1018</v>
      </c>
      <c r="R1021" s="39">
        <f>[1]节奏总纲!AD1021</f>
        <v>99.92708629798382</v>
      </c>
      <c r="S1021" s="39">
        <f>[1]节奏总纲!AE1021</f>
        <v>102.19870814231919</v>
      </c>
      <c r="T1021" s="39">
        <f>[1]节奏总纲!AF1021</f>
        <v>105.34715707586858</v>
      </c>
      <c r="U1021" s="39">
        <f>[1]节奏总纲!AG1021</f>
        <v>110.22084721437116</v>
      </c>
      <c r="V1021" s="39">
        <f>[1]节奏总纲!AH1021</f>
        <v>119.26197561479481</v>
      </c>
    </row>
    <row r="1022" spans="17:22" x14ac:dyDescent="0.15">
      <c r="Q1022" s="38">
        <v>1019</v>
      </c>
      <c r="R1022" s="39">
        <f>[1]节奏总纲!AD1022</f>
        <v>99.941669038387062</v>
      </c>
      <c r="S1022" s="39">
        <f>[1]节奏总纲!AE1022</f>
        <v>102.21317621632006</v>
      </c>
      <c r="T1022" s="39">
        <f>[1]节奏总纲!AF1022</f>
        <v>105.36114534022443</v>
      </c>
      <c r="U1022" s="39">
        <f>[1]节奏总纲!AG1022</f>
        <v>110.23414517520662</v>
      </c>
      <c r="V1022" s="39">
        <f>[1]节奏总纲!AH1022</f>
        <v>119.27674319093546</v>
      </c>
    </row>
    <row r="1023" spans="17:22" x14ac:dyDescent="0.15">
      <c r="Q1023" s="38">
        <v>1020</v>
      </c>
      <c r="R1023" s="39">
        <f>[1]节奏总纲!AD1023</f>
        <v>99.956251778790289</v>
      </c>
      <c r="S1023" s="39">
        <f>[1]节奏总纲!AE1023</f>
        <v>102.22764429032095</v>
      </c>
      <c r="T1023" s="39">
        <f>[1]节奏总纲!AF1023</f>
        <v>105.37513360458028</v>
      </c>
      <c r="U1023" s="39">
        <f>[1]节奏总纲!AG1023</f>
        <v>110.24744313604209</v>
      </c>
      <c r="V1023" s="39">
        <f>[1]节奏总纲!AH1023</f>
        <v>119.29151076707612</v>
      </c>
    </row>
    <row r="1024" spans="17:22" x14ac:dyDescent="0.15">
      <c r="Q1024" s="38">
        <v>1021</v>
      </c>
      <c r="R1024" s="39">
        <f>[1]节奏总纲!AD1024</f>
        <v>99.970834519193531</v>
      </c>
      <c r="S1024" s="39">
        <f>[1]节奏总纲!AE1024</f>
        <v>102.24211236432183</v>
      </c>
      <c r="T1024" s="39">
        <f>[1]节奏总纲!AF1024</f>
        <v>105.38912186893613</v>
      </c>
      <c r="U1024" s="39">
        <f>[1]节奏总纲!AG1024</f>
        <v>110.26074109687757</v>
      </c>
      <c r="V1024" s="39">
        <f>[1]节奏总纲!AH1024</f>
        <v>119.30627834321676</v>
      </c>
    </row>
    <row r="1025" spans="17:22" x14ac:dyDescent="0.15">
      <c r="Q1025" s="38">
        <v>1022</v>
      </c>
      <c r="R1025" s="39">
        <f>[1]节奏总纲!AD1025</f>
        <v>99.985417259596758</v>
      </c>
      <c r="S1025" s="39">
        <f>[1]节奏总纲!AE1025</f>
        <v>102.2565804383227</v>
      </c>
      <c r="T1025" s="39">
        <f>[1]节奏总纲!AF1025</f>
        <v>105.40311013329199</v>
      </c>
      <c r="U1025" s="39">
        <f>[1]节奏总纲!AG1025</f>
        <v>110.27403905771304</v>
      </c>
      <c r="V1025" s="39">
        <f>[1]节奏总纲!AH1025</f>
        <v>119.32104591935742</v>
      </c>
    </row>
    <row r="1026" spans="17:22" x14ac:dyDescent="0.15">
      <c r="Q1026" s="38">
        <v>1023</v>
      </c>
      <c r="R1026" s="39">
        <f>[1]节奏总纲!AD1026</f>
        <v>100</v>
      </c>
      <c r="S1026" s="39">
        <f>[1]节奏总纲!AE1026</f>
        <v>102.27104851232359</v>
      </c>
      <c r="T1026" s="39">
        <f>[1]节奏总纲!AF1026</f>
        <v>105.41709839764783</v>
      </c>
      <c r="U1026" s="39">
        <f>[1]节奏总纲!AG1026</f>
        <v>110.28733701854851</v>
      </c>
      <c r="V1026" s="39">
        <f>[1]节奏总纲!AH1026</f>
        <v>119.33581349549807</v>
      </c>
    </row>
    <row r="1027" spans="17:22" x14ac:dyDescent="0.15">
      <c r="Q1027" s="38">
        <v>1024</v>
      </c>
      <c r="R1027" s="39">
        <f>[1]节奏总纲!AD1027</f>
        <v>100.01360617790324</v>
      </c>
      <c r="S1027" s="39">
        <f>[1]节奏总纲!AE1027</f>
        <v>102.28551658632446</v>
      </c>
      <c r="T1027" s="39">
        <f>[1]节奏总纲!AF1027</f>
        <v>105.43108666200368</v>
      </c>
      <c r="U1027" s="39">
        <f>[1]节奏总纲!AG1027</f>
        <v>110.30063497938397</v>
      </c>
      <c r="V1027" s="39">
        <f>[1]节奏总纲!AH1027</f>
        <v>119.35058107163871</v>
      </c>
    </row>
    <row r="1028" spans="17:22" x14ac:dyDescent="0.15">
      <c r="Q1028" s="38">
        <v>1025</v>
      </c>
      <c r="R1028" s="39">
        <f>[1]节奏总纲!AD1028</f>
        <v>100.02721235580647</v>
      </c>
      <c r="S1028" s="39">
        <f>[1]节奏总纲!AE1028</f>
        <v>102.29998466032534</v>
      </c>
      <c r="T1028" s="39">
        <f>[1]节奏总纲!AF1028</f>
        <v>105.44507492635954</v>
      </c>
      <c r="U1028" s="39">
        <f>[1]节奏总纲!AG1028</f>
        <v>110.31393294021944</v>
      </c>
      <c r="V1028" s="39">
        <f>[1]节奏总纲!AH1028</f>
        <v>119.36534864777937</v>
      </c>
    </row>
    <row r="1029" spans="17:22" x14ac:dyDescent="0.15">
      <c r="Q1029" s="38">
        <v>1026</v>
      </c>
      <c r="R1029" s="39">
        <f>[1]节奏总纲!AD1029</f>
        <v>100.04081853370971</v>
      </c>
      <c r="S1029" s="39">
        <f>[1]节奏总纲!AE1029</f>
        <v>102.31445273432622</v>
      </c>
      <c r="T1029" s="39">
        <f>[1]节奏总纲!AF1029</f>
        <v>105.45906319071538</v>
      </c>
      <c r="U1029" s="39">
        <f>[1]节奏总纲!AG1029</f>
        <v>110.32723090105492</v>
      </c>
      <c r="V1029" s="39">
        <f>[1]节奏总纲!AH1029</f>
        <v>119.38011622392003</v>
      </c>
    </row>
    <row r="1030" spans="17:22" x14ac:dyDescent="0.15">
      <c r="Q1030" s="38">
        <v>1027</v>
      </c>
      <c r="R1030" s="39">
        <f>[1]节奏总纲!AD1030</f>
        <v>100.05442471161294</v>
      </c>
      <c r="S1030" s="39">
        <f>[1]节奏总纲!AE1030</f>
        <v>102.3289208083271</v>
      </c>
      <c r="T1030" s="39">
        <f>[1]节奏总纲!AF1030</f>
        <v>105.47305145507124</v>
      </c>
      <c r="U1030" s="39">
        <f>[1]节奏总纲!AG1030</f>
        <v>110.34052886189039</v>
      </c>
      <c r="V1030" s="39">
        <f>[1]节奏总纲!AH1030</f>
        <v>119.39488380006067</v>
      </c>
    </row>
    <row r="1031" spans="17:22" x14ac:dyDescent="0.15">
      <c r="Q1031" s="38">
        <v>1028</v>
      </c>
      <c r="R1031" s="39">
        <f>[1]节奏总纲!AD1031</f>
        <v>100.06803088951618</v>
      </c>
      <c r="S1031" s="39">
        <f>[1]节奏总纲!AE1031</f>
        <v>102.34338888232797</v>
      </c>
      <c r="T1031" s="39">
        <f>[1]节奏总纲!AF1031</f>
        <v>105.48703971942709</v>
      </c>
      <c r="U1031" s="39">
        <f>[1]节奏总纲!AG1031</f>
        <v>110.35382682272586</v>
      </c>
      <c r="V1031" s="39">
        <f>[1]节奏总纲!AH1031</f>
        <v>119.40965137620132</v>
      </c>
    </row>
    <row r="1032" spans="17:22" x14ac:dyDescent="0.15">
      <c r="Q1032" s="38">
        <v>1029</v>
      </c>
      <c r="R1032" s="39">
        <f>[1]节奏总纲!AD1032</f>
        <v>100.08163706741941</v>
      </c>
      <c r="S1032" s="39">
        <f>[1]节奏总纲!AE1032</f>
        <v>102.35785695632886</v>
      </c>
      <c r="T1032" s="39">
        <f>[1]节奏总纲!AF1032</f>
        <v>105.50102798378293</v>
      </c>
      <c r="U1032" s="39">
        <f>[1]节奏总纲!AG1032</f>
        <v>110.36712478356134</v>
      </c>
      <c r="V1032" s="39">
        <f>[1]节奏总纲!AH1032</f>
        <v>119.42441895234198</v>
      </c>
    </row>
    <row r="1033" spans="17:22" x14ac:dyDescent="0.15">
      <c r="Q1033" s="38">
        <v>1030</v>
      </c>
      <c r="R1033" s="39">
        <f>[1]节奏总纲!AD1033</f>
        <v>100.09524324532265</v>
      </c>
      <c r="S1033" s="39">
        <f>[1]节奏总纲!AE1033</f>
        <v>102.37232503032973</v>
      </c>
      <c r="T1033" s="39">
        <f>[1]节奏总纲!AF1033</f>
        <v>105.51501624813879</v>
      </c>
      <c r="U1033" s="39">
        <f>[1]节奏总纲!AG1033</f>
        <v>110.3804227443968</v>
      </c>
      <c r="V1033" s="39">
        <f>[1]节奏总纲!AH1033</f>
        <v>119.43918652848262</v>
      </c>
    </row>
    <row r="1034" spans="17:22" x14ac:dyDescent="0.15">
      <c r="Q1034" s="38">
        <v>1031</v>
      </c>
      <c r="R1034" s="39">
        <f>[1]节奏总纲!AD1034</f>
        <v>100.10884942322589</v>
      </c>
      <c r="S1034" s="39">
        <f>[1]节奏总纲!AE1034</f>
        <v>102.38679310433061</v>
      </c>
      <c r="T1034" s="39">
        <f>[1]节奏总纲!AF1034</f>
        <v>105.52900451249464</v>
      </c>
      <c r="U1034" s="39">
        <f>[1]节奏总纲!AG1034</f>
        <v>110.39372070523227</v>
      </c>
      <c r="V1034" s="39">
        <f>[1]节奏总纲!AH1034</f>
        <v>119.45395410462328</v>
      </c>
    </row>
    <row r="1035" spans="17:22" x14ac:dyDescent="0.15">
      <c r="Q1035" s="38">
        <v>1032</v>
      </c>
      <c r="R1035" s="39">
        <f>[1]节奏总纲!AD1035</f>
        <v>100.12245560112912</v>
      </c>
      <c r="S1035" s="39">
        <f>[1]节奏总纲!AE1035</f>
        <v>102.4012611783315</v>
      </c>
      <c r="T1035" s="39">
        <f>[1]节奏总纲!AF1035</f>
        <v>105.5429927768505</v>
      </c>
      <c r="U1035" s="39">
        <f>[1]节奏总纲!AG1035</f>
        <v>110.40701866606774</v>
      </c>
      <c r="V1035" s="39">
        <f>[1]节奏总纲!AH1035</f>
        <v>119.46872168076393</v>
      </c>
    </row>
    <row r="1036" spans="17:22" x14ac:dyDescent="0.15">
      <c r="Q1036" s="38">
        <v>1033</v>
      </c>
      <c r="R1036" s="39">
        <f>[1]节奏总纲!AD1036</f>
        <v>100.13606177903236</v>
      </c>
      <c r="S1036" s="39">
        <f>[1]节奏总纲!AE1036</f>
        <v>102.41572925233237</v>
      </c>
      <c r="T1036" s="39">
        <f>[1]节奏总纲!AF1036</f>
        <v>105.55698104120634</v>
      </c>
      <c r="U1036" s="39">
        <f>[1]节奏总纲!AG1036</f>
        <v>110.42031662690322</v>
      </c>
      <c r="V1036" s="39">
        <f>[1]节奏总纲!AH1036</f>
        <v>119.48348925690458</v>
      </c>
    </row>
    <row r="1037" spans="17:22" x14ac:dyDescent="0.15">
      <c r="Q1037" s="38">
        <v>1034</v>
      </c>
      <c r="R1037" s="39">
        <f>[1]节奏总纲!AD1037</f>
        <v>100.14966795693559</v>
      </c>
      <c r="S1037" s="39">
        <f>[1]节奏总纲!AE1037</f>
        <v>102.43019732633324</v>
      </c>
      <c r="T1037" s="39">
        <f>[1]节奏总纲!AF1037</f>
        <v>105.57096930556219</v>
      </c>
      <c r="U1037" s="39">
        <f>[1]节奏总纲!AG1037</f>
        <v>110.43361458773869</v>
      </c>
      <c r="V1037" s="39">
        <f>[1]节奏总纲!AH1037</f>
        <v>119.49825683304523</v>
      </c>
    </row>
    <row r="1038" spans="17:22" x14ac:dyDescent="0.15">
      <c r="Q1038" s="38">
        <v>1035</v>
      </c>
      <c r="R1038" s="39">
        <f>[1]节奏总纲!AD1038</f>
        <v>100.16327413483883</v>
      </c>
      <c r="S1038" s="39">
        <f>[1]节奏总纲!AE1038</f>
        <v>102.44466540033412</v>
      </c>
      <c r="T1038" s="39">
        <f>[1]节奏总纲!AF1038</f>
        <v>105.58495756991805</v>
      </c>
      <c r="U1038" s="39">
        <f>[1]节奏总纲!AG1038</f>
        <v>110.44691254857415</v>
      </c>
      <c r="V1038" s="39">
        <f>[1]节奏总纲!AH1038</f>
        <v>119.51302440918589</v>
      </c>
    </row>
    <row r="1039" spans="17:22" x14ac:dyDescent="0.15">
      <c r="Q1039" s="38">
        <v>1036</v>
      </c>
      <c r="R1039" s="39">
        <f>[1]节奏总纲!AD1039</f>
        <v>100.17688031274206</v>
      </c>
      <c r="S1039" s="39">
        <f>[1]节奏总纲!AE1039</f>
        <v>102.459133474335</v>
      </c>
      <c r="T1039" s="39">
        <f>[1]节奏总纲!AF1039</f>
        <v>105.59894583427389</v>
      </c>
      <c r="U1039" s="39">
        <f>[1]节奏总纲!AG1039</f>
        <v>110.46021050940962</v>
      </c>
      <c r="V1039" s="39">
        <f>[1]节奏总纲!AH1039</f>
        <v>119.52779198532653</v>
      </c>
    </row>
    <row r="1040" spans="17:22" x14ac:dyDescent="0.15">
      <c r="Q1040" s="38">
        <v>1037</v>
      </c>
      <c r="R1040" s="39">
        <f>[1]节奏总纲!AD1040</f>
        <v>100.1904864906453</v>
      </c>
      <c r="S1040" s="39">
        <f>[1]节奏总纲!AE1040</f>
        <v>102.47360154833588</v>
      </c>
      <c r="T1040" s="39">
        <f>[1]节奏总纲!AF1040</f>
        <v>105.61293409862975</v>
      </c>
      <c r="U1040" s="39">
        <f>[1]节奏总纲!AG1040</f>
        <v>110.47350847024509</v>
      </c>
      <c r="V1040" s="39">
        <f>[1]节奏总纲!AH1040</f>
        <v>119.54255956146719</v>
      </c>
    </row>
    <row r="1041" spans="17:22" x14ac:dyDescent="0.15">
      <c r="Q1041" s="38">
        <v>1038</v>
      </c>
      <c r="R1041" s="39">
        <f>[1]节奏总纲!AD1041</f>
        <v>100.20409266854853</v>
      </c>
      <c r="S1041" s="39">
        <f>[1]节奏总纲!AE1041</f>
        <v>102.48806962233675</v>
      </c>
      <c r="T1041" s="39">
        <f>[1]节奏总纲!AF1041</f>
        <v>105.6269223629856</v>
      </c>
      <c r="U1041" s="39">
        <f>[1]节奏总纲!AG1041</f>
        <v>110.48680643108057</v>
      </c>
      <c r="V1041" s="39">
        <f>[1]节奏总纲!AH1041</f>
        <v>119.55732713760784</v>
      </c>
    </row>
    <row r="1042" spans="17:22" x14ac:dyDescent="0.15">
      <c r="Q1042" s="38">
        <v>1039</v>
      </c>
      <c r="R1042" s="39">
        <f>[1]节奏总纲!AD1042</f>
        <v>100.21769884645177</v>
      </c>
      <c r="S1042" s="39">
        <f>[1]节奏总纲!AE1042</f>
        <v>102.50253769633764</v>
      </c>
      <c r="T1042" s="39">
        <f>[1]节奏总纲!AF1042</f>
        <v>105.64091062734144</v>
      </c>
      <c r="U1042" s="39">
        <f>[1]节奏总纲!AG1042</f>
        <v>110.50010439191604</v>
      </c>
      <c r="V1042" s="39">
        <f>[1]节奏总纲!AH1042</f>
        <v>119.57209471374848</v>
      </c>
    </row>
    <row r="1043" spans="17:22" x14ac:dyDescent="0.15">
      <c r="Q1043" s="38">
        <v>1040</v>
      </c>
      <c r="R1043" s="39">
        <f>[1]节奏总纲!AD1043</f>
        <v>100.23130502435501</v>
      </c>
      <c r="S1043" s="39">
        <f>[1]节奏总纲!AE1043</f>
        <v>102.51700577033851</v>
      </c>
      <c r="T1043" s="39">
        <f>[1]节奏总纲!AF1043</f>
        <v>105.6548988916973</v>
      </c>
      <c r="U1043" s="39">
        <f>[1]节奏总纲!AG1043</f>
        <v>110.5134023527515</v>
      </c>
      <c r="V1043" s="39">
        <f>[1]节奏总纲!AH1043</f>
        <v>119.58686228988914</v>
      </c>
    </row>
    <row r="1044" spans="17:22" x14ac:dyDescent="0.15">
      <c r="Q1044" s="38">
        <v>1041</v>
      </c>
      <c r="R1044" s="39">
        <f>[1]节奏总纲!AD1044</f>
        <v>100.24491120225824</v>
      </c>
      <c r="S1044" s="39">
        <f>[1]节奏总纲!AE1044</f>
        <v>102.53147384433939</v>
      </c>
      <c r="T1044" s="39">
        <f>[1]节奏总纲!AF1044</f>
        <v>105.66888715605315</v>
      </c>
      <c r="U1044" s="39">
        <f>[1]节奏总纲!AG1044</f>
        <v>110.52670031358697</v>
      </c>
      <c r="V1044" s="39">
        <f>[1]节奏总纲!AH1044</f>
        <v>119.6016298660298</v>
      </c>
    </row>
    <row r="1045" spans="17:22" x14ac:dyDescent="0.15">
      <c r="Q1045" s="38">
        <v>1042</v>
      </c>
      <c r="R1045" s="39">
        <f>[1]节奏总纲!AD1045</f>
        <v>100.25851738016148</v>
      </c>
      <c r="S1045" s="39">
        <f>[1]节奏总纲!AE1045</f>
        <v>102.54594191834028</v>
      </c>
      <c r="T1045" s="39">
        <f>[1]节奏总纲!AF1045</f>
        <v>105.682875420409</v>
      </c>
      <c r="U1045" s="39">
        <f>[1]节奏总纲!AG1045</f>
        <v>110.53999827442244</v>
      </c>
      <c r="V1045" s="39">
        <f>[1]节奏总纲!AH1045</f>
        <v>119.61639744217044</v>
      </c>
    </row>
    <row r="1046" spans="17:22" x14ac:dyDescent="0.15">
      <c r="Q1046" s="38">
        <v>1043</v>
      </c>
      <c r="R1046" s="39">
        <f>[1]节奏总纲!AD1046</f>
        <v>100.27212355806471</v>
      </c>
      <c r="S1046" s="39">
        <f>[1]节奏总纲!AE1046</f>
        <v>102.56040999234115</v>
      </c>
      <c r="T1046" s="39">
        <f>[1]节奏总纲!AF1046</f>
        <v>105.69686368476485</v>
      </c>
      <c r="U1046" s="39">
        <f>[1]节奏总纲!AG1046</f>
        <v>110.55329623525792</v>
      </c>
      <c r="V1046" s="39">
        <f>[1]节奏总纲!AH1046</f>
        <v>119.63116501831109</v>
      </c>
    </row>
    <row r="1047" spans="17:22" x14ac:dyDescent="0.15">
      <c r="Q1047" s="38">
        <v>1044</v>
      </c>
      <c r="R1047" s="39">
        <f>[1]节奏总纲!AD1047</f>
        <v>100.28572973596795</v>
      </c>
      <c r="S1047" s="39">
        <f>[1]节奏总纲!AE1047</f>
        <v>102.57487806634202</v>
      </c>
      <c r="T1047" s="39">
        <f>[1]节奏总纲!AF1047</f>
        <v>105.71085194912069</v>
      </c>
      <c r="U1047" s="39">
        <f>[1]节奏总纲!AG1047</f>
        <v>110.56659419609339</v>
      </c>
      <c r="V1047" s="39">
        <f>[1]节奏总纲!AH1047</f>
        <v>119.64593259445175</v>
      </c>
    </row>
    <row r="1048" spans="17:22" x14ac:dyDescent="0.15">
      <c r="Q1048" s="38">
        <v>1045</v>
      </c>
      <c r="R1048" s="39">
        <f>[1]节奏总纲!AD1048</f>
        <v>100.29933591387118</v>
      </c>
      <c r="S1048" s="39">
        <f>[1]节奏总纲!AE1048</f>
        <v>102.58934614034291</v>
      </c>
      <c r="T1048" s="39">
        <f>[1]节奏总纲!AF1048</f>
        <v>105.72484021347655</v>
      </c>
      <c r="U1048" s="39">
        <f>[1]节奏总纲!AG1048</f>
        <v>110.57989215692885</v>
      </c>
      <c r="V1048" s="39">
        <f>[1]节奏总纲!AH1048</f>
        <v>119.66070017059239</v>
      </c>
    </row>
    <row r="1049" spans="17:22" x14ac:dyDescent="0.15">
      <c r="Q1049" s="38">
        <v>1046</v>
      </c>
      <c r="R1049" s="39">
        <f>[1]节奏总纲!AD1049</f>
        <v>100.31294209177442</v>
      </c>
      <c r="S1049" s="39">
        <f>[1]节奏总纲!AE1049</f>
        <v>102.60381421434379</v>
      </c>
      <c r="T1049" s="39">
        <f>[1]节奏总纲!AF1049</f>
        <v>105.7388284778324</v>
      </c>
      <c r="U1049" s="39">
        <f>[1]节奏总纲!AG1049</f>
        <v>110.59319011776432</v>
      </c>
      <c r="V1049" s="39">
        <f>[1]节奏总纲!AH1049</f>
        <v>119.67546774673305</v>
      </c>
    </row>
    <row r="1050" spans="17:22" x14ac:dyDescent="0.15">
      <c r="Q1050" s="38">
        <v>1047</v>
      </c>
      <c r="R1050" s="39">
        <f>[1]节奏总纲!AD1050</f>
        <v>100.32654826967766</v>
      </c>
      <c r="S1050" s="39">
        <f>[1]节奏总纲!AE1050</f>
        <v>102.61828228834466</v>
      </c>
      <c r="T1050" s="39">
        <f>[1]节奏总纲!AF1050</f>
        <v>105.75281674218826</v>
      </c>
      <c r="U1050" s="39">
        <f>[1]节奏总纲!AG1050</f>
        <v>110.6064880785998</v>
      </c>
      <c r="V1050" s="39">
        <f>[1]节奏总纲!AH1050</f>
        <v>119.6902353228737</v>
      </c>
    </row>
    <row r="1051" spans="17:22" x14ac:dyDescent="0.15">
      <c r="Q1051" s="38">
        <v>1048</v>
      </c>
      <c r="R1051" s="39">
        <f>[1]节奏总纲!AD1051</f>
        <v>100.34015444758089</v>
      </c>
      <c r="S1051" s="39">
        <f>[1]节奏总纲!AE1051</f>
        <v>102.63275036234553</v>
      </c>
      <c r="T1051" s="39">
        <f>[1]节奏总纲!AF1051</f>
        <v>105.7668050065441</v>
      </c>
      <c r="U1051" s="39">
        <f>[1]节奏总纲!AG1051</f>
        <v>110.61978603943527</v>
      </c>
      <c r="V1051" s="39">
        <f>[1]节奏总纲!AH1051</f>
        <v>119.70500289901435</v>
      </c>
    </row>
    <row r="1052" spans="17:22" x14ac:dyDescent="0.15">
      <c r="Q1052" s="38">
        <v>1049</v>
      </c>
      <c r="R1052" s="39">
        <f>[1]节奏总纲!AD1052</f>
        <v>100.35376062548413</v>
      </c>
      <c r="S1052" s="39">
        <f>[1]节奏总纲!AE1052</f>
        <v>102.64721843634642</v>
      </c>
      <c r="T1052" s="39">
        <f>[1]节奏总纲!AF1052</f>
        <v>105.78079327089995</v>
      </c>
      <c r="U1052" s="39">
        <f>[1]节奏总纲!AG1052</f>
        <v>110.63308400027074</v>
      </c>
      <c r="V1052" s="39">
        <f>[1]节奏总纲!AH1052</f>
        <v>119.719770475155</v>
      </c>
    </row>
    <row r="1053" spans="17:22" x14ac:dyDescent="0.15">
      <c r="Q1053" s="38">
        <v>1050</v>
      </c>
      <c r="R1053" s="39">
        <f>[1]节奏总纲!AD1053</f>
        <v>100.36736680338736</v>
      </c>
      <c r="S1053" s="39">
        <f>[1]节奏总纲!AE1053</f>
        <v>102.66168651034729</v>
      </c>
      <c r="T1053" s="39">
        <f>[1]节奏总纲!AF1053</f>
        <v>105.79478153525581</v>
      </c>
      <c r="U1053" s="39">
        <f>[1]节奏总纲!AG1053</f>
        <v>110.6463819611062</v>
      </c>
      <c r="V1053" s="39">
        <f>[1]节奏总纲!AH1053</f>
        <v>119.73453805129566</v>
      </c>
    </row>
    <row r="1054" spans="17:22" x14ac:dyDescent="0.15">
      <c r="Q1054" s="38">
        <v>1051</v>
      </c>
      <c r="R1054" s="39">
        <f>[1]节奏总纲!AD1054</f>
        <v>100.3809729812906</v>
      </c>
      <c r="S1054" s="39">
        <f>[1]节奏总纲!AE1054</f>
        <v>102.67615458434817</v>
      </c>
      <c r="T1054" s="39">
        <f>[1]节奏总纲!AF1054</f>
        <v>105.80876979961165</v>
      </c>
      <c r="U1054" s="39">
        <f>[1]节奏总纲!AG1054</f>
        <v>110.65967992194167</v>
      </c>
      <c r="V1054" s="39">
        <f>[1]节奏总纲!AH1054</f>
        <v>119.7493056274363</v>
      </c>
    </row>
    <row r="1055" spans="17:22" x14ac:dyDescent="0.15">
      <c r="Q1055" s="38">
        <v>1052</v>
      </c>
      <c r="R1055" s="39">
        <f>[1]节奏总纲!AD1055</f>
        <v>100.39457915919382</v>
      </c>
      <c r="S1055" s="39">
        <f>[1]节奏总纲!AE1055</f>
        <v>102.69062265834906</v>
      </c>
      <c r="T1055" s="39">
        <f>[1]节奏总纲!AF1055</f>
        <v>105.82275806396751</v>
      </c>
      <c r="U1055" s="39">
        <f>[1]节奏总纲!AG1055</f>
        <v>110.67297788277715</v>
      </c>
      <c r="V1055" s="39">
        <f>[1]节奏总纲!AH1055</f>
        <v>119.76407320357696</v>
      </c>
    </row>
    <row r="1056" spans="17:22" x14ac:dyDescent="0.15">
      <c r="Q1056" s="38">
        <v>1053</v>
      </c>
      <c r="R1056" s="39">
        <f>[1]节奏总纲!AD1056</f>
        <v>100.40818533709707</v>
      </c>
      <c r="S1056" s="39">
        <f>[1]节奏总纲!AE1056</f>
        <v>102.70509073234993</v>
      </c>
      <c r="T1056" s="39">
        <f>[1]节奏总纲!AF1056</f>
        <v>105.83674632832336</v>
      </c>
      <c r="U1056" s="39">
        <f>[1]节奏总纲!AG1056</f>
        <v>110.68627584361262</v>
      </c>
      <c r="V1056" s="39">
        <f>[1]节奏总纲!AH1056</f>
        <v>119.77884077971761</v>
      </c>
    </row>
    <row r="1057" spans="17:22" x14ac:dyDescent="0.15">
      <c r="Q1057" s="38">
        <v>1054</v>
      </c>
      <c r="R1057" s="39">
        <f>[1]节奏总纲!AD1057</f>
        <v>100.42179151500029</v>
      </c>
      <c r="S1057" s="39">
        <f>[1]节奏总纲!AE1057</f>
        <v>102.7195588063508</v>
      </c>
      <c r="T1057" s="39">
        <f>[1]节奏总纲!AF1057</f>
        <v>105.8507345926792</v>
      </c>
      <c r="U1057" s="39">
        <f>[1]节奏总纲!AG1057</f>
        <v>110.69957380444809</v>
      </c>
      <c r="V1057" s="39">
        <f>[1]节奏总纲!AH1057</f>
        <v>119.79360835585825</v>
      </c>
    </row>
    <row r="1058" spans="17:22" x14ac:dyDescent="0.15">
      <c r="Q1058" s="38">
        <v>1055</v>
      </c>
      <c r="R1058" s="39">
        <f>[1]节奏总纲!AD1058</f>
        <v>100.43539769290354</v>
      </c>
      <c r="S1058" s="39">
        <f>[1]节奏总纲!AE1058</f>
        <v>102.73402688035169</v>
      </c>
      <c r="T1058" s="39">
        <f>[1]节奏总纲!AF1058</f>
        <v>105.86472285703506</v>
      </c>
      <c r="U1058" s="39">
        <f>[1]节奏总纲!AG1058</f>
        <v>110.71287176528357</v>
      </c>
      <c r="V1058" s="39">
        <f>[1]节奏总纲!AH1058</f>
        <v>119.80837593199891</v>
      </c>
    </row>
    <row r="1059" spans="17:22" x14ac:dyDescent="0.15">
      <c r="Q1059" s="38">
        <v>1056</v>
      </c>
      <c r="R1059" s="39">
        <f>[1]节奏总纲!AD1059</f>
        <v>100.44900387080678</v>
      </c>
      <c r="S1059" s="39">
        <f>[1]节奏总纲!AE1059</f>
        <v>102.74849495435257</v>
      </c>
      <c r="T1059" s="39">
        <f>[1]节奏总纲!AF1059</f>
        <v>105.87871112139091</v>
      </c>
      <c r="U1059" s="39">
        <f>[1]节奏总纲!AG1059</f>
        <v>110.72616972611902</v>
      </c>
      <c r="V1059" s="39">
        <f>[1]节奏总纲!AH1059</f>
        <v>119.82314350813957</v>
      </c>
    </row>
    <row r="1060" spans="17:22" x14ac:dyDescent="0.15">
      <c r="Q1060" s="38">
        <v>1057</v>
      </c>
      <c r="R1060" s="39">
        <f>[1]节奏总纲!AD1060</f>
        <v>100.46261004871</v>
      </c>
      <c r="S1060" s="39">
        <f>[1]节奏总纲!AE1060</f>
        <v>102.76296302835344</v>
      </c>
      <c r="T1060" s="39">
        <f>[1]节奏总纲!AF1060</f>
        <v>105.89269938574677</v>
      </c>
      <c r="U1060" s="39">
        <f>[1]节奏总纲!AG1060</f>
        <v>110.7394676869545</v>
      </c>
      <c r="V1060" s="39">
        <f>[1]节奏总纲!AH1060</f>
        <v>119.83791108428021</v>
      </c>
    </row>
    <row r="1061" spans="17:22" x14ac:dyDescent="0.15">
      <c r="Q1061" s="38">
        <v>1058</v>
      </c>
      <c r="R1061" s="39">
        <f>[1]节奏总纲!AD1061</f>
        <v>100.47621622661325</v>
      </c>
      <c r="S1061" s="39">
        <f>[1]节奏总纲!AE1061</f>
        <v>102.77743110235433</v>
      </c>
      <c r="T1061" s="39">
        <f>[1]节奏总纲!AF1061</f>
        <v>105.90668765010261</v>
      </c>
      <c r="U1061" s="39">
        <f>[1]节奏总纲!AG1061</f>
        <v>110.75276564778997</v>
      </c>
      <c r="V1061" s="39">
        <f>[1]节奏总纲!AH1061</f>
        <v>119.85267866042086</v>
      </c>
    </row>
    <row r="1062" spans="17:22" x14ac:dyDescent="0.15">
      <c r="Q1062" s="38">
        <v>1059</v>
      </c>
      <c r="R1062" s="39">
        <f>[1]节奏总纲!AD1062</f>
        <v>100.48982240451647</v>
      </c>
      <c r="S1062" s="39">
        <f>[1]节奏总纲!AE1062</f>
        <v>102.7918991763552</v>
      </c>
      <c r="T1062" s="39">
        <f>[1]节奏总纲!AF1062</f>
        <v>105.92067591445846</v>
      </c>
      <c r="U1062" s="39">
        <f>[1]节奏总纲!AG1062</f>
        <v>110.76606360862544</v>
      </c>
      <c r="V1062" s="39">
        <f>[1]节奏总纲!AH1062</f>
        <v>119.86744623656152</v>
      </c>
    </row>
    <row r="1063" spans="17:22" x14ac:dyDescent="0.15">
      <c r="Q1063" s="38">
        <v>1060</v>
      </c>
      <c r="R1063" s="39">
        <f>[1]节奏总纲!AD1063</f>
        <v>100.50342858241972</v>
      </c>
      <c r="S1063" s="39">
        <f>[1]节奏总纲!AE1063</f>
        <v>102.80636725035608</v>
      </c>
      <c r="T1063" s="39">
        <f>[1]节奏总纲!AF1063</f>
        <v>105.93466417881432</v>
      </c>
      <c r="U1063" s="39">
        <f>[1]节奏总纲!AG1063</f>
        <v>110.77936156946092</v>
      </c>
      <c r="V1063" s="39">
        <f>[1]节奏总纲!AH1063</f>
        <v>119.88221381270216</v>
      </c>
    </row>
    <row r="1064" spans="17:22" x14ac:dyDescent="0.15">
      <c r="Q1064" s="38">
        <v>1061</v>
      </c>
      <c r="R1064" s="39">
        <f>[1]节奏总纲!AD1064</f>
        <v>100.51703476032294</v>
      </c>
      <c r="S1064" s="39">
        <f>[1]节奏总纲!AE1064</f>
        <v>102.82083532435696</v>
      </c>
      <c r="T1064" s="39">
        <f>[1]节奏总纲!AF1064</f>
        <v>105.94865244317016</v>
      </c>
      <c r="U1064" s="39">
        <f>[1]节奏总纲!AG1064</f>
        <v>110.79265953029638</v>
      </c>
      <c r="V1064" s="39">
        <f>[1]节奏总纲!AH1064</f>
        <v>119.89698138884282</v>
      </c>
    </row>
    <row r="1065" spans="17:22" x14ac:dyDescent="0.15">
      <c r="Q1065" s="38">
        <v>1062</v>
      </c>
      <c r="R1065" s="39">
        <f>[1]节奏总纲!AD1065</f>
        <v>100.53064093822618</v>
      </c>
      <c r="S1065" s="39">
        <f>[1]节奏总纲!AE1065</f>
        <v>102.83530339835784</v>
      </c>
      <c r="T1065" s="39">
        <f>[1]节奏总纲!AF1065</f>
        <v>105.96264070752602</v>
      </c>
      <c r="U1065" s="39">
        <f>[1]节奏总纲!AG1065</f>
        <v>110.80595749113185</v>
      </c>
      <c r="V1065" s="39">
        <f>[1]节奏总纲!AH1065</f>
        <v>119.91174896498347</v>
      </c>
    </row>
    <row r="1066" spans="17:22" x14ac:dyDescent="0.15">
      <c r="Q1066" s="38">
        <v>1063</v>
      </c>
      <c r="R1066" s="39">
        <f>[1]节奏总纲!AD1066</f>
        <v>100.54424711612943</v>
      </c>
      <c r="S1066" s="39">
        <f>[1]节奏总纲!AE1066</f>
        <v>102.84977147235871</v>
      </c>
      <c r="T1066" s="39">
        <f>[1]节奏总纲!AF1066</f>
        <v>105.97662897188187</v>
      </c>
      <c r="U1066" s="39">
        <f>[1]节奏总纲!AG1066</f>
        <v>110.81925545196732</v>
      </c>
      <c r="V1066" s="39">
        <f>[1]节奏总纲!AH1066</f>
        <v>119.92651654112412</v>
      </c>
    </row>
    <row r="1067" spans="17:22" x14ac:dyDescent="0.15">
      <c r="Q1067" s="38">
        <v>1064</v>
      </c>
      <c r="R1067" s="39">
        <f>[1]节奏总纲!AD1067</f>
        <v>100.55785329403265</v>
      </c>
      <c r="S1067" s="39">
        <f>[1]节奏总纲!AE1067</f>
        <v>102.86423954635958</v>
      </c>
      <c r="T1067" s="39">
        <f>[1]节奏总纲!AF1067</f>
        <v>105.99061723623771</v>
      </c>
      <c r="U1067" s="39">
        <f>[1]节奏总纲!AG1067</f>
        <v>110.8325534128028</v>
      </c>
      <c r="V1067" s="39">
        <f>[1]节奏总纲!AH1067</f>
        <v>119.94128411726477</v>
      </c>
    </row>
    <row r="1068" spans="17:22" x14ac:dyDescent="0.15">
      <c r="Q1068" s="38">
        <v>1065</v>
      </c>
      <c r="R1068" s="39">
        <f>[1]节奏总纲!AD1068</f>
        <v>100.5714594719359</v>
      </c>
      <c r="S1068" s="39">
        <f>[1]节奏总纲!AE1068</f>
        <v>102.87870762036047</v>
      </c>
      <c r="T1068" s="39">
        <f>[1]节奏总纲!AF1068</f>
        <v>106.00427789721803</v>
      </c>
      <c r="U1068" s="39">
        <f>[1]节奏总纲!AG1068</f>
        <v>110.84585137363827</v>
      </c>
      <c r="V1068" s="39">
        <f>[1]节奏总纲!AH1068</f>
        <v>119.95605169340543</v>
      </c>
    </row>
    <row r="1069" spans="17:22" x14ac:dyDescent="0.15">
      <c r="Q1069" s="38">
        <v>1066</v>
      </c>
      <c r="R1069" s="39">
        <f>[1]节奏总纲!AD1069</f>
        <v>100.58506564983912</v>
      </c>
      <c r="S1069" s="39">
        <f>[1]节奏总纲!AE1069</f>
        <v>102.89317569436135</v>
      </c>
      <c r="T1069" s="39">
        <f>[1]节奏总纲!AF1069</f>
        <v>106.01727113344874</v>
      </c>
      <c r="U1069" s="39">
        <f>[1]节奏总纲!AG1069</f>
        <v>110.85914933447373</v>
      </c>
      <c r="V1069" s="39">
        <f>[1]节奏总纲!AH1069</f>
        <v>119.97081926954607</v>
      </c>
    </row>
    <row r="1070" spans="17:22" x14ac:dyDescent="0.15">
      <c r="Q1070" s="38">
        <v>1067</v>
      </c>
      <c r="R1070" s="39">
        <f>[1]节奏总纲!AD1070</f>
        <v>100.59867182774236</v>
      </c>
      <c r="S1070" s="39">
        <f>[1]节奏总纲!AE1070</f>
        <v>102.90764376836222</v>
      </c>
      <c r="T1070" s="39">
        <f>[1]节奏总纲!AF1070</f>
        <v>106.03026436967946</v>
      </c>
      <c r="U1070" s="39">
        <f>[1]节奏总纲!AG1070</f>
        <v>110.8724472953092</v>
      </c>
      <c r="V1070" s="39">
        <f>[1]节奏总纲!AH1070</f>
        <v>119.98558684568673</v>
      </c>
    </row>
    <row r="1071" spans="17:22" x14ac:dyDescent="0.15">
      <c r="Q1071" s="38">
        <v>1068</v>
      </c>
      <c r="R1071" s="39">
        <f>[1]节奏总纲!AD1071</f>
        <v>100.61227800564559</v>
      </c>
      <c r="S1071" s="39">
        <f>[1]节奏总纲!AE1071</f>
        <v>102.92211184236311</v>
      </c>
      <c r="T1071" s="39">
        <f>[1]节奏总纲!AF1071</f>
        <v>106.04325760591017</v>
      </c>
      <c r="U1071" s="39">
        <f>[1]节奏总纲!AG1071</f>
        <v>110.88574525614467</v>
      </c>
      <c r="V1071" s="39">
        <f>[1]节奏总纲!AH1071</f>
        <v>120.00031849517944</v>
      </c>
    </row>
    <row r="1072" spans="17:22" x14ac:dyDescent="0.15">
      <c r="Q1072" s="38">
        <v>1069</v>
      </c>
      <c r="R1072" s="39">
        <f>[1]节奏总纲!AD1072</f>
        <v>100.62588418354883</v>
      </c>
      <c r="S1072" s="39">
        <f>[1]节奏总纲!AE1072</f>
        <v>102.93657991636398</v>
      </c>
      <c r="T1072" s="39">
        <f>[1]节奏总纲!AF1072</f>
        <v>106.05625084214088</v>
      </c>
      <c r="U1072" s="39">
        <f>[1]节奏总纲!AG1072</f>
        <v>110.89904321698015</v>
      </c>
      <c r="V1072" s="39">
        <f>[1]节奏总纲!AH1072</f>
        <v>120.013589127656</v>
      </c>
    </row>
    <row r="1073" spans="17:22" x14ac:dyDescent="0.15">
      <c r="Q1073" s="38">
        <v>1070</v>
      </c>
      <c r="R1073" s="39">
        <f>[1]节奏总纲!AD1073</f>
        <v>100.63949036145206</v>
      </c>
      <c r="S1073" s="39">
        <f>[1]节奏总纲!AE1073</f>
        <v>102.95104799036486</v>
      </c>
      <c r="T1073" s="39">
        <f>[1]节奏总纲!AF1073</f>
        <v>106.0692440783716</v>
      </c>
      <c r="U1073" s="39">
        <f>[1]节奏总纲!AG1073</f>
        <v>110.91234117781562</v>
      </c>
      <c r="V1073" s="39">
        <f>[1]节奏总纲!AH1073</f>
        <v>120.02685976013258</v>
      </c>
    </row>
    <row r="1074" spans="17:22" x14ac:dyDescent="0.15">
      <c r="Q1074" s="38">
        <v>1071</v>
      </c>
      <c r="R1074" s="39">
        <f>[1]节奏总纲!AD1074</f>
        <v>100.6530965393553</v>
      </c>
      <c r="S1074" s="39">
        <f>[1]节奏总纲!AE1074</f>
        <v>102.96551606436574</v>
      </c>
      <c r="T1074" s="39">
        <f>[1]节奏总纲!AF1074</f>
        <v>106.08223731460231</v>
      </c>
      <c r="U1074" s="39">
        <f>[1]节奏总纲!AG1074</f>
        <v>110.92563913865108</v>
      </c>
      <c r="V1074" s="39">
        <f>[1]节奏总纲!AH1074</f>
        <v>120.04013039260914</v>
      </c>
    </row>
    <row r="1075" spans="17:22" x14ac:dyDescent="0.15">
      <c r="Q1075" s="38">
        <v>1072</v>
      </c>
      <c r="R1075" s="39">
        <f>[1]节奏总纲!AD1075</f>
        <v>100.66670271725854</v>
      </c>
      <c r="S1075" s="39">
        <f>[1]节奏总纲!AE1075</f>
        <v>102.97998413836662</v>
      </c>
      <c r="T1075" s="39">
        <f>[1]节奏总纲!AF1075</f>
        <v>106.09523055083302</v>
      </c>
      <c r="U1075" s="39">
        <f>[1]节奏总纲!AG1075</f>
        <v>110.93893709948655</v>
      </c>
      <c r="V1075" s="39">
        <f>[1]节奏总纲!AH1075</f>
        <v>120.05340102508572</v>
      </c>
    </row>
    <row r="1076" spans="17:22" x14ac:dyDescent="0.15">
      <c r="Q1076" s="38">
        <v>1073</v>
      </c>
      <c r="R1076" s="39">
        <f>[1]节奏总纲!AD1076</f>
        <v>100.68030889516177</v>
      </c>
      <c r="S1076" s="39">
        <f>[1]节奏总纲!AE1076</f>
        <v>102.99445221236749</v>
      </c>
      <c r="T1076" s="39">
        <f>[1]节奏总纲!AF1076</f>
        <v>106.10822378706374</v>
      </c>
      <c r="U1076" s="39">
        <f>[1]节奏总纲!AG1076</f>
        <v>110.95223506032202</v>
      </c>
      <c r="V1076" s="39">
        <f>[1]节奏总纲!AH1076</f>
        <v>120.06667165756228</v>
      </c>
    </row>
    <row r="1077" spans="17:22" x14ac:dyDescent="0.15">
      <c r="Q1077" s="38">
        <v>1074</v>
      </c>
      <c r="R1077" s="39">
        <f>[1]节奏总纲!AD1077</f>
        <v>100.69391507306501</v>
      </c>
      <c r="S1077" s="39">
        <f>[1]节奏总纲!AE1077</f>
        <v>103.00796867787946</v>
      </c>
      <c r="T1077" s="39">
        <f>[1]节奏总纲!AF1077</f>
        <v>106.12121702329445</v>
      </c>
      <c r="U1077" s="39">
        <f>[1]节奏总纲!AG1077</f>
        <v>110.9655330211575</v>
      </c>
      <c r="V1077" s="39">
        <f>[1]节奏总纲!AH1077</f>
        <v>120.07994229003884</v>
      </c>
    </row>
    <row r="1078" spans="17:22" x14ac:dyDescent="0.15">
      <c r="Q1078" s="38">
        <v>1075</v>
      </c>
      <c r="R1078" s="39">
        <f>[1]节奏总纲!AD1078</f>
        <v>100.70752125096824</v>
      </c>
      <c r="S1078" s="39">
        <f>[1]节奏总纲!AE1078</f>
        <v>103.02089331017129</v>
      </c>
      <c r="T1078" s="39">
        <f>[1]节奏总纲!AF1078</f>
        <v>106.13421025952516</v>
      </c>
      <c r="U1078" s="39">
        <f>[1]节奏总纲!AG1078</f>
        <v>110.97883098199297</v>
      </c>
      <c r="V1078" s="39">
        <f>[1]节奏总纲!AH1078</f>
        <v>120.09321292251542</v>
      </c>
    </row>
    <row r="1079" spans="17:22" x14ac:dyDescent="0.15">
      <c r="Q1079" s="38">
        <v>1076</v>
      </c>
      <c r="R1079" s="39">
        <f>[1]节奏总纲!AD1079</f>
        <v>100.72112742887148</v>
      </c>
      <c r="S1079" s="39">
        <f>[1]节奏总纲!AE1079</f>
        <v>103.03381794246313</v>
      </c>
      <c r="T1079" s="39">
        <f>[1]节奏总纲!AF1079</f>
        <v>106.14720349575587</v>
      </c>
      <c r="U1079" s="39">
        <f>[1]节奏总纲!AG1079</f>
        <v>110.99212894282843</v>
      </c>
      <c r="V1079" s="39">
        <f>[1]节奏总纲!AH1079</f>
        <v>120.10648355499198</v>
      </c>
    </row>
    <row r="1080" spans="17:22" x14ac:dyDescent="0.15">
      <c r="Q1080" s="38">
        <v>1077</v>
      </c>
      <c r="R1080" s="39">
        <f>[1]节奏总纲!AD1080</f>
        <v>100.73473360677471</v>
      </c>
      <c r="S1080" s="39">
        <f>[1]节奏总纲!AE1080</f>
        <v>103.04674257475497</v>
      </c>
      <c r="T1080" s="39">
        <f>[1]节奏总纲!AF1080</f>
        <v>106.1601967319866</v>
      </c>
      <c r="U1080" s="39">
        <f>[1]节奏总纲!AG1080</f>
        <v>111.00518440900021</v>
      </c>
      <c r="V1080" s="39">
        <f>[1]节奏总纲!AH1080</f>
        <v>120.11975418746856</v>
      </c>
    </row>
    <row r="1081" spans="17:22" x14ac:dyDescent="0.15">
      <c r="Q1081" s="38">
        <v>1078</v>
      </c>
      <c r="R1081" s="39">
        <f>[1]节奏总纲!AD1081</f>
        <v>100.74833978467795</v>
      </c>
      <c r="S1081" s="39">
        <f>[1]节奏总纲!AE1081</f>
        <v>103.05966720704681</v>
      </c>
      <c r="T1081" s="39">
        <f>[1]节奏总纲!AF1081</f>
        <v>106.17318996821732</v>
      </c>
      <c r="U1081" s="39">
        <f>[1]节奏总纲!AG1081</f>
        <v>111.01788816644819</v>
      </c>
      <c r="V1081" s="39">
        <f>[1]节奏总纲!AH1081</f>
        <v>120.13302481994512</v>
      </c>
    </row>
    <row r="1082" spans="17:22" x14ac:dyDescent="0.15">
      <c r="Q1082" s="38">
        <v>1079</v>
      </c>
      <c r="R1082" s="39">
        <f>[1]节奏总纲!AD1082</f>
        <v>100.76194596258119</v>
      </c>
      <c r="S1082" s="39">
        <f>[1]节奏总纲!AE1082</f>
        <v>103.07259183933866</v>
      </c>
      <c r="T1082" s="39">
        <f>[1]节奏总纲!AF1082</f>
        <v>106.18618320444803</v>
      </c>
      <c r="U1082" s="39">
        <f>[1]节奏总纲!AG1082</f>
        <v>111.03059192389618</v>
      </c>
      <c r="V1082" s="39">
        <f>[1]节奏总纲!AH1082</f>
        <v>120.1462954524217</v>
      </c>
    </row>
    <row r="1083" spans="17:22" x14ac:dyDescent="0.15">
      <c r="Q1083" s="38">
        <v>1080</v>
      </c>
      <c r="R1083" s="39">
        <f>[1]节奏总纲!AD1083</f>
        <v>100.77555214048442</v>
      </c>
      <c r="S1083" s="39">
        <f>[1]节奏总纲!AE1083</f>
        <v>103.0855164716305</v>
      </c>
      <c r="T1083" s="39">
        <f>[1]节奏总纲!AF1083</f>
        <v>106.19917644067874</v>
      </c>
      <c r="U1083" s="39">
        <f>[1]节奏总纲!AG1083</f>
        <v>111.04329568134416</v>
      </c>
      <c r="V1083" s="39">
        <f>[1]节奏总纲!AH1083</f>
        <v>120.15956608489826</v>
      </c>
    </row>
    <row r="1084" spans="17:22" x14ac:dyDescent="0.15">
      <c r="Q1084" s="38">
        <v>1081</v>
      </c>
      <c r="R1084" s="39">
        <f>[1]节奏总纲!AD1084</f>
        <v>100.78915831838766</v>
      </c>
      <c r="S1084" s="39">
        <f>[1]节奏总纲!AE1084</f>
        <v>103.09844110392233</v>
      </c>
      <c r="T1084" s="39">
        <f>[1]节奏总纲!AF1084</f>
        <v>106.21216967690945</v>
      </c>
      <c r="U1084" s="39">
        <f>[1]节奏总纲!AG1084</f>
        <v>111.05599943879214</v>
      </c>
      <c r="V1084" s="39">
        <f>[1]节奏总纲!AH1084</f>
        <v>120.17283671737482</v>
      </c>
    </row>
    <row r="1085" spans="17:22" x14ac:dyDescent="0.15">
      <c r="Q1085" s="38">
        <v>1082</v>
      </c>
      <c r="R1085" s="39">
        <f>[1]节奏总纲!AD1085</f>
        <v>100.80276449629089</v>
      </c>
      <c r="S1085" s="39">
        <f>[1]节奏总纲!AE1085</f>
        <v>103.11136573621417</v>
      </c>
      <c r="T1085" s="39">
        <f>[1]节奏总纲!AF1085</f>
        <v>106.22516291314017</v>
      </c>
      <c r="U1085" s="39">
        <f>[1]节奏总纲!AG1085</f>
        <v>111.06870319624012</v>
      </c>
      <c r="V1085" s="39">
        <f>[1]节奏总纲!AH1085</f>
        <v>120.1861073498514</v>
      </c>
    </row>
    <row r="1086" spans="17:22" x14ac:dyDescent="0.15">
      <c r="Q1086" s="38">
        <v>1083</v>
      </c>
      <c r="R1086" s="39">
        <f>[1]节奏总纲!AD1086</f>
        <v>100.81637067419413</v>
      </c>
      <c r="S1086" s="39">
        <f>[1]节奏总纲!AE1086</f>
        <v>103.12429036850601</v>
      </c>
      <c r="T1086" s="39">
        <f>[1]节奏总纲!AF1086</f>
        <v>106.23815614937088</v>
      </c>
      <c r="U1086" s="39">
        <f>[1]节奏总纲!AG1086</f>
        <v>111.08140695368812</v>
      </c>
      <c r="V1086" s="39">
        <f>[1]节奏总纲!AH1086</f>
        <v>120.19937798232796</v>
      </c>
    </row>
    <row r="1087" spans="17:22" x14ac:dyDescent="0.15">
      <c r="Q1087" s="38">
        <v>1084</v>
      </c>
      <c r="R1087" s="39">
        <f>[1]节奏总纲!AD1087</f>
        <v>100.82997685209736</v>
      </c>
      <c r="S1087" s="39">
        <f>[1]节奏总纲!AE1087</f>
        <v>103.13721500079785</v>
      </c>
      <c r="T1087" s="39">
        <f>[1]节奏总纲!AF1087</f>
        <v>106.25114938560159</v>
      </c>
      <c r="U1087" s="39">
        <f>[1]节奏总纲!AG1087</f>
        <v>111.0941107111361</v>
      </c>
      <c r="V1087" s="39">
        <f>[1]节奏总纲!AH1087</f>
        <v>120.21264861480454</v>
      </c>
    </row>
    <row r="1088" spans="17:22" x14ac:dyDescent="0.15">
      <c r="Q1088" s="38">
        <v>1085</v>
      </c>
      <c r="R1088" s="39">
        <f>[1]节奏总纲!AD1088</f>
        <v>100.8435830300006</v>
      </c>
      <c r="S1088" s="39">
        <f>[1]节奏总纲!AE1088</f>
        <v>103.15013963308969</v>
      </c>
      <c r="T1088" s="39">
        <f>[1]节奏总纲!AF1088</f>
        <v>106.26414262183231</v>
      </c>
      <c r="U1088" s="39">
        <f>[1]节奏总纲!AG1088</f>
        <v>111.10681446858408</v>
      </c>
      <c r="V1088" s="39">
        <f>[1]节奏总纲!AH1088</f>
        <v>120.2259192472811</v>
      </c>
    </row>
    <row r="1089" spans="17:22" x14ac:dyDescent="0.15">
      <c r="Q1089" s="38">
        <v>1086</v>
      </c>
      <c r="R1089" s="39">
        <f>[1]节奏总纲!AD1089</f>
        <v>100.85718920790383</v>
      </c>
      <c r="S1089" s="39">
        <f>[1]节奏总纲!AE1089</f>
        <v>103.16306426538152</v>
      </c>
      <c r="T1089" s="39">
        <f>[1]节奏总纲!AF1089</f>
        <v>106.27713585806302</v>
      </c>
      <c r="U1089" s="39">
        <f>[1]节奏总纲!AG1089</f>
        <v>111.11951822603206</v>
      </c>
      <c r="V1089" s="39">
        <f>[1]节奏总纲!AH1089</f>
        <v>120.23918987975767</v>
      </c>
    </row>
    <row r="1090" spans="17:22" x14ac:dyDescent="0.15">
      <c r="Q1090" s="38">
        <v>1087</v>
      </c>
      <c r="R1090" s="39">
        <f>[1]节奏总纲!AD1090</f>
        <v>100.87079538580707</v>
      </c>
      <c r="S1090" s="39">
        <f>[1]节奏总纲!AE1090</f>
        <v>103.17598889767336</v>
      </c>
      <c r="T1090" s="39">
        <f>[1]节奏总纲!AF1090</f>
        <v>106.29012909429373</v>
      </c>
      <c r="U1090" s="39">
        <f>[1]节奏总纲!AG1090</f>
        <v>111.13222198348004</v>
      </c>
      <c r="V1090" s="39">
        <f>[1]节奏总纲!AH1090</f>
        <v>120.25246051223424</v>
      </c>
    </row>
    <row r="1091" spans="17:22" x14ac:dyDescent="0.15">
      <c r="Q1091" s="38">
        <v>1088</v>
      </c>
      <c r="R1091" s="39">
        <f>[1]节奏总纲!AD1091</f>
        <v>100.88440156371031</v>
      </c>
      <c r="S1091" s="39">
        <f>[1]节奏总纲!AE1091</f>
        <v>103.18891352996521</v>
      </c>
      <c r="T1091" s="39">
        <f>[1]节奏总纲!AF1091</f>
        <v>106.30312233052445</v>
      </c>
      <c r="U1091" s="39">
        <f>[1]节奏总纲!AG1091</f>
        <v>111.14492574092803</v>
      </c>
      <c r="V1091" s="39">
        <f>[1]节奏总纲!AH1091</f>
        <v>120.26573114471081</v>
      </c>
    </row>
    <row r="1092" spans="17:22" x14ac:dyDescent="0.15">
      <c r="Q1092" s="38">
        <v>1089</v>
      </c>
      <c r="R1092" s="39">
        <f>[1]节奏总纲!AD1092</f>
        <v>100.89800774161354</v>
      </c>
      <c r="S1092" s="39">
        <f>[1]节奏总纲!AE1092</f>
        <v>103.20183816225705</v>
      </c>
      <c r="T1092" s="39">
        <f>[1]节奏总纲!AF1092</f>
        <v>106.31611556675516</v>
      </c>
      <c r="U1092" s="39">
        <f>[1]节奏总纲!AG1092</f>
        <v>111.15762949837601</v>
      </c>
      <c r="V1092" s="39">
        <f>[1]节奏总纲!AH1092</f>
        <v>120.27900177718737</v>
      </c>
    </row>
    <row r="1093" spans="17:22" x14ac:dyDescent="0.15">
      <c r="Q1093" s="38">
        <v>1090</v>
      </c>
      <c r="R1093" s="39">
        <f>[1]节奏总纲!AD1093</f>
        <v>100.91161391951678</v>
      </c>
      <c r="S1093" s="39">
        <f>[1]节奏总纲!AE1093</f>
        <v>103.21476279454889</v>
      </c>
      <c r="T1093" s="39">
        <f>[1]节奏总纲!AF1093</f>
        <v>106.32910880298587</v>
      </c>
      <c r="U1093" s="39">
        <f>[1]节奏总纲!AG1093</f>
        <v>111.17033325582399</v>
      </c>
      <c r="V1093" s="39">
        <f>[1]节奏总纲!AH1093</f>
        <v>120.29227240966394</v>
      </c>
    </row>
    <row r="1094" spans="17:22" x14ac:dyDescent="0.15">
      <c r="Q1094" s="38">
        <v>1091</v>
      </c>
      <c r="R1094" s="39">
        <f>[1]节奏总纲!AD1094</f>
        <v>100.92522009742001</v>
      </c>
      <c r="S1094" s="39">
        <f>[1]节奏总纲!AE1094</f>
        <v>103.22768742684073</v>
      </c>
      <c r="T1094" s="39">
        <f>[1]节奏总纲!AF1094</f>
        <v>106.34210203921658</v>
      </c>
      <c r="U1094" s="39">
        <f>[1]节奏总纲!AG1094</f>
        <v>111.18303701327197</v>
      </c>
      <c r="V1094" s="39">
        <f>[1]节奏总纲!AH1094</f>
        <v>120.30554304214051</v>
      </c>
    </row>
    <row r="1095" spans="17:22" x14ac:dyDescent="0.15">
      <c r="Q1095" s="38">
        <v>1092</v>
      </c>
      <c r="R1095" s="39">
        <f>[1]节奏总纲!AD1095</f>
        <v>100.93882627532325</v>
      </c>
      <c r="S1095" s="39">
        <f>[1]节奏总纲!AE1095</f>
        <v>103.24061205913256</v>
      </c>
      <c r="T1095" s="39">
        <f>[1]节奏总纲!AF1095</f>
        <v>106.35509527544731</v>
      </c>
      <c r="U1095" s="39">
        <f>[1]节奏总纲!AG1095</f>
        <v>111.19574077071996</v>
      </c>
      <c r="V1095" s="39">
        <f>[1]节奏总纲!AH1095</f>
        <v>120.31881367461708</v>
      </c>
    </row>
    <row r="1096" spans="17:22" x14ac:dyDescent="0.15">
      <c r="Q1096" s="38">
        <v>1093</v>
      </c>
      <c r="R1096" s="39">
        <f>[1]节奏总纲!AD1096</f>
        <v>100.95243245322648</v>
      </c>
      <c r="S1096" s="39">
        <f>[1]节奏总纲!AE1096</f>
        <v>103.2535366914244</v>
      </c>
      <c r="T1096" s="39">
        <f>[1]节奏总纲!AF1096</f>
        <v>106.36808851167802</v>
      </c>
      <c r="U1096" s="39">
        <f>[1]节奏总纲!AG1096</f>
        <v>111.20844452816795</v>
      </c>
      <c r="V1096" s="39">
        <f>[1]节奏总纲!AH1096</f>
        <v>120.33208430709365</v>
      </c>
    </row>
    <row r="1097" spans="17:22" x14ac:dyDescent="0.15">
      <c r="Q1097" s="38">
        <v>1094</v>
      </c>
      <c r="R1097" s="39">
        <f>[1]节奏总纲!AD1097</f>
        <v>100.96603863112972</v>
      </c>
      <c r="S1097" s="39">
        <f>[1]节奏总纲!AE1097</f>
        <v>103.26646132371624</v>
      </c>
      <c r="T1097" s="39">
        <f>[1]节奏总纲!AF1097</f>
        <v>106.38108174790874</v>
      </c>
      <c r="U1097" s="39">
        <f>[1]节奏总纲!AG1097</f>
        <v>111.22114828561593</v>
      </c>
      <c r="V1097" s="39">
        <f>[1]节奏总纲!AH1097</f>
        <v>120.34535493957021</v>
      </c>
    </row>
    <row r="1098" spans="17:22" x14ac:dyDescent="0.15">
      <c r="Q1098" s="38">
        <v>1095</v>
      </c>
      <c r="R1098" s="39">
        <f>[1]节奏总纲!AD1098</f>
        <v>100.97964480903296</v>
      </c>
      <c r="S1098" s="39">
        <f>[1]节奏总纲!AE1098</f>
        <v>103.27938595600808</v>
      </c>
      <c r="T1098" s="39">
        <f>[1]节奏总纲!AF1098</f>
        <v>106.39407498413945</v>
      </c>
      <c r="U1098" s="39">
        <f>[1]节奏总纲!AG1098</f>
        <v>111.23385204306391</v>
      </c>
      <c r="V1098" s="39">
        <f>[1]节奏总纲!AH1098</f>
        <v>120.35862557204679</v>
      </c>
    </row>
    <row r="1099" spans="17:22" x14ac:dyDescent="0.15">
      <c r="Q1099" s="38">
        <v>1096</v>
      </c>
      <c r="R1099" s="39">
        <f>[1]节奏总纲!AD1099</f>
        <v>100.99325098693619</v>
      </c>
      <c r="S1099" s="39">
        <f>[1]节奏总纲!AE1099</f>
        <v>103.29231058829993</v>
      </c>
      <c r="T1099" s="39">
        <f>[1]节奏总纲!AF1099</f>
        <v>106.40706822037016</v>
      </c>
      <c r="U1099" s="39">
        <f>[1]节奏总纲!AG1099</f>
        <v>111.2465558005119</v>
      </c>
      <c r="V1099" s="39">
        <f>[1]节奏总纲!AH1099</f>
        <v>120.37189620452335</v>
      </c>
    </row>
    <row r="1100" spans="17:22" x14ac:dyDescent="0.15">
      <c r="Q1100" s="38">
        <v>1097</v>
      </c>
      <c r="R1100" s="39">
        <f>[1]节奏总纲!AD1100</f>
        <v>101.00639796102359</v>
      </c>
      <c r="S1100" s="39">
        <f>[1]节奏总纲!AE1100</f>
        <v>103.30523522059175</v>
      </c>
      <c r="T1100" s="39">
        <f>[1]节奏总纲!AF1100</f>
        <v>106.42006145660088</v>
      </c>
      <c r="U1100" s="39">
        <f>[1]节奏总纲!AG1100</f>
        <v>111.25925955795988</v>
      </c>
      <c r="V1100" s="39">
        <f>[1]节奏总纲!AH1100</f>
        <v>120.38516683699991</v>
      </c>
    </row>
    <row r="1101" spans="17:22" x14ac:dyDescent="0.15">
      <c r="Q1101" s="38">
        <v>1098</v>
      </c>
      <c r="R1101" s="39">
        <f>[1]节奏总纲!AD1101</f>
        <v>101.01909297389602</v>
      </c>
      <c r="S1101" s="39">
        <f>[1]节奏总纲!AE1101</f>
        <v>103.3181598528836</v>
      </c>
      <c r="T1101" s="39">
        <f>[1]节奏总纲!AF1101</f>
        <v>106.43305469283159</v>
      </c>
      <c r="U1101" s="39">
        <f>[1]节奏总纲!AG1101</f>
        <v>111.27196331540786</v>
      </c>
      <c r="V1101" s="39">
        <f>[1]节奏总纲!AH1101</f>
        <v>120.39843746947649</v>
      </c>
    </row>
    <row r="1102" spans="17:22" x14ac:dyDescent="0.15">
      <c r="Q1102" s="38">
        <v>1099</v>
      </c>
      <c r="R1102" s="39">
        <f>[1]节奏总纲!AD1102</f>
        <v>101.03178798676846</v>
      </c>
      <c r="S1102" s="39">
        <f>[1]节奏总纲!AE1102</f>
        <v>103.33108448517544</v>
      </c>
      <c r="T1102" s="39">
        <f>[1]节奏总纲!AF1102</f>
        <v>106.4460479290623</v>
      </c>
      <c r="U1102" s="39">
        <f>[1]节奏总纲!AG1102</f>
        <v>111.28466707285584</v>
      </c>
      <c r="V1102" s="39">
        <f>[1]节奏总纲!AH1102</f>
        <v>120.41170810195305</v>
      </c>
    </row>
    <row r="1103" spans="17:22" x14ac:dyDescent="0.15">
      <c r="Q1103" s="38">
        <v>1100</v>
      </c>
      <c r="R1103" s="39">
        <f>[1]节奏总纲!AD1103</f>
        <v>101.04448299964091</v>
      </c>
      <c r="S1103" s="39">
        <f>[1]节奏总纲!AE1103</f>
        <v>103.34400911746728</v>
      </c>
      <c r="T1103" s="39">
        <f>[1]节奏总纲!AF1103</f>
        <v>106.45904116529302</v>
      </c>
      <c r="U1103" s="39">
        <f>[1]节奏总纲!AG1103</f>
        <v>111.29737083030383</v>
      </c>
      <c r="V1103" s="39">
        <f>[1]节奏总纲!AH1103</f>
        <v>120.42497873442963</v>
      </c>
    </row>
    <row r="1104" spans="17:22" x14ac:dyDescent="0.15">
      <c r="Q1104" s="38">
        <v>1101</v>
      </c>
      <c r="R1104" s="39">
        <f>[1]节奏总纲!AD1104</f>
        <v>101.05717801251335</v>
      </c>
      <c r="S1104" s="39">
        <f>[1]节奏总纲!AE1104</f>
        <v>103.35693374975912</v>
      </c>
      <c r="T1104" s="39">
        <f>[1]节奏总纲!AF1104</f>
        <v>106.47203440152373</v>
      </c>
      <c r="U1104" s="39">
        <f>[1]节奏总纲!AG1104</f>
        <v>111.31007458775181</v>
      </c>
      <c r="V1104" s="39">
        <f>[1]节奏总纲!AH1104</f>
        <v>120.43824936690619</v>
      </c>
    </row>
    <row r="1105" spans="17:22" x14ac:dyDescent="0.15">
      <c r="Q1105" s="38">
        <v>1102</v>
      </c>
      <c r="R1105" s="39">
        <f>[1]节奏总纲!AD1105</f>
        <v>101.06987302538577</v>
      </c>
      <c r="S1105" s="39">
        <f>[1]节奏总纲!AE1105</f>
        <v>103.36985838205096</v>
      </c>
      <c r="T1105" s="39">
        <f>[1]节奏总纲!AF1105</f>
        <v>106.48502763775444</v>
      </c>
      <c r="U1105" s="39">
        <f>[1]节奏总纲!AG1105</f>
        <v>111.32277834519979</v>
      </c>
      <c r="V1105" s="39">
        <f>[1]节奏总纲!AH1105</f>
        <v>120.45151999938277</v>
      </c>
    </row>
    <row r="1106" spans="17:22" x14ac:dyDescent="0.15">
      <c r="Q1106" s="38">
        <v>1103</v>
      </c>
      <c r="R1106" s="39">
        <f>[1]节奏总纲!AD1106</f>
        <v>101.08256803825822</v>
      </c>
      <c r="S1106" s="39">
        <f>[1]节奏总纲!AE1106</f>
        <v>103.38278301434279</v>
      </c>
      <c r="T1106" s="39">
        <f>[1]节奏总纲!AF1106</f>
        <v>106.49802087398515</v>
      </c>
      <c r="U1106" s="39">
        <f>[1]节奏总纲!AG1106</f>
        <v>111.33548210264777</v>
      </c>
      <c r="V1106" s="39">
        <f>[1]节奏总纲!AH1106</f>
        <v>120.46479063185933</v>
      </c>
    </row>
    <row r="1107" spans="17:22" x14ac:dyDescent="0.15">
      <c r="Q1107" s="38">
        <v>1104</v>
      </c>
      <c r="R1107" s="39">
        <f>[1]节奏总纲!AD1107</f>
        <v>101.09526305113066</v>
      </c>
      <c r="S1107" s="39">
        <f>[1]节奏总纲!AE1107</f>
        <v>103.39570764663463</v>
      </c>
      <c r="T1107" s="39">
        <f>[1]节奏总纲!AF1107</f>
        <v>106.51101411021587</v>
      </c>
      <c r="U1107" s="39">
        <f>[1]节奏总纲!AG1107</f>
        <v>111.34818586009575</v>
      </c>
      <c r="V1107" s="39">
        <f>[1]节奏总纲!AH1107</f>
        <v>120.47806126433591</v>
      </c>
    </row>
    <row r="1108" spans="17:22" x14ac:dyDescent="0.15">
      <c r="Q1108" s="38">
        <v>1105</v>
      </c>
      <c r="R1108" s="39">
        <f>[1]节奏总纲!AD1108</f>
        <v>101.10795806400309</v>
      </c>
      <c r="S1108" s="39">
        <f>[1]节奏总纲!AE1108</f>
        <v>103.40863227892648</v>
      </c>
      <c r="T1108" s="39">
        <f>[1]节奏总纲!AF1108</f>
        <v>106.52400734644658</v>
      </c>
      <c r="U1108" s="39">
        <f>[1]节奏总纲!AG1108</f>
        <v>111.36088961754375</v>
      </c>
      <c r="V1108" s="39">
        <f>[1]节奏总纲!AH1108</f>
        <v>120.49133189681247</v>
      </c>
    </row>
    <row r="1109" spans="17:22" x14ac:dyDescent="0.15">
      <c r="Q1109" s="38">
        <v>1106</v>
      </c>
      <c r="R1109" s="39">
        <f>[1]节奏总纲!AD1109</f>
        <v>101.12065307687553</v>
      </c>
      <c r="S1109" s="39">
        <f>[1]节奏总纲!AE1109</f>
        <v>103.42155691121832</v>
      </c>
      <c r="T1109" s="39">
        <f>[1]节奏总纲!AF1109</f>
        <v>106.53700058267729</v>
      </c>
      <c r="U1109" s="39">
        <f>[1]节奏总纲!AG1109</f>
        <v>111.37359337499173</v>
      </c>
      <c r="V1109" s="39">
        <f>[1]节奏总纲!AH1109</f>
        <v>120.50460252928903</v>
      </c>
    </row>
    <row r="1110" spans="17:22" x14ac:dyDescent="0.15">
      <c r="Q1110" s="38">
        <v>1107</v>
      </c>
      <c r="R1110" s="39">
        <f>[1]节奏总纲!AD1110</f>
        <v>101.13334808974797</v>
      </c>
      <c r="S1110" s="39">
        <f>[1]节奏总纲!AE1110</f>
        <v>103.43448154351016</v>
      </c>
      <c r="T1110" s="39">
        <f>[1]节奏总纲!AF1110</f>
        <v>106.54999381890802</v>
      </c>
      <c r="U1110" s="39">
        <f>[1]节奏总纲!AG1110</f>
        <v>111.38629713243971</v>
      </c>
      <c r="V1110" s="39">
        <f>[1]节奏总纲!AH1110</f>
        <v>120.51787316176561</v>
      </c>
    </row>
    <row r="1111" spans="17:22" x14ac:dyDescent="0.15">
      <c r="Q1111" s="38">
        <v>1108</v>
      </c>
      <c r="R1111" s="39">
        <f>[1]节奏总纲!AD1111</f>
        <v>101.14604310262041</v>
      </c>
      <c r="S1111" s="39">
        <f>[1]节奏总纲!AE1111</f>
        <v>103.44740617580199</v>
      </c>
      <c r="T1111" s="39">
        <f>[1]节奏总纲!AF1111</f>
        <v>106.56298705513873</v>
      </c>
      <c r="U1111" s="39">
        <f>[1]节奏总纲!AG1111</f>
        <v>111.39900088988769</v>
      </c>
      <c r="V1111" s="39">
        <f>[1]节奏总纲!AH1111</f>
        <v>120.53114379424217</v>
      </c>
    </row>
    <row r="1112" spans="17:22" x14ac:dyDescent="0.15">
      <c r="Q1112" s="38">
        <v>1109</v>
      </c>
      <c r="R1112" s="39">
        <f>[1]节奏总纲!AD1112</f>
        <v>101.15873811549284</v>
      </c>
      <c r="S1112" s="39">
        <f>[1]节奏总纲!AE1112</f>
        <v>103.46033080809383</v>
      </c>
      <c r="T1112" s="39">
        <f>[1]节奏总纲!AF1112</f>
        <v>106.57598029136945</v>
      </c>
      <c r="U1112" s="39">
        <f>[1]节奏总纲!AG1112</f>
        <v>111.41170464733568</v>
      </c>
      <c r="V1112" s="39">
        <f>[1]节奏总纲!AH1112</f>
        <v>120.54441442671875</v>
      </c>
    </row>
    <row r="1113" spans="17:22" x14ac:dyDescent="0.15">
      <c r="Q1113" s="38">
        <v>1110</v>
      </c>
      <c r="R1113" s="39">
        <f>[1]节奏总纲!AD1113</f>
        <v>101.17143312836528</v>
      </c>
      <c r="S1113" s="39">
        <f>[1]节奏总纲!AE1113</f>
        <v>103.47325544038567</v>
      </c>
      <c r="T1113" s="39">
        <f>[1]节奏总纲!AF1113</f>
        <v>106.58897352760016</v>
      </c>
      <c r="U1113" s="39">
        <f>[1]节奏总纲!AG1113</f>
        <v>111.42440840478366</v>
      </c>
      <c r="V1113" s="39">
        <f>[1]节奏总纲!AH1113</f>
        <v>120.55768505919531</v>
      </c>
    </row>
    <row r="1114" spans="17:22" x14ac:dyDescent="0.15">
      <c r="Q1114" s="38">
        <v>1111</v>
      </c>
      <c r="R1114" s="39">
        <f>[1]节奏总纲!AD1114</f>
        <v>101.18412814123772</v>
      </c>
      <c r="S1114" s="39">
        <f>[1]节奏总纲!AE1114</f>
        <v>103.48618007267751</v>
      </c>
      <c r="T1114" s="39">
        <f>[1]节奏总纲!AF1114</f>
        <v>106.60196676383087</v>
      </c>
      <c r="U1114" s="39">
        <f>[1]节奏总纲!AG1114</f>
        <v>111.43711216223164</v>
      </c>
      <c r="V1114" s="39">
        <f>[1]节奏总纲!AH1114</f>
        <v>120.57095569167188</v>
      </c>
    </row>
    <row r="1115" spans="17:22" x14ac:dyDescent="0.15">
      <c r="Q1115" s="38">
        <v>1112</v>
      </c>
      <c r="R1115" s="39">
        <f>[1]节奏总纲!AD1115</f>
        <v>101.19682315411016</v>
      </c>
      <c r="S1115" s="39">
        <f>[1]节奏总纲!AE1115</f>
        <v>103.49910470496935</v>
      </c>
      <c r="T1115" s="39">
        <f>[1]节奏总纲!AF1115</f>
        <v>106.61496000006159</v>
      </c>
      <c r="U1115" s="39">
        <f>[1]节奏总纲!AG1115</f>
        <v>111.44981591967962</v>
      </c>
      <c r="V1115" s="39">
        <f>[1]节奏总纲!AH1115</f>
        <v>120.58422632414845</v>
      </c>
    </row>
    <row r="1116" spans="17:22" x14ac:dyDescent="0.15">
      <c r="Q1116" s="38">
        <v>1113</v>
      </c>
      <c r="R1116" s="39">
        <f>[1]节奏总纲!AD1116</f>
        <v>101.20951816698259</v>
      </c>
      <c r="S1116" s="39">
        <f>[1]节奏总纲!AE1116</f>
        <v>103.5120293372612</v>
      </c>
      <c r="T1116" s="39">
        <f>[1]节奏总纲!AF1116</f>
        <v>106.6279532362923</v>
      </c>
      <c r="U1116" s="39">
        <f>[1]节奏总纲!AG1116</f>
        <v>111.46251967712762</v>
      </c>
      <c r="V1116" s="39">
        <f>[1]节奏总纲!AH1116</f>
        <v>120.59749695662501</v>
      </c>
    </row>
    <row r="1117" spans="17:22" x14ac:dyDescent="0.15">
      <c r="Q1117" s="38">
        <v>1114</v>
      </c>
      <c r="R1117" s="39">
        <f>[1]节奏总纲!AD1117</f>
        <v>101.22221317985503</v>
      </c>
      <c r="S1117" s="39">
        <f>[1]节奏总纲!AE1117</f>
        <v>103.52495396955302</v>
      </c>
      <c r="T1117" s="39">
        <f>[1]节奏总纲!AF1117</f>
        <v>106.64094647252301</v>
      </c>
      <c r="U1117" s="39">
        <f>[1]节奏总纲!AG1117</f>
        <v>111.4752234345756</v>
      </c>
      <c r="V1117" s="39">
        <f>[1]节奏总纲!AH1117</f>
        <v>120.61076758910158</v>
      </c>
    </row>
    <row r="1118" spans="17:22" x14ac:dyDescent="0.15">
      <c r="Q1118" s="38">
        <v>1115</v>
      </c>
      <c r="R1118" s="39">
        <f>[1]节奏总纲!AD1118</f>
        <v>101.23490819272747</v>
      </c>
      <c r="S1118" s="39">
        <f>[1]节奏总纲!AE1118</f>
        <v>103.53787860184487</v>
      </c>
      <c r="T1118" s="39">
        <f>[1]节奏总纲!AF1118</f>
        <v>106.65393970875373</v>
      </c>
      <c r="U1118" s="39">
        <f>[1]节奏总纲!AG1118</f>
        <v>111.48792719202358</v>
      </c>
      <c r="V1118" s="39">
        <f>[1]节奏总纲!AH1118</f>
        <v>120.62403822157815</v>
      </c>
    </row>
    <row r="1119" spans="17:22" x14ac:dyDescent="0.15">
      <c r="Q1119" s="38">
        <v>1116</v>
      </c>
      <c r="R1119" s="39">
        <f>[1]节奏总纲!AD1119</f>
        <v>101.2476032055999</v>
      </c>
      <c r="S1119" s="39">
        <f>[1]节奏总纲!AE1119</f>
        <v>103.55080323413671</v>
      </c>
      <c r="T1119" s="39">
        <f>[1]节奏总纲!AF1119</f>
        <v>106.66693294498444</v>
      </c>
      <c r="U1119" s="39">
        <f>[1]节奏总纲!AG1119</f>
        <v>111.50063094947156</v>
      </c>
      <c r="V1119" s="39">
        <f>[1]节奏总纲!AH1119</f>
        <v>120.63730885405472</v>
      </c>
    </row>
    <row r="1120" spans="17:22" x14ac:dyDescent="0.15">
      <c r="Q1120" s="38">
        <v>1117</v>
      </c>
      <c r="R1120" s="39">
        <f>[1]节奏总纲!AD1120</f>
        <v>101.26029821847234</v>
      </c>
      <c r="S1120" s="39">
        <f>[1]节奏总纲!AE1120</f>
        <v>103.56372786642855</v>
      </c>
      <c r="T1120" s="39">
        <f>[1]节奏总纲!AF1120</f>
        <v>106.67992618121515</v>
      </c>
      <c r="U1120" s="39">
        <f>[1]节奏总纲!AG1120</f>
        <v>111.51333470691955</v>
      </c>
      <c r="V1120" s="39">
        <f>[1]节奏总纲!AH1120</f>
        <v>120.65057948653129</v>
      </c>
    </row>
    <row r="1121" spans="17:22" x14ac:dyDescent="0.15">
      <c r="Q1121" s="38">
        <v>1118</v>
      </c>
      <c r="R1121" s="39">
        <f>[1]节奏总纲!AD1121</f>
        <v>101.27299323134478</v>
      </c>
      <c r="S1121" s="39">
        <f>[1]节奏总纲!AE1121</f>
        <v>103.57665249872039</v>
      </c>
      <c r="T1121" s="39">
        <f>[1]节奏总纲!AF1121</f>
        <v>106.69291941744586</v>
      </c>
      <c r="U1121" s="39">
        <f>[1]节奏总纲!AG1121</f>
        <v>111.52603846436753</v>
      </c>
      <c r="V1121" s="39">
        <f>[1]节奏总纲!AH1121</f>
        <v>120.66385011900786</v>
      </c>
    </row>
    <row r="1122" spans="17:22" x14ac:dyDescent="0.15">
      <c r="Q1122" s="38">
        <v>1119</v>
      </c>
      <c r="R1122" s="39">
        <f>[1]节奏总纲!AD1122</f>
        <v>101.28568824421723</v>
      </c>
      <c r="S1122" s="39">
        <f>[1]节奏总纲!AE1122</f>
        <v>103.58957713101222</v>
      </c>
      <c r="T1122" s="39">
        <f>[1]节奏总纲!AF1122</f>
        <v>106.70591265367658</v>
      </c>
      <c r="U1122" s="39">
        <f>[1]节奏总纲!AG1122</f>
        <v>111.53874222181551</v>
      </c>
      <c r="V1122" s="39">
        <f>[1]节奏总纲!AH1122</f>
        <v>120.67712075148442</v>
      </c>
    </row>
    <row r="1123" spans="17:22" x14ac:dyDescent="0.15">
      <c r="Q1123" s="38">
        <v>1120</v>
      </c>
      <c r="R1123" s="39">
        <f>[1]节奏总纲!AD1123</f>
        <v>101.29838325708965</v>
      </c>
      <c r="S1123" s="39">
        <f>[1]节奏总纲!AE1123</f>
        <v>103.60250176330406</v>
      </c>
      <c r="T1123" s="39">
        <f>[1]节奏总纲!AF1123</f>
        <v>106.71890588990729</v>
      </c>
      <c r="U1123" s="39">
        <f>[1]节奏总纲!AG1123</f>
        <v>111.55144597926349</v>
      </c>
      <c r="V1123" s="39">
        <f>[1]节奏总纲!AH1123</f>
        <v>120.690391383961</v>
      </c>
    </row>
    <row r="1124" spans="17:22" x14ac:dyDescent="0.15">
      <c r="Q1124" s="38">
        <v>1121</v>
      </c>
      <c r="R1124" s="39">
        <f>[1]节奏总纲!AD1124</f>
        <v>101.3110782699621</v>
      </c>
      <c r="S1124" s="39">
        <f>[1]节奏总纲!AE1124</f>
        <v>103.6154263955959</v>
      </c>
      <c r="T1124" s="39">
        <f>[1]节奏总纲!AF1124</f>
        <v>106.731899126138</v>
      </c>
      <c r="U1124" s="39">
        <f>[1]节奏总纲!AG1124</f>
        <v>111.56414973671147</v>
      </c>
      <c r="V1124" s="39">
        <f>[1]节奏总纲!AH1124</f>
        <v>120.70366201643756</v>
      </c>
    </row>
    <row r="1125" spans="17:22" x14ac:dyDescent="0.15">
      <c r="Q1125" s="38">
        <v>1122</v>
      </c>
      <c r="R1125" s="39">
        <f>[1]节奏总纲!AD1125</f>
        <v>101.32377328283454</v>
      </c>
      <c r="S1125" s="39">
        <f>[1]节奏总纲!AE1125</f>
        <v>103.62835102788775</v>
      </c>
      <c r="T1125" s="39">
        <f>[1]节奏总纲!AF1125</f>
        <v>106.74489236236873</v>
      </c>
      <c r="U1125" s="39">
        <f>[1]节奏总纲!AG1125</f>
        <v>111.57685349415947</v>
      </c>
      <c r="V1125" s="39">
        <f>[1]节奏总纲!AH1125</f>
        <v>120.71693264891412</v>
      </c>
    </row>
    <row r="1126" spans="17:22" x14ac:dyDescent="0.15">
      <c r="Q1126" s="38">
        <v>1123</v>
      </c>
      <c r="R1126" s="39">
        <f>[1]节奏总纲!AD1126</f>
        <v>101.33646829570696</v>
      </c>
      <c r="S1126" s="39">
        <f>[1]节奏总纲!AE1126</f>
        <v>103.64127566017959</v>
      </c>
      <c r="T1126" s="39">
        <f>[1]节奏总纲!AF1126</f>
        <v>106.75788559859944</v>
      </c>
      <c r="U1126" s="39">
        <f>[1]节奏总纲!AG1126</f>
        <v>111.58955725160745</v>
      </c>
      <c r="V1126" s="39">
        <f>[1]节奏总纲!AH1126</f>
        <v>120.7302032813907</v>
      </c>
    </row>
    <row r="1127" spans="17:22" x14ac:dyDescent="0.15">
      <c r="Q1127" s="38">
        <v>1124</v>
      </c>
      <c r="R1127" s="39">
        <f>[1]节奏总纲!AD1127</f>
        <v>101.34916330857941</v>
      </c>
      <c r="S1127" s="39">
        <f>[1]节奏总纲!AE1127</f>
        <v>103.65420029247142</v>
      </c>
      <c r="T1127" s="39">
        <f>[1]节奏总纲!AF1127</f>
        <v>106.77087883483016</v>
      </c>
      <c r="U1127" s="39">
        <f>[1]节奏总纲!AG1127</f>
        <v>111.60226100905543</v>
      </c>
      <c r="V1127" s="39">
        <f>[1]节奏总纲!AH1127</f>
        <v>120.74347391386726</v>
      </c>
    </row>
    <row r="1128" spans="17:22" x14ac:dyDescent="0.15">
      <c r="Q1128" s="38">
        <v>1125</v>
      </c>
      <c r="R1128" s="39">
        <f>[1]节奏总纲!AD1128</f>
        <v>101.36185832145185</v>
      </c>
      <c r="S1128" s="39">
        <f>[1]节奏总纲!AE1128</f>
        <v>103.66712492476326</v>
      </c>
      <c r="T1128" s="39">
        <f>[1]节奏总纲!AF1128</f>
        <v>106.78387207106087</v>
      </c>
      <c r="U1128" s="39">
        <f>[1]节奏总纲!AG1128</f>
        <v>111.61496476650341</v>
      </c>
      <c r="V1128" s="39">
        <f>[1]节奏总纲!AH1128</f>
        <v>120.75674454634384</v>
      </c>
    </row>
    <row r="1129" spans="17:22" x14ac:dyDescent="0.15">
      <c r="Q1129" s="38">
        <v>1126</v>
      </c>
      <c r="R1129" s="39">
        <f>[1]节奏总纲!AD1129</f>
        <v>101.37455333432429</v>
      </c>
      <c r="S1129" s="39">
        <f>[1]节奏总纲!AE1129</f>
        <v>103.6800495570551</v>
      </c>
      <c r="T1129" s="39">
        <f>[1]节奏总纲!AF1129</f>
        <v>106.79686530729158</v>
      </c>
      <c r="U1129" s="39">
        <f>[1]节奏总纲!AG1129</f>
        <v>111.6276685239514</v>
      </c>
      <c r="V1129" s="39">
        <f>[1]节奏总纲!AH1129</f>
        <v>120.7700151788204</v>
      </c>
    </row>
    <row r="1130" spans="17:22" x14ac:dyDescent="0.15">
      <c r="Q1130" s="38">
        <v>1127</v>
      </c>
      <c r="R1130" s="39">
        <f>[1]节奏总纲!AD1130</f>
        <v>101.38724834719672</v>
      </c>
      <c r="S1130" s="39">
        <f>[1]节奏总纲!AE1130</f>
        <v>103.69297418934694</v>
      </c>
      <c r="T1130" s="39">
        <f>[1]节奏总纲!AF1130</f>
        <v>106.8098585435223</v>
      </c>
      <c r="U1130" s="39">
        <f>[1]节奏总纲!AG1130</f>
        <v>111.64037228139938</v>
      </c>
      <c r="V1130" s="39">
        <f>[1]节奏总纲!AH1130</f>
        <v>120.78328581129698</v>
      </c>
    </row>
    <row r="1131" spans="17:22" x14ac:dyDescent="0.15">
      <c r="Q1131" s="38">
        <v>1128</v>
      </c>
      <c r="R1131" s="39">
        <f>[1]节奏总纲!AD1131</f>
        <v>101.39994336006916</v>
      </c>
      <c r="S1131" s="39">
        <f>[1]节奏总纲!AE1131</f>
        <v>103.70589882163878</v>
      </c>
      <c r="T1131" s="39">
        <f>[1]节奏总纲!AF1131</f>
        <v>106.82285177975301</v>
      </c>
      <c r="U1131" s="39">
        <f>[1]节奏总纲!AG1131</f>
        <v>111.65307603884736</v>
      </c>
      <c r="V1131" s="39">
        <f>[1]节奏总纲!AH1131</f>
        <v>120.79655644377354</v>
      </c>
    </row>
    <row r="1132" spans="17:22" x14ac:dyDescent="0.15">
      <c r="Q1132" s="38">
        <v>1129</v>
      </c>
      <c r="R1132" s="39">
        <f>[1]节奏总纲!AD1132</f>
        <v>101.4126383729416</v>
      </c>
      <c r="S1132" s="39">
        <f>[1]节奏总纲!AE1132</f>
        <v>103.71882345393063</v>
      </c>
      <c r="T1132" s="39">
        <f>[1]节奏总纲!AF1132</f>
        <v>106.83584501598372</v>
      </c>
      <c r="U1132" s="39">
        <f>[1]节奏总纲!AG1132</f>
        <v>111.66577979629534</v>
      </c>
      <c r="V1132" s="39">
        <f>[1]节奏总纲!AH1132</f>
        <v>120.8098270762501</v>
      </c>
    </row>
    <row r="1133" spans="17:22" x14ac:dyDescent="0.15">
      <c r="Q1133" s="38">
        <v>1130</v>
      </c>
      <c r="R1133" s="39">
        <f>[1]节奏总纲!AD1133</f>
        <v>101.42533338581403</v>
      </c>
      <c r="S1133" s="39">
        <f>[1]节奏总纲!AE1133</f>
        <v>103.73174808622245</v>
      </c>
      <c r="T1133" s="39">
        <f>[1]节奏总纲!AF1133</f>
        <v>106.84883825221443</v>
      </c>
      <c r="U1133" s="39">
        <f>[1]节奏总纲!AG1133</f>
        <v>111.67848355374333</v>
      </c>
      <c r="V1133" s="39">
        <f>[1]节奏总纲!AH1133</f>
        <v>120.82309770872668</v>
      </c>
    </row>
    <row r="1134" spans="17:22" x14ac:dyDescent="0.15">
      <c r="Q1134" s="38">
        <v>1131</v>
      </c>
      <c r="R1134" s="39">
        <f>[1]节奏总纲!AD1134</f>
        <v>101.43802839868647</v>
      </c>
      <c r="S1134" s="39">
        <f>[1]节奏总纲!AE1134</f>
        <v>103.74467271851429</v>
      </c>
      <c r="T1134" s="39">
        <f>[1]节奏总纲!AF1134</f>
        <v>106.86183148844515</v>
      </c>
      <c r="U1134" s="39">
        <f>[1]节奏总纲!AG1134</f>
        <v>111.69118731119131</v>
      </c>
      <c r="V1134" s="39">
        <f>[1]节奏总纲!AH1134</f>
        <v>120.83636834120324</v>
      </c>
    </row>
    <row r="1135" spans="17:22" x14ac:dyDescent="0.15">
      <c r="Q1135" s="38">
        <v>1132</v>
      </c>
      <c r="R1135" s="39">
        <f>[1]节奏总纲!AD1135</f>
        <v>101.45072341155891</v>
      </c>
      <c r="S1135" s="39">
        <f>[1]节奏总纲!AE1135</f>
        <v>103.75759735080614</v>
      </c>
      <c r="T1135" s="39">
        <f>[1]节奏总纲!AF1135</f>
        <v>106.87482472467586</v>
      </c>
      <c r="U1135" s="39">
        <f>[1]节奏总纲!AG1135</f>
        <v>111.70389106863929</v>
      </c>
      <c r="V1135" s="39">
        <f>[1]节奏总纲!AH1135</f>
        <v>120.84963897367982</v>
      </c>
    </row>
    <row r="1136" spans="17:22" x14ac:dyDescent="0.15">
      <c r="Q1136" s="38">
        <v>1133</v>
      </c>
      <c r="R1136" s="39">
        <f>[1]节奏总纲!AD1136</f>
        <v>101.46341842443135</v>
      </c>
      <c r="S1136" s="39">
        <f>[1]节奏总纲!AE1136</f>
        <v>103.77052198309798</v>
      </c>
      <c r="T1136" s="39">
        <f>[1]节奏总纲!AF1136</f>
        <v>106.88781796090657</v>
      </c>
      <c r="U1136" s="39">
        <f>[1]节奏总纲!AG1136</f>
        <v>111.71659482608727</v>
      </c>
      <c r="V1136" s="39">
        <f>[1]节奏总纲!AH1136</f>
        <v>120.86290960615638</v>
      </c>
    </row>
    <row r="1137" spans="17:22" x14ac:dyDescent="0.15">
      <c r="Q1137" s="38">
        <v>1134</v>
      </c>
      <c r="R1137" s="39">
        <f>[1]节奏总纲!AD1137</f>
        <v>101.47611343730378</v>
      </c>
      <c r="S1137" s="39">
        <f>[1]节奏总纲!AE1137</f>
        <v>103.78344661538982</v>
      </c>
      <c r="T1137" s="39">
        <f>[1]节奏总纲!AF1137</f>
        <v>106.90081119713729</v>
      </c>
      <c r="U1137" s="39">
        <f>[1]节奏总纲!AG1137</f>
        <v>111.72929858353527</v>
      </c>
      <c r="V1137" s="39">
        <f>[1]节奏总纲!AH1137</f>
        <v>120.87618023863295</v>
      </c>
    </row>
    <row r="1138" spans="17:22" x14ac:dyDescent="0.15">
      <c r="Q1138" s="38">
        <v>1135</v>
      </c>
      <c r="R1138" s="39">
        <f>[1]节奏总纲!AD1138</f>
        <v>101.48880845017622</v>
      </c>
      <c r="S1138" s="39">
        <f>[1]节奏总纲!AE1138</f>
        <v>103.79637124768165</v>
      </c>
      <c r="T1138" s="39">
        <f>[1]节奏总纲!AF1138</f>
        <v>106.913804433368</v>
      </c>
      <c r="U1138" s="39">
        <f>[1]节奏总纲!AG1138</f>
        <v>111.74200234098325</v>
      </c>
      <c r="V1138" s="39">
        <f>[1]节奏总纲!AH1138</f>
        <v>120.88945087110952</v>
      </c>
    </row>
    <row r="1139" spans="17:22" x14ac:dyDescent="0.15">
      <c r="Q1139" s="38">
        <v>1136</v>
      </c>
      <c r="R1139" s="39">
        <f>[1]节奏总纲!AD1139</f>
        <v>101.50150346304866</v>
      </c>
      <c r="S1139" s="39">
        <f>[1]节奏总纲!AE1139</f>
        <v>103.80929587997349</v>
      </c>
      <c r="T1139" s="39">
        <f>[1]节奏总纲!AF1139</f>
        <v>106.92679766959871</v>
      </c>
      <c r="U1139" s="39">
        <f>[1]节奏总纲!AG1139</f>
        <v>111.75470609843123</v>
      </c>
      <c r="V1139" s="39">
        <f>[1]节奏总纲!AH1139</f>
        <v>120.90272150358609</v>
      </c>
    </row>
    <row r="1140" spans="17:22" x14ac:dyDescent="0.15">
      <c r="Q1140" s="38">
        <v>1137</v>
      </c>
      <c r="R1140" s="39">
        <f>[1]节奏总纲!AD1140</f>
        <v>101.51419847592109</v>
      </c>
      <c r="S1140" s="39">
        <f>[1]节奏总纲!AE1140</f>
        <v>103.82222051226533</v>
      </c>
      <c r="T1140" s="39">
        <f>[1]节奏总纲!AF1140</f>
        <v>106.93979090582944</v>
      </c>
      <c r="U1140" s="39">
        <f>[1]节奏总纲!AG1140</f>
        <v>111.76740985587921</v>
      </c>
      <c r="V1140" s="39">
        <f>[1]节奏总纲!AH1140</f>
        <v>120.91599213606266</v>
      </c>
    </row>
    <row r="1141" spans="17:22" x14ac:dyDescent="0.15">
      <c r="Q1141" s="38">
        <v>1138</v>
      </c>
      <c r="R1141" s="39">
        <f>[1]节奏总纲!AD1141</f>
        <v>101.52689348879353</v>
      </c>
      <c r="S1141" s="39">
        <f>[1]节奏总纲!AE1141</f>
        <v>103.83514514455717</v>
      </c>
      <c r="T1141" s="39">
        <f>[1]节奏总纲!AF1141</f>
        <v>106.95278414206015</v>
      </c>
      <c r="U1141" s="39">
        <f>[1]节奏总纲!AG1141</f>
        <v>111.78011361332719</v>
      </c>
      <c r="V1141" s="39">
        <f>[1]节奏总纲!AH1141</f>
        <v>120.92926276853922</v>
      </c>
    </row>
    <row r="1142" spans="17:22" x14ac:dyDescent="0.15">
      <c r="Q1142" s="38">
        <v>1139</v>
      </c>
      <c r="R1142" s="39">
        <f>[1]节奏总纲!AD1142</f>
        <v>101.53958850166597</v>
      </c>
      <c r="S1142" s="39">
        <f>[1]节奏总纲!AE1142</f>
        <v>103.84806977684902</v>
      </c>
      <c r="T1142" s="39">
        <f>[1]节奏总纲!AF1142</f>
        <v>106.96577737829087</v>
      </c>
      <c r="U1142" s="39">
        <f>[1]节奏总纲!AG1142</f>
        <v>111.79281737077518</v>
      </c>
      <c r="V1142" s="39">
        <f>[1]节奏总纲!AH1142</f>
        <v>120.94253340101579</v>
      </c>
    </row>
    <row r="1143" spans="17:22" x14ac:dyDescent="0.15">
      <c r="Q1143" s="38">
        <v>1140</v>
      </c>
      <c r="R1143" s="39">
        <f>[1]节奏总纲!AD1143</f>
        <v>101.55228351453842</v>
      </c>
      <c r="S1143" s="39">
        <f>[1]节奏总纲!AE1143</f>
        <v>103.86099440914086</v>
      </c>
      <c r="T1143" s="39">
        <f>[1]节奏总纲!AF1143</f>
        <v>106.97877061452158</v>
      </c>
      <c r="U1143" s="39">
        <f>[1]节奏总纲!AG1143</f>
        <v>111.80552112822316</v>
      </c>
      <c r="V1143" s="39">
        <f>[1]节奏总纲!AH1143</f>
        <v>120.95580403349236</v>
      </c>
    </row>
    <row r="1144" spans="17:22" x14ac:dyDescent="0.15">
      <c r="Q1144" s="38">
        <v>1141</v>
      </c>
      <c r="R1144" s="39">
        <f>[1]节奏总纲!AD1144</f>
        <v>101.56497852741084</v>
      </c>
      <c r="S1144" s="39">
        <f>[1]节奏总纲!AE1144</f>
        <v>103.87391904143269</v>
      </c>
      <c r="T1144" s="39">
        <f>[1]节奏总纲!AF1144</f>
        <v>106.99176385075229</v>
      </c>
      <c r="U1144" s="39">
        <f>[1]节奏总纲!AG1144</f>
        <v>111.81822488567114</v>
      </c>
      <c r="V1144" s="39">
        <f>[1]节奏总纲!AH1144</f>
        <v>120.96907466596893</v>
      </c>
    </row>
    <row r="1145" spans="17:22" x14ac:dyDescent="0.15">
      <c r="Q1145" s="38">
        <v>1142</v>
      </c>
      <c r="R1145" s="39">
        <f>[1]节奏总纲!AD1145</f>
        <v>101.57767354028329</v>
      </c>
      <c r="S1145" s="39">
        <f>[1]节奏总纲!AE1145</f>
        <v>103.88684367372453</v>
      </c>
      <c r="T1145" s="39">
        <f>[1]节奏总纲!AF1145</f>
        <v>107.00478811065045</v>
      </c>
      <c r="U1145" s="39">
        <f>[1]节奏总纲!AG1145</f>
        <v>111.83092864311912</v>
      </c>
      <c r="V1145" s="39">
        <f>[1]节奏总纲!AH1145</f>
        <v>120.98234529844549</v>
      </c>
    </row>
    <row r="1146" spans="17:22" x14ac:dyDescent="0.15">
      <c r="Q1146" s="38">
        <v>1143</v>
      </c>
      <c r="R1146" s="39">
        <f>[1]节奏总纲!AD1146</f>
        <v>101.59036855315573</v>
      </c>
      <c r="S1146" s="39">
        <f>[1]节奏总纲!AE1146</f>
        <v>103.89976830601637</v>
      </c>
      <c r="T1146" s="39">
        <f>[1]节奏总纲!AF1146</f>
        <v>107.01786608315808</v>
      </c>
      <c r="U1146" s="39">
        <f>[1]节奏总纲!AG1146</f>
        <v>111.84363240056712</v>
      </c>
      <c r="V1146" s="39">
        <f>[1]节奏总纲!AH1146</f>
        <v>120.99561593092207</v>
      </c>
    </row>
    <row r="1147" spans="17:22" x14ac:dyDescent="0.15">
      <c r="Q1147" s="38">
        <v>1144</v>
      </c>
      <c r="R1147" s="39">
        <f>[1]节奏总纲!AD1147</f>
        <v>101.60306356602815</v>
      </c>
      <c r="S1147" s="39">
        <f>[1]节奏总纲!AE1147</f>
        <v>103.91269293830821</v>
      </c>
      <c r="T1147" s="39">
        <f>[1]节奏总纲!AF1147</f>
        <v>107.03094405566571</v>
      </c>
      <c r="U1147" s="39">
        <f>[1]节奏总纲!AG1147</f>
        <v>111.8563361580151</v>
      </c>
      <c r="V1147" s="39">
        <f>[1]节奏总纲!AH1147</f>
        <v>121.00830117479435</v>
      </c>
    </row>
    <row r="1148" spans="17:22" x14ac:dyDescent="0.15">
      <c r="Q1148" s="38">
        <v>1145</v>
      </c>
      <c r="R1148" s="39">
        <f>[1]节奏总纲!AD1148</f>
        <v>101.6157585789006</v>
      </c>
      <c r="S1148" s="39">
        <f>[1]节奏总纲!AE1148</f>
        <v>103.92561757060005</v>
      </c>
      <c r="T1148" s="39">
        <f>[1]节奏总纲!AF1148</f>
        <v>107.04402202817336</v>
      </c>
      <c r="U1148" s="39">
        <f>[1]节奏总纲!AG1148</f>
        <v>111.86903991546308</v>
      </c>
      <c r="V1148" s="39">
        <f>[1]节奏总纲!AH1148</f>
        <v>121.02069762490426</v>
      </c>
    </row>
    <row r="1149" spans="17:22" x14ac:dyDescent="0.15">
      <c r="Q1149" s="38">
        <v>1146</v>
      </c>
      <c r="R1149" s="39">
        <f>[1]节奏总纲!AD1149</f>
        <v>101.62845359177304</v>
      </c>
      <c r="S1149" s="39">
        <f>[1]节奏总纲!AE1149</f>
        <v>103.93854220289188</v>
      </c>
      <c r="T1149" s="39">
        <f>[1]节奏总纲!AF1149</f>
        <v>107.05710000068099</v>
      </c>
      <c r="U1149" s="39">
        <f>[1]节奏总纲!AG1149</f>
        <v>111.88174367291106</v>
      </c>
      <c r="V1149" s="39">
        <f>[1]节奏总纲!AH1149</f>
        <v>121.03309407501416</v>
      </c>
    </row>
    <row r="1150" spans="17:22" x14ac:dyDescent="0.15">
      <c r="Q1150" s="38">
        <v>1147</v>
      </c>
      <c r="R1150" s="39">
        <f>[1]节奏总纲!AD1150</f>
        <v>101.64114860464548</v>
      </c>
      <c r="S1150" s="39">
        <f>[1]节奏总纲!AE1150</f>
        <v>103.95146683518372</v>
      </c>
      <c r="T1150" s="39">
        <f>[1]节奏总纲!AF1150</f>
        <v>107.07017797318862</v>
      </c>
      <c r="U1150" s="39">
        <f>[1]节奏总纲!AG1150</f>
        <v>111.89444743035905</v>
      </c>
      <c r="V1150" s="39">
        <f>[1]节奏总纲!AH1150</f>
        <v>121.04549052512407</v>
      </c>
    </row>
    <row r="1151" spans="17:22" x14ac:dyDescent="0.15">
      <c r="Q1151" s="38">
        <v>1148</v>
      </c>
      <c r="R1151" s="39">
        <f>[1]节奏总纲!AD1151</f>
        <v>101.65384361751791</v>
      </c>
      <c r="S1151" s="39">
        <f>[1]节奏总纲!AE1151</f>
        <v>103.96439146747556</v>
      </c>
      <c r="T1151" s="39">
        <f>[1]节奏总纲!AF1151</f>
        <v>107.08325594569625</v>
      </c>
      <c r="U1151" s="39">
        <f>[1]节奏总纲!AG1151</f>
        <v>111.90715118780703</v>
      </c>
      <c r="V1151" s="39">
        <f>[1]节奏总纲!AH1151</f>
        <v>121.05788697523397</v>
      </c>
    </row>
    <row r="1152" spans="17:22" x14ac:dyDescent="0.15">
      <c r="Q1152" s="38">
        <v>1149</v>
      </c>
      <c r="R1152" s="39">
        <f>[1]节奏总纲!AD1152</f>
        <v>101.66653863039035</v>
      </c>
      <c r="S1152" s="39">
        <f>[1]节奏总纲!AE1152</f>
        <v>103.97731609976741</v>
      </c>
      <c r="T1152" s="39">
        <f>[1]节奏总纲!AF1152</f>
        <v>107.09633391820388</v>
      </c>
      <c r="U1152" s="39">
        <f>[1]节奏总纲!AG1152</f>
        <v>111.91985494525501</v>
      </c>
      <c r="V1152" s="39">
        <f>[1]节奏总纲!AH1152</f>
        <v>121.07028342534387</v>
      </c>
    </row>
    <row r="1153" spans="17:22" x14ac:dyDescent="0.15">
      <c r="Q1153" s="38">
        <v>1150</v>
      </c>
      <c r="R1153" s="39">
        <f>[1]节奏总纲!AD1153</f>
        <v>101.67923364326279</v>
      </c>
      <c r="S1153" s="39">
        <f>[1]节奏总纲!AE1153</f>
        <v>103.99024073205925</v>
      </c>
      <c r="T1153" s="39">
        <f>[1]节奏总纲!AF1153</f>
        <v>107.10941189071151</v>
      </c>
      <c r="U1153" s="39">
        <f>[1]节奏总纲!AG1153</f>
        <v>111.93255870270299</v>
      </c>
      <c r="V1153" s="39">
        <f>[1]节奏总纲!AH1153</f>
        <v>121.08267987545378</v>
      </c>
    </row>
    <row r="1154" spans="17:22" x14ac:dyDescent="0.15">
      <c r="Q1154" s="38">
        <v>1151</v>
      </c>
      <c r="R1154" s="39">
        <f>[1]节奏总纲!AD1154</f>
        <v>101.69192865613523</v>
      </c>
      <c r="S1154" s="39">
        <f>[1]节奏总纲!AE1154</f>
        <v>104.00291205225143</v>
      </c>
      <c r="T1154" s="39">
        <f>[1]节奏总纲!AF1154</f>
        <v>107.12248986321914</v>
      </c>
      <c r="U1154" s="39">
        <f>[1]节奏总纲!AG1154</f>
        <v>111.94526246015099</v>
      </c>
      <c r="V1154" s="39">
        <f>[1]节奏总纲!AH1154</f>
        <v>121.09507632556367</v>
      </c>
    </row>
    <row r="1155" spans="17:22" x14ac:dyDescent="0.15">
      <c r="Q1155" s="38">
        <v>1152</v>
      </c>
      <c r="R1155" s="39">
        <f>[1]节奏总纲!AD1155</f>
        <v>101.70462366900766</v>
      </c>
      <c r="S1155" s="39">
        <f>[1]节奏总纲!AE1155</f>
        <v>104.01480237525692</v>
      </c>
      <c r="T1155" s="39">
        <f>[1]节奏总纲!AF1155</f>
        <v>107.13556783572679</v>
      </c>
      <c r="U1155" s="39">
        <f>[1]节奏总纲!AG1155</f>
        <v>111.95796621759897</v>
      </c>
      <c r="V1155" s="39">
        <f>[1]节奏总纲!AH1155</f>
        <v>121.10747277567357</v>
      </c>
    </row>
    <row r="1156" spans="17:22" x14ac:dyDescent="0.15">
      <c r="Q1156" s="38">
        <v>1153</v>
      </c>
      <c r="R1156" s="39">
        <f>[1]节奏总纲!AD1156</f>
        <v>101.7173186818801</v>
      </c>
      <c r="S1156" s="39">
        <f>[1]节奏总纲!AE1156</f>
        <v>104.02669269826241</v>
      </c>
      <c r="T1156" s="39">
        <f>[1]节奏总纲!AF1156</f>
        <v>107.14864580823442</v>
      </c>
      <c r="U1156" s="39">
        <f>[1]节奏总纲!AG1156</f>
        <v>111.97066997504695</v>
      </c>
      <c r="V1156" s="39">
        <f>[1]节奏总纲!AH1156</f>
        <v>121.11986922578348</v>
      </c>
    </row>
    <row r="1157" spans="17:22" x14ac:dyDescent="0.15">
      <c r="Q1157" s="38">
        <v>1154</v>
      </c>
      <c r="R1157" s="39">
        <f>[1]节奏总纲!AD1157</f>
        <v>101.73001369475254</v>
      </c>
      <c r="S1157" s="39">
        <f>[1]节奏总纲!AE1157</f>
        <v>104.0385830212679</v>
      </c>
      <c r="T1157" s="39">
        <f>[1]节奏总纲!AF1157</f>
        <v>107.16172378074205</v>
      </c>
      <c r="U1157" s="39">
        <f>[1]节奏总纲!AG1157</f>
        <v>111.98337373249493</v>
      </c>
      <c r="V1157" s="39">
        <f>[1]节奏总纲!AH1157</f>
        <v>121.13226567589338</v>
      </c>
    </row>
    <row r="1158" spans="17:22" x14ac:dyDescent="0.15">
      <c r="Q1158" s="38">
        <v>1155</v>
      </c>
      <c r="R1158" s="39">
        <f>[1]节奏总纲!AD1158</f>
        <v>101.74270870762497</v>
      </c>
      <c r="S1158" s="39">
        <f>[1]节奏总纲!AE1158</f>
        <v>104.05047334427339</v>
      </c>
      <c r="T1158" s="39">
        <f>[1]节奏总纲!AF1158</f>
        <v>107.17480175324968</v>
      </c>
      <c r="U1158" s="39">
        <f>[1]节奏总纲!AG1158</f>
        <v>111.99607748994291</v>
      </c>
      <c r="V1158" s="39">
        <f>[1]节奏总纲!AH1158</f>
        <v>121.14466212600328</v>
      </c>
    </row>
    <row r="1159" spans="17:22" x14ac:dyDescent="0.15">
      <c r="Q1159" s="38">
        <v>1156</v>
      </c>
      <c r="R1159" s="39">
        <f>[1]节奏总纲!AD1159</f>
        <v>101.75540372049741</v>
      </c>
      <c r="S1159" s="39">
        <f>[1]节奏总纲!AE1159</f>
        <v>104.06236366727887</v>
      </c>
      <c r="T1159" s="39">
        <f>[1]节奏总纲!AF1159</f>
        <v>107.18787972575731</v>
      </c>
      <c r="U1159" s="39">
        <f>[1]节奏总纲!AG1159</f>
        <v>112.00859363398079</v>
      </c>
      <c r="V1159" s="39">
        <f>[1]节奏总纲!AH1159</f>
        <v>121.15705857611319</v>
      </c>
    </row>
    <row r="1160" spans="17:22" x14ac:dyDescent="0.15">
      <c r="Q1160" s="38">
        <v>1157</v>
      </c>
      <c r="R1160" s="39">
        <f>[1]节奏总纲!AD1160</f>
        <v>101.76809873336985</v>
      </c>
      <c r="S1160" s="39">
        <f>[1]节奏总纲!AE1160</f>
        <v>104.07425399028436</v>
      </c>
      <c r="T1160" s="39">
        <f>[1]节奏总纲!AF1160</f>
        <v>107.20095769826494</v>
      </c>
      <c r="U1160" s="39">
        <f>[1]节奏总纲!AG1160</f>
        <v>112.0210259726713</v>
      </c>
      <c r="V1160" s="39">
        <f>[1]节奏总纲!AH1160</f>
        <v>121.16945502622309</v>
      </c>
    </row>
    <row r="1161" spans="17:22" x14ac:dyDescent="0.15">
      <c r="Q1161" s="38">
        <v>1158</v>
      </c>
      <c r="R1161" s="39">
        <f>[1]节奏总纲!AD1161</f>
        <v>101.7807937462423</v>
      </c>
      <c r="S1161" s="39">
        <f>[1]节奏总纲!AE1161</f>
        <v>104.08614431328985</v>
      </c>
      <c r="T1161" s="39">
        <f>[1]节奏总纲!AF1161</f>
        <v>107.21403567077257</v>
      </c>
      <c r="U1161" s="39">
        <f>[1]节奏总纲!AG1161</f>
        <v>112.03345831136181</v>
      </c>
      <c r="V1161" s="39">
        <f>[1]节奏总纲!AH1161</f>
        <v>121.18185147633299</v>
      </c>
    </row>
    <row r="1162" spans="17:22" x14ac:dyDescent="0.15">
      <c r="Q1162" s="38">
        <v>1159</v>
      </c>
      <c r="R1162" s="39">
        <f>[1]节奏总纲!AD1162</f>
        <v>101.79348875911472</v>
      </c>
      <c r="S1162" s="39">
        <f>[1]节奏总纲!AE1162</f>
        <v>104.09803463629534</v>
      </c>
      <c r="T1162" s="39">
        <f>[1]节奏总纲!AF1162</f>
        <v>107.22711364328022</v>
      </c>
      <c r="U1162" s="39">
        <f>[1]节奏总纲!AG1162</f>
        <v>112.04589065005231</v>
      </c>
      <c r="V1162" s="39">
        <f>[1]节奏总纲!AH1162</f>
        <v>121.1942479264429</v>
      </c>
    </row>
    <row r="1163" spans="17:22" x14ac:dyDescent="0.15">
      <c r="Q1163" s="38">
        <v>1160</v>
      </c>
      <c r="R1163" s="39">
        <f>[1]节奏总纲!AD1163</f>
        <v>101.80618377198716</v>
      </c>
      <c r="S1163" s="39">
        <f>[1]节奏总纲!AE1163</f>
        <v>104.10992495930083</v>
      </c>
      <c r="T1163" s="39">
        <f>[1]节奏总纲!AF1163</f>
        <v>107.24019161578785</v>
      </c>
      <c r="U1163" s="39">
        <f>[1]节奏总纲!AG1163</f>
        <v>112.05832298874283</v>
      </c>
      <c r="V1163" s="39">
        <f>[1]节奏总纲!AH1163</f>
        <v>121.2066443765528</v>
      </c>
    </row>
    <row r="1164" spans="17:22" x14ac:dyDescent="0.15">
      <c r="Q1164" s="38">
        <v>1161</v>
      </c>
      <c r="R1164" s="39">
        <f>[1]节奏总纲!AD1164</f>
        <v>101.81887878485961</v>
      </c>
      <c r="S1164" s="39">
        <f>[1]节奏总纲!AE1164</f>
        <v>104.12181528230631</v>
      </c>
      <c r="T1164" s="39">
        <f>[1]节奏总纲!AF1164</f>
        <v>107.25326958829548</v>
      </c>
      <c r="U1164" s="39">
        <f>[1]节奏总纲!AG1164</f>
        <v>112.07075532743333</v>
      </c>
      <c r="V1164" s="39">
        <f>[1]节奏总纲!AH1164</f>
        <v>121.21904082666271</v>
      </c>
    </row>
    <row r="1165" spans="17:22" x14ac:dyDescent="0.15">
      <c r="Q1165" s="38">
        <v>1162</v>
      </c>
      <c r="R1165" s="39">
        <f>[1]节奏总纲!AD1165</f>
        <v>101.83157379773203</v>
      </c>
      <c r="S1165" s="39">
        <f>[1]节奏总纲!AE1165</f>
        <v>104.1337056053118</v>
      </c>
      <c r="T1165" s="39">
        <f>[1]节奏总纲!AF1165</f>
        <v>107.26634756080311</v>
      </c>
      <c r="U1165" s="39">
        <f>[1]节奏总纲!AG1165</f>
        <v>112.08318766612385</v>
      </c>
      <c r="V1165" s="39">
        <f>[1]节奏总纲!AH1165</f>
        <v>121.23143727677261</v>
      </c>
    </row>
    <row r="1166" spans="17:22" x14ac:dyDescent="0.15">
      <c r="Q1166" s="38">
        <v>1163</v>
      </c>
      <c r="R1166" s="39">
        <f>[1]节奏总纲!AD1166</f>
        <v>101.84426881060448</v>
      </c>
      <c r="S1166" s="39">
        <f>[1]节奏总纲!AE1166</f>
        <v>104.14559592831729</v>
      </c>
      <c r="T1166" s="39">
        <f>[1]节奏总纲!AF1166</f>
        <v>107.27942553331074</v>
      </c>
      <c r="U1166" s="39">
        <f>[1]节奏总纲!AG1166</f>
        <v>112.09562000481435</v>
      </c>
      <c r="V1166" s="39">
        <f>[1]节奏总纲!AH1166</f>
        <v>121.2438337268825</v>
      </c>
    </row>
    <row r="1167" spans="17:22" x14ac:dyDescent="0.15">
      <c r="Q1167" s="38">
        <v>1164</v>
      </c>
      <c r="R1167" s="39">
        <f>[1]节奏总纲!AD1167</f>
        <v>101.85696382347692</v>
      </c>
      <c r="S1167" s="39">
        <f>[1]节奏总纲!AE1167</f>
        <v>104.15748625132278</v>
      </c>
      <c r="T1167" s="39">
        <f>[1]节奏总纲!AF1167</f>
        <v>107.29250350581837</v>
      </c>
      <c r="U1167" s="39">
        <f>[1]节奏总纲!AG1167</f>
        <v>112.10805234350487</v>
      </c>
      <c r="V1167" s="39">
        <f>[1]节奏总纲!AH1167</f>
        <v>121.2562301769924</v>
      </c>
    </row>
    <row r="1168" spans="17:22" x14ac:dyDescent="0.15">
      <c r="Q1168" s="38">
        <v>1165</v>
      </c>
      <c r="R1168" s="39">
        <f>[1]节奏总纲!AD1168</f>
        <v>101.86965883634936</v>
      </c>
      <c r="S1168" s="39">
        <f>[1]节奏总纲!AE1168</f>
        <v>104.16937657432827</v>
      </c>
      <c r="T1168" s="39">
        <f>[1]节奏总纲!AF1168</f>
        <v>107.305581478326</v>
      </c>
      <c r="U1168" s="39">
        <f>[1]节奏总纲!AG1168</f>
        <v>112.12048468219537</v>
      </c>
      <c r="V1168" s="39">
        <f>[1]节奏总纲!AH1168</f>
        <v>121.26862662710231</v>
      </c>
    </row>
    <row r="1169" spans="17:22" x14ac:dyDescent="0.15">
      <c r="Q1169" s="38">
        <v>1166</v>
      </c>
      <c r="R1169" s="39">
        <f>[1]节奏总纲!AD1169</f>
        <v>101.88235384922179</v>
      </c>
      <c r="S1169" s="39">
        <f>[1]节奏总纲!AE1169</f>
        <v>104.18126689733376</v>
      </c>
      <c r="T1169" s="39">
        <f>[1]节奏总纲!AF1169</f>
        <v>107.31865945083365</v>
      </c>
      <c r="U1169" s="39">
        <f>[1]节奏总纲!AG1169</f>
        <v>112.13291702088587</v>
      </c>
      <c r="V1169" s="39">
        <f>[1]节奏总纲!AH1169</f>
        <v>121.28102307721221</v>
      </c>
    </row>
    <row r="1170" spans="17:22" x14ac:dyDescent="0.15">
      <c r="Q1170" s="38">
        <v>1167</v>
      </c>
      <c r="R1170" s="39">
        <f>[1]节奏总纲!AD1170</f>
        <v>101.89504886209423</v>
      </c>
      <c r="S1170" s="39">
        <f>[1]节奏总纲!AE1170</f>
        <v>104.19315722033924</v>
      </c>
      <c r="T1170" s="39">
        <f>[1]节奏总纲!AF1170</f>
        <v>107.33173742334128</v>
      </c>
      <c r="U1170" s="39">
        <f>[1]节奏总纲!AG1170</f>
        <v>112.14534935957639</v>
      </c>
      <c r="V1170" s="39">
        <f>[1]节奏总纲!AH1170</f>
        <v>121.29341952732211</v>
      </c>
    </row>
    <row r="1171" spans="17:22" x14ac:dyDescent="0.15">
      <c r="Q1171" s="38">
        <v>1168</v>
      </c>
      <c r="R1171" s="39">
        <f>[1]节奏总纲!AD1171</f>
        <v>101.90774387496667</v>
      </c>
      <c r="S1171" s="39">
        <f>[1]节奏总纲!AE1171</f>
        <v>104.20504754334473</v>
      </c>
      <c r="T1171" s="39">
        <f>[1]节奏总纲!AF1171</f>
        <v>107.34481539584891</v>
      </c>
      <c r="U1171" s="39">
        <f>[1]节奏总纲!AG1171</f>
        <v>112.15778169826689</v>
      </c>
      <c r="V1171" s="39">
        <f>[1]节奏总纲!AH1171</f>
        <v>121.30581597743202</v>
      </c>
    </row>
    <row r="1172" spans="17:22" x14ac:dyDescent="0.15">
      <c r="Q1172" s="38">
        <v>1169</v>
      </c>
      <c r="R1172" s="39">
        <f>[1]节奏总纲!AD1172</f>
        <v>101.9204388878391</v>
      </c>
      <c r="S1172" s="39">
        <f>[1]节奏总纲!AE1172</f>
        <v>104.21693786635022</v>
      </c>
      <c r="T1172" s="39">
        <f>[1]节奏总纲!AF1172</f>
        <v>107.35789336835654</v>
      </c>
      <c r="U1172" s="39">
        <f>[1]节奏总纲!AG1172</f>
        <v>112.1702140369574</v>
      </c>
      <c r="V1172" s="39">
        <f>[1]节奏总纲!AH1172</f>
        <v>121.31821242754192</v>
      </c>
    </row>
    <row r="1173" spans="17:22" x14ac:dyDescent="0.15">
      <c r="Q1173" s="38">
        <v>1170</v>
      </c>
      <c r="R1173" s="39">
        <f>[1]节奏总纲!AD1173</f>
        <v>101.93313390071154</v>
      </c>
      <c r="S1173" s="39">
        <f>[1]节奏总纲!AE1173</f>
        <v>104.22882818935571</v>
      </c>
      <c r="T1173" s="39">
        <f>[1]节奏总纲!AF1173</f>
        <v>107.37097134086417</v>
      </c>
      <c r="U1173" s="39">
        <f>[1]节奏总纲!AG1173</f>
        <v>112.18264637564791</v>
      </c>
      <c r="V1173" s="39">
        <f>[1]节奏总纲!AH1173</f>
        <v>121.33060887765183</v>
      </c>
    </row>
    <row r="1174" spans="17:22" x14ac:dyDescent="0.15">
      <c r="Q1174" s="38">
        <v>1171</v>
      </c>
      <c r="R1174" s="39">
        <f>[1]节奏总纲!AD1174</f>
        <v>101.94582891358398</v>
      </c>
      <c r="S1174" s="39">
        <f>[1]节奏总纲!AE1174</f>
        <v>104.2407185123612</v>
      </c>
      <c r="T1174" s="39">
        <f>[1]节奏总纲!AF1174</f>
        <v>107.3840493133718</v>
      </c>
      <c r="U1174" s="39">
        <f>[1]节奏总纲!AG1174</f>
        <v>112.19507871433842</v>
      </c>
      <c r="V1174" s="39">
        <f>[1]节奏总纲!AH1174</f>
        <v>121.34300532776173</v>
      </c>
    </row>
    <row r="1175" spans="17:22" x14ac:dyDescent="0.15">
      <c r="Q1175" s="38">
        <v>1172</v>
      </c>
      <c r="R1175" s="39">
        <f>[1]节奏总纲!AD1175</f>
        <v>101.95852392645642</v>
      </c>
      <c r="S1175" s="39">
        <f>[1]节奏总纲!AE1175</f>
        <v>104.25260883536669</v>
      </c>
      <c r="T1175" s="39">
        <f>[1]节奏总纲!AF1175</f>
        <v>107.39712728587944</v>
      </c>
      <c r="U1175" s="39">
        <f>[1]节奏总纲!AG1175</f>
        <v>112.20751105302892</v>
      </c>
      <c r="V1175" s="39">
        <f>[1]节奏总纲!AH1175</f>
        <v>121.35540177787163</v>
      </c>
    </row>
    <row r="1176" spans="17:22" x14ac:dyDescent="0.15">
      <c r="Q1176" s="38">
        <v>1173</v>
      </c>
      <c r="R1176" s="39">
        <f>[1]节奏总纲!AD1176</f>
        <v>101.97121893932885</v>
      </c>
      <c r="S1176" s="39">
        <f>[1]节奏总纲!AE1176</f>
        <v>104.26449915837217</v>
      </c>
      <c r="T1176" s="39">
        <f>[1]节奏总纲!AF1176</f>
        <v>107.41020525838708</v>
      </c>
      <c r="U1176" s="39">
        <f>[1]节奏总纲!AG1176</f>
        <v>112.21994339171944</v>
      </c>
      <c r="V1176" s="39">
        <f>[1]节奏总纲!AH1176</f>
        <v>121.36779822798154</v>
      </c>
    </row>
    <row r="1177" spans="17:22" x14ac:dyDescent="0.15">
      <c r="Q1177" s="38">
        <v>1174</v>
      </c>
      <c r="R1177" s="39">
        <f>[1]节奏总纲!AD1177</f>
        <v>101.98391395220129</v>
      </c>
      <c r="S1177" s="39">
        <f>[1]节奏总纲!AE1177</f>
        <v>104.27638948137766</v>
      </c>
      <c r="T1177" s="39">
        <f>[1]节奏总纲!AF1177</f>
        <v>107.42328323089471</v>
      </c>
      <c r="U1177" s="39">
        <f>[1]节奏总纲!AG1177</f>
        <v>112.23237573040994</v>
      </c>
      <c r="V1177" s="39">
        <f>[1]节奏总纲!AH1177</f>
        <v>121.38019467809143</v>
      </c>
    </row>
    <row r="1178" spans="17:22" x14ac:dyDescent="0.15">
      <c r="Q1178" s="38">
        <v>1175</v>
      </c>
      <c r="R1178" s="39">
        <f>[1]节奏总纲!AD1178</f>
        <v>101.99660896507373</v>
      </c>
      <c r="S1178" s="39">
        <f>[1]节奏总纲!AE1178</f>
        <v>104.28827980438315</v>
      </c>
      <c r="T1178" s="39">
        <f>[1]节奏总纲!AF1178</f>
        <v>107.43636120340234</v>
      </c>
      <c r="U1178" s="39">
        <f>[1]节奏总纲!AG1178</f>
        <v>112.24480806910044</v>
      </c>
      <c r="V1178" s="39">
        <f>[1]节奏总纲!AH1178</f>
        <v>121.39259112820133</v>
      </c>
    </row>
    <row r="1179" spans="17:22" x14ac:dyDescent="0.15">
      <c r="Q1179" s="38">
        <v>1176</v>
      </c>
      <c r="R1179" s="39">
        <f>[1]节奏总纲!AD1179</f>
        <v>102.0086809183763</v>
      </c>
      <c r="S1179" s="39">
        <f>[1]节奏总纲!AE1179</f>
        <v>104.30017012738864</v>
      </c>
      <c r="T1179" s="39">
        <f>[1]节奏总纲!AF1179</f>
        <v>107.44943917590997</v>
      </c>
      <c r="U1179" s="39">
        <f>[1]节奏总纲!AG1179</f>
        <v>112.25724040779096</v>
      </c>
      <c r="V1179" s="39">
        <f>[1]节奏总纲!AH1179</f>
        <v>121.40498757831124</v>
      </c>
    </row>
    <row r="1180" spans="17:22" x14ac:dyDescent="0.15">
      <c r="Q1180" s="38">
        <v>1177</v>
      </c>
      <c r="R1180" s="39">
        <f>[1]节奏总纲!AD1180</f>
        <v>102.02052578421427</v>
      </c>
      <c r="S1180" s="39">
        <f>[1]节奏总纲!AE1180</f>
        <v>104.31206045039413</v>
      </c>
      <c r="T1180" s="39">
        <f>[1]节奏总纲!AF1180</f>
        <v>107.4625171484176</v>
      </c>
      <c r="U1180" s="39">
        <f>[1]节奏总纲!AG1180</f>
        <v>112.26967274648146</v>
      </c>
      <c r="V1180" s="39">
        <f>[1]节奏总纲!AH1180</f>
        <v>121.41738402842114</v>
      </c>
    </row>
    <row r="1181" spans="17:22" x14ac:dyDescent="0.15">
      <c r="Q1181" s="38">
        <v>1178</v>
      </c>
      <c r="R1181" s="39">
        <f>[1]节奏总纲!AD1181</f>
        <v>102.03237065005224</v>
      </c>
      <c r="S1181" s="39">
        <f>[1]节奏总纲!AE1181</f>
        <v>104.32395077339962</v>
      </c>
      <c r="T1181" s="39">
        <f>[1]节奏总纲!AF1181</f>
        <v>107.47559512092523</v>
      </c>
      <c r="U1181" s="39">
        <f>[1]节奏总纲!AG1181</f>
        <v>112.28210508517198</v>
      </c>
      <c r="V1181" s="39">
        <f>[1]节奏总纲!AH1181</f>
        <v>121.42978047853104</v>
      </c>
    </row>
    <row r="1182" spans="17:22" x14ac:dyDescent="0.15">
      <c r="Q1182" s="38">
        <v>1179</v>
      </c>
      <c r="R1182" s="39">
        <f>[1]节奏总纲!AD1182</f>
        <v>102.04421551589022</v>
      </c>
      <c r="S1182" s="39">
        <f>[1]节奏总纲!AE1182</f>
        <v>104.3358410964051</v>
      </c>
      <c r="T1182" s="39">
        <f>[1]节奏总纲!AF1182</f>
        <v>107.48867309343287</v>
      </c>
      <c r="U1182" s="39">
        <f>[1]节奏总纲!AG1182</f>
        <v>112.29453742386248</v>
      </c>
      <c r="V1182" s="39">
        <f>[1]节奏总纲!AH1182</f>
        <v>121.44217692864095</v>
      </c>
    </row>
    <row r="1183" spans="17:22" x14ac:dyDescent="0.15">
      <c r="Q1183" s="38">
        <v>1180</v>
      </c>
      <c r="R1183" s="39">
        <f>[1]节奏总纲!AD1183</f>
        <v>102.05606038172817</v>
      </c>
      <c r="S1183" s="39">
        <f>[1]节奏总纲!AE1183</f>
        <v>104.34773141941059</v>
      </c>
      <c r="T1183" s="39">
        <f>[1]节奏总纲!AF1183</f>
        <v>107.50175106594051</v>
      </c>
      <c r="U1183" s="39">
        <f>[1]节奏总纲!AG1183</f>
        <v>112.306969762553</v>
      </c>
      <c r="V1183" s="39">
        <f>[1]节奏总纲!AH1183</f>
        <v>121.45457337875085</v>
      </c>
    </row>
    <row r="1184" spans="17:22" x14ac:dyDescent="0.15">
      <c r="Q1184" s="38">
        <v>1181</v>
      </c>
      <c r="R1184" s="39">
        <f>[1]节奏总纲!AD1184</f>
        <v>102.06790524756615</v>
      </c>
      <c r="S1184" s="39">
        <f>[1]节奏总纲!AE1184</f>
        <v>104.35962174241608</v>
      </c>
      <c r="T1184" s="39">
        <f>[1]节奏总纲!AF1184</f>
        <v>107.51482903844814</v>
      </c>
      <c r="U1184" s="39">
        <f>[1]节奏总纲!AG1184</f>
        <v>112.3194021012435</v>
      </c>
      <c r="V1184" s="39">
        <f>[1]节奏总纲!AH1184</f>
        <v>121.46696982886075</v>
      </c>
    </row>
    <row r="1185" spans="17:22" x14ac:dyDescent="0.15">
      <c r="Q1185" s="38">
        <v>1182</v>
      </c>
      <c r="R1185" s="39">
        <f>[1]节奏总纲!AD1185</f>
        <v>102.07975011340412</v>
      </c>
      <c r="S1185" s="39">
        <f>[1]节奏总纲!AE1185</f>
        <v>104.37151206542157</v>
      </c>
      <c r="T1185" s="39">
        <f>[1]节奏总纲!AF1185</f>
        <v>107.52790701095577</v>
      </c>
      <c r="U1185" s="39">
        <f>[1]节奏总纲!AG1185</f>
        <v>112.331834439934</v>
      </c>
      <c r="V1185" s="39">
        <f>[1]节奏总纲!AH1185</f>
        <v>121.47936627897066</v>
      </c>
    </row>
    <row r="1186" spans="17:22" x14ac:dyDescent="0.15">
      <c r="Q1186" s="38">
        <v>1183</v>
      </c>
      <c r="R1186" s="39">
        <f>[1]节奏总纲!AD1186</f>
        <v>102.09159497924209</v>
      </c>
      <c r="S1186" s="39">
        <f>[1]节奏总纲!AE1186</f>
        <v>104.38340238842706</v>
      </c>
      <c r="T1186" s="39">
        <f>[1]节奏总纲!AF1186</f>
        <v>107.5409849834634</v>
      </c>
      <c r="U1186" s="39">
        <f>[1]节奏总纲!AG1186</f>
        <v>112.34426677862452</v>
      </c>
      <c r="V1186" s="39">
        <f>[1]节奏总纲!AH1186</f>
        <v>121.49176272908056</v>
      </c>
    </row>
    <row r="1187" spans="17:22" x14ac:dyDescent="0.15">
      <c r="Q1187" s="38">
        <v>1184</v>
      </c>
      <c r="R1187" s="39">
        <f>[1]节奏总纲!AD1187</f>
        <v>102.10343984508005</v>
      </c>
      <c r="S1187" s="39">
        <f>[1]节奏总纲!AE1187</f>
        <v>104.39529271143255</v>
      </c>
      <c r="T1187" s="39">
        <f>[1]节奏总纲!AF1187</f>
        <v>107.55406295597103</v>
      </c>
      <c r="U1187" s="39">
        <f>[1]节奏总纲!AG1187</f>
        <v>112.35669911731502</v>
      </c>
      <c r="V1187" s="39">
        <f>[1]节奏总纲!AH1187</f>
        <v>121.50415917919047</v>
      </c>
    </row>
    <row r="1188" spans="17:22" x14ac:dyDescent="0.15">
      <c r="Q1188" s="38">
        <v>1185</v>
      </c>
      <c r="R1188" s="39">
        <f>[1]节奏总纲!AD1188</f>
        <v>102.11528471091802</v>
      </c>
      <c r="S1188" s="39">
        <f>[1]节奏总纲!AE1188</f>
        <v>104.40718303443803</v>
      </c>
      <c r="T1188" s="39">
        <f>[1]节奏总纲!AF1188</f>
        <v>107.56714092847866</v>
      </c>
      <c r="U1188" s="39">
        <f>[1]节奏总纲!AG1188</f>
        <v>112.36913145600553</v>
      </c>
      <c r="V1188" s="39">
        <f>[1]节奏总纲!AH1188</f>
        <v>121.51655562930037</v>
      </c>
    </row>
    <row r="1189" spans="17:22" x14ac:dyDescent="0.15">
      <c r="Q1189" s="38">
        <v>1186</v>
      </c>
      <c r="R1189" s="39">
        <f>[1]节奏总纲!AD1189</f>
        <v>102.12712957675599</v>
      </c>
      <c r="S1189" s="39">
        <f>[1]节奏总纲!AE1189</f>
        <v>104.41907335744352</v>
      </c>
      <c r="T1189" s="39">
        <f>[1]节奏总纲!AF1189</f>
        <v>107.5802189009863</v>
      </c>
      <c r="U1189" s="39">
        <f>[1]节奏总纲!AG1189</f>
        <v>112.38156379469604</v>
      </c>
      <c r="V1189" s="39">
        <f>[1]节奏总纲!AH1189</f>
        <v>121.52895207941026</v>
      </c>
    </row>
    <row r="1190" spans="17:22" x14ac:dyDescent="0.15">
      <c r="Q1190" s="38">
        <v>1187</v>
      </c>
      <c r="R1190" s="39">
        <f>[1]节奏总纲!AD1190</f>
        <v>102.13897444259396</v>
      </c>
      <c r="S1190" s="39">
        <f>[1]节奏总纲!AE1190</f>
        <v>104.43096368044901</v>
      </c>
      <c r="T1190" s="39">
        <f>[1]节奏总纲!AF1190</f>
        <v>107.59329687349394</v>
      </c>
      <c r="U1190" s="39">
        <f>[1]节奏总纲!AG1190</f>
        <v>112.39399613338655</v>
      </c>
      <c r="V1190" s="39">
        <f>[1]节奏总纲!AH1190</f>
        <v>121.54134852952016</v>
      </c>
    </row>
    <row r="1191" spans="17:22" x14ac:dyDescent="0.15">
      <c r="Q1191" s="38">
        <v>1188</v>
      </c>
      <c r="R1191" s="39">
        <f>[1]节奏总纲!AD1191</f>
        <v>102.15081930843193</v>
      </c>
      <c r="S1191" s="39">
        <f>[1]节奏总纲!AE1191</f>
        <v>104.4428540034545</v>
      </c>
      <c r="T1191" s="39">
        <f>[1]节奏总纲!AF1191</f>
        <v>107.60637484600157</v>
      </c>
      <c r="U1191" s="39">
        <f>[1]节奏总纲!AG1191</f>
        <v>112.40642847207705</v>
      </c>
      <c r="V1191" s="39">
        <f>[1]节奏总纲!AH1191</f>
        <v>121.55374497963007</v>
      </c>
    </row>
    <row r="1192" spans="17:22" x14ac:dyDescent="0.15">
      <c r="Q1192" s="38">
        <v>1189</v>
      </c>
      <c r="R1192" s="39">
        <f>[1]节奏总纲!AD1192</f>
        <v>102.16266417426989</v>
      </c>
      <c r="S1192" s="39">
        <f>[1]节奏总纲!AE1192</f>
        <v>104.45474432645999</v>
      </c>
      <c r="T1192" s="39">
        <f>[1]节奏总纲!AF1192</f>
        <v>107.6194528185092</v>
      </c>
      <c r="U1192" s="39">
        <f>[1]节奏总纲!AG1192</f>
        <v>112.41886081076757</v>
      </c>
      <c r="V1192" s="39">
        <f>[1]节奏总纲!AH1192</f>
        <v>121.56614142973997</v>
      </c>
    </row>
    <row r="1193" spans="17:22" x14ac:dyDescent="0.15">
      <c r="Q1193" s="38">
        <v>1190</v>
      </c>
      <c r="R1193" s="39">
        <f>[1]节奏总纲!AD1193</f>
        <v>102.17450904010786</v>
      </c>
      <c r="S1193" s="39">
        <f>[1]节奏总纲!AE1193</f>
        <v>104.46663464946548</v>
      </c>
      <c r="T1193" s="39">
        <f>[1]节奏总纲!AF1193</f>
        <v>107.63253079101683</v>
      </c>
      <c r="U1193" s="39">
        <f>[1]节奏总纲!AG1193</f>
        <v>112.43129314945807</v>
      </c>
      <c r="V1193" s="39">
        <f>[1]节奏总纲!AH1193</f>
        <v>121.57853787984988</v>
      </c>
    </row>
    <row r="1194" spans="17:22" x14ac:dyDescent="0.15">
      <c r="Q1194" s="38">
        <v>1191</v>
      </c>
      <c r="R1194" s="39">
        <f>[1]节奏总纲!AD1194</f>
        <v>102.18635390594584</v>
      </c>
      <c r="S1194" s="39">
        <f>[1]节奏总纲!AE1194</f>
        <v>104.47852497247096</v>
      </c>
      <c r="T1194" s="39">
        <f>[1]节奏总纲!AF1194</f>
        <v>107.64560876352446</v>
      </c>
      <c r="U1194" s="39">
        <f>[1]节奏总纲!AG1194</f>
        <v>112.44372548814857</v>
      </c>
      <c r="V1194" s="39">
        <f>[1]节奏总纲!AH1194</f>
        <v>121.59093432995978</v>
      </c>
    </row>
    <row r="1195" spans="17:22" x14ac:dyDescent="0.15">
      <c r="Q1195" s="38">
        <v>1192</v>
      </c>
      <c r="R1195" s="39">
        <f>[1]节奏总纲!AD1195</f>
        <v>102.19819877178381</v>
      </c>
      <c r="S1195" s="39">
        <f>[1]节奏总纲!AE1195</f>
        <v>104.49041529547645</v>
      </c>
      <c r="T1195" s="39">
        <f>[1]节奏总纲!AF1195</f>
        <v>107.6586867360321</v>
      </c>
      <c r="U1195" s="39">
        <f>[1]节奏总纲!AG1195</f>
        <v>112.45615782683909</v>
      </c>
      <c r="V1195" s="39">
        <f>[1]节奏总纲!AH1195</f>
        <v>121.60333078006968</v>
      </c>
    </row>
    <row r="1196" spans="17:22" x14ac:dyDescent="0.15">
      <c r="Q1196" s="38">
        <v>1193</v>
      </c>
      <c r="R1196" s="39">
        <f>[1]节奏总纲!AD1196</f>
        <v>102.21004363762177</v>
      </c>
      <c r="S1196" s="39">
        <f>[1]节奏总纲!AE1196</f>
        <v>104.50230561848194</v>
      </c>
      <c r="T1196" s="39">
        <f>[1]节奏总纲!AF1196</f>
        <v>107.67176470853974</v>
      </c>
      <c r="U1196" s="39">
        <f>[1]节奏总纲!AG1196</f>
        <v>112.46859016552959</v>
      </c>
      <c r="V1196" s="39">
        <f>[1]节奏总纲!AH1196</f>
        <v>121.61572723017959</v>
      </c>
    </row>
    <row r="1197" spans="17:22" x14ac:dyDescent="0.15">
      <c r="Q1197" s="38">
        <v>1194</v>
      </c>
      <c r="R1197" s="39">
        <f>[1]节奏总纲!AD1197</f>
        <v>102.22188850345974</v>
      </c>
      <c r="S1197" s="39">
        <f>[1]节奏总纲!AE1197</f>
        <v>104.51419594148743</v>
      </c>
      <c r="T1197" s="39">
        <f>[1]节奏总纲!AF1197</f>
        <v>107.68484268104737</v>
      </c>
      <c r="U1197" s="39">
        <f>[1]节奏总纲!AG1197</f>
        <v>112.48102250422011</v>
      </c>
      <c r="V1197" s="39">
        <f>[1]节奏总纲!AH1197</f>
        <v>121.62812368028949</v>
      </c>
    </row>
    <row r="1198" spans="17:22" x14ac:dyDescent="0.15">
      <c r="Q1198" s="38">
        <v>1195</v>
      </c>
      <c r="R1198" s="39">
        <f>[1]节奏总纲!AD1198</f>
        <v>102.23373336929771</v>
      </c>
      <c r="S1198" s="39">
        <f>[1]节奏总纲!AE1198</f>
        <v>104.52608626449292</v>
      </c>
      <c r="T1198" s="39">
        <f>[1]节奏总纲!AF1198</f>
        <v>107.697920653555</v>
      </c>
      <c r="U1198" s="39">
        <f>[1]节奏总纲!AG1198</f>
        <v>112.49345484291061</v>
      </c>
      <c r="V1198" s="39">
        <f>[1]节奏总纲!AH1198</f>
        <v>121.64052013039939</v>
      </c>
    </row>
    <row r="1199" spans="17:22" x14ac:dyDescent="0.15">
      <c r="Q1199" s="38">
        <v>1196</v>
      </c>
      <c r="R1199" s="39">
        <f>[1]节奏总纲!AD1199</f>
        <v>102.24557823513568</v>
      </c>
      <c r="S1199" s="39">
        <f>[1]节奏总纲!AE1199</f>
        <v>104.53797658749841</v>
      </c>
      <c r="T1199" s="39">
        <f>[1]节奏总纲!AF1199</f>
        <v>107.71099862606263</v>
      </c>
      <c r="U1199" s="39">
        <f>[1]节奏总纲!AG1199</f>
        <v>112.50588718160112</v>
      </c>
      <c r="V1199" s="39">
        <f>[1]节奏总纲!AH1199</f>
        <v>121.6529165805093</v>
      </c>
    </row>
    <row r="1200" spans="17:22" x14ac:dyDescent="0.15">
      <c r="Q1200" s="38">
        <v>1197</v>
      </c>
      <c r="R1200" s="39">
        <f>[1]节奏总纲!AD1200</f>
        <v>102.25742310097364</v>
      </c>
      <c r="S1200" s="39">
        <f>[1]节奏总纲!AE1200</f>
        <v>104.54986691050389</v>
      </c>
      <c r="T1200" s="39">
        <f>[1]节奏总纲!AF1200</f>
        <v>107.72407659857026</v>
      </c>
      <c r="U1200" s="39">
        <f>[1]节奏总纲!AG1200</f>
        <v>112.51831952029163</v>
      </c>
      <c r="V1200" s="39">
        <f>[1]节奏总纲!AH1200</f>
        <v>121.66531303061919</v>
      </c>
    </row>
    <row r="1201" spans="17:22" x14ac:dyDescent="0.15">
      <c r="Q1201" s="38">
        <v>1198</v>
      </c>
      <c r="R1201" s="39">
        <f>[1]节奏总纲!AD1201</f>
        <v>102.26926796681161</v>
      </c>
      <c r="S1201" s="39">
        <f>[1]节奏总纲!AE1201</f>
        <v>104.56175723350938</v>
      </c>
      <c r="T1201" s="39">
        <f>[1]节奏总纲!AF1201</f>
        <v>107.73715457107789</v>
      </c>
      <c r="U1201" s="39">
        <f>[1]节奏总纲!AG1201</f>
        <v>112.53075185898214</v>
      </c>
      <c r="V1201" s="39">
        <f>[1]节奏总纲!AH1201</f>
        <v>121.67770948072909</v>
      </c>
    </row>
    <row r="1202" spans="17:22" x14ac:dyDescent="0.15">
      <c r="Q1202" s="38">
        <v>1199</v>
      </c>
      <c r="R1202" s="39">
        <f>[1]节奏总纲!AD1202</f>
        <v>102.28111283264958</v>
      </c>
      <c r="S1202" s="39">
        <f>[1]节奏总纲!AE1202</f>
        <v>104.57364755651487</v>
      </c>
      <c r="T1202" s="39">
        <f>[1]节奏总纲!AF1202</f>
        <v>107.75023254358553</v>
      </c>
      <c r="U1202" s="39">
        <f>[1]节奏总纲!AG1202</f>
        <v>112.54318419767264</v>
      </c>
      <c r="V1202" s="39">
        <f>[1]节奏总纲!AH1202</f>
        <v>121.690105930839</v>
      </c>
    </row>
    <row r="1203" spans="17:22" x14ac:dyDescent="0.15">
      <c r="Q1203" s="38">
        <v>1200</v>
      </c>
      <c r="R1203" s="39">
        <f>[1]节奏总纲!AD1203</f>
        <v>102.29295769848756</v>
      </c>
      <c r="S1203" s="39">
        <f>[1]节奏总纲!AE1203</f>
        <v>104.58553787952036</v>
      </c>
      <c r="T1203" s="39">
        <f>[1]节奏总纲!AF1203</f>
        <v>107.76331051609317</v>
      </c>
      <c r="U1203" s="39">
        <f>[1]节奏总纲!AG1203</f>
        <v>112.55561653636315</v>
      </c>
      <c r="V1203" s="39">
        <f>[1]节奏总纲!AH1203</f>
        <v>121.7025023809489</v>
      </c>
    </row>
    <row r="1204" spans="17:22" x14ac:dyDescent="0.15">
      <c r="Q1204" s="38">
        <v>1201</v>
      </c>
      <c r="R1204" s="39">
        <f>[1]节奏总纲!AD1204</f>
        <v>102.30480256432553</v>
      </c>
      <c r="S1204" s="39">
        <f>[1]节奏总纲!AE1204</f>
        <v>104.59742820252585</v>
      </c>
      <c r="T1204" s="39">
        <f>[1]节奏总纲!AF1204</f>
        <v>107.7763884886008</v>
      </c>
      <c r="U1204" s="39">
        <f>[1]节奏总纲!AG1204</f>
        <v>112.56804887505366</v>
      </c>
      <c r="V1204" s="39">
        <f>[1]节奏总纲!AH1204</f>
        <v>121.7148988310588</v>
      </c>
    </row>
    <row r="1205" spans="17:22" x14ac:dyDescent="0.15">
      <c r="Q1205" s="38">
        <v>1202</v>
      </c>
      <c r="R1205" s="39">
        <f>[1]节奏总纲!AD1205</f>
        <v>102.31664743016348</v>
      </c>
      <c r="S1205" s="39">
        <f>[1]节奏总纲!AE1205</f>
        <v>104.60931852553134</v>
      </c>
      <c r="T1205" s="39">
        <f>[1]节奏总纲!AF1205</f>
        <v>107.78946646110843</v>
      </c>
      <c r="U1205" s="39">
        <f>[1]节奏总纲!AG1205</f>
        <v>112.58048121374416</v>
      </c>
      <c r="V1205" s="39">
        <f>[1]节奏总纲!AH1205</f>
        <v>121.72729528116871</v>
      </c>
    </row>
    <row r="1206" spans="17:22" x14ac:dyDescent="0.15">
      <c r="Q1206" s="38">
        <v>1203</v>
      </c>
      <c r="R1206" s="39">
        <f>[1]节奏总纲!AD1206</f>
        <v>102.32849229600146</v>
      </c>
      <c r="S1206" s="39">
        <f>[1]节奏总纲!AE1206</f>
        <v>104.62120884853682</v>
      </c>
      <c r="T1206" s="39">
        <f>[1]节奏总纲!AF1206</f>
        <v>107.80254443361606</v>
      </c>
      <c r="U1206" s="39">
        <f>[1]节奏总纲!AG1206</f>
        <v>112.59291355243468</v>
      </c>
      <c r="V1206" s="39">
        <f>[1]节奏总纲!AH1206</f>
        <v>121.73969173127861</v>
      </c>
    </row>
    <row r="1207" spans="17:22" x14ac:dyDescent="0.15">
      <c r="Q1207" s="38">
        <v>1204</v>
      </c>
      <c r="R1207" s="39">
        <f>[1]节奏总纲!AD1207</f>
        <v>102.34033716183943</v>
      </c>
      <c r="S1207" s="39">
        <f>[1]节奏总纲!AE1207</f>
        <v>104.63309917154231</v>
      </c>
      <c r="T1207" s="39">
        <f>[1]节奏总纲!AF1207</f>
        <v>107.81562240612369</v>
      </c>
      <c r="U1207" s="39">
        <f>[1]节奏总纲!AG1207</f>
        <v>112.60534589112518</v>
      </c>
      <c r="V1207" s="39">
        <f>[1]节奏总纲!AH1207</f>
        <v>121.75208818138852</v>
      </c>
    </row>
    <row r="1208" spans="17:22" x14ac:dyDescent="0.15">
      <c r="Q1208" s="38">
        <v>1205</v>
      </c>
      <c r="R1208" s="39">
        <f>[1]节奏总纲!AD1208</f>
        <v>102.3521820276774</v>
      </c>
      <c r="S1208" s="39">
        <f>[1]节奏总纲!AE1208</f>
        <v>104.6449894945478</v>
      </c>
      <c r="T1208" s="39">
        <f>[1]节奏总纲!AF1208</f>
        <v>107.82870037863132</v>
      </c>
      <c r="U1208" s="39">
        <f>[1]节奏总纲!AG1208</f>
        <v>112.6177782298157</v>
      </c>
      <c r="V1208" s="39">
        <f>[1]节奏总纲!AH1208</f>
        <v>121.76448463149842</v>
      </c>
    </row>
    <row r="1209" spans="17:22" x14ac:dyDescent="0.15">
      <c r="Q1209" s="38">
        <v>1206</v>
      </c>
      <c r="R1209" s="39">
        <f>[1]节奏总纲!AD1209</f>
        <v>102.36402689351536</v>
      </c>
      <c r="S1209" s="39">
        <f>[1]节奏总纲!AE1209</f>
        <v>104.65687981755327</v>
      </c>
      <c r="T1209" s="39">
        <f>[1]节奏总纲!AF1209</f>
        <v>107.84177835113896</v>
      </c>
      <c r="U1209" s="39">
        <f>[1]节奏总纲!AG1209</f>
        <v>112.6302105685062</v>
      </c>
      <c r="V1209" s="39">
        <f>[1]节奏总纲!AH1209</f>
        <v>121.77688108160832</v>
      </c>
    </row>
    <row r="1210" spans="17:22" x14ac:dyDescent="0.15">
      <c r="Q1210" s="38">
        <v>1207</v>
      </c>
      <c r="R1210" s="39">
        <f>[1]节奏总纲!AD1210</f>
        <v>102.37587175935333</v>
      </c>
      <c r="S1210" s="39">
        <f>[1]节奏总纲!AE1210</f>
        <v>104.66877014055876</v>
      </c>
      <c r="T1210" s="39">
        <f>[1]节奏总纲!AF1210</f>
        <v>107.8548563236466</v>
      </c>
      <c r="U1210" s="39">
        <f>[1]节奏总纲!AG1210</f>
        <v>112.64264290719672</v>
      </c>
      <c r="V1210" s="39">
        <f>[1]节奏总纲!AH1210</f>
        <v>121.78927753171823</v>
      </c>
    </row>
    <row r="1211" spans="17:22" x14ac:dyDescent="0.15">
      <c r="Q1211" s="38">
        <v>1208</v>
      </c>
      <c r="R1211" s="39">
        <f>[1]节奏总纲!AD1211</f>
        <v>102.3877166251913</v>
      </c>
      <c r="S1211" s="39">
        <f>[1]节奏总纲!AE1211</f>
        <v>104.68066046356425</v>
      </c>
      <c r="T1211" s="39">
        <f>[1]节奏总纲!AF1211</f>
        <v>107.86793429615423</v>
      </c>
      <c r="U1211" s="39">
        <f>[1]节奏总纲!AG1211</f>
        <v>112.65507524588722</v>
      </c>
      <c r="V1211" s="39">
        <f>[1]节奏总纲!AH1211</f>
        <v>121.80167398182813</v>
      </c>
    </row>
    <row r="1212" spans="17:22" x14ac:dyDescent="0.15">
      <c r="Q1212" s="38">
        <v>1209</v>
      </c>
      <c r="R1212" s="39">
        <f>[1]节奏总纲!AD1212</f>
        <v>102.39956149102927</v>
      </c>
      <c r="S1212" s="39">
        <f>[1]节奏总纲!AE1212</f>
        <v>104.69255078656974</v>
      </c>
      <c r="T1212" s="39">
        <f>[1]节奏总纲!AF1212</f>
        <v>107.88101226866186</v>
      </c>
      <c r="U1212" s="39">
        <f>[1]节奏总纲!AG1212</f>
        <v>112.66750758457772</v>
      </c>
      <c r="V1212" s="39">
        <f>[1]节奏总纲!AH1212</f>
        <v>121.81407043193802</v>
      </c>
    </row>
    <row r="1213" spans="17:22" x14ac:dyDescent="0.15">
      <c r="Q1213" s="38">
        <v>1210</v>
      </c>
      <c r="R1213" s="39">
        <f>[1]节奏总纲!AD1213</f>
        <v>102.41140635686723</v>
      </c>
      <c r="S1213" s="39">
        <f>[1]节奏总纲!AE1213</f>
        <v>104.70444110957523</v>
      </c>
      <c r="T1213" s="39">
        <f>[1]节奏总纲!AF1213</f>
        <v>107.89409024116949</v>
      </c>
      <c r="U1213" s="39">
        <f>[1]节奏总纲!AG1213</f>
        <v>112.67993992326824</v>
      </c>
      <c r="V1213" s="39">
        <f>[1]节奏总纲!AH1213</f>
        <v>121.82646688204792</v>
      </c>
    </row>
    <row r="1214" spans="17:22" x14ac:dyDescent="0.15">
      <c r="Q1214" s="38">
        <v>1211</v>
      </c>
      <c r="R1214" s="39">
        <f>[1]节奏总纲!AD1214</f>
        <v>102.4232512227052</v>
      </c>
      <c r="S1214" s="39">
        <f>[1]节奏总纲!AE1214</f>
        <v>104.71633143258072</v>
      </c>
      <c r="T1214" s="39">
        <f>[1]节奏总纲!AF1214</f>
        <v>107.90716821367712</v>
      </c>
      <c r="U1214" s="39">
        <f>[1]节奏总纲!AG1214</f>
        <v>112.69237226195874</v>
      </c>
      <c r="V1214" s="39">
        <f>[1]节奏总纲!AH1214</f>
        <v>121.83886333215783</v>
      </c>
    </row>
    <row r="1215" spans="17:22" x14ac:dyDescent="0.15">
      <c r="Q1215" s="38">
        <v>1212</v>
      </c>
      <c r="R1215" s="39">
        <f>[1]节奏总纲!AD1215</f>
        <v>102.43509608854318</v>
      </c>
      <c r="S1215" s="39">
        <f>[1]节奏总纲!AE1215</f>
        <v>104.7282217555862</v>
      </c>
      <c r="T1215" s="39">
        <f>[1]节奏总纲!AF1215</f>
        <v>107.92024618618476</v>
      </c>
      <c r="U1215" s="39">
        <f>[1]节奏总纲!AG1215</f>
        <v>112.70480460064925</v>
      </c>
      <c r="V1215" s="39">
        <f>[1]节奏总纲!AH1215</f>
        <v>121.85125978226773</v>
      </c>
    </row>
    <row r="1216" spans="17:22" x14ac:dyDescent="0.15">
      <c r="Q1216" s="38">
        <v>1213</v>
      </c>
      <c r="R1216" s="39">
        <f>[1]节奏总纲!AD1216</f>
        <v>102.44694095438115</v>
      </c>
      <c r="S1216" s="39">
        <f>[1]节奏总纲!AE1216</f>
        <v>104.74011207859169</v>
      </c>
      <c r="T1216" s="39">
        <f>[1]节奏总纲!AF1216</f>
        <v>107.93332415869239</v>
      </c>
      <c r="U1216" s="39">
        <f>[1]节奏总纲!AG1216</f>
        <v>112.71723693933976</v>
      </c>
      <c r="V1216" s="39">
        <f>[1]节奏总纲!AH1216</f>
        <v>121.86365623237764</v>
      </c>
    </row>
    <row r="1217" spans="17:22" x14ac:dyDescent="0.15">
      <c r="Q1217" s="38">
        <v>1214</v>
      </c>
      <c r="R1217" s="39">
        <f>[1]节奏总纲!AD1217</f>
        <v>102.45878582021911</v>
      </c>
      <c r="S1217" s="39">
        <f>[1]节奏总纲!AE1217</f>
        <v>104.75200240159718</v>
      </c>
      <c r="T1217" s="39">
        <f>[1]节奏总纲!AF1217</f>
        <v>107.94640213120003</v>
      </c>
      <c r="U1217" s="39">
        <f>[1]节奏总纲!AG1217</f>
        <v>112.72966927803027</v>
      </c>
      <c r="V1217" s="39">
        <f>[1]节奏总纲!AH1217</f>
        <v>121.87605268248754</v>
      </c>
    </row>
    <row r="1218" spans="17:22" x14ac:dyDescent="0.15">
      <c r="Q1218" s="38">
        <v>1215</v>
      </c>
      <c r="R1218" s="39">
        <f>[1]节奏总纲!AD1218</f>
        <v>102.47063068605708</v>
      </c>
      <c r="S1218" s="39">
        <f>[1]节奏总纲!AE1218</f>
        <v>104.76389272460267</v>
      </c>
      <c r="T1218" s="39">
        <f>[1]节奏总纲!AF1218</f>
        <v>107.95948010370766</v>
      </c>
      <c r="U1218" s="39">
        <f>[1]节奏总纲!AG1218</f>
        <v>112.74210161672077</v>
      </c>
      <c r="V1218" s="39">
        <f>[1]节奏总纲!AH1218</f>
        <v>121.88844913259744</v>
      </c>
    </row>
    <row r="1219" spans="17:22" x14ac:dyDescent="0.15">
      <c r="Q1219" s="38">
        <v>1216</v>
      </c>
      <c r="R1219" s="39">
        <f>[1]节奏总纲!AD1219</f>
        <v>102.48247555189505</v>
      </c>
      <c r="S1219" s="39">
        <f>[1]节奏总纲!AE1219</f>
        <v>104.77578304760816</v>
      </c>
      <c r="T1219" s="39">
        <f>[1]节奏总纲!AF1219</f>
        <v>107.97255807621529</v>
      </c>
      <c r="U1219" s="39">
        <f>[1]节奏总纲!AG1219</f>
        <v>112.75453395541129</v>
      </c>
      <c r="V1219" s="39">
        <f>[1]节奏总纲!AH1219</f>
        <v>121.90084558270735</v>
      </c>
    </row>
    <row r="1220" spans="17:22" x14ac:dyDescent="0.15">
      <c r="Q1220" s="38">
        <v>1217</v>
      </c>
      <c r="R1220" s="39">
        <f>[1]节奏总纲!AD1220</f>
        <v>102.49432041773302</v>
      </c>
      <c r="S1220" s="39">
        <f>[1]节奏总纲!AE1220</f>
        <v>104.78767337061365</v>
      </c>
      <c r="T1220" s="39">
        <f>[1]节奏总纲!AF1220</f>
        <v>107.98563604872292</v>
      </c>
      <c r="U1220" s="39">
        <f>[1]节奏总纲!AG1220</f>
        <v>112.76696629410179</v>
      </c>
      <c r="V1220" s="39">
        <f>[1]节奏总纲!AH1220</f>
        <v>121.91324203281725</v>
      </c>
    </row>
    <row r="1221" spans="17:22" x14ac:dyDescent="0.15">
      <c r="Q1221" s="38">
        <v>1218</v>
      </c>
      <c r="R1221" s="39">
        <f>[1]节奏总纲!AD1221</f>
        <v>102.50616528357099</v>
      </c>
      <c r="S1221" s="39">
        <f>[1]节奏总纲!AE1221</f>
        <v>104.79956369361913</v>
      </c>
      <c r="T1221" s="39">
        <f>[1]节奏总纲!AF1221</f>
        <v>107.99871402123055</v>
      </c>
      <c r="U1221" s="39">
        <f>[1]节奏总纲!AG1221</f>
        <v>112.77939863279229</v>
      </c>
      <c r="V1221" s="39">
        <f>[1]节奏总纲!AH1221</f>
        <v>121.92563848292716</v>
      </c>
    </row>
    <row r="1222" spans="17:22" x14ac:dyDescent="0.15">
      <c r="Q1222" s="38">
        <v>1219</v>
      </c>
      <c r="R1222" s="39">
        <f>[1]节奏总纲!AD1222</f>
        <v>102.51801014940895</v>
      </c>
      <c r="S1222" s="39">
        <f>[1]节奏总纲!AE1222</f>
        <v>104.81145401662462</v>
      </c>
      <c r="T1222" s="39">
        <f>[1]节奏总纲!AF1222</f>
        <v>108.01080288525374</v>
      </c>
      <c r="U1222" s="39">
        <f>[1]节奏总纲!AG1222</f>
        <v>112.79183097148281</v>
      </c>
      <c r="V1222" s="39">
        <f>[1]节奏总纲!AH1222</f>
        <v>121.93803493303706</v>
      </c>
    </row>
    <row r="1223" spans="17:22" x14ac:dyDescent="0.15">
      <c r="Q1223" s="38">
        <v>1220</v>
      </c>
      <c r="R1223" s="39">
        <f>[1]节奏总纲!AD1223</f>
        <v>102.52985501524692</v>
      </c>
      <c r="S1223" s="39">
        <f>[1]节奏总纲!AE1223</f>
        <v>104.82334433963011</v>
      </c>
      <c r="T1223" s="39">
        <f>[1]节奏总纲!AF1223</f>
        <v>108.02278388180855</v>
      </c>
      <c r="U1223" s="39">
        <f>[1]节奏总纲!AG1223</f>
        <v>112.80426331017331</v>
      </c>
      <c r="V1223" s="39">
        <f>[1]节奏总纲!AH1223</f>
        <v>121.95043138314695</v>
      </c>
    </row>
    <row r="1224" spans="17:22" x14ac:dyDescent="0.15">
      <c r="Q1224" s="38">
        <v>1221</v>
      </c>
      <c r="R1224" s="39">
        <f>[1]节奏总纲!AD1224</f>
        <v>102.5416998810849</v>
      </c>
      <c r="S1224" s="39">
        <f>[1]节奏总纲!AE1224</f>
        <v>104.8352346626356</v>
      </c>
      <c r="T1224" s="39">
        <f>[1]节奏总纲!AF1224</f>
        <v>108.03476487836335</v>
      </c>
      <c r="U1224" s="39">
        <f>[1]节奏总纲!AG1224</f>
        <v>112.81669564886383</v>
      </c>
      <c r="V1224" s="39">
        <f>[1]节奏总纲!AH1224</f>
        <v>121.96282783325685</v>
      </c>
    </row>
    <row r="1225" spans="17:22" x14ac:dyDescent="0.15">
      <c r="Q1225" s="38">
        <v>1222</v>
      </c>
      <c r="R1225" s="39">
        <f>[1]节奏总纲!AD1225</f>
        <v>102.55354474692287</v>
      </c>
      <c r="S1225" s="39">
        <f>[1]节奏总纲!AE1225</f>
        <v>104.84712498564109</v>
      </c>
      <c r="T1225" s="39">
        <f>[1]节奏总纲!AF1225</f>
        <v>108.04674587491816</v>
      </c>
      <c r="U1225" s="39">
        <f>[1]节奏总纲!AG1225</f>
        <v>112.82912798755433</v>
      </c>
      <c r="V1225" s="39">
        <f>[1]节奏总纲!AH1225</f>
        <v>121.97522428336676</v>
      </c>
    </row>
    <row r="1226" spans="17:22" x14ac:dyDescent="0.15">
      <c r="Q1226" s="38">
        <v>1223</v>
      </c>
      <c r="R1226" s="39">
        <f>[1]节奏总纲!AD1226</f>
        <v>102.56538961276082</v>
      </c>
      <c r="S1226" s="39">
        <f>[1]节奏总纲!AE1226</f>
        <v>104.85901530864658</v>
      </c>
      <c r="T1226" s="39">
        <f>[1]节奏总纲!AF1226</f>
        <v>108.05872687147296</v>
      </c>
      <c r="U1226" s="39">
        <f>[1]节奏总纲!AG1226</f>
        <v>112.84156032624485</v>
      </c>
      <c r="V1226" s="39">
        <f>[1]节奏总纲!AH1226</f>
        <v>121.98762073347666</v>
      </c>
    </row>
    <row r="1227" spans="17:22" x14ac:dyDescent="0.15">
      <c r="Q1227" s="38">
        <v>1224</v>
      </c>
      <c r="R1227" s="39">
        <f>[1]节奏总纲!AD1227</f>
        <v>102.5772344785988</v>
      </c>
      <c r="S1227" s="39">
        <f>[1]节奏总纲!AE1227</f>
        <v>104.87090563165206</v>
      </c>
      <c r="T1227" s="39">
        <f>[1]节奏总纲!AF1227</f>
        <v>108.07070786802777</v>
      </c>
      <c r="U1227" s="39">
        <f>[1]节奏总纲!AG1227</f>
        <v>112.85399266493535</v>
      </c>
      <c r="V1227" s="39">
        <f>[1]节奏总纲!AH1227</f>
        <v>122.0000150007215</v>
      </c>
    </row>
    <row r="1228" spans="17:22" x14ac:dyDescent="0.15">
      <c r="Q1228" s="38">
        <v>1225</v>
      </c>
      <c r="R1228" s="39">
        <f>[1]节奏总纲!AD1228</f>
        <v>102.58907934443677</v>
      </c>
      <c r="S1228" s="39">
        <f>[1]节奏总纲!AE1228</f>
        <v>104.88279595465755</v>
      </c>
      <c r="T1228" s="39">
        <f>[1]节奏总纲!AF1228</f>
        <v>108.08268886458256</v>
      </c>
      <c r="U1228" s="39">
        <f>[1]节奏总纲!AG1228</f>
        <v>112.86642500362586</v>
      </c>
      <c r="V1228" s="39">
        <f>[1]节奏总纲!AH1228</f>
        <v>122.01083670520119</v>
      </c>
    </row>
    <row r="1229" spans="17:22" x14ac:dyDescent="0.15">
      <c r="Q1229" s="38">
        <v>1226</v>
      </c>
      <c r="R1229" s="39">
        <f>[1]节奏总纲!AD1229</f>
        <v>102.60092421027474</v>
      </c>
      <c r="S1229" s="39">
        <f>[1]节奏总纲!AE1229</f>
        <v>104.89468627766304</v>
      </c>
      <c r="T1229" s="39">
        <f>[1]节奏总纲!AF1229</f>
        <v>108.09466986113738</v>
      </c>
      <c r="U1229" s="39">
        <f>[1]节奏总纲!AG1229</f>
        <v>112.87885734231637</v>
      </c>
      <c r="V1229" s="39">
        <f>[1]节奏总纲!AH1229</f>
        <v>122.02165840968087</v>
      </c>
    </row>
    <row r="1230" spans="17:22" x14ac:dyDescent="0.15">
      <c r="Q1230" s="38">
        <v>1227</v>
      </c>
      <c r="R1230" s="39">
        <f>[1]节奏总纲!AD1230</f>
        <v>102.6127690761127</v>
      </c>
      <c r="S1230" s="39">
        <f>[1]节奏总纲!AE1230</f>
        <v>104.90657660066853</v>
      </c>
      <c r="T1230" s="39">
        <f>[1]节奏总纲!AF1230</f>
        <v>108.10665085769217</v>
      </c>
      <c r="U1230" s="39">
        <f>[1]节奏总纲!AG1230</f>
        <v>112.89128968100687</v>
      </c>
      <c r="V1230" s="39">
        <f>[1]节奏总纲!AH1230</f>
        <v>122.03248011416055</v>
      </c>
    </row>
    <row r="1231" spans="17:22" x14ac:dyDescent="0.15">
      <c r="Q1231" s="38">
        <v>1228</v>
      </c>
      <c r="R1231" s="39">
        <f>[1]节奏总纲!AD1231</f>
        <v>102.62461394195067</v>
      </c>
      <c r="S1231" s="39">
        <f>[1]节奏总纲!AE1231</f>
        <v>104.91846692367402</v>
      </c>
      <c r="T1231" s="39">
        <f>[1]节奏总纲!AF1231</f>
        <v>108.11863185424698</v>
      </c>
      <c r="U1231" s="39">
        <f>[1]节奏总纲!AG1231</f>
        <v>112.90372201969738</v>
      </c>
      <c r="V1231" s="39">
        <f>[1]节奏总纲!AH1231</f>
        <v>122.04330181864023</v>
      </c>
    </row>
    <row r="1232" spans="17:22" x14ac:dyDescent="0.15">
      <c r="Q1232" s="38">
        <v>1229</v>
      </c>
      <c r="R1232" s="39">
        <f>[1]节奏总纲!AD1232</f>
        <v>102.63645880778864</v>
      </c>
      <c r="S1232" s="39">
        <f>[1]节奏总纲!AE1232</f>
        <v>104.93035724667951</v>
      </c>
      <c r="T1232" s="39">
        <f>[1]节奏总纲!AF1232</f>
        <v>108.13061285080178</v>
      </c>
      <c r="U1232" s="39">
        <f>[1]节奏总纲!AG1232</f>
        <v>112.91615435838789</v>
      </c>
      <c r="V1232" s="39">
        <f>[1]节奏总纲!AH1232</f>
        <v>122.05412352311991</v>
      </c>
    </row>
    <row r="1233" spans="17:22" x14ac:dyDescent="0.15">
      <c r="Q1233" s="38">
        <v>1230</v>
      </c>
      <c r="R1233" s="39">
        <f>[1]节奏总纲!AD1233</f>
        <v>102.64830367362661</v>
      </c>
      <c r="S1233" s="39">
        <f>[1]节奏总纲!AE1233</f>
        <v>104.94224756968499</v>
      </c>
      <c r="T1233" s="39">
        <f>[1]节奏总纲!AF1233</f>
        <v>108.14259384735659</v>
      </c>
      <c r="U1233" s="39">
        <f>[1]节奏总纲!AG1233</f>
        <v>112.9285866970784</v>
      </c>
      <c r="V1233" s="39">
        <f>[1]节奏总纲!AH1233</f>
        <v>122.06494522759959</v>
      </c>
    </row>
    <row r="1234" spans="17:22" x14ac:dyDescent="0.15">
      <c r="Q1234" s="38">
        <v>1231</v>
      </c>
      <c r="R1234" s="39">
        <f>[1]节奏总纲!AD1234</f>
        <v>102.66014853946459</v>
      </c>
      <c r="S1234" s="39">
        <f>[1]节奏总纲!AE1234</f>
        <v>104.95413789269048</v>
      </c>
      <c r="T1234" s="39">
        <f>[1]节奏总纲!AF1234</f>
        <v>108.15457484391139</v>
      </c>
      <c r="U1234" s="39">
        <f>[1]节奏总纲!AG1234</f>
        <v>112.9410190357689</v>
      </c>
      <c r="V1234" s="39">
        <f>[1]节奏总纲!AH1234</f>
        <v>122.07576693207928</v>
      </c>
    </row>
    <row r="1235" spans="17:22" x14ac:dyDescent="0.15">
      <c r="Q1235" s="38">
        <v>1232</v>
      </c>
      <c r="R1235" s="39">
        <f>[1]节奏总纲!AD1235</f>
        <v>102.67199340530254</v>
      </c>
      <c r="S1235" s="39">
        <f>[1]节奏总纲!AE1235</f>
        <v>104.96602821569597</v>
      </c>
      <c r="T1235" s="39">
        <f>[1]节奏总纲!AF1235</f>
        <v>108.1665558404662</v>
      </c>
      <c r="U1235" s="39">
        <f>[1]节奏总纲!AG1235</f>
        <v>112.95345137445942</v>
      </c>
      <c r="V1235" s="39">
        <f>[1]节奏总纲!AH1235</f>
        <v>122.08658863655896</v>
      </c>
    </row>
    <row r="1236" spans="17:22" x14ac:dyDescent="0.15">
      <c r="Q1236" s="38">
        <v>1233</v>
      </c>
      <c r="R1236" s="39">
        <f>[1]节奏总纲!AD1236</f>
        <v>102.68383827114052</v>
      </c>
      <c r="S1236" s="39">
        <f>[1]节奏总纲!AE1236</f>
        <v>104.97791853870146</v>
      </c>
      <c r="T1236" s="39">
        <f>[1]节奏总纲!AF1236</f>
        <v>108.178536837021</v>
      </c>
      <c r="U1236" s="39">
        <f>[1]节奏总纲!AG1236</f>
        <v>112.96588371314992</v>
      </c>
      <c r="V1236" s="39">
        <f>[1]节奏总纲!AH1236</f>
        <v>122.09741034103864</v>
      </c>
    </row>
    <row r="1237" spans="17:22" x14ac:dyDescent="0.15">
      <c r="Q1237" s="38">
        <v>1234</v>
      </c>
      <c r="R1237" s="39">
        <f>[1]节奏总纲!AD1237</f>
        <v>102.69568313697849</v>
      </c>
      <c r="S1237" s="39">
        <f>[1]节奏总纲!AE1237</f>
        <v>104.98980886170695</v>
      </c>
      <c r="T1237" s="39">
        <f>[1]节奏总纲!AF1237</f>
        <v>108.19051783357581</v>
      </c>
      <c r="U1237" s="39">
        <f>[1]节奏总纲!AG1237</f>
        <v>112.97831605184044</v>
      </c>
      <c r="V1237" s="39">
        <f>[1]节奏总纲!AH1237</f>
        <v>122.10823204551832</v>
      </c>
    </row>
    <row r="1238" spans="17:22" x14ac:dyDescent="0.15">
      <c r="Q1238" s="38">
        <v>1235</v>
      </c>
      <c r="R1238" s="39">
        <f>[1]节奏总纲!AD1238</f>
        <v>102.70752800281646</v>
      </c>
      <c r="S1238" s="39">
        <f>[1]节奏总纲!AE1238</f>
        <v>105.00159453089373</v>
      </c>
      <c r="T1238" s="39">
        <f>[1]节奏总纲!AF1238</f>
        <v>108.20249883013061</v>
      </c>
      <c r="U1238" s="39">
        <f>[1]节奏总纲!AG1238</f>
        <v>112.99074839053094</v>
      </c>
      <c r="V1238" s="39">
        <f>[1]节奏总纲!AH1238</f>
        <v>122.119053749998</v>
      </c>
    </row>
    <row r="1239" spans="17:22" x14ac:dyDescent="0.15">
      <c r="Q1239" s="38">
        <v>1236</v>
      </c>
      <c r="R1239" s="39">
        <f>[1]节奏总纲!AD1239</f>
        <v>102.71937286865442</v>
      </c>
      <c r="S1239" s="39">
        <f>[1]节奏总纲!AE1239</f>
        <v>105.01275252168188</v>
      </c>
      <c r="T1239" s="39">
        <f>[1]节奏总纲!AF1239</f>
        <v>108.21447982668542</v>
      </c>
      <c r="U1239" s="39">
        <f>[1]节奏总纲!AG1239</f>
        <v>113.00306046224779</v>
      </c>
      <c r="V1239" s="39">
        <f>[1]节奏总纲!AH1239</f>
        <v>122.12987545447768</v>
      </c>
    </row>
    <row r="1240" spans="17:22" x14ac:dyDescent="0.15">
      <c r="Q1240" s="38">
        <v>1237</v>
      </c>
      <c r="R1240" s="39">
        <f>[1]节奏总纲!AD1240</f>
        <v>102.73121773449239</v>
      </c>
      <c r="S1240" s="39">
        <f>[1]节奏总纲!AE1240</f>
        <v>105.02391051247001</v>
      </c>
      <c r="T1240" s="39">
        <f>[1]节奏总纲!AF1240</f>
        <v>108.22646082324022</v>
      </c>
      <c r="U1240" s="39">
        <f>[1]节奏总纲!AG1240</f>
        <v>113.01502272013424</v>
      </c>
      <c r="V1240" s="39">
        <f>[1]节奏总纲!AH1240</f>
        <v>122.14069715895737</v>
      </c>
    </row>
    <row r="1241" spans="17:22" x14ac:dyDescent="0.15">
      <c r="Q1241" s="38">
        <v>1238</v>
      </c>
      <c r="R1241" s="39">
        <f>[1]节奏总纲!AD1241</f>
        <v>102.74306260033036</v>
      </c>
      <c r="S1241" s="39">
        <f>[1]节奏总纲!AE1241</f>
        <v>105.03506850325815</v>
      </c>
      <c r="T1241" s="39">
        <f>[1]节奏总纲!AF1241</f>
        <v>108.23844181979503</v>
      </c>
      <c r="U1241" s="39">
        <f>[1]节奏总纲!AG1241</f>
        <v>113.02698497802069</v>
      </c>
      <c r="V1241" s="39">
        <f>[1]节奏总纲!AH1241</f>
        <v>122.15151886343705</v>
      </c>
    </row>
    <row r="1242" spans="17:22" x14ac:dyDescent="0.15">
      <c r="Q1242" s="38">
        <v>1239</v>
      </c>
      <c r="R1242" s="39">
        <f>[1]节奏总纲!AD1242</f>
        <v>102.75490746616833</v>
      </c>
      <c r="S1242" s="39">
        <f>[1]节奏总纲!AE1242</f>
        <v>105.04622649404628</v>
      </c>
      <c r="T1242" s="39">
        <f>[1]节奏总纲!AF1242</f>
        <v>108.25042281634983</v>
      </c>
      <c r="U1242" s="39">
        <f>[1]节奏总纲!AG1242</f>
        <v>113.03894723590716</v>
      </c>
      <c r="V1242" s="39">
        <f>[1]节奏总纲!AH1242</f>
        <v>122.16234056791673</v>
      </c>
    </row>
    <row r="1243" spans="17:22" x14ac:dyDescent="0.15">
      <c r="Q1243" s="38">
        <v>1240</v>
      </c>
      <c r="R1243" s="39">
        <f>[1]节奏总纲!AD1243</f>
        <v>102.76675233200629</v>
      </c>
      <c r="S1243" s="39">
        <f>[1]节奏总纲!AE1243</f>
        <v>105.05738448483442</v>
      </c>
      <c r="T1243" s="39">
        <f>[1]节奏总纲!AF1243</f>
        <v>108.26240381290464</v>
      </c>
      <c r="U1243" s="39">
        <f>[1]节奏总纲!AG1243</f>
        <v>113.05090949379361</v>
      </c>
      <c r="V1243" s="39">
        <f>[1]节奏总纲!AH1243</f>
        <v>122.17316227239641</v>
      </c>
    </row>
    <row r="1244" spans="17:22" x14ac:dyDescent="0.15">
      <c r="Q1244" s="38">
        <v>1241</v>
      </c>
      <c r="R1244" s="39">
        <f>[1]节奏总纲!AD1244</f>
        <v>102.77859719784426</v>
      </c>
      <c r="S1244" s="39">
        <f>[1]节奏总纲!AE1244</f>
        <v>105.06854247562255</v>
      </c>
      <c r="T1244" s="39">
        <f>[1]节奏总纲!AF1244</f>
        <v>108.27438480945943</v>
      </c>
      <c r="U1244" s="39">
        <f>[1]节奏总纲!AG1244</f>
        <v>113.06287175168006</v>
      </c>
      <c r="V1244" s="39">
        <f>[1]节奏总纲!AH1244</f>
        <v>122.18398397687609</v>
      </c>
    </row>
    <row r="1245" spans="17:22" x14ac:dyDescent="0.15">
      <c r="Q1245" s="38">
        <v>1242</v>
      </c>
      <c r="R1245" s="39">
        <f>[1]节奏总纲!AD1245</f>
        <v>102.79044206368224</v>
      </c>
      <c r="S1245" s="39">
        <f>[1]节奏总纲!AE1245</f>
        <v>105.07970046641069</v>
      </c>
      <c r="T1245" s="39">
        <f>[1]节奏总纲!AF1245</f>
        <v>108.28636580601425</v>
      </c>
      <c r="U1245" s="39">
        <f>[1]节奏总纲!AG1245</f>
        <v>113.07483400956653</v>
      </c>
      <c r="V1245" s="39">
        <f>[1]节奏总纲!AH1245</f>
        <v>122.19480568135577</v>
      </c>
    </row>
    <row r="1246" spans="17:22" x14ac:dyDescent="0.15">
      <c r="Q1246" s="38">
        <v>1243</v>
      </c>
      <c r="R1246" s="39">
        <f>[1]节奏总纲!AD1246</f>
        <v>102.80228692952021</v>
      </c>
      <c r="S1246" s="39">
        <f>[1]节奏总纲!AE1246</f>
        <v>105.09085845719882</v>
      </c>
      <c r="T1246" s="39">
        <f>[1]节奏总纲!AF1246</f>
        <v>108.29834680256904</v>
      </c>
      <c r="U1246" s="39">
        <f>[1]节奏总纲!AG1246</f>
        <v>113.08679626745298</v>
      </c>
      <c r="V1246" s="39">
        <f>[1]节奏总纲!AH1246</f>
        <v>122.20562738583546</v>
      </c>
    </row>
    <row r="1247" spans="17:22" x14ac:dyDescent="0.15">
      <c r="Q1247" s="38">
        <v>1244</v>
      </c>
      <c r="R1247" s="39">
        <f>[1]节奏总纲!AD1247</f>
        <v>102.81413179535816</v>
      </c>
      <c r="S1247" s="39">
        <f>[1]节奏总纲!AE1247</f>
        <v>105.10201644798695</v>
      </c>
      <c r="T1247" s="39">
        <f>[1]节奏总纲!AF1247</f>
        <v>108.31032779912385</v>
      </c>
      <c r="U1247" s="39">
        <f>[1]节奏总纲!AG1247</f>
        <v>113.09875852533943</v>
      </c>
      <c r="V1247" s="39">
        <f>[1]节奏总纲!AH1247</f>
        <v>122.21644909031515</v>
      </c>
    </row>
    <row r="1248" spans="17:22" x14ac:dyDescent="0.15">
      <c r="Q1248" s="38">
        <v>1245</v>
      </c>
      <c r="R1248" s="39">
        <f>[1]节奏总纲!AD1248</f>
        <v>102.82597666119614</v>
      </c>
      <c r="S1248" s="39">
        <f>[1]节奏总纲!AE1248</f>
        <v>105.11317443877509</v>
      </c>
      <c r="T1248" s="39">
        <f>[1]节奏总纲!AF1248</f>
        <v>108.32230879567865</v>
      </c>
      <c r="U1248" s="39">
        <f>[1]节奏总纲!AG1248</f>
        <v>113.1107207832259</v>
      </c>
      <c r="V1248" s="39">
        <f>[1]节奏总纲!AH1248</f>
        <v>122.22727079479483</v>
      </c>
    </row>
    <row r="1249" spans="17:22" x14ac:dyDescent="0.15">
      <c r="Q1249" s="38">
        <v>1246</v>
      </c>
      <c r="R1249" s="39">
        <f>[1]节奏总纲!AD1249</f>
        <v>102.83782152703411</v>
      </c>
      <c r="S1249" s="39">
        <f>[1]节奏总纲!AE1249</f>
        <v>105.12433242956324</v>
      </c>
      <c r="T1249" s="39">
        <f>[1]节奏总纲!AF1249</f>
        <v>108.33428979223346</v>
      </c>
      <c r="U1249" s="39">
        <f>[1]节奏总纲!AG1249</f>
        <v>113.12268304111235</v>
      </c>
      <c r="V1249" s="39">
        <f>[1]节奏总纲!AH1249</f>
        <v>122.23809249927452</v>
      </c>
    </row>
    <row r="1250" spans="17:22" x14ac:dyDescent="0.15">
      <c r="Q1250" s="38">
        <v>1247</v>
      </c>
      <c r="R1250" s="39">
        <f>[1]节奏总纲!AD1250</f>
        <v>102.84966639287208</v>
      </c>
      <c r="S1250" s="39">
        <f>[1]节奏总纲!AE1250</f>
        <v>105.13549042035137</v>
      </c>
      <c r="T1250" s="39">
        <f>[1]节奏总纲!AF1250</f>
        <v>108.34627078878826</v>
      </c>
      <c r="U1250" s="39">
        <f>[1]节奏总纲!AG1250</f>
        <v>113.13464529899881</v>
      </c>
      <c r="V1250" s="39">
        <f>[1]节奏总纲!AH1250</f>
        <v>122.2489142037542</v>
      </c>
    </row>
    <row r="1251" spans="17:22" x14ac:dyDescent="0.15">
      <c r="Q1251" s="38">
        <v>1248</v>
      </c>
      <c r="R1251" s="39">
        <f>[1]节奏总纲!AD1251</f>
        <v>102.86151125871005</v>
      </c>
      <c r="S1251" s="39">
        <f>[1]节奏总纲!AE1251</f>
        <v>105.14664841113951</v>
      </c>
      <c r="T1251" s="39">
        <f>[1]节奏总纲!AF1251</f>
        <v>108.35825178534307</v>
      </c>
      <c r="U1251" s="39">
        <f>[1]节奏总纲!AG1251</f>
        <v>113.14660755688527</v>
      </c>
      <c r="V1251" s="39">
        <f>[1]节奏总纲!AH1251</f>
        <v>122.25973590823388</v>
      </c>
    </row>
    <row r="1252" spans="17:22" x14ac:dyDescent="0.15">
      <c r="Q1252" s="38">
        <v>1249</v>
      </c>
      <c r="R1252" s="39">
        <f>[1]节奏总纲!AD1252</f>
        <v>102.87335612454801</v>
      </c>
      <c r="S1252" s="39">
        <f>[1]节奏总纲!AE1252</f>
        <v>105.15780640192764</v>
      </c>
      <c r="T1252" s="39">
        <f>[1]节奏总纲!AF1252</f>
        <v>108.37023278189787</v>
      </c>
      <c r="U1252" s="39">
        <f>[1]节奏总纲!AG1252</f>
        <v>113.15856981477172</v>
      </c>
      <c r="V1252" s="39">
        <f>[1]节奏总纲!AH1252</f>
        <v>122.27055761271356</v>
      </c>
    </row>
    <row r="1253" spans="17:22" x14ac:dyDescent="0.15">
      <c r="Q1253" s="38">
        <v>1250</v>
      </c>
      <c r="R1253" s="39">
        <f>[1]节奏总纲!AD1253</f>
        <v>102.88520099038598</v>
      </c>
      <c r="S1253" s="39">
        <f>[1]节奏总纲!AE1253</f>
        <v>105.16896439271578</v>
      </c>
      <c r="T1253" s="39">
        <f>[1]节奏总纲!AF1253</f>
        <v>108.38221377845268</v>
      </c>
      <c r="U1253" s="39">
        <f>[1]节奏总纲!AG1253</f>
        <v>113.17053207265818</v>
      </c>
      <c r="V1253" s="39">
        <f>[1]节奏总纲!AH1253</f>
        <v>122.28137931719324</v>
      </c>
    </row>
    <row r="1254" spans="17:22" x14ac:dyDescent="0.15">
      <c r="Q1254" s="38">
        <v>1251</v>
      </c>
      <c r="R1254" s="39">
        <f>[1]节奏总纲!AD1254</f>
        <v>102.89704585622395</v>
      </c>
      <c r="S1254" s="39">
        <f>[1]节奏总纲!AE1254</f>
        <v>105.18012238350391</v>
      </c>
      <c r="T1254" s="39">
        <f>[1]节奏总纲!AF1254</f>
        <v>108.39419477500748</v>
      </c>
      <c r="U1254" s="39">
        <f>[1]节奏总纲!AG1254</f>
        <v>113.18249433054463</v>
      </c>
      <c r="V1254" s="39">
        <f>[1]节奏总纲!AH1254</f>
        <v>122.29220102167292</v>
      </c>
    </row>
    <row r="1255" spans="17:22" x14ac:dyDescent="0.15">
      <c r="Q1255" s="38">
        <v>1252</v>
      </c>
      <c r="R1255" s="39">
        <f>[1]节奏总纲!AD1255</f>
        <v>102.90889072206193</v>
      </c>
      <c r="S1255" s="39">
        <f>[1]节奏总纲!AE1255</f>
        <v>105.19128037429205</v>
      </c>
      <c r="T1255" s="39">
        <f>[1]节奏总纲!AF1255</f>
        <v>108.40617577156229</v>
      </c>
      <c r="U1255" s="39">
        <f>[1]节奏总纲!AG1255</f>
        <v>113.19445658843109</v>
      </c>
      <c r="V1255" s="39">
        <f>[1]节奏总纲!AH1255</f>
        <v>122.30302272615261</v>
      </c>
    </row>
    <row r="1256" spans="17:22" x14ac:dyDescent="0.15">
      <c r="Q1256" s="38">
        <v>1253</v>
      </c>
      <c r="R1256" s="39">
        <f>[1]节奏总纲!AD1256</f>
        <v>102.92073558789988</v>
      </c>
      <c r="S1256" s="39">
        <f>[1]节奏总纲!AE1256</f>
        <v>105.20243836508018</v>
      </c>
      <c r="T1256" s="39">
        <f>[1]节奏总纲!AF1256</f>
        <v>108.41815676811709</v>
      </c>
      <c r="U1256" s="39">
        <f>[1]节奏总纲!AG1256</f>
        <v>113.20641884631755</v>
      </c>
      <c r="V1256" s="39">
        <f>[1]节奏总纲!AH1256</f>
        <v>122.31384443063229</v>
      </c>
    </row>
    <row r="1257" spans="17:22" x14ac:dyDescent="0.15">
      <c r="Q1257" s="38">
        <v>1254</v>
      </c>
      <c r="R1257" s="39">
        <f>[1]节奏总纲!AD1257</f>
        <v>102.93258045373786</v>
      </c>
      <c r="S1257" s="39">
        <f>[1]节奏总纲!AE1257</f>
        <v>105.21359635586832</v>
      </c>
      <c r="T1257" s="39">
        <f>[1]节奏总纲!AF1257</f>
        <v>108.4301377646719</v>
      </c>
      <c r="U1257" s="39">
        <f>[1]节奏总纲!AG1257</f>
        <v>113.218381104204</v>
      </c>
      <c r="V1257" s="39">
        <f>[1]节奏总纲!AH1257</f>
        <v>122.32466613511197</v>
      </c>
    </row>
    <row r="1258" spans="17:22" x14ac:dyDescent="0.15">
      <c r="Q1258" s="38">
        <v>1255</v>
      </c>
      <c r="R1258" s="39">
        <f>[1]节奏总纲!AD1258</f>
        <v>102.94442531957583</v>
      </c>
      <c r="S1258" s="39">
        <f>[1]节奏总纲!AE1258</f>
        <v>105.22475434665647</v>
      </c>
      <c r="T1258" s="39">
        <f>[1]节奏总纲!AF1258</f>
        <v>108.44211876122669</v>
      </c>
      <c r="U1258" s="39">
        <f>[1]节奏总纲!AG1258</f>
        <v>113.23034336209047</v>
      </c>
      <c r="V1258" s="39">
        <f>[1]节奏总纲!AH1258</f>
        <v>122.33548783959165</v>
      </c>
    </row>
    <row r="1259" spans="17:22" x14ac:dyDescent="0.15">
      <c r="Q1259" s="38">
        <v>1256</v>
      </c>
      <c r="R1259" s="39">
        <f>[1]节奏总纲!AD1259</f>
        <v>102.9562701854138</v>
      </c>
      <c r="S1259" s="39">
        <f>[1]节奏总纲!AE1259</f>
        <v>105.2359123374446</v>
      </c>
      <c r="T1259" s="39">
        <f>[1]节奏总纲!AF1259</f>
        <v>108.45409975778151</v>
      </c>
      <c r="U1259" s="39">
        <f>[1]节奏总纲!AG1259</f>
        <v>113.24230561997692</v>
      </c>
      <c r="V1259" s="39">
        <f>[1]节奏总纲!AH1259</f>
        <v>122.34630954407133</v>
      </c>
    </row>
    <row r="1260" spans="17:22" x14ac:dyDescent="0.15">
      <c r="Q1260" s="38">
        <v>1257</v>
      </c>
      <c r="R1260" s="39">
        <f>[1]节奏总纲!AD1260</f>
        <v>102.96811505125176</v>
      </c>
      <c r="S1260" s="39">
        <f>[1]节奏总纲!AE1260</f>
        <v>105.24707032823274</v>
      </c>
      <c r="T1260" s="39">
        <f>[1]节奏总纲!AF1260</f>
        <v>108.4660807543363</v>
      </c>
      <c r="U1260" s="39">
        <f>[1]节奏总纲!AG1260</f>
        <v>113.25426787786337</v>
      </c>
      <c r="V1260" s="39">
        <f>[1]节奏总纲!AH1260</f>
        <v>122.35713124855101</v>
      </c>
    </row>
    <row r="1261" spans="17:22" x14ac:dyDescent="0.15">
      <c r="Q1261" s="38">
        <v>1258</v>
      </c>
      <c r="R1261" s="39">
        <f>[1]节奏总纲!AD1261</f>
        <v>102.97995991708973</v>
      </c>
      <c r="S1261" s="39">
        <f>[1]节奏总纲!AE1261</f>
        <v>105.25822831902087</v>
      </c>
      <c r="T1261" s="39">
        <f>[1]节奏总纲!AF1261</f>
        <v>108.4780617508911</v>
      </c>
      <c r="U1261" s="39">
        <f>[1]节奏总纲!AG1261</f>
        <v>113.26623013574984</v>
      </c>
      <c r="V1261" s="39">
        <f>[1]节奏总纲!AH1261</f>
        <v>122.3679529530307</v>
      </c>
    </row>
    <row r="1262" spans="17:22" x14ac:dyDescent="0.15">
      <c r="Q1262" s="38">
        <v>1259</v>
      </c>
      <c r="R1262" s="39">
        <f>[1]节奏总纲!AD1262</f>
        <v>102.9918047829277</v>
      </c>
      <c r="S1262" s="39">
        <f>[1]节奏总纲!AE1262</f>
        <v>105.26938630980901</v>
      </c>
      <c r="T1262" s="39">
        <f>[1]节奏总纲!AF1262</f>
        <v>108.49004274744591</v>
      </c>
      <c r="U1262" s="39">
        <f>[1]节奏总纲!AG1262</f>
        <v>113.27819239363629</v>
      </c>
      <c r="V1262" s="39">
        <f>[1]节奏总纲!AH1262</f>
        <v>122.37877465751038</v>
      </c>
    </row>
    <row r="1263" spans="17:22" x14ac:dyDescent="0.15">
      <c r="Q1263" s="38">
        <v>1260</v>
      </c>
      <c r="R1263" s="39">
        <f>[1]节奏总纲!AD1263</f>
        <v>103.0034052427059</v>
      </c>
      <c r="S1263" s="39">
        <f>[1]节奏总纲!AE1263</f>
        <v>105.28054430059714</v>
      </c>
      <c r="T1263" s="39">
        <f>[1]节奏总纲!AF1263</f>
        <v>108.50202374400071</v>
      </c>
      <c r="U1263" s="39">
        <f>[1]节奏总纲!AG1263</f>
        <v>113.29015465152274</v>
      </c>
      <c r="V1263" s="39">
        <f>[1]节奏总纲!AH1263</f>
        <v>122.38959636199006</v>
      </c>
    </row>
    <row r="1264" spans="17:22" x14ac:dyDescent="0.15">
      <c r="Q1264" s="38">
        <v>1261</v>
      </c>
      <c r="R1264" s="39">
        <f>[1]节奏总纲!AD1264</f>
        <v>103.01445689331304</v>
      </c>
      <c r="S1264" s="39">
        <f>[1]节奏总纲!AE1264</f>
        <v>105.29170229138528</v>
      </c>
      <c r="T1264" s="39">
        <f>[1]节奏总纲!AF1264</f>
        <v>108.51400474055552</v>
      </c>
      <c r="U1264" s="39">
        <f>[1]节奏总纲!AG1264</f>
        <v>113.30211690940921</v>
      </c>
      <c r="V1264" s="39">
        <f>[1]节奏总纲!AH1264</f>
        <v>122.40041806646974</v>
      </c>
    </row>
    <row r="1265" spans="17:22" x14ac:dyDescent="0.15">
      <c r="Q1265" s="38">
        <v>1262</v>
      </c>
      <c r="R1265" s="39">
        <f>[1]节奏总纲!AD1265</f>
        <v>103.0255085439202</v>
      </c>
      <c r="S1265" s="39">
        <f>[1]节奏总纲!AE1265</f>
        <v>105.30286028217341</v>
      </c>
      <c r="T1265" s="39">
        <f>[1]节奏总纲!AF1265</f>
        <v>108.52598573711032</v>
      </c>
      <c r="U1265" s="39">
        <f>[1]节奏总纲!AG1265</f>
        <v>113.31407916729566</v>
      </c>
      <c r="V1265" s="39">
        <f>[1]节奏总纲!AH1265</f>
        <v>122.41123977094942</v>
      </c>
    </row>
    <row r="1266" spans="17:22" x14ac:dyDescent="0.15">
      <c r="Q1266" s="38">
        <v>1263</v>
      </c>
      <c r="R1266" s="39">
        <f>[1]节奏总纲!AD1266</f>
        <v>103.03656019452735</v>
      </c>
      <c r="S1266" s="39">
        <f>[1]节奏总纲!AE1266</f>
        <v>105.31401827296155</v>
      </c>
      <c r="T1266" s="39">
        <f>[1]节奏总纲!AF1266</f>
        <v>108.53796673366513</v>
      </c>
      <c r="U1266" s="39">
        <f>[1]节奏总纲!AG1266</f>
        <v>113.32604142518211</v>
      </c>
      <c r="V1266" s="39">
        <f>[1]节奏总纲!AH1266</f>
        <v>122.4220614754291</v>
      </c>
    </row>
    <row r="1267" spans="17:22" x14ac:dyDescent="0.15">
      <c r="Q1267" s="38">
        <v>1264</v>
      </c>
      <c r="R1267" s="39">
        <f>[1]节奏总纲!AD1267</f>
        <v>103.0476118451345</v>
      </c>
      <c r="S1267" s="39">
        <f>[1]节奏总纲!AE1267</f>
        <v>105.3251762637497</v>
      </c>
      <c r="T1267" s="39">
        <f>[1]节奏总纲!AF1267</f>
        <v>108.54994773021993</v>
      </c>
      <c r="U1267" s="39">
        <f>[1]节奏总纲!AG1267</f>
        <v>113.33800368306858</v>
      </c>
      <c r="V1267" s="39">
        <f>[1]节奏总纲!AH1267</f>
        <v>122.43288317990879</v>
      </c>
    </row>
    <row r="1268" spans="17:22" x14ac:dyDescent="0.15">
      <c r="Q1268" s="38">
        <v>1265</v>
      </c>
      <c r="R1268" s="39">
        <f>[1]节奏总纲!AD1268</f>
        <v>103.05866349574165</v>
      </c>
      <c r="S1268" s="39">
        <f>[1]节奏总纲!AE1268</f>
        <v>105.33633425453783</v>
      </c>
      <c r="T1268" s="39">
        <f>[1]节奏总纲!AF1268</f>
        <v>108.56192872677474</v>
      </c>
      <c r="U1268" s="39">
        <f>[1]节奏总纲!AG1268</f>
        <v>113.34996594095503</v>
      </c>
      <c r="V1268" s="39">
        <f>[1]节奏总纲!AH1268</f>
        <v>122.44370488438847</v>
      </c>
    </row>
    <row r="1269" spans="17:22" x14ac:dyDescent="0.15">
      <c r="Q1269" s="38">
        <v>1266</v>
      </c>
      <c r="R1269" s="39">
        <f>[1]节奏总纲!AD1269</f>
        <v>103.0697151463488</v>
      </c>
      <c r="S1269" s="39">
        <f>[1]节奏总纲!AE1269</f>
        <v>105.34749224532597</v>
      </c>
      <c r="T1269" s="39">
        <f>[1]节奏总纲!AF1269</f>
        <v>108.57390972332954</v>
      </c>
      <c r="U1269" s="39">
        <f>[1]节奏总纲!AG1269</f>
        <v>113.36192819884148</v>
      </c>
      <c r="V1269" s="39">
        <f>[1]节奏总纲!AH1269</f>
        <v>122.45452658886815</v>
      </c>
    </row>
    <row r="1270" spans="17:22" x14ac:dyDescent="0.15">
      <c r="Q1270" s="38">
        <v>1267</v>
      </c>
      <c r="R1270" s="39">
        <f>[1]节奏总纲!AD1270</f>
        <v>103.08076679695596</v>
      </c>
      <c r="S1270" s="39">
        <f>[1]节奏总纲!AE1270</f>
        <v>105.3586502361141</v>
      </c>
      <c r="T1270" s="39">
        <f>[1]节奏总纲!AF1270</f>
        <v>108.58589071988435</v>
      </c>
      <c r="U1270" s="39">
        <f>[1]节奏总纲!AG1270</f>
        <v>113.37389045672795</v>
      </c>
      <c r="V1270" s="39">
        <f>[1]节奏总纲!AH1270</f>
        <v>122.46534829334783</v>
      </c>
    </row>
    <row r="1271" spans="17:22" x14ac:dyDescent="0.15">
      <c r="Q1271" s="38">
        <v>1268</v>
      </c>
      <c r="R1271" s="39">
        <f>[1]节奏总纲!AD1271</f>
        <v>103.09181844756311</v>
      </c>
      <c r="S1271" s="39">
        <f>[1]节奏总纲!AE1271</f>
        <v>105.36980822690224</v>
      </c>
      <c r="T1271" s="39">
        <f>[1]节奏总纲!AF1271</f>
        <v>108.59787171643914</v>
      </c>
      <c r="U1271" s="39">
        <f>[1]节奏总纲!AG1271</f>
        <v>113.3858527146144</v>
      </c>
      <c r="V1271" s="39">
        <f>[1]节奏总纲!AH1271</f>
        <v>122.47616999782751</v>
      </c>
    </row>
    <row r="1272" spans="17:22" x14ac:dyDescent="0.15">
      <c r="Q1272" s="38">
        <v>1269</v>
      </c>
      <c r="R1272" s="39">
        <f>[1]节奏总纲!AD1272</f>
        <v>103.10287009817026</v>
      </c>
      <c r="S1272" s="39">
        <f>[1]节奏总纲!AE1272</f>
        <v>105.38096621769037</v>
      </c>
      <c r="T1272" s="39">
        <f>[1]节奏总纲!AF1272</f>
        <v>108.60985271299396</v>
      </c>
      <c r="U1272" s="39">
        <f>[1]节奏总纲!AG1272</f>
        <v>113.39781497250085</v>
      </c>
      <c r="V1272" s="39">
        <f>[1]节奏总纲!AH1272</f>
        <v>122.48699170230719</v>
      </c>
    </row>
    <row r="1273" spans="17:22" x14ac:dyDescent="0.15">
      <c r="Q1273" s="38">
        <v>1270</v>
      </c>
      <c r="R1273" s="39">
        <f>[1]节奏总纲!AD1273</f>
        <v>103.11392174877741</v>
      </c>
      <c r="S1273" s="39">
        <f>[1]节奏总纲!AE1273</f>
        <v>105.39212420847851</v>
      </c>
      <c r="T1273" s="39">
        <f>[1]节奏总纲!AF1273</f>
        <v>108.62183370954875</v>
      </c>
      <c r="U1273" s="39">
        <f>[1]节奏总纲!AG1273</f>
        <v>113.40977723038732</v>
      </c>
      <c r="V1273" s="39">
        <f>[1]节奏总纲!AH1273</f>
        <v>122.49781340678688</v>
      </c>
    </row>
    <row r="1274" spans="17:22" x14ac:dyDescent="0.15">
      <c r="Q1274" s="38">
        <v>1271</v>
      </c>
      <c r="R1274" s="39">
        <f>[1]节奏总纲!AD1274</f>
        <v>103.12497339938457</v>
      </c>
      <c r="S1274" s="39">
        <f>[1]节奏总纲!AE1274</f>
        <v>105.40328219926664</v>
      </c>
      <c r="T1274" s="39">
        <f>[1]节奏总纲!AF1274</f>
        <v>108.63381470610356</v>
      </c>
      <c r="U1274" s="39">
        <f>[1]节奏总纲!AG1274</f>
        <v>113.42173948827377</v>
      </c>
      <c r="V1274" s="39">
        <f>[1]节奏总纲!AH1274</f>
        <v>122.50863511126656</v>
      </c>
    </row>
    <row r="1275" spans="17:22" x14ac:dyDescent="0.15">
      <c r="Q1275" s="38">
        <v>1272</v>
      </c>
      <c r="R1275" s="39">
        <f>[1]节奏总纲!AD1275</f>
        <v>103.13602504999172</v>
      </c>
      <c r="S1275" s="39">
        <f>[1]节奏总纲!AE1275</f>
        <v>105.41444019005478</v>
      </c>
      <c r="T1275" s="39">
        <f>[1]节奏总纲!AF1275</f>
        <v>108.64579570265836</v>
      </c>
      <c r="U1275" s="39">
        <f>[1]节奏总纲!AG1275</f>
        <v>113.43370174616022</v>
      </c>
      <c r="V1275" s="39">
        <f>[1]节奏总纲!AH1275</f>
        <v>122.51945681574624</v>
      </c>
    </row>
    <row r="1276" spans="17:22" x14ac:dyDescent="0.15">
      <c r="Q1276" s="38">
        <v>1273</v>
      </c>
      <c r="R1276" s="39">
        <f>[1]节奏总纲!AD1276</f>
        <v>103.14707670059887</v>
      </c>
      <c r="S1276" s="39">
        <f>[1]节奏总纲!AE1276</f>
        <v>105.42559818084291</v>
      </c>
      <c r="T1276" s="39">
        <f>[1]节奏总纲!AF1276</f>
        <v>108.65777669921317</v>
      </c>
      <c r="U1276" s="39">
        <f>[1]节奏总纲!AG1276</f>
        <v>113.44566400404669</v>
      </c>
      <c r="V1276" s="39">
        <f>[1]节奏总纲!AH1276</f>
        <v>122.53027852022592</v>
      </c>
    </row>
    <row r="1277" spans="17:22" x14ac:dyDescent="0.15">
      <c r="Q1277" s="38">
        <v>1274</v>
      </c>
      <c r="R1277" s="39">
        <f>[1]节奏总纲!AD1277</f>
        <v>103.15812835120602</v>
      </c>
      <c r="S1277" s="39">
        <f>[1]节奏总纲!AE1277</f>
        <v>105.43675617163106</v>
      </c>
      <c r="T1277" s="39">
        <f>[1]节奏总纲!AF1277</f>
        <v>108.66975769576797</v>
      </c>
      <c r="U1277" s="39">
        <f>[1]节奏总纲!AG1277</f>
        <v>113.45762626193314</v>
      </c>
      <c r="V1277" s="39">
        <f>[1]节奏总纲!AH1277</f>
        <v>122.5411002247056</v>
      </c>
    </row>
    <row r="1278" spans="17:22" x14ac:dyDescent="0.15">
      <c r="Q1278" s="38">
        <v>1275</v>
      </c>
      <c r="R1278" s="39">
        <f>[1]节奏总纲!AD1278</f>
        <v>103.16918000181317</v>
      </c>
      <c r="S1278" s="39">
        <f>[1]节奏总纲!AE1278</f>
        <v>105.4479141624192</v>
      </c>
      <c r="T1278" s="39">
        <f>[1]节奏总纲!AF1278</f>
        <v>108.68173869232278</v>
      </c>
      <c r="U1278" s="39">
        <f>[1]节奏总纲!AG1278</f>
        <v>113.4695885198196</v>
      </c>
      <c r="V1278" s="39">
        <f>[1]节奏总纲!AH1278</f>
        <v>122.55192192918528</v>
      </c>
    </row>
    <row r="1279" spans="17:22" x14ac:dyDescent="0.15">
      <c r="Q1279" s="38">
        <v>1276</v>
      </c>
      <c r="R1279" s="39">
        <f>[1]节奏总纲!AD1279</f>
        <v>103.18023165242033</v>
      </c>
      <c r="S1279" s="39">
        <f>[1]节奏总纲!AE1279</f>
        <v>105.45907215320733</v>
      </c>
      <c r="T1279" s="39">
        <f>[1]节奏总纲!AF1279</f>
        <v>108.69371968887758</v>
      </c>
      <c r="U1279" s="39">
        <f>[1]节奏总纲!AG1279</f>
        <v>113.48155077770606</v>
      </c>
      <c r="V1279" s="39">
        <f>[1]节奏总纲!AH1279</f>
        <v>122.56274363366498</v>
      </c>
    </row>
    <row r="1280" spans="17:22" x14ac:dyDescent="0.15">
      <c r="Q1280" s="38">
        <v>1277</v>
      </c>
      <c r="R1280" s="39">
        <f>[1]节奏总纲!AD1280</f>
        <v>103.19128330302748</v>
      </c>
      <c r="S1280" s="39">
        <f>[1]节奏总纲!AE1280</f>
        <v>105.47023014399547</v>
      </c>
      <c r="T1280" s="39">
        <f>[1]节奏总纲!AF1280</f>
        <v>108.70570068543239</v>
      </c>
      <c r="U1280" s="39">
        <f>[1]节奏总纲!AG1280</f>
        <v>113.49351303559251</v>
      </c>
      <c r="V1280" s="39">
        <f>[1]节奏总纲!AH1280</f>
        <v>122.57356533814466</v>
      </c>
    </row>
    <row r="1281" spans="17:22" x14ac:dyDescent="0.15">
      <c r="Q1281" s="38">
        <v>1278</v>
      </c>
      <c r="R1281" s="39">
        <f>[1]节奏总纲!AD1281</f>
        <v>103.20233495363463</v>
      </c>
      <c r="S1281" s="39">
        <f>[1]节奏总纲!AE1281</f>
        <v>105.4813881347836</v>
      </c>
      <c r="T1281" s="39">
        <f>[1]节奏总纲!AF1281</f>
        <v>108.71768168198719</v>
      </c>
      <c r="U1281" s="39">
        <f>[1]节奏总纲!AG1281</f>
        <v>113.50547529347897</v>
      </c>
      <c r="V1281" s="39">
        <f>[1]节奏总纲!AH1281</f>
        <v>122.58438704262434</v>
      </c>
    </row>
    <row r="1282" spans="17:22" x14ac:dyDescent="0.15">
      <c r="Q1282" s="38">
        <v>1279</v>
      </c>
      <c r="R1282" s="39">
        <f>[1]节奏总纲!AD1282</f>
        <v>103.21338660424178</v>
      </c>
      <c r="S1282" s="39">
        <f>[1]节奏总纲!AE1282</f>
        <v>105.49254612557174</v>
      </c>
      <c r="T1282" s="39">
        <f>[1]节奏总纲!AF1282</f>
        <v>108.729662678542</v>
      </c>
      <c r="U1282" s="39">
        <f>[1]节奏总纲!AG1282</f>
        <v>113.51743755136543</v>
      </c>
      <c r="V1282" s="39">
        <f>[1]节奏总纲!AH1282</f>
        <v>122.59520874710402</v>
      </c>
    </row>
    <row r="1283" spans="17:22" x14ac:dyDescent="0.15">
      <c r="Q1283" s="38">
        <v>1280</v>
      </c>
      <c r="R1283" s="39">
        <f>[1]节奏总纲!AD1283</f>
        <v>103.22443825484893</v>
      </c>
      <c r="S1283" s="39">
        <f>[1]节奏总纲!AE1283</f>
        <v>105.50370411635987</v>
      </c>
      <c r="T1283" s="39">
        <f>[1]节奏总纲!AF1283</f>
        <v>108.7416436750968</v>
      </c>
      <c r="U1283" s="39">
        <f>[1]节奏总纲!AG1283</f>
        <v>113.52939980925188</v>
      </c>
      <c r="V1283" s="39">
        <f>[1]节奏总纲!AH1283</f>
        <v>122.60603045158371</v>
      </c>
    </row>
    <row r="1284" spans="17:22" x14ac:dyDescent="0.15">
      <c r="Q1284" s="38">
        <v>1281</v>
      </c>
      <c r="R1284" s="39">
        <f>[1]节奏总纲!AD1284</f>
        <v>103.23548990545609</v>
      </c>
      <c r="S1284" s="39">
        <f>[1]节奏总纲!AE1284</f>
        <v>105.51486210714801</v>
      </c>
      <c r="T1284" s="39">
        <f>[1]节奏总纲!AF1284</f>
        <v>108.75362467165161</v>
      </c>
      <c r="U1284" s="39">
        <f>[1]节奏总纲!AG1284</f>
        <v>113.54136206713834</v>
      </c>
      <c r="V1284" s="39">
        <f>[1]节奏总纲!AH1284</f>
        <v>122.61685215606339</v>
      </c>
    </row>
    <row r="1285" spans="17:22" x14ac:dyDescent="0.15">
      <c r="Q1285" s="38">
        <v>1282</v>
      </c>
      <c r="R1285" s="39">
        <f>[1]节奏总纲!AD1285</f>
        <v>103.24654155606324</v>
      </c>
      <c r="S1285" s="39">
        <f>[1]节奏总纲!AE1285</f>
        <v>105.52602009793614</v>
      </c>
      <c r="T1285" s="39">
        <f>[1]节奏总纲!AF1285</f>
        <v>108.7656056682064</v>
      </c>
      <c r="U1285" s="39">
        <f>[1]节奏总纲!AG1285</f>
        <v>113.5533243250248</v>
      </c>
      <c r="V1285" s="39">
        <f>[1]节奏总纲!AH1285</f>
        <v>122.62767386054307</v>
      </c>
    </row>
    <row r="1286" spans="17:22" x14ac:dyDescent="0.15">
      <c r="Q1286" s="38">
        <v>1283</v>
      </c>
      <c r="R1286" s="39">
        <f>[1]节奏总纲!AD1286</f>
        <v>103.25759320667039</v>
      </c>
      <c r="S1286" s="39">
        <f>[1]节奏总纲!AE1286</f>
        <v>105.53717808872429</v>
      </c>
      <c r="T1286" s="39">
        <f>[1]节奏总纲!AF1286</f>
        <v>108.77758666476122</v>
      </c>
      <c r="U1286" s="39">
        <f>[1]节奏总纲!AG1286</f>
        <v>113.56528658291126</v>
      </c>
      <c r="V1286" s="39">
        <f>[1]节奏总纲!AH1286</f>
        <v>122.63849556502275</v>
      </c>
    </row>
    <row r="1287" spans="17:22" x14ac:dyDescent="0.15">
      <c r="Q1287" s="38">
        <v>1284</v>
      </c>
      <c r="R1287" s="39">
        <f>[1]节奏总纲!AD1287</f>
        <v>103.26864485727755</v>
      </c>
      <c r="S1287" s="39">
        <f>[1]节奏总纲!AE1287</f>
        <v>105.54833607951242</v>
      </c>
      <c r="T1287" s="39">
        <f>[1]节奏总纲!AF1287</f>
        <v>108.78956766131601</v>
      </c>
      <c r="U1287" s="39">
        <f>[1]节奏总纲!AG1287</f>
        <v>113.57724884079771</v>
      </c>
      <c r="V1287" s="39">
        <f>[1]节奏总纲!AH1287</f>
        <v>122.64931726950243</v>
      </c>
    </row>
    <row r="1288" spans="17:22" x14ac:dyDescent="0.15">
      <c r="Q1288" s="38">
        <v>1285</v>
      </c>
      <c r="R1288" s="39">
        <f>[1]节奏总纲!AD1288</f>
        <v>103.27969650788469</v>
      </c>
      <c r="S1288" s="39">
        <f>[1]节奏总纲!AE1288</f>
        <v>105.55949407030056</v>
      </c>
      <c r="T1288" s="39">
        <f>[1]节奏总纲!AF1288</f>
        <v>108.80154865787082</v>
      </c>
      <c r="U1288" s="39">
        <f>[1]节奏总纲!AG1288</f>
        <v>113.58921109868417</v>
      </c>
      <c r="V1288" s="39">
        <f>[1]节奏总纲!AH1288</f>
        <v>122.66013897398211</v>
      </c>
    </row>
    <row r="1289" spans="17:22" x14ac:dyDescent="0.15">
      <c r="Q1289" s="38">
        <v>1286</v>
      </c>
      <c r="R1289" s="39">
        <f>[1]节奏总纲!AD1289</f>
        <v>103.29074815849185</v>
      </c>
      <c r="S1289" s="39">
        <f>[1]节奏总纲!AE1289</f>
        <v>105.57065206108869</v>
      </c>
      <c r="T1289" s="39">
        <f>[1]节奏总纲!AF1289</f>
        <v>108.81352965442562</v>
      </c>
      <c r="U1289" s="39">
        <f>[1]节奏总纲!AG1289</f>
        <v>113.60117335657063</v>
      </c>
      <c r="V1289" s="39">
        <f>[1]节奏总纲!AH1289</f>
        <v>122.6709606784618</v>
      </c>
    </row>
    <row r="1290" spans="17:22" x14ac:dyDescent="0.15">
      <c r="Q1290" s="38">
        <v>1287</v>
      </c>
      <c r="R1290" s="39">
        <f>[1]节奏总纲!AD1290</f>
        <v>103.30179980909899</v>
      </c>
      <c r="S1290" s="39">
        <f>[1]节奏总纲!AE1290</f>
        <v>105.58181005187683</v>
      </c>
      <c r="T1290" s="39">
        <f>[1]节奏总纲!AF1290</f>
        <v>108.82551065098043</v>
      </c>
      <c r="U1290" s="39">
        <f>[1]节奏总纲!AG1290</f>
        <v>113.61313561445708</v>
      </c>
      <c r="V1290" s="39">
        <f>[1]节奏总纲!AH1290</f>
        <v>122.68178238294148</v>
      </c>
    </row>
    <row r="1291" spans="17:22" x14ac:dyDescent="0.15">
      <c r="Q1291" s="38">
        <v>1288</v>
      </c>
      <c r="R1291" s="39">
        <f>[1]节奏总纲!AD1291</f>
        <v>103.31285145970615</v>
      </c>
      <c r="S1291" s="39">
        <f>[1]节奏总纲!AE1291</f>
        <v>105.59296804266496</v>
      </c>
      <c r="T1291" s="39">
        <f>[1]节奏总纲!AF1291</f>
        <v>108.83749164753523</v>
      </c>
      <c r="U1291" s="39">
        <f>[1]节奏总纲!AG1291</f>
        <v>113.62509787234355</v>
      </c>
      <c r="V1291" s="39">
        <f>[1]节奏总纲!AH1291</f>
        <v>122.69260408742116</v>
      </c>
    </row>
    <row r="1292" spans="17:22" x14ac:dyDescent="0.15">
      <c r="Q1292" s="38">
        <v>1289</v>
      </c>
      <c r="R1292" s="39">
        <f>[1]节奏总纲!AD1292</f>
        <v>103.32390311031331</v>
      </c>
      <c r="S1292" s="39">
        <f>[1]节奏总纲!AE1292</f>
        <v>105.6041260334531</v>
      </c>
      <c r="T1292" s="39">
        <f>[1]节奏总纲!AF1292</f>
        <v>108.84947264409004</v>
      </c>
      <c r="U1292" s="39">
        <f>[1]节奏总纲!AG1292</f>
        <v>113.63706013023</v>
      </c>
      <c r="V1292" s="39">
        <f>[1]节奏总纲!AH1292</f>
        <v>122.70342579190084</v>
      </c>
    </row>
    <row r="1293" spans="17:22" x14ac:dyDescent="0.15">
      <c r="Q1293" s="38">
        <v>1290</v>
      </c>
      <c r="R1293" s="39">
        <f>[1]节奏总纲!AD1293</f>
        <v>103.33495476092045</v>
      </c>
      <c r="S1293" s="39">
        <f>[1]节奏总纲!AE1293</f>
        <v>105.61528402424123</v>
      </c>
      <c r="T1293" s="39">
        <f>[1]节奏总纲!AF1293</f>
        <v>108.86145364064484</v>
      </c>
      <c r="U1293" s="39">
        <f>[1]节奏总纲!AG1293</f>
        <v>113.64902238811645</v>
      </c>
      <c r="V1293" s="39">
        <f>[1]节奏总纲!AH1293</f>
        <v>122.71424749638052</v>
      </c>
    </row>
    <row r="1294" spans="17:22" x14ac:dyDescent="0.15">
      <c r="Q1294" s="38">
        <v>1291</v>
      </c>
      <c r="R1294" s="39">
        <f>[1]节奏总纲!AD1294</f>
        <v>103.34600641152761</v>
      </c>
      <c r="S1294" s="39">
        <f>[1]节奏总纲!AE1294</f>
        <v>105.62644201502937</v>
      </c>
      <c r="T1294" s="39">
        <f>[1]节奏总纲!AF1294</f>
        <v>108.87343463719965</v>
      </c>
      <c r="U1294" s="39">
        <f>[1]节奏总纲!AG1294</f>
        <v>113.66098464600292</v>
      </c>
      <c r="V1294" s="39">
        <f>[1]节奏总纲!AH1294</f>
        <v>122.7250692008602</v>
      </c>
    </row>
    <row r="1295" spans="17:22" x14ac:dyDescent="0.15">
      <c r="Q1295" s="38">
        <v>1292</v>
      </c>
      <c r="R1295" s="39">
        <f>[1]节奏总纲!AD1295</f>
        <v>103.35705806213475</v>
      </c>
      <c r="S1295" s="39">
        <f>[1]节奏总纲!AE1295</f>
        <v>105.63760000581752</v>
      </c>
      <c r="T1295" s="39">
        <f>[1]节奏总纲!AF1295</f>
        <v>108.88541563375445</v>
      </c>
      <c r="U1295" s="39">
        <f>[1]节奏总纲!AG1295</f>
        <v>113.67294690388937</v>
      </c>
      <c r="V1295" s="39">
        <f>[1]节奏总纲!AH1295</f>
        <v>122.73589090533989</v>
      </c>
    </row>
    <row r="1296" spans="17:22" x14ac:dyDescent="0.15">
      <c r="Q1296" s="38">
        <v>1293</v>
      </c>
      <c r="R1296" s="39">
        <f>[1]节奏总纲!AD1296</f>
        <v>103.36810971274191</v>
      </c>
      <c r="S1296" s="39">
        <f>[1]节奏总纲!AE1296</f>
        <v>105.64875799660565</v>
      </c>
      <c r="T1296" s="39">
        <f>[1]节奏总纲!AF1296</f>
        <v>108.89739663030926</v>
      </c>
      <c r="U1296" s="39">
        <f>[1]节奏总纲!AG1296</f>
        <v>113.68490916177582</v>
      </c>
      <c r="V1296" s="39">
        <f>[1]节奏总纲!AH1296</f>
        <v>122.74671260981957</v>
      </c>
    </row>
    <row r="1297" spans="17:22" x14ac:dyDescent="0.15">
      <c r="Q1297" s="38">
        <v>1294</v>
      </c>
      <c r="R1297" s="39">
        <f>[1]节奏总纲!AD1297</f>
        <v>103.37916136334907</v>
      </c>
      <c r="S1297" s="39">
        <f>[1]节奏总纲!AE1297</f>
        <v>105.65991598739379</v>
      </c>
      <c r="T1297" s="39">
        <f>[1]节奏总纲!AF1297</f>
        <v>108.90937762686406</v>
      </c>
      <c r="U1297" s="39">
        <f>[1]节奏总纲!AG1297</f>
        <v>113.69687141966229</v>
      </c>
      <c r="V1297" s="39">
        <f>[1]节奏总纲!AH1297</f>
        <v>122.75753431429925</v>
      </c>
    </row>
    <row r="1298" spans="17:22" x14ac:dyDescent="0.15">
      <c r="Q1298" s="38">
        <v>1295</v>
      </c>
      <c r="R1298" s="39">
        <f>[1]节奏总纲!AD1298</f>
        <v>103.39021301395621</v>
      </c>
      <c r="S1298" s="39">
        <f>[1]节奏总纲!AE1298</f>
        <v>105.67107397818192</v>
      </c>
      <c r="T1298" s="39">
        <f>[1]节奏总纲!AF1298</f>
        <v>108.92135862341887</v>
      </c>
      <c r="U1298" s="39">
        <f>[1]节奏总纲!AG1298</f>
        <v>113.70883367754874</v>
      </c>
      <c r="V1298" s="39">
        <f>[1]节奏总纲!AH1298</f>
        <v>122.76835601877893</v>
      </c>
    </row>
    <row r="1299" spans="17:22" x14ac:dyDescent="0.15">
      <c r="Q1299" s="38">
        <v>1296</v>
      </c>
      <c r="R1299" s="39">
        <f>[1]节奏总纲!AD1299</f>
        <v>103.40126466456337</v>
      </c>
      <c r="S1299" s="39">
        <f>[1]节奏总纲!AE1299</f>
        <v>105.68223196897006</v>
      </c>
      <c r="T1299" s="39">
        <f>[1]节奏总纲!AF1299</f>
        <v>108.93333961997367</v>
      </c>
      <c r="U1299" s="39">
        <f>[1]节奏总纲!AG1299</f>
        <v>113.72079593543519</v>
      </c>
      <c r="V1299" s="39">
        <f>[1]节奏总纲!AH1299</f>
        <v>122.77917772325861</v>
      </c>
    </row>
    <row r="1300" spans="17:22" x14ac:dyDescent="0.15">
      <c r="Q1300" s="38">
        <v>1297</v>
      </c>
      <c r="R1300" s="39">
        <f>[1]节奏总纲!AD1300</f>
        <v>103.41231631517053</v>
      </c>
      <c r="S1300" s="39">
        <f>[1]节奏总纲!AE1300</f>
        <v>105.69338995975819</v>
      </c>
      <c r="T1300" s="39">
        <f>[1]节奏总纲!AF1300</f>
        <v>108.94532061652848</v>
      </c>
      <c r="U1300" s="39">
        <f>[1]节奏总纲!AG1300</f>
        <v>113.73275819332164</v>
      </c>
      <c r="V1300" s="39">
        <f>[1]节奏总纲!AH1300</f>
        <v>122.78999942773829</v>
      </c>
    </row>
    <row r="1301" spans="17:22" x14ac:dyDescent="0.15">
      <c r="Q1301" s="38">
        <v>1298</v>
      </c>
      <c r="R1301" s="39">
        <f>[1]节奏总纲!AD1301</f>
        <v>103.42336796577767</v>
      </c>
      <c r="S1301" s="39">
        <f>[1]节奏总纲!AE1301</f>
        <v>105.70454795054633</v>
      </c>
      <c r="T1301" s="39">
        <f>[1]节奏总纲!AF1301</f>
        <v>108.95730161308327</v>
      </c>
      <c r="U1301" s="39">
        <f>[1]节奏总纲!AG1301</f>
        <v>113.74472045120811</v>
      </c>
      <c r="V1301" s="39">
        <f>[1]节奏总纲!AH1301</f>
        <v>122.80082113221798</v>
      </c>
    </row>
    <row r="1302" spans="17:22" x14ac:dyDescent="0.15">
      <c r="Q1302" s="38">
        <v>1299</v>
      </c>
      <c r="R1302" s="39">
        <f>[1]节奏总纲!AD1302</f>
        <v>103.43441961638483</v>
      </c>
      <c r="S1302" s="39">
        <f>[1]节奏总纲!AE1302</f>
        <v>105.71570594133446</v>
      </c>
      <c r="T1302" s="39">
        <f>[1]节奏总纲!AF1302</f>
        <v>108.96928260963809</v>
      </c>
      <c r="U1302" s="39">
        <f>[1]节奏总纲!AG1302</f>
        <v>113.75668270909456</v>
      </c>
      <c r="V1302" s="39">
        <f>[1]节奏总纲!AH1302</f>
        <v>122.81164283669766</v>
      </c>
    </row>
    <row r="1303" spans="17:22" x14ac:dyDescent="0.15">
      <c r="Q1303" s="38">
        <v>1300</v>
      </c>
      <c r="R1303" s="39">
        <f>[1]节奏总纲!AD1303</f>
        <v>103.44547126699197</v>
      </c>
      <c r="S1303" s="39">
        <f>[1]节奏总纲!AE1303</f>
        <v>105.7268639321226</v>
      </c>
      <c r="T1303" s="39">
        <f>[1]节奏总纲!AF1303</f>
        <v>108.98126360619288</v>
      </c>
      <c r="U1303" s="39">
        <f>[1]节奏总纲!AG1303</f>
        <v>113.76864496698101</v>
      </c>
      <c r="V1303" s="39">
        <f>[1]节奏总纲!AH1303</f>
        <v>122.82246454117734</v>
      </c>
    </row>
    <row r="1304" spans="17:22" x14ac:dyDescent="0.15">
      <c r="Q1304" s="38">
        <v>1301</v>
      </c>
      <c r="R1304" s="39">
        <f>[1]节奏总纲!AD1304</f>
        <v>103.45652291759913</v>
      </c>
      <c r="S1304" s="39">
        <f>[1]节奏总纲!AE1304</f>
        <v>105.73802192291073</v>
      </c>
      <c r="T1304" s="39">
        <f>[1]节奏总纲!AF1304</f>
        <v>108.99324460274769</v>
      </c>
      <c r="U1304" s="39">
        <f>[1]节奏总纲!AG1304</f>
        <v>113.78060722486748</v>
      </c>
      <c r="V1304" s="39">
        <f>[1]节奏总纲!AH1304</f>
        <v>122.83328624565702</v>
      </c>
    </row>
    <row r="1305" spans="17:22" x14ac:dyDescent="0.15">
      <c r="Q1305" s="38">
        <v>1302</v>
      </c>
      <c r="R1305" s="39">
        <f>[1]节奏总纲!AD1305</f>
        <v>103.46757456820629</v>
      </c>
      <c r="S1305" s="39">
        <f>[1]节奏总纲!AE1305</f>
        <v>105.74917991369888</v>
      </c>
      <c r="T1305" s="39">
        <f>[1]节奏总纲!AF1305</f>
        <v>109.00455667364557</v>
      </c>
      <c r="U1305" s="39">
        <f>[1]节奏总纲!AG1305</f>
        <v>113.79256948275393</v>
      </c>
      <c r="V1305" s="39">
        <f>[1]节奏总纲!AH1305</f>
        <v>122.8441079501367</v>
      </c>
    </row>
    <row r="1306" spans="17:22" x14ac:dyDescent="0.15">
      <c r="Q1306" s="38">
        <v>1303</v>
      </c>
      <c r="R1306" s="39">
        <f>[1]节奏总纲!AD1306</f>
        <v>103.47862621881343</v>
      </c>
      <c r="S1306" s="39">
        <f>[1]节奏总纲!AE1306</f>
        <v>105.76033790448702</v>
      </c>
      <c r="T1306" s="39">
        <f>[1]节奏总纲!AF1306</f>
        <v>109.01500399041988</v>
      </c>
      <c r="U1306" s="39">
        <f>[1]节奏总纲!AG1306</f>
        <v>113.80453174064039</v>
      </c>
      <c r="V1306" s="39">
        <f>[1]节奏总纲!AH1306</f>
        <v>122.85492965461638</v>
      </c>
    </row>
    <row r="1307" spans="17:22" x14ac:dyDescent="0.15">
      <c r="Q1307" s="38">
        <v>1304</v>
      </c>
      <c r="R1307" s="39">
        <f>[1]节奏总纲!AD1307</f>
        <v>103.48967786942059</v>
      </c>
      <c r="S1307" s="39">
        <f>[1]节奏总纲!AE1307</f>
        <v>105.77149589527515</v>
      </c>
      <c r="T1307" s="39">
        <f>[1]节奏总纲!AF1307</f>
        <v>109.02545130719422</v>
      </c>
      <c r="U1307" s="39">
        <f>[1]节奏总纲!AG1307</f>
        <v>113.81649399852685</v>
      </c>
      <c r="V1307" s="39">
        <f>[1]节奏总纲!AH1307</f>
        <v>122.86575135909607</v>
      </c>
    </row>
    <row r="1308" spans="17:22" x14ac:dyDescent="0.15">
      <c r="Q1308" s="38">
        <v>1305</v>
      </c>
      <c r="R1308" s="39">
        <f>[1]节奏总纲!AD1308</f>
        <v>103.50072952002773</v>
      </c>
      <c r="S1308" s="39">
        <f>[1]节奏总纲!AE1308</f>
        <v>105.78265388606329</v>
      </c>
      <c r="T1308" s="39">
        <f>[1]节奏总纲!AF1308</f>
        <v>109.03589862396854</v>
      </c>
      <c r="U1308" s="39">
        <f>[1]节奏总纲!AG1308</f>
        <v>113.8284562564133</v>
      </c>
      <c r="V1308" s="39">
        <f>[1]节奏总纲!AH1308</f>
        <v>122.87657306357575</v>
      </c>
    </row>
    <row r="1309" spans="17:22" x14ac:dyDescent="0.15">
      <c r="Q1309" s="38">
        <v>1306</v>
      </c>
      <c r="R1309" s="39">
        <f>[1]节奏总纲!AD1309</f>
        <v>103.51178117063489</v>
      </c>
      <c r="S1309" s="39">
        <f>[1]节奏总纲!AE1309</f>
        <v>105.79381187685142</v>
      </c>
      <c r="T1309" s="39">
        <f>[1]节奏总纲!AF1309</f>
        <v>109.04634594074285</v>
      </c>
      <c r="U1309" s="39">
        <f>[1]节奏总纲!AG1309</f>
        <v>113.84041851429976</v>
      </c>
      <c r="V1309" s="39">
        <f>[1]节奏总纲!AH1309</f>
        <v>122.88739476805543</v>
      </c>
    </row>
    <row r="1310" spans="17:22" x14ac:dyDescent="0.15">
      <c r="Q1310" s="38">
        <v>1307</v>
      </c>
      <c r="R1310" s="39">
        <f>[1]节奏总纲!AD1310</f>
        <v>103.52283282124205</v>
      </c>
      <c r="S1310" s="39">
        <f>[1]节奏总纲!AE1310</f>
        <v>105.80496986763956</v>
      </c>
      <c r="T1310" s="39">
        <f>[1]节奏总纲!AF1310</f>
        <v>109.05679325751719</v>
      </c>
      <c r="U1310" s="39">
        <f>[1]节奏总纲!AG1310</f>
        <v>113.85238077218622</v>
      </c>
      <c r="V1310" s="39">
        <f>[1]节奏总纲!AH1310</f>
        <v>122.89821647253513</v>
      </c>
    </row>
    <row r="1311" spans="17:22" x14ac:dyDescent="0.15">
      <c r="Q1311" s="38">
        <v>1308</v>
      </c>
      <c r="R1311" s="39">
        <f>[1]节奏总纲!AD1311</f>
        <v>103.53388447184919</v>
      </c>
      <c r="S1311" s="39">
        <f>[1]节奏总纲!AE1311</f>
        <v>105.81612785842769</v>
      </c>
      <c r="T1311" s="39">
        <f>[1]节奏总纲!AF1311</f>
        <v>109.0672405742915</v>
      </c>
      <c r="U1311" s="39">
        <f>[1]节奏总纲!AG1311</f>
        <v>113.86434303007267</v>
      </c>
      <c r="V1311" s="39">
        <f>[1]节奏总纲!AH1311</f>
        <v>122.90903817701481</v>
      </c>
    </row>
    <row r="1312" spans="17:22" x14ac:dyDescent="0.15">
      <c r="Q1312" s="38">
        <v>1309</v>
      </c>
      <c r="R1312" s="39">
        <f>[1]节奏总纲!AD1312</f>
        <v>103.54493612245635</v>
      </c>
      <c r="S1312" s="39">
        <f>[1]节奏总纲!AE1312</f>
        <v>105.82728584921583</v>
      </c>
      <c r="T1312" s="39">
        <f>[1]节奏总纲!AF1312</f>
        <v>109.07768789106582</v>
      </c>
      <c r="U1312" s="39">
        <f>[1]节奏总纲!AG1312</f>
        <v>113.87630528795913</v>
      </c>
      <c r="V1312" s="39">
        <f>[1]节奏总纲!AH1312</f>
        <v>122.91985988149449</v>
      </c>
    </row>
    <row r="1313" spans="17:22" x14ac:dyDescent="0.15">
      <c r="Q1313" s="38">
        <v>1310</v>
      </c>
      <c r="R1313" s="39">
        <f>[1]节奏总纲!AD1313</f>
        <v>103.55598777306349</v>
      </c>
      <c r="S1313" s="39">
        <f>[1]节奏总纲!AE1313</f>
        <v>105.83844384000396</v>
      </c>
      <c r="T1313" s="39">
        <f>[1]节奏总纲!AF1313</f>
        <v>109.08813520784015</v>
      </c>
      <c r="U1313" s="39">
        <f>[1]节奏总纲!AG1313</f>
        <v>113.88826754584559</v>
      </c>
      <c r="V1313" s="39">
        <f>[1]节奏总纲!AH1313</f>
        <v>122.93068158597417</v>
      </c>
    </row>
    <row r="1314" spans="17:22" x14ac:dyDescent="0.15">
      <c r="Q1314" s="38">
        <v>1311</v>
      </c>
      <c r="R1314" s="39">
        <f>[1]节奏总纲!AD1314</f>
        <v>103.56703942367065</v>
      </c>
      <c r="S1314" s="39">
        <f>[1]节奏总纲!AE1314</f>
        <v>105.84960183079211</v>
      </c>
      <c r="T1314" s="39">
        <f>[1]节奏总纲!AF1314</f>
        <v>109.09858252461447</v>
      </c>
      <c r="U1314" s="39">
        <f>[1]节奏总纲!AG1314</f>
        <v>113.90022980373205</v>
      </c>
      <c r="V1314" s="39">
        <f>[1]节奏总纲!AH1314</f>
        <v>122.94150329045385</v>
      </c>
    </row>
    <row r="1315" spans="17:22" x14ac:dyDescent="0.15">
      <c r="Q1315" s="38">
        <v>1312</v>
      </c>
      <c r="R1315" s="39">
        <f>[1]节奏总纲!AD1315</f>
        <v>103.57809107427781</v>
      </c>
      <c r="S1315" s="39">
        <f>[1]节奏总纲!AE1315</f>
        <v>105.86075982158025</v>
      </c>
      <c r="T1315" s="39">
        <f>[1]节奏总纲!AF1315</f>
        <v>109.1090298413888</v>
      </c>
      <c r="U1315" s="39">
        <f>[1]节奏总纲!AG1315</f>
        <v>113.9121920616185</v>
      </c>
      <c r="V1315" s="39">
        <f>[1]节奏总纲!AH1315</f>
        <v>122.95232499493353</v>
      </c>
    </row>
    <row r="1316" spans="17:22" x14ac:dyDescent="0.15">
      <c r="Q1316" s="38">
        <v>1313</v>
      </c>
      <c r="R1316" s="39">
        <f>[1]节奏总纲!AD1316</f>
        <v>103.58914272488495</v>
      </c>
      <c r="S1316" s="39">
        <f>[1]节奏总纲!AE1316</f>
        <v>105.87191781236838</v>
      </c>
      <c r="T1316" s="39">
        <f>[1]节奏总纲!AF1316</f>
        <v>109.11947715816312</v>
      </c>
      <c r="U1316" s="39">
        <f>[1]节奏总纲!AG1316</f>
        <v>113.92415431950496</v>
      </c>
      <c r="V1316" s="39">
        <f>[1]节奏总纲!AH1316</f>
        <v>122.96314669941322</v>
      </c>
    </row>
    <row r="1317" spans="17:22" x14ac:dyDescent="0.15">
      <c r="Q1317" s="38">
        <v>1314</v>
      </c>
      <c r="R1317" s="39">
        <f>[1]节奏总纲!AD1317</f>
        <v>103.60019437549211</v>
      </c>
      <c r="S1317" s="39">
        <f>[1]节奏总纲!AE1317</f>
        <v>105.88307580315652</v>
      </c>
      <c r="T1317" s="39">
        <f>[1]节奏总纲!AF1317</f>
        <v>109.12992447493744</v>
      </c>
      <c r="U1317" s="39">
        <f>[1]节奏总纲!AG1317</f>
        <v>113.93611657739142</v>
      </c>
      <c r="V1317" s="39">
        <f>[1]节奏总纲!AH1317</f>
        <v>122.9739684038929</v>
      </c>
    </row>
    <row r="1318" spans="17:22" x14ac:dyDescent="0.15">
      <c r="Q1318" s="38">
        <v>1315</v>
      </c>
      <c r="R1318" s="39">
        <f>[1]节奏总纲!AD1318</f>
        <v>103.61124602609927</v>
      </c>
      <c r="S1318" s="39">
        <f>[1]节奏总纲!AE1318</f>
        <v>105.89423379394465</v>
      </c>
      <c r="T1318" s="39">
        <f>[1]节奏总纲!AF1318</f>
        <v>109.14037179171177</v>
      </c>
      <c r="U1318" s="39">
        <f>[1]节奏总纲!AG1318</f>
        <v>113.94807883527787</v>
      </c>
      <c r="V1318" s="39">
        <f>[1]节奏总纲!AH1318</f>
        <v>122.98479010837258</v>
      </c>
    </row>
    <row r="1319" spans="17:22" x14ac:dyDescent="0.15">
      <c r="Q1319" s="38">
        <v>1316</v>
      </c>
      <c r="R1319" s="39">
        <f>[1]节奏总纲!AD1319</f>
        <v>103.62229767670641</v>
      </c>
      <c r="S1319" s="39">
        <f>[1]节奏总纲!AE1319</f>
        <v>105.90539178473279</v>
      </c>
      <c r="T1319" s="39">
        <f>[1]节奏总纲!AF1319</f>
        <v>109.15081910848609</v>
      </c>
      <c r="U1319" s="39">
        <f>[1]节奏总纲!AG1319</f>
        <v>113.96004109316434</v>
      </c>
      <c r="V1319" s="39">
        <f>[1]节奏总纲!AH1319</f>
        <v>122.99561181285226</v>
      </c>
    </row>
    <row r="1320" spans="17:22" x14ac:dyDescent="0.15">
      <c r="Q1320" s="38">
        <v>1317</v>
      </c>
      <c r="R1320" s="39">
        <f>[1]节奏总纲!AD1320</f>
        <v>103.63334932731357</v>
      </c>
      <c r="S1320" s="39">
        <f>[1]节奏总纲!AE1320</f>
        <v>105.91654977552092</v>
      </c>
      <c r="T1320" s="39">
        <f>[1]节奏总纲!AF1320</f>
        <v>109.16126642526042</v>
      </c>
      <c r="U1320" s="39">
        <f>[1]节奏总纲!AG1320</f>
        <v>113.97200335105079</v>
      </c>
      <c r="V1320" s="39">
        <f>[1]节奏总纲!AH1320</f>
        <v>123.00598300173922</v>
      </c>
    </row>
    <row r="1321" spans="17:22" x14ac:dyDescent="0.15">
      <c r="Q1321" s="38">
        <v>1318</v>
      </c>
      <c r="R1321" s="39">
        <f>[1]节奏总纲!AD1321</f>
        <v>103.64440097792071</v>
      </c>
      <c r="S1321" s="39">
        <f>[1]节奏总纲!AE1321</f>
        <v>105.92770776630906</v>
      </c>
      <c r="T1321" s="39">
        <f>[1]节奏总纲!AF1321</f>
        <v>109.17171374203474</v>
      </c>
      <c r="U1321" s="39">
        <f>[1]节奏总纲!AG1321</f>
        <v>113.98396560893724</v>
      </c>
      <c r="V1321" s="39">
        <f>[1]节奏总纲!AH1321</f>
        <v>123.01604690199514</v>
      </c>
    </row>
    <row r="1322" spans="17:22" x14ac:dyDescent="0.15">
      <c r="Q1322" s="38">
        <v>1319</v>
      </c>
      <c r="R1322" s="39">
        <f>[1]节奏总纲!AD1322</f>
        <v>103.65545262852787</v>
      </c>
      <c r="S1322" s="39">
        <f>[1]节奏总纲!AE1322</f>
        <v>105.93886575709719</v>
      </c>
      <c r="T1322" s="39">
        <f>[1]节奏总纲!AF1322</f>
        <v>109.18216105880906</v>
      </c>
      <c r="U1322" s="39">
        <f>[1]节奏总纲!AG1322</f>
        <v>113.99592786682371</v>
      </c>
      <c r="V1322" s="39">
        <f>[1]节奏总纲!AH1322</f>
        <v>123.02611080225107</v>
      </c>
    </row>
    <row r="1323" spans="17:22" x14ac:dyDescent="0.15">
      <c r="Q1323" s="38">
        <v>1320</v>
      </c>
      <c r="R1323" s="39">
        <f>[1]节奏总纲!AD1323</f>
        <v>103.66650427913503</v>
      </c>
      <c r="S1323" s="39">
        <f>[1]节奏总纲!AE1323</f>
        <v>105.95002374788533</v>
      </c>
      <c r="T1323" s="39">
        <f>[1]节奏总纲!AF1323</f>
        <v>109.19260837558339</v>
      </c>
      <c r="U1323" s="39">
        <f>[1]节奏总纲!AG1323</f>
        <v>114.00751407316794</v>
      </c>
      <c r="V1323" s="39">
        <f>[1]节奏总纲!AH1323</f>
        <v>123.03617470250698</v>
      </c>
    </row>
    <row r="1324" spans="17:22" x14ac:dyDescent="0.15">
      <c r="Q1324" s="38">
        <v>1321</v>
      </c>
      <c r="R1324" s="39">
        <f>[1]节奏总纲!AD1324</f>
        <v>103.67755592974217</v>
      </c>
      <c r="S1324" s="39">
        <f>[1]节奏总纲!AE1324</f>
        <v>105.96118173867347</v>
      </c>
      <c r="T1324" s="39">
        <f>[1]节奏总纲!AF1324</f>
        <v>109.20305569235771</v>
      </c>
      <c r="U1324" s="39">
        <f>[1]节奏总纲!AG1324</f>
        <v>114.0189061974137</v>
      </c>
      <c r="V1324" s="39">
        <f>[1]节奏总纲!AH1324</f>
        <v>123.0462386027629</v>
      </c>
    </row>
    <row r="1325" spans="17:22" x14ac:dyDescent="0.15">
      <c r="Q1325" s="38">
        <v>1322</v>
      </c>
      <c r="R1325" s="39">
        <f>[1]节奏总纲!AD1325</f>
        <v>103.68860758034933</v>
      </c>
      <c r="S1325" s="39">
        <f>[1]节奏总纲!AE1325</f>
        <v>105.97233972946161</v>
      </c>
      <c r="T1325" s="39">
        <f>[1]节奏总纲!AF1325</f>
        <v>109.21350300913203</v>
      </c>
      <c r="U1325" s="39">
        <f>[1]节奏总纲!AG1325</f>
        <v>114.03029832165946</v>
      </c>
      <c r="V1325" s="39">
        <f>[1]节奏总纲!AH1325</f>
        <v>123.05630250301881</v>
      </c>
    </row>
    <row r="1326" spans="17:22" x14ac:dyDescent="0.15">
      <c r="Q1326" s="38">
        <v>1323</v>
      </c>
      <c r="R1326" s="39">
        <f>[1]节奏总纲!AD1326</f>
        <v>103.69965923095648</v>
      </c>
      <c r="S1326" s="39">
        <f>[1]节奏总纲!AE1326</f>
        <v>105.98349772024974</v>
      </c>
      <c r="T1326" s="39">
        <f>[1]节奏总纲!AF1326</f>
        <v>109.22395032590636</v>
      </c>
      <c r="U1326" s="39">
        <f>[1]节奏总纲!AG1326</f>
        <v>114.0416904459052</v>
      </c>
      <c r="V1326" s="39">
        <f>[1]节奏总纲!AH1326</f>
        <v>123.06636640327473</v>
      </c>
    </row>
    <row r="1327" spans="17:22" x14ac:dyDescent="0.15">
      <c r="Q1327" s="38">
        <v>1324</v>
      </c>
      <c r="R1327" s="39">
        <f>[1]节奏总纲!AD1327</f>
        <v>103.71071088156363</v>
      </c>
      <c r="S1327" s="39">
        <f>[1]节奏总纲!AE1327</f>
        <v>105.99465571103788</v>
      </c>
      <c r="T1327" s="39">
        <f>[1]节奏总纲!AF1327</f>
        <v>109.23439764268068</v>
      </c>
      <c r="U1327" s="39">
        <f>[1]节奏总纲!AG1327</f>
        <v>114.05308257015096</v>
      </c>
      <c r="V1327" s="39">
        <f>[1]节奏总纲!AH1327</f>
        <v>123.07643030353064</v>
      </c>
    </row>
    <row r="1328" spans="17:22" x14ac:dyDescent="0.15">
      <c r="Q1328" s="38">
        <v>1325</v>
      </c>
      <c r="R1328" s="39">
        <f>[1]节奏总纲!AD1328</f>
        <v>103.72176253217079</v>
      </c>
      <c r="S1328" s="39">
        <f>[1]节奏总纲!AE1328</f>
        <v>106.00551600493253</v>
      </c>
      <c r="T1328" s="39">
        <f>[1]节奏总纲!AF1328</f>
        <v>109.24484495945501</v>
      </c>
      <c r="U1328" s="39">
        <f>[1]节奏总纲!AG1328</f>
        <v>114.06447469439672</v>
      </c>
      <c r="V1328" s="39">
        <f>[1]节奏总纲!AH1328</f>
        <v>123.08649420378656</v>
      </c>
    </row>
    <row r="1329" spans="17:22" x14ac:dyDescent="0.15">
      <c r="Q1329" s="38">
        <v>1326</v>
      </c>
      <c r="R1329" s="39">
        <f>[1]节奏总纲!AD1329</f>
        <v>103.73281418277793</v>
      </c>
      <c r="S1329" s="39">
        <f>[1]节奏总纲!AE1329</f>
        <v>106.01610263872739</v>
      </c>
      <c r="T1329" s="39">
        <f>[1]节奏总纲!AF1329</f>
        <v>109.25529227622933</v>
      </c>
      <c r="U1329" s="39">
        <f>[1]节奏总纲!AG1329</f>
        <v>114.07586681864247</v>
      </c>
      <c r="V1329" s="39">
        <f>[1]节奏总纲!AH1329</f>
        <v>123.09655810404249</v>
      </c>
    </row>
    <row r="1330" spans="17:22" x14ac:dyDescent="0.15">
      <c r="Q1330" s="38">
        <v>1327</v>
      </c>
      <c r="R1330" s="39">
        <f>[1]节奏总纲!AD1330</f>
        <v>103.74386583338509</v>
      </c>
      <c r="S1330" s="39">
        <f>[1]节奏总纲!AE1330</f>
        <v>106.02668927252226</v>
      </c>
      <c r="T1330" s="39">
        <f>[1]节奏总纲!AF1330</f>
        <v>109.26573959300364</v>
      </c>
      <c r="U1330" s="39">
        <f>[1]节奏总纲!AG1330</f>
        <v>114.08725894288823</v>
      </c>
      <c r="V1330" s="39">
        <f>[1]节奏总纲!AH1330</f>
        <v>123.1066220042984</v>
      </c>
    </row>
    <row r="1331" spans="17:22" x14ac:dyDescent="0.15">
      <c r="Q1331" s="38">
        <v>1328</v>
      </c>
      <c r="R1331" s="39">
        <f>[1]节奏总纲!AD1331</f>
        <v>103.75491748399224</v>
      </c>
      <c r="S1331" s="39">
        <f>[1]节奏总纲!AE1331</f>
        <v>106.03727590631712</v>
      </c>
      <c r="T1331" s="39">
        <f>[1]节奏总纲!AF1331</f>
        <v>109.27618690977798</v>
      </c>
      <c r="U1331" s="39">
        <f>[1]节奏总纲!AG1331</f>
        <v>114.09865106713399</v>
      </c>
      <c r="V1331" s="39">
        <f>[1]节奏总纲!AH1331</f>
        <v>123.11668590455432</v>
      </c>
    </row>
    <row r="1332" spans="17:22" x14ac:dyDescent="0.15">
      <c r="Q1332" s="38">
        <v>1329</v>
      </c>
      <c r="R1332" s="39">
        <f>[1]节奏总纲!AD1332</f>
        <v>103.76596913459939</v>
      </c>
      <c r="S1332" s="39">
        <f>[1]节奏总纲!AE1332</f>
        <v>106.04786254011198</v>
      </c>
      <c r="T1332" s="39">
        <f>[1]节奏总纲!AF1332</f>
        <v>109.28663422655229</v>
      </c>
      <c r="U1332" s="39">
        <f>[1]节奏总纲!AG1332</f>
        <v>114.11004319137973</v>
      </c>
      <c r="V1332" s="39">
        <f>[1]节奏总纲!AH1332</f>
        <v>123.12674980481023</v>
      </c>
    </row>
    <row r="1333" spans="17:22" x14ac:dyDescent="0.15">
      <c r="Q1333" s="38">
        <v>1330</v>
      </c>
      <c r="R1333" s="39">
        <f>[1]节奏总纲!AD1333</f>
        <v>103.77702078520655</v>
      </c>
      <c r="S1333" s="39">
        <f>[1]节奏总纲!AE1333</f>
        <v>106.05844917390684</v>
      </c>
      <c r="T1333" s="39">
        <f>[1]节奏总纲!AF1333</f>
        <v>109.29708154332661</v>
      </c>
      <c r="U1333" s="39">
        <f>[1]节奏总纲!AG1333</f>
        <v>114.12143531562549</v>
      </c>
      <c r="V1333" s="39">
        <f>[1]节奏总纲!AH1333</f>
        <v>123.13681370506615</v>
      </c>
    </row>
    <row r="1334" spans="17:22" x14ac:dyDescent="0.15">
      <c r="Q1334" s="38">
        <v>1331</v>
      </c>
      <c r="R1334" s="39">
        <f>[1]节奏总纲!AD1334</f>
        <v>103.78807243581369</v>
      </c>
      <c r="S1334" s="39">
        <f>[1]节奏总纲!AE1334</f>
        <v>106.0690358077017</v>
      </c>
      <c r="T1334" s="39">
        <f>[1]节奏总纲!AF1334</f>
        <v>109.30752886010094</v>
      </c>
      <c r="U1334" s="39">
        <f>[1]节奏总纲!AG1334</f>
        <v>114.13282743987125</v>
      </c>
      <c r="V1334" s="39">
        <f>[1]节奏总纲!AH1334</f>
        <v>123.14687760532206</v>
      </c>
    </row>
    <row r="1335" spans="17:22" x14ac:dyDescent="0.15">
      <c r="Q1335" s="38">
        <v>1332</v>
      </c>
      <c r="R1335" s="39">
        <f>[1]节奏总纲!AD1335</f>
        <v>103.79912408642085</v>
      </c>
      <c r="S1335" s="39">
        <f>[1]节奏总纲!AE1335</f>
        <v>106.07962244149657</v>
      </c>
      <c r="T1335" s="39">
        <f>[1]节奏总纲!AF1335</f>
        <v>109.31797617687526</v>
      </c>
      <c r="U1335" s="39">
        <f>[1]节奏总纲!AG1335</f>
        <v>114.14421956411701</v>
      </c>
      <c r="V1335" s="39">
        <f>[1]节奏总纲!AH1335</f>
        <v>123.15694150557798</v>
      </c>
    </row>
    <row r="1336" spans="17:22" x14ac:dyDescent="0.15">
      <c r="Q1336" s="38">
        <v>1333</v>
      </c>
      <c r="R1336" s="39">
        <f>[1]节奏总纲!AD1336</f>
        <v>103.810175737028</v>
      </c>
      <c r="S1336" s="39">
        <f>[1]节奏总纲!AE1336</f>
        <v>106.09020907529143</v>
      </c>
      <c r="T1336" s="39">
        <f>[1]节奏总纲!AF1336</f>
        <v>109.32842349364959</v>
      </c>
      <c r="U1336" s="39">
        <f>[1]节奏总纲!AG1336</f>
        <v>114.15561168836275</v>
      </c>
      <c r="V1336" s="39">
        <f>[1]节奏总纲!AH1336</f>
        <v>123.16700540583389</v>
      </c>
    </row>
    <row r="1337" spans="17:22" x14ac:dyDescent="0.15">
      <c r="Q1337" s="38">
        <v>1334</v>
      </c>
      <c r="R1337" s="39">
        <f>[1]节奏总纲!AD1337</f>
        <v>103.82122738763515</v>
      </c>
      <c r="S1337" s="39">
        <f>[1]节奏总纲!AE1337</f>
        <v>106.10079570908628</v>
      </c>
      <c r="T1337" s="39">
        <f>[1]节奏总纲!AF1337</f>
        <v>109.33887081042391</v>
      </c>
      <c r="U1337" s="39">
        <f>[1]节奏总纲!AG1337</f>
        <v>114.16700381260851</v>
      </c>
      <c r="V1337" s="39">
        <f>[1]节奏总纲!AH1337</f>
        <v>123.17706930608982</v>
      </c>
    </row>
    <row r="1338" spans="17:22" x14ac:dyDescent="0.15">
      <c r="Q1338" s="38">
        <v>1335</v>
      </c>
      <c r="R1338" s="39">
        <f>[1]节奏总纲!AD1338</f>
        <v>103.83227903824231</v>
      </c>
      <c r="S1338" s="39">
        <f>[1]节奏总纲!AE1338</f>
        <v>106.11138234288114</v>
      </c>
      <c r="T1338" s="39">
        <f>[1]节奏总纲!AF1338</f>
        <v>109.34931812719823</v>
      </c>
      <c r="U1338" s="39">
        <f>[1]节奏总纲!AG1338</f>
        <v>114.17839593685427</v>
      </c>
      <c r="V1338" s="39">
        <f>[1]节奏总纲!AH1338</f>
        <v>123.18713320634573</v>
      </c>
    </row>
    <row r="1339" spans="17:22" x14ac:dyDescent="0.15">
      <c r="Q1339" s="38">
        <v>1336</v>
      </c>
      <c r="R1339" s="39">
        <f>[1]节奏总纲!AD1339</f>
        <v>103.84333068884945</v>
      </c>
      <c r="S1339" s="39">
        <f>[1]节奏总纲!AE1339</f>
        <v>106.121968976676</v>
      </c>
      <c r="T1339" s="39">
        <f>[1]节奏总纲!AF1339</f>
        <v>109.35976544397256</v>
      </c>
      <c r="U1339" s="39">
        <f>[1]节奏总纲!AG1339</f>
        <v>114.18978806110002</v>
      </c>
      <c r="V1339" s="39">
        <f>[1]节奏总纲!AH1339</f>
        <v>123.19719710660165</v>
      </c>
    </row>
    <row r="1340" spans="17:22" x14ac:dyDescent="0.15">
      <c r="Q1340" s="38">
        <v>1337</v>
      </c>
      <c r="R1340" s="39">
        <f>[1]节奏总纲!AD1340</f>
        <v>103.85438233945661</v>
      </c>
      <c r="S1340" s="39">
        <f>[1]节奏总纲!AE1340</f>
        <v>106.13255561047086</v>
      </c>
      <c r="T1340" s="39">
        <f>[1]节奏总纲!AF1340</f>
        <v>109.37021276074688</v>
      </c>
      <c r="U1340" s="39">
        <f>[1]节奏总纲!AG1340</f>
        <v>114.20118018534578</v>
      </c>
      <c r="V1340" s="39">
        <f>[1]节奏总纲!AH1340</f>
        <v>123.20726100685756</v>
      </c>
    </row>
    <row r="1341" spans="17:22" x14ac:dyDescent="0.15">
      <c r="Q1341" s="38">
        <v>1338</v>
      </c>
      <c r="R1341" s="39">
        <f>[1]节奏总纲!AD1341</f>
        <v>103.86543399006376</v>
      </c>
      <c r="S1341" s="39">
        <f>[1]节奏总纲!AE1341</f>
        <v>106.14314224426573</v>
      </c>
      <c r="T1341" s="39">
        <f>[1]节奏总纲!AF1341</f>
        <v>109.38066007752121</v>
      </c>
      <c r="U1341" s="39">
        <f>[1]节奏总纲!AG1341</f>
        <v>114.21257230959154</v>
      </c>
      <c r="V1341" s="39">
        <f>[1]节奏总纲!AH1341</f>
        <v>123.21732490711348</v>
      </c>
    </row>
    <row r="1342" spans="17:22" x14ac:dyDescent="0.15">
      <c r="Q1342" s="38">
        <v>1339</v>
      </c>
      <c r="R1342" s="39">
        <f>[1]节奏总纲!AD1342</f>
        <v>103.87648564067091</v>
      </c>
      <c r="S1342" s="39">
        <f>[1]节奏总纲!AE1342</f>
        <v>106.15372887806059</v>
      </c>
      <c r="T1342" s="39">
        <f>[1]节奏总纲!AF1342</f>
        <v>109.39110739429553</v>
      </c>
      <c r="U1342" s="39">
        <f>[1]节奏总纲!AG1342</f>
        <v>114.2239644338373</v>
      </c>
      <c r="V1342" s="39">
        <f>[1]节奏总纲!AH1342</f>
        <v>123.22738880736939</v>
      </c>
    </row>
    <row r="1343" spans="17:22" x14ac:dyDescent="0.15">
      <c r="Q1343" s="38">
        <v>1340</v>
      </c>
      <c r="R1343" s="39">
        <f>[1]节奏总纲!AD1343</f>
        <v>103.88753729127806</v>
      </c>
      <c r="S1343" s="39">
        <f>[1]节奏总纲!AE1343</f>
        <v>106.16431551185545</v>
      </c>
      <c r="T1343" s="39">
        <f>[1]节奏总纲!AF1343</f>
        <v>109.40155471106985</v>
      </c>
      <c r="U1343" s="39">
        <f>[1]节奏总纲!AG1343</f>
        <v>114.23535655808304</v>
      </c>
      <c r="V1343" s="39">
        <f>[1]节奏总纲!AH1343</f>
        <v>123.23745270762531</v>
      </c>
    </row>
    <row r="1344" spans="17:22" x14ac:dyDescent="0.15">
      <c r="Q1344" s="38">
        <v>1341</v>
      </c>
      <c r="R1344" s="39">
        <f>[1]节奏总纲!AD1344</f>
        <v>103.89858894188522</v>
      </c>
      <c r="S1344" s="39">
        <f>[1]节奏总纲!AE1344</f>
        <v>106.17490214565031</v>
      </c>
      <c r="T1344" s="39">
        <f>[1]节奏总纲!AF1344</f>
        <v>109.41200202784418</v>
      </c>
      <c r="U1344" s="39">
        <f>[1]节奏总纲!AG1344</f>
        <v>114.2467486823288</v>
      </c>
      <c r="V1344" s="39">
        <f>[1]节奏总纲!AH1344</f>
        <v>123.24751660788124</v>
      </c>
    </row>
    <row r="1345" spans="17:22" x14ac:dyDescent="0.15">
      <c r="Q1345" s="38">
        <v>1342</v>
      </c>
      <c r="R1345" s="39">
        <f>[1]节奏总纲!AD1345</f>
        <v>103.90964059249237</v>
      </c>
      <c r="S1345" s="39">
        <f>[1]节奏总纲!AE1345</f>
        <v>106.18548877944517</v>
      </c>
      <c r="T1345" s="39">
        <f>[1]节奏总纲!AF1345</f>
        <v>109.4224493446185</v>
      </c>
      <c r="U1345" s="39">
        <f>[1]节奏总纲!AG1345</f>
        <v>114.25814080657456</v>
      </c>
      <c r="V1345" s="39">
        <f>[1]节奏总纲!AH1345</f>
        <v>123.25758050813715</v>
      </c>
    </row>
    <row r="1346" spans="17:22" x14ac:dyDescent="0.15">
      <c r="Q1346" s="38">
        <v>1343</v>
      </c>
      <c r="R1346" s="39">
        <f>[1]节奏总纲!AD1346</f>
        <v>103.92069224309952</v>
      </c>
      <c r="S1346" s="39">
        <f>[1]节奏总纲!AE1346</f>
        <v>106.19607541324004</v>
      </c>
      <c r="T1346" s="39">
        <f>[1]节奏总纲!AF1346</f>
        <v>109.43289666139282</v>
      </c>
      <c r="U1346" s="39">
        <f>[1]节奏总纲!AG1346</f>
        <v>114.2695329308203</v>
      </c>
      <c r="V1346" s="39">
        <f>[1]节奏总纲!AH1346</f>
        <v>123.26764440839307</v>
      </c>
    </row>
    <row r="1347" spans="17:22" x14ac:dyDescent="0.15">
      <c r="Q1347" s="38">
        <v>1344</v>
      </c>
      <c r="R1347" s="39">
        <f>[1]节奏总纲!AD1347</f>
        <v>103.93174389370667</v>
      </c>
      <c r="S1347" s="39">
        <f>[1]节奏总纲!AE1347</f>
        <v>106.2066620470349</v>
      </c>
      <c r="T1347" s="39">
        <f>[1]节奏总纲!AF1347</f>
        <v>109.44334397816715</v>
      </c>
      <c r="U1347" s="39">
        <f>[1]节奏总纲!AG1347</f>
        <v>114.28092505506606</v>
      </c>
      <c r="V1347" s="39">
        <f>[1]节奏总纲!AH1347</f>
        <v>123.27770830864898</v>
      </c>
    </row>
    <row r="1348" spans="17:22" x14ac:dyDescent="0.15">
      <c r="Q1348" s="38">
        <v>1345</v>
      </c>
      <c r="R1348" s="39">
        <f>[1]节奏总纲!AD1348</f>
        <v>103.94279554431382</v>
      </c>
      <c r="S1348" s="39">
        <f>[1]节奏总纲!AE1348</f>
        <v>106.21724868082975</v>
      </c>
      <c r="T1348" s="39">
        <f>[1]节奏总纲!AF1348</f>
        <v>109.45379129494147</v>
      </c>
      <c r="U1348" s="39">
        <f>[1]节奏总纲!AG1348</f>
        <v>114.29231717931182</v>
      </c>
      <c r="V1348" s="39">
        <f>[1]节奏总纲!AH1348</f>
        <v>123.2877722089049</v>
      </c>
    </row>
    <row r="1349" spans="17:22" x14ac:dyDescent="0.15">
      <c r="Q1349" s="38">
        <v>1346</v>
      </c>
      <c r="R1349" s="39">
        <f>[1]节奏总纲!AD1349</f>
        <v>103.95384719492098</v>
      </c>
      <c r="S1349" s="39">
        <f>[1]节奏总纲!AE1349</f>
        <v>106.22783531462461</v>
      </c>
      <c r="T1349" s="39">
        <f>[1]节奏总纲!AF1349</f>
        <v>109.4642386117158</v>
      </c>
      <c r="U1349" s="39">
        <f>[1]节奏总纲!AG1349</f>
        <v>114.30370930355757</v>
      </c>
      <c r="V1349" s="39">
        <f>[1]节奏总纲!AH1349</f>
        <v>123.29783610916081</v>
      </c>
    </row>
    <row r="1350" spans="17:22" x14ac:dyDescent="0.15">
      <c r="Q1350" s="38">
        <v>1347</v>
      </c>
      <c r="R1350" s="39">
        <f>[1]节奏总纲!AD1350</f>
        <v>103.96489884552813</v>
      </c>
      <c r="S1350" s="39">
        <f>[1]节奏总纲!AE1350</f>
        <v>106.23842194841947</v>
      </c>
      <c r="T1350" s="39">
        <f>[1]节奏总纲!AF1350</f>
        <v>109.47468592849012</v>
      </c>
      <c r="U1350" s="39">
        <f>[1]节奏总纲!AG1350</f>
        <v>114.31510142780333</v>
      </c>
      <c r="V1350" s="39">
        <f>[1]节奏总纲!AH1350</f>
        <v>123.30790000941673</v>
      </c>
    </row>
    <row r="1351" spans="17:22" x14ac:dyDescent="0.15">
      <c r="Q1351" s="38">
        <v>1348</v>
      </c>
      <c r="R1351" s="39">
        <f>[1]节奏总纲!AD1351</f>
        <v>103.97595049613528</v>
      </c>
      <c r="S1351" s="39">
        <f>[1]节奏总纲!AE1351</f>
        <v>106.24900858221434</v>
      </c>
      <c r="T1351" s="39">
        <f>[1]节奏总纲!AF1351</f>
        <v>109.48513324526444</v>
      </c>
      <c r="U1351" s="39">
        <f>[1]节奏总纲!AG1351</f>
        <v>114.32649355204909</v>
      </c>
      <c r="V1351" s="39">
        <f>[1]节奏总纲!AH1351</f>
        <v>123.31796390967266</v>
      </c>
    </row>
    <row r="1352" spans="17:22" x14ac:dyDescent="0.15">
      <c r="Q1352" s="38">
        <v>1349</v>
      </c>
      <c r="R1352" s="39">
        <f>[1]节奏总纲!AD1352</f>
        <v>103.98700214674243</v>
      </c>
      <c r="S1352" s="39">
        <f>[1]节奏总纲!AE1352</f>
        <v>106.2595952160092</v>
      </c>
      <c r="T1352" s="39">
        <f>[1]节奏总纲!AF1352</f>
        <v>109.49558056203877</v>
      </c>
      <c r="U1352" s="39">
        <f>[1]节奏总纲!AG1352</f>
        <v>114.33788567629485</v>
      </c>
      <c r="V1352" s="39">
        <f>[1]节奏总纲!AH1352</f>
        <v>123.32802780992857</v>
      </c>
    </row>
    <row r="1353" spans="17:22" x14ac:dyDescent="0.15">
      <c r="Q1353" s="38">
        <v>1350</v>
      </c>
      <c r="R1353" s="39">
        <f>[1]节奏总纲!AD1353</f>
        <v>103.99805379734958</v>
      </c>
      <c r="S1353" s="39">
        <f>[1]节奏总纲!AE1353</f>
        <v>106.27018184980406</v>
      </c>
      <c r="T1353" s="39">
        <f>[1]节奏总纲!AF1353</f>
        <v>109.50602787881309</v>
      </c>
      <c r="U1353" s="39">
        <f>[1]节奏总纲!AG1353</f>
        <v>114.34927780054059</v>
      </c>
      <c r="V1353" s="39">
        <f>[1]节奏总纲!AH1353</f>
        <v>123.33809171018449</v>
      </c>
    </row>
    <row r="1354" spans="17:22" x14ac:dyDescent="0.15">
      <c r="Q1354" s="38">
        <v>1351</v>
      </c>
      <c r="R1354" s="39">
        <f>[1]节奏总纲!AD1354</f>
        <v>104.00849568334635</v>
      </c>
      <c r="S1354" s="39">
        <f>[1]节奏总纲!AE1354</f>
        <v>106.28076848359892</v>
      </c>
      <c r="T1354" s="39">
        <f>[1]节奏总纲!AF1354</f>
        <v>109.5164751955874</v>
      </c>
      <c r="U1354" s="39">
        <f>[1]节奏总纲!AG1354</f>
        <v>114.36066992478635</v>
      </c>
      <c r="V1354" s="39">
        <f>[1]节奏总纲!AH1354</f>
        <v>123.3481556104404</v>
      </c>
    </row>
    <row r="1355" spans="17:22" x14ac:dyDescent="0.15">
      <c r="Q1355" s="38">
        <v>1352</v>
      </c>
      <c r="R1355" s="39">
        <f>[1]节奏总纲!AD1355</f>
        <v>104.01880723797377</v>
      </c>
      <c r="S1355" s="39">
        <f>[1]节奏总纲!AE1355</f>
        <v>106.29135511739378</v>
      </c>
      <c r="T1355" s="39">
        <f>[1]节奏总纲!AF1355</f>
        <v>109.52692251236174</v>
      </c>
      <c r="U1355" s="39">
        <f>[1]节奏总纲!AG1355</f>
        <v>114.37206204903211</v>
      </c>
      <c r="V1355" s="39">
        <f>[1]节奏总纲!AH1355</f>
        <v>123.35821951069632</v>
      </c>
    </row>
    <row r="1356" spans="17:22" x14ac:dyDescent="0.15">
      <c r="Q1356" s="38">
        <v>1353</v>
      </c>
      <c r="R1356" s="39">
        <f>[1]节奏总纲!AD1356</f>
        <v>104.02911879260118</v>
      </c>
      <c r="S1356" s="39">
        <f>[1]节奏总纲!AE1356</f>
        <v>106.30194175118865</v>
      </c>
      <c r="T1356" s="39">
        <f>[1]节奏总纲!AF1356</f>
        <v>109.53736982913605</v>
      </c>
      <c r="U1356" s="39">
        <f>[1]节奏总纲!AG1356</f>
        <v>114.38345417327785</v>
      </c>
      <c r="V1356" s="39">
        <f>[1]节奏总纲!AH1356</f>
        <v>123.36828341095223</v>
      </c>
    </row>
    <row r="1357" spans="17:22" x14ac:dyDescent="0.15">
      <c r="Q1357" s="38">
        <v>1354</v>
      </c>
      <c r="R1357" s="39">
        <f>[1]节奏总纲!AD1357</f>
        <v>104.03943034722859</v>
      </c>
      <c r="S1357" s="39">
        <f>[1]节奏总纲!AE1357</f>
        <v>106.31252838498351</v>
      </c>
      <c r="T1357" s="39">
        <f>[1]节奏总纲!AF1357</f>
        <v>109.54781714591039</v>
      </c>
      <c r="U1357" s="39">
        <f>[1]节奏总纲!AG1357</f>
        <v>114.39484629752361</v>
      </c>
      <c r="V1357" s="39">
        <f>[1]节奏总纲!AH1357</f>
        <v>123.37834731120815</v>
      </c>
    </row>
    <row r="1358" spans="17:22" x14ac:dyDescent="0.15">
      <c r="Q1358" s="38">
        <v>1355</v>
      </c>
      <c r="R1358" s="39">
        <f>[1]节奏总纲!AD1358</f>
        <v>104.049741901856</v>
      </c>
      <c r="S1358" s="39">
        <f>[1]节奏总纲!AE1358</f>
        <v>106.32311501877837</v>
      </c>
      <c r="T1358" s="39">
        <f>[1]节奏总纲!AF1358</f>
        <v>109.5582644626847</v>
      </c>
      <c r="U1358" s="39">
        <f>[1]节奏总纲!AG1358</f>
        <v>114.40623842176937</v>
      </c>
      <c r="V1358" s="39">
        <f>[1]节奏总纲!AH1358</f>
        <v>123.38841121146406</v>
      </c>
    </row>
    <row r="1359" spans="17:22" x14ac:dyDescent="0.15">
      <c r="Q1359" s="38">
        <v>1356</v>
      </c>
      <c r="R1359" s="39">
        <f>[1]节奏总纲!AD1359</f>
        <v>104.06005345648342</v>
      </c>
      <c r="S1359" s="39">
        <f>[1]节奏总纲!AE1359</f>
        <v>106.33370165257323</v>
      </c>
      <c r="T1359" s="39">
        <f>[1]节奏总纲!AF1359</f>
        <v>109.56871177945902</v>
      </c>
      <c r="U1359" s="39">
        <f>[1]节奏总纲!AG1359</f>
        <v>114.41763054601512</v>
      </c>
      <c r="V1359" s="39">
        <f>[1]节奏总纲!AH1359</f>
        <v>123.39847511171999</v>
      </c>
    </row>
    <row r="1360" spans="17:22" x14ac:dyDescent="0.15">
      <c r="Q1360" s="38">
        <v>1357</v>
      </c>
      <c r="R1360" s="39">
        <f>[1]节奏总纲!AD1360</f>
        <v>104.07036501111082</v>
      </c>
      <c r="S1360" s="39">
        <f>[1]节奏总纲!AE1360</f>
        <v>106.34428828636808</v>
      </c>
      <c r="T1360" s="39">
        <f>[1]节奏总纲!AF1360</f>
        <v>109.57915909623335</v>
      </c>
      <c r="U1360" s="39">
        <f>[1]节奏总纲!AG1360</f>
        <v>114.42902267026088</v>
      </c>
      <c r="V1360" s="39">
        <f>[1]节奏总纲!AH1360</f>
        <v>123.4085390119759</v>
      </c>
    </row>
    <row r="1361" spans="17:22" x14ac:dyDescent="0.15">
      <c r="Q1361" s="38">
        <v>1358</v>
      </c>
      <c r="R1361" s="39">
        <f>[1]节奏总纲!AD1361</f>
        <v>104.08067656573823</v>
      </c>
      <c r="S1361" s="39">
        <f>[1]节奏总纲!AE1361</f>
        <v>106.35487492016294</v>
      </c>
      <c r="T1361" s="39">
        <f>[1]节奏总纲!AF1361</f>
        <v>109.58960641300767</v>
      </c>
      <c r="U1361" s="39">
        <f>[1]节奏总纲!AG1361</f>
        <v>114.44041479450664</v>
      </c>
      <c r="V1361" s="39">
        <f>[1]节奏总纲!AH1361</f>
        <v>123.41860291223182</v>
      </c>
    </row>
    <row r="1362" spans="17:22" x14ac:dyDescent="0.15">
      <c r="Q1362" s="38">
        <v>1359</v>
      </c>
      <c r="R1362" s="39">
        <f>[1]节奏总纲!AD1362</f>
        <v>104.09098812036564</v>
      </c>
      <c r="S1362" s="39">
        <f>[1]节奏总纲!AE1362</f>
        <v>106.36546155395781</v>
      </c>
      <c r="T1362" s="39">
        <f>[1]节奏总纲!AF1362</f>
        <v>109.600053729782</v>
      </c>
      <c r="U1362" s="39">
        <f>[1]节奏总纲!AG1362</f>
        <v>114.4518069187524</v>
      </c>
      <c r="V1362" s="39">
        <f>[1]节奏总纲!AH1362</f>
        <v>123.42866681248773</v>
      </c>
    </row>
    <row r="1363" spans="17:22" x14ac:dyDescent="0.15">
      <c r="Q1363" s="38">
        <v>1360</v>
      </c>
      <c r="R1363" s="39">
        <f>[1]节奏总纲!AD1363</f>
        <v>104.10129967499306</v>
      </c>
      <c r="S1363" s="39">
        <f>[1]节奏总纲!AE1363</f>
        <v>106.37604818775267</v>
      </c>
      <c r="T1363" s="39">
        <f>[1]节奏总纲!AF1363</f>
        <v>109.61050104655632</v>
      </c>
      <c r="U1363" s="39">
        <f>[1]节奏总纲!AG1363</f>
        <v>114.46319904299814</v>
      </c>
      <c r="V1363" s="39">
        <f>[1]节奏总纲!AH1363</f>
        <v>123.43873071274365</v>
      </c>
    </row>
    <row r="1364" spans="17:22" x14ac:dyDescent="0.15">
      <c r="Q1364" s="38">
        <v>1361</v>
      </c>
      <c r="R1364" s="39">
        <f>[1]节奏总纲!AD1364</f>
        <v>104.11161122962046</v>
      </c>
      <c r="S1364" s="39">
        <f>[1]节奏总纲!AE1364</f>
        <v>106.38663482154753</v>
      </c>
      <c r="T1364" s="39">
        <f>[1]节奏总纲!AF1364</f>
        <v>109.62094836333064</v>
      </c>
      <c r="U1364" s="39">
        <f>[1]节奏总纲!AG1364</f>
        <v>114.4745911672439</v>
      </c>
      <c r="V1364" s="39">
        <f>[1]节奏总纲!AH1364</f>
        <v>123.44879461299956</v>
      </c>
    </row>
    <row r="1365" spans="17:22" x14ac:dyDescent="0.15">
      <c r="Q1365" s="38">
        <v>1362</v>
      </c>
      <c r="R1365" s="39">
        <f>[1]节奏总纲!AD1365</f>
        <v>104.12192278424787</v>
      </c>
      <c r="S1365" s="39">
        <f>[1]节奏总纲!AE1365</f>
        <v>106.39722145534239</v>
      </c>
      <c r="T1365" s="39">
        <f>[1]节奏总纲!AF1365</f>
        <v>109.63139568010497</v>
      </c>
      <c r="U1365" s="39">
        <f>[1]节奏总纲!AG1365</f>
        <v>114.48598329148966</v>
      </c>
      <c r="V1365" s="39">
        <f>[1]节奏总纲!AH1365</f>
        <v>123.45885851325548</v>
      </c>
    </row>
    <row r="1366" spans="17:22" x14ac:dyDescent="0.15">
      <c r="Q1366" s="38">
        <v>1363</v>
      </c>
      <c r="R1366" s="39">
        <f>[1]节奏总纲!AD1366</f>
        <v>104.13223433887529</v>
      </c>
      <c r="S1366" s="39">
        <f>[1]节奏总纲!AE1366</f>
        <v>106.40780808913725</v>
      </c>
      <c r="T1366" s="39">
        <f>[1]节奏总纲!AF1366</f>
        <v>109.64184299687929</v>
      </c>
      <c r="U1366" s="39">
        <f>[1]节奏总纲!AG1366</f>
        <v>114.49737541573541</v>
      </c>
      <c r="V1366" s="39">
        <f>[1]节奏总纲!AH1366</f>
        <v>123.46892241351141</v>
      </c>
    </row>
    <row r="1367" spans="17:22" x14ac:dyDescent="0.15">
      <c r="Q1367" s="38">
        <v>1364</v>
      </c>
      <c r="R1367" s="39">
        <f>[1]节奏总纲!AD1367</f>
        <v>104.1425458935027</v>
      </c>
      <c r="S1367" s="39">
        <f>[1]节奏总纲!AE1367</f>
        <v>106.41839472293212</v>
      </c>
      <c r="T1367" s="39">
        <f>[1]节奏总纲!AF1367</f>
        <v>109.65229031365361</v>
      </c>
      <c r="U1367" s="39">
        <f>[1]节奏总纲!AG1367</f>
        <v>114.50876753998116</v>
      </c>
      <c r="V1367" s="39">
        <f>[1]节奏总纲!AH1367</f>
        <v>123.47898631376732</v>
      </c>
    </row>
    <row r="1368" spans="17:22" x14ac:dyDescent="0.15">
      <c r="Q1368" s="38">
        <v>1365</v>
      </c>
      <c r="R1368" s="39">
        <f>[1]节奏总纲!AD1368</f>
        <v>104.15285744813011</v>
      </c>
      <c r="S1368" s="39">
        <f>[1]节奏总纲!AE1368</f>
        <v>106.42898135672698</v>
      </c>
      <c r="T1368" s="39">
        <f>[1]节奏总纲!AF1368</f>
        <v>109.66273763042794</v>
      </c>
      <c r="U1368" s="39">
        <f>[1]节奏总纲!AG1368</f>
        <v>114.52015966422692</v>
      </c>
      <c r="V1368" s="39">
        <f>[1]节奏总纲!AH1368</f>
        <v>123.48905021402324</v>
      </c>
    </row>
    <row r="1369" spans="17:22" x14ac:dyDescent="0.15">
      <c r="Q1369" s="38">
        <v>1366</v>
      </c>
      <c r="R1369" s="39">
        <f>[1]节奏总纲!AD1369</f>
        <v>104.16316900275751</v>
      </c>
      <c r="S1369" s="39">
        <f>[1]节奏总纲!AE1369</f>
        <v>106.43956799052184</v>
      </c>
      <c r="T1369" s="39">
        <f>[1]节奏总纲!AF1369</f>
        <v>109.67318494720226</v>
      </c>
      <c r="U1369" s="39">
        <f>[1]节奏总纲!AG1369</f>
        <v>114.53155178847268</v>
      </c>
      <c r="V1369" s="39">
        <f>[1]节奏总纲!AH1369</f>
        <v>123.49911411427915</v>
      </c>
    </row>
    <row r="1370" spans="17:22" x14ac:dyDescent="0.15">
      <c r="Q1370" s="38">
        <v>1367</v>
      </c>
      <c r="R1370" s="39">
        <f>[1]节奏总纲!AD1370</f>
        <v>104.17348055738493</v>
      </c>
      <c r="S1370" s="39">
        <f>[1]节奏总纲!AE1370</f>
        <v>106.4501546243167</v>
      </c>
      <c r="T1370" s="39">
        <f>[1]节奏总纲!AF1370</f>
        <v>109.68363226397659</v>
      </c>
      <c r="U1370" s="39">
        <f>[1]节奏总纲!AG1370</f>
        <v>114.54294391271843</v>
      </c>
      <c r="V1370" s="39">
        <f>[1]节奏总纲!AH1370</f>
        <v>123.50917801453507</v>
      </c>
    </row>
    <row r="1371" spans="17:22" x14ac:dyDescent="0.15">
      <c r="Q1371" s="38">
        <v>1368</v>
      </c>
      <c r="R1371" s="39">
        <f>[1]节奏总纲!AD1371</f>
        <v>104.18379211201234</v>
      </c>
      <c r="S1371" s="39">
        <f>[1]节奏总纲!AE1371</f>
        <v>106.46074125811155</v>
      </c>
      <c r="T1371" s="39">
        <f>[1]节奏总纲!AF1371</f>
        <v>109.69407958075091</v>
      </c>
      <c r="U1371" s="39">
        <f>[1]节奏总纲!AG1371</f>
        <v>114.55433603696419</v>
      </c>
      <c r="V1371" s="39">
        <f>[1]节奏总纲!AH1371</f>
        <v>123.51924191479098</v>
      </c>
    </row>
    <row r="1372" spans="17:22" x14ac:dyDescent="0.15">
      <c r="Q1372" s="38">
        <v>1369</v>
      </c>
      <c r="R1372" s="39">
        <f>[1]节奏总纲!AD1372</f>
        <v>104.19410366663975</v>
      </c>
      <c r="S1372" s="39">
        <f>[1]节奏总纲!AE1372</f>
        <v>106.47132789190643</v>
      </c>
      <c r="T1372" s="39">
        <f>[1]节奏总纲!AF1372</f>
        <v>109.70452689752523</v>
      </c>
      <c r="U1372" s="39">
        <f>[1]节奏总纲!AG1372</f>
        <v>114.56572816120995</v>
      </c>
      <c r="V1372" s="39">
        <f>[1]节奏总纲!AH1372</f>
        <v>123.5293058150469</v>
      </c>
    </row>
    <row r="1373" spans="17:22" x14ac:dyDescent="0.15">
      <c r="Q1373" s="38">
        <v>1370</v>
      </c>
      <c r="R1373" s="39">
        <f>[1]节奏总纲!AD1373</f>
        <v>104.20441522126715</v>
      </c>
      <c r="S1373" s="39">
        <f>[1]节奏总纲!AE1373</f>
        <v>106.48191452570128</v>
      </c>
      <c r="T1373" s="39">
        <f>[1]节奏总纲!AF1373</f>
        <v>109.71497421429956</v>
      </c>
      <c r="U1373" s="39">
        <f>[1]节奏总纲!AG1373</f>
        <v>114.57712028545569</v>
      </c>
      <c r="V1373" s="39">
        <f>[1]节奏总纲!AH1373</f>
        <v>123.53936971530283</v>
      </c>
    </row>
    <row r="1374" spans="17:22" x14ac:dyDescent="0.15">
      <c r="Q1374" s="38">
        <v>1371</v>
      </c>
      <c r="R1374" s="39">
        <f>[1]节奏总纲!AD1374</f>
        <v>104.21472677589458</v>
      </c>
      <c r="S1374" s="39">
        <f>[1]节奏总纲!AE1374</f>
        <v>106.49250115949614</v>
      </c>
      <c r="T1374" s="39">
        <f>[1]节奏总纲!AF1374</f>
        <v>109.72542153107388</v>
      </c>
      <c r="U1374" s="39">
        <f>[1]节奏总纲!AG1374</f>
        <v>114.58851240970145</v>
      </c>
      <c r="V1374" s="39">
        <f>[1]节奏总纲!AH1374</f>
        <v>123.54943361555874</v>
      </c>
    </row>
    <row r="1375" spans="17:22" x14ac:dyDescent="0.15">
      <c r="Q1375" s="38">
        <v>1372</v>
      </c>
      <c r="R1375" s="39">
        <f>[1]节奏总纲!AD1375</f>
        <v>104.22503833052198</v>
      </c>
      <c r="S1375" s="39">
        <f>[1]节奏总纲!AE1375</f>
        <v>106.503087793291</v>
      </c>
      <c r="T1375" s="39">
        <f>[1]节奏总纲!AF1375</f>
        <v>109.7358688478482</v>
      </c>
      <c r="U1375" s="39">
        <f>[1]节奏总纲!AG1375</f>
        <v>114.59990453394721</v>
      </c>
      <c r="V1375" s="39">
        <f>[1]节奏总纲!AH1375</f>
        <v>123.55949751581466</v>
      </c>
    </row>
    <row r="1376" spans="17:22" x14ac:dyDescent="0.15">
      <c r="Q1376" s="38">
        <v>1373</v>
      </c>
      <c r="R1376" s="39">
        <f>[1]节奏总纲!AD1376</f>
        <v>104.23534988514939</v>
      </c>
      <c r="S1376" s="39">
        <f>[1]节奏总纲!AE1376</f>
        <v>106.51367442708586</v>
      </c>
      <c r="T1376" s="39">
        <f>[1]节奏总纲!AF1376</f>
        <v>109.74631616462253</v>
      </c>
      <c r="U1376" s="39">
        <f>[1]节奏总纲!AG1376</f>
        <v>114.61129665819296</v>
      </c>
      <c r="V1376" s="39">
        <f>[1]节奏总纲!AH1376</f>
        <v>123.56956141607057</v>
      </c>
    </row>
    <row r="1377" spans="17:22" x14ac:dyDescent="0.15">
      <c r="Q1377" s="38">
        <v>1374</v>
      </c>
      <c r="R1377" s="39">
        <f>[1]节奏总纲!AD1377</f>
        <v>104.24566143977681</v>
      </c>
      <c r="S1377" s="39">
        <f>[1]节奏总纲!AE1377</f>
        <v>106.52426106088072</v>
      </c>
      <c r="T1377" s="39">
        <f>[1]节奏总纲!AF1377</f>
        <v>109.75676348139685</v>
      </c>
      <c r="U1377" s="39">
        <f>[1]节奏总纲!AG1377</f>
        <v>114.62268878243871</v>
      </c>
      <c r="V1377" s="39">
        <f>[1]节奏总纲!AH1377</f>
        <v>123.57962531632649</v>
      </c>
    </row>
    <row r="1378" spans="17:22" x14ac:dyDescent="0.15">
      <c r="Q1378" s="38">
        <v>1375</v>
      </c>
      <c r="R1378" s="39">
        <f>[1]节奏总纲!AD1378</f>
        <v>104.25597299440422</v>
      </c>
      <c r="S1378" s="39">
        <f>[1]节奏总纲!AE1378</f>
        <v>106.53484769467559</v>
      </c>
      <c r="T1378" s="39">
        <f>[1]节奏总纲!AF1378</f>
        <v>109.76721079817118</v>
      </c>
      <c r="U1378" s="39">
        <f>[1]节奏总纲!AG1378</f>
        <v>114.63408090668447</v>
      </c>
      <c r="V1378" s="39">
        <f>[1]节奏总纲!AH1378</f>
        <v>123.5896892165824</v>
      </c>
    </row>
    <row r="1379" spans="17:22" x14ac:dyDescent="0.15">
      <c r="Q1379" s="38">
        <v>1376</v>
      </c>
      <c r="R1379" s="39">
        <f>[1]节奏总纲!AD1379</f>
        <v>104.26628454903162</v>
      </c>
      <c r="S1379" s="39">
        <f>[1]节奏总纲!AE1379</f>
        <v>106.54543432847045</v>
      </c>
      <c r="T1379" s="39">
        <f>[1]节奏总纲!AF1379</f>
        <v>109.7776581149455</v>
      </c>
      <c r="U1379" s="39">
        <f>[1]节奏总纲!AG1379</f>
        <v>114.64547303093023</v>
      </c>
      <c r="V1379" s="39">
        <f>[1]节奏总纲!AH1379</f>
        <v>123.59975311683831</v>
      </c>
    </row>
    <row r="1380" spans="17:22" x14ac:dyDescent="0.15">
      <c r="Q1380" s="38">
        <v>1377</v>
      </c>
      <c r="R1380" s="39">
        <f>[1]节奏总纲!AD1380</f>
        <v>104.27659610365903</v>
      </c>
      <c r="S1380" s="39">
        <f>[1]节奏总纲!AE1380</f>
        <v>106.55602096226531</v>
      </c>
      <c r="T1380" s="39">
        <f>[1]节奏总纲!AF1380</f>
        <v>109.78810543171981</v>
      </c>
      <c r="U1380" s="39">
        <f>[1]节奏总纲!AG1380</f>
        <v>114.65686515517598</v>
      </c>
      <c r="V1380" s="39">
        <f>[1]节奏总纲!AH1380</f>
        <v>123.60981701709423</v>
      </c>
    </row>
    <row r="1381" spans="17:22" x14ac:dyDescent="0.15">
      <c r="Q1381" s="38">
        <v>1378</v>
      </c>
      <c r="R1381" s="39">
        <f>[1]节奏总纲!AD1381</f>
        <v>104.28690765828645</v>
      </c>
      <c r="S1381" s="39">
        <f>[1]节奏总纲!AE1381</f>
        <v>106.56660759606017</v>
      </c>
      <c r="T1381" s="39">
        <f>[1]节奏总纲!AF1381</f>
        <v>109.79855274849415</v>
      </c>
      <c r="U1381" s="39">
        <f>[1]节奏总纲!AG1381</f>
        <v>114.66825727942174</v>
      </c>
      <c r="V1381" s="39">
        <f>[1]节奏总纲!AH1381</f>
        <v>123.61988091735016</v>
      </c>
    </row>
    <row r="1382" spans="17:22" x14ac:dyDescent="0.15">
      <c r="Q1382" s="38">
        <v>1379</v>
      </c>
      <c r="R1382" s="39">
        <f>[1]节奏总纲!AD1382</f>
        <v>104.29721921291386</v>
      </c>
      <c r="S1382" s="39">
        <f>[1]节奏总纲!AE1382</f>
        <v>106.57719422985502</v>
      </c>
      <c r="T1382" s="39">
        <f>[1]节奏总纲!AF1382</f>
        <v>109.80900006526846</v>
      </c>
      <c r="U1382" s="39">
        <f>[1]节奏总纲!AG1382</f>
        <v>114.6796494036675</v>
      </c>
      <c r="V1382" s="39">
        <f>[1]节奏总纲!AH1382</f>
        <v>123.62994481760607</v>
      </c>
    </row>
    <row r="1383" spans="17:22" x14ac:dyDescent="0.15">
      <c r="Q1383" s="38">
        <v>1380</v>
      </c>
      <c r="R1383" s="39">
        <f>[1]节奏总纲!AD1383</f>
        <v>104.30753076754127</v>
      </c>
      <c r="S1383" s="39">
        <f>[1]节奏总纲!AE1383</f>
        <v>106.5877808636499</v>
      </c>
      <c r="T1383" s="39">
        <f>[1]节奏总纲!AF1383</f>
        <v>109.8194473820428</v>
      </c>
      <c r="U1383" s="39">
        <f>[1]节奏总纲!AG1383</f>
        <v>114.69104152791324</v>
      </c>
      <c r="V1383" s="39">
        <f>[1]节奏总纲!AH1383</f>
        <v>123.64000871786199</v>
      </c>
    </row>
    <row r="1384" spans="17:22" x14ac:dyDescent="0.15">
      <c r="Q1384" s="38">
        <v>1381</v>
      </c>
      <c r="R1384" s="39">
        <f>[1]节奏总纲!AD1384</f>
        <v>104.31784232216867</v>
      </c>
      <c r="S1384" s="39">
        <f>[1]节奏总纲!AE1384</f>
        <v>106.59836749744476</v>
      </c>
      <c r="T1384" s="39">
        <f>[1]节奏总纲!AF1384</f>
        <v>109.82989469881711</v>
      </c>
      <c r="U1384" s="39">
        <f>[1]节奏总纲!AG1384</f>
        <v>114.702433652159</v>
      </c>
      <c r="V1384" s="39">
        <f>[1]节奏总纲!AH1384</f>
        <v>123.6500726181179</v>
      </c>
    </row>
    <row r="1385" spans="17:22" x14ac:dyDescent="0.15">
      <c r="Q1385" s="38">
        <v>1382</v>
      </c>
      <c r="R1385" s="39">
        <f>[1]节奏总纲!AD1385</f>
        <v>104.32815387679609</v>
      </c>
      <c r="S1385" s="39">
        <f>[1]节奏总纲!AE1385</f>
        <v>106.60895413123961</v>
      </c>
      <c r="T1385" s="39">
        <f>[1]节奏总纲!AF1385</f>
        <v>109.84034201559143</v>
      </c>
      <c r="U1385" s="39">
        <f>[1]节奏总纲!AG1385</f>
        <v>114.71382577640476</v>
      </c>
      <c r="V1385" s="39">
        <f>[1]节奏总纲!AH1385</f>
        <v>123.66013651837382</v>
      </c>
    </row>
    <row r="1386" spans="17:22" x14ac:dyDescent="0.15">
      <c r="Q1386" s="38">
        <v>1383</v>
      </c>
      <c r="R1386" s="39">
        <f>[1]节奏总纲!AD1386</f>
        <v>104.3384654314235</v>
      </c>
      <c r="S1386" s="39">
        <f>[1]节奏总纲!AE1386</f>
        <v>106.61954076503447</v>
      </c>
      <c r="T1386" s="39">
        <f>[1]节奏总纲!AF1386</f>
        <v>109.85078933236576</v>
      </c>
      <c r="U1386" s="39">
        <f>[1]节奏总纲!AG1386</f>
        <v>114.72521790065051</v>
      </c>
      <c r="V1386" s="39">
        <f>[1]节奏总纲!AH1386</f>
        <v>123.67020041862973</v>
      </c>
    </row>
    <row r="1387" spans="17:22" x14ac:dyDescent="0.15">
      <c r="Q1387" s="38">
        <v>1384</v>
      </c>
      <c r="R1387" s="39">
        <f>[1]节奏总纲!AD1387</f>
        <v>104.34877698605091</v>
      </c>
      <c r="S1387" s="39">
        <f>[1]节奏总纲!AE1387</f>
        <v>106.63012739882933</v>
      </c>
      <c r="T1387" s="39">
        <f>[1]节奏总纲!AF1387</f>
        <v>109.86123664914008</v>
      </c>
      <c r="U1387" s="39">
        <f>[1]节奏总纲!AG1387</f>
        <v>114.73661002489627</v>
      </c>
      <c r="V1387" s="39">
        <f>[1]节奏总纲!AH1387</f>
        <v>123.68026431888565</v>
      </c>
    </row>
    <row r="1388" spans="17:22" x14ac:dyDescent="0.15">
      <c r="Q1388" s="38">
        <v>1385</v>
      </c>
      <c r="R1388" s="39">
        <f>[1]节奏总纲!AD1388</f>
        <v>104.35908854067833</v>
      </c>
      <c r="S1388" s="39">
        <f>[1]节奏总纲!AE1388</f>
        <v>106.6407140326242</v>
      </c>
      <c r="T1388" s="39">
        <f>[1]节奏总纲!AF1388</f>
        <v>109.8716839659144</v>
      </c>
      <c r="U1388" s="39">
        <f>[1]节奏总纲!AG1388</f>
        <v>114.74800214914202</v>
      </c>
      <c r="V1388" s="39">
        <f>[1]节奏总纲!AH1388</f>
        <v>123.69032821914158</v>
      </c>
    </row>
    <row r="1389" spans="17:22" x14ac:dyDescent="0.15">
      <c r="Q1389" s="38">
        <v>1386</v>
      </c>
      <c r="R1389" s="39">
        <f>[1]节奏总纲!AD1389</f>
        <v>104.36940009530574</v>
      </c>
      <c r="S1389" s="39">
        <f>[1]节奏总纲!AE1389</f>
        <v>106.65130066641906</v>
      </c>
      <c r="T1389" s="39">
        <f>[1]节奏总纲!AF1389</f>
        <v>109.88213128268873</v>
      </c>
      <c r="U1389" s="39">
        <f>[1]节奏总纲!AG1389</f>
        <v>114.75939427338778</v>
      </c>
      <c r="V1389" s="39">
        <f>[1]节奏总纲!AH1389</f>
        <v>123.70039211939749</v>
      </c>
    </row>
    <row r="1390" spans="17:22" x14ac:dyDescent="0.15">
      <c r="Q1390" s="38">
        <v>1387</v>
      </c>
      <c r="R1390" s="39">
        <f>[1]节奏总纲!AD1390</f>
        <v>104.37971164993314</v>
      </c>
      <c r="S1390" s="39">
        <f>[1]节奏总纲!AE1390</f>
        <v>106.66188730021392</v>
      </c>
      <c r="T1390" s="39">
        <f>[1]节奏总纲!AF1390</f>
        <v>109.89257859946305</v>
      </c>
      <c r="U1390" s="39">
        <f>[1]节奏总纲!AG1390</f>
        <v>114.77078639763353</v>
      </c>
      <c r="V1390" s="39">
        <f>[1]节奏总纲!AH1390</f>
        <v>123.71045601965341</v>
      </c>
    </row>
    <row r="1391" spans="17:22" x14ac:dyDescent="0.15">
      <c r="Q1391" s="38">
        <v>1388</v>
      </c>
      <c r="R1391" s="39">
        <f>[1]节奏总纲!AD1391</f>
        <v>104.39002320456055</v>
      </c>
      <c r="S1391" s="39">
        <f>[1]节奏总纲!AE1391</f>
        <v>106.67247393400878</v>
      </c>
      <c r="T1391" s="39">
        <f>[1]节奏总纲!AF1391</f>
        <v>109.90302591623738</v>
      </c>
      <c r="U1391" s="39">
        <f>[1]节奏总纲!AG1391</f>
        <v>114.78217852187929</v>
      </c>
      <c r="V1391" s="39">
        <f>[1]节奏总纲!AH1391</f>
        <v>123.72051991990932</v>
      </c>
    </row>
    <row r="1392" spans="17:22" x14ac:dyDescent="0.15">
      <c r="Q1392" s="38">
        <v>1389</v>
      </c>
      <c r="R1392" s="39">
        <f>[1]节奏总纲!AD1392</f>
        <v>104.40033475918797</v>
      </c>
      <c r="S1392" s="39">
        <f>[1]节奏总纲!AE1392</f>
        <v>106.68306056780364</v>
      </c>
      <c r="T1392" s="39">
        <f>[1]节奏总纲!AF1392</f>
        <v>109.9134732330117</v>
      </c>
      <c r="U1392" s="39">
        <f>[1]节奏总纲!AG1392</f>
        <v>114.79357064612505</v>
      </c>
      <c r="V1392" s="39">
        <f>[1]节奏总纲!AH1392</f>
        <v>123.73058382016524</v>
      </c>
    </row>
    <row r="1393" spans="17:22" x14ac:dyDescent="0.15">
      <c r="Q1393" s="38">
        <v>1390</v>
      </c>
      <c r="R1393" s="39">
        <f>[1]节奏总纲!AD1393</f>
        <v>104.41064631381538</v>
      </c>
      <c r="S1393" s="39">
        <f>[1]节奏总纲!AE1393</f>
        <v>106.69364720159851</v>
      </c>
      <c r="T1393" s="39">
        <f>[1]节奏总纲!AF1393</f>
        <v>109.92392054978602</v>
      </c>
      <c r="U1393" s="39">
        <f>[1]节奏总纲!AG1393</f>
        <v>114.80496277037079</v>
      </c>
      <c r="V1393" s="39">
        <f>[1]节奏总纲!AH1393</f>
        <v>123.74064772042115</v>
      </c>
    </row>
    <row r="1394" spans="17:22" x14ac:dyDescent="0.15">
      <c r="Q1394" s="38">
        <v>1391</v>
      </c>
      <c r="R1394" s="39">
        <f>[1]节奏总纲!AD1394</f>
        <v>104.42095786844278</v>
      </c>
      <c r="S1394" s="39">
        <f>[1]节奏总纲!AE1394</f>
        <v>106.70423383539337</v>
      </c>
      <c r="T1394" s="39">
        <f>[1]节奏总纲!AF1394</f>
        <v>109.93436786656035</v>
      </c>
      <c r="U1394" s="39">
        <f>[1]节奏总纲!AG1394</f>
        <v>114.81635489461655</v>
      </c>
      <c r="V1394" s="39">
        <f>[1]节奏总纲!AH1394</f>
        <v>123.75071162067707</v>
      </c>
    </row>
    <row r="1395" spans="17:22" x14ac:dyDescent="0.15">
      <c r="Q1395" s="38">
        <v>1392</v>
      </c>
      <c r="R1395" s="39">
        <f>[1]节奏总纲!AD1395</f>
        <v>104.43126942307019</v>
      </c>
      <c r="S1395" s="39">
        <f>[1]节奏总纲!AE1395</f>
        <v>106.71482046918823</v>
      </c>
      <c r="T1395" s="39">
        <f>[1]节奏总纲!AF1395</f>
        <v>109.94481518333467</v>
      </c>
      <c r="U1395" s="39">
        <f>[1]节奏总纲!AG1395</f>
        <v>114.82774701886231</v>
      </c>
      <c r="V1395" s="39">
        <f>[1]节奏总纲!AH1395</f>
        <v>123.760775520933</v>
      </c>
    </row>
    <row r="1396" spans="17:22" x14ac:dyDescent="0.15">
      <c r="Q1396" s="38">
        <v>1393</v>
      </c>
      <c r="R1396" s="39">
        <f>[1]节奏总纲!AD1396</f>
        <v>104.44158097769761</v>
      </c>
      <c r="S1396" s="39">
        <f>[1]节奏总纲!AE1396</f>
        <v>106.72540710298308</v>
      </c>
      <c r="T1396" s="39">
        <f>[1]节奏总纲!AF1396</f>
        <v>109.955262500109</v>
      </c>
      <c r="U1396" s="39">
        <f>[1]节奏总纲!AG1396</f>
        <v>114.83913914310807</v>
      </c>
      <c r="V1396" s="39">
        <f>[1]节奏总纲!AH1396</f>
        <v>123.77083942118891</v>
      </c>
    </row>
    <row r="1397" spans="17:22" x14ac:dyDescent="0.15">
      <c r="Q1397" s="38">
        <v>1394</v>
      </c>
      <c r="R1397" s="39">
        <f>[1]节奏总纲!AD1397</f>
        <v>104.45189253232502</v>
      </c>
      <c r="S1397" s="39">
        <f>[1]节奏总纲!AE1397</f>
        <v>106.73599373677794</v>
      </c>
      <c r="T1397" s="39">
        <f>[1]节奏总纲!AF1397</f>
        <v>109.96570981688332</v>
      </c>
      <c r="U1397" s="39">
        <f>[1]节奏总纲!AG1397</f>
        <v>114.85053126735382</v>
      </c>
      <c r="V1397" s="39">
        <f>[1]节奏总纲!AH1397</f>
        <v>123.78090332144482</v>
      </c>
    </row>
    <row r="1398" spans="17:22" x14ac:dyDescent="0.15">
      <c r="Q1398" s="38">
        <v>1395</v>
      </c>
      <c r="R1398" s="39">
        <f>[1]节奏总纲!AD1398</f>
        <v>104.46220408695243</v>
      </c>
      <c r="S1398" s="39">
        <f>[1]节奏总纲!AE1398</f>
        <v>106.7465803705728</v>
      </c>
      <c r="T1398" s="39">
        <f>[1]节奏总纲!AF1398</f>
        <v>109.97615713365764</v>
      </c>
      <c r="U1398" s="39">
        <f>[1]节奏总纲!AG1398</f>
        <v>114.86192339159957</v>
      </c>
      <c r="V1398" s="39">
        <f>[1]节奏总纲!AH1398</f>
        <v>123.79096722170074</v>
      </c>
    </row>
    <row r="1399" spans="17:22" x14ac:dyDescent="0.15">
      <c r="Q1399" s="38">
        <v>1396</v>
      </c>
      <c r="R1399" s="39">
        <f>[1]节奏总纲!AD1399</f>
        <v>104.47251564157985</v>
      </c>
      <c r="S1399" s="39">
        <f>[1]节奏总纲!AE1399</f>
        <v>106.75716700436767</v>
      </c>
      <c r="T1399" s="39">
        <f>[1]节奏总纲!AF1399</f>
        <v>109.98660445043197</v>
      </c>
      <c r="U1399" s="39">
        <f>[1]节奏总纲!AG1399</f>
        <v>114.87331551584533</v>
      </c>
      <c r="V1399" s="39">
        <f>[1]节奏总纲!AH1399</f>
        <v>123.80103112195665</v>
      </c>
    </row>
    <row r="1400" spans="17:22" x14ac:dyDescent="0.15">
      <c r="Q1400" s="38">
        <v>1397</v>
      </c>
      <c r="R1400" s="39">
        <f>[1]节奏总纲!AD1400</f>
        <v>104.48282719620725</v>
      </c>
      <c r="S1400" s="39">
        <f>[1]节奏总纲!AE1400</f>
        <v>106.76775363816253</v>
      </c>
      <c r="T1400" s="39">
        <f>[1]节奏总纲!AF1400</f>
        <v>109.99705176720629</v>
      </c>
      <c r="U1400" s="39">
        <f>[1]节奏总纲!AG1400</f>
        <v>114.88470764009108</v>
      </c>
      <c r="V1400" s="39">
        <f>[1]节奏总纲!AH1400</f>
        <v>123.81109502221257</v>
      </c>
    </row>
    <row r="1401" spans="17:22" x14ac:dyDescent="0.15">
      <c r="Q1401" s="38">
        <v>1398</v>
      </c>
      <c r="R1401" s="39">
        <f>[1]节奏总纲!AD1401</f>
        <v>104.49313875083466</v>
      </c>
      <c r="S1401" s="39">
        <f>[1]节奏总纲!AE1401</f>
        <v>106.77834027195739</v>
      </c>
      <c r="T1401" s="39">
        <f>[1]节奏总纲!AF1401</f>
        <v>110.00695617024441</v>
      </c>
      <c r="U1401" s="39">
        <f>[1]节奏总纲!AG1401</f>
        <v>114.89609976433684</v>
      </c>
      <c r="V1401" s="39">
        <f>[1]节奏总纲!AH1401</f>
        <v>123.82115892246848</v>
      </c>
    </row>
    <row r="1402" spans="17:22" x14ac:dyDescent="0.15">
      <c r="Q1402" s="38">
        <v>1399</v>
      </c>
      <c r="R1402" s="39">
        <f>[1]节奏总纲!AD1402</f>
        <v>104.50345030546207</v>
      </c>
      <c r="S1402" s="39">
        <f>[1]节奏总纲!AE1402</f>
        <v>106.78892690575225</v>
      </c>
      <c r="T1402" s="39">
        <f>[1]节奏总纲!AF1402</f>
        <v>110.01664712906917</v>
      </c>
      <c r="U1402" s="39">
        <f>[1]节奏总纲!AG1402</f>
        <v>114.9074918885826</v>
      </c>
      <c r="V1402" s="39">
        <f>[1]节奏总纲!AH1402</f>
        <v>123.83122282272441</v>
      </c>
    </row>
    <row r="1403" spans="17:22" x14ac:dyDescent="0.15">
      <c r="Q1403" s="38">
        <v>1400</v>
      </c>
      <c r="R1403" s="39">
        <f>[1]节奏总纲!AD1403</f>
        <v>104.51376186008949</v>
      </c>
      <c r="S1403" s="39">
        <f>[1]节奏总纲!AE1403</f>
        <v>106.79951353954711</v>
      </c>
      <c r="T1403" s="39">
        <f>[1]节奏总纲!AF1403</f>
        <v>110.02633808789393</v>
      </c>
      <c r="U1403" s="39">
        <f>[1]节奏总纲!AG1403</f>
        <v>114.91888401282834</v>
      </c>
      <c r="V1403" s="39">
        <f>[1]节奏总纲!AH1403</f>
        <v>123.84128672298033</v>
      </c>
    </row>
    <row r="1404" spans="17:22" x14ac:dyDescent="0.15">
      <c r="Q1404" s="38">
        <v>1401</v>
      </c>
      <c r="R1404" s="39">
        <f>[1]节奏总纲!AD1404</f>
        <v>104.5240734147169</v>
      </c>
      <c r="S1404" s="39">
        <f>[1]节奏总纲!AE1404</f>
        <v>106.81010017334198</v>
      </c>
      <c r="T1404" s="39">
        <f>[1]节奏总纲!AF1404</f>
        <v>110.0360290467187</v>
      </c>
      <c r="U1404" s="39">
        <f>[1]节奏总纲!AG1404</f>
        <v>114.9302761370741</v>
      </c>
      <c r="V1404" s="39">
        <f>[1]节奏总纲!AH1404</f>
        <v>123.85135062323624</v>
      </c>
    </row>
    <row r="1405" spans="17:22" x14ac:dyDescent="0.15">
      <c r="Q1405" s="38">
        <v>1402</v>
      </c>
      <c r="R1405" s="39">
        <f>[1]节奏总纲!AD1405</f>
        <v>104.5343849693443</v>
      </c>
      <c r="S1405" s="39">
        <f>[1]节奏总纲!AE1405</f>
        <v>106.82068680713684</v>
      </c>
      <c r="T1405" s="39">
        <f>[1]节奏总纲!AF1405</f>
        <v>110.04572000554346</v>
      </c>
      <c r="U1405" s="39">
        <f>[1]节奏总纲!AG1405</f>
        <v>114.94166826131986</v>
      </c>
      <c r="V1405" s="39">
        <f>[1]节奏总纲!AH1405</f>
        <v>123.86141452349216</v>
      </c>
    </row>
    <row r="1406" spans="17:22" x14ac:dyDescent="0.15">
      <c r="Q1406" s="38">
        <v>1403</v>
      </c>
      <c r="R1406" s="39">
        <f>[1]节奏总纲!AD1406</f>
        <v>104.54469652397171</v>
      </c>
      <c r="S1406" s="39">
        <f>[1]节奏总纲!AE1406</f>
        <v>106.8312734409317</v>
      </c>
      <c r="T1406" s="39">
        <f>[1]节奏总纲!AF1406</f>
        <v>110.05541096436821</v>
      </c>
      <c r="U1406" s="39">
        <f>[1]节奏总纲!AG1406</f>
        <v>114.95306038556562</v>
      </c>
      <c r="V1406" s="39">
        <f>[1]节奏总纲!AH1406</f>
        <v>123.87147842374807</v>
      </c>
    </row>
    <row r="1407" spans="17:22" x14ac:dyDescent="0.15">
      <c r="Q1407" s="38">
        <v>1404</v>
      </c>
      <c r="R1407" s="39">
        <f>[1]节奏总纲!AD1407</f>
        <v>104.55500807859913</v>
      </c>
      <c r="S1407" s="39">
        <f>[1]节奏总纲!AE1407</f>
        <v>106.84186007472655</v>
      </c>
      <c r="T1407" s="39">
        <f>[1]节奏总纲!AF1407</f>
        <v>110.06510192319297</v>
      </c>
      <c r="U1407" s="39">
        <f>[1]节奏总纲!AG1407</f>
        <v>114.96445250981137</v>
      </c>
      <c r="V1407" s="39">
        <f>[1]节奏总纲!AH1407</f>
        <v>123.88154232400399</v>
      </c>
    </row>
    <row r="1408" spans="17:22" x14ac:dyDescent="0.15">
      <c r="Q1408" s="38">
        <v>1405</v>
      </c>
      <c r="R1408" s="39">
        <f>[1]节奏总纲!AD1408</f>
        <v>104.56531963322654</v>
      </c>
      <c r="S1408" s="39">
        <f>[1]节奏总纲!AE1408</f>
        <v>106.85244670852141</v>
      </c>
      <c r="T1408" s="39">
        <f>[1]节奏总纲!AF1408</f>
        <v>110.07479288201773</v>
      </c>
      <c r="U1408" s="39">
        <f>[1]节奏总纲!AG1408</f>
        <v>114.97584463405713</v>
      </c>
      <c r="V1408" s="39">
        <f>[1]节奏总纲!AH1408</f>
        <v>123.8916062242599</v>
      </c>
    </row>
    <row r="1409" spans="17:22" x14ac:dyDescent="0.15">
      <c r="Q1409" s="38">
        <v>1406</v>
      </c>
      <c r="R1409" s="39">
        <f>[1]节奏总纲!AD1409</f>
        <v>104.57563118785394</v>
      </c>
      <c r="S1409" s="39">
        <f>[1]节奏总纲!AE1409</f>
        <v>106.86303334231629</v>
      </c>
      <c r="T1409" s="39">
        <f>[1]节奏总纲!AF1409</f>
        <v>110.08448384084249</v>
      </c>
      <c r="U1409" s="39">
        <f>[1]节奏总纲!AG1409</f>
        <v>114.98723675830288</v>
      </c>
      <c r="V1409" s="39">
        <f>[1]节奏总纲!AH1409</f>
        <v>123.90167012451582</v>
      </c>
    </row>
    <row r="1410" spans="17:22" x14ac:dyDescent="0.15">
      <c r="Q1410" s="38">
        <v>1407</v>
      </c>
      <c r="R1410" s="39">
        <f>[1]节奏总纲!AD1410</f>
        <v>104.58594274248136</v>
      </c>
      <c r="S1410" s="39">
        <f>[1]节奏总纲!AE1410</f>
        <v>106.87361997611114</v>
      </c>
      <c r="T1410" s="39">
        <f>[1]节奏总纲!AF1410</f>
        <v>110.09417479966726</v>
      </c>
      <c r="U1410" s="39">
        <f>[1]节奏总纲!AG1410</f>
        <v>114.99862888254863</v>
      </c>
      <c r="V1410" s="39">
        <f>[1]节奏总纲!AH1410</f>
        <v>123.91173402477175</v>
      </c>
    </row>
    <row r="1411" spans="17:22" x14ac:dyDescent="0.15">
      <c r="Q1411" s="38">
        <v>1408</v>
      </c>
      <c r="R1411" s="39">
        <f>[1]节奏总纲!AD1411</f>
        <v>104.59625429710877</v>
      </c>
      <c r="S1411" s="39">
        <f>[1]节奏总纲!AE1411</f>
        <v>106.884206609906</v>
      </c>
      <c r="T1411" s="39">
        <f>[1]节奏总纲!AF1411</f>
        <v>110.10386575849201</v>
      </c>
      <c r="U1411" s="39">
        <f>[1]节奏总纲!AG1411</f>
        <v>115.00862736021548</v>
      </c>
      <c r="V1411" s="39">
        <f>[1]节奏总纲!AH1411</f>
        <v>123.92179792502766</v>
      </c>
    </row>
    <row r="1412" spans="17:22" x14ac:dyDescent="0.15">
      <c r="Q1412" s="38">
        <v>1409</v>
      </c>
      <c r="R1412" s="39">
        <f>[1]节奏总纲!AD1412</f>
        <v>104.60656585173618</v>
      </c>
      <c r="S1412" s="39">
        <f>[1]节奏总纲!AE1412</f>
        <v>106.89479324370086</v>
      </c>
      <c r="T1412" s="39">
        <f>[1]节奏总纲!AF1412</f>
        <v>110.11355671731677</v>
      </c>
      <c r="U1412" s="39">
        <f>[1]节奏总纲!AG1412</f>
        <v>115.01843515313531</v>
      </c>
      <c r="V1412" s="39">
        <f>[1]节奏总纲!AH1412</f>
        <v>123.93186182528358</v>
      </c>
    </row>
    <row r="1413" spans="17:22" x14ac:dyDescent="0.15">
      <c r="Q1413" s="38">
        <v>1410</v>
      </c>
      <c r="R1413" s="39">
        <f>[1]节奏总纲!AD1413</f>
        <v>104.61687740636359</v>
      </c>
      <c r="S1413" s="39">
        <f>[1]节奏总纲!AE1413</f>
        <v>106.90537987749572</v>
      </c>
      <c r="T1413" s="39">
        <f>[1]节奏总纲!AF1413</f>
        <v>110.12324767614153</v>
      </c>
      <c r="U1413" s="39">
        <f>[1]节奏总纲!AG1413</f>
        <v>115.02824294605516</v>
      </c>
      <c r="V1413" s="39">
        <f>[1]节奏总纲!AH1413</f>
        <v>123.94192572553949</v>
      </c>
    </row>
    <row r="1414" spans="17:22" x14ac:dyDescent="0.15">
      <c r="Q1414" s="38">
        <v>1411</v>
      </c>
      <c r="R1414" s="39">
        <f>[1]节奏总纲!AD1414</f>
        <v>104.62718896099101</v>
      </c>
      <c r="S1414" s="39">
        <f>[1]节奏总纲!AE1414</f>
        <v>106.91596651129058</v>
      </c>
      <c r="T1414" s="39">
        <f>[1]节奏总纲!AF1414</f>
        <v>110.13293863496629</v>
      </c>
      <c r="U1414" s="39">
        <f>[1]节奏总纲!AG1414</f>
        <v>115.038050738975</v>
      </c>
      <c r="V1414" s="39">
        <f>[1]节奏总纲!AH1414</f>
        <v>123.95198962579541</v>
      </c>
    </row>
    <row r="1415" spans="17:22" x14ac:dyDescent="0.15">
      <c r="Q1415" s="38">
        <v>1412</v>
      </c>
      <c r="R1415" s="39">
        <f>[1]节奏总纲!AD1415</f>
        <v>104.63750051561841</v>
      </c>
      <c r="S1415" s="39">
        <f>[1]节奏总纲!AE1415</f>
        <v>106.92655314508545</v>
      </c>
      <c r="T1415" s="39">
        <f>[1]节奏总纲!AF1415</f>
        <v>110.14262959379106</v>
      </c>
      <c r="U1415" s="39">
        <f>[1]节奏总纲!AG1415</f>
        <v>115.04785853189483</v>
      </c>
      <c r="V1415" s="39">
        <f>[1]节奏总纲!AH1415</f>
        <v>123.96205352605132</v>
      </c>
    </row>
    <row r="1416" spans="17:22" x14ac:dyDescent="0.15">
      <c r="Q1416" s="38">
        <v>1413</v>
      </c>
      <c r="R1416" s="39">
        <f>[1]节奏总纲!AD1416</f>
        <v>104.64781207024582</v>
      </c>
      <c r="S1416" s="39">
        <f>[1]节奏总纲!AE1416</f>
        <v>106.93713977888031</v>
      </c>
      <c r="T1416" s="39">
        <f>[1]节奏总纲!AF1416</f>
        <v>110.15232055261581</v>
      </c>
      <c r="U1416" s="39">
        <f>[1]节奏总纲!AG1416</f>
        <v>115.05766632481468</v>
      </c>
      <c r="V1416" s="39">
        <f>[1]节奏总纲!AH1416</f>
        <v>123.97211742630724</v>
      </c>
    </row>
    <row r="1417" spans="17:22" x14ac:dyDescent="0.15">
      <c r="Q1417" s="38">
        <v>1414</v>
      </c>
      <c r="R1417" s="39">
        <f>[1]节奏总纲!AD1417</f>
        <v>104.65812362487323</v>
      </c>
      <c r="S1417" s="39">
        <f>[1]节奏总纲!AE1417</f>
        <v>106.94772641267517</v>
      </c>
      <c r="T1417" s="39">
        <f>[1]节奏总纲!AF1417</f>
        <v>110.16201151144057</v>
      </c>
      <c r="U1417" s="39">
        <f>[1]节奏总纲!AG1417</f>
        <v>115.06747411773451</v>
      </c>
      <c r="V1417" s="39">
        <f>[1]节奏总纲!AH1417</f>
        <v>123.98218132656316</v>
      </c>
    </row>
    <row r="1418" spans="17:22" x14ac:dyDescent="0.15">
      <c r="Q1418" s="38">
        <v>1415</v>
      </c>
      <c r="R1418" s="39">
        <f>[1]节奏总纲!AD1418</f>
        <v>104.66843517950065</v>
      </c>
      <c r="S1418" s="39">
        <f>[1]节奏总纲!AE1418</f>
        <v>106.95831304647002</v>
      </c>
      <c r="T1418" s="39">
        <f>[1]节奏总纲!AF1418</f>
        <v>110.17170247026533</v>
      </c>
      <c r="U1418" s="39">
        <f>[1]节奏总纲!AG1418</f>
        <v>115.07728191065435</v>
      </c>
      <c r="V1418" s="39">
        <f>[1]节奏总纲!AH1418</f>
        <v>123.99224522681908</v>
      </c>
    </row>
    <row r="1419" spans="17:22" x14ac:dyDescent="0.15">
      <c r="Q1419" s="38">
        <v>1416</v>
      </c>
      <c r="R1419" s="39">
        <f>[1]节奏总纲!AD1419</f>
        <v>104.67874673412805</v>
      </c>
      <c r="S1419" s="39">
        <f>[1]节奏总纲!AE1419</f>
        <v>106.96889968026488</v>
      </c>
      <c r="T1419" s="39">
        <f>[1]节奏总纲!AF1419</f>
        <v>110.18139342909009</v>
      </c>
      <c r="U1419" s="39">
        <f>[1]节奏总纲!AG1419</f>
        <v>115.08708970357418</v>
      </c>
      <c r="V1419" s="39">
        <f>[1]节奏总纲!AH1419</f>
        <v>124.002438211221</v>
      </c>
    </row>
    <row r="1420" spans="17:22" x14ac:dyDescent="0.15">
      <c r="Q1420" s="38">
        <v>1417</v>
      </c>
      <c r="R1420" s="39">
        <f>[1]节奏总纲!AD1420</f>
        <v>104.68905828875546</v>
      </c>
      <c r="S1420" s="39">
        <f>[1]节奏总纲!AE1420</f>
        <v>106.97948631405976</v>
      </c>
      <c r="T1420" s="39">
        <f>[1]节奏总纲!AF1420</f>
        <v>110.19108438791486</v>
      </c>
      <c r="U1420" s="39">
        <f>[1]节奏总纲!AG1420</f>
        <v>115.09689749649402</v>
      </c>
      <c r="V1420" s="39">
        <f>[1]节奏总纲!AH1420</f>
        <v>124.013064700684</v>
      </c>
    </row>
    <row r="1421" spans="17:22" x14ac:dyDescent="0.15">
      <c r="Q1421" s="38">
        <v>1418</v>
      </c>
      <c r="R1421" s="39">
        <f>[1]节奏总纲!AD1421</f>
        <v>104.69936984338288</v>
      </c>
      <c r="S1421" s="39">
        <f>[1]节奏总纲!AE1421</f>
        <v>106.99007294785461</v>
      </c>
      <c r="T1421" s="39">
        <f>[1]节奏总纲!AF1421</f>
        <v>110.2007753467396</v>
      </c>
      <c r="U1421" s="39">
        <f>[1]节奏总纲!AG1421</f>
        <v>115.10670528941387</v>
      </c>
      <c r="V1421" s="39">
        <f>[1]节奏总纲!AH1421</f>
        <v>124.02369119014699</v>
      </c>
    </row>
    <row r="1422" spans="17:22" x14ac:dyDescent="0.15">
      <c r="Q1422" s="38">
        <v>1419</v>
      </c>
      <c r="R1422" s="39">
        <f>[1]节奏总纲!AD1422</f>
        <v>104.70968139801029</v>
      </c>
      <c r="S1422" s="39">
        <f>[1]节奏总纲!AE1422</f>
        <v>107.00061139558265</v>
      </c>
      <c r="T1422" s="39">
        <f>[1]节奏总纲!AF1422</f>
        <v>110.21046630556437</v>
      </c>
      <c r="U1422" s="39">
        <f>[1]节奏总纲!AG1422</f>
        <v>115.1165130823337</v>
      </c>
      <c r="V1422" s="39">
        <f>[1]节奏总纲!AH1422</f>
        <v>124.03431767960998</v>
      </c>
    </row>
    <row r="1423" spans="17:22" x14ac:dyDescent="0.15">
      <c r="Q1423" s="38">
        <v>1420</v>
      </c>
      <c r="R1423" s="39">
        <f>[1]节奏总纲!AD1423</f>
        <v>104.7199929526377</v>
      </c>
      <c r="S1423" s="39">
        <f>[1]节奏总纲!AE1423</f>
        <v>107.01042461755837</v>
      </c>
      <c r="T1423" s="39">
        <f>[1]节奏总纲!AF1423</f>
        <v>110.22015726438913</v>
      </c>
      <c r="U1423" s="39">
        <f>[1]节奏总纲!AG1423</f>
        <v>115.12632087525354</v>
      </c>
      <c r="V1423" s="39">
        <f>[1]节奏总纲!AH1423</f>
        <v>124.04494416907296</v>
      </c>
    </row>
    <row r="1424" spans="17:22" x14ac:dyDescent="0.15">
      <c r="Q1424" s="38">
        <v>1421</v>
      </c>
      <c r="R1424" s="39">
        <f>[1]节奏总纲!AD1424</f>
        <v>104.7303045072651</v>
      </c>
      <c r="S1424" s="39">
        <f>[1]节奏总纲!AE1424</f>
        <v>107.02023783953409</v>
      </c>
      <c r="T1424" s="39">
        <f>[1]节奏总纲!AF1424</f>
        <v>110.22984822321389</v>
      </c>
      <c r="U1424" s="39">
        <f>[1]节奏总纲!AG1424</f>
        <v>115.13612866817337</v>
      </c>
      <c r="V1424" s="39">
        <f>[1]节奏总纲!AH1424</f>
        <v>124.05557065853596</v>
      </c>
    </row>
    <row r="1425" spans="17:22" x14ac:dyDescent="0.15">
      <c r="Q1425" s="38">
        <v>1422</v>
      </c>
      <c r="R1425" s="39">
        <f>[1]节奏总纲!AD1425</f>
        <v>104.74061606189252</v>
      </c>
      <c r="S1425" s="39">
        <f>[1]节奏总纲!AE1425</f>
        <v>107.03005106150979</v>
      </c>
      <c r="T1425" s="39">
        <f>[1]节奏总纲!AF1425</f>
        <v>110.23953918203865</v>
      </c>
      <c r="U1425" s="39">
        <f>[1]节奏总纲!AG1425</f>
        <v>115.14593646109321</v>
      </c>
      <c r="V1425" s="39">
        <f>[1]节奏总纲!AH1425</f>
        <v>124.06619714799895</v>
      </c>
    </row>
    <row r="1426" spans="17:22" x14ac:dyDescent="0.15">
      <c r="Q1426" s="38">
        <v>1423</v>
      </c>
      <c r="R1426" s="39">
        <f>[1]节奏总纲!AD1426</f>
        <v>104.75092761651993</v>
      </c>
      <c r="S1426" s="39">
        <f>[1]节奏总纲!AE1426</f>
        <v>107.03986428348551</v>
      </c>
      <c r="T1426" s="39">
        <f>[1]节奏总纲!AF1426</f>
        <v>110.24923014086342</v>
      </c>
      <c r="U1426" s="39">
        <f>[1]节奏总纲!AG1426</f>
        <v>115.15574425401304</v>
      </c>
      <c r="V1426" s="39">
        <f>[1]节奏总纲!AH1426</f>
        <v>124.07682363746194</v>
      </c>
    </row>
    <row r="1427" spans="17:22" x14ac:dyDescent="0.15">
      <c r="Q1427" s="38">
        <v>1424</v>
      </c>
      <c r="R1427" s="39">
        <f>[1]节奏总纲!AD1427</f>
        <v>104.76123917114734</v>
      </c>
      <c r="S1427" s="39">
        <f>[1]节奏总纲!AE1427</f>
        <v>107.04967750546123</v>
      </c>
      <c r="T1427" s="39">
        <f>[1]节奏总纲!AF1427</f>
        <v>110.25892109968817</v>
      </c>
      <c r="U1427" s="39">
        <f>[1]节奏总纲!AG1427</f>
        <v>115.16555204693289</v>
      </c>
      <c r="V1427" s="39">
        <f>[1]节奏总纲!AH1427</f>
        <v>124.08745012692492</v>
      </c>
    </row>
    <row r="1428" spans="17:22" x14ac:dyDescent="0.15">
      <c r="Q1428" s="38">
        <v>1425</v>
      </c>
      <c r="R1428" s="39">
        <f>[1]节奏总纲!AD1428</f>
        <v>104.77155072577474</v>
      </c>
      <c r="S1428" s="39">
        <f>[1]节奏总纲!AE1428</f>
        <v>107.05949072743695</v>
      </c>
      <c r="T1428" s="39">
        <f>[1]节奏总纲!AF1428</f>
        <v>110.26861205851293</v>
      </c>
      <c r="U1428" s="39">
        <f>[1]节奏总纲!AG1428</f>
        <v>115.17535983985273</v>
      </c>
      <c r="V1428" s="39">
        <f>[1]节奏总纲!AH1428</f>
        <v>124.09807661638791</v>
      </c>
    </row>
    <row r="1429" spans="17:22" x14ac:dyDescent="0.15">
      <c r="Q1429" s="38">
        <v>1426</v>
      </c>
      <c r="R1429" s="39">
        <f>[1]节奏总纲!AD1429</f>
        <v>104.78186228040217</v>
      </c>
      <c r="S1429" s="39">
        <f>[1]节奏总纲!AE1429</f>
        <v>107.06930394941266</v>
      </c>
      <c r="T1429" s="39">
        <f>[1]节奏总纲!AF1429</f>
        <v>110.27830301733769</v>
      </c>
      <c r="U1429" s="39">
        <f>[1]节奏总纲!AG1429</f>
        <v>115.18516763277256</v>
      </c>
      <c r="V1429" s="39">
        <f>[1]节奏总纲!AH1429</f>
        <v>124.10870310585091</v>
      </c>
    </row>
    <row r="1430" spans="17:22" x14ac:dyDescent="0.15">
      <c r="Q1430" s="38">
        <v>1427</v>
      </c>
      <c r="R1430" s="39">
        <f>[1]节奏总纲!AD1430</f>
        <v>104.79217383502957</v>
      </c>
      <c r="S1430" s="39">
        <f>[1]节奏总纲!AE1430</f>
        <v>107.07911717138838</v>
      </c>
      <c r="T1430" s="39">
        <f>[1]节奏总纲!AF1430</f>
        <v>110.28799397616245</v>
      </c>
      <c r="U1430" s="39">
        <f>[1]节奏总纲!AG1430</f>
        <v>115.19497542569241</v>
      </c>
      <c r="V1430" s="39">
        <f>[1]节奏总纲!AH1430</f>
        <v>124.1193295953139</v>
      </c>
    </row>
    <row r="1431" spans="17:22" x14ac:dyDescent="0.15">
      <c r="Q1431" s="38">
        <v>1428</v>
      </c>
      <c r="R1431" s="39">
        <f>[1]节奏总纲!AD1431</f>
        <v>104.80248538965698</v>
      </c>
      <c r="S1431" s="39">
        <f>[1]节奏总纲!AE1431</f>
        <v>107.08893039336409</v>
      </c>
      <c r="T1431" s="39">
        <f>[1]节奏总纲!AF1431</f>
        <v>110.29768493498722</v>
      </c>
      <c r="U1431" s="39">
        <f>[1]节奏总纲!AG1431</f>
        <v>115.20478321861223</v>
      </c>
      <c r="V1431" s="39">
        <f>[1]节奏总纲!AH1431</f>
        <v>124.12995608477688</v>
      </c>
    </row>
    <row r="1432" spans="17:22" x14ac:dyDescent="0.15">
      <c r="Q1432" s="38">
        <v>1429</v>
      </c>
      <c r="R1432" s="39">
        <f>[1]节奏总纲!AD1432</f>
        <v>104.8127969442844</v>
      </c>
      <c r="S1432" s="39">
        <f>[1]节奏总纲!AE1432</f>
        <v>107.0987436153398</v>
      </c>
      <c r="T1432" s="39">
        <f>[1]节奏总纲!AF1432</f>
        <v>110.30737589381197</v>
      </c>
      <c r="U1432" s="39">
        <f>[1]节奏总纲!AG1432</f>
        <v>115.21459101153208</v>
      </c>
      <c r="V1432" s="39">
        <f>[1]节奏总纲!AH1432</f>
        <v>124.14058257423987</v>
      </c>
    </row>
    <row r="1433" spans="17:22" x14ac:dyDescent="0.15">
      <c r="Q1433" s="38">
        <v>1430</v>
      </c>
      <c r="R1433" s="39">
        <f>[1]节奏总纲!AD1433</f>
        <v>104.82310849891181</v>
      </c>
      <c r="S1433" s="39">
        <f>[1]节奏总纲!AE1433</f>
        <v>107.10855683731552</v>
      </c>
      <c r="T1433" s="39">
        <f>[1]节奏总纲!AF1433</f>
        <v>110.31706685263673</v>
      </c>
      <c r="U1433" s="39">
        <f>[1]节奏总纲!AG1433</f>
        <v>115.22439880445191</v>
      </c>
      <c r="V1433" s="39">
        <f>[1]节奏总纲!AH1433</f>
        <v>124.15120906370286</v>
      </c>
    </row>
    <row r="1434" spans="17:22" x14ac:dyDescent="0.15">
      <c r="Q1434" s="38">
        <v>1431</v>
      </c>
      <c r="R1434" s="39">
        <f>[1]节奏总纲!AD1434</f>
        <v>104.83342005353921</v>
      </c>
      <c r="S1434" s="39">
        <f>[1]节奏总纲!AE1434</f>
        <v>107.11837005929124</v>
      </c>
      <c r="T1434" s="39">
        <f>[1]节奏总纲!AF1434</f>
        <v>110.32675781146149</v>
      </c>
      <c r="U1434" s="39">
        <f>[1]节奏总纲!AG1434</f>
        <v>115.23420659737175</v>
      </c>
      <c r="V1434" s="39">
        <f>[1]节奏总纲!AH1434</f>
        <v>124.16183555316586</v>
      </c>
    </row>
    <row r="1435" spans="17:22" x14ac:dyDescent="0.15">
      <c r="Q1435" s="38">
        <v>1432</v>
      </c>
      <c r="R1435" s="39">
        <f>[1]节奏总纲!AD1435</f>
        <v>104.84373160816662</v>
      </c>
      <c r="S1435" s="39">
        <f>[1]节奏总纲!AE1435</f>
        <v>107.12818328126694</v>
      </c>
      <c r="T1435" s="39">
        <f>[1]节奏总纲!AF1435</f>
        <v>110.33644877028625</v>
      </c>
      <c r="U1435" s="39">
        <f>[1]节奏总纲!AG1435</f>
        <v>115.2440143902916</v>
      </c>
      <c r="V1435" s="39">
        <f>[1]节奏总纲!AH1435</f>
        <v>124.17246204262884</v>
      </c>
    </row>
    <row r="1436" spans="17:22" x14ac:dyDescent="0.15">
      <c r="Q1436" s="38">
        <v>1433</v>
      </c>
      <c r="R1436" s="39">
        <f>[1]节奏总纲!AD1436</f>
        <v>104.85404316279404</v>
      </c>
      <c r="S1436" s="39">
        <f>[1]节奏总纲!AE1436</f>
        <v>107.13799650324266</v>
      </c>
      <c r="T1436" s="39">
        <f>[1]节奏总纲!AF1436</f>
        <v>110.34613972911102</v>
      </c>
      <c r="U1436" s="39">
        <f>[1]节奏总纲!AG1436</f>
        <v>115.25382218321143</v>
      </c>
      <c r="V1436" s="39">
        <f>[1]节奏总纲!AH1436</f>
        <v>124.18308853209183</v>
      </c>
    </row>
    <row r="1437" spans="17:22" x14ac:dyDescent="0.15">
      <c r="Q1437" s="38">
        <v>1434</v>
      </c>
      <c r="R1437" s="39">
        <f>[1]节奏总纲!AD1437</f>
        <v>104.86435471742145</v>
      </c>
      <c r="S1437" s="39">
        <f>[1]节奏总纲!AE1437</f>
        <v>107.14780972521838</v>
      </c>
      <c r="T1437" s="39">
        <f>[1]节奏总纲!AF1437</f>
        <v>110.35583068793576</v>
      </c>
      <c r="U1437" s="39">
        <f>[1]节奏总纲!AG1437</f>
        <v>115.26362997613127</v>
      </c>
      <c r="V1437" s="39">
        <f>[1]节奏总纲!AH1437</f>
        <v>124.19371502155482</v>
      </c>
    </row>
    <row r="1438" spans="17:22" x14ac:dyDescent="0.15">
      <c r="Q1438" s="38">
        <v>1435</v>
      </c>
      <c r="R1438" s="39">
        <f>[1]节奏总纲!AD1438</f>
        <v>104.87466627204886</v>
      </c>
      <c r="S1438" s="39">
        <f>[1]节奏总纲!AE1438</f>
        <v>107.15762294719408</v>
      </c>
      <c r="T1438" s="39">
        <f>[1]节奏总纲!AF1438</f>
        <v>110.36552164676053</v>
      </c>
      <c r="U1438" s="39">
        <f>[1]节奏总纲!AG1438</f>
        <v>115.2734377690511</v>
      </c>
      <c r="V1438" s="39">
        <f>[1]节奏总纲!AH1438</f>
        <v>124.20434151101782</v>
      </c>
    </row>
    <row r="1439" spans="17:22" x14ac:dyDescent="0.15">
      <c r="Q1439" s="38">
        <v>1436</v>
      </c>
      <c r="R1439" s="39">
        <f>[1]节奏总纲!AD1439</f>
        <v>104.88497782667626</v>
      </c>
      <c r="S1439" s="39">
        <f>[1]节奏总纲!AE1439</f>
        <v>107.1674361691698</v>
      </c>
      <c r="T1439" s="39">
        <f>[1]节奏总纲!AF1439</f>
        <v>110.37521260558529</v>
      </c>
      <c r="U1439" s="39">
        <f>[1]节奏总纲!AG1439</f>
        <v>115.28324556197094</v>
      </c>
      <c r="V1439" s="39">
        <f>[1]节奏总纲!AH1439</f>
        <v>124.21496800048079</v>
      </c>
    </row>
    <row r="1440" spans="17:22" x14ac:dyDescent="0.15">
      <c r="Q1440" s="38">
        <v>1437</v>
      </c>
      <c r="R1440" s="39">
        <f>[1]节奏总纲!AD1440</f>
        <v>104.89528938130368</v>
      </c>
      <c r="S1440" s="39">
        <f>[1]节奏总纲!AE1440</f>
        <v>107.17724939114552</v>
      </c>
      <c r="T1440" s="39">
        <f>[1]节奏总纲!AF1440</f>
        <v>110.38490356441005</v>
      </c>
      <c r="U1440" s="39">
        <f>[1]节奏总纲!AG1440</f>
        <v>115.29305335489077</v>
      </c>
      <c r="V1440" s="39">
        <f>[1]节奏总纲!AH1440</f>
        <v>124.22559448994379</v>
      </c>
    </row>
    <row r="1441" spans="17:22" x14ac:dyDescent="0.15">
      <c r="Q1441" s="38">
        <v>1438</v>
      </c>
      <c r="R1441" s="39">
        <f>[1]节奏总纲!AD1441</f>
        <v>104.90560093593109</v>
      </c>
      <c r="S1441" s="39">
        <f>[1]节奏总纲!AE1441</f>
        <v>107.18706261312124</v>
      </c>
      <c r="T1441" s="39">
        <f>[1]节奏总纲!AF1441</f>
        <v>110.39459452323482</v>
      </c>
      <c r="U1441" s="39">
        <f>[1]节奏总纲!AG1441</f>
        <v>115.30286114781062</v>
      </c>
      <c r="V1441" s="39">
        <f>[1]节奏总纲!AH1441</f>
        <v>124.23622097940678</v>
      </c>
    </row>
    <row r="1442" spans="17:22" x14ac:dyDescent="0.15">
      <c r="Q1442" s="38">
        <v>1439</v>
      </c>
      <c r="R1442" s="39">
        <f>[1]节奏总纲!AD1442</f>
        <v>104.9159124905585</v>
      </c>
      <c r="S1442" s="39">
        <f>[1]节奏总纲!AE1442</f>
        <v>107.19687583509695</v>
      </c>
      <c r="T1442" s="39">
        <f>[1]节奏总纲!AF1442</f>
        <v>110.40428548205956</v>
      </c>
      <c r="U1442" s="39">
        <f>[1]节奏总纲!AG1442</f>
        <v>115.31266894073046</v>
      </c>
      <c r="V1442" s="39">
        <f>[1]节奏总纲!AH1442</f>
        <v>124.24684746886977</v>
      </c>
    </row>
    <row r="1443" spans="17:22" x14ac:dyDescent="0.15">
      <c r="Q1443" s="38">
        <v>1440</v>
      </c>
      <c r="R1443" s="39">
        <f>[1]节奏总纲!AD1443</f>
        <v>104.92622404518592</v>
      </c>
      <c r="S1443" s="39">
        <f>[1]节奏总纲!AE1443</f>
        <v>107.20668905707267</v>
      </c>
      <c r="T1443" s="39">
        <f>[1]节奏总纲!AF1443</f>
        <v>110.41397644088433</v>
      </c>
      <c r="U1443" s="39">
        <f>[1]节奏总纲!AG1443</f>
        <v>115.32247673365029</v>
      </c>
      <c r="V1443" s="39">
        <f>[1]节奏总纲!AH1443</f>
        <v>124.25747395833275</v>
      </c>
    </row>
    <row r="1444" spans="17:22" x14ac:dyDescent="0.15">
      <c r="Q1444" s="38">
        <v>1441</v>
      </c>
      <c r="R1444" s="39">
        <f>[1]节奏总纲!AD1444</f>
        <v>104.93653559981333</v>
      </c>
      <c r="S1444" s="39">
        <f>[1]节奏总纲!AE1444</f>
        <v>107.21650227904838</v>
      </c>
      <c r="T1444" s="39">
        <f>[1]节奏总纲!AF1444</f>
        <v>110.42366739970909</v>
      </c>
      <c r="U1444" s="39">
        <f>[1]节奏总纲!AG1444</f>
        <v>115.33228452657013</v>
      </c>
      <c r="V1444" s="39">
        <f>[1]节奏总纲!AH1444</f>
        <v>124.26810044779575</v>
      </c>
    </row>
    <row r="1445" spans="17:22" x14ac:dyDescent="0.15">
      <c r="Q1445" s="38">
        <v>1442</v>
      </c>
      <c r="R1445" s="39">
        <f>[1]节奏总纲!AD1445</f>
        <v>104.94684715444073</v>
      </c>
      <c r="S1445" s="39">
        <f>[1]节奏总纲!AE1445</f>
        <v>107.22631550102409</v>
      </c>
      <c r="T1445" s="39">
        <f>[1]节奏总纲!AF1445</f>
        <v>110.43335835853385</v>
      </c>
      <c r="U1445" s="39">
        <f>[1]节奏总纲!AG1445</f>
        <v>115.34209231948996</v>
      </c>
      <c r="V1445" s="39">
        <f>[1]节奏总纲!AH1445</f>
        <v>124.27872693725874</v>
      </c>
    </row>
    <row r="1446" spans="17:22" x14ac:dyDescent="0.15">
      <c r="Q1446" s="38">
        <v>1443</v>
      </c>
      <c r="R1446" s="39">
        <f>[1]节奏总纲!AD1446</f>
        <v>104.95715870906814</v>
      </c>
      <c r="S1446" s="39">
        <f>[1]节奏总纲!AE1446</f>
        <v>107.23612872299981</v>
      </c>
      <c r="T1446" s="39">
        <f>[1]节奏总纲!AF1446</f>
        <v>110.44304931735861</v>
      </c>
      <c r="U1446" s="39">
        <f>[1]节奏总纲!AG1446</f>
        <v>115.35190011240981</v>
      </c>
      <c r="V1446" s="39">
        <f>[1]节奏总纲!AH1446</f>
        <v>124.28935342672172</v>
      </c>
    </row>
    <row r="1447" spans="17:22" x14ac:dyDescent="0.15">
      <c r="Q1447" s="38">
        <v>1444</v>
      </c>
      <c r="R1447" s="39">
        <f>[1]节奏总纲!AD1447</f>
        <v>104.96747026369556</v>
      </c>
      <c r="S1447" s="39">
        <f>[1]节奏总纲!AE1447</f>
        <v>107.24594194497553</v>
      </c>
      <c r="T1447" s="39">
        <f>[1]节奏总纲!AF1447</f>
        <v>110.45274027618336</v>
      </c>
      <c r="U1447" s="39">
        <f>[1]节奏总纲!AG1447</f>
        <v>115.36170790532964</v>
      </c>
      <c r="V1447" s="39">
        <f>[1]节奏总纲!AH1447</f>
        <v>124.29997991618471</v>
      </c>
    </row>
    <row r="1448" spans="17:22" x14ac:dyDescent="0.15">
      <c r="Q1448" s="38">
        <v>1445</v>
      </c>
      <c r="R1448" s="39">
        <f>[1]节奏总纲!AD1448</f>
        <v>104.97778181832297</v>
      </c>
      <c r="S1448" s="39">
        <f>[1]节奏总纲!AE1448</f>
        <v>107.25575516695123</v>
      </c>
      <c r="T1448" s="39">
        <f>[1]节奏总纲!AF1448</f>
        <v>110.46243123500813</v>
      </c>
      <c r="U1448" s="39">
        <f>[1]节奏总纲!AG1448</f>
        <v>115.37151569824948</v>
      </c>
      <c r="V1448" s="39">
        <f>[1]节奏总纲!AH1448</f>
        <v>124.3106064056477</v>
      </c>
    </row>
    <row r="1449" spans="17:22" x14ac:dyDescent="0.15">
      <c r="Q1449" s="38">
        <v>1446</v>
      </c>
      <c r="R1449" s="39">
        <f>[1]节奏总纲!AD1449</f>
        <v>104.98809337295037</v>
      </c>
      <c r="S1449" s="39">
        <f>[1]节奏总纲!AE1449</f>
        <v>107.26556838892695</v>
      </c>
      <c r="T1449" s="39">
        <f>[1]节奏总纲!AF1449</f>
        <v>110.47212219383289</v>
      </c>
      <c r="U1449" s="39">
        <f>[1]节奏总纲!AG1449</f>
        <v>115.38132349116933</v>
      </c>
      <c r="V1449" s="39">
        <f>[1]节奏总纲!AH1449</f>
        <v>124.3212328951107</v>
      </c>
    </row>
    <row r="1450" spans="17:22" x14ac:dyDescent="0.15">
      <c r="Q1450" s="38">
        <v>1447</v>
      </c>
      <c r="R1450" s="39">
        <f>[1]节奏总纲!AD1450</f>
        <v>104.99840492757778</v>
      </c>
      <c r="S1450" s="39">
        <f>[1]节奏总纲!AE1450</f>
        <v>107.27538161090267</v>
      </c>
      <c r="T1450" s="39">
        <f>[1]节奏总纲!AF1450</f>
        <v>110.48181315265765</v>
      </c>
      <c r="U1450" s="39">
        <f>[1]节奏总纲!AG1450</f>
        <v>115.39113128408916</v>
      </c>
      <c r="V1450" s="39">
        <f>[1]节奏总纲!AH1450</f>
        <v>124.33185938457368</v>
      </c>
    </row>
    <row r="1451" spans="17:22" x14ac:dyDescent="0.15">
      <c r="Q1451" s="38">
        <v>1448</v>
      </c>
      <c r="R1451" s="39">
        <f>[1]节奏总纲!AD1451</f>
        <v>105.00813276546759</v>
      </c>
      <c r="S1451" s="39">
        <f>[1]节奏总纲!AE1451</f>
        <v>107.28519483287839</v>
      </c>
      <c r="T1451" s="39">
        <f>[1]节奏总纲!AF1451</f>
        <v>110.49150411148241</v>
      </c>
      <c r="U1451" s="39">
        <f>[1]节奏总纲!AG1451</f>
        <v>115.400939077009</v>
      </c>
      <c r="V1451" s="39">
        <f>[1]节奏总纲!AH1451</f>
        <v>124.34248587403667</v>
      </c>
    </row>
    <row r="1452" spans="17:22" x14ac:dyDescent="0.15">
      <c r="Q1452" s="38">
        <v>1449</v>
      </c>
      <c r="R1452" s="39">
        <f>[1]节奏总纲!AD1452</f>
        <v>105.01775378612901</v>
      </c>
      <c r="S1452" s="39">
        <f>[1]节奏总纲!AE1452</f>
        <v>107.29500805485409</v>
      </c>
      <c r="T1452" s="39">
        <f>[1]节奏总纲!AF1452</f>
        <v>110.50119507030716</v>
      </c>
      <c r="U1452" s="39">
        <f>[1]节奏总纲!AG1452</f>
        <v>115.41074686992883</v>
      </c>
      <c r="V1452" s="39">
        <f>[1]节奏总纲!AH1452</f>
        <v>124.35311236349966</v>
      </c>
    </row>
    <row r="1453" spans="17:22" x14ac:dyDescent="0.15">
      <c r="Q1453" s="38">
        <v>1450</v>
      </c>
      <c r="R1453" s="39">
        <f>[1]节奏总纲!AD1453</f>
        <v>105.02737480679041</v>
      </c>
      <c r="S1453" s="39">
        <f>[1]节奏总纲!AE1453</f>
        <v>107.30482127682981</v>
      </c>
      <c r="T1453" s="39">
        <f>[1]节奏总纲!AF1453</f>
        <v>110.51088602913192</v>
      </c>
      <c r="U1453" s="39">
        <f>[1]节奏总纲!AG1453</f>
        <v>115.42055466284867</v>
      </c>
      <c r="V1453" s="39">
        <f>[1]节奏总纲!AH1453</f>
        <v>124.36373885296265</v>
      </c>
    </row>
    <row r="1454" spans="17:22" x14ac:dyDescent="0.15">
      <c r="Q1454" s="38">
        <v>1451</v>
      </c>
      <c r="R1454" s="39">
        <f>[1]节奏总纲!AD1454</f>
        <v>105.03699582745182</v>
      </c>
      <c r="S1454" s="39">
        <f>[1]节奏总纲!AE1454</f>
        <v>107.31463449880553</v>
      </c>
      <c r="T1454" s="39">
        <f>[1]节奏总纲!AF1454</f>
        <v>110.52057698795669</v>
      </c>
      <c r="U1454" s="39">
        <f>[1]节奏总纲!AG1454</f>
        <v>115.4303624557685</v>
      </c>
      <c r="V1454" s="39">
        <f>[1]节奏总纲!AH1454</f>
        <v>124.37436534242563</v>
      </c>
    </row>
    <row r="1455" spans="17:22" x14ac:dyDescent="0.15">
      <c r="Q1455" s="38">
        <v>1452</v>
      </c>
      <c r="R1455" s="39">
        <f>[1]节奏总纲!AD1455</f>
        <v>105.04661684811323</v>
      </c>
      <c r="S1455" s="39">
        <f>[1]节奏总纲!AE1455</f>
        <v>107.32444772078124</v>
      </c>
      <c r="T1455" s="39">
        <f>[1]节奏总纲!AF1455</f>
        <v>110.53026794678145</v>
      </c>
      <c r="U1455" s="39">
        <f>[1]节奏总纲!AG1455</f>
        <v>115.44017024868835</v>
      </c>
      <c r="V1455" s="39">
        <f>[1]节奏总纲!AH1455</f>
        <v>124.38499183188863</v>
      </c>
    </row>
    <row r="1456" spans="17:22" x14ac:dyDescent="0.15">
      <c r="Q1456" s="38">
        <v>1453</v>
      </c>
      <c r="R1456" s="39">
        <f>[1]节奏总纲!AD1456</f>
        <v>105.05623786877463</v>
      </c>
      <c r="S1456" s="39">
        <f>[1]节奏总纲!AE1456</f>
        <v>107.33426094275696</v>
      </c>
      <c r="T1456" s="39">
        <f>[1]节奏总纲!AF1456</f>
        <v>110.53995890560621</v>
      </c>
      <c r="U1456" s="39">
        <f>[1]节奏总纲!AG1456</f>
        <v>115.44997804160819</v>
      </c>
      <c r="V1456" s="39">
        <f>[1]节奏总纲!AH1456</f>
        <v>124.39561832135162</v>
      </c>
    </row>
    <row r="1457" spans="17:22" x14ac:dyDescent="0.15">
      <c r="Q1457" s="38">
        <v>1454</v>
      </c>
      <c r="R1457" s="39">
        <f>[1]节奏总纲!AD1457</f>
        <v>105.06585888943604</v>
      </c>
      <c r="S1457" s="39">
        <f>[1]节奏总纲!AE1457</f>
        <v>107.34407416473267</v>
      </c>
      <c r="T1457" s="39">
        <f>[1]节奏总纲!AF1457</f>
        <v>110.54964986443096</v>
      </c>
      <c r="U1457" s="39">
        <f>[1]节奏总纲!AG1457</f>
        <v>115.45978583452802</v>
      </c>
      <c r="V1457" s="39">
        <f>[1]节奏总纲!AH1457</f>
        <v>124.40624481081461</v>
      </c>
    </row>
    <row r="1458" spans="17:22" x14ac:dyDescent="0.15">
      <c r="Q1458" s="38">
        <v>1455</v>
      </c>
      <c r="R1458" s="39">
        <f>[1]节奏总纲!AD1458</f>
        <v>105.07547991009746</v>
      </c>
      <c r="S1458" s="39">
        <f>[1]节奏总纲!AE1458</f>
        <v>107.35388738670838</v>
      </c>
      <c r="T1458" s="39">
        <f>[1]节奏总纲!AF1458</f>
        <v>110.55934082325572</v>
      </c>
      <c r="U1458" s="39">
        <f>[1]节奏总纲!AG1458</f>
        <v>115.46959362744786</v>
      </c>
      <c r="V1458" s="39">
        <f>[1]节奏总纲!AH1458</f>
        <v>124.41687130027759</v>
      </c>
    </row>
    <row r="1459" spans="17:22" x14ac:dyDescent="0.15">
      <c r="Q1459" s="38">
        <v>1456</v>
      </c>
      <c r="R1459" s="39">
        <f>[1]节奏总纲!AD1459</f>
        <v>105.08510093075886</v>
      </c>
      <c r="S1459" s="39">
        <f>[1]节奏总纲!AE1459</f>
        <v>107.3637006086841</v>
      </c>
      <c r="T1459" s="39">
        <f>[1]节奏总纲!AF1459</f>
        <v>110.56903178208049</v>
      </c>
      <c r="U1459" s="39">
        <f>[1]节奏总纲!AG1459</f>
        <v>115.47940142036769</v>
      </c>
      <c r="V1459" s="39">
        <f>[1]节奏总纲!AH1459</f>
        <v>124.42749778974058</v>
      </c>
    </row>
    <row r="1460" spans="17:22" x14ac:dyDescent="0.15">
      <c r="Q1460" s="38">
        <v>1457</v>
      </c>
      <c r="R1460" s="39">
        <f>[1]节奏总纲!AD1460</f>
        <v>105.09472195142027</v>
      </c>
      <c r="S1460" s="39">
        <f>[1]节奏总纲!AE1460</f>
        <v>107.37351383065982</v>
      </c>
      <c r="T1460" s="39">
        <f>[1]节奏总纲!AF1460</f>
        <v>110.57872274090525</v>
      </c>
      <c r="U1460" s="39">
        <f>[1]节奏总纲!AG1460</f>
        <v>115.48920921328754</v>
      </c>
      <c r="V1460" s="39">
        <f>[1]节奏总纲!AH1460</f>
        <v>124.43812427920358</v>
      </c>
    </row>
    <row r="1461" spans="17:22" x14ac:dyDescent="0.15">
      <c r="Q1461" s="38">
        <v>1458</v>
      </c>
      <c r="R1461" s="39">
        <f>[1]节奏总纲!AD1461</f>
        <v>105.10434297208168</v>
      </c>
      <c r="S1461" s="39">
        <f>[1]节奏总纲!AE1461</f>
        <v>107.38332705263554</v>
      </c>
      <c r="T1461" s="39">
        <f>[1]节奏总纲!AF1461</f>
        <v>110.58841369973001</v>
      </c>
      <c r="U1461" s="39">
        <f>[1]节奏总纲!AG1461</f>
        <v>115.49901700620737</v>
      </c>
      <c r="V1461" s="39">
        <f>[1]节奏总纲!AH1461</f>
        <v>124.44875076866657</v>
      </c>
    </row>
    <row r="1462" spans="17:22" x14ac:dyDescent="0.15">
      <c r="Q1462" s="38">
        <v>1459</v>
      </c>
      <c r="R1462" s="39">
        <f>[1]节奏总纲!AD1462</f>
        <v>105.11396399274308</v>
      </c>
      <c r="S1462" s="39">
        <f>[1]节奏总纲!AE1462</f>
        <v>107.39314027461124</v>
      </c>
      <c r="T1462" s="39">
        <f>[1]节奏总纲!AF1462</f>
        <v>110.59810465855476</v>
      </c>
      <c r="U1462" s="39">
        <f>[1]节奏总纲!AG1462</f>
        <v>115.50882479912721</v>
      </c>
      <c r="V1462" s="39">
        <f>[1]节奏总纲!AH1462</f>
        <v>124.45937725812955</v>
      </c>
    </row>
    <row r="1463" spans="17:22" x14ac:dyDescent="0.15">
      <c r="Q1463" s="38">
        <v>1460</v>
      </c>
      <c r="R1463" s="39">
        <f>[1]节奏总纲!AD1463</f>
        <v>105.12358501340449</v>
      </c>
      <c r="S1463" s="39">
        <f>[1]节奏总纲!AE1463</f>
        <v>107.40295349658696</v>
      </c>
      <c r="T1463" s="39">
        <f>[1]节奏总纲!AF1463</f>
        <v>110.60779561737952</v>
      </c>
      <c r="U1463" s="39">
        <f>[1]节奏总纲!AG1463</f>
        <v>115.51863259204706</v>
      </c>
      <c r="V1463" s="39">
        <f>[1]节奏总纲!AH1463</f>
        <v>124.47000374759254</v>
      </c>
    </row>
    <row r="1464" spans="17:22" x14ac:dyDescent="0.15">
      <c r="Q1464" s="38">
        <v>1461</v>
      </c>
      <c r="R1464" s="39">
        <f>[1]节奏总纲!AD1464</f>
        <v>105.13320603406591</v>
      </c>
      <c r="S1464" s="39">
        <f>[1]节奏总纲!AE1464</f>
        <v>107.41276671856268</v>
      </c>
      <c r="T1464" s="39">
        <f>[1]节奏总纲!AF1464</f>
        <v>110.61748657620429</v>
      </c>
      <c r="U1464" s="39">
        <f>[1]节奏总纲!AG1464</f>
        <v>115.52844038496688</v>
      </c>
      <c r="V1464" s="39">
        <f>[1]节奏总纲!AH1464</f>
        <v>124.48063023705554</v>
      </c>
    </row>
    <row r="1465" spans="17:22" x14ac:dyDescent="0.15">
      <c r="Q1465" s="38">
        <v>1462</v>
      </c>
      <c r="R1465" s="39">
        <f>[1]节奏总纲!AD1465</f>
        <v>105.14282705472731</v>
      </c>
      <c r="S1465" s="39">
        <f>[1]节奏总纲!AE1465</f>
        <v>107.42257994053838</v>
      </c>
      <c r="T1465" s="39">
        <f>[1]节奏总纲!AF1465</f>
        <v>110.62717753502905</v>
      </c>
      <c r="U1465" s="39">
        <f>[1]节奏总纲!AG1465</f>
        <v>115.53824817788673</v>
      </c>
      <c r="V1465" s="39">
        <f>[1]节奏总纲!AH1465</f>
        <v>124.49125672651853</v>
      </c>
    </row>
    <row r="1466" spans="17:22" x14ac:dyDescent="0.15">
      <c r="Q1466" s="38">
        <v>1463</v>
      </c>
      <c r="R1466" s="39">
        <f>[1]节奏总纲!AD1466</f>
        <v>105.15244807538872</v>
      </c>
      <c r="S1466" s="39">
        <f>[1]节奏总纲!AE1466</f>
        <v>107.4323931625141</v>
      </c>
      <c r="T1466" s="39">
        <f>[1]节奏总纲!AF1466</f>
        <v>110.63686849385381</v>
      </c>
      <c r="U1466" s="39">
        <f>[1]节奏总纲!AG1466</f>
        <v>115.54805597080656</v>
      </c>
      <c r="V1466" s="39">
        <f>[1]节奏总纲!AH1466</f>
        <v>124.50188321598151</v>
      </c>
    </row>
    <row r="1467" spans="17:22" x14ac:dyDescent="0.15">
      <c r="Q1467" s="38">
        <v>1464</v>
      </c>
      <c r="R1467" s="39">
        <f>[1]节奏总纲!AD1467</f>
        <v>105.16206909605013</v>
      </c>
      <c r="S1467" s="39">
        <f>[1]节奏总纲!AE1467</f>
        <v>107.44220638448982</v>
      </c>
      <c r="T1467" s="39">
        <f>[1]节奏总纲!AF1467</f>
        <v>110.64655945267856</v>
      </c>
      <c r="U1467" s="39">
        <f>[1]节奏总纲!AG1467</f>
        <v>115.5578637637264</v>
      </c>
      <c r="V1467" s="39">
        <f>[1]节奏总纲!AH1467</f>
        <v>124.5125097054445</v>
      </c>
    </row>
    <row r="1468" spans="17:22" x14ac:dyDescent="0.15">
      <c r="Q1468" s="38">
        <v>1465</v>
      </c>
      <c r="R1468" s="39">
        <f>[1]节奏总纲!AD1468</f>
        <v>105.17169011671153</v>
      </c>
      <c r="S1468" s="39">
        <f>[1]节奏总纲!AE1468</f>
        <v>107.45201960646553</v>
      </c>
      <c r="T1468" s="39">
        <f>[1]节奏总纲!AF1468</f>
        <v>110.65625041150332</v>
      </c>
      <c r="U1468" s="39">
        <f>[1]节奏总纲!AG1468</f>
        <v>115.56767155664623</v>
      </c>
      <c r="V1468" s="39">
        <f>[1]节奏总纲!AH1468</f>
        <v>124.52313619490749</v>
      </c>
    </row>
    <row r="1469" spans="17:22" x14ac:dyDescent="0.15">
      <c r="Q1469" s="38">
        <v>1466</v>
      </c>
      <c r="R1469" s="39">
        <f>[1]节奏总纲!AD1469</f>
        <v>105.18131113737294</v>
      </c>
      <c r="S1469" s="39">
        <f>[1]节奏总纲!AE1469</f>
        <v>107.46183282844125</v>
      </c>
      <c r="T1469" s="39">
        <f>[1]节奏总纲!AF1469</f>
        <v>110.66594137032808</v>
      </c>
      <c r="U1469" s="39">
        <f>[1]节奏总纲!AG1469</f>
        <v>115.57747934956608</v>
      </c>
      <c r="V1469" s="39">
        <f>[1]节奏总纲!AH1469</f>
        <v>124.53376268437049</v>
      </c>
    </row>
    <row r="1470" spans="17:22" x14ac:dyDescent="0.15">
      <c r="Q1470" s="38">
        <v>1467</v>
      </c>
      <c r="R1470" s="39">
        <f>[1]节奏总纲!AD1470</f>
        <v>105.19093215803436</v>
      </c>
      <c r="S1470" s="39">
        <f>[1]节奏总纲!AE1470</f>
        <v>107.47164605041696</v>
      </c>
      <c r="T1470" s="39">
        <f>[1]节奏总纲!AF1470</f>
        <v>110.67563232915285</v>
      </c>
      <c r="U1470" s="39">
        <f>[1]节奏总纲!AG1470</f>
        <v>115.58728714248592</v>
      </c>
      <c r="V1470" s="39">
        <f>[1]节奏总纲!AH1470</f>
        <v>124.54438917383347</v>
      </c>
    </row>
    <row r="1471" spans="17:22" x14ac:dyDescent="0.15">
      <c r="Q1471" s="38">
        <v>1468</v>
      </c>
      <c r="R1471" s="39">
        <f>[1]节奏总纲!AD1471</f>
        <v>105.20055317869576</v>
      </c>
      <c r="S1471" s="39">
        <f>[1]节奏总纲!AE1471</f>
        <v>107.48145927239268</v>
      </c>
      <c r="T1471" s="39">
        <f>[1]节奏总纲!AF1471</f>
        <v>110.68532328797761</v>
      </c>
      <c r="U1471" s="39">
        <f>[1]节奏总纲!AG1471</f>
        <v>115.59709493540575</v>
      </c>
      <c r="V1471" s="39">
        <f>[1]节奏总纲!AH1471</f>
        <v>124.55501566329646</v>
      </c>
    </row>
    <row r="1472" spans="17:22" x14ac:dyDescent="0.15">
      <c r="Q1472" s="38">
        <v>1469</v>
      </c>
      <c r="R1472" s="39">
        <f>[1]节奏总纲!AD1472</f>
        <v>105.21017419935717</v>
      </c>
      <c r="S1472" s="39">
        <f>[1]节奏总纲!AE1472</f>
        <v>107.49127249436839</v>
      </c>
      <c r="T1472" s="39">
        <f>[1]节奏总纲!AF1472</f>
        <v>110.69501424680236</v>
      </c>
      <c r="U1472" s="39">
        <f>[1]节奏总纲!AG1472</f>
        <v>115.60690272832559</v>
      </c>
      <c r="V1472" s="39">
        <f>[1]节奏总纲!AH1472</f>
        <v>124.56564215275945</v>
      </c>
    </row>
    <row r="1473" spans="17:22" x14ac:dyDescent="0.15">
      <c r="Q1473" s="38">
        <v>1470</v>
      </c>
      <c r="R1473" s="39">
        <f>[1]节奏总纲!AD1473</f>
        <v>105.21979522001858</v>
      </c>
      <c r="S1473" s="39">
        <f>[1]节奏总纲!AE1473</f>
        <v>107.50108571634411</v>
      </c>
      <c r="T1473" s="39">
        <f>[1]节奏总纲!AF1473</f>
        <v>110.70470520562712</v>
      </c>
      <c r="U1473" s="39">
        <f>[1]节奏总纲!AG1473</f>
        <v>115.61671052124542</v>
      </c>
      <c r="V1473" s="39">
        <f>[1]节奏总纲!AH1473</f>
        <v>124.57626864222244</v>
      </c>
    </row>
    <row r="1474" spans="17:22" x14ac:dyDescent="0.15">
      <c r="Q1474" s="38">
        <v>1471</v>
      </c>
      <c r="R1474" s="39">
        <f>[1]节奏总纲!AD1474</f>
        <v>105.22941624067998</v>
      </c>
      <c r="S1474" s="39">
        <f>[1]节奏总纲!AE1474</f>
        <v>107.51089893831983</v>
      </c>
      <c r="T1474" s="39">
        <f>[1]节奏总纲!AF1474</f>
        <v>110.71439616445188</v>
      </c>
      <c r="U1474" s="39">
        <f>[1]节奏总纲!AG1474</f>
        <v>115.62651831416527</v>
      </c>
      <c r="V1474" s="39">
        <f>[1]节奏总纲!AH1474</f>
        <v>124.58689513168542</v>
      </c>
    </row>
    <row r="1475" spans="17:22" x14ac:dyDescent="0.15">
      <c r="Q1475" s="38">
        <v>1472</v>
      </c>
      <c r="R1475" s="39">
        <f>[1]节奏总纲!AD1475</f>
        <v>105.23903726134139</v>
      </c>
      <c r="S1475" s="39">
        <f>[1]节奏总纲!AE1475</f>
        <v>107.52071216029553</v>
      </c>
      <c r="T1475" s="39">
        <f>[1]节奏总纲!AF1475</f>
        <v>110.72408712327665</v>
      </c>
      <c r="U1475" s="39">
        <f>[1]节奏总纲!AG1475</f>
        <v>115.6363261070851</v>
      </c>
      <c r="V1475" s="39">
        <f>[1]节奏总纲!AH1475</f>
        <v>124.59752162114842</v>
      </c>
    </row>
    <row r="1476" spans="17:22" x14ac:dyDescent="0.15">
      <c r="Q1476" s="38">
        <v>1473</v>
      </c>
      <c r="R1476" s="39">
        <f>[1]节奏总纲!AD1476</f>
        <v>105.24865828200281</v>
      </c>
      <c r="S1476" s="39">
        <f>[1]节奏总纲!AE1476</f>
        <v>107.53052538227125</v>
      </c>
      <c r="T1476" s="39">
        <f>[1]节奏总纲!AF1476</f>
        <v>110.73377808210141</v>
      </c>
      <c r="U1476" s="39">
        <f>[1]节奏总纲!AG1476</f>
        <v>115.64613390000494</v>
      </c>
      <c r="V1476" s="39">
        <f>[1]节奏总纲!AH1476</f>
        <v>124.60814811061141</v>
      </c>
    </row>
    <row r="1477" spans="17:22" x14ac:dyDescent="0.15">
      <c r="Q1477" s="38">
        <v>1474</v>
      </c>
      <c r="R1477" s="39">
        <f>[1]节奏总纲!AD1477</f>
        <v>105.25827930266421</v>
      </c>
      <c r="S1477" s="39">
        <f>[1]节奏总纲!AE1477</f>
        <v>107.54033860424697</v>
      </c>
      <c r="T1477" s="39">
        <f>[1]节奏总纲!AF1477</f>
        <v>110.74346904092616</v>
      </c>
      <c r="U1477" s="39">
        <f>[1]节奏总纲!AG1477</f>
        <v>115.65594169292478</v>
      </c>
      <c r="V1477" s="39">
        <f>[1]节奏总纲!AH1477</f>
        <v>124.6187746000744</v>
      </c>
    </row>
    <row r="1478" spans="17:22" x14ac:dyDescent="0.15">
      <c r="Q1478" s="38">
        <v>1475</v>
      </c>
      <c r="R1478" s="39">
        <f>[1]节奏总纲!AD1478</f>
        <v>105.26790032332562</v>
      </c>
      <c r="S1478" s="39">
        <f>[1]节奏总纲!AE1478</f>
        <v>107.55015182622267</v>
      </c>
      <c r="T1478" s="39">
        <f>[1]节奏总纲!AF1478</f>
        <v>110.75315999975092</v>
      </c>
      <c r="U1478" s="39">
        <f>[1]节奏总纲!AG1478</f>
        <v>115.66574948584461</v>
      </c>
      <c r="V1478" s="39">
        <f>[1]节奏总纲!AH1478</f>
        <v>124.62940108953738</v>
      </c>
    </row>
    <row r="1479" spans="17:22" x14ac:dyDescent="0.15">
      <c r="Q1479" s="38">
        <v>1476</v>
      </c>
      <c r="R1479" s="39">
        <f>[1]节奏总纲!AD1479</f>
        <v>105.27752134398703</v>
      </c>
      <c r="S1479" s="39">
        <f>[1]节奏总纲!AE1479</f>
        <v>107.55996504819839</v>
      </c>
      <c r="T1479" s="39">
        <f>[1]节奏总纲!AF1479</f>
        <v>110.76285095857568</v>
      </c>
      <c r="U1479" s="39">
        <f>[1]节奏总纲!AG1479</f>
        <v>115.67555727876446</v>
      </c>
      <c r="V1479" s="39">
        <f>[1]节奏总纲!AH1479</f>
        <v>124.64002757900037</v>
      </c>
    </row>
    <row r="1480" spans="17:22" x14ac:dyDescent="0.15">
      <c r="Q1480" s="38">
        <v>1477</v>
      </c>
      <c r="R1480" s="39">
        <f>[1]节奏总纲!AD1480</f>
        <v>105.28714236464843</v>
      </c>
      <c r="S1480" s="39">
        <f>[1]节奏总纲!AE1480</f>
        <v>107.56977827017411</v>
      </c>
      <c r="T1480" s="39">
        <f>[1]节奏总纲!AF1480</f>
        <v>110.77254191740045</v>
      </c>
      <c r="U1480" s="39">
        <f>[1]节奏总纲!AG1480</f>
        <v>115.68536507168429</v>
      </c>
      <c r="V1480" s="39">
        <f>[1]节奏总纲!AH1480</f>
        <v>124.65065406846337</v>
      </c>
    </row>
    <row r="1481" spans="17:22" x14ac:dyDescent="0.15">
      <c r="Q1481" s="38">
        <v>1478</v>
      </c>
      <c r="R1481" s="39">
        <f>[1]节奏总纲!AD1481</f>
        <v>105.29676338530984</v>
      </c>
      <c r="S1481" s="39">
        <f>[1]节奏总纲!AE1481</f>
        <v>107.57959149214983</v>
      </c>
      <c r="T1481" s="39">
        <f>[1]节奏总纲!AF1481</f>
        <v>110.78223287622521</v>
      </c>
      <c r="U1481" s="39">
        <f>[1]节奏总纲!AG1481</f>
        <v>115.69517286460413</v>
      </c>
      <c r="V1481" s="39">
        <f>[1]节奏总纲!AH1481</f>
        <v>124.66128055792636</v>
      </c>
    </row>
    <row r="1482" spans="17:22" x14ac:dyDescent="0.15">
      <c r="Q1482" s="38">
        <v>1479</v>
      </c>
      <c r="R1482" s="39">
        <f>[1]节奏总纲!AD1482</f>
        <v>105.30638440597126</v>
      </c>
      <c r="S1482" s="39">
        <f>[1]节奏总纲!AE1482</f>
        <v>107.58940471412554</v>
      </c>
      <c r="T1482" s="39">
        <f>[1]节奏总纲!AF1482</f>
        <v>110.79192383504996</v>
      </c>
      <c r="U1482" s="39">
        <f>[1]节奏总纲!AG1482</f>
        <v>115.70498065752396</v>
      </c>
      <c r="V1482" s="39">
        <f>[1]节奏总纲!AH1482</f>
        <v>124.67190704738934</v>
      </c>
    </row>
    <row r="1483" spans="17:22" x14ac:dyDescent="0.15">
      <c r="Q1483" s="38">
        <v>1480</v>
      </c>
      <c r="R1483" s="39">
        <f>[1]节奏总纲!AD1483</f>
        <v>105.31600542663266</v>
      </c>
      <c r="S1483" s="39">
        <f>[1]节奏总纲!AE1483</f>
        <v>107.59921793610125</v>
      </c>
      <c r="T1483" s="39">
        <f>[1]节奏总纲!AF1483</f>
        <v>110.80161479387472</v>
      </c>
      <c r="U1483" s="39">
        <f>[1]节奏总纲!AG1483</f>
        <v>115.71478845044381</v>
      </c>
      <c r="V1483" s="39">
        <f>[1]节奏总纲!AH1483</f>
        <v>124.68253353685233</v>
      </c>
    </row>
    <row r="1484" spans="17:22" x14ac:dyDescent="0.15">
      <c r="Q1484" s="38">
        <v>1481</v>
      </c>
      <c r="R1484" s="39">
        <f>[1]节奏总纲!AD1484</f>
        <v>105.32562644729407</v>
      </c>
      <c r="S1484" s="39">
        <f>[1]节奏总纲!AE1484</f>
        <v>107.60903115807697</v>
      </c>
      <c r="T1484" s="39">
        <f>[1]节奏总纲!AF1484</f>
        <v>110.81130575269948</v>
      </c>
      <c r="U1484" s="39">
        <f>[1]节奏总纲!AG1484</f>
        <v>115.72459624336365</v>
      </c>
      <c r="V1484" s="39">
        <f>[1]节奏总纲!AH1484</f>
        <v>124.69316002631533</v>
      </c>
    </row>
    <row r="1485" spans="17:22" x14ac:dyDescent="0.15">
      <c r="Q1485" s="38">
        <v>1482</v>
      </c>
      <c r="R1485" s="39">
        <f>[1]节奏总纲!AD1485</f>
        <v>105.33524746795548</v>
      </c>
      <c r="S1485" s="39">
        <f>[1]节奏总纲!AE1485</f>
        <v>107.61884438005268</v>
      </c>
      <c r="T1485" s="39">
        <f>[1]节奏总纲!AF1485</f>
        <v>110.82099671152424</v>
      </c>
      <c r="U1485" s="39">
        <f>[1]节奏总纲!AG1485</f>
        <v>115.73440403628348</v>
      </c>
      <c r="V1485" s="39">
        <f>[1]节奏总纲!AH1485</f>
        <v>124.70378651577832</v>
      </c>
    </row>
    <row r="1486" spans="17:22" x14ac:dyDescent="0.15">
      <c r="Q1486" s="38">
        <v>1483</v>
      </c>
      <c r="R1486" s="39">
        <f>[1]节奏总纲!AD1486</f>
        <v>105.34486848861688</v>
      </c>
      <c r="S1486" s="39">
        <f>[1]节奏总纲!AE1486</f>
        <v>107.6286576020284</v>
      </c>
      <c r="T1486" s="39">
        <f>[1]节奏总纲!AF1486</f>
        <v>110.83068767034901</v>
      </c>
      <c r="U1486" s="39">
        <f>[1]节奏总纲!AG1486</f>
        <v>115.74421182920332</v>
      </c>
      <c r="V1486" s="39">
        <f>[1]节奏总纲!AH1486</f>
        <v>124.7144130052413</v>
      </c>
    </row>
    <row r="1487" spans="17:22" x14ac:dyDescent="0.15">
      <c r="Q1487" s="38">
        <v>1484</v>
      </c>
      <c r="R1487" s="39">
        <f>[1]节奏总纲!AD1487</f>
        <v>105.3544895092783</v>
      </c>
      <c r="S1487" s="39">
        <f>[1]节奏总纲!AE1487</f>
        <v>107.63847082400412</v>
      </c>
      <c r="T1487" s="39">
        <f>[1]节奏总纲!AF1487</f>
        <v>110.84037862917376</v>
      </c>
      <c r="U1487" s="39">
        <f>[1]节奏总纲!AG1487</f>
        <v>115.75401962212315</v>
      </c>
      <c r="V1487" s="39">
        <f>[1]节奏总纲!AH1487</f>
        <v>124.72503949470429</v>
      </c>
    </row>
    <row r="1488" spans="17:22" x14ac:dyDescent="0.15">
      <c r="Q1488" s="38">
        <v>1485</v>
      </c>
      <c r="R1488" s="39">
        <f>[1]节奏总纲!AD1488</f>
        <v>105.36411052993971</v>
      </c>
      <c r="S1488" s="39">
        <f>[1]节奏总纲!AE1488</f>
        <v>107.64828404597982</v>
      </c>
      <c r="T1488" s="39">
        <f>[1]节奏总纲!AF1488</f>
        <v>110.85006958799852</v>
      </c>
      <c r="U1488" s="39">
        <f>[1]节奏总纲!AG1488</f>
        <v>115.763827415043</v>
      </c>
      <c r="V1488" s="39">
        <f>[1]节奏总纲!AH1488</f>
        <v>124.73566598416728</v>
      </c>
    </row>
    <row r="1489" spans="17:22" x14ac:dyDescent="0.15">
      <c r="Q1489" s="38">
        <v>1486</v>
      </c>
      <c r="R1489" s="39">
        <f>[1]节奏总纲!AD1489</f>
        <v>105.37373155060111</v>
      </c>
      <c r="S1489" s="39">
        <f>[1]节奏总纲!AE1489</f>
        <v>107.65809726795554</v>
      </c>
      <c r="T1489" s="39">
        <f>[1]节奏总纲!AF1489</f>
        <v>110.85976054682328</v>
      </c>
      <c r="U1489" s="39">
        <f>[1]节奏总纲!AG1489</f>
        <v>115.77363520796283</v>
      </c>
      <c r="V1489" s="39">
        <f>[1]节奏总纲!AH1489</f>
        <v>124.74629247363026</v>
      </c>
    </row>
    <row r="1490" spans="17:22" x14ac:dyDescent="0.15">
      <c r="Q1490" s="38">
        <v>1487</v>
      </c>
      <c r="R1490" s="39">
        <f>[1]节奏总纲!AD1490</f>
        <v>105.38335257126252</v>
      </c>
      <c r="S1490" s="39">
        <f>[1]节奏总纲!AE1490</f>
        <v>107.66791048993126</v>
      </c>
      <c r="T1490" s="39">
        <f>[1]节奏总纲!AF1490</f>
        <v>110.86945150564804</v>
      </c>
      <c r="U1490" s="39">
        <f>[1]节奏总纲!AG1490</f>
        <v>115.78344300088267</v>
      </c>
      <c r="V1490" s="39">
        <f>[1]节奏总纲!AH1490</f>
        <v>124.75691896309326</v>
      </c>
    </row>
    <row r="1491" spans="17:22" x14ac:dyDescent="0.15">
      <c r="Q1491" s="38">
        <v>1488</v>
      </c>
      <c r="R1491" s="39">
        <f>[1]节奏总纲!AD1491</f>
        <v>105.39297359192393</v>
      </c>
      <c r="S1491" s="39">
        <f>[1]节奏总纲!AE1491</f>
        <v>107.67772371190696</v>
      </c>
      <c r="T1491" s="39">
        <f>[1]节奏总纲!AF1491</f>
        <v>110.87914246447281</v>
      </c>
      <c r="U1491" s="39">
        <f>[1]节奏总纲!AG1491</f>
        <v>115.79325079380251</v>
      </c>
      <c r="V1491" s="39">
        <f>[1]节奏总纲!AH1491</f>
        <v>124.76754545255625</v>
      </c>
    </row>
    <row r="1492" spans="17:22" x14ac:dyDescent="0.15">
      <c r="Q1492" s="38">
        <v>1489</v>
      </c>
      <c r="R1492" s="39">
        <f>[1]节奏总纲!AD1492</f>
        <v>105.40259461258533</v>
      </c>
      <c r="S1492" s="39">
        <f>[1]节奏总纲!AE1492</f>
        <v>107.68753693388268</v>
      </c>
      <c r="T1492" s="39">
        <f>[1]节奏总纲!AF1492</f>
        <v>110.88883342329756</v>
      </c>
      <c r="U1492" s="39">
        <f>[1]节奏总纲!AG1492</f>
        <v>115.80305858672234</v>
      </c>
      <c r="V1492" s="39">
        <f>[1]节奏总纲!AH1492</f>
        <v>124.77817194201924</v>
      </c>
    </row>
    <row r="1493" spans="17:22" x14ac:dyDescent="0.15">
      <c r="Q1493" s="38">
        <v>1490</v>
      </c>
      <c r="R1493" s="39">
        <f>[1]节奏总纲!AD1493</f>
        <v>105.41221563324675</v>
      </c>
      <c r="S1493" s="39">
        <f>[1]节奏总纲!AE1493</f>
        <v>107.6973501558584</v>
      </c>
      <c r="T1493" s="39">
        <f>[1]节奏总纲!AF1493</f>
        <v>110.89852438212232</v>
      </c>
      <c r="U1493" s="39">
        <f>[1]节奏总纲!AG1493</f>
        <v>115.81286637964219</v>
      </c>
      <c r="V1493" s="39">
        <f>[1]节奏总纲!AH1493</f>
        <v>124.78879843148222</v>
      </c>
    </row>
    <row r="1494" spans="17:22" x14ac:dyDescent="0.15">
      <c r="Q1494" s="38">
        <v>1491</v>
      </c>
      <c r="R1494" s="39">
        <f>[1]节奏总纲!AD1494</f>
        <v>105.42183665390816</v>
      </c>
      <c r="S1494" s="39">
        <f>[1]节奏总纲!AE1494</f>
        <v>107.70716337783412</v>
      </c>
      <c r="T1494" s="39">
        <f>[1]节奏总纲!AF1494</f>
        <v>110.90821534094708</v>
      </c>
      <c r="U1494" s="39">
        <f>[1]节奏总纲!AG1494</f>
        <v>115.82267417256202</v>
      </c>
      <c r="V1494" s="39">
        <f>[1]节奏总纲!AH1494</f>
        <v>124.79942492094521</v>
      </c>
    </row>
    <row r="1495" spans="17:22" x14ac:dyDescent="0.15">
      <c r="Q1495" s="38">
        <v>1492</v>
      </c>
      <c r="R1495" s="39">
        <f>[1]节奏总纲!AD1495</f>
        <v>105.43145767456956</v>
      </c>
      <c r="S1495" s="39">
        <f>[1]节奏总纲!AE1495</f>
        <v>107.71697659980983</v>
      </c>
      <c r="T1495" s="39">
        <f>[1]节奏总纲!AF1495</f>
        <v>110.91790629977184</v>
      </c>
      <c r="U1495" s="39">
        <f>[1]节奏总纲!AG1495</f>
        <v>115.83248196548186</v>
      </c>
      <c r="V1495" s="39">
        <f>[1]节奏总纲!AH1495</f>
        <v>124.81005141040821</v>
      </c>
    </row>
    <row r="1496" spans="17:22" x14ac:dyDescent="0.15">
      <c r="Q1496" s="38">
        <v>1493</v>
      </c>
      <c r="R1496" s="39">
        <f>[1]节奏总纲!AD1496</f>
        <v>105.44107869523097</v>
      </c>
      <c r="S1496" s="39">
        <f>[1]节奏总纲!AE1496</f>
        <v>107.72678982178554</v>
      </c>
      <c r="T1496" s="39">
        <f>[1]节奏总纲!AF1496</f>
        <v>110.92759725859661</v>
      </c>
      <c r="U1496" s="39">
        <f>[1]节奏总纲!AG1496</f>
        <v>115.84228975840169</v>
      </c>
      <c r="V1496" s="39">
        <f>[1]节奏总纲!AH1496</f>
        <v>124.8206778998712</v>
      </c>
    </row>
    <row r="1497" spans="17:22" x14ac:dyDescent="0.15">
      <c r="Q1497" s="38">
        <v>1494</v>
      </c>
      <c r="R1497" s="39">
        <f>[1]节奏总纲!AD1497</f>
        <v>105.45069971589238</v>
      </c>
      <c r="S1497" s="39">
        <f>[1]节奏总纲!AE1497</f>
        <v>107.73660304376126</v>
      </c>
      <c r="T1497" s="39">
        <f>[1]节奏总纲!AF1497</f>
        <v>110.93728821742135</v>
      </c>
      <c r="U1497" s="39">
        <f>[1]节奏总纲!AG1497</f>
        <v>115.85209755132153</v>
      </c>
      <c r="V1497" s="39">
        <f>[1]节奏总纲!AH1497</f>
        <v>124.83130438933418</v>
      </c>
    </row>
    <row r="1498" spans="17:22" x14ac:dyDescent="0.15">
      <c r="Q1498" s="38">
        <v>1495</v>
      </c>
      <c r="R1498" s="39">
        <f>[1]节奏总纲!AD1498</f>
        <v>105.46032073655378</v>
      </c>
      <c r="S1498" s="39">
        <f>[1]节奏总纲!AE1498</f>
        <v>107.74641626573697</v>
      </c>
      <c r="T1498" s="39">
        <f>[1]节奏总纲!AF1498</f>
        <v>110.94697917624612</v>
      </c>
      <c r="U1498" s="39">
        <f>[1]节奏总纲!AG1498</f>
        <v>115.86190534424136</v>
      </c>
      <c r="V1498" s="39">
        <f>[1]节奏总纲!AH1498</f>
        <v>124.84193087879717</v>
      </c>
    </row>
    <row r="1499" spans="17:22" x14ac:dyDescent="0.15">
      <c r="Q1499" s="38">
        <v>1496</v>
      </c>
      <c r="R1499" s="39">
        <f>[1]节奏总纲!AD1499</f>
        <v>105.4699417572152</v>
      </c>
      <c r="S1499" s="39">
        <f>[1]节奏总纲!AE1499</f>
        <v>107.75622948771269</v>
      </c>
      <c r="T1499" s="39">
        <f>[1]节奏总纲!AF1499</f>
        <v>110.95667013507088</v>
      </c>
      <c r="U1499" s="39">
        <f>[1]节奏总纲!AG1499</f>
        <v>115.87171313716121</v>
      </c>
      <c r="V1499" s="39">
        <f>[1]节奏总纲!AH1499</f>
        <v>124.85255736826016</v>
      </c>
    </row>
    <row r="1500" spans="17:22" x14ac:dyDescent="0.15">
      <c r="Q1500" s="38">
        <v>1497</v>
      </c>
      <c r="R1500" s="39">
        <f>[1]节奏总纲!AD1500</f>
        <v>105.47956277787661</v>
      </c>
      <c r="S1500" s="39">
        <f>[1]节奏总纲!AE1500</f>
        <v>107.76604270968841</v>
      </c>
      <c r="T1500" s="39">
        <f>[1]节奏总纲!AF1500</f>
        <v>110.96636109389564</v>
      </c>
      <c r="U1500" s="39">
        <f>[1]节奏总纲!AG1500</f>
        <v>115.88152093008105</v>
      </c>
      <c r="V1500" s="39">
        <f>[1]节奏总纲!AH1500</f>
        <v>124.86318385772316</v>
      </c>
    </row>
    <row r="1501" spans="17:22" x14ac:dyDescent="0.15">
      <c r="Q1501" s="38">
        <v>1498</v>
      </c>
      <c r="R1501" s="39">
        <f>[1]节奏总纲!AD1501</f>
        <v>105.48918379853801</v>
      </c>
      <c r="S1501" s="39">
        <f>[1]节奏总纲!AE1501</f>
        <v>107.77585593166411</v>
      </c>
      <c r="T1501" s="39">
        <f>[1]节奏总纲!AF1501</f>
        <v>110.97605205272041</v>
      </c>
      <c r="U1501" s="39">
        <f>[1]节奏总纲!AG1501</f>
        <v>115.89132872300088</v>
      </c>
      <c r="V1501" s="39">
        <f>[1]节奏总纲!AH1501</f>
        <v>124.87381034718614</v>
      </c>
    </row>
    <row r="1502" spans="17:22" x14ac:dyDescent="0.15">
      <c r="Q1502" s="38">
        <v>1499</v>
      </c>
      <c r="R1502" s="39">
        <f>[1]节奏总纲!AD1502</f>
        <v>105.49880481919942</v>
      </c>
      <c r="S1502" s="39">
        <f>[1]节奏总纲!AE1502</f>
        <v>107.78566915363983</v>
      </c>
      <c r="T1502" s="39">
        <f>[1]节奏总纲!AF1502</f>
        <v>110.98574301154517</v>
      </c>
      <c r="U1502" s="39">
        <f>[1]节奏总纲!AG1502</f>
        <v>115.90113651592073</v>
      </c>
      <c r="V1502" s="39">
        <f>[1]节奏总纲!AH1502</f>
        <v>124.88443683664913</v>
      </c>
    </row>
    <row r="1503" spans="17:22" x14ac:dyDescent="0.15">
      <c r="Q1503" s="38">
        <v>1500</v>
      </c>
      <c r="R1503" s="39">
        <f>[1]节奏总纲!AD1503</f>
        <v>105.50842583986083</v>
      </c>
      <c r="S1503" s="39">
        <f>[1]节奏总纲!AE1503</f>
        <v>107.79548237561555</v>
      </c>
      <c r="T1503" s="39">
        <f>[1]节奏总纲!AF1503</f>
        <v>110.99543397036992</v>
      </c>
      <c r="U1503" s="39">
        <f>[1]节奏总纲!AG1503</f>
        <v>115.91094430884056</v>
      </c>
      <c r="V1503" s="39">
        <f>[1]节奏总纲!AH1503</f>
        <v>124.89506332611212</v>
      </c>
    </row>
    <row r="1504" spans="17:22" x14ac:dyDescent="0.15">
      <c r="Q1504" s="38">
        <v>1501</v>
      </c>
      <c r="R1504" s="39">
        <f>[1]节奏总纲!AD1504</f>
        <v>105.51804686052223</v>
      </c>
      <c r="S1504" s="39">
        <f>[1]节奏总纲!AE1504</f>
        <v>107.80529559759127</v>
      </c>
      <c r="T1504" s="39">
        <f>[1]节奏总纲!AF1504</f>
        <v>111.00485532179441</v>
      </c>
      <c r="U1504" s="39">
        <f>[1]节奏总纲!AG1504</f>
        <v>115.9207521017604</v>
      </c>
      <c r="V1504" s="39">
        <f>[1]节奏总纲!AH1504</f>
        <v>124.90568981557512</v>
      </c>
    </row>
    <row r="1505" spans="17:22" x14ac:dyDescent="0.15">
      <c r="Q1505" s="38">
        <v>1502</v>
      </c>
      <c r="R1505" s="39">
        <f>[1]节奏总纲!AD1505</f>
        <v>105.52766788118365</v>
      </c>
      <c r="S1505" s="39">
        <f>[1]节奏总纲!AE1505</f>
        <v>107.81510881956697</v>
      </c>
      <c r="T1505" s="39">
        <f>[1]节奏总纲!AF1505</f>
        <v>111.0140364678753</v>
      </c>
      <c r="U1505" s="39">
        <f>[1]节奏总纲!AG1505</f>
        <v>115.93055989468023</v>
      </c>
      <c r="V1505" s="39">
        <f>[1]节奏总纲!AH1505</f>
        <v>124.91631630503809</v>
      </c>
    </row>
    <row r="1506" spans="17:22" x14ac:dyDescent="0.15">
      <c r="Q1506" s="38">
        <v>1503</v>
      </c>
      <c r="R1506" s="39">
        <f>[1]节奏总纲!AD1506</f>
        <v>105.53728890184506</v>
      </c>
      <c r="S1506" s="39">
        <f>[1]节奏总纲!AE1506</f>
        <v>107.82492204154269</v>
      </c>
      <c r="T1506" s="39">
        <f>[1]节奏总纲!AF1506</f>
        <v>111.02321761395619</v>
      </c>
      <c r="U1506" s="39">
        <f>[1]节奏总纲!AG1506</f>
        <v>115.94036768760007</v>
      </c>
      <c r="V1506" s="39">
        <f>[1]节奏总纲!AH1506</f>
        <v>124.92694279450109</v>
      </c>
    </row>
    <row r="1507" spans="17:22" x14ac:dyDescent="0.15">
      <c r="Q1507" s="38">
        <v>1504</v>
      </c>
      <c r="R1507" s="39">
        <f>[1]节奏总纲!AD1507</f>
        <v>105.54690992250646</v>
      </c>
      <c r="S1507" s="39">
        <f>[1]节奏总纲!AE1507</f>
        <v>107.83473526351841</v>
      </c>
      <c r="T1507" s="39">
        <f>[1]节奏总纲!AF1507</f>
        <v>111.03239876003708</v>
      </c>
      <c r="U1507" s="39">
        <f>[1]节奏总纲!AG1507</f>
        <v>115.95017548051992</v>
      </c>
      <c r="V1507" s="39">
        <f>[1]节奏总纲!AH1507</f>
        <v>124.93756928396408</v>
      </c>
    </row>
    <row r="1508" spans="17:22" x14ac:dyDescent="0.15">
      <c r="Q1508" s="38">
        <v>1505</v>
      </c>
      <c r="R1508" s="39">
        <f>[1]节奏总纲!AD1508</f>
        <v>105.55653094316787</v>
      </c>
      <c r="S1508" s="39">
        <f>[1]节奏总纲!AE1508</f>
        <v>107.84454848549412</v>
      </c>
      <c r="T1508" s="39">
        <f>[1]节奏总纲!AF1508</f>
        <v>111.04157990611797</v>
      </c>
      <c r="U1508" s="39">
        <f>[1]节奏总纲!AG1508</f>
        <v>115.95998327343975</v>
      </c>
      <c r="V1508" s="39">
        <f>[1]节奏总纲!AH1508</f>
        <v>124.94819577342707</v>
      </c>
    </row>
    <row r="1509" spans="17:22" x14ac:dyDescent="0.15">
      <c r="Q1509" s="38">
        <v>1506</v>
      </c>
      <c r="R1509" s="39">
        <f>[1]节奏总纲!AD1509</f>
        <v>105.56615196382928</v>
      </c>
      <c r="S1509" s="39">
        <f>[1]节奏总纲!AE1509</f>
        <v>107.85436170746983</v>
      </c>
      <c r="T1509" s="39">
        <f>[1]节奏总纲!AF1509</f>
        <v>111.05076105219887</v>
      </c>
      <c r="U1509" s="39">
        <f>[1]节奏总纲!AG1509</f>
        <v>115.96979106635959</v>
      </c>
      <c r="V1509" s="39">
        <f>[1]节奏总纲!AH1509</f>
        <v>124.95882226289005</v>
      </c>
    </row>
    <row r="1510" spans="17:22" x14ac:dyDescent="0.15">
      <c r="Q1510" s="38">
        <v>1507</v>
      </c>
      <c r="R1510" s="39">
        <f>[1]节奏总纲!AD1510</f>
        <v>105.57577298449068</v>
      </c>
      <c r="S1510" s="39">
        <f>[1]节奏总纲!AE1510</f>
        <v>107.86417492944555</v>
      </c>
      <c r="T1510" s="39">
        <f>[1]节奏总纲!AF1510</f>
        <v>111.05994219827976</v>
      </c>
      <c r="U1510" s="39">
        <f>[1]节奏总纲!AG1510</f>
        <v>115.97959885927942</v>
      </c>
      <c r="V1510" s="39">
        <f>[1]节奏总纲!AH1510</f>
        <v>124.96944875235305</v>
      </c>
    </row>
    <row r="1511" spans="17:22" x14ac:dyDescent="0.15">
      <c r="Q1511" s="38">
        <v>1508</v>
      </c>
      <c r="R1511" s="39">
        <f>[1]节奏总纲!AD1511</f>
        <v>105.5853940051521</v>
      </c>
      <c r="S1511" s="39">
        <f>[1]节奏总纲!AE1511</f>
        <v>107.87398815142126</v>
      </c>
      <c r="T1511" s="39">
        <f>[1]节奏总纲!AF1511</f>
        <v>111.06912334436065</v>
      </c>
      <c r="U1511" s="39">
        <f>[1]节奏总纲!AG1511</f>
        <v>115.98940665219926</v>
      </c>
      <c r="V1511" s="39">
        <f>[1]节奏总纲!AH1511</f>
        <v>124.98007524181604</v>
      </c>
    </row>
    <row r="1512" spans="17:22" x14ac:dyDescent="0.15">
      <c r="Q1512" s="38">
        <v>1509</v>
      </c>
      <c r="R1512" s="39">
        <f>[1]节奏总纲!AD1512</f>
        <v>105.59501502581351</v>
      </c>
      <c r="S1512" s="39">
        <f>[1]节奏总纲!AE1512</f>
        <v>107.88380137339698</v>
      </c>
      <c r="T1512" s="39">
        <f>[1]节奏总纲!AF1512</f>
        <v>111.07830449044154</v>
      </c>
      <c r="U1512" s="39">
        <f>[1]节奏总纲!AG1512</f>
        <v>115.99921444511909</v>
      </c>
      <c r="V1512" s="39">
        <f>[1]节奏总纲!AH1512</f>
        <v>124.99070173127903</v>
      </c>
    </row>
    <row r="1513" spans="17:22" x14ac:dyDescent="0.15">
      <c r="Q1513" s="38">
        <v>1510</v>
      </c>
      <c r="R1513" s="39">
        <f>[1]节奏总纲!AD1513</f>
        <v>105.60463604647491</v>
      </c>
      <c r="S1513" s="39">
        <f>[1]节奏总纲!AE1513</f>
        <v>107.8936145953727</v>
      </c>
      <c r="T1513" s="39">
        <f>[1]节奏总纲!AF1513</f>
        <v>111.08748563652243</v>
      </c>
      <c r="U1513" s="39">
        <f>[1]节奏总纲!AG1513</f>
        <v>116.00843856634077</v>
      </c>
      <c r="V1513" s="39">
        <f>[1]节奏总纲!AH1513</f>
        <v>125.00124595175376</v>
      </c>
    </row>
    <row r="1514" spans="17:22" x14ac:dyDescent="0.15">
      <c r="Q1514" s="38">
        <v>1511</v>
      </c>
      <c r="R1514" s="39">
        <f>[1]节奏总纲!AD1514</f>
        <v>105.61425706713632</v>
      </c>
      <c r="S1514" s="39">
        <f>[1]节奏总纲!AE1514</f>
        <v>107.90342781734842</v>
      </c>
      <c r="T1514" s="39">
        <f>[1]节奏总纲!AF1514</f>
        <v>111.09666678260332</v>
      </c>
      <c r="U1514" s="39">
        <f>[1]节奏总纲!AG1514</f>
        <v>116.01761186800421</v>
      </c>
      <c r="V1514" s="39">
        <f>[1]节奏总纲!AH1514</f>
        <v>125.01121424449593</v>
      </c>
    </row>
    <row r="1515" spans="17:22" x14ac:dyDescent="0.15">
      <c r="Q1515" s="38">
        <v>1512</v>
      </c>
      <c r="R1515" s="39">
        <f>[1]节奏总纲!AD1515</f>
        <v>105.62387808779773</v>
      </c>
      <c r="S1515" s="39">
        <f>[1]节奏总纲!AE1515</f>
        <v>107.91324103932412</v>
      </c>
      <c r="T1515" s="39">
        <f>[1]节奏总纲!AF1515</f>
        <v>111.1058479286842</v>
      </c>
      <c r="U1515" s="39">
        <f>[1]节奏总纲!AG1515</f>
        <v>116.02678516966765</v>
      </c>
      <c r="V1515" s="39">
        <f>[1]节奏总纲!AH1515</f>
        <v>125.02118253723812</v>
      </c>
    </row>
    <row r="1516" spans="17:22" x14ac:dyDescent="0.15">
      <c r="Q1516" s="38">
        <v>1513</v>
      </c>
      <c r="R1516" s="39">
        <f>[1]节奏总纲!AD1516</f>
        <v>105.63349910845913</v>
      </c>
      <c r="S1516" s="39">
        <f>[1]节奏总纲!AE1516</f>
        <v>107.92305426129984</v>
      </c>
      <c r="T1516" s="39">
        <f>[1]节奏总纲!AF1516</f>
        <v>111.11502907476509</v>
      </c>
      <c r="U1516" s="39">
        <f>[1]节奏总纲!AG1516</f>
        <v>116.0359584713311</v>
      </c>
      <c r="V1516" s="39">
        <f>[1]节奏总纲!AH1516</f>
        <v>125.03115082998031</v>
      </c>
    </row>
    <row r="1517" spans="17:22" x14ac:dyDescent="0.15">
      <c r="Q1517" s="38">
        <v>1514</v>
      </c>
      <c r="R1517" s="39">
        <f>[1]节奏总纲!AD1517</f>
        <v>105.64312012912055</v>
      </c>
      <c r="S1517" s="39">
        <f>[1]节奏总纲!AE1517</f>
        <v>107.93286748327556</v>
      </c>
      <c r="T1517" s="39">
        <f>[1]节奏总纲!AF1517</f>
        <v>111.12421022084598</v>
      </c>
      <c r="U1517" s="39">
        <f>[1]节奏总纲!AG1517</f>
        <v>116.04513177299454</v>
      </c>
      <c r="V1517" s="39">
        <f>[1]节奏总纲!AH1517</f>
        <v>125.04111912272249</v>
      </c>
    </row>
    <row r="1518" spans="17:22" x14ac:dyDescent="0.15">
      <c r="Q1518" s="38">
        <v>1515</v>
      </c>
      <c r="R1518" s="39">
        <f>[1]节奏总纲!AD1518</f>
        <v>105.65274114978196</v>
      </c>
      <c r="S1518" s="39">
        <f>[1]节奏总纲!AE1518</f>
        <v>107.94268070525126</v>
      </c>
      <c r="T1518" s="39">
        <f>[1]节奏总纲!AF1518</f>
        <v>111.13339136692687</v>
      </c>
      <c r="U1518" s="39">
        <f>[1]节奏总纲!AG1518</f>
        <v>116.05430507465799</v>
      </c>
      <c r="V1518" s="39">
        <f>[1]节奏总纲!AH1518</f>
        <v>125.05108741546468</v>
      </c>
    </row>
    <row r="1519" spans="17:22" x14ac:dyDescent="0.15">
      <c r="Q1519" s="38">
        <v>1516</v>
      </c>
      <c r="R1519" s="39">
        <f>[1]节奏总纲!AD1519</f>
        <v>105.66236217044336</v>
      </c>
      <c r="S1519" s="39">
        <f>[1]节奏总纲!AE1519</f>
        <v>107.95249392722698</v>
      </c>
      <c r="T1519" s="39">
        <f>[1]节奏总纲!AF1519</f>
        <v>111.14257251300776</v>
      </c>
      <c r="U1519" s="39">
        <f>[1]节奏总纲!AG1519</f>
        <v>116.06347837632143</v>
      </c>
      <c r="V1519" s="39">
        <f>[1]节奏总纲!AH1519</f>
        <v>125.06105570820687</v>
      </c>
    </row>
    <row r="1520" spans="17:22" x14ac:dyDescent="0.15">
      <c r="Q1520" s="38">
        <v>1517</v>
      </c>
      <c r="R1520" s="39">
        <f>[1]节奏总纲!AD1520</f>
        <v>105.67198319110477</v>
      </c>
      <c r="S1520" s="39">
        <f>[1]节奏总纲!AE1520</f>
        <v>107.9623071492027</v>
      </c>
      <c r="T1520" s="39">
        <f>[1]节奏总纲!AF1520</f>
        <v>111.15175365908866</v>
      </c>
      <c r="U1520" s="39">
        <f>[1]节奏总纲!AG1520</f>
        <v>116.07265167798487</v>
      </c>
      <c r="V1520" s="39">
        <f>[1]节奏总纲!AH1520</f>
        <v>125.07102400094905</v>
      </c>
    </row>
    <row r="1521" spans="17:22" x14ac:dyDescent="0.15">
      <c r="Q1521" s="38">
        <v>1518</v>
      </c>
      <c r="R1521" s="39">
        <f>[1]节奏总纲!AD1521</f>
        <v>105.68160421176619</v>
      </c>
      <c r="S1521" s="39">
        <f>[1]节奏总纲!AE1521</f>
        <v>107.97212037117841</v>
      </c>
      <c r="T1521" s="39">
        <f>[1]节奏总纲!AF1521</f>
        <v>111.16093480516955</v>
      </c>
      <c r="U1521" s="39">
        <f>[1]节奏总纲!AG1521</f>
        <v>116.08182497964832</v>
      </c>
      <c r="V1521" s="39">
        <f>[1]节奏总纲!AH1521</f>
        <v>125.08099229369124</v>
      </c>
    </row>
    <row r="1522" spans="17:22" x14ac:dyDescent="0.15">
      <c r="Q1522" s="38">
        <v>1519</v>
      </c>
      <c r="R1522" s="39">
        <f>[1]节奏总纲!AD1522</f>
        <v>105.69122523242758</v>
      </c>
      <c r="S1522" s="39">
        <f>[1]节奏总纲!AE1522</f>
        <v>107.98193359315412</v>
      </c>
      <c r="T1522" s="39">
        <f>[1]节奏总纲!AF1522</f>
        <v>111.17011595125044</v>
      </c>
      <c r="U1522" s="39">
        <f>[1]节奏总纲!AG1522</f>
        <v>116.09099828131176</v>
      </c>
      <c r="V1522" s="39">
        <f>[1]节奏总纲!AH1522</f>
        <v>125.09096058643343</v>
      </c>
    </row>
    <row r="1523" spans="17:22" x14ac:dyDescent="0.15">
      <c r="Q1523" s="38">
        <v>1520</v>
      </c>
      <c r="R1523" s="39">
        <f>[1]节奏总纲!AD1523</f>
        <v>105.700846253089</v>
      </c>
      <c r="S1523" s="39">
        <f>[1]节奏总纲!AE1523</f>
        <v>107.99174681512984</v>
      </c>
      <c r="T1523" s="39">
        <f>[1]节奏总纲!AF1523</f>
        <v>111.17929709733133</v>
      </c>
      <c r="U1523" s="39">
        <f>[1]节奏总纲!AG1523</f>
        <v>116.10017158297519</v>
      </c>
      <c r="V1523" s="39">
        <f>[1]节奏总纲!AH1523</f>
        <v>125.10092887917561</v>
      </c>
    </row>
    <row r="1524" spans="17:22" x14ac:dyDescent="0.15">
      <c r="Q1524" s="38">
        <v>1521</v>
      </c>
      <c r="R1524" s="39">
        <f>[1]节奏总纲!AD1524</f>
        <v>105.71046727375041</v>
      </c>
      <c r="S1524" s="39">
        <f>[1]节奏总纲!AE1524</f>
        <v>108.00153050384537</v>
      </c>
      <c r="T1524" s="39">
        <f>[1]节奏总纲!AF1524</f>
        <v>111.18847824341222</v>
      </c>
      <c r="U1524" s="39">
        <f>[1]节奏总纲!AG1524</f>
        <v>116.10934488463865</v>
      </c>
      <c r="V1524" s="39">
        <f>[1]节奏总纲!AH1524</f>
        <v>125.1108971719178</v>
      </c>
    </row>
    <row r="1525" spans="17:22" x14ac:dyDescent="0.15">
      <c r="Q1525" s="38">
        <v>1522</v>
      </c>
      <c r="R1525" s="39">
        <f>[1]节奏总纲!AD1525</f>
        <v>105.72008829441181</v>
      </c>
      <c r="S1525" s="39">
        <f>[1]节奏总纲!AE1525</f>
        <v>108.01115795047198</v>
      </c>
      <c r="T1525" s="39">
        <f>[1]节奏总纲!AF1525</f>
        <v>111.19765938949311</v>
      </c>
      <c r="U1525" s="39">
        <f>[1]节奏总纲!AG1525</f>
        <v>116.11851818630208</v>
      </c>
      <c r="V1525" s="39">
        <f>[1]节奏总纲!AH1525</f>
        <v>125.12086546465999</v>
      </c>
    </row>
    <row r="1526" spans="17:22" x14ac:dyDescent="0.15">
      <c r="Q1526" s="38">
        <v>1523</v>
      </c>
      <c r="R1526" s="39">
        <f>[1]节奏总纲!AD1526</f>
        <v>105.72970931507322</v>
      </c>
      <c r="S1526" s="39">
        <f>[1]节奏总纲!AE1526</f>
        <v>108.02078539709859</v>
      </c>
      <c r="T1526" s="39">
        <f>[1]节奏总纲!AF1526</f>
        <v>111.206840535574</v>
      </c>
      <c r="U1526" s="39">
        <f>[1]节奏总纲!AG1526</f>
        <v>116.12769148796552</v>
      </c>
      <c r="V1526" s="39">
        <f>[1]节奏总纲!AH1526</f>
        <v>125.13083375740217</v>
      </c>
    </row>
    <row r="1527" spans="17:22" x14ac:dyDescent="0.15">
      <c r="Q1527" s="38">
        <v>1524</v>
      </c>
      <c r="R1527" s="39">
        <f>[1]节奏总纲!AD1527</f>
        <v>105.73933033573464</v>
      </c>
      <c r="S1527" s="39">
        <f>[1]节奏总纲!AE1527</f>
        <v>108.03041284372522</v>
      </c>
      <c r="T1527" s="39">
        <f>[1]节奏总纲!AF1527</f>
        <v>111.21602168165489</v>
      </c>
      <c r="U1527" s="39">
        <f>[1]节奏总纲!AG1527</f>
        <v>116.13686478962897</v>
      </c>
      <c r="V1527" s="39">
        <f>[1]节奏总纲!AH1527</f>
        <v>125.14080205014436</v>
      </c>
    </row>
    <row r="1528" spans="17:22" x14ac:dyDescent="0.15">
      <c r="Q1528" s="38">
        <v>1525</v>
      </c>
      <c r="R1528" s="39">
        <f>[1]节奏总纲!AD1528</f>
        <v>105.74895135639603</v>
      </c>
      <c r="S1528" s="39">
        <f>[1]节奏总纲!AE1528</f>
        <v>108.04004029035183</v>
      </c>
      <c r="T1528" s="39">
        <f>[1]节奏总纲!AF1528</f>
        <v>111.22520282773579</v>
      </c>
      <c r="U1528" s="39">
        <f>[1]节奏总纲!AG1528</f>
        <v>116.14603809129241</v>
      </c>
      <c r="V1528" s="39">
        <f>[1]节奏总纲!AH1528</f>
        <v>125.15077034288655</v>
      </c>
    </row>
    <row r="1529" spans="17:22" x14ac:dyDescent="0.15">
      <c r="Q1529" s="38">
        <v>1526</v>
      </c>
      <c r="R1529" s="39">
        <f>[1]节奏总纲!AD1529</f>
        <v>105.75857237705745</v>
      </c>
      <c r="S1529" s="39">
        <f>[1]节奏总纲!AE1529</f>
        <v>108.04966773697844</v>
      </c>
      <c r="T1529" s="39">
        <f>[1]节奏总纲!AF1529</f>
        <v>111.23438397381668</v>
      </c>
      <c r="U1529" s="39">
        <f>[1]节奏总纲!AG1529</f>
        <v>116.15521139295585</v>
      </c>
      <c r="V1529" s="39">
        <f>[1]节奏总纲!AH1529</f>
        <v>125.16073863562873</v>
      </c>
    </row>
    <row r="1530" spans="17:22" x14ac:dyDescent="0.15">
      <c r="Q1530" s="38">
        <v>1527</v>
      </c>
      <c r="R1530" s="39">
        <f>[1]节奏总纲!AD1530</f>
        <v>105.76819339771886</v>
      </c>
      <c r="S1530" s="39">
        <f>[1]节奏总纲!AE1530</f>
        <v>108.05929518360504</v>
      </c>
      <c r="T1530" s="39">
        <f>[1]节奏总纲!AF1530</f>
        <v>111.24356511989757</v>
      </c>
      <c r="U1530" s="39">
        <f>[1]节奏总纲!AG1530</f>
        <v>116.1643846946193</v>
      </c>
      <c r="V1530" s="39">
        <f>[1]节奏总纲!AH1530</f>
        <v>125.17070692837092</v>
      </c>
    </row>
    <row r="1531" spans="17:22" x14ac:dyDescent="0.15">
      <c r="Q1531" s="38">
        <v>1528</v>
      </c>
      <c r="R1531" s="39">
        <f>[1]节奏总纲!AD1531</f>
        <v>105.77781441838026</v>
      </c>
      <c r="S1531" s="39">
        <f>[1]节奏总纲!AE1531</f>
        <v>108.06892263023167</v>
      </c>
      <c r="T1531" s="39">
        <f>[1]节奏总纲!AF1531</f>
        <v>111.25274626597846</v>
      </c>
      <c r="U1531" s="39">
        <f>[1]节奏总纲!AG1531</f>
        <v>116.17355799628274</v>
      </c>
      <c r="V1531" s="39">
        <f>[1]节奏总纲!AH1531</f>
        <v>125.18067522111309</v>
      </c>
    </row>
    <row r="1532" spans="17:22" x14ac:dyDescent="0.15">
      <c r="Q1532" s="38">
        <v>1529</v>
      </c>
      <c r="R1532" s="39">
        <f>[1]节奏总纲!AD1532</f>
        <v>105.78743543904167</v>
      </c>
      <c r="S1532" s="39">
        <f>[1]节奏总纲!AE1532</f>
        <v>108.07855007685828</v>
      </c>
      <c r="T1532" s="39">
        <f>[1]节奏总纲!AF1532</f>
        <v>111.26192741205935</v>
      </c>
      <c r="U1532" s="39">
        <f>[1]节奏总纲!AG1532</f>
        <v>116.18273129794618</v>
      </c>
      <c r="V1532" s="39">
        <f>[1]节奏总纲!AH1532</f>
        <v>125.19064351385528</v>
      </c>
    </row>
    <row r="1533" spans="17:22" x14ac:dyDescent="0.15">
      <c r="Q1533" s="38">
        <v>1530</v>
      </c>
      <c r="R1533" s="39">
        <f>[1]节奏总纲!AD1533</f>
        <v>105.79705645970309</v>
      </c>
      <c r="S1533" s="39">
        <f>[1]节奏总纲!AE1533</f>
        <v>108.08817752348489</v>
      </c>
      <c r="T1533" s="39">
        <f>[1]节奏总纲!AF1533</f>
        <v>111.27110855814023</v>
      </c>
      <c r="U1533" s="39">
        <f>[1]节奏总纲!AG1533</f>
        <v>116.19190459960963</v>
      </c>
      <c r="V1533" s="39">
        <f>[1]节奏总纲!AH1533</f>
        <v>125.20061180659746</v>
      </c>
    </row>
    <row r="1534" spans="17:22" x14ac:dyDescent="0.15">
      <c r="Q1534" s="38">
        <v>1531</v>
      </c>
      <c r="R1534" s="39">
        <f>[1]节奏总纲!AD1534</f>
        <v>105.80667748036448</v>
      </c>
      <c r="S1534" s="39">
        <f>[1]节奏总纲!AE1534</f>
        <v>108.09780497011151</v>
      </c>
      <c r="T1534" s="39">
        <f>[1]节奏总纲!AF1534</f>
        <v>111.28028970422112</v>
      </c>
      <c r="U1534" s="39">
        <f>[1]节奏总纲!AG1534</f>
        <v>116.20107790127307</v>
      </c>
      <c r="V1534" s="39">
        <f>[1]节奏总纲!AH1534</f>
        <v>125.21058009933965</v>
      </c>
    </row>
    <row r="1535" spans="17:22" x14ac:dyDescent="0.15">
      <c r="Q1535" s="38">
        <v>1532</v>
      </c>
      <c r="R1535" s="39">
        <f>[1]节奏总纲!AD1535</f>
        <v>105.8162985010259</v>
      </c>
      <c r="S1535" s="39">
        <f>[1]节奏总纲!AE1535</f>
        <v>108.10743241673812</v>
      </c>
      <c r="T1535" s="39">
        <f>[1]节奏总纲!AF1535</f>
        <v>111.28947085030201</v>
      </c>
      <c r="U1535" s="39">
        <f>[1]节奏总纲!AG1535</f>
        <v>116.2102512029365</v>
      </c>
      <c r="V1535" s="39">
        <f>[1]节奏总纲!AH1535</f>
        <v>125.22054839208184</v>
      </c>
    </row>
    <row r="1536" spans="17:22" x14ac:dyDescent="0.15">
      <c r="Q1536" s="38">
        <v>1533</v>
      </c>
      <c r="R1536" s="39">
        <f>[1]节奏总纲!AD1536</f>
        <v>105.82591952168731</v>
      </c>
      <c r="S1536" s="39">
        <f>[1]节奏总纲!AE1536</f>
        <v>108.11705986336473</v>
      </c>
      <c r="T1536" s="39">
        <f>[1]节奏总纲!AF1536</f>
        <v>111.2986519963829</v>
      </c>
      <c r="U1536" s="39">
        <f>[1]节奏总纲!AG1536</f>
        <v>116.21942450459996</v>
      </c>
      <c r="V1536" s="39">
        <f>[1]节奏总纲!AH1536</f>
        <v>125.23051668482402</v>
      </c>
    </row>
    <row r="1537" spans="17:22" x14ac:dyDescent="0.15">
      <c r="Q1537" s="38">
        <v>1534</v>
      </c>
      <c r="R1537" s="39">
        <f>[1]节奏总纲!AD1537</f>
        <v>105.83554054234871</v>
      </c>
      <c r="S1537" s="39">
        <f>[1]节奏总纲!AE1537</f>
        <v>108.12668730999135</v>
      </c>
      <c r="T1537" s="39">
        <f>[1]节奏总纲!AF1537</f>
        <v>111.30783314246379</v>
      </c>
      <c r="U1537" s="39">
        <f>[1]节奏总纲!AG1537</f>
        <v>116.22859780626339</v>
      </c>
      <c r="V1537" s="39">
        <f>[1]节奏总纲!AH1537</f>
        <v>125.24048497756621</v>
      </c>
    </row>
    <row r="1538" spans="17:22" x14ac:dyDescent="0.15">
      <c r="Q1538" s="38">
        <v>1535</v>
      </c>
      <c r="R1538" s="39">
        <f>[1]节奏总纲!AD1538</f>
        <v>105.84516156301012</v>
      </c>
      <c r="S1538" s="39">
        <f>[1]节奏总纲!AE1538</f>
        <v>108.13631475661796</v>
      </c>
      <c r="T1538" s="39">
        <f>[1]节奏总纲!AF1538</f>
        <v>111.31701428854468</v>
      </c>
      <c r="U1538" s="39">
        <f>[1]节奏总纲!AG1538</f>
        <v>116.23777110792685</v>
      </c>
      <c r="V1538" s="39">
        <f>[1]节奏总纲!AH1538</f>
        <v>125.2504532703084</v>
      </c>
    </row>
    <row r="1539" spans="17:22" x14ac:dyDescent="0.15">
      <c r="Q1539" s="38">
        <v>1536</v>
      </c>
      <c r="R1539" s="39">
        <f>[1]节奏总纲!AD1539</f>
        <v>105.85478258367154</v>
      </c>
      <c r="S1539" s="39">
        <f>[1]节奏总纲!AE1539</f>
        <v>108.14594220324457</v>
      </c>
      <c r="T1539" s="39">
        <f>[1]节奏总纲!AF1539</f>
        <v>111.32619543462557</v>
      </c>
      <c r="U1539" s="39">
        <f>[1]节奏总纲!AG1539</f>
        <v>116.24694440959028</v>
      </c>
      <c r="V1539" s="39">
        <f>[1]节奏总纲!AH1539</f>
        <v>125.26042156305058</v>
      </c>
    </row>
    <row r="1540" spans="17:22" x14ac:dyDescent="0.15">
      <c r="Q1540" s="38">
        <v>1537</v>
      </c>
      <c r="R1540" s="39">
        <f>[1]节奏总纲!AD1540</f>
        <v>105.86440360433294</v>
      </c>
      <c r="S1540" s="39">
        <f>[1]节奏总纲!AE1540</f>
        <v>108.1555696498712</v>
      </c>
      <c r="T1540" s="39">
        <f>[1]节奏总纲!AF1540</f>
        <v>111.33537658070647</v>
      </c>
      <c r="U1540" s="39">
        <f>[1]节奏总纲!AG1540</f>
        <v>116.25611771125372</v>
      </c>
      <c r="V1540" s="39">
        <f>[1]节奏总纲!AH1540</f>
        <v>125.27038985579277</v>
      </c>
    </row>
    <row r="1541" spans="17:22" x14ac:dyDescent="0.15">
      <c r="Q1541" s="38">
        <v>1538</v>
      </c>
      <c r="R1541" s="39">
        <f>[1]节奏总纲!AD1541</f>
        <v>105.87402462499435</v>
      </c>
      <c r="S1541" s="39">
        <f>[1]节奏总纲!AE1541</f>
        <v>108.16519709649781</v>
      </c>
      <c r="T1541" s="39">
        <f>[1]节奏总纲!AF1541</f>
        <v>111.34455772678736</v>
      </c>
      <c r="U1541" s="39">
        <f>[1]节奏总纲!AG1541</f>
        <v>116.26529101291717</v>
      </c>
      <c r="V1541" s="39">
        <f>[1]节奏总纲!AH1541</f>
        <v>125.28035814853496</v>
      </c>
    </row>
    <row r="1542" spans="17:22" x14ac:dyDescent="0.15">
      <c r="Q1542" s="38">
        <v>1539</v>
      </c>
      <c r="R1542" s="39">
        <f>[1]节奏总纲!AD1542</f>
        <v>105.88364564565576</v>
      </c>
      <c r="S1542" s="39">
        <f>[1]节奏总纲!AE1542</f>
        <v>108.17482454312442</v>
      </c>
      <c r="T1542" s="39">
        <f>[1]节奏总纲!AF1542</f>
        <v>111.35373887286825</v>
      </c>
      <c r="U1542" s="39">
        <f>[1]节奏总纲!AG1542</f>
        <v>116.27446431458061</v>
      </c>
      <c r="V1542" s="39">
        <f>[1]节奏总纲!AH1542</f>
        <v>125.29032644127714</v>
      </c>
    </row>
    <row r="1543" spans="17:22" x14ac:dyDescent="0.15">
      <c r="Q1543" s="38">
        <v>1540</v>
      </c>
      <c r="R1543" s="39">
        <f>[1]节奏总纲!AD1543</f>
        <v>105.89326666631716</v>
      </c>
      <c r="S1543" s="39">
        <f>[1]节奏总纲!AE1543</f>
        <v>108.18445198975103</v>
      </c>
      <c r="T1543" s="39">
        <f>[1]节奏总纲!AF1543</f>
        <v>111.36292001894914</v>
      </c>
      <c r="U1543" s="39">
        <f>[1]节奏总纲!AG1543</f>
        <v>116.28363761624405</v>
      </c>
      <c r="V1543" s="39">
        <f>[1]节奏总纲!AH1543</f>
        <v>125.30029473401933</v>
      </c>
    </row>
    <row r="1544" spans="17:22" x14ac:dyDescent="0.15">
      <c r="Q1544" s="38">
        <v>1541</v>
      </c>
      <c r="R1544" s="39">
        <f>[1]节奏总纲!AD1544</f>
        <v>105.90288768697857</v>
      </c>
      <c r="S1544" s="39">
        <f>[1]节奏总纲!AE1544</f>
        <v>108.19407943637765</v>
      </c>
      <c r="T1544" s="39">
        <f>[1]节奏总纲!AF1544</f>
        <v>111.37210116503003</v>
      </c>
      <c r="U1544" s="39">
        <f>[1]节奏总纲!AG1544</f>
        <v>116.2928109179075</v>
      </c>
      <c r="V1544" s="39">
        <f>[1]节奏总纲!AH1544</f>
        <v>125.31026302676152</v>
      </c>
    </row>
    <row r="1545" spans="17:22" x14ac:dyDescent="0.15">
      <c r="Q1545" s="38">
        <v>1542</v>
      </c>
      <c r="R1545" s="39">
        <f>[1]节奏总纲!AD1545</f>
        <v>105.91250870763999</v>
      </c>
      <c r="S1545" s="39">
        <f>[1]节奏总纲!AE1545</f>
        <v>108.20370688300426</v>
      </c>
      <c r="T1545" s="39">
        <f>[1]节奏总纲!AF1545</f>
        <v>111.38128231111092</v>
      </c>
      <c r="U1545" s="39">
        <f>[1]节奏总纲!AG1545</f>
        <v>116.30198421957094</v>
      </c>
      <c r="V1545" s="39">
        <f>[1]节奏总纲!AH1545</f>
        <v>125.3202313195037</v>
      </c>
    </row>
    <row r="1546" spans="17:22" x14ac:dyDescent="0.15">
      <c r="Q1546" s="38">
        <v>1543</v>
      </c>
      <c r="R1546" s="39">
        <f>[1]节奏总纲!AD1546</f>
        <v>105.92212972830139</v>
      </c>
      <c r="S1546" s="39">
        <f>[1]节奏总纲!AE1546</f>
        <v>108.21333432963087</v>
      </c>
      <c r="T1546" s="39">
        <f>[1]节奏总纲!AF1546</f>
        <v>111.39046345719181</v>
      </c>
      <c r="U1546" s="39">
        <f>[1]节奏总纲!AG1546</f>
        <v>116.31115752123438</v>
      </c>
      <c r="V1546" s="39">
        <f>[1]节奏总纲!AH1546</f>
        <v>125.33019961224589</v>
      </c>
    </row>
    <row r="1547" spans="17:22" x14ac:dyDescent="0.15">
      <c r="Q1547" s="38">
        <v>1544</v>
      </c>
      <c r="R1547" s="39">
        <f>[1]节奏总纲!AD1547</f>
        <v>105.9317507489628</v>
      </c>
      <c r="S1547" s="39">
        <f>[1]节奏总纲!AE1547</f>
        <v>108.22296177625749</v>
      </c>
      <c r="T1547" s="39">
        <f>[1]节奏总纲!AF1547</f>
        <v>111.39964460327271</v>
      </c>
      <c r="U1547" s="39">
        <f>[1]节奏总纲!AG1547</f>
        <v>116.32033082289783</v>
      </c>
      <c r="V1547" s="39">
        <f>[1]节奏总纲!AH1547</f>
        <v>125.34016790498808</v>
      </c>
    </row>
    <row r="1548" spans="17:22" x14ac:dyDescent="0.15">
      <c r="Q1548" s="38">
        <v>1545</v>
      </c>
      <c r="R1548" s="39">
        <f>[1]节奏总纲!AD1548</f>
        <v>105.94137176962421</v>
      </c>
      <c r="S1548" s="39">
        <f>[1]节奏总纲!AE1548</f>
        <v>108.2325892228841</v>
      </c>
      <c r="T1548" s="39">
        <f>[1]节奏总纲!AF1548</f>
        <v>111.4088257493536</v>
      </c>
      <c r="U1548" s="39">
        <f>[1]节奏总纲!AG1548</f>
        <v>116.32950412456127</v>
      </c>
      <c r="V1548" s="39">
        <f>[1]节奏总纲!AH1548</f>
        <v>125.35013619773025</v>
      </c>
    </row>
    <row r="1549" spans="17:22" x14ac:dyDescent="0.15">
      <c r="Q1549" s="38">
        <v>1546</v>
      </c>
      <c r="R1549" s="39">
        <f>[1]节奏总纲!AD1549</f>
        <v>105.95099279028561</v>
      </c>
      <c r="S1549" s="39">
        <f>[1]节奏总纲!AE1549</f>
        <v>108.24221666951071</v>
      </c>
      <c r="T1549" s="39">
        <f>[1]节奏总纲!AF1549</f>
        <v>111.41800689543449</v>
      </c>
      <c r="U1549" s="39">
        <f>[1]节奏总纲!AG1549</f>
        <v>116.33867742622471</v>
      </c>
      <c r="V1549" s="39">
        <f>[1]节奏总纲!AH1549</f>
        <v>125.36010449047244</v>
      </c>
    </row>
    <row r="1550" spans="17:22" x14ac:dyDescent="0.15">
      <c r="Q1550" s="38">
        <v>1547</v>
      </c>
      <c r="R1550" s="39">
        <f>[1]节奏总纲!AD1550</f>
        <v>105.96061381094702</v>
      </c>
      <c r="S1550" s="39">
        <f>[1]节奏总纲!AE1550</f>
        <v>108.25184411613733</v>
      </c>
      <c r="T1550" s="39">
        <f>[1]节奏总纲!AF1550</f>
        <v>111.42718804151538</v>
      </c>
      <c r="U1550" s="39">
        <f>[1]节奏总纲!AG1550</f>
        <v>116.34785072788816</v>
      </c>
      <c r="V1550" s="39">
        <f>[1]节奏总纲!AH1550</f>
        <v>125.37007278321462</v>
      </c>
    </row>
    <row r="1551" spans="17:22" x14ac:dyDescent="0.15">
      <c r="Q1551" s="38">
        <v>1548</v>
      </c>
      <c r="R1551" s="39">
        <f>[1]节奏总纲!AD1551</f>
        <v>105.97023483160844</v>
      </c>
      <c r="S1551" s="39">
        <f>[1]节奏总纲!AE1551</f>
        <v>108.26147156276394</v>
      </c>
      <c r="T1551" s="39">
        <f>[1]节奏总纲!AF1551</f>
        <v>111.43636918759627</v>
      </c>
      <c r="U1551" s="39">
        <f>[1]节奏总纲!AG1551</f>
        <v>116.3570240295516</v>
      </c>
      <c r="V1551" s="39">
        <f>[1]节奏总纲!AH1551</f>
        <v>125.38004107595681</v>
      </c>
    </row>
    <row r="1552" spans="17:22" x14ac:dyDescent="0.15">
      <c r="Q1552" s="38">
        <v>1549</v>
      </c>
      <c r="R1552" s="39">
        <f>[1]节奏总纲!AD1552</f>
        <v>105.97985585226984</v>
      </c>
      <c r="S1552" s="39">
        <f>[1]节奏总纲!AE1552</f>
        <v>108.27109900939055</v>
      </c>
      <c r="T1552" s="39">
        <f>[1]节奏总纲!AF1552</f>
        <v>111.44555033367715</v>
      </c>
      <c r="U1552" s="39">
        <f>[1]节奏总纲!AG1552</f>
        <v>116.36619733121503</v>
      </c>
      <c r="V1552" s="39">
        <f>[1]节奏总纲!AH1552</f>
        <v>125.390009368699</v>
      </c>
    </row>
    <row r="1553" spans="17:22" x14ac:dyDescent="0.15">
      <c r="Q1553" s="38">
        <v>1550</v>
      </c>
      <c r="R1553" s="39">
        <f>[1]节奏总纲!AD1553</f>
        <v>105.98947687293125</v>
      </c>
      <c r="S1553" s="39">
        <f>[1]节奏总纲!AE1553</f>
        <v>108.28072645601716</v>
      </c>
      <c r="T1553" s="39">
        <f>[1]节奏总纲!AF1553</f>
        <v>111.45473147975804</v>
      </c>
      <c r="U1553" s="39">
        <f>[1]节奏总纲!AG1553</f>
        <v>116.37537063287849</v>
      </c>
      <c r="V1553" s="39">
        <f>[1]节奏总纲!AH1553</f>
        <v>125.39997766144118</v>
      </c>
    </row>
    <row r="1554" spans="17:22" x14ac:dyDescent="0.15">
      <c r="Q1554" s="38">
        <v>1551</v>
      </c>
      <c r="R1554" s="39">
        <f>[1]节奏总纲!AD1554</f>
        <v>105.99909789359266</v>
      </c>
      <c r="S1554" s="39">
        <f>[1]节奏总纲!AE1554</f>
        <v>108.29035390264379</v>
      </c>
      <c r="T1554" s="39">
        <f>[1]节奏总纲!AF1554</f>
        <v>111.46391262583893</v>
      </c>
      <c r="U1554" s="39">
        <f>[1]节奏总纲!AG1554</f>
        <v>116.38454393454192</v>
      </c>
      <c r="V1554" s="39">
        <f>[1]节奏总纲!AH1554</f>
        <v>125.40994595418337</v>
      </c>
    </row>
    <row r="1555" spans="17:22" x14ac:dyDescent="0.15">
      <c r="Q1555" s="38">
        <v>1552</v>
      </c>
      <c r="R1555" s="39">
        <f>[1]节奏总纲!AD1555</f>
        <v>106.00813503464943</v>
      </c>
      <c r="S1555" s="39">
        <f>[1]节奏总纲!AE1555</f>
        <v>108.2999813492704</v>
      </c>
      <c r="T1555" s="39">
        <f>[1]节奏总纲!AF1555</f>
        <v>111.47309377191982</v>
      </c>
      <c r="U1555" s="39">
        <f>[1]节奏总纲!AG1555</f>
        <v>116.39371723620536</v>
      </c>
      <c r="V1555" s="39">
        <f>[1]节奏总纲!AH1555</f>
        <v>125.41991424692556</v>
      </c>
    </row>
    <row r="1556" spans="17:22" x14ac:dyDescent="0.15">
      <c r="Q1556" s="38">
        <v>1553</v>
      </c>
      <c r="R1556" s="39">
        <f>[1]节奏总纲!AD1556</f>
        <v>106.01711176433878</v>
      </c>
      <c r="S1556" s="39">
        <f>[1]节奏总纲!AE1556</f>
        <v>108.30960879589701</v>
      </c>
      <c r="T1556" s="39">
        <f>[1]节奏总纲!AF1556</f>
        <v>111.48227491800071</v>
      </c>
      <c r="U1556" s="39">
        <f>[1]节奏总纲!AG1556</f>
        <v>116.40289053786881</v>
      </c>
      <c r="V1556" s="39">
        <f>[1]节奏总纲!AH1556</f>
        <v>125.42988253966774</v>
      </c>
    </row>
    <row r="1557" spans="17:22" x14ac:dyDescent="0.15">
      <c r="Q1557" s="38">
        <v>1554</v>
      </c>
      <c r="R1557" s="39">
        <f>[1]节奏总纲!AD1557</f>
        <v>106.02608849402813</v>
      </c>
      <c r="S1557" s="39">
        <f>[1]节奏总纲!AE1557</f>
        <v>108.31923624252363</v>
      </c>
      <c r="T1557" s="39">
        <f>[1]节奏总纲!AF1557</f>
        <v>111.4914560640816</v>
      </c>
      <c r="U1557" s="39">
        <f>[1]节奏总纲!AG1557</f>
        <v>116.41206383953225</v>
      </c>
      <c r="V1557" s="39">
        <f>[1]节奏总纲!AH1557</f>
        <v>125.43985083240993</v>
      </c>
    </row>
    <row r="1558" spans="17:22" x14ac:dyDescent="0.15">
      <c r="Q1558" s="38">
        <v>1555</v>
      </c>
      <c r="R1558" s="39">
        <f>[1]节奏总纲!AD1558</f>
        <v>106.03506522371748</v>
      </c>
      <c r="S1558" s="39">
        <f>[1]节奏总纲!AE1558</f>
        <v>108.32886368915024</v>
      </c>
      <c r="T1558" s="39">
        <f>[1]节奏总纲!AF1558</f>
        <v>111.50063721016249</v>
      </c>
      <c r="U1558" s="39">
        <f>[1]节奏总纲!AG1558</f>
        <v>116.42123714119569</v>
      </c>
      <c r="V1558" s="39">
        <f>[1]节奏总纲!AH1558</f>
        <v>125.44981912515212</v>
      </c>
    </row>
    <row r="1559" spans="17:22" x14ac:dyDescent="0.15">
      <c r="Q1559" s="38">
        <v>1556</v>
      </c>
      <c r="R1559" s="39">
        <f>[1]节奏总纲!AD1559</f>
        <v>106.04404195340683</v>
      </c>
      <c r="S1559" s="39">
        <f>[1]节奏总纲!AE1559</f>
        <v>108.33849113577685</v>
      </c>
      <c r="T1559" s="39">
        <f>[1]节奏总纲!AF1559</f>
        <v>111.50981835624339</v>
      </c>
      <c r="U1559" s="39">
        <f>[1]节奏总纲!AG1559</f>
        <v>116.43041044285914</v>
      </c>
      <c r="V1559" s="39">
        <f>[1]节奏总纲!AH1559</f>
        <v>125.4597874178943</v>
      </c>
    </row>
    <row r="1560" spans="17:22" x14ac:dyDescent="0.15">
      <c r="Q1560" s="38">
        <v>1557</v>
      </c>
      <c r="R1560" s="39">
        <f>[1]节奏总纲!AD1560</f>
        <v>106.05301868309618</v>
      </c>
      <c r="S1560" s="39">
        <f>[1]节奏总纲!AE1560</f>
        <v>108.34811858240347</v>
      </c>
      <c r="T1560" s="39">
        <f>[1]节奏总纲!AF1560</f>
        <v>111.51899950232428</v>
      </c>
      <c r="U1560" s="39">
        <f>[1]节奏总纲!AG1560</f>
        <v>116.43958374452258</v>
      </c>
      <c r="V1560" s="39">
        <f>[1]节奏总纲!AH1560</f>
        <v>125.46975571063649</v>
      </c>
    </row>
    <row r="1561" spans="17:22" x14ac:dyDescent="0.15">
      <c r="Q1561" s="38">
        <v>1558</v>
      </c>
      <c r="R1561" s="39">
        <f>[1]节奏总纲!AD1561</f>
        <v>106.06199541278554</v>
      </c>
      <c r="S1561" s="39">
        <f>[1]节奏总纲!AE1561</f>
        <v>108.35774602903008</v>
      </c>
      <c r="T1561" s="39">
        <f>[1]节奏总纲!AF1561</f>
        <v>111.52818064840517</v>
      </c>
      <c r="U1561" s="39">
        <f>[1]节奏总纲!AG1561</f>
        <v>116.44875704618603</v>
      </c>
      <c r="V1561" s="39">
        <f>[1]节奏总纲!AH1561</f>
        <v>125.47972400337868</v>
      </c>
    </row>
    <row r="1562" spans="17:22" x14ac:dyDescent="0.15">
      <c r="Q1562" s="38">
        <v>1559</v>
      </c>
      <c r="R1562" s="39">
        <f>[1]节奏总纲!AD1562</f>
        <v>106.07097214247489</v>
      </c>
      <c r="S1562" s="39">
        <f>[1]节奏总纲!AE1562</f>
        <v>108.36737347565669</v>
      </c>
      <c r="T1562" s="39">
        <f>[1]节奏总纲!AF1562</f>
        <v>111.53736179448606</v>
      </c>
      <c r="U1562" s="39">
        <f>[1]节奏总纲!AG1562</f>
        <v>116.45793034784947</v>
      </c>
      <c r="V1562" s="39">
        <f>[1]节奏总纲!AH1562</f>
        <v>125.48969229612086</v>
      </c>
    </row>
    <row r="1563" spans="17:22" x14ac:dyDescent="0.15">
      <c r="Q1563" s="38">
        <v>1560</v>
      </c>
      <c r="R1563" s="39">
        <f>[1]节奏总纲!AD1563</f>
        <v>106.07994887216424</v>
      </c>
      <c r="S1563" s="39">
        <f>[1]节奏总纲!AE1563</f>
        <v>108.37700092228332</v>
      </c>
      <c r="T1563" s="39">
        <f>[1]节奏总纲!AF1563</f>
        <v>111.54654294056695</v>
      </c>
      <c r="U1563" s="39">
        <f>[1]节奏总纲!AG1563</f>
        <v>116.46710364951291</v>
      </c>
      <c r="V1563" s="39">
        <f>[1]节奏总纲!AH1563</f>
        <v>125.49966058886305</v>
      </c>
    </row>
    <row r="1564" spans="17:22" x14ac:dyDescent="0.15">
      <c r="Q1564" s="38">
        <v>1561</v>
      </c>
      <c r="R1564" s="39">
        <f>[1]节奏总纲!AD1564</f>
        <v>106.08892560185359</v>
      </c>
      <c r="S1564" s="39">
        <f>[1]节奏总纲!AE1564</f>
        <v>108.38662836890992</v>
      </c>
      <c r="T1564" s="39">
        <f>[1]节奏总纲!AF1564</f>
        <v>111.55572408664784</v>
      </c>
      <c r="U1564" s="39">
        <f>[1]节奏总纲!AG1564</f>
        <v>116.47627695117636</v>
      </c>
      <c r="V1564" s="39">
        <f>[1]节奏总纲!AH1564</f>
        <v>125.50962888160524</v>
      </c>
    </row>
    <row r="1565" spans="17:22" x14ac:dyDescent="0.15">
      <c r="Q1565" s="38">
        <v>1562</v>
      </c>
      <c r="R1565" s="39">
        <f>[1]节奏总纲!AD1565</f>
        <v>106.09790233154294</v>
      </c>
      <c r="S1565" s="39">
        <f>[1]节奏总纲!AE1565</f>
        <v>108.39625581553653</v>
      </c>
      <c r="T1565" s="39">
        <f>[1]节奏总纲!AF1565</f>
        <v>111.56490523272873</v>
      </c>
      <c r="U1565" s="39">
        <f>[1]节奏总纲!AG1565</f>
        <v>116.4854502528398</v>
      </c>
      <c r="V1565" s="39">
        <f>[1]节奏总纲!AH1565</f>
        <v>125.51959717434741</v>
      </c>
    </row>
    <row r="1566" spans="17:22" x14ac:dyDescent="0.15">
      <c r="Q1566" s="38">
        <v>1563</v>
      </c>
      <c r="R1566" s="39">
        <f>[1]节奏总纲!AD1566</f>
        <v>106.10687906123229</v>
      </c>
      <c r="S1566" s="39">
        <f>[1]节奏总纲!AE1566</f>
        <v>108.40588326216314</v>
      </c>
      <c r="T1566" s="39">
        <f>[1]节奏总纲!AF1566</f>
        <v>111.57408637880962</v>
      </c>
      <c r="U1566" s="39">
        <f>[1]节奏总纲!AG1566</f>
        <v>116.49462355450324</v>
      </c>
      <c r="V1566" s="39">
        <f>[1]节奏总纲!AH1566</f>
        <v>125.5295654670896</v>
      </c>
    </row>
    <row r="1567" spans="17:22" x14ac:dyDescent="0.15">
      <c r="Q1567" s="38">
        <v>1564</v>
      </c>
      <c r="R1567" s="39">
        <f>[1]节奏总纲!AD1567</f>
        <v>106.11585579092164</v>
      </c>
      <c r="S1567" s="39">
        <f>[1]节奏总纲!AE1567</f>
        <v>108.41551070878977</v>
      </c>
      <c r="T1567" s="39">
        <f>[1]节奏总纲!AF1567</f>
        <v>111.58326752489052</v>
      </c>
      <c r="U1567" s="39">
        <f>[1]节奏总纲!AG1567</f>
        <v>116.50379685616669</v>
      </c>
      <c r="V1567" s="39">
        <f>[1]节奏总纲!AH1567</f>
        <v>125.53953375983178</v>
      </c>
    </row>
    <row r="1568" spans="17:22" x14ac:dyDescent="0.15">
      <c r="Q1568" s="38">
        <v>1565</v>
      </c>
      <c r="R1568" s="39">
        <f>[1]节奏总纲!AD1568</f>
        <v>106.12483252061099</v>
      </c>
      <c r="S1568" s="39">
        <f>[1]节奏总纲!AE1568</f>
        <v>108.42513815541638</v>
      </c>
      <c r="T1568" s="39">
        <f>[1]节奏总纲!AF1568</f>
        <v>111.59244867097141</v>
      </c>
      <c r="U1568" s="39">
        <f>[1]节奏总纲!AG1568</f>
        <v>116.51297015783013</v>
      </c>
      <c r="V1568" s="39">
        <f>[1]节奏总纲!AH1568</f>
        <v>125.54950205257397</v>
      </c>
    </row>
    <row r="1569" spans="17:22" x14ac:dyDescent="0.15">
      <c r="Q1569" s="38">
        <v>1566</v>
      </c>
      <c r="R1569" s="39">
        <f>[1]节奏总纲!AD1569</f>
        <v>106.13380925030035</v>
      </c>
      <c r="S1569" s="39">
        <f>[1]节奏总纲!AE1569</f>
        <v>108.43476560204299</v>
      </c>
      <c r="T1569" s="39">
        <f>[1]节奏总纲!AF1569</f>
        <v>111.6016298170523</v>
      </c>
      <c r="U1569" s="39">
        <f>[1]节奏总纲!AG1569</f>
        <v>116.52214345949356</v>
      </c>
      <c r="V1569" s="39">
        <f>[1]节奏总纲!AH1569</f>
        <v>125.55947034531616</v>
      </c>
    </row>
    <row r="1570" spans="17:22" x14ac:dyDescent="0.15">
      <c r="Q1570" s="38">
        <v>1567</v>
      </c>
      <c r="R1570" s="39">
        <f>[1]节奏总纲!AD1570</f>
        <v>106.1427859799897</v>
      </c>
      <c r="S1570" s="39">
        <f>[1]节奏总纲!AE1570</f>
        <v>108.44439304866961</v>
      </c>
      <c r="T1570" s="39">
        <f>[1]节奏总纲!AF1570</f>
        <v>111.61081096313318</v>
      </c>
      <c r="U1570" s="39">
        <f>[1]节奏总纲!AG1570</f>
        <v>116.53131676115702</v>
      </c>
      <c r="V1570" s="39">
        <f>[1]节奏总纲!AH1570</f>
        <v>125.56943863805834</v>
      </c>
    </row>
    <row r="1571" spans="17:22" x14ac:dyDescent="0.15">
      <c r="Q1571" s="38">
        <v>1568</v>
      </c>
      <c r="R1571" s="39">
        <f>[1]节奏总纲!AD1571</f>
        <v>106.15176270967905</v>
      </c>
      <c r="S1571" s="39">
        <f>[1]节奏总纲!AE1571</f>
        <v>108.45402049529622</v>
      </c>
      <c r="T1571" s="39">
        <f>[1]节奏总纲!AF1571</f>
        <v>111.61999210921407</v>
      </c>
      <c r="U1571" s="39">
        <f>[1]节奏总纲!AG1571</f>
        <v>116.54049006282045</v>
      </c>
      <c r="V1571" s="39">
        <f>[1]节奏总纲!AH1571</f>
        <v>125.57940693080053</v>
      </c>
    </row>
    <row r="1572" spans="17:22" x14ac:dyDescent="0.15">
      <c r="Q1572" s="38">
        <v>1569</v>
      </c>
      <c r="R1572" s="39">
        <f>[1]节奏总纲!AD1572</f>
        <v>106.1607394393684</v>
      </c>
      <c r="S1572" s="39">
        <f>[1]节奏总纲!AE1572</f>
        <v>108.46364794192283</v>
      </c>
      <c r="T1572" s="39">
        <f>[1]节奏总纲!AF1572</f>
        <v>111.62917325529496</v>
      </c>
      <c r="U1572" s="39">
        <f>[1]节奏总纲!AG1572</f>
        <v>116.54966336448389</v>
      </c>
      <c r="V1572" s="39">
        <f>[1]节奏总纲!AH1572</f>
        <v>125.58937522354272</v>
      </c>
    </row>
    <row r="1573" spans="17:22" x14ac:dyDescent="0.15">
      <c r="Q1573" s="38">
        <v>1570</v>
      </c>
      <c r="R1573" s="39">
        <f>[1]节奏总纲!AD1573</f>
        <v>106.16971616905775</v>
      </c>
      <c r="S1573" s="39">
        <f>[1]节奏总纲!AE1573</f>
        <v>108.47327538854945</v>
      </c>
      <c r="T1573" s="39">
        <f>[1]节奏总纲!AF1573</f>
        <v>111.63835440137585</v>
      </c>
      <c r="U1573" s="39">
        <f>[1]节奏总纲!AG1573</f>
        <v>116.55883666614734</v>
      </c>
      <c r="V1573" s="39">
        <f>[1]节奏总纲!AH1573</f>
        <v>125.5993435162849</v>
      </c>
    </row>
    <row r="1574" spans="17:22" x14ac:dyDescent="0.15">
      <c r="Q1574" s="38">
        <v>1571</v>
      </c>
      <c r="R1574" s="39">
        <f>[1]节奏总纲!AD1574</f>
        <v>106.1786928987471</v>
      </c>
      <c r="S1574" s="39">
        <f>[1]节奏总纲!AE1574</f>
        <v>108.48290283517606</v>
      </c>
      <c r="T1574" s="39">
        <f>[1]节奏总纲!AF1574</f>
        <v>111.64753554745674</v>
      </c>
      <c r="U1574" s="39">
        <f>[1]节奏总纲!AG1574</f>
        <v>116.56800996781078</v>
      </c>
      <c r="V1574" s="39">
        <f>[1]节奏总纲!AH1574</f>
        <v>125.60931180902709</v>
      </c>
    </row>
    <row r="1575" spans="17:22" x14ac:dyDescent="0.15">
      <c r="Q1575" s="38">
        <v>1572</v>
      </c>
      <c r="R1575" s="39">
        <f>[1]节奏总纲!AD1575</f>
        <v>106.18766962843645</v>
      </c>
      <c r="S1575" s="39">
        <f>[1]节奏总纲!AE1575</f>
        <v>108.49253028180267</v>
      </c>
      <c r="T1575" s="39">
        <f>[1]节奏总纲!AF1575</f>
        <v>111.65671669353763</v>
      </c>
      <c r="U1575" s="39">
        <f>[1]节奏总纲!AG1575</f>
        <v>116.57718326947422</v>
      </c>
      <c r="V1575" s="39">
        <f>[1]节奏总纲!AH1575</f>
        <v>125.61928010176928</v>
      </c>
    </row>
    <row r="1576" spans="17:22" x14ac:dyDescent="0.15">
      <c r="Q1576" s="38">
        <v>1573</v>
      </c>
      <c r="R1576" s="39">
        <f>[1]节奏总纲!AD1576</f>
        <v>106.1966463581258</v>
      </c>
      <c r="S1576" s="39">
        <f>[1]节奏总纲!AE1576</f>
        <v>108.5021577284293</v>
      </c>
      <c r="T1576" s="39">
        <f>[1]节奏总纲!AF1576</f>
        <v>111.66589783961852</v>
      </c>
      <c r="U1576" s="39">
        <f>[1]节奏总纲!AG1576</f>
        <v>116.58635657113767</v>
      </c>
      <c r="V1576" s="39">
        <f>[1]节奏总纲!AH1576</f>
        <v>125.62924839451146</v>
      </c>
    </row>
    <row r="1577" spans="17:22" x14ac:dyDescent="0.15">
      <c r="Q1577" s="38">
        <v>1574</v>
      </c>
      <c r="R1577" s="39">
        <f>[1]节奏总纲!AD1577</f>
        <v>106.20562308781516</v>
      </c>
      <c r="S1577" s="39">
        <f>[1]节奏总纲!AE1577</f>
        <v>108.51178517505591</v>
      </c>
      <c r="T1577" s="39">
        <f>[1]节奏总纲!AF1577</f>
        <v>111.67507898569941</v>
      </c>
      <c r="U1577" s="39">
        <f>[1]节奏总纲!AG1577</f>
        <v>116.59552987280111</v>
      </c>
      <c r="V1577" s="39">
        <f>[1]节奏总纲!AH1577</f>
        <v>125.63921668725365</v>
      </c>
    </row>
    <row r="1578" spans="17:22" x14ac:dyDescent="0.15">
      <c r="Q1578" s="38">
        <v>1575</v>
      </c>
      <c r="R1578" s="39">
        <f>[1]节奏总纲!AD1578</f>
        <v>106.21459981750451</v>
      </c>
      <c r="S1578" s="39">
        <f>[1]节奏总纲!AE1578</f>
        <v>108.52141262168252</v>
      </c>
      <c r="T1578" s="39">
        <f>[1]节奏总纲!AF1578</f>
        <v>111.68426013178031</v>
      </c>
      <c r="U1578" s="39">
        <f>[1]节奏总纲!AG1578</f>
        <v>116.60470317446455</v>
      </c>
      <c r="V1578" s="39">
        <f>[1]节奏总纲!AH1578</f>
        <v>125.64918497999584</v>
      </c>
    </row>
    <row r="1579" spans="17:22" x14ac:dyDescent="0.15">
      <c r="Q1579" s="38">
        <v>1576</v>
      </c>
      <c r="R1579" s="39">
        <f>[1]节奏总纲!AD1579</f>
        <v>106.22357654719386</v>
      </c>
      <c r="S1579" s="39">
        <f>[1]节奏总纲!AE1579</f>
        <v>108.53104006830912</v>
      </c>
      <c r="T1579" s="39">
        <f>[1]节奏总纲!AF1579</f>
        <v>111.6934412778612</v>
      </c>
      <c r="U1579" s="39">
        <f>[1]节奏总纲!AG1579</f>
        <v>116.613876476128</v>
      </c>
      <c r="V1579" s="39">
        <f>[1]节奏总纲!AH1579</f>
        <v>125.65915327273802</v>
      </c>
    </row>
    <row r="1580" spans="17:22" x14ac:dyDescent="0.15">
      <c r="Q1580" s="38">
        <v>1577</v>
      </c>
      <c r="R1580" s="39">
        <f>[1]节奏总纲!AD1580</f>
        <v>106.23255327688321</v>
      </c>
      <c r="S1580" s="39">
        <f>[1]节奏总纲!AE1580</f>
        <v>108.54066751493575</v>
      </c>
      <c r="T1580" s="39">
        <f>[1]节奏总纲!AF1580</f>
        <v>111.70262242394209</v>
      </c>
      <c r="U1580" s="39">
        <f>[1]节奏总纲!AG1580</f>
        <v>116.62304977779144</v>
      </c>
      <c r="V1580" s="39">
        <f>[1]节奏总纲!AH1580</f>
        <v>125.66912156548021</v>
      </c>
    </row>
    <row r="1581" spans="17:22" x14ac:dyDescent="0.15">
      <c r="Q1581" s="38">
        <v>1578</v>
      </c>
      <c r="R1581" s="39">
        <f>[1]节奏总纲!AD1581</f>
        <v>106.24153000657256</v>
      </c>
      <c r="S1581" s="39">
        <f>[1]节奏总纲!AE1581</f>
        <v>108.55029496156236</v>
      </c>
      <c r="T1581" s="39">
        <f>[1]节奏总纲!AF1581</f>
        <v>111.71180357002298</v>
      </c>
      <c r="U1581" s="39">
        <f>[1]节奏总纲!AG1581</f>
        <v>116.63222307945487</v>
      </c>
      <c r="V1581" s="39">
        <f>[1]节奏总纲!AH1581</f>
        <v>125.6790898582224</v>
      </c>
    </row>
    <row r="1582" spans="17:22" x14ac:dyDescent="0.15">
      <c r="Q1582" s="38">
        <v>1579</v>
      </c>
      <c r="R1582" s="39">
        <f>[1]节奏总纲!AD1582</f>
        <v>106.25050673626191</v>
      </c>
      <c r="S1582" s="39">
        <f>[1]节奏总纲!AE1582</f>
        <v>108.55992240818897</v>
      </c>
      <c r="T1582" s="39">
        <f>[1]节奏总纲!AF1582</f>
        <v>111.72098471610387</v>
      </c>
      <c r="U1582" s="39">
        <f>[1]节奏总纲!AG1582</f>
        <v>116.64139638111833</v>
      </c>
      <c r="V1582" s="39">
        <f>[1]节奏总纲!AH1582</f>
        <v>125.68905815096457</v>
      </c>
    </row>
    <row r="1583" spans="17:22" x14ac:dyDescent="0.15">
      <c r="Q1583" s="38">
        <v>1580</v>
      </c>
      <c r="R1583" s="39">
        <f>[1]节奏总纲!AD1583</f>
        <v>106.25948346595126</v>
      </c>
      <c r="S1583" s="39">
        <f>[1]节奏总纲!AE1583</f>
        <v>108.56954985481559</v>
      </c>
      <c r="T1583" s="39">
        <f>[1]节奏总纲!AF1583</f>
        <v>111.73016586218476</v>
      </c>
      <c r="U1583" s="39">
        <f>[1]节奏总纲!AG1583</f>
        <v>116.65056968278176</v>
      </c>
      <c r="V1583" s="39">
        <f>[1]节奏总纲!AH1583</f>
        <v>125.69902644370676</v>
      </c>
    </row>
    <row r="1584" spans="17:22" x14ac:dyDescent="0.15">
      <c r="Q1584" s="38">
        <v>1581</v>
      </c>
      <c r="R1584" s="39">
        <f>[1]节奏总纲!AD1584</f>
        <v>106.26846019564061</v>
      </c>
      <c r="S1584" s="39">
        <f>[1]节奏总纲!AE1584</f>
        <v>108.5791773014422</v>
      </c>
      <c r="T1584" s="39">
        <f>[1]节奏总纲!AF1584</f>
        <v>111.73934700826565</v>
      </c>
      <c r="U1584" s="39">
        <f>[1]节奏总纲!AG1584</f>
        <v>116.65974298444522</v>
      </c>
      <c r="V1584" s="39">
        <f>[1]节奏总纲!AH1584</f>
        <v>125.70899473644894</v>
      </c>
    </row>
    <row r="1585" spans="17:22" x14ac:dyDescent="0.15">
      <c r="Q1585" s="38">
        <v>1582</v>
      </c>
      <c r="R1585" s="39">
        <f>[1]节奏总纲!AD1585</f>
        <v>106.27743692532997</v>
      </c>
      <c r="S1585" s="39">
        <f>[1]节奏总纲!AE1585</f>
        <v>108.58880474806881</v>
      </c>
      <c r="T1585" s="39">
        <f>[1]节奏总纲!AF1585</f>
        <v>111.74852815434654</v>
      </c>
      <c r="U1585" s="39">
        <f>[1]节奏总纲!AG1585</f>
        <v>116.66891628610865</v>
      </c>
      <c r="V1585" s="39">
        <f>[1]节奏总纲!AH1585</f>
        <v>125.71896302919113</v>
      </c>
    </row>
    <row r="1586" spans="17:22" x14ac:dyDescent="0.15">
      <c r="Q1586" s="38">
        <v>1583</v>
      </c>
      <c r="R1586" s="39">
        <f>[1]节奏总纲!AD1586</f>
        <v>106.28641365501932</v>
      </c>
      <c r="S1586" s="39">
        <f>[1]节奏总纲!AE1586</f>
        <v>108.59843219469543</v>
      </c>
      <c r="T1586" s="39">
        <f>[1]节奏总纲!AF1586</f>
        <v>111.75770930042744</v>
      </c>
      <c r="U1586" s="39">
        <f>[1]节奏总纲!AG1586</f>
        <v>116.67808958777209</v>
      </c>
      <c r="V1586" s="39">
        <f>[1]节奏总纲!AH1586</f>
        <v>125.72893132193332</v>
      </c>
    </row>
    <row r="1587" spans="17:22" x14ac:dyDescent="0.15">
      <c r="Q1587" s="38">
        <v>1584</v>
      </c>
      <c r="R1587" s="39">
        <f>[1]节奏总纲!AD1587</f>
        <v>106.29539038470867</v>
      </c>
      <c r="S1587" s="39">
        <f>[1]节奏总纲!AE1587</f>
        <v>108.60805964132204</v>
      </c>
      <c r="T1587" s="39">
        <f>[1]节奏总纲!AF1587</f>
        <v>111.76689044650833</v>
      </c>
      <c r="U1587" s="39">
        <f>[1]节奏总纲!AG1587</f>
        <v>116.68726288943554</v>
      </c>
      <c r="V1587" s="39">
        <f>[1]节奏总纲!AH1587</f>
        <v>125.7388996146755</v>
      </c>
    </row>
    <row r="1588" spans="17:22" x14ac:dyDescent="0.15">
      <c r="Q1588" s="38">
        <v>1585</v>
      </c>
      <c r="R1588" s="39">
        <f>[1]节奏总纲!AD1588</f>
        <v>106.30436711439802</v>
      </c>
      <c r="S1588" s="39">
        <f>[1]节奏总纲!AE1588</f>
        <v>108.61768708794865</v>
      </c>
      <c r="T1588" s="39">
        <f>[1]节奏总纲!AF1588</f>
        <v>111.77607159258922</v>
      </c>
      <c r="U1588" s="39">
        <f>[1]节奏总纲!AG1588</f>
        <v>116.69643619109898</v>
      </c>
      <c r="V1588" s="39">
        <f>[1]节奏总纲!AH1588</f>
        <v>125.74886790741769</v>
      </c>
    </row>
    <row r="1589" spans="17:22" x14ac:dyDescent="0.15">
      <c r="Q1589" s="38">
        <v>1586</v>
      </c>
      <c r="R1589" s="39">
        <f>[1]节奏总纲!AD1589</f>
        <v>106.31334384408737</v>
      </c>
      <c r="S1589" s="39">
        <f>[1]节奏总纲!AE1589</f>
        <v>108.62731453457528</v>
      </c>
      <c r="T1589" s="39">
        <f>[1]节奏总纲!AF1589</f>
        <v>111.7852527386701</v>
      </c>
      <c r="U1589" s="39">
        <f>[1]节奏总纲!AG1589</f>
        <v>116.70560949276242</v>
      </c>
      <c r="V1589" s="39">
        <f>[1]节奏总纲!AH1589</f>
        <v>125.75883620015988</v>
      </c>
    </row>
    <row r="1590" spans="17:22" x14ac:dyDescent="0.15">
      <c r="Q1590" s="38">
        <v>1587</v>
      </c>
      <c r="R1590" s="39">
        <f>[1]节奏总纲!AD1590</f>
        <v>106.32232057377672</v>
      </c>
      <c r="S1590" s="39">
        <f>[1]节奏总纲!AE1590</f>
        <v>108.63694198120189</v>
      </c>
      <c r="T1590" s="39">
        <f>[1]节奏总纲!AF1590</f>
        <v>111.79443388475099</v>
      </c>
      <c r="U1590" s="39">
        <f>[1]节奏总纲!AG1590</f>
        <v>116.71478279442587</v>
      </c>
      <c r="V1590" s="39">
        <f>[1]节奏总纲!AH1590</f>
        <v>125.76880449290206</v>
      </c>
    </row>
    <row r="1591" spans="17:22" x14ac:dyDescent="0.15">
      <c r="Q1591" s="38">
        <v>1588</v>
      </c>
      <c r="R1591" s="39">
        <f>[1]节奏总纲!AD1591</f>
        <v>106.33129730346607</v>
      </c>
      <c r="S1591" s="39">
        <f>[1]节奏总纲!AE1591</f>
        <v>108.6465694278285</v>
      </c>
      <c r="T1591" s="39">
        <f>[1]节奏总纲!AF1591</f>
        <v>111.80361503083188</v>
      </c>
      <c r="U1591" s="39">
        <f>[1]节奏总纲!AG1591</f>
        <v>116.72395609608931</v>
      </c>
      <c r="V1591" s="39">
        <f>[1]节奏总纲!AH1591</f>
        <v>125.77877278564425</v>
      </c>
    </row>
    <row r="1592" spans="17:22" x14ac:dyDescent="0.15">
      <c r="Q1592" s="38">
        <v>1589</v>
      </c>
      <c r="R1592" s="39">
        <f>[1]节奏总纲!AD1592</f>
        <v>106.34027403315542</v>
      </c>
      <c r="S1592" s="39">
        <f>[1]节奏总纲!AE1592</f>
        <v>108.65619687445511</v>
      </c>
      <c r="T1592" s="39">
        <f>[1]节奏总纲!AF1592</f>
        <v>111.81279617691277</v>
      </c>
      <c r="U1592" s="39">
        <f>[1]节奏总纲!AG1592</f>
        <v>116.73312939775275</v>
      </c>
      <c r="V1592" s="39">
        <f>[1]节奏总纲!AH1592</f>
        <v>125.78874107838644</v>
      </c>
    </row>
    <row r="1593" spans="17:22" x14ac:dyDescent="0.15">
      <c r="Q1593" s="38">
        <v>1590</v>
      </c>
      <c r="R1593" s="39">
        <f>[1]节奏总纲!AD1593</f>
        <v>106.34925076284478</v>
      </c>
      <c r="S1593" s="39">
        <f>[1]节奏总纲!AE1593</f>
        <v>108.66582432108173</v>
      </c>
      <c r="T1593" s="39">
        <f>[1]节奏总纲!AF1593</f>
        <v>111.82197732299366</v>
      </c>
      <c r="U1593" s="39">
        <f>[1]节奏总纲!AG1593</f>
        <v>116.7423026994162</v>
      </c>
      <c r="V1593" s="39">
        <f>[1]节奏总纲!AH1593</f>
        <v>125.79870937112862</v>
      </c>
    </row>
    <row r="1594" spans="17:22" x14ac:dyDescent="0.15">
      <c r="Q1594" s="38">
        <v>1591</v>
      </c>
      <c r="R1594" s="39">
        <f>[1]节奏总纲!AD1594</f>
        <v>106.35822749253413</v>
      </c>
      <c r="S1594" s="39">
        <f>[1]节奏总纲!AE1594</f>
        <v>108.67545176770834</v>
      </c>
      <c r="T1594" s="39">
        <f>[1]节奏总纲!AF1594</f>
        <v>111.83115846907455</v>
      </c>
      <c r="U1594" s="39">
        <f>[1]节奏总纲!AG1594</f>
        <v>116.75147600107964</v>
      </c>
      <c r="V1594" s="39">
        <f>[1]节奏总纲!AH1594</f>
        <v>125.80867766387081</v>
      </c>
    </row>
    <row r="1595" spans="17:22" x14ac:dyDescent="0.15">
      <c r="Q1595" s="38">
        <v>1592</v>
      </c>
      <c r="R1595" s="39">
        <f>[1]节奏总纲!AD1595</f>
        <v>106.36720422222346</v>
      </c>
      <c r="S1595" s="39">
        <f>[1]节奏总纲!AE1595</f>
        <v>108.68507921433495</v>
      </c>
      <c r="T1595" s="39">
        <f>[1]节奏总纲!AF1595</f>
        <v>111.84033961515544</v>
      </c>
      <c r="U1595" s="39">
        <f>[1]节奏总纲!AG1595</f>
        <v>116.76064930274308</v>
      </c>
      <c r="V1595" s="39">
        <f>[1]节奏总纲!AH1595</f>
        <v>125.818645956613</v>
      </c>
    </row>
    <row r="1596" spans="17:22" x14ac:dyDescent="0.15">
      <c r="Q1596" s="38">
        <v>1593</v>
      </c>
      <c r="R1596" s="39">
        <f>[1]节奏总纲!AD1596</f>
        <v>106.37618095191281</v>
      </c>
      <c r="S1596" s="39">
        <f>[1]节奏总纲!AE1596</f>
        <v>108.69470666096157</v>
      </c>
      <c r="T1596" s="39">
        <f>[1]节奏总纲!AF1596</f>
        <v>111.84952076123633</v>
      </c>
      <c r="U1596" s="39">
        <f>[1]节奏总纲!AG1596</f>
        <v>116.76982260440653</v>
      </c>
      <c r="V1596" s="39">
        <f>[1]节奏总纲!AH1596</f>
        <v>125.82861424935518</v>
      </c>
    </row>
    <row r="1597" spans="17:22" x14ac:dyDescent="0.15">
      <c r="Q1597" s="38">
        <v>1594</v>
      </c>
      <c r="R1597" s="39">
        <f>[1]节奏总纲!AD1597</f>
        <v>106.38515768160217</v>
      </c>
      <c r="S1597" s="39">
        <f>[1]节奏总纲!AE1597</f>
        <v>108.70433410758818</v>
      </c>
      <c r="T1597" s="39">
        <f>[1]节奏总纲!AF1597</f>
        <v>111.85870190731723</v>
      </c>
      <c r="U1597" s="39">
        <f>[1]节奏总纲!AG1597</f>
        <v>116.77899590606997</v>
      </c>
      <c r="V1597" s="39">
        <f>[1]节奏总纲!AH1597</f>
        <v>125.83858254209737</v>
      </c>
    </row>
    <row r="1598" spans="17:22" x14ac:dyDescent="0.15">
      <c r="Q1598" s="38">
        <v>1595</v>
      </c>
      <c r="R1598" s="39">
        <f>[1]节奏总纲!AD1598</f>
        <v>106.39413441129152</v>
      </c>
      <c r="S1598" s="39">
        <f>[1]节奏总纲!AE1598</f>
        <v>108.71396155421479</v>
      </c>
      <c r="T1598" s="39">
        <f>[1]节奏总纲!AF1598</f>
        <v>111.86788305339812</v>
      </c>
      <c r="U1598" s="39">
        <f>[1]节奏总纲!AG1598</f>
        <v>116.7881692077334</v>
      </c>
      <c r="V1598" s="39">
        <f>[1]节奏总纲!AH1598</f>
        <v>125.84855083483956</v>
      </c>
    </row>
    <row r="1599" spans="17:22" x14ac:dyDescent="0.15">
      <c r="Q1599" s="38">
        <v>1596</v>
      </c>
      <c r="R1599" s="39">
        <f>[1]节奏总纲!AD1599</f>
        <v>106.40311114098087</v>
      </c>
      <c r="S1599" s="39">
        <f>[1]节奏总纲!AE1599</f>
        <v>108.72358900084141</v>
      </c>
      <c r="T1599" s="39">
        <f>[1]节奏总纲!AF1599</f>
        <v>111.87706419947901</v>
      </c>
      <c r="U1599" s="39">
        <f>[1]节奏总纲!AG1599</f>
        <v>116.79734250939686</v>
      </c>
      <c r="V1599" s="39">
        <f>[1]节奏总纲!AH1599</f>
        <v>125.85851912758173</v>
      </c>
    </row>
    <row r="1600" spans="17:22" x14ac:dyDescent="0.15">
      <c r="Q1600" s="38">
        <v>1597</v>
      </c>
      <c r="R1600" s="39">
        <f>[1]节奏总纲!AD1600</f>
        <v>106.41208787067022</v>
      </c>
      <c r="S1600" s="39">
        <f>[1]节奏总纲!AE1600</f>
        <v>108.73321644746802</v>
      </c>
      <c r="T1600" s="39">
        <f>[1]节奏总纲!AF1600</f>
        <v>111.8862453455599</v>
      </c>
      <c r="U1600" s="39">
        <f>[1]节奏总纲!AG1600</f>
        <v>116.80651581106029</v>
      </c>
      <c r="V1600" s="39">
        <f>[1]节奏总纲!AH1600</f>
        <v>125.86848742032392</v>
      </c>
    </row>
    <row r="1601" spans="17:22" x14ac:dyDescent="0.15">
      <c r="Q1601" s="38">
        <v>1598</v>
      </c>
      <c r="R1601" s="39">
        <f>[1]节奏总纲!AD1601</f>
        <v>106.42106460035957</v>
      </c>
      <c r="S1601" s="39">
        <f>[1]节奏总纲!AE1601</f>
        <v>108.74284389409463</v>
      </c>
      <c r="T1601" s="39">
        <f>[1]节奏总纲!AF1601</f>
        <v>111.89542649164079</v>
      </c>
      <c r="U1601" s="39">
        <f>[1]节奏总纲!AG1601</f>
        <v>116.81568911272373</v>
      </c>
      <c r="V1601" s="39">
        <f>[1]节奏总纲!AH1601</f>
        <v>125.8784557130661</v>
      </c>
    </row>
    <row r="1602" spans="17:22" x14ac:dyDescent="0.15">
      <c r="Q1602" s="38">
        <v>1599</v>
      </c>
      <c r="R1602" s="39">
        <f>[1]节奏总纲!AD1602</f>
        <v>106.43004133004892</v>
      </c>
      <c r="S1602" s="39">
        <f>[1]节奏总纲!AE1602</f>
        <v>108.75247134072126</v>
      </c>
      <c r="T1602" s="39">
        <f>[1]节奏总纲!AF1602</f>
        <v>111.90460763772168</v>
      </c>
      <c r="U1602" s="39">
        <f>[1]节奏总纲!AG1602</f>
        <v>116.82486241438718</v>
      </c>
      <c r="V1602" s="39">
        <f>[1]节奏总纲!AH1602</f>
        <v>125.88842400580829</v>
      </c>
    </row>
    <row r="1603" spans="17:22" x14ac:dyDescent="0.15">
      <c r="Q1603" s="38">
        <v>1600</v>
      </c>
      <c r="R1603" s="39">
        <f>[1]节奏总纲!AD1603</f>
        <v>106.43901805973827</v>
      </c>
      <c r="S1603" s="39">
        <f>[1]节奏总纲!AE1603</f>
        <v>108.76209878734787</v>
      </c>
      <c r="T1603" s="39">
        <f>[1]节奏总纲!AF1603</f>
        <v>111.91378878380257</v>
      </c>
      <c r="U1603" s="39">
        <f>[1]节奏总纲!AG1603</f>
        <v>116.83403571605062</v>
      </c>
      <c r="V1603" s="39">
        <f>[1]节奏总纲!AH1603</f>
        <v>125.89839229855048</v>
      </c>
    </row>
    <row r="1604" spans="17:22" x14ac:dyDescent="0.15">
      <c r="Q1604" s="38">
        <v>1601</v>
      </c>
      <c r="R1604" s="39">
        <f>[1]节奏总纲!AD1604</f>
        <v>106.44799478942763</v>
      </c>
      <c r="S1604" s="39">
        <f>[1]节奏总纲!AE1604</f>
        <v>108.77172623397448</v>
      </c>
      <c r="T1604" s="39">
        <f>[1]节奏总纲!AF1604</f>
        <v>111.92296992988346</v>
      </c>
      <c r="U1604" s="39">
        <f>[1]节奏总纲!AG1604</f>
        <v>116.84320901771407</v>
      </c>
      <c r="V1604" s="39">
        <f>[1]节奏总纲!AH1604</f>
        <v>125.90836059129266</v>
      </c>
    </row>
    <row r="1605" spans="17:22" x14ac:dyDescent="0.15">
      <c r="Q1605" s="38">
        <v>1602</v>
      </c>
      <c r="R1605" s="39">
        <f>[1]节奏总纲!AD1605</f>
        <v>106.45697151911698</v>
      </c>
      <c r="S1605" s="39">
        <f>[1]节奏总纲!AE1605</f>
        <v>108.78135368060109</v>
      </c>
      <c r="T1605" s="39">
        <f>[1]节奏总纲!AF1605</f>
        <v>111.93215107596436</v>
      </c>
      <c r="U1605" s="39">
        <f>[1]节奏总纲!AG1605</f>
        <v>116.85238231937751</v>
      </c>
      <c r="V1605" s="39">
        <f>[1]节奏总纲!AH1605</f>
        <v>125.91832888403485</v>
      </c>
    </row>
    <row r="1606" spans="17:22" x14ac:dyDescent="0.15">
      <c r="Q1606" s="38">
        <v>1603</v>
      </c>
      <c r="R1606" s="39">
        <f>[1]节奏总纲!AD1606</f>
        <v>106.46594824880633</v>
      </c>
      <c r="S1606" s="39">
        <f>[1]节奏总纲!AE1606</f>
        <v>108.79098112722771</v>
      </c>
      <c r="T1606" s="39">
        <f>[1]节奏总纲!AF1606</f>
        <v>111.94133222204525</v>
      </c>
      <c r="U1606" s="39">
        <f>[1]节奏总纲!AG1606</f>
        <v>116.86155562104095</v>
      </c>
      <c r="V1606" s="39">
        <f>[1]节奏总纲!AH1606</f>
        <v>125.92829717677704</v>
      </c>
    </row>
    <row r="1607" spans="17:22" x14ac:dyDescent="0.15">
      <c r="Q1607" s="38">
        <v>1604</v>
      </c>
      <c r="R1607" s="39">
        <f>[1]节奏总纲!AD1607</f>
        <v>106.47492497849568</v>
      </c>
      <c r="S1607" s="39">
        <f>[1]节奏总纲!AE1607</f>
        <v>108.80060857385432</v>
      </c>
      <c r="T1607" s="39">
        <f>[1]节奏总纲!AF1607</f>
        <v>111.95051336812614</v>
      </c>
      <c r="U1607" s="39">
        <f>[1]节奏总纲!AG1607</f>
        <v>116.8707289227044</v>
      </c>
      <c r="V1607" s="39">
        <f>[1]节奏总纲!AH1607</f>
        <v>125.93826546951922</v>
      </c>
    </row>
    <row r="1608" spans="17:22" x14ac:dyDescent="0.15">
      <c r="Q1608" s="38">
        <v>1605</v>
      </c>
      <c r="R1608" s="39">
        <f>[1]节奏总纲!AD1608</f>
        <v>106.48390170818503</v>
      </c>
      <c r="S1608" s="39">
        <f>[1]节奏总纲!AE1608</f>
        <v>108.81023602048093</v>
      </c>
      <c r="T1608" s="39">
        <f>[1]节奏总纲!AF1608</f>
        <v>111.95969451420702</v>
      </c>
      <c r="U1608" s="39">
        <f>[1]节奏总纲!AG1608</f>
        <v>116.87990222436784</v>
      </c>
      <c r="V1608" s="39">
        <f>[1]节奏总纲!AH1608</f>
        <v>125.94823376226141</v>
      </c>
    </row>
    <row r="1609" spans="17:22" x14ac:dyDescent="0.15">
      <c r="Q1609" s="38">
        <v>1606</v>
      </c>
      <c r="R1609" s="39">
        <f>[1]节奏总纲!AD1609</f>
        <v>106.49287843787438</v>
      </c>
      <c r="S1609" s="39">
        <f>[1]节奏总纲!AE1609</f>
        <v>108.81986346710755</v>
      </c>
      <c r="T1609" s="39">
        <f>[1]节奏总纲!AF1609</f>
        <v>111.96887566028791</v>
      </c>
      <c r="U1609" s="39">
        <f>[1]节奏总纲!AG1609</f>
        <v>116.88907552603128</v>
      </c>
      <c r="V1609" s="39">
        <f>[1]节奏总纲!AH1609</f>
        <v>125.9582020550036</v>
      </c>
    </row>
    <row r="1610" spans="17:22" x14ac:dyDescent="0.15">
      <c r="Q1610" s="38">
        <v>1607</v>
      </c>
      <c r="R1610" s="39">
        <f>[1]节奏总纲!AD1610</f>
        <v>106.50185516756373</v>
      </c>
      <c r="S1610" s="39">
        <f>[1]节奏总纲!AE1610</f>
        <v>108.82949091373416</v>
      </c>
      <c r="T1610" s="39">
        <f>[1]节奏总纲!AF1610</f>
        <v>111.9780568063688</v>
      </c>
      <c r="U1610" s="39">
        <f>[1]节奏总纲!AG1610</f>
        <v>116.89824882769473</v>
      </c>
      <c r="V1610" s="39">
        <f>[1]节奏总纲!AH1610</f>
        <v>125.96817034774578</v>
      </c>
    </row>
    <row r="1611" spans="17:22" x14ac:dyDescent="0.15">
      <c r="Q1611" s="38">
        <v>1608</v>
      </c>
      <c r="R1611" s="39">
        <f>[1]节奏总纲!AD1611</f>
        <v>106.51083189725308</v>
      </c>
      <c r="S1611" s="39">
        <f>[1]节奏总纲!AE1611</f>
        <v>108.83911836036077</v>
      </c>
      <c r="T1611" s="39">
        <f>[1]节奏总纲!AF1611</f>
        <v>111.98723795244969</v>
      </c>
      <c r="U1611" s="39">
        <f>[1]节奏总纲!AG1611</f>
        <v>116.90742212935817</v>
      </c>
      <c r="V1611" s="39">
        <f>[1]节奏总纲!AH1611</f>
        <v>125.97813864048797</v>
      </c>
    </row>
    <row r="1612" spans="17:22" x14ac:dyDescent="0.15">
      <c r="Q1612" s="38">
        <v>1609</v>
      </c>
      <c r="R1612" s="39">
        <f>[1]节奏总纲!AD1612</f>
        <v>106.51980862694244</v>
      </c>
      <c r="S1612" s="39">
        <f>[1]节奏总纲!AE1612</f>
        <v>108.8487458069874</v>
      </c>
      <c r="T1612" s="39">
        <f>[1]节奏总纲!AF1612</f>
        <v>111.99641909853058</v>
      </c>
      <c r="U1612" s="39">
        <f>[1]节奏总纲!AG1612</f>
        <v>116.91659543102161</v>
      </c>
      <c r="V1612" s="39">
        <f>[1]节奏总纲!AH1612</f>
        <v>125.98810693323016</v>
      </c>
    </row>
    <row r="1613" spans="17:22" x14ac:dyDescent="0.15">
      <c r="Q1613" s="38">
        <v>1610</v>
      </c>
      <c r="R1613" s="39">
        <f>[1]节奏总纲!AD1613</f>
        <v>106.52878535663179</v>
      </c>
      <c r="S1613" s="39">
        <f>[1]节奏总纲!AE1613</f>
        <v>108.858373253614</v>
      </c>
      <c r="T1613" s="39">
        <f>[1]节奏总纲!AF1613</f>
        <v>112.00519900172145</v>
      </c>
      <c r="U1613" s="39">
        <f>[1]节奏总纲!AG1613</f>
        <v>116.92576873268506</v>
      </c>
      <c r="V1613" s="39">
        <f>[1]节奏总纲!AH1613</f>
        <v>125.99807522597234</v>
      </c>
    </row>
    <row r="1614" spans="17:22" x14ac:dyDescent="0.15">
      <c r="Q1614" s="38">
        <v>1611</v>
      </c>
      <c r="R1614" s="39">
        <f>[1]节奏总纲!AD1614</f>
        <v>106.53776208632114</v>
      </c>
      <c r="S1614" s="39">
        <f>[1]节奏总纲!AE1614</f>
        <v>108.86800070024061</v>
      </c>
      <c r="T1614" s="39">
        <f>[1]节奏总纲!AF1614</f>
        <v>112.01372234268081</v>
      </c>
      <c r="U1614" s="39">
        <f>[1]节奏总纲!AG1614</f>
        <v>116.9349420343485</v>
      </c>
      <c r="V1614" s="39">
        <f>[1]节奏总纲!AH1614</f>
        <v>126.00736231565979</v>
      </c>
    </row>
    <row r="1615" spans="17:22" x14ac:dyDescent="0.15">
      <c r="Q1615" s="38">
        <v>1612</v>
      </c>
      <c r="R1615" s="39">
        <f>[1]节奏总纲!AD1615</f>
        <v>106.54673881601049</v>
      </c>
      <c r="S1615" s="39">
        <f>[1]节奏总纲!AE1615</f>
        <v>108.87762814686724</v>
      </c>
      <c r="T1615" s="39">
        <f>[1]节奏总纲!AF1615</f>
        <v>112.02224568364018</v>
      </c>
      <c r="U1615" s="39">
        <f>[1]节奏总纲!AG1615</f>
        <v>116.94411533601193</v>
      </c>
      <c r="V1615" s="39">
        <f>[1]节奏总纲!AH1615</f>
        <v>126.0164863968439</v>
      </c>
    </row>
    <row r="1616" spans="17:22" x14ac:dyDescent="0.15">
      <c r="Q1616" s="38">
        <v>1613</v>
      </c>
      <c r="R1616" s="39">
        <f>[1]节奏总纲!AD1616</f>
        <v>106.55571554569984</v>
      </c>
      <c r="S1616" s="39">
        <f>[1]节奏总纲!AE1616</f>
        <v>108.88725559349385</v>
      </c>
      <c r="T1616" s="39">
        <f>[1]节奏总纲!AF1616</f>
        <v>112.03076902459954</v>
      </c>
      <c r="U1616" s="39">
        <f>[1]节奏总纲!AG1616</f>
        <v>116.95328863767539</v>
      </c>
      <c r="V1616" s="39">
        <f>[1]节奏总纲!AH1616</f>
        <v>126.025610478028</v>
      </c>
    </row>
    <row r="1617" spans="17:22" x14ac:dyDescent="0.15">
      <c r="Q1617" s="38">
        <v>1614</v>
      </c>
      <c r="R1617" s="39">
        <f>[1]节奏总纲!AD1617</f>
        <v>106.56469227538919</v>
      </c>
      <c r="S1617" s="39">
        <f>[1]节奏总纲!AE1617</f>
        <v>108.89688304012046</v>
      </c>
      <c r="T1617" s="39">
        <f>[1]节奏总纲!AF1617</f>
        <v>112.03929236555889</v>
      </c>
      <c r="U1617" s="39">
        <f>[1]节奏总纲!AG1617</f>
        <v>116.96246193933882</v>
      </c>
      <c r="V1617" s="39">
        <f>[1]节奏总纲!AH1617</f>
        <v>126.03473455921211</v>
      </c>
    </row>
    <row r="1618" spans="17:22" x14ac:dyDescent="0.15">
      <c r="Q1618" s="38">
        <v>1615</v>
      </c>
      <c r="R1618" s="39">
        <f>[1]节奏总纲!AD1618</f>
        <v>106.57366900507854</v>
      </c>
      <c r="S1618" s="39">
        <f>[1]节奏总纲!AE1618</f>
        <v>108.90651048674707</v>
      </c>
      <c r="T1618" s="39">
        <f>[1]节奏总纲!AF1618</f>
        <v>112.04781570651826</v>
      </c>
      <c r="U1618" s="39">
        <f>[1]节奏总纲!AG1618</f>
        <v>116.97163524100226</v>
      </c>
      <c r="V1618" s="39">
        <f>[1]节奏总纲!AH1618</f>
        <v>126.04385864039621</v>
      </c>
    </row>
    <row r="1619" spans="17:22" x14ac:dyDescent="0.15">
      <c r="Q1619" s="38">
        <v>1616</v>
      </c>
      <c r="R1619" s="39">
        <f>[1]节奏总纲!AD1619</f>
        <v>106.58264573476789</v>
      </c>
      <c r="S1619" s="39">
        <f>[1]节奏总纲!AE1619</f>
        <v>108.91613793337369</v>
      </c>
      <c r="T1619" s="39">
        <f>[1]节奏总纲!AF1619</f>
        <v>112.05633904747762</v>
      </c>
      <c r="U1619" s="39">
        <f>[1]节奏总纲!AG1619</f>
        <v>116.98080854266571</v>
      </c>
      <c r="V1619" s="39">
        <f>[1]节奏总纲!AH1619</f>
        <v>126.05298272158032</v>
      </c>
    </row>
    <row r="1620" spans="17:22" x14ac:dyDescent="0.15">
      <c r="Q1620" s="38">
        <v>1617</v>
      </c>
      <c r="R1620" s="39">
        <f>[1]节奏总纲!AD1620</f>
        <v>106.59162246445725</v>
      </c>
      <c r="S1620" s="39">
        <f>[1]节奏总纲!AE1620</f>
        <v>108.9257653800003</v>
      </c>
      <c r="T1620" s="39">
        <f>[1]节奏总纲!AF1620</f>
        <v>112.06486238843699</v>
      </c>
      <c r="U1620" s="39">
        <f>[1]节奏总纲!AG1620</f>
        <v>116.98998184432915</v>
      </c>
      <c r="V1620" s="39">
        <f>[1]节奏总纲!AH1620</f>
        <v>126.06210680276442</v>
      </c>
    </row>
    <row r="1621" spans="17:22" x14ac:dyDescent="0.15">
      <c r="Q1621" s="38">
        <v>1618</v>
      </c>
      <c r="R1621" s="39">
        <f>[1]节奏总纲!AD1621</f>
        <v>106.6005991941466</v>
      </c>
      <c r="S1621" s="39">
        <f>[1]节奏总纲!AE1621</f>
        <v>108.93539282662691</v>
      </c>
      <c r="T1621" s="39">
        <f>[1]节奏总纲!AF1621</f>
        <v>112.07338572939635</v>
      </c>
      <c r="U1621" s="39">
        <f>[1]节奏总纲!AG1621</f>
        <v>116.99915514599259</v>
      </c>
      <c r="V1621" s="39">
        <f>[1]节奏总纲!AH1621</f>
        <v>126.07123088394853</v>
      </c>
    </row>
    <row r="1622" spans="17:22" x14ac:dyDescent="0.15">
      <c r="Q1622" s="38">
        <v>1619</v>
      </c>
      <c r="R1622" s="39">
        <f>[1]节奏总纲!AD1622</f>
        <v>106.60957592383595</v>
      </c>
      <c r="S1622" s="39">
        <f>[1]节奏总纲!AE1622</f>
        <v>108.94502027325353</v>
      </c>
      <c r="T1622" s="39">
        <f>[1]节奏总纲!AF1622</f>
        <v>112.08190907035571</v>
      </c>
      <c r="U1622" s="39">
        <f>[1]节奏总纲!AG1622</f>
        <v>117.00760517830332</v>
      </c>
      <c r="V1622" s="39">
        <f>[1]节奏总纲!AH1622</f>
        <v>126.08035496513264</v>
      </c>
    </row>
    <row r="1623" spans="17:22" x14ac:dyDescent="0.15">
      <c r="Q1623" s="38">
        <v>1620</v>
      </c>
      <c r="R1623" s="39">
        <f>[1]节奏总纲!AD1623</f>
        <v>106.6185526535253</v>
      </c>
      <c r="S1623" s="39">
        <f>[1]节奏总纲!AE1623</f>
        <v>108.95464771988014</v>
      </c>
      <c r="T1623" s="39">
        <f>[1]节奏总纲!AF1623</f>
        <v>112.09043241131508</v>
      </c>
      <c r="U1623" s="39">
        <f>[1]节奏总纲!AG1623</f>
        <v>117.01598184075736</v>
      </c>
      <c r="V1623" s="39">
        <f>[1]节奏总纲!AH1623</f>
        <v>126.08947904631674</v>
      </c>
    </row>
    <row r="1624" spans="17:22" x14ac:dyDescent="0.15">
      <c r="Q1624" s="38">
        <v>1621</v>
      </c>
      <c r="R1624" s="39">
        <f>[1]节奏总纲!AD1624</f>
        <v>106.62752938321465</v>
      </c>
      <c r="S1624" s="39">
        <f>[1]节奏总纲!AE1624</f>
        <v>108.96427516650675</v>
      </c>
      <c r="T1624" s="39">
        <f>[1]节奏总纲!AF1624</f>
        <v>112.09895575227443</v>
      </c>
      <c r="U1624" s="39">
        <f>[1]节奏总纲!AG1624</f>
        <v>117.02435850321139</v>
      </c>
      <c r="V1624" s="39">
        <f>[1]节奏总纲!AH1624</f>
        <v>126.09860312750085</v>
      </c>
    </row>
    <row r="1625" spans="17:22" x14ac:dyDescent="0.15">
      <c r="Q1625" s="38">
        <v>1622</v>
      </c>
      <c r="R1625" s="39">
        <f>[1]节奏总纲!AD1625</f>
        <v>106.636506112904</v>
      </c>
      <c r="S1625" s="39">
        <f>[1]节奏总纲!AE1625</f>
        <v>108.97390261313338</v>
      </c>
      <c r="T1625" s="39">
        <f>[1]节奏总纲!AF1625</f>
        <v>112.10747909323381</v>
      </c>
      <c r="U1625" s="39">
        <f>[1]节奏总纲!AG1625</f>
        <v>117.03273516566541</v>
      </c>
      <c r="V1625" s="39">
        <f>[1]节奏总纲!AH1625</f>
        <v>126.10772720868495</v>
      </c>
    </row>
    <row r="1626" spans="17:22" x14ac:dyDescent="0.15">
      <c r="Q1626" s="38">
        <v>1623</v>
      </c>
      <c r="R1626" s="39">
        <f>[1]节奏总纲!AD1626</f>
        <v>106.64548284259335</v>
      </c>
      <c r="S1626" s="39">
        <f>[1]节奏总纲!AE1626</f>
        <v>108.98353005975999</v>
      </c>
      <c r="T1626" s="39">
        <f>[1]节奏总纲!AF1626</f>
        <v>112.11600243419316</v>
      </c>
      <c r="U1626" s="39">
        <f>[1]节奏总纲!AG1626</f>
        <v>117.04111182811945</v>
      </c>
      <c r="V1626" s="39">
        <f>[1]节奏总纲!AH1626</f>
        <v>126.11685128986906</v>
      </c>
    </row>
    <row r="1627" spans="17:22" x14ac:dyDescent="0.15">
      <c r="Q1627" s="38">
        <v>1624</v>
      </c>
      <c r="R1627" s="39">
        <f>[1]节奏总纲!AD1627</f>
        <v>106.6544595722827</v>
      </c>
      <c r="S1627" s="39">
        <f>[1]节奏总纲!AE1627</f>
        <v>108.99315750638659</v>
      </c>
      <c r="T1627" s="39">
        <f>[1]节奏总纲!AF1627</f>
        <v>112.12452577515252</v>
      </c>
      <c r="U1627" s="39">
        <f>[1]节奏总纲!AG1627</f>
        <v>117.04948849057348</v>
      </c>
      <c r="V1627" s="39">
        <f>[1]节奏总纲!AH1627</f>
        <v>126.12597537105316</v>
      </c>
    </row>
    <row r="1628" spans="17:22" x14ac:dyDescent="0.15">
      <c r="Q1628" s="38">
        <v>1625</v>
      </c>
      <c r="R1628" s="39">
        <f>[1]节奏总纲!AD1628</f>
        <v>106.66343630197206</v>
      </c>
      <c r="S1628" s="39">
        <f>[1]节奏总纲!AE1628</f>
        <v>109.00247935930663</v>
      </c>
      <c r="T1628" s="39">
        <f>[1]节奏总纲!AF1628</f>
        <v>112.13304911611189</v>
      </c>
      <c r="U1628" s="39">
        <f>[1]节奏总纲!AG1628</f>
        <v>117.05786515302751</v>
      </c>
      <c r="V1628" s="39">
        <f>[1]节奏总纲!AH1628</f>
        <v>126.13509945223727</v>
      </c>
    </row>
    <row r="1629" spans="17:22" x14ac:dyDescent="0.15">
      <c r="Q1629" s="38">
        <v>1626</v>
      </c>
      <c r="R1629" s="39">
        <f>[1]节奏总纲!AD1629</f>
        <v>106.67241303166141</v>
      </c>
      <c r="S1629" s="39">
        <f>[1]节奏总纲!AE1629</f>
        <v>109.01105038340633</v>
      </c>
      <c r="T1629" s="39">
        <f>[1]节奏总纲!AF1629</f>
        <v>112.14157245707125</v>
      </c>
      <c r="U1629" s="39">
        <f>[1]节奏总纲!AG1629</f>
        <v>117.06624181548153</v>
      </c>
      <c r="V1629" s="39">
        <f>[1]节奏总纲!AH1629</f>
        <v>126.14422353342138</v>
      </c>
    </row>
    <row r="1630" spans="17:22" x14ac:dyDescent="0.15">
      <c r="Q1630" s="38">
        <v>1627</v>
      </c>
      <c r="R1630" s="39">
        <f>[1]节奏总纲!AD1630</f>
        <v>106.68138976135076</v>
      </c>
      <c r="S1630" s="39">
        <f>[1]节奏总纲!AE1630</f>
        <v>109.01962140750604</v>
      </c>
      <c r="T1630" s="39">
        <f>[1]节奏总纲!AF1630</f>
        <v>112.15009579803061</v>
      </c>
      <c r="U1630" s="39">
        <f>[1]节奏总纲!AG1630</f>
        <v>117.07461847793557</v>
      </c>
      <c r="V1630" s="39">
        <f>[1]节奏总纲!AH1630</f>
        <v>126.15334761460548</v>
      </c>
    </row>
    <row r="1631" spans="17:22" x14ac:dyDescent="0.15">
      <c r="Q1631" s="38">
        <v>1628</v>
      </c>
      <c r="R1631" s="39">
        <f>[1]节奏总纲!AD1631</f>
        <v>106.69036649104011</v>
      </c>
      <c r="S1631" s="39">
        <f>[1]节奏总纲!AE1631</f>
        <v>109.02819243160575</v>
      </c>
      <c r="T1631" s="39">
        <f>[1]节奏总纲!AF1631</f>
        <v>112.15861913898998</v>
      </c>
      <c r="U1631" s="39">
        <f>[1]节奏总纲!AG1631</f>
        <v>117.0829951403896</v>
      </c>
      <c r="V1631" s="39">
        <f>[1]节奏总纲!AH1631</f>
        <v>126.16247169578959</v>
      </c>
    </row>
    <row r="1632" spans="17:22" x14ac:dyDescent="0.15">
      <c r="Q1632" s="38">
        <v>1629</v>
      </c>
      <c r="R1632" s="39">
        <f>[1]节奏总纲!AD1632</f>
        <v>106.69934322072946</v>
      </c>
      <c r="S1632" s="39">
        <f>[1]节奏总纲!AE1632</f>
        <v>109.03676345570544</v>
      </c>
      <c r="T1632" s="39">
        <f>[1]节奏总纲!AF1632</f>
        <v>112.16714247994933</v>
      </c>
      <c r="U1632" s="39">
        <f>[1]节奏总纲!AG1632</f>
        <v>117.09137180284363</v>
      </c>
      <c r="V1632" s="39">
        <f>[1]节奏总纲!AH1632</f>
        <v>126.17159577697369</v>
      </c>
    </row>
    <row r="1633" spans="17:22" x14ac:dyDescent="0.15">
      <c r="Q1633" s="38">
        <v>1630</v>
      </c>
      <c r="R1633" s="39">
        <f>[1]节奏总纲!AD1633</f>
        <v>106.70831995041881</v>
      </c>
      <c r="S1633" s="39">
        <f>[1]节奏总纲!AE1633</f>
        <v>109.04533447980515</v>
      </c>
      <c r="T1633" s="39">
        <f>[1]节奏总纲!AF1633</f>
        <v>112.1756658209087</v>
      </c>
      <c r="U1633" s="39">
        <f>[1]节奏总纲!AG1633</f>
        <v>117.09974846529767</v>
      </c>
      <c r="V1633" s="39">
        <f>[1]节奏总纲!AH1633</f>
        <v>126.1807198581578</v>
      </c>
    </row>
    <row r="1634" spans="17:22" x14ac:dyDescent="0.15">
      <c r="Q1634" s="38">
        <v>1631</v>
      </c>
      <c r="R1634" s="39">
        <f>[1]节奏总纲!AD1634</f>
        <v>106.71729668010816</v>
      </c>
      <c r="S1634" s="39">
        <f>[1]节奏总纲!AE1634</f>
        <v>109.05390550390484</v>
      </c>
      <c r="T1634" s="39">
        <f>[1]节奏总纲!AF1634</f>
        <v>112.18418916186806</v>
      </c>
      <c r="U1634" s="39">
        <f>[1]节奏总纲!AG1634</f>
        <v>117.10812512775169</v>
      </c>
      <c r="V1634" s="39">
        <f>[1]节奏总纲!AH1634</f>
        <v>126.1898439393419</v>
      </c>
    </row>
    <row r="1635" spans="17:22" x14ac:dyDescent="0.15">
      <c r="Q1635" s="38">
        <v>1632</v>
      </c>
      <c r="R1635" s="39">
        <f>[1]节奏总纲!AD1635</f>
        <v>106.72627340979751</v>
      </c>
      <c r="S1635" s="39">
        <f>[1]节奏总纲!AE1635</f>
        <v>109.06247652800455</v>
      </c>
      <c r="T1635" s="39">
        <f>[1]节奏总纲!AF1635</f>
        <v>112.19271250282742</v>
      </c>
      <c r="U1635" s="39">
        <f>[1]节奏总纲!AG1635</f>
        <v>117.11650179020572</v>
      </c>
      <c r="V1635" s="39">
        <f>[1]节奏总纲!AH1635</f>
        <v>126.19896802052601</v>
      </c>
    </row>
    <row r="1636" spans="17:22" x14ac:dyDescent="0.15">
      <c r="Q1636" s="38">
        <v>1633</v>
      </c>
      <c r="R1636" s="39">
        <f>[1]节奏总纲!AD1636</f>
        <v>106.73525013948687</v>
      </c>
      <c r="S1636" s="39">
        <f>[1]节奏总纲!AE1636</f>
        <v>109.07104755210426</v>
      </c>
      <c r="T1636" s="39">
        <f>[1]节奏总纲!AF1636</f>
        <v>112.20123584378679</v>
      </c>
      <c r="U1636" s="39">
        <f>[1]节奏总纲!AG1636</f>
        <v>117.12487845265974</v>
      </c>
      <c r="V1636" s="39">
        <f>[1]节奏总纲!AH1636</f>
        <v>126.20809210171011</v>
      </c>
    </row>
    <row r="1637" spans="17:22" x14ac:dyDescent="0.15">
      <c r="Q1637" s="38">
        <v>1634</v>
      </c>
      <c r="R1637" s="39">
        <f>[1]节奏总纲!AD1637</f>
        <v>106.74422686917622</v>
      </c>
      <c r="S1637" s="39">
        <f>[1]节奏总纲!AE1637</f>
        <v>109.07961857620396</v>
      </c>
      <c r="T1637" s="39">
        <f>[1]节奏总纲!AF1637</f>
        <v>112.20975918474615</v>
      </c>
      <c r="U1637" s="39">
        <f>[1]节奏总纲!AG1637</f>
        <v>117.13325511511378</v>
      </c>
      <c r="V1637" s="39">
        <f>[1]节奏总纲!AH1637</f>
        <v>126.21721618289422</v>
      </c>
    </row>
    <row r="1638" spans="17:22" x14ac:dyDescent="0.15">
      <c r="Q1638" s="38">
        <v>1635</v>
      </c>
      <c r="R1638" s="39">
        <f>[1]节奏总纲!AD1638</f>
        <v>106.75320359886557</v>
      </c>
      <c r="S1638" s="39">
        <f>[1]节奏总纲!AE1638</f>
        <v>109.08818960030366</v>
      </c>
      <c r="T1638" s="39">
        <f>[1]节奏总纲!AF1638</f>
        <v>112.21828252570552</v>
      </c>
      <c r="U1638" s="39">
        <f>[1]节奏总纲!AG1638</f>
        <v>117.14163177756781</v>
      </c>
      <c r="V1638" s="39">
        <f>[1]节奏总纲!AH1638</f>
        <v>126.22634026407833</v>
      </c>
    </row>
    <row r="1639" spans="17:22" x14ac:dyDescent="0.15">
      <c r="Q1639" s="38">
        <v>1636</v>
      </c>
      <c r="R1639" s="39">
        <f>[1]节奏总纲!AD1639</f>
        <v>106.76218032855492</v>
      </c>
      <c r="S1639" s="39">
        <f>[1]节奏总纲!AE1639</f>
        <v>109.09676062440337</v>
      </c>
      <c r="T1639" s="39">
        <f>[1]节奏总纲!AF1639</f>
        <v>112.22680586666488</v>
      </c>
      <c r="U1639" s="39">
        <f>[1]节奏总纲!AG1639</f>
        <v>117.15000844002184</v>
      </c>
      <c r="V1639" s="39">
        <f>[1]节奏总纲!AH1639</f>
        <v>126.23546434526243</v>
      </c>
    </row>
    <row r="1640" spans="17:22" x14ac:dyDescent="0.15">
      <c r="Q1640" s="38">
        <v>1637</v>
      </c>
      <c r="R1640" s="39">
        <f>[1]节奏总纲!AD1640</f>
        <v>106.77115705824427</v>
      </c>
      <c r="S1640" s="39">
        <f>[1]节奏总纲!AE1640</f>
        <v>109.10533164850307</v>
      </c>
      <c r="T1640" s="39">
        <f>[1]节奏总纲!AF1640</f>
        <v>112.23532920762423</v>
      </c>
      <c r="U1640" s="39">
        <f>[1]节奏总纲!AG1640</f>
        <v>117.15838510247588</v>
      </c>
      <c r="V1640" s="39">
        <f>[1]节奏总纲!AH1640</f>
        <v>126.24458842644654</v>
      </c>
    </row>
    <row r="1641" spans="17:22" x14ac:dyDescent="0.15">
      <c r="Q1641" s="38">
        <v>1638</v>
      </c>
      <c r="R1641" s="39">
        <f>[1]节奏总纲!AD1641</f>
        <v>106.78013378793362</v>
      </c>
      <c r="S1641" s="39">
        <f>[1]节奏总纲!AE1641</f>
        <v>109.11390267260278</v>
      </c>
      <c r="T1641" s="39">
        <f>[1]节奏总纲!AF1641</f>
        <v>112.2438525485836</v>
      </c>
      <c r="U1641" s="39">
        <f>[1]节奏总纲!AG1641</f>
        <v>117.1667617649299</v>
      </c>
      <c r="V1641" s="39">
        <f>[1]节奏总纲!AH1641</f>
        <v>126.25371250763064</v>
      </c>
    </row>
    <row r="1642" spans="17:22" x14ac:dyDescent="0.15">
      <c r="Q1642" s="38">
        <v>1639</v>
      </c>
      <c r="R1642" s="39">
        <f>[1]节奏总纲!AD1642</f>
        <v>106.78911051762297</v>
      </c>
      <c r="S1642" s="39">
        <f>[1]节奏总纲!AE1642</f>
        <v>109.12247369670247</v>
      </c>
      <c r="T1642" s="39">
        <f>[1]节奏总纲!AF1642</f>
        <v>112.25237588954296</v>
      </c>
      <c r="U1642" s="39">
        <f>[1]节奏总纲!AG1642</f>
        <v>117.17513842738393</v>
      </c>
      <c r="V1642" s="39">
        <f>[1]节奏总纲!AH1642</f>
        <v>126.26283658881475</v>
      </c>
    </row>
    <row r="1643" spans="17:22" x14ac:dyDescent="0.15">
      <c r="Q1643" s="38">
        <v>1640</v>
      </c>
      <c r="R1643" s="39">
        <f>[1]节奏总纲!AD1643</f>
        <v>106.79808724731232</v>
      </c>
      <c r="S1643" s="39">
        <f>[1]节奏总纲!AE1643</f>
        <v>109.13104472080218</v>
      </c>
      <c r="T1643" s="39">
        <f>[1]节奏总纲!AF1643</f>
        <v>112.26089923050232</v>
      </c>
      <c r="U1643" s="39">
        <f>[1]节奏总纲!AG1643</f>
        <v>117.18351508983797</v>
      </c>
      <c r="V1643" s="39">
        <f>[1]节奏总纲!AH1643</f>
        <v>126.27196066999885</v>
      </c>
    </row>
    <row r="1644" spans="17:22" x14ac:dyDescent="0.15">
      <c r="Q1644" s="38">
        <v>1641</v>
      </c>
      <c r="R1644" s="39">
        <f>[1]节奏总纲!AD1644</f>
        <v>106.80706397700168</v>
      </c>
      <c r="S1644" s="39">
        <f>[1]节奏总纲!AE1644</f>
        <v>109.13961574490189</v>
      </c>
      <c r="T1644" s="39">
        <f>[1]节奏总纲!AF1644</f>
        <v>112.26942257146169</v>
      </c>
      <c r="U1644" s="39">
        <f>[1]节奏总纲!AG1644</f>
        <v>117.19189175229199</v>
      </c>
      <c r="V1644" s="39">
        <f>[1]节奏总纲!AH1644</f>
        <v>126.28108475118296</v>
      </c>
    </row>
    <row r="1645" spans="17:22" x14ac:dyDescent="0.15">
      <c r="Q1645" s="38">
        <v>1642</v>
      </c>
      <c r="R1645" s="39">
        <f>[1]节奏总纲!AD1645</f>
        <v>106.81604070669103</v>
      </c>
      <c r="S1645" s="39">
        <f>[1]节奏总纲!AE1645</f>
        <v>109.14818676900158</v>
      </c>
      <c r="T1645" s="39">
        <f>[1]节奏总纲!AF1645</f>
        <v>112.27794591242105</v>
      </c>
      <c r="U1645" s="39">
        <f>[1]节奏总纲!AG1645</f>
        <v>117.20026841474602</v>
      </c>
      <c r="V1645" s="39">
        <f>[1]节奏总纲!AH1645</f>
        <v>126.29020883236707</v>
      </c>
    </row>
    <row r="1646" spans="17:22" x14ac:dyDescent="0.15">
      <c r="Q1646" s="38">
        <v>1643</v>
      </c>
      <c r="R1646" s="39">
        <f>[1]节奏总纲!AD1646</f>
        <v>106.82501743638038</v>
      </c>
      <c r="S1646" s="39">
        <f>[1]节奏总纲!AE1646</f>
        <v>109.15675779310129</v>
      </c>
      <c r="T1646" s="39">
        <f>[1]节奏总纲!AF1646</f>
        <v>112.28646925338042</v>
      </c>
      <c r="U1646" s="39">
        <f>[1]节奏总纲!AG1646</f>
        <v>117.20864507720005</v>
      </c>
      <c r="V1646" s="39">
        <f>[1]节奏总纲!AH1646</f>
        <v>126.29933291355117</v>
      </c>
    </row>
    <row r="1647" spans="17:22" x14ac:dyDescent="0.15">
      <c r="Q1647" s="38">
        <v>1644</v>
      </c>
      <c r="R1647" s="39">
        <f>[1]节奏总纲!AD1647</f>
        <v>106.83399416606973</v>
      </c>
      <c r="S1647" s="39">
        <f>[1]节奏总纲!AE1647</f>
        <v>109.165328817201</v>
      </c>
      <c r="T1647" s="39">
        <f>[1]节奏总纲!AF1647</f>
        <v>112.29499259433977</v>
      </c>
      <c r="U1647" s="39">
        <f>[1]节奏总纲!AG1647</f>
        <v>117.21702173965409</v>
      </c>
      <c r="V1647" s="39">
        <f>[1]节奏总纲!AH1647</f>
        <v>126.30845699473528</v>
      </c>
    </row>
    <row r="1648" spans="17:22" x14ac:dyDescent="0.15">
      <c r="Q1648" s="38">
        <v>1645</v>
      </c>
      <c r="R1648" s="39">
        <f>[1]节奏总纲!AD1648</f>
        <v>106.84297089575908</v>
      </c>
      <c r="S1648" s="39">
        <f>[1]节奏总纲!AE1648</f>
        <v>109.1738998413007</v>
      </c>
      <c r="T1648" s="39">
        <f>[1]节奏总纲!AF1648</f>
        <v>112.30351593529913</v>
      </c>
      <c r="U1648" s="39">
        <f>[1]节奏总纲!AG1648</f>
        <v>117.22539840210811</v>
      </c>
      <c r="V1648" s="39">
        <f>[1]节奏总纲!AH1648</f>
        <v>126.31758107591938</v>
      </c>
    </row>
    <row r="1649" spans="17:22" x14ac:dyDescent="0.15">
      <c r="Q1649" s="38">
        <v>1646</v>
      </c>
      <c r="R1649" s="39">
        <f>[1]节奏总纲!AD1649</f>
        <v>106.85194762544843</v>
      </c>
      <c r="S1649" s="39">
        <f>[1]节奏总纲!AE1649</f>
        <v>109.1824708654004</v>
      </c>
      <c r="T1649" s="39">
        <f>[1]节奏总纲!AF1649</f>
        <v>112.3120392762585</v>
      </c>
      <c r="U1649" s="39">
        <f>[1]节奏总纲!AG1649</f>
        <v>117.23377506456214</v>
      </c>
      <c r="V1649" s="39">
        <f>[1]节奏总纲!AH1649</f>
        <v>126.32670515710349</v>
      </c>
    </row>
    <row r="1650" spans="17:22" x14ac:dyDescent="0.15">
      <c r="Q1650" s="38">
        <v>1647</v>
      </c>
      <c r="R1650" s="39">
        <f>[1]节奏总纲!AD1650</f>
        <v>106.86092435513778</v>
      </c>
      <c r="S1650" s="39">
        <f>[1]节奏总纲!AE1650</f>
        <v>109.1910418895001</v>
      </c>
      <c r="T1650" s="39">
        <f>[1]节奏总纲!AF1650</f>
        <v>112.32056261721786</v>
      </c>
      <c r="U1650" s="39">
        <f>[1]节奏总纲!AG1650</f>
        <v>117.24215172701618</v>
      </c>
      <c r="V1650" s="39">
        <f>[1]节奏总纲!AH1650</f>
        <v>126.33582923828759</v>
      </c>
    </row>
    <row r="1651" spans="17:22" x14ac:dyDescent="0.15">
      <c r="Q1651" s="38">
        <v>1648</v>
      </c>
      <c r="R1651" s="39">
        <f>[1]节奏总纲!AD1651</f>
        <v>106.86990108482713</v>
      </c>
      <c r="S1651" s="39">
        <f>[1]节奏总纲!AE1651</f>
        <v>109.19961291359981</v>
      </c>
      <c r="T1651" s="39">
        <f>[1]节奏总纲!AF1651</f>
        <v>112.32908595817723</v>
      </c>
      <c r="U1651" s="39">
        <f>[1]节奏总纲!AG1651</f>
        <v>117.2505283894702</v>
      </c>
      <c r="V1651" s="39">
        <f>[1]节奏总纲!AH1651</f>
        <v>126.3449533194717</v>
      </c>
    </row>
    <row r="1652" spans="17:22" x14ac:dyDescent="0.15">
      <c r="Q1652" s="38">
        <v>1649</v>
      </c>
      <c r="R1652" s="39">
        <f>[1]节奏总纲!AD1652</f>
        <v>106.87887781451649</v>
      </c>
      <c r="S1652" s="39">
        <f>[1]节奏总纲!AE1652</f>
        <v>109.20818393769952</v>
      </c>
      <c r="T1652" s="39">
        <f>[1]节奏总纲!AF1652</f>
        <v>112.33760929913659</v>
      </c>
      <c r="U1652" s="39">
        <f>[1]节奏总纲!AG1652</f>
        <v>117.25890505192423</v>
      </c>
      <c r="V1652" s="39">
        <f>[1]节奏总纲!AH1652</f>
        <v>126.3540774006558</v>
      </c>
    </row>
    <row r="1653" spans="17:22" x14ac:dyDescent="0.15">
      <c r="Q1653" s="38">
        <v>1650</v>
      </c>
      <c r="R1653" s="39">
        <f>[1]节奏总纲!AD1653</f>
        <v>106.88785454420584</v>
      </c>
      <c r="S1653" s="39">
        <f>[1]节奏总纲!AE1653</f>
        <v>109.21675496179921</v>
      </c>
      <c r="T1653" s="39">
        <f>[1]节奏总纲!AF1653</f>
        <v>112.34613264009595</v>
      </c>
      <c r="U1653" s="39">
        <f>[1]节奏总纲!AG1653</f>
        <v>117.26728171437826</v>
      </c>
      <c r="V1653" s="39">
        <f>[1]节奏总纲!AH1653</f>
        <v>126.36320148183991</v>
      </c>
    </row>
    <row r="1654" spans="17:22" x14ac:dyDescent="0.15">
      <c r="Q1654" s="38">
        <v>1651</v>
      </c>
      <c r="R1654" s="39">
        <f>[1]节奏总纲!AD1654</f>
        <v>106.89683127389519</v>
      </c>
      <c r="S1654" s="39">
        <f>[1]节奏总纲!AE1654</f>
        <v>109.22532598589892</v>
      </c>
      <c r="T1654" s="39">
        <f>[1]节奏总纲!AF1654</f>
        <v>112.35465598105532</v>
      </c>
      <c r="U1654" s="39">
        <f>[1]节奏总纲!AG1654</f>
        <v>117.2756583768323</v>
      </c>
      <c r="V1654" s="39">
        <f>[1]节奏总纲!AH1654</f>
        <v>126.37232556302402</v>
      </c>
    </row>
    <row r="1655" spans="17:22" x14ac:dyDescent="0.15">
      <c r="Q1655" s="38">
        <v>1652</v>
      </c>
      <c r="R1655" s="39">
        <f>[1]节奏总纲!AD1655</f>
        <v>106.90580800358454</v>
      </c>
      <c r="S1655" s="39">
        <f>[1]节奏总纲!AE1655</f>
        <v>109.23389700999863</v>
      </c>
      <c r="T1655" s="39">
        <f>[1]节奏总纲!AF1655</f>
        <v>112.36317932201467</v>
      </c>
      <c r="U1655" s="39">
        <f>[1]节奏总纲!AG1655</f>
        <v>117.28403503928632</v>
      </c>
      <c r="V1655" s="39">
        <f>[1]节奏总纲!AH1655</f>
        <v>126.38144964420812</v>
      </c>
    </row>
    <row r="1656" spans="17:22" x14ac:dyDescent="0.15">
      <c r="Q1656" s="38">
        <v>1653</v>
      </c>
      <c r="R1656" s="39">
        <f>[1]节奏总纲!AD1656</f>
        <v>106.91478473327389</v>
      </c>
      <c r="S1656" s="39">
        <f>[1]节奏总纲!AE1656</f>
        <v>109.24246803409832</v>
      </c>
      <c r="T1656" s="39">
        <f>[1]节奏总纲!AF1656</f>
        <v>112.37170266297403</v>
      </c>
      <c r="U1656" s="39">
        <f>[1]节奏总纲!AG1656</f>
        <v>117.29241170174035</v>
      </c>
      <c r="V1656" s="39">
        <f>[1]节奏总纲!AH1656</f>
        <v>126.39057372539223</v>
      </c>
    </row>
    <row r="1657" spans="17:22" x14ac:dyDescent="0.15">
      <c r="Q1657" s="38">
        <v>1654</v>
      </c>
      <c r="R1657" s="39">
        <f>[1]节奏总纲!AD1657</f>
        <v>106.92376146296324</v>
      </c>
      <c r="S1657" s="39">
        <f>[1]节奏总纲!AE1657</f>
        <v>109.25103905819803</v>
      </c>
      <c r="T1657" s="39">
        <f>[1]节奏总纲!AF1657</f>
        <v>112.3802260039334</v>
      </c>
      <c r="U1657" s="39">
        <f>[1]节奏总纲!AG1657</f>
        <v>117.30078836419439</v>
      </c>
      <c r="V1657" s="39">
        <f>[1]节奏总纲!AH1657</f>
        <v>126.39969780657633</v>
      </c>
    </row>
    <row r="1658" spans="17:22" x14ac:dyDescent="0.15">
      <c r="Q1658" s="38">
        <v>1655</v>
      </c>
      <c r="R1658" s="39">
        <f>[1]节奏总纲!AD1658</f>
        <v>106.93273819265259</v>
      </c>
      <c r="S1658" s="39">
        <f>[1]节奏总纲!AE1658</f>
        <v>109.25961008229773</v>
      </c>
      <c r="T1658" s="39">
        <f>[1]节奏总纲!AF1658</f>
        <v>112.38874934489276</v>
      </c>
      <c r="U1658" s="39">
        <f>[1]节奏总纲!AG1658</f>
        <v>117.30916502664842</v>
      </c>
      <c r="V1658" s="39">
        <f>[1]节奏总纲!AH1658</f>
        <v>126.40882188776044</v>
      </c>
    </row>
    <row r="1659" spans="17:22" x14ac:dyDescent="0.15">
      <c r="Q1659" s="38">
        <v>1656</v>
      </c>
      <c r="R1659" s="39">
        <f>[1]节奏总纲!AD1659</f>
        <v>106.94171492234194</v>
      </c>
      <c r="S1659" s="39">
        <f>[1]节奏总纲!AE1659</f>
        <v>109.26818110639744</v>
      </c>
      <c r="T1659" s="39">
        <f>[1]节奏总纲!AF1659</f>
        <v>112.39727268585213</v>
      </c>
      <c r="U1659" s="39">
        <f>[1]节奏总纲!AG1659</f>
        <v>117.31754168910244</v>
      </c>
      <c r="V1659" s="39">
        <f>[1]节奏总纲!AH1659</f>
        <v>126.41794596894454</v>
      </c>
    </row>
    <row r="1660" spans="17:22" x14ac:dyDescent="0.15">
      <c r="Q1660" s="38">
        <v>1657</v>
      </c>
      <c r="R1660" s="39">
        <f>[1]节奏总纲!AD1660</f>
        <v>106.9506916520313</v>
      </c>
      <c r="S1660" s="39">
        <f>[1]节奏总纲!AE1660</f>
        <v>109.27675213049714</v>
      </c>
      <c r="T1660" s="39">
        <f>[1]节奏总纲!AF1660</f>
        <v>112.40579602681149</v>
      </c>
      <c r="U1660" s="39">
        <f>[1]节奏总纲!AG1660</f>
        <v>117.32591835155648</v>
      </c>
      <c r="V1660" s="39">
        <f>[1]节奏总纲!AH1660</f>
        <v>126.42707005012865</v>
      </c>
    </row>
    <row r="1661" spans="17:22" x14ac:dyDescent="0.15">
      <c r="Q1661" s="38">
        <v>1658</v>
      </c>
      <c r="R1661" s="39">
        <f>[1]节奏总纲!AD1661</f>
        <v>106.95966838172065</v>
      </c>
      <c r="S1661" s="39">
        <f>[1]节奏总纲!AE1661</f>
        <v>109.28532315459684</v>
      </c>
      <c r="T1661" s="39">
        <f>[1]节奏总纲!AF1661</f>
        <v>112.41431936777084</v>
      </c>
      <c r="U1661" s="39">
        <f>[1]节奏总纲!AG1661</f>
        <v>117.33429501401051</v>
      </c>
      <c r="V1661" s="39">
        <f>[1]节奏总纲!AH1661</f>
        <v>126.43619413131276</v>
      </c>
    </row>
    <row r="1662" spans="17:22" x14ac:dyDescent="0.15">
      <c r="Q1662" s="38">
        <v>1659</v>
      </c>
      <c r="R1662" s="39">
        <f>[1]节奏总纲!AD1662</f>
        <v>106.96864511141</v>
      </c>
      <c r="S1662" s="39">
        <f>[1]节奏总纲!AE1662</f>
        <v>109.29389417869655</v>
      </c>
      <c r="T1662" s="39">
        <f>[1]节奏总纲!AF1662</f>
        <v>112.42284270873022</v>
      </c>
      <c r="U1662" s="39">
        <f>[1]节奏总纲!AG1662</f>
        <v>117.34267167646453</v>
      </c>
      <c r="V1662" s="39">
        <f>[1]节奏总纲!AH1662</f>
        <v>126.44531821249686</v>
      </c>
    </row>
    <row r="1663" spans="17:22" x14ac:dyDescent="0.15">
      <c r="Q1663" s="38">
        <v>1660</v>
      </c>
      <c r="R1663" s="39">
        <f>[1]节奏总纲!AD1663</f>
        <v>106.97762184109935</v>
      </c>
      <c r="S1663" s="39">
        <f>[1]节奏总纲!AE1663</f>
        <v>109.30246520279624</v>
      </c>
      <c r="T1663" s="39">
        <f>[1]节奏总纲!AF1663</f>
        <v>112.43136604968957</v>
      </c>
      <c r="U1663" s="39">
        <f>[1]节奏总纲!AG1663</f>
        <v>117.35104833891856</v>
      </c>
      <c r="V1663" s="39">
        <f>[1]节奏总纲!AH1663</f>
        <v>126.45444229368097</v>
      </c>
    </row>
    <row r="1664" spans="17:22" x14ac:dyDescent="0.15">
      <c r="Q1664" s="38">
        <v>1661</v>
      </c>
      <c r="R1664" s="39">
        <f>[1]节奏总纲!AD1664</f>
        <v>106.9865985707887</v>
      </c>
      <c r="S1664" s="39">
        <f>[1]节奏总纲!AE1664</f>
        <v>109.31103622689595</v>
      </c>
      <c r="T1664" s="39">
        <f>[1]节奏总纲!AF1664</f>
        <v>112.43988939064894</v>
      </c>
      <c r="U1664" s="39">
        <f>[1]节奏总纲!AG1664</f>
        <v>117.3594250013726</v>
      </c>
      <c r="V1664" s="39">
        <f>[1]节奏总纲!AH1664</f>
        <v>126.46356637486507</v>
      </c>
    </row>
    <row r="1665" spans="17:22" x14ac:dyDescent="0.15">
      <c r="Q1665" s="38">
        <v>1662</v>
      </c>
      <c r="R1665" s="39">
        <f>[1]节奏总纲!AD1665</f>
        <v>106.99557530047805</v>
      </c>
      <c r="S1665" s="39">
        <f>[1]节奏总纲!AE1665</f>
        <v>109.31960725099566</v>
      </c>
      <c r="T1665" s="39">
        <f>[1]节奏总纲!AF1665</f>
        <v>112.4484127316083</v>
      </c>
      <c r="U1665" s="39">
        <f>[1]节奏总纲!AG1665</f>
        <v>117.36780166382663</v>
      </c>
      <c r="V1665" s="39">
        <f>[1]节奏总纲!AH1665</f>
        <v>126.47269045604918</v>
      </c>
    </row>
    <row r="1666" spans="17:22" x14ac:dyDescent="0.15">
      <c r="Q1666" s="38">
        <v>1663</v>
      </c>
      <c r="R1666" s="39">
        <f>[1]节奏总纲!AD1666</f>
        <v>107.00424719432466</v>
      </c>
      <c r="S1666" s="39">
        <f>[1]节奏总纲!AE1666</f>
        <v>109.32817827509535</v>
      </c>
      <c r="T1666" s="39">
        <f>[1]节奏总纲!AF1666</f>
        <v>112.45693607256766</v>
      </c>
      <c r="U1666" s="39">
        <f>[1]节奏总纲!AG1666</f>
        <v>117.37617832628065</v>
      </c>
      <c r="V1666" s="39">
        <f>[1]节奏总纲!AH1666</f>
        <v>126.48181453723328</v>
      </c>
    </row>
    <row r="1667" spans="17:22" x14ac:dyDescent="0.15">
      <c r="Q1667" s="38">
        <v>1664</v>
      </c>
      <c r="R1667" s="39">
        <f>[1]节奏总纲!AD1667</f>
        <v>107.01262277928093</v>
      </c>
      <c r="S1667" s="39">
        <f>[1]节奏总纲!AE1667</f>
        <v>109.33674929919506</v>
      </c>
      <c r="T1667" s="39">
        <f>[1]节奏总纲!AF1667</f>
        <v>112.46545941352703</v>
      </c>
      <c r="U1667" s="39">
        <f>[1]节奏总纲!AG1667</f>
        <v>117.38455498873469</v>
      </c>
      <c r="V1667" s="39">
        <f>[1]节奏总纲!AH1667</f>
        <v>126.49093861841739</v>
      </c>
    </row>
    <row r="1668" spans="17:22" x14ac:dyDescent="0.15">
      <c r="Q1668" s="38">
        <v>1665</v>
      </c>
      <c r="R1668" s="39">
        <f>[1]节奏总纲!AD1668</f>
        <v>107.0209983642372</v>
      </c>
      <c r="S1668" s="39">
        <f>[1]节奏总纲!AE1668</f>
        <v>109.34532032329477</v>
      </c>
      <c r="T1668" s="39">
        <f>[1]节奏总纲!AF1668</f>
        <v>112.47398275448639</v>
      </c>
      <c r="U1668" s="39">
        <f>[1]节奏总纲!AG1668</f>
        <v>117.39293165118872</v>
      </c>
      <c r="V1668" s="39">
        <f>[1]节奏总纲!AH1668</f>
        <v>126.50006269960149</v>
      </c>
    </row>
    <row r="1669" spans="17:22" x14ac:dyDescent="0.15">
      <c r="Q1669" s="38">
        <v>1666</v>
      </c>
      <c r="R1669" s="39">
        <f>[1]节奏总纲!AD1669</f>
        <v>107.02937394919348</v>
      </c>
      <c r="S1669" s="39">
        <f>[1]节奏总纲!AE1669</f>
        <v>109.35389134739447</v>
      </c>
      <c r="T1669" s="39">
        <f>[1]节奏总纲!AF1669</f>
        <v>112.48250609544574</v>
      </c>
      <c r="U1669" s="39">
        <f>[1]节奏总纲!AG1669</f>
        <v>117.40130831364274</v>
      </c>
      <c r="V1669" s="39">
        <f>[1]节奏总纲!AH1669</f>
        <v>126.5091867807856</v>
      </c>
    </row>
    <row r="1670" spans="17:22" x14ac:dyDescent="0.15">
      <c r="Q1670" s="38">
        <v>1667</v>
      </c>
      <c r="R1670" s="39">
        <f>[1]节奏总纲!AD1670</f>
        <v>107.03774953414975</v>
      </c>
      <c r="S1670" s="39">
        <f>[1]节奏总纲!AE1670</f>
        <v>109.36246237149417</v>
      </c>
      <c r="T1670" s="39">
        <f>[1]节奏总纲!AF1670</f>
        <v>112.49102943640511</v>
      </c>
      <c r="U1670" s="39">
        <f>[1]节奏总纲!AG1670</f>
        <v>117.40968497609677</v>
      </c>
      <c r="V1670" s="39">
        <f>[1]节奏总纲!AH1670</f>
        <v>126.51831086196971</v>
      </c>
    </row>
    <row r="1671" spans="17:22" x14ac:dyDescent="0.15">
      <c r="Q1671" s="38">
        <v>1668</v>
      </c>
      <c r="R1671" s="39">
        <f>[1]节奏总纲!AD1671</f>
        <v>107.04612511910602</v>
      </c>
      <c r="S1671" s="39">
        <f>[1]节奏总纲!AE1671</f>
        <v>109.37103339559387</v>
      </c>
      <c r="T1671" s="39">
        <f>[1]节奏总纲!AF1671</f>
        <v>112.49955277736447</v>
      </c>
      <c r="U1671" s="39">
        <f>[1]节奏总纲!AG1671</f>
        <v>117.41806163855081</v>
      </c>
      <c r="V1671" s="39">
        <f>[1]节奏总纲!AH1671</f>
        <v>126.52743494315381</v>
      </c>
    </row>
    <row r="1672" spans="17:22" x14ac:dyDescent="0.15">
      <c r="Q1672" s="38">
        <v>1669</v>
      </c>
      <c r="R1672" s="39">
        <f>[1]节奏总纲!AD1672</f>
        <v>107.05450070406229</v>
      </c>
      <c r="S1672" s="39">
        <f>[1]节奏总纲!AE1672</f>
        <v>109.37960441969358</v>
      </c>
      <c r="T1672" s="39">
        <f>[1]节奏总纲!AF1672</f>
        <v>112.50807611832384</v>
      </c>
      <c r="U1672" s="39">
        <f>[1]节奏总纲!AG1672</f>
        <v>117.42643830100484</v>
      </c>
      <c r="V1672" s="39">
        <f>[1]节奏总纲!AH1672</f>
        <v>126.53655902433792</v>
      </c>
    </row>
    <row r="1673" spans="17:22" x14ac:dyDescent="0.15">
      <c r="Q1673" s="38">
        <v>1670</v>
      </c>
      <c r="R1673" s="39">
        <f>[1]节奏总纲!AD1673</f>
        <v>107.06287628901856</v>
      </c>
      <c r="S1673" s="39">
        <f>[1]节奏总纲!AE1673</f>
        <v>109.38817544379329</v>
      </c>
      <c r="T1673" s="39">
        <f>[1]节奏总纲!AF1673</f>
        <v>112.5165994592832</v>
      </c>
      <c r="U1673" s="39">
        <f>[1]节奏总纲!AG1673</f>
        <v>117.43481496345886</v>
      </c>
      <c r="V1673" s="39">
        <f>[1]节奏总纲!AH1673</f>
        <v>126.54568310552202</v>
      </c>
    </row>
    <row r="1674" spans="17:22" x14ac:dyDescent="0.15">
      <c r="Q1674" s="38">
        <v>1671</v>
      </c>
      <c r="R1674" s="39">
        <f>[1]节奏总纲!AD1674</f>
        <v>107.07125187397484</v>
      </c>
      <c r="S1674" s="39">
        <f>[1]节奏总纲!AE1674</f>
        <v>109.39674646789298</v>
      </c>
      <c r="T1674" s="39">
        <f>[1]节奏总纲!AF1674</f>
        <v>112.52512280024256</v>
      </c>
      <c r="U1674" s="39">
        <f>[1]节奏总纲!AG1674</f>
        <v>117.4431916259129</v>
      </c>
      <c r="V1674" s="39">
        <f>[1]节奏总纲!AH1674</f>
        <v>126.55480718670613</v>
      </c>
    </row>
    <row r="1675" spans="17:22" x14ac:dyDescent="0.15">
      <c r="Q1675" s="38">
        <v>1672</v>
      </c>
      <c r="R1675" s="39">
        <f>[1]节奏总纲!AD1675</f>
        <v>107.07962745893111</v>
      </c>
      <c r="S1675" s="39">
        <f>[1]节奏总纲!AE1675</f>
        <v>109.40531749199269</v>
      </c>
      <c r="T1675" s="39">
        <f>[1]节奏总纲!AF1675</f>
        <v>112.53364614120193</v>
      </c>
      <c r="U1675" s="39">
        <f>[1]节奏总纲!AG1675</f>
        <v>117.45156828836693</v>
      </c>
      <c r="V1675" s="39">
        <f>[1]节奏总纲!AH1675</f>
        <v>126.56393126789023</v>
      </c>
    </row>
    <row r="1676" spans="17:22" x14ac:dyDescent="0.15">
      <c r="Q1676" s="38">
        <v>1673</v>
      </c>
      <c r="R1676" s="39">
        <f>[1]节奏总纲!AD1676</f>
        <v>107.08800304388738</v>
      </c>
      <c r="S1676" s="39">
        <f>[1]节奏总纲!AE1676</f>
        <v>109.4138885160924</v>
      </c>
      <c r="T1676" s="39">
        <f>[1]节奏总纲!AF1676</f>
        <v>112.54216948216128</v>
      </c>
      <c r="U1676" s="39">
        <f>[1]节奏总纲!AG1676</f>
        <v>117.45994495082095</v>
      </c>
      <c r="V1676" s="39">
        <f>[1]节奏总纲!AH1676</f>
        <v>126.57305534907434</v>
      </c>
    </row>
    <row r="1677" spans="17:22" x14ac:dyDescent="0.15">
      <c r="Q1677" s="38">
        <v>1674</v>
      </c>
      <c r="R1677" s="39">
        <f>[1]节奏总纲!AD1677</f>
        <v>107.09637862884365</v>
      </c>
      <c r="S1677" s="39">
        <f>[1]节奏总纲!AE1677</f>
        <v>109.42245954019209</v>
      </c>
      <c r="T1677" s="39">
        <f>[1]节奏总纲!AF1677</f>
        <v>112.55069282312066</v>
      </c>
      <c r="U1677" s="39">
        <f>[1]节奏总纲!AG1677</f>
        <v>117.46832161327499</v>
      </c>
      <c r="V1677" s="39">
        <f>[1]节奏总纲!AH1677</f>
        <v>126.58217943025845</v>
      </c>
    </row>
    <row r="1678" spans="17:22" x14ac:dyDescent="0.15">
      <c r="Q1678" s="38">
        <v>1675</v>
      </c>
      <c r="R1678" s="39">
        <f>[1]节奏总纲!AD1678</f>
        <v>107.10475421379994</v>
      </c>
      <c r="S1678" s="39">
        <f>[1]节奏总纲!AE1678</f>
        <v>109.4310305642918</v>
      </c>
      <c r="T1678" s="39">
        <f>[1]节奏总纲!AF1678</f>
        <v>112.55921616408001</v>
      </c>
      <c r="U1678" s="39">
        <f>[1]节奏总纲!AG1678</f>
        <v>117.47669827572902</v>
      </c>
      <c r="V1678" s="39">
        <f>[1]节奏总纲!AH1678</f>
        <v>126.59130351144255</v>
      </c>
    </row>
    <row r="1679" spans="17:22" x14ac:dyDescent="0.15">
      <c r="Q1679" s="38">
        <v>1676</v>
      </c>
      <c r="R1679" s="39">
        <f>[1]节奏总纲!AD1679</f>
        <v>107.1131297987562</v>
      </c>
      <c r="S1679" s="39">
        <f>[1]节奏总纲!AE1679</f>
        <v>109.4396015883915</v>
      </c>
      <c r="T1679" s="39">
        <f>[1]节奏总纲!AF1679</f>
        <v>112.56773950503937</v>
      </c>
      <c r="U1679" s="39">
        <f>[1]节奏总纲!AG1679</f>
        <v>117.48507493818305</v>
      </c>
      <c r="V1679" s="39">
        <f>[1]节奏总纲!AH1679</f>
        <v>126.60042759262666</v>
      </c>
    </row>
    <row r="1680" spans="17:22" x14ac:dyDescent="0.15">
      <c r="Q1680" s="38">
        <v>1677</v>
      </c>
      <c r="R1680" s="39">
        <f>[1]节奏总纲!AD1680</f>
        <v>107.12150538371247</v>
      </c>
      <c r="S1680" s="39">
        <f>[1]节奏总纲!AE1680</f>
        <v>109.44817261249121</v>
      </c>
      <c r="T1680" s="39">
        <f>[1]节奏总纲!AF1680</f>
        <v>112.57626284599874</v>
      </c>
      <c r="U1680" s="39">
        <f>[1]节奏总纲!AG1680</f>
        <v>117.49345160063707</v>
      </c>
      <c r="V1680" s="39">
        <f>[1]节奏总纲!AH1680</f>
        <v>126.60955167381076</v>
      </c>
    </row>
    <row r="1681" spans="17:22" x14ac:dyDescent="0.15">
      <c r="Q1681" s="38">
        <v>1678</v>
      </c>
      <c r="R1681" s="39">
        <f>[1]节奏总纲!AD1681</f>
        <v>107.12988096866874</v>
      </c>
      <c r="S1681" s="39">
        <f>[1]节奏总纲!AE1681</f>
        <v>109.45674363659091</v>
      </c>
      <c r="T1681" s="39">
        <f>[1]节奏总纲!AF1681</f>
        <v>112.5847861869581</v>
      </c>
      <c r="U1681" s="39">
        <f>[1]节奏总纲!AG1681</f>
        <v>117.50182826309111</v>
      </c>
      <c r="V1681" s="39">
        <f>[1]节奏总纲!AH1681</f>
        <v>126.61867575499487</v>
      </c>
    </row>
    <row r="1682" spans="17:22" x14ac:dyDescent="0.15">
      <c r="Q1682" s="38">
        <v>1679</v>
      </c>
      <c r="R1682" s="39">
        <f>[1]节奏总纲!AD1682</f>
        <v>107.13825655362503</v>
      </c>
      <c r="S1682" s="39">
        <f>[1]节奏总纲!AE1682</f>
        <v>109.46531466069061</v>
      </c>
      <c r="T1682" s="39">
        <f>[1]节奏总纲!AF1682</f>
        <v>112.59330952791746</v>
      </c>
      <c r="U1682" s="39">
        <f>[1]节奏总纲!AG1682</f>
        <v>117.51020492554514</v>
      </c>
      <c r="V1682" s="39">
        <f>[1]节奏总纲!AH1682</f>
        <v>126.62779983617897</v>
      </c>
    </row>
    <row r="1683" spans="17:22" x14ac:dyDescent="0.15">
      <c r="Q1683" s="38">
        <v>1680</v>
      </c>
      <c r="R1683" s="39">
        <f>[1]节奏总纲!AD1683</f>
        <v>107.1466321385813</v>
      </c>
      <c r="S1683" s="39">
        <f>[1]节奏总纲!AE1683</f>
        <v>109.47388568479032</v>
      </c>
      <c r="T1683" s="39">
        <f>[1]节奏总纲!AF1683</f>
        <v>112.60183286887683</v>
      </c>
      <c r="U1683" s="39">
        <f>[1]节奏总纲!AG1683</f>
        <v>117.51858158799917</v>
      </c>
      <c r="V1683" s="39">
        <f>[1]节奏总纲!AH1683</f>
        <v>126.63692391736308</v>
      </c>
    </row>
    <row r="1684" spans="17:22" x14ac:dyDescent="0.15">
      <c r="Q1684" s="38">
        <v>1681</v>
      </c>
      <c r="R1684" s="39">
        <f>[1]节奏总纲!AD1684</f>
        <v>107.15500772353757</v>
      </c>
      <c r="S1684" s="39">
        <f>[1]节奏总纲!AE1684</f>
        <v>109.48245670889003</v>
      </c>
      <c r="T1684" s="39">
        <f>[1]节奏总纲!AF1684</f>
        <v>112.61035620983618</v>
      </c>
      <c r="U1684" s="39">
        <f>[1]节奏总纲!AG1684</f>
        <v>117.52695825045321</v>
      </c>
      <c r="V1684" s="39">
        <f>[1]节奏总纲!AH1684</f>
        <v>126.64604799854717</v>
      </c>
    </row>
    <row r="1685" spans="17:22" x14ac:dyDescent="0.15">
      <c r="Q1685" s="38">
        <v>1682</v>
      </c>
      <c r="R1685" s="39">
        <f>[1]节奏总纲!AD1685</f>
        <v>107.16338330849383</v>
      </c>
      <c r="S1685" s="39">
        <f>[1]节奏总纲!AE1685</f>
        <v>109.49102773298972</v>
      </c>
      <c r="T1685" s="39">
        <f>[1]节奏总纲!AF1685</f>
        <v>112.61887955079555</v>
      </c>
      <c r="U1685" s="39">
        <f>[1]节奏总纲!AG1685</f>
        <v>117.53533491290723</v>
      </c>
      <c r="V1685" s="39">
        <f>[1]节奏总纲!AH1685</f>
        <v>126.65517207973129</v>
      </c>
    </row>
    <row r="1686" spans="17:22" x14ac:dyDescent="0.15">
      <c r="Q1686" s="38">
        <v>1683</v>
      </c>
      <c r="R1686" s="39">
        <f>[1]节奏总纲!AD1686</f>
        <v>107.1717588934501</v>
      </c>
      <c r="S1686" s="39">
        <f>[1]节奏总纲!AE1686</f>
        <v>109.49959875708943</v>
      </c>
      <c r="T1686" s="39">
        <f>[1]节奏总纲!AF1686</f>
        <v>112.62740289175491</v>
      </c>
      <c r="U1686" s="39">
        <f>[1]节奏总纲!AG1686</f>
        <v>117.54371157536126</v>
      </c>
      <c r="V1686" s="39">
        <f>[1]节奏总纲!AH1686</f>
        <v>126.6642961609154</v>
      </c>
    </row>
    <row r="1687" spans="17:22" x14ac:dyDescent="0.15">
      <c r="Q1687" s="38">
        <v>1684</v>
      </c>
      <c r="R1687" s="39">
        <f>[1]节奏总纲!AD1687</f>
        <v>107.18013447840639</v>
      </c>
      <c r="S1687" s="39">
        <f>[1]节奏总纲!AE1687</f>
        <v>109.50816978118912</v>
      </c>
      <c r="T1687" s="39">
        <f>[1]节奏总纲!AF1687</f>
        <v>112.63592623271427</v>
      </c>
      <c r="U1687" s="39">
        <f>[1]节奏总纲!AG1687</f>
        <v>117.55208823781528</v>
      </c>
      <c r="V1687" s="39">
        <f>[1]节奏总纲!AH1687</f>
        <v>126.6734202420995</v>
      </c>
    </row>
    <row r="1688" spans="17:22" x14ac:dyDescent="0.15">
      <c r="Q1688" s="38">
        <v>1685</v>
      </c>
      <c r="R1688" s="39">
        <f>[1]节奏总纲!AD1688</f>
        <v>107.18851006336266</v>
      </c>
      <c r="S1688" s="39">
        <f>[1]节奏总纲!AE1688</f>
        <v>109.51674080528883</v>
      </c>
      <c r="T1688" s="39">
        <f>[1]节奏总纲!AF1688</f>
        <v>112.64444957367364</v>
      </c>
      <c r="U1688" s="39">
        <f>[1]节奏总纲!AG1688</f>
        <v>117.56046490026932</v>
      </c>
      <c r="V1688" s="39">
        <f>[1]节奏总纲!AH1688</f>
        <v>126.68254432328361</v>
      </c>
    </row>
    <row r="1689" spans="17:22" x14ac:dyDescent="0.15">
      <c r="Q1689" s="38">
        <v>1686</v>
      </c>
      <c r="R1689" s="39">
        <f>[1]节奏总纲!AD1689</f>
        <v>107.19688564831893</v>
      </c>
      <c r="S1689" s="39">
        <f>[1]节奏总纲!AE1689</f>
        <v>109.52531182938854</v>
      </c>
      <c r="T1689" s="39">
        <f>[1]节奏总纲!AF1689</f>
        <v>112.652972914633</v>
      </c>
      <c r="U1689" s="39">
        <f>[1]节奏总纲!AG1689</f>
        <v>117.56884156272335</v>
      </c>
      <c r="V1689" s="39">
        <f>[1]节奏总纲!AH1689</f>
        <v>126.69166840446771</v>
      </c>
    </row>
    <row r="1690" spans="17:22" x14ac:dyDescent="0.15">
      <c r="Q1690" s="38">
        <v>1687</v>
      </c>
      <c r="R1690" s="39">
        <f>[1]节奏总纲!AD1690</f>
        <v>107.20526123327519</v>
      </c>
      <c r="S1690" s="39">
        <f>[1]节奏总纲!AE1690</f>
        <v>109.53388285348824</v>
      </c>
      <c r="T1690" s="39">
        <f>[1]节奏总纲!AF1690</f>
        <v>112.66149625559237</v>
      </c>
      <c r="U1690" s="39">
        <f>[1]节奏总纲!AG1690</f>
        <v>117.57721822517738</v>
      </c>
      <c r="V1690" s="39">
        <f>[1]节奏总纲!AH1690</f>
        <v>126.70079248565182</v>
      </c>
    </row>
    <row r="1691" spans="17:22" x14ac:dyDescent="0.15">
      <c r="Q1691" s="38">
        <v>1688</v>
      </c>
      <c r="R1691" s="39">
        <f>[1]节奏总纲!AD1691</f>
        <v>107.21363681823148</v>
      </c>
      <c r="S1691" s="39">
        <f>[1]节奏总纲!AE1691</f>
        <v>109.54245387758795</v>
      </c>
      <c r="T1691" s="39">
        <f>[1]节奏总纲!AF1691</f>
        <v>112.67001959655173</v>
      </c>
      <c r="U1691" s="39">
        <f>[1]节奏总纲!AG1691</f>
        <v>117.58559488763142</v>
      </c>
      <c r="V1691" s="39">
        <f>[1]节奏总纲!AH1691</f>
        <v>126.70991656683591</v>
      </c>
    </row>
    <row r="1692" spans="17:22" x14ac:dyDescent="0.15">
      <c r="Q1692" s="38">
        <v>1689</v>
      </c>
      <c r="R1692" s="39">
        <f>[1]节奏总纲!AD1692</f>
        <v>107.22201240318775</v>
      </c>
      <c r="S1692" s="39">
        <f>[1]节奏总纲!AE1692</f>
        <v>109.55102490168764</v>
      </c>
      <c r="T1692" s="39">
        <f>[1]节奏总纲!AF1692</f>
        <v>112.67854293751108</v>
      </c>
      <c r="U1692" s="39">
        <f>[1]节奏总纲!AG1692</f>
        <v>117.59397155008544</v>
      </c>
      <c r="V1692" s="39">
        <f>[1]节奏总纲!AH1692</f>
        <v>126.71904064802003</v>
      </c>
    </row>
    <row r="1693" spans="17:22" x14ac:dyDescent="0.15">
      <c r="Q1693" s="38">
        <v>1690</v>
      </c>
      <c r="R1693" s="39">
        <f>[1]节奏总纲!AD1693</f>
        <v>107.23038798814402</v>
      </c>
      <c r="S1693" s="39">
        <f>[1]节奏总纲!AE1693</f>
        <v>109.55959592578735</v>
      </c>
      <c r="T1693" s="39">
        <f>[1]节奏总纲!AF1693</f>
        <v>112.68706627847045</v>
      </c>
      <c r="U1693" s="39">
        <f>[1]节奏总纲!AG1693</f>
        <v>117.60234821253947</v>
      </c>
      <c r="V1693" s="39">
        <f>[1]节奏总纲!AH1693</f>
        <v>126.72816472920414</v>
      </c>
    </row>
    <row r="1694" spans="17:22" x14ac:dyDescent="0.15">
      <c r="Q1694" s="38">
        <v>1691</v>
      </c>
      <c r="R1694" s="39">
        <f>[1]节奏总纲!AD1694</f>
        <v>107.23876357310029</v>
      </c>
      <c r="S1694" s="39">
        <f>[1]节奏总纲!AE1694</f>
        <v>109.56816694988706</v>
      </c>
      <c r="T1694" s="39">
        <f>[1]节奏总纲!AF1694</f>
        <v>112.69558961942981</v>
      </c>
      <c r="U1694" s="39">
        <f>[1]节奏总纲!AG1694</f>
        <v>117.61072487499351</v>
      </c>
      <c r="V1694" s="39">
        <f>[1]节奏总纲!AH1694</f>
        <v>126.73728881038824</v>
      </c>
    </row>
    <row r="1695" spans="17:22" x14ac:dyDescent="0.15">
      <c r="Q1695" s="38">
        <v>1692</v>
      </c>
      <c r="R1695" s="39">
        <f>[1]节奏总纲!AD1695</f>
        <v>107.24713915805657</v>
      </c>
      <c r="S1695" s="39">
        <f>[1]节奏总纲!AE1695</f>
        <v>109.57673797398675</v>
      </c>
      <c r="T1695" s="39">
        <f>[1]节奏总纲!AF1695</f>
        <v>112.70411296038918</v>
      </c>
      <c r="U1695" s="39">
        <f>[1]节奏总纲!AG1695</f>
        <v>117.61910153744753</v>
      </c>
      <c r="V1695" s="39">
        <f>[1]节奏总纲!AH1695</f>
        <v>126.74641289157235</v>
      </c>
    </row>
    <row r="1696" spans="17:22" x14ac:dyDescent="0.15">
      <c r="Q1696" s="38">
        <v>1693</v>
      </c>
      <c r="R1696" s="39">
        <f>[1]节奏总纲!AD1696</f>
        <v>107.25551474301284</v>
      </c>
      <c r="S1696" s="39">
        <f>[1]节奏总纲!AE1696</f>
        <v>109.58530899808646</v>
      </c>
      <c r="T1696" s="39">
        <f>[1]节奏总纲!AF1696</f>
        <v>112.71263630134854</v>
      </c>
      <c r="U1696" s="39">
        <f>[1]节奏总纲!AG1696</f>
        <v>117.62747819990156</v>
      </c>
      <c r="V1696" s="39">
        <f>[1]节奏总纲!AH1696</f>
        <v>126.75553697275645</v>
      </c>
    </row>
    <row r="1697" spans="17:22" x14ac:dyDescent="0.15">
      <c r="Q1697" s="38">
        <v>1694</v>
      </c>
      <c r="R1697" s="39">
        <f>[1]节奏总纲!AD1697</f>
        <v>107.26389032796911</v>
      </c>
      <c r="S1697" s="39">
        <f>[1]节奏总纲!AE1697</f>
        <v>109.59388002218617</v>
      </c>
      <c r="T1697" s="39">
        <f>[1]节奏总纲!AF1697</f>
        <v>112.7211596423079</v>
      </c>
      <c r="U1697" s="39">
        <f>[1]节奏总纲!AG1697</f>
        <v>117.63585486235559</v>
      </c>
      <c r="V1697" s="39">
        <f>[1]节奏总纲!AH1697</f>
        <v>126.76466105394056</v>
      </c>
    </row>
    <row r="1698" spans="17:22" x14ac:dyDescent="0.15">
      <c r="Q1698" s="38">
        <v>1695</v>
      </c>
      <c r="R1698" s="39">
        <f>[1]节奏总纲!AD1698</f>
        <v>107.27226591292538</v>
      </c>
      <c r="S1698" s="39">
        <f>[1]节奏总纲!AE1698</f>
        <v>109.60245104628586</v>
      </c>
      <c r="T1698" s="39">
        <f>[1]节奏总纲!AF1698</f>
        <v>112.72968298326727</v>
      </c>
      <c r="U1698" s="39">
        <f>[1]节奏总纲!AG1698</f>
        <v>117.64423152480963</v>
      </c>
      <c r="V1698" s="39">
        <f>[1]节奏总纲!AH1698</f>
        <v>126.77378513512465</v>
      </c>
    </row>
    <row r="1699" spans="17:22" x14ac:dyDescent="0.15">
      <c r="Q1699" s="38">
        <v>1696</v>
      </c>
      <c r="R1699" s="39">
        <f>[1]节奏总纲!AD1699</f>
        <v>107.28064149788165</v>
      </c>
      <c r="S1699" s="39">
        <f>[1]节奏总纲!AE1699</f>
        <v>109.61102207038557</v>
      </c>
      <c r="T1699" s="39">
        <f>[1]节奏总纲!AF1699</f>
        <v>112.73820632422662</v>
      </c>
      <c r="U1699" s="39">
        <f>[1]节奏总纲!AG1699</f>
        <v>117.65260818726365</v>
      </c>
      <c r="V1699" s="39">
        <f>[1]节奏总纲!AH1699</f>
        <v>126.78290921630877</v>
      </c>
    </row>
    <row r="1700" spans="17:22" x14ac:dyDescent="0.15">
      <c r="Q1700" s="38">
        <v>1697</v>
      </c>
      <c r="R1700" s="39">
        <f>[1]节奏总纲!AD1700</f>
        <v>107.28901708283793</v>
      </c>
      <c r="S1700" s="39">
        <f>[1]节奏总纲!AE1700</f>
        <v>109.61959309448527</v>
      </c>
      <c r="T1700" s="39">
        <f>[1]节奏总纲!AF1700</f>
        <v>112.74672966518598</v>
      </c>
      <c r="U1700" s="39">
        <f>[1]节奏总纲!AG1700</f>
        <v>117.66098484971768</v>
      </c>
      <c r="V1700" s="39">
        <f>[1]节奏总纲!AH1700</f>
        <v>126.79203329749288</v>
      </c>
    </row>
    <row r="1701" spans="17:22" x14ac:dyDescent="0.15">
      <c r="Q1701" s="38">
        <v>1698</v>
      </c>
      <c r="R1701" s="39">
        <f>[1]节奏总纲!AD1701</f>
        <v>107.2973926677942</v>
      </c>
      <c r="S1701" s="39">
        <f>[1]节奏总纲!AE1701</f>
        <v>109.62816411858498</v>
      </c>
      <c r="T1701" s="39">
        <f>[1]节奏总纲!AF1701</f>
        <v>112.75525300614535</v>
      </c>
      <c r="U1701" s="39">
        <f>[1]节奏总纲!AG1701</f>
        <v>117.66936151217172</v>
      </c>
      <c r="V1701" s="39">
        <f>[1]节奏总纲!AH1701</f>
        <v>126.80115737867698</v>
      </c>
    </row>
    <row r="1702" spans="17:22" x14ac:dyDescent="0.15">
      <c r="Q1702" s="38">
        <v>1699</v>
      </c>
      <c r="R1702" s="39">
        <f>[1]节奏总纲!AD1702</f>
        <v>107.30576825275047</v>
      </c>
      <c r="S1702" s="39">
        <f>[1]节奏总纲!AE1702</f>
        <v>109.63673514268469</v>
      </c>
      <c r="T1702" s="39">
        <f>[1]节奏总纲!AF1702</f>
        <v>112.76377634710471</v>
      </c>
      <c r="U1702" s="39">
        <f>[1]节奏总纲!AG1702</f>
        <v>117.67773817462574</v>
      </c>
      <c r="V1702" s="39">
        <f>[1]节奏总纲!AH1702</f>
        <v>126.81028145986109</v>
      </c>
    </row>
    <row r="1703" spans="17:22" x14ac:dyDescent="0.15">
      <c r="Q1703" s="38">
        <v>1700</v>
      </c>
      <c r="R1703" s="39">
        <f>[1]节奏总纲!AD1703</f>
        <v>107.31414383770674</v>
      </c>
      <c r="S1703" s="39">
        <f>[1]节奏总纲!AE1703</f>
        <v>109.64530616678438</v>
      </c>
      <c r="T1703" s="39">
        <f>[1]节奏总纲!AF1703</f>
        <v>112.77229968806408</v>
      </c>
      <c r="U1703" s="39">
        <f>[1]节奏总纲!AG1703</f>
        <v>117.68611483707977</v>
      </c>
      <c r="V1703" s="39">
        <f>[1]节奏总纲!AH1703</f>
        <v>126.81940554104519</v>
      </c>
    </row>
    <row r="1704" spans="17:22" x14ac:dyDescent="0.15">
      <c r="Q1704" s="38">
        <v>1701</v>
      </c>
      <c r="R1704" s="39">
        <f>[1]节奏总纲!AD1704</f>
        <v>107.32251942266302</v>
      </c>
      <c r="S1704" s="39">
        <f>[1]节奏总纲!AE1704</f>
        <v>109.65387719088409</v>
      </c>
      <c r="T1704" s="39">
        <f>[1]节奏总纲!AF1704</f>
        <v>112.78082302902344</v>
      </c>
      <c r="U1704" s="39">
        <f>[1]节奏总纲!AG1704</f>
        <v>117.6944914995338</v>
      </c>
      <c r="V1704" s="39">
        <f>[1]节奏总纲!AH1704</f>
        <v>126.8285296222293</v>
      </c>
    </row>
    <row r="1705" spans="17:22" x14ac:dyDescent="0.15">
      <c r="Q1705" s="38">
        <v>1702</v>
      </c>
      <c r="R1705" s="39">
        <f>[1]节奏总纲!AD1705</f>
        <v>107.33089500761929</v>
      </c>
      <c r="S1705" s="39">
        <f>[1]节奏总纲!AE1705</f>
        <v>109.6624482149838</v>
      </c>
      <c r="T1705" s="39">
        <f>[1]节奏总纲!AF1705</f>
        <v>112.78934636998279</v>
      </c>
      <c r="U1705" s="39">
        <f>[1]节奏总纲!AG1705</f>
        <v>117.70286816198784</v>
      </c>
      <c r="V1705" s="39">
        <f>[1]节奏总纲!AH1705</f>
        <v>126.83765370341339</v>
      </c>
    </row>
    <row r="1706" spans="17:22" x14ac:dyDescent="0.15">
      <c r="Q1706" s="38">
        <v>1703</v>
      </c>
      <c r="R1706" s="39">
        <f>[1]节奏总纲!AD1706</f>
        <v>107.33927059257556</v>
      </c>
      <c r="S1706" s="39">
        <f>[1]节奏总纲!AE1706</f>
        <v>109.67101923908349</v>
      </c>
      <c r="T1706" s="39">
        <f>[1]节奏总纲!AF1706</f>
        <v>112.79786971094217</v>
      </c>
      <c r="U1706" s="39">
        <f>[1]节奏总纲!AG1706</f>
        <v>117.71124482444186</v>
      </c>
      <c r="V1706" s="39">
        <f>[1]节奏总纲!AH1706</f>
        <v>126.84677778459751</v>
      </c>
    </row>
    <row r="1707" spans="17:22" x14ac:dyDescent="0.15">
      <c r="Q1707" s="38">
        <v>1704</v>
      </c>
      <c r="R1707" s="39">
        <f>[1]节奏总纲!AD1707</f>
        <v>107.34764617753183</v>
      </c>
      <c r="S1707" s="39">
        <f>[1]节奏总纲!AE1707</f>
        <v>109.6795902631832</v>
      </c>
      <c r="T1707" s="39">
        <f>[1]节奏总纲!AF1707</f>
        <v>112.80639305190152</v>
      </c>
      <c r="U1707" s="39">
        <f>[1]节奏总纲!AG1707</f>
        <v>117.71962148689589</v>
      </c>
      <c r="V1707" s="39">
        <f>[1]节奏总纲!AH1707</f>
        <v>126.8559018657816</v>
      </c>
    </row>
    <row r="1708" spans="17:22" x14ac:dyDescent="0.15">
      <c r="Q1708" s="38">
        <v>1705</v>
      </c>
      <c r="R1708" s="39">
        <f>[1]节奏总纲!AD1708</f>
        <v>107.3560217624881</v>
      </c>
      <c r="S1708" s="39">
        <f>[1]节奏总纲!AE1708</f>
        <v>109.6881612872829</v>
      </c>
      <c r="T1708" s="39">
        <f>[1]节奏总纲!AF1708</f>
        <v>112.81491639286089</v>
      </c>
      <c r="U1708" s="39">
        <f>[1]节奏总纲!AG1708</f>
        <v>117.72799814934993</v>
      </c>
      <c r="V1708" s="39">
        <f>[1]节奏总纲!AH1708</f>
        <v>126.86502594696572</v>
      </c>
    </row>
    <row r="1709" spans="17:22" x14ac:dyDescent="0.15">
      <c r="Q1709" s="38">
        <v>1706</v>
      </c>
      <c r="R1709" s="39">
        <f>[1]节奏总纲!AD1709</f>
        <v>107.36439734744438</v>
      </c>
      <c r="S1709" s="39">
        <f>[1]节奏总纲!AE1709</f>
        <v>109.6967323113826</v>
      </c>
      <c r="T1709" s="39">
        <f>[1]节奏总纲!AF1709</f>
        <v>112.82343973382025</v>
      </c>
      <c r="U1709" s="39">
        <f>[1]节奏总纲!AG1709</f>
        <v>117.73637481180396</v>
      </c>
      <c r="V1709" s="39">
        <f>[1]节奏总纲!AH1709</f>
        <v>126.87415002814983</v>
      </c>
    </row>
    <row r="1710" spans="17:22" x14ac:dyDescent="0.15">
      <c r="Q1710" s="38">
        <v>1707</v>
      </c>
      <c r="R1710" s="39">
        <f>[1]节奏总纲!AD1710</f>
        <v>107.37277293240065</v>
      </c>
      <c r="S1710" s="39">
        <f>[1]节奏总纲!AE1710</f>
        <v>109.70530333548231</v>
      </c>
      <c r="T1710" s="39">
        <f>[1]节奏总纲!AF1710</f>
        <v>112.83196307477961</v>
      </c>
      <c r="U1710" s="39">
        <f>[1]节奏总纲!AG1710</f>
        <v>117.74475147425798</v>
      </c>
      <c r="V1710" s="39">
        <f>[1]节奏总纲!AH1710</f>
        <v>126.88327410933393</v>
      </c>
    </row>
    <row r="1711" spans="17:22" x14ac:dyDescent="0.15">
      <c r="Q1711" s="38">
        <v>1708</v>
      </c>
      <c r="R1711" s="39">
        <f>[1]节奏总纲!AD1711</f>
        <v>107.38114851735692</v>
      </c>
      <c r="S1711" s="39">
        <f>[1]节奏总纲!AE1711</f>
        <v>109.71387435958201</v>
      </c>
      <c r="T1711" s="39">
        <f>[1]节奏总纲!AF1711</f>
        <v>112.84048641573898</v>
      </c>
      <c r="U1711" s="39">
        <f>[1]节奏总纲!AG1711</f>
        <v>117.75312813671202</v>
      </c>
      <c r="V1711" s="39">
        <f>[1]节奏总纲!AH1711</f>
        <v>126.89239819051804</v>
      </c>
    </row>
    <row r="1712" spans="17:22" x14ac:dyDescent="0.15">
      <c r="Q1712" s="38">
        <v>1709</v>
      </c>
      <c r="R1712" s="39">
        <f>[1]节奏总纲!AD1712</f>
        <v>107.38952410231319</v>
      </c>
      <c r="S1712" s="39">
        <f>[1]节奏总纲!AE1712</f>
        <v>109.72244538368172</v>
      </c>
      <c r="T1712" s="39">
        <f>[1]节奏总纲!AF1712</f>
        <v>112.84900975669834</v>
      </c>
      <c r="U1712" s="39">
        <f>[1]节奏总纲!AG1712</f>
        <v>117.76150479916605</v>
      </c>
      <c r="V1712" s="39">
        <f>[1]节奏总纲!AH1712</f>
        <v>126.90152227170213</v>
      </c>
    </row>
    <row r="1713" spans="17:22" x14ac:dyDescent="0.15">
      <c r="Q1713" s="38">
        <v>1710</v>
      </c>
      <c r="R1713" s="39">
        <f>[1]节奏总纲!AD1713</f>
        <v>107.39789968726947</v>
      </c>
      <c r="S1713" s="39">
        <f>[1]节奏总纲!AE1713</f>
        <v>109.73101640778142</v>
      </c>
      <c r="T1713" s="39">
        <f>[1]节奏总纲!AF1713</f>
        <v>112.85753309765769</v>
      </c>
      <c r="U1713" s="39">
        <f>[1]节奏总纲!AG1713</f>
        <v>117.76988146162007</v>
      </c>
      <c r="V1713" s="39">
        <f>[1]节奏总纲!AH1713</f>
        <v>126.91064635288625</v>
      </c>
    </row>
    <row r="1714" spans="17:22" x14ac:dyDescent="0.15">
      <c r="Q1714" s="38">
        <v>1711</v>
      </c>
      <c r="R1714" s="39">
        <f>[1]节奏总纲!AD1714</f>
        <v>107.40627527222574</v>
      </c>
      <c r="S1714" s="39">
        <f>[1]节奏总纲!AE1714</f>
        <v>109.73958743188112</v>
      </c>
      <c r="T1714" s="39">
        <f>[1]节奏总纲!AF1714</f>
        <v>112.86605643861706</v>
      </c>
      <c r="U1714" s="39">
        <f>[1]节奏总纲!AG1714</f>
        <v>117.7782581240741</v>
      </c>
      <c r="V1714" s="39">
        <f>[1]节奏总纲!AH1714</f>
        <v>126.91977043407034</v>
      </c>
    </row>
    <row r="1715" spans="17:22" x14ac:dyDescent="0.15">
      <c r="Q1715" s="38">
        <v>1712</v>
      </c>
      <c r="R1715" s="39">
        <f>[1]节奏总纲!AD1715</f>
        <v>107.41465085718201</v>
      </c>
      <c r="S1715" s="39">
        <f>[1]节奏总纲!AE1715</f>
        <v>109.74815845598083</v>
      </c>
      <c r="T1715" s="39">
        <f>[1]节奏总纲!AF1715</f>
        <v>112.87457977957642</v>
      </c>
      <c r="U1715" s="39">
        <f>[1]节奏总纲!AG1715</f>
        <v>117.78663478652814</v>
      </c>
      <c r="V1715" s="39">
        <f>[1]节奏总纲!AH1715</f>
        <v>126.92889451525446</v>
      </c>
    </row>
    <row r="1716" spans="17:22" x14ac:dyDescent="0.15">
      <c r="Q1716" s="38">
        <v>1713</v>
      </c>
      <c r="R1716" s="39">
        <f>[1]节奏总纲!AD1716</f>
        <v>107.42302644213828</v>
      </c>
      <c r="S1716" s="39">
        <f>[1]节奏总纲!AE1716</f>
        <v>109.75672948008052</v>
      </c>
      <c r="T1716" s="39">
        <f>[1]节奏总纲!AF1716</f>
        <v>112.88310312053579</v>
      </c>
      <c r="U1716" s="39">
        <f>[1]节奏总纲!AG1716</f>
        <v>117.79501144898217</v>
      </c>
      <c r="V1716" s="39">
        <f>[1]节奏总纲!AH1716</f>
        <v>126.93801859643857</v>
      </c>
    </row>
    <row r="1717" spans="17:22" x14ac:dyDescent="0.15">
      <c r="Q1717" s="38">
        <v>1714</v>
      </c>
      <c r="R1717" s="39">
        <f>[1]节奏总纲!AD1717</f>
        <v>107.43140202709456</v>
      </c>
      <c r="S1717" s="39">
        <f>[1]节奏总纲!AE1717</f>
        <v>109.76530050418023</v>
      </c>
      <c r="T1717" s="39">
        <f>[1]节奏总纲!AF1717</f>
        <v>112.89162646149515</v>
      </c>
      <c r="U1717" s="39">
        <f>[1]节奏总纲!AG1717</f>
        <v>117.80338811143619</v>
      </c>
      <c r="V1717" s="39">
        <f>[1]节奏总纲!AH1717</f>
        <v>126.94714267762267</v>
      </c>
    </row>
    <row r="1718" spans="17:22" x14ac:dyDescent="0.15">
      <c r="Q1718" s="38">
        <v>1715</v>
      </c>
      <c r="R1718" s="39">
        <f>[1]节奏总纲!AD1718</f>
        <v>107.43977761205083</v>
      </c>
      <c r="S1718" s="39">
        <f>[1]节奏总纲!AE1718</f>
        <v>109.77387152827994</v>
      </c>
      <c r="T1718" s="39">
        <f>[1]节奏总纲!AF1718</f>
        <v>112.90014980245451</v>
      </c>
      <c r="U1718" s="39">
        <f>[1]节奏总纲!AG1718</f>
        <v>117.81176477389023</v>
      </c>
      <c r="V1718" s="39">
        <f>[1]节奏总纲!AH1718</f>
        <v>126.95626675880678</v>
      </c>
    </row>
    <row r="1719" spans="17:22" x14ac:dyDescent="0.15">
      <c r="Q1719" s="38">
        <v>1716</v>
      </c>
      <c r="R1719" s="39">
        <f>[1]节奏总纲!AD1719</f>
        <v>107.4481531970071</v>
      </c>
      <c r="S1719" s="39">
        <f>[1]节奏总纲!AE1719</f>
        <v>109.78244255237964</v>
      </c>
      <c r="T1719" s="39">
        <f>[1]节奏总纲!AF1719</f>
        <v>112.90867314341388</v>
      </c>
      <c r="U1719" s="39">
        <f>[1]节奏总纲!AG1719</f>
        <v>117.82014143634426</v>
      </c>
      <c r="V1719" s="39">
        <f>[1]节奏总纲!AH1719</f>
        <v>126.96539083999087</v>
      </c>
    </row>
    <row r="1720" spans="17:22" x14ac:dyDescent="0.15">
      <c r="Q1720" s="38">
        <v>1717</v>
      </c>
      <c r="R1720" s="39">
        <f>[1]节奏总纲!AD1720</f>
        <v>107.45652878196337</v>
      </c>
      <c r="S1720" s="39">
        <f>[1]节奏总纲!AE1720</f>
        <v>109.79101357647934</v>
      </c>
      <c r="T1720" s="39">
        <f>[1]节奏总纲!AF1720</f>
        <v>112.91719648437324</v>
      </c>
      <c r="U1720" s="39">
        <f>[1]节奏总纲!AG1720</f>
        <v>117.82851809879828</v>
      </c>
      <c r="V1720" s="39">
        <f>[1]节奏总纲!AH1720</f>
        <v>126.97451492117499</v>
      </c>
    </row>
    <row r="1721" spans="17:22" x14ac:dyDescent="0.15">
      <c r="Q1721" s="38">
        <v>1718</v>
      </c>
      <c r="R1721" s="39">
        <f>[1]节奏总纲!AD1721</f>
        <v>107.46490436691964</v>
      </c>
      <c r="S1721" s="39">
        <f>[1]节奏总纲!AE1721</f>
        <v>109.79958460057904</v>
      </c>
      <c r="T1721" s="39">
        <f>[1]节奏总纲!AF1721</f>
        <v>112.92571982533261</v>
      </c>
      <c r="U1721" s="39">
        <f>[1]节奏总纲!AG1721</f>
        <v>117.83689476125231</v>
      </c>
      <c r="V1721" s="39">
        <f>[1]节奏总纲!AH1721</f>
        <v>126.98363900235908</v>
      </c>
    </row>
    <row r="1722" spans="17:22" x14ac:dyDescent="0.15">
      <c r="Q1722" s="38">
        <v>1719</v>
      </c>
      <c r="R1722" s="39">
        <f>[1]节奏总纲!AD1722</f>
        <v>107.47327995187592</v>
      </c>
      <c r="S1722" s="39">
        <f>[1]节奏总纲!AE1722</f>
        <v>109.80815562467875</v>
      </c>
      <c r="T1722" s="39">
        <f>[1]节奏总纲!AF1722</f>
        <v>112.93424316629196</v>
      </c>
      <c r="U1722" s="39">
        <f>[1]节奏总纲!AG1722</f>
        <v>117.84527142370635</v>
      </c>
      <c r="V1722" s="39">
        <f>[1]节奏总纲!AH1722</f>
        <v>126.9927630835432</v>
      </c>
    </row>
    <row r="1723" spans="17:22" x14ac:dyDescent="0.15">
      <c r="Q1723" s="38">
        <v>1720</v>
      </c>
      <c r="R1723" s="39">
        <f>[1]节奏总纲!AD1723</f>
        <v>107.48165553683219</v>
      </c>
      <c r="S1723" s="39">
        <f>[1]节奏总纲!AE1723</f>
        <v>109.81672664877846</v>
      </c>
      <c r="T1723" s="39">
        <f>[1]节奏总纲!AF1723</f>
        <v>112.94276650725132</v>
      </c>
      <c r="U1723" s="39">
        <f>[1]节奏总纲!AG1723</f>
        <v>117.85364808616038</v>
      </c>
      <c r="V1723" s="39">
        <f>[1]节奏总纲!AH1723</f>
        <v>127.00173553283786</v>
      </c>
    </row>
    <row r="1724" spans="17:22" x14ac:dyDescent="0.15">
      <c r="Q1724" s="38">
        <v>1721</v>
      </c>
      <c r="R1724" s="39">
        <f>[1]节奏总纲!AD1724</f>
        <v>107.49003112178846</v>
      </c>
      <c r="S1724" s="39">
        <f>[1]节奏总纲!AE1724</f>
        <v>109.82529767287815</v>
      </c>
      <c r="T1724" s="39">
        <f>[1]节奏总纲!AF1724</f>
        <v>112.95128984821069</v>
      </c>
      <c r="U1724" s="39">
        <f>[1]节奏总纲!AG1724</f>
        <v>117.8620247486144</v>
      </c>
      <c r="V1724" s="39">
        <f>[1]节奏总纲!AH1724</f>
        <v>127.01012650278408</v>
      </c>
    </row>
    <row r="1725" spans="17:22" x14ac:dyDescent="0.15">
      <c r="Q1725" s="38">
        <v>1722</v>
      </c>
      <c r="R1725" s="39">
        <f>[1]节奏总纲!AD1725</f>
        <v>107.49840670674473</v>
      </c>
      <c r="S1725" s="39">
        <f>[1]节奏总纲!AE1725</f>
        <v>109.83386869697786</v>
      </c>
      <c r="T1725" s="39">
        <f>[1]节奏总纲!AF1725</f>
        <v>112.95981318917005</v>
      </c>
      <c r="U1725" s="39">
        <f>[1]节奏总纲!AG1725</f>
        <v>117.87040141106844</v>
      </c>
      <c r="V1725" s="39">
        <f>[1]节奏总纲!AH1725</f>
        <v>127.01851747273028</v>
      </c>
    </row>
    <row r="1726" spans="17:22" x14ac:dyDescent="0.15">
      <c r="Q1726" s="38">
        <v>1723</v>
      </c>
      <c r="R1726" s="39">
        <f>[1]节奏总纲!AD1726</f>
        <v>107.50678229170101</v>
      </c>
      <c r="S1726" s="39">
        <f>[1]节奏总纲!AE1726</f>
        <v>109.84243972107757</v>
      </c>
      <c r="T1726" s="39">
        <f>[1]节奏总纲!AF1726</f>
        <v>112.96833653012941</v>
      </c>
      <c r="U1726" s="39">
        <f>[1]节奏总纲!AG1726</f>
        <v>117.87877807352247</v>
      </c>
      <c r="V1726" s="39">
        <f>[1]节奏总纲!AH1726</f>
        <v>127.02690844267649</v>
      </c>
    </row>
    <row r="1727" spans="17:22" x14ac:dyDescent="0.15">
      <c r="Q1727" s="38">
        <v>1724</v>
      </c>
      <c r="R1727" s="39">
        <f>[1]节奏总纲!AD1727</f>
        <v>107.51515787665728</v>
      </c>
      <c r="S1727" s="39">
        <f>[1]节奏总纲!AE1727</f>
        <v>109.85101074517726</v>
      </c>
      <c r="T1727" s="39">
        <f>[1]节奏总纲!AF1727</f>
        <v>112.97685987108878</v>
      </c>
      <c r="U1727" s="39">
        <f>[1]节奏总纲!AG1727</f>
        <v>117.88715473597649</v>
      </c>
      <c r="V1727" s="39">
        <f>[1]节奏总纲!AH1727</f>
        <v>127.03529941262269</v>
      </c>
    </row>
    <row r="1728" spans="17:22" x14ac:dyDescent="0.15">
      <c r="Q1728" s="38">
        <v>1725</v>
      </c>
      <c r="R1728" s="39">
        <f>[1]节奏总纲!AD1728</f>
        <v>107.52353346161355</v>
      </c>
      <c r="S1728" s="39">
        <f>[1]节奏总纲!AE1728</f>
        <v>109.85958176927697</v>
      </c>
      <c r="T1728" s="39">
        <f>[1]节奏总纲!AF1728</f>
        <v>112.98538321204813</v>
      </c>
      <c r="U1728" s="39">
        <f>[1]节奏总纲!AG1728</f>
        <v>117.89553139843053</v>
      </c>
      <c r="V1728" s="39">
        <f>[1]节奏总纲!AH1728</f>
        <v>127.04369038256891</v>
      </c>
    </row>
    <row r="1729" spans="17:22" x14ac:dyDescent="0.15">
      <c r="Q1729" s="38">
        <v>1726</v>
      </c>
      <c r="R1729" s="39">
        <f>[1]节奏总纲!AD1729</f>
        <v>107.53190904656982</v>
      </c>
      <c r="S1729" s="39">
        <f>[1]节奏总纲!AE1729</f>
        <v>109.86815279337667</v>
      </c>
      <c r="T1729" s="39">
        <f>[1]节奏总纲!AF1729</f>
        <v>112.99390655300751</v>
      </c>
      <c r="U1729" s="39">
        <f>[1]节奏总纲!AG1729</f>
        <v>117.90390806088456</v>
      </c>
      <c r="V1729" s="39">
        <f>[1]节奏总纲!AH1729</f>
        <v>127.05208135251512</v>
      </c>
    </row>
    <row r="1730" spans="17:22" x14ac:dyDescent="0.15">
      <c r="Q1730" s="38">
        <v>1727</v>
      </c>
      <c r="R1730" s="39">
        <f>[1]节奏总纲!AD1730</f>
        <v>107.54028463152611</v>
      </c>
      <c r="S1730" s="39">
        <f>[1]节奏总纲!AE1730</f>
        <v>109.87672381747637</v>
      </c>
      <c r="T1730" s="39">
        <f>[1]节奏总纲!AF1730</f>
        <v>113.00238248921141</v>
      </c>
      <c r="U1730" s="39">
        <f>[1]节奏总纲!AG1730</f>
        <v>117.91228472333859</v>
      </c>
      <c r="V1730" s="39">
        <f>[1]节奏总纲!AH1730</f>
        <v>127.06047232246132</v>
      </c>
    </row>
    <row r="1731" spans="17:22" x14ac:dyDescent="0.15">
      <c r="Q1731" s="38">
        <v>1728</v>
      </c>
      <c r="R1731" s="39">
        <f>[1]节奏总纲!AD1731</f>
        <v>107.54866021648238</v>
      </c>
      <c r="S1731" s="39">
        <f>[1]节奏总纲!AE1731</f>
        <v>109.88529484157608</v>
      </c>
      <c r="T1731" s="39">
        <f>[1]节奏总纲!AF1731</f>
        <v>113.0107395484732</v>
      </c>
      <c r="U1731" s="39">
        <f>[1]节奏总纲!AG1731</f>
        <v>117.92066138579261</v>
      </c>
      <c r="V1731" s="39">
        <f>[1]节奏总纲!AH1731</f>
        <v>127.06886329240753</v>
      </c>
    </row>
    <row r="1732" spans="17:22" x14ac:dyDescent="0.15">
      <c r="Q1732" s="38">
        <v>1729</v>
      </c>
      <c r="R1732" s="39">
        <f>[1]节奏总纲!AD1732</f>
        <v>107.55703580143864</v>
      </c>
      <c r="S1732" s="39">
        <f>[1]节奏总纲!AE1732</f>
        <v>109.89386586567578</v>
      </c>
      <c r="T1732" s="39">
        <f>[1]节奏总纲!AF1732</f>
        <v>113.01909660773497</v>
      </c>
      <c r="U1732" s="39">
        <f>[1]节奏总纲!AG1732</f>
        <v>117.92903804824665</v>
      </c>
      <c r="V1732" s="39">
        <f>[1]节奏总纲!AH1732</f>
        <v>127.07725426235373</v>
      </c>
    </row>
    <row r="1733" spans="17:22" x14ac:dyDescent="0.15">
      <c r="Q1733" s="38">
        <v>1730</v>
      </c>
      <c r="R1733" s="39">
        <f>[1]节奏总纲!AD1733</f>
        <v>107.56541138639491</v>
      </c>
      <c r="S1733" s="39">
        <f>[1]节奏总纲!AE1733</f>
        <v>109.90243688977549</v>
      </c>
      <c r="T1733" s="39">
        <f>[1]节奏总纲!AF1733</f>
        <v>113.02745366699675</v>
      </c>
      <c r="U1733" s="39">
        <f>[1]节奏总纲!AG1733</f>
        <v>117.93741471070068</v>
      </c>
      <c r="V1733" s="39">
        <f>[1]节奏总纲!AH1733</f>
        <v>127.08564523229995</v>
      </c>
    </row>
    <row r="1734" spans="17:22" x14ac:dyDescent="0.15">
      <c r="Q1734" s="38">
        <v>1731</v>
      </c>
      <c r="R1734" s="39">
        <f>[1]节奏总纲!AD1734</f>
        <v>107.57378697135118</v>
      </c>
      <c r="S1734" s="39">
        <f>[1]节奏总纲!AE1734</f>
        <v>109.9110079138752</v>
      </c>
      <c r="T1734" s="39">
        <f>[1]节奏总纲!AF1734</f>
        <v>113.03581072625853</v>
      </c>
      <c r="U1734" s="39">
        <f>[1]节奏总纲!AG1734</f>
        <v>117.94579137315471</v>
      </c>
      <c r="V1734" s="39">
        <f>[1]节奏总纲!AH1734</f>
        <v>127.09403620224616</v>
      </c>
    </row>
    <row r="1735" spans="17:22" x14ac:dyDescent="0.15">
      <c r="Q1735" s="38">
        <v>1732</v>
      </c>
      <c r="R1735" s="39">
        <f>[1]节奏总纲!AD1735</f>
        <v>107.58216255630747</v>
      </c>
      <c r="S1735" s="39">
        <f>[1]节奏总纲!AE1735</f>
        <v>109.91957893797489</v>
      </c>
      <c r="T1735" s="39">
        <f>[1]节奏总纲!AF1735</f>
        <v>113.0441677855203</v>
      </c>
      <c r="U1735" s="39">
        <f>[1]节奏总纲!AG1735</f>
        <v>117.95416803560875</v>
      </c>
      <c r="V1735" s="39">
        <f>[1]节奏总纲!AH1735</f>
        <v>127.10242717219236</v>
      </c>
    </row>
    <row r="1736" spans="17:22" x14ac:dyDescent="0.15">
      <c r="Q1736" s="38">
        <v>1733</v>
      </c>
      <c r="R1736" s="39">
        <f>[1]节奏总纲!AD1736</f>
        <v>107.59053814126374</v>
      </c>
      <c r="S1736" s="39">
        <f>[1]节奏总纲!AE1736</f>
        <v>109.9281499620746</v>
      </c>
      <c r="T1736" s="39">
        <f>[1]节奏总纲!AF1736</f>
        <v>113.05252484478208</v>
      </c>
      <c r="U1736" s="39">
        <f>[1]节奏总纲!AG1736</f>
        <v>117.96254469806277</v>
      </c>
      <c r="V1736" s="39">
        <f>[1]节奏总纲!AH1736</f>
        <v>127.11081814213857</v>
      </c>
    </row>
    <row r="1737" spans="17:22" x14ac:dyDescent="0.15">
      <c r="Q1737" s="38">
        <v>1734</v>
      </c>
      <c r="R1737" s="39">
        <f>[1]节奏总纲!AD1737</f>
        <v>107.59891372622</v>
      </c>
      <c r="S1737" s="39">
        <f>[1]节奏总纲!AE1737</f>
        <v>109.93672098617429</v>
      </c>
      <c r="T1737" s="39">
        <f>[1]节奏总纲!AF1737</f>
        <v>113.06088190404387</v>
      </c>
      <c r="U1737" s="39">
        <f>[1]节奏总纲!AG1737</f>
        <v>117.9709213605168</v>
      </c>
      <c r="V1737" s="39">
        <f>[1]节奏总纲!AH1737</f>
        <v>127.11920911208479</v>
      </c>
    </row>
    <row r="1738" spans="17:22" x14ac:dyDescent="0.15">
      <c r="Q1738" s="38">
        <v>1735</v>
      </c>
      <c r="R1738" s="39">
        <f>[1]节奏总纲!AD1738</f>
        <v>107.60728931117627</v>
      </c>
      <c r="S1738" s="39">
        <f>[1]节奏总纲!AE1738</f>
        <v>109.945292010274</v>
      </c>
      <c r="T1738" s="39">
        <f>[1]节奏总纲!AF1738</f>
        <v>113.06923896330564</v>
      </c>
      <c r="U1738" s="39">
        <f>[1]节奏总纲!AG1738</f>
        <v>117.97929802297082</v>
      </c>
      <c r="V1738" s="39">
        <f>[1]节奏总纲!AH1738</f>
        <v>127.12760008203099</v>
      </c>
    </row>
    <row r="1739" spans="17:22" x14ac:dyDescent="0.15">
      <c r="Q1739" s="38">
        <v>1736</v>
      </c>
      <c r="R1739" s="39">
        <f>[1]节奏总纲!AD1739</f>
        <v>107.61566489613256</v>
      </c>
      <c r="S1739" s="39">
        <f>[1]节奏总纲!AE1739</f>
        <v>109.95386303437371</v>
      </c>
      <c r="T1739" s="39">
        <f>[1]节奏总纲!AF1739</f>
        <v>113.07759602256742</v>
      </c>
      <c r="U1739" s="39">
        <f>[1]节奏总纲!AG1739</f>
        <v>117.98767468542486</v>
      </c>
      <c r="V1739" s="39">
        <f>[1]节奏总纲!AH1739</f>
        <v>127.1359910519772</v>
      </c>
    </row>
    <row r="1740" spans="17:22" x14ac:dyDescent="0.15">
      <c r="Q1740" s="38">
        <v>1737</v>
      </c>
      <c r="R1740" s="39">
        <f>[1]节奏总纲!AD1740</f>
        <v>107.62404048108883</v>
      </c>
      <c r="S1740" s="39">
        <f>[1]节奏总纲!AE1740</f>
        <v>109.96243405847341</v>
      </c>
      <c r="T1740" s="39">
        <f>[1]节奏总纲!AF1740</f>
        <v>113.08595308182919</v>
      </c>
      <c r="U1740" s="39">
        <f>[1]节奏总纲!AG1740</f>
        <v>117.99605134787889</v>
      </c>
      <c r="V1740" s="39">
        <f>[1]节奏总纲!AH1740</f>
        <v>127.14438202192341</v>
      </c>
    </row>
    <row r="1741" spans="17:22" x14ac:dyDescent="0.15">
      <c r="Q1741" s="38">
        <v>1738</v>
      </c>
      <c r="R1741" s="39">
        <f>[1]节奏总纲!AD1741</f>
        <v>107.6324160660451</v>
      </c>
      <c r="S1741" s="39">
        <f>[1]节奏总纲!AE1741</f>
        <v>109.97100508257311</v>
      </c>
      <c r="T1741" s="39">
        <f>[1]节奏总纲!AF1741</f>
        <v>113.09431014109097</v>
      </c>
      <c r="U1741" s="39">
        <f>[1]节奏总纲!AG1741</f>
        <v>118.00419915392548</v>
      </c>
      <c r="V1741" s="39">
        <f>[1]节奏总纲!AH1741</f>
        <v>127.15277299186963</v>
      </c>
    </row>
    <row r="1742" spans="17:22" x14ac:dyDescent="0.15">
      <c r="Q1742" s="38">
        <v>1739</v>
      </c>
      <c r="R1742" s="39">
        <f>[1]节奏总纲!AD1742</f>
        <v>107.64079165100136</v>
      </c>
      <c r="S1742" s="39">
        <f>[1]节奏总纲!AE1742</f>
        <v>109.97957610667282</v>
      </c>
      <c r="T1742" s="39">
        <f>[1]节奏总纲!AF1742</f>
        <v>113.10266720035276</v>
      </c>
      <c r="U1742" s="39">
        <f>[1]节奏总纲!AG1742</f>
        <v>118.01214287861934</v>
      </c>
      <c r="V1742" s="39">
        <f>[1]节奏总纲!AH1742</f>
        <v>127.16116396181583</v>
      </c>
    </row>
    <row r="1743" spans="17:22" x14ac:dyDescent="0.15">
      <c r="Q1743" s="38">
        <v>1740</v>
      </c>
      <c r="R1743" s="39">
        <f>[1]节奏总纲!AD1743</f>
        <v>107.64916723595765</v>
      </c>
      <c r="S1743" s="39">
        <f>[1]节奏总纲!AE1743</f>
        <v>109.98814713077252</v>
      </c>
      <c r="T1743" s="39">
        <f>[1]节奏总纲!AF1743</f>
        <v>113.11102425961452</v>
      </c>
      <c r="U1743" s="39">
        <f>[1]节奏总纲!AG1743</f>
        <v>118.0200866033132</v>
      </c>
      <c r="V1743" s="39">
        <f>[1]节奏总纲!AH1743</f>
        <v>127.16955493176204</v>
      </c>
    </row>
    <row r="1744" spans="17:22" x14ac:dyDescent="0.15">
      <c r="Q1744" s="38">
        <v>1741</v>
      </c>
      <c r="R1744" s="39">
        <f>[1]节奏总纲!AD1744</f>
        <v>107.65754282091392</v>
      </c>
      <c r="S1744" s="39">
        <f>[1]节奏总纲!AE1744</f>
        <v>109.99671815487223</v>
      </c>
      <c r="T1744" s="39">
        <f>[1]节奏总纲!AF1744</f>
        <v>113.11938131887631</v>
      </c>
      <c r="U1744" s="39">
        <f>[1]节奏总纲!AG1744</f>
        <v>118.02803032800706</v>
      </c>
      <c r="V1744" s="39">
        <f>[1]节奏总纲!AH1744</f>
        <v>127.17794590170824</v>
      </c>
    </row>
    <row r="1745" spans="17:22" x14ac:dyDescent="0.15">
      <c r="Q1745" s="38">
        <v>1742</v>
      </c>
      <c r="R1745" s="39">
        <f>[1]节奏总纲!AD1745</f>
        <v>107.66591840587019</v>
      </c>
      <c r="S1745" s="39">
        <f>[1]节奏总纲!AE1745</f>
        <v>110.00483321725318</v>
      </c>
      <c r="T1745" s="39">
        <f>[1]节奏总纲!AF1745</f>
        <v>113.12773837813808</v>
      </c>
      <c r="U1745" s="39">
        <f>[1]节奏总纲!AG1745</f>
        <v>118.03597405270092</v>
      </c>
      <c r="V1745" s="39">
        <f>[1]节奏总纲!AH1745</f>
        <v>127.18633687165446</v>
      </c>
    </row>
    <row r="1746" spans="17:22" x14ac:dyDescent="0.15">
      <c r="Q1746" s="38">
        <v>1743</v>
      </c>
      <c r="R1746" s="39">
        <f>[1]节奏总纲!AD1746</f>
        <v>107.67429399082646</v>
      </c>
      <c r="S1746" s="39">
        <f>[1]节奏总纲!AE1746</f>
        <v>110.01266536318282</v>
      </c>
      <c r="T1746" s="39">
        <f>[1]节奏总纲!AF1746</f>
        <v>113.13609543739986</v>
      </c>
      <c r="U1746" s="39">
        <f>[1]节奏总纲!AG1746</f>
        <v>118.04391777739478</v>
      </c>
      <c r="V1746" s="39">
        <f>[1]节奏总纲!AH1746</f>
        <v>127.19472784160067</v>
      </c>
    </row>
    <row r="1747" spans="17:22" x14ac:dyDescent="0.15">
      <c r="Q1747" s="38">
        <v>1744</v>
      </c>
      <c r="R1747" s="39">
        <f>[1]节奏总纲!AD1747</f>
        <v>107.68266957578273</v>
      </c>
      <c r="S1747" s="39">
        <f>[1]节奏总纲!AE1747</f>
        <v>110.02049750911246</v>
      </c>
      <c r="T1747" s="39">
        <f>[1]节奏总纲!AF1747</f>
        <v>113.14445249666164</v>
      </c>
      <c r="U1747" s="39">
        <f>[1]节奏总纲!AG1747</f>
        <v>118.05186150208864</v>
      </c>
      <c r="V1747" s="39">
        <f>[1]节奏总纲!AH1747</f>
        <v>127.20311881154687</v>
      </c>
    </row>
    <row r="1748" spans="17:22" x14ac:dyDescent="0.15">
      <c r="Q1748" s="38">
        <v>1745</v>
      </c>
      <c r="R1748" s="39">
        <f>[1]节奏总纲!AD1748</f>
        <v>107.69104516073901</v>
      </c>
      <c r="S1748" s="39">
        <f>[1]节奏总纲!AE1748</f>
        <v>110.0283296550421</v>
      </c>
      <c r="T1748" s="39">
        <f>[1]节奏总纲!AF1748</f>
        <v>113.15280955592341</v>
      </c>
      <c r="U1748" s="39">
        <f>[1]节奏总纲!AG1748</f>
        <v>118.0598052267825</v>
      </c>
      <c r="V1748" s="39">
        <f>[1]节奏总纲!AH1748</f>
        <v>127.21150978149308</v>
      </c>
    </row>
    <row r="1749" spans="17:22" x14ac:dyDescent="0.15">
      <c r="Q1749" s="38">
        <v>1746</v>
      </c>
      <c r="R1749" s="39">
        <f>[1]节奏总纲!AD1749</f>
        <v>107.69942074569528</v>
      </c>
      <c r="S1749" s="39">
        <f>[1]节奏总纲!AE1749</f>
        <v>110.03616180097174</v>
      </c>
      <c r="T1749" s="39">
        <f>[1]节奏总纲!AF1749</f>
        <v>113.16116661518519</v>
      </c>
      <c r="U1749" s="39">
        <f>[1]节奏总纲!AG1749</f>
        <v>118.06774895147636</v>
      </c>
      <c r="V1749" s="39">
        <f>[1]节奏总纲!AH1749</f>
        <v>127.2199007514393</v>
      </c>
    </row>
    <row r="1750" spans="17:22" x14ac:dyDescent="0.15">
      <c r="Q1750" s="38">
        <v>1747</v>
      </c>
      <c r="R1750" s="39">
        <f>[1]节奏总纲!AD1750</f>
        <v>107.70779633065155</v>
      </c>
      <c r="S1750" s="39">
        <f>[1]节奏总纲!AE1750</f>
        <v>110.04399394690138</v>
      </c>
      <c r="T1750" s="39">
        <f>[1]节奏总纲!AF1750</f>
        <v>113.16952367444696</v>
      </c>
      <c r="U1750" s="39">
        <f>[1]节奏总纲!AG1750</f>
        <v>118.07569267617022</v>
      </c>
      <c r="V1750" s="39">
        <f>[1]节奏总纲!AH1750</f>
        <v>127.2282917213855</v>
      </c>
    </row>
    <row r="1751" spans="17:22" x14ac:dyDescent="0.15">
      <c r="Q1751" s="38">
        <v>1748</v>
      </c>
      <c r="R1751" s="39">
        <f>[1]节奏总纲!AD1751</f>
        <v>107.71617191560782</v>
      </c>
      <c r="S1751" s="39">
        <f>[1]节奏总纲!AE1751</f>
        <v>110.05182609283102</v>
      </c>
      <c r="T1751" s="39">
        <f>[1]节奏总纲!AF1751</f>
        <v>113.17788073370875</v>
      </c>
      <c r="U1751" s="39">
        <f>[1]节奏总纲!AG1751</f>
        <v>118.08363640086408</v>
      </c>
      <c r="V1751" s="39">
        <f>[1]节奏总纲!AH1751</f>
        <v>127.23668269133171</v>
      </c>
    </row>
    <row r="1752" spans="17:22" x14ac:dyDescent="0.15">
      <c r="Q1752" s="38">
        <v>1749</v>
      </c>
      <c r="R1752" s="39">
        <f>[1]节奏总纲!AD1752</f>
        <v>107.7245475005641</v>
      </c>
      <c r="S1752" s="39">
        <f>[1]节奏总纲!AE1752</f>
        <v>110.05965823876065</v>
      </c>
      <c r="T1752" s="39">
        <f>[1]节奏总纲!AF1752</f>
        <v>113.18623779297053</v>
      </c>
      <c r="U1752" s="39">
        <f>[1]节奏总纲!AG1752</f>
        <v>118.09158012555794</v>
      </c>
      <c r="V1752" s="39">
        <f>[1]节奏总纲!AH1752</f>
        <v>127.24507366127791</v>
      </c>
    </row>
    <row r="1753" spans="17:22" x14ac:dyDescent="0.15">
      <c r="Q1753" s="38">
        <v>1750</v>
      </c>
      <c r="R1753" s="39">
        <f>[1]节奏总纲!AD1753</f>
        <v>107.73292308552037</v>
      </c>
      <c r="S1753" s="39">
        <f>[1]节奏总纲!AE1753</f>
        <v>110.06749038469029</v>
      </c>
      <c r="T1753" s="39">
        <f>[1]节奏总纲!AF1753</f>
        <v>113.1945948522323</v>
      </c>
      <c r="U1753" s="39">
        <f>[1]节奏总纲!AG1753</f>
        <v>118.0995238502518</v>
      </c>
      <c r="V1753" s="39">
        <f>[1]节奏总纲!AH1753</f>
        <v>127.25346463122413</v>
      </c>
    </row>
    <row r="1754" spans="17:22" x14ac:dyDescent="0.15">
      <c r="Q1754" s="38">
        <v>1751</v>
      </c>
      <c r="R1754" s="39">
        <f>[1]节奏总纲!AD1754</f>
        <v>107.74129867047664</v>
      </c>
      <c r="S1754" s="39">
        <f>[1]节奏总纲!AE1754</f>
        <v>110.07532253061993</v>
      </c>
      <c r="T1754" s="39">
        <f>[1]节奏总纲!AF1754</f>
        <v>113.20295191149408</v>
      </c>
      <c r="U1754" s="39">
        <f>[1]节奏总纲!AG1754</f>
        <v>118.10746757494566</v>
      </c>
      <c r="V1754" s="39">
        <f>[1]节奏总纲!AH1754</f>
        <v>127.26185560117034</v>
      </c>
    </row>
    <row r="1755" spans="17:22" x14ac:dyDescent="0.15">
      <c r="Q1755" s="38">
        <v>1752</v>
      </c>
      <c r="R1755" s="39">
        <f>[1]节奏总纲!AD1755</f>
        <v>107.74967425543291</v>
      </c>
      <c r="S1755" s="39">
        <f>[1]节奏总纲!AE1755</f>
        <v>110.08315467654957</v>
      </c>
      <c r="T1755" s="39">
        <f>[1]节奏总纲!AF1755</f>
        <v>113.21130897075587</v>
      </c>
      <c r="U1755" s="39">
        <f>[1]节奏总纲!AG1755</f>
        <v>118.11541129963952</v>
      </c>
      <c r="V1755" s="39">
        <f>[1]节奏总纲!AH1755</f>
        <v>127.27024657111654</v>
      </c>
    </row>
    <row r="1756" spans="17:22" x14ac:dyDescent="0.15">
      <c r="Q1756" s="38">
        <v>1753</v>
      </c>
      <c r="R1756" s="39">
        <f>[1]节奏总纲!AD1756</f>
        <v>107.75804984038919</v>
      </c>
      <c r="S1756" s="39">
        <f>[1]节奏总纲!AE1756</f>
        <v>110.09098682247921</v>
      </c>
      <c r="T1756" s="39">
        <f>[1]节奏总纲!AF1756</f>
        <v>113.21966603001763</v>
      </c>
      <c r="U1756" s="39">
        <f>[1]节奏总纲!AG1756</f>
        <v>118.12335502433338</v>
      </c>
      <c r="V1756" s="39">
        <f>[1]节奏总纲!AH1756</f>
        <v>127.27863754106275</v>
      </c>
    </row>
    <row r="1757" spans="17:22" x14ac:dyDescent="0.15">
      <c r="Q1757" s="38">
        <v>1754</v>
      </c>
      <c r="R1757" s="39">
        <f>[1]节奏总纲!AD1757</f>
        <v>107.76642542534546</v>
      </c>
      <c r="S1757" s="39">
        <f>[1]节奏总纲!AE1757</f>
        <v>110.09881896840885</v>
      </c>
      <c r="T1757" s="39">
        <f>[1]节奏总纲!AF1757</f>
        <v>113.22802308927942</v>
      </c>
      <c r="U1757" s="39">
        <f>[1]节奏总纲!AG1757</f>
        <v>118.13129874902724</v>
      </c>
      <c r="V1757" s="39">
        <f>[1]节奏总纲!AH1757</f>
        <v>127.28702851100897</v>
      </c>
    </row>
    <row r="1758" spans="17:22" x14ac:dyDescent="0.15">
      <c r="Q1758" s="38">
        <v>1755</v>
      </c>
      <c r="R1758" s="39">
        <f>[1]节奏总纲!AD1758</f>
        <v>107.77480101030173</v>
      </c>
      <c r="S1758" s="39">
        <f>[1]节奏总纲!AE1758</f>
        <v>110.10665111433849</v>
      </c>
      <c r="T1758" s="39">
        <f>[1]节奏总纲!AF1758</f>
        <v>113.23638014854119</v>
      </c>
      <c r="U1758" s="39">
        <f>[1]节奏总纲!AG1758</f>
        <v>118.1392424737211</v>
      </c>
      <c r="V1758" s="39">
        <f>[1]节奏总纲!AH1758</f>
        <v>127.29541948095518</v>
      </c>
    </row>
    <row r="1759" spans="17:22" x14ac:dyDescent="0.15">
      <c r="Q1759" s="38">
        <v>1756</v>
      </c>
      <c r="R1759" s="39">
        <f>[1]节奏总纲!AD1759</f>
        <v>107.783176595258</v>
      </c>
      <c r="S1759" s="39">
        <f>[1]节奏总纲!AE1759</f>
        <v>110.11448326026813</v>
      </c>
      <c r="T1759" s="39">
        <f>[1]节奏总纲!AF1759</f>
        <v>113.24473720780297</v>
      </c>
      <c r="U1759" s="39">
        <f>[1]节奏总纲!AG1759</f>
        <v>118.14718619841496</v>
      </c>
      <c r="V1759" s="39">
        <f>[1]节奏总纲!AH1759</f>
        <v>127.30381045090138</v>
      </c>
    </row>
    <row r="1760" spans="17:22" x14ac:dyDescent="0.15">
      <c r="Q1760" s="38">
        <v>1757</v>
      </c>
      <c r="R1760" s="39">
        <f>[1]节奏总纲!AD1760</f>
        <v>107.79155218021427</v>
      </c>
      <c r="S1760" s="39">
        <f>[1]节奏总纲!AE1760</f>
        <v>110.12231540619777</v>
      </c>
      <c r="T1760" s="39">
        <f>[1]节奏总纲!AF1760</f>
        <v>113.25309426706475</v>
      </c>
      <c r="U1760" s="39">
        <f>[1]节奏总纲!AG1760</f>
        <v>118.15512992310882</v>
      </c>
      <c r="V1760" s="39">
        <f>[1]节奏总纲!AH1760</f>
        <v>127.31220142084759</v>
      </c>
    </row>
    <row r="1761" spans="17:22" x14ac:dyDescent="0.15">
      <c r="Q1761" s="38">
        <v>1758</v>
      </c>
      <c r="R1761" s="39">
        <f>[1]节奏总纲!AD1761</f>
        <v>107.79992776517055</v>
      </c>
      <c r="S1761" s="39">
        <f>[1]节奏总纲!AE1761</f>
        <v>110.13014755212741</v>
      </c>
      <c r="T1761" s="39">
        <f>[1]节奏总纲!AF1761</f>
        <v>113.26145132632652</v>
      </c>
      <c r="U1761" s="39">
        <f>[1]节奏总纲!AG1761</f>
        <v>118.16307364780268</v>
      </c>
      <c r="V1761" s="39">
        <f>[1]节奏总纲!AH1761</f>
        <v>127.32059239079379</v>
      </c>
    </row>
    <row r="1762" spans="17:22" x14ac:dyDescent="0.15">
      <c r="Q1762" s="38">
        <v>1759</v>
      </c>
      <c r="R1762" s="39">
        <f>[1]节奏总纲!AD1762</f>
        <v>107.80830335012682</v>
      </c>
      <c r="S1762" s="39">
        <f>[1]节奏总纲!AE1762</f>
        <v>110.13797969805704</v>
      </c>
      <c r="T1762" s="39">
        <f>[1]节奏总纲!AF1762</f>
        <v>113.26980838558831</v>
      </c>
      <c r="U1762" s="39">
        <f>[1]节奏总纲!AG1762</f>
        <v>118.17101737249654</v>
      </c>
      <c r="V1762" s="39">
        <f>[1]节奏总纲!AH1762</f>
        <v>127.32898336074001</v>
      </c>
    </row>
    <row r="1763" spans="17:22" x14ac:dyDescent="0.15">
      <c r="Q1763" s="38">
        <v>1760</v>
      </c>
      <c r="R1763" s="39">
        <f>[1]节奏总纲!AD1763</f>
        <v>107.81667893508309</v>
      </c>
      <c r="S1763" s="39">
        <f>[1]节奏总纲!AE1763</f>
        <v>110.14581184398668</v>
      </c>
      <c r="T1763" s="39">
        <f>[1]节奏总纲!AF1763</f>
        <v>113.27816544485007</v>
      </c>
      <c r="U1763" s="39">
        <f>[1]节奏总纲!AG1763</f>
        <v>118.1789610971904</v>
      </c>
      <c r="V1763" s="39">
        <f>[1]节奏总纲!AH1763</f>
        <v>127.33737433068622</v>
      </c>
    </row>
    <row r="1764" spans="17:22" x14ac:dyDescent="0.15">
      <c r="Q1764" s="38">
        <v>1761</v>
      </c>
      <c r="R1764" s="39">
        <f>[1]节奏总纲!AD1764</f>
        <v>107.82505452003936</v>
      </c>
      <c r="S1764" s="39">
        <f>[1]节奏总纲!AE1764</f>
        <v>110.15364398991632</v>
      </c>
      <c r="T1764" s="39">
        <f>[1]节奏总纲!AF1764</f>
        <v>113.28652250411186</v>
      </c>
      <c r="U1764" s="39">
        <f>[1]节奏总纲!AG1764</f>
        <v>118.18690482188426</v>
      </c>
      <c r="V1764" s="39">
        <f>[1]节奏总纲!AH1764</f>
        <v>127.34576530063242</v>
      </c>
    </row>
    <row r="1765" spans="17:22" x14ac:dyDescent="0.15">
      <c r="Q1765" s="38">
        <v>1762</v>
      </c>
      <c r="R1765" s="39">
        <f>[1]节奏总纲!AD1765</f>
        <v>107.83343010499564</v>
      </c>
      <c r="S1765" s="39">
        <f>[1]节奏总纲!AE1765</f>
        <v>110.16147613584596</v>
      </c>
      <c r="T1765" s="39">
        <f>[1]节奏总纲!AF1765</f>
        <v>113.29487956337364</v>
      </c>
      <c r="U1765" s="39">
        <f>[1]节奏总纲!AG1765</f>
        <v>118.19484854657811</v>
      </c>
      <c r="V1765" s="39">
        <f>[1]节奏总纲!AH1765</f>
        <v>127.35415627057863</v>
      </c>
    </row>
    <row r="1766" spans="17:22" x14ac:dyDescent="0.15">
      <c r="Q1766" s="38">
        <v>1763</v>
      </c>
      <c r="R1766" s="39">
        <f>[1]节奏总纲!AD1766</f>
        <v>107.84180568995191</v>
      </c>
      <c r="S1766" s="39">
        <f>[1]节奏总纲!AE1766</f>
        <v>110.1693082817756</v>
      </c>
      <c r="T1766" s="39">
        <f>[1]节奏总纲!AF1766</f>
        <v>113.30323662263541</v>
      </c>
      <c r="U1766" s="39">
        <f>[1]节奏总纲!AG1766</f>
        <v>118.20279227127197</v>
      </c>
      <c r="V1766" s="39">
        <f>[1]节奏总纲!AH1766</f>
        <v>127.36254724052485</v>
      </c>
    </row>
    <row r="1767" spans="17:22" x14ac:dyDescent="0.15">
      <c r="Q1767" s="38">
        <v>1764</v>
      </c>
      <c r="R1767" s="39">
        <f>[1]节奏总纲!AD1767</f>
        <v>107.85018127490818</v>
      </c>
      <c r="S1767" s="39">
        <f>[1]节奏总纲!AE1767</f>
        <v>110.17714042770524</v>
      </c>
      <c r="T1767" s="39">
        <f>[1]节奏总纲!AF1767</f>
        <v>113.31159368189719</v>
      </c>
      <c r="U1767" s="39">
        <f>[1]节奏总纲!AG1767</f>
        <v>118.21073599596583</v>
      </c>
      <c r="V1767" s="39">
        <f>[1]节奏总纲!AH1767</f>
        <v>127.37093821047105</v>
      </c>
    </row>
    <row r="1768" spans="17:22" x14ac:dyDescent="0.15">
      <c r="Q1768" s="38">
        <v>1765</v>
      </c>
      <c r="R1768" s="39">
        <f>[1]节奏总纲!AD1768</f>
        <v>107.85855685986445</v>
      </c>
      <c r="S1768" s="39">
        <f>[1]节奏总纲!AE1768</f>
        <v>110.18497257363488</v>
      </c>
      <c r="T1768" s="39">
        <f>[1]节奏总纲!AF1768</f>
        <v>113.31995074115898</v>
      </c>
      <c r="U1768" s="39">
        <f>[1]节奏总纲!AG1768</f>
        <v>118.21867972065971</v>
      </c>
      <c r="V1768" s="39">
        <f>[1]节奏总纲!AH1768</f>
        <v>127.37932918041726</v>
      </c>
    </row>
    <row r="1769" spans="17:22" x14ac:dyDescent="0.15">
      <c r="Q1769" s="38">
        <v>1766</v>
      </c>
      <c r="R1769" s="39">
        <f>[1]节奏总纲!AD1769</f>
        <v>107.86693244482073</v>
      </c>
      <c r="S1769" s="39">
        <f>[1]节奏总纲!AE1769</f>
        <v>110.19280471956452</v>
      </c>
      <c r="T1769" s="39">
        <f>[1]节奏总纲!AF1769</f>
        <v>113.32830780042075</v>
      </c>
      <c r="U1769" s="39">
        <f>[1]节奏总纲!AG1769</f>
        <v>118.22662344535357</v>
      </c>
      <c r="V1769" s="39">
        <f>[1]节奏总纲!AH1769</f>
        <v>127.38772015036346</v>
      </c>
    </row>
    <row r="1770" spans="17:22" x14ac:dyDescent="0.15">
      <c r="Q1770" s="38">
        <v>1767</v>
      </c>
      <c r="R1770" s="39">
        <f>[1]节奏总纲!AD1770</f>
        <v>107.875308029777</v>
      </c>
      <c r="S1770" s="39">
        <f>[1]节奏总纲!AE1770</f>
        <v>110.20063686549416</v>
      </c>
      <c r="T1770" s="39">
        <f>[1]节奏总纲!AF1770</f>
        <v>113.33666485968253</v>
      </c>
      <c r="U1770" s="39">
        <f>[1]节奏总纲!AG1770</f>
        <v>118.23456717004743</v>
      </c>
      <c r="V1770" s="39">
        <f>[1]节奏总纲!AH1770</f>
        <v>127.39611112030968</v>
      </c>
    </row>
    <row r="1771" spans="17:22" x14ac:dyDescent="0.15">
      <c r="Q1771" s="38">
        <v>1768</v>
      </c>
      <c r="R1771" s="39">
        <f>[1]节奏总纲!AD1771</f>
        <v>107.88368361473327</v>
      </c>
      <c r="S1771" s="39">
        <f>[1]节奏总纲!AE1771</f>
        <v>110.2084690114238</v>
      </c>
      <c r="T1771" s="39">
        <f>[1]节奏总纲!AF1771</f>
        <v>113.3450219189443</v>
      </c>
      <c r="U1771" s="39">
        <f>[1]节奏总纲!AG1771</f>
        <v>118.24251089474129</v>
      </c>
      <c r="V1771" s="39">
        <f>[1]节奏总纲!AH1771</f>
        <v>127.40450209025589</v>
      </c>
    </row>
    <row r="1772" spans="17:22" x14ac:dyDescent="0.15">
      <c r="Q1772" s="38">
        <v>1769</v>
      </c>
      <c r="R1772" s="39">
        <f>[1]节奏总纲!AD1772</f>
        <v>107.89205919968954</v>
      </c>
      <c r="S1772" s="39">
        <f>[1]节奏总纲!AE1772</f>
        <v>110.21630115735344</v>
      </c>
      <c r="T1772" s="39">
        <f>[1]节奏总纲!AF1772</f>
        <v>113.35337897820608</v>
      </c>
      <c r="U1772" s="39">
        <f>[1]节奏总纲!AG1772</f>
        <v>118.25045461943515</v>
      </c>
      <c r="V1772" s="39">
        <f>[1]节奏总纲!AH1772</f>
        <v>127.41289306020209</v>
      </c>
    </row>
    <row r="1773" spans="17:22" x14ac:dyDescent="0.15">
      <c r="Q1773" s="38">
        <v>1770</v>
      </c>
      <c r="R1773" s="39">
        <f>[1]节奏总纲!AD1773</f>
        <v>107.90043478464581</v>
      </c>
      <c r="S1773" s="39">
        <f>[1]节奏总纲!AE1773</f>
        <v>110.22413330328307</v>
      </c>
      <c r="T1773" s="39">
        <f>[1]节奏总纲!AF1773</f>
        <v>113.36173603746786</v>
      </c>
      <c r="U1773" s="39">
        <f>[1]节奏总纲!AG1773</f>
        <v>118.25839834412901</v>
      </c>
      <c r="V1773" s="39">
        <f>[1]节奏总纲!AH1773</f>
        <v>127.4212840301483</v>
      </c>
    </row>
    <row r="1774" spans="17:22" x14ac:dyDescent="0.15">
      <c r="Q1774" s="38">
        <v>1771</v>
      </c>
      <c r="R1774" s="39">
        <f>[1]节奏总纲!AD1774</f>
        <v>107.90881036960209</v>
      </c>
      <c r="S1774" s="39">
        <f>[1]节奏总纲!AE1774</f>
        <v>110.23196544921271</v>
      </c>
      <c r="T1774" s="39">
        <f>[1]节奏总纲!AF1774</f>
        <v>113.37009309672963</v>
      </c>
      <c r="U1774" s="39">
        <f>[1]节奏总纲!AG1774</f>
        <v>118.26634206882287</v>
      </c>
      <c r="V1774" s="39">
        <f>[1]节奏总纲!AH1774</f>
        <v>127.42967500009452</v>
      </c>
    </row>
    <row r="1775" spans="17:22" x14ac:dyDescent="0.15">
      <c r="Q1775" s="38">
        <v>1772</v>
      </c>
      <c r="R1775" s="39">
        <f>[1]节奏总纲!AD1775</f>
        <v>107.91718595455836</v>
      </c>
      <c r="S1775" s="39">
        <f>[1]节奏总纲!AE1775</f>
        <v>110.23979759514235</v>
      </c>
      <c r="T1775" s="39">
        <f>[1]节奏总纲!AF1775</f>
        <v>113.37845015599142</v>
      </c>
      <c r="U1775" s="39">
        <f>[1]节奏总纲!AG1775</f>
        <v>118.27428579351673</v>
      </c>
      <c r="V1775" s="39">
        <f>[1]节奏总纲!AH1775</f>
        <v>127.43806597004073</v>
      </c>
    </row>
    <row r="1776" spans="17:22" x14ac:dyDescent="0.15">
      <c r="Q1776" s="38">
        <v>1773</v>
      </c>
      <c r="R1776" s="39">
        <f>[1]节奏总纲!AD1776</f>
        <v>107.92556153951463</v>
      </c>
      <c r="S1776" s="39">
        <f>[1]节奏总纲!AE1776</f>
        <v>110.24762974107199</v>
      </c>
      <c r="T1776" s="39">
        <f>[1]节奏总纲!AF1776</f>
        <v>113.38680721525319</v>
      </c>
      <c r="U1776" s="39">
        <f>[1]节奏总纲!AG1776</f>
        <v>118.28222951821058</v>
      </c>
      <c r="V1776" s="39">
        <f>[1]节奏总纲!AH1776</f>
        <v>127.44645693998693</v>
      </c>
    </row>
    <row r="1777" spans="17:22" x14ac:dyDescent="0.15">
      <c r="Q1777" s="38">
        <v>1774</v>
      </c>
      <c r="R1777" s="39">
        <f>[1]节奏总纲!AD1777</f>
        <v>107.9339371244709</v>
      </c>
      <c r="S1777" s="39">
        <f>[1]节奏总纲!AE1777</f>
        <v>110.25546188700163</v>
      </c>
      <c r="T1777" s="39">
        <f>[1]节奏总纲!AF1777</f>
        <v>113.39516427451497</v>
      </c>
      <c r="U1777" s="39">
        <f>[1]节奏总纲!AG1777</f>
        <v>118.29017324290444</v>
      </c>
      <c r="V1777" s="39">
        <f>[1]节奏总纲!AH1777</f>
        <v>127.45484790993314</v>
      </c>
    </row>
    <row r="1778" spans="17:22" x14ac:dyDescent="0.15">
      <c r="Q1778" s="38">
        <v>1775</v>
      </c>
      <c r="R1778" s="39">
        <f>[1]节奏总纲!AD1778</f>
        <v>107.94231270942718</v>
      </c>
      <c r="S1778" s="39">
        <f>[1]节奏总纲!AE1778</f>
        <v>110.26329403293127</v>
      </c>
      <c r="T1778" s="39">
        <f>[1]节奏总纲!AF1778</f>
        <v>113.40352133377675</v>
      </c>
      <c r="U1778" s="39">
        <f>[1]节奏总纲!AG1778</f>
        <v>118.2981169675983</v>
      </c>
      <c r="V1778" s="39">
        <f>[1]节奏总纲!AH1778</f>
        <v>127.46323887987936</v>
      </c>
    </row>
    <row r="1779" spans="17:22" x14ac:dyDescent="0.15">
      <c r="Q1779" s="38">
        <v>1776</v>
      </c>
      <c r="R1779" s="39">
        <f>[1]节奏总纲!AD1779</f>
        <v>107.95068829438345</v>
      </c>
      <c r="S1779" s="39">
        <f>[1]节奏总纲!AE1779</f>
        <v>110.27112617886091</v>
      </c>
      <c r="T1779" s="39">
        <f>[1]节奏总纲!AF1779</f>
        <v>113.41187839303852</v>
      </c>
      <c r="U1779" s="39">
        <f>[1]节奏总纲!AG1779</f>
        <v>118.30606069229216</v>
      </c>
      <c r="V1779" s="39">
        <f>[1]节奏总纲!AH1779</f>
        <v>127.47162984982556</v>
      </c>
    </row>
    <row r="1780" spans="17:22" x14ac:dyDescent="0.15">
      <c r="Q1780" s="38">
        <v>1777</v>
      </c>
      <c r="R1780" s="39">
        <f>[1]节奏总纲!AD1780</f>
        <v>107.95906387933972</v>
      </c>
      <c r="S1780" s="39">
        <f>[1]节奏总纲!AE1780</f>
        <v>110.27895832479055</v>
      </c>
      <c r="T1780" s="39">
        <f>[1]节奏总纲!AF1780</f>
        <v>113.4202354523003</v>
      </c>
      <c r="U1780" s="39">
        <f>[1]节奏总纲!AG1780</f>
        <v>118.31400441698602</v>
      </c>
      <c r="V1780" s="39">
        <f>[1]节奏总纲!AH1780</f>
        <v>127.48002081977177</v>
      </c>
    </row>
    <row r="1781" spans="17:22" x14ac:dyDescent="0.15">
      <c r="Q1781" s="38">
        <v>1778</v>
      </c>
      <c r="R1781" s="39">
        <f>[1]节奏总纲!AD1781</f>
        <v>107.96743946429599</v>
      </c>
      <c r="S1781" s="39">
        <f>[1]节奏总纲!AE1781</f>
        <v>110.28679047072019</v>
      </c>
      <c r="T1781" s="39">
        <f>[1]节奏总纲!AF1781</f>
        <v>113.42859251156209</v>
      </c>
      <c r="U1781" s="39">
        <f>[1]节奏总纲!AG1781</f>
        <v>118.32194814167988</v>
      </c>
      <c r="V1781" s="39">
        <f>[1]节奏总纲!AH1781</f>
        <v>127.48841178971797</v>
      </c>
    </row>
    <row r="1782" spans="17:22" x14ac:dyDescent="0.15">
      <c r="Q1782" s="38">
        <v>1779</v>
      </c>
      <c r="R1782" s="39">
        <f>[1]节奏总纲!AD1782</f>
        <v>107.97581504925228</v>
      </c>
      <c r="S1782" s="39">
        <f>[1]节奏总纲!AE1782</f>
        <v>110.29462261664983</v>
      </c>
      <c r="T1782" s="39">
        <f>[1]节奏总纲!AF1782</f>
        <v>113.43694957082386</v>
      </c>
      <c r="U1782" s="39">
        <f>[1]节奏总纲!AG1782</f>
        <v>118.32989186637374</v>
      </c>
      <c r="V1782" s="39">
        <f>[1]节奏总纲!AH1782</f>
        <v>127.49680275966419</v>
      </c>
    </row>
    <row r="1783" spans="17:22" x14ac:dyDescent="0.15">
      <c r="Q1783" s="38">
        <v>1780</v>
      </c>
      <c r="R1783" s="39">
        <f>[1]节奏总纲!AD1783</f>
        <v>107.98419063420855</v>
      </c>
      <c r="S1783" s="39">
        <f>[1]节奏总纲!AE1783</f>
        <v>110.30245476257946</v>
      </c>
      <c r="T1783" s="39">
        <f>[1]节奏总纲!AF1783</f>
        <v>113.44530663008564</v>
      </c>
      <c r="U1783" s="39">
        <f>[1]节奏总纲!AG1783</f>
        <v>118.3378355910676</v>
      </c>
      <c r="V1783" s="39">
        <f>[1]节奏总纲!AH1783</f>
        <v>127.5051937296104</v>
      </c>
    </row>
    <row r="1784" spans="17:22" x14ac:dyDescent="0.15">
      <c r="Q1784" s="38">
        <v>1781</v>
      </c>
      <c r="R1784" s="39">
        <f>[1]节奏总纲!AD1784</f>
        <v>107.99256621916481</v>
      </c>
      <c r="S1784" s="39">
        <f>[1]节奏总纲!AE1784</f>
        <v>110.3102869085091</v>
      </c>
      <c r="T1784" s="39">
        <f>[1]节奏总纲!AF1784</f>
        <v>113.45366368934741</v>
      </c>
      <c r="U1784" s="39">
        <f>[1]节奏总纲!AG1784</f>
        <v>118.34577931576146</v>
      </c>
      <c r="V1784" s="39">
        <f>[1]节奏总纲!AH1784</f>
        <v>127.5135846995566</v>
      </c>
    </row>
    <row r="1785" spans="17:22" x14ac:dyDescent="0.15">
      <c r="Q1785" s="38">
        <v>1782</v>
      </c>
      <c r="R1785" s="39">
        <f>[1]节奏总纲!AD1785</f>
        <v>108.00087873431654</v>
      </c>
      <c r="S1785" s="39">
        <f>[1]节奏总纲!AE1785</f>
        <v>110.31811905443874</v>
      </c>
      <c r="T1785" s="39">
        <f>[1]节奏总纲!AF1785</f>
        <v>113.46202074860919</v>
      </c>
      <c r="U1785" s="39">
        <f>[1]节奏总纲!AG1785</f>
        <v>118.35372304045532</v>
      </c>
      <c r="V1785" s="39">
        <f>[1]节奏总纲!AH1785</f>
        <v>127.52197566950281</v>
      </c>
    </row>
    <row r="1786" spans="17:22" x14ac:dyDescent="0.15">
      <c r="Q1786" s="38">
        <v>1783</v>
      </c>
      <c r="R1786" s="39">
        <f>[1]节奏总纲!AD1786</f>
        <v>108.00869343140415</v>
      </c>
      <c r="S1786" s="39">
        <f>[1]节奏总纲!AE1786</f>
        <v>110.32595120036838</v>
      </c>
      <c r="T1786" s="39">
        <f>[1]节奏总纲!AF1786</f>
        <v>113.47037780787097</v>
      </c>
      <c r="U1786" s="39">
        <f>[1]节奏总纲!AG1786</f>
        <v>118.36166676514918</v>
      </c>
      <c r="V1786" s="39">
        <f>[1]节奏总纲!AH1786</f>
        <v>127.53036663944903</v>
      </c>
    </row>
    <row r="1787" spans="17:22" x14ac:dyDescent="0.15">
      <c r="Q1787" s="38">
        <v>1784</v>
      </c>
      <c r="R1787" s="39">
        <f>[1]节奏总纲!AD1787</f>
        <v>108.01650812849178</v>
      </c>
      <c r="S1787" s="39">
        <f>[1]节奏总纲!AE1787</f>
        <v>110.33378334629802</v>
      </c>
      <c r="T1787" s="39">
        <f>[1]节奏总纲!AF1787</f>
        <v>113.47873486713274</v>
      </c>
      <c r="U1787" s="39">
        <f>[1]节奏总纲!AG1787</f>
        <v>118.36961048984304</v>
      </c>
      <c r="V1787" s="39">
        <f>[1]节奏总纲!AH1787</f>
        <v>127.53875760939523</v>
      </c>
    </row>
    <row r="1788" spans="17:22" x14ac:dyDescent="0.15">
      <c r="Q1788" s="38">
        <v>1785</v>
      </c>
      <c r="R1788" s="39">
        <f>[1]节奏总纲!AD1788</f>
        <v>108.0243228255794</v>
      </c>
      <c r="S1788" s="39">
        <f>[1]节奏总纲!AE1788</f>
        <v>110.34161549222766</v>
      </c>
      <c r="T1788" s="39">
        <f>[1]节奏总纲!AF1788</f>
        <v>113.48709192639453</v>
      </c>
      <c r="U1788" s="39">
        <f>[1]节奏总纲!AG1788</f>
        <v>118.3775542145369</v>
      </c>
      <c r="V1788" s="39">
        <f>[1]节奏总纲!AH1788</f>
        <v>127.54714857934144</v>
      </c>
    </row>
    <row r="1789" spans="17:22" x14ac:dyDescent="0.15">
      <c r="Q1789" s="38">
        <v>1786</v>
      </c>
      <c r="R1789" s="39">
        <f>[1]节奏总纲!AD1789</f>
        <v>108.03213752266703</v>
      </c>
      <c r="S1789" s="39">
        <f>[1]节奏总纲!AE1789</f>
        <v>110.3494476381573</v>
      </c>
      <c r="T1789" s="39">
        <f>[1]节奏总纲!AF1789</f>
        <v>113.4954489856563</v>
      </c>
      <c r="U1789" s="39">
        <f>[1]节奏总纲!AG1789</f>
        <v>118.38549793923076</v>
      </c>
      <c r="V1789" s="39">
        <f>[1]节奏总纲!AH1789</f>
        <v>127.55553954928764</v>
      </c>
    </row>
    <row r="1790" spans="17:22" x14ac:dyDescent="0.15">
      <c r="Q1790" s="38">
        <v>1787</v>
      </c>
      <c r="R1790" s="39">
        <f>[1]节奏总纲!AD1790</f>
        <v>108.03995221975465</v>
      </c>
      <c r="S1790" s="39">
        <f>[1]节奏总纲!AE1790</f>
        <v>110.35727978408694</v>
      </c>
      <c r="T1790" s="39">
        <f>[1]节奏总纲!AF1790</f>
        <v>113.50380604491808</v>
      </c>
      <c r="U1790" s="39">
        <f>[1]节奏总纲!AG1790</f>
        <v>118.39344166392462</v>
      </c>
      <c r="V1790" s="39">
        <f>[1]节奏总纲!AH1790</f>
        <v>127.56393051923385</v>
      </c>
    </row>
    <row r="1791" spans="17:22" x14ac:dyDescent="0.15">
      <c r="Q1791" s="38">
        <v>1788</v>
      </c>
      <c r="R1791" s="39">
        <f>[1]节奏总纲!AD1791</f>
        <v>108.04776691684226</v>
      </c>
      <c r="S1791" s="39">
        <f>[1]节奏总纲!AE1791</f>
        <v>110.36511193001658</v>
      </c>
      <c r="T1791" s="39">
        <f>[1]节奏总纲!AF1791</f>
        <v>113.51216310417986</v>
      </c>
      <c r="U1791" s="39">
        <f>[1]节奏总纲!AG1791</f>
        <v>118.40138538861848</v>
      </c>
      <c r="V1791" s="39">
        <f>[1]节奏总纲!AH1791</f>
        <v>127.57232148918007</v>
      </c>
    </row>
    <row r="1792" spans="17:22" x14ac:dyDescent="0.15">
      <c r="Q1792" s="38">
        <v>1789</v>
      </c>
      <c r="R1792" s="39">
        <f>[1]节奏总纲!AD1792</f>
        <v>108.05558161392989</v>
      </c>
      <c r="S1792" s="39">
        <f>[1]节奏总纲!AE1792</f>
        <v>110.37294407594622</v>
      </c>
      <c r="T1792" s="39">
        <f>[1]节奏总纲!AF1792</f>
        <v>113.52052016344163</v>
      </c>
      <c r="U1792" s="39">
        <f>[1]节奏总纲!AG1792</f>
        <v>118.40932911331234</v>
      </c>
      <c r="V1792" s="39">
        <f>[1]节奏总纲!AH1792</f>
        <v>127.58071245912627</v>
      </c>
    </row>
    <row r="1793" spans="17:22" x14ac:dyDescent="0.15">
      <c r="Q1793" s="38">
        <v>1790</v>
      </c>
      <c r="R1793" s="39">
        <f>[1]节奏总纲!AD1793</f>
        <v>108.06339631101751</v>
      </c>
      <c r="S1793" s="39">
        <f>[1]节奏总纲!AE1793</f>
        <v>110.38077622187586</v>
      </c>
      <c r="T1793" s="39">
        <f>[1]节奏总纲!AF1793</f>
        <v>113.52887722270341</v>
      </c>
      <c r="U1793" s="39">
        <f>[1]节奏总纲!AG1793</f>
        <v>118.4172728380062</v>
      </c>
      <c r="V1793" s="39">
        <f>[1]节奏总纲!AH1793</f>
        <v>127.58910342907248</v>
      </c>
    </row>
    <row r="1794" spans="17:22" x14ac:dyDescent="0.15">
      <c r="Q1794" s="38">
        <v>1791</v>
      </c>
      <c r="R1794" s="39">
        <f>[1]节奏总纲!AD1794</f>
        <v>108.07121100810514</v>
      </c>
      <c r="S1794" s="39">
        <f>[1]节奏总纲!AE1794</f>
        <v>110.38860836780549</v>
      </c>
      <c r="T1794" s="39">
        <f>[1]节奏总纲!AF1794</f>
        <v>113.53723428196518</v>
      </c>
      <c r="U1794" s="39">
        <f>[1]节奏总纲!AG1794</f>
        <v>118.42521656270006</v>
      </c>
      <c r="V1794" s="39">
        <f>[1]节奏总纲!AH1794</f>
        <v>127.59749439901869</v>
      </c>
    </row>
    <row r="1795" spans="17:22" x14ac:dyDescent="0.15">
      <c r="Q1795" s="38">
        <v>1792</v>
      </c>
      <c r="R1795" s="39">
        <f>[1]节奏总纲!AD1795</f>
        <v>108.07902570519276</v>
      </c>
      <c r="S1795" s="39">
        <f>[1]节奏总纲!AE1795</f>
        <v>110.39644051373513</v>
      </c>
      <c r="T1795" s="39">
        <f>[1]节奏总纲!AF1795</f>
        <v>113.54559134122697</v>
      </c>
      <c r="U1795" s="39">
        <f>[1]节奏总纲!AG1795</f>
        <v>118.43316028739392</v>
      </c>
      <c r="V1795" s="39">
        <f>[1]节奏总纲!AH1795</f>
        <v>127.60588536896491</v>
      </c>
    </row>
    <row r="1796" spans="17:22" x14ac:dyDescent="0.15">
      <c r="Q1796" s="38">
        <v>1793</v>
      </c>
      <c r="R1796" s="39">
        <f>[1]节奏总纲!AD1796</f>
        <v>108.08684040228037</v>
      </c>
      <c r="S1796" s="39">
        <f>[1]节奏总纲!AE1796</f>
        <v>110.40427265966477</v>
      </c>
      <c r="T1796" s="39">
        <f>[1]节奏总纲!AF1796</f>
        <v>113.55394840048875</v>
      </c>
      <c r="U1796" s="39">
        <f>[1]节奏总纲!AG1796</f>
        <v>118.44110401208778</v>
      </c>
      <c r="V1796" s="39">
        <f>[1]节奏总纲!AH1796</f>
        <v>127.61427633891111</v>
      </c>
    </row>
    <row r="1797" spans="17:22" x14ac:dyDescent="0.15">
      <c r="Q1797" s="38">
        <v>1794</v>
      </c>
      <c r="R1797" s="39">
        <f>[1]节奏总纲!AD1797</f>
        <v>108.094655099368</v>
      </c>
      <c r="S1797" s="39">
        <f>[1]节奏总纲!AE1797</f>
        <v>110.41210480559441</v>
      </c>
      <c r="T1797" s="39">
        <f>[1]节奏总纲!AF1797</f>
        <v>113.56230545975052</v>
      </c>
      <c r="U1797" s="39">
        <f>[1]节奏总纲!AG1797</f>
        <v>118.44904773678164</v>
      </c>
      <c r="V1797" s="39">
        <f>[1]节奏总纲!AH1797</f>
        <v>127.62266730885732</v>
      </c>
    </row>
    <row r="1798" spans="17:22" x14ac:dyDescent="0.15">
      <c r="Q1798" s="38">
        <v>1795</v>
      </c>
      <c r="R1798" s="39">
        <f>[1]节奏总纲!AD1798</f>
        <v>108.10246979645562</v>
      </c>
      <c r="S1798" s="39">
        <f>[1]节奏总纲!AE1798</f>
        <v>110.41993695152405</v>
      </c>
      <c r="T1798" s="39">
        <f>[1]节奏总纲!AF1798</f>
        <v>113.5706625190123</v>
      </c>
      <c r="U1798" s="39">
        <f>[1]节奏总纲!AG1798</f>
        <v>118.4569914614755</v>
      </c>
      <c r="V1798" s="39">
        <f>[1]节奏总纲!AH1798</f>
        <v>127.63105827880352</v>
      </c>
    </row>
    <row r="1799" spans="17:22" x14ac:dyDescent="0.15">
      <c r="Q1799" s="38">
        <v>1796</v>
      </c>
      <c r="R1799" s="39">
        <f>[1]节奏总纲!AD1799</f>
        <v>108.11028449354325</v>
      </c>
      <c r="S1799" s="39">
        <f>[1]节奏总纲!AE1799</f>
        <v>110.42776909745369</v>
      </c>
      <c r="T1799" s="39">
        <f>[1]节奏总纲!AF1799</f>
        <v>113.57901957827409</v>
      </c>
      <c r="U1799" s="39">
        <f>[1]节奏总纲!AG1799</f>
        <v>118.46493518616936</v>
      </c>
      <c r="V1799" s="39">
        <f>[1]节奏总纲!AH1799</f>
        <v>127.63944924874974</v>
      </c>
    </row>
    <row r="1800" spans="17:22" x14ac:dyDescent="0.15">
      <c r="Q1800" s="38">
        <v>1797</v>
      </c>
      <c r="R1800" s="39">
        <f>[1]节奏总纲!AD1800</f>
        <v>108.11809919063086</v>
      </c>
      <c r="S1800" s="39">
        <f>[1]节奏总纲!AE1800</f>
        <v>110.43560124338333</v>
      </c>
      <c r="T1800" s="39">
        <f>[1]节奏总纲!AF1800</f>
        <v>113.58737663753585</v>
      </c>
      <c r="U1800" s="39">
        <f>[1]节奏总纲!AG1800</f>
        <v>118.47287891086322</v>
      </c>
      <c r="V1800" s="39">
        <f>[1]节奏总纲!AH1800</f>
        <v>127.64784021869595</v>
      </c>
    </row>
    <row r="1801" spans="17:22" x14ac:dyDescent="0.15">
      <c r="Q1801" s="38">
        <v>1798</v>
      </c>
      <c r="R1801" s="39">
        <f>[1]节奏总纲!AD1801</f>
        <v>108.12591388771848</v>
      </c>
      <c r="S1801" s="39">
        <f>[1]节奏总纲!AE1801</f>
        <v>110.44343338931297</v>
      </c>
      <c r="T1801" s="39">
        <f>[1]节奏总纲!AF1801</f>
        <v>113.59573369679764</v>
      </c>
      <c r="U1801" s="39">
        <f>[1]节奏总纲!AG1801</f>
        <v>118.48082263555708</v>
      </c>
      <c r="V1801" s="39">
        <f>[1]节奏总纲!AH1801</f>
        <v>127.65623118864215</v>
      </c>
    </row>
    <row r="1802" spans="17:22" x14ac:dyDescent="0.15">
      <c r="Q1802" s="38">
        <v>1799</v>
      </c>
      <c r="R1802" s="39">
        <f>[1]节奏总纲!AD1802</f>
        <v>108.13372858480611</v>
      </c>
      <c r="S1802" s="39">
        <f>[1]节奏总纲!AE1802</f>
        <v>110.45126553524261</v>
      </c>
      <c r="T1802" s="39">
        <f>[1]节奏总纲!AF1802</f>
        <v>113.60409075605941</v>
      </c>
      <c r="U1802" s="39">
        <f>[1]节奏总纲!AG1802</f>
        <v>118.48876636025093</v>
      </c>
      <c r="V1802" s="39">
        <f>[1]节奏总纲!AH1802</f>
        <v>127.66462215858836</v>
      </c>
    </row>
    <row r="1803" spans="17:22" x14ac:dyDescent="0.15">
      <c r="Q1803" s="38">
        <v>1800</v>
      </c>
      <c r="R1803" s="39">
        <f>[1]节奏总纲!AD1803</f>
        <v>108.14154328189373</v>
      </c>
      <c r="S1803" s="39">
        <f>[1]节奏总纲!AE1803</f>
        <v>110.45909768117225</v>
      </c>
      <c r="T1803" s="39">
        <f>[1]节奏总纲!AF1803</f>
        <v>113.61244781532119</v>
      </c>
      <c r="U1803" s="39">
        <f>[1]节奏总纲!AG1803</f>
        <v>118.49671008494479</v>
      </c>
      <c r="V1803" s="39">
        <f>[1]节奏总纲!AH1803</f>
        <v>127.67301312853458</v>
      </c>
    </row>
    <row r="1804" spans="17:22" x14ac:dyDescent="0.15">
      <c r="Q1804" s="38">
        <v>1801</v>
      </c>
      <c r="R1804" s="39">
        <f>[1]节奏总纲!AD1804</f>
        <v>108.14935797898136</v>
      </c>
      <c r="S1804" s="39">
        <f>[1]节奏总纲!AE1804</f>
        <v>110.46692982710188</v>
      </c>
      <c r="T1804" s="39">
        <f>[1]节奏总纲!AF1804</f>
        <v>113.62080487458297</v>
      </c>
      <c r="U1804" s="39">
        <f>[1]节奏总纲!AG1804</f>
        <v>118.50465380963865</v>
      </c>
      <c r="V1804" s="39">
        <f>[1]节奏总纲!AH1804</f>
        <v>127.68140409848078</v>
      </c>
    </row>
    <row r="1805" spans="17:22" x14ac:dyDescent="0.15">
      <c r="Q1805" s="38">
        <v>1802</v>
      </c>
      <c r="R1805" s="39">
        <f>[1]节奏总纲!AD1805</f>
        <v>108.15717267606897</v>
      </c>
      <c r="S1805" s="39">
        <f>[1]节奏总纲!AE1805</f>
        <v>110.47476197303152</v>
      </c>
      <c r="T1805" s="39">
        <f>[1]节奏总纲!AF1805</f>
        <v>113.62916193384474</v>
      </c>
      <c r="U1805" s="39">
        <f>[1]节奏总纲!AG1805</f>
        <v>118.51259753433251</v>
      </c>
      <c r="V1805" s="39">
        <f>[1]节奏总纲!AH1805</f>
        <v>127.68979506842699</v>
      </c>
    </row>
    <row r="1806" spans="17:22" x14ac:dyDescent="0.15">
      <c r="Q1806" s="38">
        <v>1803</v>
      </c>
      <c r="R1806" s="39">
        <f>[1]节奏总纲!AD1806</f>
        <v>108.16498737315659</v>
      </c>
      <c r="S1806" s="39">
        <f>[1]节奏总纲!AE1806</f>
        <v>110.48259411896116</v>
      </c>
      <c r="T1806" s="39">
        <f>[1]节奏总纲!AF1806</f>
        <v>113.63751899310653</v>
      </c>
      <c r="U1806" s="39">
        <f>[1]节奏总纲!AG1806</f>
        <v>118.52054125902637</v>
      </c>
      <c r="V1806" s="39">
        <f>[1]节奏总纲!AH1806</f>
        <v>127.69818603837319</v>
      </c>
    </row>
    <row r="1807" spans="17:22" x14ac:dyDescent="0.15">
      <c r="Q1807" s="38">
        <v>1804</v>
      </c>
      <c r="R1807" s="39">
        <f>[1]节奏总纲!AD1807</f>
        <v>108.17280207024422</v>
      </c>
      <c r="S1807" s="39">
        <f>[1]节奏总纲!AE1807</f>
        <v>110.4904262648908</v>
      </c>
      <c r="T1807" s="39">
        <f>[1]节奏总纲!AF1807</f>
        <v>113.64587605236829</v>
      </c>
      <c r="U1807" s="39">
        <f>[1]节奏总纲!AG1807</f>
        <v>118.52848498372023</v>
      </c>
      <c r="V1807" s="39">
        <f>[1]节奏总纲!AH1807</f>
        <v>127.70657700831941</v>
      </c>
    </row>
    <row r="1808" spans="17:22" x14ac:dyDescent="0.15">
      <c r="Q1808" s="38">
        <v>1805</v>
      </c>
      <c r="R1808" s="39">
        <f>[1]节奏总纲!AD1808</f>
        <v>108.18061676733184</v>
      </c>
      <c r="S1808" s="39">
        <f>[1]节奏总纲!AE1808</f>
        <v>110.49825841082044</v>
      </c>
      <c r="T1808" s="39">
        <f>[1]节奏总纲!AF1808</f>
        <v>113.65423311163008</v>
      </c>
      <c r="U1808" s="39">
        <f>[1]节奏总纲!AG1808</f>
        <v>118.53642870841409</v>
      </c>
      <c r="V1808" s="39">
        <f>[1]节奏总纲!AH1808</f>
        <v>127.71496797826562</v>
      </c>
    </row>
    <row r="1809" spans="17:22" x14ac:dyDescent="0.15">
      <c r="Q1809" s="38">
        <v>1806</v>
      </c>
      <c r="R1809" s="39">
        <f>[1]节奏总纲!AD1809</f>
        <v>108.18843146441947</v>
      </c>
      <c r="S1809" s="39">
        <f>[1]节奏总纲!AE1809</f>
        <v>110.50609055675008</v>
      </c>
      <c r="T1809" s="39">
        <f>[1]节奏总纲!AF1809</f>
        <v>113.66259017089186</v>
      </c>
      <c r="U1809" s="39">
        <f>[1]节奏总纲!AG1809</f>
        <v>118.54437243310795</v>
      </c>
      <c r="V1809" s="39">
        <f>[1]节奏总纲!AH1809</f>
        <v>127.72335894821182</v>
      </c>
    </row>
    <row r="1810" spans="17:22" x14ac:dyDescent="0.15">
      <c r="Q1810" s="38">
        <v>1807</v>
      </c>
      <c r="R1810" s="39">
        <f>[1]节奏总纲!AD1810</f>
        <v>108.19624616150708</v>
      </c>
      <c r="S1810" s="39">
        <f>[1]节奏总纲!AE1810</f>
        <v>110.51392270267972</v>
      </c>
      <c r="T1810" s="39">
        <f>[1]节奏总纲!AF1810</f>
        <v>113.67094723015363</v>
      </c>
      <c r="U1810" s="39">
        <f>[1]节奏总纲!AG1810</f>
        <v>118.55231615780181</v>
      </c>
      <c r="V1810" s="39">
        <f>[1]节奏总纲!AH1810</f>
        <v>127.73174991815803</v>
      </c>
    </row>
    <row r="1811" spans="17:22" x14ac:dyDescent="0.15">
      <c r="Q1811" s="38">
        <v>1808</v>
      </c>
      <c r="R1811" s="39">
        <f>[1]节奏总纲!AD1811</f>
        <v>108.2040608585947</v>
      </c>
      <c r="S1811" s="39">
        <f>[1]节奏总纲!AE1811</f>
        <v>110.52175484860936</v>
      </c>
      <c r="T1811" s="39">
        <f>[1]节奏总纲!AF1811</f>
        <v>113.67930428941541</v>
      </c>
      <c r="U1811" s="39">
        <f>[1]节奏总纲!AG1811</f>
        <v>118.56025988249567</v>
      </c>
      <c r="V1811" s="39">
        <f>[1]节奏总纲!AH1811</f>
        <v>127.74014088810425</v>
      </c>
    </row>
    <row r="1812" spans="17:22" x14ac:dyDescent="0.15">
      <c r="Q1812" s="38">
        <v>1809</v>
      </c>
      <c r="R1812" s="39">
        <f>[1]节奏总纲!AD1812</f>
        <v>108.21187555568233</v>
      </c>
      <c r="S1812" s="39">
        <f>[1]节奏总纲!AE1812</f>
        <v>110.529586994539</v>
      </c>
      <c r="T1812" s="39">
        <f>[1]节奏总纲!AF1812</f>
        <v>113.6876613486772</v>
      </c>
      <c r="U1812" s="39">
        <f>[1]节奏总纲!AG1812</f>
        <v>118.56820360718953</v>
      </c>
      <c r="V1812" s="39">
        <f>[1]节奏总纲!AH1812</f>
        <v>127.74853185805046</v>
      </c>
    </row>
    <row r="1813" spans="17:22" x14ac:dyDescent="0.15">
      <c r="Q1813" s="38">
        <v>1810</v>
      </c>
      <c r="R1813" s="39">
        <f>[1]节奏总纲!AD1813</f>
        <v>108.21969025276995</v>
      </c>
      <c r="S1813" s="39">
        <f>[1]节奏总纲!AE1813</f>
        <v>110.53741914046864</v>
      </c>
      <c r="T1813" s="39">
        <f>[1]节奏总纲!AF1813</f>
        <v>113.69601840793896</v>
      </c>
      <c r="U1813" s="39">
        <f>[1]节奏总纲!AG1813</f>
        <v>118.57614733188339</v>
      </c>
      <c r="V1813" s="39">
        <f>[1]节奏总纲!AH1813</f>
        <v>127.75692282799666</v>
      </c>
    </row>
    <row r="1814" spans="17:22" x14ac:dyDescent="0.15">
      <c r="Q1814" s="38">
        <v>1811</v>
      </c>
      <c r="R1814" s="39">
        <f>[1]节奏总纲!AD1814</f>
        <v>108.22750494985758</v>
      </c>
      <c r="S1814" s="39">
        <f>[1]节奏总纲!AE1814</f>
        <v>110.54525128639828</v>
      </c>
      <c r="T1814" s="39">
        <f>[1]节奏总纲!AF1814</f>
        <v>113.70437546720075</v>
      </c>
      <c r="U1814" s="39">
        <f>[1]节奏总纲!AG1814</f>
        <v>118.58409105657725</v>
      </c>
      <c r="V1814" s="39">
        <f>[1]节奏总纲!AH1814</f>
        <v>127.76531379794287</v>
      </c>
    </row>
    <row r="1815" spans="17:22" x14ac:dyDescent="0.15">
      <c r="Q1815" s="38">
        <v>1812</v>
      </c>
      <c r="R1815" s="39">
        <f>[1]节奏总纲!AD1815</f>
        <v>108.23531964694519</v>
      </c>
      <c r="S1815" s="39">
        <f>[1]节奏总纲!AE1815</f>
        <v>110.55308343232791</v>
      </c>
      <c r="T1815" s="39">
        <f>[1]节奏总纲!AF1815</f>
        <v>113.71273252646252</v>
      </c>
      <c r="U1815" s="39">
        <f>[1]节奏总纲!AG1815</f>
        <v>118.59203478127111</v>
      </c>
      <c r="V1815" s="39">
        <f>[1]节奏总纲!AH1815</f>
        <v>127.77370476788909</v>
      </c>
    </row>
    <row r="1816" spans="17:22" x14ac:dyDescent="0.15">
      <c r="Q1816" s="38">
        <v>1813</v>
      </c>
      <c r="R1816" s="39">
        <f>[1]节奏总纲!AD1816</f>
        <v>108.24313434403281</v>
      </c>
      <c r="S1816" s="39">
        <f>[1]节奏总纲!AE1816</f>
        <v>110.56091557825755</v>
      </c>
      <c r="T1816" s="39">
        <f>[1]节奏总纲!AF1816</f>
        <v>113.7210895857243</v>
      </c>
      <c r="U1816" s="39">
        <f>[1]节奏总纲!AG1816</f>
        <v>118.59997850596497</v>
      </c>
      <c r="V1816" s="39">
        <f>[1]节奏总纲!AH1816</f>
        <v>127.78209573783529</v>
      </c>
    </row>
    <row r="1817" spans="17:22" x14ac:dyDescent="0.15">
      <c r="Q1817" s="38">
        <v>1814</v>
      </c>
      <c r="R1817" s="39">
        <f>[1]节奏总纲!AD1817</f>
        <v>108.25094904112044</v>
      </c>
      <c r="S1817" s="39">
        <f>[1]节奏总纲!AE1817</f>
        <v>110.56874772418719</v>
      </c>
      <c r="T1817" s="39">
        <f>[1]节奏总纲!AF1817</f>
        <v>113.72944664498608</v>
      </c>
      <c r="U1817" s="39">
        <f>[1]节奏总纲!AG1817</f>
        <v>118.60792223065883</v>
      </c>
      <c r="V1817" s="39">
        <f>[1]节奏总纲!AH1817</f>
        <v>127.7904867077815</v>
      </c>
    </row>
    <row r="1818" spans="17:22" x14ac:dyDescent="0.15">
      <c r="Q1818" s="38">
        <v>1815</v>
      </c>
      <c r="R1818" s="39">
        <f>[1]节奏总纲!AD1818</f>
        <v>108.25876373820806</v>
      </c>
      <c r="S1818" s="39">
        <f>[1]节奏总纲!AE1818</f>
        <v>110.57657987011683</v>
      </c>
      <c r="T1818" s="39">
        <f>[1]节奏总纲!AF1818</f>
        <v>113.73780370424785</v>
      </c>
      <c r="U1818" s="39">
        <f>[1]节奏总纲!AG1818</f>
        <v>118.61586595535269</v>
      </c>
      <c r="V1818" s="39">
        <f>[1]节奏总纲!AH1818</f>
        <v>127.7988776777277</v>
      </c>
    </row>
    <row r="1819" spans="17:22" x14ac:dyDescent="0.15">
      <c r="Q1819" s="38">
        <v>1816</v>
      </c>
      <c r="R1819" s="39">
        <f>[1]节奏总纲!AD1819</f>
        <v>108.26657843529567</v>
      </c>
      <c r="S1819" s="39">
        <f>[1]节奏总纲!AE1819</f>
        <v>110.58441201604647</v>
      </c>
      <c r="T1819" s="39">
        <f>[1]节奏总纲!AF1819</f>
        <v>113.74616076350964</v>
      </c>
      <c r="U1819" s="39">
        <f>[1]节奏总纲!AG1819</f>
        <v>118.62380968004655</v>
      </c>
      <c r="V1819" s="39">
        <f>[1]节奏总纲!AH1819</f>
        <v>127.80726864767391</v>
      </c>
    </row>
    <row r="1820" spans="17:22" x14ac:dyDescent="0.15">
      <c r="Q1820" s="38">
        <v>1817</v>
      </c>
      <c r="R1820" s="39">
        <f>[1]节奏总纲!AD1820</f>
        <v>108.2743931323833</v>
      </c>
      <c r="S1820" s="39">
        <f>[1]节奏总纲!AE1820</f>
        <v>110.59224416197611</v>
      </c>
      <c r="T1820" s="39">
        <f>[1]节奏总纲!AF1820</f>
        <v>113.7545178227714</v>
      </c>
      <c r="U1820" s="39">
        <f>[1]节奏总纲!AG1820</f>
        <v>118.63175340474042</v>
      </c>
      <c r="V1820" s="39">
        <f>[1]节奏总纲!AH1820</f>
        <v>127.81565961762013</v>
      </c>
    </row>
    <row r="1821" spans="17:22" x14ac:dyDescent="0.15">
      <c r="Q1821" s="38">
        <v>1818</v>
      </c>
      <c r="R1821" s="39">
        <f>[1]节奏总纲!AD1821</f>
        <v>108.28220782947092</v>
      </c>
      <c r="S1821" s="39">
        <f>[1]节奏总纲!AE1821</f>
        <v>110.60007630790575</v>
      </c>
      <c r="T1821" s="39">
        <f>[1]节奏总纲!AF1821</f>
        <v>113.76287488203319</v>
      </c>
      <c r="U1821" s="39">
        <f>[1]节奏总纲!AG1821</f>
        <v>118.63969712943428</v>
      </c>
      <c r="V1821" s="39">
        <f>[1]节奏总纲!AH1821</f>
        <v>127.82405058756633</v>
      </c>
    </row>
    <row r="1822" spans="17:22" x14ac:dyDescent="0.15">
      <c r="Q1822" s="38">
        <v>1819</v>
      </c>
      <c r="R1822" s="39">
        <f>[1]节奏总纲!AD1822</f>
        <v>108.29002252655854</v>
      </c>
      <c r="S1822" s="39">
        <f>[1]节奏总纲!AE1822</f>
        <v>110.60790845383539</v>
      </c>
      <c r="T1822" s="39">
        <f>[1]节奏总纲!AF1822</f>
        <v>113.77123194129497</v>
      </c>
      <c r="U1822" s="39">
        <f>[1]节奏总纲!AG1822</f>
        <v>118.64764085412814</v>
      </c>
      <c r="V1822" s="39">
        <f>[1]节奏总纲!AH1822</f>
        <v>127.83244155751254</v>
      </c>
    </row>
    <row r="1823" spans="17:22" x14ac:dyDescent="0.15">
      <c r="Q1823" s="38">
        <v>1820</v>
      </c>
      <c r="R1823" s="39">
        <f>[1]节奏总纲!AD1823</f>
        <v>108.29783722364617</v>
      </c>
      <c r="S1823" s="39">
        <f>[1]节奏总纲!AE1823</f>
        <v>110.61574059976503</v>
      </c>
      <c r="T1823" s="39">
        <f>[1]节奏总纲!AF1823</f>
        <v>113.77958900055674</v>
      </c>
      <c r="U1823" s="39">
        <f>[1]节奏总纲!AG1823</f>
        <v>118.655584578822</v>
      </c>
      <c r="V1823" s="39">
        <f>[1]节奏总纲!AH1823</f>
        <v>127.84083252745874</v>
      </c>
    </row>
    <row r="1824" spans="17:22" x14ac:dyDescent="0.15">
      <c r="Q1824" s="38">
        <v>1821</v>
      </c>
      <c r="R1824" s="39">
        <f>[1]节奏总纲!AD1824</f>
        <v>108.30565192073378</v>
      </c>
      <c r="S1824" s="39">
        <f>[1]节奏总纲!AE1824</f>
        <v>110.62357274569467</v>
      </c>
      <c r="T1824" s="39">
        <f>[1]节奏总纲!AF1824</f>
        <v>113.78794605981852</v>
      </c>
      <c r="U1824" s="39">
        <f>[1]节奏总纲!AG1824</f>
        <v>118.66352830351586</v>
      </c>
      <c r="V1824" s="39">
        <f>[1]节奏总纲!AH1824</f>
        <v>127.84922349740496</v>
      </c>
    </row>
    <row r="1825" spans="17:22" x14ac:dyDescent="0.15">
      <c r="Q1825" s="38">
        <v>1822</v>
      </c>
      <c r="R1825" s="39">
        <f>[1]节奏总纲!AD1825</f>
        <v>108.3134666178214</v>
      </c>
      <c r="S1825" s="39">
        <f>[1]节奏总纲!AE1825</f>
        <v>110.6314048916243</v>
      </c>
      <c r="T1825" s="39">
        <f>[1]节奏总纲!AF1825</f>
        <v>113.79630311908031</v>
      </c>
      <c r="U1825" s="39">
        <f>[1]节奏总纲!AG1825</f>
        <v>118.67147202820972</v>
      </c>
      <c r="V1825" s="39">
        <f>[1]节奏总纲!AH1825</f>
        <v>127.85761446735117</v>
      </c>
    </row>
    <row r="1826" spans="17:22" x14ac:dyDescent="0.15">
      <c r="Q1826" s="38">
        <v>1823</v>
      </c>
      <c r="R1826" s="39">
        <f>[1]节奏总纲!AD1826</f>
        <v>108.32128131490903</v>
      </c>
      <c r="S1826" s="39">
        <f>[1]节奏总纲!AE1826</f>
        <v>110.63923703755394</v>
      </c>
      <c r="T1826" s="39">
        <f>[1]节奏总纲!AF1826</f>
        <v>113.80466017834208</v>
      </c>
      <c r="U1826" s="39">
        <f>[1]节奏总纲!AG1826</f>
        <v>118.67941575290358</v>
      </c>
      <c r="V1826" s="39">
        <f>[1]节奏总纲!AH1826</f>
        <v>127.86600543729737</v>
      </c>
    </row>
    <row r="1827" spans="17:22" x14ac:dyDescent="0.15">
      <c r="Q1827" s="38">
        <v>1824</v>
      </c>
      <c r="R1827" s="39">
        <f>[1]节奏总纲!AD1827</f>
        <v>108.32909601199665</v>
      </c>
      <c r="S1827" s="39">
        <f>[1]节奏总纲!AE1827</f>
        <v>110.64706918348358</v>
      </c>
      <c r="T1827" s="39">
        <f>[1]节奏总纲!AF1827</f>
        <v>113.81301723760386</v>
      </c>
      <c r="U1827" s="39">
        <f>[1]节奏总纲!AG1827</f>
        <v>118.68735947759744</v>
      </c>
      <c r="V1827" s="39">
        <f>[1]节奏总纲!AH1827</f>
        <v>127.87439640724358</v>
      </c>
    </row>
    <row r="1828" spans="17:22" x14ac:dyDescent="0.15">
      <c r="Q1828" s="38">
        <v>1825</v>
      </c>
      <c r="R1828" s="39">
        <f>[1]节奏总纲!AD1828</f>
        <v>108.33691070908428</v>
      </c>
      <c r="S1828" s="39">
        <f>[1]节奏总纲!AE1828</f>
        <v>110.65490132941322</v>
      </c>
      <c r="T1828" s="39">
        <f>[1]节奏总纲!AF1828</f>
        <v>113.82137429686563</v>
      </c>
      <c r="U1828" s="39">
        <f>[1]节奏总纲!AG1828</f>
        <v>118.6953032022913</v>
      </c>
      <c r="V1828" s="39">
        <f>[1]节奏总纲!AH1828</f>
        <v>127.8827873771898</v>
      </c>
    </row>
    <row r="1829" spans="17:22" x14ac:dyDescent="0.15">
      <c r="Q1829" s="38">
        <v>1826</v>
      </c>
      <c r="R1829" s="39">
        <f>[1]节奏总纲!AD1829</f>
        <v>108.34472540617189</v>
      </c>
      <c r="S1829" s="39">
        <f>[1]节奏总纲!AE1829</f>
        <v>110.66273347534286</v>
      </c>
      <c r="T1829" s="39">
        <f>[1]节奏总纲!AF1829</f>
        <v>113.82973135612741</v>
      </c>
      <c r="U1829" s="39">
        <f>[1]节奏总纲!AG1829</f>
        <v>118.70324692698516</v>
      </c>
      <c r="V1829" s="39">
        <f>[1]节奏总纲!AH1829</f>
        <v>127.89117834713601</v>
      </c>
    </row>
    <row r="1830" spans="17:22" x14ac:dyDescent="0.15">
      <c r="Q1830" s="38">
        <v>1827</v>
      </c>
      <c r="R1830" s="39">
        <f>[1]节奏总纲!AD1830</f>
        <v>108.35254010325951</v>
      </c>
      <c r="S1830" s="39">
        <f>[1]节奏总纲!AE1830</f>
        <v>110.6705656212725</v>
      </c>
      <c r="T1830" s="39">
        <f>[1]节奏总纲!AF1830</f>
        <v>113.83808841538919</v>
      </c>
      <c r="U1830" s="39">
        <f>[1]节奏总纲!AG1830</f>
        <v>118.71119065167902</v>
      </c>
      <c r="V1830" s="39">
        <f>[1]节奏总纲!AH1830</f>
        <v>127.89956931708221</v>
      </c>
    </row>
    <row r="1831" spans="17:22" x14ac:dyDescent="0.15">
      <c r="Q1831" s="38">
        <v>1828</v>
      </c>
      <c r="R1831" s="39">
        <f>[1]节奏总纲!AD1831</f>
        <v>108.36035480034714</v>
      </c>
      <c r="S1831" s="39">
        <f>[1]节奏总纲!AE1831</f>
        <v>110.67839776720214</v>
      </c>
      <c r="T1831" s="39">
        <f>[1]节奏总纲!AF1831</f>
        <v>113.84644547465096</v>
      </c>
      <c r="U1831" s="39">
        <f>[1]节奏总纲!AG1831</f>
        <v>118.71913437637288</v>
      </c>
      <c r="V1831" s="39">
        <f>[1]节奏总纲!AH1831</f>
        <v>127.90796028702842</v>
      </c>
    </row>
    <row r="1832" spans="17:22" x14ac:dyDescent="0.15">
      <c r="Q1832" s="38">
        <v>1829</v>
      </c>
      <c r="R1832" s="39">
        <f>[1]节奏总纲!AD1832</f>
        <v>108.36816949743476</v>
      </c>
      <c r="S1832" s="39">
        <f>[1]节奏总纲!AE1832</f>
        <v>110.68622991313178</v>
      </c>
      <c r="T1832" s="39">
        <f>[1]节奏总纲!AF1832</f>
        <v>113.85480253391275</v>
      </c>
      <c r="U1832" s="39">
        <f>[1]节奏总纲!AG1832</f>
        <v>118.72707810106674</v>
      </c>
      <c r="V1832" s="39">
        <f>[1]节奏总纲!AH1832</f>
        <v>127.91635125697464</v>
      </c>
    </row>
    <row r="1833" spans="17:22" x14ac:dyDescent="0.15">
      <c r="Q1833" s="38">
        <v>1830</v>
      </c>
      <c r="R1833" s="39">
        <f>[1]节奏总纲!AD1833</f>
        <v>108.37598419452237</v>
      </c>
      <c r="S1833" s="39">
        <f>[1]节奏总纲!AE1833</f>
        <v>110.69406205906142</v>
      </c>
      <c r="T1833" s="39">
        <f>[1]节奏总纲!AF1833</f>
        <v>113.86315959317452</v>
      </c>
      <c r="U1833" s="39">
        <f>[1]节奏总纲!AG1833</f>
        <v>118.7350218257606</v>
      </c>
      <c r="V1833" s="39">
        <f>[1]节奏总纲!AH1833</f>
        <v>127.92474222692084</v>
      </c>
    </row>
    <row r="1834" spans="17:22" x14ac:dyDescent="0.15">
      <c r="Q1834" s="38">
        <v>1831</v>
      </c>
      <c r="R1834" s="39">
        <f>[1]节奏总纲!AD1834</f>
        <v>108.38379889161</v>
      </c>
      <c r="S1834" s="39">
        <f>[1]节奏总纲!AE1834</f>
        <v>110.70189420499106</v>
      </c>
      <c r="T1834" s="39">
        <f>[1]节奏总纲!AF1834</f>
        <v>113.8715166524363</v>
      </c>
      <c r="U1834" s="39">
        <f>[1]节奏总纲!AG1834</f>
        <v>118.74296555045446</v>
      </c>
      <c r="V1834" s="39">
        <f>[1]节奏总纲!AH1834</f>
        <v>127.93313319686705</v>
      </c>
    </row>
    <row r="1835" spans="17:22" x14ac:dyDescent="0.15">
      <c r="Q1835" s="38">
        <v>1832</v>
      </c>
      <c r="R1835" s="39">
        <f>[1]节奏总纲!AD1835</f>
        <v>108.39161358869762</v>
      </c>
      <c r="S1835" s="39">
        <f>[1]节奏总纲!AE1835</f>
        <v>110.7097263509207</v>
      </c>
      <c r="T1835" s="39">
        <f>[1]节奏总纲!AF1835</f>
        <v>113.87987371169808</v>
      </c>
      <c r="U1835" s="39">
        <f>[1]节奏总纲!AG1835</f>
        <v>118.75090927514832</v>
      </c>
      <c r="V1835" s="39">
        <f>[1]节奏总纲!AH1835</f>
        <v>127.94152416681325</v>
      </c>
    </row>
    <row r="1836" spans="17:22" x14ac:dyDescent="0.15">
      <c r="Q1836" s="38">
        <v>1833</v>
      </c>
      <c r="R1836" s="39">
        <f>[1]节奏总纲!AD1836</f>
        <v>108.39942828578525</v>
      </c>
      <c r="S1836" s="39">
        <f>[1]节奏总纲!AE1836</f>
        <v>110.71755849685033</v>
      </c>
      <c r="T1836" s="39">
        <f>[1]节奏总纲!AF1836</f>
        <v>113.88823077095985</v>
      </c>
      <c r="U1836" s="39">
        <f>[1]节奏总纲!AG1836</f>
        <v>118.75885299984218</v>
      </c>
      <c r="V1836" s="39">
        <f>[1]节奏总纲!AH1836</f>
        <v>127.94991513675947</v>
      </c>
    </row>
    <row r="1837" spans="17:22" x14ac:dyDescent="0.15">
      <c r="Q1837" s="38">
        <v>1834</v>
      </c>
      <c r="R1837" s="39">
        <f>[1]节奏总纲!AD1837</f>
        <v>108.40724298287287</v>
      </c>
      <c r="S1837" s="39">
        <f>[1]节奏总纲!AE1837</f>
        <v>110.72539064277997</v>
      </c>
      <c r="T1837" s="39">
        <f>[1]节奏总纲!AF1837</f>
        <v>113.89658783022163</v>
      </c>
      <c r="U1837" s="39">
        <f>[1]节奏总纲!AG1837</f>
        <v>118.76679672453604</v>
      </c>
      <c r="V1837" s="39">
        <f>[1]节奏总纲!AH1837</f>
        <v>127.95830610670568</v>
      </c>
    </row>
    <row r="1838" spans="17:22" x14ac:dyDescent="0.15">
      <c r="Q1838" s="38">
        <v>1835</v>
      </c>
      <c r="R1838" s="39">
        <f>[1]节奏总纲!AD1838</f>
        <v>108.41505767996048</v>
      </c>
      <c r="S1838" s="39">
        <f>[1]节奏总纲!AE1838</f>
        <v>110.73322278870961</v>
      </c>
      <c r="T1838" s="39">
        <f>[1]节奏总纲!AF1838</f>
        <v>113.9049448894834</v>
      </c>
      <c r="U1838" s="39">
        <f>[1]节奏总纲!AG1838</f>
        <v>118.7747404492299</v>
      </c>
      <c r="V1838" s="39">
        <f>[1]节奏总纲!AH1838</f>
        <v>127.96669707665188</v>
      </c>
    </row>
    <row r="1839" spans="17:22" x14ac:dyDescent="0.15">
      <c r="Q1839" s="38">
        <v>1836</v>
      </c>
      <c r="R1839" s="39">
        <f>[1]节奏总纲!AD1839</f>
        <v>108.42287237704811</v>
      </c>
      <c r="S1839" s="39">
        <f>[1]节奏总纲!AE1839</f>
        <v>110.74105493463925</v>
      </c>
      <c r="T1839" s="39">
        <f>[1]节奏总纲!AF1839</f>
        <v>113.91330194874519</v>
      </c>
      <c r="U1839" s="39">
        <f>[1]节奏总纲!AG1839</f>
        <v>118.78268417392376</v>
      </c>
      <c r="V1839" s="39">
        <f>[1]节奏总纲!AH1839</f>
        <v>127.97508804659809</v>
      </c>
    </row>
    <row r="1840" spans="17:22" x14ac:dyDescent="0.15">
      <c r="Q1840" s="38">
        <v>1837</v>
      </c>
      <c r="R1840" s="39">
        <f>[1]节奏总纲!AD1840</f>
        <v>108.43068707413573</v>
      </c>
      <c r="S1840" s="39">
        <f>[1]节奏总纲!AE1840</f>
        <v>110.74888708056889</v>
      </c>
      <c r="T1840" s="39">
        <f>[1]节奏总纲!AF1840</f>
        <v>113.92165900800697</v>
      </c>
      <c r="U1840" s="39">
        <f>[1]节奏总纲!AG1840</f>
        <v>118.79062789861761</v>
      </c>
      <c r="V1840" s="39">
        <f>[1]节奏总纲!AH1840</f>
        <v>127.98347901654431</v>
      </c>
    </row>
    <row r="1841" spans="17:22" x14ac:dyDescent="0.15">
      <c r="Q1841" s="38">
        <v>1838</v>
      </c>
      <c r="R1841" s="39">
        <f>[1]节奏总纲!AD1841</f>
        <v>108.43850177122336</v>
      </c>
      <c r="S1841" s="39">
        <f>[1]节奏总纲!AE1841</f>
        <v>110.75671922649853</v>
      </c>
      <c r="T1841" s="39">
        <f>[1]节奏总纲!AF1841</f>
        <v>113.93001606726874</v>
      </c>
      <c r="U1841" s="39">
        <f>[1]节奏总纲!AG1841</f>
        <v>118.79857162331147</v>
      </c>
      <c r="V1841" s="39">
        <f>[1]节奏总纲!AH1841</f>
        <v>127.99186998649051</v>
      </c>
    </row>
    <row r="1842" spans="17:22" x14ac:dyDescent="0.15">
      <c r="Q1842" s="38">
        <v>1839</v>
      </c>
      <c r="R1842" s="39">
        <f>[1]节奏总纲!AD1842</f>
        <v>108.44631646831098</v>
      </c>
      <c r="S1842" s="39">
        <f>[1]节奏总纲!AE1842</f>
        <v>110.76455137242817</v>
      </c>
      <c r="T1842" s="39">
        <f>[1]节奏总纲!AF1842</f>
        <v>113.93837312653052</v>
      </c>
      <c r="U1842" s="39">
        <f>[1]节奏总纲!AG1842</f>
        <v>118.80651534800533</v>
      </c>
      <c r="V1842" s="39">
        <f>[1]节奏总纲!AH1842</f>
        <v>128.00022768112262</v>
      </c>
    </row>
    <row r="1843" spans="17:22" x14ac:dyDescent="0.15">
      <c r="Q1843" s="38">
        <v>1840</v>
      </c>
      <c r="R1843" s="39">
        <f>[1]节奏总纲!AD1843</f>
        <v>108.45413116539859</v>
      </c>
      <c r="S1843" s="39">
        <f>[1]节奏总纲!AE1843</f>
        <v>110.77238351835781</v>
      </c>
      <c r="T1843" s="39">
        <f>[1]节奏总纲!AF1843</f>
        <v>113.9467301857923</v>
      </c>
      <c r="U1843" s="39">
        <f>[1]节奏总纲!AG1843</f>
        <v>118.81445907269919</v>
      </c>
      <c r="V1843" s="39">
        <f>[1]节奏总纲!AH1843</f>
        <v>128.00754869409064</v>
      </c>
    </row>
    <row r="1844" spans="17:22" x14ac:dyDescent="0.15">
      <c r="Q1844" s="38">
        <v>1841</v>
      </c>
      <c r="R1844" s="39">
        <f>[1]节奏总纲!AD1844</f>
        <v>108.46194586248622</v>
      </c>
      <c r="S1844" s="39">
        <f>[1]节奏总纲!AE1844</f>
        <v>110.78021566428745</v>
      </c>
      <c r="T1844" s="39">
        <f>[1]节奏总纲!AF1844</f>
        <v>113.95508724505407</v>
      </c>
      <c r="U1844" s="39">
        <f>[1]节奏总纲!AG1844</f>
        <v>118.82240279739305</v>
      </c>
      <c r="V1844" s="39">
        <f>[1]节奏总纲!AH1844</f>
        <v>128.01486970705869</v>
      </c>
    </row>
    <row r="1845" spans="17:22" x14ac:dyDescent="0.15">
      <c r="Q1845" s="38">
        <v>1842</v>
      </c>
      <c r="R1845" s="39">
        <f>[1]节奏总纲!AD1845</f>
        <v>108.46976055957384</v>
      </c>
      <c r="S1845" s="39">
        <f>[1]节奏总纲!AE1845</f>
        <v>110.78804781021709</v>
      </c>
      <c r="T1845" s="39">
        <f>[1]节奏总纲!AF1845</f>
        <v>113.96344430431586</v>
      </c>
      <c r="U1845" s="39">
        <f>[1]节奏总纲!AG1845</f>
        <v>118.83034652208691</v>
      </c>
      <c r="V1845" s="39">
        <f>[1]节奏总纲!AH1845</f>
        <v>128.02219072002671</v>
      </c>
    </row>
    <row r="1846" spans="17:22" x14ac:dyDescent="0.15">
      <c r="Q1846" s="38">
        <v>1843</v>
      </c>
      <c r="R1846" s="39">
        <f>[1]节奏总纲!AD1846</f>
        <v>108.47757525666147</v>
      </c>
      <c r="S1846" s="39">
        <f>[1]节奏总纲!AE1846</f>
        <v>110.79587995614672</v>
      </c>
      <c r="T1846" s="39">
        <f>[1]节奏总纲!AF1846</f>
        <v>113.97180136357763</v>
      </c>
      <c r="U1846" s="39">
        <f>[1]节奏总纲!AG1846</f>
        <v>118.83829024678077</v>
      </c>
      <c r="V1846" s="39">
        <f>[1]节奏总纲!AH1846</f>
        <v>128.02951173299473</v>
      </c>
    </row>
    <row r="1847" spans="17:22" x14ac:dyDescent="0.15">
      <c r="Q1847" s="38">
        <v>1844</v>
      </c>
      <c r="R1847" s="39">
        <f>[1]节奏总纲!AD1847</f>
        <v>108.48538995374909</v>
      </c>
      <c r="S1847" s="39">
        <f>[1]节奏总纲!AE1847</f>
        <v>110.80371210207636</v>
      </c>
      <c r="T1847" s="39">
        <f>[1]节奏总纲!AF1847</f>
        <v>113.98015842283941</v>
      </c>
      <c r="U1847" s="39">
        <f>[1]节奏总纲!AG1847</f>
        <v>118.84623397147463</v>
      </c>
      <c r="V1847" s="39">
        <f>[1]节奏总纲!AH1847</f>
        <v>128.03683274596276</v>
      </c>
    </row>
    <row r="1848" spans="17:22" x14ac:dyDescent="0.15">
      <c r="Q1848" s="38">
        <v>1845</v>
      </c>
      <c r="R1848" s="39">
        <f>[1]节奏总纲!AD1848</f>
        <v>108.4932046508367</v>
      </c>
      <c r="S1848" s="39">
        <f>[1]节奏总纲!AE1848</f>
        <v>110.811544248006</v>
      </c>
      <c r="T1848" s="39">
        <f>[1]节奏总纲!AF1848</f>
        <v>113.98851548210119</v>
      </c>
      <c r="U1848" s="39">
        <f>[1]节奏总纲!AG1848</f>
        <v>118.85417769616849</v>
      </c>
      <c r="V1848" s="39">
        <f>[1]节奏总纲!AH1848</f>
        <v>128.0441537589308</v>
      </c>
    </row>
    <row r="1849" spans="17:22" x14ac:dyDescent="0.15">
      <c r="Q1849" s="38">
        <v>1846</v>
      </c>
      <c r="R1849" s="39">
        <f>[1]节奏总纲!AD1849</f>
        <v>108.50101934792433</v>
      </c>
      <c r="S1849" s="39">
        <f>[1]节奏总纲!AE1849</f>
        <v>110.81937639393564</v>
      </c>
      <c r="T1849" s="39">
        <f>[1]节奏总纲!AF1849</f>
        <v>113.99687254136296</v>
      </c>
      <c r="U1849" s="39">
        <f>[1]节奏总纲!AG1849</f>
        <v>118.86212142086235</v>
      </c>
      <c r="V1849" s="39">
        <f>[1]节奏总纲!AH1849</f>
        <v>128.05147477189882</v>
      </c>
    </row>
    <row r="1850" spans="17:22" x14ac:dyDescent="0.15">
      <c r="Q1850" s="38">
        <v>1847</v>
      </c>
      <c r="R1850" s="39">
        <f>[1]节奏总纲!AD1850</f>
        <v>108.50883404501195</v>
      </c>
      <c r="S1850" s="39">
        <f>[1]节奏总纲!AE1850</f>
        <v>110.82720853986528</v>
      </c>
      <c r="T1850" s="39">
        <f>[1]节奏总纲!AF1850</f>
        <v>114.00506310234596</v>
      </c>
      <c r="U1850" s="39">
        <f>[1]节奏总纲!AG1850</f>
        <v>118.87006514555621</v>
      </c>
      <c r="V1850" s="39">
        <f>[1]节奏总纲!AH1850</f>
        <v>128.05879578486685</v>
      </c>
    </row>
    <row r="1851" spans="17:22" x14ac:dyDescent="0.15">
      <c r="Q1851" s="38">
        <v>1848</v>
      </c>
      <c r="R1851" s="39">
        <f>[1]节奏总纲!AD1851</f>
        <v>108.51664874209958</v>
      </c>
      <c r="S1851" s="39">
        <f>[1]节奏总纲!AE1851</f>
        <v>110.83504068579492</v>
      </c>
      <c r="T1851" s="39">
        <f>[1]节奏总纲!AF1851</f>
        <v>114.01315409234498</v>
      </c>
      <c r="U1851" s="39">
        <f>[1]节奏总纲!AG1851</f>
        <v>118.87800887025007</v>
      </c>
      <c r="V1851" s="39">
        <f>[1]节奏总纲!AH1851</f>
        <v>128.06611679783487</v>
      </c>
    </row>
    <row r="1852" spans="17:22" x14ac:dyDescent="0.15">
      <c r="Q1852" s="38">
        <v>1849</v>
      </c>
      <c r="R1852" s="39">
        <f>[1]节奏总纲!AD1852</f>
        <v>108.52446343918719</v>
      </c>
      <c r="S1852" s="39">
        <f>[1]节奏总纲!AE1852</f>
        <v>110.84287283172456</v>
      </c>
      <c r="T1852" s="39">
        <f>[1]节奏总纲!AF1852</f>
        <v>114.02124508234398</v>
      </c>
      <c r="U1852" s="39">
        <f>[1]节奏总纲!AG1852</f>
        <v>118.88595259494393</v>
      </c>
      <c r="V1852" s="39">
        <f>[1]节奏总纲!AH1852</f>
        <v>128.07343781080291</v>
      </c>
    </row>
    <row r="1853" spans="17:22" x14ac:dyDescent="0.15">
      <c r="Q1853" s="38">
        <v>1850</v>
      </c>
      <c r="R1853" s="39">
        <f>[1]节奏总纲!AD1853</f>
        <v>108.53227813627481</v>
      </c>
      <c r="S1853" s="39">
        <f>[1]节奏总纲!AE1853</f>
        <v>110.8507049776542</v>
      </c>
      <c r="T1853" s="39">
        <f>[1]节奏总纲!AF1853</f>
        <v>114.02933607234299</v>
      </c>
      <c r="U1853" s="39">
        <f>[1]节奏总纲!AG1853</f>
        <v>118.89389631963779</v>
      </c>
      <c r="V1853" s="39">
        <f>[1]节奏总纲!AH1853</f>
        <v>128.08075882377094</v>
      </c>
    </row>
    <row r="1854" spans="17:22" x14ac:dyDescent="0.15">
      <c r="Q1854" s="38">
        <v>1851</v>
      </c>
      <c r="R1854" s="39">
        <f>[1]节奏总纲!AD1854</f>
        <v>108.54009283336244</v>
      </c>
      <c r="S1854" s="39">
        <f>[1]节奏总纲!AE1854</f>
        <v>110.85853712358384</v>
      </c>
      <c r="T1854" s="39">
        <f>[1]节奏总纲!AF1854</f>
        <v>114.037427062342</v>
      </c>
      <c r="U1854" s="39">
        <f>[1]节奏总纲!AG1854</f>
        <v>118.90184004433165</v>
      </c>
      <c r="V1854" s="39">
        <f>[1]节奏总纲!AH1854</f>
        <v>128.08807983673896</v>
      </c>
    </row>
    <row r="1855" spans="17:22" x14ac:dyDescent="0.15">
      <c r="Q1855" s="38">
        <v>1852</v>
      </c>
      <c r="R1855" s="39">
        <f>[1]节奏总纲!AD1855</f>
        <v>108.54790753045006</v>
      </c>
      <c r="S1855" s="39">
        <f>[1]节奏总纲!AE1855</f>
        <v>110.86636926951348</v>
      </c>
      <c r="T1855" s="39">
        <f>[1]节奏总纲!AF1855</f>
        <v>114.04551805234101</v>
      </c>
      <c r="U1855" s="39">
        <f>[1]节奏总纲!AG1855</f>
        <v>118.90978376902551</v>
      </c>
      <c r="V1855" s="39">
        <f>[1]节奏总纲!AH1855</f>
        <v>128.09540084970698</v>
      </c>
    </row>
    <row r="1856" spans="17:22" x14ac:dyDescent="0.15">
      <c r="Q1856" s="38">
        <v>1853</v>
      </c>
      <c r="R1856" s="39">
        <f>[1]节奏总纲!AD1856</f>
        <v>108.55572222753769</v>
      </c>
      <c r="S1856" s="39">
        <f>[1]节奏总纲!AE1856</f>
        <v>110.87420141544312</v>
      </c>
      <c r="T1856" s="39">
        <f>[1]节奏总纲!AF1856</f>
        <v>114.05360904234003</v>
      </c>
      <c r="U1856" s="39">
        <f>[1]节奏总纲!AG1856</f>
        <v>118.91772749371937</v>
      </c>
      <c r="V1856" s="39">
        <f>[1]节奏总纲!AH1856</f>
        <v>128.10272186267503</v>
      </c>
    </row>
    <row r="1857" spans="17:22" x14ac:dyDescent="0.15">
      <c r="Q1857" s="38">
        <v>1854</v>
      </c>
      <c r="R1857" s="39">
        <f>[1]节奏总纲!AD1857</f>
        <v>108.5635369246253</v>
      </c>
      <c r="S1857" s="39">
        <f>[1]节奏总纲!AE1857</f>
        <v>110.88203356137275</v>
      </c>
      <c r="T1857" s="39">
        <f>[1]节奏总纲!AF1857</f>
        <v>114.06170003233903</v>
      </c>
      <c r="U1857" s="39">
        <f>[1]节奏总纲!AG1857</f>
        <v>118.92567121841323</v>
      </c>
      <c r="V1857" s="39">
        <f>[1]节奏总纲!AH1857</f>
        <v>128.11004287564305</v>
      </c>
    </row>
    <row r="1858" spans="17:22" x14ac:dyDescent="0.15">
      <c r="Q1858" s="38">
        <v>1855</v>
      </c>
      <c r="R1858" s="39">
        <f>[1]节奏总纲!AD1858</f>
        <v>108.57135162171292</v>
      </c>
      <c r="S1858" s="39">
        <f>[1]节奏总纲!AE1858</f>
        <v>110.88986570730239</v>
      </c>
      <c r="T1858" s="39">
        <f>[1]节奏总纲!AF1858</f>
        <v>114.06979102233805</v>
      </c>
      <c r="U1858" s="39">
        <f>[1]节奏总纲!AG1858</f>
        <v>118.93361494310709</v>
      </c>
      <c r="V1858" s="39">
        <f>[1]节奏总纲!AH1858</f>
        <v>128.11736388861107</v>
      </c>
    </row>
    <row r="1859" spans="17:22" x14ac:dyDescent="0.15">
      <c r="Q1859" s="38">
        <v>1856</v>
      </c>
      <c r="R1859" s="39">
        <f>[1]节奏总纲!AD1859</f>
        <v>108.57916631880055</v>
      </c>
      <c r="S1859" s="39">
        <f>[1]节奏总纲!AE1859</f>
        <v>110.89769785323203</v>
      </c>
      <c r="T1859" s="39">
        <f>[1]节奏总纲!AF1859</f>
        <v>114.07788201233706</v>
      </c>
      <c r="U1859" s="39">
        <f>[1]节奏总纲!AG1859</f>
        <v>118.94155866780095</v>
      </c>
      <c r="V1859" s="39">
        <f>[1]节奏总纲!AH1859</f>
        <v>128.12468490157909</v>
      </c>
    </row>
    <row r="1860" spans="17:22" x14ac:dyDescent="0.15">
      <c r="Q1860" s="38">
        <v>1857</v>
      </c>
      <c r="R1860" s="39">
        <f>[1]节奏总纲!AD1860</f>
        <v>108.58698101588817</v>
      </c>
      <c r="S1860" s="39">
        <f>[1]节奏总纲!AE1860</f>
        <v>110.90552999916167</v>
      </c>
      <c r="T1860" s="39">
        <f>[1]节奏总纲!AF1860</f>
        <v>114.08597300233608</v>
      </c>
      <c r="U1860" s="39">
        <f>[1]节奏总纲!AG1860</f>
        <v>118.94950239249481</v>
      </c>
      <c r="V1860" s="39">
        <f>[1]节奏总纲!AH1860</f>
        <v>128.13200591454714</v>
      </c>
    </row>
    <row r="1861" spans="17:22" x14ac:dyDescent="0.15">
      <c r="Q1861" s="38">
        <v>1858</v>
      </c>
      <c r="R1861" s="39">
        <f>[1]节奏总纲!AD1861</f>
        <v>108.5947957129758</v>
      </c>
      <c r="S1861" s="39">
        <f>[1]节奏总纲!AE1861</f>
        <v>110.91336214509131</v>
      </c>
      <c r="T1861" s="39">
        <f>[1]节奏总纲!AF1861</f>
        <v>114.09406399233508</v>
      </c>
      <c r="U1861" s="39">
        <f>[1]节奏总纲!AG1861</f>
        <v>118.95744611718867</v>
      </c>
      <c r="V1861" s="39">
        <f>[1]节奏总纲!AH1861</f>
        <v>128.13932692751516</v>
      </c>
    </row>
    <row r="1862" spans="17:22" x14ac:dyDescent="0.15">
      <c r="Q1862" s="38">
        <v>1859</v>
      </c>
      <c r="R1862" s="39">
        <f>[1]节奏总纲!AD1862</f>
        <v>108.60261041006341</v>
      </c>
      <c r="S1862" s="39">
        <f>[1]节奏总纲!AE1862</f>
        <v>110.92119429102095</v>
      </c>
      <c r="T1862" s="39">
        <f>[1]节奏总纲!AF1862</f>
        <v>114.1021549823341</v>
      </c>
      <c r="U1862" s="39">
        <f>[1]节奏总纲!AG1862</f>
        <v>118.96538984188253</v>
      </c>
      <c r="V1862" s="39">
        <f>[1]节奏总纲!AH1862</f>
        <v>128.14664794048318</v>
      </c>
    </row>
    <row r="1863" spans="17:22" x14ac:dyDescent="0.15">
      <c r="Q1863" s="38">
        <v>1860</v>
      </c>
      <c r="R1863" s="39">
        <f>[1]节奏总纲!AD1863</f>
        <v>108.61042510715103</v>
      </c>
      <c r="S1863" s="39">
        <f>[1]节奏总纲!AE1863</f>
        <v>110.92902643695059</v>
      </c>
      <c r="T1863" s="39">
        <f>[1]节奏总纲!AF1863</f>
        <v>114.1102459723331</v>
      </c>
      <c r="U1863" s="39">
        <f>[1]节奏总纲!AG1863</f>
        <v>118.97333356657639</v>
      </c>
      <c r="V1863" s="39">
        <f>[1]节奏总纲!AH1863</f>
        <v>128.1539689534512</v>
      </c>
    </row>
    <row r="1864" spans="17:22" x14ac:dyDescent="0.15">
      <c r="Q1864" s="38">
        <v>1861</v>
      </c>
      <c r="R1864" s="39">
        <f>[1]节奏总纲!AD1864</f>
        <v>108.61823980423866</v>
      </c>
      <c r="S1864" s="39">
        <f>[1]节奏总纲!AE1864</f>
        <v>110.93685858288023</v>
      </c>
      <c r="T1864" s="39">
        <f>[1]节奏总纲!AF1864</f>
        <v>114.11833696233212</v>
      </c>
      <c r="U1864" s="39">
        <f>[1]节奏总纲!AG1864</f>
        <v>118.98127729127025</v>
      </c>
      <c r="V1864" s="39">
        <f>[1]节奏总纲!AH1864</f>
        <v>128.16128996641925</v>
      </c>
    </row>
    <row r="1865" spans="17:22" x14ac:dyDescent="0.15">
      <c r="Q1865" s="38">
        <v>1862</v>
      </c>
      <c r="R1865" s="39">
        <f>[1]节奏总纲!AD1865</f>
        <v>108.62605450132628</v>
      </c>
      <c r="S1865" s="39">
        <f>[1]节奏总纲!AE1865</f>
        <v>110.94469072880987</v>
      </c>
      <c r="T1865" s="39">
        <f>[1]节奏总纲!AF1865</f>
        <v>114.12642795233113</v>
      </c>
      <c r="U1865" s="39">
        <f>[1]节奏总纲!AG1865</f>
        <v>118.98922101596411</v>
      </c>
      <c r="V1865" s="39">
        <f>[1]节奏总纲!AH1865</f>
        <v>128.16861097938727</v>
      </c>
    </row>
    <row r="1866" spans="17:22" x14ac:dyDescent="0.15">
      <c r="Q1866" s="38">
        <v>1863</v>
      </c>
      <c r="R1866" s="39">
        <f>[1]节奏总纲!AD1866</f>
        <v>108.63386919841389</v>
      </c>
      <c r="S1866" s="39">
        <f>[1]节奏总纲!AE1866</f>
        <v>110.95252287473951</v>
      </c>
      <c r="T1866" s="39">
        <f>[1]节奏总纲!AF1866</f>
        <v>114.13451894233015</v>
      </c>
      <c r="U1866" s="39">
        <f>[1]节奏总纲!AG1866</f>
        <v>118.99716474065796</v>
      </c>
      <c r="V1866" s="39">
        <f>[1]节奏总纲!AH1866</f>
        <v>128.17593199235529</v>
      </c>
    </row>
    <row r="1867" spans="17:22" x14ac:dyDescent="0.15">
      <c r="Q1867" s="38">
        <v>1864</v>
      </c>
      <c r="R1867" s="39">
        <f>[1]节奏总纲!AD1867</f>
        <v>108.64168389550152</v>
      </c>
      <c r="S1867" s="39">
        <f>[1]节奏总纲!AE1867</f>
        <v>110.96035502066914</v>
      </c>
      <c r="T1867" s="39">
        <f>[1]节奏总纲!AF1867</f>
        <v>114.14260993232915</v>
      </c>
      <c r="U1867" s="39">
        <f>[1]节奏总纲!AG1867</f>
        <v>119.0051374591733</v>
      </c>
      <c r="V1867" s="39">
        <f>[1]节奏总纲!AH1867</f>
        <v>128.18325300532331</v>
      </c>
    </row>
    <row r="1868" spans="17:22" x14ac:dyDescent="0.15">
      <c r="Q1868" s="38">
        <v>1865</v>
      </c>
      <c r="R1868" s="39">
        <f>[1]节奏总纲!AD1868</f>
        <v>108.64949859258914</v>
      </c>
      <c r="S1868" s="39">
        <f>[1]节奏总纲!AE1868</f>
        <v>110.96818716659878</v>
      </c>
      <c r="T1868" s="39">
        <f>[1]节奏总纲!AF1868</f>
        <v>114.15070092232817</v>
      </c>
      <c r="U1868" s="39">
        <f>[1]节奏总纲!AG1868</f>
        <v>119.01312626960618</v>
      </c>
      <c r="V1868" s="39">
        <f>[1]节奏总纲!AH1868</f>
        <v>128.19057401829136</v>
      </c>
    </row>
    <row r="1869" spans="17:22" x14ac:dyDescent="0.15">
      <c r="Q1869" s="38">
        <v>1866</v>
      </c>
      <c r="R1869" s="39">
        <f>[1]节奏总纲!AD1869</f>
        <v>108.65731328967676</v>
      </c>
      <c r="S1869" s="39">
        <f>[1]节奏总纲!AE1869</f>
        <v>110.97601931252842</v>
      </c>
      <c r="T1869" s="39">
        <f>[1]节奏总纲!AF1869</f>
        <v>114.15879191232717</v>
      </c>
      <c r="U1869" s="39">
        <f>[1]节奏总纲!AG1869</f>
        <v>119.02111508003905</v>
      </c>
      <c r="V1869" s="39">
        <f>[1]节奏总纲!AH1869</f>
        <v>128.19789503125938</v>
      </c>
    </row>
    <row r="1870" spans="17:22" x14ac:dyDescent="0.15">
      <c r="Q1870" s="38">
        <v>1867</v>
      </c>
      <c r="R1870" s="39">
        <f>[1]节奏总纲!AD1870</f>
        <v>108.66512798676439</v>
      </c>
      <c r="S1870" s="39">
        <f>[1]节奏总纲!AE1870</f>
        <v>110.98385145845806</v>
      </c>
      <c r="T1870" s="39">
        <f>[1]节奏总纲!AF1870</f>
        <v>114.16688290232619</v>
      </c>
      <c r="U1870" s="39">
        <f>[1]节奏总纲!AG1870</f>
        <v>119.02910389047193</v>
      </c>
      <c r="V1870" s="39">
        <f>[1]节奏总纲!AH1870</f>
        <v>128.2052160442274</v>
      </c>
    </row>
    <row r="1871" spans="17:22" x14ac:dyDescent="0.15">
      <c r="Q1871" s="38">
        <v>1868</v>
      </c>
      <c r="R1871" s="39">
        <f>[1]节奏总纲!AD1871</f>
        <v>108.672942683852</v>
      </c>
      <c r="S1871" s="39">
        <f>[1]节奏总纲!AE1871</f>
        <v>110.9916836043877</v>
      </c>
      <c r="T1871" s="39">
        <f>[1]节奏总纲!AF1871</f>
        <v>114.1749738923252</v>
      </c>
      <c r="U1871" s="39">
        <f>[1]节奏总纲!AG1871</f>
        <v>119.03709270090481</v>
      </c>
      <c r="V1871" s="39">
        <f>[1]节奏总纲!AH1871</f>
        <v>128.21253705719542</v>
      </c>
    </row>
    <row r="1872" spans="17:22" x14ac:dyDescent="0.15">
      <c r="Q1872" s="38">
        <v>1869</v>
      </c>
      <c r="R1872" s="39">
        <f>[1]节奏总纲!AD1872</f>
        <v>108.68075738093962</v>
      </c>
      <c r="S1872" s="39">
        <f>[1]节奏总纲!AE1872</f>
        <v>110.99951575031734</v>
      </c>
      <c r="T1872" s="39">
        <f>[1]节奏总纲!AF1872</f>
        <v>114.18306488232422</v>
      </c>
      <c r="U1872" s="39">
        <f>[1]节奏总纲!AG1872</f>
        <v>119.04508151133767</v>
      </c>
      <c r="V1872" s="39">
        <f>[1]节奏总纲!AH1872</f>
        <v>128.21985807016344</v>
      </c>
    </row>
    <row r="1873" spans="17:22" x14ac:dyDescent="0.15">
      <c r="Q1873" s="38">
        <v>1870</v>
      </c>
      <c r="R1873" s="39">
        <f>[1]节奏总纲!AD1873</f>
        <v>108.68857207802725</v>
      </c>
      <c r="S1873" s="39">
        <f>[1]节奏总纲!AE1873</f>
        <v>111.00691759243479</v>
      </c>
      <c r="T1873" s="39">
        <f>[1]节奏总纲!AF1873</f>
        <v>114.19115587232322</v>
      </c>
      <c r="U1873" s="39">
        <f>[1]节奏总纲!AG1873</f>
        <v>119.05307032177055</v>
      </c>
      <c r="V1873" s="39">
        <f>[1]节奏总纲!AH1873</f>
        <v>128.22717908313149</v>
      </c>
    </row>
    <row r="1874" spans="17:22" x14ac:dyDescent="0.15">
      <c r="Q1874" s="38">
        <v>1871</v>
      </c>
      <c r="R1874" s="39">
        <f>[1]节奏总纲!AD1874</f>
        <v>108.69638677511487</v>
      </c>
      <c r="S1874" s="39">
        <f>[1]节奏总纲!AE1874</f>
        <v>111.01429107616535</v>
      </c>
      <c r="T1874" s="39">
        <f>[1]节奏总纲!AF1874</f>
        <v>114.19924686232224</v>
      </c>
      <c r="U1874" s="39">
        <f>[1]节奏总纲!AG1874</f>
        <v>119.06105913220343</v>
      </c>
      <c r="V1874" s="39">
        <f>[1]节奏总纲!AH1874</f>
        <v>128.23450009609951</v>
      </c>
    </row>
    <row r="1875" spans="17:22" x14ac:dyDescent="0.15">
      <c r="Q1875" s="38">
        <v>1872</v>
      </c>
      <c r="R1875" s="39">
        <f>[1]节奏总纲!AD1875</f>
        <v>108.7042014722025</v>
      </c>
      <c r="S1875" s="39">
        <f>[1]节奏总纲!AE1875</f>
        <v>111.02166455989591</v>
      </c>
      <c r="T1875" s="39">
        <f>[1]节奏总纲!AF1875</f>
        <v>114.20733785232125</v>
      </c>
      <c r="U1875" s="39">
        <f>[1]节奏总纲!AG1875</f>
        <v>119.0690479426363</v>
      </c>
      <c r="V1875" s="39">
        <f>[1]节奏总纲!AH1875</f>
        <v>128.24182110906753</v>
      </c>
    </row>
    <row r="1876" spans="17:22" x14ac:dyDescent="0.15">
      <c r="Q1876" s="38">
        <v>1873</v>
      </c>
      <c r="R1876" s="39">
        <f>[1]节奏总纲!AD1876</f>
        <v>108.71201616929011</v>
      </c>
      <c r="S1876" s="39">
        <f>[1]节奏总纲!AE1876</f>
        <v>111.02903804362647</v>
      </c>
      <c r="T1876" s="39">
        <f>[1]节奏总纲!AF1876</f>
        <v>114.21542884232026</v>
      </c>
      <c r="U1876" s="39">
        <f>[1]节奏总纲!AG1876</f>
        <v>119.07703675306918</v>
      </c>
      <c r="V1876" s="39">
        <f>[1]节奏总纲!AH1876</f>
        <v>128.24914212203555</v>
      </c>
    </row>
    <row r="1877" spans="17:22" x14ac:dyDescent="0.15">
      <c r="Q1877" s="38">
        <v>1874</v>
      </c>
      <c r="R1877" s="39">
        <f>[1]节奏总纲!AD1877</f>
        <v>108.71983086637773</v>
      </c>
      <c r="S1877" s="39">
        <f>[1]节奏总纲!AE1877</f>
        <v>111.03641152735703</v>
      </c>
      <c r="T1877" s="39">
        <f>[1]节奏总纲!AF1877</f>
        <v>114.22351983231927</v>
      </c>
      <c r="U1877" s="39">
        <f>[1]节奏总纲!AG1877</f>
        <v>119.08502556350204</v>
      </c>
      <c r="V1877" s="39">
        <f>[1]节奏总纲!AH1877</f>
        <v>128.2564631350036</v>
      </c>
    </row>
    <row r="1878" spans="17:22" x14ac:dyDescent="0.15">
      <c r="Q1878" s="38">
        <v>1875</v>
      </c>
      <c r="R1878" s="39">
        <f>[1]节奏总纲!AD1878</f>
        <v>108.72764556346536</v>
      </c>
      <c r="S1878" s="39">
        <f>[1]节奏总纲!AE1878</f>
        <v>111.04378501108759</v>
      </c>
      <c r="T1878" s="39">
        <f>[1]节奏总纲!AF1878</f>
        <v>114.23161082231829</v>
      </c>
      <c r="U1878" s="39">
        <f>[1]节奏总纲!AG1878</f>
        <v>119.09301437393492</v>
      </c>
      <c r="V1878" s="39">
        <f>[1]节奏总纲!AH1878</f>
        <v>128.26378414797162</v>
      </c>
    </row>
    <row r="1879" spans="17:22" x14ac:dyDescent="0.15">
      <c r="Q1879" s="38">
        <v>1876</v>
      </c>
      <c r="R1879" s="39">
        <f>[1]节奏总纲!AD1879</f>
        <v>108.73546026055298</v>
      </c>
      <c r="S1879" s="39">
        <f>[1]节奏总纲!AE1879</f>
        <v>111.05115849481817</v>
      </c>
      <c r="T1879" s="39">
        <f>[1]节奏总纲!AF1879</f>
        <v>114.23970181231729</v>
      </c>
      <c r="U1879" s="39">
        <f>[1]节奏总纲!AG1879</f>
        <v>119.1010031843678</v>
      </c>
      <c r="V1879" s="39">
        <f>[1]节奏总纲!AH1879</f>
        <v>128.27110516093964</v>
      </c>
    </row>
    <row r="1880" spans="17:22" x14ac:dyDescent="0.15">
      <c r="Q1880" s="38">
        <v>1877</v>
      </c>
      <c r="R1880" s="39">
        <f>[1]节奏总纲!AD1880</f>
        <v>108.74327495764061</v>
      </c>
      <c r="S1880" s="39">
        <f>[1]节奏总纲!AE1880</f>
        <v>111.05853197854873</v>
      </c>
      <c r="T1880" s="39">
        <f>[1]节奏总纲!AF1880</f>
        <v>114.24779280231631</v>
      </c>
      <c r="U1880" s="39">
        <f>[1]节奏总纲!AG1880</f>
        <v>119.10899199480068</v>
      </c>
      <c r="V1880" s="39">
        <f>[1]节奏总纲!AH1880</f>
        <v>128.27842617390766</v>
      </c>
    </row>
    <row r="1881" spans="17:22" x14ac:dyDescent="0.15">
      <c r="Q1881" s="38">
        <v>1878</v>
      </c>
      <c r="R1881" s="39">
        <f>[1]节奏总纲!AD1881</f>
        <v>108.75108965472822</v>
      </c>
      <c r="S1881" s="39">
        <f>[1]节奏总纲!AE1881</f>
        <v>111.06590546227929</v>
      </c>
      <c r="T1881" s="39">
        <f>[1]节奏总纲!AF1881</f>
        <v>114.25588379231532</v>
      </c>
      <c r="U1881" s="39">
        <f>[1]节奏总纲!AG1881</f>
        <v>119.11698080523354</v>
      </c>
      <c r="V1881" s="39">
        <f>[1]节奏总纲!AH1881</f>
        <v>128.28574718687571</v>
      </c>
    </row>
    <row r="1882" spans="17:22" x14ac:dyDescent="0.15">
      <c r="Q1882" s="38">
        <v>1879</v>
      </c>
      <c r="R1882" s="39">
        <f>[1]节奏总纲!AD1882</f>
        <v>108.75890435181584</v>
      </c>
      <c r="S1882" s="39">
        <f>[1]节奏总纲!AE1882</f>
        <v>111.07327894600985</v>
      </c>
      <c r="T1882" s="39">
        <f>[1]节奏总纲!AF1882</f>
        <v>114.26397478231432</v>
      </c>
      <c r="U1882" s="39">
        <f>[1]节奏总纲!AG1882</f>
        <v>119.12496961566642</v>
      </c>
      <c r="V1882" s="39">
        <f>[1]节奏总纲!AH1882</f>
        <v>128.29306819984373</v>
      </c>
    </row>
    <row r="1883" spans="17:22" x14ac:dyDescent="0.15">
      <c r="Q1883" s="38">
        <v>1880</v>
      </c>
      <c r="R1883" s="39">
        <f>[1]节奏总纲!AD1883</f>
        <v>108.76671904890347</v>
      </c>
      <c r="S1883" s="39">
        <f>[1]节奏总纲!AE1883</f>
        <v>111.08065242974041</v>
      </c>
      <c r="T1883" s="39">
        <f>[1]节奏总纲!AF1883</f>
        <v>114.27206577231334</v>
      </c>
      <c r="U1883" s="39">
        <f>[1]节奏总纲!AG1883</f>
        <v>119.13295842609929</v>
      </c>
      <c r="V1883" s="39">
        <f>[1]节奏总纲!AH1883</f>
        <v>128.30038921281175</v>
      </c>
    </row>
    <row r="1884" spans="17:22" x14ac:dyDescent="0.15">
      <c r="Q1884" s="38">
        <v>1881</v>
      </c>
      <c r="R1884" s="39">
        <f>[1]节奏总纲!AD1884</f>
        <v>108.77453374599109</v>
      </c>
      <c r="S1884" s="39">
        <f>[1]节奏总纲!AE1884</f>
        <v>111.08802591347097</v>
      </c>
      <c r="T1884" s="39">
        <f>[1]节奏总纲!AF1884</f>
        <v>114.28015676231234</v>
      </c>
      <c r="U1884" s="39">
        <f>[1]节奏总纲!AG1884</f>
        <v>119.14094723653217</v>
      </c>
      <c r="V1884" s="39">
        <f>[1]节奏总纲!AH1884</f>
        <v>128.30771022577977</v>
      </c>
    </row>
    <row r="1885" spans="17:22" x14ac:dyDescent="0.15">
      <c r="Q1885" s="38">
        <v>1882</v>
      </c>
      <c r="R1885" s="39">
        <f>[1]节奏总纲!AD1885</f>
        <v>108.7823484430787</v>
      </c>
      <c r="S1885" s="39">
        <f>[1]节奏总纲!AE1885</f>
        <v>111.09539939720155</v>
      </c>
      <c r="T1885" s="39">
        <f>[1]节奏总纲!AF1885</f>
        <v>114.28824775231136</v>
      </c>
      <c r="U1885" s="39">
        <f>[1]节奏总纲!AG1885</f>
        <v>119.14893604696505</v>
      </c>
      <c r="V1885" s="39">
        <f>[1]节奏总纲!AH1885</f>
        <v>128.31503123874782</v>
      </c>
    </row>
    <row r="1886" spans="17:22" x14ac:dyDescent="0.15">
      <c r="Q1886" s="38">
        <v>1883</v>
      </c>
      <c r="R1886" s="39">
        <f>[1]节奏总纲!AD1886</f>
        <v>108.79016314016633</v>
      </c>
      <c r="S1886" s="39">
        <f>[1]节奏总纲!AE1886</f>
        <v>111.10277288093211</v>
      </c>
      <c r="T1886" s="39">
        <f>[1]节奏总纲!AF1886</f>
        <v>114.29633874231037</v>
      </c>
      <c r="U1886" s="39">
        <f>[1]节奏总纲!AG1886</f>
        <v>119.15692485739791</v>
      </c>
      <c r="V1886" s="39">
        <f>[1]节奏总纲!AH1886</f>
        <v>128.32235225171584</v>
      </c>
    </row>
    <row r="1887" spans="17:22" x14ac:dyDescent="0.15">
      <c r="Q1887" s="38">
        <v>1884</v>
      </c>
      <c r="R1887" s="39">
        <f>[1]节奏总纲!AD1887</f>
        <v>108.79797783725395</v>
      </c>
      <c r="S1887" s="39">
        <f>[1]节奏总纲!AE1887</f>
        <v>111.11014636466267</v>
      </c>
      <c r="T1887" s="39">
        <f>[1]节奏总纲!AF1887</f>
        <v>114.30442973230939</v>
      </c>
      <c r="U1887" s="39">
        <f>[1]节奏总纲!AG1887</f>
        <v>119.16491366783079</v>
      </c>
      <c r="V1887" s="39">
        <f>[1]节奏总纲!AH1887</f>
        <v>128.32967326468386</v>
      </c>
    </row>
    <row r="1888" spans="17:22" x14ac:dyDescent="0.15">
      <c r="Q1888" s="38">
        <v>1885</v>
      </c>
      <c r="R1888" s="39">
        <f>[1]节奏总纲!AD1888</f>
        <v>108.80579253434158</v>
      </c>
      <c r="S1888" s="39">
        <f>[1]节奏总纲!AE1888</f>
        <v>111.11751984839323</v>
      </c>
      <c r="T1888" s="39">
        <f>[1]节奏总纲!AF1888</f>
        <v>114.31252072230839</v>
      </c>
      <c r="U1888" s="39">
        <f>[1]节奏总纲!AG1888</f>
        <v>119.17290247826367</v>
      </c>
      <c r="V1888" s="39">
        <f>[1]节奏总纲!AH1888</f>
        <v>128.33699427765188</v>
      </c>
    </row>
    <row r="1889" spans="17:22" x14ac:dyDescent="0.15">
      <c r="Q1889" s="38">
        <v>1886</v>
      </c>
      <c r="R1889" s="39">
        <f>[1]节奏总纲!AD1889</f>
        <v>108.8136072314292</v>
      </c>
      <c r="S1889" s="39">
        <f>[1]节奏总纲!AE1889</f>
        <v>111.12489333212379</v>
      </c>
      <c r="T1889" s="39">
        <f>[1]节奏总纲!AF1889</f>
        <v>114.32061171230741</v>
      </c>
      <c r="U1889" s="39">
        <f>[1]节奏总纲!AG1889</f>
        <v>119.18089128869654</v>
      </c>
      <c r="V1889" s="39">
        <f>[1]节奏总纲!AH1889</f>
        <v>128.34431529061993</v>
      </c>
    </row>
    <row r="1890" spans="17:22" x14ac:dyDescent="0.15">
      <c r="Q1890" s="38">
        <v>1887</v>
      </c>
      <c r="R1890" s="39">
        <f>[1]节奏总纲!AD1890</f>
        <v>108.82142192851681</v>
      </c>
      <c r="S1890" s="39">
        <f>[1]节奏总纲!AE1890</f>
        <v>111.13226681585435</v>
      </c>
      <c r="T1890" s="39">
        <f>[1]节奏总纲!AF1890</f>
        <v>114.32870270230642</v>
      </c>
      <c r="U1890" s="39">
        <f>[1]节奏总纲!AG1890</f>
        <v>119.18888009912941</v>
      </c>
      <c r="V1890" s="39">
        <f>[1]节奏总纲!AH1890</f>
        <v>128.35163630358795</v>
      </c>
    </row>
    <row r="1891" spans="17:22" x14ac:dyDescent="0.15">
      <c r="Q1891" s="38">
        <v>1888</v>
      </c>
      <c r="R1891" s="39">
        <f>[1]节奏总纲!AD1891</f>
        <v>108.82923662560444</v>
      </c>
      <c r="S1891" s="39">
        <f>[1]节奏总纲!AE1891</f>
        <v>111.13964029958493</v>
      </c>
      <c r="T1891" s="39">
        <f>[1]节奏总纲!AF1891</f>
        <v>114.33679369230543</v>
      </c>
      <c r="U1891" s="39">
        <f>[1]节奏总纲!AG1891</f>
        <v>119.19686890956228</v>
      </c>
      <c r="V1891" s="39">
        <f>[1]节奏总纲!AH1891</f>
        <v>128.35895731655597</v>
      </c>
    </row>
    <row r="1892" spans="17:22" x14ac:dyDescent="0.15">
      <c r="Q1892" s="38">
        <v>1889</v>
      </c>
      <c r="R1892" s="39">
        <f>[1]节奏总纲!AD1892</f>
        <v>108.83705132269206</v>
      </c>
      <c r="S1892" s="39">
        <f>[1]节奏总纲!AE1892</f>
        <v>111.14701378331549</v>
      </c>
      <c r="T1892" s="39">
        <f>[1]节奏总纲!AF1892</f>
        <v>114.34488468230444</v>
      </c>
      <c r="U1892" s="39">
        <f>[1]节奏总纲!AG1892</f>
        <v>119.20485771999516</v>
      </c>
      <c r="V1892" s="39">
        <f>[1]节奏总纲!AH1892</f>
        <v>128.36627832952399</v>
      </c>
    </row>
    <row r="1893" spans="17:22" x14ac:dyDescent="0.15">
      <c r="Q1893" s="38">
        <v>1890</v>
      </c>
      <c r="R1893" s="39">
        <f>[1]节奏总纲!AD1893</f>
        <v>108.84486601977969</v>
      </c>
      <c r="S1893" s="39">
        <f>[1]节奏总纲!AE1893</f>
        <v>111.15438726704605</v>
      </c>
      <c r="T1893" s="39">
        <f>[1]节奏总纲!AF1893</f>
        <v>114.35297567230346</v>
      </c>
      <c r="U1893" s="39">
        <f>[1]节奏总纲!AG1893</f>
        <v>119.21284653042804</v>
      </c>
      <c r="V1893" s="39">
        <f>[1]节奏总纲!AH1893</f>
        <v>128.37359934249204</v>
      </c>
    </row>
    <row r="1894" spans="17:22" x14ac:dyDescent="0.15">
      <c r="Q1894" s="38">
        <v>1891</v>
      </c>
      <c r="R1894" s="39">
        <f>[1]节奏总纲!AD1894</f>
        <v>108.85268071686731</v>
      </c>
      <c r="S1894" s="39">
        <f>[1]节奏总纲!AE1894</f>
        <v>111.16176075077661</v>
      </c>
      <c r="T1894" s="39">
        <f>[1]节奏总纲!AF1894</f>
        <v>114.36106666230246</v>
      </c>
      <c r="U1894" s="39">
        <f>[1]节奏总纲!AG1894</f>
        <v>119.22083534086092</v>
      </c>
      <c r="V1894" s="39">
        <f>[1]节奏总纲!AH1894</f>
        <v>128.38092035546006</v>
      </c>
    </row>
    <row r="1895" spans="17:22" x14ac:dyDescent="0.15">
      <c r="Q1895" s="38">
        <v>1892</v>
      </c>
      <c r="R1895" s="39">
        <f>[1]节奏总纲!AD1895</f>
        <v>108.86049541395492</v>
      </c>
      <c r="S1895" s="39">
        <f>[1]节奏总纲!AE1895</f>
        <v>111.16913423450717</v>
      </c>
      <c r="T1895" s="39">
        <f>[1]节奏总纲!AF1895</f>
        <v>114.36915765230148</v>
      </c>
      <c r="U1895" s="39">
        <f>[1]节奏总纲!AG1895</f>
        <v>119.22882415129378</v>
      </c>
      <c r="V1895" s="39">
        <f>[1]节奏总纲!AH1895</f>
        <v>128.38824136842808</v>
      </c>
    </row>
    <row r="1896" spans="17:22" x14ac:dyDescent="0.15">
      <c r="Q1896" s="38">
        <v>1893</v>
      </c>
      <c r="R1896" s="39">
        <f>[1]节奏总纲!AD1896</f>
        <v>108.86831011104255</v>
      </c>
      <c r="S1896" s="39">
        <f>[1]节奏总纲!AE1896</f>
        <v>111.17650771823773</v>
      </c>
      <c r="T1896" s="39">
        <f>[1]节奏总纲!AF1896</f>
        <v>114.37724864230049</v>
      </c>
      <c r="U1896" s="39">
        <f>[1]节奏总纲!AG1896</f>
        <v>119.23681296172666</v>
      </c>
      <c r="V1896" s="39">
        <f>[1]节奏总纲!AH1896</f>
        <v>128.3955623813961</v>
      </c>
    </row>
    <row r="1897" spans="17:22" x14ac:dyDescent="0.15">
      <c r="Q1897" s="38">
        <v>1894</v>
      </c>
      <c r="R1897" s="39">
        <f>[1]节奏总纲!AD1897</f>
        <v>108.87612480813017</v>
      </c>
      <c r="S1897" s="39">
        <f>[1]节奏总纲!AE1897</f>
        <v>111.1838812019683</v>
      </c>
      <c r="T1897" s="39">
        <f>[1]节奏总纲!AF1897</f>
        <v>114.38533963229951</v>
      </c>
      <c r="U1897" s="39">
        <f>[1]节奏总纲!AG1897</f>
        <v>119.24480177215953</v>
      </c>
      <c r="V1897" s="39">
        <f>[1]节奏总纲!AH1897</f>
        <v>128.40288339436415</v>
      </c>
    </row>
    <row r="1898" spans="17:22" x14ac:dyDescent="0.15">
      <c r="Q1898" s="38">
        <v>1895</v>
      </c>
      <c r="R1898" s="39">
        <f>[1]节奏总纲!AD1898</f>
        <v>108.8839395052178</v>
      </c>
      <c r="S1898" s="39">
        <f>[1]节奏总纲!AE1898</f>
        <v>111.19125468569887</v>
      </c>
      <c r="T1898" s="39">
        <f>[1]节奏总纲!AF1898</f>
        <v>114.39343062229851</v>
      </c>
      <c r="U1898" s="39">
        <f>[1]节奏总纲!AG1898</f>
        <v>119.25279058259241</v>
      </c>
      <c r="V1898" s="39">
        <f>[1]节奏总纲!AH1898</f>
        <v>128.41020440733217</v>
      </c>
    </row>
    <row r="1899" spans="17:22" x14ac:dyDescent="0.15">
      <c r="Q1899" s="38">
        <v>1896</v>
      </c>
      <c r="R1899" s="39">
        <f>[1]节奏总纲!AD1899</f>
        <v>108.89175420230541</v>
      </c>
      <c r="S1899" s="39">
        <f>[1]节奏总纲!AE1899</f>
        <v>111.19862816942943</v>
      </c>
      <c r="T1899" s="39">
        <f>[1]节奏总纲!AF1899</f>
        <v>114.40152161229753</v>
      </c>
      <c r="U1899" s="39">
        <f>[1]节奏总纲!AG1899</f>
        <v>119.26077939302527</v>
      </c>
      <c r="V1899" s="39">
        <f>[1]节奏总纲!AH1899</f>
        <v>128.41752542030019</v>
      </c>
    </row>
    <row r="1900" spans="17:22" x14ac:dyDescent="0.15">
      <c r="Q1900" s="38">
        <v>1897</v>
      </c>
      <c r="R1900" s="39">
        <f>[1]节奏总纲!AD1900</f>
        <v>108.89956889939303</v>
      </c>
      <c r="S1900" s="39">
        <f>[1]节奏总纲!AE1900</f>
        <v>111.20600165315999</v>
      </c>
      <c r="T1900" s="39">
        <f>[1]节奏总纲!AF1900</f>
        <v>114.40961260229653</v>
      </c>
      <c r="U1900" s="39">
        <f>[1]节奏总纲!AG1900</f>
        <v>119.26876820345815</v>
      </c>
      <c r="V1900" s="39">
        <f>[1]节奏总纲!AH1900</f>
        <v>128.42484643326821</v>
      </c>
    </row>
    <row r="1901" spans="17:22" x14ac:dyDescent="0.15">
      <c r="Q1901" s="38">
        <v>1898</v>
      </c>
      <c r="R1901" s="39">
        <f>[1]节奏总纲!AD1901</f>
        <v>108.90738359648066</v>
      </c>
      <c r="S1901" s="39">
        <f>[1]节奏总纲!AE1901</f>
        <v>111.21337513689055</v>
      </c>
      <c r="T1901" s="39">
        <f>[1]节奏总纲!AF1901</f>
        <v>114.41770359229555</v>
      </c>
      <c r="U1901" s="39">
        <f>[1]节奏总纲!AG1901</f>
        <v>119.27675701389103</v>
      </c>
      <c r="V1901" s="39">
        <f>[1]节奏总纲!AH1901</f>
        <v>128.43216744623624</v>
      </c>
    </row>
    <row r="1902" spans="17:22" x14ac:dyDescent="0.15">
      <c r="Q1902" s="38">
        <v>1899</v>
      </c>
      <c r="R1902" s="39">
        <f>[1]节奏总纲!AD1902</f>
        <v>108.91519829356828</v>
      </c>
      <c r="S1902" s="39">
        <f>[1]节奏总纲!AE1902</f>
        <v>111.22074862062111</v>
      </c>
      <c r="T1902" s="39">
        <f>[1]节奏总纲!AF1902</f>
        <v>114.42579458229456</v>
      </c>
      <c r="U1902" s="39">
        <f>[1]节奏总纲!AG1902</f>
        <v>119.28474582432391</v>
      </c>
      <c r="V1902" s="39">
        <f>[1]节奏总纲!AH1902</f>
        <v>128.43948845920428</v>
      </c>
    </row>
    <row r="1903" spans="17:22" x14ac:dyDescent="0.15">
      <c r="Q1903" s="38">
        <v>1900</v>
      </c>
      <c r="R1903" s="39">
        <f>[1]节奏总纲!AD1903</f>
        <v>108.92301299065591</v>
      </c>
      <c r="S1903" s="39">
        <f>[1]节奏总纲!AE1903</f>
        <v>111.22812210435168</v>
      </c>
      <c r="T1903" s="39">
        <f>[1]节奏总纲!AF1903</f>
        <v>114.43388557229358</v>
      </c>
      <c r="U1903" s="39">
        <f>[1]节奏总纲!AG1903</f>
        <v>119.29273463475678</v>
      </c>
      <c r="V1903" s="39">
        <f>[1]节奏总纲!AH1903</f>
        <v>128.4468094721723</v>
      </c>
    </row>
    <row r="1904" spans="17:22" x14ac:dyDescent="0.15">
      <c r="Q1904" s="38">
        <v>1901</v>
      </c>
      <c r="R1904" s="39">
        <f>[1]节奏总纲!AD1904</f>
        <v>108.93082768774352</v>
      </c>
      <c r="S1904" s="39">
        <f>[1]节奏总纲!AE1904</f>
        <v>111.23549558808224</v>
      </c>
      <c r="T1904" s="39">
        <f>[1]节奏总纲!AF1904</f>
        <v>114.44197656229258</v>
      </c>
      <c r="U1904" s="39">
        <f>[1]节奏总纲!AG1904</f>
        <v>119.30072344518965</v>
      </c>
      <c r="V1904" s="39">
        <f>[1]节奏总纲!AH1904</f>
        <v>128.45413048514033</v>
      </c>
    </row>
    <row r="1905" spans="17:22" x14ac:dyDescent="0.15">
      <c r="Q1905" s="38">
        <v>1902</v>
      </c>
      <c r="R1905" s="39">
        <f>[1]节奏总纲!AD1905</f>
        <v>108.93864238483114</v>
      </c>
      <c r="S1905" s="39">
        <f>[1]节奏总纲!AE1905</f>
        <v>111.24286907181281</v>
      </c>
      <c r="T1905" s="39">
        <f>[1]节奏总纲!AF1905</f>
        <v>114.4500675522916</v>
      </c>
      <c r="U1905" s="39">
        <f>[1]节奏总纲!AG1905</f>
        <v>119.30871225562252</v>
      </c>
      <c r="V1905" s="39">
        <f>[1]节奏总纲!AH1905</f>
        <v>128.46145149810835</v>
      </c>
    </row>
    <row r="1906" spans="17:22" x14ac:dyDescent="0.15">
      <c r="Q1906" s="38">
        <v>1903</v>
      </c>
      <c r="R1906" s="39">
        <f>[1]节奏总纲!AD1906</f>
        <v>108.94645708191877</v>
      </c>
      <c r="S1906" s="39">
        <f>[1]节奏总纲!AE1906</f>
        <v>111.25024255554337</v>
      </c>
      <c r="T1906" s="39">
        <f>[1]节奏总纲!AF1906</f>
        <v>114.4581585422906</v>
      </c>
      <c r="U1906" s="39">
        <f>[1]节奏总纲!AG1906</f>
        <v>119.3167010660554</v>
      </c>
      <c r="V1906" s="39">
        <f>[1]节奏总纲!AH1906</f>
        <v>128.46877251107639</v>
      </c>
    </row>
    <row r="1907" spans="17:22" x14ac:dyDescent="0.15">
      <c r="Q1907" s="38">
        <v>1904</v>
      </c>
      <c r="R1907" s="39">
        <f>[1]节奏总纲!AD1907</f>
        <v>108.95427177900639</v>
      </c>
      <c r="S1907" s="39">
        <f>[1]节奏总纲!AE1907</f>
        <v>111.25761603927393</v>
      </c>
      <c r="T1907" s="39">
        <f>[1]节奏总纲!AF1907</f>
        <v>114.46624953228962</v>
      </c>
      <c r="U1907" s="39">
        <f>[1]节奏总纲!AG1907</f>
        <v>119.32468987648828</v>
      </c>
      <c r="V1907" s="39">
        <f>[1]节奏总纲!AH1907</f>
        <v>128.47609352404442</v>
      </c>
    </row>
    <row r="1908" spans="17:22" x14ac:dyDescent="0.15">
      <c r="Q1908" s="38">
        <v>1905</v>
      </c>
      <c r="R1908" s="39">
        <f>[1]节奏总纲!AD1908</f>
        <v>108.96208647609402</v>
      </c>
      <c r="S1908" s="39">
        <f>[1]节奏总纲!AE1908</f>
        <v>111.26498952300449</v>
      </c>
      <c r="T1908" s="39">
        <f>[1]节奏总纲!AF1908</f>
        <v>114.47434052228863</v>
      </c>
      <c r="U1908" s="39">
        <f>[1]节奏总纲!AG1908</f>
        <v>119.33267868692116</v>
      </c>
      <c r="V1908" s="39">
        <f>[1]节奏总纲!AH1908</f>
        <v>128.48341453701244</v>
      </c>
    </row>
    <row r="1909" spans="17:22" x14ac:dyDescent="0.15">
      <c r="Q1909" s="38">
        <v>1906</v>
      </c>
      <c r="R1909" s="39">
        <f>[1]节奏总纲!AD1909</f>
        <v>108.96990117318163</v>
      </c>
      <c r="S1909" s="39">
        <f>[1]节奏总纲!AE1909</f>
        <v>111.27236300673506</v>
      </c>
      <c r="T1909" s="39">
        <f>[1]节奏总纲!AF1909</f>
        <v>114.48243151228765</v>
      </c>
      <c r="U1909" s="39">
        <f>[1]节奏总纲!AG1909</f>
        <v>119.34066749735402</v>
      </c>
      <c r="V1909" s="39">
        <f>[1]节奏总纲!AH1909</f>
        <v>128.49073554998046</v>
      </c>
    </row>
    <row r="1910" spans="17:22" x14ac:dyDescent="0.15">
      <c r="Q1910" s="38">
        <v>1907</v>
      </c>
      <c r="R1910" s="39">
        <f>[1]节奏总纲!AD1910</f>
        <v>108.97771587026925</v>
      </c>
      <c r="S1910" s="39">
        <f>[1]节奏总纲!AE1910</f>
        <v>111.27973649046562</v>
      </c>
      <c r="T1910" s="39">
        <f>[1]节奏总纲!AF1910</f>
        <v>114.49052250228665</v>
      </c>
      <c r="U1910" s="39">
        <f>[1]节奏总纲!AG1910</f>
        <v>119.3486563077869</v>
      </c>
      <c r="V1910" s="39">
        <f>[1]节奏总纲!AH1910</f>
        <v>128.49805656294851</v>
      </c>
    </row>
    <row r="1911" spans="17:22" x14ac:dyDescent="0.15">
      <c r="Q1911" s="38">
        <v>1908</v>
      </c>
      <c r="R1911" s="39">
        <f>[1]节奏总纲!AD1911</f>
        <v>108.98553056735688</v>
      </c>
      <c r="S1911" s="39">
        <f>[1]节奏总纲!AE1911</f>
        <v>111.28710997419618</v>
      </c>
      <c r="T1911" s="39">
        <f>[1]节奏总纲!AF1911</f>
        <v>114.49861349228566</v>
      </c>
      <c r="U1911" s="39">
        <f>[1]节奏总纲!AG1911</f>
        <v>119.35664511821977</v>
      </c>
      <c r="V1911" s="39">
        <f>[1]节奏总纲!AH1911</f>
        <v>128.50537757591653</v>
      </c>
    </row>
    <row r="1912" spans="17:22" x14ac:dyDescent="0.15">
      <c r="Q1912" s="38">
        <v>1909</v>
      </c>
      <c r="R1912" s="39">
        <f>[1]节奏总纲!AD1912</f>
        <v>108.9933452644445</v>
      </c>
      <c r="S1912" s="39">
        <f>[1]节奏总纲!AE1912</f>
        <v>111.29448345792675</v>
      </c>
      <c r="T1912" s="39">
        <f>[1]节奏总纲!AF1912</f>
        <v>114.50670448228468</v>
      </c>
      <c r="U1912" s="39">
        <f>[1]节奏总纲!AG1912</f>
        <v>119.36463392865265</v>
      </c>
      <c r="V1912" s="39">
        <f>[1]节奏总纲!AH1912</f>
        <v>128.51269858888455</v>
      </c>
    </row>
    <row r="1913" spans="17:22" x14ac:dyDescent="0.15">
      <c r="Q1913" s="38">
        <v>1910</v>
      </c>
      <c r="R1913" s="39">
        <f>[1]节奏总纲!AD1913</f>
        <v>109.00108228237838</v>
      </c>
      <c r="S1913" s="39">
        <f>[1]节奏总纲!AE1913</f>
        <v>111.30185694165731</v>
      </c>
      <c r="T1913" s="39">
        <f>[1]节奏总纲!AF1913</f>
        <v>114.51479547228368</v>
      </c>
      <c r="U1913" s="39">
        <f>[1]节奏总纲!AG1913</f>
        <v>119.37262273908551</v>
      </c>
      <c r="V1913" s="39">
        <f>[1]节奏总纲!AH1913</f>
        <v>128.52001960185257</v>
      </c>
    </row>
    <row r="1914" spans="17:22" x14ac:dyDescent="0.15">
      <c r="Q1914" s="38">
        <v>1911</v>
      </c>
      <c r="R1914" s="39">
        <f>[1]节奏总纲!AD1914</f>
        <v>109.00837365257999</v>
      </c>
      <c r="S1914" s="39">
        <f>[1]节奏总纲!AE1914</f>
        <v>111.30923042538787</v>
      </c>
      <c r="T1914" s="39">
        <f>[1]节奏总纲!AF1914</f>
        <v>114.5228864622827</v>
      </c>
      <c r="U1914" s="39">
        <f>[1]节奏总纲!AG1914</f>
        <v>119.38061154951839</v>
      </c>
      <c r="V1914" s="39">
        <f>[1]节奏总纲!AH1914</f>
        <v>128.52734061482062</v>
      </c>
    </row>
    <row r="1915" spans="17:22" x14ac:dyDescent="0.15">
      <c r="Q1915" s="38">
        <v>1912</v>
      </c>
      <c r="R1915" s="39">
        <f>[1]节奏总纲!AD1915</f>
        <v>109.01566502278162</v>
      </c>
      <c r="S1915" s="39">
        <f>[1]节奏总纲!AE1915</f>
        <v>111.31660390911844</v>
      </c>
      <c r="T1915" s="39">
        <f>[1]节奏总纲!AF1915</f>
        <v>114.5309774522817</v>
      </c>
      <c r="U1915" s="39">
        <f>[1]节奏总纲!AG1915</f>
        <v>119.38860035995127</v>
      </c>
      <c r="V1915" s="39">
        <f>[1]节奏总纲!AH1915</f>
        <v>128.53466162778864</v>
      </c>
    </row>
    <row r="1916" spans="17:22" x14ac:dyDescent="0.15">
      <c r="Q1916" s="38">
        <v>1913</v>
      </c>
      <c r="R1916" s="39">
        <f>[1]节奏总纲!AD1916</f>
        <v>109.02295639298323</v>
      </c>
      <c r="S1916" s="39">
        <f>[1]节奏总纲!AE1916</f>
        <v>111.323977392849</v>
      </c>
      <c r="T1916" s="39">
        <f>[1]节奏总纲!AF1916</f>
        <v>114.53906844228072</v>
      </c>
      <c r="U1916" s="39">
        <f>[1]节奏总纲!AG1916</f>
        <v>119.39658917038415</v>
      </c>
      <c r="V1916" s="39">
        <f>[1]节奏总纲!AH1916</f>
        <v>128.54198264075666</v>
      </c>
    </row>
    <row r="1917" spans="17:22" x14ac:dyDescent="0.15">
      <c r="Q1917" s="38">
        <v>1914</v>
      </c>
      <c r="R1917" s="39">
        <f>[1]节奏总纲!AD1917</f>
        <v>109.03024776318485</v>
      </c>
      <c r="S1917" s="39">
        <f>[1]节奏总纲!AE1917</f>
        <v>111.33135087657956</v>
      </c>
      <c r="T1917" s="39">
        <f>[1]节奏总纲!AF1917</f>
        <v>114.54715943227973</v>
      </c>
      <c r="U1917" s="39">
        <f>[1]节奏总纲!AG1917</f>
        <v>119.40457798081702</v>
      </c>
      <c r="V1917" s="39">
        <f>[1]节奏总纲!AH1917</f>
        <v>128.54930365372468</v>
      </c>
    </row>
    <row r="1918" spans="17:22" x14ac:dyDescent="0.15">
      <c r="Q1918" s="38">
        <v>1915</v>
      </c>
      <c r="R1918" s="39">
        <f>[1]节奏总纲!AD1918</f>
        <v>109.03753913338647</v>
      </c>
      <c r="S1918" s="39">
        <f>[1]节奏总纲!AE1918</f>
        <v>111.33872436031012</v>
      </c>
      <c r="T1918" s="39">
        <f>[1]节奏总纲!AF1918</f>
        <v>114.55525042227875</v>
      </c>
      <c r="U1918" s="39">
        <f>[1]节奏总纲!AG1918</f>
        <v>119.41256679124989</v>
      </c>
      <c r="V1918" s="39">
        <f>[1]节奏总纲!AH1918</f>
        <v>128.55662466669273</v>
      </c>
    </row>
    <row r="1919" spans="17:22" x14ac:dyDescent="0.15">
      <c r="Q1919" s="38">
        <v>1916</v>
      </c>
      <c r="R1919" s="39">
        <f>[1]节奏总纲!AD1919</f>
        <v>109.04483050358809</v>
      </c>
      <c r="S1919" s="39">
        <f>[1]节奏总纲!AE1919</f>
        <v>111.34609784404068</v>
      </c>
      <c r="T1919" s="39">
        <f>[1]节奏总纲!AF1919</f>
        <v>114.56334141227775</v>
      </c>
      <c r="U1919" s="39">
        <f>[1]节奏总纲!AG1919</f>
        <v>119.42055560168276</v>
      </c>
      <c r="V1919" s="39">
        <f>[1]节奏总纲!AH1919</f>
        <v>128.56394567966075</v>
      </c>
    </row>
    <row r="1920" spans="17:22" x14ac:dyDescent="0.15">
      <c r="Q1920" s="38">
        <v>1917</v>
      </c>
      <c r="R1920" s="39">
        <f>[1]节奏总纲!AD1920</f>
        <v>109.0521218737897</v>
      </c>
      <c r="S1920" s="39">
        <f>[1]节奏总纲!AE1920</f>
        <v>111.35347132777125</v>
      </c>
      <c r="T1920" s="39">
        <f>[1]节奏总纲!AF1920</f>
        <v>114.57143240227677</v>
      </c>
      <c r="U1920" s="39">
        <f>[1]节奏总纲!AG1920</f>
        <v>119.42854441211564</v>
      </c>
      <c r="V1920" s="39">
        <f>[1]节奏总纲!AH1920</f>
        <v>128.57126669262877</v>
      </c>
    </row>
    <row r="1921" spans="17:22" x14ac:dyDescent="0.15">
      <c r="Q1921" s="38">
        <v>1918</v>
      </c>
      <c r="R1921" s="39">
        <f>[1]节奏总纲!AD1921</f>
        <v>109.05941324399132</v>
      </c>
      <c r="S1921" s="39">
        <f>[1]节奏总纲!AE1921</f>
        <v>111.36084481150181</v>
      </c>
      <c r="T1921" s="39">
        <f>[1]节奏总纲!AF1921</f>
        <v>114.57952339227577</v>
      </c>
      <c r="U1921" s="39">
        <f>[1]节奏总纲!AG1921</f>
        <v>119.43653322254852</v>
      </c>
      <c r="V1921" s="39">
        <f>[1]节奏总纲!AH1921</f>
        <v>128.57858770559679</v>
      </c>
    </row>
    <row r="1922" spans="17:22" x14ac:dyDescent="0.15">
      <c r="Q1922" s="38">
        <v>1919</v>
      </c>
      <c r="R1922" s="39">
        <f>[1]节奏总纲!AD1922</f>
        <v>109.06670461419294</v>
      </c>
      <c r="S1922" s="39">
        <f>[1]节奏总纲!AE1922</f>
        <v>111.36821829523238</v>
      </c>
      <c r="T1922" s="39">
        <f>[1]节奏总纲!AF1922</f>
        <v>114.58761438227479</v>
      </c>
      <c r="U1922" s="39">
        <f>[1]节奏总纲!AG1922</f>
        <v>119.44452203298138</v>
      </c>
      <c r="V1922" s="39">
        <f>[1]节奏总纲!AH1922</f>
        <v>128.58590871856484</v>
      </c>
    </row>
    <row r="1923" spans="17:22" x14ac:dyDescent="0.15">
      <c r="Q1923" s="38">
        <v>1920</v>
      </c>
      <c r="R1923" s="39">
        <f>[1]节奏总纲!AD1923</f>
        <v>109.07399598439456</v>
      </c>
      <c r="S1923" s="39">
        <f>[1]节奏总纲!AE1923</f>
        <v>111.37559177896294</v>
      </c>
      <c r="T1923" s="39">
        <f>[1]节奏总纲!AF1923</f>
        <v>114.5957053722738</v>
      </c>
      <c r="U1923" s="39">
        <f>[1]节奏总纲!AG1923</f>
        <v>119.45251084341426</v>
      </c>
      <c r="V1923" s="39">
        <f>[1]节奏总纲!AH1923</f>
        <v>128.59322973153286</v>
      </c>
    </row>
    <row r="1924" spans="17:22" x14ac:dyDescent="0.15">
      <c r="Q1924" s="38">
        <v>1921</v>
      </c>
      <c r="R1924" s="39">
        <f>[1]节奏总纲!AD1924</f>
        <v>109.08128735459617</v>
      </c>
      <c r="S1924" s="39">
        <f>[1]节奏总纲!AE1924</f>
        <v>111.3829652626935</v>
      </c>
      <c r="T1924" s="39">
        <f>[1]节奏总纲!AF1924</f>
        <v>114.60379636227282</v>
      </c>
      <c r="U1924" s="39">
        <f>[1]节奏总纲!AG1924</f>
        <v>119.46049965384714</v>
      </c>
      <c r="V1924" s="39">
        <f>[1]节奏总纲!AH1924</f>
        <v>128.60055074450088</v>
      </c>
    </row>
    <row r="1925" spans="17:22" x14ac:dyDescent="0.15">
      <c r="Q1925" s="38">
        <v>1922</v>
      </c>
      <c r="R1925" s="39">
        <f>[1]节奏总纲!AD1925</f>
        <v>109.08857872479778</v>
      </c>
      <c r="S1925" s="39">
        <f>[1]节奏总纲!AE1925</f>
        <v>111.39033874642406</v>
      </c>
      <c r="T1925" s="39">
        <f>[1]节奏总纲!AF1925</f>
        <v>114.61188735227182</v>
      </c>
      <c r="U1925" s="39">
        <f>[1]节奏总纲!AG1925</f>
        <v>119.46848846428001</v>
      </c>
      <c r="V1925" s="39">
        <f>[1]节奏总纲!AH1925</f>
        <v>128.6078717574689</v>
      </c>
    </row>
    <row r="1926" spans="17:22" x14ac:dyDescent="0.15">
      <c r="Q1926" s="38">
        <v>1923</v>
      </c>
      <c r="R1926" s="39">
        <f>[1]节奏总纲!AD1926</f>
        <v>109.09587009499941</v>
      </c>
      <c r="S1926" s="39">
        <f>[1]节奏总纲!AE1926</f>
        <v>111.39771223015462</v>
      </c>
      <c r="T1926" s="39">
        <f>[1]节奏总纲!AF1926</f>
        <v>114.61997834227084</v>
      </c>
      <c r="U1926" s="39">
        <f>[1]节奏总纲!AG1926</f>
        <v>119.47647727471289</v>
      </c>
      <c r="V1926" s="39">
        <f>[1]节奏总纲!AH1926</f>
        <v>128.61519277043695</v>
      </c>
    </row>
    <row r="1927" spans="17:22" x14ac:dyDescent="0.15">
      <c r="Q1927" s="38">
        <v>1924</v>
      </c>
      <c r="R1927" s="39">
        <f>[1]节奏总纲!AD1927</f>
        <v>109.10316146520103</v>
      </c>
      <c r="S1927" s="39">
        <f>[1]节奏总纲!AE1927</f>
        <v>111.40508571388519</v>
      </c>
      <c r="T1927" s="39">
        <f>[1]节奏总纲!AF1927</f>
        <v>114.62806933226985</v>
      </c>
      <c r="U1927" s="39">
        <f>[1]节奏总纲!AG1927</f>
        <v>119.48446608514575</v>
      </c>
      <c r="V1927" s="39">
        <f>[1]节奏总纲!AH1927</f>
        <v>128.62251378340497</v>
      </c>
    </row>
    <row r="1928" spans="17:22" x14ac:dyDescent="0.15">
      <c r="Q1928" s="38">
        <v>1925</v>
      </c>
      <c r="R1928" s="39">
        <f>[1]节奏总纲!AD1928</f>
        <v>109.11045283540264</v>
      </c>
      <c r="S1928" s="39">
        <f>[1]节奏总纲!AE1928</f>
        <v>111.41245919761576</v>
      </c>
      <c r="T1928" s="39">
        <f>[1]节奏总纲!AF1928</f>
        <v>114.63616032226886</v>
      </c>
      <c r="U1928" s="39">
        <f>[1]节奏总纲!AG1928</f>
        <v>119.49245489557863</v>
      </c>
      <c r="V1928" s="39">
        <f>[1]节奏总纲!AH1928</f>
        <v>128.62983479637299</v>
      </c>
    </row>
    <row r="1929" spans="17:22" x14ac:dyDescent="0.15">
      <c r="Q1929" s="38">
        <v>1926</v>
      </c>
      <c r="R1929" s="39">
        <f>[1]节奏总纲!AD1929</f>
        <v>109.11774420560427</v>
      </c>
      <c r="S1929" s="39">
        <f>[1]节奏总纲!AE1929</f>
        <v>111.41983268134632</v>
      </c>
      <c r="T1929" s="39">
        <f>[1]节奏总纲!AF1929</f>
        <v>114.64425131226787</v>
      </c>
      <c r="U1929" s="39">
        <f>[1]节奏总纲!AG1929</f>
        <v>119.50044370601151</v>
      </c>
      <c r="V1929" s="39">
        <f>[1]节奏总纲!AH1929</f>
        <v>128.63715580934101</v>
      </c>
    </row>
    <row r="1930" spans="17:22" x14ac:dyDescent="0.15">
      <c r="Q1930" s="38">
        <v>1927</v>
      </c>
      <c r="R1930" s="39">
        <f>[1]节奏总纲!AD1930</f>
        <v>109.12503557580588</v>
      </c>
      <c r="S1930" s="39">
        <f>[1]节奏总纲!AE1930</f>
        <v>111.42720616507688</v>
      </c>
      <c r="T1930" s="39">
        <f>[1]节奏总纲!AF1930</f>
        <v>114.65234230226689</v>
      </c>
      <c r="U1930" s="39">
        <f>[1]节奏总纲!AG1930</f>
        <v>119.50843251644439</v>
      </c>
      <c r="V1930" s="39">
        <f>[1]节奏总纲!AH1930</f>
        <v>128.64447682230903</v>
      </c>
    </row>
    <row r="1931" spans="17:22" x14ac:dyDescent="0.15">
      <c r="Q1931" s="38">
        <v>1928</v>
      </c>
      <c r="R1931" s="39">
        <f>[1]节奏总纲!AD1931</f>
        <v>109.1323269460075</v>
      </c>
      <c r="S1931" s="39">
        <f>[1]节奏总纲!AE1931</f>
        <v>111.43457964880744</v>
      </c>
      <c r="T1931" s="39">
        <f>[1]节奏总纲!AF1931</f>
        <v>114.66043329226589</v>
      </c>
      <c r="U1931" s="39">
        <f>[1]节奏总纲!AG1931</f>
        <v>119.51642132687725</v>
      </c>
      <c r="V1931" s="39">
        <f>[1]节奏总纲!AH1931</f>
        <v>128.65179783527708</v>
      </c>
    </row>
    <row r="1932" spans="17:22" x14ac:dyDescent="0.15">
      <c r="Q1932" s="38">
        <v>1929</v>
      </c>
      <c r="R1932" s="39">
        <f>[1]节奏总纲!AD1932</f>
        <v>109.13961831620911</v>
      </c>
      <c r="S1932" s="39">
        <f>[1]节奏总纲!AE1932</f>
        <v>111.441953132538</v>
      </c>
      <c r="T1932" s="39">
        <f>[1]节奏总纲!AF1932</f>
        <v>114.66852428226491</v>
      </c>
      <c r="U1932" s="39">
        <f>[1]节奏总纲!AG1932</f>
        <v>119.52441013731013</v>
      </c>
      <c r="V1932" s="39">
        <f>[1]节奏总纲!AH1932</f>
        <v>128.6591188482451</v>
      </c>
    </row>
    <row r="1933" spans="17:22" x14ac:dyDescent="0.15">
      <c r="Q1933" s="38">
        <v>1930</v>
      </c>
      <c r="R1933" s="39">
        <f>[1]节奏总纲!AD1933</f>
        <v>109.14690968641074</v>
      </c>
      <c r="S1933" s="39">
        <f>[1]节奏总纲!AE1933</f>
        <v>111.44932661626856</v>
      </c>
      <c r="T1933" s="39">
        <f>[1]节奏总纲!AF1933</f>
        <v>114.67661527226392</v>
      </c>
      <c r="U1933" s="39">
        <f>[1]节奏总纲!AG1933</f>
        <v>119.532398947743</v>
      </c>
      <c r="V1933" s="39">
        <f>[1]节奏总纲!AH1933</f>
        <v>128.66643986121312</v>
      </c>
    </row>
    <row r="1934" spans="17:22" x14ac:dyDescent="0.15">
      <c r="Q1934" s="38">
        <v>1931</v>
      </c>
      <c r="R1934" s="39">
        <f>[1]节奏总纲!AD1934</f>
        <v>109.15420105661235</v>
      </c>
      <c r="S1934" s="39">
        <f>[1]节奏总纲!AE1934</f>
        <v>111.45670009999914</v>
      </c>
      <c r="T1934" s="39">
        <f>[1]节奏总纲!AF1934</f>
        <v>114.68470626226294</v>
      </c>
      <c r="U1934" s="39">
        <f>[1]节奏总纲!AG1934</f>
        <v>119.54038775817588</v>
      </c>
      <c r="V1934" s="39">
        <f>[1]节奏总纲!AH1934</f>
        <v>128.67376087418114</v>
      </c>
    </row>
    <row r="1935" spans="17:22" x14ac:dyDescent="0.15">
      <c r="Q1935" s="38">
        <v>1932</v>
      </c>
      <c r="R1935" s="39">
        <f>[1]节奏总纲!AD1935</f>
        <v>109.16149242681396</v>
      </c>
      <c r="S1935" s="39">
        <f>[1]节奏总纲!AE1935</f>
        <v>111.4640735837297</v>
      </c>
      <c r="T1935" s="39">
        <f>[1]节奏总纲!AF1935</f>
        <v>114.69279725226194</v>
      </c>
      <c r="U1935" s="39">
        <f>[1]节奏总纲!AG1935</f>
        <v>119.54837656860876</v>
      </c>
      <c r="V1935" s="39">
        <f>[1]节奏总纲!AH1935</f>
        <v>128.68108188714919</v>
      </c>
    </row>
    <row r="1936" spans="17:22" x14ac:dyDescent="0.15">
      <c r="Q1936" s="38">
        <v>1933</v>
      </c>
      <c r="R1936" s="39">
        <f>[1]节奏总纲!AD1936</f>
        <v>109.16878379701559</v>
      </c>
      <c r="S1936" s="39">
        <f>[1]节奏总纲!AE1936</f>
        <v>111.47144706746026</v>
      </c>
      <c r="T1936" s="39">
        <f>[1]节奏总纲!AF1936</f>
        <v>114.70088824226096</v>
      </c>
      <c r="U1936" s="39">
        <f>[1]节奏总纲!AG1936</f>
        <v>119.55636537904162</v>
      </c>
      <c r="V1936" s="39">
        <f>[1]节奏总纲!AH1936</f>
        <v>128.68840290011721</v>
      </c>
    </row>
    <row r="1937" spans="17:22" x14ac:dyDescent="0.15">
      <c r="Q1937" s="38">
        <v>1934</v>
      </c>
      <c r="R1937" s="39">
        <f>[1]节奏总纲!AD1937</f>
        <v>109.17607516721721</v>
      </c>
      <c r="S1937" s="39">
        <f>[1]节奏总纲!AE1937</f>
        <v>111.47882055119082</v>
      </c>
      <c r="T1937" s="39">
        <f>[1]节奏总纲!AF1937</f>
        <v>114.70897923225996</v>
      </c>
      <c r="U1937" s="39">
        <f>[1]节奏总纲!AG1937</f>
        <v>119.5643541894745</v>
      </c>
      <c r="V1937" s="39">
        <f>[1]节奏总纲!AH1937</f>
        <v>128.69572391308523</v>
      </c>
    </row>
    <row r="1938" spans="17:22" x14ac:dyDescent="0.15">
      <c r="Q1938" s="38">
        <v>1935</v>
      </c>
      <c r="R1938" s="39">
        <f>[1]节奏总纲!AD1938</f>
        <v>109.18336653741882</v>
      </c>
      <c r="S1938" s="39">
        <f>[1]节奏总纲!AE1938</f>
        <v>111.48619403492138</v>
      </c>
      <c r="T1938" s="39">
        <f>[1]节奏总纲!AF1938</f>
        <v>114.71707022225898</v>
      </c>
      <c r="U1938" s="39">
        <f>[1]节奏总纲!AG1938</f>
        <v>119.57234299990738</v>
      </c>
      <c r="V1938" s="39">
        <f>[1]节奏总纲!AH1938</f>
        <v>128.70304492605325</v>
      </c>
    </row>
    <row r="1939" spans="17:22" x14ac:dyDescent="0.15">
      <c r="Q1939" s="38">
        <v>1936</v>
      </c>
      <c r="R1939" s="39">
        <f>[1]节奏总纲!AD1939</f>
        <v>109.19065790762043</v>
      </c>
      <c r="S1939" s="39">
        <f>[1]节奏总纲!AE1939</f>
        <v>111.49356751865194</v>
      </c>
      <c r="T1939" s="39">
        <f>[1]节奏总纲!AF1939</f>
        <v>114.72516121225799</v>
      </c>
      <c r="U1939" s="39">
        <f>[1]节奏总纲!AG1939</f>
        <v>119.58033181034025</v>
      </c>
      <c r="V1939" s="39">
        <f>[1]节奏总纲!AH1939</f>
        <v>128.7103659390213</v>
      </c>
    </row>
    <row r="1940" spans="17:22" x14ac:dyDescent="0.15">
      <c r="Q1940" s="38">
        <v>1937</v>
      </c>
      <c r="R1940" s="39">
        <f>[1]节奏总纲!AD1940</f>
        <v>109.19794927782206</v>
      </c>
      <c r="S1940" s="39">
        <f>[1]节奏总纲!AE1940</f>
        <v>111.50094100238252</v>
      </c>
      <c r="T1940" s="39">
        <f>[1]节奏总纲!AF1940</f>
        <v>114.73325220225699</v>
      </c>
      <c r="U1940" s="39">
        <f>[1]节奏总纲!AG1940</f>
        <v>119.58832062077313</v>
      </c>
      <c r="V1940" s="39">
        <f>[1]节奏总纲!AH1940</f>
        <v>128.71768695198932</v>
      </c>
    </row>
    <row r="1941" spans="17:22" x14ac:dyDescent="0.15">
      <c r="Q1941" s="38">
        <v>1938</v>
      </c>
      <c r="R1941" s="39">
        <f>[1]节奏总纲!AD1941</f>
        <v>109.20524064802368</v>
      </c>
      <c r="S1941" s="39">
        <f>[1]节奏总纲!AE1941</f>
        <v>111.50831448611308</v>
      </c>
      <c r="T1941" s="39">
        <f>[1]节奏总纲!AF1941</f>
        <v>114.74134319225601</v>
      </c>
      <c r="U1941" s="39">
        <f>[1]节奏总纲!AG1941</f>
        <v>119.596309431206</v>
      </c>
      <c r="V1941" s="39">
        <f>[1]节奏总纲!AH1941</f>
        <v>128.72500796495734</v>
      </c>
    </row>
    <row r="1942" spans="17:22" x14ac:dyDescent="0.15">
      <c r="Q1942" s="38">
        <v>1939</v>
      </c>
      <c r="R1942" s="39">
        <f>[1]节奏总纲!AD1942</f>
        <v>109.21253201822529</v>
      </c>
      <c r="S1942" s="39">
        <f>[1]节奏总纲!AE1942</f>
        <v>111.51568796984364</v>
      </c>
      <c r="T1942" s="39">
        <f>[1]节奏总纲!AF1942</f>
        <v>114.74943418225502</v>
      </c>
      <c r="U1942" s="39">
        <f>[1]节奏总纲!AG1942</f>
        <v>119.60429824163887</v>
      </c>
      <c r="V1942" s="39">
        <f>[1]节奏总纲!AH1942</f>
        <v>128.73232897792536</v>
      </c>
    </row>
    <row r="1943" spans="17:22" x14ac:dyDescent="0.15">
      <c r="Q1943" s="38">
        <v>1940</v>
      </c>
      <c r="R1943" s="39">
        <f>[1]节奏总纲!AD1943</f>
        <v>109.2198233884269</v>
      </c>
      <c r="S1943" s="39">
        <f>[1]节奏总纲!AE1943</f>
        <v>111.5230614535742</v>
      </c>
      <c r="T1943" s="39">
        <f>[1]节奏总纲!AF1943</f>
        <v>114.75752517225403</v>
      </c>
      <c r="U1943" s="39">
        <f>[1]节奏总纲!AG1943</f>
        <v>119.61228705207175</v>
      </c>
      <c r="V1943" s="39">
        <f>[1]节奏总纲!AH1943</f>
        <v>128.73964999089341</v>
      </c>
    </row>
    <row r="1944" spans="17:22" x14ac:dyDescent="0.15">
      <c r="Q1944" s="38">
        <v>1941</v>
      </c>
      <c r="R1944" s="39">
        <f>[1]节奏总纲!AD1944</f>
        <v>109.22711475862853</v>
      </c>
      <c r="S1944" s="39">
        <f>[1]节奏总纲!AE1944</f>
        <v>111.53043493730476</v>
      </c>
      <c r="T1944" s="39">
        <f>[1]节奏总纲!AF1944</f>
        <v>114.76561616225304</v>
      </c>
      <c r="U1944" s="39">
        <f>[1]节奏总纲!AG1944</f>
        <v>119.62027586250463</v>
      </c>
      <c r="V1944" s="39">
        <f>[1]节奏总纲!AH1944</f>
        <v>128.74697100386143</v>
      </c>
    </row>
    <row r="1945" spans="17:22" x14ac:dyDescent="0.15">
      <c r="Q1945" s="38">
        <v>1942</v>
      </c>
      <c r="R1945" s="39">
        <f>[1]节奏总纲!AD1945</f>
        <v>109.23440612883014</v>
      </c>
      <c r="S1945" s="39">
        <f>[1]节奏总纲!AE1945</f>
        <v>111.53780842103532</v>
      </c>
      <c r="T1945" s="39">
        <f>[1]节奏总纲!AF1945</f>
        <v>114.77370715225206</v>
      </c>
      <c r="U1945" s="39">
        <f>[1]节奏总纲!AG1945</f>
        <v>119.62826467293749</v>
      </c>
      <c r="V1945" s="39">
        <f>[1]节奏总纲!AH1945</f>
        <v>128.75429201682945</v>
      </c>
    </row>
    <row r="1946" spans="17:22" x14ac:dyDescent="0.15">
      <c r="Q1946" s="38">
        <v>1943</v>
      </c>
      <c r="R1946" s="39">
        <f>[1]节奏总纲!AD1946</f>
        <v>109.24169749903176</v>
      </c>
      <c r="S1946" s="39">
        <f>[1]节奏总纲!AE1946</f>
        <v>111.5451819047659</v>
      </c>
      <c r="T1946" s="39">
        <f>[1]节奏总纲!AF1946</f>
        <v>114.78179814225106</v>
      </c>
      <c r="U1946" s="39">
        <f>[1]节奏总纲!AG1946</f>
        <v>119.63625348337037</v>
      </c>
      <c r="V1946" s="39">
        <f>[1]节奏总纲!AH1946</f>
        <v>128.76161302979747</v>
      </c>
    </row>
    <row r="1947" spans="17:22" x14ac:dyDescent="0.15">
      <c r="Q1947" s="38">
        <v>1944</v>
      </c>
      <c r="R1947" s="39">
        <f>[1]节奏总纲!AD1947</f>
        <v>109.24898886923339</v>
      </c>
      <c r="S1947" s="39">
        <f>[1]节奏总纲!AE1947</f>
        <v>111.55255538849646</v>
      </c>
      <c r="T1947" s="39">
        <f>[1]节奏总纲!AF1947</f>
        <v>114.78988913225008</v>
      </c>
      <c r="U1947" s="39">
        <f>[1]节奏总纲!AG1947</f>
        <v>119.64424229380325</v>
      </c>
      <c r="V1947" s="39">
        <f>[1]节奏总纲!AH1947</f>
        <v>128.76893404276552</v>
      </c>
    </row>
    <row r="1948" spans="17:22" x14ac:dyDescent="0.15">
      <c r="Q1948" s="38">
        <v>1945</v>
      </c>
      <c r="R1948" s="39">
        <f>[1]节奏总纲!AD1948</f>
        <v>109.256280239435</v>
      </c>
      <c r="S1948" s="39">
        <f>[1]节奏总纲!AE1948</f>
        <v>111.55992887222702</v>
      </c>
      <c r="T1948" s="39">
        <f>[1]节奏总纲!AF1948</f>
        <v>114.79798012224909</v>
      </c>
      <c r="U1948" s="39">
        <f>[1]节奏总纲!AG1948</f>
        <v>119.65223110423612</v>
      </c>
      <c r="V1948" s="39">
        <f>[1]节奏总纲!AH1948</f>
        <v>128.77625505573354</v>
      </c>
    </row>
    <row r="1949" spans="17:22" x14ac:dyDescent="0.15">
      <c r="Q1949" s="38">
        <v>1946</v>
      </c>
      <c r="R1949" s="39">
        <f>[1]节奏总纲!AD1949</f>
        <v>109.26357160963661</v>
      </c>
      <c r="S1949" s="39">
        <f>[1]节奏总纲!AE1949</f>
        <v>111.56730235595758</v>
      </c>
      <c r="T1949" s="39">
        <f>[1]节奏总纲!AF1949</f>
        <v>114.80607111224811</v>
      </c>
      <c r="U1949" s="39">
        <f>[1]节奏总纲!AG1949</f>
        <v>119.660219914669</v>
      </c>
      <c r="V1949" s="39">
        <f>[1]节奏总纲!AH1949</f>
        <v>128.78357606870156</v>
      </c>
    </row>
    <row r="1950" spans="17:22" x14ac:dyDescent="0.15">
      <c r="Q1950" s="38">
        <v>1947</v>
      </c>
      <c r="R1950" s="39">
        <f>[1]节奏总纲!AD1950</f>
        <v>109.27086297983823</v>
      </c>
      <c r="S1950" s="39">
        <f>[1]节奏总纲!AE1950</f>
        <v>111.57467583968814</v>
      </c>
      <c r="T1950" s="39">
        <f>[1]节奏总纲!AF1950</f>
        <v>114.81416210224711</v>
      </c>
      <c r="U1950" s="39">
        <f>[1]节奏总纲!AG1950</f>
        <v>119.66820872510186</v>
      </c>
      <c r="V1950" s="39">
        <f>[1]节奏总纲!AH1950</f>
        <v>128.79089708166958</v>
      </c>
    </row>
    <row r="1951" spans="17:22" x14ac:dyDescent="0.15">
      <c r="Q1951" s="38">
        <v>1948</v>
      </c>
      <c r="R1951" s="39">
        <f>[1]节奏总纲!AD1951</f>
        <v>109.27815435003986</v>
      </c>
      <c r="S1951" s="39">
        <f>[1]节奏总纲!AE1951</f>
        <v>111.5820493234187</v>
      </c>
      <c r="T1951" s="39">
        <f>[1]节奏总纲!AF1951</f>
        <v>114.82225309224613</v>
      </c>
      <c r="U1951" s="39">
        <f>[1]节奏总纲!AG1951</f>
        <v>119.67619753553474</v>
      </c>
      <c r="V1951" s="39">
        <f>[1]节奏总纲!AH1951</f>
        <v>128.79821809463763</v>
      </c>
    </row>
    <row r="1952" spans="17:22" x14ac:dyDescent="0.15">
      <c r="Q1952" s="38">
        <v>1949</v>
      </c>
      <c r="R1952" s="39">
        <f>[1]节奏总纲!AD1952</f>
        <v>109.28544572024147</v>
      </c>
      <c r="S1952" s="39">
        <f>[1]节奏总纲!AE1952</f>
        <v>111.58942280714928</v>
      </c>
      <c r="T1952" s="39">
        <f>[1]节奏总纲!AF1952</f>
        <v>114.83034408224513</v>
      </c>
      <c r="U1952" s="39">
        <f>[1]节奏总纲!AG1952</f>
        <v>119.68418634596762</v>
      </c>
      <c r="V1952" s="39">
        <f>[1]节奏总纲!AH1952</f>
        <v>128.80553910760565</v>
      </c>
    </row>
    <row r="1953" spans="17:22" x14ac:dyDescent="0.15">
      <c r="Q1953" s="38">
        <v>1950</v>
      </c>
      <c r="R1953" s="39">
        <f>[1]节奏总纲!AD1953</f>
        <v>109.29273709044308</v>
      </c>
      <c r="S1953" s="39">
        <f>[1]节奏总纲!AE1953</f>
        <v>111.59679629087984</v>
      </c>
      <c r="T1953" s="39">
        <f>[1]节奏总纲!AF1953</f>
        <v>114.83843507224415</v>
      </c>
      <c r="U1953" s="39">
        <f>[1]节奏总纲!AG1953</f>
        <v>119.69217515640049</v>
      </c>
      <c r="V1953" s="39">
        <f>[1]节奏总纲!AH1953</f>
        <v>128.81286012057367</v>
      </c>
    </row>
    <row r="1954" spans="17:22" x14ac:dyDescent="0.15">
      <c r="Q1954" s="38">
        <v>1951</v>
      </c>
      <c r="R1954" s="39">
        <f>[1]节奏总纲!AD1954</f>
        <v>109.3000284606447</v>
      </c>
      <c r="S1954" s="39">
        <f>[1]节奏总纲!AE1954</f>
        <v>111.6041697746104</v>
      </c>
      <c r="T1954" s="39">
        <f>[1]节奏总纲!AF1954</f>
        <v>114.84652606224316</v>
      </c>
      <c r="U1954" s="39">
        <f>[1]节奏总纲!AG1954</f>
        <v>119.70016396683336</v>
      </c>
      <c r="V1954" s="39">
        <f>[1]节奏总纲!AH1954</f>
        <v>128.82018113354169</v>
      </c>
    </row>
    <row r="1955" spans="17:22" x14ac:dyDescent="0.15">
      <c r="Q1955" s="38">
        <v>1952</v>
      </c>
      <c r="R1955" s="39">
        <f>[1]节奏总纲!AD1955</f>
        <v>109.30731983084632</v>
      </c>
      <c r="S1955" s="39">
        <f>[1]节奏总纲!AE1955</f>
        <v>111.61154325834096</v>
      </c>
      <c r="T1955" s="39">
        <f>[1]节奏总纲!AF1955</f>
        <v>114.85461705224218</v>
      </c>
      <c r="U1955" s="39">
        <f>[1]节奏总纲!AG1955</f>
        <v>119.70815277726624</v>
      </c>
      <c r="V1955" s="39">
        <f>[1]节奏总纲!AH1955</f>
        <v>128.82750214650974</v>
      </c>
    </row>
    <row r="1956" spans="17:22" x14ac:dyDescent="0.15">
      <c r="Q1956" s="38">
        <v>1953</v>
      </c>
      <c r="R1956" s="39">
        <f>[1]节奏总纲!AD1956</f>
        <v>109.31461120104794</v>
      </c>
      <c r="S1956" s="39">
        <f>[1]节奏总纲!AE1956</f>
        <v>111.61891674207152</v>
      </c>
      <c r="T1956" s="39">
        <f>[1]节奏总纲!AF1956</f>
        <v>114.86270804224118</v>
      </c>
      <c r="U1956" s="39">
        <f>[1]节奏总纲!AG1956</f>
        <v>119.71614158769911</v>
      </c>
      <c r="V1956" s="39">
        <f>[1]节奏总纲!AH1956</f>
        <v>128.83482315947776</v>
      </c>
    </row>
    <row r="1957" spans="17:22" x14ac:dyDescent="0.15">
      <c r="Q1957" s="38">
        <v>1954</v>
      </c>
      <c r="R1957" s="39">
        <f>[1]节奏总纲!AD1957</f>
        <v>109.32190257124955</v>
      </c>
      <c r="S1957" s="39">
        <f>[1]节奏总纲!AE1957</f>
        <v>111.62629022580208</v>
      </c>
      <c r="T1957" s="39">
        <f>[1]节奏总纲!AF1957</f>
        <v>114.8707990322402</v>
      </c>
      <c r="U1957" s="39">
        <f>[1]节奏总纲!AG1957</f>
        <v>119.72413039813199</v>
      </c>
      <c r="V1957" s="39">
        <f>[1]节奏总纲!AH1957</f>
        <v>128.84214417244578</v>
      </c>
    </row>
    <row r="1958" spans="17:22" x14ac:dyDescent="0.15">
      <c r="Q1958" s="38">
        <v>1955</v>
      </c>
      <c r="R1958" s="39">
        <f>[1]节奏总纲!AD1958</f>
        <v>109.32919394145118</v>
      </c>
      <c r="S1958" s="39">
        <f>[1]节奏总纲!AE1958</f>
        <v>111.63366370953266</v>
      </c>
      <c r="T1958" s="39">
        <f>[1]节奏总纲!AF1958</f>
        <v>114.8788900222392</v>
      </c>
      <c r="U1958" s="39">
        <f>[1]节奏总纲!AG1958</f>
        <v>119.73211920856487</v>
      </c>
      <c r="V1958" s="39">
        <f>[1]节奏总纲!AH1958</f>
        <v>128.84946518541381</v>
      </c>
    </row>
    <row r="1959" spans="17:22" x14ac:dyDescent="0.15">
      <c r="Q1959" s="38">
        <v>1956</v>
      </c>
      <c r="R1959" s="39">
        <f>[1]节奏总纲!AD1959</f>
        <v>109.33648531165279</v>
      </c>
      <c r="S1959" s="39">
        <f>[1]节奏总纲!AE1959</f>
        <v>111.64103719326322</v>
      </c>
      <c r="T1959" s="39">
        <f>[1]节奏总纲!AF1959</f>
        <v>114.88698101223822</v>
      </c>
      <c r="U1959" s="39">
        <f>[1]节奏总纲!AG1959</f>
        <v>119.74010801899773</v>
      </c>
      <c r="V1959" s="39">
        <f>[1]节奏总纲!AH1959</f>
        <v>128.85678619838183</v>
      </c>
    </row>
    <row r="1960" spans="17:22" x14ac:dyDescent="0.15">
      <c r="Q1960" s="38">
        <v>1957</v>
      </c>
      <c r="R1960" s="39">
        <f>[1]节奏总纲!AD1960</f>
        <v>109.34377668185441</v>
      </c>
      <c r="S1960" s="39">
        <f>[1]节奏总纲!AE1960</f>
        <v>111.64841067699378</v>
      </c>
      <c r="T1960" s="39">
        <f>[1]节奏总纲!AF1960</f>
        <v>114.89507200223723</v>
      </c>
      <c r="U1960" s="39">
        <f>[1]节奏总纲!AG1960</f>
        <v>119.74809682943061</v>
      </c>
      <c r="V1960" s="39">
        <f>[1]节奏总纲!AH1960</f>
        <v>128.86410721134988</v>
      </c>
    </row>
    <row r="1961" spans="17:22" x14ac:dyDescent="0.15">
      <c r="Q1961" s="38">
        <v>1958</v>
      </c>
      <c r="R1961" s="39">
        <f>[1]节奏总纲!AD1961</f>
        <v>109.35106805205602</v>
      </c>
      <c r="S1961" s="39">
        <f>[1]节奏总纲!AE1961</f>
        <v>111.65578416072434</v>
      </c>
      <c r="T1961" s="39">
        <f>[1]节奏总纲!AF1961</f>
        <v>114.90316299223625</v>
      </c>
      <c r="U1961" s="39">
        <f>[1]节奏总纲!AG1961</f>
        <v>119.75608563986349</v>
      </c>
      <c r="V1961" s="39">
        <f>[1]节奏总纲!AH1961</f>
        <v>128.8714282243179</v>
      </c>
    </row>
    <row r="1962" spans="17:22" x14ac:dyDescent="0.15">
      <c r="Q1962" s="38">
        <v>1959</v>
      </c>
      <c r="R1962" s="39">
        <f>[1]节奏总纲!AD1962</f>
        <v>109.35835942225765</v>
      </c>
      <c r="S1962" s="39">
        <f>[1]节奏总纲!AE1962</f>
        <v>111.6631576444549</v>
      </c>
      <c r="T1962" s="39">
        <f>[1]节奏总纲!AF1962</f>
        <v>114.91125398223525</v>
      </c>
      <c r="U1962" s="39">
        <f>[1]节奏总纲!AG1962</f>
        <v>119.76407445029636</v>
      </c>
      <c r="V1962" s="39">
        <f>[1]节奏总纲!AH1962</f>
        <v>128.87874923728592</v>
      </c>
    </row>
    <row r="1963" spans="17:22" x14ac:dyDescent="0.15">
      <c r="Q1963" s="38">
        <v>1960</v>
      </c>
      <c r="R1963" s="39">
        <f>[1]节奏总纲!AD1963</f>
        <v>109.36565079245926</v>
      </c>
      <c r="S1963" s="39">
        <f>[1]节奏总纲!AE1963</f>
        <v>111.67053112818546</v>
      </c>
      <c r="T1963" s="39">
        <f>[1]节奏总纲!AF1963</f>
        <v>114.91934497223427</v>
      </c>
      <c r="U1963" s="39">
        <f>[1]节奏总纲!AG1963</f>
        <v>119.77206326072923</v>
      </c>
      <c r="V1963" s="39">
        <f>[1]节奏总纲!AH1963</f>
        <v>128.88607025025394</v>
      </c>
    </row>
    <row r="1964" spans="17:22" x14ac:dyDescent="0.15">
      <c r="Q1964" s="38">
        <v>1961</v>
      </c>
      <c r="R1964" s="39">
        <f>[1]节奏总纲!AD1964</f>
        <v>109.37294216266088</v>
      </c>
      <c r="S1964" s="39">
        <f>[1]节奏总纲!AE1964</f>
        <v>111.67790461191603</v>
      </c>
      <c r="T1964" s="39">
        <f>[1]节奏总纲!AF1964</f>
        <v>114.92743596223328</v>
      </c>
      <c r="U1964" s="39">
        <f>[1]节奏总纲!AG1964</f>
        <v>119.7800520711621</v>
      </c>
      <c r="V1964" s="39">
        <f>[1]节奏总纲!AH1964</f>
        <v>128.89339126322199</v>
      </c>
    </row>
    <row r="1965" spans="17:22" x14ac:dyDescent="0.15">
      <c r="Q1965" s="38">
        <v>1962</v>
      </c>
      <c r="R1965" s="39">
        <f>[1]节奏总纲!AD1965</f>
        <v>109.3802335328625</v>
      </c>
      <c r="S1965" s="39">
        <f>[1]节奏总纲!AE1965</f>
        <v>111.68527809564659</v>
      </c>
      <c r="T1965" s="39">
        <f>[1]节奏总纲!AF1965</f>
        <v>114.93552695223229</v>
      </c>
      <c r="U1965" s="39">
        <f>[1]节奏总纲!AG1965</f>
        <v>119.78804088159498</v>
      </c>
      <c r="V1965" s="39">
        <f>[1]节奏总纲!AH1965</f>
        <v>128.90071227619001</v>
      </c>
    </row>
    <row r="1966" spans="17:22" x14ac:dyDescent="0.15">
      <c r="Q1966" s="38">
        <v>1963</v>
      </c>
      <c r="R1966" s="39">
        <f>[1]节奏总纲!AD1966</f>
        <v>109.38752490306412</v>
      </c>
      <c r="S1966" s="39">
        <f>[1]节奏总纲!AE1966</f>
        <v>111.69265157937716</v>
      </c>
      <c r="T1966" s="39">
        <f>[1]节奏总纲!AF1966</f>
        <v>114.9436179422313</v>
      </c>
      <c r="U1966" s="39">
        <f>[1]节奏总纲!AG1966</f>
        <v>119.79602969202786</v>
      </c>
      <c r="V1966" s="39">
        <f>[1]节奏总纲!AH1966</f>
        <v>128.90803328915803</v>
      </c>
    </row>
    <row r="1967" spans="17:22" x14ac:dyDescent="0.15">
      <c r="Q1967" s="38">
        <v>1964</v>
      </c>
      <c r="R1967" s="39">
        <f>[1]节奏总纲!AD1967</f>
        <v>109.39481627326573</v>
      </c>
      <c r="S1967" s="39">
        <f>[1]节奏总纲!AE1967</f>
        <v>111.70002506310772</v>
      </c>
      <c r="T1967" s="39">
        <f>[1]节奏总纲!AF1967</f>
        <v>114.95170893223032</v>
      </c>
      <c r="U1967" s="39">
        <f>[1]节奏总纲!AG1967</f>
        <v>119.80401850246074</v>
      </c>
      <c r="V1967" s="39">
        <f>[1]节奏总纲!AH1967</f>
        <v>128.91535430212605</v>
      </c>
    </row>
    <row r="1968" spans="17:22" x14ac:dyDescent="0.15">
      <c r="Q1968" s="38">
        <v>1965</v>
      </c>
      <c r="R1968" s="39">
        <f>[1]节奏总纲!AD1968</f>
        <v>109.40210764346735</v>
      </c>
      <c r="S1968" s="39">
        <f>[1]节奏总纲!AE1968</f>
        <v>111.70739854683828</v>
      </c>
      <c r="T1968" s="39">
        <f>[1]节奏总纲!AF1968</f>
        <v>114.95979992222932</v>
      </c>
      <c r="U1968" s="39">
        <f>[1]节奏总纲!AG1968</f>
        <v>119.8120073128936</v>
      </c>
      <c r="V1968" s="39">
        <f>[1]节奏总纲!AH1968</f>
        <v>128.9226753150941</v>
      </c>
    </row>
    <row r="1969" spans="17:22" x14ac:dyDescent="0.15">
      <c r="Q1969" s="38">
        <v>1966</v>
      </c>
      <c r="R1969" s="39">
        <f>[1]节奏总纲!AD1969</f>
        <v>109.40939901366897</v>
      </c>
      <c r="S1969" s="39">
        <f>[1]节奏总纲!AE1969</f>
        <v>111.71477203056884</v>
      </c>
      <c r="T1969" s="39">
        <f>[1]节奏总纲!AF1969</f>
        <v>114.96789091222833</v>
      </c>
      <c r="U1969" s="39">
        <f>[1]节奏总纲!AG1969</f>
        <v>119.81999612332648</v>
      </c>
      <c r="V1969" s="39">
        <f>[1]节奏总纲!AH1969</f>
        <v>128.92999632806212</v>
      </c>
    </row>
    <row r="1970" spans="17:22" x14ac:dyDescent="0.15">
      <c r="Q1970" s="38">
        <v>1967</v>
      </c>
      <c r="R1970" s="39">
        <f>[1]节奏总纲!AD1970</f>
        <v>109.41669038387059</v>
      </c>
      <c r="S1970" s="39">
        <f>[1]节奏总纲!AE1970</f>
        <v>111.72214551429941</v>
      </c>
      <c r="T1970" s="39">
        <f>[1]节奏总纲!AF1970</f>
        <v>114.97598190222735</v>
      </c>
      <c r="U1970" s="39">
        <f>[1]节奏总纲!AG1970</f>
        <v>119.82798493375935</v>
      </c>
      <c r="V1970" s="39">
        <f>[1]节奏总纲!AH1970</f>
        <v>128.93731734103014</v>
      </c>
    </row>
    <row r="1971" spans="17:22" x14ac:dyDescent="0.15">
      <c r="Q1971" s="38">
        <v>1968</v>
      </c>
      <c r="R1971" s="39">
        <f>[1]节奏总纲!AD1971</f>
        <v>109.4239817540722</v>
      </c>
      <c r="S1971" s="39">
        <f>[1]节奏总纲!AE1971</f>
        <v>111.72951899802997</v>
      </c>
      <c r="T1971" s="39">
        <f>[1]节奏总纲!AF1971</f>
        <v>114.98407289222635</v>
      </c>
      <c r="U1971" s="39">
        <f>[1]节奏总纲!AG1971</f>
        <v>119.83597374419223</v>
      </c>
      <c r="V1971" s="39">
        <f>[1]节奏总纲!AH1971</f>
        <v>128.94463835399816</v>
      </c>
    </row>
    <row r="1972" spans="17:22" x14ac:dyDescent="0.15">
      <c r="Q1972" s="38">
        <v>1969</v>
      </c>
      <c r="R1972" s="39">
        <f>[1]节奏总纲!AD1972</f>
        <v>109.43127312427382</v>
      </c>
      <c r="S1972" s="39">
        <f>[1]节奏总纲!AE1972</f>
        <v>111.73689248176053</v>
      </c>
      <c r="T1972" s="39">
        <f>[1]节奏总纲!AF1972</f>
        <v>114.99216388222537</v>
      </c>
      <c r="U1972" s="39">
        <f>[1]节奏总纲!AG1972</f>
        <v>119.84396255462511</v>
      </c>
      <c r="V1972" s="39">
        <f>[1]节奏总纲!AH1972</f>
        <v>128.95195936696621</v>
      </c>
    </row>
    <row r="1973" spans="17:22" x14ac:dyDescent="0.15">
      <c r="Q1973" s="38">
        <v>1970</v>
      </c>
      <c r="R1973" s="39">
        <f>[1]节奏总纲!AD1973</f>
        <v>109.43856449447544</v>
      </c>
      <c r="S1973" s="39">
        <f>[1]节奏总纲!AE1973</f>
        <v>111.7442659654911</v>
      </c>
      <c r="T1973" s="39">
        <f>[1]节奏总纲!AF1973</f>
        <v>115.00022669298825</v>
      </c>
      <c r="U1973" s="39">
        <f>[1]节奏总纲!AG1973</f>
        <v>119.85195136505797</v>
      </c>
      <c r="V1973" s="39">
        <f>[1]节奏总纲!AH1973</f>
        <v>128.95928037993423</v>
      </c>
    </row>
    <row r="1974" spans="17:22" x14ac:dyDescent="0.15">
      <c r="Q1974" s="38">
        <v>1971</v>
      </c>
      <c r="R1974" s="39">
        <f>[1]节奏总纲!AD1974</f>
        <v>109.44585586467706</v>
      </c>
      <c r="S1974" s="39">
        <f>[1]节奏总纲!AE1974</f>
        <v>111.75163944922166</v>
      </c>
      <c r="T1974" s="39">
        <f>[1]节奏总纲!AF1974</f>
        <v>115.00742312526033</v>
      </c>
      <c r="U1974" s="39">
        <f>[1]节奏总纲!AG1974</f>
        <v>119.85994017549085</v>
      </c>
      <c r="V1974" s="39">
        <f>[1]节奏总纲!AH1974</f>
        <v>128.96660139290225</v>
      </c>
    </row>
    <row r="1975" spans="17:22" x14ac:dyDescent="0.15">
      <c r="Q1975" s="38">
        <v>1972</v>
      </c>
      <c r="R1975" s="39">
        <f>[1]节奏总纲!AD1975</f>
        <v>109.45314723487867</v>
      </c>
      <c r="S1975" s="39">
        <f>[1]节奏总纲!AE1975</f>
        <v>111.75901293295222</v>
      </c>
      <c r="T1975" s="39">
        <f>[1]节奏总纲!AF1975</f>
        <v>115.01461955753243</v>
      </c>
      <c r="U1975" s="39">
        <f>[1]节奏总纲!AG1975</f>
        <v>119.86792898592373</v>
      </c>
      <c r="V1975" s="39">
        <f>[1]节奏总纲!AH1975</f>
        <v>128.97392240587027</v>
      </c>
    </row>
    <row r="1976" spans="17:22" x14ac:dyDescent="0.15">
      <c r="Q1976" s="38">
        <v>1973</v>
      </c>
      <c r="R1976" s="39">
        <f>[1]节奏总纲!AD1976</f>
        <v>109.4604386050803</v>
      </c>
      <c r="S1976" s="39">
        <f>[1]节奏总纲!AE1976</f>
        <v>111.76638641668279</v>
      </c>
      <c r="T1976" s="39">
        <f>[1]节奏总纲!AF1976</f>
        <v>115.02181598980451</v>
      </c>
      <c r="U1976" s="39">
        <f>[1]节奏总纲!AG1976</f>
        <v>119.8759177963566</v>
      </c>
      <c r="V1976" s="39">
        <f>[1]节奏总纲!AH1976</f>
        <v>128.98124341883832</v>
      </c>
    </row>
    <row r="1977" spans="17:22" x14ac:dyDescent="0.15">
      <c r="Q1977" s="38">
        <v>1974</v>
      </c>
      <c r="R1977" s="39">
        <f>[1]节奏总纲!AD1977</f>
        <v>109.46772997528191</v>
      </c>
      <c r="S1977" s="39">
        <f>[1]节奏总纲!AE1977</f>
        <v>111.77375990041335</v>
      </c>
      <c r="T1977" s="39">
        <f>[1]节奏总纲!AF1977</f>
        <v>115.02901242207659</v>
      </c>
      <c r="U1977" s="39">
        <f>[1]节奏总纲!AG1977</f>
        <v>119.88390660678947</v>
      </c>
      <c r="V1977" s="39">
        <f>[1]节奏总纲!AH1977</f>
        <v>128.98856443180634</v>
      </c>
    </row>
    <row r="1978" spans="17:22" x14ac:dyDescent="0.15">
      <c r="Q1978" s="38">
        <v>1975</v>
      </c>
      <c r="R1978" s="39">
        <f>[1]节奏总纲!AD1978</f>
        <v>109.47502134548353</v>
      </c>
      <c r="S1978" s="39">
        <f>[1]节奏总纲!AE1978</f>
        <v>111.78113338414391</v>
      </c>
      <c r="T1978" s="39">
        <f>[1]节奏总纲!AF1978</f>
        <v>115.03620885434869</v>
      </c>
      <c r="U1978" s="39">
        <f>[1]节奏总纲!AG1978</f>
        <v>119.89189541722234</v>
      </c>
      <c r="V1978" s="39">
        <f>[1]节奏总纲!AH1978</f>
        <v>128.99588544477436</v>
      </c>
    </row>
    <row r="1979" spans="17:22" x14ac:dyDescent="0.15">
      <c r="Q1979" s="38">
        <v>1976</v>
      </c>
      <c r="R1979" s="39">
        <f>[1]节奏总纲!AD1979</f>
        <v>109.48231271568514</v>
      </c>
      <c r="S1979" s="39">
        <f>[1]节奏总纲!AE1979</f>
        <v>111.78850686787447</v>
      </c>
      <c r="T1979" s="39">
        <f>[1]节奏总纲!AF1979</f>
        <v>115.04340528662077</v>
      </c>
      <c r="U1979" s="39">
        <f>[1]节奏总纲!AG1979</f>
        <v>119.89988422765522</v>
      </c>
      <c r="V1979" s="39">
        <f>[1]节奏总纲!AH1979</f>
        <v>129.00293585026517</v>
      </c>
    </row>
    <row r="1980" spans="17:22" x14ac:dyDescent="0.15">
      <c r="Q1980" s="38">
        <v>1977</v>
      </c>
      <c r="R1980" s="39">
        <f>[1]节奏总纲!AD1980</f>
        <v>109.48960408588677</v>
      </c>
      <c r="S1980" s="39">
        <f>[1]节奏总纲!AE1980</f>
        <v>111.79588035160504</v>
      </c>
      <c r="T1980" s="39">
        <f>[1]节奏总纲!AF1980</f>
        <v>115.05060171889285</v>
      </c>
      <c r="U1980" s="39">
        <f>[1]节奏总纲!AG1980</f>
        <v>119.9078730380881</v>
      </c>
      <c r="V1980" s="39">
        <f>[1]节奏总纲!AH1980</f>
        <v>129.0096390098233</v>
      </c>
    </row>
    <row r="1981" spans="17:22" x14ac:dyDescent="0.15">
      <c r="Q1981" s="38">
        <v>1978</v>
      </c>
      <c r="R1981" s="39">
        <f>[1]节奏总纲!AD1981</f>
        <v>109.49689545608838</v>
      </c>
      <c r="S1981" s="39">
        <f>[1]节奏总纲!AE1981</f>
        <v>111.8032538353356</v>
      </c>
      <c r="T1981" s="39">
        <f>[1]节奏总纲!AF1981</f>
        <v>115.05779815116495</v>
      </c>
      <c r="U1981" s="39">
        <f>[1]节奏总纲!AG1981</f>
        <v>119.91586184852098</v>
      </c>
      <c r="V1981" s="39">
        <f>[1]节奏总纲!AH1981</f>
        <v>129.0163421693814</v>
      </c>
    </row>
    <row r="1982" spans="17:22" x14ac:dyDescent="0.15">
      <c r="Q1982" s="38">
        <v>1979</v>
      </c>
      <c r="R1982" s="39">
        <f>[1]节奏总纲!AD1982</f>
        <v>109.50418682629</v>
      </c>
      <c r="S1982" s="39">
        <f>[1]节奏总纲!AE1982</f>
        <v>111.81062731906617</v>
      </c>
      <c r="T1982" s="39">
        <f>[1]节奏总纲!AF1982</f>
        <v>115.06499458343703</v>
      </c>
      <c r="U1982" s="39">
        <f>[1]节奏总纲!AG1982</f>
        <v>119.92385065895384</v>
      </c>
      <c r="V1982" s="39">
        <f>[1]节奏总纲!AH1982</f>
        <v>129.0230453289395</v>
      </c>
    </row>
    <row r="1983" spans="17:22" x14ac:dyDescent="0.15">
      <c r="Q1983" s="38">
        <v>1980</v>
      </c>
      <c r="R1983" s="39">
        <f>[1]节奏总纲!AD1983</f>
        <v>109.51147819649161</v>
      </c>
      <c r="S1983" s="39">
        <f>[1]节奏总纲!AE1983</f>
        <v>111.81800080279673</v>
      </c>
      <c r="T1983" s="39">
        <f>[1]节奏总纲!AF1983</f>
        <v>115.07219101570911</v>
      </c>
      <c r="U1983" s="39">
        <f>[1]节奏总纲!AG1983</f>
        <v>119.93183946938672</v>
      </c>
      <c r="V1983" s="39">
        <f>[1]节奏总纲!AH1983</f>
        <v>129.02974848849763</v>
      </c>
    </row>
    <row r="1984" spans="17:22" x14ac:dyDescent="0.15">
      <c r="Q1984" s="38">
        <v>1981</v>
      </c>
      <c r="R1984" s="39">
        <f>[1]节奏总纲!AD1984</f>
        <v>109.51876956669324</v>
      </c>
      <c r="S1984" s="39">
        <f>[1]节奏总纲!AE1984</f>
        <v>111.82537428652729</v>
      </c>
      <c r="T1984" s="39">
        <f>[1]节奏总纲!AF1984</f>
        <v>115.0793874479812</v>
      </c>
      <c r="U1984" s="39">
        <f>[1]节奏总纲!AG1984</f>
        <v>119.93982827981959</v>
      </c>
      <c r="V1984" s="39">
        <f>[1]节奏总纲!AH1984</f>
        <v>129.03645164805573</v>
      </c>
    </row>
    <row r="1985" spans="17:22" x14ac:dyDescent="0.15">
      <c r="Q1985" s="38">
        <v>1982</v>
      </c>
      <c r="R1985" s="39">
        <f>[1]节奏总纲!AD1985</f>
        <v>109.52606093689485</v>
      </c>
      <c r="S1985" s="39">
        <f>[1]节奏总纲!AE1985</f>
        <v>111.83274777025785</v>
      </c>
      <c r="T1985" s="39">
        <f>[1]节奏总纲!AF1985</f>
        <v>115.08658388025329</v>
      </c>
      <c r="U1985" s="39">
        <f>[1]节奏总纲!AG1985</f>
        <v>119.94781709025247</v>
      </c>
      <c r="V1985" s="39">
        <f>[1]节奏总纲!AH1985</f>
        <v>129.04315480761383</v>
      </c>
    </row>
    <row r="1986" spans="17:22" x14ac:dyDescent="0.15">
      <c r="Q1986" s="38">
        <v>1983</v>
      </c>
      <c r="R1986" s="39">
        <f>[1]节奏总纲!AD1986</f>
        <v>109.53335230709646</v>
      </c>
      <c r="S1986" s="39">
        <f>[1]节奏总纲!AE1986</f>
        <v>111.84012125398841</v>
      </c>
      <c r="T1986" s="39">
        <f>[1]节奏总纲!AF1986</f>
        <v>115.09378031252537</v>
      </c>
      <c r="U1986" s="39">
        <f>[1]节奏总纲!AG1986</f>
        <v>119.95580590068533</v>
      </c>
      <c r="V1986" s="39">
        <f>[1]节奏总纲!AH1986</f>
        <v>129.04985796717196</v>
      </c>
    </row>
    <row r="1987" spans="17:22" x14ac:dyDescent="0.15">
      <c r="Q1987" s="38">
        <v>1984</v>
      </c>
      <c r="R1987" s="39">
        <f>[1]节奏总纲!AD1987</f>
        <v>109.54064367729809</v>
      </c>
      <c r="S1987" s="39">
        <f>[1]节奏总纲!AE1987</f>
        <v>111.84749473771897</v>
      </c>
      <c r="T1987" s="39">
        <f>[1]节奏总纲!AF1987</f>
        <v>115.10097674479746</v>
      </c>
      <c r="U1987" s="39">
        <f>[1]节奏总纲!AG1987</f>
        <v>119.96379471111821</v>
      </c>
      <c r="V1987" s="39">
        <f>[1]节奏总纲!AH1987</f>
        <v>129.05656112673006</v>
      </c>
    </row>
    <row r="1988" spans="17:22" x14ac:dyDescent="0.15">
      <c r="Q1988" s="38">
        <v>1985</v>
      </c>
      <c r="R1988" s="39">
        <f>[1]节奏总纲!AD1988</f>
        <v>109.54793504749971</v>
      </c>
      <c r="S1988" s="39">
        <f>[1]节奏总纲!AE1988</f>
        <v>111.85486822144955</v>
      </c>
      <c r="T1988" s="39">
        <f>[1]节奏总纲!AF1988</f>
        <v>115.10817317706955</v>
      </c>
      <c r="U1988" s="39">
        <f>[1]节奏总纲!AG1988</f>
        <v>119.97178352155109</v>
      </c>
      <c r="V1988" s="39">
        <f>[1]节奏总纲!AH1988</f>
        <v>129.06326428628816</v>
      </c>
    </row>
    <row r="1989" spans="17:22" x14ac:dyDescent="0.15">
      <c r="Q1989" s="38">
        <v>1986</v>
      </c>
      <c r="R1989" s="39">
        <f>[1]节奏总纲!AD1989</f>
        <v>109.55522641770132</v>
      </c>
      <c r="S1989" s="39">
        <f>[1]节奏总纲!AE1989</f>
        <v>111.86224170518011</v>
      </c>
      <c r="T1989" s="39">
        <f>[1]节奏总纲!AF1989</f>
        <v>115.11536960934163</v>
      </c>
      <c r="U1989" s="39">
        <f>[1]节奏总纲!AG1989</f>
        <v>119.97977233198397</v>
      </c>
      <c r="V1989" s="39">
        <f>[1]节奏总纲!AH1989</f>
        <v>129.06996744584629</v>
      </c>
    </row>
    <row r="1990" spans="17:22" x14ac:dyDescent="0.15">
      <c r="Q1990" s="38">
        <v>1987</v>
      </c>
      <c r="R1990" s="39">
        <f>[1]节奏总纲!AD1990</f>
        <v>109.56251778790293</v>
      </c>
      <c r="S1990" s="39">
        <f>[1]节奏总纲!AE1990</f>
        <v>111.86961518891067</v>
      </c>
      <c r="T1990" s="39">
        <f>[1]节奏总纲!AF1990</f>
        <v>115.12256604161372</v>
      </c>
      <c r="U1990" s="39">
        <f>[1]节奏总纲!AG1990</f>
        <v>119.98776114241684</v>
      </c>
      <c r="V1990" s="39">
        <f>[1]节奏总纲!AH1990</f>
        <v>129.07667060540439</v>
      </c>
    </row>
    <row r="1991" spans="17:22" x14ac:dyDescent="0.15">
      <c r="Q1991" s="38">
        <v>1988</v>
      </c>
      <c r="R1991" s="39">
        <f>[1]节奏总纲!AD1991</f>
        <v>109.56980915810456</v>
      </c>
      <c r="S1991" s="39">
        <f>[1]节奏总纲!AE1991</f>
        <v>111.87698867264123</v>
      </c>
      <c r="T1991" s="39">
        <f>[1]节奏总纲!AF1991</f>
        <v>115.1297624738858</v>
      </c>
      <c r="U1991" s="39">
        <f>[1]节奏总纲!AG1991</f>
        <v>119.99574995284971</v>
      </c>
      <c r="V1991" s="39">
        <f>[1]节奏总纲!AH1991</f>
        <v>129.08337376496249</v>
      </c>
    </row>
    <row r="1992" spans="17:22" x14ac:dyDescent="0.15">
      <c r="Q1992" s="38">
        <v>1989</v>
      </c>
      <c r="R1992" s="39">
        <f>[1]节奏总纲!AD1992</f>
        <v>109.57710052830618</v>
      </c>
      <c r="S1992" s="39">
        <f>[1]节奏总纲!AE1992</f>
        <v>111.88436215637179</v>
      </c>
      <c r="T1992" s="39">
        <f>[1]节奏总纲!AF1992</f>
        <v>115.13695890615789</v>
      </c>
      <c r="U1992" s="39">
        <f>[1]节奏总纲!AG1992</f>
        <v>120.00350452032548</v>
      </c>
      <c r="V1992" s="39">
        <f>[1]节奏总纲!AH1992</f>
        <v>129.09007692452062</v>
      </c>
    </row>
    <row r="1993" spans="17:22" x14ac:dyDescent="0.15">
      <c r="Q1993" s="38">
        <v>1990</v>
      </c>
      <c r="R1993" s="39">
        <f>[1]节奏总纲!AD1993</f>
        <v>109.58439189850779</v>
      </c>
      <c r="S1993" s="39">
        <f>[1]节奏总纲!AE1993</f>
        <v>111.89173564010235</v>
      </c>
      <c r="T1993" s="39">
        <f>[1]节奏总纲!AF1993</f>
        <v>115.14415533842998</v>
      </c>
      <c r="U1993" s="39">
        <f>[1]节奏总纲!AG1993</f>
        <v>120.01099281161923</v>
      </c>
      <c r="V1993" s="39">
        <f>[1]节奏总纲!AH1993</f>
        <v>129.09678008407872</v>
      </c>
    </row>
    <row r="1994" spans="17:22" x14ac:dyDescent="0.15">
      <c r="Q1994" s="38">
        <v>1991</v>
      </c>
      <c r="R1994" s="39">
        <f>[1]节奏总纲!AD1994</f>
        <v>109.59168326870942</v>
      </c>
      <c r="S1994" s="39">
        <f>[1]节奏总纲!AE1994</f>
        <v>111.89910912383293</v>
      </c>
      <c r="T1994" s="39">
        <f>[1]节奏总纲!AF1994</f>
        <v>115.15135177070206</v>
      </c>
      <c r="U1994" s="39">
        <f>[1]节奏总纲!AG1994</f>
        <v>120.01848110291299</v>
      </c>
      <c r="V1994" s="39">
        <f>[1]节奏总纲!AH1994</f>
        <v>129.10348324363682</v>
      </c>
    </row>
    <row r="1995" spans="17:22" x14ac:dyDescent="0.15">
      <c r="Q1995" s="38">
        <v>1992</v>
      </c>
      <c r="R1995" s="39">
        <f>[1]节奏总纲!AD1995</f>
        <v>109.59897463891103</v>
      </c>
      <c r="S1995" s="39">
        <f>[1]节奏总纲!AE1995</f>
        <v>111.90648260756349</v>
      </c>
      <c r="T1995" s="39">
        <f>[1]节奏总纲!AF1995</f>
        <v>115.15854820297415</v>
      </c>
      <c r="U1995" s="39">
        <f>[1]节奏总纲!AG1995</f>
        <v>120.02596939420673</v>
      </c>
      <c r="V1995" s="39">
        <f>[1]节奏总纲!AH1995</f>
        <v>129.11018640319494</v>
      </c>
    </row>
    <row r="1996" spans="17:22" x14ac:dyDescent="0.15">
      <c r="Q1996" s="38">
        <v>1993</v>
      </c>
      <c r="R1996" s="39">
        <f>[1]节奏总纲!AD1996</f>
        <v>109.60626600911264</v>
      </c>
      <c r="S1996" s="39">
        <f>[1]节奏总纲!AE1996</f>
        <v>111.91385609129405</v>
      </c>
      <c r="T1996" s="39">
        <f>[1]节奏总纲!AF1996</f>
        <v>115.16574463524624</v>
      </c>
      <c r="U1996" s="39">
        <f>[1]节奏总纲!AG1996</f>
        <v>120.03345768550048</v>
      </c>
      <c r="V1996" s="39">
        <f>[1]节奏总纲!AH1996</f>
        <v>129.11688956275304</v>
      </c>
    </row>
    <row r="1997" spans="17:22" x14ac:dyDescent="0.15">
      <c r="Q1997" s="38">
        <v>1994</v>
      </c>
      <c r="R1997" s="39">
        <f>[1]节奏总纲!AD1997</f>
        <v>109.61355737931426</v>
      </c>
      <c r="S1997" s="39">
        <f>[1]节奏总纲!AE1997</f>
        <v>111.92122957502461</v>
      </c>
      <c r="T1997" s="39">
        <f>[1]节奏总纲!AF1997</f>
        <v>115.17294106751832</v>
      </c>
      <c r="U1997" s="39">
        <f>[1]节奏总纲!AG1997</f>
        <v>120.04094597679423</v>
      </c>
      <c r="V1997" s="39">
        <f>[1]节奏总纲!AH1997</f>
        <v>129.12359272231114</v>
      </c>
    </row>
    <row r="1998" spans="17:22" x14ac:dyDescent="0.15">
      <c r="Q1998" s="38">
        <v>1995</v>
      </c>
      <c r="R1998" s="39">
        <f>[1]节奏总纲!AD1998</f>
        <v>109.62084874951589</v>
      </c>
      <c r="S1998" s="39">
        <f>[1]节奏总纲!AE1998</f>
        <v>111.92860305875517</v>
      </c>
      <c r="T1998" s="39">
        <f>[1]节奏总纲!AF1998</f>
        <v>115.1801374997904</v>
      </c>
      <c r="U1998" s="39">
        <f>[1]节奏总纲!AG1998</f>
        <v>120.04843426808799</v>
      </c>
      <c r="V1998" s="39">
        <f>[1]节奏总纲!AH1998</f>
        <v>129.13029588186927</v>
      </c>
    </row>
    <row r="1999" spans="17:22" x14ac:dyDescent="0.15">
      <c r="Q1999" s="38">
        <v>1996</v>
      </c>
      <c r="R1999" s="39">
        <f>[1]节奏总纲!AD1999</f>
        <v>109.6281401197175</v>
      </c>
      <c r="S1999" s="39">
        <f>[1]节奏总纲!AE1999</f>
        <v>111.93597654248573</v>
      </c>
      <c r="T1999" s="39">
        <f>[1]节奏总纲!AF1999</f>
        <v>115.1873339320625</v>
      </c>
      <c r="U1999" s="39">
        <f>[1]节奏总纲!AG1999</f>
        <v>120.05592255938174</v>
      </c>
      <c r="V1999" s="39">
        <f>[1]节奏总纲!AH1999</f>
        <v>129.13699904142737</v>
      </c>
    </row>
    <row r="2000" spans="17:22" x14ac:dyDescent="0.15">
      <c r="Q2000" s="38">
        <v>1997</v>
      </c>
      <c r="R2000" s="39">
        <f>[1]节奏总纲!AD2000</f>
        <v>109.63543148991911</v>
      </c>
      <c r="S2000" s="39">
        <f>[1]节奏总纲!AE2000</f>
        <v>111.94335002621631</v>
      </c>
      <c r="T2000" s="39">
        <f>[1]节奏总纲!AF2000</f>
        <v>115.19453036433458</v>
      </c>
      <c r="U2000" s="39">
        <f>[1]节奏总纲!AG2000</f>
        <v>120.0634108506755</v>
      </c>
      <c r="V2000" s="39">
        <f>[1]节奏总纲!AH2000</f>
        <v>129.14370220098547</v>
      </c>
    </row>
    <row r="2001" spans="17:22" x14ac:dyDescent="0.15">
      <c r="Q2001" s="38">
        <v>1998</v>
      </c>
      <c r="R2001" s="39">
        <f>[1]节奏总纲!AD2001</f>
        <v>109.64272286012073</v>
      </c>
      <c r="S2001" s="39">
        <f>[1]节奏总纲!AE2001</f>
        <v>111.95072350994687</v>
      </c>
      <c r="T2001" s="39">
        <f>[1]节奏总纲!AF2001</f>
        <v>115.20172679660666</v>
      </c>
      <c r="U2001" s="39">
        <f>[1]节奏总纲!AG2001</f>
        <v>120.07089914196925</v>
      </c>
      <c r="V2001" s="39">
        <f>[1]节奏总纲!AH2001</f>
        <v>129.1504053605436</v>
      </c>
    </row>
    <row r="2002" spans="17:22" x14ac:dyDescent="0.15">
      <c r="Q2002" s="38">
        <v>1999</v>
      </c>
      <c r="R2002" s="39">
        <f>[1]节奏总纲!AD2002</f>
        <v>109.65001423032236</v>
      </c>
      <c r="S2002" s="39">
        <f>[1]节奏总纲!AE2002</f>
        <v>111.95809699367743</v>
      </c>
      <c r="T2002" s="39">
        <f>[1]节奏总纲!AF2002</f>
        <v>115.20892322887876</v>
      </c>
      <c r="U2002" s="39">
        <f>[1]节奏总纲!AG2002</f>
        <v>120.07838743326299</v>
      </c>
      <c r="V2002" s="39">
        <f>[1]节奏总纲!AH2002</f>
        <v>129.1571085201017</v>
      </c>
    </row>
    <row r="2003" spans="17:22" x14ac:dyDescent="0.15">
      <c r="Q2003" s="38">
        <v>2000</v>
      </c>
      <c r="R2003" s="39">
        <f>[1]节奏总纲!AD2003</f>
        <v>109.65730560052397</v>
      </c>
      <c r="S2003" s="39">
        <f>[1]节奏总纲!AE2003</f>
        <v>111.96547047740799</v>
      </c>
      <c r="T2003" s="39">
        <f>[1]节奏总纲!AF2003</f>
        <v>115.21611966115084</v>
      </c>
      <c r="U2003" s="39">
        <f>[1]节奏总纲!AG2003</f>
        <v>120.08587572455674</v>
      </c>
      <c r="V2003" s="39">
        <f>[1]节奏总纲!AH2003</f>
        <v>129.1638116796598</v>
      </c>
    </row>
    <row r="2004" spans="17:22" x14ac:dyDescent="0.15">
      <c r="Q2004" s="38"/>
      <c r="R2004" s="39"/>
      <c r="S2004" s="39"/>
      <c r="T2004" s="39"/>
      <c r="U2004" s="39"/>
      <c r="V2004" s="39"/>
    </row>
    <row r="2005" spans="17:22" x14ac:dyDescent="0.15">
      <c r="Q2005" s="38"/>
      <c r="R2005" s="39"/>
      <c r="S2005" s="39"/>
      <c r="T2005" s="39"/>
      <c r="U2005" s="39"/>
      <c r="V2005" s="39"/>
    </row>
    <row r="2006" spans="17:22" x14ac:dyDescent="0.15">
      <c r="Q2006" s="38"/>
      <c r="R2006" s="39"/>
      <c r="S2006" s="39"/>
      <c r="T2006" s="39"/>
      <c r="U2006" s="39"/>
      <c r="V2006" s="39"/>
    </row>
    <row r="2007" spans="17:22" x14ac:dyDescent="0.15">
      <c r="Q2007" s="38"/>
      <c r="R2007" s="39"/>
      <c r="S2007" s="39"/>
      <c r="T2007" s="39"/>
      <c r="U2007" s="39"/>
      <c r="V2007" s="39"/>
    </row>
    <row r="2008" spans="17:22" x14ac:dyDescent="0.15">
      <c r="Q2008" s="38"/>
      <c r="R2008" s="39"/>
      <c r="S2008" s="39"/>
      <c r="T2008" s="39"/>
      <c r="U2008" s="39"/>
      <c r="V2008" s="39"/>
    </row>
    <row r="2009" spans="17:22" x14ac:dyDescent="0.15">
      <c r="Q2009" s="38"/>
      <c r="R2009" s="39"/>
      <c r="S2009" s="39"/>
      <c r="T2009" s="39"/>
      <c r="U2009" s="39"/>
      <c r="V2009" s="39"/>
    </row>
    <row r="2010" spans="17:22" x14ac:dyDescent="0.15">
      <c r="Q2010" s="38"/>
      <c r="R2010" s="39"/>
      <c r="S2010" s="39"/>
      <c r="T2010" s="39"/>
      <c r="U2010" s="39"/>
      <c r="V2010" s="39"/>
    </row>
    <row r="2011" spans="17:22" x14ac:dyDescent="0.15">
      <c r="Q2011" s="38"/>
      <c r="R2011" s="39"/>
      <c r="S2011" s="39"/>
      <c r="T2011" s="39"/>
      <c r="U2011" s="39"/>
      <c r="V2011" s="39"/>
    </row>
    <row r="2012" spans="17:22" x14ac:dyDescent="0.15">
      <c r="Q2012" s="38"/>
      <c r="R2012" s="39"/>
      <c r="S2012" s="39"/>
      <c r="T2012" s="39"/>
      <c r="U2012" s="39"/>
      <c r="V2012" s="39"/>
    </row>
    <row r="2013" spans="17:22" x14ac:dyDescent="0.15">
      <c r="Q2013" s="38"/>
      <c r="R2013" s="39"/>
      <c r="S2013" s="39"/>
      <c r="T2013" s="39"/>
      <c r="U2013" s="39"/>
      <c r="V2013" s="39"/>
    </row>
    <row r="2014" spans="17:22" x14ac:dyDescent="0.15">
      <c r="Q2014" s="38"/>
      <c r="R2014" s="39"/>
      <c r="S2014" s="39"/>
      <c r="T2014" s="39"/>
      <c r="U2014" s="39"/>
      <c r="V2014" s="39"/>
    </row>
    <row r="2015" spans="17:22" x14ac:dyDescent="0.15">
      <c r="Q2015" s="38"/>
      <c r="R2015" s="39"/>
      <c r="S2015" s="39"/>
      <c r="T2015" s="39"/>
      <c r="U2015" s="39"/>
      <c r="V2015" s="39"/>
    </row>
    <row r="2016" spans="17:22" x14ac:dyDescent="0.15">
      <c r="Q2016" s="38"/>
      <c r="R2016" s="39"/>
      <c r="S2016" s="39"/>
      <c r="T2016" s="39"/>
      <c r="U2016" s="39"/>
      <c r="V2016" s="39"/>
    </row>
    <row r="2017" spans="17:22" x14ac:dyDescent="0.15">
      <c r="Q2017" s="38"/>
      <c r="R2017" s="39"/>
      <c r="S2017" s="39"/>
      <c r="T2017" s="39"/>
      <c r="U2017" s="39"/>
      <c r="V2017" s="39"/>
    </row>
    <row r="2018" spans="17:22" x14ac:dyDescent="0.15">
      <c r="Q2018" s="38"/>
      <c r="R2018" s="39"/>
      <c r="S2018" s="39"/>
      <c r="T2018" s="39"/>
      <c r="U2018" s="39"/>
      <c r="V2018" s="39"/>
    </row>
    <row r="2019" spans="17:22" x14ac:dyDescent="0.15">
      <c r="Q2019" s="38"/>
      <c r="R2019" s="39"/>
      <c r="S2019" s="39"/>
      <c r="T2019" s="39"/>
      <c r="U2019" s="39"/>
      <c r="V2019" s="39"/>
    </row>
    <row r="2020" spans="17:22" x14ac:dyDescent="0.15">
      <c r="Q2020" s="38"/>
      <c r="R2020" s="39"/>
      <c r="S2020" s="39"/>
      <c r="T2020" s="39"/>
      <c r="U2020" s="39"/>
      <c r="V2020" s="39"/>
    </row>
    <row r="2021" spans="17:22" x14ac:dyDescent="0.15">
      <c r="Q2021" s="38"/>
      <c r="R2021" s="39"/>
      <c r="S2021" s="39"/>
      <c r="T2021" s="39"/>
      <c r="U2021" s="39"/>
      <c r="V2021" s="39"/>
    </row>
    <row r="2022" spans="17:22" x14ac:dyDescent="0.15">
      <c r="Q2022" s="38"/>
      <c r="R2022" s="39"/>
      <c r="S2022" s="39"/>
      <c r="T2022" s="39"/>
      <c r="U2022" s="39"/>
      <c r="V2022" s="39"/>
    </row>
    <row r="2023" spans="17:22" x14ac:dyDescent="0.15">
      <c r="Q2023" s="38"/>
      <c r="R2023" s="39"/>
      <c r="S2023" s="39"/>
      <c r="T2023" s="39"/>
      <c r="U2023" s="39"/>
      <c r="V2023" s="39"/>
    </row>
    <row r="2024" spans="17:22" x14ac:dyDescent="0.15">
      <c r="Q2024" s="38"/>
      <c r="R2024" s="39"/>
      <c r="S2024" s="39"/>
      <c r="T2024" s="39"/>
      <c r="U2024" s="39"/>
      <c r="V2024" s="39"/>
    </row>
    <row r="2025" spans="17:22" x14ac:dyDescent="0.15">
      <c r="Q2025" s="38"/>
      <c r="R2025" s="39"/>
      <c r="S2025" s="39"/>
      <c r="T2025" s="39"/>
      <c r="U2025" s="39"/>
      <c r="V2025" s="39"/>
    </row>
    <row r="2026" spans="17:22" x14ac:dyDescent="0.15">
      <c r="Q2026" s="38"/>
      <c r="R2026" s="39"/>
      <c r="S2026" s="39"/>
      <c r="T2026" s="39"/>
      <c r="U2026" s="39"/>
      <c r="V2026" s="39"/>
    </row>
    <row r="2027" spans="17:22" x14ac:dyDescent="0.15">
      <c r="Q2027" s="38"/>
      <c r="R2027" s="39"/>
      <c r="S2027" s="39"/>
      <c r="T2027" s="39"/>
      <c r="U2027" s="39"/>
      <c r="V2027" s="39"/>
    </row>
    <row r="2028" spans="17:22" x14ac:dyDescent="0.15">
      <c r="Q2028" s="38"/>
      <c r="R2028" s="39"/>
      <c r="S2028" s="39"/>
      <c r="T2028" s="39"/>
      <c r="U2028" s="39"/>
      <c r="V2028" s="39"/>
    </row>
    <row r="2029" spans="17:22" x14ac:dyDescent="0.15">
      <c r="Q2029" s="38"/>
      <c r="R2029" s="39"/>
      <c r="S2029" s="39"/>
      <c r="T2029" s="39"/>
      <c r="U2029" s="39"/>
      <c r="V2029" s="39"/>
    </row>
    <row r="2030" spans="17:22" x14ac:dyDescent="0.15">
      <c r="Q2030" s="38"/>
      <c r="R2030" s="39"/>
      <c r="S2030" s="39"/>
      <c r="T2030" s="39"/>
      <c r="U2030" s="39"/>
      <c r="V2030" s="39"/>
    </row>
    <row r="2031" spans="17:22" x14ac:dyDescent="0.15">
      <c r="Q2031" s="38"/>
      <c r="R2031" s="39"/>
      <c r="S2031" s="39"/>
      <c r="T2031" s="39"/>
      <c r="U2031" s="39"/>
      <c r="V2031" s="39"/>
    </row>
    <row r="2032" spans="17:22" x14ac:dyDescent="0.15">
      <c r="Q2032" s="38"/>
      <c r="R2032" s="39"/>
      <c r="S2032" s="39"/>
      <c r="T2032" s="39"/>
      <c r="U2032" s="39"/>
      <c r="V2032" s="39"/>
    </row>
    <row r="2033" spans="17:22" x14ac:dyDescent="0.15">
      <c r="Q2033" s="38"/>
      <c r="R2033" s="39"/>
      <c r="S2033" s="39"/>
      <c r="T2033" s="39"/>
      <c r="U2033" s="39"/>
      <c r="V2033" s="39"/>
    </row>
    <row r="2034" spans="17:22" x14ac:dyDescent="0.15">
      <c r="Q2034" s="38"/>
      <c r="R2034" s="39"/>
      <c r="S2034" s="39"/>
      <c r="T2034" s="39"/>
      <c r="U2034" s="39"/>
      <c r="V2034" s="39"/>
    </row>
    <row r="2035" spans="17:22" x14ac:dyDescent="0.15">
      <c r="Q2035" s="38"/>
      <c r="R2035" s="39"/>
      <c r="S2035" s="39"/>
      <c r="T2035" s="39"/>
      <c r="U2035" s="39"/>
      <c r="V2035" s="39"/>
    </row>
  </sheetData>
  <mergeCells count="6">
    <mergeCell ref="AO2:AS2"/>
    <mergeCell ref="D2:H2"/>
    <mergeCell ref="K2:O2"/>
    <mergeCell ref="R2:V2"/>
    <mergeCell ref="AA2:AE2"/>
    <mergeCell ref="AH2:AL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P28"/>
  <sheetViews>
    <sheetView workbookViewId="0">
      <selection activeCell="F42" sqref="F42"/>
    </sheetView>
  </sheetViews>
  <sheetFormatPr defaultColWidth="6.625" defaultRowHeight="11.25" x14ac:dyDescent="0.15"/>
  <cols>
    <col min="1" max="2" width="6.625" style="45"/>
    <col min="3" max="3" width="7.5" style="45" bestFit="1" customWidth="1"/>
    <col min="4" max="4" width="10.5" style="45" bestFit="1" customWidth="1"/>
    <col min="5" max="16384" width="6.625" style="45"/>
  </cols>
  <sheetData>
    <row r="1" spans="1:16" x14ac:dyDescent="0.15">
      <c r="A1" s="58" t="s">
        <v>119</v>
      </c>
      <c r="B1" s="47"/>
    </row>
    <row r="2" spans="1:16" x14ac:dyDescent="0.15">
      <c r="A2" s="58" t="s">
        <v>120</v>
      </c>
    </row>
    <row r="6" spans="1:16" x14ac:dyDescent="0.15">
      <c r="C6" s="63" t="s">
        <v>78</v>
      </c>
      <c r="D6" s="63"/>
      <c r="E6" s="63"/>
      <c r="F6" s="63"/>
      <c r="G6" s="63"/>
      <c r="H6" s="63"/>
      <c r="I6" s="63"/>
    </row>
    <row r="7" spans="1:16" x14ac:dyDescent="0.15">
      <c r="C7" s="46" t="s">
        <v>104</v>
      </c>
      <c r="D7" s="46" t="s">
        <v>118</v>
      </c>
      <c r="E7" s="46" t="s">
        <v>36</v>
      </c>
      <c r="F7" s="46" t="s">
        <v>37</v>
      </c>
      <c r="G7" s="46" t="s">
        <v>38</v>
      </c>
      <c r="H7" s="46" t="s">
        <v>39</v>
      </c>
      <c r="I7" s="46" t="s">
        <v>40</v>
      </c>
    </row>
    <row r="8" spans="1:16" x14ac:dyDescent="0.15">
      <c r="C8" s="46">
        <v>0</v>
      </c>
      <c r="D8" s="46">
        <v>0</v>
      </c>
      <c r="E8" s="46">
        <v>1</v>
      </c>
      <c r="F8" s="46">
        <v>1</v>
      </c>
      <c r="G8" s="46">
        <v>1</v>
      </c>
      <c r="H8" s="46">
        <v>1</v>
      </c>
      <c r="I8" s="46">
        <v>1</v>
      </c>
      <c r="N8" s="45">
        <v>0</v>
      </c>
    </row>
    <row r="9" spans="1:16" x14ac:dyDescent="0.15">
      <c r="C9" s="46">
        <v>1</v>
      </c>
      <c r="D9" s="46">
        <v>1</v>
      </c>
      <c r="E9" s="46">
        <f>求节点(节奏总纲!D$4:D$163,节奏总纲!$C$4:$C$163,$D9)</f>
        <v>10</v>
      </c>
      <c r="F9" s="46">
        <f>求节点(节奏总纲!E$4:E$163,节奏总纲!$C$4:$C$163,$D9)</f>
        <v>11.148446722089302</v>
      </c>
      <c r="G9" s="46">
        <f>求节点(节奏总纲!F$4:F$163,节奏总纲!$C$4:$C$163,$D9)</f>
        <v>12.761737853656415</v>
      </c>
      <c r="H9" s="46">
        <f>求节点(节奏总纲!G$4:G$163,节奏总纲!$C$4:$C$163,$D9)</f>
        <v>15.452231935206081</v>
      </c>
      <c r="I9" s="46">
        <f>求节点(节奏总纲!H$4:H$163,节奏总纲!$C$4:$C$163,$D9)</f>
        <v>21.291911942729964</v>
      </c>
      <c r="N9" s="45">
        <f>N8+O9</f>
        <v>1</v>
      </c>
      <c r="O9" s="45">
        <v>1</v>
      </c>
      <c r="P9" s="45">
        <v>2000</v>
      </c>
    </row>
    <row r="10" spans="1:16" x14ac:dyDescent="0.15">
      <c r="B10" s="45">
        <f>D10-D9</f>
        <v>2</v>
      </c>
      <c r="C10" s="46">
        <v>2</v>
      </c>
      <c r="D10" s="46">
        <v>3</v>
      </c>
      <c r="E10" s="46">
        <f>求节点(节奏总纲!D$4:D$163,节奏总纲!$C$4:$C$163,$D10)</f>
        <v>20</v>
      </c>
      <c r="F10" s="46">
        <f>求节点(节奏总纲!E$4:E$163,节奏总纲!$C$4:$C$163,$D10)</f>
        <v>21.543844702365945</v>
      </c>
      <c r="G10" s="46">
        <f>求节点(节奏总纲!F$4:F$163,节奏总纲!$C$4:$C$163,$D10)</f>
        <v>23.734615677065324</v>
      </c>
      <c r="H10" s="46">
        <f>求节点(节奏总纲!G$4:G$163,节奏总纲!$C$4:$C$163,$D10)</f>
        <v>27.324610510337703</v>
      </c>
      <c r="I10" s="46">
        <f>求节点(节奏总纲!H$4:H$163,节奏总纲!$C$4:$C$163,$D10)</f>
        <v>34.517938607173015</v>
      </c>
      <c r="J10" s="45">
        <f t="shared" ref="J10:J25" si="0">E10-E9</f>
        <v>10</v>
      </c>
      <c r="N10" s="45">
        <f t="shared" ref="N10:N26" si="1">N9+O10</f>
        <v>3</v>
      </c>
      <c r="O10" s="45">
        <v>2</v>
      </c>
      <c r="P10" s="45">
        <v>4000</v>
      </c>
    </row>
    <row r="11" spans="1:16" x14ac:dyDescent="0.15">
      <c r="B11" s="45">
        <f t="shared" ref="B11:B26" si="2">D11-D10</f>
        <v>4</v>
      </c>
      <c r="C11" s="46">
        <v>3</v>
      </c>
      <c r="D11" s="46">
        <v>7</v>
      </c>
      <c r="E11" s="46">
        <f>求节点(节奏总纲!D$4:D$163,节奏总纲!$C$4:$C$163,$D11)</f>
        <v>30</v>
      </c>
      <c r="F11" s="46">
        <f>求节点(节奏总纲!E$4:E$163,节奏总纲!$C$4:$C$163,$D11)</f>
        <v>31.718819483847451</v>
      </c>
      <c r="G11" s="46">
        <f>求节点(节奏总纲!F$4:F$163,节奏总纲!$C$4:$C$163,$D11)</f>
        <v>34.192155176139416</v>
      </c>
      <c r="H11" s="46">
        <f>求节点(节奏总纲!G$4:G$163,节奏总纲!$C$4:$C$163,$D11)</f>
        <v>38.19822972207853</v>
      </c>
      <c r="I11" s="46">
        <f>求节点(节奏总纲!H$4:H$163,节奏总纲!$C$4:$C$163,$D11)</f>
        <v>46.093186357957826</v>
      </c>
      <c r="J11" s="45">
        <f t="shared" si="0"/>
        <v>10</v>
      </c>
      <c r="N11" s="45">
        <f t="shared" si="1"/>
        <v>7</v>
      </c>
      <c r="O11" s="45">
        <v>4</v>
      </c>
      <c r="P11" s="45">
        <v>6000</v>
      </c>
    </row>
    <row r="12" spans="1:16" x14ac:dyDescent="0.15">
      <c r="B12" s="45">
        <f t="shared" si="2"/>
        <v>6</v>
      </c>
      <c r="C12" s="46">
        <v>4</v>
      </c>
      <c r="D12" s="46">
        <v>13</v>
      </c>
      <c r="E12" s="46">
        <f>求节点(节奏总纲!D$4:D$163,节奏总纲!$C$4:$C$163,$D12)</f>
        <v>38.071211008105138</v>
      </c>
      <c r="F12" s="46">
        <f>求节点(节奏总纲!E$4:E$163,节奏总纲!$C$4:$C$163,$D12)</f>
        <v>39.935302111946527</v>
      </c>
      <c r="G12" s="46">
        <f>求节点(节奏总纲!F$4:F$163,节奏总纲!$C$4:$C$163,$D12)</f>
        <v>42.470214785133983</v>
      </c>
      <c r="H12" s="46">
        <f>求节点(节奏总纲!G$4:G$163,节奏总纲!$C$4:$C$163,$D12)</f>
        <v>46.631096344914496</v>
      </c>
      <c r="I12" s="46">
        <f>求节点(节奏总纲!H$4:H$163,节奏总纲!$C$4:$C$163,$D12)</f>
        <v>55.062101953238496</v>
      </c>
      <c r="J12" s="45">
        <f t="shared" si="0"/>
        <v>8.0712110081051378</v>
      </c>
      <c r="N12" s="45">
        <f t="shared" si="1"/>
        <v>13</v>
      </c>
      <c r="O12" s="45">
        <v>6</v>
      </c>
      <c r="P12" s="45">
        <v>8000</v>
      </c>
    </row>
    <row r="13" spans="1:16" x14ac:dyDescent="0.15">
      <c r="B13" s="45">
        <f t="shared" si="2"/>
        <v>8</v>
      </c>
      <c r="C13" s="46">
        <v>5</v>
      </c>
      <c r="D13" s="46">
        <v>21</v>
      </c>
      <c r="E13" s="46">
        <f>求节点(节奏总纲!D$4:D$163,节奏总纲!$C$4:$C$163,$D13)</f>
        <v>44.585942742481357</v>
      </c>
      <c r="F13" s="46">
        <f>求节点(节奏总纲!E$4:E$163,节奏总纲!$C$4:$C$163,$D13)</f>
        <v>46.455967430551723</v>
      </c>
      <c r="G13" s="46">
        <f>求节点(节奏总纲!F$4:F$163,节奏总纲!$C$4:$C$163,$D13)</f>
        <v>49.18886033229559</v>
      </c>
      <c r="H13" s="46">
        <f>求节点(节奏总纲!G$4:G$163,节奏总纲!$C$4:$C$163,$D13)</f>
        <v>53.471660769826336</v>
      </c>
      <c r="I13" s="46">
        <f>求节点(节奏总纲!H$4:H$163,节奏总纲!$C$4:$C$163,$D13)</f>
        <v>61.918453772109508</v>
      </c>
      <c r="J13" s="45">
        <f t="shared" si="0"/>
        <v>6.5147317343762197</v>
      </c>
      <c r="N13" s="45">
        <f t="shared" si="1"/>
        <v>21</v>
      </c>
      <c r="O13" s="45">
        <v>8</v>
      </c>
      <c r="P13" s="45">
        <v>10000</v>
      </c>
    </row>
    <row r="14" spans="1:16" x14ac:dyDescent="0.15">
      <c r="A14" s="45">
        <v>30</v>
      </c>
      <c r="B14" s="45">
        <f t="shared" si="2"/>
        <v>10</v>
      </c>
      <c r="C14" s="46">
        <v>6</v>
      </c>
      <c r="D14" s="46">
        <v>31</v>
      </c>
      <c r="E14" s="46">
        <f>求节点(节奏总纲!D$4:D$163,节奏总纲!$C$4:$C$163,$D14)</f>
        <v>50</v>
      </c>
      <c r="F14" s="46">
        <f>求节点(节奏总纲!E$4:E$163,节奏总纲!$C$4:$C$163,$D14)</f>
        <v>51.96230476258421</v>
      </c>
      <c r="G14" s="46">
        <f>求节点(节奏总纲!F$4:F$163,节奏总纲!$C$4:$C$163,$D14)</f>
        <v>54.692509339255828</v>
      </c>
      <c r="H14" s="46">
        <f>求节点(节奏总纲!G$4:G$163,节奏总纲!$C$4:$C$163,$D14)</f>
        <v>59.178112178215827</v>
      </c>
      <c r="I14" s="46">
        <f>求节点(节奏总纲!H$4:H$163,节奏总纲!$C$4:$C$163,$D14)</f>
        <v>67.582949939226467</v>
      </c>
      <c r="J14" s="45">
        <f t="shared" si="0"/>
        <v>5.4140572575186425</v>
      </c>
      <c r="M14" s="45">
        <v>30</v>
      </c>
      <c r="N14" s="45">
        <f t="shared" si="1"/>
        <v>31</v>
      </c>
      <c r="O14" s="45">
        <v>10</v>
      </c>
      <c r="P14" s="45">
        <v>15000</v>
      </c>
    </row>
    <row r="15" spans="1:16" x14ac:dyDescent="0.15">
      <c r="B15" s="45">
        <f t="shared" si="2"/>
        <v>12</v>
      </c>
      <c r="C15" s="46">
        <v>7</v>
      </c>
      <c r="D15" s="46">
        <v>43</v>
      </c>
      <c r="E15" s="46">
        <f>求节点(节奏总纲!D$4:D$163,节奏总纲!$C$4:$C$163,$D15)</f>
        <v>54.585942742481357</v>
      </c>
      <c r="F15" s="46">
        <f>求节点(节奏总纲!E$4:E$163,节奏总纲!$C$4:$C$163,$D15)</f>
        <v>56.568265567054013</v>
      </c>
      <c r="G15" s="46">
        <f>求节点(节奏总纲!F$4:F$163,节奏总纲!$C$4:$C$163,$D15)</f>
        <v>59.425480572843689</v>
      </c>
      <c r="H15" s="46">
        <f>求节点(节奏总纲!G$4:G$163,节奏总纲!$C$4:$C$163,$D15)</f>
        <v>63.763640149257171</v>
      </c>
      <c r="I15" s="46">
        <f>求节点(节奏总纲!H$4:H$163,节奏总纲!$C$4:$C$163,$D15)</f>
        <v>72.370053318329937</v>
      </c>
      <c r="J15" s="45">
        <f t="shared" si="0"/>
        <v>4.5859427424813575</v>
      </c>
      <c r="N15" s="45">
        <f t="shared" si="1"/>
        <v>43</v>
      </c>
      <c r="O15" s="45">
        <v>12</v>
      </c>
      <c r="P15" s="45">
        <v>20000</v>
      </c>
    </row>
    <row r="16" spans="1:16" x14ac:dyDescent="0.15">
      <c r="B16" s="45">
        <f t="shared" si="2"/>
        <v>14</v>
      </c>
      <c r="C16" s="46">
        <v>8</v>
      </c>
      <c r="D16" s="46">
        <v>57</v>
      </c>
      <c r="E16" s="46">
        <f>求节点(节奏总纲!D$4:D$163,节奏总纲!$C$4:$C$163,$D16)</f>
        <v>58.571351621712921</v>
      </c>
      <c r="F16" s="46">
        <f>求节点(节奏总纲!E$4:E$163,节奏总纲!$C$4:$C$163,$D16)</f>
        <v>60.60152623127486</v>
      </c>
      <c r="G16" s="46">
        <f>求节点(节奏总纲!F$4:F$163,节奏总纲!$C$4:$C$163,$D16)</f>
        <v>63.421042351541736</v>
      </c>
      <c r="H16" s="46">
        <f>求节点(节奏总纲!G$4:G$163,节奏总纲!$C$4:$C$163,$D16)</f>
        <v>67.890992225532017</v>
      </c>
      <c r="I16" s="46">
        <f>求节点(节奏总纲!H$4:H$163,节奏总纲!$C$4:$C$163,$D16)</f>
        <v>76.344973133357612</v>
      </c>
      <c r="J16" s="45">
        <f t="shared" si="0"/>
        <v>3.9854088792315636</v>
      </c>
      <c r="N16" s="45">
        <f t="shared" si="1"/>
        <v>57</v>
      </c>
      <c r="O16" s="45">
        <v>14</v>
      </c>
      <c r="P16" s="45">
        <v>25000</v>
      </c>
    </row>
    <row r="17" spans="1:16" x14ac:dyDescent="0.15">
      <c r="B17" s="45">
        <f t="shared" si="2"/>
        <v>16</v>
      </c>
      <c r="C17" s="46">
        <v>9</v>
      </c>
      <c r="D17" s="46">
        <v>73</v>
      </c>
      <c r="E17" s="46">
        <f>求节点(节奏总纲!D$4:D$163,节奏总纲!$C$4:$C$163,$D17)</f>
        <v>62.091594979242075</v>
      </c>
      <c r="F17" s="46">
        <f>求节点(节奏总纲!E$4:E$163,节奏总纲!$C$4:$C$163,$D17)</f>
        <v>64.114306430026588</v>
      </c>
      <c r="G17" s="46">
        <f>求节点(节奏总纲!F$4:F$163,节奏总纲!$C$4:$C$163,$D17)</f>
        <v>66.939020225602619</v>
      </c>
      <c r="H17" s="46">
        <f>求节点(节奏总纲!G$4:G$163,节奏总纲!$C$4:$C$163,$D17)</f>
        <v>71.479910866394462</v>
      </c>
      <c r="I17" s="46">
        <f>求节点(节奏总纲!H$4:H$163,节奏总纲!$C$4:$C$163,$D17)</f>
        <v>80.043898354812981</v>
      </c>
      <c r="J17" s="45">
        <f t="shared" si="0"/>
        <v>3.5202433575291536</v>
      </c>
      <c r="N17" s="45">
        <f t="shared" si="1"/>
        <v>73</v>
      </c>
      <c r="O17" s="45">
        <v>16</v>
      </c>
      <c r="P17" s="45">
        <v>30000</v>
      </c>
    </row>
    <row r="18" spans="1:16" x14ac:dyDescent="0.15">
      <c r="B18" s="45">
        <f t="shared" si="2"/>
        <v>18</v>
      </c>
      <c r="C18" s="46">
        <v>10</v>
      </c>
      <c r="D18" s="46">
        <v>91</v>
      </c>
      <c r="E18" s="46">
        <f>求节点(节奏总纲!D$4:D$163,节奏总纲!$C$4:$C$163,$D18)</f>
        <v>65.229416240679981</v>
      </c>
      <c r="F18" s="46">
        <f>求节点(节奏总纲!E$4:E$163,节奏总纲!$C$4:$C$163,$D18)</f>
        <v>67.240606973055961</v>
      </c>
      <c r="G18" s="46">
        <f>求节点(节奏总纲!F$4:F$163,节奏总纲!$C$4:$C$163,$D18)</f>
        <v>70.137942795989005</v>
      </c>
      <c r="H18" s="46">
        <f>求节点(节奏总纲!G$4:G$163,节奏总纲!$C$4:$C$163,$D18)</f>
        <v>74.651012292080978</v>
      </c>
      <c r="I18" s="46">
        <f>求节点(节奏总纲!H$4:H$163,节奏总纲!$C$4:$C$163,$D18)</f>
        <v>83.279794092850153</v>
      </c>
      <c r="J18" s="45">
        <f t="shared" si="0"/>
        <v>3.1378212614379066</v>
      </c>
      <c r="N18" s="45">
        <f t="shared" si="1"/>
        <v>91</v>
      </c>
      <c r="O18" s="45">
        <v>18</v>
      </c>
      <c r="P18" s="45">
        <v>35000</v>
      </c>
    </row>
    <row r="19" spans="1:16" x14ac:dyDescent="0.15">
      <c r="B19" s="45">
        <f t="shared" si="2"/>
        <v>20</v>
      </c>
      <c r="C19" s="46">
        <v>11</v>
      </c>
      <c r="D19" s="46">
        <v>111</v>
      </c>
      <c r="E19" s="46">
        <f>求节点(节奏总纲!D$4:D$163,节奏总纲!$C$4:$C$163,$D19)</f>
        <v>68.071211008105138</v>
      </c>
      <c r="F19" s="46">
        <f>求节点(节奏总纲!E$4:E$163,节奏总纲!$C$4:$C$163,$D19)</f>
        <v>70.127815365673797</v>
      </c>
      <c r="G19" s="46">
        <f>求节点(节奏总纲!F$4:F$163,节奏总纲!$C$4:$C$163,$D19)</f>
        <v>73.051543220271398</v>
      </c>
      <c r="H19" s="46">
        <f>求节点(节奏总纲!G$4:G$163,节奏总纲!$C$4:$C$163,$D19)</f>
        <v>77.461998485874332</v>
      </c>
      <c r="I19" s="46">
        <f>求节点(节奏总纲!H$4:H$163,节奏总纲!$C$4:$C$163,$D19)</f>
        <v>86.301784901840136</v>
      </c>
      <c r="J19" s="45">
        <f t="shared" si="0"/>
        <v>2.8417947674251565</v>
      </c>
      <c r="N19" s="45">
        <f t="shared" si="1"/>
        <v>111</v>
      </c>
      <c r="O19" s="45">
        <v>20</v>
      </c>
      <c r="P19" s="45">
        <v>40000</v>
      </c>
    </row>
    <row r="20" spans="1:16" x14ac:dyDescent="0.15">
      <c r="A20" s="45">
        <v>120</v>
      </c>
      <c r="B20" s="45">
        <f t="shared" si="2"/>
        <v>24</v>
      </c>
      <c r="C20" s="46">
        <v>12</v>
      </c>
      <c r="D20" s="46">
        <v>135</v>
      </c>
      <c r="E20" s="46">
        <f>求节点(节奏总纲!D$4:D$163,节奏总纲!$C$4:$C$163,$D20)</f>
        <v>70.870795385807057</v>
      </c>
      <c r="F20" s="46">
        <f>求节点(节奏总纲!E$4:E$163,节奏总纲!$C$4:$C$163,$D20)</f>
        <v>72.952911436739612</v>
      </c>
      <c r="G20" s="46">
        <f>求节点(节奏总纲!F$4:F$163,节奏总纲!$C$4:$C$163,$D20)</f>
        <v>75.833923854467812</v>
      </c>
      <c r="H20" s="46">
        <f>求节点(节奏总纲!G$4:G$163,节奏总纲!$C$4:$C$163,$D20)</f>
        <v>80.372537823176572</v>
      </c>
      <c r="I20" s="46">
        <f>求节点(节奏总纲!H$4:H$163,节奏总纲!$C$4:$C$163,$D20)</f>
        <v>89.557218628383211</v>
      </c>
      <c r="J20" s="45">
        <f t="shared" si="0"/>
        <v>2.7995843777019189</v>
      </c>
      <c r="M20" s="45">
        <v>120</v>
      </c>
      <c r="N20" s="45">
        <f t="shared" si="1"/>
        <v>135</v>
      </c>
      <c r="O20" s="45">
        <v>24</v>
      </c>
      <c r="P20" s="45">
        <v>45000</v>
      </c>
    </row>
    <row r="21" spans="1:16" x14ac:dyDescent="0.15">
      <c r="B21" s="45">
        <f t="shared" si="2"/>
        <v>28</v>
      </c>
      <c r="C21" s="46">
        <v>13</v>
      </c>
      <c r="D21" s="46">
        <v>163</v>
      </c>
      <c r="E21" s="46">
        <f>求节点(节奏总纲!D$4:D$163,节奏总纲!$C$4:$C$163,$D21)</f>
        <v>73.56703942367065</v>
      </c>
      <c r="F21" s="46">
        <f>求节点(节奏总纲!E$4:E$163,节奏总纲!$C$4:$C$163,$D21)</f>
        <v>75.645825864028183</v>
      </c>
      <c r="G21" s="46">
        <f>求节点(节奏总纲!F$4:F$163,节奏总纲!$C$4:$C$163,$D21)</f>
        <v>78.501381705572925</v>
      </c>
      <c r="H21" s="46">
        <f>求节点(节奏总纲!G$4:G$163,节奏总纲!$C$4:$C$163,$D21)</f>
        <v>83.124654333465756</v>
      </c>
      <c r="I21" s="46">
        <f>求节点(节奏总纲!H$4:H$163,节奏总纲!$C$4:$C$163,$D21)</f>
        <v>92.500214900900005</v>
      </c>
      <c r="J21" s="45">
        <f t="shared" si="0"/>
        <v>2.6962440378635932</v>
      </c>
      <c r="N21" s="45">
        <f t="shared" si="1"/>
        <v>163</v>
      </c>
      <c r="O21" s="45">
        <v>28</v>
      </c>
      <c r="P21" s="45">
        <v>50000</v>
      </c>
    </row>
    <row r="22" spans="1:16" x14ac:dyDescent="0.15">
      <c r="B22" s="45">
        <f t="shared" si="2"/>
        <v>32</v>
      </c>
      <c r="C22" s="46">
        <v>14</v>
      </c>
      <c r="D22" s="46">
        <v>195</v>
      </c>
      <c r="E22" s="46">
        <f>求节点(节奏总纲!D$4:D$163,节奏总纲!$C$4:$C$163,$D22)</f>
        <v>76.142785979989682</v>
      </c>
      <c r="F22" s="46">
        <f>求节点(节奏总纲!E$4:E$163,节奏总纲!$C$4:$C$163,$D22)</f>
        <v>78.210684562266223</v>
      </c>
      <c r="G22" s="46">
        <f>求节点(节奏总纲!F$4:F$163,节奏总纲!$C$4:$C$163,$D22)</f>
        <v>81.169736118594443</v>
      </c>
      <c r="H22" s="46">
        <f>求节点(节奏总纲!G$4:G$163,节奏总纲!$C$4:$C$163,$D22)</f>
        <v>85.682034282190017</v>
      </c>
      <c r="I22" s="46">
        <f>求节点(节奏总纲!H$4:H$163,节奏总纲!$C$4:$C$163,$D22)</f>
        <v>95.153780129545481</v>
      </c>
      <c r="J22" s="45">
        <f t="shared" si="0"/>
        <v>2.5757465563190323</v>
      </c>
      <c r="N22" s="45">
        <f t="shared" si="1"/>
        <v>195</v>
      </c>
      <c r="O22" s="45">
        <v>32</v>
      </c>
      <c r="P22" s="45">
        <v>55000</v>
      </c>
    </row>
    <row r="23" spans="1:16" x14ac:dyDescent="0.15">
      <c r="B23" s="45">
        <f t="shared" si="2"/>
        <v>36</v>
      </c>
      <c r="C23" s="46">
        <v>15</v>
      </c>
      <c r="D23" s="46">
        <v>231</v>
      </c>
      <c r="E23" s="46">
        <f>求节点(节奏总纲!D$4:D$163,节奏总纲!$C$4:$C$163,$D23)</f>
        <v>78.571351621712921</v>
      </c>
      <c r="F23" s="46">
        <f>求节点(节奏总纲!E$4:E$163,节奏总纲!$C$4:$C$163,$D23)</f>
        <v>80.649135280969972</v>
      </c>
      <c r="G23" s="46">
        <f>求节点(节奏总纲!F$4:F$163,节奏总纲!$C$4:$C$163,$D23)</f>
        <v>83.600970580656536</v>
      </c>
      <c r="H23" s="46">
        <f>求节点(节奏总纲!G$4:G$163,节奏总纲!$C$4:$C$163,$D23)</f>
        <v>88.349033759055899</v>
      </c>
      <c r="I23" s="46">
        <f>求节点(节奏总纲!H$4:H$163,节奏总纲!$C$4:$C$163,$D23)</f>
        <v>97.440455545877413</v>
      </c>
      <c r="J23" s="45">
        <f t="shared" si="0"/>
        <v>2.4285656417232389</v>
      </c>
      <c r="N23" s="45">
        <f t="shared" si="1"/>
        <v>231</v>
      </c>
      <c r="O23" s="45">
        <v>36</v>
      </c>
      <c r="P23" s="45">
        <v>60000</v>
      </c>
    </row>
    <row r="24" spans="1:16" x14ac:dyDescent="0.15">
      <c r="B24" s="45">
        <f t="shared" si="2"/>
        <v>40</v>
      </c>
      <c r="C24" s="46">
        <v>16</v>
      </c>
      <c r="D24" s="46">
        <v>271</v>
      </c>
      <c r="E24" s="46">
        <f>求节点(节奏总纲!D$4:D$163,节奏总纲!$C$4:$C$163,$D24)</f>
        <v>80.870795385807057</v>
      </c>
      <c r="F24" s="46">
        <f>求节点(节奏总纲!E$4:E$163,节奏总纲!$C$4:$C$163,$D24)</f>
        <v>82.970650435868762</v>
      </c>
      <c r="G24" s="46">
        <f>求节点(节奏总纲!F$4:F$163,节奏总纲!$C$4:$C$163,$D24)</f>
        <v>85.932712541223623</v>
      </c>
      <c r="H24" s="46">
        <f>求节点(节奏总纲!G$4:G$163,节奏总纲!$C$4:$C$163,$D24)</f>
        <v>90.908943936706351</v>
      </c>
      <c r="I24" s="46">
        <f>求节点(节奏总纲!H$4:H$163,节奏总纲!$C$4:$C$163,$D24)</f>
        <v>99.780082769469516</v>
      </c>
      <c r="J24" s="45">
        <f t="shared" si="0"/>
        <v>2.2994437640941356</v>
      </c>
      <c r="N24" s="45">
        <f t="shared" si="1"/>
        <v>271</v>
      </c>
      <c r="O24" s="45">
        <v>40</v>
      </c>
      <c r="P24" s="45">
        <v>65000</v>
      </c>
    </row>
    <row r="25" spans="1:16" x14ac:dyDescent="0.15">
      <c r="B25" s="45">
        <f t="shared" si="2"/>
        <v>44</v>
      </c>
      <c r="C25" s="46">
        <v>17</v>
      </c>
      <c r="D25" s="46">
        <v>315</v>
      </c>
      <c r="E25" s="46">
        <f>求节点(节奏总纲!D$4:D$163,节奏总纲!$C$4:$C$163,$D25)</f>
        <v>83.03656019452734</v>
      </c>
      <c r="F25" s="46">
        <f>求节点(节奏总纲!E$4:E$163,节奏总纲!$C$4:$C$163,$D25)</f>
        <v>85.147178897252829</v>
      </c>
      <c r="G25" s="46">
        <f>求节点(节奏总纲!F$4:F$163,节奏总纲!$C$4:$C$163,$D25)</f>
        <v>88.106298297698572</v>
      </c>
      <c r="H25" s="46">
        <f>求节点(节奏总纲!G$4:G$163,节奏总纲!$C$4:$C$163,$D25)</f>
        <v>93.164006785886826</v>
      </c>
      <c r="I25" s="46">
        <f>求节点(节奏总纲!H$4:H$163,节奏总纲!$C$4:$C$163,$D25)</f>
        <v>102.06459660376342</v>
      </c>
      <c r="J25" s="45">
        <f t="shared" si="0"/>
        <v>2.165764808720283</v>
      </c>
      <c r="N25" s="45">
        <f t="shared" si="1"/>
        <v>315</v>
      </c>
      <c r="O25" s="45">
        <v>44</v>
      </c>
      <c r="P25" s="45">
        <v>70000</v>
      </c>
    </row>
    <row r="26" spans="1:16" x14ac:dyDescent="0.15">
      <c r="A26" s="45">
        <v>360</v>
      </c>
      <c r="B26" s="45">
        <f t="shared" si="2"/>
        <v>48</v>
      </c>
      <c r="C26" s="46">
        <v>18</v>
      </c>
      <c r="D26" s="46">
        <v>363</v>
      </c>
      <c r="E26" s="46">
        <f>求节点(节奏总纲!D$4:D$163,节奏总纲!$C$4:$C$163,$D26)</f>
        <v>85.075479910097457</v>
      </c>
      <c r="F26" s="46">
        <f>求节点(节奏总纲!E$4:E$163,节奏总纲!$C$4:$C$163,$D26)</f>
        <v>87.1780175283143</v>
      </c>
      <c r="G26" s="46">
        <f>求节点(节奏总纲!F$4:F$163,节奏总纲!$C$4:$C$163,$D26)</f>
        <v>90.365066735590489</v>
      </c>
      <c r="H26" s="46">
        <f>求节点(节奏总纲!G$4:G$163,节奏总纲!$C$4:$C$163,$D26)</f>
        <v>95.300566218442739</v>
      </c>
      <c r="I26" s="46">
        <f>求节点(节奏总纲!H$4:H$163,节奏总纲!$C$4:$C$163,$D26)</f>
        <v>104.09666526841893</v>
      </c>
      <c r="M26" s="45">
        <v>360</v>
      </c>
      <c r="N26" s="45">
        <f t="shared" si="1"/>
        <v>363</v>
      </c>
      <c r="O26" s="45">
        <v>48</v>
      </c>
      <c r="P26" s="45">
        <v>75000</v>
      </c>
    </row>
    <row r="27" spans="1:16" x14ac:dyDescent="0.15">
      <c r="C27" s="46"/>
      <c r="D27" s="46"/>
      <c r="E27" s="46"/>
      <c r="F27" s="46"/>
      <c r="G27" s="46"/>
      <c r="H27" s="46"/>
      <c r="I27" s="46"/>
    </row>
    <row r="28" spans="1:16" x14ac:dyDescent="0.15">
      <c r="C28" s="46"/>
      <c r="D28" s="46"/>
      <c r="E28" s="46"/>
      <c r="F28" s="46"/>
      <c r="G28" s="46"/>
      <c r="H28" s="46"/>
      <c r="I28" s="46"/>
    </row>
  </sheetData>
  <mergeCells count="1">
    <mergeCell ref="C6:I6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741E5-740C-4C2D-95E0-C195799CB9E9}">
  <sheetPr codeName="Sheet2"/>
  <dimension ref="A2:L166"/>
  <sheetViews>
    <sheetView tabSelected="1" workbookViewId="0">
      <selection activeCell="C9" sqref="C9"/>
    </sheetView>
  </sheetViews>
  <sheetFormatPr defaultColWidth="6.625" defaultRowHeight="11.25" x14ac:dyDescent="0.15"/>
  <cols>
    <col min="1" max="1" width="12.25" style="42" bestFit="1" customWidth="1"/>
    <col min="2" max="3" width="6.625" style="42"/>
    <col min="4" max="4" width="6.625" style="49"/>
    <col min="5" max="16384" width="6.625" style="42"/>
  </cols>
  <sheetData>
    <row r="2" spans="1:12" x14ac:dyDescent="0.15">
      <c r="A2" s="75" t="s">
        <v>124</v>
      </c>
    </row>
    <row r="3" spans="1:12" x14ac:dyDescent="0.15">
      <c r="A3" s="42" t="s">
        <v>110</v>
      </c>
      <c r="B3" s="42" t="s">
        <v>122</v>
      </c>
    </row>
    <row r="4" spans="1:12" x14ac:dyDescent="0.15">
      <c r="A4" s="42" t="s">
        <v>111</v>
      </c>
      <c r="B4" s="42">
        <v>500</v>
      </c>
    </row>
    <row r="5" spans="1:12" x14ac:dyDescent="0.15">
      <c r="A5" s="42" t="s">
        <v>121</v>
      </c>
      <c r="B5" s="42">
        <v>1000</v>
      </c>
      <c r="H5" s="64" t="s">
        <v>112</v>
      </c>
      <c r="I5" s="64"/>
      <c r="J5" s="64"/>
      <c r="K5" s="64"/>
      <c r="L5" s="64"/>
    </row>
    <row r="6" spans="1:12" x14ac:dyDescent="0.15">
      <c r="A6" s="42" t="s">
        <v>123</v>
      </c>
      <c r="B6" s="42">
        <f>SUM(B4:B5)</f>
        <v>1500</v>
      </c>
      <c r="G6" s="42" t="s">
        <v>82</v>
      </c>
      <c r="H6" s="42" t="s">
        <v>36</v>
      </c>
      <c r="I6" s="42" t="s">
        <v>37</v>
      </c>
      <c r="J6" s="42" t="s">
        <v>38</v>
      </c>
      <c r="K6" s="42" t="s">
        <v>39</v>
      </c>
      <c r="L6" s="42" t="s">
        <v>40</v>
      </c>
    </row>
    <row r="7" spans="1:12" x14ac:dyDescent="0.15">
      <c r="G7" s="42">
        <v>1</v>
      </c>
      <c r="H7" s="48">
        <f>节奏总纲!D4*$B$6</f>
        <v>107.6601938044397</v>
      </c>
      <c r="I7" s="48">
        <f>节奏总纲!E4*$B$6</f>
        <v>89.680941439098262</v>
      </c>
      <c r="J7" s="48">
        <f>节奏总纲!F4*$B$6</f>
        <v>70.162148302353344</v>
      </c>
      <c r="K7" s="48">
        <f>节奏总纲!G4*$B$6</f>
        <v>48.877727987215621</v>
      </c>
      <c r="L7" s="48">
        <f>节奏总纲!H4*$B$6</f>
        <v>25.558530009173982</v>
      </c>
    </row>
    <row r="8" spans="1:12" x14ac:dyDescent="0.15">
      <c r="G8" s="42">
        <v>2</v>
      </c>
      <c r="H8" s="48">
        <f>节奏总纲!D5*$B$6</f>
        <v>223.04753249555264</v>
      </c>
      <c r="I8" s="48">
        <f>节奏总纲!E5*$B$6</f>
        <v>187.58297482875977</v>
      </c>
      <c r="J8" s="48">
        <f>节奏总纲!F5*$B$6</f>
        <v>148.25969484979382</v>
      </c>
      <c r="K8" s="48">
        <f>节奏总纲!G5*$B$6</f>
        <v>104.74312125991152</v>
      </c>
      <c r="L8" s="48">
        <f>节奏总纲!H5*$B$6</f>
        <v>55.628054604390826</v>
      </c>
    </row>
    <row r="9" spans="1:12" x14ac:dyDescent="0.15">
      <c r="G9" s="42">
        <v>3</v>
      </c>
      <c r="H9" s="48">
        <f>节奏总纲!D6*$B$6</f>
        <v>346.71662001737445</v>
      </c>
      <c r="I9" s="48">
        <f>节奏总纲!E6*$B$6</f>
        <v>293.73832047871963</v>
      </c>
      <c r="J9" s="48">
        <f>节奏总纲!F6*$B$6</f>
        <v>234.24174848373821</v>
      </c>
      <c r="K9" s="48">
        <f>节奏总纲!G6*$B$6</f>
        <v>166.80536589035887</v>
      </c>
      <c r="L9" s="48">
        <f>节奏总纲!H6*$B$6</f>
        <v>89.071499682463511</v>
      </c>
    </row>
    <row r="10" spans="1:12" x14ac:dyDescent="0.15">
      <c r="G10" s="42">
        <v>4</v>
      </c>
      <c r="H10" s="48">
        <f>节奏总纲!D7*$B$6</f>
        <v>479.26186615934131</v>
      </c>
      <c r="I10" s="48">
        <f>节奏总纲!E7*$B$6</f>
        <v>407.94770047483127</v>
      </c>
      <c r="J10" s="48">
        <f>节奏总纲!F7*$B$6</f>
        <v>327.24000221359819</v>
      </c>
      <c r="K10" s="48">
        <f>节奏总纲!G7*$B$6</f>
        <v>234.11942161883823</v>
      </c>
      <c r="L10" s="48">
        <f>节奏总纲!H7*$B$6</f>
        <v>126.09379698652269</v>
      </c>
    </row>
    <row r="11" spans="1:12" x14ac:dyDescent="0.15">
      <c r="G11" s="42">
        <v>5</v>
      </c>
      <c r="H11" s="48">
        <f>节奏总纲!D8*$B$6</f>
        <v>621.32034355964277</v>
      </c>
      <c r="I11" s="48">
        <f>节奏总纲!E8*$B$6</f>
        <v>528.61934830054406</v>
      </c>
      <c r="J11" s="48">
        <f>节奏总纲!F8*$B$6</f>
        <v>424.73458685737171</v>
      </c>
      <c r="K11" s="48">
        <f>节奏总纲!G8*$B$6</f>
        <v>304.44696834422496</v>
      </c>
      <c r="L11" s="48">
        <f>节奏总纲!H8*$B$6</f>
        <v>164.27709883716955</v>
      </c>
    </row>
    <row r="12" spans="1:12" x14ac:dyDescent="0.15">
      <c r="G12" s="42">
        <v>6</v>
      </c>
      <c r="H12" s="48">
        <f>节奏总纲!D9*$B$6</f>
        <v>773.57484976559704</v>
      </c>
      <c r="I12" s="48">
        <f>节奏总纲!E9*$B$6</f>
        <v>659.08577200028867</v>
      </c>
      <c r="J12" s="48">
        <f>节奏总纲!F9*$B$6</f>
        <v>530.05348705938707</v>
      </c>
      <c r="K12" s="48">
        <f>节奏总纲!G9*$B$6</f>
        <v>381.60447338936905</v>
      </c>
      <c r="L12" s="48">
        <f>节奏总纲!H9*$B$6</f>
        <v>207.55013219210969</v>
      </c>
    </row>
    <row r="13" spans="1:12" x14ac:dyDescent="0.15">
      <c r="G13" s="42">
        <v>7</v>
      </c>
      <c r="H13" s="48">
        <f>节奏总纲!D10*$B$6</f>
        <v>936.75718906870645</v>
      </c>
      <c r="I13" s="48">
        <f>节奏总纲!E10*$B$6</f>
        <v>801.20842381046452</v>
      </c>
      <c r="J13" s="48">
        <f>节奏总纲!F10*$B$6</f>
        <v>646.08143330068674</v>
      </c>
      <c r="K13" s="48">
        <f>节奏总纲!G10*$B$6</f>
        <v>464.25686290245091</v>
      </c>
      <c r="L13" s="48">
        <f>节奏总纲!H10*$B$6</f>
        <v>250.48887235697211</v>
      </c>
    </row>
    <row r="14" spans="1:12" x14ac:dyDescent="0.15">
      <c r="G14" s="42">
        <v>8</v>
      </c>
      <c r="H14" s="48">
        <f>节奏总纲!D11*$B$6</f>
        <v>1111.6516898883724</v>
      </c>
      <c r="I14" s="48">
        <f>节奏总纲!E11*$B$6</f>
        <v>946.34908360197142</v>
      </c>
      <c r="J14" s="48">
        <f>节奏总纲!F11*$B$6</f>
        <v>758.25761767285871</v>
      </c>
      <c r="K14" s="48">
        <f>节奏总纲!G11*$B$6</f>
        <v>542.93068534148108</v>
      </c>
      <c r="L14" s="48">
        <f>节奏总纲!H11*$B$6</f>
        <v>293.69837646850794</v>
      </c>
    </row>
    <row r="15" spans="1:12" x14ac:dyDescent="0.15">
      <c r="G15" s="42">
        <v>9</v>
      </c>
      <c r="H15" s="48">
        <f>节奏总纲!D12*$B$6</f>
        <v>1299.0989746104221</v>
      </c>
      <c r="I15" s="48">
        <f>节奏总纲!E12*$B$6</f>
        <v>1105.5332273934694</v>
      </c>
      <c r="J15" s="48">
        <f>节奏总纲!F12*$B$6</f>
        <v>889.23324812083399</v>
      </c>
      <c r="K15" s="48">
        <f>节奏总纲!G12*$B$6</f>
        <v>641.49507366262651</v>
      </c>
      <c r="L15" s="48">
        <f>节奏总纲!H12*$B$6</f>
        <v>347.89870540067102</v>
      </c>
    </row>
    <row r="16" spans="1:12" x14ac:dyDescent="0.15">
      <c r="G16" s="42">
        <v>10</v>
      </c>
      <c r="H16" s="48">
        <f>节奏总纲!D13*$B$6</f>
        <v>1500</v>
      </c>
      <c r="I16" s="48">
        <f>节奏总纲!E13*$B$6</f>
        <v>1282.2</v>
      </c>
      <c r="J16" s="48">
        <f>节奏总纲!F13*$B$6</f>
        <v>1034.25</v>
      </c>
      <c r="K16" s="48">
        <f>节奏总纲!G13*$B$6</f>
        <v>749.7</v>
      </c>
      <c r="L16" s="48">
        <f>节奏总纲!H13*$B$6</f>
        <v>409.8</v>
      </c>
    </row>
    <row r="17" spans="7:12" x14ac:dyDescent="0.15">
      <c r="G17" s="42">
        <v>11</v>
      </c>
      <c r="H17" s="48">
        <f>节奏总纲!D14*$B$6</f>
        <v>1715.3203876088794</v>
      </c>
      <c r="I17" s="48">
        <f>节奏总纲!E14*$B$6</f>
        <v>1470.5441682970923</v>
      </c>
      <c r="J17" s="48">
        <f>节奏总纲!F14*$B$6</f>
        <v>1191.8046053106493</v>
      </c>
      <c r="K17" s="48">
        <f>节奏总纲!G14*$B$6</f>
        <v>863.6638151610706</v>
      </c>
      <c r="L17" s="48">
        <f>节奏总纲!H14*$B$6</f>
        <v>476.51600367774665</v>
      </c>
    </row>
    <row r="18" spans="7:12" x14ac:dyDescent="0.15">
      <c r="G18" s="42">
        <v>12</v>
      </c>
      <c r="H18" s="48">
        <f>节奏总纲!D15*$B$6</f>
        <v>1946.0950649911053</v>
      </c>
      <c r="I18" s="48">
        <f>节奏总纲!E15*$B$6</f>
        <v>1668.9711277363717</v>
      </c>
      <c r="J18" s="48">
        <f>节奏总纲!F15*$B$6</f>
        <v>1358.7635743767898</v>
      </c>
      <c r="K18" s="48">
        <f>节奏总纲!G15*$B$6</f>
        <v>993.28692117145999</v>
      </c>
      <c r="L18" s="48">
        <f>节奏总纲!H15*$B$6</f>
        <v>548.40958931449347</v>
      </c>
    </row>
    <row r="19" spans="7:12" x14ac:dyDescent="0.15">
      <c r="G19" s="42">
        <v>13</v>
      </c>
      <c r="H19" s="48">
        <f>节奏总纲!D16*$B$6</f>
        <v>2193.4332400347489</v>
      </c>
      <c r="I19" s="48">
        <f>节奏总纲!E16*$B$6</f>
        <v>1894.2489460940094</v>
      </c>
      <c r="J19" s="48">
        <f>节奏总纲!F16*$B$6</f>
        <v>1544.1770009844631</v>
      </c>
      <c r="K19" s="48">
        <f>节奏总纲!G16*$B$6</f>
        <v>1133.3469551259548</v>
      </c>
      <c r="L19" s="48">
        <f>节奏总纲!H16*$B$6</f>
        <v>627.97993662194858</v>
      </c>
    </row>
    <row r="20" spans="7:12" x14ac:dyDescent="0.15">
      <c r="G20" s="42">
        <v>14</v>
      </c>
      <c r="H20" s="48">
        <f>节奏总纲!D17*$B$6</f>
        <v>2458.5237323186825</v>
      </c>
      <c r="I20" s="48">
        <f>节奏总纲!E17*$B$6</f>
        <v>2120.4767191248638</v>
      </c>
      <c r="J20" s="48">
        <f>节奏总纲!F17*$B$6</f>
        <v>1731.78411704528</v>
      </c>
      <c r="K20" s="48">
        <f>节奏总纲!G17*$B$6</f>
        <v>1269.0899506229039</v>
      </c>
      <c r="L20" s="48">
        <f>节奏总纲!H17*$B$6</f>
        <v>702.1543779502158</v>
      </c>
    </row>
    <row r="21" spans="7:12" x14ac:dyDescent="0.15">
      <c r="G21" s="42">
        <v>15</v>
      </c>
      <c r="H21" s="48">
        <f>节奏总纲!D18*$B$6</f>
        <v>2742.6406871192848</v>
      </c>
      <c r="I21" s="48">
        <f>节奏总纲!E18*$B$6</f>
        <v>2369.093025533638</v>
      </c>
      <c r="J21" s="48">
        <f>节奏总纲!F18*$B$6</f>
        <v>1939.3212298620463</v>
      </c>
      <c r="K21" s="48">
        <f>节奏总纲!G18*$B$6</f>
        <v>1423.4305166149088</v>
      </c>
      <c r="L21" s="48">
        <f>节奏总纲!H18*$B$6</f>
        <v>790.70331009648976</v>
      </c>
    </row>
    <row r="22" spans="7:12" x14ac:dyDescent="0.15">
      <c r="G22" s="42">
        <v>16</v>
      </c>
      <c r="H22" s="48">
        <f>节奏总纲!D19*$B$6</f>
        <v>3047.1496995311941</v>
      </c>
      <c r="I22" s="48">
        <f>节奏总纲!E19*$B$6</f>
        <v>2637.9174948841546</v>
      </c>
      <c r="J22" s="48">
        <f>节奏总纲!F19*$B$6</f>
        <v>2159.8197070277101</v>
      </c>
      <c r="K22" s="48">
        <f>节奏总纲!G19*$B$6</f>
        <v>1592.7451479449553</v>
      </c>
      <c r="L22" s="48">
        <f>节奏总纲!H19*$B$6</f>
        <v>891.90071705278046</v>
      </c>
    </row>
    <row r="23" spans="7:12" x14ac:dyDescent="0.15">
      <c r="G23" s="42">
        <v>17</v>
      </c>
      <c r="H23" s="48">
        <f>节奏总纲!D20*$B$6</f>
        <v>3373.5143781374127</v>
      </c>
      <c r="I23" s="48">
        <f>节奏总纲!E20*$B$6</f>
        <v>2915.0537741485382</v>
      </c>
      <c r="J23" s="48">
        <f>节奏总纲!F20*$B$6</f>
        <v>2385.7493682187783</v>
      </c>
      <c r="K23" s="48">
        <f>节奏总纲!G20*$B$6</f>
        <v>1761.3118568255431</v>
      </c>
      <c r="L23" s="48">
        <f>节奏总纲!H20*$B$6</f>
        <v>979.6685754111046</v>
      </c>
    </row>
    <row r="24" spans="7:12" x14ac:dyDescent="0.15">
      <c r="G24" s="42">
        <v>18</v>
      </c>
      <c r="H24" s="48">
        <f>节奏总纲!D21*$B$6</f>
        <v>3723.3033797767448</v>
      </c>
      <c r="I24" s="48">
        <f>节奏总纲!E21*$B$6</f>
        <v>3227.3593695904819</v>
      </c>
      <c r="J24" s="48">
        <f>节奏总纲!F21*$B$6</f>
        <v>2653.5983187668862</v>
      </c>
      <c r="K24" s="48">
        <f>节奏总纲!G21*$B$6</f>
        <v>1959.9468991144784</v>
      </c>
      <c r="L24" s="48">
        <f>节奏总纲!H21*$B$6</f>
        <v>1088.3215779087425</v>
      </c>
    </row>
    <row r="25" spans="7:12" x14ac:dyDescent="0.15">
      <c r="G25" s="42">
        <v>19</v>
      </c>
      <c r="H25" s="48">
        <f>节奏总纲!D22*$B$6</f>
        <v>4098.1979492208447</v>
      </c>
      <c r="I25" s="48">
        <f>节奏总纲!E22*$B$6</f>
        <v>3560.1045584881481</v>
      </c>
      <c r="J25" s="48">
        <f>节奏总纲!F22*$B$6</f>
        <v>2926.5231555386049</v>
      </c>
      <c r="K25" s="48">
        <f>节奏总纲!G22*$B$6</f>
        <v>2159.3404994444631</v>
      </c>
      <c r="L25" s="48">
        <f>节奏总纲!H22*$B$6</f>
        <v>1204.0505574810841</v>
      </c>
    </row>
    <row r="26" spans="7:12" x14ac:dyDescent="0.15">
      <c r="G26" s="42">
        <v>20</v>
      </c>
      <c r="H26" s="48">
        <f>节奏总纲!D23*$B$6</f>
        <v>4500</v>
      </c>
      <c r="I26" s="48">
        <f>节奏总纲!E23*$B$6</f>
        <v>3905.5499999999997</v>
      </c>
      <c r="J26" s="48">
        <f>节奏总纲!F23*$B$6</f>
        <v>3205.8</v>
      </c>
      <c r="K26" s="48">
        <f>节奏总纲!G23*$B$6</f>
        <v>2370.1499999999996</v>
      </c>
      <c r="L26" s="48">
        <f>节奏总纲!H23*$B$6</f>
        <v>1319.8500000000001</v>
      </c>
    </row>
    <row r="27" spans="7:12" x14ac:dyDescent="0.15">
      <c r="G27" s="42">
        <v>21</v>
      </c>
      <c r="H27" s="48">
        <f>节奏总纲!D24*$B$6</f>
        <v>4930.6407752177583</v>
      </c>
      <c r="I27" s="48">
        <f>节奏总纲!E24*$B$6</f>
        <v>4277.8239365789277</v>
      </c>
      <c r="J27" s="48">
        <f>节奏总纲!F24*$B$6</f>
        <v>3519.9844494279578</v>
      </c>
      <c r="K27" s="48">
        <f>节奏总纲!G24*$B$6</f>
        <v>2604.8575215475421</v>
      </c>
      <c r="L27" s="48">
        <f>节奏总纲!H24*$B$6</f>
        <v>1457.4974131543693</v>
      </c>
    </row>
    <row r="28" spans="7:12" x14ac:dyDescent="0.15">
      <c r="G28" s="42">
        <v>22</v>
      </c>
      <c r="H28" s="48">
        <f>节奏总纲!D25*$B$6</f>
        <v>5392.1901299822093</v>
      </c>
      <c r="I28" s="48">
        <f>节奏总纲!E25*$B$6</f>
        <v>4686.3524419675377</v>
      </c>
      <c r="J28" s="48">
        <f>节奏总纲!F25*$B$6</f>
        <v>3862.425790106257</v>
      </c>
      <c r="K28" s="48">
        <f>节奏总纲!G25*$B$6</f>
        <v>2861.6353019815583</v>
      </c>
      <c r="L28" s="48">
        <f>节奏总纲!H25*$B$6</f>
        <v>1603.0981256437108</v>
      </c>
    </row>
    <row r="29" spans="7:12" x14ac:dyDescent="0.15">
      <c r="G29" s="42">
        <v>23</v>
      </c>
      <c r="H29" s="48">
        <f>节奏总纲!D26*$B$6</f>
        <v>5886.8664800694969</v>
      </c>
      <c r="I29" s="48">
        <f>节奏总纲!E26*$B$6</f>
        <v>5112.1548512923509</v>
      </c>
      <c r="J29" s="48">
        <f>节奏总纲!F26*$B$6</f>
        <v>4209.6982198976966</v>
      </c>
      <c r="K29" s="48">
        <f>节奏总纲!G26*$B$6</f>
        <v>3119.450547788826</v>
      </c>
      <c r="L29" s="48">
        <f>节奏总纲!H26*$B$6</f>
        <v>1741.335104804557</v>
      </c>
    </row>
    <row r="30" spans="7:12" x14ac:dyDescent="0.15">
      <c r="G30" s="42">
        <v>24</v>
      </c>
      <c r="H30" s="48">
        <f>节奏总纲!D27*$B$6</f>
        <v>6417.047464637365</v>
      </c>
      <c r="I30" s="48">
        <f>节奏总纲!E27*$B$6</f>
        <v>5582.1895894880445</v>
      </c>
      <c r="J30" s="48">
        <f>节奏总纲!F27*$B$6</f>
        <v>4604.8732606237736</v>
      </c>
      <c r="K30" s="48">
        <f>节奏总纲!G27*$B$6</f>
        <v>3411.3024322012229</v>
      </c>
      <c r="L30" s="48">
        <f>节奏总纲!H27*$B$6</f>
        <v>1903.9379827579064</v>
      </c>
    </row>
    <row r="31" spans="7:12" x14ac:dyDescent="0.15">
      <c r="G31" s="42">
        <v>25</v>
      </c>
      <c r="H31" s="48">
        <f>节奏总纲!D28*$B$6</f>
        <v>6985.2813742385706</v>
      </c>
      <c r="I31" s="48">
        <f>节奏总纲!E28*$B$6</f>
        <v>6081.3859644121003</v>
      </c>
      <c r="J31" s="48">
        <f>节奏总纲!F28*$B$6</f>
        <v>5016.8290829781417</v>
      </c>
      <c r="K31" s="48">
        <f>节奏总纲!G28*$B$6</f>
        <v>3717.5667473697677</v>
      </c>
      <c r="L31" s="48">
        <f>节奏总纲!H28*$B$6</f>
        <v>2070.4373993243121</v>
      </c>
    </row>
    <row r="32" spans="7:12" x14ac:dyDescent="0.15">
      <c r="G32" s="42">
        <v>26</v>
      </c>
      <c r="H32" s="48">
        <f>节奏总纲!D29*$B$6</f>
        <v>7594.2993990623881</v>
      </c>
      <c r="I32" s="48">
        <f>节奏总纲!E29*$B$6</f>
        <v>6613.1159167035266</v>
      </c>
      <c r="J32" s="48">
        <f>节奏总纲!F29*$B$6</f>
        <v>5455.7446882864197</v>
      </c>
      <c r="K32" s="48">
        <f>节奏总纲!G29*$B$6</f>
        <v>4037.1295605415648</v>
      </c>
      <c r="L32" s="48">
        <f>节奏总纲!H29*$B$6</f>
        <v>2249.4314820022796</v>
      </c>
    </row>
    <row r="33" spans="7:12" x14ac:dyDescent="0.15">
      <c r="G33" s="42">
        <v>27</v>
      </c>
      <c r="H33" s="48">
        <f>节奏总纲!D30*$B$6</f>
        <v>8247.0287562748272</v>
      </c>
      <c r="I33" s="48">
        <f>节奏总纲!E30*$B$6</f>
        <v>7182.3373438397466</v>
      </c>
      <c r="J33" s="48">
        <f>节奏总纲!F30*$B$6</f>
        <v>5923.840755632209</v>
      </c>
      <c r="K33" s="48">
        <f>节奏总纲!G30*$B$6</f>
        <v>4380.8216753331881</v>
      </c>
      <c r="L33" s="48">
        <f>节奏总纲!H30*$B$6</f>
        <v>2443.5946204842312</v>
      </c>
    </row>
    <row r="34" spans="7:12" x14ac:dyDescent="0.15">
      <c r="G34" s="42">
        <v>28</v>
      </c>
      <c r="H34" s="48">
        <f>节奏总纲!D31*$B$6</f>
        <v>8946.6067595534878</v>
      </c>
      <c r="I34" s="48">
        <f>节奏总纲!E31*$B$6</f>
        <v>7787.126523515356</v>
      </c>
      <c r="J34" s="48">
        <f>节奏总纲!F31*$B$6</f>
        <v>6412.9277252479405</v>
      </c>
      <c r="K34" s="48">
        <f>节奏总纲!G31*$B$6</f>
        <v>4747.9642072950355</v>
      </c>
      <c r="L34" s="48">
        <f>节奏总纲!H31*$B$6</f>
        <v>2660.7208502912072</v>
      </c>
    </row>
    <row r="35" spans="7:12" x14ac:dyDescent="0.15">
      <c r="G35" s="42">
        <v>29</v>
      </c>
      <c r="H35" s="48">
        <f>节奏总纲!D32*$B$6</f>
        <v>9696.3958984416859</v>
      </c>
      <c r="I35" s="48">
        <f>节奏总纲!E32*$B$6</f>
        <v>8448.4697463122411</v>
      </c>
      <c r="J35" s="48">
        <f>节奏总纲!F32*$B$6</f>
        <v>6976.5568489287934</v>
      </c>
      <c r="K35" s="48">
        <f>节奏总纲!G32*$B$6</f>
        <v>5179.8146889475483</v>
      </c>
      <c r="L35" s="48">
        <f>节奏总纲!H32*$B$6</f>
        <v>2905.0402111731291</v>
      </c>
    </row>
    <row r="36" spans="7:12" x14ac:dyDescent="0.15">
      <c r="G36" s="42">
        <v>30</v>
      </c>
      <c r="H36" s="48">
        <f>节奏总纲!D33*$B$6</f>
        <v>10500</v>
      </c>
      <c r="I36" s="48">
        <f>节奏总纲!E33*$B$6</f>
        <v>9153.9</v>
      </c>
      <c r="J36" s="48">
        <f>节奏总纲!F33*$B$6</f>
        <v>7563.1500000000005</v>
      </c>
      <c r="K36" s="48">
        <f>节奏总纲!G33*$B$6</f>
        <v>5614.3499999999995</v>
      </c>
      <c r="L36" s="48">
        <f>节奏总纲!H33*$B$6</f>
        <v>3151.0499999999997</v>
      </c>
    </row>
    <row r="37" spans="7:12" x14ac:dyDescent="0.15">
      <c r="G37" s="42">
        <v>31</v>
      </c>
      <c r="H37" s="48">
        <f>节奏总纲!D34*$B$6</f>
        <v>11361.281550435515</v>
      </c>
      <c r="I37" s="48">
        <f>节奏总纲!E34*$B$6</f>
        <v>9917.2626653751613</v>
      </c>
      <c r="J37" s="48">
        <f>节奏总纲!F34*$B$6</f>
        <v>8194.8923823291389</v>
      </c>
      <c r="K37" s="48">
        <f>节奏总纲!G34*$B$6</f>
        <v>6078.2856294830008</v>
      </c>
      <c r="L37" s="48">
        <f>节奏总纲!H34*$B$6</f>
        <v>3417.4734903710032</v>
      </c>
    </row>
    <row r="38" spans="7:12" x14ac:dyDescent="0.15">
      <c r="G38" s="42">
        <v>32</v>
      </c>
      <c r="H38" s="48">
        <f>节奏总纲!D35*$B$6</f>
        <v>12284.380259964419</v>
      </c>
      <c r="I38" s="48">
        <f>节奏总纲!E35*$B$6</f>
        <v>10727.949281026928</v>
      </c>
      <c r="J38" s="48">
        <f>节奏总纲!F35*$B$6</f>
        <v>8859.4950434863385</v>
      </c>
      <c r="K38" s="48">
        <f>节奏总纲!G35*$B$6</f>
        <v>6578.2856292109464</v>
      </c>
      <c r="L38" s="48">
        <f>节奏总纲!H35*$B$6</f>
        <v>3697.5984582492902</v>
      </c>
    </row>
    <row r="39" spans="7:12" x14ac:dyDescent="0.15">
      <c r="G39" s="42">
        <v>33</v>
      </c>
      <c r="H39" s="48">
        <f>节奏总纲!D36*$B$6</f>
        <v>13273.732960138994</v>
      </c>
      <c r="I39" s="48">
        <f>节奏总纲!E36*$B$6</f>
        <v>11568.058274761133</v>
      </c>
      <c r="J39" s="48">
        <f>节奏总纲!F36*$B$6</f>
        <v>9554.432984708048</v>
      </c>
      <c r="K39" s="48">
        <f>节奏总纲!G36*$B$6</f>
        <v>7104.1018802663893</v>
      </c>
      <c r="L39" s="48">
        <f>节奏总纲!H36*$B$6</f>
        <v>3994.0662477058227</v>
      </c>
    </row>
    <row r="40" spans="7:12" x14ac:dyDescent="0.15">
      <c r="G40" s="42">
        <v>34</v>
      </c>
      <c r="H40" s="48">
        <f>节奏总纲!D37*$B$6</f>
        <v>14334.094929274728</v>
      </c>
      <c r="I40" s="48">
        <f>节奏总纲!E37*$B$6</f>
        <v>12496.463959341707</v>
      </c>
      <c r="J40" s="48">
        <f>节奏总纲!F37*$B$6</f>
        <v>10337.749262992933</v>
      </c>
      <c r="K40" s="48">
        <f>节奏总纲!G37*$B$6</f>
        <v>7693.1087485417447</v>
      </c>
      <c r="L40" s="48">
        <f>节奏总纲!H37*$B$6</f>
        <v>4321.7296211763305</v>
      </c>
    </row>
    <row r="41" spans="7:12" x14ac:dyDescent="0.15">
      <c r="G41" s="42">
        <v>35</v>
      </c>
      <c r="H41" s="48">
        <f>节奏总纲!D38*$B$6</f>
        <v>15470.562748477139</v>
      </c>
      <c r="I41" s="48">
        <f>节奏总纲!E38*$B$6</f>
        <v>13507.348335695389</v>
      </c>
      <c r="J41" s="48">
        <f>节奏总纲!F38*$B$6</f>
        <v>11182.122754599275</v>
      </c>
      <c r="K41" s="48">
        <f>节奏总纲!G38*$B$6</f>
        <v>8310.7863084819201</v>
      </c>
      <c r="L41" s="48">
        <f>节奏总纲!H38*$B$6</f>
        <v>4665.9217249407047</v>
      </c>
    </row>
    <row r="42" spans="7:12" x14ac:dyDescent="0.15">
      <c r="G42" s="42">
        <v>36</v>
      </c>
      <c r="H42" s="48">
        <f>节奏总纲!D39*$B$6</f>
        <v>16688.598798124774</v>
      </c>
      <c r="I42" s="48">
        <f>节奏总纲!E39*$B$6</f>
        <v>14589.173069320679</v>
      </c>
      <c r="J42" s="48">
        <f>节奏总纲!F39*$B$6</f>
        <v>12060.850351404775</v>
      </c>
      <c r="K42" s="48">
        <f>节奏总纲!G39*$B$6</f>
        <v>8955.1021150737542</v>
      </c>
      <c r="L42" s="48">
        <f>节奏总纲!H39*$B$6</f>
        <v>5008.2484993172448</v>
      </c>
    </row>
    <row r="43" spans="7:12" x14ac:dyDescent="0.15">
      <c r="G43" s="42">
        <v>37</v>
      </c>
      <c r="H43" s="48">
        <f>节奏总纲!D40*$B$6</f>
        <v>17994.057512549651</v>
      </c>
      <c r="I43" s="48">
        <f>节奏总纲!E40*$B$6</f>
        <v>15725.00686021714</v>
      </c>
      <c r="J43" s="48">
        <f>节奏总纲!F40*$B$6</f>
        <v>13000.706552817124</v>
      </c>
      <c r="K43" s="48">
        <f>节奏总纲!G40*$B$6</f>
        <v>9625.0213634628108</v>
      </c>
      <c r="L43" s="48">
        <f>节奏总纲!H40*$B$6</f>
        <v>5400.01665951615</v>
      </c>
    </row>
    <row r="44" spans="7:12" x14ac:dyDescent="0.15">
      <c r="G44" s="42">
        <v>38</v>
      </c>
      <c r="H44" s="48">
        <f>节奏总纲!D41*$B$6</f>
        <v>19393.213519106976</v>
      </c>
      <c r="I44" s="48">
        <f>节奏总纲!E41*$B$6</f>
        <v>16938.032687588035</v>
      </c>
      <c r="J44" s="48">
        <f>节奏总纲!F41*$B$6</f>
        <v>13978.628304572308</v>
      </c>
      <c r="K44" s="48">
        <f>节奏总纲!G41*$B$6</f>
        <v>10344.340091091661</v>
      </c>
      <c r="L44" s="48">
        <f>节奏总纲!H41*$B$6</f>
        <v>5806.3281276206289</v>
      </c>
    </row>
    <row r="45" spans="7:12" x14ac:dyDescent="0.15">
      <c r="G45" s="42">
        <v>39</v>
      </c>
      <c r="H45" s="48">
        <f>节奏总纲!D42*$B$6</f>
        <v>20892.791796883375</v>
      </c>
      <c r="I45" s="48">
        <f>节奏总纲!E42*$B$6</f>
        <v>18220.603726061992</v>
      </c>
      <c r="J45" s="48">
        <f>节奏总纲!F42*$B$6</f>
        <v>15024.006581138834</v>
      </c>
      <c r="K45" s="48">
        <f>节奏总纲!G42*$B$6</f>
        <v>11129.590190199773</v>
      </c>
      <c r="L45" s="48">
        <f>节奏总纲!H42*$B$6</f>
        <v>6255.3018639868824</v>
      </c>
    </row>
    <row r="46" spans="7:12" x14ac:dyDescent="0.15">
      <c r="G46" s="42">
        <v>40</v>
      </c>
      <c r="H46" s="48">
        <f>节奏总纲!D43*$B$6</f>
        <v>22500</v>
      </c>
      <c r="I46" s="48">
        <f>节奏总纲!E43*$B$6</f>
        <v>19588.5</v>
      </c>
      <c r="J46" s="48">
        <f>节奏总纲!F43*$B$6</f>
        <v>16173</v>
      </c>
      <c r="K46" s="48">
        <f>节奏总纲!G43*$B$6</f>
        <v>12001.5</v>
      </c>
      <c r="L46" s="48">
        <f>节奏总纲!H43*$B$6</f>
        <v>6750</v>
      </c>
    </row>
    <row r="47" spans="7:12" x14ac:dyDescent="0.15">
      <c r="G47" s="42">
        <v>41</v>
      </c>
      <c r="H47" s="48">
        <f>节奏总纲!D44*$B$6</f>
        <v>24222.563100871026</v>
      </c>
      <c r="I47" s="48">
        <f>节奏总纲!E44*$B$6</f>
        <v>21097.852460858659</v>
      </c>
      <c r="J47" s="48">
        <f>节奏总纲!F44*$B$6</f>
        <v>17432.978663696875</v>
      </c>
      <c r="K47" s="48">
        <f>节奏总纲!G44*$B$6</f>
        <v>12944.537721105475</v>
      </c>
      <c r="L47" s="48">
        <f>节奏总纲!H44*$B$6</f>
        <v>7290.9914933621785</v>
      </c>
    </row>
    <row r="48" spans="7:12" x14ac:dyDescent="0.15">
      <c r="G48" s="42">
        <v>42</v>
      </c>
      <c r="H48" s="48">
        <f>节奏总纲!D45*$B$6</f>
        <v>26068.760519928837</v>
      </c>
      <c r="I48" s="48">
        <f>节奏总纲!E45*$B$6</f>
        <v>22773.669190209832</v>
      </c>
      <c r="J48" s="48">
        <f>节奏总纲!F45*$B$6</f>
        <v>18821.64509538862</v>
      </c>
      <c r="K48" s="48">
        <f>节奏总纲!G45*$B$6</f>
        <v>13983.28314288983</v>
      </c>
      <c r="L48" s="48">
        <f>节奏总纲!H45*$B$6</f>
        <v>7872.7656770185085</v>
      </c>
    </row>
    <row r="49" spans="7:12" x14ac:dyDescent="0.15">
      <c r="G49" s="42">
        <v>43</v>
      </c>
      <c r="H49" s="48">
        <f>节奏总纲!D46*$B$6</f>
        <v>28047.465920277991</v>
      </c>
      <c r="I49" s="48">
        <f>节奏总纲!E46*$B$6</f>
        <v>24507.875721138906</v>
      </c>
      <c r="J49" s="48">
        <f>节奏总纲!F46*$B$6</f>
        <v>20264.294127400848</v>
      </c>
      <c r="K49" s="48">
        <f>节奏总纲!G46*$B$6</f>
        <v>15030.636986676978</v>
      </c>
      <c r="L49" s="48">
        <f>节奏总纲!H46*$B$6</f>
        <v>8459.1157215558414</v>
      </c>
    </row>
    <row r="50" spans="7:12" x14ac:dyDescent="0.15">
      <c r="G50" s="42">
        <v>44</v>
      </c>
      <c r="H50" s="48">
        <f>节奏总纲!D47*$B$6</f>
        <v>30168.18985854946</v>
      </c>
      <c r="I50" s="48">
        <f>节奏总纲!E47*$B$6</f>
        <v>26360.964298400519</v>
      </c>
      <c r="J50" s="48">
        <f>节奏总纲!F47*$B$6</f>
        <v>21781.433077872709</v>
      </c>
      <c r="K50" s="48">
        <f>节奏总纲!G47*$B$6</f>
        <v>16152.048850267382</v>
      </c>
      <c r="L50" s="48">
        <f>节奏总纲!H47*$B$6</f>
        <v>9080.6251474233868</v>
      </c>
    </row>
    <row r="51" spans="7:12" x14ac:dyDescent="0.15">
      <c r="G51" s="42">
        <v>45</v>
      </c>
      <c r="H51" s="48">
        <f>节奏总纲!D48*$B$6</f>
        <v>32441.125496954279</v>
      </c>
      <c r="I51" s="48">
        <f>节奏总纲!E48*$B$6</f>
        <v>28350.299571788346</v>
      </c>
      <c r="J51" s="48">
        <f>节奏总纲!F48*$B$6</f>
        <v>23406.272046052512</v>
      </c>
      <c r="K51" s="48">
        <f>节奏总纲!G48*$B$6</f>
        <v>17359.246253420235</v>
      </c>
      <c r="L51" s="48">
        <f>节奏总纲!H48*$B$6</f>
        <v>9748.5582118347593</v>
      </c>
    </row>
    <row r="52" spans="7:12" x14ac:dyDescent="0.15">
      <c r="G52" s="42">
        <v>46</v>
      </c>
      <c r="H52" s="48">
        <f>节奏总纲!D49*$B$6</f>
        <v>34877.197596249534</v>
      </c>
      <c r="I52" s="48">
        <f>节奏总纲!E49*$B$6</f>
        <v>30465.23210032397</v>
      </c>
      <c r="J52" s="48">
        <f>节奏总纲!F49*$B$6</f>
        <v>25135.996307617039</v>
      </c>
      <c r="K52" s="48">
        <f>节奏总纲!G49*$B$6</f>
        <v>18638.374395435752</v>
      </c>
      <c r="L52" s="48">
        <f>节奏总纲!H49*$B$6</f>
        <v>10431.769801038236</v>
      </c>
    </row>
    <row r="53" spans="7:12" x14ac:dyDescent="0.15">
      <c r="G53" s="42">
        <v>47</v>
      </c>
      <c r="H53" s="48">
        <f>节奏总纲!D50*$B$6</f>
        <v>37488.115025099301</v>
      </c>
      <c r="I53" s="48">
        <f>节奏总纲!E50*$B$6</f>
        <v>32734.62203991671</v>
      </c>
      <c r="J53" s="48">
        <f>节奏总纲!F50*$B$6</f>
        <v>26995.191629574005</v>
      </c>
      <c r="K53" s="48">
        <f>节奏总纲!G50*$B$6</f>
        <v>20003.658177392987</v>
      </c>
      <c r="L53" s="48">
        <f>节奏总纲!H50*$B$6</f>
        <v>11163.960654474573</v>
      </c>
    </row>
    <row r="54" spans="7:12" x14ac:dyDescent="0.15">
      <c r="G54" s="42">
        <v>48</v>
      </c>
      <c r="H54" s="48">
        <f>节奏总纲!D51*$B$6</f>
        <v>40286.427038213958</v>
      </c>
      <c r="I54" s="48">
        <f>节奏总纲!E51*$B$6</f>
        <v>35137.82166273021</v>
      </c>
      <c r="J54" s="48">
        <f>节奏总纲!F51*$B$6</f>
        <v>28994.141539402583</v>
      </c>
      <c r="K54" s="48">
        <f>节奏总纲!G51*$B$6</f>
        <v>21404.178685403076</v>
      </c>
      <c r="L54" s="48">
        <f>节奏总纲!H51*$B$6</f>
        <v>11940.896974126617</v>
      </c>
    </row>
    <row r="55" spans="7:12" x14ac:dyDescent="0.15">
      <c r="G55" s="42">
        <v>49</v>
      </c>
      <c r="H55" s="48">
        <f>节奏总纲!D52*$B$6</f>
        <v>43285.583593766758</v>
      </c>
      <c r="I55" s="48">
        <f>节奏总纲!E52*$B$6</f>
        <v>37749.357452123986</v>
      </c>
      <c r="J55" s="48">
        <f>节奏总纲!F52*$B$6</f>
        <v>31079.049020324528</v>
      </c>
      <c r="K55" s="48">
        <f>节奏总纲!G52*$B$6</f>
        <v>22902.402279461992</v>
      </c>
      <c r="L55" s="48">
        <f>节奏总纲!H52*$B$6</f>
        <v>12821.189860473714</v>
      </c>
    </row>
    <row r="56" spans="7:12" x14ac:dyDescent="0.15">
      <c r="G56" s="42">
        <v>50</v>
      </c>
      <c r="H56" s="48">
        <f>节奏总纲!D53*$B$6</f>
        <v>46500</v>
      </c>
      <c r="I56" s="48">
        <f>节奏总纲!E53*$B$6</f>
        <v>40552.65</v>
      </c>
      <c r="J56" s="48">
        <f>节奏总纲!F53*$B$6</f>
        <v>33307.950000000004</v>
      </c>
      <c r="K56" s="48">
        <f>节奏总纲!G53*$B$6</f>
        <v>24579.899999999998</v>
      </c>
      <c r="L56" s="48">
        <f>节奏总纲!H53*$B$6</f>
        <v>13782.6</v>
      </c>
    </row>
    <row r="57" spans="7:12" x14ac:dyDescent="0.15">
      <c r="G57" s="42">
        <v>51</v>
      </c>
      <c r="H57" s="48">
        <f>节奏总纲!D54*$B$6</f>
        <v>49945.126201742052</v>
      </c>
      <c r="I57" s="48">
        <f>节奏总纲!E54*$B$6</f>
        <v>43392.325644073491</v>
      </c>
      <c r="J57" s="48">
        <f>节奏总纲!F54*$B$6</f>
        <v>35675.803645904351</v>
      </c>
      <c r="K57" s="48">
        <f>节奏总纲!G54*$B$6</f>
        <v>26381.015659760149</v>
      </c>
      <c r="L57" s="48">
        <f>节奏总纲!H54*$B$6</f>
        <v>14768.773817855124</v>
      </c>
    </row>
    <row r="58" spans="7:12" x14ac:dyDescent="0.15">
      <c r="G58" s="42">
        <v>52</v>
      </c>
      <c r="H58" s="48">
        <f>节奏总纲!D55*$B$6</f>
        <v>53637.521039857682</v>
      </c>
      <c r="I58" s="48">
        <f>节奏总纲!E55*$B$6</f>
        <v>46621.733287844298</v>
      </c>
      <c r="J58" s="48">
        <f>节奏总纲!F55*$B$6</f>
        <v>38409.82881664209</v>
      </c>
      <c r="K58" s="48">
        <f>节奏总纲!G55*$B$6</f>
        <v>28395.703638500661</v>
      </c>
      <c r="L58" s="48">
        <f>节奏总纲!H55*$B$6</f>
        <v>15855.251219381929</v>
      </c>
    </row>
    <row r="59" spans="7:12" x14ac:dyDescent="0.15">
      <c r="G59" s="42">
        <v>53</v>
      </c>
      <c r="H59" s="48">
        <f>节奏总纲!D56*$B$6</f>
        <v>57594.931840555961</v>
      </c>
      <c r="I59" s="48">
        <f>节奏总纲!E56*$B$6</f>
        <v>50142.147660388022</v>
      </c>
      <c r="J59" s="48">
        <f>节奏总纲!F56*$B$6</f>
        <v>41370.439541071348</v>
      </c>
      <c r="K59" s="48">
        <f>节奏总纲!G56*$B$6</f>
        <v>30479.237930022216</v>
      </c>
      <c r="L59" s="48">
        <f>节奏总纲!H56*$B$6</f>
        <v>17007.783372516176</v>
      </c>
    </row>
    <row r="60" spans="7:12" x14ac:dyDescent="0.15">
      <c r="G60" s="42">
        <v>54</v>
      </c>
      <c r="H60" s="48">
        <f>节奏总纲!D57*$B$6</f>
        <v>61836.37971709892</v>
      </c>
      <c r="I60" s="48">
        <f>节奏总纲!E57*$B$6</f>
        <v>53921.32311331026</v>
      </c>
      <c r="J60" s="48">
        <f>节奏总纲!F57*$B$6</f>
        <v>44330.50061918822</v>
      </c>
      <c r="K60" s="48">
        <f>节奏总纲!G57*$B$6</f>
        <v>32643.424852656524</v>
      </c>
      <c r="L60" s="48">
        <f>节奏总纲!H57*$B$6</f>
        <v>18167.528360883662</v>
      </c>
    </row>
    <row r="61" spans="7:12" x14ac:dyDescent="0.15">
      <c r="G61" s="42">
        <v>55</v>
      </c>
      <c r="H61" s="48">
        <f>节奏总纲!D58*$B$6</f>
        <v>66382.250993908572</v>
      </c>
      <c r="I61" s="48">
        <f>节奏总纲!E58*$B$6</f>
        <v>57799.025940396197</v>
      </c>
      <c r="J61" s="48">
        <f>节奏总纲!F58*$B$6</f>
        <v>47463.309460644625</v>
      </c>
      <c r="K61" s="48">
        <f>节奏总纲!G58*$B$6</f>
        <v>34923.702247895293</v>
      </c>
      <c r="L61" s="48">
        <f>节奏总纲!H58*$B$6</f>
        <v>19416.808415718253</v>
      </c>
    </row>
    <row r="62" spans="7:12" x14ac:dyDescent="0.15">
      <c r="G62" s="42">
        <v>56</v>
      </c>
      <c r="H62" s="48">
        <f>节奏总纲!D59*$B$6</f>
        <v>71254.395192499083</v>
      </c>
      <c r="I62" s="48">
        <f>节奏总纲!E59*$B$6</f>
        <v>61912.943982762459</v>
      </c>
      <c r="J62" s="48">
        <f>节奏总纲!F59*$B$6</f>
        <v>50832.885530328851</v>
      </c>
      <c r="K62" s="48">
        <f>节奏总纲!G59*$B$6</f>
        <v>37365.804838946518</v>
      </c>
      <c r="L62" s="48">
        <f>节奏总纲!H59*$B$6</f>
        <v>20756.405319574984</v>
      </c>
    </row>
    <row r="63" spans="7:12" x14ac:dyDescent="0.15">
      <c r="G63" s="42">
        <v>57</v>
      </c>
      <c r="H63" s="48">
        <f>节奏总纲!D60*$B$6</f>
        <v>76476.230050198617</v>
      </c>
      <c r="I63" s="48">
        <f>节奏总纲!E60*$B$6</f>
        <v>66465.491536627611</v>
      </c>
      <c r="J63" s="48">
        <f>节奏总纲!F60*$B$6</f>
        <v>54474.018664756477</v>
      </c>
      <c r="K63" s="48">
        <f>节奏总纲!G60*$B$6</f>
        <v>39997.068316253877</v>
      </c>
      <c r="L63" s="48">
        <f>节奏总纲!H60*$B$6</f>
        <v>22223.992452587718</v>
      </c>
    </row>
    <row r="64" spans="7:12" x14ac:dyDescent="0.15">
      <c r="G64" s="42">
        <v>58</v>
      </c>
      <c r="H64" s="48">
        <f>节奏总纲!D61*$B$6</f>
        <v>82072.854076427888</v>
      </c>
      <c r="I64" s="48">
        <f>节奏总纲!E61*$B$6</f>
        <v>71189.993625893549</v>
      </c>
      <c r="J64" s="48">
        <f>节奏总纲!F61*$B$6</f>
        <v>58370.213819155513</v>
      </c>
      <c r="K64" s="48">
        <f>节奏总纲!G61*$B$6</f>
        <v>42858.444398710642</v>
      </c>
      <c r="L64" s="48">
        <f>节奏总纲!H61*$B$6</f>
        <v>23784.713111348799</v>
      </c>
    </row>
    <row r="65" spans="7:12" x14ac:dyDescent="0.15">
      <c r="G65" s="42">
        <v>59</v>
      </c>
      <c r="H65" s="48">
        <f>节奏总纲!D62*$B$6</f>
        <v>88071.16718753356</v>
      </c>
      <c r="I65" s="48">
        <f>节奏总纲!E62*$B$6</f>
        <v>76410.544651904114</v>
      </c>
      <c r="J65" s="48">
        <f>节奏总纲!F62*$B$6</f>
        <v>62592.178520180089</v>
      </c>
      <c r="K65" s="48">
        <f>节奏总纲!G62*$B$6</f>
        <v>45911.499454861238</v>
      </c>
      <c r="L65" s="48">
        <f>节奏总纲!H62*$B$6</f>
        <v>25505.410017509723</v>
      </c>
    </row>
    <row r="66" spans="7:12" x14ac:dyDescent="0.15">
      <c r="G66" s="42">
        <v>60</v>
      </c>
      <c r="H66" s="48">
        <f>节奏总纲!D63*$B$6</f>
        <v>94500</v>
      </c>
      <c r="I66" s="48">
        <f>节奏总纲!E63*$B$6</f>
        <v>81884.25</v>
      </c>
      <c r="J66" s="48">
        <f>节奏总纲!F63*$B$6</f>
        <v>67076.099999999991</v>
      </c>
      <c r="K66" s="48">
        <f>节奏总纲!G63*$B$6</f>
        <v>49215.6</v>
      </c>
      <c r="L66" s="48">
        <f>节奏总纲!H63*$B$6</f>
        <v>27414.450000000004</v>
      </c>
    </row>
    <row r="67" spans="7:12" x14ac:dyDescent="0.15">
      <c r="G67" s="42">
        <v>61</v>
      </c>
      <c r="H67" s="48">
        <f>节奏总纲!D64*$B$6</f>
        <v>101390.2524034841</v>
      </c>
      <c r="I67" s="48">
        <f>节奏总纲!E64*$B$6</f>
        <v>87895.209808580359</v>
      </c>
      <c r="J67" s="48">
        <f>节奏总纲!F64*$B$6</f>
        <v>71966.801155993016</v>
      </c>
      <c r="K67" s="48">
        <f>节奏总纲!G64*$B$6</f>
        <v>52844.599552695909</v>
      </c>
      <c r="L67" s="48">
        <f>节奏总纲!H64*$B$6</f>
        <v>29403.173197010387</v>
      </c>
    </row>
    <row r="68" spans="7:12" x14ac:dyDescent="0.15">
      <c r="G68" s="42">
        <v>62</v>
      </c>
      <c r="H68" s="48">
        <f>节奏总纲!D65*$B$6</f>
        <v>108775.04207971532</v>
      </c>
      <c r="I68" s="48">
        <f>节奏总纲!E65*$B$6</f>
        <v>94264.451466281302</v>
      </c>
      <c r="J68" s="48">
        <f>节奏总纲!F65*$B$6</f>
        <v>77262.912389221805</v>
      </c>
      <c r="K68" s="48">
        <f>节奏总纲!G65*$B$6</f>
        <v>56769.694461403429</v>
      </c>
      <c r="L68" s="48">
        <f>节奏总纲!H65*$B$6</f>
        <v>31686.169757821073</v>
      </c>
    </row>
    <row r="69" spans="7:12" x14ac:dyDescent="0.15">
      <c r="G69" s="42">
        <v>63</v>
      </c>
      <c r="H69" s="48">
        <f>节奏总纲!D66*$B$6</f>
        <v>116689.86368111192</v>
      </c>
      <c r="I69" s="48">
        <f>节奏总纲!E66*$B$6</f>
        <v>101205.11877062835</v>
      </c>
      <c r="J69" s="48">
        <f>节奏总纲!F66*$B$6</f>
        <v>82919.817131798132</v>
      </c>
      <c r="K69" s="48">
        <f>节奏总纲!G66*$B$6</f>
        <v>61017.129718853423</v>
      </c>
      <c r="L69" s="48">
        <f>节奏总纲!H66*$B$6</f>
        <v>34050.10222214846</v>
      </c>
    </row>
    <row r="70" spans="7:12" x14ac:dyDescent="0.15">
      <c r="G70" s="42">
        <v>64</v>
      </c>
      <c r="H70" s="48">
        <f>节奏总纲!D67*$B$6</f>
        <v>125172.7594341978</v>
      </c>
      <c r="I70" s="48">
        <f>节奏总纲!E67*$B$6</f>
        <v>108599.88608511</v>
      </c>
      <c r="J70" s="48">
        <f>节奏总纲!F67*$B$6</f>
        <v>89047.901061488315</v>
      </c>
      <c r="K70" s="48">
        <f>节奏总纲!G67*$B$6</f>
        <v>65578.008667576229</v>
      </c>
      <c r="L70" s="48">
        <f>节奏总纲!H67*$B$6</f>
        <v>36512.893926955498</v>
      </c>
    </row>
    <row r="71" spans="7:12" x14ac:dyDescent="0.15">
      <c r="G71" s="42">
        <v>65</v>
      </c>
      <c r="H71" s="48">
        <f>节奏总纲!D68*$B$6</f>
        <v>134264.50198781709</v>
      </c>
      <c r="I71" s="48">
        <f>节奏总纲!E68*$B$6</f>
        <v>116474.45547443134</v>
      </c>
      <c r="J71" s="48">
        <f>节奏总纲!F68*$B$6</f>
        <v>95703.737016916013</v>
      </c>
      <c r="K71" s="48">
        <f>节奏总纲!G68*$B$6</f>
        <v>70394.8783922125</v>
      </c>
      <c r="L71" s="48">
        <f>节奏总纲!H68*$B$6</f>
        <v>38990.411377262084</v>
      </c>
    </row>
    <row r="72" spans="7:12" x14ac:dyDescent="0.15">
      <c r="G72" s="42">
        <v>66</v>
      </c>
      <c r="H72" s="48">
        <f>节奏总纲!D69*$B$6</f>
        <v>144008.79038499817</v>
      </c>
      <c r="I72" s="48">
        <f>节奏总纲!E69*$B$6</f>
        <v>125028.4318122554</v>
      </c>
      <c r="J72" s="48">
        <f>节奏总纲!F69*$B$6</f>
        <v>102735.87106065769</v>
      </c>
      <c r="K72" s="48">
        <f>节奏总纲!G69*$B$6</f>
        <v>75244.592976161541</v>
      </c>
      <c r="L72" s="48">
        <f>节奏总纲!H69*$B$6</f>
        <v>41776.950090687969</v>
      </c>
    </row>
    <row r="73" spans="7:12" x14ac:dyDescent="0.15">
      <c r="G73" s="42">
        <v>67</v>
      </c>
      <c r="H73" s="48">
        <f>节奏总纲!D70*$B$6</f>
        <v>154452.46010039718</v>
      </c>
      <c r="I73" s="48">
        <f>节奏总纲!E70*$B$6</f>
        <v>134203.7425812351</v>
      </c>
      <c r="J73" s="48">
        <f>节奏总纲!F70*$B$6</f>
        <v>109939.2610994627</v>
      </c>
      <c r="K73" s="48">
        <f>节奏总纲!G70*$B$6</f>
        <v>80438.841220286849</v>
      </c>
      <c r="L73" s="48">
        <f>节奏总纲!H70*$B$6</f>
        <v>44698.541953054941</v>
      </c>
    </row>
    <row r="74" spans="7:12" x14ac:dyDescent="0.15">
      <c r="G74" s="42">
        <v>68</v>
      </c>
      <c r="H74" s="48">
        <f>节奏总纲!D71*$B$6</f>
        <v>165645.70815285578</v>
      </c>
      <c r="I74" s="48">
        <f>节奏总纲!E71*$B$6</f>
        <v>143747.34553504825</v>
      </c>
      <c r="J74" s="48">
        <f>节奏总纲!F71*$B$6</f>
        <v>117376.54879711362</v>
      </c>
      <c r="K74" s="48">
        <f>节奏总纲!G71*$B$6</f>
        <v>86119.203668669725</v>
      </c>
      <c r="L74" s="48">
        <f>节奏总纲!H71*$B$6</f>
        <v>47788.786802098897</v>
      </c>
    </row>
    <row r="75" spans="7:12" x14ac:dyDescent="0.15">
      <c r="G75" s="42">
        <v>69</v>
      </c>
      <c r="H75" s="48">
        <f>节奏总纲!D72*$B$6</f>
        <v>177642.33437506697</v>
      </c>
      <c r="I75" s="48">
        <f>节奏总纲!E72*$B$6</f>
        <v>153767.20463505798</v>
      </c>
      <c r="J75" s="48">
        <f>节奏总纲!F72*$B$6</f>
        <v>125841.82967129746</v>
      </c>
      <c r="K75" s="48">
        <f>节奏总纲!G72*$B$6</f>
        <v>92302.956941284792</v>
      </c>
      <c r="L75" s="48">
        <f>节奏总纲!H72*$B$6</f>
        <v>51089.935366269259</v>
      </c>
    </row>
    <row r="76" spans="7:12" x14ac:dyDescent="0.15">
      <c r="G76" s="42">
        <v>70</v>
      </c>
      <c r="H76" s="48">
        <f>节奏总纲!D73*$B$6</f>
        <v>190500</v>
      </c>
      <c r="I76" s="48">
        <f>节奏总纲!E73*$B$6</f>
        <v>164953.95000000001</v>
      </c>
      <c r="J76" s="48">
        <f>节奏总纲!F73*$B$6</f>
        <v>135159.75</v>
      </c>
      <c r="K76" s="48">
        <f>节奏总纲!G73*$B$6</f>
        <v>98888.55</v>
      </c>
      <c r="L76" s="48">
        <f>节奏总纲!H73*$B$6</f>
        <v>54749.7</v>
      </c>
    </row>
    <row r="77" spans="7:12" x14ac:dyDescent="0.15">
      <c r="G77" s="42">
        <v>71</v>
      </c>
      <c r="H77" s="48">
        <f>节奏总纲!D74*$B$6</f>
        <v>204280.50480696824</v>
      </c>
      <c r="I77" s="48">
        <f>节奏总纲!E74*$B$6</f>
        <v>177049.91351619936</v>
      </c>
      <c r="J77" s="48">
        <f>节奏总纲!F74*$B$6</f>
        <v>144875.73400910187</v>
      </c>
      <c r="K77" s="48">
        <f>节奏总纲!G74*$B$6</f>
        <v>105919.44174241302</v>
      </c>
      <c r="L77" s="48">
        <f>节奏总纲!H74*$B$6</f>
        <v>58689.789031041975</v>
      </c>
    </row>
    <row r="78" spans="7:12" x14ac:dyDescent="0.15">
      <c r="G78" s="42">
        <v>72</v>
      </c>
      <c r="H78" s="48">
        <f>节奏总纲!D75*$B$6</f>
        <v>219050.08415943064</v>
      </c>
      <c r="I78" s="48">
        <f>节奏总纲!E75*$B$6</f>
        <v>189872.6129493945</v>
      </c>
      <c r="J78" s="48">
        <f>节奏总纲!F75*$B$6</f>
        <v>154977.93454279719</v>
      </c>
      <c r="K78" s="48">
        <f>节奏总纲!G75*$B$6</f>
        <v>113380.3235609213</v>
      </c>
      <c r="L78" s="48">
        <f>节奏总纲!H75*$B$6</f>
        <v>62845.469145340649</v>
      </c>
    </row>
    <row r="79" spans="7:12" x14ac:dyDescent="0.15">
      <c r="G79" s="42">
        <v>73</v>
      </c>
      <c r="H79" s="48">
        <f>节奏总纲!D76*$B$6</f>
        <v>234879.7273622239</v>
      </c>
      <c r="I79" s="48">
        <f>节奏总纲!E76*$B$6</f>
        <v>203123.98822285121</v>
      </c>
      <c r="J79" s="48">
        <f>节奏总纲!F76*$B$6</f>
        <v>165872.06346320253</v>
      </c>
      <c r="K79" s="48">
        <f>节奏总纲!G76*$B$6</f>
        <v>121432.81904626977</v>
      </c>
      <c r="L79" s="48">
        <f>节奏总纲!H76*$B$6</f>
        <v>67316.529862013369</v>
      </c>
    </row>
    <row r="80" spans="7:12" x14ac:dyDescent="0.15">
      <c r="G80" s="42">
        <v>74</v>
      </c>
      <c r="H80" s="48">
        <f>节奏总纲!D77*$B$6</f>
        <v>251845.51886839565</v>
      </c>
      <c r="I80" s="48">
        <f>节奏总纲!E77*$B$6</f>
        <v>217745.6356136149</v>
      </c>
      <c r="J80" s="48">
        <f>节奏总纲!F77*$B$6</f>
        <v>178054.78183995571</v>
      </c>
      <c r="K80" s="48">
        <f>节奏总纲!G77*$B$6</f>
        <v>130304.87146250789</v>
      </c>
      <c r="L80" s="48">
        <f>节奏总纲!H77*$B$6</f>
        <v>72254.479363342703</v>
      </c>
    </row>
    <row r="81" spans="7:12" x14ac:dyDescent="0.15">
      <c r="G81" s="42">
        <v>75</v>
      </c>
      <c r="H81" s="48">
        <f>节奏总纲!D78*$B$6</f>
        <v>270029.00397563417</v>
      </c>
      <c r="I81" s="48">
        <f>节奏总纲!E78*$B$6</f>
        <v>233629.09423971866</v>
      </c>
      <c r="J81" s="48">
        <f>节奏总纲!F78*$B$6</f>
        <v>191072.52321315874</v>
      </c>
      <c r="K81" s="48">
        <f>节奏总纲!G78*$B$6</f>
        <v>139821.01825858341</v>
      </c>
      <c r="L81" s="48">
        <f>节奏总纲!H78*$B$6</f>
        <v>77633.338642994815</v>
      </c>
    </row>
    <row r="82" spans="7:12" x14ac:dyDescent="0.15">
      <c r="G82" s="42">
        <v>76</v>
      </c>
      <c r="H82" s="48">
        <f>节奏总纲!D79*$B$6</f>
        <v>289517.58076999639</v>
      </c>
      <c r="I82" s="48">
        <f>节奏总纲!E79*$B$6</f>
        <v>250461.65912412383</v>
      </c>
      <c r="J82" s="48">
        <f>节奏总纲!F79*$B$6</f>
        <v>204775.78487861843</v>
      </c>
      <c r="K82" s="48">
        <f>节奏总纲!G79*$B$6</f>
        <v>150056.9621130891</v>
      </c>
      <c r="L82" s="48">
        <f>节奏总纲!H79*$B$6</f>
        <v>83496.870294066946</v>
      </c>
    </row>
    <row r="83" spans="7:12" x14ac:dyDescent="0.15">
      <c r="G83" s="42">
        <v>77</v>
      </c>
      <c r="H83" s="48">
        <f>节奏总纲!D80*$B$6</f>
        <v>310404.92020079435</v>
      </c>
      <c r="I83" s="48">
        <f>节奏总纲!E80*$B$6</f>
        <v>268686.49892580765</v>
      </c>
      <c r="J83" s="48">
        <f>节奏总纲!F80*$B$6</f>
        <v>219797.72399418248</v>
      </c>
      <c r="K83" s="48">
        <f>节奏总纲!G80*$B$6</f>
        <v>161131.19407623238</v>
      </c>
      <c r="L83" s="48">
        <f>节奏总纲!H80*$B$6</f>
        <v>89303.495541768541</v>
      </c>
    </row>
    <row r="84" spans="7:12" x14ac:dyDescent="0.15">
      <c r="G84" s="42">
        <v>78</v>
      </c>
      <c r="H84" s="48">
        <f>节奏总纲!D81*$B$6</f>
        <v>332791.41630571161</v>
      </c>
      <c r="I84" s="48">
        <f>节奏总纲!E81*$B$6</f>
        <v>288064.24995422398</v>
      </c>
      <c r="J84" s="48">
        <f>节奏总纲!F81*$B$6</f>
        <v>235849.27673585783</v>
      </c>
      <c r="K84" s="48">
        <f>节奏总纲!G81*$B$6</f>
        <v>172752.0242042949</v>
      </c>
      <c r="L84" s="48">
        <f>节奏总纲!H81*$B$6</f>
        <v>95477.857338108661</v>
      </c>
    </row>
    <row r="85" spans="7:12" x14ac:dyDescent="0.15">
      <c r="G85" s="42">
        <v>79</v>
      </c>
      <c r="H85" s="48">
        <f>节奏总纲!D82*$B$6</f>
        <v>356784.66875013395</v>
      </c>
      <c r="I85" s="48">
        <f>节奏总纲!E82*$B$6</f>
        <v>309118.23700511601</v>
      </c>
      <c r="J85" s="48">
        <f>节奏总纲!F82*$B$6</f>
        <v>253103.04401134505</v>
      </c>
      <c r="K85" s="48">
        <f>节奏总纲!G82*$B$6</f>
        <v>184671.74454506932</v>
      </c>
      <c r="L85" s="48">
        <f>节奏总纲!H82*$B$6</f>
        <v>102183.12913003835</v>
      </c>
    </row>
    <row r="86" spans="7:12" x14ac:dyDescent="0.15">
      <c r="G86" s="42">
        <v>80</v>
      </c>
      <c r="H86" s="48">
        <f>节奏总纲!D83*$B$6</f>
        <v>382500</v>
      </c>
      <c r="I86" s="48">
        <f>节奏总纲!E83*$B$6</f>
        <v>331627.5</v>
      </c>
      <c r="J86" s="48">
        <f>节奏总纲!F83*$B$6</f>
        <v>270504</v>
      </c>
      <c r="K86" s="48">
        <f>节奏总纲!G83*$B$6</f>
        <v>197370.00000000003</v>
      </c>
      <c r="L86" s="48">
        <f>节奏总纲!H83*$B$6</f>
        <v>109165.5</v>
      </c>
    </row>
    <row r="87" spans="7:12" x14ac:dyDescent="0.15">
      <c r="G87" s="42">
        <v>81</v>
      </c>
      <c r="H87" s="48">
        <f>节奏总纲!D84*$B$6</f>
        <v>410061.00961393648</v>
      </c>
      <c r="I87" s="48">
        <f>节奏总纲!E84*$B$6</f>
        <v>354538.74891220953</v>
      </c>
      <c r="J87" s="48">
        <f>节奏总纲!F84*$B$6</f>
        <v>289010.99957590242</v>
      </c>
      <c r="K87" s="48">
        <f>节奏总纲!G84*$B$6</f>
        <v>211140.4138502159</v>
      </c>
      <c r="L87" s="48">
        <f>节奏总纲!H84*$B$6</f>
        <v>116785.37553804911</v>
      </c>
    </row>
    <row r="88" spans="7:12" x14ac:dyDescent="0.15">
      <c r="G88" s="42">
        <v>82</v>
      </c>
      <c r="H88" s="48">
        <f>节奏总纲!D85*$B$6</f>
        <v>439600.16831886099</v>
      </c>
      <c r="I88" s="48">
        <f>节奏总纲!E85*$B$6</f>
        <v>379726.6253938321</v>
      </c>
      <c r="J88" s="48">
        <f>节奏总纲!F85*$B$6</f>
        <v>309566.4385301419</v>
      </c>
      <c r="K88" s="48">
        <f>节奏总纲!G85*$B$6</f>
        <v>226218.24661688582</v>
      </c>
      <c r="L88" s="48">
        <f>节奏总纲!H85*$B$6</f>
        <v>124846.4478025565</v>
      </c>
    </row>
    <row r="89" spans="7:12" x14ac:dyDescent="0.15">
      <c r="G89" s="42">
        <v>83</v>
      </c>
      <c r="H89" s="48">
        <f>节奏总纲!D86*$B$6</f>
        <v>471259.45472444821</v>
      </c>
      <c r="I89" s="48">
        <f>节奏总纲!E86*$B$6</f>
        <v>407309.54671834054</v>
      </c>
      <c r="J89" s="48">
        <f>节奏总纲!F86*$B$6</f>
        <v>332332.16747168091</v>
      </c>
      <c r="K89" s="48">
        <f>节奏总纲!G86*$B$6</f>
        <v>242368.73756478369</v>
      </c>
      <c r="L89" s="48">
        <f>节奏总纲!H86*$B$6</f>
        <v>133790.55919627086</v>
      </c>
    </row>
    <row r="90" spans="7:12" x14ac:dyDescent="0.15">
      <c r="G90" s="42">
        <v>84</v>
      </c>
      <c r="H90" s="48">
        <f>节奏总纲!D87*$B$6</f>
        <v>505191.0377367913</v>
      </c>
      <c r="I90" s="48">
        <f>节奏总纲!E87*$B$6</f>
        <v>436889.20943477715</v>
      </c>
      <c r="J90" s="48">
        <f>节奏总纲!F87*$B$6</f>
        <v>355907.08608556946</v>
      </c>
      <c r="K90" s="48">
        <f>节奏总纲!G87*$B$6</f>
        <v>259466.11698161598</v>
      </c>
      <c r="L90" s="48">
        <f>节奏总纲!H87*$B$6</f>
        <v>143474.25471724872</v>
      </c>
    </row>
    <row r="91" spans="7:12" x14ac:dyDescent="0.15">
      <c r="G91" s="42">
        <v>85</v>
      </c>
      <c r="H91" s="48">
        <f>节奏总纲!D88*$B$6</f>
        <v>541558.00795126846</v>
      </c>
      <c r="I91" s="48">
        <f>节奏总纲!E88*$B$6</f>
        <v>467581.18406512513</v>
      </c>
      <c r="J91" s="48">
        <f>节奏总纲!F88*$B$6</f>
        <v>380877.74699212715</v>
      </c>
      <c r="K91" s="48">
        <f>节奏总纲!G88*$B$6</f>
        <v>278360.81608695199</v>
      </c>
      <c r="L91" s="48">
        <f>节奏总纲!H88*$B$6</f>
        <v>153802.47425816022</v>
      </c>
    </row>
    <row r="92" spans="7:12" x14ac:dyDescent="0.15">
      <c r="G92" s="42">
        <v>86</v>
      </c>
      <c r="H92" s="48">
        <f>节奏总纲!D89*$B$6</f>
        <v>580535.16153999278</v>
      </c>
      <c r="I92" s="48">
        <f>节奏总纲!E89*$B$6</f>
        <v>501001.84440901381</v>
      </c>
      <c r="J92" s="48">
        <f>节奏总纲!F89*$B$6</f>
        <v>408348.432627231</v>
      </c>
      <c r="K92" s="48">
        <f>节奏总纲!G89*$B$6</f>
        <v>299091.7152254043</v>
      </c>
      <c r="L92" s="48">
        <f>节奏总纲!H89*$B$6</f>
        <v>163420.64797350796</v>
      </c>
    </row>
    <row r="93" spans="7:12" x14ac:dyDescent="0.15">
      <c r="G93" s="42">
        <v>87</v>
      </c>
      <c r="H93" s="48">
        <f>节奏总纲!D90*$B$6</f>
        <v>622309.84040158824</v>
      </c>
      <c r="I93" s="48">
        <f>节奏总纲!E90*$B$6</f>
        <v>537426.77817081159</v>
      </c>
      <c r="J93" s="48">
        <f>节奏总纲!F90*$B$6</f>
        <v>438603.9755150394</v>
      </c>
      <c r="K93" s="48">
        <f>节奏总纲!G90*$B$6</f>
        <v>318871.56222177378</v>
      </c>
      <c r="L93" s="48">
        <f>节奏总纲!H90*$B$6</f>
        <v>173624.44547204312</v>
      </c>
    </row>
    <row r="94" spans="7:12" x14ac:dyDescent="0.15">
      <c r="G94" s="42">
        <v>88</v>
      </c>
      <c r="H94" s="48">
        <f>节奏总纲!D91*$B$6</f>
        <v>667082.83261142322</v>
      </c>
      <c r="I94" s="48">
        <f>节奏总纲!E91*$B$6</f>
        <v>577160.06677540333</v>
      </c>
      <c r="J94" s="48">
        <f>节奏总纲!F91*$B$6</f>
        <v>469359.48102539743</v>
      </c>
      <c r="K94" s="48">
        <f>节奏总纲!G91*$B$6</f>
        <v>339011.4955331253</v>
      </c>
      <c r="L94" s="48">
        <f>节奏总纲!H91*$B$6</f>
        <v>184781.94463336424</v>
      </c>
    </row>
    <row r="95" spans="7:12" x14ac:dyDescent="0.15">
      <c r="G95" s="42">
        <v>89</v>
      </c>
      <c r="H95" s="48">
        <f>节奏总纲!D92*$B$6</f>
        <v>715069.33750026801</v>
      </c>
      <c r="I95" s="48">
        <f>节奏总纲!E92*$B$6</f>
        <v>617676.89373273158</v>
      </c>
      <c r="J95" s="48">
        <f>节奏总纲!F92*$B$6</f>
        <v>498903.87677393697</v>
      </c>
      <c r="K95" s="48">
        <f>节奏总纲!G92*$B$6</f>
        <v>360466.4530338851</v>
      </c>
      <c r="L95" s="48">
        <f>节奏总纲!H92*$B$6</f>
        <v>195928.99847507343</v>
      </c>
    </row>
    <row r="96" spans="7:12" x14ac:dyDescent="0.15">
      <c r="G96" s="42">
        <v>90</v>
      </c>
      <c r="H96" s="48">
        <f>节奏总纲!D93*$B$6</f>
        <v>766500</v>
      </c>
      <c r="I96" s="48">
        <f>节奏总纲!E93*$B$6</f>
        <v>657197.10000000009</v>
      </c>
      <c r="J96" s="48">
        <f>节奏总纲!F93*$B$6</f>
        <v>531184.5</v>
      </c>
      <c r="K96" s="48">
        <f>节奏总纲!G93*$B$6</f>
        <v>382330.2</v>
      </c>
      <c r="L96" s="48">
        <f>节奏总纲!H93*$B$6</f>
        <v>207721.50000000003</v>
      </c>
    </row>
    <row r="97" spans="7:12" x14ac:dyDescent="0.15">
      <c r="G97" s="42">
        <v>91</v>
      </c>
      <c r="H97" s="48">
        <f>节奏总纲!D94*$B$6</f>
        <v>821622.01922787307</v>
      </c>
      <c r="I97" s="48">
        <f>节奏总纲!E94*$B$6</f>
        <v>704458.71928597847</v>
      </c>
      <c r="J97" s="48">
        <f>节奏总纲!F94*$B$6</f>
        <v>567658.6530845376</v>
      </c>
      <c r="K97" s="48">
        <f>节奏总纲!G94*$B$6</f>
        <v>408921.27896971238</v>
      </c>
      <c r="L97" s="48">
        <f>节奏总纲!H94*$B$6</f>
        <v>221837.94519152577</v>
      </c>
    </row>
    <row r="98" spans="7:12" x14ac:dyDescent="0.15">
      <c r="G98" s="42">
        <v>92</v>
      </c>
      <c r="H98" s="48">
        <f>节奏总纲!D95*$B$6</f>
        <v>880700.3366377221</v>
      </c>
      <c r="I98" s="48">
        <f>节奏总纲!E95*$B$6</f>
        <v>753439.13799357123</v>
      </c>
      <c r="J98" s="48">
        <f>节奏总纲!F95*$B$6</f>
        <v>607683.23228002817</v>
      </c>
      <c r="K98" s="48">
        <f>节奏总纲!G95*$B$6</f>
        <v>437355.78717429278</v>
      </c>
      <c r="L98" s="48">
        <f>节奏总纲!H95*$B$6</f>
        <v>236468.04038722839</v>
      </c>
    </row>
    <row r="99" spans="7:12" x14ac:dyDescent="0.15">
      <c r="G99" s="42">
        <v>93</v>
      </c>
      <c r="H99" s="48">
        <f>节奏总纲!D96*$B$6</f>
        <v>944018.9094488956</v>
      </c>
      <c r="I99" s="48">
        <f>节奏总纲!E96*$B$6</f>
        <v>807513.77514258539</v>
      </c>
      <c r="J99" s="48">
        <f>节奏总纲!F96*$B$6</f>
        <v>650523.43050123402</v>
      </c>
      <c r="K99" s="48">
        <f>节奏总纲!G96*$B$6</f>
        <v>467289.36017720331</v>
      </c>
      <c r="L99" s="48">
        <f>节奏总纲!H96*$B$6</f>
        <v>252525.05827757958</v>
      </c>
    </row>
    <row r="100" spans="7:12" x14ac:dyDescent="0.15">
      <c r="G100" s="42">
        <v>94</v>
      </c>
      <c r="H100" s="48">
        <f>节奏总纲!D97*$B$6</f>
        <v>1011882.0754735827</v>
      </c>
      <c r="I100" s="48">
        <f>节奏总纲!E97*$B$6</f>
        <v>864450.85707708169</v>
      </c>
      <c r="J100" s="48">
        <f>节奏总纲!F97*$B$6</f>
        <v>696073.67971827753</v>
      </c>
      <c r="K100" s="48">
        <f>节奏总纲!G97*$B$6</f>
        <v>499060.23962357105</v>
      </c>
      <c r="L100" s="48">
        <f>节奏总纲!H97*$B$6</f>
        <v>269464.19669861504</v>
      </c>
    </row>
    <row r="101" spans="7:12" x14ac:dyDescent="0.15">
      <c r="G101" s="42">
        <v>95</v>
      </c>
      <c r="H101" s="48">
        <f>节奏总纲!D98*$B$6</f>
        <v>1084616.0159025369</v>
      </c>
      <c r="I101" s="48">
        <f>节奏总纲!E98*$B$6</f>
        <v>927238.23199507885</v>
      </c>
      <c r="J101" s="48">
        <f>节奏总纲!F98*$B$6</f>
        <v>743938.12530755007</v>
      </c>
      <c r="K101" s="48">
        <f>节奏总纲!G98*$B$6</f>
        <v>533088.77181609685</v>
      </c>
      <c r="L101" s="48">
        <f>节奏总纲!H98*$B$6</f>
        <v>289267.09144120658</v>
      </c>
    </row>
    <row r="102" spans="7:12" x14ac:dyDescent="0.15">
      <c r="G102" s="42">
        <v>96</v>
      </c>
      <c r="H102" s="48">
        <f>节奏总纲!D99*$B$6</f>
        <v>1162570.3230799856</v>
      </c>
      <c r="I102" s="48">
        <f>节奏总纲!E99*$B$6</f>
        <v>991556.22855491971</v>
      </c>
      <c r="J102" s="48">
        <f>节奏总纲!F99*$B$6</f>
        <v>794965.58692209423</v>
      </c>
      <c r="K102" s="48">
        <f>节奏总纲!G99*$B$6</f>
        <v>571054.54269688902</v>
      </c>
      <c r="L102" s="48">
        <f>节奏总纲!H99*$B$6</f>
        <v>310290.01923004817</v>
      </c>
    </row>
    <row r="103" spans="7:12" x14ac:dyDescent="0.15">
      <c r="G103" s="42">
        <v>97</v>
      </c>
      <c r="H103" s="48">
        <f>节奏总纲!D100*$B$6</f>
        <v>1246119.6808031767</v>
      </c>
      <c r="I103" s="48">
        <f>节奏总纲!E100*$B$6</f>
        <v>1061569.3560762261</v>
      </c>
      <c r="J103" s="48">
        <f>节奏总纲!F100*$B$6</f>
        <v>853965.81725441711</v>
      </c>
      <c r="K103" s="48">
        <f>节奏总纲!G100*$B$6</f>
        <v>614710.83854020701</v>
      </c>
      <c r="L103" s="48">
        <f>节奏总纲!H100*$B$6</f>
        <v>334956.97019989387</v>
      </c>
    </row>
    <row r="104" spans="7:12" x14ac:dyDescent="0.15">
      <c r="G104" s="42">
        <v>98</v>
      </c>
      <c r="H104" s="48">
        <f>节奏总纲!D101*$B$6</f>
        <v>1335665.6652228467</v>
      </c>
      <c r="I104" s="48">
        <f>节奏总纲!E101*$B$6</f>
        <v>1140524.9115337888</v>
      </c>
      <c r="J104" s="48">
        <f>节奏总纲!F101*$B$6</f>
        <v>919472.24393940764</v>
      </c>
      <c r="K104" s="48">
        <f>节奏总纲!G101*$B$6</f>
        <v>662890.86965009884</v>
      </c>
      <c r="L104" s="48">
        <f>节奏总纲!H101*$B$6</f>
        <v>361163.99587625772</v>
      </c>
    </row>
    <row r="105" spans="7:12" x14ac:dyDescent="0.15">
      <c r="G105" s="42">
        <v>99</v>
      </c>
      <c r="H105" s="48">
        <f>节奏总纲!D102*$B$6</f>
        <v>1431638.6750005363</v>
      </c>
      <c r="I105" s="48">
        <f>节奏总纲!E102*$B$6</f>
        <v>1224766.8864629588</v>
      </c>
      <c r="J105" s="48">
        <f>节奏总纲!F102*$B$6</f>
        <v>987973.84961787018</v>
      </c>
      <c r="K105" s="48">
        <f>节奏总纲!G102*$B$6</f>
        <v>713099.22401776712</v>
      </c>
      <c r="L105" s="48">
        <f>节奏总纲!H102*$B$6</f>
        <v>386399.27838264464</v>
      </c>
    </row>
    <row r="106" spans="7:12" x14ac:dyDescent="0.15">
      <c r="G106" s="42">
        <v>100</v>
      </c>
      <c r="H106" s="48">
        <f>节奏总纲!D103*$B$6</f>
        <v>1534500</v>
      </c>
      <c r="I106" s="48">
        <f>节奏总纲!E103*$B$6</f>
        <v>1313071.6500000001</v>
      </c>
      <c r="J106" s="48">
        <f>节奏总纲!F103*$B$6</f>
        <v>1060032.6000000001</v>
      </c>
      <c r="K106" s="48">
        <f>节奏总纲!G103*$B$6</f>
        <v>762339.6</v>
      </c>
      <c r="L106" s="48">
        <f>节奏总纲!H103*$B$6</f>
        <v>412166.7</v>
      </c>
    </row>
    <row r="107" spans="7:12" x14ac:dyDescent="0.15">
      <c r="G107" s="42">
        <v>101</v>
      </c>
      <c r="H107" s="48">
        <f>节奏总纲!D104*$B$6</f>
        <v>1644744.038455745</v>
      </c>
      <c r="I107" s="48">
        <f>节奏总纲!E104*$B$6</f>
        <v>1408723.2689373456</v>
      </c>
      <c r="J107" s="48">
        <f>节奏总纲!F104*$B$6</f>
        <v>1134379.9633229272</v>
      </c>
      <c r="K107" s="48">
        <f>节奏总纲!G104*$B$6</f>
        <v>812996.97820867482</v>
      </c>
      <c r="L107" s="48">
        <f>节奏总纲!H104*$B$6</f>
        <v>440133.50469075731</v>
      </c>
    </row>
    <row r="108" spans="7:12" x14ac:dyDescent="0.15">
      <c r="G108" s="42">
        <v>102</v>
      </c>
      <c r="H108" s="48">
        <f>节奏总纲!D105*$B$6</f>
        <v>1762900.6732754442</v>
      </c>
      <c r="I108" s="48">
        <f>节奏总纲!E105*$B$6</f>
        <v>1506398.6253138671</v>
      </c>
      <c r="J108" s="48">
        <f>节奏总纲!F105*$B$6</f>
        <v>1209349.8618669549</v>
      </c>
      <c r="K108" s="48">
        <f>节奏总纲!G105*$B$6</f>
        <v>866994.5511168635</v>
      </c>
      <c r="L108" s="48">
        <f>节奏总纲!H105*$B$6</f>
        <v>470341.89962988847</v>
      </c>
    </row>
    <row r="109" spans="7:12" x14ac:dyDescent="0.15">
      <c r="G109" s="42">
        <v>103</v>
      </c>
      <c r="H109" s="48">
        <f>节奏总纲!D106*$B$6</f>
        <v>1889537.8188977914</v>
      </c>
      <c r="I109" s="48">
        <f>节奏总纲!E106*$B$6</f>
        <v>1610075.1754828081</v>
      </c>
      <c r="J109" s="48">
        <f>节奏总纲!F106*$B$6</f>
        <v>1292254.9143441995</v>
      </c>
      <c r="K109" s="48">
        <f>节奏总纲!G106*$B$6</f>
        <v>928518.88420637476</v>
      </c>
      <c r="L109" s="48">
        <f>节奏总纲!H106*$B$6</f>
        <v>503750.78251815122</v>
      </c>
    </row>
    <row r="110" spans="7:12" x14ac:dyDescent="0.15">
      <c r="G110" s="42">
        <v>104</v>
      </c>
      <c r="H110" s="48">
        <f>节奏总纲!D107*$B$6</f>
        <v>2025264.1509471654</v>
      </c>
      <c r="I110" s="48">
        <f>节奏总纲!E107*$B$6</f>
        <v>1726132.6358522691</v>
      </c>
      <c r="J110" s="48">
        <f>节奏总纲!F107*$B$6</f>
        <v>1388116.0490591871</v>
      </c>
      <c r="K110" s="48">
        <f>节奏总纲!G107*$B$6</f>
        <v>997645.12075657374</v>
      </c>
      <c r="L110" s="48">
        <f>节奏总纲!H107*$B$6</f>
        <v>540745.52830289328</v>
      </c>
    </row>
    <row r="111" spans="7:12" x14ac:dyDescent="0.15">
      <c r="G111" s="42">
        <v>105</v>
      </c>
      <c r="H111" s="48">
        <f>节奏总纲!D108*$B$6</f>
        <v>2170732.0318050743</v>
      </c>
      <c r="I111" s="48">
        <f>节奏总纲!E108*$B$6</f>
        <v>1852285.6427392696</v>
      </c>
      <c r="J111" s="48">
        <f>节奏总纲!F108*$B$6</f>
        <v>1489773.3934278225</v>
      </c>
      <c r="K111" s="48">
        <f>节奏总纲!G108*$B$6</f>
        <v>1070387.9648830818</v>
      </c>
      <c r="L111" s="48">
        <f>节奏总纲!H108*$B$6</f>
        <v>579585.45249195478</v>
      </c>
    </row>
    <row r="112" spans="7:12" x14ac:dyDescent="0.15">
      <c r="G112" s="42">
        <v>106</v>
      </c>
      <c r="H112" s="48">
        <f>节奏总纲!D109*$B$6</f>
        <v>2326640.6461599697</v>
      </c>
      <c r="I112" s="48">
        <f>节奏总纲!E109*$B$6</f>
        <v>1986718.447755998</v>
      </c>
      <c r="J112" s="48">
        <f>节奏总纲!F109*$B$6</f>
        <v>1597006.1395242033</v>
      </c>
      <c r="K112" s="48">
        <f>节奏总纲!G109*$B$6</f>
        <v>1146568.5104276331</v>
      </c>
      <c r="L112" s="48">
        <f>节奏总纲!H109*$B$6</f>
        <v>618886.41187855194</v>
      </c>
    </row>
    <row r="113" spans="7:12" x14ac:dyDescent="0.15">
      <c r="G113" s="42">
        <v>107</v>
      </c>
      <c r="H113" s="48">
        <f>节奏总纲!D110*$B$6</f>
        <v>2493739.3616063534</v>
      </c>
      <c r="I113" s="48">
        <f>节奏总纲!E110*$B$6</f>
        <v>2128406.5451310226</v>
      </c>
      <c r="J113" s="48">
        <f>节奏总纲!F110*$B$6</f>
        <v>1712450.8196150826</v>
      </c>
      <c r="K113" s="48">
        <f>节奏总纲!G110*$B$6</f>
        <v>1224176.652612559</v>
      </c>
      <c r="L113" s="48">
        <f>节奏总纲!H110*$B$6</f>
        <v>660342.18295336235</v>
      </c>
    </row>
    <row r="114" spans="7:12" x14ac:dyDescent="0.15">
      <c r="G114" s="42">
        <v>108</v>
      </c>
      <c r="H114" s="48">
        <f>节奏总纲!D111*$B$6</f>
        <v>2672831.3304456938</v>
      </c>
      <c r="I114" s="48">
        <f>节奏总纲!E111*$B$6</f>
        <v>2281261.5405353997</v>
      </c>
      <c r="J114" s="48">
        <f>节奏总纲!F111*$B$6</f>
        <v>1827147.4974926764</v>
      </c>
      <c r="K114" s="48">
        <f>节奏总纲!G111*$B$6</f>
        <v>1307549.0868540334</v>
      </c>
      <c r="L114" s="48">
        <f>节奏总纲!H111*$B$6</f>
        <v>706696.60376984149</v>
      </c>
    </row>
    <row r="115" spans="7:12" x14ac:dyDescent="0.15">
      <c r="G115" s="42">
        <v>109</v>
      </c>
      <c r="H115" s="48">
        <f>节奏总纲!D112*$B$6</f>
        <v>2864777.3500010725</v>
      </c>
      <c r="I115" s="48">
        <f>节奏总纲!E112*$B$6</f>
        <v>2437066.0916459127</v>
      </c>
      <c r="J115" s="48">
        <f>节奏总纲!F112*$B$6</f>
        <v>1952345.764025731</v>
      </c>
      <c r="K115" s="48">
        <f>节奏总纲!G112*$B$6</f>
        <v>1397724.8690655234</v>
      </c>
      <c r="L115" s="48">
        <f>节奏总纲!H112*$B$6</f>
        <v>756874.17587028339</v>
      </c>
    </row>
    <row r="116" spans="7:12" x14ac:dyDescent="0.15">
      <c r="G116" s="42">
        <v>110</v>
      </c>
      <c r="H116" s="48">
        <f>节奏总纲!D113*$B$6</f>
        <v>3070500</v>
      </c>
      <c r="I116" s="48">
        <f>节奏总纲!E113*$B$6</f>
        <v>2612074.35</v>
      </c>
      <c r="J116" s="48">
        <f>节奏总纲!F113*$B$6</f>
        <v>2095923.2999999998</v>
      </c>
      <c r="K116" s="48">
        <f>节奏总纲!G113*$B$6</f>
        <v>1502088.6</v>
      </c>
      <c r="L116" s="48">
        <f>节奏总纲!H113*$B$6</f>
        <v>813068.39999999991</v>
      </c>
    </row>
    <row r="117" spans="7:12" x14ac:dyDescent="0.15">
      <c r="G117" s="42">
        <v>111</v>
      </c>
      <c r="H117" s="48">
        <f>节奏总纲!D114*$B$6</f>
        <v>3290988.0769114899</v>
      </c>
      <c r="I117" s="48">
        <f>节奏总纲!E114*$B$6</f>
        <v>2803592.7427208982</v>
      </c>
      <c r="J117" s="48">
        <f>节奏总纲!F114*$B$6</f>
        <v>2250706.7457997673</v>
      </c>
      <c r="K117" s="48">
        <f>节奏总纲!G114*$B$6</f>
        <v>1614887.8493404682</v>
      </c>
      <c r="L117" s="48">
        <f>节奏总纲!H114*$B$6</f>
        <v>874744.63084307394</v>
      </c>
    </row>
    <row r="118" spans="7:12" x14ac:dyDescent="0.15">
      <c r="G118" s="42">
        <v>112</v>
      </c>
      <c r="H118" s="48">
        <f>节奏总纲!D115*$B$6</f>
        <v>3527301.3465508884</v>
      </c>
      <c r="I118" s="48">
        <f>节奏总纲!E115*$B$6</f>
        <v>3007024.3979346324</v>
      </c>
      <c r="J118" s="48">
        <f>节奏总纲!F115*$B$6</f>
        <v>2414085.0415794281</v>
      </c>
      <c r="K118" s="48">
        <f>节奏总纲!G115*$B$6</f>
        <v>1732963.1515604516</v>
      </c>
      <c r="L118" s="48">
        <f>节奏总纲!H115*$B$6</f>
        <v>934734.85683598556</v>
      </c>
    </row>
    <row r="119" spans="7:12" x14ac:dyDescent="0.15">
      <c r="G119" s="42">
        <v>113</v>
      </c>
      <c r="H119" s="48">
        <f>节奏总纲!D116*$B$6</f>
        <v>3780575.6377955829</v>
      </c>
      <c r="I119" s="48">
        <f>节奏总纲!E116*$B$6</f>
        <v>3224452.9614758524</v>
      </c>
      <c r="J119" s="48">
        <f>节奏总纲!F116*$B$6</f>
        <v>2590072.3694537538</v>
      </c>
      <c r="K119" s="48">
        <f>节奏总纲!G116*$B$6</f>
        <v>1853616.2352111745</v>
      </c>
      <c r="L119" s="48">
        <f>节奏总纲!H116*$B$6</f>
        <v>998450.02594181348</v>
      </c>
    </row>
    <row r="120" spans="7:12" x14ac:dyDescent="0.15">
      <c r="G120" s="42">
        <v>114</v>
      </c>
      <c r="H120" s="48">
        <f>节奏总纲!D117*$B$6</f>
        <v>4052028.3018943318</v>
      </c>
      <c r="I120" s="48">
        <f>节奏总纲!E117*$B$6</f>
        <v>3456785.3443460544</v>
      </c>
      <c r="J120" s="48">
        <f>节奏总纲!F117*$B$6</f>
        <v>2769561.3443447757</v>
      </c>
      <c r="K120" s="48">
        <f>节奏总纲!G117*$B$6</f>
        <v>1979010.6226451916</v>
      </c>
      <c r="L120" s="48">
        <f>节奏总纲!H117*$B$6</f>
        <v>1066493.849058588</v>
      </c>
    </row>
    <row r="121" spans="7:12" x14ac:dyDescent="0.15">
      <c r="G121" s="42">
        <v>115</v>
      </c>
      <c r="H121" s="48">
        <f>节奏总纲!D118*$B$6</f>
        <v>4342964.0636101486</v>
      </c>
      <c r="I121" s="48">
        <f>节奏总纲!E118*$B$6</f>
        <v>3694559.5289131533</v>
      </c>
      <c r="J121" s="48">
        <f>节奏总纲!F118*$B$6</f>
        <v>2954952.7488803449</v>
      </c>
      <c r="K121" s="48">
        <f>节奏总纲!G118*$B$6</f>
        <v>2110680.5349145322</v>
      </c>
      <c r="L121" s="48">
        <f>节奏总纲!H118*$B$6</f>
        <v>1138290.8810722199</v>
      </c>
    </row>
    <row r="122" spans="7:12" x14ac:dyDescent="0.15">
      <c r="G122" s="42">
        <v>116</v>
      </c>
      <c r="H122" s="48">
        <f>节奏总纲!D119*$B$6</f>
        <v>4654781.2923199395</v>
      </c>
      <c r="I122" s="48">
        <f>节奏总纲!E119*$B$6</f>
        <v>3955167.6640842524</v>
      </c>
      <c r="J122" s="48">
        <f>节奏总纲!F119*$B$6</f>
        <v>3163389.3662606305</v>
      </c>
      <c r="K122" s="48">
        <f>节奏总纲!G119*$B$6</f>
        <v>2263620.1424551862</v>
      </c>
      <c r="L122" s="48">
        <f>节奏总纲!H119*$B$6</f>
        <v>1220018.176717056</v>
      </c>
    </row>
    <row r="123" spans="7:12" x14ac:dyDescent="0.15">
      <c r="G123" s="42">
        <v>117</v>
      </c>
      <c r="H123" s="48">
        <f>节奏总纲!D120*$B$6</f>
        <v>4988978.7232127022</v>
      </c>
      <c r="I123" s="48">
        <f>节奏总纲!E120*$B$6</f>
        <v>4240133.0168584762</v>
      </c>
      <c r="J123" s="48">
        <f>节奏总纲!F120*$B$6</f>
        <v>3394002.2254016013</v>
      </c>
      <c r="K123" s="48">
        <f>节奏总纲!G120*$B$6</f>
        <v>2427138.1488429797</v>
      </c>
      <c r="L123" s="48">
        <f>节奏总纲!H120*$B$6</f>
        <v>1309606.9148433346</v>
      </c>
    </row>
    <row r="124" spans="7:12" x14ac:dyDescent="0.15">
      <c r="G124" s="42">
        <v>118</v>
      </c>
      <c r="H124" s="48">
        <f>节奏总纲!D121*$B$6</f>
        <v>5347162.6608913923</v>
      </c>
      <c r="I124" s="48">
        <f>节奏总纲!E121*$B$6</f>
        <v>4545622.9780237721</v>
      </c>
      <c r="J124" s="48">
        <f>节奏总纲!F121*$B$6</f>
        <v>3639278.9070026814</v>
      </c>
      <c r="K124" s="48">
        <f>节奏总纲!G121*$B$6</f>
        <v>2606207.0809184648</v>
      </c>
      <c r="L124" s="48">
        <f>节奏总纲!H121*$B$6</f>
        <v>1404164.9147500796</v>
      </c>
    </row>
    <row r="125" spans="7:12" x14ac:dyDescent="0.15">
      <c r="G125" s="42">
        <v>119</v>
      </c>
      <c r="H125" s="48">
        <f>节奏总纲!D122*$B$6</f>
        <v>5731054.700002145</v>
      </c>
      <c r="I125" s="48">
        <f>节奏总纲!E122*$B$6</f>
        <v>4875408.2332918253</v>
      </c>
      <c r="J125" s="48">
        <f>节奏总纲!F122*$B$6</f>
        <v>3906859.9889914622</v>
      </c>
      <c r="K125" s="48">
        <f>节奏总纲!G122*$B$6</f>
        <v>2795035.3771910463</v>
      </c>
      <c r="L125" s="48">
        <f>节奏总纲!H122*$B$6</f>
        <v>1500390.1204605615</v>
      </c>
    </row>
    <row r="126" spans="7:12" x14ac:dyDescent="0.15">
      <c r="G126" s="42">
        <v>120</v>
      </c>
      <c r="H126" s="48">
        <f>节奏总纲!D123*$B$6</f>
        <v>6142500</v>
      </c>
      <c r="I126" s="48">
        <f>节奏总纲!E123*$B$6</f>
        <v>5229110.25</v>
      </c>
      <c r="J126" s="48">
        <f>节奏总纲!F123*$B$6</f>
        <v>4187956.5</v>
      </c>
      <c r="K126" s="48">
        <f>节奏总纲!G123*$B$6</f>
        <v>2982798</v>
      </c>
      <c r="L126" s="48">
        <f>节奏总纲!H123*$B$6</f>
        <v>1601963.9999999998</v>
      </c>
    </row>
    <row r="127" spans="7:12" x14ac:dyDescent="0.15">
      <c r="G127" s="42">
        <v>121</v>
      </c>
      <c r="H127" s="48">
        <f>节奏总纲!D124*$B$6</f>
        <v>6583476.1538229864</v>
      </c>
      <c r="I127" s="48">
        <f>节奏总纲!E124*$B$6</f>
        <v>5597271.4259803025</v>
      </c>
      <c r="J127" s="48">
        <f>节奏总纲!F124*$B$6</f>
        <v>4468205.2655996606</v>
      </c>
      <c r="K127" s="48">
        <f>节奏总纲!G124*$B$6</f>
        <v>3183110.7203734135</v>
      </c>
      <c r="L127" s="48">
        <f>节奏总纲!H124*$B$6</f>
        <v>1714995.538070888</v>
      </c>
    </row>
    <row r="128" spans="7:12" x14ac:dyDescent="0.15">
      <c r="G128" s="42">
        <v>122</v>
      </c>
      <c r="H128" s="48">
        <f>节奏总纲!D125*$B$6</f>
        <v>7056102.6931017786</v>
      </c>
      <c r="I128" s="48">
        <f>节奏总纲!E125*$B$6</f>
        <v>5984280.6940196184</v>
      </c>
      <c r="J128" s="48">
        <f>节奏总纲!F125*$B$6</f>
        <v>4775570.3026912827</v>
      </c>
      <c r="K128" s="48">
        <f>节奏总纲!G125*$B$6</f>
        <v>3406686.3802295388</v>
      </c>
      <c r="L128" s="48">
        <f>节奏总纲!H125*$B$6</f>
        <v>1835997.9207450827</v>
      </c>
    </row>
    <row r="129" spans="7:12" x14ac:dyDescent="0.15">
      <c r="G129" s="42">
        <v>123</v>
      </c>
      <c r="H129" s="48">
        <f>节奏总纲!D126*$B$6</f>
        <v>7562651.2755911676</v>
      </c>
      <c r="I129" s="48">
        <f>节奏总纲!E126*$B$6</f>
        <v>6413884.5468288688</v>
      </c>
      <c r="J129" s="48">
        <f>节奏总纲!F126*$B$6</f>
        <v>5129746.3602334885</v>
      </c>
      <c r="K129" s="48">
        <f>节奏总纲!G126*$B$6</f>
        <v>3664104.5430239202</v>
      </c>
      <c r="L129" s="48">
        <f>节奏总纲!H126*$B$6</f>
        <v>1974608.2480568539</v>
      </c>
    </row>
    <row r="130" spans="7:12" x14ac:dyDescent="0.15">
      <c r="G130" s="42">
        <v>124</v>
      </c>
      <c r="H130" s="48">
        <f>节奏总纲!D127*$B$6</f>
        <v>8105556.6037886562</v>
      </c>
      <c r="I130" s="48">
        <f>节奏总纲!E127*$B$6</f>
        <v>6887291.4462392209</v>
      </c>
      <c r="J130" s="48">
        <f>节奏总纲!F127*$B$6</f>
        <v>5506915.1566140139</v>
      </c>
      <c r="K130" s="48">
        <f>节奏总纲!G127*$B$6</f>
        <v>3936058.2867997712</v>
      </c>
      <c r="L130" s="48">
        <f>节奏总纲!H127*$B$6</f>
        <v>2123655.8301926283</v>
      </c>
    </row>
    <row r="131" spans="7:12" x14ac:dyDescent="0.15">
      <c r="G131" s="42">
        <v>125</v>
      </c>
      <c r="H131" s="48">
        <f>节奏总纲!D128*$B$6</f>
        <v>8687428.1272202972</v>
      </c>
      <c r="I131" s="48">
        <f>节奏总纲!E128*$B$6</f>
        <v>7378232.7084481996</v>
      </c>
      <c r="J131" s="48">
        <f>节奏总纲!F128*$B$6</f>
        <v>5910057.3549479684</v>
      </c>
      <c r="K131" s="48">
        <f>节奏总纲!G128*$B$6</f>
        <v>4224696.2982672313</v>
      </c>
      <c r="L131" s="48">
        <f>节奏总纲!H128*$B$6</f>
        <v>2264812.5127663314</v>
      </c>
    </row>
    <row r="132" spans="7:12" x14ac:dyDescent="0.15">
      <c r="G132" s="42">
        <v>126</v>
      </c>
      <c r="H132" s="48">
        <f>节奏总纲!D129*$B$6</f>
        <v>9311062.5846398789</v>
      </c>
      <c r="I132" s="48">
        <f>节奏总纲!E129*$B$6</f>
        <v>7919058.7282362189</v>
      </c>
      <c r="J132" s="48">
        <f>节奏总纲!F129*$B$6</f>
        <v>6338971.4076228291</v>
      </c>
      <c r="K132" s="48">
        <f>节奏总纲!G129*$B$6</f>
        <v>4510278.7159995576</v>
      </c>
      <c r="L132" s="48">
        <f>节奏总纲!H129*$B$6</f>
        <v>2415289.6344555849</v>
      </c>
    </row>
    <row r="133" spans="7:12" x14ac:dyDescent="0.15">
      <c r="G133" s="42">
        <v>127</v>
      </c>
      <c r="H133" s="48">
        <f>节奏总纲!D130*$B$6</f>
        <v>9979457.4464254063</v>
      </c>
      <c r="I133" s="48">
        <f>节奏总纲!E130*$B$6</f>
        <v>8487528.5581848081</v>
      </c>
      <c r="J133" s="48">
        <f>节奏总纲!F130*$B$6</f>
        <v>6763078.3114424972</v>
      </c>
      <c r="K133" s="48">
        <f>节奏总纲!G130*$B$6</f>
        <v>4805108.7604538333</v>
      </c>
      <c r="L133" s="48">
        <f>节奏总纲!H130*$B$6</f>
        <v>2579689.7499009673</v>
      </c>
    </row>
    <row r="134" spans="7:12" x14ac:dyDescent="0.15">
      <c r="G134" s="42">
        <v>128</v>
      </c>
      <c r="H134" s="48">
        <f>节奏总纲!D131*$B$6</f>
        <v>10695825.321782766</v>
      </c>
      <c r="I134" s="48">
        <f>节奏总纲!E131*$B$6</f>
        <v>9054016.1348891109</v>
      </c>
      <c r="J134" s="48">
        <f>节奏总纲!F131*$B$6</f>
        <v>7208986.2668815851</v>
      </c>
      <c r="K134" s="48">
        <f>节奏总纲!G131*$B$6</f>
        <v>5128648.2417948367</v>
      </c>
      <c r="L134" s="48">
        <f>节奏总纲!H131*$B$6</f>
        <v>2758453.3504877756</v>
      </c>
    </row>
    <row r="135" spans="7:12" x14ac:dyDescent="0.15">
      <c r="G135" s="42">
        <v>129</v>
      </c>
      <c r="H135" s="48">
        <f>节奏总纲!D132*$B$6</f>
        <v>11463609.400004292</v>
      </c>
      <c r="I135" s="48">
        <f>节奏总纲!E132*$B$6</f>
        <v>9703945.3571036328</v>
      </c>
      <c r="J135" s="48">
        <f>节奏总纲!F132*$B$6</f>
        <v>7739082.7059428981</v>
      </c>
      <c r="K135" s="48">
        <f>节奏总纲!G132*$B$6</f>
        <v>5515142.4823420653</v>
      </c>
      <c r="L135" s="48">
        <f>节奏总纲!H132*$B$6</f>
        <v>2963343.0299011096</v>
      </c>
    </row>
    <row r="136" spans="7:12" x14ac:dyDescent="0.15">
      <c r="G136" s="42">
        <v>130</v>
      </c>
      <c r="H136" s="48">
        <f>节奏总纲!D133*$B$6</f>
        <v>12286500</v>
      </c>
      <c r="I136" s="48">
        <f>节奏总纲!E133*$B$6</f>
        <v>10412808.75</v>
      </c>
      <c r="J136" s="48">
        <f>节奏总纲!F133*$B$6</f>
        <v>8313045.9000000004</v>
      </c>
      <c r="K136" s="48">
        <f>节奏总纲!G133*$B$6</f>
        <v>5927007.6000000006</v>
      </c>
      <c r="L136" s="48">
        <f>节奏总纲!H133*$B$6</f>
        <v>3187118.1000000006</v>
      </c>
    </row>
    <row r="137" spans="7:12" x14ac:dyDescent="0.15">
      <c r="G137" s="42">
        <v>131</v>
      </c>
      <c r="H137" s="48">
        <f>节奏总纲!D134*$B$6</f>
        <v>13168452.307645973</v>
      </c>
      <c r="I137" s="48">
        <f>节奏总纲!E134*$B$6</f>
        <v>11165530.71165302</v>
      </c>
      <c r="J137" s="48">
        <f>节奏总纲!F134*$B$6</f>
        <v>8917675.9027378522</v>
      </c>
      <c r="K137" s="48">
        <f>节奏总纲!G134*$B$6</f>
        <v>6366946.690746828</v>
      </c>
      <c r="L137" s="48">
        <f>节奏总纲!H134*$B$6</f>
        <v>3413262.8381418358</v>
      </c>
    </row>
    <row r="138" spans="7:12" x14ac:dyDescent="0.15">
      <c r="G138" s="42">
        <v>132</v>
      </c>
      <c r="H138" s="48">
        <f>节奏总纲!D135*$B$6</f>
        <v>14113705.386203557</v>
      </c>
      <c r="I138" s="48">
        <f>节奏总纲!E135*$B$6</f>
        <v>11975479.020193718</v>
      </c>
      <c r="J138" s="48">
        <f>节奏总纲!F135*$B$6</f>
        <v>9578971.8456163537</v>
      </c>
      <c r="K138" s="48">
        <f>节奏总纲!G135*$B$6</f>
        <v>6816919.7015363183</v>
      </c>
      <c r="L138" s="48">
        <f>节奏总纲!H135*$B$6</f>
        <v>3646981.4717949992</v>
      </c>
    </row>
    <row r="139" spans="7:12" x14ac:dyDescent="0.15">
      <c r="G139" s="42">
        <v>133</v>
      </c>
      <c r="H139" s="48">
        <f>节奏总纲!D136*$B$6</f>
        <v>15126802.551182335</v>
      </c>
      <c r="I139" s="48">
        <f>节奏总纲!E136*$B$6</f>
        <v>12844168.04620892</v>
      </c>
      <c r="J139" s="48">
        <f>节奏总纲!F136*$B$6</f>
        <v>10240845.327150442</v>
      </c>
      <c r="K139" s="48">
        <f>节奏总纲!G136*$B$6</f>
        <v>7271453.986353348</v>
      </c>
      <c r="L139" s="48">
        <f>节奏总纲!H136*$B$6</f>
        <v>3893638.9766743332</v>
      </c>
    </row>
    <row r="140" spans="7:12" x14ac:dyDescent="0.15">
      <c r="G140" s="42">
        <v>134</v>
      </c>
      <c r="H140" s="48">
        <f>节奏总纲!D137*$B$6</f>
        <v>16212613.207577316</v>
      </c>
      <c r="I140" s="48">
        <f>节奏总纲!E137*$B$6</f>
        <v>13727219.602855714</v>
      </c>
      <c r="J140" s="48">
        <f>节奏总纲!F137*$B$6</f>
        <v>10925680.040586354</v>
      </c>
      <c r="K140" s="48">
        <f>节奏总纲!G137*$B$6</f>
        <v>7762599.2037880188</v>
      </c>
      <c r="L140" s="48">
        <f>节奏总纲!H137*$B$6</f>
        <v>4163399.0717058545</v>
      </c>
    </row>
    <row r="141" spans="7:12" x14ac:dyDescent="0.15">
      <c r="G141" s="42">
        <v>135</v>
      </c>
      <c r="H141" s="48">
        <f>节奏总纲!D138*$B$6</f>
        <v>17376356.254440594</v>
      </c>
      <c r="I141" s="48">
        <f>节奏总纲!E138*$B$6</f>
        <v>14695184.484380413</v>
      </c>
      <c r="J141" s="48">
        <f>节奏总纲!F138*$B$6</f>
        <v>11694287.759238522</v>
      </c>
      <c r="K141" s="48">
        <f>节奏总纲!G138*$B$6</f>
        <v>8323274.6458770456</v>
      </c>
      <c r="L141" s="48">
        <f>节奏总纲!H138*$B$6</f>
        <v>4469198.8286421206</v>
      </c>
    </row>
    <row r="142" spans="7:12" x14ac:dyDescent="0.15">
      <c r="G142" s="42">
        <v>136</v>
      </c>
      <c r="H142" s="48">
        <f>节奏总纲!D139*$B$6</f>
        <v>18623625.169279758</v>
      </c>
      <c r="I142" s="48">
        <f>节奏总纲!E139*$B$6</f>
        <v>15761173.980761463</v>
      </c>
      <c r="J142" s="48">
        <f>节奏总纲!F139*$B$6</f>
        <v>12576534.076814622</v>
      </c>
      <c r="K142" s="48">
        <f>节奏总纲!G139*$B$6</f>
        <v>8950514.2563558519</v>
      </c>
      <c r="L142" s="48">
        <f>节奏总纲!H139*$B$6</f>
        <v>4806757.656191106</v>
      </c>
    </row>
    <row r="143" spans="7:12" x14ac:dyDescent="0.15">
      <c r="G143" s="42">
        <v>137</v>
      </c>
      <c r="H143" s="48">
        <f>节奏总纲!D140*$B$6</f>
        <v>19960414.892850816</v>
      </c>
      <c r="I143" s="48">
        <f>节奏总纲!E140*$B$6</f>
        <v>16912459.538712498</v>
      </c>
      <c r="J143" s="48">
        <f>节奏总纲!F140*$B$6</f>
        <v>13493240.467567151</v>
      </c>
      <c r="K143" s="48">
        <f>节奏总纲!G140*$B$6</f>
        <v>9610939.7709076684</v>
      </c>
      <c r="L143" s="48">
        <f>节奏总纲!H140*$B$6</f>
        <v>5157771.2083126511</v>
      </c>
    </row>
    <row r="144" spans="7:12" x14ac:dyDescent="0.15">
      <c r="G144" s="42">
        <v>138</v>
      </c>
      <c r="H144" s="48">
        <f>节奏总纲!D141*$B$6</f>
        <v>21393150.643565536</v>
      </c>
      <c r="I144" s="48">
        <f>节奏总纲!E141*$B$6</f>
        <v>18126416.540293079</v>
      </c>
      <c r="J144" s="48">
        <f>节奏总纲!F141*$B$6</f>
        <v>14472466.410372086</v>
      </c>
      <c r="K144" s="48">
        <f>节奏总纲!G141*$B$6</f>
        <v>10307219.980069874</v>
      </c>
      <c r="L144" s="48">
        <f>节奏总纲!H141*$B$6</f>
        <v>5506596.9756537694</v>
      </c>
    </row>
    <row r="145" spans="7:12" x14ac:dyDescent="0.15">
      <c r="G145" s="42">
        <v>139</v>
      </c>
      <c r="H145" s="48">
        <f>节奏总纲!D142*$B$6</f>
        <v>22928718.800008588</v>
      </c>
      <c r="I145" s="48">
        <f>节奏总纲!E142*$B$6</f>
        <v>19436674.926767278</v>
      </c>
      <c r="J145" s="48">
        <f>节奏总纲!F142*$B$6</f>
        <v>15513571.140085811</v>
      </c>
      <c r="K145" s="48">
        <f>节奏总纲!G142*$B$6</f>
        <v>11003492.152124122</v>
      </c>
      <c r="L145" s="48">
        <f>节奏总纲!H142*$B$6</f>
        <v>5881216.3722022027</v>
      </c>
    </row>
    <row r="146" spans="7:12" x14ac:dyDescent="0.15">
      <c r="G146" s="42">
        <v>140</v>
      </c>
      <c r="H146" s="48">
        <f>节奏总纲!D143*$B$6</f>
        <v>24574500</v>
      </c>
      <c r="I146" s="48">
        <f>节奏总纲!E143*$B$6</f>
        <v>20821973.850000001</v>
      </c>
      <c r="J146" s="48">
        <f>节奏总纲!F143*$B$6</f>
        <v>16555840.65</v>
      </c>
      <c r="K146" s="48">
        <f>节奏总纲!G143*$B$6</f>
        <v>11741696.100000001</v>
      </c>
      <c r="L146" s="48">
        <f>节奏总纲!H143*$B$6</f>
        <v>6288614.5499999998</v>
      </c>
    </row>
    <row r="147" spans="7:12" x14ac:dyDescent="0.15">
      <c r="G147" s="42">
        <v>141</v>
      </c>
      <c r="H147" s="48">
        <f>节奏总纲!D144*$B$6</f>
        <v>26338404.615291901</v>
      </c>
      <c r="I147" s="48">
        <f>节奏总纲!E144*$B$6</f>
        <v>22258585.740383185</v>
      </c>
      <c r="J147" s="48">
        <f>节奏总纲!F144*$B$6</f>
        <v>17683604.858706985</v>
      </c>
      <c r="K147" s="48">
        <f>节奏总纲!G144*$B$6</f>
        <v>12571320.522878824</v>
      </c>
      <c r="L147" s="48">
        <f>节奏总纲!H144*$B$6</f>
        <v>6734730.0601301389</v>
      </c>
    </row>
    <row r="148" spans="7:12" x14ac:dyDescent="0.15">
      <c r="G148" s="42">
        <v>142</v>
      </c>
      <c r="H148" s="48">
        <f>节奏总纲!D145*$B$6</f>
        <v>28228910.772407118</v>
      </c>
      <c r="I148" s="48">
        <f>节奏总纲!E145*$B$6</f>
        <v>23856252.493761256</v>
      </c>
      <c r="J148" s="48">
        <f>节奏总纲!F145*$B$6</f>
        <v>19000879.840907235</v>
      </c>
      <c r="K148" s="48">
        <f>节奏总纲!G145*$B$6</f>
        <v>13504710.913519567</v>
      </c>
      <c r="L148" s="48">
        <f>节奏总纲!H145*$B$6</f>
        <v>7235069.8309679432</v>
      </c>
    </row>
    <row r="149" spans="7:12" x14ac:dyDescent="0.15">
      <c r="G149" s="42">
        <v>143</v>
      </c>
      <c r="H149" s="48">
        <f>节奏总纲!D146*$B$6</f>
        <v>30255105.102364674</v>
      </c>
      <c r="I149" s="48">
        <f>节奏总纲!E146*$B$6</f>
        <v>25598844.427110747</v>
      </c>
      <c r="J149" s="48">
        <f>节奏总纲!F146*$B$6</f>
        <v>20391940.838993791</v>
      </c>
      <c r="K149" s="48">
        <f>节奏总纲!G146*$B$6</f>
        <v>14504297.386073623</v>
      </c>
      <c r="L149" s="48">
        <f>节奏总纲!H146*$B$6</f>
        <v>7778587.521817958</v>
      </c>
    </row>
    <row r="150" spans="7:12" x14ac:dyDescent="0.15">
      <c r="G150" s="42">
        <v>144</v>
      </c>
      <c r="H150" s="48">
        <f>节奏总纲!D147*$B$6</f>
        <v>32426726.415154632</v>
      </c>
      <c r="I150" s="48">
        <f>节奏总纲!E147*$B$6</f>
        <v>27436253.219862334</v>
      </c>
      <c r="J150" s="48">
        <f>节奏总纲!F147*$B$6</f>
        <v>21878312.312304828</v>
      </c>
      <c r="K150" s="48">
        <f>节奏总纲!G147*$B$6</f>
        <v>15571314.024557255</v>
      </c>
      <c r="L150" s="48">
        <f>节奏总纲!H147*$B$6</f>
        <v>8320697.9981286777</v>
      </c>
    </row>
    <row r="151" spans="7:12" x14ac:dyDescent="0.15">
      <c r="G151" s="42">
        <v>145</v>
      </c>
      <c r="H151" s="48">
        <f>节奏总纲!D148*$B$6</f>
        <v>34754212.508881196</v>
      </c>
      <c r="I151" s="48">
        <f>节奏总纲!E148*$B$6</f>
        <v>29447244.258775041</v>
      </c>
      <c r="J151" s="48">
        <f>节奏总纲!F148*$B$6</f>
        <v>23476470.549749248</v>
      </c>
      <c r="K151" s="48">
        <f>节奏总纲!G148*$B$6</f>
        <v>16657694.055506757</v>
      </c>
      <c r="L151" s="48">
        <f>节奏总纲!H148*$B$6</f>
        <v>8890127.5597718116</v>
      </c>
    </row>
    <row r="152" spans="7:12" x14ac:dyDescent="0.15">
      <c r="G152" s="42">
        <v>146</v>
      </c>
      <c r="H152" s="48">
        <f>节奏总纲!D149*$B$6</f>
        <v>37248750.338559523</v>
      </c>
      <c r="I152" s="48">
        <f>节奏总纲!E149*$B$6</f>
        <v>31553416.411793776</v>
      </c>
      <c r="J152" s="48">
        <f>节奏总纲!F149*$B$6</f>
        <v>25079583.60295213</v>
      </c>
      <c r="K152" s="48">
        <f>节奏总纲!G149*$B$6</f>
        <v>17771378.786526751</v>
      </c>
      <c r="L152" s="48">
        <f>节奏总纲!H149*$B$6</f>
        <v>9487256.7112311106</v>
      </c>
    </row>
    <row r="153" spans="7:12" x14ac:dyDescent="0.15">
      <c r="G153" s="42">
        <v>147</v>
      </c>
      <c r="H153" s="48">
        <f>节奏总纲!D150*$B$6</f>
        <v>39922329.785701632</v>
      </c>
      <c r="I153" s="48">
        <f>节奏总纲!E150*$B$6</f>
        <v>33706423.038067885</v>
      </c>
      <c r="J153" s="48">
        <f>节奏总纲!F150*$B$6</f>
        <v>26755945.422377232</v>
      </c>
      <c r="K153" s="48">
        <f>节奏总纲!G150*$B$6</f>
        <v>18947137.716293994</v>
      </c>
      <c r="L153" s="48">
        <f>节奏总纲!H150*$B$6</f>
        <v>10132287.299611075</v>
      </c>
    </row>
    <row r="154" spans="7:12" x14ac:dyDescent="0.15">
      <c r="G154" s="42">
        <v>148</v>
      </c>
      <c r="H154" s="48">
        <f>节奏总纲!D151*$B$6</f>
        <v>42787801.287131071</v>
      </c>
      <c r="I154" s="48">
        <f>节奏总纲!E151*$B$6</f>
        <v>36125740.626724765</v>
      </c>
      <c r="J154" s="48">
        <f>节奏总纲!F151*$B$6</f>
        <v>28693499.543150097</v>
      </c>
      <c r="K154" s="48">
        <f>节奏总纲!G151*$B$6</f>
        <v>20349878.292159539</v>
      </c>
      <c r="L154" s="48">
        <f>节奏总纲!H151*$B$6</f>
        <v>10863822.74680258</v>
      </c>
    </row>
    <row r="155" spans="7:12" x14ac:dyDescent="0.15">
      <c r="G155" s="42">
        <v>149</v>
      </c>
      <c r="H155" s="48">
        <f>节奏总纲!D152*$B$6</f>
        <v>45858937.600017183</v>
      </c>
      <c r="I155" s="48">
        <f>节奏总纲!E152*$B$6</f>
        <v>38727872.803214513</v>
      </c>
      <c r="J155" s="48">
        <f>节奏总纲!F152*$B$6</f>
        <v>30780518.917131532</v>
      </c>
      <c r="K155" s="48">
        <f>节奏总纲!G152*$B$6</f>
        <v>21824268.403848175</v>
      </c>
      <c r="L155" s="48">
        <f>节奏总纲!H152*$B$6</f>
        <v>11652756.044164365</v>
      </c>
    </row>
    <row r="156" spans="7:12" x14ac:dyDescent="0.15">
      <c r="G156" s="42">
        <v>150</v>
      </c>
      <c r="H156" s="48">
        <f>节奏总纲!D153*$B$6</f>
        <v>49150500</v>
      </c>
      <c r="I156" s="48">
        <f>节奏总纲!E153*$B$6</f>
        <v>41507597.25</v>
      </c>
      <c r="J156" s="48">
        <f>节奏总纲!F153*$B$6</f>
        <v>32994730.649999999</v>
      </c>
      <c r="K156" s="48">
        <f>节奏总纲!G153*$B$6</f>
        <v>23405468.100000001</v>
      </c>
      <c r="L156" s="48">
        <f>节奏总纲!H153*$B$6</f>
        <v>12533377.500000002</v>
      </c>
    </row>
    <row r="157" spans="7:12" x14ac:dyDescent="0.15">
      <c r="G157" s="42">
        <v>151</v>
      </c>
      <c r="H157" s="48">
        <f>节奏总纲!D154*$B$6</f>
        <v>52678309.230583817</v>
      </c>
      <c r="I157" s="48">
        <f>节奏总纲!E154*$B$6</f>
        <v>44507903.468920268</v>
      </c>
      <c r="J157" s="48">
        <f>节奏总纲!F154*$B$6</f>
        <v>35389288.141106203</v>
      </c>
      <c r="K157" s="48">
        <f>节奏总纲!G154*$B$6</f>
        <v>25206570.966834355</v>
      </c>
      <c r="L157" s="48">
        <f>节奏总纲!H154*$B$6</f>
        <v>13643682.090721209</v>
      </c>
    </row>
    <row r="158" spans="7:12" x14ac:dyDescent="0.15">
      <c r="G158" s="42">
        <v>152</v>
      </c>
      <c r="H158" s="48">
        <f>节奏总纲!D155*$B$6</f>
        <v>56459321.544814236</v>
      </c>
      <c r="I158" s="48">
        <f>节奏总纲!E155*$B$6</f>
        <v>47691188.90890459</v>
      </c>
      <c r="J158" s="48">
        <f>节奏总纲!F155*$B$6</f>
        <v>38138271.703522019</v>
      </c>
      <c r="K158" s="48">
        <f>节奏总纲!G155*$B$6</f>
        <v>27382770.949234907</v>
      </c>
      <c r="L158" s="48">
        <f>节奏总纲!H155*$B$6</f>
        <v>21172245.57930534</v>
      </c>
    </row>
    <row r="159" spans="7:12" x14ac:dyDescent="0.15">
      <c r="G159" s="42">
        <v>153</v>
      </c>
      <c r="H159" s="48">
        <f>节奏总纲!D156*$B$6</f>
        <v>60511710.204729348</v>
      </c>
      <c r="I159" s="48">
        <f>节奏总纲!E156*$B$6</f>
        <v>51495465.384224668</v>
      </c>
      <c r="J159" s="48">
        <f>节奏总纲!F156*$B$6</f>
        <v>41329498.069830149</v>
      </c>
      <c r="K159" s="48">
        <f>节奏总纲!G156*$B$6</f>
        <v>36307026.122837603</v>
      </c>
      <c r="L159" s="48">
        <f>节奏总纲!H156*$B$6</f>
        <v>36307026.122837603</v>
      </c>
    </row>
    <row r="160" spans="7:12" x14ac:dyDescent="0.15">
      <c r="G160" s="42">
        <v>154</v>
      </c>
      <c r="H160" s="48">
        <f>节奏总纲!D157*$B$6</f>
        <v>64854952.830309272</v>
      </c>
      <c r="I160" s="48">
        <f>节奏总纲!E157*$B$6</f>
        <v>55450984.669914432</v>
      </c>
      <c r="J160" s="48">
        <f>节奏总纲!F157*$B$6</f>
        <v>50911137.97179278</v>
      </c>
      <c r="K160" s="48">
        <f>节奏总纲!G157*$B$6</f>
        <v>51235412.735944331</v>
      </c>
      <c r="L160" s="48">
        <f>节奏总纲!H157*$B$6</f>
        <v>51235412.735944331</v>
      </c>
    </row>
    <row r="161" spans="7:12" x14ac:dyDescent="0.15">
      <c r="G161" s="42">
        <v>155</v>
      </c>
      <c r="H161" s="48">
        <f>节奏总纲!D158*$B$6</f>
        <v>69509925.017762408</v>
      </c>
      <c r="I161" s="48">
        <f>节奏总纲!E158*$B$6</f>
        <v>66117840.676895604</v>
      </c>
      <c r="J161" s="48">
        <f>节奏总纲!F158*$B$6</f>
        <v>66604410.15201994</v>
      </c>
      <c r="K161" s="48">
        <f>节奏总纲!G158*$B$6</f>
        <v>66604410.15201994</v>
      </c>
      <c r="L161" s="48">
        <f>节奏总纲!H158*$B$6</f>
        <v>66812939.927073225</v>
      </c>
    </row>
    <row r="162" spans="7:12" x14ac:dyDescent="0.15">
      <c r="G162" s="42">
        <v>156</v>
      </c>
      <c r="H162" s="48">
        <f>节奏总纲!D159*$B$6</f>
        <v>74499000.677119061</v>
      </c>
      <c r="I162" s="48">
        <f>节奏总纲!E159*$B$6</f>
        <v>74499000.677119061</v>
      </c>
      <c r="J162" s="48">
        <f>节奏总纲!F159*$B$6</f>
        <v>75243990.683890253</v>
      </c>
      <c r="K162" s="48">
        <f>节奏总纲!G159*$B$6</f>
        <v>75243990.683890253</v>
      </c>
      <c r="L162" s="48">
        <f>节奏总纲!H159*$B$6</f>
        <v>75467487.685921609</v>
      </c>
    </row>
    <row r="163" spans="7:12" x14ac:dyDescent="0.15">
      <c r="G163" s="42">
        <v>157</v>
      </c>
      <c r="H163" s="48">
        <f>节奏总纲!D160*$B$6</f>
        <v>79846159.57140328</v>
      </c>
      <c r="I163" s="48">
        <f>节奏总纲!E160*$B$6</f>
        <v>79846159.57140328</v>
      </c>
      <c r="J163" s="48">
        <f>节奏总纲!F160*$B$6</f>
        <v>80644621.167117313</v>
      </c>
      <c r="K163" s="48">
        <f>节奏总纲!G160*$B$6</f>
        <v>80644621.167117313</v>
      </c>
      <c r="L163" s="48">
        <f>节奏总纲!H160*$B$6</f>
        <v>80644621.167117313</v>
      </c>
    </row>
    <row r="164" spans="7:12" x14ac:dyDescent="0.15">
      <c r="G164" s="42">
        <v>158</v>
      </c>
      <c r="H164" s="48">
        <f>节奏总纲!D161*$B$6</f>
        <v>85577102.574262157</v>
      </c>
      <c r="I164" s="48">
        <f>节奏总纲!E161*$B$6</f>
        <v>85577102.574262157</v>
      </c>
      <c r="J164" s="48">
        <f>节奏总纲!F161*$B$6</f>
        <v>86432873.600004777</v>
      </c>
      <c r="K164" s="48">
        <f>节奏总纲!G161*$B$6</f>
        <v>86432873.600004777</v>
      </c>
      <c r="L164" s="48">
        <f>节奏总纲!H161*$B$6</f>
        <v>86432873.600004777</v>
      </c>
    </row>
    <row r="165" spans="7:12" x14ac:dyDescent="0.15">
      <c r="G165" s="42">
        <v>159</v>
      </c>
      <c r="H165" s="48">
        <f>节奏总纲!D162*$B$6</f>
        <v>91719375.200034365</v>
      </c>
      <c r="I165" s="48">
        <f>节奏总纲!E162*$B$6</f>
        <v>91719375.200034365</v>
      </c>
      <c r="J165" s="48">
        <f>节奏总纲!F162*$B$6</f>
        <v>92636568.952034697</v>
      </c>
      <c r="K165" s="48">
        <f>节奏总纲!G162*$B$6</f>
        <v>92636568.952034697</v>
      </c>
      <c r="L165" s="48">
        <f>节奏总纲!H162*$B$6</f>
        <v>92636568.952034697</v>
      </c>
    </row>
    <row r="166" spans="7:12" x14ac:dyDescent="0.15">
      <c r="G166" s="42">
        <v>160</v>
      </c>
      <c r="H166" s="48">
        <f>节奏总纲!D163*$B$6</f>
        <v>98302500</v>
      </c>
      <c r="I166" s="48">
        <f>节奏总纲!E163*$B$6</f>
        <v>98302500</v>
      </c>
      <c r="J166" s="48">
        <f>节奏总纲!F163*$B$6</f>
        <v>99285525.000000015</v>
      </c>
      <c r="K166" s="48">
        <f>节奏总纲!G163*$B$6</f>
        <v>99285525.000000015</v>
      </c>
      <c r="L166" s="48">
        <f>节奏总纲!H163*$B$6</f>
        <v>99285525.000000015</v>
      </c>
    </row>
  </sheetData>
  <mergeCells count="1">
    <mergeCell ref="H5:L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F0C33-5275-48EC-A558-365EF6F4B3BB}">
  <sheetPr codeName="Sheet3"/>
  <dimension ref="B3:AF165"/>
  <sheetViews>
    <sheetView workbookViewId="0">
      <selection activeCell="C39" sqref="C39"/>
    </sheetView>
  </sheetViews>
  <sheetFormatPr defaultColWidth="6.625" defaultRowHeight="11.25" x14ac:dyDescent="0.15"/>
  <cols>
    <col min="1" max="1" width="11.375" style="42" customWidth="1"/>
    <col min="2" max="2" width="9.125" style="42" customWidth="1"/>
    <col min="3" max="4" width="12.25" style="42" bestFit="1" customWidth="1"/>
    <col min="5" max="5" width="11.25" style="42" customWidth="1"/>
    <col min="6" max="6" width="10.875" style="42" customWidth="1"/>
    <col min="7" max="7" width="9.75" style="42" bestFit="1" customWidth="1"/>
    <col min="8" max="8" width="9.75" style="59" customWidth="1"/>
    <col min="9" max="9" width="6.625" style="42"/>
    <col min="10" max="10" width="1.25" style="49" customWidth="1"/>
    <col min="11" max="11" width="6.625" style="42" customWidth="1"/>
    <col min="12" max="12" width="7.5" style="42" bestFit="1" customWidth="1"/>
    <col min="13" max="17" width="9.75" style="42" bestFit="1" customWidth="1"/>
    <col min="18" max="18" width="6.625" style="42" customWidth="1"/>
    <col min="19" max="19" width="6.625" style="42"/>
    <col min="20" max="20" width="7.5" style="42" bestFit="1" customWidth="1"/>
    <col min="21" max="25" width="9.75" style="42" bestFit="1" customWidth="1"/>
    <col min="26" max="16384" width="6.625" style="42"/>
  </cols>
  <sheetData>
    <row r="3" spans="2:25" x14ac:dyDescent="0.15">
      <c r="B3" s="57" t="s">
        <v>116</v>
      </c>
      <c r="C3" s="55">
        <v>1</v>
      </c>
      <c r="K3" s="41"/>
      <c r="M3" s="65" t="s">
        <v>105</v>
      </c>
      <c r="N3" s="66"/>
      <c r="O3" s="66"/>
      <c r="P3" s="66"/>
      <c r="Q3" s="67"/>
      <c r="U3" s="65" t="s">
        <v>72</v>
      </c>
      <c r="V3" s="66"/>
      <c r="W3" s="66"/>
      <c r="X3" s="66"/>
      <c r="Y3" s="67"/>
    </row>
    <row r="4" spans="2:25" x14ac:dyDescent="0.15">
      <c r="K4" s="41"/>
      <c r="L4" s="42" t="s">
        <v>77</v>
      </c>
      <c r="M4" s="28" t="s">
        <v>67</v>
      </c>
      <c r="N4" s="28" t="s">
        <v>68</v>
      </c>
      <c r="O4" s="28" t="s">
        <v>69</v>
      </c>
      <c r="P4" s="28" t="s">
        <v>70</v>
      </c>
      <c r="Q4" s="28" t="s">
        <v>71</v>
      </c>
      <c r="T4" s="42" t="s">
        <v>82</v>
      </c>
      <c r="U4" s="28" t="s">
        <v>67</v>
      </c>
      <c r="V4" s="28" t="s">
        <v>68</v>
      </c>
      <c r="W4" s="28" t="s">
        <v>69</v>
      </c>
      <c r="X4" s="28" t="s">
        <v>70</v>
      </c>
      <c r="Y4" s="28" t="s">
        <v>71</v>
      </c>
    </row>
    <row r="5" spans="2:25" x14ac:dyDescent="0.15">
      <c r="K5" s="41"/>
      <c r="L5" s="42">
        <v>1</v>
      </c>
      <c r="M5" s="43">
        <f>IF($L5&lt;基础状态预期!E$9,0,求节点(基础状态预期!E$8:E$26,$D$10:$D$28,$L5))</f>
        <v>0</v>
      </c>
      <c r="N5" s="43">
        <f>IF($L5&lt;基础状态预期!F$9,0,求节点(基础状态预期!F$8:F$26,$D$10:$D$28,$L5))</f>
        <v>0</v>
      </c>
      <c r="O5" s="43">
        <f>IF($L5&lt;基础状态预期!G$9,0,求节点(基础状态预期!G$8:G$26,$D$10:$D$28,$L5))</f>
        <v>0</v>
      </c>
      <c r="P5" s="43">
        <f>IF($L5&lt;基础状态预期!H$9,0,求节点(基础状态预期!H$8:H$26,$D$10:$D$28,$L5))</f>
        <v>0</v>
      </c>
      <c r="Q5" s="43">
        <f>IF($L5&lt;基础状态预期!I$9,0,求节点(基础状态预期!I$8:I$26,$D$10:$D$28,$L5))</f>
        <v>0</v>
      </c>
      <c r="T5" s="42">
        <v>1</v>
      </c>
      <c r="U5" s="43" t="e">
        <f>协作币产出情况!H7/M5</f>
        <v>#DIV/0!</v>
      </c>
      <c r="V5" s="43" t="e">
        <f>协作币产出情况!I7/N5</f>
        <v>#DIV/0!</v>
      </c>
      <c r="W5" s="43" t="e">
        <f>协作币产出情况!J7/O5</f>
        <v>#DIV/0!</v>
      </c>
      <c r="X5" s="43" t="e">
        <f>协作币产出情况!K7/P5</f>
        <v>#DIV/0!</v>
      </c>
      <c r="Y5" s="43" t="e">
        <f>协作币产出情况!L7/Q5</f>
        <v>#DIV/0!</v>
      </c>
    </row>
    <row r="6" spans="2:25" x14ac:dyDescent="0.15">
      <c r="G6" s="52"/>
      <c r="H6" s="60"/>
      <c r="I6" s="52"/>
      <c r="J6" s="53"/>
      <c r="K6" s="41"/>
      <c r="L6" s="42">
        <v>2</v>
      </c>
      <c r="M6" s="43">
        <f>IF($L6&lt;基础状态预期!E$9,0,求节点(基础状态预期!E$8:E$26,$D$10:$D$28,$L6))</f>
        <v>0</v>
      </c>
      <c r="N6" s="43">
        <f>IF($L6&lt;基础状态预期!F$9,0,求节点(基础状态预期!F$8:F$26,$D$10:$D$28,$L6))</f>
        <v>0</v>
      </c>
      <c r="O6" s="43">
        <f>IF($L6&lt;基础状态预期!G$9,0,求节点(基础状态预期!G$8:G$26,$D$10:$D$28,$L6))</f>
        <v>0</v>
      </c>
      <c r="P6" s="43">
        <f>IF($L6&lt;基础状态预期!H$9,0,求节点(基础状态预期!H$8:H$26,$D$10:$D$28,$L6))</f>
        <v>0</v>
      </c>
      <c r="Q6" s="43">
        <f>IF($L6&lt;基础状态预期!I$9,0,求节点(基础状态预期!I$8:I$26,$D$10:$D$28,$L6))</f>
        <v>0</v>
      </c>
      <c r="T6" s="42">
        <v>2</v>
      </c>
      <c r="U6" s="43" t="e">
        <f>协作币产出情况!H8/M6</f>
        <v>#DIV/0!</v>
      </c>
      <c r="V6" s="43" t="e">
        <f>协作币产出情况!I8/N6</f>
        <v>#DIV/0!</v>
      </c>
      <c r="W6" s="43" t="e">
        <f>协作币产出情况!J8/O6</f>
        <v>#DIV/0!</v>
      </c>
      <c r="X6" s="43" t="e">
        <f>协作币产出情况!K8/P6</f>
        <v>#DIV/0!</v>
      </c>
      <c r="Y6" s="43" t="e">
        <f>协作币产出情况!L8/Q6</f>
        <v>#DIV/0!</v>
      </c>
    </row>
    <row r="7" spans="2:25" x14ac:dyDescent="0.15">
      <c r="G7" s="52"/>
      <c r="H7" s="60"/>
      <c r="I7" s="52"/>
      <c r="J7" s="53"/>
      <c r="K7" s="41"/>
      <c r="L7" s="42">
        <v>3</v>
      </c>
      <c r="M7" s="43">
        <f>IF($L7&lt;基础状态预期!E$9,0,求节点(基础状态预期!E$8:E$26,$D$10:$D$28,$L7))</f>
        <v>0</v>
      </c>
      <c r="N7" s="43">
        <f>IF($L7&lt;基础状态预期!F$9,0,求节点(基础状态预期!F$8:F$26,$D$10:$D$28,$L7))</f>
        <v>0</v>
      </c>
      <c r="O7" s="43">
        <f>IF($L7&lt;基础状态预期!G$9,0,求节点(基础状态预期!G$8:G$26,$D$10:$D$28,$L7))</f>
        <v>0</v>
      </c>
      <c r="P7" s="43">
        <f>IF($L7&lt;基础状态预期!H$9,0,求节点(基础状态预期!H$8:H$26,$D$10:$D$28,$L7))</f>
        <v>0</v>
      </c>
      <c r="Q7" s="43">
        <f>IF($L7&lt;基础状态预期!I$9,0,求节点(基础状态预期!I$8:I$26,$D$10:$D$28,$L7))</f>
        <v>0</v>
      </c>
      <c r="T7" s="42">
        <v>3</v>
      </c>
      <c r="U7" s="43" t="e">
        <f>协作币产出情况!H9/M7</f>
        <v>#DIV/0!</v>
      </c>
      <c r="V7" s="43" t="e">
        <f>协作币产出情况!I9/N7</f>
        <v>#DIV/0!</v>
      </c>
      <c r="W7" s="43" t="e">
        <f>协作币产出情况!J9/O7</f>
        <v>#DIV/0!</v>
      </c>
      <c r="X7" s="43" t="e">
        <f>协作币产出情况!K9/P7</f>
        <v>#DIV/0!</v>
      </c>
      <c r="Y7" s="43" t="e">
        <f>协作币产出情况!L9/Q7</f>
        <v>#DIV/0!</v>
      </c>
    </row>
    <row r="8" spans="2:25" x14ac:dyDescent="0.15">
      <c r="E8" s="68" t="s">
        <v>114</v>
      </c>
      <c r="F8" s="68"/>
      <c r="G8" s="69" t="s">
        <v>117</v>
      </c>
      <c r="H8" s="70"/>
      <c r="I8" s="71"/>
      <c r="J8" s="53"/>
      <c r="K8" s="41"/>
      <c r="L8" s="42">
        <v>4</v>
      </c>
      <c r="M8" s="43">
        <f>IF($L8&lt;基础状态预期!E$9,0,求节点(基础状态预期!E$8:E$26,$D$10:$D$28,$L8))</f>
        <v>0</v>
      </c>
      <c r="N8" s="43">
        <f>IF($L8&lt;基础状态预期!F$9,0,求节点(基础状态预期!F$8:F$26,$D$10:$D$28,$L8))</f>
        <v>0</v>
      </c>
      <c r="O8" s="43">
        <f>IF($L8&lt;基础状态预期!G$9,0,求节点(基础状态预期!G$8:G$26,$D$10:$D$28,$L8))</f>
        <v>0</v>
      </c>
      <c r="P8" s="43">
        <f>IF($L8&lt;基础状态预期!H$9,0,求节点(基础状态预期!H$8:H$26,$D$10:$D$28,$L8))</f>
        <v>0</v>
      </c>
      <c r="Q8" s="43">
        <f>IF($L8&lt;基础状态预期!I$9,0,求节点(基础状态预期!I$8:I$26,$D$10:$D$28,$L8))</f>
        <v>0</v>
      </c>
      <c r="T8" s="42">
        <v>4</v>
      </c>
      <c r="U8" s="43" t="e">
        <f>协作币产出情况!H10/M8</f>
        <v>#DIV/0!</v>
      </c>
      <c r="V8" s="43" t="e">
        <f>协作币产出情况!I10/N8</f>
        <v>#DIV/0!</v>
      </c>
      <c r="W8" s="43" t="e">
        <f>协作币产出情况!J10/O8</f>
        <v>#DIV/0!</v>
      </c>
      <c r="X8" s="43" t="e">
        <f>协作币产出情况!K10/P8</f>
        <v>#DIV/0!</v>
      </c>
      <c r="Y8" s="43" t="e">
        <f>协作币产出情况!L10/Q8</f>
        <v>#DIV/0!</v>
      </c>
    </row>
    <row r="9" spans="2:25" x14ac:dyDescent="0.15">
      <c r="B9" s="28" t="s">
        <v>104</v>
      </c>
      <c r="C9" s="28" t="s">
        <v>106</v>
      </c>
      <c r="D9" s="50" t="s">
        <v>105</v>
      </c>
      <c r="E9" s="28" t="s">
        <v>113</v>
      </c>
      <c r="F9" s="28" t="s">
        <v>115</v>
      </c>
      <c r="G9" s="52" t="s">
        <v>0</v>
      </c>
      <c r="H9" s="60" t="s">
        <v>17</v>
      </c>
      <c r="I9" s="52" t="s">
        <v>16</v>
      </c>
      <c r="J9" s="53"/>
      <c r="K9" s="41"/>
      <c r="L9" s="42">
        <v>5</v>
      </c>
      <c r="M9" s="43">
        <f>IF($L9&lt;基础状态预期!E$9,0,求节点(基础状态预期!E$8:E$26,$D$10:$D$28,$L9))</f>
        <v>0</v>
      </c>
      <c r="N9" s="43">
        <f>IF($L9&lt;基础状态预期!F$9,0,求节点(基础状态预期!F$8:F$26,$D$10:$D$28,$L9))</f>
        <v>0</v>
      </c>
      <c r="O9" s="43">
        <f>IF($L9&lt;基础状态预期!G$9,0,求节点(基础状态预期!G$8:G$26,$D$10:$D$28,$L9))</f>
        <v>0</v>
      </c>
      <c r="P9" s="43">
        <f>IF($L9&lt;基础状态预期!H$9,0,求节点(基础状态预期!H$8:H$26,$D$10:$D$28,$L9))</f>
        <v>0</v>
      </c>
      <c r="Q9" s="43">
        <f>IF($L9&lt;基础状态预期!I$9,0,求节点(基础状态预期!I$8:I$26,$D$10:$D$28,$L9))</f>
        <v>0</v>
      </c>
      <c r="T9" s="42">
        <v>5</v>
      </c>
      <c r="U9" s="43" t="e">
        <f>协作币产出情况!H11/M9</f>
        <v>#DIV/0!</v>
      </c>
      <c r="V9" s="43" t="e">
        <f>协作币产出情况!I11/N9</f>
        <v>#DIV/0!</v>
      </c>
      <c r="W9" s="43" t="e">
        <f>协作币产出情况!J11/O9</f>
        <v>#DIV/0!</v>
      </c>
      <c r="X9" s="43" t="e">
        <f>协作币产出情况!K11/P9</f>
        <v>#DIV/0!</v>
      </c>
      <c r="Y9" s="43" t="e">
        <f>协作币产出情况!L11/Q9</f>
        <v>#DIV/0!</v>
      </c>
    </row>
    <row r="10" spans="2:25" x14ac:dyDescent="0.15">
      <c r="B10" s="28">
        <v>0</v>
      </c>
      <c r="C10" s="28">
        <v>0</v>
      </c>
      <c r="D10" s="51">
        <v>0</v>
      </c>
      <c r="E10" s="28">
        <f>D10*0.5</f>
        <v>0</v>
      </c>
      <c r="F10" s="28">
        <f>SUM($E$10:E10)</f>
        <v>0</v>
      </c>
      <c r="G10" s="56">
        <f>D10/(500+1000)</f>
        <v>0</v>
      </c>
      <c r="H10" s="60">
        <f>D10/(500+1000+1200)</f>
        <v>0</v>
      </c>
      <c r="I10" s="60">
        <f>D10/(500+1000+9600)</f>
        <v>0</v>
      </c>
      <c r="J10" s="53"/>
      <c r="K10" s="41"/>
      <c r="L10" s="42">
        <v>6</v>
      </c>
      <c r="M10" s="43">
        <f>IF($L10&lt;基础状态预期!E$9,0,求节点(基础状态预期!E$8:E$26,$D$10:$D$28,$L10))</f>
        <v>0</v>
      </c>
      <c r="N10" s="43">
        <f>IF($L10&lt;基础状态预期!F$9,0,求节点(基础状态预期!F$8:F$26,$D$10:$D$28,$L10))</f>
        <v>0</v>
      </c>
      <c r="O10" s="43">
        <f>IF($L10&lt;基础状态预期!G$9,0,求节点(基础状态预期!G$8:G$26,$D$10:$D$28,$L10))</f>
        <v>0</v>
      </c>
      <c r="P10" s="43">
        <f>IF($L10&lt;基础状态预期!H$9,0,求节点(基础状态预期!H$8:H$26,$D$10:$D$28,$L10))</f>
        <v>0</v>
      </c>
      <c r="Q10" s="43">
        <f>IF($L10&lt;基础状态预期!I$9,0,求节点(基础状态预期!I$8:I$26,$D$10:$D$28,$L10))</f>
        <v>0</v>
      </c>
      <c r="T10" s="42">
        <v>6</v>
      </c>
      <c r="U10" s="43" t="e">
        <f>协作币产出情况!H12/M10</f>
        <v>#DIV/0!</v>
      </c>
      <c r="V10" s="43" t="e">
        <f>协作币产出情况!I12/N10</f>
        <v>#DIV/0!</v>
      </c>
      <c r="W10" s="43" t="e">
        <f>协作币产出情况!J12/O10</f>
        <v>#DIV/0!</v>
      </c>
      <c r="X10" s="43" t="e">
        <f>协作币产出情况!K12/P10</f>
        <v>#DIV/0!</v>
      </c>
      <c r="Y10" s="43" t="e">
        <f>协作币产出情况!L12/Q10</f>
        <v>#DIV/0!</v>
      </c>
    </row>
    <row r="11" spans="2:25" x14ac:dyDescent="0.15">
      <c r="B11" s="28">
        <v>1</v>
      </c>
      <c r="C11" s="28">
        <v>2000</v>
      </c>
      <c r="D11" s="51">
        <f>SUM(C$10:$C11)</f>
        <v>2000</v>
      </c>
      <c r="E11" s="28">
        <f>C11*$C$3</f>
        <v>2000</v>
      </c>
      <c r="F11" s="28">
        <f>SUM($E$10:E11)</f>
        <v>2000</v>
      </c>
      <c r="G11" s="56">
        <f t="shared" ref="G11:G28" si="0">D11/(500+1000)</f>
        <v>1.3333333333333333</v>
      </c>
      <c r="H11" s="60">
        <f t="shared" ref="H11:H28" si="1">D11/(500+1000+1200)</f>
        <v>0.7407407407407407</v>
      </c>
      <c r="I11" s="60">
        <f t="shared" ref="I11:I28" si="2">D11/(500+1000+9600)</f>
        <v>0.18018018018018017</v>
      </c>
      <c r="J11" s="53"/>
      <c r="K11" s="41"/>
      <c r="L11" s="42">
        <v>7</v>
      </c>
      <c r="M11" s="43">
        <f>IF($L11&lt;基础状态预期!E$9,0,求节点(基础状态预期!E$8:E$26,$D$10:$D$28,$L11))</f>
        <v>0</v>
      </c>
      <c r="N11" s="43">
        <f>IF($L11&lt;基础状态预期!F$9,0,求节点(基础状态预期!F$8:F$26,$D$10:$D$28,$L11))</f>
        <v>0</v>
      </c>
      <c r="O11" s="43">
        <f>IF($L11&lt;基础状态预期!G$9,0,求节点(基础状态预期!G$8:G$26,$D$10:$D$28,$L11))</f>
        <v>0</v>
      </c>
      <c r="P11" s="43">
        <f>IF($L11&lt;基础状态预期!H$9,0,求节点(基础状态预期!H$8:H$26,$D$10:$D$28,$L11))</f>
        <v>0</v>
      </c>
      <c r="Q11" s="43">
        <f>IF($L11&lt;基础状态预期!I$9,0,求节点(基础状态预期!I$8:I$26,$D$10:$D$28,$L11))</f>
        <v>0</v>
      </c>
      <c r="T11" s="42">
        <v>7</v>
      </c>
      <c r="U11" s="43" t="e">
        <f>协作币产出情况!H13/M11</f>
        <v>#DIV/0!</v>
      </c>
      <c r="V11" s="43" t="e">
        <f>协作币产出情况!I13/N11</f>
        <v>#DIV/0!</v>
      </c>
      <c r="W11" s="43" t="e">
        <f>协作币产出情况!J13/O11</f>
        <v>#DIV/0!</v>
      </c>
      <c r="X11" s="43" t="e">
        <f>协作币产出情况!K13/P11</f>
        <v>#DIV/0!</v>
      </c>
      <c r="Y11" s="43" t="e">
        <f>协作币产出情况!L13/Q11</f>
        <v>#DIV/0!</v>
      </c>
    </row>
    <row r="12" spans="2:25" x14ac:dyDescent="0.15">
      <c r="B12" s="28">
        <v>2</v>
      </c>
      <c r="C12" s="28">
        <v>4000</v>
      </c>
      <c r="D12" s="51">
        <f>SUM(C$10:$C12)</f>
        <v>6000</v>
      </c>
      <c r="E12" s="44">
        <f t="shared" ref="E12:E28" si="3">C12*$C$3</f>
        <v>4000</v>
      </c>
      <c r="F12" s="28">
        <f>SUM($E$10:E12)</f>
        <v>6000</v>
      </c>
      <c r="G12" s="56">
        <f t="shared" si="0"/>
        <v>4</v>
      </c>
      <c r="H12" s="60">
        <f t="shared" si="1"/>
        <v>2.2222222222222223</v>
      </c>
      <c r="I12" s="60">
        <f t="shared" si="2"/>
        <v>0.54054054054054057</v>
      </c>
      <c r="J12" s="53"/>
      <c r="K12" s="41"/>
      <c r="L12" s="42">
        <v>8</v>
      </c>
      <c r="M12" s="43">
        <f>IF($L12&lt;基础状态预期!E$9,0,求节点(基础状态预期!E$8:E$26,$D$10:$D$28,$L12))</f>
        <v>0</v>
      </c>
      <c r="N12" s="43">
        <f>IF($L12&lt;基础状态预期!F$9,0,求节点(基础状态预期!F$8:F$26,$D$10:$D$28,$L12))</f>
        <v>0</v>
      </c>
      <c r="O12" s="43">
        <f>IF($L12&lt;基础状态预期!G$9,0,求节点(基础状态预期!G$8:G$26,$D$10:$D$28,$L12))</f>
        <v>0</v>
      </c>
      <c r="P12" s="43">
        <f>IF($L12&lt;基础状态预期!H$9,0,求节点(基础状态预期!H$8:H$26,$D$10:$D$28,$L12))</f>
        <v>0</v>
      </c>
      <c r="Q12" s="43">
        <f>IF($L12&lt;基础状态预期!I$9,0,求节点(基础状态预期!I$8:I$26,$D$10:$D$28,$L12))</f>
        <v>0</v>
      </c>
      <c r="T12" s="42">
        <v>8</v>
      </c>
      <c r="U12" s="43" t="e">
        <f>协作币产出情况!H14/M12</f>
        <v>#DIV/0!</v>
      </c>
      <c r="V12" s="43" t="e">
        <f>协作币产出情况!I14/N12</f>
        <v>#DIV/0!</v>
      </c>
      <c r="W12" s="43" t="e">
        <f>协作币产出情况!J14/O12</f>
        <v>#DIV/0!</v>
      </c>
      <c r="X12" s="43" t="e">
        <f>协作币产出情况!K14/P12</f>
        <v>#DIV/0!</v>
      </c>
      <c r="Y12" s="43" t="e">
        <f>协作币产出情况!L14/Q12</f>
        <v>#DIV/0!</v>
      </c>
    </row>
    <row r="13" spans="2:25" x14ac:dyDescent="0.15">
      <c r="B13" s="28">
        <v>3</v>
      </c>
      <c r="C13" s="28">
        <v>6000</v>
      </c>
      <c r="D13" s="51">
        <f>SUM(C$10:$C13)</f>
        <v>12000</v>
      </c>
      <c r="E13" s="44">
        <f t="shared" si="3"/>
        <v>6000</v>
      </c>
      <c r="F13" s="28">
        <f>SUM($E$10:E13)</f>
        <v>12000</v>
      </c>
      <c r="G13" s="56">
        <f t="shared" si="0"/>
        <v>8</v>
      </c>
      <c r="H13" s="60">
        <f t="shared" si="1"/>
        <v>4.4444444444444446</v>
      </c>
      <c r="I13" s="60">
        <f t="shared" si="2"/>
        <v>1.0810810810810811</v>
      </c>
      <c r="J13" s="53"/>
      <c r="K13" s="41"/>
      <c r="L13" s="42">
        <v>9</v>
      </c>
      <c r="M13" s="43">
        <f>IF($L13&lt;基础状态预期!E$9,0,求节点(基础状态预期!E$8:E$26,$D$10:$D$28,$L13))</f>
        <v>0</v>
      </c>
      <c r="N13" s="43">
        <f>IF($L13&lt;基础状态预期!F$9,0,求节点(基础状态预期!F$8:F$26,$D$10:$D$28,$L13))</f>
        <v>0</v>
      </c>
      <c r="O13" s="43">
        <f>IF($L13&lt;基础状态预期!G$9,0,求节点(基础状态预期!G$8:G$26,$D$10:$D$28,$L13))</f>
        <v>0</v>
      </c>
      <c r="P13" s="43">
        <f>IF($L13&lt;基础状态预期!H$9,0,求节点(基础状态预期!H$8:H$26,$D$10:$D$28,$L13))</f>
        <v>0</v>
      </c>
      <c r="Q13" s="43">
        <f>IF($L13&lt;基础状态预期!I$9,0,求节点(基础状态预期!I$8:I$26,$D$10:$D$28,$L13))</f>
        <v>0</v>
      </c>
      <c r="T13" s="42">
        <v>9</v>
      </c>
      <c r="U13" s="43" t="e">
        <f>协作币产出情况!H15/M13</f>
        <v>#DIV/0!</v>
      </c>
      <c r="V13" s="43" t="e">
        <f>协作币产出情况!I15/N13</f>
        <v>#DIV/0!</v>
      </c>
      <c r="W13" s="43" t="e">
        <f>协作币产出情况!J15/O13</f>
        <v>#DIV/0!</v>
      </c>
      <c r="X13" s="43" t="e">
        <f>协作币产出情况!K15/P13</f>
        <v>#DIV/0!</v>
      </c>
      <c r="Y13" s="43" t="e">
        <f>协作币产出情况!L15/Q13</f>
        <v>#DIV/0!</v>
      </c>
    </row>
    <row r="14" spans="2:25" x14ac:dyDescent="0.15">
      <c r="B14" s="28">
        <v>4</v>
      </c>
      <c r="C14" s="28">
        <v>8000</v>
      </c>
      <c r="D14" s="51">
        <f>SUM(C$10:$C14)</f>
        <v>20000</v>
      </c>
      <c r="E14" s="44">
        <f t="shared" si="3"/>
        <v>8000</v>
      </c>
      <c r="F14" s="28">
        <f>SUM($E$10:E14)</f>
        <v>20000</v>
      </c>
      <c r="G14" s="56">
        <f t="shared" si="0"/>
        <v>13.333333333333334</v>
      </c>
      <c r="H14" s="60">
        <f t="shared" si="1"/>
        <v>7.4074074074074074</v>
      </c>
      <c r="I14" s="60">
        <f t="shared" si="2"/>
        <v>1.8018018018018018</v>
      </c>
      <c r="J14" s="53"/>
      <c r="K14" s="41"/>
      <c r="L14" s="42">
        <v>10</v>
      </c>
      <c r="M14" s="43">
        <f>IF($L14&lt;基础状态预期!E$9,0,求节点(基础状态预期!E$8:E$26,$D$10:$D$28,$L14))</f>
        <v>2000</v>
      </c>
      <c r="N14" s="43">
        <f>IF($L14&lt;基础状态预期!F$9,0,求节点(基础状态预期!F$8:F$26,$D$10:$D$28,$L14))</f>
        <v>0</v>
      </c>
      <c r="O14" s="43">
        <f>IF($L14&lt;基础状态预期!G$9,0,求节点(基础状态预期!G$8:G$26,$D$10:$D$28,$L14))</f>
        <v>0</v>
      </c>
      <c r="P14" s="43">
        <f>IF($L14&lt;基础状态预期!H$9,0,求节点(基础状态预期!H$8:H$26,$D$10:$D$28,$L14))</f>
        <v>0</v>
      </c>
      <c r="Q14" s="43">
        <f>IF($L14&lt;基础状态预期!I$9,0,求节点(基础状态预期!I$8:I$26,$D$10:$D$28,$L14))</f>
        <v>0</v>
      </c>
      <c r="T14" s="42">
        <v>10</v>
      </c>
      <c r="U14" s="43">
        <f>协作币产出情况!H16/M14</f>
        <v>0.75</v>
      </c>
      <c r="V14" s="43" t="e">
        <f>协作币产出情况!I16/N14</f>
        <v>#DIV/0!</v>
      </c>
      <c r="W14" s="43" t="e">
        <f>协作币产出情况!J16/O14</f>
        <v>#DIV/0!</v>
      </c>
      <c r="X14" s="43" t="e">
        <f>协作币产出情况!K16/P14</f>
        <v>#DIV/0!</v>
      </c>
      <c r="Y14" s="43" t="e">
        <f>协作币产出情况!L16/Q14</f>
        <v>#DIV/0!</v>
      </c>
    </row>
    <row r="15" spans="2:25" x14ac:dyDescent="0.15">
      <c r="B15" s="28">
        <v>5</v>
      </c>
      <c r="C15" s="28">
        <v>10000</v>
      </c>
      <c r="D15" s="51">
        <f>SUM(C$10:$C15)</f>
        <v>30000</v>
      </c>
      <c r="E15" s="44">
        <f t="shared" si="3"/>
        <v>10000</v>
      </c>
      <c r="F15" s="28">
        <f>SUM($E$10:E15)</f>
        <v>30000</v>
      </c>
      <c r="G15" s="56">
        <f t="shared" si="0"/>
        <v>20</v>
      </c>
      <c r="H15" s="60">
        <f t="shared" si="1"/>
        <v>11.111111111111111</v>
      </c>
      <c r="I15" s="60">
        <f t="shared" si="2"/>
        <v>2.7027027027027026</v>
      </c>
      <c r="J15" s="53"/>
      <c r="K15" s="41"/>
      <c r="L15" s="42">
        <v>11</v>
      </c>
      <c r="M15" s="43">
        <f>IF($L15&lt;基础状态预期!E$9,0,求节点(基础状态预期!E$8:E$26,$D$10:$D$28,$L15))</f>
        <v>2400</v>
      </c>
      <c r="N15" s="43">
        <f>IF($L15&lt;基础状态预期!F$9,0,求节点(基础状态预期!F$8:F$26,$D$10:$D$28,$L15))</f>
        <v>0</v>
      </c>
      <c r="O15" s="43">
        <f>IF($L15&lt;基础状态预期!G$9,0,求节点(基础状态预期!G$8:G$26,$D$10:$D$28,$L15))</f>
        <v>0</v>
      </c>
      <c r="P15" s="43">
        <f>IF($L15&lt;基础状态预期!H$9,0,求节点(基础状态预期!H$8:H$26,$D$10:$D$28,$L15))</f>
        <v>0</v>
      </c>
      <c r="Q15" s="43">
        <f>IF($L15&lt;基础状态预期!I$9,0,求节点(基础状态预期!I$8:I$26,$D$10:$D$28,$L15))</f>
        <v>0</v>
      </c>
      <c r="T15" s="42">
        <v>11</v>
      </c>
      <c r="U15" s="43">
        <f>协作币产出情况!H17/M15</f>
        <v>0.71471682817036641</v>
      </c>
      <c r="V15" s="43" t="e">
        <f>协作币产出情况!I17/N15</f>
        <v>#DIV/0!</v>
      </c>
      <c r="W15" s="43" t="e">
        <f>协作币产出情况!J17/O15</f>
        <v>#DIV/0!</v>
      </c>
      <c r="X15" s="43" t="e">
        <f>协作币产出情况!K17/P15</f>
        <v>#DIV/0!</v>
      </c>
      <c r="Y15" s="43" t="e">
        <f>协作币产出情况!L17/Q15</f>
        <v>#DIV/0!</v>
      </c>
    </row>
    <row r="16" spans="2:25" x14ac:dyDescent="0.15">
      <c r="B16" s="28">
        <v>6</v>
      </c>
      <c r="C16" s="28">
        <v>15000</v>
      </c>
      <c r="D16" s="51">
        <f>SUM(C$10:$C16)</f>
        <v>45000</v>
      </c>
      <c r="E16" s="44">
        <f t="shared" si="3"/>
        <v>15000</v>
      </c>
      <c r="F16" s="28">
        <f>SUM($E$10:E16)</f>
        <v>45000</v>
      </c>
      <c r="G16" s="56">
        <f t="shared" si="0"/>
        <v>30</v>
      </c>
      <c r="H16" s="60">
        <f t="shared" si="1"/>
        <v>16.666666666666668</v>
      </c>
      <c r="I16" s="60">
        <f t="shared" si="2"/>
        <v>4.0540540540540544</v>
      </c>
      <c r="J16" s="53"/>
      <c r="K16" s="41"/>
      <c r="L16" s="42">
        <v>12</v>
      </c>
      <c r="M16" s="43">
        <f>IF($L16&lt;基础状态预期!E$9,0,求节点(基础状态预期!E$8:E$26,$D$10:$D$28,$L16))</f>
        <v>2800</v>
      </c>
      <c r="N16" s="43">
        <f>IF($L16&lt;基础状态预期!F$9,0,求节点(基础状态预期!F$8:F$26,$D$10:$D$28,$L16))</f>
        <v>2327.66548410224</v>
      </c>
      <c r="O16" s="43">
        <f>IF($L16&lt;基础状态预期!G$9,0,求节点(基础状态预期!G$8:G$26,$D$10:$D$28,$L16))</f>
        <v>0</v>
      </c>
      <c r="P16" s="43">
        <f>IF($L16&lt;基础状态预期!H$9,0,求节点(基础状态预期!H$8:H$26,$D$10:$D$28,$L16))</f>
        <v>0</v>
      </c>
      <c r="Q16" s="43">
        <f>IF($L16&lt;基础状态预期!I$9,0,求节点(基础状态预期!I$8:I$26,$D$10:$D$28,$L16))</f>
        <v>0</v>
      </c>
      <c r="T16" s="42">
        <v>12</v>
      </c>
      <c r="U16" s="43">
        <f>协作币产出情况!H18/M16</f>
        <v>0.69503395178253757</v>
      </c>
      <c r="V16" s="43">
        <f>协作币产出情况!I18/N16</f>
        <v>0.71701502605735423</v>
      </c>
      <c r="W16" s="43" t="e">
        <f>协作币产出情况!J18/O16</f>
        <v>#DIV/0!</v>
      </c>
      <c r="X16" s="43" t="e">
        <f>协作币产出情况!K18/P16</f>
        <v>#DIV/0!</v>
      </c>
      <c r="Y16" s="43" t="e">
        <f>协作币产出情况!L18/Q16</f>
        <v>#DIV/0!</v>
      </c>
    </row>
    <row r="17" spans="2:25" x14ac:dyDescent="0.15">
      <c r="B17" s="28">
        <v>7</v>
      </c>
      <c r="C17" s="28">
        <v>20000</v>
      </c>
      <c r="D17" s="51">
        <f>SUM(C$10:$C17)</f>
        <v>65000</v>
      </c>
      <c r="E17" s="44">
        <f t="shared" si="3"/>
        <v>20000</v>
      </c>
      <c r="F17" s="28">
        <f>SUM($E$10:E17)</f>
        <v>65000</v>
      </c>
      <c r="G17" s="56">
        <f t="shared" si="0"/>
        <v>43.333333333333336</v>
      </c>
      <c r="H17" s="60">
        <f t="shared" si="1"/>
        <v>24.074074074074073</v>
      </c>
      <c r="I17" s="60">
        <f t="shared" si="2"/>
        <v>5.8558558558558556</v>
      </c>
      <c r="J17" s="53"/>
      <c r="K17" s="41"/>
      <c r="L17" s="42">
        <v>13</v>
      </c>
      <c r="M17" s="43">
        <f>IF($L17&lt;基础状态预期!E$9,0,求节点(基础状态预期!E$8:E$26,$D$10:$D$28,$L17))</f>
        <v>3200</v>
      </c>
      <c r="N17" s="43">
        <f>IF($L17&lt;基础状态预期!F$9,0,求节点(基础状态预期!F$8:F$26,$D$10:$D$28,$L17))</f>
        <v>2712.4511370988125</v>
      </c>
      <c r="O17" s="43">
        <f>IF($L17&lt;基础状态预期!G$9,0,求节点(基础状态预期!G$8:G$26,$D$10:$D$28,$L17))</f>
        <v>2086.8549345679544</v>
      </c>
      <c r="P17" s="43">
        <f>IF($L17&lt;基础状态预期!H$9,0,求节点(基础状态预期!H$8:H$26,$D$10:$D$28,$L17))</f>
        <v>0</v>
      </c>
      <c r="Q17" s="43">
        <f>IF($L17&lt;基础状态预期!I$9,0,求节点(基础状态预期!I$8:I$26,$D$10:$D$28,$L17))</f>
        <v>0</v>
      </c>
      <c r="T17" s="42">
        <v>13</v>
      </c>
      <c r="U17" s="43">
        <f>协作币产出情况!H19/M17</f>
        <v>0.68544788751085906</v>
      </c>
      <c r="V17" s="43">
        <f>协作币产出情况!I19/N17</f>
        <v>0.69835320540375267</v>
      </c>
      <c r="W17" s="43">
        <f>协作币产出情况!J19/O17</f>
        <v>0.7399541651917253</v>
      </c>
      <c r="X17" s="43" t="e">
        <f>协作币产出情况!K19/P17</f>
        <v>#DIV/0!</v>
      </c>
      <c r="Y17" s="43" t="e">
        <f>协作币产出情况!L19/Q17</f>
        <v>#DIV/0!</v>
      </c>
    </row>
    <row r="18" spans="2:25" x14ac:dyDescent="0.15">
      <c r="B18" s="28">
        <v>8</v>
      </c>
      <c r="C18" s="44">
        <v>25000</v>
      </c>
      <c r="D18" s="51">
        <f>SUM(C$10:$C18)</f>
        <v>90000</v>
      </c>
      <c r="E18" s="44">
        <f t="shared" si="3"/>
        <v>25000</v>
      </c>
      <c r="F18" s="28">
        <f>SUM($E$10:E18)</f>
        <v>90000</v>
      </c>
      <c r="G18" s="56">
        <f t="shared" si="0"/>
        <v>60</v>
      </c>
      <c r="H18" s="60">
        <f t="shared" si="1"/>
        <v>33.333333333333336</v>
      </c>
      <c r="I18" s="60">
        <f t="shared" si="2"/>
        <v>8.1081081081081088</v>
      </c>
      <c r="J18" s="53"/>
      <c r="K18" s="41"/>
      <c r="L18" s="42">
        <v>14</v>
      </c>
      <c r="M18" s="43">
        <f>IF($L18&lt;基础状态预期!E$9,0,求节点(基础状态预期!E$8:E$26,$D$10:$D$28,$L18))</f>
        <v>3600</v>
      </c>
      <c r="N18" s="43">
        <f>IF($L18&lt;基础状态预期!F$9,0,求节点(基础状态预期!F$8:F$26,$D$10:$D$28,$L18))</f>
        <v>3097.236790095385</v>
      </c>
      <c r="O18" s="43">
        <f>IF($L18&lt;基础状态预期!G$9,0,求节点(基础状态预期!G$8:G$26,$D$10:$D$28,$L18))</f>
        <v>2451.3901152537933</v>
      </c>
      <c r="P18" s="43">
        <f>IF($L18&lt;基础状态预期!H$9,0,求节点(基础状态预期!H$8:H$26,$D$10:$D$28,$L18))</f>
        <v>0</v>
      </c>
      <c r="Q18" s="43">
        <f>IF($L18&lt;基础状态预期!I$9,0,求节点(基础状态预期!I$8:I$26,$D$10:$D$28,$L18))</f>
        <v>0</v>
      </c>
      <c r="T18" s="42">
        <v>14</v>
      </c>
      <c r="U18" s="43">
        <f>协作币产出情况!H20/M18</f>
        <v>0.6829232589774118</v>
      </c>
      <c r="V18" s="43">
        <f>协作币产出情况!I20/N18</f>
        <v>0.68463500301491642</v>
      </c>
      <c r="W18" s="43">
        <f>协作币产出情况!J20/O18</f>
        <v>0.70644982464000339</v>
      </c>
      <c r="X18" s="43" t="e">
        <f>协作币产出情况!K20/P18</f>
        <v>#DIV/0!</v>
      </c>
      <c r="Y18" s="43" t="e">
        <f>协作币产出情况!L20/Q18</f>
        <v>#DIV/0!</v>
      </c>
    </row>
    <row r="19" spans="2:25" x14ac:dyDescent="0.15">
      <c r="B19" s="28">
        <v>9</v>
      </c>
      <c r="C19" s="44">
        <v>30000</v>
      </c>
      <c r="D19" s="51">
        <f>SUM(C$10:$C19)</f>
        <v>120000</v>
      </c>
      <c r="E19" s="44">
        <f t="shared" si="3"/>
        <v>30000</v>
      </c>
      <c r="F19" s="28">
        <f>SUM($E$10:E19)</f>
        <v>120000</v>
      </c>
      <c r="G19" s="56">
        <f t="shared" si="0"/>
        <v>80</v>
      </c>
      <c r="H19" s="60">
        <f t="shared" si="1"/>
        <v>44.444444444444443</v>
      </c>
      <c r="I19" s="60">
        <f t="shared" si="2"/>
        <v>10.810810810810811</v>
      </c>
      <c r="J19" s="53"/>
      <c r="K19" s="41"/>
      <c r="L19" s="42">
        <v>15</v>
      </c>
      <c r="M19" s="43">
        <f>IF($L19&lt;基础状态预期!E$9,0,求节点(基础状态预期!E$8:E$26,$D$10:$D$28,$L19))</f>
        <v>4000</v>
      </c>
      <c r="N19" s="43">
        <f>IF($L19&lt;基础状态预期!F$9,0,求节点(基础状态预期!F$8:F$26,$D$10:$D$28,$L19))</f>
        <v>3482.0224430919575</v>
      </c>
      <c r="O19" s="43">
        <f>IF($L19&lt;基础状态预期!G$9,0,求节点(基础状态预期!G$8:G$26,$D$10:$D$28,$L19))</f>
        <v>2815.9252959396322</v>
      </c>
      <c r="P19" s="43">
        <f>IF($L19&lt;基础状态预期!H$9,0,求节点(基础状态预期!H$8:H$26,$D$10:$D$28,$L19))</f>
        <v>0</v>
      </c>
      <c r="Q19" s="43">
        <f>IF($L19&lt;基础状态预期!I$9,0,求节点(基础状态预期!I$8:I$26,$D$10:$D$28,$L19))</f>
        <v>0</v>
      </c>
      <c r="T19" s="42">
        <v>15</v>
      </c>
      <c r="U19" s="43">
        <f>协作币产出情况!H21/M19</f>
        <v>0.68566017177982119</v>
      </c>
      <c r="V19" s="43">
        <f>协作币产出情况!I21/N19</f>
        <v>0.68037844794301117</v>
      </c>
      <c r="W19" s="43">
        <f>协作币产出情况!J21/O19</f>
        <v>0.68869768408217791</v>
      </c>
      <c r="X19" s="43" t="e">
        <f>协作币产出情况!K21/P19</f>
        <v>#DIV/0!</v>
      </c>
      <c r="Y19" s="43" t="e">
        <f>协作币产出情况!L21/Q19</f>
        <v>#DIV/0!</v>
      </c>
    </row>
    <row r="20" spans="2:25" x14ac:dyDescent="0.15">
      <c r="B20" s="28">
        <v>10</v>
      </c>
      <c r="C20" s="44">
        <v>35000</v>
      </c>
      <c r="D20" s="51">
        <f>SUM(C$10:$C20)</f>
        <v>155000</v>
      </c>
      <c r="E20" s="44">
        <f t="shared" si="3"/>
        <v>35000</v>
      </c>
      <c r="F20" s="28">
        <f>SUM($E$10:E20)</f>
        <v>155000</v>
      </c>
      <c r="G20" s="56">
        <f t="shared" si="0"/>
        <v>103.33333333333333</v>
      </c>
      <c r="H20" s="60">
        <f t="shared" si="1"/>
        <v>57.407407407407405</v>
      </c>
      <c r="I20" s="60">
        <f t="shared" si="2"/>
        <v>13.963963963963964</v>
      </c>
      <c r="J20" s="53"/>
      <c r="K20" s="41"/>
      <c r="L20" s="42">
        <v>16</v>
      </c>
      <c r="M20" s="43">
        <f>IF($L20&lt;基础状态预期!E$9,0,求节点(基础状态预期!E$8:E$26,$D$10:$D$28,$L20))</f>
        <v>4400</v>
      </c>
      <c r="N20" s="43">
        <f>IF($L20&lt;基础状态预期!F$9,0,求节点(基础状态预期!F$8:F$26,$D$10:$D$28,$L20))</f>
        <v>3866.80809608853</v>
      </c>
      <c r="O20" s="43">
        <f>IF($L20&lt;基础状态预期!G$9,0,求节点(基础状态预期!G$8:G$26,$D$10:$D$28,$L20))</f>
        <v>3180.4604766254706</v>
      </c>
      <c r="P20" s="43">
        <f>IF($L20&lt;基础状态预期!H$9,0,求节点(基础状态预期!H$8:H$26,$D$10:$D$28,$L20))</f>
        <v>2184.5520883039553</v>
      </c>
      <c r="Q20" s="43">
        <f>IF($L20&lt;基础状态预期!I$9,0,求节点(基础状态预期!I$8:I$26,$D$10:$D$28,$L20))</f>
        <v>0</v>
      </c>
      <c r="T20" s="42">
        <v>16</v>
      </c>
      <c r="U20" s="43">
        <f>协作币产出情况!H22/M20</f>
        <v>0.69253402262072594</v>
      </c>
      <c r="V20" s="43">
        <f>协作币产出情况!I22/N20</f>
        <v>0.68219508942079132</v>
      </c>
      <c r="W20" s="43">
        <f>协作币产出情况!J22/O20</f>
        <v>0.67909025215094643</v>
      </c>
      <c r="X20" s="43">
        <f>协作币产出情况!K22/P20</f>
        <v>0.72909460775619794</v>
      </c>
      <c r="Y20" s="43" t="e">
        <f>协作币产出情况!L22/Q20</f>
        <v>#DIV/0!</v>
      </c>
    </row>
    <row r="21" spans="2:25" x14ac:dyDescent="0.15">
      <c r="B21" s="28">
        <v>11</v>
      </c>
      <c r="C21" s="44">
        <v>40000</v>
      </c>
      <c r="D21" s="51">
        <f>SUM(C$10:$C21)</f>
        <v>195000</v>
      </c>
      <c r="E21" s="44">
        <f t="shared" si="3"/>
        <v>40000</v>
      </c>
      <c r="F21" s="28">
        <f>SUM($E$10:E21)</f>
        <v>195000</v>
      </c>
      <c r="G21" s="56">
        <f t="shared" si="0"/>
        <v>130</v>
      </c>
      <c r="H21" s="60">
        <f t="shared" si="1"/>
        <v>72.222222222222229</v>
      </c>
      <c r="I21" s="60">
        <f t="shared" si="2"/>
        <v>17.567567567567568</v>
      </c>
      <c r="J21" s="53"/>
      <c r="K21" s="41"/>
      <c r="L21" s="42">
        <v>17</v>
      </c>
      <c r="M21" s="43">
        <f>IF($L21&lt;基础状态预期!E$9,0,求节点(基础状态预期!E$8:E$26,$D$10:$D$28,$L21))</f>
        <v>4800</v>
      </c>
      <c r="N21" s="43">
        <f>IF($L21&lt;基础状态预期!F$9,0,求节点(基础状态预期!F$8:F$26,$D$10:$D$28,$L21))</f>
        <v>4251.5937490851029</v>
      </c>
      <c r="O21" s="43">
        <f>IF($L21&lt;基础状态预期!G$9,0,求节点(基础状态预期!G$8:G$26,$D$10:$D$28,$L21))</f>
        <v>3544.9956573113095</v>
      </c>
      <c r="P21" s="43">
        <f>IF($L21&lt;基础状态预期!H$9,0,求节点(基础状态预期!H$8:H$26,$D$10:$D$28,$L21))</f>
        <v>2521.4685684083352</v>
      </c>
      <c r="Q21" s="43">
        <f>IF($L21&lt;基础状态预期!I$9,0,求节点(基础状态预期!I$8:I$26,$D$10:$D$28,$L21))</f>
        <v>0</v>
      </c>
      <c r="T21" s="42">
        <v>17</v>
      </c>
      <c r="U21" s="43">
        <f>协作币产出情况!H23/M21</f>
        <v>0.70281549544529431</v>
      </c>
      <c r="V21" s="43">
        <f>协作币产出情况!I23/N21</f>
        <v>0.68563789162024857</v>
      </c>
      <c r="W21" s="43">
        <f>协作币产出情况!J23/O21</f>
        <v>0.67299077314758748</v>
      </c>
      <c r="X21" s="43">
        <f>协作币产出情况!K23/P21</f>
        <v>0.69852619972866159</v>
      </c>
      <c r="Y21" s="43" t="e">
        <f>协作币产出情况!L23/Q21</f>
        <v>#DIV/0!</v>
      </c>
    </row>
    <row r="22" spans="2:25" x14ac:dyDescent="0.15">
      <c r="B22" s="28">
        <v>12</v>
      </c>
      <c r="C22" s="44">
        <v>45000</v>
      </c>
      <c r="D22" s="51">
        <f>SUM(C$10:$C22)</f>
        <v>240000</v>
      </c>
      <c r="E22" s="44">
        <f t="shared" si="3"/>
        <v>45000</v>
      </c>
      <c r="F22" s="28">
        <f>SUM($E$10:E22)</f>
        <v>240000</v>
      </c>
      <c r="G22" s="56">
        <f t="shared" si="0"/>
        <v>160</v>
      </c>
      <c r="H22" s="60">
        <f t="shared" si="1"/>
        <v>88.888888888888886</v>
      </c>
      <c r="I22" s="60">
        <f t="shared" si="2"/>
        <v>21.621621621621621</v>
      </c>
      <c r="J22" s="53"/>
      <c r="K22" s="41"/>
      <c r="L22" s="42">
        <v>18</v>
      </c>
      <c r="M22" s="43">
        <f>IF($L22&lt;基础状态预期!E$9,0,求节点(基础状态预期!E$8:E$26,$D$10:$D$28,$L22))</f>
        <v>5200</v>
      </c>
      <c r="N22" s="43">
        <f>IF($L22&lt;基础状态预期!F$9,0,求节点(基础状态预期!F$8:F$26,$D$10:$D$28,$L22))</f>
        <v>4636.3794020816749</v>
      </c>
      <c r="O22" s="43">
        <f>IF($L22&lt;基础状态预期!G$9,0,求节点(基础状态预期!G$8:G$26,$D$10:$D$28,$L22))</f>
        <v>3909.5308379971484</v>
      </c>
      <c r="P22" s="43">
        <f>IF($L22&lt;基础状态预期!H$9,0,求节点(基础状态预期!H$8:H$26,$D$10:$D$28,$L22))</f>
        <v>2858.385048512715</v>
      </c>
      <c r="Q22" s="43">
        <f>IF($L22&lt;基础状态预期!I$9,0,求节点(基础状态预期!I$8:I$26,$D$10:$D$28,$L22))</f>
        <v>0</v>
      </c>
      <c r="T22" s="42">
        <v>18</v>
      </c>
      <c r="U22" s="43">
        <f>协作币产出情况!H24/M22</f>
        <v>0.71601988072629708</v>
      </c>
      <c r="V22" s="43">
        <f>协作币产出情况!I24/N22</f>
        <v>0.69609475189658532</v>
      </c>
      <c r="W22" s="43">
        <f>协作币产出情况!J24/O22</f>
        <v>0.67875109027821967</v>
      </c>
      <c r="X22" s="43">
        <f>协作币产出情况!K24/P22</f>
        <v>0.68568330223189655</v>
      </c>
      <c r="Y22" s="43" t="e">
        <f>协作币产出情况!L24/Q22</f>
        <v>#DIV/0!</v>
      </c>
    </row>
    <row r="23" spans="2:25" x14ac:dyDescent="0.15">
      <c r="B23" s="28">
        <v>13</v>
      </c>
      <c r="C23" s="44">
        <v>50000</v>
      </c>
      <c r="D23" s="51">
        <f>SUM(C$10:$C23)</f>
        <v>290000</v>
      </c>
      <c r="E23" s="44">
        <f t="shared" si="3"/>
        <v>50000</v>
      </c>
      <c r="F23" s="28">
        <f>SUM($E$10:E23)</f>
        <v>290000</v>
      </c>
      <c r="G23" s="56">
        <f t="shared" si="0"/>
        <v>193.33333333333334</v>
      </c>
      <c r="H23" s="60">
        <f t="shared" si="1"/>
        <v>107.4074074074074</v>
      </c>
      <c r="I23" s="60">
        <f t="shared" si="2"/>
        <v>26.126126126126128</v>
      </c>
      <c r="J23" s="53"/>
      <c r="K23" s="41"/>
      <c r="L23" s="42">
        <v>19</v>
      </c>
      <c r="M23" s="43">
        <f>IF($L23&lt;基础状态预期!E$9,0,求节点(基础状态预期!E$8:E$26,$D$10:$D$28,$L23))</f>
        <v>5600</v>
      </c>
      <c r="N23" s="43">
        <f>IF($L23&lt;基础状态预期!F$9,0,求节点(基础状态预期!F$8:F$26,$D$10:$D$28,$L23))</f>
        <v>5021.1650550782479</v>
      </c>
      <c r="O23" s="43">
        <f>IF($L23&lt;基础状态预期!G$9,0,求节点(基础状态预期!G$8:G$26,$D$10:$D$28,$L23))</f>
        <v>4274.0660186829873</v>
      </c>
      <c r="P23" s="43">
        <f>IF($L23&lt;基础状态预期!H$9,0,求节点(基础状态预期!H$8:H$26,$D$10:$D$28,$L23))</f>
        <v>3195.3015286170948</v>
      </c>
      <c r="Q23" s="43">
        <f>IF($L23&lt;基础状态预期!I$9,0,求节点(基础状态预期!I$8:I$26,$D$10:$D$28,$L23))</f>
        <v>0</v>
      </c>
      <c r="T23" s="42">
        <v>19</v>
      </c>
      <c r="U23" s="43">
        <f>协作币产出情况!H25/M23</f>
        <v>0.73182106236086508</v>
      </c>
      <c r="V23" s="43">
        <f>协作币产出情况!I25/N23</f>
        <v>0.70901962381968919</v>
      </c>
      <c r="W23" s="43">
        <f>协作币产出情况!J25/O23</f>
        <v>0.68471641353831614</v>
      </c>
      <c r="X23" s="43">
        <f>协作币产出情况!K25/P23</f>
        <v>0.67578614415742211</v>
      </c>
      <c r="Y23" s="43" t="e">
        <f>协作币产出情况!L25/Q23</f>
        <v>#DIV/0!</v>
      </c>
    </row>
    <row r="24" spans="2:25" x14ac:dyDescent="0.15">
      <c r="B24" s="28">
        <v>14</v>
      </c>
      <c r="C24" s="44">
        <v>55000</v>
      </c>
      <c r="D24" s="51">
        <f>SUM(C$10:$C24)</f>
        <v>345000</v>
      </c>
      <c r="E24" s="44">
        <f t="shared" si="3"/>
        <v>55000</v>
      </c>
      <c r="F24" s="28">
        <f>SUM($E$10:E24)</f>
        <v>345000</v>
      </c>
      <c r="G24" s="56">
        <f t="shared" si="0"/>
        <v>230</v>
      </c>
      <c r="H24" s="60">
        <f t="shared" si="1"/>
        <v>127.77777777777777</v>
      </c>
      <c r="I24" s="60">
        <f t="shared" si="2"/>
        <v>31.081081081081081</v>
      </c>
      <c r="J24" s="54"/>
      <c r="K24" s="41"/>
      <c r="L24" s="42">
        <v>20</v>
      </c>
      <c r="M24" s="43">
        <f>IF($L24&lt;基础状态预期!E$9,0,求节点(基础状态预期!E$8:E$26,$D$10:$D$28,$L24))</f>
        <v>6000</v>
      </c>
      <c r="N24" s="43">
        <f>IF($L24&lt;基础状态预期!F$9,0,求节点(基础状态预期!F$8:F$26,$D$10:$D$28,$L24))</f>
        <v>5405.9507080748208</v>
      </c>
      <c r="O24" s="43">
        <f>IF($L24&lt;基础状态预期!G$9,0,求节点(基础状态预期!G$8:G$26,$D$10:$D$28,$L24))</f>
        <v>4638.6011993688262</v>
      </c>
      <c r="P24" s="43">
        <f>IF($L24&lt;基础状态预期!H$9,0,求节点(基础状态预期!H$8:H$26,$D$10:$D$28,$L24))</f>
        <v>3532.2180087214747</v>
      </c>
      <c r="Q24" s="43">
        <f>IF($L24&lt;基础状态预期!I$9,0,求节点(基础状态预期!I$8:I$26,$D$10:$D$28,$L24))</f>
        <v>0</v>
      </c>
      <c r="T24" s="42">
        <v>20</v>
      </c>
      <c r="U24" s="43">
        <f>协作币产出情况!H26/M24</f>
        <v>0.75</v>
      </c>
      <c r="V24" s="43">
        <f>协作币产出情况!I26/N24</f>
        <v>0.7224538681357775</v>
      </c>
      <c r="W24" s="43">
        <f>协作币产出情况!J26/O24</f>
        <v>0.69111351940240362</v>
      </c>
      <c r="X24" s="43">
        <f>协作币产出情况!K26/P24</f>
        <v>0.67100897910259549</v>
      </c>
      <c r="Y24" s="43" t="e">
        <f>协作币产出情况!L26/Q24</f>
        <v>#DIV/0!</v>
      </c>
    </row>
    <row r="25" spans="2:25" x14ac:dyDescent="0.15">
      <c r="B25" s="28">
        <v>15</v>
      </c>
      <c r="C25" s="44">
        <v>60000</v>
      </c>
      <c r="D25" s="51">
        <f>SUM(C$10:$C25)</f>
        <v>405000</v>
      </c>
      <c r="E25" s="44">
        <f t="shared" si="3"/>
        <v>60000</v>
      </c>
      <c r="F25" s="28">
        <f>SUM($E$10:E25)</f>
        <v>405000</v>
      </c>
      <c r="G25" s="56">
        <f t="shared" si="0"/>
        <v>270</v>
      </c>
      <c r="H25" s="60">
        <f t="shared" si="1"/>
        <v>150</v>
      </c>
      <c r="I25" s="60">
        <f t="shared" si="2"/>
        <v>36.486486486486484</v>
      </c>
      <c r="J25" s="54"/>
      <c r="K25" s="41"/>
      <c r="L25" s="42">
        <v>21</v>
      </c>
      <c r="M25" s="43">
        <f>IF($L25&lt;基础状态预期!E$9,0,求节点(基础状态预期!E$8:E$26,$D$10:$D$28,$L25))</f>
        <v>6600</v>
      </c>
      <c r="N25" s="43">
        <f>IF($L25&lt;基础状态预期!F$9,0,求节点(基础状态预期!F$8:F$26,$D$10:$D$28,$L25))</f>
        <v>5790.7363610713928</v>
      </c>
      <c r="O25" s="43">
        <f>IF($L25&lt;基础状态预期!G$9,0,求节点(基础状态预期!G$8:G$26,$D$10:$D$28,$L25))</f>
        <v>5003.1363800546642</v>
      </c>
      <c r="P25" s="43">
        <f>IF($L25&lt;基础状态预期!H$9,0,求节点(基础状态预期!H$8:H$26,$D$10:$D$28,$L25))</f>
        <v>3869.134488825855</v>
      </c>
      <c r="Q25" s="43">
        <f>IF($L25&lt;基础状态预期!I$9,0,求节点(基础状态预期!I$8:I$26,$D$10:$D$28,$L25))</f>
        <v>0</v>
      </c>
      <c r="T25" s="42">
        <v>21</v>
      </c>
      <c r="U25" s="43">
        <f>协作币产出情况!H27/M25</f>
        <v>0.74706678412390282</v>
      </c>
      <c r="V25" s="43">
        <f>协作币产出情况!I27/N25</f>
        <v>0.73873574444467571</v>
      </c>
      <c r="W25" s="43">
        <f>协作币产出情况!J27/O25</f>
        <v>0.70355556635645788</v>
      </c>
      <c r="X25" s="43">
        <f>协作币产出情况!K27/P25</f>
        <v>0.67324036656529451</v>
      </c>
      <c r="Y25" s="43" t="e">
        <f>协作币产出情况!L27/Q25</f>
        <v>#DIV/0!</v>
      </c>
    </row>
    <row r="26" spans="2:25" x14ac:dyDescent="0.15">
      <c r="B26" s="28">
        <v>16</v>
      </c>
      <c r="C26" s="44">
        <v>65000</v>
      </c>
      <c r="D26" s="51">
        <f>SUM(C$10:$C26)</f>
        <v>470000</v>
      </c>
      <c r="E26" s="44">
        <f t="shared" si="3"/>
        <v>65000</v>
      </c>
      <c r="F26" s="28">
        <f>SUM($E$10:E26)</f>
        <v>470000</v>
      </c>
      <c r="G26" s="56">
        <f t="shared" si="0"/>
        <v>313.33333333333331</v>
      </c>
      <c r="H26" s="60">
        <f t="shared" si="1"/>
        <v>174.07407407407408</v>
      </c>
      <c r="I26" s="60">
        <f t="shared" si="2"/>
        <v>42.342342342342342</v>
      </c>
      <c r="K26" s="41"/>
      <c r="L26" s="42">
        <v>22</v>
      </c>
      <c r="M26" s="43">
        <f>IF($L26&lt;基础状态预期!E$9,0,求节点(基础状态预期!E$8:E$26,$D$10:$D$28,$L26))</f>
        <v>7200</v>
      </c>
      <c r="N26" s="43">
        <f>IF($L26&lt;基础状态预期!F$9,0,求节点(基础状态预期!F$8:F$26,$D$10:$D$28,$L26))</f>
        <v>6268.9865915722521</v>
      </c>
      <c r="O26" s="43">
        <f>IF($L26&lt;基础状态预期!G$9,0,求节点(基础状态预期!G$8:G$26,$D$10:$D$28,$L26))</f>
        <v>5367.671560740504</v>
      </c>
      <c r="P26" s="43">
        <f>IF($L26&lt;基础状态预期!H$9,0,求节点(基础状态预期!H$8:H$26,$D$10:$D$28,$L26))</f>
        <v>4206.0509689302344</v>
      </c>
      <c r="Q26" s="43">
        <f>IF($L26&lt;基础状态预期!I$9,0,求节点(基础状态预期!I$8:I$26,$D$10:$D$28,$L26))</f>
        <v>2214.1498955763232</v>
      </c>
      <c r="T26" s="42">
        <v>22</v>
      </c>
      <c r="U26" s="43">
        <f>协作币产出情况!H28/M26</f>
        <v>0.74891529583086236</v>
      </c>
      <c r="V26" s="43">
        <f>协作币产出情况!I28/N26</f>
        <v>0.74754545627321367</v>
      </c>
      <c r="W26" s="43">
        <f>协作币产出情况!J28/O26</f>
        <v>0.71957193103175099</v>
      </c>
      <c r="X26" s="43">
        <f>协作币产出情况!K28/P26</f>
        <v>0.6803615370142283</v>
      </c>
      <c r="Y26" s="43">
        <f>协作币产出情况!L28/Q26</f>
        <v>0.72402420849941551</v>
      </c>
    </row>
    <row r="27" spans="2:25" x14ac:dyDescent="0.15">
      <c r="B27" s="28">
        <v>17</v>
      </c>
      <c r="C27" s="44">
        <v>70000</v>
      </c>
      <c r="D27" s="51">
        <f>SUM(C$10:$C27)</f>
        <v>540000</v>
      </c>
      <c r="E27" s="44">
        <f t="shared" si="3"/>
        <v>70000</v>
      </c>
      <c r="F27" s="28">
        <f>SUM($E$10:E27)</f>
        <v>540000</v>
      </c>
      <c r="G27" s="56">
        <f t="shared" si="0"/>
        <v>360</v>
      </c>
      <c r="H27" s="60">
        <f t="shared" si="1"/>
        <v>200</v>
      </c>
      <c r="I27" s="60">
        <f t="shared" si="2"/>
        <v>48.648648648648646</v>
      </c>
      <c r="K27" s="41"/>
      <c r="L27" s="42">
        <v>23</v>
      </c>
      <c r="M27" s="43">
        <f>IF($L27&lt;基础状态预期!E$9,0,求节点(基础状态预期!E$8:E$26,$D$10:$D$28,$L27))</f>
        <v>7800</v>
      </c>
      <c r="N27" s="43">
        <f>IF($L27&lt;基础状态预期!F$9,0,求节点(基础状态预期!F$8:F$26,$D$10:$D$28,$L27))</f>
        <v>6858.6686427671129</v>
      </c>
      <c r="O27" s="43">
        <f>IF($L27&lt;基础状态预期!G$9,0,求节点(基础状态预期!G$8:G$26,$D$10:$D$28,$L27))</f>
        <v>5732.206741426342</v>
      </c>
      <c r="P27" s="43">
        <f>IF($L27&lt;基础状态预期!H$9,0,求节点(基础状态预期!H$8:H$26,$D$10:$D$28,$L27))</f>
        <v>4542.9674490346151</v>
      </c>
      <c r="Q27" s="43">
        <f>IF($L27&lt;基础状态预期!I$9,0,求节点(基础状态预期!I$8:I$26,$D$10:$D$28,$L27))</f>
        <v>2516.5838843685601</v>
      </c>
      <c r="T27" s="42">
        <v>23</v>
      </c>
      <c r="U27" s="43">
        <f>协作币产出情况!H29/M27</f>
        <v>0.75472647180378161</v>
      </c>
      <c r="V27" s="43">
        <f>协作币产出情况!I29/N27</f>
        <v>0.74535673285272819</v>
      </c>
      <c r="W27" s="43">
        <f>协作币产出情况!J29/O27</f>
        <v>0.73439399690078166</v>
      </c>
      <c r="X27" s="43">
        <f>协作币产出情况!K29/P27</f>
        <v>0.6866548314035823</v>
      </c>
      <c r="Y27" s="43">
        <f>协作币产出情况!L29/Q27</f>
        <v>0.69194399424578612</v>
      </c>
    </row>
    <row r="28" spans="2:25" x14ac:dyDescent="0.15">
      <c r="B28" s="28">
        <v>18</v>
      </c>
      <c r="C28" s="44">
        <v>75000</v>
      </c>
      <c r="D28" s="51">
        <f>SUM(C$10:$C28)</f>
        <v>615000</v>
      </c>
      <c r="E28" s="44">
        <f t="shared" si="3"/>
        <v>75000</v>
      </c>
      <c r="F28" s="28">
        <f>SUM($E$10:E28)</f>
        <v>615000</v>
      </c>
      <c r="G28" s="56">
        <f t="shared" si="0"/>
        <v>410</v>
      </c>
      <c r="H28" s="60">
        <f t="shared" si="1"/>
        <v>227.77777777777777</v>
      </c>
      <c r="I28" s="60">
        <f t="shared" si="2"/>
        <v>55.405405405405403</v>
      </c>
      <c r="K28" s="41"/>
      <c r="L28" s="42">
        <v>24</v>
      </c>
      <c r="M28" s="43">
        <f>IF($L28&lt;基础状态预期!E$9,0,求节点(基础状态预期!E$8:E$26,$D$10:$D$28,$L28))</f>
        <v>8400</v>
      </c>
      <c r="N28" s="43">
        <f>IF($L28&lt;基础状态预期!F$9,0,求节点(基础状态预期!F$8:F$26,$D$10:$D$28,$L28))</f>
        <v>7448.3506939619747</v>
      </c>
      <c r="O28" s="43">
        <f>IF($L28&lt;基础状态预期!G$9,0,求节点(基础状态预期!G$8:G$26,$D$10:$D$28,$L28))</f>
        <v>6152.2639180802553</v>
      </c>
      <c r="P28" s="43">
        <f>IF($L28&lt;基础状态预期!H$9,0,求节点(基础状态预期!H$8:H$26,$D$10:$D$28,$L28))</f>
        <v>4879.883929138995</v>
      </c>
      <c r="Q28" s="43">
        <f>IF($L28&lt;基础状态预期!I$9,0,求节点(基础状态预期!I$8:I$26,$D$10:$D$28,$L28))</f>
        <v>2819.0178731607975</v>
      </c>
      <c r="T28" s="42">
        <v>24</v>
      </c>
      <c r="U28" s="43">
        <f>协作币产出情况!H30/M28</f>
        <v>0.76393422198063865</v>
      </c>
      <c r="V28" s="43">
        <f>协作币产出情况!I30/N28</f>
        <v>0.74945310966805867</v>
      </c>
      <c r="W28" s="43">
        <f>协作币产出情况!J30/O28</f>
        <v>0.74848435014157721</v>
      </c>
      <c r="X28" s="43">
        <f>协作币产出情况!K30/P28</f>
        <v>0.6990540106561739</v>
      </c>
      <c r="Y28" s="43">
        <f>协作币产出情况!L30/Q28</f>
        <v>0.67539053259819659</v>
      </c>
    </row>
    <row r="29" spans="2:25" x14ac:dyDescent="0.15">
      <c r="B29" s="28"/>
      <c r="C29" s="28"/>
      <c r="D29" s="50"/>
      <c r="E29" s="28"/>
      <c r="F29" s="28"/>
      <c r="K29" s="41"/>
      <c r="L29" s="42">
        <v>25</v>
      </c>
      <c r="M29" s="43">
        <f>IF($L29&lt;基础状态预期!E$9,0,求节点(基础状态预期!E$8:E$26,$D$10:$D$28,$L29))</f>
        <v>9000</v>
      </c>
      <c r="N29" s="43">
        <f>IF($L29&lt;基础状态预期!F$9,0,求节点(基础状态预期!F$8:F$26,$D$10:$D$28,$L29))</f>
        <v>8038.0327451568355</v>
      </c>
      <c r="O29" s="43">
        <f>IF($L29&lt;基础状态预期!G$9,0,求节点(基础状态预期!G$8:G$26,$D$10:$D$28,$L29))</f>
        <v>6726.0126474569161</v>
      </c>
      <c r="P29" s="43">
        <f>IF($L29&lt;基础状态预期!H$9,0,求节点(基础状态预期!H$8:H$26,$D$10:$D$28,$L29))</f>
        <v>5216.8004092433748</v>
      </c>
      <c r="Q29" s="43">
        <f>IF($L29&lt;基础状态预期!I$9,0,求节点(基础状态预期!I$8:I$26,$D$10:$D$28,$L29))</f>
        <v>3121.4518619530345</v>
      </c>
      <c r="T29" s="42">
        <v>25</v>
      </c>
      <c r="U29" s="43">
        <f>协作币产出情况!H31/M29</f>
        <v>0.77614237491539673</v>
      </c>
      <c r="V29" s="43">
        <f>协作币产出情况!I31/N29</f>
        <v>0.7565764108234474</v>
      </c>
      <c r="W29" s="43">
        <f>协作币产出情况!J31/O29</f>
        <v>0.74588457470043401</v>
      </c>
      <c r="X29" s="43">
        <f>协作币产出情况!K31/P29</f>
        <v>0.71261433364075155</v>
      </c>
      <c r="Y29" s="43">
        <f>协作币产出情况!L31/Q29</f>
        <v>0.66329307350870947</v>
      </c>
    </row>
    <row r="30" spans="2:25" x14ac:dyDescent="0.15">
      <c r="B30" s="28"/>
      <c r="C30" s="28"/>
      <c r="D30" s="50"/>
      <c r="E30" s="28"/>
      <c r="F30" s="28"/>
      <c r="K30" s="41"/>
      <c r="L30" s="42">
        <v>26</v>
      </c>
      <c r="M30" s="43">
        <f>IF($L30&lt;基础状态预期!E$9,0,求节点(基础状态预期!E$8:E$26,$D$10:$D$28,$L30))</f>
        <v>9600</v>
      </c>
      <c r="N30" s="43">
        <f>IF($L30&lt;基础状态预期!F$9,0,求节点(基础状态预期!F$8:F$26,$D$10:$D$28,$L30))</f>
        <v>8627.7147963516982</v>
      </c>
      <c r="O30" s="43">
        <f>IF($L30&lt;基础状态预期!G$9,0,求节点(基础状态预期!G$8:G$26,$D$10:$D$28,$L30))</f>
        <v>7299.7613768335768</v>
      </c>
      <c r="P30" s="43">
        <f>IF($L30&lt;基础状态预期!H$9,0,求节点(基础状态预期!H$8:H$26,$D$10:$D$28,$L30))</f>
        <v>5553.7168893477547</v>
      </c>
      <c r="Q30" s="43">
        <f>IF($L30&lt;基础状态预期!I$9,0,求节点(基础状态预期!I$8:I$26,$D$10:$D$28,$L30))</f>
        <v>3423.8858507452715</v>
      </c>
      <c r="T30" s="42">
        <v>26</v>
      </c>
      <c r="U30" s="43">
        <f>协作币产出情况!H32/M30</f>
        <v>0.79107285406899874</v>
      </c>
      <c r="V30" s="43">
        <f>协作币产出情况!I32/N30</f>
        <v>0.76649681552987103</v>
      </c>
      <c r="W30" s="43">
        <f>协作币产出情况!J32/O30</f>
        <v>0.74738671672209678</v>
      </c>
      <c r="X30" s="43">
        <f>协作币产出情况!K32/P30</f>
        <v>0.7269239035725672</v>
      </c>
      <c r="Y30" s="43">
        <f>协作币产出情况!L32/Q30</f>
        <v>0.65698203154542945</v>
      </c>
    </row>
    <row r="31" spans="2:25" x14ac:dyDescent="0.15">
      <c r="B31" s="28"/>
      <c r="C31" s="28"/>
      <c r="D31" s="50"/>
      <c r="E31" s="28"/>
      <c r="F31" s="28"/>
      <c r="K31" s="41"/>
      <c r="L31" s="42">
        <v>27</v>
      </c>
      <c r="M31" s="43">
        <f>IF($L31&lt;基础状态预期!E$9,0,求节点(基础状态预期!E$8:E$26,$D$10:$D$28,$L31))</f>
        <v>10200</v>
      </c>
      <c r="N31" s="43">
        <f>IF($L31&lt;基础状态预期!F$9,0,求节点(基础状态预期!F$8:F$26,$D$10:$D$28,$L31))</f>
        <v>9217.396847546559</v>
      </c>
      <c r="O31" s="43">
        <f>IF($L31&lt;基础状态预期!G$9,0,求节点(基础状态预期!G$8:G$26,$D$10:$D$28,$L31))</f>
        <v>7873.5101062102376</v>
      </c>
      <c r="P31" s="43">
        <f>IF($L31&lt;基础状态预期!H$9,0,求节点(基础状态预期!H$8:H$26,$D$10:$D$28,$L31))</f>
        <v>5890.6333694521345</v>
      </c>
      <c r="Q31" s="43">
        <f>IF($L31&lt;基础状态预期!I$9,0,求节点(基础状态预期!I$8:I$26,$D$10:$D$28,$L31))</f>
        <v>3726.3198395375089</v>
      </c>
      <c r="T31" s="42">
        <v>27</v>
      </c>
      <c r="U31" s="43">
        <f>协作币产出情况!H33/M31</f>
        <v>0.80853223100733596</v>
      </c>
      <c r="V31" s="43">
        <f>协作币产出情况!I33/N31</f>
        <v>0.77921537529888452</v>
      </c>
      <c r="W31" s="43">
        <f>协作币产出情况!J33/O31</f>
        <v>0.7523760909330357</v>
      </c>
      <c r="X31" s="43">
        <f>协作币产出情况!K33/P31</f>
        <v>0.74369280866322729</v>
      </c>
      <c r="Y31" s="43">
        <f>协作币产出情况!L33/Q31</f>
        <v>0.65576620518637962</v>
      </c>
    </row>
    <row r="32" spans="2:25" x14ac:dyDescent="0.15">
      <c r="B32" s="28"/>
      <c r="C32" s="28"/>
      <c r="D32" s="50"/>
      <c r="E32" s="28"/>
      <c r="F32" s="28"/>
      <c r="K32" s="41"/>
      <c r="L32" s="42">
        <v>28</v>
      </c>
      <c r="M32" s="43">
        <f>IF($L32&lt;基础状态预期!E$9,0,求节点(基础状态预期!E$8:E$26,$D$10:$D$28,$L32))</f>
        <v>10800</v>
      </c>
      <c r="N32" s="43">
        <f>IF($L32&lt;基础状态预期!F$9,0,求节点(基础状态预期!F$8:F$26,$D$10:$D$28,$L32))</f>
        <v>9807.0788987414198</v>
      </c>
      <c r="O32" s="43">
        <f>IF($L32&lt;基础状态预期!G$9,0,求节点(基础状态预期!G$8:G$26,$D$10:$D$28,$L32))</f>
        <v>8447.2588355868975</v>
      </c>
      <c r="P32" s="43">
        <f>IF($L32&lt;基础状态预期!H$9,0,求节点(基础状态预期!H$8:H$26,$D$10:$D$28,$L32))</f>
        <v>6372.6760022641092</v>
      </c>
      <c r="Q32" s="43">
        <f>IF($L32&lt;基础状态预期!I$9,0,求节点(基础状态预期!I$8:I$26,$D$10:$D$28,$L32))</f>
        <v>4028.7538283297463</v>
      </c>
      <c r="T32" s="42">
        <v>28</v>
      </c>
      <c r="U32" s="43">
        <f>协作币产出情况!H34/M32</f>
        <v>0.82838951477347111</v>
      </c>
      <c r="V32" s="43">
        <f>协作币产出情况!I34/N32</f>
        <v>0.7940311895027895</v>
      </c>
      <c r="W32" s="43">
        <f>协作币产出情况!J34/O32</f>
        <v>0.75917263221902731</v>
      </c>
      <c r="X32" s="43">
        <f>协作币产出情况!K34/P32</f>
        <v>0.74505030627763913</v>
      </c>
      <c r="Y32" s="43">
        <f>协作币产出情况!L34/Q32</f>
        <v>0.66043272030703781</v>
      </c>
    </row>
    <row r="33" spans="2:25" x14ac:dyDescent="0.15">
      <c r="B33" s="28"/>
      <c r="C33" s="28"/>
      <c r="D33" s="50"/>
      <c r="E33" s="28"/>
      <c r="F33" s="28"/>
      <c r="K33" s="41"/>
      <c r="L33" s="42">
        <v>29</v>
      </c>
      <c r="M33" s="43">
        <f>IF($L33&lt;基础状态预期!E$9,0,求节点(基础状态预期!E$8:E$26,$D$10:$D$28,$L33))</f>
        <v>11400</v>
      </c>
      <c r="N33" s="43">
        <f>IF($L33&lt;基础状态预期!F$9,0,求节点(基础状态预期!F$8:F$26,$D$10:$D$28,$L33))</f>
        <v>10396.760949936281</v>
      </c>
      <c r="O33" s="43">
        <f>IF($L33&lt;基础状态预期!G$9,0,求节点(基础状态预期!G$8:G$26,$D$10:$D$28,$L33))</f>
        <v>9021.0075649635583</v>
      </c>
      <c r="P33" s="43">
        <f>IF($L33&lt;基础状态预期!H$9,0,求节点(基础状态预期!H$8:H$26,$D$10:$D$28,$L33))</f>
        <v>6924.4702009722523</v>
      </c>
      <c r="Q33" s="43">
        <f>IF($L33&lt;基础状态预期!I$9,0,求节点(基础状态预期!I$8:I$26,$D$10:$D$28,$L33))</f>
        <v>4331.1878171219832</v>
      </c>
      <c r="T33" s="42">
        <v>29</v>
      </c>
      <c r="U33" s="43">
        <f>协作币产出情况!H35/M33</f>
        <v>0.85056104372295493</v>
      </c>
      <c r="V33" s="43">
        <f>协作币产出情况!I35/N33</f>
        <v>0.81260594400451425</v>
      </c>
      <c r="W33" s="43">
        <f>协作币产出情况!J35/O33</f>
        <v>0.77336780827286411</v>
      </c>
      <c r="X33" s="43">
        <f>协作币产出情况!K35/P33</f>
        <v>0.74804491009583085</v>
      </c>
      <c r="Y33" s="43">
        <f>协作币产出情况!L35/Q33</f>
        <v>0.67072598414896023</v>
      </c>
    </row>
    <row r="34" spans="2:25" x14ac:dyDescent="0.15">
      <c r="K34" s="41"/>
      <c r="L34" s="42">
        <v>30</v>
      </c>
      <c r="M34" s="43">
        <f>IF($L34&lt;基础状态预期!E$9,0,求节点(基础状态预期!E$8:E$26,$D$10:$D$28,$L34))</f>
        <v>12000</v>
      </c>
      <c r="N34" s="43">
        <f>IF($L34&lt;基础状态预期!F$9,0,求节点(基础状态预期!F$8:F$26,$D$10:$D$28,$L34))</f>
        <v>10986.443001131142</v>
      </c>
      <c r="O34" s="43">
        <f>IF($L34&lt;基础状态预期!G$9,0,求节点(基础状态预期!G$8:G$26,$D$10:$D$28,$L34))</f>
        <v>9594.756294340219</v>
      </c>
      <c r="P34" s="43">
        <f>IF($L34&lt;基础状态预期!H$9,0,求节点(基础状态预期!H$8:H$26,$D$10:$D$28,$L34))</f>
        <v>7476.2643996803954</v>
      </c>
      <c r="Q34" s="43">
        <f>IF($L34&lt;基础状态预期!I$9,0,求节点(基础状态预期!I$8:I$26,$D$10:$D$28,$L34))</f>
        <v>4633.6218059142211</v>
      </c>
      <c r="T34" s="42">
        <v>30</v>
      </c>
      <c r="U34" s="43">
        <f>协作币产出情况!H36/M34</f>
        <v>0.875</v>
      </c>
      <c r="V34" s="43">
        <f>协作币产出情况!I36/N34</f>
        <v>0.83319960783099067</v>
      </c>
      <c r="W34" s="43">
        <f>协作币产出情况!J36/O34</f>
        <v>0.78825868713949221</v>
      </c>
      <c r="X34" s="43">
        <f>协作币产出情况!K36/P34</f>
        <v>0.75095658738875104</v>
      </c>
      <c r="Y34" s="43">
        <f>协作币产出情况!L36/Q34</f>
        <v>0.68004039431489438</v>
      </c>
    </row>
    <row r="35" spans="2:25" x14ac:dyDescent="0.15">
      <c r="K35" s="41"/>
      <c r="L35" s="42">
        <v>31</v>
      </c>
      <c r="M35" s="43">
        <f>IF($L35&lt;基础状态预期!E$9,0,求节点(基础状态预期!E$8:E$26,$D$10:$D$28,$L35))</f>
        <v>12991.177159408468</v>
      </c>
      <c r="N35" s="43">
        <f>IF($L35&lt;基础状态预期!F$9,0,求节点(基础状态预期!F$8:F$26,$D$10:$D$28,$L35))</f>
        <v>11576.125052326002</v>
      </c>
      <c r="O35" s="43">
        <f>IF($L35&lt;基础状态预期!G$9,0,求节点(基础状态预期!G$8:G$26,$D$10:$D$28,$L35))</f>
        <v>10168.50502371688</v>
      </c>
      <c r="P35" s="43">
        <f>IF($L35&lt;基础状态预期!H$9,0,求节点(基础状态预期!H$8:H$26,$D$10:$D$28,$L35))</f>
        <v>8028.0585983885385</v>
      </c>
      <c r="Q35" s="43">
        <f>IF($L35&lt;基础状态预期!I$9,0,求节点(基础状态预期!I$8:I$26,$D$10:$D$28,$L35))</f>
        <v>4936.0557947064572</v>
      </c>
      <c r="T35" s="42">
        <v>31</v>
      </c>
      <c r="U35" s="43">
        <f>协作币产出情况!H37/M35</f>
        <v>0.87453826631926501</v>
      </c>
      <c r="V35" s="43">
        <f>协作币产出情况!I37/N35</f>
        <v>0.85669968323143464</v>
      </c>
      <c r="W35" s="43">
        <f>协作币产出情况!J37/O35</f>
        <v>0.80590926229720949</v>
      </c>
      <c r="X35" s="43">
        <f>协作币产出情况!K37/P35</f>
        <v>0.75713020215162441</v>
      </c>
      <c r="Y35" s="43">
        <f>协作币产出情况!L37/Q35</f>
        <v>0.69234903990266528</v>
      </c>
    </row>
    <row r="36" spans="2:25" x14ac:dyDescent="0.15">
      <c r="K36" s="41"/>
      <c r="L36" s="42">
        <v>32</v>
      </c>
      <c r="M36" s="43">
        <f>IF($L36&lt;基础状态预期!E$9,0,求节点(基础状态预期!E$8:E$26,$D$10:$D$28,$L36))</f>
        <v>13982.354318816933</v>
      </c>
      <c r="N36" s="43">
        <f>IF($L36&lt;基础状态预期!F$9,0,求节点(基础状态预期!F$8:F$26,$D$10:$D$28,$L36))</f>
        <v>12273.772151787633</v>
      </c>
      <c r="O36" s="43">
        <f>IF($L36&lt;基础状态预期!G$9,0,求节点(基础状态预期!G$8:G$26,$D$10:$D$28,$L36))</f>
        <v>10742.253753093541</v>
      </c>
      <c r="P36" s="43">
        <f>IF($L36&lt;基础状态预期!H$9,0,求节点(基础状态预期!H$8:H$26,$D$10:$D$28,$L36))</f>
        <v>8579.8527970966825</v>
      </c>
      <c r="Q36" s="43">
        <f>IF($L36&lt;基础状态预期!I$9,0,求节点(基础状态预期!I$8:I$26,$D$10:$D$28,$L36))</f>
        <v>5238.489783498695</v>
      </c>
      <c r="T36" s="42">
        <v>32</v>
      </c>
      <c r="U36" s="43">
        <f>协作币产出情况!H38/M36</f>
        <v>0.87856307885379192</v>
      </c>
      <c r="V36" s="43">
        <f>协作币产出情况!I38/N36</f>
        <v>0.87405478514316715</v>
      </c>
      <c r="W36" s="43">
        <f>协作币产出情况!J38/O36</f>
        <v>0.82473336109147422</v>
      </c>
      <c r="X36" s="43">
        <f>协作币产出情况!K38/P36</f>
        <v>0.76671311090989325</v>
      </c>
      <c r="Y36" s="43">
        <f>协作币产出情况!L38/Q36</f>
        <v>0.70585199381256203</v>
      </c>
    </row>
    <row r="37" spans="2:25" x14ac:dyDescent="0.15">
      <c r="K37" s="41"/>
      <c r="L37" s="42">
        <v>33</v>
      </c>
      <c r="M37" s="43">
        <f>IF($L37&lt;基础状态预期!E$9,0,求节点(基础状态预期!E$8:E$26,$D$10:$D$28,$L37))</f>
        <v>14973.531478225401</v>
      </c>
      <c r="N37" s="43">
        <f>IF($L37&lt;基础状态预期!F$9,0,求节点(基础状态预期!F$8:F$26,$D$10:$D$28,$L37))</f>
        <v>13247.424791500065</v>
      </c>
      <c r="O37" s="43">
        <f>IF($L37&lt;基础状态预期!G$9,0,求节点(基础状态预期!G$8:G$26,$D$10:$D$28,$L37))</f>
        <v>11316.002482470201</v>
      </c>
      <c r="P37" s="43">
        <f>IF($L37&lt;基础状态预期!H$9,0,求节点(基础状态预期!H$8:H$26,$D$10:$D$28,$L37))</f>
        <v>9131.6469958048256</v>
      </c>
      <c r="Q37" s="43">
        <f>IF($L37&lt;基础状态预期!I$9,0,求节点(基础状态预期!I$8:I$26,$D$10:$D$28,$L37))</f>
        <v>5540.923772290932</v>
      </c>
      <c r="T37" s="42">
        <v>33</v>
      </c>
      <c r="U37" s="43">
        <f>协作币产出情况!H39/M37</f>
        <v>0.88647978464143451</v>
      </c>
      <c r="V37" s="43">
        <f>协作币产出情况!I39/N37</f>
        <v>0.87323071893818471</v>
      </c>
      <c r="W37" s="43">
        <f>协作币产出情况!J39/O37</f>
        <v>0.84432934682622873</v>
      </c>
      <c r="X37" s="43">
        <f>协作币产出情况!K39/P37</f>
        <v>0.77796501370783255</v>
      </c>
      <c r="Y37" s="43">
        <f>协作币产出情况!L39/Q37</f>
        <v>0.72083039071559885</v>
      </c>
    </row>
    <row r="38" spans="2:25" x14ac:dyDescent="0.15">
      <c r="K38" s="41"/>
      <c r="L38" s="42">
        <v>34</v>
      </c>
      <c r="M38" s="43">
        <f>IF($L38&lt;基础状态预期!E$9,0,求节点(基础状态预期!E$8:E$26,$D$10:$D$28,$L38))</f>
        <v>15964.708637633868</v>
      </c>
      <c r="N38" s="43">
        <f>IF($L38&lt;基础状态预期!F$9,0,求节点(基础状态预期!F$8:F$26,$D$10:$D$28,$L38))</f>
        <v>14221.077431212496</v>
      </c>
      <c r="O38" s="43">
        <f>IF($L38&lt;基础状态预期!G$9,0,求节点(基础状态预期!G$8:G$26,$D$10:$D$28,$L38))</f>
        <v>11889.751211846862</v>
      </c>
      <c r="P38" s="43">
        <f>IF($L38&lt;基础状态预期!H$9,0,求节点(基础状态预期!H$8:H$26,$D$10:$D$28,$L38))</f>
        <v>9683.4411945129687</v>
      </c>
      <c r="Q38" s="43">
        <f>IF($L38&lt;基础状态预期!I$9,0,求节点(基础状态预期!I$8:I$26,$D$10:$D$28,$L38))</f>
        <v>5843.357761083169</v>
      </c>
      <c r="T38" s="42">
        <v>34</v>
      </c>
      <c r="U38" s="43">
        <f>协作币产出情况!H40/M38</f>
        <v>0.89786135498174591</v>
      </c>
      <c r="V38" s="43">
        <f>协作币产出情况!I40/N38</f>
        <v>0.8787283537261672</v>
      </c>
      <c r="W38" s="43">
        <f>协作币产出情况!J40/O38</f>
        <v>0.86946724778332407</v>
      </c>
      <c r="X38" s="43">
        <f>协作币产出情况!K40/P38</f>
        <v>0.79446021243986831</v>
      </c>
      <c r="Y38" s="43">
        <f>协作币产出情况!L40/Q38</f>
        <v>0.73959695741361253</v>
      </c>
    </row>
    <row r="39" spans="2:25" x14ac:dyDescent="0.15">
      <c r="K39" s="41"/>
      <c r="L39" s="42">
        <v>35</v>
      </c>
      <c r="M39" s="43">
        <f>IF($L39&lt;基础状态预期!E$9,0,求节点(基础状态预期!E$8:E$26,$D$10:$D$28,$L39))</f>
        <v>16955.885797042334</v>
      </c>
      <c r="N39" s="43">
        <f>IF($L39&lt;基础状态预期!F$9,0,求节点(基础状态预期!F$8:F$26,$D$10:$D$28,$L39))</f>
        <v>15194.730070924928</v>
      </c>
      <c r="O39" s="43">
        <f>IF($L39&lt;基础状态预期!G$9,0,求节点(基础状态预期!G$8:G$26,$D$10:$D$28,$L39))</f>
        <v>12780.709356557729</v>
      </c>
      <c r="P39" s="43">
        <f>IF($L39&lt;基础状态预期!H$9,0,求节点(基础状态预期!H$8:H$26,$D$10:$D$28,$L39))</f>
        <v>10235.235393221112</v>
      </c>
      <c r="Q39" s="43">
        <f>IF($L39&lt;基础状态预期!I$9,0,求节点(基础状态预期!I$8:I$26,$D$10:$D$28,$L39))</f>
        <v>6249.8752872711348</v>
      </c>
      <c r="T39" s="42">
        <v>35</v>
      </c>
      <c r="U39" s="43">
        <f>协作币产出情况!H41/M39</f>
        <v>0.91240073999411553</v>
      </c>
      <c r="V39" s="43">
        <f>协作币产出情况!I41/N39</f>
        <v>0.88894954189029396</v>
      </c>
      <c r="W39" s="43">
        <f>协作币产出情况!J41/O39</f>
        <v>0.87492191885748305</v>
      </c>
      <c r="X39" s="43">
        <f>协作币产出情况!K41/P39</f>
        <v>0.81197803364505217</v>
      </c>
      <c r="Y39" s="43">
        <f>协作币产出情况!L41/Q39</f>
        <v>0.74656237292343997</v>
      </c>
    </row>
    <row r="40" spans="2:25" x14ac:dyDescent="0.15">
      <c r="K40" s="41"/>
      <c r="L40" s="42">
        <v>36</v>
      </c>
      <c r="M40" s="43">
        <f>IF($L40&lt;基础状态预期!E$9,0,求节点(基础状态预期!E$8:E$26,$D$10:$D$28,$L40))</f>
        <v>17947.062956450802</v>
      </c>
      <c r="N40" s="43">
        <f>IF($L40&lt;基础状态预期!F$9,0,求节点(基础状态预期!F$8:F$26,$D$10:$D$28,$L40))</f>
        <v>16168.382710637357</v>
      </c>
      <c r="O40" s="43">
        <f>IF($L40&lt;基础状态预期!G$9,0,求节点(基础状态预期!G$8:G$26,$D$10:$D$28,$L40))</f>
        <v>13747.119406481452</v>
      </c>
      <c r="P40" s="43">
        <f>IF($L40&lt;基础状态预期!H$9,0,求节点(基础状态预期!H$8:H$26,$D$10:$D$28,$L40))</f>
        <v>10787.029591929255</v>
      </c>
      <c r="Q40" s="43">
        <f>IF($L40&lt;基础状态预期!I$9,0,求节点(基础状态预期!I$8:I$26,$D$10:$D$28,$L40))</f>
        <v>6768.2227239031663</v>
      </c>
      <c r="T40" s="42">
        <v>36</v>
      </c>
      <c r="U40" s="43">
        <f>协作币产出情况!H42/M40</f>
        <v>0.92987910270445162</v>
      </c>
      <c r="V40" s="43">
        <f>协作币产出情况!I42/N40</f>
        <v>0.90232729707234738</v>
      </c>
      <c r="W40" s="43">
        <f>协作币产出情况!J42/O40</f>
        <v>0.87733655282854095</v>
      </c>
      <c r="X40" s="43">
        <f>协作币产出情况!K42/P40</f>
        <v>0.83017312956792755</v>
      </c>
      <c r="Y40" s="43">
        <f>协作币产出情况!L42/Q40</f>
        <v>0.73996508442751685</v>
      </c>
    </row>
    <row r="41" spans="2:25" x14ac:dyDescent="0.15">
      <c r="K41" s="41"/>
      <c r="L41" s="42">
        <v>37</v>
      </c>
      <c r="M41" s="43">
        <f>IF($L41&lt;基础状态预期!E$9,0,求节点(基础状态预期!E$8:E$26,$D$10:$D$28,$L41))</f>
        <v>18938.240115859269</v>
      </c>
      <c r="N41" s="43">
        <f>IF($L41&lt;基础状态预期!F$9,0,求节点(基础状态预期!F$8:F$26,$D$10:$D$28,$L41))</f>
        <v>17142.03535034979</v>
      </c>
      <c r="O41" s="43">
        <f>IF($L41&lt;基础状态预期!G$9,0,求节点(基础状态预期!G$8:G$26,$D$10:$D$28,$L41))</f>
        <v>14713.529456405176</v>
      </c>
      <c r="P41" s="43">
        <f>IF($L41&lt;基础状态预期!H$9,0,求节点(基础状态预期!H$8:H$26,$D$10:$D$28,$L41))</f>
        <v>11338.823790637398</v>
      </c>
      <c r="Q41" s="43">
        <f>IF($L41&lt;基础状态预期!I$9,0,求节点(基础状态预期!I$8:I$26,$D$10:$D$28,$L41))</f>
        <v>7286.5701605351987</v>
      </c>
      <c r="T41" s="42">
        <v>37</v>
      </c>
      <c r="U41" s="43">
        <f>协作币产出情况!H43/M41</f>
        <v>0.95014412123125735</v>
      </c>
      <c r="V41" s="43">
        <f>协作币产出情况!I43/N41</f>
        <v>0.91733604200601915</v>
      </c>
      <c r="W41" s="43">
        <f>协作币产出情况!J43/O41</f>
        <v>0.88358857684942371</v>
      </c>
      <c r="X41" s="43">
        <f>协作币产出情况!K43/P41</f>
        <v>0.84885536111869964</v>
      </c>
      <c r="Y41" s="43">
        <f>协作币产出情况!L43/Q41</f>
        <v>0.74109169891249882</v>
      </c>
    </row>
    <row r="42" spans="2:25" x14ac:dyDescent="0.15">
      <c r="K42" s="41"/>
      <c r="L42" s="42">
        <v>38</v>
      </c>
      <c r="M42" s="43">
        <f>IF($L42&lt;基础状态预期!E$9,0,求节点(基础状态预期!E$8:E$26,$D$10:$D$28,$L42))</f>
        <v>19929.417275267737</v>
      </c>
      <c r="N42" s="43">
        <f>IF($L42&lt;基础状态预期!F$9,0,求节点(基础状态预期!F$8:F$26,$D$10:$D$28,$L42))</f>
        <v>18115.687990062223</v>
      </c>
      <c r="O42" s="43">
        <f>IF($L42&lt;基础状态预期!G$9,0,求节点(基础状态预期!G$8:G$26,$D$10:$D$28,$L42))</f>
        <v>15679.939506328899</v>
      </c>
      <c r="P42" s="43">
        <f>IF($L42&lt;基础状态预期!H$9,0,求节点(基础状态预期!H$8:H$26,$D$10:$D$28,$L42))</f>
        <v>11890.617989345541</v>
      </c>
      <c r="Q42" s="43">
        <f>IF($L42&lt;基础状态预期!I$9,0,求节点(基础状态预期!I$8:I$26,$D$10:$D$28,$L42))</f>
        <v>7804.9175971672303</v>
      </c>
      <c r="T42" s="42">
        <v>38</v>
      </c>
      <c r="U42" s="43">
        <f>协作币产出情况!H44/M42</f>
        <v>0.97309486028845482</v>
      </c>
      <c r="V42" s="43">
        <f>协作币产出情况!I44/N42</f>
        <v>0.93499251570681619</v>
      </c>
      <c r="W42" s="43">
        <f>协作币产出情况!J44/O42</f>
        <v>0.89149759148816299</v>
      </c>
      <c r="X42" s="43">
        <f>协作币产出情况!K44/P42</f>
        <v>0.86995815527507436</v>
      </c>
      <c r="Y42" s="43">
        <f>协作币产出情况!L44/Q42</f>
        <v>0.74393202174588202</v>
      </c>
    </row>
    <row r="43" spans="2:25" x14ac:dyDescent="0.15">
      <c r="K43" s="41"/>
      <c r="L43" s="42">
        <v>39</v>
      </c>
      <c r="M43" s="43">
        <f>IF($L43&lt;基础状态预期!E$9,0,求节点(基础状态预期!E$8:E$26,$D$10:$D$28,$L43))</f>
        <v>21425.674962169094</v>
      </c>
      <c r="N43" s="43">
        <f>IF($L43&lt;基础状态预期!F$9,0,求节点(基础状态预期!F$8:F$26,$D$10:$D$28,$L43))</f>
        <v>19089.340629774651</v>
      </c>
      <c r="O43" s="43">
        <f>IF($L43&lt;基础状态预期!G$9,0,求节点(基础状态预期!G$8:G$26,$D$10:$D$28,$L43))</f>
        <v>16646.349556252622</v>
      </c>
      <c r="P43" s="43">
        <f>IF($L43&lt;基础状态预期!H$9,0,求节点(基础状态预期!H$8:H$26,$D$10:$D$28,$L43))</f>
        <v>12760.614688960262</v>
      </c>
      <c r="Q43" s="43">
        <f>IF($L43&lt;基础状态预期!I$9,0,求节点(基础状态预期!I$8:I$26,$D$10:$D$28,$L43))</f>
        <v>8323.2650337992618</v>
      </c>
      <c r="T43" s="42">
        <v>39</v>
      </c>
      <c r="U43" s="43">
        <f>协作币产出情况!H45/M43</f>
        <v>0.97512875714643199</v>
      </c>
      <c r="V43" s="43">
        <f>协作币产出情况!I45/N43</f>
        <v>0.95449099470949539</v>
      </c>
      <c r="W43" s="43">
        <f>协作币产出情况!J45/O43</f>
        <v>0.90254061590912515</v>
      </c>
      <c r="X43" s="43">
        <f>协作币产出情况!K45/P43</f>
        <v>0.87218292076701009</v>
      </c>
      <c r="Y43" s="43">
        <f>协作币产出情况!L45/Q43</f>
        <v>0.75154423637661927</v>
      </c>
    </row>
    <row r="44" spans="2:25" x14ac:dyDescent="0.15">
      <c r="K44" s="41"/>
      <c r="L44" s="42">
        <v>40</v>
      </c>
      <c r="M44" s="43">
        <f>IF($L44&lt;基础状态预期!E$9,0,求节点(基础状态预期!E$8:E$26,$D$10:$D$28,$L44))</f>
        <v>22960.657584282773</v>
      </c>
      <c r="N44" s="43">
        <f>IF($L44&lt;基础状态预期!F$9,0,求节点(基础状态预期!F$8:F$26,$D$10:$D$28,$L44))</f>
        <v>20099.219764996789</v>
      </c>
      <c r="O44" s="43">
        <f>IF($L44&lt;基础状态预期!G$9,0,求节点(基础状态预期!G$8:G$26,$D$10:$D$28,$L44))</f>
        <v>17612.759606176347</v>
      </c>
      <c r="P44" s="43">
        <f>IF($L44&lt;基础状态预期!H$9,0,求节点(基础状态预期!H$8:H$26,$D$10:$D$28,$L44))</f>
        <v>13709.283790204699</v>
      </c>
      <c r="Q44" s="43">
        <f>IF($L44&lt;基础状态预期!I$9,0,求节点(基础状态预期!I$8:I$26,$D$10:$D$28,$L44))</f>
        <v>8841.6124704312933</v>
      </c>
      <c r="T44" s="42">
        <v>40</v>
      </c>
      <c r="U44" s="43">
        <f>协作币产出情况!H46/M44</f>
        <v>0.97993709097434101</v>
      </c>
      <c r="V44" s="43">
        <f>协作币产出情况!I46/N44</f>
        <v>0.97459007011375542</v>
      </c>
      <c r="W44" s="43">
        <f>协作币产出情况!J46/O44</f>
        <v>0.91825474040584421</v>
      </c>
      <c r="X44" s="43">
        <f>协作币产出情况!K46/P44</f>
        <v>0.87542866452112444</v>
      </c>
      <c r="Y44" s="43">
        <f>协作币产出情况!L46/Q44</f>
        <v>0.76343540531478815</v>
      </c>
    </row>
    <row r="45" spans="2:25" x14ac:dyDescent="0.15">
      <c r="K45" s="41"/>
      <c r="L45" s="42">
        <v>41</v>
      </c>
      <c r="M45" s="43">
        <f>IF($L45&lt;基础状态预期!E$9,0,求节点(基础状态预期!E$8:E$26,$D$10:$D$28,$L45))</f>
        <v>24495.640206396452</v>
      </c>
      <c r="N45" s="43">
        <f>IF($L45&lt;基础状态预期!F$9,0,求节点(基础状态预期!F$8:F$26,$D$10:$D$28,$L45))</f>
        <v>21632.805604998015</v>
      </c>
      <c r="O45" s="43">
        <f>IF($L45&lt;基础状态预期!G$9,0,求节点(基础状态预期!G$8:G$26,$D$10:$D$28,$L45))</f>
        <v>18579.169656100072</v>
      </c>
      <c r="P45" s="43">
        <f>IF($L45&lt;基础状态预期!H$9,0,求节点(基础状态预期!H$8:H$26,$D$10:$D$28,$L45))</f>
        <v>14657.952891449135</v>
      </c>
      <c r="Q45" s="43">
        <f>IF($L45&lt;基础状态预期!I$9,0,求节点(基础状态预期!I$8:I$26,$D$10:$D$28,$L45))</f>
        <v>9359.9599070633267</v>
      </c>
      <c r="T45" s="42">
        <v>41</v>
      </c>
      <c r="U45" s="43">
        <f>协作币产出情况!H47/M45</f>
        <v>0.98885201189989236</v>
      </c>
      <c r="V45" s="43">
        <f>协作币产出情况!I47/N45</f>
        <v>0.97527120827934766</v>
      </c>
      <c r="W45" s="43">
        <f>协作币产出情况!J47/O45</f>
        <v>0.93830773852550131</v>
      </c>
      <c r="X45" s="43">
        <f>协作币产出情况!K47/P45</f>
        <v>0.8831067896702548</v>
      </c>
      <c r="Y45" s="43">
        <f>协作币产出情况!L47/Q45</f>
        <v>0.77895541922782829</v>
      </c>
    </row>
    <row r="46" spans="2:25" x14ac:dyDescent="0.15">
      <c r="K46" s="41"/>
      <c r="L46" s="42">
        <v>42</v>
      </c>
      <c r="M46" s="43">
        <f>IF($L46&lt;基础状态预期!E$9,0,求节点(基础状态预期!E$8:E$26,$D$10:$D$28,$L46))</f>
        <v>26030.622828510132</v>
      </c>
      <c r="N46" s="43">
        <f>IF($L46&lt;基础状态预期!F$9,0,求节点(基础状态预期!F$8:F$26,$D$10:$D$28,$L46))</f>
        <v>23166.391444999237</v>
      </c>
      <c r="O46" s="43">
        <f>IF($L46&lt;基础状态预期!G$9,0,求节点(基础状态预期!G$8:G$26,$D$10:$D$28,$L46))</f>
        <v>19545.579706023796</v>
      </c>
      <c r="P46" s="43">
        <f>IF($L46&lt;基础状态预期!H$9,0,求节点(基础状态预期!H$8:H$26,$D$10:$D$28,$L46))</f>
        <v>15606.621992693572</v>
      </c>
      <c r="Q46" s="43">
        <f>IF($L46&lt;基础状态预期!I$9,0,求节点(基础状态预期!I$8:I$26,$D$10:$D$28,$L46))</f>
        <v>9878.3073436953582</v>
      </c>
      <c r="T46" s="42">
        <v>42</v>
      </c>
      <c r="U46" s="43">
        <f>协作币产出情况!H48/M46</f>
        <v>1.0014651086787265</v>
      </c>
      <c r="V46" s="43">
        <f>协作币产出情况!I48/N46</f>
        <v>0.98304775883107254</v>
      </c>
      <c r="W46" s="43">
        <f>协作币产出情况!J48/O46</f>
        <v>0.96296172221425258</v>
      </c>
      <c r="X46" s="43">
        <f>协作币产出情况!K48/P46</f>
        <v>0.89598397074243696</v>
      </c>
      <c r="Y46" s="43">
        <f>协作币产出情况!L48/Q46</f>
        <v>0.79697517024950149</v>
      </c>
    </row>
    <row r="47" spans="2:25" x14ac:dyDescent="0.15">
      <c r="K47" s="41"/>
      <c r="L47" s="42">
        <v>43</v>
      </c>
      <c r="M47" s="43">
        <f>IF($L47&lt;基础状态预期!E$9,0,求节点(基础状态预期!E$8:E$26,$D$10:$D$28,$L47))</f>
        <v>27565.605450623807</v>
      </c>
      <c r="N47" s="43">
        <f>IF($L47&lt;基础状态预期!F$9,0,求节点(基础状态预期!F$8:F$26,$D$10:$D$28,$L47))</f>
        <v>24699.977285000463</v>
      </c>
      <c r="O47" s="43">
        <f>IF($L47&lt;基础状态预期!G$9,0,求节点(基础状态预期!G$8:G$26,$D$10:$D$28,$L47))</f>
        <v>20788.529787956788</v>
      </c>
      <c r="P47" s="43">
        <f>IF($L47&lt;基础状态预期!H$9,0,求节点(基础状态预期!H$8:H$26,$D$10:$D$28,$L47))</f>
        <v>16555.291093938009</v>
      </c>
      <c r="Q47" s="43">
        <f>IF($L47&lt;基础状态预期!I$9,0,求节点(基础状态预期!I$8:I$26,$D$10:$D$28,$L47))</f>
        <v>10396.65478032739</v>
      </c>
      <c r="T47" s="42">
        <v>43</v>
      </c>
      <c r="U47" s="43">
        <f>协作币产出情况!H49/M47</f>
        <v>1.0174804965019653</v>
      </c>
      <c r="V47" s="43">
        <f>协作币产出情况!I49/N47</f>
        <v>0.99222260159817177</v>
      </c>
      <c r="W47" s="43">
        <f>协作币产出情况!J49/O47</f>
        <v>0.97478245619564496</v>
      </c>
      <c r="X47" s="43">
        <f>协作币产出情况!K49/P47</f>
        <v>0.90790532775232757</v>
      </c>
      <c r="Y47" s="43">
        <f>协作币产出情况!L49/Q47</f>
        <v>0.81363822309097245</v>
      </c>
    </row>
    <row r="48" spans="2:25" x14ac:dyDescent="0.15">
      <c r="K48" s="41"/>
      <c r="L48" s="42">
        <v>44</v>
      </c>
      <c r="M48" s="43">
        <f>IF($L48&lt;基础状态预期!E$9,0,求节点(基础状态预期!E$8:E$26,$D$10:$D$28,$L48))</f>
        <v>29100.588072737486</v>
      </c>
      <c r="N48" s="43">
        <f>IF($L48&lt;基础状态预期!F$9,0,求节点(基础状态预期!F$8:F$26,$D$10:$D$28,$L48))</f>
        <v>26233.563125001689</v>
      </c>
      <c r="O48" s="43">
        <f>IF($L48&lt;基础状态预期!G$9,0,求节点(基础状态预期!G$8:G$26,$D$10:$D$28,$L48))</f>
        <v>22276.925020270341</v>
      </c>
      <c r="P48" s="43">
        <f>IF($L48&lt;基础状态预期!H$9,0,求节点(基础状态预期!H$8:H$26,$D$10:$D$28,$L48))</f>
        <v>17503.960195182444</v>
      </c>
      <c r="Q48" s="43">
        <f>IF($L48&lt;基础状态预期!I$9,0,求节点(基础状态预期!I$8:I$26,$D$10:$D$28,$L48))</f>
        <v>10915.002216959421</v>
      </c>
      <c r="T48" s="42">
        <v>44</v>
      </c>
      <c r="U48" s="43">
        <f>协作币产出情况!H50/M48</f>
        <v>1.0366866052034234</v>
      </c>
      <c r="V48" s="43">
        <f>协作币产出情况!I50/N48</f>
        <v>1.0048564189619142</v>
      </c>
      <c r="W48" s="43">
        <f>协作币产出情况!J50/O48</f>
        <v>0.9777576150233136</v>
      </c>
      <c r="X48" s="43">
        <f>协作币产出情况!K50/P48</f>
        <v>0.92276540109551064</v>
      </c>
      <c r="Y48" s="43">
        <f>协作币产出情况!L50/Q48</f>
        <v>0.83193983536844074</v>
      </c>
    </row>
    <row r="49" spans="11:25" x14ac:dyDescent="0.15">
      <c r="K49" s="41"/>
      <c r="L49" s="42">
        <v>45</v>
      </c>
      <c r="M49" s="43">
        <f>IF($L49&lt;基础状态预期!E$9,0,求节点(基础状态预期!E$8:E$26,$D$10:$D$28,$L49))</f>
        <v>31147.172733379288</v>
      </c>
      <c r="N49" s="43">
        <f>IF($L49&lt;基础状态预期!F$9,0,求节点(基础状态预期!F$8:F$26,$D$10:$D$28,$L49))</f>
        <v>27767.148965002911</v>
      </c>
      <c r="O49" s="43">
        <f>IF($L49&lt;基础状态预期!G$9,0,求节点(基础状态预期!G$8:G$26,$D$10:$D$28,$L49))</f>
        <v>23765.32025258389</v>
      </c>
      <c r="P49" s="43">
        <f>IF($L49&lt;基础状态预期!H$9,0,求节点(基础状态预期!H$8:H$26,$D$10:$D$28,$L49))</f>
        <v>18452.62929642688</v>
      </c>
      <c r="Q49" s="43">
        <f>IF($L49&lt;基础状态预期!I$9,0,求节点(基础状态预期!I$8:I$26,$D$10:$D$28,$L49))</f>
        <v>11433.349653591453</v>
      </c>
      <c r="T49" s="42">
        <v>45</v>
      </c>
      <c r="U49" s="43">
        <f>协作币产出情况!H51/M49</f>
        <v>1.0415431851440022</v>
      </c>
      <c r="V49" s="43">
        <f>协作币产出情况!I51/N49</f>
        <v>1.0210014577845361</v>
      </c>
      <c r="W49" s="43">
        <f>协作币产出情况!J51/O49</f>
        <v>0.98489192644090962</v>
      </c>
      <c r="X49" s="43">
        <f>协作币产出情况!K51/P49</f>
        <v>0.94074649062514015</v>
      </c>
      <c r="Y49" s="43">
        <f>协作币产出情况!L51/Q49</f>
        <v>0.85264235829370738</v>
      </c>
    </row>
    <row r="50" spans="11:25" x14ac:dyDescent="0.15">
      <c r="K50" s="41"/>
      <c r="L50" s="42">
        <v>46</v>
      </c>
      <c r="M50" s="43">
        <f>IF($L50&lt;基础状态预期!E$9,0,求节点(基础状态预期!E$8:E$26,$D$10:$D$28,$L50))</f>
        <v>33917.738186703427</v>
      </c>
      <c r="N50" s="43">
        <f>IF($L50&lt;基础状态预期!F$9,0,求节点(基础状态预期!F$8:F$26,$D$10:$D$28,$L50))</f>
        <v>29300.734805004136</v>
      </c>
      <c r="O50" s="43">
        <f>IF($L50&lt;基础状态预期!G$9,0,求节点(基础状态预期!G$8:G$26,$D$10:$D$28,$L50))</f>
        <v>25253.715484897439</v>
      </c>
      <c r="P50" s="43">
        <f>IF($L50&lt;基础状态预期!H$9,0,求节点(基础状态预期!H$8:H$26,$D$10:$D$28,$L50))</f>
        <v>19401.298397671315</v>
      </c>
      <c r="Q50" s="43">
        <f>IF($L50&lt;基础状态预期!I$9,0,求节点(基础状态预期!I$8:I$26,$D$10:$D$28,$L50))</f>
        <v>11951.697090223486</v>
      </c>
      <c r="T50" s="42">
        <v>46</v>
      </c>
      <c r="U50" s="43">
        <f>协作币产出情况!H52/M50</f>
        <v>1.0282878358298737</v>
      </c>
      <c r="V50" s="43">
        <f>协作币产出情况!I52/N50</f>
        <v>1.0397429382938532</v>
      </c>
      <c r="W50" s="43">
        <f>协作币产出情况!J52/O50</f>
        <v>0.99533854028921809</v>
      </c>
      <c r="X50" s="43">
        <f>协作币产出情况!K52/P50</f>
        <v>0.96067665232512822</v>
      </c>
      <c r="Y50" s="43">
        <f>协作币产出情况!L52/Q50</f>
        <v>0.872827492387792</v>
      </c>
    </row>
    <row r="51" spans="11:25" x14ac:dyDescent="0.15">
      <c r="K51" s="41"/>
      <c r="L51" s="42">
        <v>47</v>
      </c>
      <c r="M51" s="43">
        <f>IF($L51&lt;基础状态预期!E$9,0,求节点(基础状态预期!E$8:E$26,$D$10:$D$28,$L51))</f>
        <v>36688.303640027574</v>
      </c>
      <c r="N51" s="43">
        <f>IF($L51&lt;基础状态预期!F$9,0,求节点(基础状态预期!F$8:F$26,$D$10:$D$28,$L51))</f>
        <v>31482.017546264637</v>
      </c>
      <c r="O51" s="43">
        <f>IF($L51&lt;基础状态预期!G$9,0,求节点(基础状态预期!G$8:G$26,$D$10:$D$28,$L51))</f>
        <v>26742.110717210991</v>
      </c>
      <c r="P51" s="43">
        <f>IF($L51&lt;基础状态预期!H$9,0,求节点(基础状态预期!H$8:H$26,$D$10:$D$28,$L51))</f>
        <v>20539.288327936854</v>
      </c>
      <c r="Q51" s="43">
        <f>IF($L51&lt;基础状态预期!I$9,0,求节点(基础状态预期!I$8:I$26,$D$10:$D$28,$L51))</f>
        <v>12808.850195909372</v>
      </c>
      <c r="T51" s="42">
        <v>47</v>
      </c>
      <c r="U51" s="43">
        <f>协作币产出情况!H53/M51</f>
        <v>1.0218001735081346</v>
      </c>
      <c r="V51" s="43">
        <f>协作币产出情况!I53/N51</f>
        <v>1.039787935821181</v>
      </c>
      <c r="W51" s="43">
        <f>协作币产出情况!J53/O51</f>
        <v>1.0094637597996381</v>
      </c>
      <c r="X51" s="43">
        <f>协作币产出情况!K53/P51</f>
        <v>0.97392167917447647</v>
      </c>
      <c r="Y51" s="43">
        <f>协作币产出情况!L53/Q51</f>
        <v>0.87158179568997463</v>
      </c>
    </row>
    <row r="52" spans="11:25" x14ac:dyDescent="0.15">
      <c r="K52" s="41"/>
      <c r="L52" s="42">
        <v>48</v>
      </c>
      <c r="M52" s="43">
        <f>IF($L52&lt;基础状态预期!E$9,0,求节点(基础状态预期!E$8:E$26,$D$10:$D$28,$L52))</f>
        <v>39458.869093351714</v>
      </c>
      <c r="N52" s="43">
        <f>IF($L52&lt;基础状态预期!F$9,0,求节点(基础状态预期!F$8:F$26,$D$10:$D$28,$L52))</f>
        <v>34206.151411572748</v>
      </c>
      <c r="O52" s="43">
        <f>IF($L52&lt;基础状态预期!G$9,0,求节点(基础状态预期!G$8:G$26,$D$10:$D$28,$L52))</f>
        <v>28230.50594952454</v>
      </c>
      <c r="P52" s="43">
        <f>IF($L52&lt;基础状态预期!H$9,0,求节点(基础状态预期!H$8:H$26,$D$10:$D$28,$L52))</f>
        <v>22001.156001250798</v>
      </c>
      <c r="Q52" s="43">
        <f>IF($L52&lt;基础状态预期!I$9,0,求节点(基础状态预期!I$8:I$26,$D$10:$D$28,$L52))</f>
        <v>13700.819789670461</v>
      </c>
      <c r="T52" s="42">
        <v>48</v>
      </c>
      <c r="U52" s="43">
        <f>协作币产出情况!H54/M52</f>
        <v>1.0209726726557826</v>
      </c>
      <c r="V52" s="43">
        <f>协作币产出情况!I54/N52</f>
        <v>1.0272369212176924</v>
      </c>
      <c r="W52" s="43">
        <f>协作币产出情况!J54/O52</f>
        <v>1.0270500143087553</v>
      </c>
      <c r="X52" s="43">
        <f>协作币产出情况!K54/P52</f>
        <v>0.97286609322647488</v>
      </c>
      <c r="Y52" s="43">
        <f>协作币产出情况!L54/Q52</f>
        <v>0.8715461671227358</v>
      </c>
    </row>
    <row r="53" spans="11:25" x14ac:dyDescent="0.15">
      <c r="K53" s="41"/>
      <c r="L53" s="42">
        <v>49</v>
      </c>
      <c r="M53" s="43">
        <f>IF($L53&lt;基础状态预期!E$9,0,求节点(基础状态预期!E$8:E$26,$D$10:$D$28,$L53))</f>
        <v>42229.43454667586</v>
      </c>
      <c r="N53" s="43">
        <f>IF($L53&lt;基础状态预期!F$9,0,求节点(基础状态预期!F$8:F$26,$D$10:$D$28,$L53))</f>
        <v>36930.285276880852</v>
      </c>
      <c r="O53" s="43">
        <f>IF($L53&lt;基础状态预期!G$9,0,求节点(基础状态预期!G$8:G$26,$D$10:$D$28,$L53))</f>
        <v>29718.90118183809</v>
      </c>
      <c r="P53" s="43">
        <f>IF($L53&lt;基础状态预期!H$9,0,求节点(基础状态预期!H$8:H$26,$D$10:$D$28,$L53))</f>
        <v>23463.023674564742</v>
      </c>
      <c r="Q53" s="43">
        <f>IF($L53&lt;基础状态预期!I$9,0,求节点(基础状态预期!I$8:I$26,$D$10:$D$28,$L53))</f>
        <v>14592.789383431551</v>
      </c>
      <c r="T53" s="42">
        <v>49</v>
      </c>
      <c r="U53" s="43">
        <f>协作币产出情况!H55/M53</f>
        <v>1.0250097842518717</v>
      </c>
      <c r="V53" s="43">
        <f>协作币产出情况!I55/N53</f>
        <v>1.0221788748476279</v>
      </c>
      <c r="W53" s="43">
        <f>协作币产出情况!J55/O53</f>
        <v>1.0457670971804858</v>
      </c>
      <c r="X53" s="43">
        <f>协作币产出情况!K55/P53</f>
        <v>0.97610617442667902</v>
      </c>
      <c r="Y53" s="43">
        <f>协作币产出情况!L55/Q53</f>
        <v>0.87859760896917449</v>
      </c>
    </row>
    <row r="54" spans="11:25" x14ac:dyDescent="0.15">
      <c r="K54" s="41"/>
      <c r="L54" s="42">
        <v>50</v>
      </c>
      <c r="M54" s="43">
        <f>IF($L54&lt;基础状态预期!E$9,0,求节点(基础状态预期!E$8:E$26,$D$10:$D$28,$L54))</f>
        <v>45000</v>
      </c>
      <c r="N54" s="43">
        <f>IF($L54&lt;基础状态预期!F$9,0,求节点(基础状态预期!F$8:F$26,$D$10:$D$28,$L54))</f>
        <v>39654.419142188963</v>
      </c>
      <c r="O54" s="43">
        <f>IF($L54&lt;基础状态预期!G$9,0,求节点(基础状态预期!G$8:G$26,$D$10:$D$28,$L54))</f>
        <v>32210.732370501632</v>
      </c>
      <c r="P54" s="43">
        <f>IF($L54&lt;基础状态预期!H$9,0,求节点(基础状态预期!H$8:H$26,$D$10:$D$28,$L54))</f>
        <v>24924.891347878682</v>
      </c>
      <c r="Q54" s="43">
        <f>IF($L54&lt;基础状态预期!I$9,0,求节点(基础状态预期!I$8:I$26,$D$10:$D$28,$L54))</f>
        <v>15484.75897719264</v>
      </c>
      <c r="T54" s="42">
        <v>50</v>
      </c>
      <c r="U54" s="43">
        <f>协作币产出情况!H56/M54</f>
        <v>1.0333333333333334</v>
      </c>
      <c r="V54" s="43">
        <f>协作币产出情况!I56/N54</f>
        <v>1.0226514693000608</v>
      </c>
      <c r="W54" s="43">
        <f>协作币产出情况!J56/O54</f>
        <v>1.0340637281039657</v>
      </c>
      <c r="X54" s="43">
        <f>协作币产出情况!K56/P54</f>
        <v>0.98615876221630772</v>
      </c>
      <c r="Y54" s="43">
        <f>协作币产出情况!L56/Q54</f>
        <v>0.89007520364380655</v>
      </c>
    </row>
    <row r="55" spans="11:25" x14ac:dyDescent="0.15">
      <c r="K55" s="41"/>
      <c r="L55" s="42">
        <v>51</v>
      </c>
      <c r="M55" s="43">
        <f>IF($L55&lt;基础状态预期!E$9,0,求节点(基础状态预期!E$8:E$26,$D$10:$D$28,$L55))</f>
        <v>49361.153447192497</v>
      </c>
      <c r="N55" s="43">
        <f>IF($L55&lt;基础状态预期!F$9,0,求节点(基础状态预期!F$8:F$26,$D$10:$D$28,$L55))</f>
        <v>42378.553007497074</v>
      </c>
      <c r="O55" s="43">
        <f>IF($L55&lt;基础状态预期!G$9,0,求节点(基础状态预期!G$8:G$26,$D$10:$D$28,$L55))</f>
        <v>34936.196872512955</v>
      </c>
      <c r="P55" s="43">
        <f>IF($L55&lt;基础状态预期!H$9,0,求节点(基础状态预期!H$8:H$26,$D$10:$D$28,$L55))</f>
        <v>26386.759021192625</v>
      </c>
      <c r="Q55" s="43">
        <f>IF($L55&lt;基础状态预期!I$9,0,求节点(基础状态预期!I$8:I$26,$D$10:$D$28,$L55))</f>
        <v>16376.72857095373</v>
      </c>
      <c r="T55" s="42">
        <v>51</v>
      </c>
      <c r="U55" s="43">
        <f>协作币产出情况!H57/M55</f>
        <v>1.0118306140308146</v>
      </c>
      <c r="V55" s="43">
        <f>协作币产出情况!I57/N55</f>
        <v>1.0239218322625852</v>
      </c>
      <c r="W55" s="43">
        <f>协作币产出情况!J57/O55</f>
        <v>1.0211702142648875</v>
      </c>
      <c r="X55" s="43">
        <f>协作币产出情况!K57/P55</f>
        <v>0.99978233926236015</v>
      </c>
      <c r="Y55" s="43">
        <f>协作币产出情况!L57/Q55</f>
        <v>0.90181465448780018</v>
      </c>
    </row>
    <row r="56" spans="11:25" x14ac:dyDescent="0.15">
      <c r="K56" s="41"/>
      <c r="L56" s="42">
        <v>52</v>
      </c>
      <c r="M56" s="43">
        <f>IF($L56&lt;基础状态预期!E$9,0,求节点(基础状态预期!E$8:E$26,$D$10:$D$28,$L56))</f>
        <v>53722.306894385001</v>
      </c>
      <c r="N56" s="43">
        <f>IF($L56&lt;基础状态预期!F$9,0,求节点(基础状态预期!F$8:F$26,$D$10:$D$28,$L56))</f>
        <v>45163.680235312502</v>
      </c>
      <c r="O56" s="43">
        <f>IF($L56&lt;基础状态预期!G$9,0,求节点(基础状态预期!G$8:G$26,$D$10:$D$28,$L56))</f>
        <v>37661.661374524279</v>
      </c>
      <c r="P56" s="43">
        <f>IF($L56&lt;基础状态预期!H$9,0,求节点(基础状态预期!H$8:H$26,$D$10:$D$28,$L56))</f>
        <v>27848.626694506569</v>
      </c>
      <c r="Q56" s="43">
        <f>IF($L56&lt;基础状态预期!I$9,0,求节点(基础状态预期!I$8:I$26,$D$10:$D$28,$L56))</f>
        <v>17268.69816471482</v>
      </c>
      <c r="T56" s="42">
        <v>52</v>
      </c>
      <c r="U56" s="43">
        <f>协作币产出情况!H58/M56</f>
        <v>0.99842177561931578</v>
      </c>
      <c r="V56" s="43">
        <f>协作币产出情况!I58/N56</f>
        <v>1.0322837520090264</v>
      </c>
      <c r="W56" s="43">
        <f>协作币产出情况!J58/O56</f>
        <v>1.0198654922489399</v>
      </c>
      <c r="X56" s="43">
        <f>协作币产出情况!K58/P56</f>
        <v>1.0196446650671651</v>
      </c>
      <c r="Y56" s="43">
        <f>协作币产出情况!L58/Q56</f>
        <v>0.91814976833511452</v>
      </c>
    </row>
    <row r="57" spans="11:25" x14ac:dyDescent="0.15">
      <c r="K57" s="41"/>
      <c r="L57" s="42">
        <v>53</v>
      </c>
      <c r="M57" s="43">
        <f>IF($L57&lt;基础状态预期!E$9,0,求节点(基础状态预期!E$8:E$26,$D$10:$D$28,$L57))</f>
        <v>58083.460341577498</v>
      </c>
      <c r="N57" s="43">
        <f>IF($L57&lt;基础状态预期!F$9,0,求节点(基础状态预期!F$8:F$26,$D$10:$D$28,$L57))</f>
        <v>49505.879582860412</v>
      </c>
      <c r="O57" s="43">
        <f>IF($L57&lt;基础状态预期!G$9,0,求节点(基础状态预期!G$8:G$26,$D$10:$D$28,$L57))</f>
        <v>40387.125876535603</v>
      </c>
      <c r="P57" s="43">
        <f>IF($L57&lt;基础状态预期!H$9,0,求节点(基础状态预期!H$8:H$26,$D$10:$D$28,$L57))</f>
        <v>29310.494367820509</v>
      </c>
      <c r="Q57" s="43">
        <f>IF($L57&lt;基础状态预期!I$9,0,求节点(基础状态预期!I$8:I$26,$D$10:$D$28,$L57))</f>
        <v>18160.667758475909</v>
      </c>
      <c r="T57" s="42">
        <v>53</v>
      </c>
      <c r="U57" s="43">
        <f>协作币产出情况!H59/M57</f>
        <v>0.99158919771396892</v>
      </c>
      <c r="V57" s="43">
        <f>协作币产出情况!I59/N57</f>
        <v>1.0128523739581812</v>
      </c>
      <c r="W57" s="43">
        <f>协作币产出情况!J59/O57</f>
        <v>1.0243472057789345</v>
      </c>
      <c r="X57" s="43">
        <f>协作币产出情况!K59/P57</f>
        <v>1.0398745769189364</v>
      </c>
      <c r="Y57" s="43">
        <f>协作币产出情况!L59/Q57</f>
        <v>0.93651751128910654</v>
      </c>
    </row>
    <row r="58" spans="11:25" x14ac:dyDescent="0.15">
      <c r="K58" s="41"/>
      <c r="L58" s="42">
        <v>54</v>
      </c>
      <c r="M58" s="43">
        <f>IF($L58&lt;基础状态预期!E$9,0,求节点(基础状态预期!E$8:E$26,$D$10:$D$28,$L58))</f>
        <v>62444.613788770002</v>
      </c>
      <c r="N58" s="43">
        <f>IF($L58&lt;基础状态预期!F$9,0,求节点(基础状态预期!F$8:F$26,$D$10:$D$28,$L58))</f>
        <v>53848.078930408316</v>
      </c>
      <c r="O58" s="43">
        <f>IF($L58&lt;基础状态预期!G$9,0,求节点(基础状态预期!G$8:G$26,$D$10:$D$28,$L58))</f>
        <v>43112.590378546927</v>
      </c>
      <c r="P58" s="43">
        <f>IF($L58&lt;基础状态预期!H$9,0,求节点(基础状态预期!H$8:H$26,$D$10:$D$28,$L58))</f>
        <v>31388.794521399705</v>
      </c>
      <c r="Q58" s="43">
        <f>IF($L58&lt;基础状态预期!I$9,0,求节点(基础状态预期!I$8:I$26,$D$10:$D$28,$L58))</f>
        <v>19052.637352236998</v>
      </c>
      <c r="T58" s="42">
        <v>54</v>
      </c>
      <c r="U58" s="43">
        <f>协作币产出情况!H60/M58</f>
        <v>0.99025962313213212</v>
      </c>
      <c r="V58" s="43">
        <f>协作币产出情况!I60/N58</f>
        <v>1.0013602004817406</v>
      </c>
      <c r="W58" s="43">
        <f>协作币产出情况!J60/O58</f>
        <v>1.028249525949323</v>
      </c>
      <c r="X58" s="43">
        <f>协作币产出情况!K60/P58</f>
        <v>1.0399706439953105</v>
      </c>
      <c r="Y58" s="43">
        <f>协作币产出情况!L60/Q58</f>
        <v>0.95354401729325866</v>
      </c>
    </row>
    <row r="59" spans="11:25" x14ac:dyDescent="0.15">
      <c r="K59" s="41"/>
      <c r="L59" s="42">
        <v>55</v>
      </c>
      <c r="M59" s="43">
        <f>IF($L59&lt;基础状态预期!E$9,0,求节点(基础状态预期!E$8:E$26,$D$10:$D$28,$L59))</f>
        <v>67597.332357015766</v>
      </c>
      <c r="N59" s="43">
        <f>IF($L59&lt;基础状态预期!F$9,0,求节点(基础状态预期!F$8:F$26,$D$10:$D$28,$L59))</f>
        <v>58190.278277956219</v>
      </c>
      <c r="O59" s="43">
        <f>IF($L59&lt;基础状态预期!G$9,0,求节点(基础状态预期!G$8:G$26,$D$10:$D$28,$L59))</f>
        <v>46299.355713645768</v>
      </c>
      <c r="P59" s="43">
        <f>IF($L59&lt;基础状态预期!H$9,0,求节点(基础状态预期!H$8:H$26,$D$10:$D$28,$L59))</f>
        <v>34017.398346527763</v>
      </c>
      <c r="Q59" s="43">
        <f>IF($L59&lt;基础状态预期!I$9,0,求节点(基础状态预期!I$8:I$26,$D$10:$D$28,$L59))</f>
        <v>19944.606945998086</v>
      </c>
      <c r="T59" s="42">
        <v>55</v>
      </c>
      <c r="U59" s="43">
        <f>协作币产出情况!H61/M59</f>
        <v>0.98202471427881599</v>
      </c>
      <c r="V59" s="43">
        <f>协作币产出情况!I61/N59</f>
        <v>0.99327632812321098</v>
      </c>
      <c r="W59" s="43">
        <f>协作币产出情况!J61/O59</f>
        <v>1.0251397396153357</v>
      </c>
      <c r="X59" s="43">
        <f>协作币产出情况!K61/P59</f>
        <v>1.0266423637732436</v>
      </c>
      <c r="Y59" s="43">
        <f>协作币产出情况!L61/Q59</f>
        <v>0.97353677955605256</v>
      </c>
    </row>
    <row r="60" spans="11:25" x14ac:dyDescent="0.15">
      <c r="K60" s="41"/>
      <c r="L60" s="42">
        <v>56</v>
      </c>
      <c r="M60" s="43">
        <f>IF($L60&lt;基础状态预期!E$9,0,求节点(基础状态预期!E$8:E$26,$D$10:$D$28,$L60))</f>
        <v>73870.214452069529</v>
      </c>
      <c r="N60" s="43">
        <f>IF($L60&lt;基础状态预期!F$9,0,求节点(基础状态预期!F$8:F$26,$D$10:$D$28,$L60))</f>
        <v>62532.477625504122</v>
      </c>
      <c r="O60" s="43">
        <f>IF($L60&lt;基础状态预期!G$9,0,求节点(基础状态预期!G$8:G$26,$D$10:$D$28,$L60))</f>
        <v>50525.031090260905</v>
      </c>
      <c r="P60" s="43">
        <f>IF($L60&lt;基础状态预期!H$9,0,求节点(基础状态预期!H$8:H$26,$D$10:$D$28,$L60))</f>
        <v>36646.002171655819</v>
      </c>
      <c r="Q60" s="43">
        <f>IF($L60&lt;基础状态预期!I$9,0,求节点(基础状态预期!I$8:I$26,$D$10:$D$28,$L60))</f>
        <v>21367.925788434732</v>
      </c>
      <c r="T60" s="42">
        <v>56</v>
      </c>
      <c r="U60" s="43">
        <f>协作币产出情况!H62/M60</f>
        <v>0.96458898516847125</v>
      </c>
      <c r="V60" s="43">
        <f>协作币产出情况!I62/N60</f>
        <v>0.99009261001216142</v>
      </c>
      <c r="W60" s="43">
        <f>协作币产出情况!J62/O60</f>
        <v>1.0060931073850896</v>
      </c>
      <c r="X60" s="43">
        <f>协作币产出情况!K62/P60</f>
        <v>1.019642051646426</v>
      </c>
      <c r="Y60" s="43">
        <f>协作币产出情况!L62/Q60</f>
        <v>0.97138138371901639</v>
      </c>
    </row>
    <row r="61" spans="11:25" x14ac:dyDescent="0.15">
      <c r="K61" s="41"/>
      <c r="L61" s="42">
        <v>57</v>
      </c>
      <c r="M61" s="43">
        <f>IF($L61&lt;基础状态预期!E$9,0,求节点(基础状态预期!E$8:E$26,$D$10:$D$28,$L61))</f>
        <v>80143.096547123307</v>
      </c>
      <c r="N61" s="43">
        <f>IF($L61&lt;基础状态预期!F$9,0,求节点(基础状态预期!F$8:F$26,$D$10:$D$28,$L61))</f>
        <v>67676.088089073397</v>
      </c>
      <c r="O61" s="43">
        <f>IF($L61&lt;基础状态预期!G$9,0,求节点(基础状态预期!G$8:G$26,$D$10:$D$28,$L61))</f>
        <v>54750.706466876043</v>
      </c>
      <c r="P61" s="43">
        <f>IF($L61&lt;基础状态预期!H$9,0,求节点(基础状态预期!H$8:H$26,$D$10:$D$28,$L61))</f>
        <v>39274.605996783874</v>
      </c>
      <c r="Q61" s="43">
        <f>IF($L61&lt;基础状态预期!I$9,0,求节点(基础状态预期!I$8:I$26,$D$10:$D$28,$L61))</f>
        <v>22826.427374143415</v>
      </c>
      <c r="T61" s="42">
        <v>57</v>
      </c>
      <c r="U61" s="43">
        <f>协作币产出情况!H63/M61</f>
        <v>0.95424600926458325</v>
      </c>
      <c r="V61" s="43">
        <f>协作币产出情况!I63/N61</f>
        <v>0.98211190116585301</v>
      </c>
      <c r="W61" s="43">
        <f>协作币产出情况!J63/O61</f>
        <v>0.99494640672286194</v>
      </c>
      <c r="X61" s="43">
        <f>协作币产出情况!K63/P61</f>
        <v>1.0183951512977409</v>
      </c>
      <c r="Y61" s="43">
        <f>协作币产出情况!L63/Q61</f>
        <v>0.97360800655830604</v>
      </c>
    </row>
    <row r="62" spans="11:25" x14ac:dyDescent="0.15">
      <c r="K62" s="41"/>
      <c r="L62" s="42">
        <v>58</v>
      </c>
      <c r="M62" s="43">
        <f>IF($L62&lt;基础状态预期!E$9,0,求节点(基础状态预期!E$8:E$26,$D$10:$D$28,$L62))</f>
        <v>86415.978642177084</v>
      </c>
      <c r="N62" s="43">
        <f>IF($L62&lt;基础状态预期!F$9,0,求节点(基础状态预期!F$8:F$26,$D$10:$D$28,$L62))</f>
        <v>73874.546874982188</v>
      </c>
      <c r="O62" s="43">
        <f>IF($L62&lt;基础状态预期!G$9,0,求节点(基础状态预期!G$8:G$26,$D$10:$D$28,$L62))</f>
        <v>58976.381843491181</v>
      </c>
      <c r="P62" s="43">
        <f>IF($L62&lt;基础状态预期!H$9,0,求节点(基础状态预期!H$8:H$26,$D$10:$D$28,$L62))</f>
        <v>41903.209821911936</v>
      </c>
      <c r="Q62" s="43">
        <f>IF($L62&lt;基础状态预期!I$9,0,求节点(基础状态预期!I$8:I$26,$D$10:$D$28,$L62))</f>
        <v>24284.928959852103</v>
      </c>
      <c r="T62" s="42">
        <v>58</v>
      </c>
      <c r="U62" s="43">
        <f>协作币产出情况!H64/M62</f>
        <v>0.94974164924136562</v>
      </c>
      <c r="V62" s="43">
        <f>协作币产出情况!I64/N62</f>
        <v>0.96366064683101604</v>
      </c>
      <c r="W62" s="43">
        <f>协作币产出情况!J64/O62</f>
        <v>0.98972185126676149</v>
      </c>
      <c r="X62" s="43">
        <f>协作币产出情况!K64/P62</f>
        <v>1.0227962149166721</v>
      </c>
      <c r="Y62" s="43">
        <f>协作币产出情况!L64/Q62</f>
        <v>0.97940221075670997</v>
      </c>
    </row>
    <row r="63" spans="11:25" x14ac:dyDescent="0.15">
      <c r="K63" s="41"/>
      <c r="L63" s="42">
        <v>59</v>
      </c>
      <c r="M63" s="43">
        <f>IF($L63&lt;基础状态预期!E$9,0,求节点(基础状态预期!E$8:E$26,$D$10:$D$28,$L63))</f>
        <v>93653.000671419024</v>
      </c>
      <c r="N63" s="43">
        <f>IF($L63&lt;基础状态预期!F$9,0,求节点(基础状态预期!F$8:F$26,$D$10:$D$28,$L63))</f>
        <v>80073.005660890965</v>
      </c>
      <c r="O63" s="43">
        <f>IF($L63&lt;基础状态预期!G$9,0,求节点(基础状态预期!G$8:G$26,$D$10:$D$28,$L63))</f>
        <v>63202.057220106319</v>
      </c>
      <c r="P63" s="43">
        <f>IF($L63&lt;基础状态预期!H$9,0,求节点(基础状态预期!H$8:H$26,$D$10:$D$28,$L63))</f>
        <v>44531.813647039991</v>
      </c>
      <c r="Q63" s="43">
        <f>IF($L63&lt;基础状态预期!I$9,0,求节点(基础状态预期!I$8:I$26,$D$10:$D$28,$L63))</f>
        <v>25743.430545560786</v>
      </c>
      <c r="T63" s="42">
        <v>59</v>
      </c>
      <c r="U63" s="43">
        <f>协作币产出情况!H65/M63</f>
        <v>0.9403987758655028</v>
      </c>
      <c r="V63" s="43">
        <f>协作币产出情况!I65/N63</f>
        <v>0.95426097748225702</v>
      </c>
      <c r="W63" s="43">
        <f>协作币产出情况!J65/O63</f>
        <v>0.99035033467657108</v>
      </c>
      <c r="X63" s="43">
        <f>协作币产出情况!K65/P63</f>
        <v>1.0309820259906022</v>
      </c>
      <c r="Y63" s="43">
        <f>协作币产出情况!L65/Q63</f>
        <v>0.99075412549893793</v>
      </c>
    </row>
    <row r="64" spans="11:25" x14ac:dyDescent="0.15">
      <c r="K64" s="41"/>
      <c r="L64" s="42">
        <v>60</v>
      </c>
      <c r="M64" s="43">
        <f>IF($L64&lt;基础状态预期!E$9,0,求节点(基础状态预期!E$8:E$26,$D$10:$D$28,$L64))</f>
        <v>102175.13876049049</v>
      </c>
      <c r="N64" s="43">
        <f>IF($L64&lt;基础状态预期!F$9,0,求节点(基础状态预期!F$8:F$26,$D$10:$D$28,$L64))</f>
        <v>86271.464446799742</v>
      </c>
      <c r="O64" s="43">
        <f>IF($L64&lt;基础状态预期!G$9,0,求节点(基础状态预期!G$8:G$26,$D$10:$D$28,$L64))</f>
        <v>68594.734977064465</v>
      </c>
      <c r="P64" s="43">
        <f>IF($L64&lt;基础状态预期!H$9,0,求节点(基础状态预期!H$8:H$26,$D$10:$D$28,$L64))</f>
        <v>48584.703122408508</v>
      </c>
      <c r="Q64" s="43">
        <f>IF($L64&lt;基础状态预期!I$9,0,求节点(基础状态预期!I$8:I$26,$D$10:$D$28,$L64))</f>
        <v>27201.932131269474</v>
      </c>
      <c r="T64" s="42">
        <v>60</v>
      </c>
      <c r="U64" s="43">
        <f>协作币产出情况!H66/M64</f>
        <v>0.92488252177976638</v>
      </c>
      <c r="V64" s="43">
        <f>协作币产出情况!I66/N64</f>
        <v>0.94914640113122029</v>
      </c>
      <c r="W64" s="43">
        <f>协作币产出情况!J66/O64</f>
        <v>0.97786076471361472</v>
      </c>
      <c r="X64" s="43">
        <f>协作币产出情况!K66/P64</f>
        <v>1.0129855044292841</v>
      </c>
      <c r="Y64" s="43">
        <f>协作币产出情况!L66/Q64</f>
        <v>1.0078126019763956</v>
      </c>
    </row>
    <row r="65" spans="11:25" x14ac:dyDescent="0.15">
      <c r="K65" s="41"/>
      <c r="L65" s="42">
        <v>61</v>
      </c>
      <c r="M65" s="43">
        <f>IF($L65&lt;基础状态预期!E$9,0,求节点(基础状态预期!E$8:E$26,$D$10:$D$28,$L65))</f>
        <v>110697.27684956195</v>
      </c>
      <c r="N65" s="43">
        <f>IF($L65&lt;基础状态预期!F$9,0,求节点(基础状态预期!F$8:F$26,$D$10:$D$28,$L65))</f>
        <v>93403.063210730383</v>
      </c>
      <c r="O65" s="43">
        <f>IF($L65&lt;基础状态预期!G$9,0,求节点(基础状态预期!G$8:G$26,$D$10:$D$28,$L65))</f>
        <v>74851.677400852059</v>
      </c>
      <c r="P65" s="43">
        <f>IF($L65&lt;基础状态预期!H$9,0,求节点(基础状态预期!H$8:H$26,$D$10:$D$28,$L65))</f>
        <v>52946.251045854748</v>
      </c>
      <c r="Q65" s="43">
        <f>IF($L65&lt;基础状态预期!I$9,0,求节点(基础状态预期!I$8:I$26,$D$10:$D$28,$L65))</f>
        <v>28660.433716978157</v>
      </c>
      <c r="T65" s="42">
        <v>61</v>
      </c>
      <c r="U65" s="43">
        <f>协作币产出情况!H67/M65</f>
        <v>0.9159236368684468</v>
      </c>
      <c r="V65" s="43">
        <f>协作币产出情况!I67/N65</f>
        <v>0.94103134080599116</v>
      </c>
      <c r="W65" s="43">
        <f>协作币产出情况!J67/O65</f>
        <v>0.96145876291576327</v>
      </c>
      <c r="X65" s="43">
        <f>协作币产出情况!K67/P65</f>
        <v>0.99808010026865168</v>
      </c>
      <c r="Y65" s="43">
        <f>协作币产出情况!L67/Q65</f>
        <v>1.0259151514372316</v>
      </c>
    </row>
    <row r="66" spans="11:25" x14ac:dyDescent="0.15">
      <c r="K66" s="41"/>
      <c r="L66" s="42">
        <v>62</v>
      </c>
      <c r="M66" s="43">
        <f>IF($L66&lt;基础状态预期!E$9,0,求节点(基础状态预期!E$8:E$26,$D$10:$D$28,$L66))</f>
        <v>119219.4149386334</v>
      </c>
      <c r="N66" s="43">
        <f>IF($L66&lt;基础状态预期!F$9,0,求节点(基础状态预期!F$8:F$26,$D$10:$D$28,$L66))</f>
        <v>101943.30720625864</v>
      </c>
      <c r="O66" s="43">
        <f>IF($L66&lt;基础状态预期!G$9,0,求节点(基础状态预期!G$8:G$26,$D$10:$D$28,$L66))</f>
        <v>81108.619824639638</v>
      </c>
      <c r="P66" s="43">
        <f>IF($L66&lt;基础状态预期!H$9,0,求节点(基础状态预期!H$8:H$26,$D$10:$D$28,$L66))</f>
        <v>57307.79896930098</v>
      </c>
      <c r="Q66" s="43">
        <f>IF($L66&lt;基础状态预期!I$9,0,求节点(基础状态预期!I$8:I$26,$D$10:$D$28,$L66))</f>
        <v>30215.940373560166</v>
      </c>
      <c r="T66" s="42">
        <v>62</v>
      </c>
      <c r="U66" s="43">
        <f>协作币产出情况!H68/M66</f>
        <v>0.91239369137741377</v>
      </c>
      <c r="V66" s="43">
        <f>协作币产出情况!I68/N66</f>
        <v>0.92467523420207509</v>
      </c>
      <c r="W66" s="43">
        <f>协作币产出情况!J68/O66</f>
        <v>0.9525857122987369</v>
      </c>
      <c r="X66" s="43">
        <f>协作币产出情况!K68/P66</f>
        <v>0.99061027438541471</v>
      </c>
      <c r="Y66" s="43">
        <f>协作币产出情况!L68/Q66</f>
        <v>1.0486574095025485</v>
      </c>
    </row>
    <row r="67" spans="11:25" x14ac:dyDescent="0.15">
      <c r="K67" s="41"/>
      <c r="L67" s="42">
        <v>63</v>
      </c>
      <c r="M67" s="43">
        <f>IF($L67&lt;基础状态预期!E$9,0,求节点(基础状态预期!E$8:E$26,$D$10:$D$28,$L67))</f>
        <v>130132.56431054894</v>
      </c>
      <c r="N67" s="43">
        <f>IF($L67&lt;基础状态预期!F$9,0,求节点(基础状态预期!F$8:F$26,$D$10:$D$28,$L67))</f>
        <v>110483.5512017869</v>
      </c>
      <c r="O67" s="43">
        <f>IF($L67&lt;基础状态预期!G$9,0,求节点(基础状态预期!G$8:G$26,$D$10:$D$28,$L67))</f>
        <v>87365.562248427217</v>
      </c>
      <c r="P67" s="43">
        <f>IF($L67&lt;基础状态预期!H$9,0,求节点(基础状态预期!H$8:H$26,$D$10:$D$28,$L67))</f>
        <v>61669.346892747213</v>
      </c>
      <c r="Q67" s="43">
        <f>IF($L67&lt;基础状态预期!I$9,0,求节点(基础状态预期!I$8:I$26,$D$10:$D$28,$L67))</f>
        <v>32864.013486766016</v>
      </c>
      <c r="T67" s="42">
        <v>63</v>
      </c>
      <c r="U67" s="43">
        <f>协作币产出情况!H69/M67</f>
        <v>0.89669994823619015</v>
      </c>
      <c r="V67" s="43">
        <f>协作币产出情况!I69/N67</f>
        <v>0.91601978457216271</v>
      </c>
      <c r="W67" s="43">
        <f>协作币产出情况!J69/O67</f>
        <v>0.94911330045599152</v>
      </c>
      <c r="X67" s="43">
        <f>协作币产出情况!K69/P67</f>
        <v>0.98942396495574858</v>
      </c>
      <c r="Y67" s="43">
        <f>协作币产出情况!L69/Q67</f>
        <v>1.0360908060076128</v>
      </c>
    </row>
    <row r="68" spans="11:25" x14ac:dyDescent="0.15">
      <c r="K68" s="41"/>
      <c r="L68" s="42">
        <v>64</v>
      </c>
      <c r="M68" s="43">
        <f>IF($L68&lt;基础状态预期!E$9,0,求节点(基础状态预期!E$8:E$26,$D$10:$D$28,$L68))</f>
        <v>141286.80066879239</v>
      </c>
      <c r="N68" s="43">
        <f>IF($L68&lt;基础状态预期!F$9,0,求节点(基础状态预期!F$8:F$26,$D$10:$D$28,$L68))</f>
        <v>119023.79519731516</v>
      </c>
      <c r="O68" s="43">
        <f>IF($L68&lt;基础状态预期!G$9,0,求节点(基础状态预期!G$8:G$26,$D$10:$D$28,$L68))</f>
        <v>94937.134363980178</v>
      </c>
      <c r="P68" s="43">
        <f>IF($L68&lt;基础状态预期!H$9,0,求节点(基础状态预期!H$8:H$26,$D$10:$D$28,$L68))</f>
        <v>66431.667606584204</v>
      </c>
      <c r="Q68" s="43">
        <f>IF($L68&lt;基础状态预期!I$9,0,求节点(基础状态预期!I$8:I$26,$D$10:$D$28,$L68))</f>
        <v>35512.086599971866</v>
      </c>
      <c r="T68" s="42">
        <v>64</v>
      </c>
      <c r="U68" s="43">
        <f>协作币产出情况!H70/M68</f>
        <v>0.88594800676130048</v>
      </c>
      <c r="V68" s="43">
        <f>协作币产出情况!I70/N68</f>
        <v>0.91242163724552205</v>
      </c>
      <c r="W68" s="43">
        <f>协作币产出情况!J70/O68</f>
        <v>0.93796702057686843</v>
      </c>
      <c r="X68" s="43">
        <f>协作币产出情况!K70/P68</f>
        <v>0.98714981920876288</v>
      </c>
      <c r="Y68" s="43">
        <f>协作币产出情况!L70/Q68</f>
        <v>1.0281821605769688</v>
      </c>
    </row>
    <row r="69" spans="11:25" x14ac:dyDescent="0.15">
      <c r="K69" s="41"/>
      <c r="L69" s="42">
        <v>65</v>
      </c>
      <c r="M69" s="43">
        <f>IF($L69&lt;基础状态预期!E$9,0,求节点(基础状态预期!E$8:E$26,$D$10:$D$28,$L69))</f>
        <v>152441.03702703584</v>
      </c>
      <c r="N69" s="43">
        <f>IF($L69&lt;基础状态预期!F$9,0,求节点(基础状态预期!F$8:F$26,$D$10:$D$28,$L69))</f>
        <v>129915.64135386396</v>
      </c>
      <c r="O69" s="43">
        <f>IF($L69&lt;基础状态预期!G$9,0,求节点(基础状态预期!G$8:G$26,$D$10:$D$28,$L69))</f>
        <v>103464.76048158572</v>
      </c>
      <c r="P69" s="43">
        <f>IF($L69&lt;基础状态预期!H$9,0,求节点(基础状态预期!H$8:H$26,$D$10:$D$28,$L69))</f>
        <v>72488.819877093629</v>
      </c>
      <c r="Q69" s="43">
        <f>IF($L69&lt;基础状态预期!I$9,0,求节点(基础状态预期!I$8:I$26,$D$10:$D$28,$L69))</f>
        <v>38160.159713177716</v>
      </c>
      <c r="T69" s="42">
        <v>65</v>
      </c>
      <c r="U69" s="43">
        <f>协作币产出情况!H71/M69</f>
        <v>0.88076350440993723</v>
      </c>
      <c r="V69" s="43">
        <f>协作币产出情况!I71/N69</f>
        <v>0.89653912539428915</v>
      </c>
      <c r="W69" s="43">
        <f>协作币产出情况!J71/O69</f>
        <v>0.9249887263204849</v>
      </c>
      <c r="X69" s="43">
        <f>协作币产出情况!K71/P69</f>
        <v>0.97111359395239916</v>
      </c>
      <c r="Y69" s="43">
        <f>协作币产出情况!L71/Q69</f>
        <v>1.0217570280188755</v>
      </c>
    </row>
    <row r="70" spans="11:25" x14ac:dyDescent="0.15">
      <c r="K70" s="41"/>
      <c r="L70" s="42">
        <v>66</v>
      </c>
      <c r="M70" s="43">
        <f>IF($L70&lt;基础状态预期!E$9,0,求节点(基础状态预期!E$8:E$26,$D$10:$D$28,$L70))</f>
        <v>165846.43786599996</v>
      </c>
      <c r="N70" s="43">
        <f>IF($L70&lt;基础状态预期!F$9,0,求节点(基础状态预期!F$8:F$26,$D$10:$D$28,$L70))</f>
        <v>141110.9821466865</v>
      </c>
      <c r="O70" s="43">
        <f>IF($L70&lt;基础状态预期!G$9,0,求节点(基础状态预期!G$8:G$26,$D$10:$D$28,$L70))</f>
        <v>111992.38659919126</v>
      </c>
      <c r="P70" s="43">
        <f>IF($L70&lt;基础状态预期!H$9,0,求节点(基础状态预期!H$8:H$26,$D$10:$D$28,$L70))</f>
        <v>78545.972147603054</v>
      </c>
      <c r="Q70" s="43">
        <f>IF($L70&lt;基础状态预期!I$9,0,求节点(基础状态预期!I$8:I$26,$D$10:$D$28,$L70))</f>
        <v>40808.232826383566</v>
      </c>
      <c r="T70" s="42">
        <v>66</v>
      </c>
      <c r="U70" s="43">
        <f>协作币产出情况!H72/M70</f>
        <v>0.8683260987574174</v>
      </c>
      <c r="V70" s="43">
        <f>协作币产出情况!I72/N70</f>
        <v>0.88602906669791937</v>
      </c>
      <c r="W70" s="43">
        <f>协作币产出情况!J72/O70</f>
        <v>0.91734692134330842</v>
      </c>
      <c r="X70" s="43">
        <f>协作币产出情况!K72/P70</f>
        <v>0.95796882919422544</v>
      </c>
      <c r="Y70" s="43">
        <f>协作币产出情况!L72/Q70</f>
        <v>1.0237382801756145</v>
      </c>
    </row>
    <row r="71" spans="11:25" x14ac:dyDescent="0.15">
      <c r="K71" s="41"/>
      <c r="L71" s="42">
        <v>67</v>
      </c>
      <c r="M71" s="43">
        <f>IF($L71&lt;基础状态预期!E$9,0,求节点(基础状态预期!E$8:E$26,$D$10:$D$28,$L71))</f>
        <v>179922.0496795309</v>
      </c>
      <c r="N71" s="43">
        <f>IF($L71&lt;基础状态预期!F$9,0,求节点(基础状态预期!F$8:F$26,$D$10:$D$28,$L71))</f>
        <v>152306.32293950906</v>
      </c>
      <c r="O71" s="43">
        <f>IF($L71&lt;基础状态预期!G$9,0,求节点(基础状态预期!G$8:G$26,$D$10:$D$28,$L71))</f>
        <v>120667.19092348976</v>
      </c>
      <c r="P71" s="43">
        <f>IF($L71&lt;基础状态预期!H$9,0,求节点(基础状态预期!H$8:H$26,$D$10:$D$28,$L71))</f>
        <v>84603.124418112493</v>
      </c>
      <c r="Q71" s="43">
        <f>IF($L71&lt;基础状态预期!I$9,0,求节点(基础状态预期!I$8:I$26,$D$10:$D$28,$L71))</f>
        <v>43456.305939589409</v>
      </c>
      <c r="T71" s="42">
        <v>67</v>
      </c>
      <c r="U71" s="43">
        <f>协作币产出情况!H73/M71</f>
        <v>0.85844097694252031</v>
      </c>
      <c r="V71" s="43">
        <f>协作币产出情况!I73/N71</f>
        <v>0.88114360580116102</v>
      </c>
      <c r="W71" s="43">
        <f>协作币产出情况!J73/O71</f>
        <v>0.91109489048411507</v>
      </c>
      <c r="X71" s="43">
        <f>协作币产出情况!K73/P71</f>
        <v>0.95077861217931425</v>
      </c>
      <c r="Y71" s="43">
        <f>协作币产出情况!L73/Q71</f>
        <v>1.0285858631240405</v>
      </c>
    </row>
    <row r="72" spans="11:25" x14ac:dyDescent="0.15">
      <c r="K72" s="41"/>
      <c r="L72" s="42">
        <v>68</v>
      </c>
      <c r="M72" s="43">
        <f>IF($L72&lt;基础状态预期!E$9,0,求节点(基础状态预期!E$8:E$26,$D$10:$D$28,$L72))</f>
        <v>193997.66149306187</v>
      </c>
      <c r="N72" s="43">
        <f>IF($L72&lt;基础状态预期!F$9,0,求节点(基础状态预期!F$8:F$26,$D$10:$D$28,$L72))</f>
        <v>165520.79273371046</v>
      </c>
      <c r="O72" s="43">
        <f>IF($L72&lt;基础状态预期!G$9,0,求节点(基础状态预期!G$8:G$26,$D$10:$D$28,$L72))</f>
        <v>131608.37478458349</v>
      </c>
      <c r="P72" s="43">
        <f>IF($L72&lt;基础状态预期!H$9,0,求节点(基础状态预期!H$8:H$26,$D$10:$D$28,$L72))</f>
        <v>90911.20294475487</v>
      </c>
      <c r="Q72" s="43">
        <f>IF($L72&lt;基础状态预期!I$9,0,求节点(基础状态预期!I$8:I$26,$D$10:$D$28,$L72))</f>
        <v>46742.39003316297</v>
      </c>
      <c r="T72" s="42">
        <v>68</v>
      </c>
      <c r="U72" s="43">
        <f>协作币产出情况!H74/M72</f>
        <v>0.85385414895209921</v>
      </c>
      <c r="V72" s="43">
        <f>协作币产出情况!I74/N72</f>
        <v>0.86845491228590666</v>
      </c>
      <c r="W72" s="43">
        <f>协作币产出情况!J74/O72</f>
        <v>0.89186230731315908</v>
      </c>
      <c r="X72" s="43">
        <f>协作币产出情况!K74/P72</f>
        <v>0.94728923256029118</v>
      </c>
      <c r="Y72" s="43">
        <f>协作币产出情况!L74/Q72</f>
        <v>1.0223864626561356</v>
      </c>
    </row>
    <row r="73" spans="11:25" x14ac:dyDescent="0.15">
      <c r="K73" s="41"/>
      <c r="L73" s="42">
        <v>69</v>
      </c>
      <c r="M73" s="43">
        <f>IF($L73&lt;基础状态预期!E$9,0,求节点(基础状态预期!E$8:E$26,$D$10:$D$28,$L73))</f>
        <v>209929.18197721094</v>
      </c>
      <c r="N73" s="43">
        <f>IF($L73&lt;基础状态预期!F$9,0,求节点(基础状态预期!F$8:F$26,$D$10:$D$28,$L73))</f>
        <v>179375.00571753041</v>
      </c>
      <c r="O73" s="43">
        <f>IF($L73&lt;基础状态预期!G$9,0,求节点(基础状态预期!G$8:G$26,$D$10:$D$28,$L73))</f>
        <v>142549.55864567723</v>
      </c>
      <c r="P73" s="43">
        <f>IF($L73&lt;基础状态预期!H$9,0,求节点(基础状态预期!H$8:H$26,$D$10:$D$28,$L73))</f>
        <v>99270.266774853502</v>
      </c>
      <c r="Q73" s="43">
        <f>IF($L73&lt;基础状态预期!I$9,0,求节点(基础状态预期!I$8:I$26,$D$10:$D$28,$L73))</f>
        <v>50920.281842916535</v>
      </c>
      <c r="T73" s="42">
        <v>69</v>
      </c>
      <c r="U73" s="43">
        <f>协作币产出情况!H75/M73</f>
        <v>0.84620124130408458</v>
      </c>
      <c r="V73" s="43">
        <f>协作币产出情况!I75/N73</f>
        <v>0.85723874416038681</v>
      </c>
      <c r="W73" s="43">
        <f>协作币产出情况!J75/O73</f>
        <v>0.88279354118585041</v>
      </c>
      <c r="X73" s="43">
        <f>协作币产出情况!K75/P73</f>
        <v>0.92981473647723067</v>
      </c>
      <c r="Y73" s="43">
        <f>协作币产出情况!L75/Q73</f>
        <v>1.003331747531879</v>
      </c>
    </row>
    <row r="74" spans="11:25" x14ac:dyDescent="0.15">
      <c r="K74" s="41"/>
      <c r="L74" s="42">
        <v>70</v>
      </c>
      <c r="M74" s="43">
        <f>IF($L74&lt;基础状态预期!E$9,0,求节点(基础状态预期!E$8:E$26,$D$10:$D$28,$L74))</f>
        <v>226002.99648997048</v>
      </c>
      <c r="N74" s="43">
        <f>IF($L74&lt;基础状态预期!F$9,0,求节点(基础状态预期!F$8:F$26,$D$10:$D$28,$L74))</f>
        <v>193229.21870135039</v>
      </c>
      <c r="O74" s="43">
        <f>IF($L74&lt;基础状态预期!G$9,0,求节点(基础状态预期!G$8:G$26,$D$10:$D$28,$L74))</f>
        <v>153490.74250677094</v>
      </c>
      <c r="P74" s="43">
        <f>IF($L74&lt;基础状态预期!H$9,0,求节点(基础状态预期!H$8:H$26,$D$10:$D$28,$L74))</f>
        <v>107629.33060495212</v>
      </c>
      <c r="Q74" s="43">
        <f>IF($L74&lt;基础状态预期!I$9,0,求节点(基础状态预期!I$8:I$26,$D$10:$D$28,$L74))</f>
        <v>55098.173652670099</v>
      </c>
      <c r="T74" s="42">
        <v>70</v>
      </c>
      <c r="U74" s="43">
        <f>协作币产出情况!H76/M74</f>
        <v>0.84290917801372589</v>
      </c>
      <c r="V74" s="43">
        <f>协作币产出情况!I76/N74</f>
        <v>0.85366980785110025</v>
      </c>
      <c r="W74" s="43">
        <f>协作币产出情况!J76/O74</f>
        <v>0.88057265078405422</v>
      </c>
      <c r="X74" s="43">
        <f>协作币产出情况!K76/P74</f>
        <v>0.91878811699540619</v>
      </c>
      <c r="Y74" s="43">
        <f>协作币产出情况!L76/Q74</f>
        <v>0.99367540465375814</v>
      </c>
    </row>
    <row r="75" spans="11:25" x14ac:dyDescent="0.15">
      <c r="K75" s="41"/>
      <c r="L75" s="42">
        <v>71</v>
      </c>
      <c r="M75" s="43">
        <f>IF($L75&lt;基础状态预期!E$9,0,求节点(基础状态预期!E$8:E$26,$D$10:$D$28,$L75))</f>
        <v>242396.01112470741</v>
      </c>
      <c r="N75" s="43">
        <f>IF($L75&lt;基础状态预期!F$9,0,求节点(基础状态预期!F$8:F$26,$D$10:$D$28,$L75))</f>
        <v>208892.73410793144</v>
      </c>
      <c r="O75" s="43">
        <f>IF($L75&lt;基础状态预期!G$9,0,求节点(基础状态预期!G$8:G$26,$D$10:$D$28,$L75))</f>
        <v>166834.94067101963</v>
      </c>
      <c r="P75" s="43">
        <f>IF($L75&lt;基础状态预期!H$9,0,求节点(基础状态预期!H$8:H$26,$D$10:$D$28,$L75))</f>
        <v>115988.39443505075</v>
      </c>
      <c r="Q75" s="43">
        <f>IF($L75&lt;基础状态预期!I$9,0,求节点(基础状态预期!I$8:I$26,$D$10:$D$28,$L75))</f>
        <v>59276.065462423663</v>
      </c>
      <c r="T75" s="42">
        <v>71</v>
      </c>
      <c r="U75" s="43">
        <f>协作币产出情况!H77/M75</f>
        <v>0.84275522463886754</v>
      </c>
      <c r="V75" s="43">
        <f>协作币产出情况!I77/N75</f>
        <v>0.84756377129288085</v>
      </c>
      <c r="W75" s="43">
        <f>协作币产出情况!J77/O75</f>
        <v>0.86837765174611159</v>
      </c>
      <c r="X75" s="43">
        <f>协作币产出情况!K77/P75</f>
        <v>0.9131899985194124</v>
      </c>
      <c r="Y75" s="43">
        <f>协作币产出情况!L77/Q75</f>
        <v>0.99010939024363309</v>
      </c>
    </row>
    <row r="76" spans="11:25" x14ac:dyDescent="0.15">
      <c r="K76" s="41"/>
      <c r="L76" s="42">
        <v>72</v>
      </c>
      <c r="M76" s="43">
        <f>IF($L76&lt;基础状态预期!E$9,0,求节点(基础状态预期!E$8:E$26,$D$10:$D$28,$L76))</f>
        <v>260940.32658645551</v>
      </c>
      <c r="N76" s="43">
        <f>IF($L76&lt;基础状态预期!F$9,0,求节点(基础状态预期!F$8:F$26,$D$10:$D$28,$L76))</f>
        <v>224821.39595447283</v>
      </c>
      <c r="O76" s="43">
        <f>IF($L76&lt;基础状态预期!G$9,0,求节点(基础状态预期!G$8:G$26,$D$10:$D$28,$L76))</f>
        <v>180563.65915507596</v>
      </c>
      <c r="P76" s="43">
        <f>IF($L76&lt;基础状态预期!H$9,0,求节点(基础状态预期!H$8:H$26,$D$10:$D$28,$L76))</f>
        <v>125740.31455718986</v>
      </c>
      <c r="Q76" s="43">
        <f>IF($L76&lt;基础状态预期!I$9,0,求节点(基础状态预期!I$8:I$26,$D$10:$D$28,$L76))</f>
        <v>63453.957272177227</v>
      </c>
      <c r="T76" s="42">
        <v>72</v>
      </c>
      <c r="U76" s="43">
        <f>协作币产出情况!H78/M76</f>
        <v>0.83946428298369713</v>
      </c>
      <c r="V76" s="43">
        <f>协作币产出情况!I78/N76</f>
        <v>0.84454867893376318</v>
      </c>
      <c r="W76" s="43">
        <f>协作币产出情况!J78/O76</f>
        <v>0.85830080796986596</v>
      </c>
      <c r="X76" s="43">
        <f>协作币产出情况!K78/P76</f>
        <v>0.90170224211864103</v>
      </c>
      <c r="Y76" s="43">
        <f>协作币产出情况!L78/Q76</f>
        <v>0.99041055667770961</v>
      </c>
    </row>
    <row r="77" spans="11:25" x14ac:dyDescent="0.15">
      <c r="K77" s="41"/>
      <c r="L77" s="42">
        <v>73</v>
      </c>
      <c r="M77" s="43">
        <f>IF($L77&lt;基础状态预期!E$9,0,求节点(基础状态预期!E$8:E$26,$D$10:$D$28,$L77))</f>
        <v>279484.64204820362</v>
      </c>
      <c r="N77" s="43">
        <f>IF($L77&lt;基础状态预期!F$9,0,求节点(基础状态预期!F$8:F$26,$D$10:$D$28,$L77))</f>
        <v>240874.30485690926</v>
      </c>
      <c r="O77" s="43">
        <f>IF($L77&lt;基础状态预期!G$9,0,求节点(基础状态预期!G$8:G$26,$D$10:$D$28,$L77))</f>
        <v>194292.37763913226</v>
      </c>
      <c r="P77" s="43">
        <f>IF($L77&lt;基础状态预期!H$9,0,求节点(基础状态预期!H$8:H$26,$D$10:$D$28,$L77))</f>
        <v>136777.48912262428</v>
      </c>
      <c r="Q77" s="43">
        <f>IF($L77&lt;基础状态预期!I$9,0,求节点(基础状态预期!I$8:I$26,$D$10:$D$28,$L77))</f>
        <v>68962.00873844343</v>
      </c>
      <c r="T77" s="42">
        <v>73</v>
      </c>
      <c r="U77" s="43">
        <f>协作币产出情况!H79/M77</f>
        <v>0.84040298472541275</v>
      </c>
      <c r="V77" s="43">
        <f>协作币产出情况!I79/N77</f>
        <v>0.84327794259132982</v>
      </c>
      <c r="W77" s="43">
        <f>协作币产出情况!J79/O77</f>
        <v>0.85372398793371085</v>
      </c>
      <c r="X77" s="43">
        <f>协作币产出情况!K79/P77</f>
        <v>0.88781289834471488</v>
      </c>
      <c r="Y77" s="43">
        <f>协作币产出情况!L79/Q77</f>
        <v>0.9761393424215502</v>
      </c>
    </row>
    <row r="78" spans="11:25" x14ac:dyDescent="0.15">
      <c r="K78" s="41"/>
      <c r="L78" s="42">
        <v>74</v>
      </c>
      <c r="M78" s="43">
        <f>IF($L78&lt;基础状态预期!E$9,0,求节点(基础状态预期!E$8:E$26,$D$10:$D$28,$L78))</f>
        <v>299245.02126954013</v>
      </c>
      <c r="N78" s="43">
        <f>IF($L78&lt;基础状态预期!F$9,0,求节点(基础状态预期!F$8:F$26,$D$10:$D$28,$L78))</f>
        <v>259441.54913817064</v>
      </c>
      <c r="O78" s="43">
        <f>IF($L78&lt;基础状态预期!G$9,0,求节点(基础状态预期!G$8:G$26,$D$10:$D$28,$L78))</f>
        <v>210339.58171043472</v>
      </c>
      <c r="P78" s="43">
        <f>IF($L78&lt;基础状态预期!H$9,0,求节点(基础状态预期!H$8:H$26,$D$10:$D$28,$L78))</f>
        <v>147814.66368805867</v>
      </c>
      <c r="Q78" s="43">
        <f>IF($L78&lt;基础状态预期!I$9,0,求节点(基础状态预期!I$8:I$26,$D$10:$D$28,$L78))</f>
        <v>75251.443787040989</v>
      </c>
      <c r="T78" s="42">
        <v>74</v>
      </c>
      <c r="U78" s="43">
        <f>协作币产出情况!H80/M78</f>
        <v>0.84160303753742272</v>
      </c>
      <c r="V78" s="43">
        <f>协作币产出情况!I80/N78</f>
        <v>0.83928590596585684</v>
      </c>
      <c r="W78" s="43">
        <f>协作币产出情况!J80/O78</f>
        <v>0.84651105793809134</v>
      </c>
      <c r="X78" s="43">
        <f>协作币产出情况!K80/P78</f>
        <v>0.88154225170445433</v>
      </c>
      <c r="Y78" s="43">
        <f>协作币产出情况!L80/Q78</f>
        <v>0.96017399437305695</v>
      </c>
    </row>
    <row r="79" spans="11:25" x14ac:dyDescent="0.15">
      <c r="K79" s="41"/>
      <c r="L79" s="42">
        <v>75</v>
      </c>
      <c r="M79" s="43">
        <f>IF($L79&lt;基础状态预期!E$9,0,求节点(基础状态预期!E$8:E$26,$D$10:$D$28,$L79))</f>
        <v>320598.05379716581</v>
      </c>
      <c r="N79" s="43">
        <f>IF($L79&lt;基础状态预期!F$9,0,求节点(基础状态预期!F$8:F$26,$D$10:$D$28,$L79))</f>
        <v>278008.79341943201</v>
      </c>
      <c r="O79" s="43">
        <f>IF($L79&lt;基础状态预期!G$9,0,求节点(基础状态预期!G$8:G$26,$D$10:$D$28,$L79))</f>
        <v>226512.78225925055</v>
      </c>
      <c r="P79" s="43">
        <f>IF($L79&lt;基础状态预期!H$9,0,求节点(基础状态预期!H$8:H$26,$D$10:$D$28,$L79))</f>
        <v>159966.05367453722</v>
      </c>
      <c r="Q79" s="43">
        <f>IF($L79&lt;基础状态预期!I$9,0,求节点(基础状态预期!I$8:I$26,$D$10:$D$28,$L79))</f>
        <v>81540.878835638548</v>
      </c>
      <c r="T79" s="42">
        <v>75</v>
      </c>
      <c r="U79" s="43">
        <f>协作币产出情况!H81/M79</f>
        <v>0.84226651028416599</v>
      </c>
      <c r="V79" s="43">
        <f>协作币产出情况!I81/N79</f>
        <v>0.84036584370639789</v>
      </c>
      <c r="W79" s="43">
        <f>协作币产出情况!J81/O79</f>
        <v>0.84353969479069224</v>
      </c>
      <c r="X79" s="43">
        <f>协作币产出情况!K81/P79</f>
        <v>0.87406681009371912</v>
      </c>
      <c r="Y79" s="43">
        <f>协作币产出情况!L81/Q79</f>
        <v>0.95207875793784202</v>
      </c>
    </row>
    <row r="80" spans="11:25" x14ac:dyDescent="0.15">
      <c r="K80" s="41"/>
      <c r="L80" s="42">
        <v>76</v>
      </c>
      <c r="M80" s="43">
        <f>IF($L80&lt;基础状态预期!E$9,0,求节点(基础状态预期!E$8:E$26,$D$10:$D$28,$L80))</f>
        <v>341951.08632479142</v>
      </c>
      <c r="N80" s="43">
        <f>IF($L80&lt;基础状态预期!F$9,0,求节点(基础状态预期!F$8:F$26,$D$10:$D$28,$L80))</f>
        <v>297594.79556976439</v>
      </c>
      <c r="O80" s="43">
        <f>IF($L80&lt;基础状态预期!G$9,0,求节点(基础状态预期!G$8:G$26,$D$10:$D$28,$L80))</f>
        <v>243113.00411857272</v>
      </c>
      <c r="P80" s="43">
        <f>IF($L80&lt;基础状态预期!H$9,0,求节点(基础状态预期!H$8:H$26,$D$10:$D$28,$L80))</f>
        <v>174195.93501949718</v>
      </c>
      <c r="Q80" s="43">
        <f>IF($L80&lt;基础状态预期!I$9,0,求节点(基础状态预期!I$8:I$26,$D$10:$D$28,$L80))</f>
        <v>87830.313884236108</v>
      </c>
      <c r="T80" s="42">
        <v>76</v>
      </c>
      <c r="U80" s="43">
        <f>协作币产出情况!H82/M80</f>
        <v>0.84666372574411786</v>
      </c>
      <c r="V80" s="43">
        <f>协作币产出情况!I82/N80</f>
        <v>0.84161975562979474</v>
      </c>
      <c r="W80" s="43">
        <f>协作币产出情况!J82/O80</f>
        <v>0.84230699884216731</v>
      </c>
      <c r="X80" s="43">
        <f>协作币产出情况!K82/P80</f>
        <v>0.86142631339987197</v>
      </c>
      <c r="Y80" s="43">
        <f>协作币产出情况!L82/Q80</f>
        <v>0.95066118520445209</v>
      </c>
    </row>
    <row r="81" spans="11:25" x14ac:dyDescent="0.15">
      <c r="K81" s="41"/>
      <c r="L81" s="42">
        <v>77</v>
      </c>
      <c r="M81" s="43">
        <f>IF($L81&lt;基础状态预期!E$9,0,求节点(基础状态预期!E$8:E$26,$D$10:$D$28,$L81))</f>
        <v>366178.27919369057</v>
      </c>
      <c r="N81" s="43">
        <f>IF($L81&lt;基础状态预期!F$9,0,求节点(基础状态预期!F$8:F$26,$D$10:$D$28,$L81))</f>
        <v>319038.47199442785</v>
      </c>
      <c r="O81" s="43">
        <f>IF($L81&lt;基础状态预期!G$9,0,求节点(基础状态预期!G$8:G$26,$D$10:$D$28,$L81))</f>
        <v>261857.44275301462</v>
      </c>
      <c r="P81" s="43">
        <f>IF($L81&lt;基础状态预期!H$9,0,求节点(基础状态预期!H$8:H$26,$D$10:$D$28,$L81))</f>
        <v>188425.8163644571</v>
      </c>
      <c r="Q81" s="43">
        <f>IF($L81&lt;基础状态预期!I$9,0,求节点(基础状态预期!I$8:I$26,$D$10:$D$28,$L81))</f>
        <v>95312.571847975851</v>
      </c>
      <c r="T81" s="42">
        <v>77</v>
      </c>
      <c r="U81" s="43">
        <f>协作币产出情况!H83/M81</f>
        <v>0.84768796468292207</v>
      </c>
      <c r="V81" s="43">
        <f>协作币产出情况!I83/N81</f>
        <v>0.84217585812190199</v>
      </c>
      <c r="W81" s="43">
        <f>协作币产出情况!J83/O81</f>
        <v>0.83937932671822857</v>
      </c>
      <c r="X81" s="43">
        <f>协作币产出情况!K83/P81</f>
        <v>0.85514393507824371</v>
      </c>
      <c r="Y81" s="43">
        <f>协作币产出情况!L83/Q81</f>
        <v>0.93695400103365356</v>
      </c>
    </row>
    <row r="82" spans="11:25" x14ac:dyDescent="0.15">
      <c r="K82" s="41"/>
      <c r="L82" s="42">
        <v>78</v>
      </c>
      <c r="M82" s="43">
        <f>IF($L82&lt;基础状态预期!E$9,0,求节点(基础状态预期!E$8:E$26,$D$10:$D$28,$L82))</f>
        <v>390884.22041643877</v>
      </c>
      <c r="N82" s="43">
        <f>IF($L82&lt;基础状态预期!F$9,0,求节点(基础状态预期!F$8:F$26,$D$10:$D$28,$L82))</f>
        <v>340482.14841909125</v>
      </c>
      <c r="O82" s="43">
        <f>IF($L82&lt;基础状态预期!G$9,0,求节点(基础状态预期!G$8:G$26,$D$10:$D$28,$L82))</f>
        <v>280601.88138745649</v>
      </c>
      <c r="P82" s="43">
        <f>IF($L82&lt;基础状态预期!H$9,0,求节点(基础状态预期!H$8:H$26,$D$10:$D$28,$L82))</f>
        <v>203318.06937819821</v>
      </c>
      <c r="Q82" s="43">
        <f>IF($L82&lt;基础状态预期!I$9,0,求节点(基础状态预期!I$8:I$26,$D$10:$D$28,$L82))</f>
        <v>103423.03588925654</v>
      </c>
      <c r="T82" s="42">
        <v>78</v>
      </c>
      <c r="U82" s="43">
        <f>协作币产出情况!H84/M82</f>
        <v>0.8513810456486669</v>
      </c>
      <c r="V82" s="43">
        <f>协作币产出情况!I84/N82</f>
        <v>0.84604802716309424</v>
      </c>
      <c r="W82" s="43">
        <f>协作币产出情况!J84/O82</f>
        <v>0.84051210052364533</v>
      </c>
      <c r="X82" s="43">
        <f>协作币产出情况!K84/P82</f>
        <v>0.84966390214415</v>
      </c>
      <c r="Y82" s="43">
        <f>协作币产出情况!L84/Q82</f>
        <v>0.92317786378215172</v>
      </c>
    </row>
    <row r="83" spans="11:25" x14ac:dyDescent="0.15">
      <c r="K83" s="41"/>
      <c r="L83" s="42">
        <v>79</v>
      </c>
      <c r="M83" s="43">
        <f>IF($L83&lt;基础状态预期!E$9,0,求节点(基础状态预期!E$8:E$26,$D$10:$D$28,$L83))</f>
        <v>417116.90628130513</v>
      </c>
      <c r="N83" s="43">
        <f>IF($L83&lt;基础状态预期!F$9,0,求节点(基础状态预期!F$8:F$26,$D$10:$D$28,$L83))</f>
        <v>364421.72786219034</v>
      </c>
      <c r="O83" s="43">
        <f>IF($L83&lt;基础状态预期!G$9,0,求节点(基础状态预期!G$8:G$26,$D$10:$D$28,$L83))</f>
        <v>300277.49764411373</v>
      </c>
      <c r="P83" s="43">
        <f>IF($L83&lt;基础状态预期!H$9,0,求节点(基础状态预期!H$8:H$26,$D$10:$D$28,$L83))</f>
        <v>218779.12136374196</v>
      </c>
      <c r="Q83" s="43">
        <f>IF($L83&lt;基础状态预期!I$9,0,求节点(基础状态预期!I$8:I$26,$D$10:$D$28,$L83))</f>
        <v>111533.49993053725</v>
      </c>
      <c r="T83" s="42">
        <v>79</v>
      </c>
      <c r="U83" s="43">
        <f>协作币产出情况!H85/M83</f>
        <v>0.85535892546517189</v>
      </c>
      <c r="V83" s="43">
        <f>协作币产出情况!I85/N83</f>
        <v>0.84824315723021904</v>
      </c>
      <c r="W83" s="43">
        <f>协作币产出情况!J85/O83</f>
        <v>0.84289714013575723</v>
      </c>
      <c r="X83" s="43">
        <f>协作币产出情况!K85/P83</f>
        <v>0.84410131731918903</v>
      </c>
      <c r="Y83" s="43">
        <f>协作币产出情况!L85/Q83</f>
        <v>0.91616536012657823</v>
      </c>
    </row>
    <row r="84" spans="11:25" x14ac:dyDescent="0.15">
      <c r="K84" s="41"/>
      <c r="L84" s="42">
        <v>80</v>
      </c>
      <c r="M84" s="43">
        <f>IF($L84&lt;基础状态预期!E$9,0,求节点(基础状态预期!E$8:E$26,$D$10:$D$28,$L84))</f>
        <v>445384.61215651565</v>
      </c>
      <c r="N84" s="43">
        <f>IF($L84&lt;基础状态预期!F$9,0,求节点(基础状态预期!F$8:F$26,$D$10:$D$28,$L84))</f>
        <v>389027.51527457457</v>
      </c>
      <c r="O84" s="43">
        <f>IF($L84&lt;基础状态预期!G$9,0,求节点(基础状态预期!G$8:G$26,$D$10:$D$28,$L84))</f>
        <v>320889.45223740203</v>
      </c>
      <c r="P84" s="43">
        <f>IF($L84&lt;基础状态预期!H$9,0,求节点(基础状态预期!H$8:H$26,$D$10:$D$28,$L84))</f>
        <v>234240.17334928573</v>
      </c>
      <c r="Q84" s="43">
        <f>IF($L84&lt;基础状态预期!I$9,0,求节点(基础状态预期!I$8:I$26,$D$10:$D$28,$L84))</f>
        <v>119643.96397181794</v>
      </c>
      <c r="T84" s="42">
        <v>80</v>
      </c>
      <c r="U84" s="43">
        <f>协作币产出情况!H86/M84</f>
        <v>0.85880829637999045</v>
      </c>
      <c r="V84" s="43">
        <f>协作币产出情况!I86/N84</f>
        <v>0.85245255664226782</v>
      </c>
      <c r="W84" s="43">
        <f>协作币产出情况!J86/O84</f>
        <v>0.84298189957292324</v>
      </c>
      <c r="X84" s="43">
        <f>协作币产出情况!K86/P84</f>
        <v>0.84259671250197132</v>
      </c>
      <c r="Y84" s="43">
        <f>协作币产出情况!L86/Q84</f>
        <v>0.91241961880930211</v>
      </c>
    </row>
    <row r="85" spans="11:25" x14ac:dyDescent="0.15">
      <c r="K85" s="41"/>
      <c r="L85" s="42">
        <v>81</v>
      </c>
      <c r="M85" s="43">
        <f>IF($L85&lt;基础状态预期!E$9,0,求节点(基础状态预期!E$8:E$26,$D$10:$D$28,$L85))</f>
        <v>474176.04116434517</v>
      </c>
      <c r="N85" s="43">
        <f>IF($L85&lt;基础状态预期!F$9,0,求节点(基础状态预期!F$8:F$26,$D$10:$D$28,$L85))</f>
        <v>414823.84572800522</v>
      </c>
      <c r="O85" s="43">
        <f>IF($L85&lt;基础状态预期!G$9,0,求节点(基础状态预期!G$8:G$26,$D$10:$D$28,$L85))</f>
        <v>341501.40683069034</v>
      </c>
      <c r="P85" s="43">
        <f>IF($L85&lt;基础状态预期!H$9,0,求节点(基础状态预期!H$8:H$26,$D$10:$D$28,$L85))</f>
        <v>251399.62960284512</v>
      </c>
      <c r="Q85" s="43">
        <f>IF($L85&lt;基础状态预期!I$9,0,求节点(基础状态预期!I$8:I$26,$D$10:$D$28,$L85))</f>
        <v>130341.35840292678</v>
      </c>
      <c r="T85" s="42">
        <v>81</v>
      </c>
      <c r="U85" s="43">
        <f>协作币产出情况!H87/M85</f>
        <v>0.86478643797992527</v>
      </c>
      <c r="V85" s="43">
        <f>协作币产出情况!I87/N85</f>
        <v>0.85467301979712162</v>
      </c>
      <c r="W85" s="43">
        <f>协作币产出情况!J87/O85</f>
        <v>0.84629519467598668</v>
      </c>
      <c r="X85" s="43">
        <f>协作币产出情况!K87/P85</f>
        <v>0.83985968548867906</v>
      </c>
      <c r="Y85" s="43">
        <f>协作币产出情况!L87/Q85</f>
        <v>0.89599630515609785</v>
      </c>
    </row>
    <row r="86" spans="11:25" x14ac:dyDescent="0.15">
      <c r="K86" s="41"/>
      <c r="L86" s="42">
        <v>82</v>
      </c>
      <c r="M86" s="43">
        <f>IF($L86&lt;基础状态预期!E$9,0,求节点(基础状态预期!E$8:E$26,$D$10:$D$28,$L86))</f>
        <v>506497.18689455115</v>
      </c>
      <c r="N86" s="43">
        <f>IF($L86&lt;基础状态预期!F$9,0,求节点(基础状态预期!F$8:F$26,$D$10:$D$28,$L86))</f>
        <v>442822.80143709847</v>
      </c>
      <c r="O86" s="43">
        <f>IF($L86&lt;基础状态预期!G$9,0,求节点(基础状态预期!G$8:G$26,$D$10:$D$28,$L86))</f>
        <v>365489.93367841671</v>
      </c>
      <c r="P86" s="43">
        <f>IF($L86&lt;基础状态预期!H$9,0,求节点(基础状态预期!H$8:H$26,$D$10:$D$28,$L86))</f>
        <v>269567.46508984861</v>
      </c>
      <c r="Q86" s="43">
        <f>IF($L86&lt;基础状态预期!I$9,0,求节点(基础状态预期!I$8:I$26,$D$10:$D$28,$L86))</f>
        <v>141157.52889587049</v>
      </c>
      <c r="T86" s="42">
        <v>82</v>
      </c>
      <c r="U86" s="43">
        <f>协作币产出情况!H88/M86</f>
        <v>0.86792223075146591</v>
      </c>
      <c r="V86" s="43">
        <f>协作币产出情况!I88/N86</f>
        <v>0.85751371465403414</v>
      </c>
      <c r="W86" s="43">
        <f>协作币产出情况!J88/O86</f>
        <v>0.84699032724255496</v>
      </c>
      <c r="X86" s="43">
        <f>协作币产出情况!K88/P86</f>
        <v>0.83918972395828917</v>
      </c>
      <c r="Y86" s="43">
        <f>协作币产出情况!L88/Q86</f>
        <v>0.88444767189608142</v>
      </c>
    </row>
    <row r="87" spans="11:25" x14ac:dyDescent="0.15">
      <c r="K87" s="41"/>
      <c r="L87" s="42">
        <v>83</v>
      </c>
      <c r="M87" s="43">
        <f>IF($L87&lt;基础状态预期!E$9,0,求节点(基础状态预期!E$8:E$26,$D$10:$D$28,$L87))</f>
        <v>538818.3326247572</v>
      </c>
      <c r="N87" s="43">
        <f>IF($L87&lt;基础状态预期!F$9,0,求节点(基础状态预期!F$8:F$26,$D$10:$D$28,$L87))</f>
        <v>470943.9203417906</v>
      </c>
      <c r="O87" s="43">
        <f>IF($L87&lt;基础状态预期!G$9,0,求节点(基础状态预期!G$8:G$26,$D$10:$D$28,$L87))</f>
        <v>390168.75463800033</v>
      </c>
      <c r="P87" s="43">
        <f>IF($L87&lt;基础状态预期!H$9,0,求节点(基础状态预期!H$8:H$26,$D$10:$D$28,$L87))</f>
        <v>287735.30057685205</v>
      </c>
      <c r="Q87" s="43">
        <f>IF($L87&lt;基础状态预期!I$9,0,求节点(基础状态预期!I$8:I$26,$D$10:$D$28,$L87))</f>
        <v>151973.69938881422</v>
      </c>
      <c r="T87" s="42">
        <v>83</v>
      </c>
      <c r="U87" s="43">
        <f>协作币产出情况!H89/M87</f>
        <v>0.87461659373910317</v>
      </c>
      <c r="V87" s="43">
        <f>协作币产出情况!I89/N87</f>
        <v>0.86487908458980212</v>
      </c>
      <c r="W87" s="43">
        <f>协作币产出情况!J89/O87</f>
        <v>0.85176520036828585</v>
      </c>
      <c r="X87" s="43">
        <f>协作币产出情况!K89/P87</f>
        <v>0.8423323001344728</v>
      </c>
      <c r="Y87" s="43">
        <f>协作币产出情况!L89/Q87</f>
        <v>0.88035337518485324</v>
      </c>
    </row>
    <row r="88" spans="11:25" x14ac:dyDescent="0.15">
      <c r="K88" s="41"/>
      <c r="L88" s="42">
        <v>84</v>
      </c>
      <c r="M88" s="43">
        <f>IF($L88&lt;基础状态预期!E$9,0,求节点(基础状态预期!E$8:E$26,$D$10:$D$28,$L88))</f>
        <v>575439.34803251678</v>
      </c>
      <c r="N88" s="43">
        <f>IF($L88&lt;基础状态预期!F$9,0,求节点(基础状态预期!F$8:F$26,$D$10:$D$28,$L88))</f>
        <v>503105.22732304031</v>
      </c>
      <c r="O88" s="43">
        <f>IF($L88&lt;基础状态预期!G$9,0,求节点(基础状态预期!G$8:G$26,$D$10:$D$28,$L88))</f>
        <v>416123.40588965395</v>
      </c>
      <c r="P88" s="43">
        <f>IF($L88&lt;基础状态预期!H$9,0,求节点(基础状态预期!H$8:H$26,$D$10:$D$28,$L88))</f>
        <v>308825.52167635469</v>
      </c>
      <c r="Q88" s="43">
        <f>IF($L88&lt;基础状态预期!I$9,0,求节点(基础状态预期!I$8:I$26,$D$10:$D$28,$L88))</f>
        <v>164532.86694330556</v>
      </c>
      <c r="T88" s="42">
        <v>84</v>
      </c>
      <c r="U88" s="43">
        <f>协作币产出情况!H90/M88</f>
        <v>0.87792230313079689</v>
      </c>
      <c r="V88" s="43">
        <f>协作币产出情况!I90/N88</f>
        <v>0.86838535103165149</v>
      </c>
      <c r="W88" s="43">
        <f>协作币产出情况!J90/O88</f>
        <v>0.85529215864379327</v>
      </c>
      <c r="X88" s="43">
        <f>协作币产出情况!K90/P88</f>
        <v>0.84017057778512638</v>
      </c>
      <c r="Y88" s="43">
        <f>协作币产出情况!L90/Q88</f>
        <v>0.87200969254785321</v>
      </c>
    </row>
    <row r="89" spans="11:25" x14ac:dyDescent="0.15">
      <c r="K89" s="41"/>
      <c r="L89" s="42">
        <v>85</v>
      </c>
      <c r="M89" s="43">
        <f>IF($L89&lt;基础状态预期!E$9,0,求节点(基础状态预期!E$8:E$26,$D$10:$D$28,$L89))</f>
        <v>612223.53302384622</v>
      </c>
      <c r="N89" s="43">
        <f>IF($L89&lt;基础状态预期!F$9,0,求节点(基础状态预期!F$8:F$26,$D$10:$D$28,$L89))</f>
        <v>535266.53430428996</v>
      </c>
      <c r="O89" s="43">
        <f>IF($L89&lt;基础状态预期!G$9,0,求节点(基础状态预期!G$8:G$26,$D$10:$D$28,$L89))</f>
        <v>443999.56075551733</v>
      </c>
      <c r="P89" s="43">
        <f>IF($L89&lt;基础状态预期!H$9,0,求节点(基础状态预期!H$8:H$26,$D$10:$D$28,$L89))</f>
        <v>330331.90754891012</v>
      </c>
      <c r="Q89" s="43">
        <f>IF($L89&lt;基础状态预期!I$9,0,求节点(基础状态预期!I$8:I$26,$D$10:$D$28,$L89))</f>
        <v>177769.17457237109</v>
      </c>
      <c r="T89" s="42">
        <v>85</v>
      </c>
      <c r="U89" s="43">
        <f>协作币产出情况!H91/M89</f>
        <v>0.88457561452505395</v>
      </c>
      <c r="V89" s="43">
        <f>协作币产出情况!I91/N89</f>
        <v>0.87354832424347517</v>
      </c>
      <c r="W89" s="43">
        <f>协作币产出情况!J91/O89</f>
        <v>0.85783361214146026</v>
      </c>
      <c r="X89" s="43">
        <f>协作币产出情况!K91/P89</f>
        <v>0.84267008340917504</v>
      </c>
      <c r="Y89" s="43">
        <f>协作币产出情况!L91/Q89</f>
        <v>0.86518078642226093</v>
      </c>
    </row>
    <row r="90" spans="11:25" x14ac:dyDescent="0.15">
      <c r="K90" s="41"/>
      <c r="L90" s="42">
        <v>86</v>
      </c>
      <c r="M90" s="43">
        <f>IF($L90&lt;基础状态预期!E$9,0,求节点(基础状态预期!E$8:E$26,$D$10:$D$28,$L90))</f>
        <v>621683.24005801557</v>
      </c>
      <c r="N90" s="43">
        <f>IF($L90&lt;基础状态预期!F$9,0,求节点(基础状态预期!F$8:F$26,$D$10:$D$28,$L90))</f>
        <v>571495.15758059348</v>
      </c>
      <c r="O90" s="43">
        <f>IF($L90&lt;基础状态预期!G$9,0,求节点(基础状态预期!G$8:G$26,$D$10:$D$28,$L90))</f>
        <v>472166.9824161827</v>
      </c>
      <c r="P90" s="43">
        <f>IF($L90&lt;基础状态预期!H$9,0,求节点(基础状态预期!H$8:H$26,$D$10:$D$28,$L90))</f>
        <v>352153.33588704653</v>
      </c>
      <c r="Q90" s="43">
        <f>IF($L90&lt;基础状态预期!I$9,0,求节点(基础状态预期!I$8:I$26,$D$10:$D$28,$L90))</f>
        <v>191005.48220143662</v>
      </c>
      <c r="T90" s="42">
        <v>86</v>
      </c>
      <c r="U90" s="43">
        <f>协作币产出情况!H92/M90</f>
        <v>0.93381182591606804</v>
      </c>
      <c r="V90" s="43">
        <f>协作币产出情况!I92/N90</f>
        <v>0.87665107527767883</v>
      </c>
      <c r="W90" s="43">
        <f>协作币产出情况!J92/O90</f>
        <v>0.86483902482469632</v>
      </c>
      <c r="X90" s="43">
        <f>协作币产出情况!K92/P90</f>
        <v>0.84932239665433185</v>
      </c>
      <c r="Y90" s="43">
        <f>协作币产出情况!L92/Q90</f>
        <v>0.85558092935344454</v>
      </c>
    </row>
    <row r="91" spans="11:25" x14ac:dyDescent="0.15">
      <c r="K91" s="41"/>
      <c r="L91" s="42">
        <v>87</v>
      </c>
      <c r="M91" s="43">
        <f>IF($L91&lt;基础状态预期!E$9,0,求节点(基础状态预期!E$8:E$26,$D$10:$D$28,$L91))</f>
        <v>628912.11494241108</v>
      </c>
      <c r="N91" s="43">
        <f>IF($L91&lt;基础状态预期!F$9,0,求节点(基础状态预期!F$8:F$26,$D$10:$D$28,$L91))</f>
        <v>608425.71368332009</v>
      </c>
      <c r="O91" s="43">
        <f>IF($L91&lt;基础状态预期!G$9,0,求节点(基础状态预期!G$8:G$26,$D$10:$D$28,$L91))</f>
        <v>504371.83092122799</v>
      </c>
      <c r="P91" s="43">
        <f>IF($L91&lt;基础状态预期!H$9,0,求节点(基础状态预期!H$8:H$26,$D$10:$D$28,$L91))</f>
        <v>374650.52815140679</v>
      </c>
      <c r="Q91" s="43">
        <f>IF($L91&lt;基础状态预期!I$9,0,求节点(基础状态预期!I$8:I$26,$D$10:$D$28,$L91))</f>
        <v>204651.45724239893</v>
      </c>
      <c r="T91" s="42">
        <v>87</v>
      </c>
      <c r="U91" s="43">
        <f>协作币产出情况!H93/M91</f>
        <v>0.98950207130065004</v>
      </c>
      <c r="V91" s="43">
        <f>协作币产出情况!I93/N91</f>
        <v>0.88330714183216985</v>
      </c>
      <c r="W91" s="43">
        <f>协作币产出情况!J93/O91</f>
        <v>0.86960442400983318</v>
      </c>
      <c r="X91" s="43">
        <f>协作币产出情况!K93/P91</f>
        <v>0.85111734339503942</v>
      </c>
      <c r="Y91" s="43">
        <f>协作币产出情况!L93/Q91</f>
        <v>0.84839095607510906</v>
      </c>
    </row>
    <row r="92" spans="11:25" x14ac:dyDescent="0.15">
      <c r="K92" s="41"/>
      <c r="L92" s="42">
        <v>88</v>
      </c>
      <c r="M92" s="43">
        <f>IF($L92&lt;基础状态预期!E$9,0,求节点(基础状态预期!E$8:E$26,$D$10:$D$28,$L92))</f>
        <v>636140.9898268067</v>
      </c>
      <c r="N92" s="43">
        <f>IF($L92&lt;基础状态预期!F$9,0,求节点(基础状态预期!F$8:F$26,$D$10:$D$28,$L92))</f>
        <v>620798.70057176426</v>
      </c>
      <c r="O92" s="43">
        <f>IF($L92&lt;基础状态预期!G$9,0,求节点(基础状态预期!G$8:G$26,$D$10:$D$28,$L92))</f>
        <v>536576.67942627333</v>
      </c>
      <c r="P92" s="43">
        <f>IF($L92&lt;基础状态预期!H$9,0,求节点(基础状态预期!H$8:H$26,$D$10:$D$28,$L92))</f>
        <v>397147.72041576705</v>
      </c>
      <c r="Q92" s="43">
        <f>IF($L92&lt;基础状态预期!I$9,0,求节点(基础状态预期!I$8:I$26,$D$10:$D$28,$L92))</f>
        <v>218474.50012393386</v>
      </c>
      <c r="T92" s="42">
        <v>88</v>
      </c>
      <c r="U92" s="43">
        <f>协作币产出情况!H94/M92</f>
        <v>1.0486399136031788</v>
      </c>
      <c r="V92" s="43">
        <f>协作币产出情况!I94/N92</f>
        <v>0.92970566182537251</v>
      </c>
      <c r="W92" s="43">
        <f>协作币产出情况!J94/O92</f>
        <v>0.87472955687759879</v>
      </c>
      <c r="X92" s="43">
        <f>协作币产出情况!K94/P92</f>
        <v>0.85361561481007631</v>
      </c>
      <c r="Y92" s="43">
        <f>协作币产出情况!L94/Q92</f>
        <v>0.84578266355360987</v>
      </c>
    </row>
    <row r="93" spans="11:25" x14ac:dyDescent="0.15">
      <c r="K93" s="41"/>
      <c r="L93" s="42">
        <v>89</v>
      </c>
      <c r="M93" s="43">
        <f>IF($L93&lt;基础状态预期!E$9,0,求节点(基础状态预期!E$8:E$26,$D$10:$D$28,$L93))</f>
        <v>643369.86471120222</v>
      </c>
      <c r="N93" s="43">
        <f>IF($L93&lt;基础状态预期!F$9,0,求节点(基础状态预期!F$8:F$26,$D$10:$D$28,$L93))</f>
        <v>627853.23126007966</v>
      </c>
      <c r="O93" s="43">
        <f>IF($L93&lt;基础状态预期!G$9,0,求节点(基础状态预期!G$8:G$26,$D$10:$D$28,$L93))</f>
        <v>569674.41307758098</v>
      </c>
      <c r="P93" s="43">
        <f>IF($L93&lt;基础状态预期!H$9,0,求节点(基础状态预期!H$8:H$26,$D$10:$D$28,$L93))</f>
        <v>421529.01966279233</v>
      </c>
      <c r="Q93" s="43">
        <f>IF($L93&lt;基础状态预期!I$9,0,求节点(基础状态预期!I$8:I$26,$D$10:$D$28,$L93))</f>
        <v>232297.54300546879</v>
      </c>
      <c r="T93" s="42">
        <v>89</v>
      </c>
      <c r="U93" s="43">
        <f>协作币产出情况!H95/M93</f>
        <v>1.111443629429629</v>
      </c>
      <c r="V93" s="43">
        <f>协作币产出情况!I95/N93</f>
        <v>0.98379185290338556</v>
      </c>
      <c r="W93" s="43">
        <f>协作币产出情况!J95/O93</f>
        <v>0.87577020368298319</v>
      </c>
      <c r="X93" s="43">
        <f>协作币产出情况!K95/P93</f>
        <v>0.8551403016623742</v>
      </c>
      <c r="Y93" s="43">
        <f>协作币产出情况!L95/Q93</f>
        <v>0.84343982265219586</v>
      </c>
    </row>
    <row r="94" spans="11:25" x14ac:dyDescent="0.15">
      <c r="K94" s="41"/>
      <c r="L94" s="42">
        <v>90</v>
      </c>
      <c r="M94" s="43">
        <f>IF($L94&lt;基础状态预期!E$9,0,求节点(基础状态预期!E$8:E$26,$D$10:$D$28,$L94))</f>
        <v>650598.73959559773</v>
      </c>
      <c r="N94" s="43">
        <f>IF($L94&lt;基础状态预期!F$9,0,求节点(基础状态预期!F$8:F$26,$D$10:$D$28,$L94))</f>
        <v>634907.76194839517</v>
      </c>
      <c r="O94" s="43">
        <f>IF($L94&lt;基础状态预期!G$9,0,求节点(基础状态预期!G$8:G$26,$D$10:$D$28,$L94))</f>
        <v>602878.34790411708</v>
      </c>
      <c r="P94" s="43">
        <f>IF($L94&lt;基础状态预期!H$9,0,求节点(基础状态预期!H$8:H$26,$D$10:$D$28,$L94))</f>
        <v>446920.53557123669</v>
      </c>
      <c r="Q94" s="43">
        <f>IF($L94&lt;基础状态预期!I$9,0,求节点(基础状态预期!I$8:I$26,$D$10:$D$28,$L94))</f>
        <v>247522.62882137683</v>
      </c>
      <c r="T94" s="42">
        <v>90</v>
      </c>
      <c r="U94" s="43">
        <f>协作币产出情况!H96/M94</f>
        <v>1.1781455347983685</v>
      </c>
      <c r="V94" s="43">
        <f>协作币产出情况!I96/N94</f>
        <v>1.0351064192115147</v>
      </c>
      <c r="W94" s="43">
        <f>协作币产出情况!J96/O94</f>
        <v>0.88108073850494395</v>
      </c>
      <c r="X94" s="43">
        <f>协作币产出情况!K96/P94</f>
        <v>0.85547691271630699</v>
      </c>
      <c r="Y94" s="43">
        <f>协作币产出情况!L96/Q94</f>
        <v>0.83920205998580022</v>
      </c>
    </row>
    <row r="95" spans="11:25" x14ac:dyDescent="0.15">
      <c r="K95" s="41"/>
      <c r="L95" s="42">
        <v>91</v>
      </c>
      <c r="M95" s="43">
        <f>IF($L95&lt;基础状态预期!E$9,0,求节点(基础状态预期!E$8:E$26,$D$10:$D$28,$L95))</f>
        <v>657827.61447999324</v>
      </c>
      <c r="N95" s="43">
        <f>IF($L95&lt;基础状态预期!F$9,0,求节点(基础状态预期!F$8:F$26,$D$10:$D$28,$L95))</f>
        <v>641962.29263671068</v>
      </c>
      <c r="O95" s="43">
        <f>IF($L95&lt;基础状态预期!G$9,0,求节点(基础状态预期!G$8:G$26,$D$10:$D$28,$L95))</f>
        <v>619321.18263968546</v>
      </c>
      <c r="P95" s="43">
        <f>IF($L95&lt;基础状态预期!H$9,0,求节点(基础状态预期!H$8:H$26,$D$10:$D$28,$L95))</f>
        <v>472826.49524951016</v>
      </c>
      <c r="Q95" s="43">
        <f>IF($L95&lt;基础状态预期!I$9,0,求节点(基础状态预期!I$8:I$26,$D$10:$D$28,$L95))</f>
        <v>264512.11687031714</v>
      </c>
      <c r="T95" s="42">
        <v>91</v>
      </c>
      <c r="U95" s="43">
        <f>协作币产出情况!H97/M95</f>
        <v>1.2489928989638992</v>
      </c>
      <c r="V95" s="43">
        <f>协作币产出情况!I97/N95</f>
        <v>1.0973521768585166</v>
      </c>
      <c r="W95" s="43">
        <f>协作币产出情况!J97/O95</f>
        <v>0.91658200784453936</v>
      </c>
      <c r="X95" s="43">
        <f>协作币产出情况!K97/P95</f>
        <v>0.86484425699098133</v>
      </c>
      <c r="Y95" s="43">
        <f>协作币产出情况!L97/Q95</f>
        <v>0.83866836731826044</v>
      </c>
    </row>
    <row r="96" spans="11:25" x14ac:dyDescent="0.15">
      <c r="K96" s="41"/>
      <c r="L96" s="42">
        <v>92</v>
      </c>
      <c r="M96" s="43">
        <f>IF($L96&lt;基础状态预期!E$9,0,求节点(基础状态预期!E$8:E$26,$D$10:$D$28,$L96))</f>
        <v>665056.48936438875</v>
      </c>
      <c r="N96" s="43">
        <f>IF($L96&lt;基础状态预期!F$9,0,求节点(基础状态预期!F$8:F$26,$D$10:$D$28,$L96))</f>
        <v>649016.8233250262</v>
      </c>
      <c r="O96" s="43">
        <f>IF($L96&lt;基础状态预期!G$9,0,求节点(基础状态预期!G$8:G$26,$D$10:$D$28,$L96))</f>
        <v>626126.90992144018</v>
      </c>
      <c r="P96" s="43">
        <f>IF($L96&lt;基础状态预期!H$9,0,求节点(基础状态预期!H$8:H$26,$D$10:$D$28,$L96))</f>
        <v>503867.75870052178</v>
      </c>
      <c r="Q96" s="43">
        <f>IF($L96&lt;基础状态预期!I$9,0,求节点(基础状态预期!I$8:I$26,$D$10:$D$28,$L96))</f>
        <v>281501.60491925752</v>
      </c>
      <c r="T96" s="42">
        <v>92</v>
      </c>
      <c r="U96" s="43">
        <f>协作币产出情况!H98/M96</f>
        <v>1.3242489182827606</v>
      </c>
      <c r="V96" s="43">
        <f>协作币产出情况!I98/N96</f>
        <v>1.1608930784468288</v>
      </c>
      <c r="W96" s="43">
        <f>协作币产出情况!J98/O96</f>
        <v>0.97054322797957027</v>
      </c>
      <c r="X96" s="43">
        <f>协作币产出情况!K98/P96</f>
        <v>0.86799716715797848</v>
      </c>
      <c r="Y96" s="43">
        <f>协作币产出情况!L98/Q96</f>
        <v>0.84002377341704326</v>
      </c>
    </row>
    <row r="97" spans="11:25" x14ac:dyDescent="0.15">
      <c r="K97" s="41"/>
      <c r="L97" s="42">
        <v>93</v>
      </c>
      <c r="M97" s="43">
        <f>IF($L97&lt;基础状态预期!E$9,0,求节点(基础状态预期!E$8:E$26,$D$10:$D$28,$L97))</f>
        <v>672285.36424878426</v>
      </c>
      <c r="N97" s="43">
        <f>IF($L97&lt;基础状态预期!F$9,0,求节点(基础状态预期!F$8:F$26,$D$10:$D$28,$L97))</f>
        <v>656071.35401334171</v>
      </c>
      <c r="O97" s="43">
        <f>IF($L97&lt;基础状态预期!G$9,0,求节点(基础状态预期!G$8:G$26,$D$10:$D$28,$L97))</f>
        <v>632932.63720319502</v>
      </c>
      <c r="P97" s="43">
        <f>IF($L97&lt;基础状态预期!H$9,0,求节点(基础状态预期!H$8:H$26,$D$10:$D$28,$L97))</f>
        <v>534909.0221515334</v>
      </c>
      <c r="Q97" s="43">
        <f>IF($L97&lt;基础状态预期!I$9,0,求节点(基础状态预期!I$8:I$26,$D$10:$D$28,$L97))</f>
        <v>300358.96165421611</v>
      </c>
      <c r="T97" s="42">
        <v>93</v>
      </c>
      <c r="U97" s="43">
        <f>协作币产出情况!H99/M97</f>
        <v>1.4041937540968901</v>
      </c>
      <c r="V97" s="43">
        <f>协作币产出情况!I99/N97</f>
        <v>1.2308322413451449</v>
      </c>
      <c r="W97" s="43">
        <f>协作币产出情况!J99/O97</f>
        <v>1.027792520505451</v>
      </c>
      <c r="X97" s="43">
        <f>协作币产出情况!K99/P97</f>
        <v>0.87358661160294615</v>
      </c>
      <c r="Y97" s="43">
        <f>协作币产出情况!L99/Q97</f>
        <v>0.8407442111492428</v>
      </c>
    </row>
    <row r="98" spans="11:25" x14ac:dyDescent="0.15">
      <c r="K98" s="41"/>
      <c r="L98" s="42">
        <v>94</v>
      </c>
      <c r="M98" s="43">
        <f>IF($L98&lt;基础状态预期!E$9,0,求节点(基础状态预期!E$8:E$26,$D$10:$D$28,$L98))</f>
        <v>679514.23913317989</v>
      </c>
      <c r="N98" s="43">
        <f>IF($L98&lt;基础状态预期!F$9,0,求节点(基础状态预期!F$8:F$26,$D$10:$D$28,$L98))</f>
        <v>663125.88470165723</v>
      </c>
      <c r="O98" s="43">
        <f>IF($L98&lt;基础状态预期!G$9,0,求节点(基础状态预期!G$8:G$26,$D$10:$D$28,$L98))</f>
        <v>639738.36448494974</v>
      </c>
      <c r="P98" s="43">
        <f>IF($L98&lt;基础状态预期!H$9,0,求节点(基础状态预期!H$8:H$26,$D$10:$D$28,$L98))</f>
        <v>569346.00840168633</v>
      </c>
      <c r="Q98" s="43">
        <f>IF($L98&lt;基础状态预期!I$9,0,求节点(基础状态预期!I$8:I$26,$D$10:$D$28,$L98))</f>
        <v>321085.79339223786</v>
      </c>
      <c r="T98" s="42">
        <v>94</v>
      </c>
      <c r="U98" s="43">
        <f>协作币产出情况!H100/M98</f>
        <v>1.4891256388745977</v>
      </c>
      <c r="V98" s="43">
        <f>协作币产出情况!I100/N98</f>
        <v>1.3035999302998122</v>
      </c>
      <c r="W98" s="43">
        <f>协作币产出情况!J100/O98</f>
        <v>1.0880599294348763</v>
      </c>
      <c r="X98" s="43">
        <f>协作币产出情况!K100/P98</f>
        <v>0.8765499929025109</v>
      </c>
      <c r="Y98" s="43">
        <f>协作币产出情况!L100/Q98</f>
        <v>0.83922802641547589</v>
      </c>
    </row>
    <row r="99" spans="11:25" x14ac:dyDescent="0.15">
      <c r="K99" s="41"/>
      <c r="L99" s="42">
        <v>95</v>
      </c>
      <c r="M99" s="43">
        <f>IF($L99&lt;基础状态预期!E$9,0,求节点(基础状态预期!E$8:E$26,$D$10:$D$28,$L99))</f>
        <v>686743.1140175754</v>
      </c>
      <c r="N99" s="43">
        <f>IF($L99&lt;基础状态预期!F$9,0,求节点(基础状态预期!F$8:F$26,$D$10:$D$28,$L99))</f>
        <v>670180.41538997274</v>
      </c>
      <c r="O99" s="43">
        <f>IF($L99&lt;基础状态预期!G$9,0,求节点(基础状态预期!G$8:G$26,$D$10:$D$28,$L99))</f>
        <v>646544.09176670457</v>
      </c>
      <c r="P99" s="43">
        <f>IF($L99&lt;基础状态预期!H$9,0,求节点(基础状态预期!H$8:H$26,$D$10:$D$28,$L99))</f>
        <v>604449.17420048616</v>
      </c>
      <c r="Q99" s="43">
        <f>IF($L99&lt;基础状态预期!I$9,0,求节点(基础状态预期!I$8:I$26,$D$10:$D$28,$L99))</f>
        <v>341812.62513025961</v>
      </c>
      <c r="T99" s="42">
        <v>95</v>
      </c>
      <c r="U99" s="43">
        <f>协作币产出情况!H101/M99</f>
        <v>1.5793620551319849</v>
      </c>
      <c r="V99" s="43">
        <f>协作币产出情况!I101/N99</f>
        <v>1.3835650978483551</v>
      </c>
      <c r="W99" s="43">
        <f>协作币产出情况!J101/O99</f>
        <v>1.1506378834500102</v>
      </c>
      <c r="X99" s="43">
        <f>协作币产出情况!K101/P99</f>
        <v>0.88194143456514973</v>
      </c>
      <c r="Y99" s="43">
        <f>协作币产出情况!L101/Q99</f>
        <v>0.84627386519433356</v>
      </c>
    </row>
    <row r="100" spans="11:25" x14ac:dyDescent="0.15">
      <c r="K100" s="41"/>
      <c r="L100" s="42">
        <v>96</v>
      </c>
      <c r="M100" s="43">
        <f>IF($L100&lt;基础状态预期!E$9,0,求节点(基础状态预期!E$8:E$26,$D$10:$D$28,$L100))</f>
        <v>693971.98890197091</v>
      </c>
      <c r="N100" s="43">
        <f>IF($L100&lt;基础状态预期!F$9,0,求节点(基础状态预期!F$8:F$26,$D$10:$D$28,$L100))</f>
        <v>677234.94607828825</v>
      </c>
      <c r="O100" s="43">
        <f>IF($L100&lt;基础状态预期!G$9,0,求节点(基础状态预期!G$8:G$26,$D$10:$D$28,$L100))</f>
        <v>653349.81904845941</v>
      </c>
      <c r="P100" s="43">
        <f>IF($L100&lt;基础状态预期!H$9,0,求节点(基础状态预期!H$8:H$26,$D$10:$D$28,$L100))</f>
        <v>619513.6329481164</v>
      </c>
      <c r="Q100" s="43">
        <f>IF($L100&lt;基础状态预期!I$9,0,求节点(基础状态预期!I$8:I$26,$D$10:$D$28,$L100))</f>
        <v>367203.93496367609</v>
      </c>
      <c r="T100" s="42">
        <v>96</v>
      </c>
      <c r="U100" s="43">
        <f>协作币产出情况!H102/M100</f>
        <v>1.6752409919591265</v>
      </c>
      <c r="V100" s="43">
        <f>协作币产出情况!I102/N100</f>
        <v>1.4641244287477981</v>
      </c>
      <c r="W100" s="43">
        <f>协作币产出情况!J102/O100</f>
        <v>1.2167533589890396</v>
      </c>
      <c r="X100" s="43">
        <f>协作币产出情况!K102/P100</f>
        <v>0.9217788153900307</v>
      </c>
      <c r="Y100" s="43">
        <f>协作币产出情况!L102/Q100</f>
        <v>0.8450073370285156</v>
      </c>
    </row>
    <row r="101" spans="11:25" x14ac:dyDescent="0.15">
      <c r="K101" s="41"/>
      <c r="L101" s="42">
        <v>97</v>
      </c>
      <c r="M101" s="43">
        <f>IF($L101&lt;基础状态预期!E$9,0,求节点(基础状态预期!E$8:E$26,$D$10:$D$28,$L101))</f>
        <v>701200.86378636642</v>
      </c>
      <c r="N101" s="43">
        <f>IF($L101&lt;基础状态预期!F$9,0,求节点(基础状态预期!F$8:F$26,$D$10:$D$28,$L101))</f>
        <v>684289.47676660377</v>
      </c>
      <c r="O101" s="43">
        <f>IF($L101&lt;基础状态预期!G$9,0,求节点(基础状态预期!G$8:G$26,$D$10:$D$28,$L101))</f>
        <v>660155.54633021413</v>
      </c>
      <c r="P101" s="43">
        <f>IF($L101&lt;基础状态预期!H$9,0,求节点(基础状态预期!H$8:H$26,$D$10:$D$28,$L101))</f>
        <v>625966.8999579926</v>
      </c>
      <c r="Q101" s="43">
        <f>IF($L101&lt;基础状态预期!I$9,0,求节点(基础状态预期!I$8:I$26,$D$10:$D$28,$L101))</f>
        <v>393442.90161870152</v>
      </c>
      <c r="T101" s="42">
        <v>97</v>
      </c>
      <c r="U101" s="43">
        <f>协作币产出情况!H103/M101</f>
        <v>1.7771222842971708</v>
      </c>
      <c r="V101" s="43">
        <f>协作币产出情况!I103/N101</f>
        <v>1.5513454351107965</v>
      </c>
      <c r="W101" s="43">
        <f>协作币产出情况!J103/O101</f>
        <v>1.2935827351623246</v>
      </c>
      <c r="X101" s="43">
        <f>协作币产出情况!K103/P101</f>
        <v>0.98201812041732406</v>
      </c>
      <c r="Y101" s="43">
        <f>协作币产出情况!L103/Q101</f>
        <v>0.85134836293097416</v>
      </c>
    </row>
    <row r="102" spans="11:25" x14ac:dyDescent="0.15">
      <c r="K102" s="41"/>
      <c r="L102" s="42">
        <v>98</v>
      </c>
      <c r="M102" s="43">
        <f>IF($L102&lt;基础状态预期!E$9,0,求节点(基础状态预期!E$8:E$26,$D$10:$D$28,$L102))</f>
        <v>708429.73867076193</v>
      </c>
      <c r="N102" s="43">
        <f>IF($L102&lt;基础状态预期!F$9,0,求节点(基础状态预期!F$8:F$26,$D$10:$D$28,$L102))</f>
        <v>691344.00745491928</v>
      </c>
      <c r="O102" s="43">
        <f>IF($L102&lt;基础状态预期!G$9,0,求节点(基础状态预期!G$8:G$26,$D$10:$D$28,$L102))</f>
        <v>666961.27361196897</v>
      </c>
      <c r="P102" s="43">
        <f>IF($L102&lt;基础状态预期!H$9,0,求节点(基础状态预期!H$8:H$26,$D$10:$D$28,$L102))</f>
        <v>632420.1669678688</v>
      </c>
      <c r="Q102" s="43">
        <f>IF($L102&lt;基础状态预期!I$9,0,求节点(基础状态预期!I$8:I$26,$D$10:$D$28,$L102))</f>
        <v>420545.37797783338</v>
      </c>
      <c r="T102" s="42">
        <v>98</v>
      </c>
      <c r="U102" s="43">
        <f>协作币产出情况!H104/M102</f>
        <v>1.8853890404558362</v>
      </c>
      <c r="V102" s="43">
        <f>协作币产出情况!I104/N102</f>
        <v>1.6497212664538203</v>
      </c>
      <c r="W102" s="43">
        <f>协作币产出情况!J104/O102</f>
        <v>1.3785991485831708</v>
      </c>
      <c r="X102" s="43">
        <f>协作币产出情况!K104/P102</f>
        <v>1.048181105337487</v>
      </c>
      <c r="Y102" s="43">
        <f>协作币产出情况!L104/Q102</f>
        <v>0.85879910894014011</v>
      </c>
    </row>
    <row r="103" spans="11:25" x14ac:dyDescent="0.15">
      <c r="K103" s="41"/>
      <c r="L103" s="42">
        <v>99</v>
      </c>
      <c r="M103" s="43">
        <f>IF($L103&lt;基础状态预期!E$9,0,求节点(基础状态预期!E$8:E$26,$D$10:$D$28,$L103))</f>
        <v>715658.61355515744</v>
      </c>
      <c r="N103" s="43">
        <f>IF($L103&lt;基础状态预期!F$9,0,求节点(基础状态预期!F$8:F$26,$D$10:$D$28,$L103))</f>
        <v>698398.53814323479</v>
      </c>
      <c r="O103" s="43">
        <f>IF($L103&lt;基础状态预期!G$9,0,求节点(基础状态预期!G$8:G$26,$D$10:$D$28,$L103))</f>
        <v>673767.00089372369</v>
      </c>
      <c r="P103" s="43">
        <f>IF($L103&lt;基础状态预期!H$9,0,求节点(基础状态预期!H$8:H$26,$D$10:$D$28,$L103))</f>
        <v>638873.43397774512</v>
      </c>
      <c r="Q103" s="43">
        <f>IF($L103&lt;基础状态预期!I$9,0,求节点(基础状态预期!I$8:I$26,$D$10:$D$28,$L103))</f>
        <v>448327.58163171442</v>
      </c>
      <c r="T103" s="42">
        <v>99</v>
      </c>
      <c r="U103" s="43">
        <f>协作币产出情况!H105/M103</f>
        <v>2.000449163727136</v>
      </c>
      <c r="V103" s="43">
        <f>协作币产出情况!I105/N103</f>
        <v>1.7536790522487762</v>
      </c>
      <c r="W103" s="43">
        <f>协作币产出情况!J105/O103</f>
        <v>1.4663434812143727</v>
      </c>
      <c r="X103" s="43">
        <f>协作币产出情况!K105/P103</f>
        <v>1.116182307938332</v>
      </c>
      <c r="Y103" s="43">
        <f>协作币产出情况!L105/Q103</f>
        <v>0.86186818347495353</v>
      </c>
    </row>
    <row r="104" spans="11:25" x14ac:dyDescent="0.15">
      <c r="K104" s="41"/>
      <c r="L104" s="42">
        <v>100</v>
      </c>
      <c r="M104" s="43">
        <f>IF($L104&lt;基础状态预期!E$9,0,求节点(基础状态预期!E$8:E$26,$D$10:$D$28,$L104))</f>
        <v>722887.48843955295</v>
      </c>
      <c r="N104" s="43">
        <f>IF($L104&lt;基础状态预期!F$9,0,求节点(基础状态预期!F$8:F$26,$D$10:$D$28,$L104))</f>
        <v>705453.06883155019</v>
      </c>
      <c r="O104" s="43">
        <f>IF($L104&lt;基础状态预期!G$9,0,求节点(基础状态预期!G$8:G$26,$D$10:$D$28,$L104))</f>
        <v>680572.72817547852</v>
      </c>
      <c r="P104" s="43">
        <f>IF($L104&lt;基础状态预期!H$9,0,求节点(基础状态预期!H$8:H$26,$D$10:$D$28,$L104))</f>
        <v>645326.70098762133</v>
      </c>
      <c r="Q104" s="43">
        <f>IF($L104&lt;基础状态预期!I$9,0,求节点(基础状态预期!I$8:I$26,$D$10:$D$28,$L104))</f>
        <v>476738.50423054758</v>
      </c>
      <c r="T104" s="42">
        <v>100</v>
      </c>
      <c r="U104" s="43">
        <f>协作币产出情况!H106/M104</f>
        <v>2.122736974342188</v>
      </c>
      <c r="V104" s="43">
        <f>协作币产出情况!I106/N104</f>
        <v>1.8613168019452455</v>
      </c>
      <c r="W104" s="43">
        <f>协作币产出情况!J106/O104</f>
        <v>1.5575596201772601</v>
      </c>
      <c r="X104" s="43">
        <f>协作币产出情况!K106/P104</f>
        <v>1.1813235045648967</v>
      </c>
      <c r="Y104" s="43">
        <f>协作币产出情况!L106/Q104</f>
        <v>0.86455508909487822</v>
      </c>
    </row>
    <row r="105" spans="11:25" x14ac:dyDescent="0.15">
      <c r="K105" s="41"/>
      <c r="L105" s="42">
        <v>101</v>
      </c>
      <c r="M105" s="43">
        <f>IF($L105&lt;基础状态预期!E$9,0,求节点(基础状态预期!E$8:E$26,$D$10:$D$28,$L105))</f>
        <v>730116.36332394858</v>
      </c>
      <c r="N105" s="43">
        <f>IF($L105&lt;基础状态预期!F$9,0,求节点(基础状态预期!F$8:F$26,$D$10:$D$28,$L105))</f>
        <v>712507.5995198657</v>
      </c>
      <c r="O105" s="43">
        <f>IF($L105&lt;基础状态预期!G$9,0,求节点(基础状态预期!G$8:G$26,$D$10:$D$28,$L105))</f>
        <v>687378.45545723324</v>
      </c>
      <c r="P105" s="43">
        <f>IF($L105&lt;基础状态预期!H$9,0,求节点(基础状态预期!H$8:H$26,$D$10:$D$28,$L105))</f>
        <v>651779.96799749753</v>
      </c>
      <c r="Q105" s="43">
        <f>IF($L105&lt;基础状态预期!I$9,0,求节点(基础状态预期!I$8:I$26,$D$10:$D$28,$L105))</f>
        <v>507379.59685568174</v>
      </c>
      <c r="T105" s="42">
        <v>101</v>
      </c>
      <c r="U105" s="43">
        <f>协作币产出情况!H107/M105</f>
        <v>2.2527149384350684</v>
      </c>
      <c r="V105" s="43">
        <f>协作币产出情况!I107/N105</f>
        <v>1.9771343770742034</v>
      </c>
      <c r="W105" s="43">
        <f>协作币产出情况!J107/O105</f>
        <v>1.650298979138582</v>
      </c>
      <c r="X105" s="43">
        <f>协作币产出情况!K107/P105</f>
        <v>1.2473488264858674</v>
      </c>
      <c r="Y105" s="43">
        <f>协作币产出情况!L107/Q105</f>
        <v>0.86746394103811042</v>
      </c>
    </row>
    <row r="106" spans="11:25" x14ac:dyDescent="0.15">
      <c r="K106" s="41"/>
      <c r="L106" s="42">
        <v>102</v>
      </c>
      <c r="M106" s="43">
        <f>IF($L106&lt;基础状态预期!E$9,0,求节点(基础状态预期!E$8:E$26,$D$10:$D$28,$L106))</f>
        <v>737345.23820834409</v>
      </c>
      <c r="N106" s="43">
        <f>IF($L106&lt;基础状态预期!F$9,0,求节点(基础状态预期!F$8:F$26,$D$10:$D$28,$L106))</f>
        <v>719562.13020818122</v>
      </c>
      <c r="O106" s="43">
        <f>IF($L106&lt;基础状态预期!G$9,0,求节点(基础状态预期!G$8:G$26,$D$10:$D$28,$L106))</f>
        <v>694184.18273898808</v>
      </c>
      <c r="P106" s="43">
        <f>IF($L106&lt;基础状态预期!H$9,0,求节点(基础状态预期!H$8:H$26,$D$10:$D$28,$L106))</f>
        <v>658233.23500737373</v>
      </c>
      <c r="Q106" s="43">
        <f>IF($L106&lt;基础状态预期!I$9,0,求节点(基础状态预期!I$8:I$26,$D$10:$D$28,$L106))</f>
        <v>538020.68948081601</v>
      </c>
      <c r="T106" s="42">
        <v>102</v>
      </c>
      <c r="U106" s="43">
        <f>协作币产出情况!H108/M106</f>
        <v>2.3908755111229447</v>
      </c>
      <c r="V106" s="43">
        <f>协作币产出情况!I108/N106</f>
        <v>2.0934934762034252</v>
      </c>
      <c r="W106" s="43">
        <f>协作币产出情况!J108/O106</f>
        <v>1.7421167061100673</v>
      </c>
      <c r="X106" s="43">
        <f>协作币产出情况!K108/P106</f>
        <v>1.3171540192848985</v>
      </c>
      <c r="Y106" s="43">
        <f>协作币产出情况!L108/Q106</f>
        <v>0.87420783034154914</v>
      </c>
    </row>
    <row r="107" spans="11:25" x14ac:dyDescent="0.15">
      <c r="K107" s="41"/>
      <c r="L107" s="42">
        <v>103</v>
      </c>
      <c r="M107" s="43">
        <f>IF($L107&lt;基础状态预期!E$9,0,求节点(基础状态预期!E$8:E$26,$D$10:$D$28,$L107))</f>
        <v>744574.1130927396</v>
      </c>
      <c r="N107" s="43">
        <f>IF($L107&lt;基础状态预期!F$9,0,求节点(基础状态预期!F$8:F$26,$D$10:$D$28,$L107))</f>
        <v>726616.66089649673</v>
      </c>
      <c r="O107" s="43">
        <f>IF($L107&lt;基础状态预期!G$9,0,求节点(基础状态预期!G$8:G$26,$D$10:$D$28,$L107))</f>
        <v>700989.9100207428</v>
      </c>
      <c r="P107" s="43">
        <f>IF($L107&lt;基础状态预期!H$9,0,求节点(基础状态预期!H$8:H$26,$D$10:$D$28,$L107))</f>
        <v>664686.50201724994</v>
      </c>
      <c r="Q107" s="43">
        <f>IF($L107&lt;基础状态预期!I$9,0,求节点(基础状态预期!I$8:I$26,$D$10:$D$28,$L107))</f>
        <v>574524.05715317535</v>
      </c>
      <c r="T107" s="42">
        <v>103</v>
      </c>
      <c r="U107" s="43">
        <f>协作币产出情况!H109/M107</f>
        <v>2.537743101286738</v>
      </c>
      <c r="V107" s="43">
        <f>协作币产出情况!I109/N107</f>
        <v>2.2158522672688288</v>
      </c>
      <c r="W107" s="43">
        <f>协作币产出情况!J109/O107</f>
        <v>1.8434714906323839</v>
      </c>
      <c r="X107" s="43">
        <f>协作币产出情况!K109/P107</f>
        <v>1.3969275461265165</v>
      </c>
      <c r="Y107" s="43">
        <f>协作币产出情况!L109/Q107</f>
        <v>0.87681407983903603</v>
      </c>
    </row>
    <row r="108" spans="11:25" x14ac:dyDescent="0.15">
      <c r="K108" s="41"/>
      <c r="L108" s="42">
        <v>104</v>
      </c>
      <c r="M108" s="43">
        <f>IF($L108&lt;基础状态预期!E$9,0,求节点(基础状态预期!E$8:E$26,$D$10:$D$28,$L108))</f>
        <v>751802.98797713511</v>
      </c>
      <c r="N108" s="43">
        <f>IF($L108&lt;基础状态预期!F$9,0,求节点(基础状态预期!F$8:F$26,$D$10:$D$28,$L108))</f>
        <v>733671.19158481224</v>
      </c>
      <c r="O108" s="43">
        <f>IF($L108&lt;基础状态预期!G$9,0,求节点(基础状态预期!G$8:G$26,$D$10:$D$28,$L108))</f>
        <v>707795.63730249763</v>
      </c>
      <c r="P108" s="43">
        <f>IF($L108&lt;基础状态预期!H$9,0,求节点(基础状态预期!H$8:H$26,$D$10:$D$28,$L108))</f>
        <v>671139.76902712614</v>
      </c>
      <c r="Q108" s="43">
        <f>IF($L108&lt;基础状态预期!I$9,0,求节点(基础状态预期!I$8:I$26,$D$10:$D$28,$L108))</f>
        <v>611432.25878262881</v>
      </c>
      <c r="T108" s="42">
        <v>104</v>
      </c>
      <c r="U108" s="43">
        <f>协作币产出情况!H110/M108</f>
        <v>2.6938761661436237</v>
      </c>
      <c r="V108" s="43">
        <f>协作币产出情况!I110/N108</f>
        <v>2.3527332893140165</v>
      </c>
      <c r="W108" s="43">
        <f>协作币产出情况!J110/O108</f>
        <v>1.9611819795180994</v>
      </c>
      <c r="X108" s="43">
        <f>协作币产出情况!K110/P108</f>
        <v>1.4864938225948743</v>
      </c>
      <c r="Y108" s="43">
        <f>协作币产出情况!L110/Q108</f>
        <v>0.88439155856697205</v>
      </c>
    </row>
    <row r="109" spans="11:25" x14ac:dyDescent="0.15">
      <c r="K109" s="41"/>
      <c r="L109" s="42">
        <v>105</v>
      </c>
      <c r="M109" s="43">
        <f>IF($L109&lt;基础状态预期!E$9,0,求节点(基础状态预期!E$8:E$26,$D$10:$D$28,$L109))</f>
        <v>759031.86286153062</v>
      </c>
      <c r="N109" s="43">
        <f>IF($L109&lt;基础状态预期!F$9,0,求节点(基础状态预期!F$8:F$26,$D$10:$D$28,$L109))</f>
        <v>740725.72227312776</v>
      </c>
      <c r="O109" s="43">
        <f>IF($L109&lt;基础状态预期!G$9,0,求节点(基础状态预期!G$8:G$26,$D$10:$D$28,$L109))</f>
        <v>714601.36458425247</v>
      </c>
      <c r="P109" s="43">
        <f>IF($L109&lt;基础状态预期!H$9,0,求节点(基础状态预期!H$8:H$26,$D$10:$D$28,$L109))</f>
        <v>677593.03603700234</v>
      </c>
      <c r="Q109" s="43">
        <f>IF($L109&lt;基础状态预期!I$9,0,求节点(基础状态预期!I$8:I$26,$D$10:$D$28,$L109))</f>
        <v>620336.87470669532</v>
      </c>
      <c r="T109" s="42">
        <v>105</v>
      </c>
      <c r="U109" s="43">
        <f>协作币产出情况!H111/M109</f>
        <v>2.8598694442437109</v>
      </c>
      <c r="V109" s="43">
        <f>协作币产出情况!I111/N109</f>
        <v>2.5006363179275102</v>
      </c>
      <c r="W109" s="43">
        <f>协作币产出情况!J111/O109</f>
        <v>2.0847614729850914</v>
      </c>
      <c r="X109" s="43">
        <f>协作币产出情况!K111/P109</f>
        <v>1.5796915079638296</v>
      </c>
      <c r="Y109" s="43">
        <f>协作币产出情况!L111/Q109</f>
        <v>0.93430759337979319</v>
      </c>
    </row>
    <row r="110" spans="11:25" x14ac:dyDescent="0.15">
      <c r="K110" s="41"/>
      <c r="L110" s="42">
        <v>106</v>
      </c>
      <c r="M110" s="43">
        <f>IF($L110&lt;基础状态预期!E$9,0,求节点(基础状态预期!E$8:E$26,$D$10:$D$28,$L110))</f>
        <v>766260.73774592625</v>
      </c>
      <c r="N110" s="43">
        <f>IF($L110&lt;基础状态预期!F$9,0,求节点(基础状态预期!F$8:F$26,$D$10:$D$28,$L110))</f>
        <v>747780.25296144327</v>
      </c>
      <c r="O110" s="43">
        <f>IF($L110&lt;基础状态预期!G$9,0,求节点(基础状态预期!G$8:G$26,$D$10:$D$28,$L110))</f>
        <v>721407.09186600719</v>
      </c>
      <c r="P110" s="43">
        <f>IF($L110&lt;基础状态预期!H$9,0,求节点(基础状态预期!H$8:H$26,$D$10:$D$28,$L110))</f>
        <v>684046.30304687854</v>
      </c>
      <c r="Q110" s="43">
        <f>IF($L110&lt;基础状态预期!I$9,0,求节点(基础状态预期!I$8:I$26,$D$10:$D$28,$L110))</f>
        <v>626244.8449419972</v>
      </c>
      <c r="T110" s="42">
        <v>106</v>
      </c>
      <c r="U110" s="43">
        <f>协作币产出情况!H112/M110</f>
        <v>3.0363563361006083</v>
      </c>
      <c r="V110" s="43">
        <f>协作币产出情况!I112/N110</f>
        <v>2.6568212250697618</v>
      </c>
      <c r="W110" s="43">
        <f>协作币产出情况!J112/O110</f>
        <v>2.2137377876246718</v>
      </c>
      <c r="X110" s="43">
        <f>协作币产出情况!K112/P110</f>
        <v>1.6761562855037568</v>
      </c>
      <c r="Y110" s="43">
        <f>协作币产出情况!L112/Q110</f>
        <v>0.98824991036193388</v>
      </c>
    </row>
    <row r="111" spans="11:25" x14ac:dyDescent="0.15">
      <c r="K111" s="41"/>
      <c r="L111" s="42">
        <v>107</v>
      </c>
      <c r="M111" s="43">
        <f>IF($L111&lt;基础状态预期!E$9,0,求节点(基础状态预期!E$8:E$26,$D$10:$D$28,$L111))</f>
        <v>773489.61263032176</v>
      </c>
      <c r="N111" s="43">
        <f>IF($L111&lt;基础状态预期!F$9,0,求节点(基础状态预期!F$8:F$26,$D$10:$D$28,$L111))</f>
        <v>754834.78364975879</v>
      </c>
      <c r="O111" s="43">
        <f>IF($L111&lt;基础状态预期!G$9,0,求节点(基础状态预期!G$8:G$26,$D$10:$D$28,$L111))</f>
        <v>728212.81914776203</v>
      </c>
      <c r="P111" s="43">
        <f>IF($L111&lt;基础状态预期!H$9,0,求节点(基础状态预期!H$8:H$26,$D$10:$D$28,$L111))</f>
        <v>690499.57005675475</v>
      </c>
      <c r="Q111" s="43">
        <f>IF($L111&lt;基础状态预期!I$9,0,求节点(基础状态预期!I$8:I$26,$D$10:$D$28,$L111))</f>
        <v>632152.81517729908</v>
      </c>
      <c r="T111" s="42">
        <v>107</v>
      </c>
      <c r="U111" s="43">
        <f>协作币产出情况!H113/M111</f>
        <v>3.2240114422819022</v>
      </c>
      <c r="V111" s="43">
        <f>协作币产出情况!I113/N111</f>
        <v>2.8196985502440719</v>
      </c>
      <c r="W111" s="43">
        <f>协作币产出情况!J113/O111</f>
        <v>2.3515801625398307</v>
      </c>
      <c r="X111" s="43">
        <f>协作币产出情况!K113/P111</f>
        <v>1.7728854668395222</v>
      </c>
      <c r="Y111" s="43">
        <f>协作币产出情况!L113/Q111</f>
        <v>1.0445926476941449</v>
      </c>
    </row>
    <row r="112" spans="11:25" x14ac:dyDescent="0.15">
      <c r="K112" s="41"/>
      <c r="L112" s="42">
        <v>108</v>
      </c>
      <c r="M112" s="43">
        <f>IF($L112&lt;基础状态预期!E$9,0,求节点(基础状态预期!E$8:E$26,$D$10:$D$28,$L112))</f>
        <v>780718.48751471727</v>
      </c>
      <c r="N112" s="43">
        <f>IF($L112&lt;基础状态预期!F$9,0,求节点(基础状态预期!F$8:F$26,$D$10:$D$28,$L112))</f>
        <v>761889.3143380743</v>
      </c>
      <c r="O112" s="43">
        <f>IF($L112&lt;基础状态预期!G$9,0,求节点(基础状态预期!G$8:G$26,$D$10:$D$28,$L112))</f>
        <v>735018.54642951675</v>
      </c>
      <c r="P112" s="43">
        <f>IF($L112&lt;基础状态预期!H$9,0,求节点(基础状态预期!H$8:H$26,$D$10:$D$28,$L112))</f>
        <v>696952.83706663095</v>
      </c>
      <c r="Q112" s="43">
        <f>IF($L112&lt;基础状态预期!I$9,0,求节点(基础状态预期!I$8:I$26,$D$10:$D$28,$L112))</f>
        <v>638060.78541260096</v>
      </c>
      <c r="T112" s="42">
        <v>108</v>
      </c>
      <c r="U112" s="43">
        <f>协作币产出情况!H114/M112</f>
        <v>3.4235532694431146</v>
      </c>
      <c r="V112" s="43">
        <f>协作币产出情况!I114/N112</f>
        <v>2.9942164794860635</v>
      </c>
      <c r="W112" s="43">
        <f>协作币产出情况!J114/O112</f>
        <v>2.4858522364753517</v>
      </c>
      <c r="X112" s="43">
        <f>协作币产出情况!K114/P112</f>
        <v>1.8760940731044438</v>
      </c>
      <c r="Y112" s="43">
        <f>协作币产出情况!L114/Q112</f>
        <v>1.1075694039289019</v>
      </c>
    </row>
    <row r="113" spans="11:25" x14ac:dyDescent="0.15">
      <c r="K113" s="41"/>
      <c r="L113" s="42">
        <v>109</v>
      </c>
      <c r="M113" s="43">
        <f>IF($L113&lt;基础状态预期!E$9,0,求节点(基础状态预期!E$8:E$26,$D$10:$D$28,$L113))</f>
        <v>787947.36239911278</v>
      </c>
      <c r="N113" s="43">
        <f>IF($L113&lt;基础状态预期!F$9,0,求节点(基础状态预期!F$8:F$26,$D$10:$D$28,$L113))</f>
        <v>768943.8450263897</v>
      </c>
      <c r="O113" s="43">
        <f>IF($L113&lt;基础状态预期!G$9,0,求节点(基础状态预期!G$8:G$26,$D$10:$D$28,$L113))</f>
        <v>741824.27371127158</v>
      </c>
      <c r="P113" s="43">
        <f>IF($L113&lt;基础状态预期!H$9,0,求节点(基础状态预期!H$8:H$26,$D$10:$D$28,$L113))</f>
        <v>703406.10407650715</v>
      </c>
      <c r="Q113" s="43">
        <f>IF($L113&lt;基础状态预期!I$9,0,求节点(基础状态预期!I$8:I$26,$D$10:$D$28,$L113))</f>
        <v>643968.75564790284</v>
      </c>
      <c r="T113" s="42">
        <v>109</v>
      </c>
      <c r="U113" s="43">
        <f>协作币产出情况!H115/M113</f>
        <v>3.6357471154906911</v>
      </c>
      <c r="V113" s="43">
        <f>协作币产出情况!I115/N113</f>
        <v>3.1693680980855943</v>
      </c>
      <c r="W113" s="43">
        <f>协作币产出情况!J115/O113</f>
        <v>2.6318170397125766</v>
      </c>
      <c r="X113" s="43">
        <f>协作币产出情况!K115/P113</f>
        <v>1.9870809493479993</v>
      </c>
      <c r="Y113" s="43">
        <f>协作币产出情况!L115/Q113</f>
        <v>1.1753274817017876</v>
      </c>
    </row>
    <row r="114" spans="11:25" x14ac:dyDescent="0.15">
      <c r="K114" s="41"/>
      <c r="L114" s="42">
        <v>110</v>
      </c>
      <c r="M114" s="43">
        <f>IF($L114&lt;基础状态预期!E$9,0,求节点(基础状态预期!E$8:E$26,$D$10:$D$28,$L114))</f>
        <v>795176.23728350829</v>
      </c>
      <c r="N114" s="43">
        <f>IF($L114&lt;基础状态预期!F$9,0,求节点(基础状态预期!F$8:F$26,$D$10:$D$28,$L114))</f>
        <v>775998.37571470533</v>
      </c>
      <c r="O114" s="43">
        <f>IF($L114&lt;基础状态预期!G$9,0,求节点(基础状态预期!G$8:G$26,$D$10:$D$28,$L114))</f>
        <v>748630.0009930263</v>
      </c>
      <c r="P114" s="43">
        <f>IF($L114&lt;基础状态预期!H$9,0,求节点(基础状态预期!H$8:H$26,$D$10:$D$28,$L114))</f>
        <v>709859.37108638347</v>
      </c>
      <c r="Q114" s="43">
        <f>IF($L114&lt;基础状态预期!I$9,0,求节点(基础状态预期!I$8:I$26,$D$10:$D$28,$L114))</f>
        <v>649876.72588320461</v>
      </c>
      <c r="T114" s="42">
        <v>110</v>
      </c>
      <c r="U114" s="43">
        <f>协作币产出情况!H116/M114</f>
        <v>3.8614081458086362</v>
      </c>
      <c r="V114" s="43">
        <f>协作币产出情况!I116/N114</f>
        <v>3.3660822390178886</v>
      </c>
      <c r="W114" s="43">
        <f>协作币产出情况!J116/O114</f>
        <v>2.7996784756419664</v>
      </c>
      <c r="X114" s="43">
        <f>协作币产出情况!K116/P114</f>
        <v>2.1160368675575456</v>
      </c>
      <c r="Y114" s="43">
        <f>协作币产出情况!L116/Q114</f>
        <v>1.2511117379915586</v>
      </c>
    </row>
    <row r="115" spans="11:25" x14ac:dyDescent="0.15">
      <c r="K115" s="41"/>
      <c r="L115" s="42">
        <v>111</v>
      </c>
      <c r="M115" s="43">
        <f>IF($L115&lt;基础状态预期!E$9,0,求节点(基础状态预期!E$8:E$26,$D$10:$D$28,$L115))</f>
        <v>802405.1121679038</v>
      </c>
      <c r="N115" s="43">
        <f>IF($L115&lt;基础状态预期!F$9,0,求节点(基础状态预期!F$8:F$26,$D$10:$D$28,$L115))</f>
        <v>783052.90640302072</v>
      </c>
      <c r="O115" s="43">
        <f>IF($L115&lt;基础状态预期!G$9,0,求节点(基础状态预期!G$8:G$26,$D$10:$D$28,$L115))</f>
        <v>755435.72827478114</v>
      </c>
      <c r="P115" s="43">
        <f>IF($L115&lt;基础状态预期!H$9,0,求节点(基础状态预期!H$8:H$26,$D$10:$D$28,$L115))</f>
        <v>716312.63809625967</v>
      </c>
      <c r="Q115" s="43">
        <f>IF($L115&lt;基础状态预期!I$9,0,求节点(基础状态预期!I$8:I$26,$D$10:$D$28,$L115))</f>
        <v>655784.69611850649</v>
      </c>
      <c r="T115" s="42">
        <v>111</v>
      </c>
      <c r="U115" s="43">
        <f>协作币产出情况!H117/M115</f>
        <v>4.1014046732828495</v>
      </c>
      <c r="V115" s="43">
        <f>协作币产出情况!I117/N115</f>
        <v>3.5803362963037757</v>
      </c>
      <c r="W115" s="43">
        <f>协作币产出情况!J117/O115</f>
        <v>2.9793490849841011</v>
      </c>
      <c r="X115" s="43">
        <f>协作币产出情况!K117/P115</f>
        <v>2.2544455639263146</v>
      </c>
      <c r="Y115" s="43">
        <f>协作币产出情况!L117/Q115</f>
        <v>1.3338899733716862</v>
      </c>
    </row>
    <row r="116" spans="11:25" x14ac:dyDescent="0.15">
      <c r="K116" s="41"/>
      <c r="L116" s="42">
        <v>112</v>
      </c>
      <c r="M116" s="43">
        <f>IF($L116&lt;基础状态预期!E$9,0,求节点(基础状态预期!E$8:E$26,$D$10:$D$28,$L116))</f>
        <v>809633.98705229932</v>
      </c>
      <c r="N116" s="43">
        <f>IF($L116&lt;基础状态预期!F$9,0,求节点(基础状态预期!F$8:F$26,$D$10:$D$28,$L116))</f>
        <v>790107.43709133624</v>
      </c>
      <c r="O116" s="43">
        <f>IF($L116&lt;基础状态预期!G$9,0,求节点(基础状态预期!G$8:G$26,$D$10:$D$28,$L116))</f>
        <v>762241.45555653586</v>
      </c>
      <c r="P116" s="43">
        <f>IF($L116&lt;基础状态预期!H$9,0,求节点(基础状态预期!H$8:H$26,$D$10:$D$28,$L116))</f>
        <v>722765.90510613588</v>
      </c>
      <c r="Q116" s="43">
        <f>IF($L116&lt;基础状态预期!I$9,0,求节点(基础状态预期!I$8:I$26,$D$10:$D$28,$L116))</f>
        <v>661692.66635380837</v>
      </c>
      <c r="T116" s="42">
        <v>112</v>
      </c>
      <c r="U116" s="43">
        <f>协作币产出情况!H118/M116</f>
        <v>4.3566616557106537</v>
      </c>
      <c r="V116" s="43">
        <f>协作币产出情况!I118/N116</f>
        <v>3.8058424168294738</v>
      </c>
      <c r="W116" s="43">
        <f>协作币产出情况!J118/O116</f>
        <v>3.1670870483117852</v>
      </c>
      <c r="X116" s="43">
        <f>协作币产出情况!K118/P116</f>
        <v>2.3976824851830436</v>
      </c>
      <c r="Y116" s="43">
        <f>协作币产出情况!L118/Q116</f>
        <v>1.4126420079381399</v>
      </c>
    </row>
    <row r="117" spans="11:25" x14ac:dyDescent="0.15">
      <c r="K117" s="41"/>
      <c r="L117" s="42">
        <v>113</v>
      </c>
      <c r="M117" s="43">
        <f>IF($L117&lt;基础状态预期!E$9,0,求节点(基础状态预期!E$8:E$26,$D$10:$D$28,$L117))</f>
        <v>816862.86193669494</v>
      </c>
      <c r="N117" s="43">
        <f>IF($L117&lt;基础状态预期!F$9,0,求节点(基础状态预期!F$8:F$26,$D$10:$D$28,$L117))</f>
        <v>797161.96777965175</v>
      </c>
      <c r="O117" s="43">
        <f>IF($L117&lt;基础状态预期!G$9,0,求节点(基础状态预期!G$8:G$26,$D$10:$D$28,$L117))</f>
        <v>769047.1828382907</v>
      </c>
      <c r="P117" s="43">
        <f>IF($L117&lt;基础状态预期!H$9,0,求节点(基础状态预期!H$8:H$26,$D$10:$D$28,$L117))</f>
        <v>729219.17211601208</v>
      </c>
      <c r="Q117" s="43">
        <f>IF($L117&lt;基础状态预期!I$9,0,求节点(基础状态预期!I$8:I$26,$D$10:$D$28,$L117))</f>
        <v>667600.63658911025</v>
      </c>
      <c r="T117" s="42">
        <v>113</v>
      </c>
      <c r="U117" s="43">
        <f>协作币产出情况!H119/M117</f>
        <v>4.6281644250936322</v>
      </c>
      <c r="V117" s="43">
        <f>协作币产出情况!I119/N117</f>
        <v>4.0449157032127037</v>
      </c>
      <c r="W117" s="43">
        <f>协作币产出情况!J119/O117</f>
        <v>3.3678978705762637</v>
      </c>
      <c r="X117" s="43">
        <f>协作币产出情况!K119/P117</f>
        <v>2.541919228251285</v>
      </c>
      <c r="Y117" s="43">
        <f>协作币产出情况!L119/Q117</f>
        <v>1.4955797990892747</v>
      </c>
    </row>
    <row r="118" spans="11:25" x14ac:dyDescent="0.15">
      <c r="K118" s="41"/>
      <c r="L118" s="42">
        <v>114</v>
      </c>
      <c r="M118" s="43">
        <f>IF($L118&lt;基础状态预期!E$9,0,求节点(基础状态预期!E$8:E$26,$D$10:$D$28,$L118))</f>
        <v>824091.73682109045</v>
      </c>
      <c r="N118" s="43">
        <f>IF($L118&lt;基础状态预期!F$9,0,求节点(基础状态预期!F$8:F$26,$D$10:$D$28,$L118))</f>
        <v>804216.49846796726</v>
      </c>
      <c r="O118" s="43">
        <f>IF($L118&lt;基础状态预期!G$9,0,求节点(基础状态预期!G$8:G$26,$D$10:$D$28,$L118))</f>
        <v>775852.91012004553</v>
      </c>
      <c r="P118" s="43">
        <f>IF($L118&lt;基础状态预期!H$9,0,求节点(基础状态预期!H$8:H$26,$D$10:$D$28,$L118))</f>
        <v>735672.43912588828</v>
      </c>
      <c r="Q118" s="43">
        <f>IF($L118&lt;基础状态预期!I$9,0,求节点(基础状态预期!I$8:I$26,$D$10:$D$28,$L118))</f>
        <v>673508.60682441213</v>
      </c>
      <c r="T118" s="42">
        <v>114</v>
      </c>
      <c r="U118" s="43">
        <f>协作币产出情况!H120/M118</f>
        <v>4.9169626642840898</v>
      </c>
      <c r="V118" s="43">
        <f>协作币产出情况!I120/N118</f>
        <v>4.2983268198690672</v>
      </c>
      <c r="W118" s="43">
        <f>协作币产出情况!J120/O118</f>
        <v>3.5696989831696952</v>
      </c>
      <c r="X118" s="43">
        <f>协作币产出情况!K120/P118</f>
        <v>2.6900703592982409</v>
      </c>
      <c r="Y118" s="43">
        <f>协作币产出情况!L120/Q118</f>
        <v>1.5834895623488738</v>
      </c>
    </row>
    <row r="119" spans="11:25" x14ac:dyDescent="0.15">
      <c r="K119" s="41"/>
      <c r="L119" s="42">
        <v>115</v>
      </c>
      <c r="M119" s="43">
        <f>IF($L119&lt;基础状态预期!E$9,0,求节点(基础状态预期!E$8:E$26,$D$10:$D$28,$L119))</f>
        <v>831320.61170548596</v>
      </c>
      <c r="N119" s="43">
        <f>IF($L119&lt;基础状态预期!F$9,0,求节点(基础状态预期!F$8:F$26,$D$10:$D$28,$L119))</f>
        <v>811271.02915628278</v>
      </c>
      <c r="O119" s="43">
        <f>IF($L119&lt;基础状态预期!G$9,0,求节点(基础状态预期!G$8:G$26,$D$10:$D$28,$L119))</f>
        <v>782658.63740180025</v>
      </c>
      <c r="P119" s="43">
        <f>IF($L119&lt;基础状态预期!H$9,0,求节点(基础状态预期!H$8:H$26,$D$10:$D$28,$L119))</f>
        <v>742125.70613576449</v>
      </c>
      <c r="Q119" s="43">
        <f>IF($L119&lt;基础状态预期!I$9,0,求节点(基础状态预期!I$8:I$26,$D$10:$D$28,$L119))</f>
        <v>679416.57705971389</v>
      </c>
      <c r="T119" s="42">
        <v>115</v>
      </c>
      <c r="U119" s="43">
        <f>协作币产出情况!H121/M119</f>
        <v>5.2241746474929718</v>
      </c>
      <c r="V119" s="43">
        <f>协作币产出情况!I121/N119</f>
        <v>4.55403853476128</v>
      </c>
      <c r="W119" s="43">
        <f>协作币产出情况!J121/O119</f>
        <v>3.7755320233734739</v>
      </c>
      <c r="X119" s="43">
        <f>协作币产出情况!K121/P119</f>
        <v>2.8441010969756171</v>
      </c>
      <c r="Y119" s="43">
        <f>协作币产出情况!L121/Q119</f>
        <v>1.6753946246033022</v>
      </c>
    </row>
    <row r="120" spans="11:25" x14ac:dyDescent="0.15">
      <c r="K120" s="41"/>
      <c r="L120" s="42">
        <v>116</v>
      </c>
      <c r="M120" s="43">
        <f>IF($L120&lt;基础状态预期!E$9,0,求节点(基础状态预期!E$8:E$26,$D$10:$D$28,$L120))</f>
        <v>838549.48658988148</v>
      </c>
      <c r="N120" s="43">
        <f>IF($L120&lt;基础状态预期!F$9,0,求节点(基础状态预期!F$8:F$26,$D$10:$D$28,$L120))</f>
        <v>818325.55984459829</v>
      </c>
      <c r="O120" s="43">
        <f>IF($L120&lt;基础状态预期!G$9,0,求节点(基础状态预期!G$8:G$26,$D$10:$D$28,$L120))</f>
        <v>789464.36468355509</v>
      </c>
      <c r="P120" s="43">
        <f>IF($L120&lt;基础状态预期!H$9,0,求节点(基础状态预期!H$8:H$26,$D$10:$D$28,$L120))</f>
        <v>748578.97314564069</v>
      </c>
      <c r="Q120" s="43">
        <f>IF($L120&lt;基础状态预期!I$9,0,求节点(基础状态预期!I$8:I$26,$D$10:$D$28,$L120))</f>
        <v>685324.54729501577</v>
      </c>
      <c r="T120" s="42">
        <v>116</v>
      </c>
      <c r="U120" s="43">
        <f>协作币产出情况!H122/M120</f>
        <v>5.5509917622744958</v>
      </c>
      <c r="V120" s="43">
        <f>协作币产出情况!I122/N120</f>
        <v>4.8332446866688938</v>
      </c>
      <c r="W120" s="43">
        <f>协作币产出情况!J122/O120</f>
        <v>4.007007165584513</v>
      </c>
      <c r="X120" s="43">
        <f>协作币产出情况!K122/P120</f>
        <v>3.0238895609679179</v>
      </c>
      <c r="Y120" s="43">
        <f>协作币产出情况!L122/Q120</f>
        <v>1.7802049868671455</v>
      </c>
    </row>
    <row r="121" spans="11:25" x14ac:dyDescent="0.15">
      <c r="K121" s="41"/>
      <c r="L121" s="42">
        <v>117</v>
      </c>
      <c r="M121" s="43">
        <f>IF($L121&lt;基础状态预期!E$9,0,求节点(基础状态预期!E$8:E$26,$D$10:$D$28,$L121))</f>
        <v>845778.36147427699</v>
      </c>
      <c r="N121" s="43">
        <f>IF($L121&lt;基础状态预期!F$9,0,求节点(基础状态预期!F$8:F$26,$D$10:$D$28,$L121))</f>
        <v>825380.0905329138</v>
      </c>
      <c r="O121" s="43">
        <f>IF($L121&lt;基础状态预期!G$9,0,求节点(基础状态预期!G$8:G$26,$D$10:$D$28,$L121))</f>
        <v>796270.09196530981</v>
      </c>
      <c r="P121" s="43">
        <f>IF($L121&lt;基础状态预期!H$9,0,求节点(基础状态预期!H$8:H$26,$D$10:$D$28,$L121))</f>
        <v>755032.24015551689</v>
      </c>
      <c r="Q121" s="43">
        <f>IF($L121&lt;基础状态预期!I$9,0,求节点(基础状态预期!I$8:I$26,$D$10:$D$28,$L121))</f>
        <v>691232.51753031765</v>
      </c>
      <c r="T121" s="42">
        <v>117</v>
      </c>
      <c r="U121" s="43">
        <f>协作币产出情况!H123/M121</f>
        <v>5.8986833317849481</v>
      </c>
      <c r="V121" s="43">
        <f>协作币产出情况!I123/N121</f>
        <v>5.1371883881046827</v>
      </c>
      <c r="W121" s="43">
        <f>协作币产出情况!J123/O121</f>
        <v>4.2623756180829453</v>
      </c>
      <c r="X121" s="43">
        <f>协作币产出情况!K123/P121</f>
        <v>3.2146152439040918</v>
      </c>
      <c r="Y121" s="43">
        <f>协作币产出情况!L123/Q121</f>
        <v>1.8945967986610162</v>
      </c>
    </row>
    <row r="122" spans="11:25" x14ac:dyDescent="0.15">
      <c r="K122" s="41"/>
      <c r="L122" s="42">
        <v>118</v>
      </c>
      <c r="M122" s="43">
        <f>IF($L122&lt;基础状态预期!E$9,0,求节点(基础状态预期!E$8:E$26,$D$10:$D$28,$L122))</f>
        <v>853007.23635867261</v>
      </c>
      <c r="N122" s="43">
        <f>IF($L122&lt;基础状态预期!F$9,0,求节点(基础状态预期!F$8:F$26,$D$10:$D$28,$L122))</f>
        <v>832434.62122122932</v>
      </c>
      <c r="O122" s="43">
        <f>IF($L122&lt;基础状态预期!G$9,0,求节点(基础状态预期!G$8:G$26,$D$10:$D$28,$L122))</f>
        <v>803075.81924706465</v>
      </c>
      <c r="P122" s="43">
        <f>IF($L122&lt;基础状态预期!H$9,0,求节点(基础状态预期!H$8:H$26,$D$10:$D$28,$L122))</f>
        <v>761485.50716539309</v>
      </c>
      <c r="Q122" s="43">
        <f>IF($L122&lt;基础状态预期!I$9,0,求节点(基础状态预期!I$8:I$26,$D$10:$D$28,$L122))</f>
        <v>697140.48776561953</v>
      </c>
      <c r="T122" s="42">
        <v>118</v>
      </c>
      <c r="U122" s="43">
        <f>协作币产出情况!H124/M122</f>
        <v>6.2686017573747952</v>
      </c>
      <c r="V122" s="43">
        <f>协作币产出情况!I124/N122</f>
        <v>5.4606366219548663</v>
      </c>
      <c r="W122" s="43">
        <f>协作币产出情况!J124/O122</f>
        <v>4.5316753658636371</v>
      </c>
      <c r="X122" s="43">
        <f>协作币产出情况!K124/P122</f>
        <v>3.4225301156682448</v>
      </c>
      <c r="Y122" s="43">
        <f>协作币产出情况!L124/Q122</f>
        <v>2.0141778298525153</v>
      </c>
    </row>
    <row r="123" spans="11:25" x14ac:dyDescent="0.15">
      <c r="K123" s="41"/>
      <c r="L123" s="42">
        <v>119</v>
      </c>
      <c r="M123" s="43">
        <f>IF($L123&lt;基础状态预期!E$9,0,求节点(基础状态预期!E$8:E$26,$D$10:$D$28,$L123))</f>
        <v>860236.11124306812</v>
      </c>
      <c r="N123" s="43">
        <f>IF($L123&lt;基础状态预期!F$9,0,求节点(基础状态预期!F$8:F$26,$D$10:$D$28,$L123))</f>
        <v>839489.15190954483</v>
      </c>
      <c r="O123" s="43">
        <f>IF($L123&lt;基础状态预期!G$9,0,求节点(基础状态预期!G$8:G$26,$D$10:$D$28,$L123))</f>
        <v>809881.54652881937</v>
      </c>
      <c r="P123" s="43">
        <f>IF($L123&lt;基础状态预期!H$9,0,求节点(基础状态预期!H$8:H$26,$D$10:$D$28,$L123))</f>
        <v>767938.7741752693</v>
      </c>
      <c r="Q123" s="43">
        <f>IF($L123&lt;基础状态预期!I$9,0,求节点(基础状态预期!I$8:I$26,$D$10:$D$28,$L123))</f>
        <v>703048.45800092141</v>
      </c>
      <c r="T123" s="42">
        <v>119</v>
      </c>
      <c r="U123" s="43">
        <f>协作币产出情况!H125/M123</f>
        <v>6.6621880029200256</v>
      </c>
      <c r="V123" s="43">
        <f>协作币产出情况!I125/N123</f>
        <v>5.807589320483741</v>
      </c>
      <c r="W123" s="43">
        <f>协作币产出情况!J125/O123</f>
        <v>4.8239893917035159</v>
      </c>
      <c r="X123" s="43">
        <f>协作币产出情况!K125/P123</f>
        <v>3.639659138442104</v>
      </c>
      <c r="Y123" s="43">
        <f>协作币产出情况!L125/Q123</f>
        <v>2.134120491106454</v>
      </c>
    </row>
    <row r="124" spans="11:25" x14ac:dyDescent="0.15">
      <c r="K124" s="41"/>
      <c r="L124" s="42">
        <v>120</v>
      </c>
      <c r="M124" s="43">
        <f>IF($L124&lt;基础状态预期!E$9,0,求节点(基础状态预期!E$8:E$26,$D$10:$D$28,$L124))</f>
        <v>867464.98612746364</v>
      </c>
      <c r="N124" s="43">
        <f>IF($L124&lt;基础状态预期!F$9,0,求节点(基础状态预期!F$8:F$26,$D$10:$D$28,$L124))</f>
        <v>846543.68259786023</v>
      </c>
      <c r="O124" s="43">
        <f>IF($L124&lt;基础状态预期!G$9,0,求节点(基础状态预期!G$8:G$26,$D$10:$D$28,$L124))</f>
        <v>816687.2738105742</v>
      </c>
      <c r="P124" s="43">
        <f>IF($L124&lt;基础状态预期!H$9,0,求节点(基础状态预期!H$8:H$26,$D$10:$D$28,$L124))</f>
        <v>774392.0411851455</v>
      </c>
      <c r="Q124" s="43">
        <f>IF($L124&lt;基础状态预期!I$9,0,求节点(基础状态预期!I$8:I$26,$D$10:$D$28,$L124))</f>
        <v>708956.42823622329</v>
      </c>
      <c r="T124" s="42">
        <v>120</v>
      </c>
      <c r="U124" s="43">
        <f>协作币产出情况!H126/M124</f>
        <v>7.0809774437367698</v>
      </c>
      <c r="V124" s="43">
        <f>协作币产出情况!I126/N124</f>
        <v>6.1770117213006506</v>
      </c>
      <c r="W124" s="43">
        <f>协作币产出情况!J126/O124</f>
        <v>5.1279806044478313</v>
      </c>
      <c r="X124" s="43">
        <f>协作币产出情况!K126/P124</f>
        <v>3.851793202103504</v>
      </c>
      <c r="Y124" s="43">
        <f>协作币产出情况!L126/Q124</f>
        <v>2.259608540380182</v>
      </c>
    </row>
    <row r="125" spans="11:25" x14ac:dyDescent="0.15">
      <c r="K125" s="41"/>
      <c r="L125" s="42">
        <v>121</v>
      </c>
      <c r="M125" s="43">
        <f>IF($L125&lt;基础状态预期!E$9,0,求节点(基础状态预期!E$8:E$26,$D$10:$D$28,$L125))</f>
        <v>874693.86101185915</v>
      </c>
      <c r="N125" s="43">
        <f>IF($L125&lt;基础状态预期!F$9,0,求节点(基础状态预期!F$8:F$26,$D$10:$D$28,$L125))</f>
        <v>853598.21328617586</v>
      </c>
      <c r="O125" s="43">
        <f>IF($L125&lt;基础状态预期!G$9,0,求节点(基础状态预期!G$8:G$26,$D$10:$D$28,$L125))</f>
        <v>823493.00109232892</v>
      </c>
      <c r="P125" s="43">
        <f>IF($L125&lt;基础状态预期!H$9,0,求节点(基础状态预期!H$8:H$26,$D$10:$D$28,$L125))</f>
        <v>780845.3081950217</v>
      </c>
      <c r="Q125" s="43">
        <f>IF($L125&lt;基础状态预期!I$9,0,求节点(基础状态预期!I$8:I$26,$D$10:$D$28,$L125))</f>
        <v>714864.39847152517</v>
      </c>
      <c r="T125" s="42">
        <v>121</v>
      </c>
      <c r="U125" s="43">
        <f>协作币产出情况!H127/M125</f>
        <v>7.5266061044570742</v>
      </c>
      <c r="V125" s="43">
        <f>协作币产出情况!I127/N125</f>
        <v>6.5572670360121421</v>
      </c>
      <c r="W125" s="43">
        <f>协作币产出情况!J127/O125</f>
        <v>5.4259177183932028</v>
      </c>
      <c r="X125" s="43">
        <f>协作币产出情况!K127/P125</f>
        <v>4.0764933681056439</v>
      </c>
      <c r="Y125" s="43">
        <f>协作币产出情况!L127/Q125</f>
        <v>2.3990501439682488</v>
      </c>
    </row>
    <row r="126" spans="11:25" x14ac:dyDescent="0.15">
      <c r="K126" s="41"/>
      <c r="L126" s="42">
        <v>122</v>
      </c>
      <c r="M126" s="43">
        <f>IF($L126&lt;基础状态预期!E$9,0,求节点(基础状态预期!E$8:E$26,$D$10:$D$28,$L126))</f>
        <v>881922.73589625466</v>
      </c>
      <c r="N126" s="43">
        <f>IF($L126&lt;基础状态预期!F$9,0,求节点(基础状态预期!F$8:F$26,$D$10:$D$28,$L126))</f>
        <v>860652.74397449126</v>
      </c>
      <c r="O126" s="43">
        <f>IF($L126&lt;基础状态预期!G$9,0,求节点(基础状态预期!G$8:G$26,$D$10:$D$28,$L126))</f>
        <v>830298.72837408376</v>
      </c>
      <c r="P126" s="43">
        <f>IF($L126&lt;基础状态预期!H$9,0,求节点(基础状态预期!H$8:H$26,$D$10:$D$28,$L126))</f>
        <v>787298.5752048979</v>
      </c>
      <c r="Q126" s="43">
        <f>IF($L126&lt;基础状态预期!I$9,0,求节点(基础状态预期!I$8:I$26,$D$10:$D$28,$L126))</f>
        <v>720772.36870682694</v>
      </c>
      <c r="T126" s="42">
        <v>122</v>
      </c>
      <c r="U126" s="43">
        <f>协作币产出情况!H128/M126</f>
        <v>8.0008173118827788</v>
      </c>
      <c r="V126" s="43">
        <f>协作币产出情况!I128/N126</f>
        <v>6.9531884211328157</v>
      </c>
      <c r="W126" s="43">
        <f>协作币产出情况!J128/O126</f>
        <v>5.7516290697481249</v>
      </c>
      <c r="X126" s="43">
        <f>协作币产出情况!K128/P126</f>
        <v>4.3270577231045211</v>
      </c>
      <c r="Y126" s="43">
        <f>协作币产出情况!L128/Q126</f>
        <v>2.5472645740279094</v>
      </c>
    </row>
    <row r="127" spans="11:25" x14ac:dyDescent="0.15">
      <c r="K127" s="41"/>
      <c r="L127" s="42">
        <v>123</v>
      </c>
      <c r="M127" s="43">
        <f>IF($L127&lt;基础状态预期!E$9,0,求节点(基础状态预期!E$8:E$26,$D$10:$D$28,$L127))</f>
        <v>889151.61078065028</v>
      </c>
      <c r="N127" s="43">
        <f>IF($L127&lt;基础状态预期!F$9,0,求节点(基础状态预期!F$8:F$26,$D$10:$D$28,$L127))</f>
        <v>867707.27466280677</v>
      </c>
      <c r="O127" s="43">
        <f>IF($L127&lt;基础状态预期!G$9,0,求节点(基础状态预期!G$8:G$26,$D$10:$D$28,$L127))</f>
        <v>837104.4556558386</v>
      </c>
      <c r="P127" s="43">
        <f>IF($L127&lt;基础状态预期!H$9,0,求节点(基础状态预期!H$8:H$26,$D$10:$D$28,$L127))</f>
        <v>793751.84221477422</v>
      </c>
      <c r="Q127" s="43">
        <f>IF($L127&lt;基础状态预期!I$9,0,求节点(基础状态预期!I$8:I$26,$D$10:$D$28,$L127))</f>
        <v>726680.33894212882</v>
      </c>
      <c r="T127" s="42">
        <v>123</v>
      </c>
      <c r="U127" s="43">
        <f>协作币产出情况!H129/M127</f>
        <v>8.5054687905827109</v>
      </c>
      <c r="V127" s="43">
        <f>协作币产出情况!I129/N127</f>
        <v>7.3917607171396833</v>
      </c>
      <c r="W127" s="43">
        <f>协作币产出情况!J129/O127</f>
        <v>6.1279644679641958</v>
      </c>
      <c r="X127" s="43">
        <f>协作币产出情况!K129/P127</f>
        <v>4.6161839861689202</v>
      </c>
      <c r="Y127" s="43">
        <f>协作币产出情况!L129/Q127</f>
        <v>2.7172996739273376</v>
      </c>
    </row>
    <row r="128" spans="11:25" x14ac:dyDescent="0.15">
      <c r="K128" s="41"/>
      <c r="L128" s="42">
        <v>124</v>
      </c>
      <c r="M128" s="43">
        <f>IF($L128&lt;基础状态预期!E$9,0,求节点(基础状态预期!E$8:E$26,$D$10:$D$28,$L128))</f>
        <v>896380.48566504568</v>
      </c>
      <c r="N128" s="43">
        <f>IF($L128&lt;基础状态预期!F$9,0,求节点(基础状态预期!F$8:F$26,$D$10:$D$28,$L128))</f>
        <v>874761.80535112228</v>
      </c>
      <c r="O128" s="43">
        <f>IF($L128&lt;基础状态预期!G$9,0,求节点(基础状态预期!G$8:G$26,$D$10:$D$28,$L128))</f>
        <v>843910.18293759332</v>
      </c>
      <c r="P128" s="43">
        <f>IF($L128&lt;基础状态预期!H$9,0,求节点(基础状态预期!H$8:H$26,$D$10:$D$28,$L128))</f>
        <v>800205.10922465043</v>
      </c>
      <c r="Q128" s="43">
        <f>IF($L128&lt;基础状态预期!I$9,0,求节点(基础状态预期!I$8:I$26,$D$10:$D$28,$L128))</f>
        <v>732588.3091774307</v>
      </c>
      <c r="T128" s="42">
        <v>124</v>
      </c>
      <c r="U128" s="43">
        <f>协作币产出情况!H130/M128</f>
        <v>9.0425402308651925</v>
      </c>
      <c r="V128" s="43">
        <f>协作币产出情况!I130/N128</f>
        <v>7.873333522460686</v>
      </c>
      <c r="W128" s="43">
        <f>协作币产出情况!J130/O128</f>
        <v>6.525475421382902</v>
      </c>
      <c r="X128" s="43">
        <f>协作币产出情况!K130/P128</f>
        <v>4.9188117414216084</v>
      </c>
      <c r="Y128" s="43">
        <f>协作币产出情况!L130/Q128</f>
        <v>2.8988393666520893</v>
      </c>
    </row>
    <row r="129" spans="11:25" x14ac:dyDescent="0.15">
      <c r="K129" s="41"/>
      <c r="L129" s="42">
        <v>125</v>
      </c>
      <c r="M129" s="43">
        <f>IF($L129&lt;基础状态预期!E$9,0,求节点(基础状态预期!E$8:E$26,$D$10:$D$28,$L129))</f>
        <v>903609.36054944131</v>
      </c>
      <c r="N129" s="43">
        <f>IF($L129&lt;基础状态预期!F$9,0,求节点(基础状态预期!F$8:F$26,$D$10:$D$28,$L129))</f>
        <v>881816.3360394378</v>
      </c>
      <c r="O129" s="43">
        <f>IF($L129&lt;基础状态预期!G$9,0,求节点(基础状态预期!G$8:G$26,$D$10:$D$28,$L129))</f>
        <v>850715.91021934815</v>
      </c>
      <c r="P129" s="43">
        <f>IF($L129&lt;基础状态预期!H$9,0,求节点(基础状态预期!H$8:H$26,$D$10:$D$28,$L129))</f>
        <v>806658.37623452663</v>
      </c>
      <c r="Q129" s="43">
        <f>IF($L129&lt;基础状态预期!I$9,0,求节点(基础状态预期!I$8:I$26,$D$10:$D$28,$L129))</f>
        <v>738496.27941273258</v>
      </c>
      <c r="T129" s="42">
        <v>125</v>
      </c>
      <c r="U129" s="43">
        <f>协作币产出情况!H131/M129</f>
        <v>9.6141413607511659</v>
      </c>
      <c r="V129" s="43">
        <f>协作币产出情况!I131/N129</f>
        <v>8.3670855334644418</v>
      </c>
      <c r="W129" s="43">
        <f>协作币产出情况!J131/O129</f>
        <v>6.947157428176137</v>
      </c>
      <c r="X129" s="43">
        <f>协作币产出情况!K131/P129</f>
        <v>5.2372806416367634</v>
      </c>
      <c r="Y129" s="43">
        <f>协作币产出情况!L131/Q129</f>
        <v>3.0667893338167618</v>
      </c>
    </row>
    <row r="130" spans="11:25" x14ac:dyDescent="0.15">
      <c r="K130" s="41"/>
      <c r="L130" s="42">
        <v>126</v>
      </c>
      <c r="M130" s="43">
        <f>IF($L130&lt;基础状态预期!E$9,0,求节点(基础状态预期!E$8:E$26,$D$10:$D$28,$L130))</f>
        <v>910838.23543383682</v>
      </c>
      <c r="N130" s="43">
        <f>IF($L130&lt;基础状态预期!F$9,0,求节点(基础状态预期!F$8:F$26,$D$10:$D$28,$L130))</f>
        <v>888870.86672775331</v>
      </c>
      <c r="O130" s="43">
        <f>IF($L130&lt;基础状态预期!G$9,0,求节点(基础状态预期!G$8:G$26,$D$10:$D$28,$L130))</f>
        <v>857521.63750110287</v>
      </c>
      <c r="P130" s="43">
        <f>IF($L130&lt;基础状态预期!H$9,0,求节点(基础状态预期!H$8:H$26,$D$10:$D$28,$L130))</f>
        <v>813111.64324440283</v>
      </c>
      <c r="Q130" s="43">
        <f>IF($L130&lt;基础状态预期!I$9,0,求节点(基础状态预期!I$8:I$26,$D$10:$D$28,$L130))</f>
        <v>744404.24964803446</v>
      </c>
      <c r="T130" s="42">
        <v>126</v>
      </c>
      <c r="U130" s="43">
        <f>协作币产出情况!H132/M130</f>
        <v>10.222520555699962</v>
      </c>
      <c r="V130" s="43">
        <f>协作币产出情况!I132/N130</f>
        <v>8.9091217010959785</v>
      </c>
      <c r="W130" s="43">
        <f>协作币产出情况!J132/O130</f>
        <v>7.3921999520562256</v>
      </c>
      <c r="X130" s="43">
        <f>协作币产出情况!K132/P130</f>
        <v>5.5469365781100626</v>
      </c>
      <c r="Y130" s="43">
        <f>协作币产出情况!L132/Q130</f>
        <v>3.2445940973571421</v>
      </c>
    </row>
    <row r="131" spans="11:25" x14ac:dyDescent="0.15">
      <c r="K131" s="41"/>
      <c r="L131" s="42">
        <v>127</v>
      </c>
      <c r="M131" s="43">
        <f>IF($L131&lt;基础状态预期!E$9,0,求节点(基础状态预期!E$8:E$26,$D$10:$D$28,$L131))</f>
        <v>918067.11031823233</v>
      </c>
      <c r="N131" s="43">
        <f>IF($L131&lt;基础状态预期!F$9,0,求节点(基础状态预期!F$8:F$26,$D$10:$D$28,$L131))</f>
        <v>895925.39741606882</v>
      </c>
      <c r="O131" s="43">
        <f>IF($L131&lt;基础状态预期!G$9,0,求节点(基础状态预期!G$8:G$26,$D$10:$D$28,$L131))</f>
        <v>864327.36478285771</v>
      </c>
      <c r="P131" s="43">
        <f>IF($L131&lt;基础状态预期!H$9,0,求节点(基础状态预期!H$8:H$26,$D$10:$D$28,$L131))</f>
        <v>819564.91025427904</v>
      </c>
      <c r="Q131" s="43">
        <f>IF($L131&lt;基础状态预期!I$9,0,求节点(基础状态预期!I$8:I$26,$D$10:$D$28,$L131))</f>
        <v>750312.21988333622</v>
      </c>
      <c r="T131" s="42">
        <v>127</v>
      </c>
      <c r="U131" s="43">
        <f>协作币产出情况!H133/M131</f>
        <v>10.870074022111735</v>
      </c>
      <c r="V131" s="43">
        <f>协作币产出情况!I133/N131</f>
        <v>9.473476901830912</v>
      </c>
      <c r="W131" s="43">
        <f>协作币产出情况!J133/O131</f>
        <v>7.8246722098652572</v>
      </c>
      <c r="X131" s="43">
        <f>协作币产出情况!K133/P131</f>
        <v>5.8629996237430362</v>
      </c>
      <c r="Y131" s="43">
        <f>协作币产出情况!L133/Q131</f>
        <v>3.4381550527086917</v>
      </c>
    </row>
    <row r="132" spans="11:25" x14ac:dyDescent="0.15">
      <c r="K132" s="41"/>
      <c r="L132" s="42">
        <v>128</v>
      </c>
      <c r="M132" s="43">
        <f>IF($L132&lt;基础状态预期!E$9,0,求节点(基础状态预期!E$8:E$26,$D$10:$D$28,$L132))</f>
        <v>925295.98520262784</v>
      </c>
      <c r="N132" s="43">
        <f>IF($L132&lt;基础状态预期!F$9,0,求节点(基础状态预期!F$8:F$26,$D$10:$D$28,$L132))</f>
        <v>902979.92810438434</v>
      </c>
      <c r="O132" s="43">
        <f>IF($L132&lt;基础状态预期!G$9,0,求节点(基础状态预期!G$8:G$26,$D$10:$D$28,$L132))</f>
        <v>871133.09206461243</v>
      </c>
      <c r="P132" s="43">
        <f>IF($L132&lt;基础状态预期!H$9,0,求节点(基础状态预期!H$8:H$26,$D$10:$D$28,$L132))</f>
        <v>826018.17726415524</v>
      </c>
      <c r="Q132" s="43">
        <f>IF($L132&lt;基础状态预期!I$9,0,求节点(基础状态预期!I$8:I$26,$D$10:$D$28,$L132))</f>
        <v>756220.1901186381</v>
      </c>
      <c r="T132" s="42">
        <v>128</v>
      </c>
      <c r="U132" s="43">
        <f>协作币产出情况!H134/M132</f>
        <v>11.559355593054388</v>
      </c>
      <c r="V132" s="43">
        <f>协作币产出情况!I134/N132</f>
        <v>10.026818817441608</v>
      </c>
      <c r="W132" s="43">
        <f>协作币产出情况!J134/O132</f>
        <v>8.2754131745771069</v>
      </c>
      <c r="X132" s="43">
        <f>协作币产出情况!K134/P132</f>
        <v>6.20888060693939</v>
      </c>
      <c r="Y132" s="43">
        <f>协作币产出情况!L134/Q132</f>
        <v>3.6476854050339771</v>
      </c>
    </row>
    <row r="133" spans="11:25" x14ac:dyDescent="0.15">
      <c r="K133" s="41"/>
      <c r="L133" s="42">
        <v>129</v>
      </c>
      <c r="M133" s="43">
        <f>IF($L133&lt;基础状态预期!E$9,0,求节点(基础状态预期!E$8:E$26,$D$10:$D$28,$L133))</f>
        <v>932524.86008702335</v>
      </c>
      <c r="N133" s="43">
        <f>IF($L133&lt;基础状态预期!F$9,0,求节点(基础状态预期!F$8:F$26,$D$10:$D$28,$L133))</f>
        <v>910034.45879269973</v>
      </c>
      <c r="O133" s="43">
        <f>IF($L133&lt;基础状态预期!G$9,0,求节点(基础状态预期!G$8:G$26,$D$10:$D$28,$L133))</f>
        <v>877938.81934636727</v>
      </c>
      <c r="P133" s="43">
        <f>IF($L133&lt;基础状态预期!H$9,0,求节点(基础状态预期!H$8:H$26,$D$10:$D$28,$L133))</f>
        <v>832471.44427403144</v>
      </c>
      <c r="Q133" s="43">
        <f>IF($L133&lt;基础状态预期!I$9,0,求节点(基础状态预期!I$8:I$26,$D$10:$D$28,$L133))</f>
        <v>762128.16035393998</v>
      </c>
      <c r="T133" s="42">
        <v>129</v>
      </c>
      <c r="U133" s="43">
        <f>协作币产出情况!H135/M133</f>
        <v>12.293087177251774</v>
      </c>
      <c r="V133" s="43">
        <f>协作币产出情况!I135/N133</f>
        <v>10.663272432537779</v>
      </c>
      <c r="W133" s="43">
        <f>协作币产出情况!J135/O133</f>
        <v>8.8150592449081007</v>
      </c>
      <c r="X133" s="43">
        <f>协作币产出情况!K135/P133</f>
        <v>6.6250230206414153</v>
      </c>
      <c r="Y133" s="43">
        <f>协作币产出情况!L135/Q133</f>
        <v>3.8882476518449383</v>
      </c>
    </row>
    <row r="134" spans="11:25" x14ac:dyDescent="0.15">
      <c r="K134" s="41"/>
      <c r="L134" s="42">
        <v>130</v>
      </c>
      <c r="M134" s="43">
        <f>IF($L134&lt;基础状态预期!E$9,0,求节点(基础状态预期!E$8:E$26,$D$10:$D$28,$L134))</f>
        <v>939753.73497141898</v>
      </c>
      <c r="N134" s="43">
        <f>IF($L134&lt;基础状态预期!F$9,0,求节点(基础状态预期!F$8:F$26,$D$10:$D$28,$L134))</f>
        <v>917088.98948101536</v>
      </c>
      <c r="O134" s="43">
        <f>IF($L134&lt;基础状态预期!G$9,0,求节点(基础状态预期!G$8:G$26,$D$10:$D$28,$L134))</f>
        <v>884744.54662812199</v>
      </c>
      <c r="P134" s="43">
        <f>IF($L134&lt;基础状态预期!H$9,0,求节点(基础状态预期!H$8:H$26,$D$10:$D$28,$L134))</f>
        <v>838924.71128390764</v>
      </c>
      <c r="Q134" s="43">
        <f>IF($L134&lt;基础状态预期!I$9,0,求节点(基础状态预期!I$8:I$26,$D$10:$D$28,$L134))</f>
        <v>768036.13058924186</v>
      </c>
      <c r="T134" s="42">
        <v>130</v>
      </c>
      <c r="U134" s="43">
        <f>协作币产出情况!H136/M134</f>
        <v>13.074169905133363</v>
      </c>
      <c r="V134" s="43">
        <f>协作币产出情况!I136/N134</f>
        <v>11.354196669499492</v>
      </c>
      <c r="W134" s="43">
        <f>协作币产出情况!J136/O134</f>
        <v>9.3959843343280429</v>
      </c>
      <c r="X134" s="43">
        <f>协作币产出情况!K136/P134</f>
        <v>7.0650053816261842</v>
      </c>
      <c r="Y134" s="43">
        <f>协作币产出情况!L136/Q134</f>
        <v>4.1496981366681602</v>
      </c>
    </row>
    <row r="135" spans="11:25" x14ac:dyDescent="0.15">
      <c r="K135" s="41"/>
      <c r="L135" s="42">
        <v>131</v>
      </c>
      <c r="M135" s="43">
        <f>IF($L135&lt;基础状态预期!E$9,0,求节点(基础状态预期!E$8:E$26,$D$10:$D$28,$L135))</f>
        <v>946982.60985581437</v>
      </c>
      <c r="N135" s="43">
        <f>IF($L135&lt;基础状态预期!F$9,0,求节点(基础状态预期!F$8:F$26,$D$10:$D$28,$L135))</f>
        <v>924143.52016933076</v>
      </c>
      <c r="O135" s="43">
        <f>IF($L135&lt;基础状态预期!G$9,0,求节点(基础状态预期!G$8:G$26,$D$10:$D$28,$L135))</f>
        <v>891550.27390987682</v>
      </c>
      <c r="P135" s="43">
        <f>IF($L135&lt;基础状态预期!H$9,0,求节点(基础状态预期!H$8:H$26,$D$10:$D$28,$L135))</f>
        <v>845377.97829378385</v>
      </c>
      <c r="Q135" s="43">
        <f>IF($L135&lt;基础状态预期!I$9,0,求节点(基础状态预期!I$8:I$26,$D$10:$D$28,$L135))</f>
        <v>773944.10082454374</v>
      </c>
      <c r="T135" s="42">
        <v>131</v>
      </c>
      <c r="U135" s="43">
        <f>协作币产出情况!H137/M135</f>
        <v>13.905696018695606</v>
      </c>
      <c r="V135" s="43">
        <f>协作币产出情况!I137/N135</f>
        <v>12.08203105682888</v>
      </c>
      <c r="W135" s="43">
        <f>协作币产出情况!J137/O135</f>
        <v>10.002437511044166</v>
      </c>
      <c r="X135" s="43">
        <f>协作币产出情况!K137/P135</f>
        <v>7.5314792367754357</v>
      </c>
      <c r="Y135" s="43">
        <f>协作币产出情况!L137/Q135</f>
        <v>4.4102188187821545</v>
      </c>
    </row>
    <row r="136" spans="11:25" x14ac:dyDescent="0.15">
      <c r="K136" s="41"/>
      <c r="L136" s="42">
        <v>132</v>
      </c>
      <c r="M136" s="43">
        <f>IF($L136&lt;基础状态预期!E$9,0,求节点(基础状态预期!E$8:E$26,$D$10:$D$28,$L136))</f>
        <v>954211.48474021</v>
      </c>
      <c r="N136" s="43">
        <f>IF($L136&lt;基础状态预期!F$9,0,求节点(基础状态预期!F$8:F$26,$D$10:$D$28,$L136))</f>
        <v>931198.05085764639</v>
      </c>
      <c r="O136" s="43">
        <f>IF($L136&lt;基础状态预期!G$9,0,求节点(基础状态预期!G$8:G$26,$D$10:$D$28,$L136))</f>
        <v>898356.00119163166</v>
      </c>
      <c r="P136" s="43">
        <f>IF($L136&lt;基础状态预期!H$9,0,求节点(基础状态预期!H$8:H$26,$D$10:$D$28,$L136))</f>
        <v>851831.24530366017</v>
      </c>
      <c r="Q136" s="43">
        <f>IF($L136&lt;基础状态预期!I$9,0,求节点(基础状态预期!I$8:I$26,$D$10:$D$28,$L136))</f>
        <v>779852.07105984562</v>
      </c>
      <c r="T136" s="42">
        <v>132</v>
      </c>
      <c r="U136" s="43">
        <f>协作币产出情况!H138/M136</f>
        <v>14.79096155507508</v>
      </c>
      <c r="V136" s="43">
        <f>协作币产出情况!I138/N136</f>
        <v>12.86029218936201</v>
      </c>
      <c r="W136" s="43">
        <f>协作币产出情况!J138/O136</f>
        <v>10.662779380234838</v>
      </c>
      <c r="X136" s="43">
        <f>协作币产出情况!K138/P136</f>
        <v>8.0026645407990724</v>
      </c>
      <c r="Y136" s="43">
        <f>协作币产出情况!L138/Q136</f>
        <v>4.6765041821824322</v>
      </c>
    </row>
    <row r="137" spans="11:25" x14ac:dyDescent="0.15">
      <c r="K137" s="41"/>
      <c r="L137" s="42">
        <v>133</v>
      </c>
      <c r="M137" s="43">
        <f>IF($L137&lt;基础状态预期!E$9,0,求节点(基础状态预期!E$8:E$26,$D$10:$D$28,$L137))</f>
        <v>961440.35962460551</v>
      </c>
      <c r="N137" s="43">
        <f>IF($L137&lt;基础状态预期!F$9,0,求节点(基础状态预期!F$8:F$26,$D$10:$D$28,$L137))</f>
        <v>938252.58154596179</v>
      </c>
      <c r="O137" s="43">
        <f>IF($L137&lt;基础状态预期!G$9,0,求节点(基础状态预期!G$8:G$26,$D$10:$D$28,$L137))</f>
        <v>905161.72847338638</v>
      </c>
      <c r="P137" s="43">
        <f>IF($L137&lt;基础状态预期!H$9,0,求节点(基础状态预期!H$8:H$26,$D$10:$D$28,$L137))</f>
        <v>858284.51231353637</v>
      </c>
      <c r="Q137" s="43">
        <f>IF($L137&lt;基础状态预期!I$9,0,求节点(基础状态预期!I$8:I$26,$D$10:$D$28,$L137))</f>
        <v>785760.0412951475</v>
      </c>
      <c r="T137" s="42">
        <v>133</v>
      </c>
      <c r="U137" s="43">
        <f>协作币产出情况!H139/M137</f>
        <v>15.733479877096689</v>
      </c>
      <c r="V137" s="43">
        <f>协作币产出情况!I139/N137</f>
        <v>13.68945665467346</v>
      </c>
      <c r="W137" s="43">
        <f>协作币产出情况!J139/O137</f>
        <v>11.313829346742585</v>
      </c>
      <c r="X137" s="43">
        <f>协作币产出情况!K139/P137</f>
        <v>8.4720787594697313</v>
      </c>
      <c r="Y137" s="43">
        <f>协作币产出情况!L139/Q137</f>
        <v>4.9552519497638885</v>
      </c>
    </row>
    <row r="138" spans="11:25" x14ac:dyDescent="0.15">
      <c r="K138" s="41"/>
      <c r="L138" s="42">
        <v>134</v>
      </c>
      <c r="M138" s="43">
        <f>IF($L138&lt;基础状态预期!E$9,0,求节点(基础状态预期!E$8:E$26,$D$10:$D$28,$L138))</f>
        <v>968669.23450900102</v>
      </c>
      <c r="N138" s="43">
        <f>IF($L138&lt;基础状态预期!F$9,0,求节点(基础状态预期!F$8:F$26,$D$10:$D$28,$L138))</f>
        <v>945307.1122342773</v>
      </c>
      <c r="O138" s="43">
        <f>IF($L138&lt;基础状态预期!G$9,0,求节点(基础状态预期!G$8:G$26,$D$10:$D$28,$L138))</f>
        <v>911967.4557551411</v>
      </c>
      <c r="P138" s="43">
        <f>IF($L138&lt;基础状态预期!H$9,0,求节点(基础状态预期!H$8:H$26,$D$10:$D$28,$L138))</f>
        <v>864737.77932341257</v>
      </c>
      <c r="Q138" s="43">
        <f>IF($L138&lt;基础状态预期!I$9,0,求节点(基础状态预期!I$8:I$26,$D$10:$D$28,$L138))</f>
        <v>791668.01153044926</v>
      </c>
      <c r="T138" s="42">
        <v>134</v>
      </c>
      <c r="U138" s="43">
        <f>协作币产出情况!H140/M138</f>
        <v>16.736996107649855</v>
      </c>
      <c r="V138" s="43">
        <f>协作币产出情况!I140/N138</f>
        <v>14.521439038378535</v>
      </c>
      <c r="W138" s="43">
        <f>协作币产出情况!J140/O138</f>
        <v>11.980339837389819</v>
      </c>
      <c r="X138" s="43">
        <f>协作币产出情况!K140/P138</f>
        <v>8.9768244078125345</v>
      </c>
      <c r="Y138" s="43">
        <f>协作币产出情况!L140/Q138</f>
        <v>5.2590214724694873</v>
      </c>
    </row>
    <row r="139" spans="11:25" x14ac:dyDescent="0.15">
      <c r="K139" s="41"/>
      <c r="L139" s="42">
        <v>135</v>
      </c>
      <c r="M139" s="43">
        <f>IF($L139&lt;基础状态预期!E$9,0,求节点(基础状态预期!E$8:E$26,$D$10:$D$28,$L139))</f>
        <v>975898.10939339665</v>
      </c>
      <c r="N139" s="43">
        <f>IF($L139&lt;基础状态预期!F$9,0,求节点(基础状态预期!F$8:F$26,$D$10:$D$28,$L139))</f>
        <v>952361.64292259282</v>
      </c>
      <c r="O139" s="43">
        <f>IF($L139&lt;基础状态预期!G$9,0,求节点(基础状态预期!G$8:G$26,$D$10:$D$28,$L139))</f>
        <v>918773.18303689593</v>
      </c>
      <c r="P139" s="43">
        <f>IF($L139&lt;基础状态预期!H$9,0,求节点(基础状态预期!H$8:H$26,$D$10:$D$28,$L139))</f>
        <v>871191.04633328877</v>
      </c>
      <c r="Q139" s="43">
        <f>IF($L139&lt;基础状态预期!I$9,0,求节点(基础状态预期!I$8:I$26,$D$10:$D$28,$L139))</f>
        <v>797575.98176575114</v>
      </c>
      <c r="T139" s="42">
        <v>135</v>
      </c>
      <c r="U139" s="43">
        <f>协作币产出情况!H141/M139</f>
        <v>17.805502528580028</v>
      </c>
      <c r="V139" s="43">
        <f>协作币产出情况!I141/N139</f>
        <v>15.430256555990701</v>
      </c>
      <c r="W139" s="43">
        <f>协作币产出情况!J141/O139</f>
        <v>12.728155300075738</v>
      </c>
      <c r="X139" s="43">
        <f>协作币产出情况!K141/P139</f>
        <v>9.5539028791772473</v>
      </c>
      <c r="Y139" s="43">
        <f>协作币产出情况!L141/Q139</f>
        <v>5.6034771994359387</v>
      </c>
    </row>
    <row r="140" spans="11:25" x14ac:dyDescent="0.15">
      <c r="K140" s="41"/>
      <c r="L140" s="42">
        <v>136</v>
      </c>
      <c r="M140" s="43">
        <f>IF($L140&lt;基础状态预期!E$9,0,求节点(基础状态预期!E$8:E$26,$D$10:$D$28,$L140))</f>
        <v>983126.98427779204</v>
      </c>
      <c r="N140" s="43">
        <f>IF($L140&lt;基础状态预期!F$9,0,求节点(基础状态预期!F$8:F$26,$D$10:$D$28,$L140))</f>
        <v>959416.17361090833</v>
      </c>
      <c r="O140" s="43">
        <f>IF($L140&lt;基础状态预期!G$9,0,求节点(基础状态预期!G$8:G$26,$D$10:$D$28,$L140))</f>
        <v>925578.91031865077</v>
      </c>
      <c r="P140" s="43">
        <f>IF($L140&lt;基础状态预期!H$9,0,求节点(基础状态预期!H$8:H$26,$D$10:$D$28,$L140))</f>
        <v>877644.31334316498</v>
      </c>
      <c r="Q140" s="43">
        <f>IF($L140&lt;基础状态预期!I$9,0,求节点(基础状态预期!I$8:I$26,$D$10:$D$28,$L140))</f>
        <v>803483.95200105303</v>
      </c>
      <c r="T140" s="42">
        <v>136</v>
      </c>
      <c r="U140" s="43">
        <f>协作币产出情况!H142/M140</f>
        <v>18.943255008874289</v>
      </c>
      <c r="V140" s="43">
        <f>协作币产出情况!I142/N140</f>
        <v>16.427880219531733</v>
      </c>
      <c r="W140" s="43">
        <f>协作币产出情况!J142/O140</f>
        <v>13.587749176874476</v>
      </c>
      <c r="X140" s="43">
        <f>协作币产出情况!K142/P140</f>
        <v>10.198339031288338</v>
      </c>
      <c r="Y140" s="43">
        <f>协作币产出情况!L142/Q140</f>
        <v>5.9823941028567127</v>
      </c>
    </row>
    <row r="141" spans="11:25" x14ac:dyDescent="0.15">
      <c r="K141" s="41"/>
      <c r="L141" s="42">
        <v>137</v>
      </c>
      <c r="M141" s="43">
        <f>IF($L141&lt;基础状态预期!E$9,0,求节点(基础状态预期!E$8:E$26,$D$10:$D$28,$L141))</f>
        <v>990355.85916218767</v>
      </c>
      <c r="N141" s="43">
        <f>IF($L141&lt;基础状态预期!F$9,0,求节点(基础状态预期!F$8:F$26,$D$10:$D$28,$L141))</f>
        <v>966470.70429922384</v>
      </c>
      <c r="O141" s="43">
        <f>IF($L141&lt;基础状态预期!G$9,0,求节点(基础状态预期!G$8:G$26,$D$10:$D$28,$L141))</f>
        <v>932384.63760040561</v>
      </c>
      <c r="P141" s="43">
        <f>IF($L141&lt;基础状态预期!H$9,0,求节点(基础状态预期!H$8:H$26,$D$10:$D$28,$L141))</f>
        <v>884097.58035304118</v>
      </c>
      <c r="Q141" s="43">
        <f>IF($L141&lt;基础状态预期!I$9,0,求节点(基础状态预期!I$8:I$26,$D$10:$D$28,$L141))</f>
        <v>809391.92223635491</v>
      </c>
      <c r="T141" s="42">
        <v>137</v>
      </c>
      <c r="U141" s="43">
        <f>协作币产出情况!H143/M141</f>
        <v>20.154790531291194</v>
      </c>
      <c r="V141" s="43">
        <f>协作币产出情况!I143/N141</f>
        <v>17.499195230108416</v>
      </c>
      <c r="W141" s="43">
        <f>协作币产出情况!J143/O141</f>
        <v>14.471753312338446</v>
      </c>
      <c r="X141" s="43">
        <f>协作币产出情况!K143/P141</f>
        <v>10.870903828364503</v>
      </c>
      <c r="Y141" s="43">
        <f>协作币产出情况!L143/Q141</f>
        <v>6.3724026230230928</v>
      </c>
    </row>
    <row r="142" spans="11:25" x14ac:dyDescent="0.15">
      <c r="K142" s="41"/>
      <c r="L142" s="42">
        <v>138</v>
      </c>
      <c r="M142" s="43">
        <f>IF($L142&lt;基础状态预期!E$9,0,求节点(基础状态预期!E$8:E$26,$D$10:$D$28,$L142))</f>
        <v>997584.73404658318</v>
      </c>
      <c r="N142" s="43">
        <f>IF($L142&lt;基础状态预期!F$9,0,求节点(基础状态预期!F$8:F$26,$D$10:$D$28,$L142))</f>
        <v>973525.23498753936</v>
      </c>
      <c r="O142" s="43">
        <f>IF($L142&lt;基础状态预期!G$9,0,求节点(基础状态预期!G$8:G$26,$D$10:$D$28,$L142))</f>
        <v>939190.36488216033</v>
      </c>
      <c r="P142" s="43">
        <f>IF($L142&lt;基础状态预期!H$9,0,求节点(基础状态预期!H$8:H$26,$D$10:$D$28,$L142))</f>
        <v>890550.84736291738</v>
      </c>
      <c r="Q142" s="43">
        <f>IF($L142&lt;基础状态预期!I$9,0,求节点(基础状态预期!I$8:I$26,$D$10:$D$28,$L142))</f>
        <v>815299.89247165667</v>
      </c>
      <c r="T142" s="42">
        <v>138</v>
      </c>
      <c r="U142" s="43">
        <f>协作币产出情况!H144/M142</f>
        <v>21.444945891249535</v>
      </c>
      <c r="V142" s="43">
        <f>协作币产出情况!I144/N142</f>
        <v>18.619359713387489</v>
      </c>
      <c r="W142" s="43">
        <f>协作币产出情况!J144/O142</f>
        <v>15.409513290937495</v>
      </c>
      <c r="X142" s="43">
        <f>协作币产出情况!K144/P142</f>
        <v>11.573982564377342</v>
      </c>
      <c r="Y142" s="43">
        <f>协作币产出情况!L144/Q142</f>
        <v>6.754075434696813</v>
      </c>
    </row>
    <row r="143" spans="11:25" x14ac:dyDescent="0.15">
      <c r="K143" s="41"/>
      <c r="L143" s="42">
        <v>139</v>
      </c>
      <c r="M143" s="43">
        <f>IF($L143&lt;基础状态预期!E$9,0,求节点(基础状态预期!E$8:E$26,$D$10:$D$28,$L143))</f>
        <v>1004813.6089309787</v>
      </c>
      <c r="N143" s="43">
        <f>IF($L143&lt;基础状态预期!F$9,0,求节点(基础状态预期!F$8:F$26,$D$10:$D$28,$L143))</f>
        <v>980579.76567585487</v>
      </c>
      <c r="O143" s="43">
        <f>IF($L143&lt;基础状态预期!G$9,0,求节点(基础状态预期!G$8:G$26,$D$10:$D$28,$L143))</f>
        <v>945996.09216391505</v>
      </c>
      <c r="P143" s="43">
        <f>IF($L143&lt;基础状态预期!H$9,0,求节点(基础状态预期!H$8:H$26,$D$10:$D$28,$L143))</f>
        <v>897004.11437279359</v>
      </c>
      <c r="Q143" s="43">
        <f>IF($L143&lt;基础状态预期!I$9,0,求节点(基础状态预期!I$8:I$26,$D$10:$D$28,$L143))</f>
        <v>821207.86270695855</v>
      </c>
      <c r="T143" s="42">
        <v>139</v>
      </c>
      <c r="U143" s="43">
        <f>协作币产出情况!H145/M143</f>
        <v>22.818877646773171</v>
      </c>
      <c r="V143" s="43">
        <f>协作币产出情况!I145/N143</f>
        <v>19.821615341379946</v>
      </c>
      <c r="W143" s="43">
        <f>协作币产出情况!J145/O143</f>
        <v>16.399191570230858</v>
      </c>
      <c r="X143" s="43">
        <f>协作币产出情况!K145/P143</f>
        <v>12.266936099638766</v>
      </c>
      <c r="Y143" s="43">
        <f>协作币产出情况!L145/Q143</f>
        <v>7.1616659304939798</v>
      </c>
    </row>
    <row r="144" spans="11:25" x14ac:dyDescent="0.15">
      <c r="K144" s="41"/>
      <c r="L144" s="42">
        <v>140</v>
      </c>
      <c r="M144" s="43">
        <f>IF($L144&lt;基础状态预期!E$9,0,求节点(基础状态预期!E$8:E$26,$D$10:$D$28,$L144))</f>
        <v>1012042.4838153742</v>
      </c>
      <c r="N144" s="43">
        <f>IF($L144&lt;基础状态预期!F$9,0,求节点(基础状态预期!F$8:F$26,$D$10:$D$28,$L144))</f>
        <v>987634.29636417027</v>
      </c>
      <c r="O144" s="43">
        <f>IF($L144&lt;基础状态预期!G$9,0,求节点(基础状态预期!G$8:G$26,$D$10:$D$28,$L144))</f>
        <v>952801.81944566988</v>
      </c>
      <c r="P144" s="43">
        <f>IF($L144&lt;基础状态预期!H$9,0,求节点(基础状态预期!H$8:H$26,$D$10:$D$28,$L144))</f>
        <v>903457.38138266979</v>
      </c>
      <c r="Q144" s="43">
        <f>IF($L144&lt;基础状态预期!I$9,0,求节点(基础状态预期!I$8:I$26,$D$10:$D$28,$L144))</f>
        <v>827115.83294226043</v>
      </c>
      <c r="T144" s="42">
        <v>140</v>
      </c>
      <c r="U144" s="43">
        <f>协作币产出情况!H146/M144</f>
        <v>24.282083403608478</v>
      </c>
      <c r="V144" s="43">
        <f>协作币产出情况!I146/N144</f>
        <v>21.082675972931501</v>
      </c>
      <c r="W144" s="43">
        <f>协作币产出情况!J146/O144</f>
        <v>17.375954067375748</v>
      </c>
      <c r="X144" s="43">
        <f>协作币产出情况!K146/P144</f>
        <v>12.996402865213485</v>
      </c>
      <c r="Y144" s="43">
        <f>协作币产出情况!L146/Q144</f>
        <v>7.6030639235012654</v>
      </c>
    </row>
    <row r="145" spans="11:25" x14ac:dyDescent="0.15">
      <c r="K145" s="41"/>
      <c r="L145" s="42">
        <v>141</v>
      </c>
      <c r="M145" s="43">
        <f>IF($L145&lt;基础状态预期!E$9,0,求节点(基础状态预期!E$8:E$26,$D$10:$D$28,$L145))</f>
        <v>1019271.3586997697</v>
      </c>
      <c r="N145" s="43">
        <f>IF($L145&lt;基础状态预期!F$9,0,求节点(基础状态预期!F$8:F$26,$D$10:$D$28,$L145))</f>
        <v>994688.8270524859</v>
      </c>
      <c r="O145" s="43">
        <f>IF($L145&lt;基础状态预期!G$9,0,求节点(基础状态预期!G$8:G$26,$D$10:$D$28,$L145))</f>
        <v>959607.54672742472</v>
      </c>
      <c r="P145" s="43">
        <f>IF($L145&lt;基础状态预期!H$9,0,求节点(基础状态预期!H$8:H$26,$D$10:$D$28,$L145))</f>
        <v>909910.64839254599</v>
      </c>
      <c r="Q145" s="43">
        <f>IF($L145&lt;基础状态预期!I$9,0,求节点(基础状态预期!I$8:I$26,$D$10:$D$28,$L145))</f>
        <v>833023.80317756231</v>
      </c>
      <c r="T145" s="42">
        <v>141</v>
      </c>
      <c r="U145" s="43">
        <f>协作币产出情况!H147/M145</f>
        <v>25.840424525310318</v>
      </c>
      <c r="V145" s="43">
        <f>协作币产出情况!I147/N145</f>
        <v>22.377436174025391</v>
      </c>
      <c r="W145" s="43">
        <f>协作币产出情况!J147/O145</f>
        <v>18.427955177107407</v>
      </c>
      <c r="X145" s="43">
        <f>协作币产出情况!K147/P145</f>
        <v>13.815994510106458</v>
      </c>
      <c r="Y145" s="43">
        <f>协作币产出情况!L147/Q145</f>
        <v>8.0846790145018268</v>
      </c>
    </row>
    <row r="146" spans="11:25" x14ac:dyDescent="0.15">
      <c r="K146" s="41"/>
      <c r="L146" s="42">
        <v>142</v>
      </c>
      <c r="M146" s="43">
        <f>IF($L146&lt;基础状态预期!E$9,0,求节点(基础状态预期!E$8:E$26,$D$10:$D$28,$L146))</f>
        <v>1026500.2335841653</v>
      </c>
      <c r="N146" s="43">
        <f>IF($L146&lt;基础状态预期!F$9,0,求节点(基础状态预期!F$8:F$26,$D$10:$D$28,$L146))</f>
        <v>1001743.3577408013</v>
      </c>
      <c r="O146" s="43">
        <f>IF($L146&lt;基础状态预期!G$9,0,求节点(基础状态预期!G$8:G$26,$D$10:$D$28,$L146))</f>
        <v>966413.27400917944</v>
      </c>
      <c r="P146" s="43">
        <f>IF($L146&lt;基础状态预期!H$9,0,求节点(基础状态预期!H$8:H$26,$D$10:$D$28,$L146))</f>
        <v>916363.91540242219</v>
      </c>
      <c r="Q146" s="43">
        <f>IF($L146&lt;基础状态预期!I$9,0,求节点(基础状态预期!I$8:I$26,$D$10:$D$28,$L146))</f>
        <v>838931.77341286419</v>
      </c>
      <c r="T146" s="42">
        <v>142</v>
      </c>
      <c r="U146" s="43">
        <f>协作币产出情况!H148/M146</f>
        <v>27.500150364157282</v>
      </c>
      <c r="V146" s="43">
        <f>协作币产出情况!I148/N146</f>
        <v>23.814734891343303</v>
      </c>
      <c r="W146" s="43">
        <f>协作币产出情况!J148/O146</f>
        <v>19.661236400532673</v>
      </c>
      <c r="X146" s="43">
        <f>协作币产出情况!K148/P146</f>
        <v>14.737279247392625</v>
      </c>
      <c r="Y146" s="43">
        <f>协作币产出情况!L148/Q146</f>
        <v>8.6241456817577724</v>
      </c>
    </row>
    <row r="147" spans="11:25" x14ac:dyDescent="0.15">
      <c r="K147" s="41"/>
      <c r="L147" s="42">
        <v>143</v>
      </c>
      <c r="M147" s="43">
        <f>IF($L147&lt;基础状态预期!E$9,0,求节点(基础状态预期!E$8:E$26,$D$10:$D$28,$L147))</f>
        <v>1033729.1084685607</v>
      </c>
      <c r="N147" s="43">
        <f>IF($L147&lt;基础状态预期!F$9,0,求节点(基础状态预期!F$8:F$26,$D$10:$D$28,$L147))</f>
        <v>1008797.8884291169</v>
      </c>
      <c r="O147" s="43">
        <f>IF($L147&lt;基础状态预期!G$9,0,求节点(基础状态预期!G$8:G$26,$D$10:$D$28,$L147))</f>
        <v>973219.00129093416</v>
      </c>
      <c r="P147" s="43">
        <f>IF($L147&lt;基础状态预期!H$9,0,求节点(基础状态预期!H$8:H$26,$D$10:$D$28,$L147))</f>
        <v>922817.1824122984</v>
      </c>
      <c r="Q147" s="43">
        <f>IF($L147&lt;基础状态预期!I$9,0,求节点(基础状态预期!I$8:I$26,$D$10:$D$28,$L147))</f>
        <v>844839.74364816607</v>
      </c>
      <c r="T147" s="42">
        <v>143</v>
      </c>
      <c r="U147" s="43">
        <f>协作币产出情况!H149/M147</f>
        <v>29.267924115232397</v>
      </c>
      <c r="V147" s="43">
        <f>协作币产出情况!I149/N147</f>
        <v>25.375592792896143</v>
      </c>
      <c r="W147" s="43">
        <f>协作币产出情况!J149/O147</f>
        <v>20.953085391823155</v>
      </c>
      <c r="X147" s="43">
        <f>协作币产出情况!K149/P147</f>
        <v>15.717411490061917</v>
      </c>
      <c r="Y147" s="43">
        <f>协作币产出情况!L149/Q147</f>
        <v>9.2071751835781939</v>
      </c>
    </row>
    <row r="148" spans="11:25" x14ac:dyDescent="0.15">
      <c r="K148" s="41"/>
      <c r="L148" s="42">
        <v>144</v>
      </c>
      <c r="M148" s="43">
        <f>IF($L148&lt;基础状态预期!E$9,0,求节点(基础状态预期!E$8:E$26,$D$10:$D$28,$L148))</f>
        <v>1040957.9833529564</v>
      </c>
      <c r="N148" s="43">
        <f>IF($L148&lt;基础状态预期!F$9,0,求节点(基础状态预期!F$8:F$26,$D$10:$D$28,$L148))</f>
        <v>1015852.4191174323</v>
      </c>
      <c r="O148" s="43">
        <f>IF($L148&lt;基础状态预期!G$9,0,求节点(基础状态预期!G$8:G$26,$D$10:$D$28,$L148))</f>
        <v>980024.728572689</v>
      </c>
      <c r="P148" s="43">
        <f>IF($L148&lt;基础状态预期!H$9,0,求节点(基础状态预期!H$8:H$26,$D$10:$D$28,$L148))</f>
        <v>929270.4494221746</v>
      </c>
      <c r="Q148" s="43">
        <f>IF($L148&lt;基础状态预期!I$9,0,求节点(基础状态预期!I$8:I$26,$D$10:$D$28,$L148))</f>
        <v>850747.71388346795</v>
      </c>
      <c r="T148" s="42">
        <v>144</v>
      </c>
      <c r="U148" s="43">
        <f>协作币产出情况!H150/M148</f>
        <v>31.150850402921346</v>
      </c>
      <c r="V148" s="43">
        <f>协作币产出情况!I150/N148</f>
        <v>27.008109350863013</v>
      </c>
      <c r="W148" s="43">
        <f>协作币产出情况!J150/O148</f>
        <v>22.324245168964737</v>
      </c>
      <c r="X148" s="43">
        <f>协作币产出情况!K150/P148</f>
        <v>16.756493262257056</v>
      </c>
      <c r="Y148" s="43">
        <f>协作币产出情况!L150/Q148</f>
        <v>9.7804529619557865</v>
      </c>
    </row>
    <row r="149" spans="11:25" x14ac:dyDescent="0.15">
      <c r="K149" s="41"/>
      <c r="L149" s="42">
        <v>145</v>
      </c>
      <c r="M149" s="43">
        <f>IF($L149&lt;基础状态预期!E$9,0,求节点(基础状态预期!E$8:E$26,$D$10:$D$28,$L149))</f>
        <v>1048186.8582373519</v>
      </c>
      <c r="N149" s="43">
        <f>IF($L149&lt;基础状态预期!F$9,0,求节点(基础状态预期!F$8:F$26,$D$10:$D$28,$L149))</f>
        <v>1022906.9498057478</v>
      </c>
      <c r="O149" s="43">
        <f>IF($L149&lt;基础状态预期!G$9,0,求节点(基础状态预期!G$8:G$26,$D$10:$D$28,$L149))</f>
        <v>986830.45585444383</v>
      </c>
      <c r="P149" s="43">
        <f>IF($L149&lt;基础状态预期!H$9,0,求节点(基础状态预期!H$8:H$26,$D$10:$D$28,$L149))</f>
        <v>935723.7164320508</v>
      </c>
      <c r="Q149" s="43">
        <f>IF($L149&lt;基础状态预期!I$9,0,求节点(基础状态预期!I$8:I$26,$D$10:$D$28,$L149))</f>
        <v>856655.68411876971</v>
      </c>
      <c r="T149" s="42">
        <v>145</v>
      </c>
      <c r="U149" s="43">
        <f>协作币产出情况!H151/M149</f>
        <v>33.156504716462912</v>
      </c>
      <c r="V149" s="43">
        <f>协作币产出情况!I151/N149</f>
        <v>28.787803489229528</v>
      </c>
      <c r="W149" s="43">
        <f>协作币产出情况!J151/O149</f>
        <v>23.789770989001575</v>
      </c>
      <c r="X149" s="43">
        <f>协作币产出情况!K151/P149</f>
        <v>17.801936365386954</v>
      </c>
      <c r="Y149" s="43">
        <f>协作币产出情况!L151/Q149</f>
        <v>10.377713852347769</v>
      </c>
    </row>
    <row r="150" spans="11:25" x14ac:dyDescent="0.15">
      <c r="K150" s="41"/>
      <c r="L150" s="42">
        <v>146</v>
      </c>
      <c r="M150" s="43">
        <f>IF($L150&lt;基础状态预期!E$9,0,求节点(基础状态预期!E$8:E$26,$D$10:$D$28,$L150))</f>
        <v>1055415.7331217474</v>
      </c>
      <c r="N150" s="43">
        <f>IF($L150&lt;基础状态预期!F$9,0,求节点(基础状态预期!F$8:F$26,$D$10:$D$28,$L150))</f>
        <v>1029961.4804940633</v>
      </c>
      <c r="O150" s="43">
        <f>IF($L150&lt;基础状态预期!G$9,0,求节点(基础状态预期!G$8:G$26,$D$10:$D$28,$L150))</f>
        <v>993636.18313619867</v>
      </c>
      <c r="P150" s="43">
        <f>IF($L150&lt;基础状态预期!H$9,0,求节点(基础状态预期!H$8:H$26,$D$10:$D$28,$L150))</f>
        <v>942176.983441927</v>
      </c>
      <c r="Q150" s="43">
        <f>IF($L150&lt;基础状态预期!I$9,0,求节点(基础状态预期!I$8:I$26,$D$10:$D$28,$L150))</f>
        <v>862563.65435407159</v>
      </c>
      <c r="T150" s="42">
        <v>146</v>
      </c>
      <c r="U150" s="43">
        <f>协作币产出情况!H152/M150</f>
        <v>35.292964819070683</v>
      </c>
      <c r="V150" s="43">
        <f>协作币产出情况!I152/N150</f>
        <v>30.635530560480653</v>
      </c>
      <c r="W150" s="43">
        <f>协作币产出情况!J152/O150</f>
        <v>25.240207662118166</v>
      </c>
      <c r="X150" s="43">
        <f>协作币产出情况!K152/P150</f>
        <v>18.862038766437479</v>
      </c>
      <c r="Y150" s="43">
        <f>协作币产出情况!L152/Q150</f>
        <v>10.99890618314496</v>
      </c>
    </row>
    <row r="151" spans="11:25" x14ac:dyDescent="0.15">
      <c r="K151" s="41"/>
      <c r="L151" s="42">
        <v>147</v>
      </c>
      <c r="M151" s="43">
        <f>IF($L151&lt;基础状态预期!E$9,0,求节点(基础状态预期!E$8:E$26,$D$10:$D$28,$L151))</f>
        <v>1062644.608006143</v>
      </c>
      <c r="N151" s="43">
        <f>IF($L151&lt;基础状态预期!F$9,0,求节点(基础状态预期!F$8:F$26,$D$10:$D$28,$L151))</f>
        <v>1037016.0111823789</v>
      </c>
      <c r="O151" s="43">
        <f>IF($L151&lt;基础状态预期!G$9,0,求节点(基础状态预期!G$8:G$26,$D$10:$D$28,$L151))</f>
        <v>1000441.9104179534</v>
      </c>
      <c r="P151" s="43">
        <f>IF($L151&lt;基础状态预期!H$9,0,求节点(基础状态预期!H$8:H$26,$D$10:$D$28,$L151))</f>
        <v>948630.25045180321</v>
      </c>
      <c r="Q151" s="43">
        <f>IF($L151&lt;基础状态预期!I$9,0,求节点(基础状态预期!I$8:I$26,$D$10:$D$28,$L151))</f>
        <v>868471.62458937347</v>
      </c>
      <c r="T151" s="42">
        <v>147</v>
      </c>
      <c r="U151" s="43">
        <f>协作币产出情况!H153/M151</f>
        <v>37.568844263566668</v>
      </c>
      <c r="V151" s="43">
        <f>协作币产出情况!I153/N151</f>
        <v>32.503281217072718</v>
      </c>
      <c r="W151" s="43">
        <f>协作币产出情况!J153/O151</f>
        <v>26.744126914074837</v>
      </c>
      <c r="X151" s="43">
        <f>协作币产出情况!K153/P151</f>
        <v>19.973153615194182</v>
      </c>
      <c r="Y151" s="43">
        <f>协作币产出情况!L153/Q151</f>
        <v>11.666802936021973</v>
      </c>
    </row>
    <row r="152" spans="11:25" x14ac:dyDescent="0.15">
      <c r="K152" s="41"/>
      <c r="L152" s="42">
        <v>148</v>
      </c>
      <c r="M152" s="43">
        <f>IF($L152&lt;基础状态预期!E$9,0,求节点(基础状态预期!E$8:E$26,$D$10:$D$28,$L152))</f>
        <v>1069873.4828905384</v>
      </c>
      <c r="N152" s="43">
        <f>IF($L152&lt;基础状态预期!F$9,0,求节点(基础状态预期!F$8:F$26,$D$10:$D$28,$L152))</f>
        <v>1044070.5418706944</v>
      </c>
      <c r="O152" s="43">
        <f>IF($L152&lt;基础状态预期!G$9,0,求节点(基础状态预期!G$8:G$26,$D$10:$D$28,$L152))</f>
        <v>1007247.6376997081</v>
      </c>
      <c r="P152" s="43">
        <f>IF($L152&lt;基础状态预期!H$9,0,求节点(基础状态预期!H$8:H$26,$D$10:$D$28,$L152))</f>
        <v>955083.51746167953</v>
      </c>
      <c r="Q152" s="43">
        <f>IF($L152&lt;基础状态预期!I$9,0,求节点(基础状态预期!I$8:I$26,$D$10:$D$28,$L152))</f>
        <v>874379.59482467535</v>
      </c>
      <c r="T152" s="42">
        <v>148</v>
      </c>
      <c r="U152" s="43">
        <f>协作币产出情况!H154/M152</f>
        <v>39.993328156455306</v>
      </c>
      <c r="V152" s="43">
        <f>协作币产出情况!I154/N152</f>
        <v>34.600861893868903</v>
      </c>
      <c r="W152" s="43">
        <f>协作币产出情况!J154/O152</f>
        <v>28.487035828327773</v>
      </c>
      <c r="X152" s="43">
        <f>协作币产出情况!K154/P152</f>
        <v>21.306909731039337</v>
      </c>
      <c r="Y152" s="43">
        <f>协作币产出情况!L154/Q152</f>
        <v>12.424606899685164</v>
      </c>
    </row>
    <row r="153" spans="11:25" x14ac:dyDescent="0.15">
      <c r="K153" s="41"/>
      <c r="L153" s="42">
        <v>149</v>
      </c>
      <c r="M153" s="43">
        <f>IF($L153&lt;基础状态预期!E$9,0,求节点(基础状态预期!E$8:E$26,$D$10:$D$28,$L153))</f>
        <v>1077102.357774934</v>
      </c>
      <c r="N153" s="43">
        <f>IF($L153&lt;基础状态预期!F$9,0,求节点(基础状态预期!F$8:F$26,$D$10:$D$28,$L153))</f>
        <v>1051125.0725590098</v>
      </c>
      <c r="O153" s="43">
        <f>IF($L153&lt;基础状态预期!G$9,0,求节点(基础状态预期!G$8:G$26,$D$10:$D$28,$L153))</f>
        <v>1014053.3649814629</v>
      </c>
      <c r="P153" s="43">
        <f>IF($L153&lt;基础状态预期!H$9,0,求节点(基础状态预期!H$8:H$26,$D$10:$D$28,$L153))</f>
        <v>961536.78447155573</v>
      </c>
      <c r="Q153" s="43">
        <f>IF($L153&lt;基础状态预期!I$9,0,求节点(基础状态预期!I$8:I$26,$D$10:$D$28,$L153))</f>
        <v>880287.56505997712</v>
      </c>
      <c r="T153" s="42">
        <v>149</v>
      </c>
      <c r="U153" s="43">
        <f>协作币产出情况!H155/M153</f>
        <v>42.576211321969495</v>
      </c>
      <c r="V153" s="43">
        <f>协作币产出情况!I155/N153</f>
        <v>36.844209898760973</v>
      </c>
      <c r="W153" s="43">
        <f>协作币产出情况!J155/O153</f>
        <v>30.353943865364723</v>
      </c>
      <c r="X153" s="43">
        <f>协作币产出情况!K155/P153</f>
        <v>22.697278727451309</v>
      </c>
      <c r="Y153" s="43">
        <f>协作币产出情况!L155/Q153</f>
        <v>13.237442520695407</v>
      </c>
    </row>
    <row r="154" spans="11:25" x14ac:dyDescent="0.15">
      <c r="K154" s="41"/>
      <c r="L154" s="42">
        <v>150</v>
      </c>
      <c r="M154" s="43">
        <f>IF($L154&lt;基础状态预期!E$9,0,求节点(基础状态预期!E$8:E$26,$D$10:$D$28,$L154))</f>
        <v>1084331.2326593294</v>
      </c>
      <c r="N154" s="43">
        <f>IF($L154&lt;基础状态预期!F$9,0,求节点(基础状态预期!F$8:F$26,$D$10:$D$28,$L154))</f>
        <v>1058179.6032473254</v>
      </c>
      <c r="O154" s="43">
        <f>IF($L154&lt;基础状态预期!G$9,0,求节点(基础状态预期!G$8:G$26,$D$10:$D$28,$L154))</f>
        <v>1020859.0922632178</v>
      </c>
      <c r="P154" s="43">
        <f>IF($L154&lt;基础状态预期!H$9,0,求节点(基础状态预期!H$8:H$26,$D$10:$D$28,$L154))</f>
        <v>967990.05148143193</v>
      </c>
      <c r="Q154" s="43">
        <f>IF($L154&lt;基础状态预期!I$9,0,求节点(基础状态预期!I$8:I$26,$D$10:$D$28,$L154))</f>
        <v>886195.535295279</v>
      </c>
      <c r="T154" s="42">
        <v>150</v>
      </c>
      <c r="U154" s="43">
        <f>协作币产出情况!H156/M154</f>
        <v>45.327939027872581</v>
      </c>
      <c r="V154" s="43">
        <f>协作币产出情况!I156/N154</f>
        <v>39.225474695053769</v>
      </c>
      <c r="W154" s="43">
        <f>协作币产出情况!J156/O154</f>
        <v>32.320553247805776</v>
      </c>
      <c r="X154" s="43">
        <f>协作币产出情况!K156/P154</f>
        <v>24.179451084419505</v>
      </c>
      <c r="Y154" s="43">
        <f>协作币产出情况!L156/Q154</f>
        <v>14.142903005964591</v>
      </c>
    </row>
    <row r="155" spans="11:25" x14ac:dyDescent="0.15">
      <c r="K155" s="41"/>
      <c r="L155" s="42">
        <v>151</v>
      </c>
      <c r="M155" s="43">
        <f>IF($L155&lt;基础状态预期!E$9,0,求节点(基础状态预期!E$8:E$26,$D$10:$D$28,$L155))</f>
        <v>1091560.1075437251</v>
      </c>
      <c r="N155" s="43">
        <f>IF($L155&lt;基础状态预期!F$9,0,求节点(基础状态预期!F$8:F$26,$D$10:$D$28,$L155))</f>
        <v>1065234.1339356408</v>
      </c>
      <c r="O155" s="43">
        <f>IF($L155&lt;基础状态预期!G$9,0,求节点(基础状态预期!G$8:G$26,$D$10:$D$28,$L155))</f>
        <v>1027664.8195449725</v>
      </c>
      <c r="P155" s="43">
        <f>IF($L155&lt;基础状态预期!H$9,0,求节点(基础状态预期!H$8:H$26,$D$10:$D$28,$L155))</f>
        <v>974443.31849130813</v>
      </c>
      <c r="Q155" s="43">
        <f>IF($L155&lt;基础状态预期!I$9,0,求节点(基础状态预期!I$8:I$26,$D$10:$D$28,$L155))</f>
        <v>892103.50553058088</v>
      </c>
      <c r="T155" s="42">
        <v>151</v>
      </c>
      <c r="U155" s="43">
        <f>协作币产出情况!H157/M155</f>
        <v>48.259650445748505</v>
      </c>
      <c r="V155" s="43">
        <f>协作币产出情况!I157/N155</f>
        <v>41.782273071254529</v>
      </c>
      <c r="W155" s="43">
        <f>协作币产出情况!J157/O155</f>
        <v>34.436605659786821</v>
      </c>
      <c r="X155" s="43">
        <f>协作币产出情况!K157/P155</f>
        <v>25.867662580785804</v>
      </c>
      <c r="Y155" s="43">
        <f>协作币产出情况!L157/Q155</f>
        <v>15.293833065487837</v>
      </c>
    </row>
    <row r="156" spans="11:25" x14ac:dyDescent="0.15">
      <c r="K156" s="41"/>
      <c r="L156" s="42">
        <v>152</v>
      </c>
      <c r="M156" s="43">
        <f>IF($L156&lt;基础状态预期!E$9,0,求节点(基础状态预期!E$8:E$26,$D$10:$D$28,$L156))</f>
        <v>1098788.9824281204</v>
      </c>
      <c r="N156" s="43">
        <f>IF($L156&lt;基础状态预期!F$9,0,求节点(基础状态预期!F$8:F$26,$D$10:$D$28,$L156))</f>
        <v>1072288.6646239564</v>
      </c>
      <c r="O156" s="43">
        <f>IF($L156&lt;基础状态预期!G$9,0,求节点(基础状态预期!G$8:G$26,$D$10:$D$28,$L156))</f>
        <v>1034470.5468267272</v>
      </c>
      <c r="P156" s="43">
        <f>IF($L156&lt;基础状态预期!H$9,0,求节点(基础状态预期!H$8:H$26,$D$10:$D$28,$L156))</f>
        <v>980896.58550118434</v>
      </c>
      <c r="Q156" s="43">
        <f>IF($L156&lt;基础状态预期!I$9,0,求节点(基础状态预期!I$8:I$26,$D$10:$D$28,$L156))</f>
        <v>898011.47576588276</v>
      </c>
      <c r="T156" s="42">
        <v>152</v>
      </c>
      <c r="U156" s="43">
        <f>协作币产出情况!H158/M156</f>
        <v>51.383225030205139</v>
      </c>
      <c r="V156" s="43">
        <f>协作币产出情况!I158/N156</f>
        <v>44.476072985094483</v>
      </c>
      <c r="W156" s="43">
        <f>协作币产出情况!J158/O156</f>
        <v>36.867431190295783</v>
      </c>
      <c r="X156" s="43">
        <f>协作币产出情况!K158/P156</f>
        <v>27.916063073299224</v>
      </c>
      <c r="Y156" s="43">
        <f>协作币产出情况!L158/Q156</f>
        <v>23.576809596167205</v>
      </c>
    </row>
    <row r="157" spans="11:25" x14ac:dyDescent="0.15">
      <c r="K157" s="41"/>
      <c r="L157" s="42">
        <v>153</v>
      </c>
      <c r="M157" s="43">
        <f>IF($L157&lt;基础状态预期!E$9,0,求节点(基础状态预期!E$8:E$26,$D$10:$D$28,$L157))</f>
        <v>1106017.8573125161</v>
      </c>
      <c r="N157" s="43">
        <f>IF($L157&lt;基础状态预期!F$9,0,求节点(基础状态预期!F$8:F$26,$D$10:$D$28,$L157))</f>
        <v>1079343.1953122718</v>
      </c>
      <c r="O157" s="43">
        <f>IF($L157&lt;基础状态预期!G$9,0,求节点(基础状态预期!G$8:G$26,$D$10:$D$28,$L157))</f>
        <v>1041276.2741084821</v>
      </c>
      <c r="P157" s="43">
        <f>IF($L157&lt;基础状态预期!H$9,0,求节点(基础状态预期!H$8:H$26,$D$10:$D$28,$L157))</f>
        <v>987349.85251106054</v>
      </c>
      <c r="Q157" s="43">
        <f>IF($L157&lt;基础状态预期!I$9,0,求节点(基础状态预期!I$8:I$26,$D$10:$D$28,$L157))</f>
        <v>903919.44600118464</v>
      </c>
      <c r="T157" s="42">
        <v>153</v>
      </c>
      <c r="U157" s="43">
        <f>协作币产出情况!H159/M157</f>
        <v>54.71133201390181</v>
      </c>
      <c r="V157" s="43">
        <f>协作币产出情况!I159/N157</f>
        <v>47.710001422972958</v>
      </c>
      <c r="W157" s="43">
        <f>协作币产出情况!J159/O157</f>
        <v>39.6911934877375</v>
      </c>
      <c r="X157" s="43">
        <f>协作币产出情况!K159/P157</f>
        <v>36.772199874745901</v>
      </c>
      <c r="Y157" s="43">
        <f>协作币产出情况!L159/Q157</f>
        <v>40.166218664124216</v>
      </c>
    </row>
    <row r="158" spans="11:25" x14ac:dyDescent="0.15">
      <c r="K158" s="41"/>
      <c r="L158" s="42">
        <v>154</v>
      </c>
      <c r="M158" s="43">
        <f>IF($L158&lt;基础状态预期!E$9,0,求节点(基础状态预期!E$8:E$26,$D$10:$D$28,$L158))</f>
        <v>1113246.7321969117</v>
      </c>
      <c r="N158" s="43">
        <f>IF($L158&lt;基础状态预期!F$9,0,求节点(基础状态预期!F$8:F$26,$D$10:$D$28,$L158))</f>
        <v>1086397.7260005875</v>
      </c>
      <c r="O158" s="43">
        <f>IF($L158&lt;基础状态预期!G$9,0,求节点(基础状态预期!G$8:G$26,$D$10:$D$28,$L158))</f>
        <v>1048082.0013902369</v>
      </c>
      <c r="P158" s="43">
        <f>IF($L158&lt;基础状态预期!H$9,0,求节点(基础状态预期!H$8:H$26,$D$10:$D$28,$L158))</f>
        <v>993803.11952093686</v>
      </c>
      <c r="Q158" s="43">
        <f>IF($L158&lt;基础状态预期!I$9,0,求节点(基础状态预期!I$8:I$26,$D$10:$D$28,$L158))</f>
        <v>909827.41623648652</v>
      </c>
      <c r="T158" s="42">
        <v>154</v>
      </c>
      <c r="U158" s="43">
        <f>协作币产出情况!H160/M158</f>
        <v>58.257483228648447</v>
      </c>
      <c r="V158" s="43">
        <f>协作币产出情况!I160/N158</f>
        <v>51.041145745075362</v>
      </c>
      <c r="W158" s="43">
        <f>协作币产出情况!J160/O158</f>
        <v>48.57552930425414</v>
      </c>
      <c r="X158" s="43">
        <f>协作币产出情况!K160/P158</f>
        <v>51.554892241274487</v>
      </c>
      <c r="Y158" s="43">
        <f>协作币产出情况!L160/Q158</f>
        <v>56.313331321538222</v>
      </c>
    </row>
    <row r="159" spans="11:25" x14ac:dyDescent="0.15">
      <c r="K159" s="41"/>
      <c r="L159" s="42">
        <v>155</v>
      </c>
      <c r="M159" s="43">
        <f>IF($L159&lt;基础状态预期!E$9,0,求节点(基础状态预期!E$8:E$26,$D$10:$D$28,$L159))</f>
        <v>1120475.6070813071</v>
      </c>
      <c r="N159" s="43">
        <f>IF($L159&lt;基础状态预期!F$9,0,求节点(基础状态预期!F$8:F$26,$D$10:$D$28,$L159))</f>
        <v>1093452.2566889029</v>
      </c>
      <c r="O159" s="43">
        <f>IF($L159&lt;基础状态预期!G$9,0,求节点(基础状态预期!G$8:G$26,$D$10:$D$28,$L159))</f>
        <v>1054887.7286719917</v>
      </c>
      <c r="P159" s="43">
        <f>IF($L159&lt;基础状态预期!H$9,0,求节点(基础状态预期!H$8:H$26,$D$10:$D$28,$L159))</f>
        <v>1000256.3865308131</v>
      </c>
      <c r="Q159" s="43">
        <f>IF($L159&lt;基础状态预期!I$9,0,求节点(基础状态预期!I$8:I$26,$D$10:$D$28,$L159))</f>
        <v>915735.3864717884</v>
      </c>
      <c r="T159" s="42">
        <v>155</v>
      </c>
      <c r="U159" s="43">
        <f>协作币产出情况!H161/M159</f>
        <v>62.036089477062959</v>
      </c>
      <c r="V159" s="43">
        <f>协作币产出情况!I161/N159</f>
        <v>60.467057681245187</v>
      </c>
      <c r="W159" s="43">
        <f>协作币产出情况!J161/O159</f>
        <v>63.138861455776784</v>
      </c>
      <c r="X159" s="43">
        <f>协作币产出情况!K161/P159</f>
        <v>66.587338055419835</v>
      </c>
      <c r="Y159" s="43">
        <f>协作币产出情况!L161/Q159</f>
        <v>72.960967670469699</v>
      </c>
    </row>
    <row r="160" spans="11:25" x14ac:dyDescent="0.15">
      <c r="K160" s="41"/>
      <c r="L160" s="42">
        <v>156</v>
      </c>
      <c r="M160" s="43">
        <f>IF($L160&lt;基础状态预期!E$9,0,求节点(基础状态预期!E$8:E$26,$D$10:$D$28,$L160))</f>
        <v>1127704.4819657027</v>
      </c>
      <c r="N160" s="43">
        <f>IF($L160&lt;基础状态预期!F$9,0,求节点(基础状态预期!F$8:F$26,$D$10:$D$28,$L160))</f>
        <v>1100506.7873772183</v>
      </c>
      <c r="O160" s="43">
        <f>IF($L160&lt;基础状态预期!G$9,0,求节点(基础状态预期!G$8:G$26,$D$10:$D$28,$L160))</f>
        <v>1061693.4559537466</v>
      </c>
      <c r="P160" s="43">
        <f>IF($L160&lt;基础状态预期!H$9,0,求节点(基础状态预期!H$8:H$26,$D$10:$D$28,$L160))</f>
        <v>1006709.6535406893</v>
      </c>
      <c r="Q160" s="43">
        <f>IF($L160&lt;基础状态预期!I$9,0,求节点(基础状态预期!I$8:I$26,$D$10:$D$28,$L160))</f>
        <v>921643.35670709028</v>
      </c>
      <c r="T160" s="42">
        <v>156</v>
      </c>
      <c r="U160" s="43">
        <f>协作币产出情况!H162/M160</f>
        <v>66.062520694481748</v>
      </c>
      <c r="V160" s="43">
        <f>协作币产出情况!I162/N160</f>
        <v>67.69517601492376</v>
      </c>
      <c r="W160" s="43">
        <f>协作币产出情况!J162/O160</f>
        <v>70.871672291034926</v>
      </c>
      <c r="X160" s="43">
        <f>协作币产出情况!K162/P160</f>
        <v>74.742494441421428</v>
      </c>
      <c r="Y160" s="43">
        <f>协作币产出情况!L162/Q160</f>
        <v>81.883612719302789</v>
      </c>
    </row>
    <row r="161" spans="11:32" x14ac:dyDescent="0.15">
      <c r="K161" s="41"/>
      <c r="L161" s="42">
        <v>157</v>
      </c>
      <c r="M161" s="43">
        <f>IF($L161&lt;基础状态预期!E$9,0,求节点(基础状态预期!E$8:E$26,$D$10:$D$28,$L161))</f>
        <v>1134933.3568500984</v>
      </c>
      <c r="N161" s="43">
        <f>IF($L161&lt;基础状态预期!F$9,0,求节点(基础状态预期!F$8:F$26,$D$10:$D$28,$L161))</f>
        <v>1107561.3180655339</v>
      </c>
      <c r="O161" s="43">
        <f>IF($L161&lt;基础状态预期!G$9,0,求节点(基础状态预期!G$8:G$26,$D$10:$D$28,$L161))</f>
        <v>1068499.1832355012</v>
      </c>
      <c r="P161" s="43">
        <f>IF($L161&lt;基础状态预期!H$9,0,求节点(基础状态预期!H$8:H$26,$D$10:$D$28,$L161))</f>
        <v>1013162.9205505655</v>
      </c>
      <c r="Q161" s="43">
        <f>IF($L161&lt;基础状态预期!I$9,0,求节点(基础状态预期!I$8:I$26,$D$10:$D$28,$L161))</f>
        <v>927551.32694239216</v>
      </c>
      <c r="T161" s="42">
        <v>157</v>
      </c>
      <c r="U161" s="43">
        <f>协作币产出情况!H163/M161</f>
        <v>70.353170157064412</v>
      </c>
      <c r="V161" s="43">
        <f>协作币产出情况!I163/N161</f>
        <v>72.091863690998665</v>
      </c>
      <c r="W161" s="43">
        <f>协作币产出情况!J163/O161</f>
        <v>75.474668050675461</v>
      </c>
      <c r="X161" s="43">
        <f>协作币产出情况!K163/P161</f>
        <v>79.596893580840884</v>
      </c>
      <c r="Y161" s="43">
        <f>协作币产出情况!L163/Q161</f>
        <v>86.943567244905623</v>
      </c>
    </row>
    <row r="162" spans="11:32" x14ac:dyDescent="0.15">
      <c r="K162" s="41"/>
      <c r="L162" s="42">
        <v>158</v>
      </c>
      <c r="M162" s="43">
        <f>IF($L162&lt;基础状态预期!E$9,0,求节点(基础状态预期!E$8:E$26,$D$10:$D$28,$L162))</f>
        <v>1142162.2317344937</v>
      </c>
      <c r="N162" s="43">
        <f>IF($L162&lt;基础状态预期!F$9,0,求节点(基础状态预期!F$8:F$26,$D$10:$D$28,$L162))</f>
        <v>1114615.8487538495</v>
      </c>
      <c r="O162" s="43">
        <f>IF($L162&lt;基础状态预期!G$9,0,求节点(基础状态预期!G$8:G$26,$D$10:$D$28,$L162))</f>
        <v>1075304.910517256</v>
      </c>
      <c r="P162" s="43">
        <f>IF($L162&lt;基础状态预期!H$9,0,求节点(基础状态预期!H$8:H$26,$D$10:$D$28,$L162))</f>
        <v>1019616.1875604417</v>
      </c>
      <c r="Q162" s="43">
        <f>IF($L162&lt;基础状态预期!I$9,0,求节点(基础状态预期!I$8:I$26,$D$10:$D$28,$L162))</f>
        <v>933459.29717769392</v>
      </c>
      <c r="T162" s="42">
        <v>158</v>
      </c>
      <c r="U162" s="43">
        <f>协作币产出情况!H164/M162</f>
        <v>74.925523009375212</v>
      </c>
      <c r="V162" s="43">
        <f>协作币产出情况!I164/N162</f>
        <v>76.777216715461321</v>
      </c>
      <c r="W162" s="43">
        <f>协作币产出情况!J164/O162</f>
        <v>80.37987435436132</v>
      </c>
      <c r="X162" s="43">
        <f>协作币产出情况!K164/P162</f>
        <v>84.770009200036498</v>
      </c>
      <c r="Y162" s="43">
        <f>协作币产出情况!L164/Q162</f>
        <v>92.594153661904514</v>
      </c>
    </row>
    <row r="163" spans="11:32" x14ac:dyDescent="0.15">
      <c r="K163" s="41"/>
      <c r="L163" s="42">
        <v>159</v>
      </c>
      <c r="M163" s="43">
        <f>IF($L163&lt;基础状态预期!E$9,0,求节点(基础状态预期!E$8:E$26,$D$10:$D$28,$L163))</f>
        <v>1149391.1066188891</v>
      </c>
      <c r="N163" s="43">
        <f>IF($L163&lt;基础状态预期!F$9,0,求节点(基础状态预期!F$8:F$26,$D$10:$D$28,$L163))</f>
        <v>1121670.3794421649</v>
      </c>
      <c r="O163" s="43">
        <f>IF($L163&lt;基础状态预期!G$9,0,求节点(基础状态预期!G$8:G$26,$D$10:$D$28,$L163))</f>
        <v>1082110.6377990108</v>
      </c>
      <c r="P163" s="43">
        <f>IF($L163&lt;基础状态预期!H$9,0,求节点(基础状态预期!H$8:H$26,$D$10:$D$28,$L163))</f>
        <v>1026069.4545703179</v>
      </c>
      <c r="Q163" s="43">
        <f>IF($L163&lt;基础状态预期!I$9,0,求节点(基础状态预期!I$8:I$26,$D$10:$D$28,$L163))</f>
        <v>939367.2674129958</v>
      </c>
      <c r="T163" s="42">
        <v>159</v>
      </c>
      <c r="U163" s="43">
        <f>协作币产出情况!H165/M163</f>
        <v>79.79822940325424</v>
      </c>
      <c r="V163" s="43">
        <f>协作币产出情况!I165/N163</f>
        <v>81.770346156104011</v>
      </c>
      <c r="W163" s="43">
        <f>协作币产出情况!J165/O163</f>
        <v>85.607299028549832</v>
      </c>
      <c r="X163" s="43">
        <f>协作币产出情况!K165/P163</f>
        <v>90.282941899705676</v>
      </c>
      <c r="Y163" s="43">
        <f>协作币产出情况!L165/Q163</f>
        <v>98.615921765247904</v>
      </c>
    </row>
    <row r="164" spans="11:32" x14ac:dyDescent="0.15">
      <c r="K164" s="41"/>
      <c r="L164" s="42">
        <v>160</v>
      </c>
      <c r="M164" s="43">
        <f>IF($L164&lt;基础状态预期!E$9,0,求节点(基础状态预期!E$8:E$26,$D$10:$D$28,$L164))</f>
        <v>1156619.9815032848</v>
      </c>
      <c r="N164" s="43">
        <f>IF($L164&lt;基础状态预期!F$9,0,求节点(基础状态预期!F$8:F$26,$D$10:$D$28,$L164))</f>
        <v>1128724.9101304803</v>
      </c>
      <c r="O164" s="43">
        <f>IF($L164&lt;基础状态预期!G$9,0,求节点(基础状态预期!G$8:G$26,$D$10:$D$28,$L164))</f>
        <v>1088916.3650807654</v>
      </c>
      <c r="P164" s="43">
        <f>IF($L164&lt;基础状态预期!H$9,0,求节点(基础状态预期!H$8:H$26,$D$10:$D$28,$L164))</f>
        <v>1032522.7215801941</v>
      </c>
      <c r="Q164" s="43">
        <f>IF($L164&lt;基础状态预期!I$9,0,求节点(基础状态预期!I$8:I$26,$D$10:$D$28,$L164))</f>
        <v>945275.23764829768</v>
      </c>
      <c r="T164" s="42">
        <v>160</v>
      </c>
      <c r="U164" s="43">
        <f>协作币产出情况!H166/M164</f>
        <v>84.991182559576785</v>
      </c>
      <c r="V164" s="43">
        <f>协作币产出情况!I166/N164</f>
        <v>87.091636870702402</v>
      </c>
      <c r="W164" s="43">
        <f>协作币产出情况!J166/O164</f>
        <v>91.178283460397765</v>
      </c>
      <c r="X164" s="43">
        <f>协作币产出情况!K166/P164</f>
        <v>96.15819867678205</v>
      </c>
      <c r="Y164" s="43">
        <f>协作币产出情况!L166/Q164</f>
        <v>105.03345591386423</v>
      </c>
    </row>
    <row r="165" spans="11:32" x14ac:dyDescent="0.15"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</row>
  </sheetData>
  <mergeCells count="4">
    <mergeCell ref="M3:Q3"/>
    <mergeCell ref="U3:Y3"/>
    <mergeCell ref="E8:F8"/>
    <mergeCell ref="G8:I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73447-7F7A-4341-9BC1-1BB1707E5291}">
  <sheetPr codeName="Sheet18">
    <tabColor theme="0" tint="-0.249977111117893"/>
  </sheetPr>
  <dimension ref="A1:BQ229"/>
  <sheetViews>
    <sheetView zoomScaleNormal="100" workbookViewId="0">
      <selection activeCell="I40" sqref="I40"/>
    </sheetView>
  </sheetViews>
  <sheetFormatPr defaultColWidth="6.625" defaultRowHeight="11.25" x14ac:dyDescent="0.15"/>
  <cols>
    <col min="1" max="4" width="6.625" style="29"/>
    <col min="5" max="5" width="6.625" style="19"/>
    <col min="6" max="19" width="6.625" style="29"/>
    <col min="20" max="20" width="6.625" style="29" customWidth="1"/>
    <col min="21" max="21" width="6.625" style="19" customWidth="1"/>
    <col min="22" max="35" width="6.625" style="29" customWidth="1"/>
    <col min="36" max="36" width="6.625" style="19" customWidth="1"/>
    <col min="37" max="54" width="6.625" style="29" customWidth="1"/>
    <col min="55" max="55" width="6.625" style="19" customWidth="1"/>
    <col min="56" max="58" width="6.625" style="29" customWidth="1"/>
    <col min="59" max="61" width="6.625" style="29"/>
    <col min="62" max="62" width="6.625" style="29" customWidth="1"/>
    <col min="63" max="64" width="6.625" style="29"/>
    <col min="65" max="65" width="6.625" style="29" customWidth="1"/>
    <col min="66" max="16384" width="6.625" style="29"/>
  </cols>
  <sheetData>
    <row r="1" spans="1:69" x14ac:dyDescent="0.15">
      <c r="A1" s="17"/>
      <c r="G1" s="29" t="s">
        <v>52</v>
      </c>
      <c r="W1" s="29" t="s">
        <v>53</v>
      </c>
      <c r="AL1" s="29" t="s">
        <v>92</v>
      </c>
      <c r="BE1" s="29" t="s">
        <v>96</v>
      </c>
    </row>
    <row r="2" spans="1:69" x14ac:dyDescent="0.15">
      <c r="A2" s="17"/>
    </row>
    <row r="3" spans="1:69" x14ac:dyDescent="0.15">
      <c r="A3" s="17" t="s">
        <v>107</v>
      </c>
    </row>
    <row r="4" spans="1:69" x14ac:dyDescent="0.15">
      <c r="A4" s="17"/>
      <c r="B4" s="29" t="s">
        <v>108</v>
      </c>
      <c r="C4" s="29" t="s">
        <v>109</v>
      </c>
    </row>
    <row r="5" spans="1:69" x14ac:dyDescent="0.15">
      <c r="A5" s="17" t="s">
        <v>52</v>
      </c>
      <c r="B5" s="29">
        <v>1</v>
      </c>
      <c r="C5" s="29">
        <v>1</v>
      </c>
      <c r="I5" s="17" t="s">
        <v>84</v>
      </c>
      <c r="N5" s="72" t="s">
        <v>102</v>
      </c>
      <c r="O5" s="72"/>
      <c r="P5" s="72"/>
      <c r="Q5" s="72"/>
      <c r="R5" s="72"/>
      <c r="Y5" s="17" t="s">
        <v>86</v>
      </c>
      <c r="AD5" s="72" t="s">
        <v>102</v>
      </c>
      <c r="AE5" s="72"/>
      <c r="AF5" s="72"/>
      <c r="AG5" s="72"/>
      <c r="AH5" s="72"/>
      <c r="AN5" s="17"/>
      <c r="AO5" s="17"/>
      <c r="AP5" s="17"/>
      <c r="AT5" s="72" t="s">
        <v>102</v>
      </c>
      <c r="AU5" s="72"/>
      <c r="AV5" s="72"/>
      <c r="AW5" s="72"/>
      <c r="AX5" s="72"/>
      <c r="BG5" s="17" t="s">
        <v>100</v>
      </c>
      <c r="BH5" s="17"/>
      <c r="BI5" s="17"/>
      <c r="BM5" s="72" t="s">
        <v>102</v>
      </c>
      <c r="BN5" s="72"/>
      <c r="BO5" s="72"/>
      <c r="BP5" s="72"/>
      <c r="BQ5" s="72"/>
    </row>
    <row r="6" spans="1:69" x14ac:dyDescent="0.15">
      <c r="A6" s="29" t="s">
        <v>53</v>
      </c>
      <c r="B6" s="29">
        <v>0</v>
      </c>
      <c r="C6" s="29">
        <v>0</v>
      </c>
      <c r="G6" s="29" t="s">
        <v>79</v>
      </c>
      <c r="H6" s="29" t="s">
        <v>83</v>
      </c>
      <c r="I6" s="29" t="s">
        <v>101</v>
      </c>
      <c r="M6" s="29" t="s">
        <v>82</v>
      </c>
      <c r="N6" s="29" t="s">
        <v>36</v>
      </c>
      <c r="O6" s="29" t="s">
        <v>37</v>
      </c>
      <c r="P6" s="29" t="s">
        <v>38</v>
      </c>
      <c r="Q6" s="29" t="s">
        <v>39</v>
      </c>
      <c r="R6" s="29" t="s">
        <v>40</v>
      </c>
      <c r="W6" s="29" t="s">
        <v>80</v>
      </c>
      <c r="X6" s="29" t="s">
        <v>83</v>
      </c>
      <c r="Y6" s="29" t="s">
        <v>101</v>
      </c>
      <c r="AC6" s="29" t="s">
        <v>82</v>
      </c>
      <c r="AD6" s="29" t="s">
        <v>36</v>
      </c>
      <c r="AE6" s="29" t="s">
        <v>37</v>
      </c>
      <c r="AF6" s="29" t="s">
        <v>38</v>
      </c>
      <c r="AG6" s="29" t="s">
        <v>39</v>
      </c>
      <c r="AH6" s="29" t="s">
        <v>40</v>
      </c>
      <c r="AL6" s="29" t="s">
        <v>94</v>
      </c>
      <c r="AM6" s="29" t="s">
        <v>103</v>
      </c>
      <c r="AN6" s="29" t="s">
        <v>101</v>
      </c>
      <c r="AS6" s="29" t="s">
        <v>82</v>
      </c>
      <c r="AT6" s="29" t="s">
        <v>36</v>
      </c>
      <c r="AU6" s="29" t="s">
        <v>37</v>
      </c>
      <c r="AV6" s="29" t="s">
        <v>38</v>
      </c>
      <c r="AW6" s="29" t="s">
        <v>39</v>
      </c>
      <c r="AX6" s="29" t="s">
        <v>40</v>
      </c>
      <c r="BE6" s="29" t="s">
        <v>97</v>
      </c>
      <c r="BF6" s="29" t="s">
        <v>83</v>
      </c>
      <c r="BG6" s="29" t="s">
        <v>101</v>
      </c>
      <c r="BL6" s="29" t="s">
        <v>82</v>
      </c>
      <c r="BM6" s="29" t="s">
        <v>36</v>
      </c>
      <c r="BN6" s="29" t="s">
        <v>37</v>
      </c>
      <c r="BO6" s="29" t="s">
        <v>38</v>
      </c>
      <c r="BP6" s="29" t="s">
        <v>39</v>
      </c>
      <c r="BQ6" s="29" t="s">
        <v>40</v>
      </c>
    </row>
    <row r="7" spans="1:69" x14ac:dyDescent="0.15">
      <c r="A7" s="29" t="s">
        <v>90</v>
      </c>
      <c r="B7" s="29">
        <v>1</v>
      </c>
      <c r="C7" s="29">
        <v>2</v>
      </c>
      <c r="F7" s="29">
        <f>I7/24/60</f>
        <v>0</v>
      </c>
      <c r="G7" s="29">
        <v>1</v>
      </c>
      <c r="H7" s="32">
        <f>村县营基础信息!$D8</f>
        <v>2</v>
      </c>
      <c r="I7" s="29">
        <v>0</v>
      </c>
      <c r="M7" s="29">
        <v>1</v>
      </c>
      <c r="N7" s="18">
        <f>求节点(村县营基础信息!K$8:K$28,$I$33:$I$53,$M7)*节奏总纲!K4</f>
        <v>0</v>
      </c>
      <c r="O7" s="18">
        <f>求节点(村县营基础信息!L$8:L$28,$I$33:$I$53,$M7)*节奏总纲!L4</f>
        <v>0</v>
      </c>
      <c r="P7" s="18">
        <f>求节点(村县营基础信息!M$8:M$28,$I$33:$I$53,$M7)*节奏总纲!M4</f>
        <v>0</v>
      </c>
      <c r="Q7" s="18">
        <f>求节点(村县营基础信息!N$8:N$28,$I$33:$I$53,$M7)*节奏总纲!N4</f>
        <v>0</v>
      </c>
      <c r="R7" s="18">
        <f>求节点(村县营基础信息!O$8:O$28,$I$33:$I$53,$M7)*节奏总纲!O4</f>
        <v>0</v>
      </c>
      <c r="W7" s="29">
        <v>1</v>
      </c>
      <c r="X7" s="34">
        <f>村县营基础信息!$E8</f>
        <v>0</v>
      </c>
      <c r="Y7" s="29">
        <v>0</v>
      </c>
      <c r="AC7" s="29">
        <v>1</v>
      </c>
      <c r="AD7" s="18">
        <f>求节点(村县营基础信息!T$8:T$28,$Y$33:$Y$53,$AC7)*节奏总纲!K4*(1+$B$10)</f>
        <v>0</v>
      </c>
      <c r="AE7" s="18">
        <f>求节点(村县营基础信息!U$8:U$28,$Y$33:$Y$53,$AC7)*节奏总纲!L4*(1+$B$10)</f>
        <v>0</v>
      </c>
      <c r="AF7" s="18">
        <f>求节点(村县营基础信息!V$8:V$28,$Y$33:$Y$53,$AC7)*节奏总纲!M4*(1+$B$10)</f>
        <v>0</v>
      </c>
      <c r="AG7" s="18">
        <f>求节点(村县营基础信息!W$8:W$28,$Y$33:$Y$53,$AC7)*节奏总纲!N4*(1+$B$10)</f>
        <v>0</v>
      </c>
      <c r="AH7" s="18">
        <f>求节点(村县营基础信息!X$8:X$28,$Y$33:$Y$53,$AC7)*节奏总纲!O4*(1+$B$10)</f>
        <v>0</v>
      </c>
      <c r="AL7" s="29">
        <v>1</v>
      </c>
      <c r="AM7" s="34">
        <f>村县营基础信息!F8</f>
        <v>0</v>
      </c>
      <c r="AN7" s="29">
        <v>0</v>
      </c>
      <c r="AR7" s="29">
        <f>AT7/[2]节奏总纲!D4</f>
        <v>0</v>
      </c>
      <c r="AS7" s="29">
        <v>1</v>
      </c>
      <c r="AT7" s="18">
        <f>求节点(村县营基础信息!$AC$8:$AC$28,$AN$33:$AN$53,$AS7)*节奏总纲!K4</f>
        <v>0</v>
      </c>
      <c r="AU7" s="18">
        <f>求节点(村县营基础信息!$AC$8:$AC$28,$AN$33:$AN$53,$AS7)*节奏总纲!L4</f>
        <v>0</v>
      </c>
      <c r="AV7" s="18">
        <f>求节点(村县营基础信息!$AC$8:$AC$28,$AN$33:$AN$53,$AS7)*节奏总纲!M4</f>
        <v>0</v>
      </c>
      <c r="AW7" s="18">
        <f>求节点(村县营基础信息!$AC$8:$AC$28,$AN$33:$AN$53,$AS7)*节奏总纲!N4</f>
        <v>0</v>
      </c>
      <c r="AX7" s="18">
        <f>求节点(村县营基础信息!$AC$8:$AC$28,$AN$33:$AN$53,$AS7)*节奏总纲!O4</f>
        <v>0</v>
      </c>
      <c r="BA7" s="29">
        <f>AV7/[2]节奏总纲!M4*'[1]功能-付费相关'!BB6</f>
        <v>0</v>
      </c>
      <c r="BE7" s="29">
        <v>1</v>
      </c>
      <c r="BF7" s="32">
        <f>村县营基础信息!$G8</f>
        <v>0</v>
      </c>
      <c r="BG7" s="29">
        <v>0</v>
      </c>
      <c r="BL7" s="29">
        <v>1</v>
      </c>
      <c r="BM7" s="18">
        <f>求节点(村县营基础信息!AL$8:AL$28,$BG$33:$BG$53,$BL7)*节奏总纲!K4</f>
        <v>0</v>
      </c>
      <c r="BN7" s="18">
        <f>求节点(村县营基础信息!AM$8:AM$28,$BG$33:$BG$53,$BL7)*节奏总纲!L4</f>
        <v>0</v>
      </c>
      <c r="BO7" s="18">
        <f>求节点(村县营基础信息!AN$8:AN$28,$BG$33:$BG$53,$BL7)*节奏总纲!M4</f>
        <v>0</v>
      </c>
      <c r="BP7" s="18">
        <f>求节点(村县营基础信息!AO$8:AO$28,$BG$33:$BG$53,$BL7)*节奏总纲!N4</f>
        <v>0</v>
      </c>
      <c r="BQ7" s="18">
        <f>求节点(村县营基础信息!AP$8:AP$28,$BG$33:$BG$53,$BL7)*节奏总纲!O4</f>
        <v>0</v>
      </c>
    </row>
    <row r="8" spans="1:69" x14ac:dyDescent="0.15">
      <c r="A8" s="29" t="s">
        <v>95</v>
      </c>
      <c r="B8" s="29">
        <v>0</v>
      </c>
      <c r="C8" s="29">
        <v>0</v>
      </c>
      <c r="F8" s="29">
        <f t="shared" ref="F8:F27" si="0">I8/24/60</f>
        <v>0</v>
      </c>
      <c r="G8" s="29">
        <v>2</v>
      </c>
      <c r="H8" s="32">
        <f>村县营基础信息!$D9</f>
        <v>2</v>
      </c>
      <c r="I8" s="29">
        <v>0</v>
      </c>
      <c r="M8" s="29">
        <v>2</v>
      </c>
      <c r="N8" s="32">
        <f>求节点(村县营基础信息!K$8:K$28,$I$33:$I$53,$M8)*节奏总纲!K5+N7</f>
        <v>0</v>
      </c>
      <c r="O8" s="32">
        <f>求节点(村县营基础信息!L$8:L$28,$I$33:$I$53,$M8)*节奏总纲!L5+O7</f>
        <v>0</v>
      </c>
      <c r="P8" s="32">
        <f>求节点(村县营基础信息!M$8:M$28,$I$33:$I$53,$M8)*节奏总纲!M5+P7</f>
        <v>0</v>
      </c>
      <c r="Q8" s="32">
        <f>求节点(村县营基础信息!N$8:N$28,$I$33:$I$53,$M8)*节奏总纲!N5+Q7</f>
        <v>0</v>
      </c>
      <c r="R8" s="32">
        <f>求节点(村县营基础信息!O$8:O$28,$I$33:$I$53,$M8)*节奏总纲!O5+R7</f>
        <v>0</v>
      </c>
      <c r="W8" s="29">
        <v>2</v>
      </c>
      <c r="X8" s="34">
        <f>村县营基础信息!$E9</f>
        <v>0</v>
      </c>
      <c r="Y8" s="29">
        <v>0</v>
      </c>
      <c r="AC8" s="29">
        <v>2</v>
      </c>
      <c r="AD8" s="32">
        <f>求节点(村县营基础信息!T$8:T$28,$Y$33:$Y$53,$AC8)*节奏总纲!K5*(1+$B$10)+AD7</f>
        <v>0</v>
      </c>
      <c r="AE8" s="32">
        <f>求节点(村县营基础信息!U$8:U$28,$Y$33:$Y$53,$AC8)*节奏总纲!L5*(1+$B$10)+AE7</f>
        <v>0</v>
      </c>
      <c r="AF8" s="32">
        <f>求节点(村县营基础信息!V$8:V$28,$Y$33:$Y$53,$AC8)*节奏总纲!M5*(1+$B$10)+AF7</f>
        <v>0</v>
      </c>
      <c r="AG8" s="32">
        <f>求节点(村县营基础信息!W$8:W$28,$Y$33:$Y$53,$AC8)*节奏总纲!N5*(1+$B$10)+AG7</f>
        <v>0</v>
      </c>
      <c r="AH8" s="32">
        <f>求节点(村县营基础信息!X$8:X$28,$Y$33:$Y$53,$AC8)*节奏总纲!O5*(1+$B$10)+AH7</f>
        <v>0</v>
      </c>
      <c r="AL8" s="29">
        <v>2</v>
      </c>
      <c r="AM8" s="34">
        <f>村县营基础信息!F9</f>
        <v>1</v>
      </c>
      <c r="AN8" s="29">
        <v>0</v>
      </c>
      <c r="AR8" s="29">
        <f>AT8/[2]节奏总纲!D5</f>
        <v>0</v>
      </c>
      <c r="AS8" s="29">
        <v>2</v>
      </c>
      <c r="AT8" s="32">
        <f>求节点(村县营基础信息!AC$8:AC$28,$AN$33:$AN$53,$AS8)*节奏总纲!K5+AT7</f>
        <v>0</v>
      </c>
      <c r="AU8" s="32">
        <f>求节点(村县营基础信息!AD$8:AD$28,$AN$33:$AN$53,$AS8)*节奏总纲!L5+AU7</f>
        <v>0</v>
      </c>
      <c r="AV8" s="32">
        <f>求节点(村县营基础信息!AE$8:AE$28,$AN$33:$AN$53,$AS8)*节奏总纲!M5+AV7</f>
        <v>0</v>
      </c>
      <c r="AW8" s="32">
        <f>求节点(村县营基础信息!AF$8:AF$28,$AN$33:$AN$53,$AS8)*节奏总纲!N5+AW7</f>
        <v>0</v>
      </c>
      <c r="AX8" s="32">
        <f>求节点(村县营基础信息!AG$8:AG$28,$AN$33:$AN$53,$AS8)*节奏总纲!O5+AX7</f>
        <v>0</v>
      </c>
      <c r="BA8" s="29">
        <f>(AV8-AV7)/[2]节奏总纲!M5*'[1]功能-付费相关'!BB7</f>
        <v>0</v>
      </c>
      <c r="BE8" s="29">
        <v>2</v>
      </c>
      <c r="BF8" s="32">
        <f>村县营基础信息!$G9</f>
        <v>0</v>
      </c>
      <c r="BG8" s="29">
        <v>0</v>
      </c>
      <c r="BL8" s="29">
        <v>2</v>
      </c>
      <c r="BM8" s="32">
        <f>求节点(村县营基础信息!AL$8:AL$28,$BG$33:$BG$53,$BL8)*节奏总纲!K5+BM7</f>
        <v>0</v>
      </c>
      <c r="BN8" s="32">
        <f>求节点(村县营基础信息!AM$8:AM$28,$BG$33:$BG$53,$BL8)*节奏总纲!L5+BN7</f>
        <v>0</v>
      </c>
      <c r="BO8" s="32">
        <f>求节点(村县营基础信息!AN$8:AN$28,$BG$33:$BG$53,$BL8)*节奏总纲!M5+BO7</f>
        <v>0</v>
      </c>
      <c r="BP8" s="32">
        <f>求节点(村县营基础信息!AO$8:AO$28,$BG$33:$BG$53,$BL8)*节奏总纲!N5+BP7</f>
        <v>0</v>
      </c>
      <c r="BQ8" s="32">
        <f>求节点(村县营基础信息!AP$8:AP$28,$BG$33:$BG$53,$BL8)*节奏总纲!O5+BQ7</f>
        <v>0</v>
      </c>
    </row>
    <row r="9" spans="1:69" x14ac:dyDescent="0.15">
      <c r="F9" s="29">
        <f t="shared" si="0"/>
        <v>0</v>
      </c>
      <c r="G9" s="29">
        <v>3</v>
      </c>
      <c r="H9" s="32">
        <f>村县营基础信息!$D10</f>
        <v>2</v>
      </c>
      <c r="I9" s="29">
        <v>0</v>
      </c>
      <c r="M9" s="29">
        <v>3</v>
      </c>
      <c r="N9" s="32">
        <f>求节点(村县营基础信息!K$8:K$28,$I$33:$I$53,$M9)*节奏总纲!K6+N8</f>
        <v>0</v>
      </c>
      <c r="O9" s="32">
        <f>求节点(村县营基础信息!L$8:L$28,$I$33:$I$53,$M9)*节奏总纲!L6+O8</f>
        <v>0</v>
      </c>
      <c r="P9" s="32">
        <f>求节点(村县营基础信息!M$8:M$28,$I$33:$I$53,$M9)*节奏总纲!M6+P8</f>
        <v>0</v>
      </c>
      <c r="Q9" s="32">
        <f>求节点(村县营基础信息!N$8:N$28,$I$33:$I$53,$M9)*节奏总纲!N6+Q8</f>
        <v>0</v>
      </c>
      <c r="R9" s="32">
        <f>求节点(村县营基础信息!O$8:O$28,$I$33:$I$53,$M9)*节奏总纲!O6+R8</f>
        <v>0</v>
      </c>
      <c r="W9" s="29">
        <v>3</v>
      </c>
      <c r="X9" s="34">
        <f>村县营基础信息!$E10</f>
        <v>1</v>
      </c>
      <c r="Y9" s="29">
        <v>0</v>
      </c>
      <c r="AC9" s="29">
        <v>3</v>
      </c>
      <c r="AD9" s="32">
        <f>求节点(村县营基础信息!T$8:T$28,$Y$33:$Y$53,$AC9)*节奏总纲!K6*(1+$B$10)+AD8</f>
        <v>0</v>
      </c>
      <c r="AE9" s="32">
        <f>求节点(村县营基础信息!U$8:U$28,$Y$33:$Y$53,$AC9)*节奏总纲!L6*(1+$B$10)+AE8</f>
        <v>0</v>
      </c>
      <c r="AF9" s="32">
        <f>求节点(村县营基础信息!V$8:V$28,$Y$33:$Y$53,$AC9)*节奏总纲!M6*(1+$B$10)+AF8</f>
        <v>0</v>
      </c>
      <c r="AG9" s="32">
        <f>求节点(村县营基础信息!W$8:W$28,$Y$33:$Y$53,$AC9)*节奏总纲!N6*(1+$B$10)+AG8</f>
        <v>0</v>
      </c>
      <c r="AH9" s="32">
        <f>求节点(村县营基础信息!X$8:X$28,$Y$33:$Y$53,$AC9)*节奏总纲!O6*(1+$B$10)+AH8</f>
        <v>0</v>
      </c>
      <c r="AL9" s="29">
        <v>3</v>
      </c>
      <c r="AM9" s="34">
        <f>村县营基础信息!F10</f>
        <v>1</v>
      </c>
      <c r="AN9" s="29">
        <v>0</v>
      </c>
      <c r="AR9" s="29">
        <f>AT9/[2]节奏总纲!D6</f>
        <v>0</v>
      </c>
      <c r="AS9" s="29">
        <v>3</v>
      </c>
      <c r="AT9" s="32">
        <f>求节点(村县营基础信息!AC$8:AC$28,$AN$33:$AN$53,$AS9)*节奏总纲!K6+AT8</f>
        <v>0</v>
      </c>
      <c r="AU9" s="32">
        <f>求节点(村县营基础信息!AD$8:AD$28,$AN$33:$AN$53,$AS9)*节奏总纲!L6+AU8</f>
        <v>0</v>
      </c>
      <c r="AV9" s="32">
        <f>求节点(村县营基础信息!AE$8:AE$28,$AN$33:$AN$53,$AS9)*节奏总纲!M6+AV8</f>
        <v>0</v>
      </c>
      <c r="AW9" s="32">
        <f>求节点(村县营基础信息!AF$8:AF$28,$AN$33:$AN$53,$AS9)*节奏总纲!N6+AW8</f>
        <v>0</v>
      </c>
      <c r="AX9" s="32">
        <f>求节点(村县营基础信息!AG$8:AG$28,$AN$33:$AN$53,$AS9)*节奏总纲!O6+AX8</f>
        <v>0</v>
      </c>
      <c r="BA9" s="29">
        <f>(AV9-AV8)/[2]节奏总纲!M6*'[1]功能-付费相关'!BB8</f>
        <v>0</v>
      </c>
      <c r="BE9" s="29">
        <v>3</v>
      </c>
      <c r="BF9" s="32">
        <f>村县营基础信息!$G10</f>
        <v>0</v>
      </c>
      <c r="BG9" s="29">
        <v>0</v>
      </c>
      <c r="BL9" s="29">
        <v>3</v>
      </c>
      <c r="BM9" s="32">
        <f>求节点(村县营基础信息!AL$8:AL$28,$BG$33:$BG$53,$BL9)*节奏总纲!K6+BM8</f>
        <v>0</v>
      </c>
      <c r="BN9" s="32">
        <f>求节点(村县营基础信息!AM$8:AM$28,$BG$33:$BG$53,$BL9)*节奏总纲!L6+BN8</f>
        <v>0</v>
      </c>
      <c r="BO9" s="32">
        <f>求节点(村县营基础信息!AN$8:AN$28,$BG$33:$BG$53,$BL9)*节奏总纲!M6+BO8</f>
        <v>0</v>
      </c>
      <c r="BP9" s="32">
        <f>求节点(村县营基础信息!AO$8:AO$28,$BG$33:$BG$53,$BL9)*节奏总纲!N6+BP8</f>
        <v>0</v>
      </c>
      <c r="BQ9" s="32">
        <f>求节点(村县营基础信息!AP$8:AP$28,$BG$33:$BG$53,$BL9)*节奏总纲!O6+BQ8</f>
        <v>0</v>
      </c>
    </row>
    <row r="10" spans="1:69" x14ac:dyDescent="0.15">
      <c r="B10" s="20"/>
      <c r="F10" s="29">
        <f t="shared" si="0"/>
        <v>0</v>
      </c>
      <c r="G10" s="29">
        <v>4</v>
      </c>
      <c r="H10" s="32">
        <f>村县营基础信息!$D11</f>
        <v>3</v>
      </c>
      <c r="I10" s="29">
        <v>0</v>
      </c>
      <c r="M10" s="29">
        <v>4</v>
      </c>
      <c r="N10" s="32">
        <f>求节点(村县营基础信息!K$8:K$28,$I$33:$I$53,$M10)*节奏总纲!K7+N9</f>
        <v>0</v>
      </c>
      <c r="O10" s="32">
        <f>求节点(村县营基础信息!L$8:L$28,$I$33:$I$53,$M10)*节奏总纲!L7+O9</f>
        <v>0</v>
      </c>
      <c r="P10" s="32">
        <f>求节点(村县营基础信息!M$8:M$28,$I$33:$I$53,$M10)*节奏总纲!M7+P9</f>
        <v>0</v>
      </c>
      <c r="Q10" s="32">
        <f>求节点(村县营基础信息!N$8:N$28,$I$33:$I$53,$M10)*节奏总纲!N7+Q9</f>
        <v>0</v>
      </c>
      <c r="R10" s="32">
        <f>求节点(村县营基础信息!O$8:O$28,$I$33:$I$53,$M10)*节奏总纲!O7+R9</f>
        <v>0</v>
      </c>
      <c r="W10" s="29">
        <v>4</v>
      </c>
      <c r="X10" s="34">
        <f>村县营基础信息!$E11</f>
        <v>0</v>
      </c>
      <c r="Y10" s="29">
        <v>0</v>
      </c>
      <c r="AC10" s="29">
        <v>4</v>
      </c>
      <c r="AD10" s="32">
        <f>求节点(村县营基础信息!T$8:T$28,$Y$33:$Y$53,$AC10)*节奏总纲!K7*(1+$B$10)+AD9</f>
        <v>0</v>
      </c>
      <c r="AE10" s="32">
        <f>求节点(村县营基础信息!U$8:U$28,$Y$33:$Y$53,$AC10)*节奏总纲!L7*(1+$B$10)+AE9</f>
        <v>0</v>
      </c>
      <c r="AF10" s="32">
        <f>求节点(村县营基础信息!V$8:V$28,$Y$33:$Y$53,$AC10)*节奏总纲!M7*(1+$B$10)+AF9</f>
        <v>0</v>
      </c>
      <c r="AG10" s="32">
        <f>求节点(村县营基础信息!W$8:W$28,$Y$33:$Y$53,$AC10)*节奏总纲!N7*(1+$B$10)+AG9</f>
        <v>0</v>
      </c>
      <c r="AH10" s="32">
        <f>求节点(村县营基础信息!X$8:X$28,$Y$33:$Y$53,$AC10)*节奏总纲!O7*(1+$B$10)+AH9</f>
        <v>0</v>
      </c>
      <c r="AL10" s="29">
        <v>4</v>
      </c>
      <c r="AM10" s="34">
        <f>村县营基础信息!F11</f>
        <v>1</v>
      </c>
      <c r="AN10" s="29">
        <v>0</v>
      </c>
      <c r="AR10" s="29">
        <f>AT10/[2]节奏总纲!D7</f>
        <v>0</v>
      </c>
      <c r="AS10" s="29">
        <v>4</v>
      </c>
      <c r="AT10" s="32">
        <f>求节点(村县营基础信息!AC$8:AC$28,$AN$33:$AN$53,$AS10)*节奏总纲!K7+AT9</f>
        <v>0</v>
      </c>
      <c r="AU10" s="32">
        <f>求节点(村县营基础信息!AD$8:AD$28,$AN$33:$AN$53,$AS10)*节奏总纲!L7+AU9</f>
        <v>0</v>
      </c>
      <c r="AV10" s="32">
        <f>求节点(村县营基础信息!AE$8:AE$28,$AN$33:$AN$53,$AS10)*节奏总纲!M7+AV9</f>
        <v>0</v>
      </c>
      <c r="AW10" s="32">
        <f>求节点(村县营基础信息!AF$8:AF$28,$AN$33:$AN$53,$AS10)*节奏总纲!N7+AW9</f>
        <v>0</v>
      </c>
      <c r="AX10" s="32">
        <f>求节点(村县营基础信息!AG$8:AG$28,$AN$33:$AN$53,$AS10)*节奏总纲!O7+AX9</f>
        <v>0</v>
      </c>
      <c r="BA10" s="29">
        <f>(AV10-AV9)/[2]节奏总纲!M7*'[1]功能-付费相关'!BB9</f>
        <v>0</v>
      </c>
      <c r="BE10" s="29">
        <v>4</v>
      </c>
      <c r="BF10" s="32">
        <f>村县营基础信息!$G11</f>
        <v>1</v>
      </c>
      <c r="BG10" s="29">
        <v>0</v>
      </c>
      <c r="BL10" s="29">
        <v>4</v>
      </c>
      <c r="BM10" s="32">
        <f>求节点(村县营基础信息!AL$8:AL$28,$BG$33:$BG$53,$BL10)*节奏总纲!K7+BM9</f>
        <v>0</v>
      </c>
      <c r="BN10" s="32">
        <f>求节点(村县营基础信息!AM$8:AM$28,$BG$33:$BG$53,$BL10)*节奏总纲!L7+BN9</f>
        <v>0</v>
      </c>
      <c r="BO10" s="32">
        <f>求节点(村县营基础信息!AN$8:AN$28,$BG$33:$BG$53,$BL10)*节奏总纲!M7+BO9</f>
        <v>0</v>
      </c>
      <c r="BP10" s="32">
        <f>求节点(村县营基础信息!AO$8:AO$28,$BG$33:$BG$53,$BL10)*节奏总纲!N7+BP9</f>
        <v>0</v>
      </c>
      <c r="BQ10" s="32">
        <f>求节点(村县营基础信息!AP$8:AP$28,$BG$33:$BG$53,$BL10)*节奏总纲!O7+BQ9</f>
        <v>0</v>
      </c>
    </row>
    <row r="11" spans="1:69" x14ac:dyDescent="0.15">
      <c r="B11" s="20"/>
      <c r="F11" s="29">
        <f t="shared" si="0"/>
        <v>0</v>
      </c>
      <c r="G11" s="29">
        <v>5</v>
      </c>
      <c r="H11" s="32">
        <f>村县营基础信息!$D12</f>
        <v>3</v>
      </c>
      <c r="I11" s="29">
        <v>0</v>
      </c>
      <c r="M11" s="29">
        <v>5</v>
      </c>
      <c r="N11" s="32">
        <f>求节点(村县营基础信息!K$8:K$28,$I$33:$I$53,$M11)*节奏总纲!K8+N10</f>
        <v>0</v>
      </c>
      <c r="O11" s="32">
        <f>求节点(村县营基础信息!L$8:L$28,$I$33:$I$53,$M11)*节奏总纲!L8+O10</f>
        <v>0</v>
      </c>
      <c r="P11" s="32">
        <f>求节点(村县营基础信息!M$8:M$28,$I$33:$I$53,$M11)*节奏总纲!M8+P10</f>
        <v>0</v>
      </c>
      <c r="Q11" s="32">
        <f>求节点(村县营基础信息!N$8:N$28,$I$33:$I$53,$M11)*节奏总纲!N8+Q10</f>
        <v>0</v>
      </c>
      <c r="R11" s="32">
        <f>求节点(村县营基础信息!O$8:O$28,$I$33:$I$53,$M11)*节奏总纲!O8+R10</f>
        <v>0</v>
      </c>
      <c r="W11" s="29">
        <v>5</v>
      </c>
      <c r="X11" s="34">
        <f>村县营基础信息!$E12</f>
        <v>1</v>
      </c>
      <c r="Y11" s="29">
        <v>0</v>
      </c>
      <c r="AC11" s="29">
        <v>5</v>
      </c>
      <c r="AD11" s="32">
        <f>求节点(村县营基础信息!T$8:T$28,$Y$33:$Y$53,$AC11)*节奏总纲!K8*(1+$B$10)+AD10</f>
        <v>0</v>
      </c>
      <c r="AE11" s="32">
        <f>求节点(村县营基础信息!U$8:U$28,$Y$33:$Y$53,$AC11)*节奏总纲!L8*(1+$B$10)+AE10</f>
        <v>0</v>
      </c>
      <c r="AF11" s="32">
        <f>求节点(村县营基础信息!V$8:V$28,$Y$33:$Y$53,$AC11)*节奏总纲!M8*(1+$B$10)+AF10</f>
        <v>0</v>
      </c>
      <c r="AG11" s="32">
        <f>求节点(村县营基础信息!W$8:W$28,$Y$33:$Y$53,$AC11)*节奏总纲!N8*(1+$B$10)+AG10</f>
        <v>0</v>
      </c>
      <c r="AH11" s="32">
        <f>求节点(村县营基础信息!X$8:X$28,$Y$33:$Y$53,$AC11)*节奏总纲!O8*(1+$B$10)+AH10</f>
        <v>0</v>
      </c>
      <c r="AL11" s="29">
        <v>5</v>
      </c>
      <c r="AM11" s="34">
        <f>村县营基础信息!F12</f>
        <v>1</v>
      </c>
      <c r="AN11" s="29">
        <v>0</v>
      </c>
      <c r="AR11" s="29">
        <f>AT11/[2]节奏总纲!D8</f>
        <v>0</v>
      </c>
      <c r="AS11" s="29">
        <v>5</v>
      </c>
      <c r="AT11" s="32">
        <f>求节点(村县营基础信息!AC$8:AC$28,$AN$33:$AN$53,$AS11)*节奏总纲!K8+AT10</f>
        <v>0</v>
      </c>
      <c r="AU11" s="32">
        <f>求节点(村县营基础信息!AD$8:AD$28,$AN$33:$AN$53,$AS11)*节奏总纲!L8+AU10</f>
        <v>0</v>
      </c>
      <c r="AV11" s="32">
        <f>求节点(村县营基础信息!AE$8:AE$28,$AN$33:$AN$53,$AS11)*节奏总纲!M8+AV10</f>
        <v>0</v>
      </c>
      <c r="AW11" s="32">
        <f>求节点(村县营基础信息!AF$8:AF$28,$AN$33:$AN$53,$AS11)*节奏总纲!N8+AW10</f>
        <v>0</v>
      </c>
      <c r="AX11" s="32">
        <f>求节点(村县营基础信息!AG$8:AG$28,$AN$33:$AN$53,$AS11)*节奏总纲!O8+AX10</f>
        <v>0</v>
      </c>
      <c r="BA11" s="29">
        <f>(AV11-AV10)/[2]节奏总纲!M8*'[1]功能-付费相关'!BB10</f>
        <v>0</v>
      </c>
      <c r="BE11" s="29">
        <v>5</v>
      </c>
      <c r="BF11" s="32">
        <f>村县营基础信息!$G12</f>
        <v>0</v>
      </c>
      <c r="BG11" s="29">
        <v>0</v>
      </c>
      <c r="BL11" s="29">
        <v>5</v>
      </c>
      <c r="BM11" s="32">
        <f>求节点(村县营基础信息!AL$8:AL$28,$BG$33:$BG$53,$BL11)*节奏总纲!K8+BM10</f>
        <v>0</v>
      </c>
      <c r="BN11" s="32">
        <f>求节点(村县营基础信息!AM$8:AM$28,$BG$33:$BG$53,$BL11)*节奏总纲!L8+BN10</f>
        <v>0</v>
      </c>
      <c r="BO11" s="32">
        <f>求节点(村县营基础信息!AN$8:AN$28,$BG$33:$BG$53,$BL11)*节奏总纲!M8+BO10</f>
        <v>0</v>
      </c>
      <c r="BP11" s="32">
        <f>求节点(村县营基础信息!AO$8:AO$28,$BG$33:$BG$53,$BL11)*节奏总纲!N8+BP10</f>
        <v>0</v>
      </c>
      <c r="BQ11" s="32">
        <f>求节点(村县营基础信息!AP$8:AP$28,$BG$33:$BG$53,$BL11)*节奏总纲!O8+BQ10</f>
        <v>0</v>
      </c>
    </row>
    <row r="12" spans="1:69" x14ac:dyDescent="0.15">
      <c r="B12" s="20"/>
      <c r="F12" s="29">
        <f t="shared" si="0"/>
        <v>0</v>
      </c>
      <c r="G12" s="29">
        <v>6</v>
      </c>
      <c r="H12" s="32">
        <f>村县营基础信息!$D13</f>
        <v>3</v>
      </c>
      <c r="I12" s="29">
        <v>0</v>
      </c>
      <c r="M12" s="29">
        <v>6</v>
      </c>
      <c r="N12" s="32">
        <f>求节点(村县营基础信息!K$8:K$28,$I$33:$I$53,$M12)*节奏总纲!K9+N11</f>
        <v>0</v>
      </c>
      <c r="O12" s="32">
        <f>求节点(村县营基础信息!L$8:L$28,$I$33:$I$53,$M12)*节奏总纲!L9+O11</f>
        <v>0</v>
      </c>
      <c r="P12" s="32">
        <f>求节点(村县营基础信息!M$8:M$28,$I$33:$I$53,$M12)*节奏总纲!M9+P11</f>
        <v>0</v>
      </c>
      <c r="Q12" s="32">
        <f>求节点(村县营基础信息!N$8:N$28,$I$33:$I$53,$M12)*节奏总纲!N9+Q11</f>
        <v>0</v>
      </c>
      <c r="R12" s="32">
        <f>求节点(村县营基础信息!O$8:O$28,$I$33:$I$53,$M12)*节奏总纲!O9+R11</f>
        <v>0</v>
      </c>
      <c r="W12" s="29">
        <v>6</v>
      </c>
      <c r="X12" s="34">
        <f>村县营基础信息!$E13</f>
        <v>0</v>
      </c>
      <c r="Y12" s="29">
        <v>0</v>
      </c>
      <c r="AC12" s="29">
        <v>6</v>
      </c>
      <c r="AD12" s="32">
        <f>求节点(村县营基础信息!T$8:T$28,$Y$33:$Y$53,$AC12)*节奏总纲!K9*(1+$B$10)+AD11</f>
        <v>0</v>
      </c>
      <c r="AE12" s="32">
        <f>求节点(村县营基础信息!U$8:U$28,$Y$33:$Y$53,$AC12)*节奏总纲!L9*(1+$B$10)+AE11</f>
        <v>0</v>
      </c>
      <c r="AF12" s="32">
        <f>求节点(村县营基础信息!V$8:V$28,$Y$33:$Y$53,$AC12)*节奏总纲!M9*(1+$B$10)+AF11</f>
        <v>0</v>
      </c>
      <c r="AG12" s="32">
        <f>求节点(村县营基础信息!W$8:W$28,$Y$33:$Y$53,$AC12)*节奏总纲!N9*(1+$B$10)+AG11</f>
        <v>0</v>
      </c>
      <c r="AH12" s="32">
        <f>求节点(村县营基础信息!X$8:X$28,$Y$33:$Y$53,$AC12)*节奏总纲!O9*(1+$B$10)+AH11</f>
        <v>0</v>
      </c>
      <c r="AL12" s="29">
        <v>6</v>
      </c>
      <c r="AM12" s="34">
        <f>村县营基础信息!F13</f>
        <v>1</v>
      </c>
      <c r="AN12" s="29">
        <v>0</v>
      </c>
      <c r="AR12" s="29">
        <f>AT12/[2]节奏总纲!D9</f>
        <v>0</v>
      </c>
      <c r="AS12" s="29">
        <v>6</v>
      </c>
      <c r="AT12" s="32">
        <f>求节点(村县营基础信息!AC$8:AC$28,$AN$33:$AN$53,$AS12)*节奏总纲!K9+AT11</f>
        <v>0</v>
      </c>
      <c r="AU12" s="32">
        <f>求节点(村县营基础信息!AD$8:AD$28,$AN$33:$AN$53,$AS12)*节奏总纲!L9+AU11</f>
        <v>0</v>
      </c>
      <c r="AV12" s="32">
        <f>求节点(村县营基础信息!AE$8:AE$28,$AN$33:$AN$53,$AS12)*节奏总纲!M9+AV11</f>
        <v>0</v>
      </c>
      <c r="AW12" s="32">
        <f>求节点(村县营基础信息!AF$8:AF$28,$AN$33:$AN$53,$AS12)*节奏总纲!N9+AW11</f>
        <v>0</v>
      </c>
      <c r="AX12" s="32">
        <f>求节点(村县营基础信息!AG$8:AG$28,$AN$33:$AN$53,$AS12)*节奏总纲!O9+AX11</f>
        <v>0</v>
      </c>
      <c r="BA12" s="29">
        <f>(AV12-AV11)/[2]节奏总纲!M9*'[1]功能-付费相关'!BB11</f>
        <v>0</v>
      </c>
      <c r="BE12" s="29">
        <v>6</v>
      </c>
      <c r="BF12" s="32">
        <f>村县营基础信息!$G13</f>
        <v>1</v>
      </c>
      <c r="BG12" s="29">
        <v>0</v>
      </c>
      <c r="BL12" s="29">
        <v>6</v>
      </c>
      <c r="BM12" s="32">
        <f>求节点(村县营基础信息!AL$8:AL$28,$BG$33:$BG$53,$BL12)*节奏总纲!K9+BM11</f>
        <v>0</v>
      </c>
      <c r="BN12" s="32">
        <f>求节点(村县营基础信息!AM$8:AM$28,$BG$33:$BG$53,$BL12)*节奏总纲!L9+BN11</f>
        <v>0</v>
      </c>
      <c r="BO12" s="32">
        <f>求节点(村县营基础信息!AN$8:AN$28,$BG$33:$BG$53,$BL12)*节奏总纲!M9+BO11</f>
        <v>0</v>
      </c>
      <c r="BP12" s="32">
        <f>求节点(村县营基础信息!AO$8:AO$28,$BG$33:$BG$53,$BL12)*节奏总纲!N9+BP11</f>
        <v>0</v>
      </c>
      <c r="BQ12" s="32">
        <f>求节点(村县营基础信息!AP$8:AP$28,$BG$33:$BG$53,$BL12)*节奏总纲!O9+BQ11</f>
        <v>0</v>
      </c>
    </row>
    <row r="13" spans="1:69" x14ac:dyDescent="0.15">
      <c r="F13" s="29">
        <f t="shared" si="0"/>
        <v>0</v>
      </c>
      <c r="G13" s="29">
        <v>7</v>
      </c>
      <c r="H13" s="32">
        <f>村县营基础信息!$D14</f>
        <v>4</v>
      </c>
      <c r="I13" s="29">
        <v>0</v>
      </c>
      <c r="M13" s="29">
        <v>7</v>
      </c>
      <c r="N13" s="32">
        <f>求节点(村县营基础信息!K$8:K$28,$I$33:$I$53,$M13)*节奏总纲!K10+N12</f>
        <v>0</v>
      </c>
      <c r="O13" s="32">
        <f>求节点(村县营基础信息!L$8:L$28,$I$33:$I$53,$M13)*节奏总纲!L10+O12</f>
        <v>0</v>
      </c>
      <c r="P13" s="32">
        <f>求节点(村县营基础信息!M$8:M$28,$I$33:$I$53,$M13)*节奏总纲!M10+P12</f>
        <v>0</v>
      </c>
      <c r="Q13" s="32">
        <f>求节点(村县营基础信息!N$8:N$28,$I$33:$I$53,$M13)*节奏总纲!N10+Q12</f>
        <v>0</v>
      </c>
      <c r="R13" s="32">
        <f>求节点(村县营基础信息!O$8:O$28,$I$33:$I$53,$M13)*节奏总纲!O10+R12</f>
        <v>0</v>
      </c>
      <c r="W13" s="29">
        <v>7</v>
      </c>
      <c r="X13" s="34">
        <f>村县营基础信息!$E14</f>
        <v>1</v>
      </c>
      <c r="Y13" s="29">
        <v>0</v>
      </c>
      <c r="AC13" s="29">
        <v>7</v>
      </c>
      <c r="AD13" s="32">
        <f>求节点(村县营基础信息!T$8:T$28,$Y$33:$Y$53,$AC13)*节奏总纲!K10*(1+$B$10)+AD12</f>
        <v>0</v>
      </c>
      <c r="AE13" s="32">
        <f>求节点(村县营基础信息!U$8:U$28,$Y$33:$Y$53,$AC13)*节奏总纲!L10*(1+$B$10)+AE12</f>
        <v>0</v>
      </c>
      <c r="AF13" s="32">
        <f>求节点(村县营基础信息!V$8:V$28,$Y$33:$Y$53,$AC13)*节奏总纲!M10*(1+$B$10)+AF12</f>
        <v>0</v>
      </c>
      <c r="AG13" s="32">
        <f>求节点(村县营基础信息!W$8:W$28,$Y$33:$Y$53,$AC13)*节奏总纲!N10*(1+$B$10)+AG12</f>
        <v>0</v>
      </c>
      <c r="AH13" s="32">
        <f>求节点(村县营基础信息!X$8:X$28,$Y$33:$Y$53,$AC13)*节奏总纲!O10*(1+$B$10)+AH12</f>
        <v>0</v>
      </c>
      <c r="AL13" s="29">
        <v>7</v>
      </c>
      <c r="AM13" s="34">
        <f>村县营基础信息!F14</f>
        <v>1</v>
      </c>
      <c r="AN13" s="29">
        <v>0</v>
      </c>
      <c r="AR13" s="29">
        <f>AT13/[2]节奏总纲!D10</f>
        <v>0</v>
      </c>
      <c r="AS13" s="29">
        <v>7</v>
      </c>
      <c r="AT13" s="32">
        <f>求节点(村县营基础信息!AC$8:AC$28,$AN$33:$AN$53,$AS13)*节奏总纲!K10+AT12</f>
        <v>0</v>
      </c>
      <c r="AU13" s="32">
        <f>求节点(村县营基础信息!AD$8:AD$28,$AN$33:$AN$53,$AS13)*节奏总纲!L10+AU12</f>
        <v>0</v>
      </c>
      <c r="AV13" s="32">
        <f>求节点(村县营基础信息!AE$8:AE$28,$AN$33:$AN$53,$AS13)*节奏总纲!M10+AV12</f>
        <v>0</v>
      </c>
      <c r="AW13" s="32">
        <f>求节点(村县营基础信息!AF$8:AF$28,$AN$33:$AN$53,$AS13)*节奏总纲!N10+AW12</f>
        <v>0</v>
      </c>
      <c r="AX13" s="32">
        <f>求节点(村县营基础信息!AG$8:AG$28,$AN$33:$AN$53,$AS13)*节奏总纲!O10+AX12</f>
        <v>0</v>
      </c>
      <c r="BA13" s="29">
        <f>(AV13-AV12)/[2]节奏总纲!M10*'[1]功能-付费相关'!BB12</f>
        <v>0</v>
      </c>
      <c r="BE13" s="29">
        <v>7</v>
      </c>
      <c r="BF13" s="32">
        <f>村县营基础信息!$G14</f>
        <v>0</v>
      </c>
      <c r="BG13" s="29">
        <v>0</v>
      </c>
      <c r="BL13" s="29">
        <v>7</v>
      </c>
      <c r="BM13" s="32">
        <f>求节点(村县营基础信息!AL$8:AL$28,$BG$33:$BG$53,$BL13)*节奏总纲!K10+BM12</f>
        <v>0</v>
      </c>
      <c r="BN13" s="32">
        <f>求节点(村县营基础信息!AM$8:AM$28,$BG$33:$BG$53,$BL13)*节奏总纲!L10+BN12</f>
        <v>0</v>
      </c>
      <c r="BO13" s="32">
        <f>求节点(村县营基础信息!AN$8:AN$28,$BG$33:$BG$53,$BL13)*节奏总纲!M10+BO12</f>
        <v>0</v>
      </c>
      <c r="BP13" s="32">
        <f>求节点(村县营基础信息!AO$8:AO$28,$BG$33:$BG$53,$BL13)*节奏总纲!N10+BP12</f>
        <v>0</v>
      </c>
      <c r="BQ13" s="32">
        <f>求节点(村县营基础信息!AP$8:AP$28,$BG$33:$BG$53,$BL13)*节奏总纲!O10+BQ12</f>
        <v>0</v>
      </c>
    </row>
    <row r="14" spans="1:69" x14ac:dyDescent="0.15">
      <c r="F14" s="29">
        <f t="shared" si="0"/>
        <v>0</v>
      </c>
      <c r="G14" s="29">
        <v>8</v>
      </c>
      <c r="H14" s="32">
        <f>村县营基础信息!$D15</f>
        <v>4</v>
      </c>
      <c r="I14" s="29">
        <v>0</v>
      </c>
      <c r="M14" s="29">
        <v>8</v>
      </c>
      <c r="N14" s="32">
        <f>求节点(村县营基础信息!K$8:K$28,$I$33:$I$53,$M14)*节奏总纲!K11+N13</f>
        <v>0</v>
      </c>
      <c r="O14" s="32">
        <f>求节点(村县营基础信息!L$8:L$28,$I$33:$I$53,$M14)*节奏总纲!L11+O13</f>
        <v>0</v>
      </c>
      <c r="P14" s="32">
        <f>求节点(村县营基础信息!M$8:M$28,$I$33:$I$53,$M14)*节奏总纲!M11+P13</f>
        <v>0</v>
      </c>
      <c r="Q14" s="32">
        <f>求节点(村县营基础信息!N$8:N$28,$I$33:$I$53,$M14)*节奏总纲!N11+Q13</f>
        <v>0</v>
      </c>
      <c r="R14" s="32">
        <f>求节点(村县营基础信息!O$8:O$28,$I$33:$I$53,$M14)*节奏总纲!O11+R13</f>
        <v>0</v>
      </c>
      <c r="W14" s="29">
        <v>8</v>
      </c>
      <c r="X14" s="34">
        <f>村县营基础信息!$E15</f>
        <v>0</v>
      </c>
      <c r="Y14" s="29">
        <v>0</v>
      </c>
      <c r="AC14" s="29">
        <v>8</v>
      </c>
      <c r="AD14" s="32">
        <f>求节点(村县营基础信息!T$8:T$28,$Y$33:$Y$53,$AC14)*节奏总纲!K11*(1+$B$10)+AD13</f>
        <v>0</v>
      </c>
      <c r="AE14" s="32">
        <f>求节点(村县营基础信息!U$8:U$28,$Y$33:$Y$53,$AC14)*节奏总纲!L11*(1+$B$10)+AE13</f>
        <v>0</v>
      </c>
      <c r="AF14" s="32">
        <f>求节点(村县营基础信息!V$8:V$28,$Y$33:$Y$53,$AC14)*节奏总纲!M11*(1+$B$10)+AF13</f>
        <v>0</v>
      </c>
      <c r="AG14" s="32">
        <f>求节点(村县营基础信息!W$8:W$28,$Y$33:$Y$53,$AC14)*节奏总纲!N11*(1+$B$10)+AG13</f>
        <v>0</v>
      </c>
      <c r="AH14" s="32">
        <f>求节点(村县营基础信息!X$8:X$28,$Y$33:$Y$53,$AC14)*节奏总纲!O11*(1+$B$10)+AH13</f>
        <v>0</v>
      </c>
      <c r="AL14" s="29">
        <v>8</v>
      </c>
      <c r="AM14" s="34">
        <f>村县营基础信息!F15</f>
        <v>2</v>
      </c>
      <c r="AN14" s="29">
        <v>0</v>
      </c>
      <c r="AR14" s="29">
        <f>AT14/[2]节奏总纲!D11</f>
        <v>0</v>
      </c>
      <c r="AS14" s="29">
        <v>8</v>
      </c>
      <c r="AT14" s="32">
        <f>求节点(村县营基础信息!AC$8:AC$28,$AN$33:$AN$53,$AS14)*节奏总纲!K11+AT13</f>
        <v>0</v>
      </c>
      <c r="AU14" s="32">
        <f>求节点(村县营基础信息!AD$8:AD$28,$AN$33:$AN$53,$AS14)*节奏总纲!L11+AU13</f>
        <v>0</v>
      </c>
      <c r="AV14" s="32">
        <f>求节点(村县营基础信息!AE$8:AE$28,$AN$33:$AN$53,$AS14)*节奏总纲!M11+AV13</f>
        <v>0</v>
      </c>
      <c r="AW14" s="32">
        <f>求节点(村县营基础信息!AF$8:AF$28,$AN$33:$AN$53,$AS14)*节奏总纲!N11+AW13</f>
        <v>0</v>
      </c>
      <c r="AX14" s="32">
        <f>求节点(村县营基础信息!AG$8:AG$28,$AN$33:$AN$53,$AS14)*节奏总纲!O11+AX13</f>
        <v>0</v>
      </c>
      <c r="BA14" s="29">
        <f>(AV14-AV13)/[2]节奏总纲!M11*'[1]功能-付费相关'!BB13</f>
        <v>0</v>
      </c>
      <c r="BE14" s="29">
        <v>8</v>
      </c>
      <c r="BF14" s="32">
        <f>村县营基础信息!$G15</f>
        <v>1</v>
      </c>
      <c r="BG14" s="29">
        <v>0</v>
      </c>
      <c r="BL14" s="29">
        <v>8</v>
      </c>
      <c r="BM14" s="32">
        <f>求节点(村县营基础信息!AL$8:AL$28,$BG$33:$BG$53,$BL14)*节奏总纲!K11+BM13</f>
        <v>0</v>
      </c>
      <c r="BN14" s="32">
        <f>求节点(村县营基础信息!AM$8:AM$28,$BG$33:$BG$53,$BL14)*节奏总纲!L11+BN13</f>
        <v>0</v>
      </c>
      <c r="BO14" s="32">
        <f>求节点(村县营基础信息!AN$8:AN$28,$BG$33:$BG$53,$BL14)*节奏总纲!M11+BO13</f>
        <v>0</v>
      </c>
      <c r="BP14" s="32">
        <f>求节点(村县营基础信息!AO$8:AO$28,$BG$33:$BG$53,$BL14)*节奏总纲!N11+BP13</f>
        <v>0</v>
      </c>
      <c r="BQ14" s="32">
        <f>求节点(村县营基础信息!AP$8:AP$28,$BG$33:$BG$53,$BL14)*节奏总纲!O11+BQ13</f>
        <v>0</v>
      </c>
    </row>
    <row r="15" spans="1:69" x14ac:dyDescent="0.15">
      <c r="F15" s="29">
        <f t="shared" si="0"/>
        <v>0</v>
      </c>
      <c r="G15" s="29">
        <v>9</v>
      </c>
      <c r="H15" s="32">
        <f>村县营基础信息!$D16</f>
        <v>4</v>
      </c>
      <c r="I15" s="29">
        <v>0</v>
      </c>
      <c r="M15" s="29">
        <v>9</v>
      </c>
      <c r="N15" s="32">
        <f>求节点(村县营基础信息!K$8:K$28,$I$33:$I$53,$M15)*节奏总纲!K12+N14</f>
        <v>0</v>
      </c>
      <c r="O15" s="32">
        <f>求节点(村县营基础信息!L$8:L$28,$I$33:$I$53,$M15)*节奏总纲!L12+O14</f>
        <v>0</v>
      </c>
      <c r="P15" s="32">
        <f>求节点(村县营基础信息!M$8:M$28,$I$33:$I$53,$M15)*节奏总纲!M12+P14</f>
        <v>0</v>
      </c>
      <c r="Q15" s="32">
        <f>求节点(村县营基础信息!N$8:N$28,$I$33:$I$53,$M15)*节奏总纲!N12+Q14</f>
        <v>0</v>
      </c>
      <c r="R15" s="32">
        <f>求节点(村县营基础信息!O$8:O$28,$I$33:$I$53,$M15)*节奏总纲!O12+R14</f>
        <v>0</v>
      </c>
      <c r="W15" s="29">
        <v>9</v>
      </c>
      <c r="X15" s="34">
        <f>村县营基础信息!$E16</f>
        <v>1</v>
      </c>
      <c r="Y15" s="29">
        <v>0</v>
      </c>
      <c r="AC15" s="29">
        <v>9</v>
      </c>
      <c r="AD15" s="32">
        <f>求节点(村县营基础信息!T$8:T$28,$Y$33:$Y$53,$AC15)*节奏总纲!K12*(1+$B$10)+AD14</f>
        <v>0</v>
      </c>
      <c r="AE15" s="32">
        <f>求节点(村县营基础信息!U$8:U$28,$Y$33:$Y$53,$AC15)*节奏总纲!L12*(1+$B$10)+AE14</f>
        <v>0</v>
      </c>
      <c r="AF15" s="32">
        <f>求节点(村县营基础信息!V$8:V$28,$Y$33:$Y$53,$AC15)*节奏总纲!M12*(1+$B$10)+AF14</f>
        <v>0</v>
      </c>
      <c r="AG15" s="32">
        <f>求节点(村县营基础信息!W$8:W$28,$Y$33:$Y$53,$AC15)*节奏总纲!N12*(1+$B$10)+AG14</f>
        <v>0</v>
      </c>
      <c r="AH15" s="32">
        <f>求节点(村县营基础信息!X$8:X$28,$Y$33:$Y$53,$AC15)*节奏总纲!O12*(1+$B$10)+AH14</f>
        <v>0</v>
      </c>
      <c r="AL15" s="29">
        <v>9</v>
      </c>
      <c r="AM15" s="34">
        <f>村县营基础信息!F16</f>
        <v>2</v>
      </c>
      <c r="AN15" s="29">
        <v>0</v>
      </c>
      <c r="AR15" s="29">
        <f>AT15/[2]节奏总纲!D12</f>
        <v>0</v>
      </c>
      <c r="AS15" s="29">
        <v>9</v>
      </c>
      <c r="AT15" s="32">
        <f>求节点(村县营基础信息!AC$8:AC$28,$AN$33:$AN$53,$AS15)*节奏总纲!K12+AT14</f>
        <v>0</v>
      </c>
      <c r="AU15" s="32">
        <f>求节点(村县营基础信息!AD$8:AD$28,$AN$33:$AN$53,$AS15)*节奏总纲!L12+AU14</f>
        <v>0</v>
      </c>
      <c r="AV15" s="32">
        <f>求节点(村县营基础信息!AE$8:AE$28,$AN$33:$AN$53,$AS15)*节奏总纲!M12+AV14</f>
        <v>0</v>
      </c>
      <c r="AW15" s="32">
        <f>求节点(村县营基础信息!AF$8:AF$28,$AN$33:$AN$53,$AS15)*节奏总纲!N12+AW14</f>
        <v>0</v>
      </c>
      <c r="AX15" s="32">
        <f>求节点(村县营基础信息!AG$8:AG$28,$AN$33:$AN$53,$AS15)*节奏总纲!O12+AX14</f>
        <v>0</v>
      </c>
      <c r="BA15" s="29">
        <f>(AV15-AV14)/[2]节奏总纲!M12*'[1]功能-付费相关'!BB14</f>
        <v>0</v>
      </c>
      <c r="BE15" s="29">
        <v>9</v>
      </c>
      <c r="BF15" s="32">
        <f>村县营基础信息!$G16</f>
        <v>0</v>
      </c>
      <c r="BG15" s="29">
        <v>0</v>
      </c>
      <c r="BL15" s="29">
        <v>9</v>
      </c>
      <c r="BM15" s="32">
        <f>求节点(村县营基础信息!AL$8:AL$28,$BG$33:$BG$53,$BL15)*节奏总纲!K12+BM14</f>
        <v>0</v>
      </c>
      <c r="BN15" s="32">
        <f>求节点(村县营基础信息!AM$8:AM$28,$BG$33:$BG$53,$BL15)*节奏总纲!L12+BN14</f>
        <v>0</v>
      </c>
      <c r="BO15" s="32">
        <f>求节点(村县营基础信息!AN$8:AN$28,$BG$33:$BG$53,$BL15)*节奏总纲!M12+BO14</f>
        <v>0</v>
      </c>
      <c r="BP15" s="32">
        <f>求节点(村县营基础信息!AO$8:AO$28,$BG$33:$BG$53,$BL15)*节奏总纲!N12+BP14</f>
        <v>0</v>
      </c>
      <c r="BQ15" s="32">
        <f>求节点(村县营基础信息!AP$8:AP$28,$BG$33:$BG$53,$BL15)*节奏总纲!O12+BQ14</f>
        <v>0</v>
      </c>
    </row>
    <row r="16" spans="1:69" x14ac:dyDescent="0.15">
      <c r="F16" s="29">
        <f t="shared" si="0"/>
        <v>0</v>
      </c>
      <c r="G16" s="29">
        <v>10</v>
      </c>
      <c r="H16" s="32">
        <f>村县营基础信息!$D17</f>
        <v>5</v>
      </c>
      <c r="I16" s="29">
        <v>0</v>
      </c>
      <c r="M16" s="29">
        <v>10</v>
      </c>
      <c r="N16" s="32">
        <f>求节点(村县营基础信息!K$8:K$28,$I$33:$I$53,$M16)*节奏总纲!K13+N15</f>
        <v>0</v>
      </c>
      <c r="O16" s="32">
        <f>求节点(村县营基础信息!L$8:L$28,$I$33:$I$53,$M16)*节奏总纲!L13+O15</f>
        <v>0</v>
      </c>
      <c r="P16" s="32">
        <f>求节点(村县营基础信息!M$8:M$28,$I$33:$I$53,$M16)*节奏总纲!M13+P15</f>
        <v>0</v>
      </c>
      <c r="Q16" s="32">
        <f>求节点(村县营基础信息!N$8:N$28,$I$33:$I$53,$M16)*节奏总纲!N13+Q15</f>
        <v>0</v>
      </c>
      <c r="R16" s="32">
        <f>求节点(村县营基础信息!O$8:O$28,$I$33:$I$53,$M16)*节奏总纲!O13+R15</f>
        <v>0</v>
      </c>
      <c r="W16" s="29">
        <v>10</v>
      </c>
      <c r="X16" s="34">
        <f>村县营基础信息!$E17</f>
        <v>0</v>
      </c>
      <c r="Y16" s="29">
        <v>0</v>
      </c>
      <c r="AC16" s="29">
        <v>10</v>
      </c>
      <c r="AD16" s="32">
        <f>求节点(村县营基础信息!T$8:T$28,$Y$33:$Y$53,$AC16)*节奏总纲!K13*(1+$B$10)+AD15</f>
        <v>0</v>
      </c>
      <c r="AE16" s="32">
        <f>求节点(村县营基础信息!U$8:U$28,$Y$33:$Y$53,$AC16)*节奏总纲!L13*(1+$B$10)+AE15</f>
        <v>0</v>
      </c>
      <c r="AF16" s="32">
        <f>求节点(村县营基础信息!V$8:V$28,$Y$33:$Y$53,$AC16)*节奏总纲!M13*(1+$B$10)+AF15</f>
        <v>0</v>
      </c>
      <c r="AG16" s="32">
        <f>求节点(村县营基础信息!W$8:W$28,$Y$33:$Y$53,$AC16)*节奏总纲!N13*(1+$B$10)+AG15</f>
        <v>0</v>
      </c>
      <c r="AH16" s="32">
        <f>求节点(村县营基础信息!X$8:X$28,$Y$33:$Y$53,$AC16)*节奏总纲!O13*(1+$B$10)+AH15</f>
        <v>0</v>
      </c>
      <c r="AL16" s="29">
        <v>10</v>
      </c>
      <c r="AM16" s="34">
        <f>村县营基础信息!F17</f>
        <v>2</v>
      </c>
      <c r="AN16" s="29">
        <v>0</v>
      </c>
      <c r="AR16" s="29">
        <f>AT16/[2]节奏总纲!D13</f>
        <v>0</v>
      </c>
      <c r="AS16" s="29">
        <v>10</v>
      </c>
      <c r="AT16" s="32">
        <f>求节点(村县营基础信息!AC$8:AC$28,$AN$33:$AN$53,$AS16)*节奏总纲!K13+AT15</f>
        <v>0</v>
      </c>
      <c r="AU16" s="32">
        <f>求节点(村县营基础信息!AD$8:AD$28,$AN$33:$AN$53,$AS16)*节奏总纲!L13+AU15</f>
        <v>0</v>
      </c>
      <c r="AV16" s="32">
        <f>求节点(村县营基础信息!AE$8:AE$28,$AN$33:$AN$53,$AS16)*节奏总纲!M13+AV15</f>
        <v>0</v>
      </c>
      <c r="AW16" s="32">
        <f>求节点(村县营基础信息!AF$8:AF$28,$AN$33:$AN$53,$AS16)*节奏总纲!N13+AW15</f>
        <v>0</v>
      </c>
      <c r="AX16" s="32">
        <f>求节点(村县营基础信息!AG$8:AG$28,$AN$33:$AN$53,$AS16)*节奏总纲!O13+AX15</f>
        <v>0</v>
      </c>
      <c r="BA16" s="29">
        <f>(AV16-AV15)/[2]节奏总纲!M13*'[1]功能-付费相关'!BB15</f>
        <v>0</v>
      </c>
      <c r="BE16" s="29">
        <v>10</v>
      </c>
      <c r="BF16" s="32">
        <f>村县营基础信息!$G17</f>
        <v>1</v>
      </c>
      <c r="BG16" s="29">
        <v>0</v>
      </c>
      <c r="BL16" s="29">
        <v>10</v>
      </c>
      <c r="BM16" s="32">
        <f>求节点(村县营基础信息!AL$8:AL$28,$BG$33:$BG$53,$BL16)*节奏总纲!K13+BM15</f>
        <v>0</v>
      </c>
      <c r="BN16" s="32">
        <f>求节点(村县营基础信息!AM$8:AM$28,$BG$33:$BG$53,$BL16)*节奏总纲!L13+BN15</f>
        <v>0</v>
      </c>
      <c r="BO16" s="32">
        <f>求节点(村县营基础信息!AN$8:AN$28,$BG$33:$BG$53,$BL16)*节奏总纲!M13+BO15</f>
        <v>0</v>
      </c>
      <c r="BP16" s="32">
        <f>求节点(村县营基础信息!AO$8:AO$28,$BG$33:$BG$53,$BL16)*节奏总纲!N13+BP15</f>
        <v>0</v>
      </c>
      <c r="BQ16" s="32">
        <f>求节点(村县营基础信息!AP$8:AP$28,$BG$33:$BG$53,$BL16)*节奏总纲!O13+BQ15</f>
        <v>0</v>
      </c>
    </row>
    <row r="17" spans="6:69" x14ac:dyDescent="0.15">
      <c r="F17" s="29" t="e">
        <f t="shared" si="0"/>
        <v>#REF!</v>
      </c>
      <c r="G17" s="29">
        <v>11</v>
      </c>
      <c r="H17" s="32">
        <f>村县营基础信息!$D18</f>
        <v>5</v>
      </c>
      <c r="I17" s="29" t="e">
        <f>#REF!</f>
        <v>#REF!</v>
      </c>
      <c r="M17" s="29">
        <v>11</v>
      </c>
      <c r="N17" s="32">
        <f>求节点(村县营基础信息!K$8:K$28,$I$33:$I$53,$M17)*节奏总纲!K14+N16</f>
        <v>0</v>
      </c>
      <c r="O17" s="32">
        <f>求节点(村县营基础信息!L$8:L$28,$I$33:$I$53,$M17)*节奏总纲!L14+O16</f>
        <v>0</v>
      </c>
      <c r="P17" s="32">
        <f>求节点(村县营基础信息!M$8:M$28,$I$33:$I$53,$M17)*节奏总纲!M14+P16</f>
        <v>0</v>
      </c>
      <c r="Q17" s="32">
        <f>求节点(村县营基础信息!N$8:N$28,$I$33:$I$53,$M17)*节奏总纲!N14+Q16</f>
        <v>0</v>
      </c>
      <c r="R17" s="32">
        <f>求节点(村县营基础信息!O$8:O$28,$I$33:$I$53,$M17)*节奏总纲!O14+R16</f>
        <v>0</v>
      </c>
      <c r="W17" s="29">
        <v>11</v>
      </c>
      <c r="X17" s="34">
        <f>村县营基础信息!$E18</f>
        <v>1</v>
      </c>
      <c r="Y17" s="29">
        <v>0</v>
      </c>
      <c r="AC17" s="29">
        <v>11</v>
      </c>
      <c r="AD17" s="32">
        <f>求节点(村县营基础信息!T$8:T$28,$Y$33:$Y$53,$AC17)*节奏总纲!K14*(1+$B$10)+AD16</f>
        <v>0</v>
      </c>
      <c r="AE17" s="32">
        <f>求节点(村县营基础信息!U$8:U$28,$Y$33:$Y$53,$AC17)*节奏总纲!L14*(1+$B$10)+AE16</f>
        <v>0</v>
      </c>
      <c r="AF17" s="32">
        <f>求节点(村县营基础信息!V$8:V$28,$Y$33:$Y$53,$AC17)*节奏总纲!M14*(1+$B$10)+AF16</f>
        <v>0</v>
      </c>
      <c r="AG17" s="32">
        <f>求节点(村县营基础信息!W$8:W$28,$Y$33:$Y$53,$AC17)*节奏总纲!N14*(1+$B$10)+AG16</f>
        <v>0</v>
      </c>
      <c r="AH17" s="32">
        <f>求节点(村县营基础信息!X$8:X$28,$Y$33:$Y$53,$AC17)*节奏总纲!O14*(1+$B$10)+AH16</f>
        <v>0</v>
      </c>
      <c r="AL17" s="29">
        <v>11</v>
      </c>
      <c r="AM17" s="34">
        <f>村县营基础信息!F18</f>
        <v>2</v>
      </c>
      <c r="AN17" s="33" t="e">
        <f>$I17*$C$7</f>
        <v>#REF!</v>
      </c>
      <c r="AR17" s="29">
        <f>AT17/[2]节奏总纲!D14</f>
        <v>0</v>
      </c>
      <c r="AS17" s="29">
        <v>11</v>
      </c>
      <c r="AT17" s="32">
        <f>求节点(村县营基础信息!AC$8:AC$28,$AN$33:$AN$53,$AS17)*节奏总纲!K14+AT16</f>
        <v>0</v>
      </c>
      <c r="AU17" s="32">
        <f>求节点(村县营基础信息!AD$8:AD$28,$AN$33:$AN$53,$AS17)*节奏总纲!L14+AU16</f>
        <v>0</v>
      </c>
      <c r="AV17" s="32">
        <f>求节点(村县营基础信息!AE$8:AE$28,$AN$33:$AN$53,$AS17)*节奏总纲!M14+AV16</f>
        <v>0</v>
      </c>
      <c r="AW17" s="32">
        <f>求节点(村县营基础信息!AF$8:AF$28,$AN$33:$AN$53,$AS17)*节奏总纲!N14+AW16</f>
        <v>0</v>
      </c>
      <c r="AX17" s="32">
        <f>求节点(村县营基础信息!AG$8:AG$28,$AN$33:$AN$53,$AS17)*节奏总纲!O14+AX16</f>
        <v>0</v>
      </c>
      <c r="BA17" s="29">
        <f>(AV17-AV16)/[2]节奏总纲!M14*'[1]功能-付费相关'!BB16</f>
        <v>0</v>
      </c>
      <c r="BE17" s="29">
        <v>11</v>
      </c>
      <c r="BF17" s="32">
        <f>村县营基础信息!$G18</f>
        <v>0</v>
      </c>
      <c r="BG17" s="29">
        <v>0</v>
      </c>
      <c r="BL17" s="29">
        <v>11</v>
      </c>
      <c r="BM17" s="32">
        <f>求节点(村县营基础信息!AL$8:AL$28,$BG$33:$BG$53,$BL17)*节奏总纲!K14+BM16</f>
        <v>0</v>
      </c>
      <c r="BN17" s="32">
        <f>求节点(村县营基础信息!AM$8:AM$28,$BG$33:$BG$53,$BL17)*节奏总纲!L14+BN16</f>
        <v>0</v>
      </c>
      <c r="BO17" s="32">
        <f>求节点(村县营基础信息!AN$8:AN$28,$BG$33:$BG$53,$BL17)*节奏总纲!M14+BO16</f>
        <v>0</v>
      </c>
      <c r="BP17" s="32">
        <f>求节点(村县营基础信息!AO$8:AO$28,$BG$33:$BG$53,$BL17)*节奏总纲!N14+BP16</f>
        <v>0</v>
      </c>
      <c r="BQ17" s="32">
        <f>求节点(村县营基础信息!AP$8:AP$28,$BG$33:$BG$53,$BL17)*节奏总纲!O14+BQ16</f>
        <v>0</v>
      </c>
    </row>
    <row r="18" spans="6:69" x14ac:dyDescent="0.15">
      <c r="F18" s="29">
        <f t="shared" si="0"/>
        <v>0.16666666666666666</v>
      </c>
      <c r="G18" s="29">
        <v>12</v>
      </c>
      <c r="H18" s="32">
        <f>村县营基础信息!$D19</f>
        <v>5</v>
      </c>
      <c r="I18" s="37">
        <v>240</v>
      </c>
      <c r="J18" s="40"/>
      <c r="M18" s="29">
        <v>12</v>
      </c>
      <c r="N18" s="32">
        <f>求节点(村县营基础信息!K$8:K$28,$I$33:$I$53,$M18)*节奏总纲!K15+N17</f>
        <v>0</v>
      </c>
      <c r="O18" s="32">
        <f>求节点(村县营基础信息!L$8:L$28,$I$33:$I$53,$M18)*节奏总纲!L15+O17</f>
        <v>0</v>
      </c>
      <c r="P18" s="32">
        <f>求节点(村县营基础信息!M$8:M$28,$I$33:$I$53,$M18)*节奏总纲!M15+P17</f>
        <v>0</v>
      </c>
      <c r="Q18" s="32">
        <f>求节点(村县营基础信息!N$8:N$28,$I$33:$I$53,$M18)*节奏总纲!N15+Q17</f>
        <v>0</v>
      </c>
      <c r="R18" s="32">
        <f>求节点(村县营基础信息!O$8:O$28,$I$33:$I$53,$M18)*节奏总纲!O15+R17</f>
        <v>0</v>
      </c>
      <c r="W18" s="29">
        <v>12</v>
      </c>
      <c r="X18" s="34">
        <f>村县营基础信息!$E19</f>
        <v>0</v>
      </c>
      <c r="Y18" s="29">
        <v>0</v>
      </c>
      <c r="AC18" s="29">
        <v>12</v>
      </c>
      <c r="AD18" s="32">
        <f>求节点(村县营基础信息!T$8:T$28,$Y$33:$Y$53,$AC18)*节奏总纲!K15*(1+$B$10)+AD17</f>
        <v>0</v>
      </c>
      <c r="AE18" s="32">
        <f>求节点(村县营基础信息!U$8:U$28,$Y$33:$Y$53,$AC18)*节奏总纲!L15*(1+$B$10)+AE17</f>
        <v>0</v>
      </c>
      <c r="AF18" s="32">
        <f>求节点(村县营基础信息!V$8:V$28,$Y$33:$Y$53,$AC18)*节奏总纲!M15*(1+$B$10)+AF17</f>
        <v>0</v>
      </c>
      <c r="AG18" s="32">
        <f>求节点(村县营基础信息!W$8:W$28,$Y$33:$Y$53,$AC18)*节奏总纲!N15*(1+$B$10)+AG17</f>
        <v>0</v>
      </c>
      <c r="AH18" s="32">
        <f>求节点(村县营基础信息!X$8:X$28,$Y$33:$Y$53,$AC18)*节奏总纲!O15*(1+$B$10)+AH17</f>
        <v>0</v>
      </c>
      <c r="AL18" s="29">
        <v>12</v>
      </c>
      <c r="AM18" s="34">
        <f>村县营基础信息!F19</f>
        <v>2</v>
      </c>
      <c r="AN18" s="33">
        <f t="shared" ref="AN18:AN27" si="1">$I18*$C$7</f>
        <v>480</v>
      </c>
      <c r="AR18" s="29">
        <f>AT18/[2]节奏总纲!D15</f>
        <v>0</v>
      </c>
      <c r="AS18" s="29">
        <v>12</v>
      </c>
      <c r="AT18" s="32">
        <f>求节点(村县营基础信息!AC$8:AC$28,$AN$33:$AN$53,$AS18)*节奏总纲!K15+AT17</f>
        <v>0</v>
      </c>
      <c r="AU18" s="32">
        <f>求节点(村县营基础信息!AD$8:AD$28,$AN$33:$AN$53,$AS18)*节奏总纲!L15+AU17</f>
        <v>0</v>
      </c>
      <c r="AV18" s="32">
        <f>求节点(村县营基础信息!AE$8:AE$28,$AN$33:$AN$53,$AS18)*节奏总纲!M15+AV17</f>
        <v>0</v>
      </c>
      <c r="AW18" s="32">
        <f>求节点(村县营基础信息!AF$8:AF$28,$AN$33:$AN$53,$AS18)*节奏总纲!N15+AW17</f>
        <v>0</v>
      </c>
      <c r="AX18" s="32">
        <f>求节点(村县营基础信息!AG$8:AG$28,$AN$33:$AN$53,$AS18)*节奏总纲!O15+AX17</f>
        <v>0</v>
      </c>
      <c r="BA18" s="29">
        <f>(AV18-AV17)/[2]节奏总纲!M15*'[1]功能-付费相关'!BB17</f>
        <v>0</v>
      </c>
      <c r="BE18" s="29">
        <v>12</v>
      </c>
      <c r="BF18" s="32">
        <f>村县营基础信息!$G19</f>
        <v>1</v>
      </c>
      <c r="BG18" s="29">
        <v>0</v>
      </c>
      <c r="BL18" s="29">
        <v>12</v>
      </c>
      <c r="BM18" s="32">
        <f>求节点(村县营基础信息!AL$8:AL$28,$BG$33:$BG$53,$BL18)*节奏总纲!K15+BM17</f>
        <v>0</v>
      </c>
      <c r="BN18" s="32">
        <f>求节点(村县营基础信息!AM$8:AM$28,$BG$33:$BG$53,$BL18)*节奏总纲!L15+BN17</f>
        <v>0</v>
      </c>
      <c r="BO18" s="32">
        <f>求节点(村县营基础信息!AN$8:AN$28,$BG$33:$BG$53,$BL18)*节奏总纲!M15+BO17</f>
        <v>0</v>
      </c>
      <c r="BP18" s="32">
        <f>求节点(村县营基础信息!AO$8:AO$28,$BG$33:$BG$53,$BL18)*节奏总纲!N15+BP17</f>
        <v>0</v>
      </c>
      <c r="BQ18" s="32">
        <f>求节点(村县营基础信息!AP$8:AP$28,$BG$33:$BG$53,$BL18)*节奏总纲!O15+BQ17</f>
        <v>0</v>
      </c>
    </row>
    <row r="19" spans="6:69" x14ac:dyDescent="0.15">
      <c r="F19" s="29">
        <f>I19/24/60</f>
        <v>0.33333333333333331</v>
      </c>
      <c r="G19" s="29">
        <v>13</v>
      </c>
      <c r="H19" s="32">
        <f>村县营基础信息!$D20</f>
        <v>6</v>
      </c>
      <c r="I19" s="37">
        <v>480</v>
      </c>
      <c r="J19" s="40"/>
      <c r="M19" s="29">
        <v>13</v>
      </c>
      <c r="N19" s="32">
        <f>求节点(村县营基础信息!K$8:K$28,$I$33:$I$53,$M19)*节奏总纲!K16+N18</f>
        <v>0</v>
      </c>
      <c r="O19" s="32">
        <f>求节点(村县营基础信息!L$8:L$28,$I$33:$I$53,$M19)*节奏总纲!L16+O18</f>
        <v>0</v>
      </c>
      <c r="P19" s="32">
        <f>求节点(村县营基础信息!M$8:M$28,$I$33:$I$53,$M19)*节奏总纲!M16+P18</f>
        <v>0</v>
      </c>
      <c r="Q19" s="32">
        <f>求节点(村县营基础信息!N$8:N$28,$I$33:$I$53,$M19)*节奏总纲!N16+Q18</f>
        <v>0</v>
      </c>
      <c r="R19" s="32">
        <f>求节点(村县营基础信息!O$8:O$28,$I$33:$I$53,$M19)*节奏总纲!O16+R18</f>
        <v>0</v>
      </c>
      <c r="W19" s="29">
        <v>13</v>
      </c>
      <c r="X19" s="34">
        <f>村县营基础信息!$E20</f>
        <v>1</v>
      </c>
      <c r="Y19" s="29">
        <v>0</v>
      </c>
      <c r="AC19" s="29">
        <v>13</v>
      </c>
      <c r="AD19" s="32">
        <f>求节点(村县营基础信息!T$8:T$28,$Y$33:$Y$53,$AC19)*节奏总纲!K16*(1+$B$10)+AD18</f>
        <v>0</v>
      </c>
      <c r="AE19" s="32">
        <f>求节点(村县营基础信息!U$8:U$28,$Y$33:$Y$53,$AC19)*节奏总纲!L16*(1+$B$10)+AE18</f>
        <v>0</v>
      </c>
      <c r="AF19" s="32">
        <f>求节点(村县营基础信息!V$8:V$28,$Y$33:$Y$53,$AC19)*节奏总纲!M16*(1+$B$10)+AF18</f>
        <v>0</v>
      </c>
      <c r="AG19" s="32">
        <f>求节点(村县营基础信息!W$8:W$28,$Y$33:$Y$53,$AC19)*节奏总纲!N16*(1+$B$10)+AG18</f>
        <v>0</v>
      </c>
      <c r="AH19" s="32">
        <f>求节点(村县营基础信息!X$8:X$28,$Y$33:$Y$53,$AC19)*节奏总纲!O16*(1+$B$10)+AH18</f>
        <v>0</v>
      </c>
      <c r="AL19" s="29">
        <v>13</v>
      </c>
      <c r="AM19" s="34">
        <f>村县营基础信息!F20</f>
        <v>2</v>
      </c>
      <c r="AN19" s="33">
        <f t="shared" si="1"/>
        <v>960</v>
      </c>
      <c r="AR19" s="29">
        <f>AT19/[2]节奏总纲!D16</f>
        <v>0</v>
      </c>
      <c r="AS19" s="29">
        <v>13</v>
      </c>
      <c r="AT19" s="32">
        <f>求节点(村县营基础信息!AC$8:AC$28,$AN$33:$AN$53,$AS19)*节奏总纲!K16+AT18</f>
        <v>0</v>
      </c>
      <c r="AU19" s="32">
        <f>求节点(村县营基础信息!AD$8:AD$28,$AN$33:$AN$53,$AS19)*节奏总纲!L16+AU18</f>
        <v>0</v>
      </c>
      <c r="AV19" s="32">
        <f>求节点(村县营基础信息!AE$8:AE$28,$AN$33:$AN$53,$AS19)*节奏总纲!M16+AV18</f>
        <v>0</v>
      </c>
      <c r="AW19" s="32">
        <f>求节点(村县营基础信息!AF$8:AF$28,$AN$33:$AN$53,$AS19)*节奏总纲!N16+AW18</f>
        <v>0</v>
      </c>
      <c r="AX19" s="32">
        <f>求节点(村县营基础信息!AG$8:AG$28,$AN$33:$AN$53,$AS19)*节奏总纲!O16+AX18</f>
        <v>0</v>
      </c>
      <c r="BA19" s="29">
        <f>(AV19-AV18)/[2]节奏总纲!M16*'[1]功能-付费相关'!BB18</f>
        <v>0</v>
      </c>
      <c r="BE19" s="29">
        <v>13</v>
      </c>
      <c r="BF19" s="32">
        <f>村县营基础信息!$G20</f>
        <v>0</v>
      </c>
      <c r="BG19" s="29">
        <v>0</v>
      </c>
      <c r="BL19" s="29">
        <v>13</v>
      </c>
      <c r="BM19" s="32">
        <f>求节点(村县营基础信息!AL$8:AL$28,$BG$33:$BG$53,$BL19)*节奏总纲!K16+BM18</f>
        <v>0</v>
      </c>
      <c r="BN19" s="32">
        <f>求节点(村县营基础信息!AM$8:AM$28,$BG$33:$BG$53,$BL19)*节奏总纲!L16+BN18</f>
        <v>0</v>
      </c>
      <c r="BO19" s="32">
        <f>求节点(村县营基础信息!AN$8:AN$28,$BG$33:$BG$53,$BL19)*节奏总纲!M16+BO18</f>
        <v>0</v>
      </c>
      <c r="BP19" s="32">
        <f>求节点(村县营基础信息!AO$8:AO$28,$BG$33:$BG$53,$BL19)*节奏总纲!N16+BP18</f>
        <v>0</v>
      </c>
      <c r="BQ19" s="32">
        <f>求节点(村县营基础信息!AP$8:AP$28,$BG$33:$BG$53,$BL19)*节奏总纲!O16+BQ18</f>
        <v>0</v>
      </c>
    </row>
    <row r="20" spans="6:69" x14ac:dyDescent="0.15">
      <c r="F20" s="29">
        <f t="shared" si="0"/>
        <v>0.5</v>
      </c>
      <c r="G20" s="29">
        <v>14</v>
      </c>
      <c r="H20" s="32">
        <f>村县营基础信息!$D21</f>
        <v>6</v>
      </c>
      <c r="I20" s="37">
        <v>720</v>
      </c>
      <c r="J20" s="40"/>
      <c r="M20" s="29">
        <v>14</v>
      </c>
      <c r="N20" s="32">
        <f>求节点(村县营基础信息!K$8:K$28,$I$33:$I$53,$M20)*节奏总纲!K17+N19</f>
        <v>0</v>
      </c>
      <c r="O20" s="32">
        <f>求节点(村县营基础信息!L$8:L$28,$I$33:$I$53,$M20)*节奏总纲!L17+O19</f>
        <v>0</v>
      </c>
      <c r="P20" s="32">
        <f>求节点(村县营基础信息!M$8:M$28,$I$33:$I$53,$M20)*节奏总纲!M17+P19</f>
        <v>0</v>
      </c>
      <c r="Q20" s="32">
        <f>求节点(村县营基础信息!N$8:N$28,$I$33:$I$53,$M20)*节奏总纲!N17+Q19</f>
        <v>0</v>
      </c>
      <c r="R20" s="32">
        <f>求节点(村县营基础信息!O$8:O$28,$I$33:$I$53,$M20)*节奏总纲!O17+R19</f>
        <v>0</v>
      </c>
      <c r="W20" s="29">
        <v>14</v>
      </c>
      <c r="X20" s="34">
        <f>村县营基础信息!$E21</f>
        <v>0</v>
      </c>
      <c r="Y20" s="29">
        <v>0</v>
      </c>
      <c r="AC20" s="29">
        <v>14</v>
      </c>
      <c r="AD20" s="32">
        <f>求节点(村县营基础信息!T$8:T$28,$Y$33:$Y$53,$AC20)*节奏总纲!K17*(1+$B$10)+AD19</f>
        <v>0</v>
      </c>
      <c r="AE20" s="32">
        <f>求节点(村县营基础信息!U$8:U$28,$Y$33:$Y$53,$AC20)*节奏总纲!L17*(1+$B$10)+AE19</f>
        <v>0</v>
      </c>
      <c r="AF20" s="32">
        <f>求节点(村县营基础信息!V$8:V$28,$Y$33:$Y$53,$AC20)*节奏总纲!M17*(1+$B$10)+AF19</f>
        <v>0</v>
      </c>
      <c r="AG20" s="32">
        <f>求节点(村县营基础信息!W$8:W$28,$Y$33:$Y$53,$AC20)*节奏总纲!N17*(1+$B$10)+AG19</f>
        <v>0</v>
      </c>
      <c r="AH20" s="32">
        <f>求节点(村县营基础信息!X$8:X$28,$Y$33:$Y$53,$AC20)*节奏总纲!O17*(1+$B$10)+AH19</f>
        <v>0</v>
      </c>
      <c r="AL20" s="29">
        <v>14</v>
      </c>
      <c r="AM20" s="34">
        <f>村县营基础信息!F21</f>
        <v>3</v>
      </c>
      <c r="AN20" s="33">
        <f t="shared" si="1"/>
        <v>1440</v>
      </c>
      <c r="AR20" s="29">
        <f>AT20/[2]节奏总纲!D17</f>
        <v>0</v>
      </c>
      <c r="AS20" s="29">
        <v>14</v>
      </c>
      <c r="AT20" s="32">
        <f>求节点(村县营基础信息!AC$8:AC$28,$AN$33:$AN$53,$AS20)*节奏总纲!K17+AT19</f>
        <v>0</v>
      </c>
      <c r="AU20" s="32">
        <f>求节点(村县营基础信息!AD$8:AD$28,$AN$33:$AN$53,$AS20)*节奏总纲!L17+AU19</f>
        <v>0</v>
      </c>
      <c r="AV20" s="32">
        <f>求节点(村县营基础信息!AE$8:AE$28,$AN$33:$AN$53,$AS20)*节奏总纲!M17+AV19</f>
        <v>0</v>
      </c>
      <c r="AW20" s="32">
        <f>求节点(村县营基础信息!AF$8:AF$28,$AN$33:$AN$53,$AS20)*节奏总纲!N17+AW19</f>
        <v>0</v>
      </c>
      <c r="AX20" s="32">
        <f>求节点(村县营基础信息!AG$8:AG$28,$AN$33:$AN$53,$AS20)*节奏总纲!O17+AX19</f>
        <v>0</v>
      </c>
      <c r="BA20" s="29">
        <f>(AV20-AV19)/[2]节奏总纲!M17*'[1]功能-付费相关'!BB19</f>
        <v>0</v>
      </c>
      <c r="BE20" s="29">
        <v>14</v>
      </c>
      <c r="BF20" s="32">
        <f>村县营基础信息!$G21</f>
        <v>1</v>
      </c>
      <c r="BG20" s="29">
        <v>0</v>
      </c>
      <c r="BL20" s="29">
        <v>14</v>
      </c>
      <c r="BM20" s="32">
        <f>求节点(村县营基础信息!AL$8:AL$28,$BG$33:$BG$53,$BL20)*节奏总纲!K17+BM19</f>
        <v>0</v>
      </c>
      <c r="BN20" s="32">
        <f>求节点(村县营基础信息!AM$8:AM$28,$BG$33:$BG$53,$BL20)*节奏总纲!L17+BN19</f>
        <v>0</v>
      </c>
      <c r="BO20" s="32">
        <f>求节点(村县营基础信息!AN$8:AN$28,$BG$33:$BG$53,$BL20)*节奏总纲!M17+BO19</f>
        <v>0</v>
      </c>
      <c r="BP20" s="32">
        <f>求节点(村县营基础信息!AO$8:AO$28,$BG$33:$BG$53,$BL20)*节奏总纲!N17+BP19</f>
        <v>0</v>
      </c>
      <c r="BQ20" s="32">
        <f>求节点(村县营基础信息!AP$8:AP$28,$BG$33:$BG$53,$BL20)*节奏总纲!O17+BQ19</f>
        <v>0</v>
      </c>
    </row>
    <row r="21" spans="6:69" x14ac:dyDescent="0.15">
      <c r="F21" s="29">
        <f t="shared" si="0"/>
        <v>0.66666666666666663</v>
      </c>
      <c r="G21" s="29">
        <v>15</v>
      </c>
      <c r="H21" s="32">
        <f>村县营基础信息!$D22</f>
        <v>6</v>
      </c>
      <c r="I21" s="37">
        <v>960</v>
      </c>
      <c r="J21" s="40"/>
      <c r="M21" s="29">
        <v>15</v>
      </c>
      <c r="N21" s="32">
        <f>求节点(村县营基础信息!K$8:K$28,$I$33:$I$53,$M21)*节奏总纲!K18+N20</f>
        <v>0</v>
      </c>
      <c r="O21" s="32">
        <f>求节点(村县营基础信息!L$8:L$28,$I$33:$I$53,$M21)*节奏总纲!L18+O20</f>
        <v>0</v>
      </c>
      <c r="P21" s="32">
        <f>求节点(村县营基础信息!M$8:M$28,$I$33:$I$53,$M21)*节奏总纲!M18+P20</f>
        <v>0</v>
      </c>
      <c r="Q21" s="32">
        <f>求节点(村县营基础信息!N$8:N$28,$I$33:$I$53,$M21)*节奏总纲!N18+Q20</f>
        <v>0</v>
      </c>
      <c r="R21" s="32">
        <f>求节点(村县营基础信息!O$8:O$28,$I$33:$I$53,$M21)*节奏总纲!O18+R20</f>
        <v>0</v>
      </c>
      <c r="W21" s="29">
        <v>15</v>
      </c>
      <c r="X21" s="34">
        <f>村县营基础信息!$E22</f>
        <v>1</v>
      </c>
      <c r="Y21" s="29">
        <v>0</v>
      </c>
      <c r="AC21" s="29">
        <v>15</v>
      </c>
      <c r="AD21" s="32">
        <f>求节点(村县营基础信息!T$8:T$28,$Y$33:$Y$53,$AC21)*节奏总纲!K18*(1+$B$10)+AD20</f>
        <v>0</v>
      </c>
      <c r="AE21" s="32">
        <f>求节点(村县营基础信息!U$8:U$28,$Y$33:$Y$53,$AC21)*节奏总纲!L18*(1+$B$10)+AE20</f>
        <v>0</v>
      </c>
      <c r="AF21" s="32">
        <f>求节点(村县营基础信息!V$8:V$28,$Y$33:$Y$53,$AC21)*节奏总纲!M18*(1+$B$10)+AF20</f>
        <v>0</v>
      </c>
      <c r="AG21" s="32">
        <f>求节点(村县营基础信息!W$8:W$28,$Y$33:$Y$53,$AC21)*节奏总纲!N18*(1+$B$10)+AG20</f>
        <v>0</v>
      </c>
      <c r="AH21" s="32">
        <f>求节点(村县营基础信息!X$8:X$28,$Y$33:$Y$53,$AC21)*节奏总纲!O18*(1+$B$10)+AH20</f>
        <v>0</v>
      </c>
      <c r="AL21" s="29">
        <v>15</v>
      </c>
      <c r="AM21" s="34">
        <f>村县营基础信息!F22</f>
        <v>3</v>
      </c>
      <c r="AN21" s="33">
        <f t="shared" si="1"/>
        <v>1920</v>
      </c>
      <c r="AR21" s="29">
        <f>AT21/[2]节奏总纲!D18</f>
        <v>0</v>
      </c>
      <c r="AS21" s="29">
        <v>15</v>
      </c>
      <c r="AT21" s="32">
        <f>求节点(村县营基础信息!AC$8:AC$28,$AN$33:$AN$53,$AS21)*节奏总纲!K18+AT20</f>
        <v>0</v>
      </c>
      <c r="AU21" s="32">
        <f>求节点(村县营基础信息!AD$8:AD$28,$AN$33:$AN$53,$AS21)*节奏总纲!L18+AU20</f>
        <v>0</v>
      </c>
      <c r="AV21" s="32">
        <f>求节点(村县营基础信息!AE$8:AE$28,$AN$33:$AN$53,$AS21)*节奏总纲!M18+AV20</f>
        <v>0</v>
      </c>
      <c r="AW21" s="32">
        <f>求节点(村县营基础信息!AF$8:AF$28,$AN$33:$AN$53,$AS21)*节奏总纲!N18+AW20</f>
        <v>0</v>
      </c>
      <c r="AX21" s="32">
        <f>求节点(村县营基础信息!AG$8:AG$28,$AN$33:$AN$53,$AS21)*节奏总纲!O18+AX20</f>
        <v>0</v>
      </c>
      <c r="BA21" s="29">
        <f>(AV21-AV20)/[2]节奏总纲!M18*'[1]功能-付费相关'!BB20</f>
        <v>0</v>
      </c>
      <c r="BE21" s="29">
        <v>15</v>
      </c>
      <c r="BF21" s="32">
        <f>村县营基础信息!$G22</f>
        <v>0</v>
      </c>
      <c r="BG21" s="29">
        <v>0</v>
      </c>
      <c r="BL21" s="29">
        <v>15</v>
      </c>
      <c r="BM21" s="32">
        <f>求节点(村县营基础信息!AL$8:AL$28,$BG$33:$BG$53,$BL21)*节奏总纲!K18+BM20</f>
        <v>0</v>
      </c>
      <c r="BN21" s="32">
        <f>求节点(村县营基础信息!AM$8:AM$28,$BG$33:$BG$53,$BL21)*节奏总纲!L18+BN20</f>
        <v>0</v>
      </c>
      <c r="BO21" s="32">
        <f>求节点(村县营基础信息!AN$8:AN$28,$BG$33:$BG$53,$BL21)*节奏总纲!M18+BO20</f>
        <v>0</v>
      </c>
      <c r="BP21" s="32">
        <f>求节点(村县营基础信息!AO$8:AO$28,$BG$33:$BG$53,$BL21)*节奏总纲!N18+BP20</f>
        <v>0</v>
      </c>
      <c r="BQ21" s="32">
        <f>求节点(村县营基础信息!AP$8:AP$28,$BG$33:$BG$53,$BL21)*节奏总纲!O18+BQ20</f>
        <v>0</v>
      </c>
    </row>
    <row r="22" spans="6:69" x14ac:dyDescent="0.15">
      <c r="F22" s="29">
        <f t="shared" si="0"/>
        <v>0.83333333333333337</v>
      </c>
      <c r="G22" s="29">
        <v>16</v>
      </c>
      <c r="H22" s="32">
        <f>村县营基础信息!$D23</f>
        <v>7</v>
      </c>
      <c r="I22" s="37">
        <v>1200</v>
      </c>
      <c r="J22" s="40"/>
      <c r="M22" s="29">
        <v>16</v>
      </c>
      <c r="N22" s="32">
        <f>求节点(村县营基础信息!K$8:K$28,$I$33:$I$53,$M22)*节奏总纲!K19+N21</f>
        <v>0</v>
      </c>
      <c r="O22" s="32">
        <f>求节点(村县营基础信息!L$8:L$28,$I$33:$I$53,$M22)*节奏总纲!L19+O21</f>
        <v>0</v>
      </c>
      <c r="P22" s="32">
        <f>求节点(村县营基础信息!M$8:M$28,$I$33:$I$53,$M22)*节奏总纲!M19+P21</f>
        <v>0</v>
      </c>
      <c r="Q22" s="32">
        <f>求节点(村县营基础信息!N$8:N$28,$I$33:$I$53,$M22)*节奏总纲!N19+Q21</f>
        <v>0</v>
      </c>
      <c r="R22" s="32">
        <f>求节点(村县营基础信息!O$8:O$28,$I$33:$I$53,$M22)*节奏总纲!O19+R21</f>
        <v>0</v>
      </c>
      <c r="W22" s="29">
        <v>16</v>
      </c>
      <c r="X22" s="34">
        <f>村县营基础信息!$E23</f>
        <v>0</v>
      </c>
      <c r="Y22" s="29">
        <v>0</v>
      </c>
      <c r="AC22" s="29">
        <v>16</v>
      </c>
      <c r="AD22" s="32">
        <f>求节点(村县营基础信息!T$8:T$28,$Y$33:$Y$53,$AC22)*节奏总纲!K19*(1+$B$10)+AD21</f>
        <v>0</v>
      </c>
      <c r="AE22" s="32">
        <f>求节点(村县营基础信息!U$8:U$28,$Y$33:$Y$53,$AC22)*节奏总纲!L19*(1+$B$10)+AE21</f>
        <v>0</v>
      </c>
      <c r="AF22" s="32">
        <f>求节点(村县营基础信息!V$8:V$28,$Y$33:$Y$53,$AC22)*节奏总纲!M19*(1+$B$10)+AF21</f>
        <v>0</v>
      </c>
      <c r="AG22" s="32">
        <f>求节点(村县营基础信息!W$8:W$28,$Y$33:$Y$53,$AC22)*节奏总纲!N19*(1+$B$10)+AG21</f>
        <v>0</v>
      </c>
      <c r="AH22" s="32">
        <f>求节点(村县营基础信息!X$8:X$28,$Y$33:$Y$53,$AC22)*节奏总纲!O19*(1+$B$10)+AH21</f>
        <v>0</v>
      </c>
      <c r="AL22" s="29">
        <v>16</v>
      </c>
      <c r="AM22" s="34">
        <f>村县营基础信息!F23</f>
        <v>3</v>
      </c>
      <c r="AN22" s="33">
        <f t="shared" si="1"/>
        <v>2400</v>
      </c>
      <c r="AR22" s="29">
        <f>AT22/[2]节奏总纲!D19</f>
        <v>0</v>
      </c>
      <c r="AS22" s="29">
        <v>16</v>
      </c>
      <c r="AT22" s="32">
        <f>求节点(村县营基础信息!AC$8:AC$28,$AN$33:$AN$53,$AS22)*节奏总纲!K19+AT21</f>
        <v>0</v>
      </c>
      <c r="AU22" s="32">
        <f>求节点(村县营基础信息!AD$8:AD$28,$AN$33:$AN$53,$AS22)*节奏总纲!L19+AU21</f>
        <v>0</v>
      </c>
      <c r="AV22" s="32">
        <f>求节点(村县营基础信息!AE$8:AE$28,$AN$33:$AN$53,$AS22)*节奏总纲!M19+AV21</f>
        <v>0</v>
      </c>
      <c r="AW22" s="32">
        <f>求节点(村县营基础信息!AF$8:AF$28,$AN$33:$AN$53,$AS22)*节奏总纲!N19+AW21</f>
        <v>0</v>
      </c>
      <c r="AX22" s="32">
        <f>求节点(村县营基础信息!AG$8:AG$28,$AN$33:$AN$53,$AS22)*节奏总纲!O19+AX21</f>
        <v>0</v>
      </c>
      <c r="BA22" s="29">
        <f>(AV22-AV21)/[2]节奏总纲!M19*'[1]功能-付费相关'!BB21</f>
        <v>0</v>
      </c>
      <c r="BE22" s="29">
        <v>16</v>
      </c>
      <c r="BF22" s="32">
        <f>村县营基础信息!$G23</f>
        <v>1</v>
      </c>
      <c r="BG22" s="29">
        <v>0</v>
      </c>
      <c r="BL22" s="29">
        <v>16</v>
      </c>
      <c r="BM22" s="32">
        <f>求节点(村县营基础信息!AL$8:AL$28,$BG$33:$BG$53,$BL22)*节奏总纲!K19+BM21</f>
        <v>0</v>
      </c>
      <c r="BN22" s="32">
        <f>求节点(村县营基础信息!AM$8:AM$28,$BG$33:$BG$53,$BL22)*节奏总纲!L19+BN21</f>
        <v>0</v>
      </c>
      <c r="BO22" s="32">
        <f>求节点(村县营基础信息!AN$8:AN$28,$BG$33:$BG$53,$BL22)*节奏总纲!M19+BO21</f>
        <v>0</v>
      </c>
      <c r="BP22" s="32">
        <f>求节点(村县营基础信息!AO$8:AO$28,$BG$33:$BG$53,$BL22)*节奏总纲!N19+BP21</f>
        <v>0</v>
      </c>
      <c r="BQ22" s="32">
        <f>求节点(村县营基础信息!AP$8:AP$28,$BG$33:$BG$53,$BL22)*节奏总纲!O19+BQ21</f>
        <v>0</v>
      </c>
    </row>
    <row r="23" spans="6:69" x14ac:dyDescent="0.15">
      <c r="F23" s="29">
        <f t="shared" si="0"/>
        <v>1</v>
      </c>
      <c r="G23" s="29">
        <v>17</v>
      </c>
      <c r="H23" s="32">
        <f>村县营基础信息!$D24</f>
        <v>7</v>
      </c>
      <c r="I23" s="37">
        <v>1440</v>
      </c>
      <c r="J23" s="40"/>
      <c r="M23" s="29">
        <v>17</v>
      </c>
      <c r="N23" s="32">
        <f>求节点(村县营基础信息!K$8:K$28,$I$33:$I$53,$M23)*节奏总纲!K20+N22</f>
        <v>0</v>
      </c>
      <c r="O23" s="32">
        <f>求节点(村县营基础信息!L$8:L$28,$I$33:$I$53,$M23)*节奏总纲!L20+O22</f>
        <v>0</v>
      </c>
      <c r="P23" s="32">
        <f>求节点(村县营基础信息!M$8:M$28,$I$33:$I$53,$M23)*节奏总纲!M20+P22</f>
        <v>0</v>
      </c>
      <c r="Q23" s="32">
        <f>求节点(村县营基础信息!N$8:N$28,$I$33:$I$53,$M23)*节奏总纲!N20+Q22</f>
        <v>0</v>
      </c>
      <c r="R23" s="32">
        <f>求节点(村县营基础信息!O$8:O$28,$I$33:$I$53,$M23)*节奏总纲!O20+R22</f>
        <v>0</v>
      </c>
      <c r="W23" s="29">
        <v>17</v>
      </c>
      <c r="X23" s="34">
        <f>村县营基础信息!$E24</f>
        <v>1</v>
      </c>
      <c r="Y23" s="29">
        <v>0</v>
      </c>
      <c r="AC23" s="29">
        <v>17</v>
      </c>
      <c r="AD23" s="32">
        <f>求节点(村县营基础信息!T$8:T$28,$Y$33:$Y$53,$AC23)*节奏总纲!K20*(1+$B$10)+AD22</f>
        <v>0</v>
      </c>
      <c r="AE23" s="32">
        <f>求节点(村县营基础信息!U$8:U$28,$Y$33:$Y$53,$AC23)*节奏总纲!L20*(1+$B$10)+AE22</f>
        <v>0</v>
      </c>
      <c r="AF23" s="32">
        <f>求节点(村县营基础信息!V$8:V$28,$Y$33:$Y$53,$AC23)*节奏总纲!M20*(1+$B$10)+AF22</f>
        <v>0</v>
      </c>
      <c r="AG23" s="32">
        <f>求节点(村县营基础信息!W$8:W$28,$Y$33:$Y$53,$AC23)*节奏总纲!N20*(1+$B$10)+AG22</f>
        <v>0</v>
      </c>
      <c r="AH23" s="32">
        <f>求节点(村县营基础信息!X$8:X$28,$Y$33:$Y$53,$AC23)*节奏总纲!O20*(1+$B$10)+AH22</f>
        <v>0</v>
      </c>
      <c r="AL23" s="29">
        <v>17</v>
      </c>
      <c r="AM23" s="34">
        <f>村县营基础信息!F24</f>
        <v>3</v>
      </c>
      <c r="AN23" s="33">
        <f t="shared" si="1"/>
        <v>2880</v>
      </c>
      <c r="AR23" s="29">
        <f>AT23/[2]节奏总纲!D20</f>
        <v>0</v>
      </c>
      <c r="AS23" s="29">
        <v>17</v>
      </c>
      <c r="AT23" s="32">
        <f>求节点(村县营基础信息!AC$8:AC$28,$AN$33:$AN$53,$AS23)*节奏总纲!K20+AT22</f>
        <v>0</v>
      </c>
      <c r="AU23" s="32">
        <f>求节点(村县营基础信息!AD$8:AD$28,$AN$33:$AN$53,$AS23)*节奏总纲!L20+AU22</f>
        <v>0</v>
      </c>
      <c r="AV23" s="32">
        <f>求节点(村县营基础信息!AE$8:AE$28,$AN$33:$AN$53,$AS23)*节奏总纲!M20+AV22</f>
        <v>0</v>
      </c>
      <c r="AW23" s="32">
        <f>求节点(村县营基础信息!AF$8:AF$28,$AN$33:$AN$53,$AS23)*节奏总纲!N20+AW22</f>
        <v>0</v>
      </c>
      <c r="AX23" s="32">
        <f>求节点(村县营基础信息!AG$8:AG$28,$AN$33:$AN$53,$AS23)*节奏总纲!O20+AX22</f>
        <v>0</v>
      </c>
      <c r="BA23" s="29">
        <f>(AV23-AV22)/[2]节奏总纲!M20*'[1]功能-付费相关'!BB22</f>
        <v>0</v>
      </c>
      <c r="BE23" s="29">
        <v>17</v>
      </c>
      <c r="BF23" s="32">
        <f>村县营基础信息!$G24</f>
        <v>0</v>
      </c>
      <c r="BG23" s="29">
        <v>0</v>
      </c>
      <c r="BL23" s="29">
        <v>17</v>
      </c>
      <c r="BM23" s="32">
        <f>求节点(村县营基础信息!AL$8:AL$28,$BG$33:$BG$53,$BL23)*节奏总纲!K20+BM22</f>
        <v>0</v>
      </c>
      <c r="BN23" s="32">
        <f>求节点(村县营基础信息!AM$8:AM$28,$BG$33:$BG$53,$BL23)*节奏总纲!L20+BN22</f>
        <v>0</v>
      </c>
      <c r="BO23" s="32">
        <f>求节点(村县营基础信息!AN$8:AN$28,$BG$33:$BG$53,$BL23)*节奏总纲!M20+BO22</f>
        <v>0</v>
      </c>
      <c r="BP23" s="32">
        <f>求节点(村县营基础信息!AO$8:AO$28,$BG$33:$BG$53,$BL23)*节奏总纲!N20+BP22</f>
        <v>0</v>
      </c>
      <c r="BQ23" s="32">
        <f>求节点(村县营基础信息!AP$8:AP$28,$BG$33:$BG$53,$BL23)*节奏总纲!O20+BQ22</f>
        <v>0</v>
      </c>
    </row>
    <row r="24" spans="6:69" x14ac:dyDescent="0.15">
      <c r="F24" s="29">
        <f t="shared" si="0"/>
        <v>1.1666666666666667</v>
      </c>
      <c r="G24" s="29">
        <v>18</v>
      </c>
      <c r="H24" s="32">
        <f>村县营基础信息!$D25</f>
        <v>7</v>
      </c>
      <c r="I24" s="37">
        <v>1680</v>
      </c>
      <c r="J24" s="40"/>
      <c r="M24" s="29">
        <v>18</v>
      </c>
      <c r="N24" s="32">
        <f>求节点(村县营基础信息!K$8:K$28,$I$33:$I$53,$M24)*节奏总纲!K21+N23</f>
        <v>0</v>
      </c>
      <c r="O24" s="32">
        <f>求节点(村县营基础信息!L$8:L$28,$I$33:$I$53,$M24)*节奏总纲!L21+O23</f>
        <v>0</v>
      </c>
      <c r="P24" s="32">
        <f>求节点(村县营基础信息!M$8:M$28,$I$33:$I$53,$M24)*节奏总纲!M21+P23</f>
        <v>0</v>
      </c>
      <c r="Q24" s="32">
        <f>求节点(村县营基础信息!N$8:N$28,$I$33:$I$53,$M24)*节奏总纲!N21+Q23</f>
        <v>0</v>
      </c>
      <c r="R24" s="32">
        <f>求节点(村县营基础信息!O$8:O$28,$I$33:$I$53,$M24)*节奏总纲!O21+R23</f>
        <v>0</v>
      </c>
      <c r="W24" s="29">
        <v>18</v>
      </c>
      <c r="X24" s="34">
        <f>村县营基础信息!$E25</f>
        <v>0</v>
      </c>
      <c r="Y24" s="29">
        <v>0</v>
      </c>
      <c r="AC24" s="29">
        <v>18</v>
      </c>
      <c r="AD24" s="32">
        <f>求节点(村县营基础信息!T$8:T$28,$Y$33:$Y$53,$AC24)*节奏总纲!K21*(1+$B$10)+AD23</f>
        <v>0</v>
      </c>
      <c r="AE24" s="32">
        <f>求节点(村县营基础信息!U$8:U$28,$Y$33:$Y$53,$AC24)*节奏总纲!L21*(1+$B$10)+AE23</f>
        <v>0</v>
      </c>
      <c r="AF24" s="32">
        <f>求节点(村县营基础信息!V$8:V$28,$Y$33:$Y$53,$AC24)*节奏总纲!M21*(1+$B$10)+AF23</f>
        <v>0</v>
      </c>
      <c r="AG24" s="32">
        <f>求节点(村县营基础信息!W$8:W$28,$Y$33:$Y$53,$AC24)*节奏总纲!N21*(1+$B$10)+AG23</f>
        <v>0</v>
      </c>
      <c r="AH24" s="32">
        <f>求节点(村县营基础信息!X$8:X$28,$Y$33:$Y$53,$AC24)*节奏总纲!O21*(1+$B$10)+AH23</f>
        <v>0</v>
      </c>
      <c r="AL24" s="29">
        <v>18</v>
      </c>
      <c r="AM24" s="34">
        <f>村县营基础信息!F25</f>
        <v>4</v>
      </c>
      <c r="AN24" s="33">
        <f t="shared" si="1"/>
        <v>3360</v>
      </c>
      <c r="AR24" s="29">
        <f>AT24/[2]节奏总纲!D21</f>
        <v>0</v>
      </c>
      <c r="AS24" s="29">
        <v>18</v>
      </c>
      <c r="AT24" s="32">
        <f>求节点(村县营基础信息!AC$8:AC$28,$AN$33:$AN$53,$AS24)*节奏总纲!K21+AT23</f>
        <v>0</v>
      </c>
      <c r="AU24" s="32">
        <f>求节点(村县营基础信息!AD$8:AD$28,$AN$33:$AN$53,$AS24)*节奏总纲!L21+AU23</f>
        <v>0</v>
      </c>
      <c r="AV24" s="32">
        <f>求节点(村县营基础信息!AE$8:AE$28,$AN$33:$AN$53,$AS24)*节奏总纲!M21+AV23</f>
        <v>0</v>
      </c>
      <c r="AW24" s="32">
        <f>求节点(村县营基础信息!AF$8:AF$28,$AN$33:$AN$53,$AS24)*节奏总纲!N21+AW23</f>
        <v>0</v>
      </c>
      <c r="AX24" s="32">
        <f>求节点(村县营基础信息!AG$8:AG$28,$AN$33:$AN$53,$AS24)*节奏总纲!O21+AX23</f>
        <v>0</v>
      </c>
      <c r="BA24" s="29">
        <f>(AV24-AV23)/[2]节奏总纲!M21*'[1]功能-付费相关'!BB23</f>
        <v>0</v>
      </c>
      <c r="BE24" s="29">
        <v>18</v>
      </c>
      <c r="BF24" s="32">
        <f>村县营基础信息!$G25</f>
        <v>1</v>
      </c>
      <c r="BG24" s="29">
        <v>0</v>
      </c>
      <c r="BL24" s="29">
        <v>18</v>
      </c>
      <c r="BM24" s="32">
        <f>求节点(村县营基础信息!AL$8:AL$28,$BG$33:$BG$53,$BL24)*节奏总纲!K21+BM23</f>
        <v>0</v>
      </c>
      <c r="BN24" s="32">
        <f>求节点(村县营基础信息!AM$8:AM$28,$BG$33:$BG$53,$BL24)*节奏总纲!L21+BN23</f>
        <v>0</v>
      </c>
      <c r="BO24" s="32">
        <f>求节点(村县营基础信息!AN$8:AN$28,$BG$33:$BG$53,$BL24)*节奏总纲!M21+BO23</f>
        <v>0</v>
      </c>
      <c r="BP24" s="32">
        <f>求节点(村县营基础信息!AO$8:AO$28,$BG$33:$BG$53,$BL24)*节奏总纲!N21+BP23</f>
        <v>0</v>
      </c>
      <c r="BQ24" s="32">
        <f>求节点(村县营基础信息!AP$8:AP$28,$BG$33:$BG$53,$BL24)*节奏总纲!O21+BQ23</f>
        <v>0</v>
      </c>
    </row>
    <row r="25" spans="6:69" x14ac:dyDescent="0.15">
      <c r="F25" s="29">
        <f t="shared" si="0"/>
        <v>1.3333333333333333</v>
      </c>
      <c r="G25" s="29">
        <v>19</v>
      </c>
      <c r="H25" s="32">
        <f>村县营基础信息!$D26</f>
        <v>8</v>
      </c>
      <c r="I25" s="37">
        <v>1920</v>
      </c>
      <c r="J25" s="40"/>
      <c r="M25" s="29">
        <v>19</v>
      </c>
      <c r="N25" s="32">
        <f>求节点(村县营基础信息!K$8:K$28,$I$33:$I$53,$M25)*节奏总纲!K22+N24</f>
        <v>0</v>
      </c>
      <c r="O25" s="32">
        <f>求节点(村县营基础信息!L$8:L$28,$I$33:$I$53,$M25)*节奏总纲!L22+O24</f>
        <v>0</v>
      </c>
      <c r="P25" s="32">
        <f>求节点(村县营基础信息!M$8:M$28,$I$33:$I$53,$M25)*节奏总纲!M22+P24</f>
        <v>0</v>
      </c>
      <c r="Q25" s="32">
        <f>求节点(村县营基础信息!N$8:N$28,$I$33:$I$53,$M25)*节奏总纲!N22+Q24</f>
        <v>0</v>
      </c>
      <c r="R25" s="32">
        <f>求节点(村县营基础信息!O$8:O$28,$I$33:$I$53,$M25)*节奏总纲!O22+R24</f>
        <v>0</v>
      </c>
      <c r="W25" s="29">
        <v>19</v>
      </c>
      <c r="X25" s="34">
        <f>村县营基础信息!$E26</f>
        <v>1</v>
      </c>
      <c r="Y25" s="29">
        <v>0</v>
      </c>
      <c r="AC25" s="29">
        <v>19</v>
      </c>
      <c r="AD25" s="32">
        <f>求节点(村县营基础信息!T$8:T$28,$Y$33:$Y$53,$AC25)*节奏总纲!K22*(1+$B$10)+AD24</f>
        <v>0</v>
      </c>
      <c r="AE25" s="32">
        <f>求节点(村县营基础信息!U$8:U$28,$Y$33:$Y$53,$AC25)*节奏总纲!L22*(1+$B$10)+AE24</f>
        <v>0</v>
      </c>
      <c r="AF25" s="32">
        <f>求节点(村县营基础信息!V$8:V$28,$Y$33:$Y$53,$AC25)*节奏总纲!M22*(1+$B$10)+AF24</f>
        <v>0</v>
      </c>
      <c r="AG25" s="32">
        <f>求节点(村县营基础信息!W$8:W$28,$Y$33:$Y$53,$AC25)*节奏总纲!N22*(1+$B$10)+AG24</f>
        <v>0</v>
      </c>
      <c r="AH25" s="32">
        <f>求节点(村县营基础信息!X$8:X$28,$Y$33:$Y$53,$AC25)*节奏总纲!O22*(1+$B$10)+AH24</f>
        <v>0</v>
      </c>
      <c r="AL25" s="29">
        <v>19</v>
      </c>
      <c r="AM25" s="34">
        <f>村县营基础信息!F26</f>
        <v>4</v>
      </c>
      <c r="AN25" s="33">
        <f t="shared" si="1"/>
        <v>3840</v>
      </c>
      <c r="AR25" s="29">
        <f>AT25/[2]节奏总纲!D22</f>
        <v>0</v>
      </c>
      <c r="AS25" s="29">
        <v>19</v>
      </c>
      <c r="AT25" s="32">
        <f>求节点(村县营基础信息!AC$8:AC$28,$AN$33:$AN$53,$AS25)*节奏总纲!K22+AT24</f>
        <v>0</v>
      </c>
      <c r="AU25" s="32">
        <f>求节点(村县营基础信息!AD$8:AD$28,$AN$33:$AN$53,$AS25)*节奏总纲!L22+AU24</f>
        <v>0</v>
      </c>
      <c r="AV25" s="32">
        <f>求节点(村县营基础信息!AE$8:AE$28,$AN$33:$AN$53,$AS25)*节奏总纲!M22+AV24</f>
        <v>0</v>
      </c>
      <c r="AW25" s="32">
        <f>求节点(村县营基础信息!AF$8:AF$28,$AN$33:$AN$53,$AS25)*节奏总纲!N22+AW24</f>
        <v>0</v>
      </c>
      <c r="AX25" s="32">
        <f>求节点(村县营基础信息!AG$8:AG$28,$AN$33:$AN$53,$AS25)*节奏总纲!O22+AX24</f>
        <v>0</v>
      </c>
      <c r="BA25" s="29">
        <f>(AV25-AV24)/[2]节奏总纲!M22*'[1]功能-付费相关'!BB24</f>
        <v>0</v>
      </c>
      <c r="BE25" s="29">
        <v>19</v>
      </c>
      <c r="BF25" s="32">
        <f>村县营基础信息!$G26</f>
        <v>0</v>
      </c>
      <c r="BG25" s="29">
        <v>0</v>
      </c>
      <c r="BL25" s="29">
        <v>19</v>
      </c>
      <c r="BM25" s="32">
        <f>求节点(村县营基础信息!AL$8:AL$28,$BG$33:$BG$53,$BL25)*节奏总纲!K22+BM24</f>
        <v>0</v>
      </c>
      <c r="BN25" s="32">
        <f>求节点(村县营基础信息!AM$8:AM$28,$BG$33:$BG$53,$BL25)*节奏总纲!L22+BN24</f>
        <v>0</v>
      </c>
      <c r="BO25" s="32">
        <f>求节点(村县营基础信息!AN$8:AN$28,$BG$33:$BG$53,$BL25)*节奏总纲!M22+BO24</f>
        <v>0</v>
      </c>
      <c r="BP25" s="32">
        <f>求节点(村县营基础信息!AO$8:AO$28,$BG$33:$BG$53,$BL25)*节奏总纲!N22+BP24</f>
        <v>0</v>
      </c>
      <c r="BQ25" s="32">
        <f>求节点(村县营基础信息!AP$8:AP$28,$BG$33:$BG$53,$BL25)*节奏总纲!O22+BQ24</f>
        <v>0</v>
      </c>
    </row>
    <row r="26" spans="6:69" x14ac:dyDescent="0.15">
      <c r="F26" s="29">
        <f t="shared" si="0"/>
        <v>1.5</v>
      </c>
      <c r="G26" s="29">
        <v>20</v>
      </c>
      <c r="H26" s="32">
        <f>村县营基础信息!$D27</f>
        <v>8</v>
      </c>
      <c r="I26" s="37">
        <v>2160</v>
      </c>
      <c r="J26" s="40"/>
      <c r="M26" s="29">
        <v>20</v>
      </c>
      <c r="N26" s="32">
        <f>求节点(村县营基础信息!K$8:K$28,$I$33:$I$53,$M26)*节奏总纲!K23+N25</f>
        <v>0</v>
      </c>
      <c r="O26" s="32">
        <f>求节点(村县营基础信息!L$8:L$28,$I$33:$I$53,$M26)*节奏总纲!L23+O25</f>
        <v>0</v>
      </c>
      <c r="P26" s="32">
        <f>求节点(村县营基础信息!M$8:M$28,$I$33:$I$53,$M26)*节奏总纲!M23+P25</f>
        <v>0</v>
      </c>
      <c r="Q26" s="32">
        <f>求节点(村县营基础信息!N$8:N$28,$I$33:$I$53,$M26)*节奏总纲!N23+Q25</f>
        <v>0</v>
      </c>
      <c r="R26" s="32">
        <f>求节点(村县营基础信息!O$8:O$28,$I$33:$I$53,$M26)*节奏总纲!O23+R25</f>
        <v>0</v>
      </c>
      <c r="W26" s="29">
        <v>20</v>
      </c>
      <c r="X26" s="34">
        <f>村县营基础信息!$E27</f>
        <v>0</v>
      </c>
      <c r="Y26" s="29">
        <v>0</v>
      </c>
      <c r="AC26" s="29">
        <v>20</v>
      </c>
      <c r="AD26" s="32">
        <f>求节点(村县营基础信息!T$8:T$28,$Y$33:$Y$53,$AC26)*节奏总纲!K23*(1+$B$10)+AD25</f>
        <v>0</v>
      </c>
      <c r="AE26" s="32">
        <f>求节点(村县营基础信息!U$8:U$28,$Y$33:$Y$53,$AC26)*节奏总纲!L23*(1+$B$10)+AE25</f>
        <v>0</v>
      </c>
      <c r="AF26" s="32">
        <f>求节点(村县营基础信息!V$8:V$28,$Y$33:$Y$53,$AC26)*节奏总纲!M23*(1+$B$10)+AF25</f>
        <v>0</v>
      </c>
      <c r="AG26" s="32">
        <f>求节点(村县营基础信息!W$8:W$28,$Y$33:$Y$53,$AC26)*节奏总纲!N23*(1+$B$10)+AG25</f>
        <v>0</v>
      </c>
      <c r="AH26" s="32">
        <f>求节点(村县营基础信息!X$8:X$28,$Y$33:$Y$53,$AC26)*节奏总纲!O23*(1+$B$10)+AH25</f>
        <v>0</v>
      </c>
      <c r="AL26" s="29">
        <v>20</v>
      </c>
      <c r="AM26" s="34">
        <f>村县营基础信息!F27</f>
        <v>4</v>
      </c>
      <c r="AN26" s="33">
        <f t="shared" si="1"/>
        <v>4320</v>
      </c>
      <c r="AR26" s="29">
        <f>AT26/[2]节奏总纲!D23</f>
        <v>0</v>
      </c>
      <c r="AS26" s="29">
        <v>20</v>
      </c>
      <c r="AT26" s="32">
        <f>求节点(村县营基础信息!AC$8:AC$28,$AN$33:$AN$53,$AS26)*节奏总纲!K23+AT25</f>
        <v>0</v>
      </c>
      <c r="AU26" s="32">
        <f>求节点(村县营基础信息!AD$8:AD$28,$AN$33:$AN$53,$AS26)*节奏总纲!L23+AU25</f>
        <v>0</v>
      </c>
      <c r="AV26" s="32">
        <f>求节点(村县营基础信息!AE$8:AE$28,$AN$33:$AN$53,$AS26)*节奏总纲!M23+AV25</f>
        <v>0</v>
      </c>
      <c r="AW26" s="32">
        <f>求节点(村县营基础信息!AF$8:AF$28,$AN$33:$AN$53,$AS26)*节奏总纲!N23+AW25</f>
        <v>0</v>
      </c>
      <c r="AX26" s="32">
        <f>求节点(村县营基础信息!AG$8:AG$28,$AN$33:$AN$53,$AS26)*节奏总纲!O23+AX25</f>
        <v>0</v>
      </c>
      <c r="BA26" s="29">
        <f>(AV26-AV25)/[2]节奏总纲!M23*'[1]功能-付费相关'!BB25</f>
        <v>0</v>
      </c>
      <c r="BE26" s="29">
        <v>20</v>
      </c>
      <c r="BF26" s="32">
        <f>村县营基础信息!$G27</f>
        <v>1</v>
      </c>
      <c r="BG26" s="29">
        <v>0</v>
      </c>
      <c r="BL26" s="29">
        <v>20</v>
      </c>
      <c r="BM26" s="32">
        <f>求节点(村县营基础信息!AL$8:AL$28,$BG$33:$BG$53,$BL26)*节奏总纲!K23+BM25</f>
        <v>0</v>
      </c>
      <c r="BN26" s="32">
        <f>求节点(村县营基础信息!AM$8:AM$28,$BG$33:$BG$53,$BL26)*节奏总纲!L23+BN25</f>
        <v>0</v>
      </c>
      <c r="BO26" s="32">
        <f>求节点(村县营基础信息!AN$8:AN$28,$BG$33:$BG$53,$BL26)*节奏总纲!M23+BO25</f>
        <v>0</v>
      </c>
      <c r="BP26" s="32">
        <f>求节点(村县营基础信息!AO$8:AO$28,$BG$33:$BG$53,$BL26)*节奏总纲!N23+BP25</f>
        <v>0</v>
      </c>
      <c r="BQ26" s="32">
        <f>求节点(村县营基础信息!AP$8:AP$28,$BG$33:$BG$53,$BL26)*节奏总纲!O23+BQ25</f>
        <v>0</v>
      </c>
    </row>
    <row r="27" spans="6:69" x14ac:dyDescent="0.15">
      <c r="F27" s="29">
        <f t="shared" si="0"/>
        <v>1.6666666666666667</v>
      </c>
      <c r="G27" s="29">
        <v>21</v>
      </c>
      <c r="H27" s="32">
        <f>村县营基础信息!$D28</f>
        <v>8</v>
      </c>
      <c r="I27" s="37">
        <v>2400</v>
      </c>
      <c r="J27" s="40"/>
      <c r="M27" s="29">
        <v>21</v>
      </c>
      <c r="N27" s="32">
        <f>求节点(村县营基础信息!K$8:K$28,$I$33:$I$53,$M27)*节奏总纲!K24+N26</f>
        <v>0</v>
      </c>
      <c r="O27" s="32">
        <f>求节点(村县营基础信息!L$8:L$28,$I$33:$I$53,$M27)*节奏总纲!L24+O26</f>
        <v>0</v>
      </c>
      <c r="P27" s="32">
        <f>求节点(村县营基础信息!M$8:M$28,$I$33:$I$53,$M27)*节奏总纲!M24+P26</f>
        <v>0</v>
      </c>
      <c r="Q27" s="32">
        <f>求节点(村县营基础信息!N$8:N$28,$I$33:$I$53,$M27)*节奏总纲!N24+Q26</f>
        <v>0</v>
      </c>
      <c r="R27" s="32">
        <f>求节点(村县营基础信息!O$8:O$28,$I$33:$I$53,$M27)*节奏总纲!O24+R26</f>
        <v>0</v>
      </c>
      <c r="W27" s="29">
        <v>21</v>
      </c>
      <c r="X27" s="34">
        <f>村县营基础信息!$E28</f>
        <v>1</v>
      </c>
      <c r="Y27" s="29">
        <v>0</v>
      </c>
      <c r="AC27" s="29">
        <v>21</v>
      </c>
      <c r="AD27" s="32">
        <f>求节点(村县营基础信息!T$8:T$28,$Y$33:$Y$53,$AC27)*节奏总纲!K24*(1+$B$10)+AD26</f>
        <v>0</v>
      </c>
      <c r="AE27" s="32">
        <f>求节点(村县营基础信息!U$8:U$28,$Y$33:$Y$53,$AC27)*节奏总纲!L24*(1+$B$10)+AE26</f>
        <v>0</v>
      </c>
      <c r="AF27" s="32">
        <f>求节点(村县营基础信息!V$8:V$28,$Y$33:$Y$53,$AC27)*节奏总纲!M24*(1+$B$10)+AF26</f>
        <v>0</v>
      </c>
      <c r="AG27" s="32">
        <f>求节点(村县营基础信息!W$8:W$28,$Y$33:$Y$53,$AC27)*节奏总纲!N24*(1+$B$10)+AG26</f>
        <v>0</v>
      </c>
      <c r="AH27" s="32">
        <f>求节点(村县营基础信息!X$8:X$28,$Y$33:$Y$53,$AC27)*节奏总纲!O24*(1+$B$10)+AH26</f>
        <v>0</v>
      </c>
      <c r="AL27" s="29">
        <v>21</v>
      </c>
      <c r="AM27" s="34">
        <f>村县营基础信息!F28</f>
        <v>4</v>
      </c>
      <c r="AN27" s="33">
        <f t="shared" si="1"/>
        <v>4800</v>
      </c>
      <c r="AR27" s="29">
        <f>AT27/[2]节奏总纲!D24</f>
        <v>0</v>
      </c>
      <c r="AS27" s="29">
        <v>21</v>
      </c>
      <c r="AT27" s="32">
        <f>求节点(村县营基础信息!AC$8:AC$28,$AN$33:$AN$53,$AS27)*节奏总纲!K24+AT26</f>
        <v>0</v>
      </c>
      <c r="AU27" s="32">
        <f>求节点(村县营基础信息!AD$8:AD$28,$AN$33:$AN$53,$AS27)*节奏总纲!L24+AU26</f>
        <v>0</v>
      </c>
      <c r="AV27" s="32">
        <f>求节点(村县营基础信息!AE$8:AE$28,$AN$33:$AN$53,$AS27)*节奏总纲!M24+AV26</f>
        <v>0</v>
      </c>
      <c r="AW27" s="32">
        <f>求节点(村县营基础信息!AF$8:AF$28,$AN$33:$AN$53,$AS27)*节奏总纲!N24+AW26</f>
        <v>0</v>
      </c>
      <c r="AX27" s="32">
        <f>求节点(村县营基础信息!AG$8:AG$28,$AN$33:$AN$53,$AS27)*节奏总纲!O24+AX26</f>
        <v>0</v>
      </c>
      <c r="BA27" s="29">
        <f>(AV27-AV26)/[2]节奏总纲!M24*'[1]功能-付费相关'!BB26</f>
        <v>0</v>
      </c>
      <c r="BE27" s="29">
        <v>21</v>
      </c>
      <c r="BF27" s="32">
        <f>村县营基础信息!$G28</f>
        <v>0</v>
      </c>
      <c r="BG27" s="29">
        <v>0</v>
      </c>
      <c r="BL27" s="29">
        <v>21</v>
      </c>
      <c r="BM27" s="32">
        <f>求节点(村县营基础信息!AL$8:AL$28,$BG$33:$BG$53,$BL27)*节奏总纲!K24+BM26</f>
        <v>0</v>
      </c>
      <c r="BN27" s="32">
        <f>求节点(村县营基础信息!AM$8:AM$28,$BG$33:$BG$53,$BL27)*节奏总纲!L24+BN26</f>
        <v>0</v>
      </c>
      <c r="BO27" s="32">
        <f>求节点(村县营基础信息!AN$8:AN$28,$BG$33:$BG$53,$BL27)*节奏总纲!M24+BO26</f>
        <v>0</v>
      </c>
      <c r="BP27" s="32">
        <f>求节点(村县营基础信息!AO$8:AO$28,$BG$33:$BG$53,$BL27)*节奏总纲!N24+BP26</f>
        <v>0</v>
      </c>
      <c r="BQ27" s="32">
        <f>求节点(村县营基础信息!AP$8:AP$28,$BG$33:$BG$53,$BL27)*节奏总纲!O24+BQ26</f>
        <v>0</v>
      </c>
    </row>
    <row r="28" spans="6:69" x14ac:dyDescent="0.15">
      <c r="M28" s="29">
        <v>22</v>
      </c>
      <c r="N28" s="32">
        <f>求节点(村县营基础信息!K$8:K$28,$I$33:$I$53,$M28)*节奏总纲!K25+N27</f>
        <v>0</v>
      </c>
      <c r="O28" s="32">
        <f>求节点(村县营基础信息!L$8:L$28,$I$33:$I$53,$M28)*节奏总纲!L25+O27</f>
        <v>0</v>
      </c>
      <c r="P28" s="32">
        <f>求节点(村县营基础信息!M$8:M$28,$I$33:$I$53,$M28)*节奏总纲!M25+P27</f>
        <v>0</v>
      </c>
      <c r="Q28" s="32">
        <f>求节点(村县营基础信息!N$8:N$28,$I$33:$I$53,$M28)*节奏总纲!N25+Q27</f>
        <v>0</v>
      </c>
      <c r="R28" s="32">
        <f>求节点(村县营基础信息!O$8:O$28,$I$33:$I$53,$M28)*节奏总纲!O25+R27</f>
        <v>0</v>
      </c>
      <c r="AC28" s="29">
        <v>22</v>
      </c>
      <c r="AD28" s="32">
        <f>求节点(村县营基础信息!T$8:T$28,$Y$33:$Y$53,$AC28)*节奏总纲!K25*(1+$B$10)+AD27</f>
        <v>0</v>
      </c>
      <c r="AE28" s="32">
        <f>求节点(村县营基础信息!U$8:U$28,$Y$33:$Y$53,$AC28)*节奏总纲!L25*(1+$B$10)+AE27</f>
        <v>0</v>
      </c>
      <c r="AF28" s="32">
        <f>求节点(村县营基础信息!V$8:V$28,$Y$33:$Y$53,$AC28)*节奏总纲!M25*(1+$B$10)+AF27</f>
        <v>0</v>
      </c>
      <c r="AG28" s="32">
        <f>求节点(村县营基础信息!W$8:W$28,$Y$33:$Y$53,$AC28)*节奏总纲!N25*(1+$B$10)+AG27</f>
        <v>0</v>
      </c>
      <c r="AH28" s="32">
        <f>求节点(村县营基础信息!X$8:X$28,$Y$33:$Y$53,$AC28)*节奏总纲!O25*(1+$B$10)+AH27</f>
        <v>0</v>
      </c>
      <c r="AR28" s="29">
        <f>AT28/[2]节奏总纲!D25</f>
        <v>0</v>
      </c>
      <c r="AS28" s="29">
        <v>22</v>
      </c>
      <c r="AT28" s="32">
        <f>求节点(村县营基础信息!AC$8:AC$28,$AN$33:$AN$53,$AS28)*节奏总纲!K25+AT27</f>
        <v>0</v>
      </c>
      <c r="AU28" s="32">
        <f>求节点(村县营基础信息!AD$8:AD$28,$AN$33:$AN$53,$AS28)*节奏总纲!L25+AU27</f>
        <v>0</v>
      </c>
      <c r="AV28" s="32">
        <f>求节点(村县营基础信息!AE$8:AE$28,$AN$33:$AN$53,$AS28)*节奏总纲!M25+AV27</f>
        <v>0</v>
      </c>
      <c r="AW28" s="32">
        <f>求节点(村县营基础信息!AF$8:AF$28,$AN$33:$AN$53,$AS28)*节奏总纲!N25+AW27</f>
        <v>0</v>
      </c>
      <c r="AX28" s="32">
        <f>求节点(村县营基础信息!AG$8:AG$28,$AN$33:$AN$53,$AS28)*节奏总纲!O25+AX27</f>
        <v>0</v>
      </c>
      <c r="BA28" s="29">
        <f>(AV28-AV27)/[2]节奏总纲!M25*'[1]功能-付费相关'!BB27</f>
        <v>0</v>
      </c>
      <c r="BL28" s="29">
        <v>22</v>
      </c>
      <c r="BM28" s="32">
        <f>求节点(村县营基础信息!AL$8:AL$28,$BG$33:$BG$53,$BL28)*节奏总纲!K25+BM27</f>
        <v>0</v>
      </c>
      <c r="BN28" s="32">
        <f>求节点(村县营基础信息!AM$8:AM$28,$BG$33:$BG$53,$BL28)*节奏总纲!L25+BN27</f>
        <v>0</v>
      </c>
      <c r="BO28" s="32">
        <f>求节点(村县营基础信息!AN$8:AN$28,$BG$33:$BG$53,$BL28)*节奏总纲!M25+BO27</f>
        <v>0</v>
      </c>
      <c r="BP28" s="32">
        <f>求节点(村县营基础信息!AO$8:AO$28,$BG$33:$BG$53,$BL28)*节奏总纲!N25+BP27</f>
        <v>0</v>
      </c>
      <c r="BQ28" s="32">
        <f>求节点(村县营基础信息!AP$8:AP$28,$BG$33:$BG$53,$BL28)*节奏总纲!O25+BQ27</f>
        <v>0</v>
      </c>
    </row>
    <row r="29" spans="6:69" x14ac:dyDescent="0.15">
      <c r="M29" s="29">
        <v>23</v>
      </c>
      <c r="N29" s="32">
        <f>求节点(村县营基础信息!K$8:K$28,$I$33:$I$53,$M29)*节奏总纲!K26+N28</f>
        <v>0</v>
      </c>
      <c r="O29" s="32">
        <f>求节点(村县营基础信息!L$8:L$28,$I$33:$I$53,$M29)*节奏总纲!L26+O28</f>
        <v>0</v>
      </c>
      <c r="P29" s="32">
        <f>求节点(村县营基础信息!M$8:M$28,$I$33:$I$53,$M29)*节奏总纲!M26+P28</f>
        <v>0</v>
      </c>
      <c r="Q29" s="32">
        <f>求节点(村县营基础信息!N$8:N$28,$I$33:$I$53,$M29)*节奏总纲!N26+Q28</f>
        <v>0</v>
      </c>
      <c r="R29" s="32">
        <f>求节点(村县营基础信息!O$8:O$28,$I$33:$I$53,$M29)*节奏总纲!O26+R28</f>
        <v>0</v>
      </c>
      <c r="AC29" s="29">
        <v>23</v>
      </c>
      <c r="AD29" s="32">
        <f>求节点(村县营基础信息!T$8:T$28,$Y$33:$Y$53,$AC29)*节奏总纲!K26*(1+$B$10)+AD28</f>
        <v>0</v>
      </c>
      <c r="AE29" s="32">
        <f>求节点(村县营基础信息!U$8:U$28,$Y$33:$Y$53,$AC29)*节奏总纲!L26*(1+$B$10)+AE28</f>
        <v>0</v>
      </c>
      <c r="AF29" s="32">
        <f>求节点(村县营基础信息!V$8:V$28,$Y$33:$Y$53,$AC29)*节奏总纲!M26*(1+$B$10)+AF28</f>
        <v>0</v>
      </c>
      <c r="AG29" s="32">
        <f>求节点(村县营基础信息!W$8:W$28,$Y$33:$Y$53,$AC29)*节奏总纲!N26*(1+$B$10)+AG28</f>
        <v>0</v>
      </c>
      <c r="AH29" s="32">
        <f>求节点(村县营基础信息!X$8:X$28,$Y$33:$Y$53,$AC29)*节奏总纲!O26*(1+$B$10)+AH28</f>
        <v>0</v>
      </c>
      <c r="AR29" s="29">
        <f>AT29/[2]节奏总纲!D26</f>
        <v>0</v>
      </c>
      <c r="AS29" s="29">
        <v>23</v>
      </c>
      <c r="AT29" s="32">
        <f>求节点(村县营基础信息!AC$8:AC$28,$AN$33:$AN$53,$AS29)*节奏总纲!K26+AT28</f>
        <v>0</v>
      </c>
      <c r="AU29" s="32">
        <f>求节点(村县营基础信息!AD$8:AD$28,$AN$33:$AN$53,$AS29)*节奏总纲!L26+AU28</f>
        <v>0</v>
      </c>
      <c r="AV29" s="32">
        <f>求节点(村县营基础信息!AE$8:AE$28,$AN$33:$AN$53,$AS29)*节奏总纲!M26+AV28</f>
        <v>0</v>
      </c>
      <c r="AW29" s="32">
        <f>求节点(村县营基础信息!AF$8:AF$28,$AN$33:$AN$53,$AS29)*节奏总纲!N26+AW28</f>
        <v>0</v>
      </c>
      <c r="AX29" s="32">
        <f>求节点(村县营基础信息!AG$8:AG$28,$AN$33:$AN$53,$AS29)*节奏总纲!O26+AX28</f>
        <v>0</v>
      </c>
      <c r="BA29" s="29">
        <f>(AV29-AV28)/[2]节奏总纲!M26*'[1]功能-付费相关'!BB28</f>
        <v>0</v>
      </c>
      <c r="BL29" s="29">
        <v>23</v>
      </c>
      <c r="BM29" s="32">
        <f>求节点(村县营基础信息!AL$8:AL$28,$BG$33:$BG$53,$BL29)*节奏总纲!K26+BM28</f>
        <v>0</v>
      </c>
      <c r="BN29" s="32">
        <f>求节点(村县营基础信息!AM$8:AM$28,$BG$33:$BG$53,$BL29)*节奏总纲!L26+BN28</f>
        <v>0</v>
      </c>
      <c r="BO29" s="32">
        <f>求节点(村县营基础信息!AN$8:AN$28,$BG$33:$BG$53,$BL29)*节奏总纲!M26+BO28</f>
        <v>0</v>
      </c>
      <c r="BP29" s="32">
        <f>求节点(村县营基础信息!AO$8:AO$28,$BG$33:$BG$53,$BL29)*节奏总纲!N26+BP28</f>
        <v>0</v>
      </c>
      <c r="BQ29" s="32">
        <f>求节点(村县营基础信息!AP$8:AP$28,$BG$33:$BG$53,$BL29)*节奏总纲!O26+BQ28</f>
        <v>0</v>
      </c>
    </row>
    <row r="30" spans="6:69" x14ac:dyDescent="0.15">
      <c r="M30" s="29">
        <v>24</v>
      </c>
      <c r="N30" s="32">
        <f>求节点(村县营基础信息!K$8:K$28,$I$33:$I$53,$M30)*节奏总纲!K27+N29</f>
        <v>0</v>
      </c>
      <c r="O30" s="32">
        <f>求节点(村县营基础信息!L$8:L$28,$I$33:$I$53,$M30)*节奏总纲!L27+O29</f>
        <v>0</v>
      </c>
      <c r="P30" s="32">
        <f>求节点(村县营基础信息!M$8:M$28,$I$33:$I$53,$M30)*节奏总纲!M27+P29</f>
        <v>0</v>
      </c>
      <c r="Q30" s="32">
        <f>求节点(村县营基础信息!N$8:N$28,$I$33:$I$53,$M30)*节奏总纲!N27+Q29</f>
        <v>0</v>
      </c>
      <c r="R30" s="32">
        <f>求节点(村县营基础信息!O$8:O$28,$I$33:$I$53,$M30)*节奏总纲!O27+R29</f>
        <v>0</v>
      </c>
      <c r="AC30" s="29">
        <v>24</v>
      </c>
      <c r="AD30" s="32">
        <f>求节点(村县营基础信息!T$8:T$28,$Y$33:$Y$53,$AC30)*节奏总纲!K27*(1+$B$10)+AD29</f>
        <v>0</v>
      </c>
      <c r="AE30" s="32">
        <f>求节点(村县营基础信息!U$8:U$28,$Y$33:$Y$53,$AC30)*节奏总纲!L27*(1+$B$10)+AE29</f>
        <v>0</v>
      </c>
      <c r="AF30" s="32">
        <f>求节点(村县营基础信息!V$8:V$28,$Y$33:$Y$53,$AC30)*节奏总纲!M27*(1+$B$10)+AF29</f>
        <v>0</v>
      </c>
      <c r="AG30" s="32">
        <f>求节点(村县营基础信息!W$8:W$28,$Y$33:$Y$53,$AC30)*节奏总纲!N27*(1+$B$10)+AG29</f>
        <v>0</v>
      </c>
      <c r="AH30" s="32">
        <f>求节点(村县营基础信息!X$8:X$28,$Y$33:$Y$53,$AC30)*节奏总纲!O27*(1+$B$10)+AH29</f>
        <v>0</v>
      </c>
      <c r="AR30" s="29">
        <f>AT30/[2]节奏总纲!D27</f>
        <v>0</v>
      </c>
      <c r="AS30" s="29">
        <v>24</v>
      </c>
      <c r="AT30" s="32">
        <f>求节点(村县营基础信息!AC$8:AC$28,$AN$33:$AN$53,$AS30)*节奏总纲!K27+AT29</f>
        <v>0</v>
      </c>
      <c r="AU30" s="32">
        <f>求节点(村县营基础信息!AD$8:AD$28,$AN$33:$AN$53,$AS30)*节奏总纲!L27+AU29</f>
        <v>0</v>
      </c>
      <c r="AV30" s="32">
        <f>求节点(村县营基础信息!AE$8:AE$28,$AN$33:$AN$53,$AS30)*节奏总纲!M27+AV29</f>
        <v>0</v>
      </c>
      <c r="AW30" s="32">
        <f>求节点(村县营基础信息!AF$8:AF$28,$AN$33:$AN$53,$AS30)*节奏总纲!N27+AW29</f>
        <v>0</v>
      </c>
      <c r="AX30" s="32">
        <f>求节点(村县营基础信息!AG$8:AG$28,$AN$33:$AN$53,$AS30)*节奏总纲!O27+AX29</f>
        <v>0</v>
      </c>
      <c r="BA30" s="29">
        <f>(AV30-AV29)/[2]节奏总纲!M27*'[1]功能-付费相关'!BB29</f>
        <v>0</v>
      </c>
      <c r="BL30" s="29">
        <v>24</v>
      </c>
      <c r="BM30" s="32">
        <f>求节点(村县营基础信息!AL$8:AL$28,$BG$33:$BG$53,$BL30)*节奏总纲!K27+BM29</f>
        <v>0</v>
      </c>
      <c r="BN30" s="32">
        <f>求节点(村县营基础信息!AM$8:AM$28,$BG$33:$BG$53,$BL30)*节奏总纲!L27+BN29</f>
        <v>0</v>
      </c>
      <c r="BO30" s="32">
        <f>求节点(村县营基础信息!AN$8:AN$28,$BG$33:$BG$53,$BL30)*节奏总纲!M27+BO29</f>
        <v>0</v>
      </c>
      <c r="BP30" s="32">
        <f>求节点(村县营基础信息!AO$8:AO$28,$BG$33:$BG$53,$BL30)*节奏总纲!N27+BP29</f>
        <v>0</v>
      </c>
      <c r="BQ30" s="32">
        <f>求节点(村县营基础信息!AP$8:AP$28,$BG$33:$BG$53,$BL30)*节奏总纲!O27+BQ29</f>
        <v>0</v>
      </c>
    </row>
    <row r="31" spans="6:69" x14ac:dyDescent="0.15">
      <c r="I31" s="17" t="s">
        <v>85</v>
      </c>
      <c r="M31" s="29">
        <v>25</v>
      </c>
      <c r="N31" s="32">
        <f>求节点(村县营基础信息!K$8:K$28,$I$33:$I$53,$M31)*节奏总纲!K28+N30</f>
        <v>0</v>
      </c>
      <c r="O31" s="32">
        <f>求节点(村县营基础信息!L$8:L$28,$I$33:$I$53,$M31)*节奏总纲!L28+O30</f>
        <v>0</v>
      </c>
      <c r="P31" s="32">
        <f>求节点(村县营基础信息!M$8:M$28,$I$33:$I$53,$M31)*节奏总纲!M28+P30</f>
        <v>0</v>
      </c>
      <c r="Q31" s="32">
        <f>求节点(村县营基础信息!N$8:N$28,$I$33:$I$53,$M31)*节奏总纲!N28+Q30</f>
        <v>0</v>
      </c>
      <c r="R31" s="32">
        <f>求节点(村县营基础信息!O$8:O$28,$I$33:$I$53,$M31)*节奏总纲!O28+R30</f>
        <v>0</v>
      </c>
      <c r="Y31" s="17" t="s">
        <v>85</v>
      </c>
      <c r="AC31" s="29">
        <v>25</v>
      </c>
      <c r="AD31" s="32">
        <f>求节点(村县营基础信息!T$8:T$28,$Y$33:$Y$53,$AC31)*节奏总纲!K28*(1+$B$10)+AD30</f>
        <v>0</v>
      </c>
      <c r="AE31" s="32">
        <f>求节点(村县营基础信息!U$8:U$28,$Y$33:$Y$53,$AC31)*节奏总纲!L28*(1+$B$10)+AE30</f>
        <v>0</v>
      </c>
      <c r="AF31" s="32">
        <f>求节点(村县营基础信息!V$8:V$28,$Y$33:$Y$53,$AC31)*节奏总纲!M28*(1+$B$10)+AF30</f>
        <v>0</v>
      </c>
      <c r="AG31" s="32">
        <f>求节点(村县营基础信息!W$8:W$28,$Y$33:$Y$53,$AC31)*节奏总纲!N28*(1+$B$10)+AG30</f>
        <v>0</v>
      </c>
      <c r="AH31" s="32">
        <f>求节点(村县营基础信息!X$8:X$28,$Y$33:$Y$53,$AC31)*节奏总纲!O28*(1+$B$10)+AH30</f>
        <v>0</v>
      </c>
      <c r="AR31" s="29">
        <f>AT31/[2]节奏总纲!D28</f>
        <v>0</v>
      </c>
      <c r="AS31" s="29">
        <v>25</v>
      </c>
      <c r="AT31" s="32">
        <f>求节点(村县营基础信息!AC$8:AC$28,$AN$33:$AN$53,$AS31)*节奏总纲!K28+AT30</f>
        <v>0</v>
      </c>
      <c r="AU31" s="32">
        <f>求节点(村县营基础信息!AD$8:AD$28,$AN$33:$AN$53,$AS31)*节奏总纲!L28+AU30</f>
        <v>0</v>
      </c>
      <c r="AV31" s="32">
        <f>求节点(村县营基础信息!AE$8:AE$28,$AN$33:$AN$53,$AS31)*节奏总纲!M28+AV30</f>
        <v>0</v>
      </c>
      <c r="AW31" s="32">
        <f>求节点(村县营基础信息!AF$8:AF$28,$AN$33:$AN$53,$AS31)*节奏总纲!N28+AW30</f>
        <v>0</v>
      </c>
      <c r="AX31" s="32">
        <f>求节点(村县营基础信息!AG$8:AG$28,$AN$33:$AN$53,$AS31)*节奏总纲!O28+AX30</f>
        <v>0</v>
      </c>
      <c r="BA31" s="29">
        <f>(AV31-AV30)/[2]节奏总纲!M28*'[1]功能-付费相关'!BB30</f>
        <v>0</v>
      </c>
      <c r="BF31" s="29" t="s">
        <v>83</v>
      </c>
      <c r="BG31" s="17" t="s">
        <v>85</v>
      </c>
      <c r="BL31" s="29">
        <v>25</v>
      </c>
      <c r="BM31" s="32">
        <f>求节点(村县营基础信息!AL$8:AL$28,$BG$33:$BG$53,$BL31)*节奏总纲!K28+BM30</f>
        <v>0</v>
      </c>
      <c r="BN31" s="32">
        <f>求节点(村县营基础信息!AM$8:AM$28,$BG$33:$BG$53,$BL31)*节奏总纲!L28+BN30</f>
        <v>0</v>
      </c>
      <c r="BO31" s="32">
        <f>求节点(村县营基础信息!AN$8:AN$28,$BG$33:$BG$53,$BL31)*节奏总纲!M28+BO30</f>
        <v>0</v>
      </c>
      <c r="BP31" s="32">
        <f>求节点(村县营基础信息!AO$8:AO$28,$BG$33:$BG$53,$BL31)*节奏总纲!N28+BP30</f>
        <v>0</v>
      </c>
      <c r="BQ31" s="32">
        <f>求节点(村县营基础信息!AP$8:AP$28,$BG$33:$BG$53,$BL31)*节奏总纲!O28+BQ30</f>
        <v>0</v>
      </c>
    </row>
    <row r="32" spans="6:69" x14ac:dyDescent="0.15">
      <c r="G32" s="29" t="s">
        <v>79</v>
      </c>
      <c r="H32" s="29" t="s">
        <v>83</v>
      </c>
      <c r="I32" s="29" t="s">
        <v>101</v>
      </c>
      <c r="M32" s="29">
        <v>26</v>
      </c>
      <c r="N32" s="32">
        <f>求节点(村县营基础信息!K$8:K$28,$I$33:$I$53,$M32)*节奏总纲!K29+N31</f>
        <v>0</v>
      </c>
      <c r="O32" s="32">
        <f>求节点(村县营基础信息!L$8:L$28,$I$33:$I$53,$M32)*节奏总纲!L29+O31</f>
        <v>0</v>
      </c>
      <c r="P32" s="32">
        <f>求节点(村县营基础信息!M$8:M$28,$I$33:$I$53,$M32)*节奏总纲!M29+P31</f>
        <v>0</v>
      </c>
      <c r="Q32" s="32">
        <f>求节点(村县营基础信息!N$8:N$28,$I$33:$I$53,$M32)*节奏总纲!N29+Q31</f>
        <v>0</v>
      </c>
      <c r="R32" s="32">
        <f>求节点(村县营基础信息!O$8:O$28,$I$33:$I$53,$M32)*节奏总纲!O29+R31</f>
        <v>0</v>
      </c>
      <c r="W32" s="29" t="s">
        <v>80</v>
      </c>
      <c r="X32" s="29" t="s">
        <v>83</v>
      </c>
      <c r="Y32" s="29" t="s">
        <v>101</v>
      </c>
      <c r="AC32" s="29">
        <v>26</v>
      </c>
      <c r="AD32" s="32">
        <f>求节点(村县营基础信息!T$8:T$28,$Y$33:$Y$53,$AC32)*节奏总纲!K29*(1+$B$10)+AD31</f>
        <v>0</v>
      </c>
      <c r="AE32" s="32">
        <f>求节点(村县营基础信息!U$8:U$28,$Y$33:$Y$53,$AC32)*节奏总纲!L29*(1+$B$10)+AE31</f>
        <v>0</v>
      </c>
      <c r="AF32" s="32">
        <f>求节点(村县营基础信息!V$8:V$28,$Y$33:$Y$53,$AC32)*节奏总纲!M29*(1+$B$10)+AF31</f>
        <v>0</v>
      </c>
      <c r="AG32" s="32">
        <f>求节点(村县营基础信息!W$8:W$28,$Y$33:$Y$53,$AC32)*节奏总纲!N29*(1+$B$10)+AG31</f>
        <v>0</v>
      </c>
      <c r="AH32" s="32">
        <f>求节点(村县营基础信息!X$8:X$28,$Y$33:$Y$53,$AC32)*节奏总纲!O29*(1+$B$10)+AH31</f>
        <v>0</v>
      </c>
      <c r="AL32" s="29" t="s">
        <v>94</v>
      </c>
      <c r="AM32" s="29" t="s">
        <v>73</v>
      </c>
      <c r="AN32" s="29" t="s">
        <v>101</v>
      </c>
      <c r="AR32" s="29">
        <f>AT32/[2]节奏总纲!D29</f>
        <v>0</v>
      </c>
      <c r="AS32" s="29">
        <v>26</v>
      </c>
      <c r="AT32" s="32">
        <f>求节点(村县营基础信息!AC$8:AC$28,$AN$33:$AN$53,$AS32)*节奏总纲!K29+AT31</f>
        <v>0</v>
      </c>
      <c r="AU32" s="32">
        <f>求节点(村县营基础信息!AD$8:AD$28,$AN$33:$AN$53,$AS32)*节奏总纲!L29+AU31</f>
        <v>0</v>
      </c>
      <c r="AV32" s="32">
        <f>求节点(村县营基础信息!AE$8:AE$28,$AN$33:$AN$53,$AS32)*节奏总纲!M29+AV31</f>
        <v>0</v>
      </c>
      <c r="AW32" s="32">
        <f>求节点(村县营基础信息!AF$8:AF$28,$AN$33:$AN$53,$AS32)*节奏总纲!N29+AW31</f>
        <v>0</v>
      </c>
      <c r="AX32" s="32">
        <f>求节点(村县营基础信息!AG$8:AG$28,$AN$33:$AN$53,$AS32)*节奏总纲!O29+AX31</f>
        <v>0</v>
      </c>
      <c r="BA32" s="29">
        <f>(AV32-AV31)/[2]节奏总纲!M29*'[1]功能-付费相关'!BB31</f>
        <v>0</v>
      </c>
      <c r="BE32" s="29" t="s">
        <v>97</v>
      </c>
      <c r="BF32" s="29" t="s">
        <v>88</v>
      </c>
      <c r="BG32" s="29" t="s">
        <v>87</v>
      </c>
      <c r="BL32" s="29">
        <v>26</v>
      </c>
      <c r="BM32" s="32">
        <f>求节点(村县营基础信息!AL$8:AL$28,$BG$33:$BG$53,$BL32)*节奏总纲!K29+BM31</f>
        <v>0</v>
      </c>
      <c r="BN32" s="32">
        <f>求节点(村县营基础信息!AM$8:AM$28,$BG$33:$BG$53,$BL32)*节奏总纲!L29+BN31</f>
        <v>0</v>
      </c>
      <c r="BO32" s="32">
        <f>求节点(村县营基础信息!AN$8:AN$28,$BG$33:$BG$53,$BL32)*节奏总纲!M29+BO31</f>
        <v>0</v>
      </c>
      <c r="BP32" s="32">
        <f>求节点(村县营基础信息!AO$8:AO$28,$BG$33:$BG$53,$BL32)*节奏总纲!N29+BP31</f>
        <v>0</v>
      </c>
      <c r="BQ32" s="32">
        <f>求节点(村县营基础信息!AP$8:AP$28,$BG$33:$BG$53,$BL32)*节奏总纲!O29+BQ31</f>
        <v>0</v>
      </c>
    </row>
    <row r="33" spans="7:69" x14ac:dyDescent="0.15">
      <c r="G33" s="29">
        <f>G7</f>
        <v>1</v>
      </c>
      <c r="H33" s="32">
        <f>H7</f>
        <v>2</v>
      </c>
      <c r="I33" s="33">
        <f>SUMPRODUCT($H$7:$H7,$I$7:$I7)</f>
        <v>0</v>
      </c>
      <c r="M33" s="29">
        <v>27</v>
      </c>
      <c r="N33" s="32">
        <f>求节点(村县营基础信息!K$8:K$28,$I$33:$I$53,$M33)*节奏总纲!K30+N32</f>
        <v>0</v>
      </c>
      <c r="O33" s="32">
        <f>求节点(村县营基础信息!L$8:L$28,$I$33:$I$53,$M33)*节奏总纲!L30+O32</f>
        <v>0</v>
      </c>
      <c r="P33" s="32">
        <f>求节点(村县营基础信息!M$8:M$28,$I$33:$I$53,$M33)*节奏总纲!M30+P32</f>
        <v>0</v>
      </c>
      <c r="Q33" s="32">
        <f>求节点(村县营基础信息!N$8:N$28,$I$33:$I$53,$M33)*节奏总纲!N30+Q32</f>
        <v>0</v>
      </c>
      <c r="R33" s="32">
        <f>求节点(村县营基础信息!O$8:O$28,$I$33:$I$53,$M33)*节奏总纲!O30+R32</f>
        <v>0</v>
      </c>
      <c r="W33" s="29">
        <f>W7</f>
        <v>1</v>
      </c>
      <c r="X33" s="34">
        <f>X7</f>
        <v>0</v>
      </c>
      <c r="Y33" s="33">
        <f>SUMPRODUCT($X$7:$X7,$Y$7:$Y7)</f>
        <v>0</v>
      </c>
      <c r="AC33" s="29">
        <v>27</v>
      </c>
      <c r="AD33" s="32">
        <f>求节点(村县营基础信息!T$8:T$28,$Y$33:$Y$53,$AC33)*节奏总纲!K30*(1+$B$10)+AD32</f>
        <v>0</v>
      </c>
      <c r="AE33" s="32">
        <f>求节点(村县营基础信息!U$8:U$28,$Y$33:$Y$53,$AC33)*节奏总纲!L30*(1+$B$10)+AE32</f>
        <v>0</v>
      </c>
      <c r="AF33" s="32">
        <f>求节点(村县营基础信息!V$8:V$28,$Y$33:$Y$53,$AC33)*节奏总纲!M30*(1+$B$10)+AF32</f>
        <v>0</v>
      </c>
      <c r="AG33" s="32">
        <f>求节点(村县营基础信息!W$8:W$28,$Y$33:$Y$53,$AC33)*节奏总纲!N30*(1+$B$10)+AG32</f>
        <v>0</v>
      </c>
      <c r="AH33" s="32">
        <f>求节点(村县营基础信息!X$8:X$28,$Y$33:$Y$53,$AC33)*节奏总纲!O30*(1+$B$10)+AH32</f>
        <v>0</v>
      </c>
      <c r="AL33" s="29">
        <f>AL7</f>
        <v>1</v>
      </c>
      <c r="AM33" s="34">
        <f>AM7</f>
        <v>0</v>
      </c>
      <c r="AN33" s="33">
        <f>SUMPRODUCT(AM$7:AM7,AN$7:AN7)</f>
        <v>0</v>
      </c>
      <c r="AR33" s="29">
        <f>AT33/[2]节奏总纲!D30</f>
        <v>0</v>
      </c>
      <c r="AS33" s="29">
        <v>27</v>
      </c>
      <c r="AT33" s="32">
        <f>求节点(村县营基础信息!AC$8:AC$28,$AN$33:$AN$53,$AS33)*节奏总纲!K30+AT32</f>
        <v>0</v>
      </c>
      <c r="AU33" s="32">
        <f>求节点(村县营基础信息!AD$8:AD$28,$AN$33:$AN$53,$AS33)*节奏总纲!L30+AU32</f>
        <v>0</v>
      </c>
      <c r="AV33" s="32">
        <f>求节点(村县营基础信息!AE$8:AE$28,$AN$33:$AN$53,$AS33)*节奏总纲!M30+AV32</f>
        <v>0</v>
      </c>
      <c r="AW33" s="32">
        <f>求节点(村县营基础信息!AF$8:AF$28,$AN$33:$AN$53,$AS33)*节奏总纲!N30+AW32</f>
        <v>0</v>
      </c>
      <c r="AX33" s="32">
        <f>求节点(村县营基础信息!AG$8:AG$28,$AN$33:$AN$53,$AS33)*节奏总纲!O30+AX32</f>
        <v>0</v>
      </c>
      <c r="BA33" s="29">
        <f>(AV33-AV32)/[2]节奏总纲!M30*'[1]功能-付费相关'!BB32</f>
        <v>0</v>
      </c>
      <c r="BE33" s="29">
        <f>BE7</f>
        <v>1</v>
      </c>
      <c r="BF33" s="32">
        <f>BF7</f>
        <v>0</v>
      </c>
      <c r="BG33" s="33">
        <f>SUMPRODUCT(BF$7:BF7,BG$7:BG7)</f>
        <v>0</v>
      </c>
      <c r="BL33" s="29">
        <v>27</v>
      </c>
      <c r="BM33" s="32">
        <f>求节点(村县营基础信息!AL$8:AL$28,$BG$33:$BG$53,$BL33)*节奏总纲!K30+BM32</f>
        <v>0</v>
      </c>
      <c r="BN33" s="32">
        <f>求节点(村县营基础信息!AM$8:AM$28,$BG$33:$BG$53,$BL33)*节奏总纲!L30+BN32</f>
        <v>0</v>
      </c>
      <c r="BO33" s="32">
        <f>求节点(村县营基础信息!AN$8:AN$28,$BG$33:$BG$53,$BL33)*节奏总纲!M30+BO32</f>
        <v>0</v>
      </c>
      <c r="BP33" s="32">
        <f>求节点(村县营基础信息!AO$8:AO$28,$BG$33:$BG$53,$BL33)*节奏总纲!N30+BP32</f>
        <v>0</v>
      </c>
      <c r="BQ33" s="32">
        <f>求节点(村县营基础信息!AP$8:AP$28,$BG$33:$BG$53,$BL33)*节奏总纲!O30+BQ32</f>
        <v>0</v>
      </c>
    </row>
    <row r="34" spans="7:69" x14ac:dyDescent="0.15">
      <c r="G34" s="29">
        <f t="shared" ref="G34:H49" si="2">G8</f>
        <v>2</v>
      </c>
      <c r="H34" s="32">
        <f t="shared" si="2"/>
        <v>2</v>
      </c>
      <c r="I34" s="33">
        <f>SUMPRODUCT($H$7:$H8,$I$7:$I8)</f>
        <v>0</v>
      </c>
      <c r="M34" s="29">
        <v>28</v>
      </c>
      <c r="N34" s="32">
        <f>求节点(村县营基础信息!K$8:K$28,$I$33:$I$53,$M34)*节奏总纲!K31+N33</f>
        <v>0</v>
      </c>
      <c r="O34" s="32">
        <f>求节点(村县营基础信息!L$8:L$28,$I$33:$I$53,$M34)*节奏总纲!L31+O33</f>
        <v>0</v>
      </c>
      <c r="P34" s="32">
        <f>求节点(村县营基础信息!M$8:M$28,$I$33:$I$53,$M34)*节奏总纲!M31+P33</f>
        <v>0</v>
      </c>
      <c r="Q34" s="32">
        <f>求节点(村县营基础信息!N$8:N$28,$I$33:$I$53,$M34)*节奏总纲!N31+Q33</f>
        <v>0</v>
      </c>
      <c r="R34" s="32">
        <f>求节点(村县营基础信息!O$8:O$28,$I$33:$I$53,$M34)*节奏总纲!O31+R33</f>
        <v>0</v>
      </c>
      <c r="W34" s="29">
        <f t="shared" ref="W34:X49" si="3">W8</f>
        <v>2</v>
      </c>
      <c r="X34" s="34">
        <f t="shared" si="3"/>
        <v>0</v>
      </c>
      <c r="Y34" s="33">
        <f>SUMPRODUCT($X$7:$X8,$Y$7:$Y8)</f>
        <v>0</v>
      </c>
      <c r="AC34" s="29">
        <v>28</v>
      </c>
      <c r="AD34" s="32">
        <f>求节点(村县营基础信息!T$8:T$28,$Y$33:$Y$53,$AC34)*节奏总纲!K31*(1+$B$10)+AD33</f>
        <v>0</v>
      </c>
      <c r="AE34" s="32">
        <f>求节点(村县营基础信息!U$8:U$28,$Y$33:$Y$53,$AC34)*节奏总纲!L31*(1+$B$10)+AE33</f>
        <v>0</v>
      </c>
      <c r="AF34" s="32">
        <f>求节点(村县营基础信息!V$8:V$28,$Y$33:$Y$53,$AC34)*节奏总纲!M31*(1+$B$10)+AF33</f>
        <v>0</v>
      </c>
      <c r="AG34" s="32">
        <f>求节点(村县营基础信息!W$8:W$28,$Y$33:$Y$53,$AC34)*节奏总纲!N31*(1+$B$10)+AG33</f>
        <v>0</v>
      </c>
      <c r="AH34" s="32">
        <f>求节点(村县营基础信息!X$8:X$28,$Y$33:$Y$53,$AC34)*节奏总纲!O31*(1+$B$10)+AH33</f>
        <v>0</v>
      </c>
      <c r="AL34" s="29">
        <f t="shared" ref="AL34:AM49" si="4">AL8</f>
        <v>2</v>
      </c>
      <c r="AM34" s="34">
        <f t="shared" si="4"/>
        <v>1</v>
      </c>
      <c r="AN34" s="33">
        <f>SUMPRODUCT(AM$7:AM8,AN$7:AN8)</f>
        <v>0</v>
      </c>
      <c r="AR34" s="29">
        <f>AT34/[2]节奏总纲!D31</f>
        <v>0</v>
      </c>
      <c r="AS34" s="29">
        <v>28</v>
      </c>
      <c r="AT34" s="32">
        <f>求节点(村县营基础信息!AC$8:AC$28,$AN$33:$AN$53,$AS34)*节奏总纲!K31+AT33</f>
        <v>0</v>
      </c>
      <c r="AU34" s="32">
        <f>求节点(村县营基础信息!AD$8:AD$28,$AN$33:$AN$53,$AS34)*节奏总纲!L31+AU33</f>
        <v>0</v>
      </c>
      <c r="AV34" s="32">
        <f>求节点(村县营基础信息!AE$8:AE$28,$AN$33:$AN$53,$AS34)*节奏总纲!M31+AV33</f>
        <v>0</v>
      </c>
      <c r="AW34" s="32">
        <f>求节点(村县营基础信息!AF$8:AF$28,$AN$33:$AN$53,$AS34)*节奏总纲!N31+AW33</f>
        <v>0</v>
      </c>
      <c r="AX34" s="32">
        <f>求节点(村县营基础信息!AG$8:AG$28,$AN$33:$AN$53,$AS34)*节奏总纲!O31+AX33</f>
        <v>0</v>
      </c>
      <c r="BA34" s="29">
        <f>(AV34-AV33)/[2]节奏总纲!M31*'[1]功能-付费相关'!BB33</f>
        <v>0</v>
      </c>
      <c r="BE34" s="29">
        <f t="shared" ref="BE34:BF49" si="5">BE8</f>
        <v>2</v>
      </c>
      <c r="BF34" s="32">
        <f t="shared" si="5"/>
        <v>0</v>
      </c>
      <c r="BG34" s="33">
        <f>SUMPRODUCT(BF$7:BF8,BG$7:BG8)</f>
        <v>0</v>
      </c>
      <c r="BL34" s="29">
        <v>28</v>
      </c>
      <c r="BM34" s="32">
        <f>求节点(村县营基础信息!AL$8:AL$28,$BG$33:$BG$53,$BL34)*节奏总纲!K31+BM33</f>
        <v>0</v>
      </c>
      <c r="BN34" s="32">
        <f>求节点(村县营基础信息!AM$8:AM$28,$BG$33:$BG$53,$BL34)*节奏总纲!L31+BN33</f>
        <v>0</v>
      </c>
      <c r="BO34" s="32">
        <f>求节点(村县营基础信息!AN$8:AN$28,$BG$33:$BG$53,$BL34)*节奏总纲!M31+BO33</f>
        <v>0</v>
      </c>
      <c r="BP34" s="32">
        <f>求节点(村县营基础信息!AO$8:AO$28,$BG$33:$BG$53,$BL34)*节奏总纲!N31+BP33</f>
        <v>0</v>
      </c>
      <c r="BQ34" s="32">
        <f>求节点(村县营基础信息!AP$8:AP$28,$BG$33:$BG$53,$BL34)*节奏总纲!O31+BQ33</f>
        <v>0</v>
      </c>
    </row>
    <row r="35" spans="7:69" x14ac:dyDescent="0.15">
      <c r="G35" s="29">
        <f t="shared" si="2"/>
        <v>3</v>
      </c>
      <c r="H35" s="32">
        <f t="shared" si="2"/>
        <v>2</v>
      </c>
      <c r="I35" s="33">
        <f>SUMPRODUCT($H$7:$H9,$I$7:$I9)</f>
        <v>0</v>
      </c>
      <c r="M35" s="29">
        <v>29</v>
      </c>
      <c r="N35" s="32">
        <f>求节点(村县营基础信息!K$8:K$28,$I$33:$I$53,$M35)*节奏总纲!K32+N34</f>
        <v>0</v>
      </c>
      <c r="O35" s="32">
        <f>求节点(村县营基础信息!L$8:L$28,$I$33:$I$53,$M35)*节奏总纲!L32+O34</f>
        <v>0</v>
      </c>
      <c r="P35" s="32">
        <f>求节点(村县营基础信息!M$8:M$28,$I$33:$I$53,$M35)*节奏总纲!M32+P34</f>
        <v>0</v>
      </c>
      <c r="Q35" s="32">
        <f>求节点(村县营基础信息!N$8:N$28,$I$33:$I$53,$M35)*节奏总纲!N32+Q34</f>
        <v>0</v>
      </c>
      <c r="R35" s="32">
        <f>求节点(村县营基础信息!O$8:O$28,$I$33:$I$53,$M35)*节奏总纲!O32+R34</f>
        <v>0</v>
      </c>
      <c r="W35" s="29">
        <f t="shared" si="3"/>
        <v>3</v>
      </c>
      <c r="X35" s="34">
        <f t="shared" si="3"/>
        <v>1</v>
      </c>
      <c r="Y35" s="33">
        <f>SUMPRODUCT($X$7:$X9,$Y$7:$Y9)</f>
        <v>0</v>
      </c>
      <c r="AC35" s="29">
        <v>29</v>
      </c>
      <c r="AD35" s="32">
        <f>求节点(村县营基础信息!T$8:T$28,$Y$33:$Y$53,$AC35)*节奏总纲!K32*(1+$B$10)+AD34</f>
        <v>0</v>
      </c>
      <c r="AE35" s="32">
        <f>求节点(村县营基础信息!U$8:U$28,$Y$33:$Y$53,$AC35)*节奏总纲!L32*(1+$B$10)+AE34</f>
        <v>0</v>
      </c>
      <c r="AF35" s="32">
        <f>求节点(村县营基础信息!V$8:V$28,$Y$33:$Y$53,$AC35)*节奏总纲!M32*(1+$B$10)+AF34</f>
        <v>0</v>
      </c>
      <c r="AG35" s="32">
        <f>求节点(村县营基础信息!W$8:W$28,$Y$33:$Y$53,$AC35)*节奏总纲!N32*(1+$B$10)+AG34</f>
        <v>0</v>
      </c>
      <c r="AH35" s="32">
        <f>求节点(村县营基础信息!X$8:X$28,$Y$33:$Y$53,$AC35)*节奏总纲!O32*(1+$B$10)+AH34</f>
        <v>0</v>
      </c>
      <c r="AL35" s="29">
        <f t="shared" si="4"/>
        <v>3</v>
      </c>
      <c r="AM35" s="34">
        <f t="shared" si="4"/>
        <v>1</v>
      </c>
      <c r="AN35" s="33">
        <f>SUMPRODUCT(AM$7:AM9,AN$7:AN9)</f>
        <v>0</v>
      </c>
      <c r="AR35" s="29">
        <f>AT35/[2]节奏总纲!D32</f>
        <v>0</v>
      </c>
      <c r="AS35" s="29">
        <v>29</v>
      </c>
      <c r="AT35" s="32">
        <f>求节点(村县营基础信息!AC$8:AC$28,$AN$33:$AN$53,$AS35)*节奏总纲!K32+AT34</f>
        <v>0</v>
      </c>
      <c r="AU35" s="32">
        <f>求节点(村县营基础信息!AD$8:AD$28,$AN$33:$AN$53,$AS35)*节奏总纲!L32+AU34</f>
        <v>0</v>
      </c>
      <c r="AV35" s="32">
        <f>求节点(村县营基础信息!AE$8:AE$28,$AN$33:$AN$53,$AS35)*节奏总纲!M32+AV34</f>
        <v>0</v>
      </c>
      <c r="AW35" s="32">
        <f>求节点(村县营基础信息!AF$8:AF$28,$AN$33:$AN$53,$AS35)*节奏总纲!N32+AW34</f>
        <v>0</v>
      </c>
      <c r="AX35" s="32">
        <f>求节点(村县营基础信息!AG$8:AG$28,$AN$33:$AN$53,$AS35)*节奏总纲!O32+AX34</f>
        <v>0</v>
      </c>
      <c r="BA35" s="29">
        <f>(AV35-AV34)/[2]节奏总纲!M32*'[1]功能-付费相关'!BB34</f>
        <v>0</v>
      </c>
      <c r="BE35" s="29">
        <f t="shared" si="5"/>
        <v>3</v>
      </c>
      <c r="BF35" s="32">
        <f t="shared" si="5"/>
        <v>0</v>
      </c>
      <c r="BG35" s="33">
        <f>SUMPRODUCT(BF$7:BF9,BG$7:BG9)</f>
        <v>0</v>
      </c>
      <c r="BL35" s="29">
        <v>29</v>
      </c>
      <c r="BM35" s="32">
        <f>求节点(村县营基础信息!AL$8:AL$28,$BG$33:$BG$53,$BL35)*节奏总纲!K32+BM34</f>
        <v>0</v>
      </c>
      <c r="BN35" s="32">
        <f>求节点(村县营基础信息!AM$8:AM$28,$BG$33:$BG$53,$BL35)*节奏总纲!L32+BN34</f>
        <v>0</v>
      </c>
      <c r="BO35" s="32">
        <f>求节点(村县营基础信息!AN$8:AN$28,$BG$33:$BG$53,$BL35)*节奏总纲!M32+BO34</f>
        <v>0</v>
      </c>
      <c r="BP35" s="32">
        <f>求节点(村县营基础信息!AO$8:AO$28,$BG$33:$BG$53,$BL35)*节奏总纲!N32+BP34</f>
        <v>0</v>
      </c>
      <c r="BQ35" s="32">
        <f>求节点(村县营基础信息!AP$8:AP$28,$BG$33:$BG$53,$BL35)*节奏总纲!O32+BQ34</f>
        <v>0</v>
      </c>
    </row>
    <row r="36" spans="7:69" x14ac:dyDescent="0.15">
      <c r="G36" s="29">
        <f t="shared" si="2"/>
        <v>4</v>
      </c>
      <c r="H36" s="32">
        <f t="shared" si="2"/>
        <v>3</v>
      </c>
      <c r="I36" s="33">
        <f>SUMPRODUCT($H$7:$H10,$I$7:$I10)</f>
        <v>0</v>
      </c>
      <c r="M36" s="29">
        <v>30</v>
      </c>
      <c r="N36" s="32">
        <f>求节点(村县营基础信息!K$8:K$28,$I$33:$I$53,$M36)*节奏总纲!K33+N35</f>
        <v>0</v>
      </c>
      <c r="O36" s="32">
        <f>求节点(村县营基础信息!L$8:L$28,$I$33:$I$53,$M36)*节奏总纲!L33+O35</f>
        <v>0</v>
      </c>
      <c r="P36" s="32">
        <f>求节点(村县营基础信息!M$8:M$28,$I$33:$I$53,$M36)*节奏总纲!M33+P35</f>
        <v>0</v>
      </c>
      <c r="Q36" s="32">
        <f>求节点(村县营基础信息!N$8:N$28,$I$33:$I$53,$M36)*节奏总纲!N33+Q35</f>
        <v>0</v>
      </c>
      <c r="R36" s="32">
        <f>求节点(村县营基础信息!O$8:O$28,$I$33:$I$53,$M36)*节奏总纲!O33+R35</f>
        <v>0</v>
      </c>
      <c r="W36" s="29">
        <f t="shared" si="3"/>
        <v>4</v>
      </c>
      <c r="X36" s="34">
        <f t="shared" si="3"/>
        <v>0</v>
      </c>
      <c r="Y36" s="33">
        <f>SUMPRODUCT($X$7:$X10,$Y$7:$Y10)</f>
        <v>0</v>
      </c>
      <c r="AC36" s="29">
        <v>30</v>
      </c>
      <c r="AD36" s="32">
        <f>求节点(村县营基础信息!T$8:T$28,$Y$33:$Y$53,$AC36)*节奏总纲!K33*(1+$B$10)+AD35</f>
        <v>0</v>
      </c>
      <c r="AE36" s="32">
        <f>求节点(村县营基础信息!U$8:U$28,$Y$33:$Y$53,$AC36)*节奏总纲!L33*(1+$B$10)+AE35</f>
        <v>0</v>
      </c>
      <c r="AF36" s="32">
        <f>求节点(村县营基础信息!V$8:V$28,$Y$33:$Y$53,$AC36)*节奏总纲!M33*(1+$B$10)+AF35</f>
        <v>0</v>
      </c>
      <c r="AG36" s="32">
        <f>求节点(村县营基础信息!W$8:W$28,$Y$33:$Y$53,$AC36)*节奏总纲!N33*(1+$B$10)+AG35</f>
        <v>0</v>
      </c>
      <c r="AH36" s="32">
        <f>求节点(村县营基础信息!X$8:X$28,$Y$33:$Y$53,$AC36)*节奏总纲!O33*(1+$B$10)+AH35</f>
        <v>0</v>
      </c>
      <c r="AL36" s="29">
        <f t="shared" si="4"/>
        <v>4</v>
      </c>
      <c r="AM36" s="34">
        <f t="shared" si="4"/>
        <v>1</v>
      </c>
      <c r="AN36" s="33">
        <f>SUMPRODUCT(AM$7:AM10,AN$7:AN10)</f>
        <v>0</v>
      </c>
      <c r="AR36" s="29">
        <f>AT36/[2]节奏总纲!D33</f>
        <v>0</v>
      </c>
      <c r="AS36" s="29">
        <v>30</v>
      </c>
      <c r="AT36" s="32">
        <f>求节点(村县营基础信息!AC$8:AC$28,$AN$33:$AN$53,$AS36)*节奏总纲!K33+AT35</f>
        <v>0</v>
      </c>
      <c r="AU36" s="32">
        <f>求节点(村县营基础信息!AD$8:AD$28,$AN$33:$AN$53,$AS36)*节奏总纲!L33+AU35</f>
        <v>0</v>
      </c>
      <c r="AV36" s="32">
        <f>求节点(村县营基础信息!AE$8:AE$28,$AN$33:$AN$53,$AS36)*节奏总纲!M33+AV35</f>
        <v>0</v>
      </c>
      <c r="AW36" s="32">
        <f>求节点(村县营基础信息!AF$8:AF$28,$AN$33:$AN$53,$AS36)*节奏总纲!N33+AW35</f>
        <v>0</v>
      </c>
      <c r="AX36" s="32">
        <f>求节点(村县营基础信息!AG$8:AG$28,$AN$33:$AN$53,$AS36)*节奏总纲!O33+AX35</f>
        <v>0</v>
      </c>
      <c r="BA36" s="29">
        <f>(AV36-AV35)/[2]节奏总纲!M33*'[1]功能-付费相关'!BB35</f>
        <v>0</v>
      </c>
      <c r="BE36" s="29">
        <f t="shared" si="5"/>
        <v>4</v>
      </c>
      <c r="BF36" s="32">
        <f t="shared" si="5"/>
        <v>1</v>
      </c>
      <c r="BG36" s="33">
        <f>SUMPRODUCT(BF$7:BF10,BG$7:BG10)</f>
        <v>0</v>
      </c>
      <c r="BL36" s="29">
        <v>30</v>
      </c>
      <c r="BM36" s="32">
        <f>求节点(村县营基础信息!AL$8:AL$28,$BG$33:$BG$53,$BL36)*节奏总纲!K33+BM35</f>
        <v>0</v>
      </c>
      <c r="BN36" s="32">
        <f>求节点(村县营基础信息!AM$8:AM$28,$BG$33:$BG$53,$BL36)*节奏总纲!L33+BN35</f>
        <v>0</v>
      </c>
      <c r="BO36" s="32">
        <f>求节点(村县营基础信息!AN$8:AN$28,$BG$33:$BG$53,$BL36)*节奏总纲!M33+BO35</f>
        <v>0</v>
      </c>
      <c r="BP36" s="32">
        <f>求节点(村县营基础信息!AO$8:AO$28,$BG$33:$BG$53,$BL36)*节奏总纲!N33+BP35</f>
        <v>0</v>
      </c>
      <c r="BQ36" s="32">
        <f>求节点(村县营基础信息!AP$8:AP$28,$BG$33:$BG$53,$BL36)*节奏总纲!O33+BQ35</f>
        <v>0</v>
      </c>
    </row>
    <row r="37" spans="7:69" x14ac:dyDescent="0.15">
      <c r="G37" s="29">
        <f t="shared" si="2"/>
        <v>5</v>
      </c>
      <c r="H37" s="32">
        <f t="shared" si="2"/>
        <v>3</v>
      </c>
      <c r="I37" s="33">
        <f>SUMPRODUCT($H$7:$H11,$I$7:$I11)</f>
        <v>0</v>
      </c>
      <c r="M37" s="29">
        <v>31</v>
      </c>
      <c r="N37" s="32">
        <f>求节点(村县营基础信息!K$8:K$28,$I$33:$I$53,$M37)*节奏总纲!K34+N36</f>
        <v>0</v>
      </c>
      <c r="O37" s="32">
        <f>求节点(村县营基础信息!L$8:L$28,$I$33:$I$53,$M37)*节奏总纲!L34+O36</f>
        <v>0</v>
      </c>
      <c r="P37" s="32">
        <f>求节点(村县营基础信息!M$8:M$28,$I$33:$I$53,$M37)*节奏总纲!M34+P36</f>
        <v>0</v>
      </c>
      <c r="Q37" s="32">
        <f>求节点(村县营基础信息!N$8:N$28,$I$33:$I$53,$M37)*节奏总纲!N34+Q36</f>
        <v>0</v>
      </c>
      <c r="R37" s="32">
        <f>求节点(村县营基础信息!O$8:O$28,$I$33:$I$53,$M37)*节奏总纲!O34+R36</f>
        <v>0</v>
      </c>
      <c r="W37" s="29">
        <f t="shared" si="3"/>
        <v>5</v>
      </c>
      <c r="X37" s="34">
        <f t="shared" si="3"/>
        <v>1</v>
      </c>
      <c r="Y37" s="33">
        <f>SUMPRODUCT($X$7:$X11,$Y$7:$Y11)</f>
        <v>0</v>
      </c>
      <c r="AC37" s="29">
        <v>31</v>
      </c>
      <c r="AD37" s="32">
        <f>求节点(村县营基础信息!T$8:T$28,$Y$33:$Y$53,$AC37)*节奏总纲!K34*(1+$B$10)+AD36</f>
        <v>0</v>
      </c>
      <c r="AE37" s="32">
        <f>求节点(村县营基础信息!U$8:U$28,$Y$33:$Y$53,$AC37)*节奏总纲!L34*(1+$B$10)+AE36</f>
        <v>0</v>
      </c>
      <c r="AF37" s="32">
        <f>求节点(村县营基础信息!V$8:V$28,$Y$33:$Y$53,$AC37)*节奏总纲!M34*(1+$B$10)+AF36</f>
        <v>0</v>
      </c>
      <c r="AG37" s="32">
        <f>求节点(村县营基础信息!W$8:W$28,$Y$33:$Y$53,$AC37)*节奏总纲!N34*(1+$B$10)+AG36</f>
        <v>0</v>
      </c>
      <c r="AH37" s="32">
        <f>求节点(村县营基础信息!X$8:X$28,$Y$33:$Y$53,$AC37)*节奏总纲!O34*(1+$B$10)+AH36</f>
        <v>0</v>
      </c>
      <c r="AL37" s="29">
        <f t="shared" si="4"/>
        <v>5</v>
      </c>
      <c r="AM37" s="34">
        <f t="shared" si="4"/>
        <v>1</v>
      </c>
      <c r="AN37" s="33">
        <f>SUMPRODUCT(AM$7:AM11,AN$7:AN11)</f>
        <v>0</v>
      </c>
      <c r="AR37" s="29">
        <f>AT37/[2]节奏总纲!D34</f>
        <v>0</v>
      </c>
      <c r="AS37" s="29">
        <v>31</v>
      </c>
      <c r="AT37" s="32">
        <f>求节点(村县营基础信息!AC$8:AC$28,$AN$33:$AN$53,$AS37)*节奏总纲!K34+AT36</f>
        <v>0</v>
      </c>
      <c r="AU37" s="32">
        <f>求节点(村县营基础信息!AD$8:AD$28,$AN$33:$AN$53,$AS37)*节奏总纲!L34+AU36</f>
        <v>0</v>
      </c>
      <c r="AV37" s="32">
        <f>求节点(村县营基础信息!AE$8:AE$28,$AN$33:$AN$53,$AS37)*节奏总纲!M34+AV36</f>
        <v>0</v>
      </c>
      <c r="AW37" s="32">
        <f>求节点(村县营基础信息!AF$8:AF$28,$AN$33:$AN$53,$AS37)*节奏总纲!N34+AW36</f>
        <v>0</v>
      </c>
      <c r="AX37" s="32">
        <f>求节点(村县营基础信息!AG$8:AG$28,$AN$33:$AN$53,$AS37)*节奏总纲!O34+AX36</f>
        <v>0</v>
      </c>
      <c r="BA37" s="29">
        <f>(AV37-AV36)/[2]节奏总纲!M34*'[1]功能-付费相关'!BB36</f>
        <v>0</v>
      </c>
      <c r="BE37" s="29">
        <f t="shared" si="5"/>
        <v>5</v>
      </c>
      <c r="BF37" s="32">
        <f t="shared" si="5"/>
        <v>0</v>
      </c>
      <c r="BG37" s="33">
        <f>SUMPRODUCT(BF$7:BF11,BG$7:BG11)</f>
        <v>0</v>
      </c>
      <c r="BL37" s="29">
        <v>31</v>
      </c>
      <c r="BM37" s="32">
        <f>求节点(村县营基础信息!AL$8:AL$28,$BG$33:$BG$53,$BL37)*节奏总纲!K34+BM36</f>
        <v>0</v>
      </c>
      <c r="BN37" s="32">
        <f>求节点(村县营基础信息!AM$8:AM$28,$BG$33:$BG$53,$BL37)*节奏总纲!L34+BN36</f>
        <v>0</v>
      </c>
      <c r="BO37" s="32">
        <f>求节点(村县营基础信息!AN$8:AN$28,$BG$33:$BG$53,$BL37)*节奏总纲!M34+BO36</f>
        <v>0</v>
      </c>
      <c r="BP37" s="32">
        <f>求节点(村县营基础信息!AO$8:AO$28,$BG$33:$BG$53,$BL37)*节奏总纲!N34+BP36</f>
        <v>0</v>
      </c>
      <c r="BQ37" s="32">
        <f>求节点(村县营基础信息!AP$8:AP$28,$BG$33:$BG$53,$BL37)*节奏总纲!O34+BQ36</f>
        <v>0</v>
      </c>
    </row>
    <row r="38" spans="7:69" x14ac:dyDescent="0.15">
      <c r="G38" s="29">
        <f t="shared" si="2"/>
        <v>6</v>
      </c>
      <c r="H38" s="32">
        <f t="shared" si="2"/>
        <v>3</v>
      </c>
      <c r="I38" s="33">
        <f>SUMPRODUCT($H$7:$H12,$I$7:$I12)</f>
        <v>0</v>
      </c>
      <c r="M38" s="29">
        <v>32</v>
      </c>
      <c r="N38" s="32">
        <f>求节点(村县营基础信息!K$8:K$28,$I$33:$I$53,$M38)*节奏总纲!K35+N37</f>
        <v>0</v>
      </c>
      <c r="O38" s="32">
        <f>求节点(村县营基础信息!L$8:L$28,$I$33:$I$53,$M38)*节奏总纲!L35+O37</f>
        <v>0</v>
      </c>
      <c r="P38" s="32">
        <f>求节点(村县营基础信息!M$8:M$28,$I$33:$I$53,$M38)*节奏总纲!M35+P37</f>
        <v>0</v>
      </c>
      <c r="Q38" s="32">
        <f>求节点(村县营基础信息!N$8:N$28,$I$33:$I$53,$M38)*节奏总纲!N35+Q37</f>
        <v>0</v>
      </c>
      <c r="R38" s="32">
        <f>求节点(村县营基础信息!O$8:O$28,$I$33:$I$53,$M38)*节奏总纲!O35+R37</f>
        <v>0</v>
      </c>
      <c r="W38" s="29">
        <f t="shared" si="3"/>
        <v>6</v>
      </c>
      <c r="X38" s="34">
        <f t="shared" si="3"/>
        <v>0</v>
      </c>
      <c r="Y38" s="33">
        <f>SUMPRODUCT($X$7:$X12,$Y$7:$Y12)</f>
        <v>0</v>
      </c>
      <c r="AC38" s="29">
        <v>32</v>
      </c>
      <c r="AD38" s="32">
        <f>求节点(村县营基础信息!T$8:T$28,$Y$33:$Y$53,$AC38)*节奏总纲!K35*(1+$B$10)+AD37</f>
        <v>0</v>
      </c>
      <c r="AE38" s="32">
        <f>求节点(村县营基础信息!U$8:U$28,$Y$33:$Y$53,$AC38)*节奏总纲!L35*(1+$B$10)+AE37</f>
        <v>0</v>
      </c>
      <c r="AF38" s="32">
        <f>求节点(村县营基础信息!V$8:V$28,$Y$33:$Y$53,$AC38)*节奏总纲!M35*(1+$B$10)+AF37</f>
        <v>0</v>
      </c>
      <c r="AG38" s="32">
        <f>求节点(村县营基础信息!W$8:W$28,$Y$33:$Y$53,$AC38)*节奏总纲!N35*(1+$B$10)+AG37</f>
        <v>0</v>
      </c>
      <c r="AH38" s="32">
        <f>求节点(村县营基础信息!X$8:X$28,$Y$33:$Y$53,$AC38)*节奏总纲!O35*(1+$B$10)+AH37</f>
        <v>0</v>
      </c>
      <c r="AL38" s="29">
        <f t="shared" si="4"/>
        <v>6</v>
      </c>
      <c r="AM38" s="34">
        <f t="shared" si="4"/>
        <v>1</v>
      </c>
      <c r="AN38" s="33">
        <f>SUMPRODUCT(AM$7:AM12,AN$7:AN12)</f>
        <v>0</v>
      </c>
      <c r="AR38" s="29">
        <f>AT38/[2]节奏总纲!D35</f>
        <v>0</v>
      </c>
      <c r="AS38" s="29">
        <v>32</v>
      </c>
      <c r="AT38" s="32">
        <f>求节点(村县营基础信息!AC$8:AC$28,$AN$33:$AN$53,$AS38)*节奏总纲!K35+AT37</f>
        <v>0</v>
      </c>
      <c r="AU38" s="32">
        <f>求节点(村县营基础信息!AD$8:AD$28,$AN$33:$AN$53,$AS38)*节奏总纲!L35+AU37</f>
        <v>0</v>
      </c>
      <c r="AV38" s="32">
        <f>求节点(村县营基础信息!AE$8:AE$28,$AN$33:$AN$53,$AS38)*节奏总纲!M35+AV37</f>
        <v>0</v>
      </c>
      <c r="AW38" s="32">
        <f>求节点(村县营基础信息!AF$8:AF$28,$AN$33:$AN$53,$AS38)*节奏总纲!N35+AW37</f>
        <v>0</v>
      </c>
      <c r="AX38" s="32">
        <f>求节点(村县营基础信息!AG$8:AG$28,$AN$33:$AN$53,$AS38)*节奏总纲!O35+AX37</f>
        <v>0</v>
      </c>
      <c r="BA38" s="29">
        <f>(AV38-AV37)/[2]节奏总纲!M35*'[1]功能-付费相关'!BB37</f>
        <v>0</v>
      </c>
      <c r="BE38" s="29">
        <f t="shared" si="5"/>
        <v>6</v>
      </c>
      <c r="BF38" s="32">
        <f t="shared" si="5"/>
        <v>1</v>
      </c>
      <c r="BG38" s="33">
        <f>SUMPRODUCT(BF$7:BF12,BG$7:BG12)</f>
        <v>0</v>
      </c>
      <c r="BL38" s="29">
        <v>32</v>
      </c>
      <c r="BM38" s="32">
        <f>求节点(村县营基础信息!AL$8:AL$28,$BG$33:$BG$53,$BL38)*节奏总纲!K35+BM37</f>
        <v>0</v>
      </c>
      <c r="BN38" s="32">
        <f>求节点(村县营基础信息!AM$8:AM$28,$BG$33:$BG$53,$BL38)*节奏总纲!L35+BN37</f>
        <v>0</v>
      </c>
      <c r="BO38" s="32">
        <f>求节点(村县营基础信息!AN$8:AN$28,$BG$33:$BG$53,$BL38)*节奏总纲!M35+BO37</f>
        <v>0</v>
      </c>
      <c r="BP38" s="32">
        <f>求节点(村县营基础信息!AO$8:AO$28,$BG$33:$BG$53,$BL38)*节奏总纲!N35+BP37</f>
        <v>0</v>
      </c>
      <c r="BQ38" s="32">
        <f>求节点(村县营基础信息!AP$8:AP$28,$BG$33:$BG$53,$BL38)*节奏总纲!O35+BQ37</f>
        <v>0</v>
      </c>
    </row>
    <row r="39" spans="7:69" x14ac:dyDescent="0.15">
      <c r="G39" s="29">
        <f t="shared" si="2"/>
        <v>7</v>
      </c>
      <c r="H39" s="32">
        <f t="shared" si="2"/>
        <v>4</v>
      </c>
      <c r="I39" s="33">
        <f>SUMPRODUCT($H$7:$H13,$I$7:$I13)</f>
        <v>0</v>
      </c>
      <c r="M39" s="29">
        <v>33</v>
      </c>
      <c r="N39" s="32">
        <f>求节点(村县营基础信息!K$8:K$28,$I$33:$I$53,$M39)*节奏总纲!K36+N38</f>
        <v>0</v>
      </c>
      <c r="O39" s="32">
        <f>求节点(村县营基础信息!L$8:L$28,$I$33:$I$53,$M39)*节奏总纲!L36+O38</f>
        <v>0</v>
      </c>
      <c r="P39" s="32">
        <f>求节点(村县营基础信息!M$8:M$28,$I$33:$I$53,$M39)*节奏总纲!M36+P38</f>
        <v>0</v>
      </c>
      <c r="Q39" s="32">
        <f>求节点(村县营基础信息!N$8:N$28,$I$33:$I$53,$M39)*节奏总纲!N36+Q38</f>
        <v>0</v>
      </c>
      <c r="R39" s="32">
        <f>求节点(村县营基础信息!O$8:O$28,$I$33:$I$53,$M39)*节奏总纲!O36+R38</f>
        <v>0</v>
      </c>
      <c r="W39" s="29">
        <f t="shared" si="3"/>
        <v>7</v>
      </c>
      <c r="X39" s="34">
        <f t="shared" si="3"/>
        <v>1</v>
      </c>
      <c r="Y39" s="33">
        <f>SUMPRODUCT($X$7:$X13,$Y$7:$Y13)</f>
        <v>0</v>
      </c>
      <c r="AC39" s="29">
        <v>33</v>
      </c>
      <c r="AD39" s="32">
        <f>求节点(村县营基础信息!T$8:T$28,$Y$33:$Y$53,$AC39)*节奏总纲!K36*(1+$B$10)+AD38</f>
        <v>0</v>
      </c>
      <c r="AE39" s="32">
        <f>求节点(村县营基础信息!U$8:U$28,$Y$33:$Y$53,$AC39)*节奏总纲!L36*(1+$B$10)+AE38</f>
        <v>0</v>
      </c>
      <c r="AF39" s="32">
        <f>求节点(村县营基础信息!V$8:V$28,$Y$33:$Y$53,$AC39)*节奏总纲!M36*(1+$B$10)+AF38</f>
        <v>0</v>
      </c>
      <c r="AG39" s="32">
        <f>求节点(村县营基础信息!W$8:W$28,$Y$33:$Y$53,$AC39)*节奏总纲!N36*(1+$B$10)+AG38</f>
        <v>0</v>
      </c>
      <c r="AH39" s="32">
        <f>求节点(村县营基础信息!X$8:X$28,$Y$33:$Y$53,$AC39)*节奏总纲!O36*(1+$B$10)+AH38</f>
        <v>0</v>
      </c>
      <c r="AL39" s="29">
        <f t="shared" si="4"/>
        <v>7</v>
      </c>
      <c r="AM39" s="34">
        <f t="shared" si="4"/>
        <v>1</v>
      </c>
      <c r="AN39" s="33">
        <f>SUMPRODUCT(AM$7:AM13,AN$7:AN13)</f>
        <v>0</v>
      </c>
      <c r="AR39" s="29">
        <f>AT39/[2]节奏总纲!D36</f>
        <v>0</v>
      </c>
      <c r="AS39" s="29">
        <v>33</v>
      </c>
      <c r="AT39" s="32">
        <f>求节点(村县营基础信息!AC$8:AC$28,$AN$33:$AN$53,$AS39)*节奏总纲!K36+AT38</f>
        <v>0</v>
      </c>
      <c r="AU39" s="32">
        <f>求节点(村县营基础信息!AD$8:AD$28,$AN$33:$AN$53,$AS39)*节奏总纲!L36+AU38</f>
        <v>0</v>
      </c>
      <c r="AV39" s="32">
        <f>求节点(村县营基础信息!AE$8:AE$28,$AN$33:$AN$53,$AS39)*节奏总纲!M36+AV38</f>
        <v>0</v>
      </c>
      <c r="AW39" s="32">
        <f>求节点(村县营基础信息!AF$8:AF$28,$AN$33:$AN$53,$AS39)*节奏总纲!N36+AW38</f>
        <v>0</v>
      </c>
      <c r="AX39" s="32">
        <f>求节点(村县营基础信息!AG$8:AG$28,$AN$33:$AN$53,$AS39)*节奏总纲!O36+AX38</f>
        <v>0</v>
      </c>
      <c r="BA39" s="29">
        <f>(AV39-AV38)/[2]节奏总纲!M36*'[1]功能-付费相关'!BB38</f>
        <v>0</v>
      </c>
      <c r="BE39" s="29">
        <f t="shared" si="5"/>
        <v>7</v>
      </c>
      <c r="BF39" s="32">
        <f t="shared" si="5"/>
        <v>0</v>
      </c>
      <c r="BG39" s="33">
        <f>SUMPRODUCT(BF$7:BF13,BG$7:BG13)</f>
        <v>0</v>
      </c>
      <c r="BL39" s="29">
        <v>33</v>
      </c>
      <c r="BM39" s="32">
        <f>求节点(村县营基础信息!AL$8:AL$28,$BG$33:$BG$53,$BL39)*节奏总纲!K36+BM38</f>
        <v>0</v>
      </c>
      <c r="BN39" s="32">
        <f>求节点(村县营基础信息!AM$8:AM$28,$BG$33:$BG$53,$BL39)*节奏总纲!L36+BN38</f>
        <v>0</v>
      </c>
      <c r="BO39" s="32">
        <f>求节点(村县营基础信息!AN$8:AN$28,$BG$33:$BG$53,$BL39)*节奏总纲!M36+BO38</f>
        <v>0</v>
      </c>
      <c r="BP39" s="32">
        <f>求节点(村县营基础信息!AO$8:AO$28,$BG$33:$BG$53,$BL39)*节奏总纲!N36+BP38</f>
        <v>0</v>
      </c>
      <c r="BQ39" s="32">
        <f>求节点(村县营基础信息!AP$8:AP$28,$BG$33:$BG$53,$BL39)*节奏总纲!O36+BQ38</f>
        <v>0</v>
      </c>
    </row>
    <row r="40" spans="7:69" x14ac:dyDescent="0.15">
      <c r="G40" s="29">
        <f t="shared" si="2"/>
        <v>8</v>
      </c>
      <c r="H40" s="32">
        <f t="shared" si="2"/>
        <v>4</v>
      </c>
      <c r="I40" s="33">
        <f>SUMPRODUCT($H$7:$H14,$I$7:$I14)</f>
        <v>0</v>
      </c>
      <c r="M40" s="29">
        <v>34</v>
      </c>
      <c r="N40" s="32">
        <f>求节点(村县营基础信息!K$8:K$28,$I$33:$I$53,$M40)*节奏总纲!K37+N39</f>
        <v>0</v>
      </c>
      <c r="O40" s="32">
        <f>求节点(村县营基础信息!L$8:L$28,$I$33:$I$53,$M40)*节奏总纲!L37+O39</f>
        <v>0</v>
      </c>
      <c r="P40" s="32">
        <f>求节点(村县营基础信息!M$8:M$28,$I$33:$I$53,$M40)*节奏总纲!M37+P39</f>
        <v>0</v>
      </c>
      <c r="Q40" s="32">
        <f>求节点(村县营基础信息!N$8:N$28,$I$33:$I$53,$M40)*节奏总纲!N37+Q39</f>
        <v>0</v>
      </c>
      <c r="R40" s="32">
        <f>求节点(村县营基础信息!O$8:O$28,$I$33:$I$53,$M40)*节奏总纲!O37+R39</f>
        <v>0</v>
      </c>
      <c r="W40" s="29">
        <f t="shared" si="3"/>
        <v>8</v>
      </c>
      <c r="X40" s="34">
        <f t="shared" si="3"/>
        <v>0</v>
      </c>
      <c r="Y40" s="33">
        <f>SUMPRODUCT($X$7:$X14,$Y$7:$Y14)</f>
        <v>0</v>
      </c>
      <c r="AC40" s="29">
        <v>34</v>
      </c>
      <c r="AD40" s="32">
        <f>求节点(村县营基础信息!T$8:T$28,$Y$33:$Y$53,$AC40)*节奏总纲!K37*(1+$B$10)+AD39</f>
        <v>0</v>
      </c>
      <c r="AE40" s="32">
        <f>求节点(村县营基础信息!U$8:U$28,$Y$33:$Y$53,$AC40)*节奏总纲!L37*(1+$B$10)+AE39</f>
        <v>0</v>
      </c>
      <c r="AF40" s="32">
        <f>求节点(村县营基础信息!V$8:V$28,$Y$33:$Y$53,$AC40)*节奏总纲!M37*(1+$B$10)+AF39</f>
        <v>0</v>
      </c>
      <c r="AG40" s="32">
        <f>求节点(村县营基础信息!W$8:W$28,$Y$33:$Y$53,$AC40)*节奏总纲!N37*(1+$B$10)+AG39</f>
        <v>0</v>
      </c>
      <c r="AH40" s="32">
        <f>求节点(村县营基础信息!X$8:X$28,$Y$33:$Y$53,$AC40)*节奏总纲!O37*(1+$B$10)+AH39</f>
        <v>0</v>
      </c>
      <c r="AL40" s="29">
        <f t="shared" si="4"/>
        <v>8</v>
      </c>
      <c r="AM40" s="34">
        <f t="shared" si="4"/>
        <v>2</v>
      </c>
      <c r="AN40" s="33">
        <f>SUMPRODUCT(AM$7:AM14,AN$7:AN14)</f>
        <v>0</v>
      </c>
      <c r="AR40" s="29">
        <f>AT40/[2]节奏总纲!D37</f>
        <v>0</v>
      </c>
      <c r="AS40" s="29">
        <v>34</v>
      </c>
      <c r="AT40" s="32">
        <f>求节点(村县营基础信息!AC$8:AC$28,$AN$33:$AN$53,$AS40)*节奏总纲!K37+AT39</f>
        <v>0</v>
      </c>
      <c r="AU40" s="32">
        <f>求节点(村县营基础信息!AD$8:AD$28,$AN$33:$AN$53,$AS40)*节奏总纲!L37+AU39</f>
        <v>0</v>
      </c>
      <c r="AV40" s="32">
        <f>求节点(村县营基础信息!AE$8:AE$28,$AN$33:$AN$53,$AS40)*节奏总纲!M37+AV39</f>
        <v>0</v>
      </c>
      <c r="AW40" s="32">
        <f>求节点(村县营基础信息!AF$8:AF$28,$AN$33:$AN$53,$AS40)*节奏总纲!N37+AW39</f>
        <v>0</v>
      </c>
      <c r="AX40" s="32">
        <f>求节点(村县营基础信息!AG$8:AG$28,$AN$33:$AN$53,$AS40)*节奏总纲!O37+AX39</f>
        <v>0</v>
      </c>
      <c r="BA40" s="29">
        <f>(AV40-AV39)/[2]节奏总纲!M37*'[1]功能-付费相关'!BB39</f>
        <v>0</v>
      </c>
      <c r="BE40" s="29">
        <f t="shared" si="5"/>
        <v>8</v>
      </c>
      <c r="BF40" s="32">
        <f t="shared" si="5"/>
        <v>1</v>
      </c>
      <c r="BG40" s="33">
        <f>SUMPRODUCT(BF$7:BF14,BG$7:BG14)</f>
        <v>0</v>
      </c>
      <c r="BL40" s="29">
        <v>34</v>
      </c>
      <c r="BM40" s="32">
        <f>求节点(村县营基础信息!AL$8:AL$28,$BG$33:$BG$53,$BL40)*节奏总纲!K37+BM39</f>
        <v>0</v>
      </c>
      <c r="BN40" s="32">
        <f>求节点(村县营基础信息!AM$8:AM$28,$BG$33:$BG$53,$BL40)*节奏总纲!L37+BN39</f>
        <v>0</v>
      </c>
      <c r="BO40" s="32">
        <f>求节点(村县营基础信息!AN$8:AN$28,$BG$33:$BG$53,$BL40)*节奏总纲!M37+BO39</f>
        <v>0</v>
      </c>
      <c r="BP40" s="32">
        <f>求节点(村县营基础信息!AO$8:AO$28,$BG$33:$BG$53,$BL40)*节奏总纲!N37+BP39</f>
        <v>0</v>
      </c>
      <c r="BQ40" s="32">
        <f>求节点(村县营基础信息!AP$8:AP$28,$BG$33:$BG$53,$BL40)*节奏总纲!O37+BQ39</f>
        <v>0</v>
      </c>
    </row>
    <row r="41" spans="7:69" x14ac:dyDescent="0.15">
      <c r="G41" s="29">
        <f t="shared" si="2"/>
        <v>9</v>
      </c>
      <c r="H41" s="32">
        <f t="shared" si="2"/>
        <v>4</v>
      </c>
      <c r="I41" s="33">
        <f>SUMPRODUCT($H$7:$H15,$I$7:$I15)</f>
        <v>0</v>
      </c>
      <c r="M41" s="29">
        <v>35</v>
      </c>
      <c r="N41" s="32">
        <f>求节点(村县营基础信息!K$8:K$28,$I$33:$I$53,$M41)*节奏总纲!K38+N40</f>
        <v>0</v>
      </c>
      <c r="O41" s="32">
        <f>求节点(村县营基础信息!L$8:L$28,$I$33:$I$53,$M41)*节奏总纲!L38+O40</f>
        <v>0</v>
      </c>
      <c r="P41" s="32">
        <f>求节点(村县营基础信息!M$8:M$28,$I$33:$I$53,$M41)*节奏总纲!M38+P40</f>
        <v>0</v>
      </c>
      <c r="Q41" s="32">
        <f>求节点(村县营基础信息!N$8:N$28,$I$33:$I$53,$M41)*节奏总纲!N38+Q40</f>
        <v>0</v>
      </c>
      <c r="R41" s="32">
        <f>求节点(村县营基础信息!O$8:O$28,$I$33:$I$53,$M41)*节奏总纲!O38+R40</f>
        <v>0</v>
      </c>
      <c r="W41" s="29">
        <f t="shared" si="3"/>
        <v>9</v>
      </c>
      <c r="X41" s="34">
        <f t="shared" si="3"/>
        <v>1</v>
      </c>
      <c r="Y41" s="33">
        <f>SUMPRODUCT($X$7:$X15,$Y$7:$Y15)</f>
        <v>0</v>
      </c>
      <c r="AC41" s="29">
        <v>35</v>
      </c>
      <c r="AD41" s="32">
        <f>求节点(村县营基础信息!T$8:T$28,$Y$33:$Y$53,$AC41)*节奏总纲!K38*(1+$B$10)+AD40</f>
        <v>0</v>
      </c>
      <c r="AE41" s="32">
        <f>求节点(村县营基础信息!U$8:U$28,$Y$33:$Y$53,$AC41)*节奏总纲!L38*(1+$B$10)+AE40</f>
        <v>0</v>
      </c>
      <c r="AF41" s="32">
        <f>求节点(村县营基础信息!V$8:V$28,$Y$33:$Y$53,$AC41)*节奏总纲!M38*(1+$B$10)+AF40</f>
        <v>0</v>
      </c>
      <c r="AG41" s="32">
        <f>求节点(村县营基础信息!W$8:W$28,$Y$33:$Y$53,$AC41)*节奏总纲!N38*(1+$B$10)+AG40</f>
        <v>0</v>
      </c>
      <c r="AH41" s="32">
        <f>求节点(村县营基础信息!X$8:X$28,$Y$33:$Y$53,$AC41)*节奏总纲!O38*(1+$B$10)+AH40</f>
        <v>0</v>
      </c>
      <c r="AL41" s="29">
        <f t="shared" si="4"/>
        <v>9</v>
      </c>
      <c r="AM41" s="34">
        <f t="shared" si="4"/>
        <v>2</v>
      </c>
      <c r="AN41" s="33">
        <f>SUMPRODUCT(AM$7:AM15,AN$7:AN15)</f>
        <v>0</v>
      </c>
      <c r="AR41" s="29">
        <f>AT41/[2]节奏总纲!D38</f>
        <v>0</v>
      </c>
      <c r="AS41" s="29">
        <v>35</v>
      </c>
      <c r="AT41" s="32">
        <f>求节点(村县营基础信息!AC$8:AC$28,$AN$33:$AN$53,$AS41)*节奏总纲!K38+AT40</f>
        <v>0</v>
      </c>
      <c r="AU41" s="32">
        <f>求节点(村县营基础信息!AD$8:AD$28,$AN$33:$AN$53,$AS41)*节奏总纲!L38+AU40</f>
        <v>0</v>
      </c>
      <c r="AV41" s="32">
        <f>求节点(村县营基础信息!AE$8:AE$28,$AN$33:$AN$53,$AS41)*节奏总纲!M38+AV40</f>
        <v>0</v>
      </c>
      <c r="AW41" s="32">
        <f>求节点(村县营基础信息!AF$8:AF$28,$AN$33:$AN$53,$AS41)*节奏总纲!N38+AW40</f>
        <v>0</v>
      </c>
      <c r="AX41" s="32">
        <f>求节点(村县营基础信息!AG$8:AG$28,$AN$33:$AN$53,$AS41)*节奏总纲!O38+AX40</f>
        <v>0</v>
      </c>
      <c r="BA41" s="29">
        <f>(AV41-AV40)/[2]节奏总纲!M38*'[1]功能-付费相关'!BB40</f>
        <v>0</v>
      </c>
      <c r="BE41" s="29">
        <f t="shared" si="5"/>
        <v>9</v>
      </c>
      <c r="BF41" s="32">
        <f t="shared" si="5"/>
        <v>0</v>
      </c>
      <c r="BG41" s="33">
        <f>SUMPRODUCT(BF$7:BF15,BG$7:BG15)</f>
        <v>0</v>
      </c>
      <c r="BL41" s="29">
        <v>35</v>
      </c>
      <c r="BM41" s="32">
        <f>求节点(村县营基础信息!AL$8:AL$28,$BG$33:$BG$53,$BL41)*节奏总纲!K38+BM40</f>
        <v>0</v>
      </c>
      <c r="BN41" s="32">
        <f>求节点(村县营基础信息!AM$8:AM$28,$BG$33:$BG$53,$BL41)*节奏总纲!L38+BN40</f>
        <v>0</v>
      </c>
      <c r="BO41" s="32">
        <f>求节点(村县营基础信息!AN$8:AN$28,$BG$33:$BG$53,$BL41)*节奏总纲!M38+BO40</f>
        <v>0</v>
      </c>
      <c r="BP41" s="32">
        <f>求节点(村县营基础信息!AO$8:AO$28,$BG$33:$BG$53,$BL41)*节奏总纲!N38+BP40</f>
        <v>0</v>
      </c>
      <c r="BQ41" s="32">
        <f>求节点(村县营基础信息!AP$8:AP$28,$BG$33:$BG$53,$BL41)*节奏总纲!O38+BQ40</f>
        <v>0</v>
      </c>
    </row>
    <row r="42" spans="7:69" x14ac:dyDescent="0.15">
      <c r="G42" s="29">
        <f t="shared" si="2"/>
        <v>10</v>
      </c>
      <c r="H42" s="32">
        <f t="shared" si="2"/>
        <v>5</v>
      </c>
      <c r="I42" s="33">
        <f>SUMPRODUCT($H$7:$H16,$I$7:$I16)</f>
        <v>0</v>
      </c>
      <c r="M42" s="29">
        <v>36</v>
      </c>
      <c r="N42" s="32">
        <f>求节点(村县营基础信息!K$8:K$28,$I$33:$I$53,$M42)*节奏总纲!K39+N41</f>
        <v>0</v>
      </c>
      <c r="O42" s="32">
        <f>求节点(村县营基础信息!L$8:L$28,$I$33:$I$53,$M42)*节奏总纲!L39+O41</f>
        <v>0</v>
      </c>
      <c r="P42" s="32">
        <f>求节点(村县营基础信息!M$8:M$28,$I$33:$I$53,$M42)*节奏总纲!M39+P41</f>
        <v>0</v>
      </c>
      <c r="Q42" s="32">
        <f>求节点(村县营基础信息!N$8:N$28,$I$33:$I$53,$M42)*节奏总纲!N39+Q41</f>
        <v>0</v>
      </c>
      <c r="R42" s="32">
        <f>求节点(村县营基础信息!O$8:O$28,$I$33:$I$53,$M42)*节奏总纲!O39+R41</f>
        <v>0</v>
      </c>
      <c r="W42" s="29">
        <f t="shared" si="3"/>
        <v>10</v>
      </c>
      <c r="X42" s="34">
        <f t="shared" si="3"/>
        <v>0</v>
      </c>
      <c r="Y42" s="33">
        <f>SUMPRODUCT($X$7:$X16,$Y$7:$Y16)</f>
        <v>0</v>
      </c>
      <c r="AC42" s="29">
        <v>36</v>
      </c>
      <c r="AD42" s="32">
        <f>求节点(村县营基础信息!T$8:T$28,$Y$33:$Y$53,$AC42)*节奏总纲!K39*(1+$B$10)+AD41</f>
        <v>0</v>
      </c>
      <c r="AE42" s="32">
        <f>求节点(村县营基础信息!U$8:U$28,$Y$33:$Y$53,$AC42)*节奏总纲!L39*(1+$B$10)+AE41</f>
        <v>0</v>
      </c>
      <c r="AF42" s="32">
        <f>求节点(村县营基础信息!V$8:V$28,$Y$33:$Y$53,$AC42)*节奏总纲!M39*(1+$B$10)+AF41</f>
        <v>0</v>
      </c>
      <c r="AG42" s="32">
        <f>求节点(村县营基础信息!W$8:W$28,$Y$33:$Y$53,$AC42)*节奏总纲!N39*(1+$B$10)+AG41</f>
        <v>0</v>
      </c>
      <c r="AH42" s="32">
        <f>求节点(村县营基础信息!X$8:X$28,$Y$33:$Y$53,$AC42)*节奏总纲!O39*(1+$B$10)+AH41</f>
        <v>0</v>
      </c>
      <c r="AL42" s="29">
        <f t="shared" si="4"/>
        <v>10</v>
      </c>
      <c r="AM42" s="34">
        <f t="shared" si="4"/>
        <v>2</v>
      </c>
      <c r="AN42" s="33">
        <f>SUMPRODUCT(AM$7:AM16,AN$7:AN16)</f>
        <v>0</v>
      </c>
      <c r="AR42" s="29">
        <f>AT42/[2]节奏总纲!D39</f>
        <v>0</v>
      </c>
      <c r="AS42" s="29">
        <v>36</v>
      </c>
      <c r="AT42" s="32">
        <f>求节点(村县营基础信息!AC$8:AC$28,$AN$33:$AN$53,$AS42)*节奏总纲!K39+AT41</f>
        <v>0</v>
      </c>
      <c r="AU42" s="32">
        <f>求节点(村县营基础信息!AD$8:AD$28,$AN$33:$AN$53,$AS42)*节奏总纲!L39+AU41</f>
        <v>0</v>
      </c>
      <c r="AV42" s="32">
        <f>求节点(村县营基础信息!AE$8:AE$28,$AN$33:$AN$53,$AS42)*节奏总纲!M39+AV41</f>
        <v>0</v>
      </c>
      <c r="AW42" s="32">
        <f>求节点(村县营基础信息!AF$8:AF$28,$AN$33:$AN$53,$AS42)*节奏总纲!N39+AW41</f>
        <v>0</v>
      </c>
      <c r="AX42" s="32">
        <f>求节点(村县营基础信息!AG$8:AG$28,$AN$33:$AN$53,$AS42)*节奏总纲!O39+AX41</f>
        <v>0</v>
      </c>
      <c r="BA42" s="29">
        <f>(AV42-AV41)/[2]节奏总纲!M39*'[1]功能-付费相关'!BB41</f>
        <v>0</v>
      </c>
      <c r="BE42" s="29">
        <f t="shared" si="5"/>
        <v>10</v>
      </c>
      <c r="BF42" s="32">
        <f t="shared" si="5"/>
        <v>1</v>
      </c>
      <c r="BG42" s="33">
        <f>SUMPRODUCT(BF$7:BF16,BG$7:BG16)</f>
        <v>0</v>
      </c>
      <c r="BL42" s="29">
        <v>36</v>
      </c>
      <c r="BM42" s="32">
        <f>求节点(村县营基础信息!AL$8:AL$28,$BG$33:$BG$53,$BL42)*节奏总纲!K39+BM41</f>
        <v>0</v>
      </c>
      <c r="BN42" s="32">
        <f>求节点(村县营基础信息!AM$8:AM$28,$BG$33:$BG$53,$BL42)*节奏总纲!L39+BN41</f>
        <v>0</v>
      </c>
      <c r="BO42" s="32">
        <f>求节点(村县营基础信息!AN$8:AN$28,$BG$33:$BG$53,$BL42)*节奏总纲!M39+BO41</f>
        <v>0</v>
      </c>
      <c r="BP42" s="32">
        <f>求节点(村县营基础信息!AO$8:AO$28,$BG$33:$BG$53,$BL42)*节奏总纲!N39+BP41</f>
        <v>0</v>
      </c>
      <c r="BQ42" s="32">
        <f>求节点(村县营基础信息!AP$8:AP$28,$BG$33:$BG$53,$BL42)*节奏总纲!O39+BQ41</f>
        <v>0</v>
      </c>
    </row>
    <row r="43" spans="7:69" x14ac:dyDescent="0.15">
      <c r="G43" s="29">
        <f t="shared" si="2"/>
        <v>11</v>
      </c>
      <c r="H43" s="32">
        <f t="shared" si="2"/>
        <v>5</v>
      </c>
      <c r="I43" s="33" t="e">
        <f>SUMPRODUCT($H$7:$H17,$I$7:$I17)</f>
        <v>#REF!</v>
      </c>
      <c r="M43" s="29">
        <v>37</v>
      </c>
      <c r="N43" s="32">
        <f>求节点(村县营基础信息!K$8:K$28,$I$33:$I$53,$M43)*节奏总纲!K40+N42</f>
        <v>0</v>
      </c>
      <c r="O43" s="32">
        <f>求节点(村县营基础信息!L$8:L$28,$I$33:$I$53,$M43)*节奏总纲!L40+O42</f>
        <v>0</v>
      </c>
      <c r="P43" s="32">
        <f>求节点(村县营基础信息!M$8:M$28,$I$33:$I$53,$M43)*节奏总纲!M40+P42</f>
        <v>0</v>
      </c>
      <c r="Q43" s="32">
        <f>求节点(村县营基础信息!N$8:N$28,$I$33:$I$53,$M43)*节奏总纲!N40+Q42</f>
        <v>0</v>
      </c>
      <c r="R43" s="32">
        <f>求节点(村县营基础信息!O$8:O$28,$I$33:$I$53,$M43)*节奏总纲!O40+R42</f>
        <v>0</v>
      </c>
      <c r="W43" s="29">
        <f t="shared" si="3"/>
        <v>11</v>
      </c>
      <c r="X43" s="34">
        <f t="shared" si="3"/>
        <v>1</v>
      </c>
      <c r="Y43" s="33">
        <f>SUMPRODUCT($X$7:$X17,$Y$7:$Y17)</f>
        <v>0</v>
      </c>
      <c r="AC43" s="29">
        <v>37</v>
      </c>
      <c r="AD43" s="32">
        <f>求节点(村县营基础信息!T$8:T$28,$Y$33:$Y$53,$AC43)*节奏总纲!K40*(1+$B$10)+AD42</f>
        <v>0</v>
      </c>
      <c r="AE43" s="32">
        <f>求节点(村县营基础信息!U$8:U$28,$Y$33:$Y$53,$AC43)*节奏总纲!L40*(1+$B$10)+AE42</f>
        <v>0</v>
      </c>
      <c r="AF43" s="32">
        <f>求节点(村县营基础信息!V$8:V$28,$Y$33:$Y$53,$AC43)*节奏总纲!M40*(1+$B$10)+AF42</f>
        <v>0</v>
      </c>
      <c r="AG43" s="32">
        <f>求节点(村县营基础信息!W$8:W$28,$Y$33:$Y$53,$AC43)*节奏总纲!N40*(1+$B$10)+AG42</f>
        <v>0</v>
      </c>
      <c r="AH43" s="32">
        <f>求节点(村县营基础信息!X$8:X$28,$Y$33:$Y$53,$AC43)*节奏总纲!O40*(1+$B$10)+AH42</f>
        <v>0</v>
      </c>
      <c r="AL43" s="29">
        <f t="shared" si="4"/>
        <v>11</v>
      </c>
      <c r="AM43" s="34">
        <f t="shared" si="4"/>
        <v>2</v>
      </c>
      <c r="AN43" s="33" t="e">
        <f>SUMPRODUCT(AM$7:AM17,AN$7:AN17)</f>
        <v>#REF!</v>
      </c>
      <c r="AR43" s="29">
        <f>AT43/[2]节奏总纲!D40</f>
        <v>0</v>
      </c>
      <c r="AS43" s="29">
        <v>37</v>
      </c>
      <c r="AT43" s="32">
        <f>求节点(村县营基础信息!AC$8:AC$28,$AN$33:$AN$53,$AS43)*节奏总纲!K40+AT42</f>
        <v>0</v>
      </c>
      <c r="AU43" s="32">
        <f>求节点(村县营基础信息!AD$8:AD$28,$AN$33:$AN$53,$AS43)*节奏总纲!L40+AU42</f>
        <v>0</v>
      </c>
      <c r="AV43" s="32">
        <f>求节点(村县营基础信息!AE$8:AE$28,$AN$33:$AN$53,$AS43)*节奏总纲!M40+AV42</f>
        <v>0</v>
      </c>
      <c r="AW43" s="32">
        <f>求节点(村县营基础信息!AF$8:AF$28,$AN$33:$AN$53,$AS43)*节奏总纲!N40+AW42</f>
        <v>0</v>
      </c>
      <c r="AX43" s="32">
        <f>求节点(村县营基础信息!AG$8:AG$28,$AN$33:$AN$53,$AS43)*节奏总纲!O40+AX42</f>
        <v>0</v>
      </c>
      <c r="BA43" s="29">
        <f>(AV43-AV42)/[2]节奏总纲!M40*'[1]功能-付费相关'!BB42</f>
        <v>0</v>
      </c>
      <c r="BE43" s="29">
        <f t="shared" si="5"/>
        <v>11</v>
      </c>
      <c r="BF43" s="32">
        <f t="shared" si="5"/>
        <v>0</v>
      </c>
      <c r="BG43" s="33">
        <f>SUMPRODUCT(BF$7:BF17,BG$7:BG17)</f>
        <v>0</v>
      </c>
      <c r="BL43" s="29">
        <v>37</v>
      </c>
      <c r="BM43" s="32">
        <f>求节点(村县营基础信息!AL$8:AL$28,$BG$33:$BG$53,$BL43)*节奏总纲!K40+BM42</f>
        <v>0</v>
      </c>
      <c r="BN43" s="32">
        <f>求节点(村县营基础信息!AM$8:AM$28,$BG$33:$BG$53,$BL43)*节奏总纲!L40+BN42</f>
        <v>0</v>
      </c>
      <c r="BO43" s="32">
        <f>求节点(村县营基础信息!AN$8:AN$28,$BG$33:$BG$53,$BL43)*节奏总纲!M40+BO42</f>
        <v>0</v>
      </c>
      <c r="BP43" s="32">
        <f>求节点(村县营基础信息!AO$8:AO$28,$BG$33:$BG$53,$BL43)*节奏总纲!N40+BP42</f>
        <v>0</v>
      </c>
      <c r="BQ43" s="32">
        <f>求节点(村县营基础信息!AP$8:AP$28,$BG$33:$BG$53,$BL43)*节奏总纲!O40+BQ42</f>
        <v>0</v>
      </c>
    </row>
    <row r="44" spans="7:69" x14ac:dyDescent="0.15">
      <c r="G44" s="29">
        <f t="shared" si="2"/>
        <v>12</v>
      </c>
      <c r="H44" s="32">
        <f t="shared" si="2"/>
        <v>5</v>
      </c>
      <c r="I44" s="33" t="e">
        <f>SUMPRODUCT($H$7:$H18,$I$7:$I18)</f>
        <v>#REF!</v>
      </c>
      <c r="M44" s="29">
        <v>38</v>
      </c>
      <c r="N44" s="32">
        <f>求节点(村县营基础信息!K$8:K$28,$I$33:$I$53,$M44)*节奏总纲!K41+N43</f>
        <v>0</v>
      </c>
      <c r="O44" s="32">
        <f>求节点(村县营基础信息!L$8:L$28,$I$33:$I$53,$M44)*节奏总纲!L41+O43</f>
        <v>0</v>
      </c>
      <c r="P44" s="32">
        <f>求节点(村县营基础信息!M$8:M$28,$I$33:$I$53,$M44)*节奏总纲!M41+P43</f>
        <v>0</v>
      </c>
      <c r="Q44" s="32">
        <f>求节点(村县营基础信息!N$8:N$28,$I$33:$I$53,$M44)*节奏总纲!N41+Q43</f>
        <v>0</v>
      </c>
      <c r="R44" s="32">
        <f>求节点(村县营基础信息!O$8:O$28,$I$33:$I$53,$M44)*节奏总纲!O41+R43</f>
        <v>0</v>
      </c>
      <c r="W44" s="29">
        <f t="shared" si="3"/>
        <v>12</v>
      </c>
      <c r="X44" s="34">
        <f t="shared" si="3"/>
        <v>0</v>
      </c>
      <c r="Y44" s="33">
        <f>SUMPRODUCT($X$7:$X18,$Y$7:$Y18)</f>
        <v>0</v>
      </c>
      <c r="AC44" s="29">
        <v>38</v>
      </c>
      <c r="AD44" s="32">
        <f>求节点(村县营基础信息!T$8:T$28,$Y$33:$Y$53,$AC44)*节奏总纲!K41*(1+$B$10)+AD43</f>
        <v>0</v>
      </c>
      <c r="AE44" s="32">
        <f>求节点(村县营基础信息!U$8:U$28,$Y$33:$Y$53,$AC44)*节奏总纲!L41*(1+$B$10)+AE43</f>
        <v>0</v>
      </c>
      <c r="AF44" s="32">
        <f>求节点(村县营基础信息!V$8:V$28,$Y$33:$Y$53,$AC44)*节奏总纲!M41*(1+$B$10)+AF43</f>
        <v>0</v>
      </c>
      <c r="AG44" s="32">
        <f>求节点(村县营基础信息!W$8:W$28,$Y$33:$Y$53,$AC44)*节奏总纲!N41*(1+$B$10)+AG43</f>
        <v>0</v>
      </c>
      <c r="AH44" s="32">
        <f>求节点(村县营基础信息!X$8:X$28,$Y$33:$Y$53,$AC44)*节奏总纲!O41*(1+$B$10)+AH43</f>
        <v>0</v>
      </c>
      <c r="AL44" s="29">
        <f t="shared" si="4"/>
        <v>12</v>
      </c>
      <c r="AM44" s="34">
        <f t="shared" si="4"/>
        <v>2</v>
      </c>
      <c r="AN44" s="33" t="e">
        <f>SUMPRODUCT(AM$7:AM18,AN$7:AN18)</f>
        <v>#REF!</v>
      </c>
      <c r="AR44" s="29">
        <f>AT44/[2]节奏总纲!D41</f>
        <v>0</v>
      </c>
      <c r="AS44" s="29">
        <v>38</v>
      </c>
      <c r="AT44" s="32">
        <f>求节点(村县营基础信息!AC$8:AC$28,$AN$33:$AN$53,$AS44)*节奏总纲!K41+AT43</f>
        <v>0</v>
      </c>
      <c r="AU44" s="32">
        <f>求节点(村县营基础信息!AD$8:AD$28,$AN$33:$AN$53,$AS44)*节奏总纲!L41+AU43</f>
        <v>0</v>
      </c>
      <c r="AV44" s="32">
        <f>求节点(村县营基础信息!AE$8:AE$28,$AN$33:$AN$53,$AS44)*节奏总纲!M41+AV43</f>
        <v>0</v>
      </c>
      <c r="AW44" s="32">
        <f>求节点(村县营基础信息!AF$8:AF$28,$AN$33:$AN$53,$AS44)*节奏总纲!N41+AW43</f>
        <v>0</v>
      </c>
      <c r="AX44" s="32">
        <f>求节点(村县营基础信息!AG$8:AG$28,$AN$33:$AN$53,$AS44)*节奏总纲!O41+AX43</f>
        <v>0</v>
      </c>
      <c r="BA44" s="29">
        <f>(AV44-AV43)/[2]节奏总纲!M41*'[1]功能-付费相关'!BB43</f>
        <v>0</v>
      </c>
      <c r="BE44" s="29">
        <f t="shared" si="5"/>
        <v>12</v>
      </c>
      <c r="BF44" s="32">
        <f t="shared" si="5"/>
        <v>1</v>
      </c>
      <c r="BG44" s="33">
        <f>SUMPRODUCT(BF$7:BF18,BG$7:BG18)</f>
        <v>0</v>
      </c>
      <c r="BL44" s="29">
        <v>38</v>
      </c>
      <c r="BM44" s="32">
        <f>求节点(村县营基础信息!AL$8:AL$28,$BG$33:$BG$53,$BL44)*节奏总纲!K41+BM43</f>
        <v>0</v>
      </c>
      <c r="BN44" s="32">
        <f>求节点(村县营基础信息!AM$8:AM$28,$BG$33:$BG$53,$BL44)*节奏总纲!L41+BN43</f>
        <v>0</v>
      </c>
      <c r="BO44" s="32">
        <f>求节点(村县营基础信息!AN$8:AN$28,$BG$33:$BG$53,$BL44)*节奏总纲!M41+BO43</f>
        <v>0</v>
      </c>
      <c r="BP44" s="32">
        <f>求节点(村县营基础信息!AO$8:AO$28,$BG$33:$BG$53,$BL44)*节奏总纲!N41+BP43</f>
        <v>0</v>
      </c>
      <c r="BQ44" s="32">
        <f>求节点(村县营基础信息!AP$8:AP$28,$BG$33:$BG$53,$BL44)*节奏总纲!O41+BQ43</f>
        <v>0</v>
      </c>
    </row>
    <row r="45" spans="7:69" x14ac:dyDescent="0.15">
      <c r="G45" s="29">
        <f t="shared" si="2"/>
        <v>13</v>
      </c>
      <c r="H45" s="32">
        <f t="shared" si="2"/>
        <v>6</v>
      </c>
      <c r="I45" s="33" t="e">
        <f>SUMPRODUCT($H$7:$H19,$I$7:$I19)</f>
        <v>#REF!</v>
      </c>
      <c r="M45" s="29">
        <v>39</v>
      </c>
      <c r="N45" s="32">
        <f>求节点(村县营基础信息!K$8:K$28,$I$33:$I$53,$M45)*节奏总纲!K42+N44</f>
        <v>0</v>
      </c>
      <c r="O45" s="32">
        <f>求节点(村县营基础信息!L$8:L$28,$I$33:$I$53,$M45)*节奏总纲!L42+O44</f>
        <v>0</v>
      </c>
      <c r="P45" s="32">
        <f>求节点(村县营基础信息!M$8:M$28,$I$33:$I$53,$M45)*节奏总纲!M42+P44</f>
        <v>0</v>
      </c>
      <c r="Q45" s="32">
        <f>求节点(村县营基础信息!N$8:N$28,$I$33:$I$53,$M45)*节奏总纲!N42+Q44</f>
        <v>0</v>
      </c>
      <c r="R45" s="32">
        <f>求节点(村县营基础信息!O$8:O$28,$I$33:$I$53,$M45)*节奏总纲!O42+R44</f>
        <v>0</v>
      </c>
      <c r="W45" s="29">
        <f t="shared" si="3"/>
        <v>13</v>
      </c>
      <c r="X45" s="34">
        <f t="shared" si="3"/>
        <v>1</v>
      </c>
      <c r="Y45" s="33">
        <f>SUMPRODUCT($X$7:$X19,$Y$7:$Y19)</f>
        <v>0</v>
      </c>
      <c r="AC45" s="29">
        <v>39</v>
      </c>
      <c r="AD45" s="32">
        <f>求节点(村县营基础信息!T$8:T$28,$Y$33:$Y$53,$AC45)*节奏总纲!K42*(1+$B$10)+AD44</f>
        <v>0</v>
      </c>
      <c r="AE45" s="32">
        <f>求节点(村县营基础信息!U$8:U$28,$Y$33:$Y$53,$AC45)*节奏总纲!L42*(1+$B$10)+AE44</f>
        <v>0</v>
      </c>
      <c r="AF45" s="32">
        <f>求节点(村县营基础信息!V$8:V$28,$Y$33:$Y$53,$AC45)*节奏总纲!M42*(1+$B$10)+AF44</f>
        <v>0</v>
      </c>
      <c r="AG45" s="32">
        <f>求节点(村县营基础信息!W$8:W$28,$Y$33:$Y$53,$AC45)*节奏总纲!N42*(1+$B$10)+AG44</f>
        <v>0</v>
      </c>
      <c r="AH45" s="32">
        <f>求节点(村县营基础信息!X$8:X$28,$Y$33:$Y$53,$AC45)*节奏总纲!O42*(1+$B$10)+AH44</f>
        <v>0</v>
      </c>
      <c r="AL45" s="29">
        <f t="shared" si="4"/>
        <v>13</v>
      </c>
      <c r="AM45" s="34">
        <f t="shared" si="4"/>
        <v>2</v>
      </c>
      <c r="AN45" s="33" t="e">
        <f>SUMPRODUCT(AM$7:AM19,AN$7:AN19)</f>
        <v>#REF!</v>
      </c>
      <c r="AR45" s="29">
        <f>AT45/[2]节奏总纲!D42</f>
        <v>0</v>
      </c>
      <c r="AS45" s="29">
        <v>39</v>
      </c>
      <c r="AT45" s="32">
        <f>求节点(村县营基础信息!AC$8:AC$28,$AN$33:$AN$53,$AS45)*节奏总纲!K42+AT44</f>
        <v>0</v>
      </c>
      <c r="AU45" s="32">
        <f>求节点(村县营基础信息!AD$8:AD$28,$AN$33:$AN$53,$AS45)*节奏总纲!L42+AU44</f>
        <v>0</v>
      </c>
      <c r="AV45" s="32">
        <f>求节点(村县营基础信息!AE$8:AE$28,$AN$33:$AN$53,$AS45)*节奏总纲!M42+AV44</f>
        <v>0</v>
      </c>
      <c r="AW45" s="32">
        <f>求节点(村县营基础信息!AF$8:AF$28,$AN$33:$AN$53,$AS45)*节奏总纲!N42+AW44</f>
        <v>0</v>
      </c>
      <c r="AX45" s="32">
        <f>求节点(村县营基础信息!AG$8:AG$28,$AN$33:$AN$53,$AS45)*节奏总纲!O42+AX44</f>
        <v>0</v>
      </c>
      <c r="BA45" s="29">
        <f>(AV45-AV44)/[2]节奏总纲!M42*'[1]功能-付费相关'!BB44</f>
        <v>0</v>
      </c>
      <c r="BE45" s="29">
        <f t="shared" si="5"/>
        <v>13</v>
      </c>
      <c r="BF45" s="32">
        <f t="shared" si="5"/>
        <v>0</v>
      </c>
      <c r="BG45" s="33">
        <f>SUMPRODUCT(BF$7:BF19,BG$7:BG19)</f>
        <v>0</v>
      </c>
      <c r="BL45" s="29">
        <v>39</v>
      </c>
      <c r="BM45" s="32">
        <f>求节点(村县营基础信息!AL$8:AL$28,$BG$33:$BG$53,$BL45)*节奏总纲!K42+BM44</f>
        <v>0</v>
      </c>
      <c r="BN45" s="32">
        <f>求节点(村县营基础信息!AM$8:AM$28,$BG$33:$BG$53,$BL45)*节奏总纲!L42+BN44</f>
        <v>0</v>
      </c>
      <c r="BO45" s="32">
        <f>求节点(村县营基础信息!AN$8:AN$28,$BG$33:$BG$53,$BL45)*节奏总纲!M42+BO44</f>
        <v>0</v>
      </c>
      <c r="BP45" s="32">
        <f>求节点(村县营基础信息!AO$8:AO$28,$BG$33:$BG$53,$BL45)*节奏总纲!N42+BP44</f>
        <v>0</v>
      </c>
      <c r="BQ45" s="32">
        <f>求节点(村县营基础信息!AP$8:AP$28,$BG$33:$BG$53,$BL45)*节奏总纲!O42+BQ44</f>
        <v>0</v>
      </c>
    </row>
    <row r="46" spans="7:69" x14ac:dyDescent="0.15">
      <c r="G46" s="29">
        <f t="shared" si="2"/>
        <v>14</v>
      </c>
      <c r="H46" s="32">
        <f t="shared" si="2"/>
        <v>6</v>
      </c>
      <c r="I46" s="33" t="e">
        <f>SUMPRODUCT($H$7:$H20,$I$7:$I20)</f>
        <v>#REF!</v>
      </c>
      <c r="M46" s="29">
        <v>40</v>
      </c>
      <c r="N46" s="32">
        <f>求节点(村县营基础信息!K$8:K$28,$I$33:$I$53,$M46)*节奏总纲!K43+N45</f>
        <v>0</v>
      </c>
      <c r="O46" s="32">
        <f>求节点(村县营基础信息!L$8:L$28,$I$33:$I$53,$M46)*节奏总纲!L43+O45</f>
        <v>0</v>
      </c>
      <c r="P46" s="32">
        <f>求节点(村县营基础信息!M$8:M$28,$I$33:$I$53,$M46)*节奏总纲!M43+P45</f>
        <v>0</v>
      </c>
      <c r="Q46" s="32">
        <f>求节点(村县营基础信息!N$8:N$28,$I$33:$I$53,$M46)*节奏总纲!N43+Q45</f>
        <v>0</v>
      </c>
      <c r="R46" s="32">
        <f>求节点(村县营基础信息!O$8:O$28,$I$33:$I$53,$M46)*节奏总纲!O43+R45</f>
        <v>0</v>
      </c>
      <c r="W46" s="29">
        <f t="shared" si="3"/>
        <v>14</v>
      </c>
      <c r="X46" s="34">
        <f t="shared" si="3"/>
        <v>0</v>
      </c>
      <c r="Y46" s="33">
        <f>SUMPRODUCT($X$7:$X20,$Y$7:$Y20)</f>
        <v>0</v>
      </c>
      <c r="AC46" s="29">
        <v>40</v>
      </c>
      <c r="AD46" s="32">
        <f>求节点(村县营基础信息!T$8:T$28,$Y$33:$Y$53,$AC46)*节奏总纲!K43*(1+$B$10)+AD45</f>
        <v>0</v>
      </c>
      <c r="AE46" s="32">
        <f>求节点(村县营基础信息!U$8:U$28,$Y$33:$Y$53,$AC46)*节奏总纲!L43*(1+$B$10)+AE45</f>
        <v>0</v>
      </c>
      <c r="AF46" s="32">
        <f>求节点(村县营基础信息!V$8:V$28,$Y$33:$Y$53,$AC46)*节奏总纲!M43*(1+$B$10)+AF45</f>
        <v>0</v>
      </c>
      <c r="AG46" s="32">
        <f>求节点(村县营基础信息!W$8:W$28,$Y$33:$Y$53,$AC46)*节奏总纲!N43*(1+$B$10)+AG45</f>
        <v>0</v>
      </c>
      <c r="AH46" s="32">
        <f>求节点(村县营基础信息!X$8:X$28,$Y$33:$Y$53,$AC46)*节奏总纲!O43*(1+$B$10)+AH45</f>
        <v>0</v>
      </c>
      <c r="AL46" s="29">
        <f t="shared" si="4"/>
        <v>14</v>
      </c>
      <c r="AM46" s="34">
        <f t="shared" si="4"/>
        <v>3</v>
      </c>
      <c r="AN46" s="33" t="e">
        <f>SUMPRODUCT(AM$7:AM20,AN$7:AN20)</f>
        <v>#REF!</v>
      </c>
      <c r="AR46" s="29">
        <f>AT46/[2]节奏总纲!D43</f>
        <v>0</v>
      </c>
      <c r="AS46" s="29">
        <v>40</v>
      </c>
      <c r="AT46" s="32">
        <f>求节点(村县营基础信息!AC$8:AC$28,$AN$33:$AN$53,$AS46)*节奏总纲!K43+AT45</f>
        <v>0</v>
      </c>
      <c r="AU46" s="32">
        <f>求节点(村县营基础信息!AD$8:AD$28,$AN$33:$AN$53,$AS46)*节奏总纲!L43+AU45</f>
        <v>0</v>
      </c>
      <c r="AV46" s="32">
        <f>求节点(村县营基础信息!AE$8:AE$28,$AN$33:$AN$53,$AS46)*节奏总纲!M43+AV45</f>
        <v>0</v>
      </c>
      <c r="AW46" s="32">
        <f>求节点(村县营基础信息!AF$8:AF$28,$AN$33:$AN$53,$AS46)*节奏总纲!N43+AW45</f>
        <v>0</v>
      </c>
      <c r="AX46" s="32">
        <f>求节点(村县营基础信息!AG$8:AG$28,$AN$33:$AN$53,$AS46)*节奏总纲!O43+AX45</f>
        <v>0</v>
      </c>
      <c r="BA46" s="29">
        <f>(AV46-AV45)/[2]节奏总纲!M43*'[1]功能-付费相关'!BB45</f>
        <v>0</v>
      </c>
      <c r="BE46" s="29">
        <f t="shared" si="5"/>
        <v>14</v>
      </c>
      <c r="BF46" s="32">
        <f t="shared" si="5"/>
        <v>1</v>
      </c>
      <c r="BG46" s="33">
        <f>SUMPRODUCT(BF$7:BF20,BG$7:BG20)</f>
        <v>0</v>
      </c>
      <c r="BL46" s="29">
        <v>40</v>
      </c>
      <c r="BM46" s="32">
        <f>求节点(村县营基础信息!AL$8:AL$28,$BG$33:$BG$53,$BL46)*节奏总纲!K43+BM45</f>
        <v>0</v>
      </c>
      <c r="BN46" s="32">
        <f>求节点(村县营基础信息!AM$8:AM$28,$BG$33:$BG$53,$BL46)*节奏总纲!L43+BN45</f>
        <v>0</v>
      </c>
      <c r="BO46" s="32">
        <f>求节点(村县营基础信息!AN$8:AN$28,$BG$33:$BG$53,$BL46)*节奏总纲!M43+BO45</f>
        <v>0</v>
      </c>
      <c r="BP46" s="32">
        <f>求节点(村县营基础信息!AO$8:AO$28,$BG$33:$BG$53,$BL46)*节奏总纲!N43+BP45</f>
        <v>0</v>
      </c>
      <c r="BQ46" s="32">
        <f>求节点(村县营基础信息!AP$8:AP$28,$BG$33:$BG$53,$BL46)*节奏总纲!O43+BQ45</f>
        <v>0</v>
      </c>
    </row>
    <row r="47" spans="7:69" x14ac:dyDescent="0.15">
      <c r="G47" s="29">
        <f t="shared" si="2"/>
        <v>15</v>
      </c>
      <c r="H47" s="32">
        <f t="shared" si="2"/>
        <v>6</v>
      </c>
      <c r="I47" s="33" t="e">
        <f>SUMPRODUCT($H$7:$H21,$I$7:$I21)</f>
        <v>#REF!</v>
      </c>
      <c r="M47" s="29">
        <v>41</v>
      </c>
      <c r="N47" s="32">
        <f>求节点(村县营基础信息!K$8:K$28,$I$33:$I$53,$M47)*节奏总纲!K44+N46</f>
        <v>0</v>
      </c>
      <c r="O47" s="32">
        <f>求节点(村县营基础信息!L$8:L$28,$I$33:$I$53,$M47)*节奏总纲!L44+O46</f>
        <v>0</v>
      </c>
      <c r="P47" s="32">
        <f>求节点(村县营基础信息!M$8:M$28,$I$33:$I$53,$M47)*节奏总纲!M44+P46</f>
        <v>0</v>
      </c>
      <c r="Q47" s="32">
        <f>求节点(村县营基础信息!N$8:N$28,$I$33:$I$53,$M47)*节奏总纲!N44+Q46</f>
        <v>0</v>
      </c>
      <c r="R47" s="32">
        <f>求节点(村县营基础信息!O$8:O$28,$I$33:$I$53,$M47)*节奏总纲!O44+R46</f>
        <v>0</v>
      </c>
      <c r="W47" s="29">
        <f t="shared" si="3"/>
        <v>15</v>
      </c>
      <c r="X47" s="34">
        <f t="shared" si="3"/>
        <v>1</v>
      </c>
      <c r="Y47" s="33">
        <f>SUMPRODUCT($X$7:$X21,$Y$7:$Y21)</f>
        <v>0</v>
      </c>
      <c r="AC47" s="29">
        <v>41</v>
      </c>
      <c r="AD47" s="32">
        <f>求节点(村县营基础信息!T$8:T$28,$Y$33:$Y$53,$AC47)*节奏总纲!K44*(1+$B$10)+AD46</f>
        <v>0</v>
      </c>
      <c r="AE47" s="32">
        <f>求节点(村县营基础信息!U$8:U$28,$Y$33:$Y$53,$AC47)*节奏总纲!L44*(1+$B$10)+AE46</f>
        <v>0</v>
      </c>
      <c r="AF47" s="32">
        <f>求节点(村县营基础信息!V$8:V$28,$Y$33:$Y$53,$AC47)*节奏总纲!M44*(1+$B$10)+AF46</f>
        <v>0</v>
      </c>
      <c r="AG47" s="32">
        <f>求节点(村县营基础信息!W$8:W$28,$Y$33:$Y$53,$AC47)*节奏总纲!N44*(1+$B$10)+AG46</f>
        <v>0</v>
      </c>
      <c r="AH47" s="32">
        <f>求节点(村县营基础信息!X$8:X$28,$Y$33:$Y$53,$AC47)*节奏总纲!O44*(1+$B$10)+AH46</f>
        <v>0</v>
      </c>
      <c r="AL47" s="29">
        <f t="shared" si="4"/>
        <v>15</v>
      </c>
      <c r="AM47" s="34">
        <f t="shared" si="4"/>
        <v>3</v>
      </c>
      <c r="AN47" s="33" t="e">
        <f>SUMPRODUCT(AM$7:AM21,AN$7:AN21)</f>
        <v>#REF!</v>
      </c>
      <c r="AR47" s="29">
        <f>AT47/[2]节奏总纲!D44</f>
        <v>0</v>
      </c>
      <c r="AS47" s="29">
        <v>41</v>
      </c>
      <c r="AT47" s="32">
        <f>求节点(村县营基础信息!AC$8:AC$28,$AN$33:$AN$53,$AS47)*节奏总纲!K44+AT46</f>
        <v>0</v>
      </c>
      <c r="AU47" s="32">
        <f>求节点(村县营基础信息!AD$8:AD$28,$AN$33:$AN$53,$AS47)*节奏总纲!L44+AU46</f>
        <v>0</v>
      </c>
      <c r="AV47" s="32">
        <f>求节点(村县营基础信息!AE$8:AE$28,$AN$33:$AN$53,$AS47)*节奏总纲!M44+AV46</f>
        <v>0</v>
      </c>
      <c r="AW47" s="32">
        <f>求节点(村县营基础信息!AF$8:AF$28,$AN$33:$AN$53,$AS47)*节奏总纲!N44+AW46</f>
        <v>0</v>
      </c>
      <c r="AX47" s="32">
        <f>求节点(村县营基础信息!AG$8:AG$28,$AN$33:$AN$53,$AS47)*节奏总纲!O44+AX46</f>
        <v>0</v>
      </c>
      <c r="BA47" s="29">
        <f>(AV47-AV46)/[2]节奏总纲!M44*'[1]功能-付费相关'!BB46</f>
        <v>0</v>
      </c>
      <c r="BE47" s="29">
        <f t="shared" si="5"/>
        <v>15</v>
      </c>
      <c r="BF47" s="32">
        <f t="shared" si="5"/>
        <v>0</v>
      </c>
      <c r="BG47" s="33">
        <f>SUMPRODUCT(BF$7:BF21,BG$7:BG21)</f>
        <v>0</v>
      </c>
      <c r="BL47" s="29">
        <v>41</v>
      </c>
      <c r="BM47" s="32">
        <f>求节点(村县营基础信息!AL$8:AL$28,$BG$33:$BG$53,$BL47)*节奏总纲!K44+BM46</f>
        <v>0</v>
      </c>
      <c r="BN47" s="32">
        <f>求节点(村县营基础信息!AM$8:AM$28,$BG$33:$BG$53,$BL47)*节奏总纲!L44+BN46</f>
        <v>0</v>
      </c>
      <c r="BO47" s="32">
        <f>求节点(村县营基础信息!AN$8:AN$28,$BG$33:$BG$53,$BL47)*节奏总纲!M44+BO46</f>
        <v>0</v>
      </c>
      <c r="BP47" s="32">
        <f>求节点(村县营基础信息!AO$8:AO$28,$BG$33:$BG$53,$BL47)*节奏总纲!N44+BP46</f>
        <v>0</v>
      </c>
      <c r="BQ47" s="32">
        <f>求节点(村县营基础信息!AP$8:AP$28,$BG$33:$BG$53,$BL47)*节奏总纲!O44+BQ46</f>
        <v>0</v>
      </c>
    </row>
    <row r="48" spans="7:69" x14ac:dyDescent="0.15">
      <c r="G48" s="29">
        <f t="shared" si="2"/>
        <v>16</v>
      </c>
      <c r="H48" s="32">
        <f t="shared" si="2"/>
        <v>7</v>
      </c>
      <c r="I48" s="33" t="e">
        <f>SUMPRODUCT($H$7:$H22,$I$7:$I22)</f>
        <v>#REF!</v>
      </c>
      <c r="M48" s="29">
        <v>42</v>
      </c>
      <c r="N48" s="32">
        <f>求节点(村县营基础信息!K$8:K$28,$I$33:$I$53,$M48)*节奏总纲!K45+N47</f>
        <v>0</v>
      </c>
      <c r="O48" s="32">
        <f>求节点(村县营基础信息!L$8:L$28,$I$33:$I$53,$M48)*节奏总纲!L45+O47</f>
        <v>0</v>
      </c>
      <c r="P48" s="32">
        <f>求节点(村县营基础信息!M$8:M$28,$I$33:$I$53,$M48)*节奏总纲!M45+P47</f>
        <v>0</v>
      </c>
      <c r="Q48" s="32">
        <f>求节点(村县营基础信息!N$8:N$28,$I$33:$I$53,$M48)*节奏总纲!N45+Q47</f>
        <v>0</v>
      </c>
      <c r="R48" s="32">
        <f>求节点(村县营基础信息!O$8:O$28,$I$33:$I$53,$M48)*节奏总纲!O45+R47</f>
        <v>0</v>
      </c>
      <c r="W48" s="29">
        <f t="shared" si="3"/>
        <v>16</v>
      </c>
      <c r="X48" s="34">
        <f t="shared" si="3"/>
        <v>0</v>
      </c>
      <c r="Y48" s="33">
        <f>SUMPRODUCT($X$7:$X22,$Y$7:$Y22)</f>
        <v>0</v>
      </c>
      <c r="AC48" s="29">
        <v>42</v>
      </c>
      <c r="AD48" s="32">
        <f>求节点(村县营基础信息!T$8:T$28,$Y$33:$Y$53,$AC48)*节奏总纲!K45*(1+$B$10)+AD47</f>
        <v>0</v>
      </c>
      <c r="AE48" s="32">
        <f>求节点(村县营基础信息!U$8:U$28,$Y$33:$Y$53,$AC48)*节奏总纲!L45*(1+$B$10)+AE47</f>
        <v>0</v>
      </c>
      <c r="AF48" s="32">
        <f>求节点(村县营基础信息!V$8:V$28,$Y$33:$Y$53,$AC48)*节奏总纲!M45*(1+$B$10)+AF47</f>
        <v>0</v>
      </c>
      <c r="AG48" s="32">
        <f>求节点(村县营基础信息!W$8:W$28,$Y$33:$Y$53,$AC48)*节奏总纲!N45*(1+$B$10)+AG47</f>
        <v>0</v>
      </c>
      <c r="AH48" s="32">
        <f>求节点(村县营基础信息!X$8:X$28,$Y$33:$Y$53,$AC48)*节奏总纲!O45*(1+$B$10)+AH47</f>
        <v>0</v>
      </c>
      <c r="AL48" s="29">
        <f t="shared" si="4"/>
        <v>16</v>
      </c>
      <c r="AM48" s="34">
        <f t="shared" si="4"/>
        <v>3</v>
      </c>
      <c r="AN48" s="33" t="e">
        <f>SUMPRODUCT(AM$7:AM22,AN$7:AN22)</f>
        <v>#REF!</v>
      </c>
      <c r="AR48" s="29">
        <f>AT48/[2]节奏总纲!D45</f>
        <v>0</v>
      </c>
      <c r="AS48" s="29">
        <v>42</v>
      </c>
      <c r="AT48" s="32">
        <f>求节点(村县营基础信息!AC$8:AC$28,$AN$33:$AN$53,$AS48)*节奏总纲!K45+AT47</f>
        <v>0</v>
      </c>
      <c r="AU48" s="32">
        <f>求节点(村县营基础信息!AD$8:AD$28,$AN$33:$AN$53,$AS48)*节奏总纲!L45+AU47</f>
        <v>0</v>
      </c>
      <c r="AV48" s="32">
        <f>求节点(村县营基础信息!AE$8:AE$28,$AN$33:$AN$53,$AS48)*节奏总纲!M45+AV47</f>
        <v>0</v>
      </c>
      <c r="AW48" s="32">
        <f>求节点(村县营基础信息!AF$8:AF$28,$AN$33:$AN$53,$AS48)*节奏总纲!N45+AW47</f>
        <v>0</v>
      </c>
      <c r="AX48" s="32">
        <f>求节点(村县营基础信息!AG$8:AG$28,$AN$33:$AN$53,$AS48)*节奏总纲!O45+AX47</f>
        <v>0</v>
      </c>
      <c r="BA48" s="29">
        <f>(AV48-AV47)/[2]节奏总纲!M45*'[1]功能-付费相关'!BB47</f>
        <v>0</v>
      </c>
      <c r="BE48" s="29">
        <f t="shared" si="5"/>
        <v>16</v>
      </c>
      <c r="BF48" s="32">
        <f t="shared" si="5"/>
        <v>1</v>
      </c>
      <c r="BG48" s="33">
        <f>SUMPRODUCT(BF$7:BF22,BG$7:BG22)</f>
        <v>0</v>
      </c>
      <c r="BL48" s="29">
        <v>42</v>
      </c>
      <c r="BM48" s="32">
        <f>求节点(村县营基础信息!AL$8:AL$28,$BG$33:$BG$53,$BL48)*节奏总纲!K45+BM47</f>
        <v>0</v>
      </c>
      <c r="BN48" s="32">
        <f>求节点(村县营基础信息!AM$8:AM$28,$BG$33:$BG$53,$BL48)*节奏总纲!L45+BN47</f>
        <v>0</v>
      </c>
      <c r="BO48" s="32">
        <f>求节点(村县营基础信息!AN$8:AN$28,$BG$33:$BG$53,$BL48)*节奏总纲!M45+BO47</f>
        <v>0</v>
      </c>
      <c r="BP48" s="32">
        <f>求节点(村县营基础信息!AO$8:AO$28,$BG$33:$BG$53,$BL48)*节奏总纲!N45+BP47</f>
        <v>0</v>
      </c>
      <c r="BQ48" s="32">
        <f>求节点(村县营基础信息!AP$8:AP$28,$BG$33:$BG$53,$BL48)*节奏总纲!O45+BQ47</f>
        <v>0</v>
      </c>
    </row>
    <row r="49" spans="7:69" x14ac:dyDescent="0.15">
      <c r="G49" s="29">
        <f t="shared" si="2"/>
        <v>17</v>
      </c>
      <c r="H49" s="32">
        <f t="shared" si="2"/>
        <v>7</v>
      </c>
      <c r="I49" s="33" t="e">
        <f>SUMPRODUCT($H$7:$H23,$I$7:$I23)</f>
        <v>#REF!</v>
      </c>
      <c r="M49" s="29">
        <v>43</v>
      </c>
      <c r="N49" s="32">
        <f>求节点(村县营基础信息!K$8:K$28,$I$33:$I$53,$M49)*节奏总纲!K46+N48</f>
        <v>0</v>
      </c>
      <c r="O49" s="32">
        <f>求节点(村县营基础信息!L$8:L$28,$I$33:$I$53,$M49)*节奏总纲!L46+O48</f>
        <v>0</v>
      </c>
      <c r="P49" s="32">
        <f>求节点(村县营基础信息!M$8:M$28,$I$33:$I$53,$M49)*节奏总纲!M46+P48</f>
        <v>0</v>
      </c>
      <c r="Q49" s="32">
        <f>求节点(村县营基础信息!N$8:N$28,$I$33:$I$53,$M49)*节奏总纲!N46+Q48</f>
        <v>0</v>
      </c>
      <c r="R49" s="32">
        <f>求节点(村县营基础信息!O$8:O$28,$I$33:$I$53,$M49)*节奏总纲!O46+R48</f>
        <v>0</v>
      </c>
      <c r="W49" s="29">
        <f t="shared" si="3"/>
        <v>17</v>
      </c>
      <c r="X49" s="34">
        <f t="shared" si="3"/>
        <v>1</v>
      </c>
      <c r="Y49" s="33">
        <f>SUMPRODUCT($X$7:$X23,$Y$7:$Y23)</f>
        <v>0</v>
      </c>
      <c r="AC49" s="29">
        <v>43</v>
      </c>
      <c r="AD49" s="32">
        <f>求节点(村县营基础信息!T$8:T$28,$Y$33:$Y$53,$AC49)*节奏总纲!K46*(1+$B$10)+AD48</f>
        <v>0</v>
      </c>
      <c r="AE49" s="32">
        <f>求节点(村县营基础信息!U$8:U$28,$Y$33:$Y$53,$AC49)*节奏总纲!L46*(1+$B$10)+AE48</f>
        <v>0</v>
      </c>
      <c r="AF49" s="32">
        <f>求节点(村县营基础信息!V$8:V$28,$Y$33:$Y$53,$AC49)*节奏总纲!M46*(1+$B$10)+AF48</f>
        <v>0</v>
      </c>
      <c r="AG49" s="32">
        <f>求节点(村县营基础信息!W$8:W$28,$Y$33:$Y$53,$AC49)*节奏总纲!N46*(1+$B$10)+AG48</f>
        <v>0</v>
      </c>
      <c r="AH49" s="32">
        <f>求节点(村县营基础信息!X$8:X$28,$Y$33:$Y$53,$AC49)*节奏总纲!O46*(1+$B$10)+AH48</f>
        <v>0</v>
      </c>
      <c r="AL49" s="29">
        <f t="shared" si="4"/>
        <v>17</v>
      </c>
      <c r="AM49" s="34">
        <f t="shared" si="4"/>
        <v>3</v>
      </c>
      <c r="AN49" s="33" t="e">
        <f>SUMPRODUCT(AM$7:AM23,AN$7:AN23)</f>
        <v>#REF!</v>
      </c>
      <c r="AR49" s="29">
        <f>AT49/[2]节奏总纲!D46</f>
        <v>0</v>
      </c>
      <c r="AS49" s="29">
        <v>43</v>
      </c>
      <c r="AT49" s="32">
        <f>求节点(村县营基础信息!AC$8:AC$28,$AN$33:$AN$53,$AS49)*节奏总纲!K46+AT48</f>
        <v>0</v>
      </c>
      <c r="AU49" s="32">
        <f>求节点(村县营基础信息!AD$8:AD$28,$AN$33:$AN$53,$AS49)*节奏总纲!L46+AU48</f>
        <v>0</v>
      </c>
      <c r="AV49" s="32">
        <f>求节点(村县营基础信息!AE$8:AE$28,$AN$33:$AN$53,$AS49)*节奏总纲!M46+AV48</f>
        <v>0</v>
      </c>
      <c r="AW49" s="32">
        <f>求节点(村县营基础信息!AF$8:AF$28,$AN$33:$AN$53,$AS49)*节奏总纲!N46+AW48</f>
        <v>0</v>
      </c>
      <c r="AX49" s="32">
        <f>求节点(村县营基础信息!AG$8:AG$28,$AN$33:$AN$53,$AS49)*节奏总纲!O46+AX48</f>
        <v>0</v>
      </c>
      <c r="BA49" s="29">
        <f>(AV49-AV48)/[2]节奏总纲!M46*'[1]功能-付费相关'!BB48</f>
        <v>0</v>
      </c>
      <c r="BE49" s="29">
        <f t="shared" si="5"/>
        <v>17</v>
      </c>
      <c r="BF49" s="32">
        <f t="shared" si="5"/>
        <v>0</v>
      </c>
      <c r="BG49" s="33">
        <f>SUMPRODUCT(BF$7:BF23,BG$7:BG23)</f>
        <v>0</v>
      </c>
      <c r="BL49" s="29">
        <v>43</v>
      </c>
      <c r="BM49" s="32">
        <f>求节点(村县营基础信息!AL$8:AL$28,$BG$33:$BG$53,$BL49)*节奏总纲!K46+BM48</f>
        <v>0</v>
      </c>
      <c r="BN49" s="32">
        <f>求节点(村县营基础信息!AM$8:AM$28,$BG$33:$BG$53,$BL49)*节奏总纲!L46+BN48</f>
        <v>0</v>
      </c>
      <c r="BO49" s="32">
        <f>求节点(村县营基础信息!AN$8:AN$28,$BG$33:$BG$53,$BL49)*节奏总纲!M46+BO48</f>
        <v>0</v>
      </c>
      <c r="BP49" s="32">
        <f>求节点(村县营基础信息!AO$8:AO$28,$BG$33:$BG$53,$BL49)*节奏总纲!N46+BP48</f>
        <v>0</v>
      </c>
      <c r="BQ49" s="32">
        <f>求节点(村县营基础信息!AP$8:AP$28,$BG$33:$BG$53,$BL49)*节奏总纲!O46+BQ48</f>
        <v>0</v>
      </c>
    </row>
    <row r="50" spans="7:69" x14ac:dyDescent="0.15">
      <c r="G50" s="29">
        <f t="shared" ref="G50:H53" si="6">G24</f>
        <v>18</v>
      </c>
      <c r="H50" s="32">
        <f t="shared" si="6"/>
        <v>7</v>
      </c>
      <c r="I50" s="33" t="e">
        <f>SUMPRODUCT($H$7:$H24,$I$7:$I24)</f>
        <v>#REF!</v>
      </c>
      <c r="M50" s="29">
        <v>44</v>
      </c>
      <c r="N50" s="32">
        <f>求节点(村县营基础信息!K$8:K$28,$I$33:$I$53,$M50)*节奏总纲!K47+N49</f>
        <v>0</v>
      </c>
      <c r="O50" s="32">
        <f>求节点(村县营基础信息!L$8:L$28,$I$33:$I$53,$M50)*节奏总纲!L47+O49</f>
        <v>0</v>
      </c>
      <c r="P50" s="32">
        <f>求节点(村县营基础信息!M$8:M$28,$I$33:$I$53,$M50)*节奏总纲!M47+P49</f>
        <v>0</v>
      </c>
      <c r="Q50" s="32">
        <f>求节点(村县营基础信息!N$8:N$28,$I$33:$I$53,$M50)*节奏总纲!N47+Q49</f>
        <v>0</v>
      </c>
      <c r="R50" s="32">
        <f>求节点(村县营基础信息!O$8:O$28,$I$33:$I$53,$M50)*节奏总纲!O47+R49</f>
        <v>0</v>
      </c>
      <c r="W50" s="29">
        <f t="shared" ref="W50:X53" si="7">W24</f>
        <v>18</v>
      </c>
      <c r="X50" s="34">
        <f t="shared" si="7"/>
        <v>0</v>
      </c>
      <c r="Y50" s="33">
        <f>SUMPRODUCT($X$7:$X24,$Y$7:$Y24)</f>
        <v>0</v>
      </c>
      <c r="AC50" s="29">
        <v>44</v>
      </c>
      <c r="AD50" s="32">
        <f>求节点(村县营基础信息!T$8:T$28,$Y$33:$Y$53,$AC50)*节奏总纲!K47*(1+$B$10)+AD49</f>
        <v>0</v>
      </c>
      <c r="AE50" s="32">
        <f>求节点(村县营基础信息!U$8:U$28,$Y$33:$Y$53,$AC50)*节奏总纲!L47*(1+$B$10)+AE49</f>
        <v>0</v>
      </c>
      <c r="AF50" s="32">
        <f>求节点(村县营基础信息!V$8:V$28,$Y$33:$Y$53,$AC50)*节奏总纲!M47*(1+$B$10)+AF49</f>
        <v>0</v>
      </c>
      <c r="AG50" s="32">
        <f>求节点(村县营基础信息!W$8:W$28,$Y$33:$Y$53,$AC50)*节奏总纲!N47*(1+$B$10)+AG49</f>
        <v>0</v>
      </c>
      <c r="AH50" s="32">
        <f>求节点(村县营基础信息!X$8:X$28,$Y$33:$Y$53,$AC50)*节奏总纲!O47*(1+$B$10)+AH49</f>
        <v>0</v>
      </c>
      <c r="AL50" s="29">
        <f t="shared" ref="AL50:AM53" si="8">AL24</f>
        <v>18</v>
      </c>
      <c r="AM50" s="34">
        <f t="shared" si="8"/>
        <v>4</v>
      </c>
      <c r="AN50" s="33" t="e">
        <f>SUMPRODUCT(AM$7:AM24,AN$7:AN24)</f>
        <v>#REF!</v>
      </c>
      <c r="AR50" s="29">
        <f>AT50/[2]节奏总纲!D47</f>
        <v>0</v>
      </c>
      <c r="AS50" s="29">
        <v>44</v>
      </c>
      <c r="AT50" s="32">
        <f>求节点(村县营基础信息!AC$8:AC$28,$AN$33:$AN$53,$AS50)*节奏总纲!K47+AT49</f>
        <v>0</v>
      </c>
      <c r="AU50" s="32">
        <f>求节点(村县营基础信息!AD$8:AD$28,$AN$33:$AN$53,$AS50)*节奏总纲!L47+AU49</f>
        <v>0</v>
      </c>
      <c r="AV50" s="32">
        <f>求节点(村县营基础信息!AE$8:AE$28,$AN$33:$AN$53,$AS50)*节奏总纲!M47+AV49</f>
        <v>0</v>
      </c>
      <c r="AW50" s="32">
        <f>求节点(村县营基础信息!AF$8:AF$28,$AN$33:$AN$53,$AS50)*节奏总纲!N47+AW49</f>
        <v>0</v>
      </c>
      <c r="AX50" s="32">
        <f>求节点(村县营基础信息!AG$8:AG$28,$AN$33:$AN$53,$AS50)*节奏总纲!O47+AX49</f>
        <v>0</v>
      </c>
      <c r="BA50" s="29">
        <f>(AV50-AV49)/[2]节奏总纲!M47*'[1]功能-付费相关'!BB49</f>
        <v>0</v>
      </c>
      <c r="BE50" s="29">
        <f t="shared" ref="BE50:BF53" si="9">BE24</f>
        <v>18</v>
      </c>
      <c r="BF50" s="32">
        <f t="shared" si="9"/>
        <v>1</v>
      </c>
      <c r="BG50" s="33">
        <f>SUMPRODUCT(BF$7:BF24,BG$7:BG24)</f>
        <v>0</v>
      </c>
      <c r="BL50" s="29">
        <v>44</v>
      </c>
      <c r="BM50" s="32">
        <f>求节点(村县营基础信息!AL$8:AL$28,$BG$33:$BG$53,$BL50)*节奏总纲!K47+BM49</f>
        <v>0</v>
      </c>
      <c r="BN50" s="32">
        <f>求节点(村县营基础信息!AM$8:AM$28,$BG$33:$BG$53,$BL50)*节奏总纲!L47+BN49</f>
        <v>0</v>
      </c>
      <c r="BO50" s="32">
        <f>求节点(村县营基础信息!AN$8:AN$28,$BG$33:$BG$53,$BL50)*节奏总纲!M47+BO49</f>
        <v>0</v>
      </c>
      <c r="BP50" s="32">
        <f>求节点(村县营基础信息!AO$8:AO$28,$BG$33:$BG$53,$BL50)*节奏总纲!N47+BP49</f>
        <v>0</v>
      </c>
      <c r="BQ50" s="32">
        <f>求节点(村县营基础信息!AP$8:AP$28,$BG$33:$BG$53,$BL50)*节奏总纲!O47+BQ49</f>
        <v>0</v>
      </c>
    </row>
    <row r="51" spans="7:69" x14ac:dyDescent="0.15">
      <c r="G51" s="29">
        <f t="shared" si="6"/>
        <v>19</v>
      </c>
      <c r="H51" s="32">
        <f t="shared" si="6"/>
        <v>8</v>
      </c>
      <c r="I51" s="33" t="e">
        <f>SUMPRODUCT($H$7:$H25,$I$7:$I25)</f>
        <v>#REF!</v>
      </c>
      <c r="M51" s="29">
        <v>45</v>
      </c>
      <c r="N51" s="32">
        <f>求节点(村县营基础信息!K$8:K$28,$I$33:$I$53,$M51)*节奏总纲!K48+N50</f>
        <v>0</v>
      </c>
      <c r="O51" s="32">
        <f>求节点(村县营基础信息!L$8:L$28,$I$33:$I$53,$M51)*节奏总纲!L48+O50</f>
        <v>0</v>
      </c>
      <c r="P51" s="32">
        <f>求节点(村县营基础信息!M$8:M$28,$I$33:$I$53,$M51)*节奏总纲!M48+P50</f>
        <v>0</v>
      </c>
      <c r="Q51" s="32">
        <f>求节点(村县营基础信息!N$8:N$28,$I$33:$I$53,$M51)*节奏总纲!N48+Q50</f>
        <v>0</v>
      </c>
      <c r="R51" s="32">
        <f>求节点(村县营基础信息!O$8:O$28,$I$33:$I$53,$M51)*节奏总纲!O48+R50</f>
        <v>0</v>
      </c>
      <c r="W51" s="29">
        <f t="shared" si="7"/>
        <v>19</v>
      </c>
      <c r="X51" s="34">
        <f t="shared" si="7"/>
        <v>1</v>
      </c>
      <c r="Y51" s="33">
        <f>SUMPRODUCT($X$7:$X25,$Y$7:$Y25)</f>
        <v>0</v>
      </c>
      <c r="AC51" s="29">
        <v>45</v>
      </c>
      <c r="AD51" s="32">
        <f>求节点(村县营基础信息!T$8:T$28,$Y$33:$Y$53,$AC51)*节奏总纲!K48*(1+$B$10)+AD50</f>
        <v>0</v>
      </c>
      <c r="AE51" s="32">
        <f>求节点(村县营基础信息!U$8:U$28,$Y$33:$Y$53,$AC51)*节奏总纲!L48*(1+$B$10)+AE50</f>
        <v>0</v>
      </c>
      <c r="AF51" s="32">
        <f>求节点(村县营基础信息!V$8:V$28,$Y$33:$Y$53,$AC51)*节奏总纲!M48*(1+$B$10)+AF50</f>
        <v>0</v>
      </c>
      <c r="AG51" s="32">
        <f>求节点(村县营基础信息!W$8:W$28,$Y$33:$Y$53,$AC51)*节奏总纲!N48*(1+$B$10)+AG50</f>
        <v>0</v>
      </c>
      <c r="AH51" s="32">
        <f>求节点(村县营基础信息!X$8:X$28,$Y$33:$Y$53,$AC51)*节奏总纲!O48*(1+$B$10)+AH50</f>
        <v>0</v>
      </c>
      <c r="AL51" s="29">
        <f t="shared" si="8"/>
        <v>19</v>
      </c>
      <c r="AM51" s="34">
        <f t="shared" si="8"/>
        <v>4</v>
      </c>
      <c r="AN51" s="33" t="e">
        <f>SUMPRODUCT(AM$7:AM25,AN$7:AN25)</f>
        <v>#REF!</v>
      </c>
      <c r="AR51" s="29">
        <f>AT51/[2]节奏总纲!D48</f>
        <v>0</v>
      </c>
      <c r="AS51" s="29">
        <v>45</v>
      </c>
      <c r="AT51" s="32">
        <f>求节点(村县营基础信息!AC$8:AC$28,$AN$33:$AN$53,$AS51)*节奏总纲!K48+AT50</f>
        <v>0</v>
      </c>
      <c r="AU51" s="32">
        <f>求节点(村县营基础信息!AD$8:AD$28,$AN$33:$AN$53,$AS51)*节奏总纲!L48+AU50</f>
        <v>0</v>
      </c>
      <c r="AV51" s="32">
        <f>求节点(村县营基础信息!AE$8:AE$28,$AN$33:$AN$53,$AS51)*节奏总纲!M48+AV50</f>
        <v>0</v>
      </c>
      <c r="AW51" s="32">
        <f>求节点(村县营基础信息!AF$8:AF$28,$AN$33:$AN$53,$AS51)*节奏总纲!N48+AW50</f>
        <v>0</v>
      </c>
      <c r="AX51" s="32">
        <f>求节点(村县营基础信息!AG$8:AG$28,$AN$33:$AN$53,$AS51)*节奏总纲!O48+AX50</f>
        <v>0</v>
      </c>
      <c r="BA51" s="29">
        <f>(AV51-AV50)/[2]节奏总纲!M48*'[1]功能-付费相关'!BB50</f>
        <v>0</v>
      </c>
      <c r="BE51" s="29">
        <f t="shared" si="9"/>
        <v>19</v>
      </c>
      <c r="BF51" s="32">
        <f t="shared" si="9"/>
        <v>0</v>
      </c>
      <c r="BG51" s="33">
        <f>SUMPRODUCT(BF$7:BF25,BG$7:BG25)</f>
        <v>0</v>
      </c>
      <c r="BL51" s="29">
        <v>45</v>
      </c>
      <c r="BM51" s="32">
        <f>求节点(村县营基础信息!AL$8:AL$28,$BG$33:$BG$53,$BL51)*节奏总纲!K48+BM50</f>
        <v>0</v>
      </c>
      <c r="BN51" s="32">
        <f>求节点(村县营基础信息!AM$8:AM$28,$BG$33:$BG$53,$BL51)*节奏总纲!L48+BN50</f>
        <v>0</v>
      </c>
      <c r="BO51" s="32">
        <f>求节点(村县营基础信息!AN$8:AN$28,$BG$33:$BG$53,$BL51)*节奏总纲!M48+BO50</f>
        <v>0</v>
      </c>
      <c r="BP51" s="32">
        <f>求节点(村县营基础信息!AO$8:AO$28,$BG$33:$BG$53,$BL51)*节奏总纲!N48+BP50</f>
        <v>0</v>
      </c>
      <c r="BQ51" s="32">
        <f>求节点(村县营基础信息!AP$8:AP$28,$BG$33:$BG$53,$BL51)*节奏总纲!O48+BQ50</f>
        <v>0</v>
      </c>
    </row>
    <row r="52" spans="7:69" x14ac:dyDescent="0.15">
      <c r="G52" s="29">
        <f t="shared" si="6"/>
        <v>20</v>
      </c>
      <c r="H52" s="32">
        <f t="shared" si="6"/>
        <v>8</v>
      </c>
      <c r="I52" s="33" t="e">
        <f>SUMPRODUCT($H$7:$H26,$I$7:$I26)</f>
        <v>#REF!</v>
      </c>
      <c r="M52" s="29">
        <v>46</v>
      </c>
      <c r="N52" s="32">
        <f>求节点(村县营基础信息!K$8:K$28,$I$33:$I$53,$M52)*节奏总纲!K49+N51</f>
        <v>0</v>
      </c>
      <c r="O52" s="32">
        <f>求节点(村县营基础信息!L$8:L$28,$I$33:$I$53,$M52)*节奏总纲!L49+O51</f>
        <v>0</v>
      </c>
      <c r="P52" s="32">
        <f>求节点(村县营基础信息!M$8:M$28,$I$33:$I$53,$M52)*节奏总纲!M49+P51</f>
        <v>0</v>
      </c>
      <c r="Q52" s="32">
        <f>求节点(村县营基础信息!N$8:N$28,$I$33:$I$53,$M52)*节奏总纲!N49+Q51</f>
        <v>0</v>
      </c>
      <c r="R52" s="32">
        <f>求节点(村县营基础信息!O$8:O$28,$I$33:$I$53,$M52)*节奏总纲!O49+R51</f>
        <v>0</v>
      </c>
      <c r="W52" s="29">
        <f t="shared" si="7"/>
        <v>20</v>
      </c>
      <c r="X52" s="34">
        <f t="shared" si="7"/>
        <v>0</v>
      </c>
      <c r="Y52" s="33">
        <f>SUMPRODUCT($X$7:$X26,$Y$7:$Y26)</f>
        <v>0</v>
      </c>
      <c r="AC52" s="29">
        <v>46</v>
      </c>
      <c r="AD52" s="32">
        <f>求节点(村县营基础信息!T$8:T$28,$Y$33:$Y$53,$AC52)*节奏总纲!K49*(1+$B$10)+AD51</f>
        <v>0</v>
      </c>
      <c r="AE52" s="32">
        <f>求节点(村县营基础信息!U$8:U$28,$Y$33:$Y$53,$AC52)*节奏总纲!L49*(1+$B$10)+AE51</f>
        <v>0</v>
      </c>
      <c r="AF52" s="32">
        <f>求节点(村县营基础信息!V$8:V$28,$Y$33:$Y$53,$AC52)*节奏总纲!M49*(1+$B$10)+AF51</f>
        <v>0</v>
      </c>
      <c r="AG52" s="32">
        <f>求节点(村县营基础信息!W$8:W$28,$Y$33:$Y$53,$AC52)*节奏总纲!N49*(1+$B$10)+AG51</f>
        <v>0</v>
      </c>
      <c r="AH52" s="32">
        <f>求节点(村县营基础信息!X$8:X$28,$Y$33:$Y$53,$AC52)*节奏总纲!O49*(1+$B$10)+AH51</f>
        <v>0</v>
      </c>
      <c r="AL52" s="29">
        <f t="shared" si="8"/>
        <v>20</v>
      </c>
      <c r="AM52" s="34">
        <f t="shared" si="8"/>
        <v>4</v>
      </c>
      <c r="AN52" s="33" t="e">
        <f>SUMPRODUCT(AM$7:AM26,AN$7:AN26)</f>
        <v>#REF!</v>
      </c>
      <c r="AR52" s="29">
        <f>AT52/[2]节奏总纲!D49</f>
        <v>0</v>
      </c>
      <c r="AS52" s="29">
        <v>46</v>
      </c>
      <c r="AT52" s="32">
        <f>求节点(村县营基础信息!AC$8:AC$28,$AN$33:$AN$53,$AS52)*节奏总纲!K49+AT51</f>
        <v>0</v>
      </c>
      <c r="AU52" s="32">
        <f>求节点(村县营基础信息!AD$8:AD$28,$AN$33:$AN$53,$AS52)*节奏总纲!L49+AU51</f>
        <v>0</v>
      </c>
      <c r="AV52" s="32">
        <f>求节点(村县营基础信息!AE$8:AE$28,$AN$33:$AN$53,$AS52)*节奏总纲!M49+AV51</f>
        <v>0</v>
      </c>
      <c r="AW52" s="32">
        <f>求节点(村县营基础信息!AF$8:AF$28,$AN$33:$AN$53,$AS52)*节奏总纲!N49+AW51</f>
        <v>0</v>
      </c>
      <c r="AX52" s="32">
        <f>求节点(村县营基础信息!AG$8:AG$28,$AN$33:$AN$53,$AS52)*节奏总纲!O49+AX51</f>
        <v>0</v>
      </c>
      <c r="BA52" s="29">
        <f>(AV52-AV51)/[2]节奏总纲!M49*'[1]功能-付费相关'!BB51</f>
        <v>0</v>
      </c>
      <c r="BE52" s="29">
        <f t="shared" si="9"/>
        <v>20</v>
      </c>
      <c r="BF52" s="32">
        <f t="shared" si="9"/>
        <v>1</v>
      </c>
      <c r="BG52" s="33">
        <f>SUMPRODUCT(BF$7:BF26,BG$7:BG26)</f>
        <v>0</v>
      </c>
      <c r="BL52" s="29">
        <v>46</v>
      </c>
      <c r="BM52" s="32">
        <f>求节点(村县营基础信息!AL$8:AL$28,$BG$33:$BG$53,$BL52)*节奏总纲!K49+BM51</f>
        <v>0</v>
      </c>
      <c r="BN52" s="32">
        <f>求节点(村县营基础信息!AM$8:AM$28,$BG$33:$BG$53,$BL52)*节奏总纲!L49+BN51</f>
        <v>0</v>
      </c>
      <c r="BO52" s="32">
        <f>求节点(村县营基础信息!AN$8:AN$28,$BG$33:$BG$53,$BL52)*节奏总纲!M49+BO51</f>
        <v>0</v>
      </c>
      <c r="BP52" s="32">
        <f>求节点(村县营基础信息!AO$8:AO$28,$BG$33:$BG$53,$BL52)*节奏总纲!N49+BP51</f>
        <v>0</v>
      </c>
      <c r="BQ52" s="32">
        <f>求节点(村县营基础信息!AP$8:AP$28,$BG$33:$BG$53,$BL52)*节奏总纲!O49+BQ51</f>
        <v>0</v>
      </c>
    </row>
    <row r="53" spans="7:69" x14ac:dyDescent="0.15">
      <c r="G53" s="29">
        <f t="shared" si="6"/>
        <v>21</v>
      </c>
      <c r="H53" s="32">
        <f t="shared" si="6"/>
        <v>8</v>
      </c>
      <c r="I53" s="33" t="e">
        <f>SUMPRODUCT($H$7:$H27,$I$7:$I27)</f>
        <v>#REF!</v>
      </c>
      <c r="M53" s="29">
        <v>47</v>
      </c>
      <c r="N53" s="32">
        <f>求节点(村县营基础信息!K$8:K$28,$I$33:$I$53,$M53)*节奏总纲!K50+N52</f>
        <v>0</v>
      </c>
      <c r="O53" s="32">
        <f>求节点(村县营基础信息!L$8:L$28,$I$33:$I$53,$M53)*节奏总纲!L50+O52</f>
        <v>0</v>
      </c>
      <c r="P53" s="32">
        <f>求节点(村县营基础信息!M$8:M$28,$I$33:$I$53,$M53)*节奏总纲!M50+P52</f>
        <v>0</v>
      </c>
      <c r="Q53" s="32">
        <f>求节点(村县营基础信息!N$8:N$28,$I$33:$I$53,$M53)*节奏总纲!N50+Q52</f>
        <v>0</v>
      </c>
      <c r="R53" s="32">
        <f>求节点(村县营基础信息!O$8:O$28,$I$33:$I$53,$M53)*节奏总纲!O50+R52</f>
        <v>0</v>
      </c>
      <c r="W53" s="29">
        <f t="shared" si="7"/>
        <v>21</v>
      </c>
      <c r="X53" s="34">
        <f t="shared" si="7"/>
        <v>1</v>
      </c>
      <c r="Y53" s="33">
        <f>SUMPRODUCT($X$7:$X27,$Y$7:$Y27)</f>
        <v>0</v>
      </c>
      <c r="AC53" s="29">
        <v>47</v>
      </c>
      <c r="AD53" s="32">
        <f>求节点(村县营基础信息!T$8:T$28,$Y$33:$Y$53,$AC53)*节奏总纲!K50*(1+$B$10)+AD52</f>
        <v>0</v>
      </c>
      <c r="AE53" s="32">
        <f>求节点(村县营基础信息!U$8:U$28,$Y$33:$Y$53,$AC53)*节奏总纲!L50*(1+$B$10)+AE52</f>
        <v>0</v>
      </c>
      <c r="AF53" s="32">
        <f>求节点(村县营基础信息!V$8:V$28,$Y$33:$Y$53,$AC53)*节奏总纲!M50*(1+$B$10)+AF52</f>
        <v>0</v>
      </c>
      <c r="AG53" s="32">
        <f>求节点(村县营基础信息!W$8:W$28,$Y$33:$Y$53,$AC53)*节奏总纲!N50*(1+$B$10)+AG52</f>
        <v>0</v>
      </c>
      <c r="AH53" s="32">
        <f>求节点(村县营基础信息!X$8:X$28,$Y$33:$Y$53,$AC53)*节奏总纲!O50*(1+$B$10)+AH52</f>
        <v>0</v>
      </c>
      <c r="AL53" s="29">
        <f t="shared" si="8"/>
        <v>21</v>
      </c>
      <c r="AM53" s="34">
        <f t="shared" si="8"/>
        <v>4</v>
      </c>
      <c r="AN53" s="33" t="e">
        <f>SUMPRODUCT(AM$7:AM27,AN$7:AN27)</f>
        <v>#REF!</v>
      </c>
      <c r="AR53" s="29">
        <f>AT53/[2]节奏总纲!D50</f>
        <v>0</v>
      </c>
      <c r="AS53" s="29">
        <v>47</v>
      </c>
      <c r="AT53" s="32">
        <f>求节点(村县营基础信息!AC$8:AC$28,$AN$33:$AN$53,$AS53)*节奏总纲!K50+AT52</f>
        <v>0</v>
      </c>
      <c r="AU53" s="32">
        <f>求节点(村县营基础信息!AD$8:AD$28,$AN$33:$AN$53,$AS53)*节奏总纲!L50+AU52</f>
        <v>0</v>
      </c>
      <c r="AV53" s="32">
        <f>求节点(村县营基础信息!AE$8:AE$28,$AN$33:$AN$53,$AS53)*节奏总纲!M50+AV52</f>
        <v>0</v>
      </c>
      <c r="AW53" s="32">
        <f>求节点(村县营基础信息!AF$8:AF$28,$AN$33:$AN$53,$AS53)*节奏总纲!N50+AW52</f>
        <v>0</v>
      </c>
      <c r="AX53" s="32">
        <f>求节点(村县营基础信息!AG$8:AG$28,$AN$33:$AN$53,$AS53)*节奏总纲!O50+AX52</f>
        <v>0</v>
      </c>
      <c r="BA53" s="29">
        <f>(AV53-AV52)/[2]节奏总纲!M50*'[1]功能-付费相关'!BB52</f>
        <v>0</v>
      </c>
      <c r="BE53" s="29">
        <f t="shared" si="9"/>
        <v>21</v>
      </c>
      <c r="BF53" s="32">
        <f t="shared" si="9"/>
        <v>0</v>
      </c>
      <c r="BG53" s="33">
        <f>SUMPRODUCT(BF$7:BF27,BG$7:BG27)</f>
        <v>0</v>
      </c>
      <c r="BL53" s="29">
        <v>47</v>
      </c>
      <c r="BM53" s="32">
        <f>求节点(村县营基础信息!AL$8:AL$28,$BG$33:$BG$53,$BL53)*节奏总纲!K50+BM52</f>
        <v>0</v>
      </c>
      <c r="BN53" s="32">
        <f>求节点(村县营基础信息!AM$8:AM$28,$BG$33:$BG$53,$BL53)*节奏总纲!L50+BN52</f>
        <v>0</v>
      </c>
      <c r="BO53" s="32">
        <f>求节点(村县营基础信息!AN$8:AN$28,$BG$33:$BG$53,$BL53)*节奏总纲!M50+BO52</f>
        <v>0</v>
      </c>
      <c r="BP53" s="32">
        <f>求节点(村县营基础信息!AO$8:AO$28,$BG$33:$BG$53,$BL53)*节奏总纲!N50+BP52</f>
        <v>0</v>
      </c>
      <c r="BQ53" s="32">
        <f>求节点(村县营基础信息!AP$8:AP$28,$BG$33:$BG$53,$BL53)*节奏总纲!O50+BQ52</f>
        <v>0</v>
      </c>
    </row>
    <row r="54" spans="7:69" x14ac:dyDescent="0.15">
      <c r="M54" s="29">
        <v>48</v>
      </c>
      <c r="N54" s="32">
        <f>求节点(村县营基础信息!K$8:K$28,$I$33:$I$53,$M54)*节奏总纲!K51+N53</f>
        <v>0</v>
      </c>
      <c r="O54" s="32">
        <f>求节点(村县营基础信息!L$8:L$28,$I$33:$I$53,$M54)*节奏总纲!L51+O53</f>
        <v>0</v>
      </c>
      <c r="P54" s="32">
        <f>求节点(村县营基础信息!M$8:M$28,$I$33:$I$53,$M54)*节奏总纲!M51+P53</f>
        <v>0</v>
      </c>
      <c r="Q54" s="32">
        <f>求节点(村县营基础信息!N$8:N$28,$I$33:$I$53,$M54)*节奏总纲!N51+Q53</f>
        <v>0</v>
      </c>
      <c r="R54" s="32">
        <f>求节点(村县营基础信息!O$8:O$28,$I$33:$I$53,$M54)*节奏总纲!O51+R53</f>
        <v>0</v>
      </c>
      <c r="AC54" s="29">
        <v>48</v>
      </c>
      <c r="AD54" s="32">
        <f>求节点(村县营基础信息!T$8:T$28,$Y$33:$Y$53,$AC54)*节奏总纲!K51*(1+$B$10)+AD53</f>
        <v>0</v>
      </c>
      <c r="AE54" s="32">
        <f>求节点(村县营基础信息!U$8:U$28,$Y$33:$Y$53,$AC54)*节奏总纲!L51*(1+$B$10)+AE53</f>
        <v>0</v>
      </c>
      <c r="AF54" s="32">
        <f>求节点(村县营基础信息!V$8:V$28,$Y$33:$Y$53,$AC54)*节奏总纲!M51*(1+$B$10)+AF53</f>
        <v>0</v>
      </c>
      <c r="AG54" s="32">
        <f>求节点(村县营基础信息!W$8:W$28,$Y$33:$Y$53,$AC54)*节奏总纲!N51*(1+$B$10)+AG53</f>
        <v>0</v>
      </c>
      <c r="AH54" s="32">
        <f>求节点(村县营基础信息!X$8:X$28,$Y$33:$Y$53,$AC54)*节奏总纲!O51*(1+$B$10)+AH53</f>
        <v>0</v>
      </c>
      <c r="AR54" s="29">
        <f>AT54/[2]节奏总纲!D51</f>
        <v>0</v>
      </c>
      <c r="AS54" s="29">
        <v>48</v>
      </c>
      <c r="AT54" s="32">
        <f>求节点(村县营基础信息!AC$8:AC$28,$AN$33:$AN$53,$AS54)*节奏总纲!K51+AT53</f>
        <v>0</v>
      </c>
      <c r="AU54" s="32">
        <f>求节点(村县营基础信息!AD$8:AD$28,$AN$33:$AN$53,$AS54)*节奏总纲!L51+AU53</f>
        <v>0</v>
      </c>
      <c r="AV54" s="32">
        <f>求节点(村县营基础信息!AE$8:AE$28,$AN$33:$AN$53,$AS54)*节奏总纲!M51+AV53</f>
        <v>0</v>
      </c>
      <c r="AW54" s="32">
        <f>求节点(村县营基础信息!AF$8:AF$28,$AN$33:$AN$53,$AS54)*节奏总纲!N51+AW53</f>
        <v>0</v>
      </c>
      <c r="AX54" s="32">
        <f>求节点(村县营基础信息!AG$8:AG$28,$AN$33:$AN$53,$AS54)*节奏总纲!O51+AX53</f>
        <v>0</v>
      </c>
      <c r="BA54" s="29">
        <f>(AV54-AV53)/[2]节奏总纲!M51*'[1]功能-付费相关'!BB53</f>
        <v>0</v>
      </c>
      <c r="BL54" s="29">
        <v>48</v>
      </c>
      <c r="BM54" s="32">
        <f>求节点(村县营基础信息!AL$8:AL$28,$BG$33:$BG$53,$BL54)*节奏总纲!K51+BM53</f>
        <v>0</v>
      </c>
      <c r="BN54" s="32">
        <f>求节点(村县营基础信息!AM$8:AM$28,$BG$33:$BG$53,$BL54)*节奏总纲!L51+BN53</f>
        <v>0</v>
      </c>
      <c r="BO54" s="32">
        <f>求节点(村县营基础信息!AN$8:AN$28,$BG$33:$BG$53,$BL54)*节奏总纲!M51+BO53</f>
        <v>0</v>
      </c>
      <c r="BP54" s="32">
        <f>求节点(村县营基础信息!AO$8:AO$28,$BG$33:$BG$53,$BL54)*节奏总纲!N51+BP53</f>
        <v>0</v>
      </c>
      <c r="BQ54" s="32">
        <f>求节点(村县营基础信息!AP$8:AP$28,$BG$33:$BG$53,$BL54)*节奏总纲!O51+BQ53</f>
        <v>0</v>
      </c>
    </row>
    <row r="55" spans="7:69" x14ac:dyDescent="0.15">
      <c r="M55" s="29">
        <v>49</v>
      </c>
      <c r="N55" s="32">
        <f>求节点(村县营基础信息!K$8:K$28,$I$33:$I$53,$M55)*节奏总纲!K52+N54</f>
        <v>0</v>
      </c>
      <c r="O55" s="32">
        <f>求节点(村县营基础信息!L$8:L$28,$I$33:$I$53,$M55)*节奏总纲!L52+O54</f>
        <v>0</v>
      </c>
      <c r="P55" s="32">
        <f>求节点(村县营基础信息!M$8:M$28,$I$33:$I$53,$M55)*节奏总纲!M52+P54</f>
        <v>0</v>
      </c>
      <c r="Q55" s="32">
        <f>求节点(村县营基础信息!N$8:N$28,$I$33:$I$53,$M55)*节奏总纲!N52+Q54</f>
        <v>0</v>
      </c>
      <c r="R55" s="32">
        <f>求节点(村县营基础信息!O$8:O$28,$I$33:$I$53,$M55)*节奏总纲!O52+R54</f>
        <v>0</v>
      </c>
      <c r="AC55" s="29">
        <v>49</v>
      </c>
      <c r="AD55" s="32">
        <f>求节点(村县营基础信息!T$8:T$28,$Y$33:$Y$53,$AC55)*节奏总纲!K52*(1+$B$10)+AD54</f>
        <v>0</v>
      </c>
      <c r="AE55" s="32">
        <f>求节点(村县营基础信息!U$8:U$28,$Y$33:$Y$53,$AC55)*节奏总纲!L52*(1+$B$10)+AE54</f>
        <v>0</v>
      </c>
      <c r="AF55" s="32">
        <f>求节点(村县营基础信息!V$8:V$28,$Y$33:$Y$53,$AC55)*节奏总纲!M52*(1+$B$10)+AF54</f>
        <v>0</v>
      </c>
      <c r="AG55" s="32">
        <f>求节点(村县营基础信息!W$8:W$28,$Y$33:$Y$53,$AC55)*节奏总纲!N52*(1+$B$10)+AG54</f>
        <v>0</v>
      </c>
      <c r="AH55" s="32">
        <f>求节点(村县营基础信息!X$8:X$28,$Y$33:$Y$53,$AC55)*节奏总纲!O52*(1+$B$10)+AH54</f>
        <v>0</v>
      </c>
      <c r="AR55" s="29">
        <f>AT55/[2]节奏总纲!D52</f>
        <v>0</v>
      </c>
      <c r="AS55" s="29">
        <v>49</v>
      </c>
      <c r="AT55" s="32">
        <f>求节点(村县营基础信息!AC$8:AC$28,$AN$33:$AN$53,$AS55)*节奏总纲!K52+AT54</f>
        <v>0</v>
      </c>
      <c r="AU55" s="32">
        <f>求节点(村县营基础信息!AD$8:AD$28,$AN$33:$AN$53,$AS55)*节奏总纲!L52+AU54</f>
        <v>0</v>
      </c>
      <c r="AV55" s="32">
        <f>求节点(村县营基础信息!AE$8:AE$28,$AN$33:$AN$53,$AS55)*节奏总纲!M52+AV54</f>
        <v>0</v>
      </c>
      <c r="AW55" s="32">
        <f>求节点(村县营基础信息!AF$8:AF$28,$AN$33:$AN$53,$AS55)*节奏总纲!N52+AW54</f>
        <v>0</v>
      </c>
      <c r="AX55" s="32">
        <f>求节点(村县营基础信息!AG$8:AG$28,$AN$33:$AN$53,$AS55)*节奏总纲!O52+AX54</f>
        <v>0</v>
      </c>
      <c r="BA55" s="29">
        <f>(AV55-AV54)/[2]节奏总纲!M52*'[1]功能-付费相关'!BB54</f>
        <v>0</v>
      </c>
      <c r="BL55" s="29">
        <v>49</v>
      </c>
      <c r="BM55" s="32">
        <f>求节点(村县营基础信息!AL$8:AL$28,$BG$33:$BG$53,$BL55)*节奏总纲!K52+BM54</f>
        <v>0</v>
      </c>
      <c r="BN55" s="32">
        <f>求节点(村县营基础信息!AM$8:AM$28,$BG$33:$BG$53,$BL55)*节奏总纲!L52+BN54</f>
        <v>0</v>
      </c>
      <c r="BO55" s="32">
        <f>求节点(村县营基础信息!AN$8:AN$28,$BG$33:$BG$53,$BL55)*节奏总纲!M52+BO54</f>
        <v>0</v>
      </c>
      <c r="BP55" s="32">
        <f>求节点(村县营基础信息!AO$8:AO$28,$BG$33:$BG$53,$BL55)*节奏总纲!N52+BP54</f>
        <v>0</v>
      </c>
      <c r="BQ55" s="32">
        <f>求节点(村县营基础信息!AP$8:AP$28,$BG$33:$BG$53,$BL55)*节奏总纲!O52+BQ54</f>
        <v>0</v>
      </c>
    </row>
    <row r="56" spans="7:69" x14ac:dyDescent="0.15">
      <c r="M56" s="29">
        <v>50</v>
      </c>
      <c r="N56" s="32">
        <f>求节点(村县营基础信息!K$8:K$28,$I$33:$I$53,$M56)*节奏总纲!K53+N55</f>
        <v>0</v>
      </c>
      <c r="O56" s="32">
        <f>求节点(村县营基础信息!L$8:L$28,$I$33:$I$53,$M56)*节奏总纲!L53+O55</f>
        <v>0</v>
      </c>
      <c r="P56" s="32">
        <f>求节点(村县营基础信息!M$8:M$28,$I$33:$I$53,$M56)*节奏总纲!M53+P55</f>
        <v>0</v>
      </c>
      <c r="Q56" s="32">
        <f>求节点(村县营基础信息!N$8:N$28,$I$33:$I$53,$M56)*节奏总纲!N53+Q55</f>
        <v>0</v>
      </c>
      <c r="R56" s="32">
        <f>求节点(村县营基础信息!O$8:O$28,$I$33:$I$53,$M56)*节奏总纲!O53+R55</f>
        <v>0</v>
      </c>
      <c r="AC56" s="29">
        <v>50</v>
      </c>
      <c r="AD56" s="32">
        <f>求节点(村县营基础信息!T$8:T$28,$Y$33:$Y$53,$AC56)*节奏总纲!K53*(1+$B$10)+AD55</f>
        <v>0</v>
      </c>
      <c r="AE56" s="32">
        <f>求节点(村县营基础信息!U$8:U$28,$Y$33:$Y$53,$AC56)*节奏总纲!L53*(1+$B$10)+AE55</f>
        <v>0</v>
      </c>
      <c r="AF56" s="32">
        <f>求节点(村县营基础信息!V$8:V$28,$Y$33:$Y$53,$AC56)*节奏总纲!M53*(1+$B$10)+AF55</f>
        <v>0</v>
      </c>
      <c r="AG56" s="32">
        <f>求节点(村县营基础信息!W$8:W$28,$Y$33:$Y$53,$AC56)*节奏总纲!N53*(1+$B$10)+AG55</f>
        <v>0</v>
      </c>
      <c r="AH56" s="32">
        <f>求节点(村县营基础信息!X$8:X$28,$Y$33:$Y$53,$AC56)*节奏总纲!O53*(1+$B$10)+AH55</f>
        <v>0</v>
      </c>
      <c r="AR56" s="29">
        <f>AT56/[2]节奏总纲!D53</f>
        <v>0</v>
      </c>
      <c r="AS56" s="29">
        <v>50</v>
      </c>
      <c r="AT56" s="32">
        <f>求节点(村县营基础信息!AC$8:AC$28,$AN$33:$AN$53,$AS56)*节奏总纲!K53+AT55</f>
        <v>0</v>
      </c>
      <c r="AU56" s="32">
        <f>求节点(村县营基础信息!AD$8:AD$28,$AN$33:$AN$53,$AS56)*节奏总纲!L53+AU55</f>
        <v>0</v>
      </c>
      <c r="AV56" s="32">
        <f>求节点(村县营基础信息!AE$8:AE$28,$AN$33:$AN$53,$AS56)*节奏总纲!M53+AV55</f>
        <v>0</v>
      </c>
      <c r="AW56" s="32">
        <f>求节点(村县营基础信息!AF$8:AF$28,$AN$33:$AN$53,$AS56)*节奏总纲!N53+AW55</f>
        <v>0</v>
      </c>
      <c r="AX56" s="32">
        <f>求节点(村县营基础信息!AG$8:AG$28,$AN$33:$AN$53,$AS56)*节奏总纲!O53+AX55</f>
        <v>0</v>
      </c>
      <c r="BA56" s="29">
        <f>(AV56-AV55)/[2]节奏总纲!M53*'[1]功能-付费相关'!BB55</f>
        <v>0</v>
      </c>
      <c r="BL56" s="29">
        <v>50</v>
      </c>
      <c r="BM56" s="32">
        <f>求节点(村县营基础信息!AL$8:AL$28,$BG$33:$BG$53,$BL56)*节奏总纲!K53+BM55</f>
        <v>0</v>
      </c>
      <c r="BN56" s="32">
        <f>求节点(村县营基础信息!AM$8:AM$28,$BG$33:$BG$53,$BL56)*节奏总纲!L53+BN55</f>
        <v>0</v>
      </c>
      <c r="BO56" s="32">
        <f>求节点(村县营基础信息!AN$8:AN$28,$BG$33:$BG$53,$BL56)*节奏总纲!M53+BO55</f>
        <v>0</v>
      </c>
      <c r="BP56" s="32">
        <f>求节点(村县营基础信息!AO$8:AO$28,$BG$33:$BG$53,$BL56)*节奏总纲!N53+BP55</f>
        <v>0</v>
      </c>
      <c r="BQ56" s="32">
        <f>求节点(村县营基础信息!AP$8:AP$28,$BG$33:$BG$53,$BL56)*节奏总纲!O53+BQ55</f>
        <v>0</v>
      </c>
    </row>
    <row r="57" spans="7:69" x14ac:dyDescent="0.15">
      <c r="M57" s="29">
        <v>51</v>
      </c>
      <c r="N57" s="32">
        <f>求节点(村县营基础信息!K$8:K$28,$I$33:$I$53,$M57)*节奏总纲!K54+N56</f>
        <v>0</v>
      </c>
      <c r="O57" s="32">
        <f>求节点(村县营基础信息!L$8:L$28,$I$33:$I$53,$M57)*节奏总纲!L54+O56</f>
        <v>0</v>
      </c>
      <c r="P57" s="32">
        <f>求节点(村县营基础信息!M$8:M$28,$I$33:$I$53,$M57)*节奏总纲!M54+P56</f>
        <v>0</v>
      </c>
      <c r="Q57" s="32">
        <f>求节点(村县营基础信息!N$8:N$28,$I$33:$I$53,$M57)*节奏总纲!N54+Q56</f>
        <v>0</v>
      </c>
      <c r="R57" s="32">
        <f>求节点(村县营基础信息!O$8:O$28,$I$33:$I$53,$M57)*节奏总纲!O54+R56</f>
        <v>0</v>
      </c>
      <c r="AC57" s="29">
        <v>51</v>
      </c>
      <c r="AD57" s="32">
        <f>求节点(村县营基础信息!T$8:T$28,$Y$33:$Y$53,$AC57)*节奏总纲!K54*(1+$B$10)+AD56</f>
        <v>0</v>
      </c>
      <c r="AE57" s="32">
        <f>求节点(村县营基础信息!U$8:U$28,$Y$33:$Y$53,$AC57)*节奏总纲!L54*(1+$B$10)+AE56</f>
        <v>0</v>
      </c>
      <c r="AF57" s="32">
        <f>求节点(村县营基础信息!V$8:V$28,$Y$33:$Y$53,$AC57)*节奏总纲!M54*(1+$B$10)+AF56</f>
        <v>0</v>
      </c>
      <c r="AG57" s="32">
        <f>求节点(村县营基础信息!W$8:W$28,$Y$33:$Y$53,$AC57)*节奏总纲!N54*(1+$B$10)+AG56</f>
        <v>0</v>
      </c>
      <c r="AH57" s="32">
        <f>求节点(村县营基础信息!X$8:X$28,$Y$33:$Y$53,$AC57)*节奏总纲!O54*(1+$B$10)+AH56</f>
        <v>0</v>
      </c>
      <c r="AR57" s="29">
        <f>AT57/[2]节奏总纲!D54</f>
        <v>0</v>
      </c>
      <c r="AS57" s="29">
        <v>51</v>
      </c>
      <c r="AT57" s="32">
        <f>求节点(村县营基础信息!AC$8:AC$28,$AN$33:$AN$53,$AS57)*节奏总纲!K54+AT56</f>
        <v>0</v>
      </c>
      <c r="AU57" s="32">
        <f>求节点(村县营基础信息!AD$8:AD$28,$AN$33:$AN$53,$AS57)*节奏总纲!L54+AU56</f>
        <v>0</v>
      </c>
      <c r="AV57" s="32">
        <f>求节点(村县营基础信息!AE$8:AE$28,$AN$33:$AN$53,$AS57)*节奏总纲!M54+AV56</f>
        <v>0</v>
      </c>
      <c r="AW57" s="32">
        <f>求节点(村县营基础信息!AF$8:AF$28,$AN$33:$AN$53,$AS57)*节奏总纲!N54+AW56</f>
        <v>0</v>
      </c>
      <c r="AX57" s="32">
        <f>求节点(村县营基础信息!AG$8:AG$28,$AN$33:$AN$53,$AS57)*节奏总纲!O54+AX56</f>
        <v>0</v>
      </c>
      <c r="BA57" s="29">
        <f>(AV57-AV56)/[2]节奏总纲!M54*'[1]功能-付费相关'!BB56</f>
        <v>0</v>
      </c>
      <c r="BL57" s="29">
        <v>51</v>
      </c>
      <c r="BM57" s="32">
        <f>求节点(村县营基础信息!AL$8:AL$28,$BG$33:$BG$53,$BL57)*节奏总纲!K54+BM56</f>
        <v>0</v>
      </c>
      <c r="BN57" s="32">
        <f>求节点(村县营基础信息!AM$8:AM$28,$BG$33:$BG$53,$BL57)*节奏总纲!L54+BN56</f>
        <v>0</v>
      </c>
      <c r="BO57" s="32">
        <f>求节点(村县营基础信息!AN$8:AN$28,$BG$33:$BG$53,$BL57)*节奏总纲!M54+BO56</f>
        <v>0</v>
      </c>
      <c r="BP57" s="32">
        <f>求节点(村县营基础信息!AO$8:AO$28,$BG$33:$BG$53,$BL57)*节奏总纲!N54+BP56</f>
        <v>0</v>
      </c>
      <c r="BQ57" s="32">
        <f>求节点(村县营基础信息!AP$8:AP$28,$BG$33:$BG$53,$BL57)*节奏总纲!O54+BQ56</f>
        <v>0</v>
      </c>
    </row>
    <row r="58" spans="7:69" x14ac:dyDescent="0.15">
      <c r="M58" s="29">
        <v>52</v>
      </c>
      <c r="N58" s="32">
        <f>求节点(村县营基础信息!K$8:K$28,$I$33:$I$53,$M58)*节奏总纲!K55+N57</f>
        <v>0</v>
      </c>
      <c r="O58" s="32">
        <f>求节点(村县营基础信息!L$8:L$28,$I$33:$I$53,$M58)*节奏总纲!L55+O57</f>
        <v>0</v>
      </c>
      <c r="P58" s="32">
        <f>求节点(村县营基础信息!M$8:M$28,$I$33:$I$53,$M58)*节奏总纲!M55+P57</f>
        <v>0</v>
      </c>
      <c r="Q58" s="32">
        <f>求节点(村县营基础信息!N$8:N$28,$I$33:$I$53,$M58)*节奏总纲!N55+Q57</f>
        <v>0</v>
      </c>
      <c r="R58" s="32">
        <f>求节点(村县营基础信息!O$8:O$28,$I$33:$I$53,$M58)*节奏总纲!O55+R57</f>
        <v>0</v>
      </c>
      <c r="AC58" s="29">
        <v>52</v>
      </c>
      <c r="AD58" s="32">
        <f>求节点(村县营基础信息!T$8:T$28,$Y$33:$Y$53,$AC58)*节奏总纲!K55*(1+$B$10)+AD57</f>
        <v>0</v>
      </c>
      <c r="AE58" s="32">
        <f>求节点(村县营基础信息!U$8:U$28,$Y$33:$Y$53,$AC58)*节奏总纲!L55*(1+$B$10)+AE57</f>
        <v>0</v>
      </c>
      <c r="AF58" s="32">
        <f>求节点(村县营基础信息!V$8:V$28,$Y$33:$Y$53,$AC58)*节奏总纲!M55*(1+$B$10)+AF57</f>
        <v>0</v>
      </c>
      <c r="AG58" s="32">
        <f>求节点(村县营基础信息!W$8:W$28,$Y$33:$Y$53,$AC58)*节奏总纲!N55*(1+$B$10)+AG57</f>
        <v>0</v>
      </c>
      <c r="AH58" s="32">
        <f>求节点(村县营基础信息!X$8:X$28,$Y$33:$Y$53,$AC58)*节奏总纲!O55*(1+$B$10)+AH57</f>
        <v>0</v>
      </c>
      <c r="AR58" s="29">
        <f>AT58/[2]节奏总纲!D55</f>
        <v>0</v>
      </c>
      <c r="AS58" s="29">
        <v>52</v>
      </c>
      <c r="AT58" s="32">
        <f>求节点(村县营基础信息!AC$8:AC$28,$AN$33:$AN$53,$AS58)*节奏总纲!K55+AT57</f>
        <v>0</v>
      </c>
      <c r="AU58" s="32">
        <f>求节点(村县营基础信息!AD$8:AD$28,$AN$33:$AN$53,$AS58)*节奏总纲!L55+AU57</f>
        <v>0</v>
      </c>
      <c r="AV58" s="32">
        <f>求节点(村县营基础信息!AE$8:AE$28,$AN$33:$AN$53,$AS58)*节奏总纲!M55+AV57</f>
        <v>0</v>
      </c>
      <c r="AW58" s="32">
        <f>求节点(村县营基础信息!AF$8:AF$28,$AN$33:$AN$53,$AS58)*节奏总纲!N55+AW57</f>
        <v>0</v>
      </c>
      <c r="AX58" s="32">
        <f>求节点(村县营基础信息!AG$8:AG$28,$AN$33:$AN$53,$AS58)*节奏总纲!O55+AX57</f>
        <v>0</v>
      </c>
      <c r="BA58" s="29">
        <f>(AV58-AV57)/[2]节奏总纲!M55*'[1]功能-付费相关'!BB57</f>
        <v>0</v>
      </c>
      <c r="BL58" s="29">
        <v>52</v>
      </c>
      <c r="BM58" s="32">
        <f>求节点(村县营基础信息!AL$8:AL$28,$BG$33:$BG$53,$BL58)*节奏总纲!K55+BM57</f>
        <v>0</v>
      </c>
      <c r="BN58" s="32">
        <f>求节点(村县营基础信息!AM$8:AM$28,$BG$33:$BG$53,$BL58)*节奏总纲!L55+BN57</f>
        <v>0</v>
      </c>
      <c r="BO58" s="32">
        <f>求节点(村县营基础信息!AN$8:AN$28,$BG$33:$BG$53,$BL58)*节奏总纲!M55+BO57</f>
        <v>0</v>
      </c>
      <c r="BP58" s="32">
        <f>求节点(村县营基础信息!AO$8:AO$28,$BG$33:$BG$53,$BL58)*节奏总纲!N55+BP57</f>
        <v>0</v>
      </c>
      <c r="BQ58" s="32">
        <f>求节点(村县营基础信息!AP$8:AP$28,$BG$33:$BG$53,$BL58)*节奏总纲!O55+BQ57</f>
        <v>0</v>
      </c>
    </row>
    <row r="59" spans="7:69" x14ac:dyDescent="0.15">
      <c r="M59" s="29">
        <v>53</v>
      </c>
      <c r="N59" s="32">
        <f>求节点(村县营基础信息!K$8:K$28,$I$33:$I$53,$M59)*节奏总纲!K56+N58</f>
        <v>0</v>
      </c>
      <c r="O59" s="32">
        <f>求节点(村县营基础信息!L$8:L$28,$I$33:$I$53,$M59)*节奏总纲!L56+O58</f>
        <v>0</v>
      </c>
      <c r="P59" s="32">
        <f>求节点(村县营基础信息!M$8:M$28,$I$33:$I$53,$M59)*节奏总纲!M56+P58</f>
        <v>0</v>
      </c>
      <c r="Q59" s="32">
        <f>求节点(村县营基础信息!N$8:N$28,$I$33:$I$53,$M59)*节奏总纲!N56+Q58</f>
        <v>0</v>
      </c>
      <c r="R59" s="32">
        <f>求节点(村县营基础信息!O$8:O$28,$I$33:$I$53,$M59)*节奏总纲!O56+R58</f>
        <v>0</v>
      </c>
      <c r="AC59" s="29">
        <v>53</v>
      </c>
      <c r="AD59" s="32">
        <f>求节点(村县营基础信息!T$8:T$28,$Y$33:$Y$53,$AC59)*节奏总纲!K56*(1+$B$10)+AD58</f>
        <v>0</v>
      </c>
      <c r="AE59" s="32">
        <f>求节点(村县营基础信息!U$8:U$28,$Y$33:$Y$53,$AC59)*节奏总纲!L56*(1+$B$10)+AE58</f>
        <v>0</v>
      </c>
      <c r="AF59" s="32">
        <f>求节点(村县营基础信息!V$8:V$28,$Y$33:$Y$53,$AC59)*节奏总纲!M56*(1+$B$10)+AF58</f>
        <v>0</v>
      </c>
      <c r="AG59" s="32">
        <f>求节点(村县营基础信息!W$8:W$28,$Y$33:$Y$53,$AC59)*节奏总纲!N56*(1+$B$10)+AG58</f>
        <v>0</v>
      </c>
      <c r="AH59" s="32">
        <f>求节点(村县营基础信息!X$8:X$28,$Y$33:$Y$53,$AC59)*节奏总纲!O56*(1+$B$10)+AH58</f>
        <v>0</v>
      </c>
      <c r="AR59" s="29">
        <f>AT59/[2]节奏总纲!D56</f>
        <v>0</v>
      </c>
      <c r="AS59" s="29">
        <v>53</v>
      </c>
      <c r="AT59" s="32">
        <f>求节点(村县营基础信息!AC$8:AC$28,$AN$33:$AN$53,$AS59)*节奏总纲!K56+AT58</f>
        <v>0</v>
      </c>
      <c r="AU59" s="32">
        <f>求节点(村县营基础信息!AD$8:AD$28,$AN$33:$AN$53,$AS59)*节奏总纲!L56+AU58</f>
        <v>0</v>
      </c>
      <c r="AV59" s="32">
        <f>求节点(村县营基础信息!AE$8:AE$28,$AN$33:$AN$53,$AS59)*节奏总纲!M56+AV58</f>
        <v>0</v>
      </c>
      <c r="AW59" s="32">
        <f>求节点(村县营基础信息!AF$8:AF$28,$AN$33:$AN$53,$AS59)*节奏总纲!N56+AW58</f>
        <v>0</v>
      </c>
      <c r="AX59" s="32">
        <f>求节点(村县营基础信息!AG$8:AG$28,$AN$33:$AN$53,$AS59)*节奏总纲!O56+AX58</f>
        <v>0</v>
      </c>
      <c r="BA59" s="29">
        <f>(AV59-AV58)/[2]节奏总纲!M56*'[1]功能-付费相关'!BB58</f>
        <v>0</v>
      </c>
      <c r="BL59" s="29">
        <v>53</v>
      </c>
      <c r="BM59" s="32">
        <f>求节点(村县营基础信息!AL$8:AL$28,$BG$33:$BG$53,$BL59)*节奏总纲!K56+BM58</f>
        <v>0</v>
      </c>
      <c r="BN59" s="32">
        <f>求节点(村县营基础信息!AM$8:AM$28,$BG$33:$BG$53,$BL59)*节奏总纲!L56+BN58</f>
        <v>0</v>
      </c>
      <c r="BO59" s="32">
        <f>求节点(村县营基础信息!AN$8:AN$28,$BG$33:$BG$53,$BL59)*节奏总纲!M56+BO58</f>
        <v>0</v>
      </c>
      <c r="BP59" s="32">
        <f>求节点(村县营基础信息!AO$8:AO$28,$BG$33:$BG$53,$BL59)*节奏总纲!N56+BP58</f>
        <v>0</v>
      </c>
      <c r="BQ59" s="32">
        <f>求节点(村县营基础信息!AP$8:AP$28,$BG$33:$BG$53,$BL59)*节奏总纲!O56+BQ58</f>
        <v>0</v>
      </c>
    </row>
    <row r="60" spans="7:69" x14ac:dyDescent="0.15">
      <c r="M60" s="29">
        <v>54</v>
      </c>
      <c r="N60" s="32">
        <f>求节点(村县营基础信息!K$8:K$28,$I$33:$I$53,$M60)*节奏总纲!K57+N59</f>
        <v>0</v>
      </c>
      <c r="O60" s="32">
        <f>求节点(村县营基础信息!L$8:L$28,$I$33:$I$53,$M60)*节奏总纲!L57+O59</f>
        <v>0</v>
      </c>
      <c r="P60" s="32">
        <f>求节点(村县营基础信息!M$8:M$28,$I$33:$I$53,$M60)*节奏总纲!M57+P59</f>
        <v>0</v>
      </c>
      <c r="Q60" s="32">
        <f>求节点(村县营基础信息!N$8:N$28,$I$33:$I$53,$M60)*节奏总纲!N57+Q59</f>
        <v>0</v>
      </c>
      <c r="R60" s="32">
        <f>求节点(村县营基础信息!O$8:O$28,$I$33:$I$53,$M60)*节奏总纲!O57+R59</f>
        <v>0</v>
      </c>
      <c r="AC60" s="29">
        <v>54</v>
      </c>
      <c r="AD60" s="32">
        <f>求节点(村县营基础信息!T$8:T$28,$Y$33:$Y$53,$AC60)*节奏总纲!K57*(1+$B$10)+AD59</f>
        <v>0</v>
      </c>
      <c r="AE60" s="32">
        <f>求节点(村县营基础信息!U$8:U$28,$Y$33:$Y$53,$AC60)*节奏总纲!L57*(1+$B$10)+AE59</f>
        <v>0</v>
      </c>
      <c r="AF60" s="32">
        <f>求节点(村县营基础信息!V$8:V$28,$Y$33:$Y$53,$AC60)*节奏总纲!M57*(1+$B$10)+AF59</f>
        <v>0</v>
      </c>
      <c r="AG60" s="32">
        <f>求节点(村县营基础信息!W$8:W$28,$Y$33:$Y$53,$AC60)*节奏总纲!N57*(1+$B$10)+AG59</f>
        <v>0</v>
      </c>
      <c r="AH60" s="32">
        <f>求节点(村县营基础信息!X$8:X$28,$Y$33:$Y$53,$AC60)*节奏总纲!O57*(1+$B$10)+AH59</f>
        <v>0</v>
      </c>
      <c r="AR60" s="29">
        <f>AT60/[2]节奏总纲!D57</f>
        <v>0</v>
      </c>
      <c r="AS60" s="29">
        <v>54</v>
      </c>
      <c r="AT60" s="32">
        <f>求节点(村县营基础信息!AC$8:AC$28,$AN$33:$AN$53,$AS60)*节奏总纲!K57+AT59</f>
        <v>0</v>
      </c>
      <c r="AU60" s="32">
        <f>求节点(村县营基础信息!AD$8:AD$28,$AN$33:$AN$53,$AS60)*节奏总纲!L57+AU59</f>
        <v>0</v>
      </c>
      <c r="AV60" s="32">
        <f>求节点(村县营基础信息!AE$8:AE$28,$AN$33:$AN$53,$AS60)*节奏总纲!M57+AV59</f>
        <v>0</v>
      </c>
      <c r="AW60" s="32">
        <f>求节点(村县营基础信息!AF$8:AF$28,$AN$33:$AN$53,$AS60)*节奏总纲!N57+AW59</f>
        <v>0</v>
      </c>
      <c r="AX60" s="32">
        <f>求节点(村县营基础信息!AG$8:AG$28,$AN$33:$AN$53,$AS60)*节奏总纲!O57+AX59</f>
        <v>0</v>
      </c>
      <c r="BA60" s="29">
        <f>(AV60-AV59)/[2]节奏总纲!M57*'[1]功能-付费相关'!BB59</f>
        <v>0</v>
      </c>
      <c r="BL60" s="29">
        <v>54</v>
      </c>
      <c r="BM60" s="32">
        <f>求节点(村县营基础信息!AL$8:AL$28,$BG$33:$BG$53,$BL60)*节奏总纲!K57+BM59</f>
        <v>0</v>
      </c>
      <c r="BN60" s="32">
        <f>求节点(村县营基础信息!AM$8:AM$28,$BG$33:$BG$53,$BL60)*节奏总纲!L57+BN59</f>
        <v>0</v>
      </c>
      <c r="BO60" s="32">
        <f>求节点(村县营基础信息!AN$8:AN$28,$BG$33:$BG$53,$BL60)*节奏总纲!M57+BO59</f>
        <v>0</v>
      </c>
      <c r="BP60" s="32">
        <f>求节点(村县营基础信息!AO$8:AO$28,$BG$33:$BG$53,$BL60)*节奏总纲!N57+BP59</f>
        <v>0</v>
      </c>
      <c r="BQ60" s="32">
        <f>求节点(村县营基础信息!AP$8:AP$28,$BG$33:$BG$53,$BL60)*节奏总纲!O57+BQ59</f>
        <v>0</v>
      </c>
    </row>
    <row r="61" spans="7:69" x14ac:dyDescent="0.15">
      <c r="M61" s="29">
        <v>55</v>
      </c>
      <c r="N61" s="32">
        <f>求节点(村县营基础信息!K$8:K$28,$I$33:$I$53,$M61)*节奏总纲!K58+N60</f>
        <v>0</v>
      </c>
      <c r="O61" s="32">
        <f>求节点(村县营基础信息!L$8:L$28,$I$33:$I$53,$M61)*节奏总纲!L58+O60</f>
        <v>0</v>
      </c>
      <c r="P61" s="32">
        <f>求节点(村县营基础信息!M$8:M$28,$I$33:$I$53,$M61)*节奏总纲!M58+P60</f>
        <v>0</v>
      </c>
      <c r="Q61" s="32">
        <f>求节点(村县营基础信息!N$8:N$28,$I$33:$I$53,$M61)*节奏总纲!N58+Q60</f>
        <v>0</v>
      </c>
      <c r="R61" s="32">
        <f>求节点(村县营基础信息!O$8:O$28,$I$33:$I$53,$M61)*节奏总纲!O58+R60</f>
        <v>0</v>
      </c>
      <c r="AC61" s="29">
        <v>55</v>
      </c>
      <c r="AD61" s="32">
        <f>求节点(村县营基础信息!T$8:T$28,$Y$33:$Y$53,$AC61)*节奏总纲!K58*(1+$B$10)+AD60</f>
        <v>0</v>
      </c>
      <c r="AE61" s="32">
        <f>求节点(村县营基础信息!U$8:U$28,$Y$33:$Y$53,$AC61)*节奏总纲!L58*(1+$B$10)+AE60</f>
        <v>0</v>
      </c>
      <c r="AF61" s="32">
        <f>求节点(村县营基础信息!V$8:V$28,$Y$33:$Y$53,$AC61)*节奏总纲!M58*(1+$B$10)+AF60</f>
        <v>0</v>
      </c>
      <c r="AG61" s="32">
        <f>求节点(村县营基础信息!W$8:W$28,$Y$33:$Y$53,$AC61)*节奏总纲!N58*(1+$B$10)+AG60</f>
        <v>0</v>
      </c>
      <c r="AH61" s="32">
        <f>求节点(村县营基础信息!X$8:X$28,$Y$33:$Y$53,$AC61)*节奏总纲!O58*(1+$B$10)+AH60</f>
        <v>0</v>
      </c>
      <c r="AR61" s="29">
        <f>AT61/[2]节奏总纲!D58</f>
        <v>0</v>
      </c>
      <c r="AS61" s="29">
        <v>55</v>
      </c>
      <c r="AT61" s="32">
        <f>求节点(村县营基础信息!AC$8:AC$28,$AN$33:$AN$53,$AS61)*节奏总纲!K58+AT60</f>
        <v>0</v>
      </c>
      <c r="AU61" s="32">
        <f>求节点(村县营基础信息!AD$8:AD$28,$AN$33:$AN$53,$AS61)*节奏总纲!L58+AU60</f>
        <v>0</v>
      </c>
      <c r="AV61" s="32">
        <f>求节点(村县营基础信息!AE$8:AE$28,$AN$33:$AN$53,$AS61)*节奏总纲!M58+AV60</f>
        <v>0</v>
      </c>
      <c r="AW61" s="32">
        <f>求节点(村县营基础信息!AF$8:AF$28,$AN$33:$AN$53,$AS61)*节奏总纲!N58+AW60</f>
        <v>0</v>
      </c>
      <c r="AX61" s="32">
        <f>求节点(村县营基础信息!AG$8:AG$28,$AN$33:$AN$53,$AS61)*节奏总纲!O58+AX60</f>
        <v>0</v>
      </c>
      <c r="BA61" s="29">
        <f>(AV61-AV60)/[2]节奏总纲!M58*'[1]功能-付费相关'!BB60</f>
        <v>0</v>
      </c>
      <c r="BL61" s="29">
        <v>55</v>
      </c>
      <c r="BM61" s="32">
        <f>求节点(村县营基础信息!AL$8:AL$28,$BG$33:$BG$53,$BL61)*节奏总纲!K58+BM60</f>
        <v>0</v>
      </c>
      <c r="BN61" s="32">
        <f>求节点(村县营基础信息!AM$8:AM$28,$BG$33:$BG$53,$BL61)*节奏总纲!L58+BN60</f>
        <v>0</v>
      </c>
      <c r="BO61" s="32">
        <f>求节点(村县营基础信息!AN$8:AN$28,$BG$33:$BG$53,$BL61)*节奏总纲!M58+BO60</f>
        <v>0</v>
      </c>
      <c r="BP61" s="32">
        <f>求节点(村县营基础信息!AO$8:AO$28,$BG$33:$BG$53,$BL61)*节奏总纲!N58+BP60</f>
        <v>0</v>
      </c>
      <c r="BQ61" s="32">
        <f>求节点(村县营基础信息!AP$8:AP$28,$BG$33:$BG$53,$BL61)*节奏总纲!O58+BQ60</f>
        <v>0</v>
      </c>
    </row>
    <row r="62" spans="7:69" x14ac:dyDescent="0.15">
      <c r="M62" s="29">
        <v>56</v>
      </c>
      <c r="N62" s="32">
        <f>求节点(村县营基础信息!K$8:K$28,$I$33:$I$53,$M62)*节奏总纲!K59+N61</f>
        <v>0</v>
      </c>
      <c r="O62" s="32">
        <f>求节点(村县营基础信息!L$8:L$28,$I$33:$I$53,$M62)*节奏总纲!L59+O61</f>
        <v>0</v>
      </c>
      <c r="P62" s="32">
        <f>求节点(村县营基础信息!M$8:M$28,$I$33:$I$53,$M62)*节奏总纲!M59+P61</f>
        <v>0</v>
      </c>
      <c r="Q62" s="32">
        <f>求节点(村县营基础信息!N$8:N$28,$I$33:$I$53,$M62)*节奏总纲!N59+Q61</f>
        <v>0</v>
      </c>
      <c r="R62" s="32">
        <f>求节点(村县营基础信息!O$8:O$28,$I$33:$I$53,$M62)*节奏总纲!O59+R61</f>
        <v>0</v>
      </c>
      <c r="AC62" s="29">
        <v>56</v>
      </c>
      <c r="AD62" s="32">
        <f>求节点(村县营基础信息!T$8:T$28,$Y$33:$Y$53,$AC62)*节奏总纲!K59*(1+$B$10)+AD61</f>
        <v>0</v>
      </c>
      <c r="AE62" s="32">
        <f>求节点(村县营基础信息!U$8:U$28,$Y$33:$Y$53,$AC62)*节奏总纲!L59*(1+$B$10)+AE61</f>
        <v>0</v>
      </c>
      <c r="AF62" s="32">
        <f>求节点(村县营基础信息!V$8:V$28,$Y$33:$Y$53,$AC62)*节奏总纲!M59*(1+$B$10)+AF61</f>
        <v>0</v>
      </c>
      <c r="AG62" s="32">
        <f>求节点(村县营基础信息!W$8:W$28,$Y$33:$Y$53,$AC62)*节奏总纲!N59*(1+$B$10)+AG61</f>
        <v>0</v>
      </c>
      <c r="AH62" s="32">
        <f>求节点(村县营基础信息!X$8:X$28,$Y$33:$Y$53,$AC62)*节奏总纲!O59*(1+$B$10)+AH61</f>
        <v>0</v>
      </c>
      <c r="AR62" s="29">
        <f>AT62/[2]节奏总纲!D59</f>
        <v>0</v>
      </c>
      <c r="AS62" s="29">
        <v>56</v>
      </c>
      <c r="AT62" s="32">
        <f>求节点(村县营基础信息!AC$8:AC$28,$AN$33:$AN$53,$AS62)*节奏总纲!K59+AT61</f>
        <v>0</v>
      </c>
      <c r="AU62" s="32">
        <f>求节点(村县营基础信息!AD$8:AD$28,$AN$33:$AN$53,$AS62)*节奏总纲!L59+AU61</f>
        <v>0</v>
      </c>
      <c r="AV62" s="32">
        <f>求节点(村县营基础信息!AE$8:AE$28,$AN$33:$AN$53,$AS62)*节奏总纲!M59+AV61</f>
        <v>0</v>
      </c>
      <c r="AW62" s="32">
        <f>求节点(村县营基础信息!AF$8:AF$28,$AN$33:$AN$53,$AS62)*节奏总纲!N59+AW61</f>
        <v>0</v>
      </c>
      <c r="AX62" s="32">
        <f>求节点(村县营基础信息!AG$8:AG$28,$AN$33:$AN$53,$AS62)*节奏总纲!O59+AX61</f>
        <v>0</v>
      </c>
      <c r="BA62" s="29">
        <f>(AV62-AV61)/[2]节奏总纲!M59*'[1]功能-付费相关'!BB61</f>
        <v>0</v>
      </c>
      <c r="BL62" s="29">
        <v>56</v>
      </c>
      <c r="BM62" s="32">
        <f>求节点(村县营基础信息!AL$8:AL$28,$BG$33:$BG$53,$BL62)*节奏总纲!K59+BM61</f>
        <v>0</v>
      </c>
      <c r="BN62" s="32">
        <f>求节点(村县营基础信息!AM$8:AM$28,$BG$33:$BG$53,$BL62)*节奏总纲!L59+BN61</f>
        <v>0</v>
      </c>
      <c r="BO62" s="32">
        <f>求节点(村县营基础信息!AN$8:AN$28,$BG$33:$BG$53,$BL62)*节奏总纲!M59+BO61</f>
        <v>0</v>
      </c>
      <c r="BP62" s="32">
        <f>求节点(村县营基础信息!AO$8:AO$28,$BG$33:$BG$53,$BL62)*节奏总纲!N59+BP61</f>
        <v>0</v>
      </c>
      <c r="BQ62" s="32">
        <f>求节点(村县营基础信息!AP$8:AP$28,$BG$33:$BG$53,$BL62)*节奏总纲!O59+BQ61</f>
        <v>0</v>
      </c>
    </row>
    <row r="63" spans="7:69" x14ac:dyDescent="0.15">
      <c r="M63" s="29">
        <v>57</v>
      </c>
      <c r="N63" s="32">
        <f>求节点(村县营基础信息!K$8:K$28,$I$33:$I$53,$M63)*节奏总纲!K60+N62</f>
        <v>0</v>
      </c>
      <c r="O63" s="32">
        <f>求节点(村县营基础信息!L$8:L$28,$I$33:$I$53,$M63)*节奏总纲!L60+O62</f>
        <v>0</v>
      </c>
      <c r="P63" s="32">
        <f>求节点(村县营基础信息!M$8:M$28,$I$33:$I$53,$M63)*节奏总纲!M60+P62</f>
        <v>0</v>
      </c>
      <c r="Q63" s="32">
        <f>求节点(村县营基础信息!N$8:N$28,$I$33:$I$53,$M63)*节奏总纲!N60+Q62</f>
        <v>0</v>
      </c>
      <c r="R63" s="32">
        <f>求节点(村县营基础信息!O$8:O$28,$I$33:$I$53,$M63)*节奏总纲!O60+R62</f>
        <v>0</v>
      </c>
      <c r="AC63" s="29">
        <v>57</v>
      </c>
      <c r="AD63" s="32">
        <f>求节点(村县营基础信息!T$8:T$28,$Y$33:$Y$53,$AC63)*节奏总纲!K60*(1+$B$10)+AD62</f>
        <v>0</v>
      </c>
      <c r="AE63" s="32">
        <f>求节点(村县营基础信息!U$8:U$28,$Y$33:$Y$53,$AC63)*节奏总纲!L60*(1+$B$10)+AE62</f>
        <v>0</v>
      </c>
      <c r="AF63" s="32">
        <f>求节点(村县营基础信息!V$8:V$28,$Y$33:$Y$53,$AC63)*节奏总纲!M60*(1+$B$10)+AF62</f>
        <v>0</v>
      </c>
      <c r="AG63" s="32">
        <f>求节点(村县营基础信息!W$8:W$28,$Y$33:$Y$53,$AC63)*节奏总纲!N60*(1+$B$10)+AG62</f>
        <v>0</v>
      </c>
      <c r="AH63" s="32">
        <f>求节点(村县营基础信息!X$8:X$28,$Y$33:$Y$53,$AC63)*节奏总纲!O60*(1+$B$10)+AH62</f>
        <v>0</v>
      </c>
      <c r="AR63" s="29">
        <f>AT63/[2]节奏总纲!D60</f>
        <v>0</v>
      </c>
      <c r="AS63" s="29">
        <v>57</v>
      </c>
      <c r="AT63" s="32">
        <f>求节点(村县营基础信息!AC$8:AC$28,$AN$33:$AN$53,$AS63)*节奏总纲!K60+AT62</f>
        <v>0</v>
      </c>
      <c r="AU63" s="32">
        <f>求节点(村县营基础信息!AD$8:AD$28,$AN$33:$AN$53,$AS63)*节奏总纲!L60+AU62</f>
        <v>0</v>
      </c>
      <c r="AV63" s="32">
        <f>求节点(村县营基础信息!AE$8:AE$28,$AN$33:$AN$53,$AS63)*节奏总纲!M60+AV62</f>
        <v>0</v>
      </c>
      <c r="AW63" s="32">
        <f>求节点(村县营基础信息!AF$8:AF$28,$AN$33:$AN$53,$AS63)*节奏总纲!N60+AW62</f>
        <v>0</v>
      </c>
      <c r="AX63" s="32">
        <f>求节点(村县营基础信息!AG$8:AG$28,$AN$33:$AN$53,$AS63)*节奏总纲!O60+AX62</f>
        <v>0</v>
      </c>
      <c r="BA63" s="29">
        <f>(AV63-AV62)/[2]节奏总纲!M60*'[1]功能-付费相关'!BB62</f>
        <v>0</v>
      </c>
      <c r="BL63" s="29">
        <v>57</v>
      </c>
      <c r="BM63" s="32">
        <f>求节点(村县营基础信息!AL$8:AL$28,$BG$33:$BG$53,$BL63)*节奏总纲!K60+BM62</f>
        <v>0</v>
      </c>
      <c r="BN63" s="32">
        <f>求节点(村县营基础信息!AM$8:AM$28,$BG$33:$BG$53,$BL63)*节奏总纲!L60+BN62</f>
        <v>0</v>
      </c>
      <c r="BO63" s="32">
        <f>求节点(村县营基础信息!AN$8:AN$28,$BG$33:$BG$53,$BL63)*节奏总纲!M60+BO62</f>
        <v>0</v>
      </c>
      <c r="BP63" s="32">
        <f>求节点(村县营基础信息!AO$8:AO$28,$BG$33:$BG$53,$BL63)*节奏总纲!N60+BP62</f>
        <v>0</v>
      </c>
      <c r="BQ63" s="32">
        <f>求节点(村县营基础信息!AP$8:AP$28,$BG$33:$BG$53,$BL63)*节奏总纲!O60+BQ62</f>
        <v>0</v>
      </c>
    </row>
    <row r="64" spans="7:69" x14ac:dyDescent="0.15">
      <c r="M64" s="29">
        <v>58</v>
      </c>
      <c r="N64" s="32">
        <f>求节点(村县营基础信息!K$8:K$28,$I$33:$I$53,$M64)*节奏总纲!K61+N63</f>
        <v>0</v>
      </c>
      <c r="O64" s="32">
        <f>求节点(村县营基础信息!L$8:L$28,$I$33:$I$53,$M64)*节奏总纲!L61+O63</f>
        <v>0</v>
      </c>
      <c r="P64" s="32">
        <f>求节点(村县营基础信息!M$8:M$28,$I$33:$I$53,$M64)*节奏总纲!M61+P63</f>
        <v>0</v>
      </c>
      <c r="Q64" s="32">
        <f>求节点(村县营基础信息!N$8:N$28,$I$33:$I$53,$M64)*节奏总纲!N61+Q63</f>
        <v>0</v>
      </c>
      <c r="R64" s="32">
        <f>求节点(村县营基础信息!O$8:O$28,$I$33:$I$53,$M64)*节奏总纲!O61+R63</f>
        <v>0</v>
      </c>
      <c r="AC64" s="29">
        <v>58</v>
      </c>
      <c r="AD64" s="32">
        <f>求节点(村县营基础信息!T$8:T$28,$Y$33:$Y$53,$AC64)*节奏总纲!K61*(1+$B$10)+AD63</f>
        <v>0</v>
      </c>
      <c r="AE64" s="32">
        <f>求节点(村县营基础信息!U$8:U$28,$Y$33:$Y$53,$AC64)*节奏总纲!L61*(1+$B$10)+AE63</f>
        <v>0</v>
      </c>
      <c r="AF64" s="32">
        <f>求节点(村县营基础信息!V$8:V$28,$Y$33:$Y$53,$AC64)*节奏总纲!M61*(1+$B$10)+AF63</f>
        <v>0</v>
      </c>
      <c r="AG64" s="32">
        <f>求节点(村县营基础信息!W$8:W$28,$Y$33:$Y$53,$AC64)*节奏总纲!N61*(1+$B$10)+AG63</f>
        <v>0</v>
      </c>
      <c r="AH64" s="32">
        <f>求节点(村县营基础信息!X$8:X$28,$Y$33:$Y$53,$AC64)*节奏总纲!O61*(1+$B$10)+AH63</f>
        <v>0</v>
      </c>
      <c r="AR64" s="29">
        <f>AT64/[2]节奏总纲!D61</f>
        <v>0</v>
      </c>
      <c r="AS64" s="29">
        <v>58</v>
      </c>
      <c r="AT64" s="32">
        <f>求节点(村县营基础信息!AC$8:AC$28,$AN$33:$AN$53,$AS64)*节奏总纲!K61+AT63</f>
        <v>0</v>
      </c>
      <c r="AU64" s="32">
        <f>求节点(村县营基础信息!AD$8:AD$28,$AN$33:$AN$53,$AS64)*节奏总纲!L61+AU63</f>
        <v>0</v>
      </c>
      <c r="AV64" s="32">
        <f>求节点(村县营基础信息!AE$8:AE$28,$AN$33:$AN$53,$AS64)*节奏总纲!M61+AV63</f>
        <v>0</v>
      </c>
      <c r="AW64" s="32">
        <f>求节点(村县营基础信息!AF$8:AF$28,$AN$33:$AN$53,$AS64)*节奏总纲!N61+AW63</f>
        <v>0</v>
      </c>
      <c r="AX64" s="32">
        <f>求节点(村县营基础信息!AG$8:AG$28,$AN$33:$AN$53,$AS64)*节奏总纲!O61+AX63</f>
        <v>0</v>
      </c>
      <c r="BA64" s="29">
        <f>(AV64-AV63)/[2]节奏总纲!M61*'[1]功能-付费相关'!BB63</f>
        <v>0</v>
      </c>
      <c r="BL64" s="29">
        <v>58</v>
      </c>
      <c r="BM64" s="32">
        <f>求节点(村县营基础信息!AL$8:AL$28,$BG$33:$BG$53,$BL64)*节奏总纲!K61+BM63</f>
        <v>0</v>
      </c>
      <c r="BN64" s="32">
        <f>求节点(村县营基础信息!AM$8:AM$28,$BG$33:$BG$53,$BL64)*节奏总纲!L61+BN63</f>
        <v>0</v>
      </c>
      <c r="BO64" s="32">
        <f>求节点(村县营基础信息!AN$8:AN$28,$BG$33:$BG$53,$BL64)*节奏总纲!M61+BO63</f>
        <v>0</v>
      </c>
      <c r="BP64" s="32">
        <f>求节点(村县营基础信息!AO$8:AO$28,$BG$33:$BG$53,$BL64)*节奏总纲!N61+BP63</f>
        <v>0</v>
      </c>
      <c r="BQ64" s="32">
        <f>求节点(村县营基础信息!AP$8:AP$28,$BG$33:$BG$53,$BL64)*节奏总纲!O61+BQ63</f>
        <v>0</v>
      </c>
    </row>
    <row r="65" spans="13:69" x14ac:dyDescent="0.15">
      <c r="M65" s="29">
        <v>59</v>
      </c>
      <c r="N65" s="32">
        <f>求节点(村县营基础信息!K$8:K$28,$I$33:$I$53,$M65)*节奏总纲!K62+N64</f>
        <v>0</v>
      </c>
      <c r="O65" s="32">
        <f>求节点(村县营基础信息!L$8:L$28,$I$33:$I$53,$M65)*节奏总纲!L62+O64</f>
        <v>0</v>
      </c>
      <c r="P65" s="32">
        <f>求节点(村县营基础信息!M$8:M$28,$I$33:$I$53,$M65)*节奏总纲!M62+P64</f>
        <v>0</v>
      </c>
      <c r="Q65" s="32">
        <f>求节点(村县营基础信息!N$8:N$28,$I$33:$I$53,$M65)*节奏总纲!N62+Q64</f>
        <v>0</v>
      </c>
      <c r="R65" s="32">
        <f>求节点(村县营基础信息!O$8:O$28,$I$33:$I$53,$M65)*节奏总纲!O62+R64</f>
        <v>0</v>
      </c>
      <c r="AC65" s="29">
        <v>59</v>
      </c>
      <c r="AD65" s="32">
        <f>求节点(村县营基础信息!T$8:T$28,$Y$33:$Y$53,$AC65)*节奏总纲!K62*(1+$B$10)+AD64</f>
        <v>0</v>
      </c>
      <c r="AE65" s="32">
        <f>求节点(村县营基础信息!U$8:U$28,$Y$33:$Y$53,$AC65)*节奏总纲!L62*(1+$B$10)+AE64</f>
        <v>0</v>
      </c>
      <c r="AF65" s="32">
        <f>求节点(村县营基础信息!V$8:V$28,$Y$33:$Y$53,$AC65)*节奏总纲!M62*(1+$B$10)+AF64</f>
        <v>0</v>
      </c>
      <c r="AG65" s="32">
        <f>求节点(村县营基础信息!W$8:W$28,$Y$33:$Y$53,$AC65)*节奏总纲!N62*(1+$B$10)+AG64</f>
        <v>0</v>
      </c>
      <c r="AH65" s="32">
        <f>求节点(村县营基础信息!X$8:X$28,$Y$33:$Y$53,$AC65)*节奏总纲!O62*(1+$B$10)+AH64</f>
        <v>0</v>
      </c>
      <c r="AR65" s="29">
        <f>AT65/[2]节奏总纲!D62</f>
        <v>0</v>
      </c>
      <c r="AS65" s="29">
        <v>59</v>
      </c>
      <c r="AT65" s="32">
        <f>求节点(村县营基础信息!AC$8:AC$28,$AN$33:$AN$53,$AS65)*节奏总纲!K62+AT64</f>
        <v>0</v>
      </c>
      <c r="AU65" s="32">
        <f>求节点(村县营基础信息!AD$8:AD$28,$AN$33:$AN$53,$AS65)*节奏总纲!L62+AU64</f>
        <v>0</v>
      </c>
      <c r="AV65" s="32">
        <f>求节点(村县营基础信息!AE$8:AE$28,$AN$33:$AN$53,$AS65)*节奏总纲!M62+AV64</f>
        <v>0</v>
      </c>
      <c r="AW65" s="32">
        <f>求节点(村县营基础信息!AF$8:AF$28,$AN$33:$AN$53,$AS65)*节奏总纲!N62+AW64</f>
        <v>0</v>
      </c>
      <c r="AX65" s="32">
        <f>求节点(村县营基础信息!AG$8:AG$28,$AN$33:$AN$53,$AS65)*节奏总纲!O62+AX64</f>
        <v>0</v>
      </c>
      <c r="BA65" s="29">
        <f>(AV65-AV64)/[2]节奏总纲!M62*'[1]功能-付费相关'!BB64</f>
        <v>0</v>
      </c>
      <c r="BL65" s="29">
        <v>59</v>
      </c>
      <c r="BM65" s="32">
        <f>求节点(村县营基础信息!AL$8:AL$28,$BG$33:$BG$53,$BL65)*节奏总纲!K62+BM64</f>
        <v>0</v>
      </c>
      <c r="BN65" s="32">
        <f>求节点(村县营基础信息!AM$8:AM$28,$BG$33:$BG$53,$BL65)*节奏总纲!L62+BN64</f>
        <v>0</v>
      </c>
      <c r="BO65" s="32">
        <f>求节点(村县营基础信息!AN$8:AN$28,$BG$33:$BG$53,$BL65)*节奏总纲!M62+BO64</f>
        <v>0</v>
      </c>
      <c r="BP65" s="32">
        <f>求节点(村县营基础信息!AO$8:AO$28,$BG$33:$BG$53,$BL65)*节奏总纲!N62+BP64</f>
        <v>0</v>
      </c>
      <c r="BQ65" s="32">
        <f>求节点(村县营基础信息!AP$8:AP$28,$BG$33:$BG$53,$BL65)*节奏总纲!O62+BQ64</f>
        <v>0</v>
      </c>
    </row>
    <row r="66" spans="13:69" x14ac:dyDescent="0.15">
      <c r="M66" s="29">
        <v>60</v>
      </c>
      <c r="N66" s="32">
        <f>求节点(村县营基础信息!K$8:K$28,$I$33:$I$53,$M66)*节奏总纲!K63+N65</f>
        <v>0</v>
      </c>
      <c r="O66" s="32">
        <f>求节点(村县营基础信息!L$8:L$28,$I$33:$I$53,$M66)*节奏总纲!L63+O65</f>
        <v>0</v>
      </c>
      <c r="P66" s="32">
        <f>求节点(村县营基础信息!M$8:M$28,$I$33:$I$53,$M66)*节奏总纲!M63+P65</f>
        <v>0</v>
      </c>
      <c r="Q66" s="32">
        <f>求节点(村县营基础信息!N$8:N$28,$I$33:$I$53,$M66)*节奏总纲!N63+Q65</f>
        <v>0</v>
      </c>
      <c r="R66" s="32">
        <f>求节点(村县营基础信息!O$8:O$28,$I$33:$I$53,$M66)*节奏总纲!O63+R65</f>
        <v>0</v>
      </c>
      <c r="AC66" s="29">
        <v>60</v>
      </c>
      <c r="AD66" s="32">
        <f>求节点(村县营基础信息!T$8:T$28,$Y$33:$Y$53,$AC66)*节奏总纲!K63*(1+$B$10)+AD65</f>
        <v>0</v>
      </c>
      <c r="AE66" s="32">
        <f>求节点(村县营基础信息!U$8:U$28,$Y$33:$Y$53,$AC66)*节奏总纲!L63*(1+$B$10)+AE65</f>
        <v>0</v>
      </c>
      <c r="AF66" s="32">
        <f>求节点(村县营基础信息!V$8:V$28,$Y$33:$Y$53,$AC66)*节奏总纲!M63*(1+$B$10)+AF65</f>
        <v>0</v>
      </c>
      <c r="AG66" s="32">
        <f>求节点(村县营基础信息!W$8:W$28,$Y$33:$Y$53,$AC66)*节奏总纲!N63*(1+$B$10)+AG65</f>
        <v>0</v>
      </c>
      <c r="AH66" s="32">
        <f>求节点(村县营基础信息!X$8:X$28,$Y$33:$Y$53,$AC66)*节奏总纲!O63*(1+$B$10)+AH65</f>
        <v>0</v>
      </c>
      <c r="AR66" s="29">
        <f>AT66/[2]节奏总纲!D63</f>
        <v>0</v>
      </c>
      <c r="AS66" s="29">
        <v>60</v>
      </c>
      <c r="AT66" s="32">
        <f>求节点(村县营基础信息!AC$8:AC$28,$AN$33:$AN$53,$AS66)*节奏总纲!K63+AT65</f>
        <v>0</v>
      </c>
      <c r="AU66" s="32">
        <f>求节点(村县营基础信息!AD$8:AD$28,$AN$33:$AN$53,$AS66)*节奏总纲!L63+AU65</f>
        <v>0</v>
      </c>
      <c r="AV66" s="32">
        <f>求节点(村县营基础信息!AE$8:AE$28,$AN$33:$AN$53,$AS66)*节奏总纲!M63+AV65</f>
        <v>0</v>
      </c>
      <c r="AW66" s="32">
        <f>求节点(村县营基础信息!AF$8:AF$28,$AN$33:$AN$53,$AS66)*节奏总纲!N63+AW65</f>
        <v>0</v>
      </c>
      <c r="AX66" s="32">
        <f>求节点(村县营基础信息!AG$8:AG$28,$AN$33:$AN$53,$AS66)*节奏总纲!O63+AX65</f>
        <v>0</v>
      </c>
      <c r="BA66" s="29">
        <f>(AV66-AV65)/[2]节奏总纲!M63*'[1]功能-付费相关'!BB65</f>
        <v>0</v>
      </c>
      <c r="BL66" s="29">
        <v>60</v>
      </c>
      <c r="BM66" s="32">
        <f>求节点(村县营基础信息!AL$8:AL$28,$BG$33:$BG$53,$BL66)*节奏总纲!K63+BM65</f>
        <v>0</v>
      </c>
      <c r="BN66" s="32">
        <f>求节点(村县营基础信息!AM$8:AM$28,$BG$33:$BG$53,$BL66)*节奏总纲!L63+BN65</f>
        <v>0</v>
      </c>
      <c r="BO66" s="32">
        <f>求节点(村县营基础信息!AN$8:AN$28,$BG$33:$BG$53,$BL66)*节奏总纲!M63+BO65</f>
        <v>0</v>
      </c>
      <c r="BP66" s="32">
        <f>求节点(村县营基础信息!AO$8:AO$28,$BG$33:$BG$53,$BL66)*节奏总纲!N63+BP65</f>
        <v>0</v>
      </c>
      <c r="BQ66" s="32">
        <f>求节点(村县营基础信息!AP$8:AP$28,$BG$33:$BG$53,$BL66)*节奏总纲!O63+BQ65</f>
        <v>0</v>
      </c>
    </row>
    <row r="67" spans="13:69" x14ac:dyDescent="0.15">
      <c r="M67" s="29">
        <v>61</v>
      </c>
      <c r="N67" s="32">
        <f>求节点(村县营基础信息!K$8:K$28,$I$33:$I$53,$M67)*节奏总纲!K64+N66</f>
        <v>0</v>
      </c>
      <c r="O67" s="32">
        <f>求节点(村县营基础信息!L$8:L$28,$I$33:$I$53,$M67)*节奏总纲!L64+O66</f>
        <v>0</v>
      </c>
      <c r="P67" s="32">
        <f>求节点(村县营基础信息!M$8:M$28,$I$33:$I$53,$M67)*节奏总纲!M64+P66</f>
        <v>0</v>
      </c>
      <c r="Q67" s="32">
        <f>求节点(村县营基础信息!N$8:N$28,$I$33:$I$53,$M67)*节奏总纲!N64+Q66</f>
        <v>0</v>
      </c>
      <c r="R67" s="32">
        <f>求节点(村县营基础信息!O$8:O$28,$I$33:$I$53,$M67)*节奏总纲!O64+R66</f>
        <v>0</v>
      </c>
      <c r="AC67" s="29">
        <v>61</v>
      </c>
      <c r="AD67" s="32">
        <f>求节点(村县营基础信息!T$8:T$28,$Y$33:$Y$53,$AC67)*节奏总纲!K64*(1+$B$10)+AD66</f>
        <v>0</v>
      </c>
      <c r="AE67" s="32">
        <f>求节点(村县营基础信息!U$8:U$28,$Y$33:$Y$53,$AC67)*节奏总纲!L64*(1+$B$10)+AE66</f>
        <v>0</v>
      </c>
      <c r="AF67" s="32">
        <f>求节点(村县营基础信息!V$8:V$28,$Y$33:$Y$53,$AC67)*节奏总纲!M64*(1+$B$10)+AF66</f>
        <v>0</v>
      </c>
      <c r="AG67" s="32">
        <f>求节点(村县营基础信息!W$8:W$28,$Y$33:$Y$53,$AC67)*节奏总纲!N64*(1+$B$10)+AG66</f>
        <v>0</v>
      </c>
      <c r="AH67" s="32">
        <f>求节点(村县营基础信息!X$8:X$28,$Y$33:$Y$53,$AC67)*节奏总纲!O64*(1+$B$10)+AH66</f>
        <v>0</v>
      </c>
      <c r="AR67" s="29">
        <f>AT67/[2]节奏总纲!D64</f>
        <v>0</v>
      </c>
      <c r="AS67" s="29">
        <v>61</v>
      </c>
      <c r="AT67" s="32">
        <f>求节点(村县营基础信息!AC$8:AC$28,$AN$33:$AN$53,$AS67)*节奏总纲!K64+AT66</f>
        <v>0</v>
      </c>
      <c r="AU67" s="32">
        <f>求节点(村县营基础信息!AD$8:AD$28,$AN$33:$AN$53,$AS67)*节奏总纲!L64+AU66</f>
        <v>0</v>
      </c>
      <c r="AV67" s="32">
        <f>求节点(村县营基础信息!AE$8:AE$28,$AN$33:$AN$53,$AS67)*节奏总纲!M64+AV66</f>
        <v>0</v>
      </c>
      <c r="AW67" s="32">
        <f>求节点(村县营基础信息!AF$8:AF$28,$AN$33:$AN$53,$AS67)*节奏总纲!N64+AW66</f>
        <v>0</v>
      </c>
      <c r="AX67" s="32">
        <f>求节点(村县营基础信息!AG$8:AG$28,$AN$33:$AN$53,$AS67)*节奏总纲!O64+AX66</f>
        <v>0</v>
      </c>
      <c r="BA67" s="29">
        <f>(AV67-AV66)/[2]节奏总纲!M64*'[1]功能-付费相关'!BB66</f>
        <v>0</v>
      </c>
      <c r="BL67" s="29">
        <v>61</v>
      </c>
      <c r="BM67" s="32">
        <f>求节点(村县营基础信息!AL$8:AL$28,$BG$33:$BG$53,$BL67)*节奏总纲!K64+BM66</f>
        <v>0</v>
      </c>
      <c r="BN67" s="32">
        <f>求节点(村县营基础信息!AM$8:AM$28,$BG$33:$BG$53,$BL67)*节奏总纲!L64+BN66</f>
        <v>0</v>
      </c>
      <c r="BO67" s="32">
        <f>求节点(村县营基础信息!AN$8:AN$28,$BG$33:$BG$53,$BL67)*节奏总纲!M64+BO66</f>
        <v>0</v>
      </c>
      <c r="BP67" s="32">
        <f>求节点(村县营基础信息!AO$8:AO$28,$BG$33:$BG$53,$BL67)*节奏总纲!N64+BP66</f>
        <v>0</v>
      </c>
      <c r="BQ67" s="32">
        <f>求节点(村县营基础信息!AP$8:AP$28,$BG$33:$BG$53,$BL67)*节奏总纲!O64+BQ66</f>
        <v>0</v>
      </c>
    </row>
    <row r="68" spans="13:69" x14ac:dyDescent="0.15">
      <c r="M68" s="29">
        <v>62</v>
      </c>
      <c r="N68" s="32">
        <f>求节点(村县营基础信息!K$8:K$28,$I$33:$I$53,$M68)*节奏总纲!K65+N67</f>
        <v>0</v>
      </c>
      <c r="O68" s="32">
        <f>求节点(村县营基础信息!L$8:L$28,$I$33:$I$53,$M68)*节奏总纲!L65+O67</f>
        <v>0</v>
      </c>
      <c r="P68" s="32">
        <f>求节点(村县营基础信息!M$8:M$28,$I$33:$I$53,$M68)*节奏总纲!M65+P67</f>
        <v>0</v>
      </c>
      <c r="Q68" s="32">
        <f>求节点(村县营基础信息!N$8:N$28,$I$33:$I$53,$M68)*节奏总纲!N65+Q67</f>
        <v>0</v>
      </c>
      <c r="R68" s="32">
        <f>求节点(村县营基础信息!O$8:O$28,$I$33:$I$53,$M68)*节奏总纲!O65+R67</f>
        <v>0</v>
      </c>
      <c r="AC68" s="29">
        <v>62</v>
      </c>
      <c r="AD68" s="32">
        <f>求节点(村县营基础信息!T$8:T$28,$Y$33:$Y$53,$AC68)*节奏总纲!K65*(1+$B$10)+AD67</f>
        <v>0</v>
      </c>
      <c r="AE68" s="32">
        <f>求节点(村县营基础信息!U$8:U$28,$Y$33:$Y$53,$AC68)*节奏总纲!L65*(1+$B$10)+AE67</f>
        <v>0</v>
      </c>
      <c r="AF68" s="32">
        <f>求节点(村县营基础信息!V$8:V$28,$Y$33:$Y$53,$AC68)*节奏总纲!M65*(1+$B$10)+AF67</f>
        <v>0</v>
      </c>
      <c r="AG68" s="32">
        <f>求节点(村县营基础信息!W$8:W$28,$Y$33:$Y$53,$AC68)*节奏总纲!N65*(1+$B$10)+AG67</f>
        <v>0</v>
      </c>
      <c r="AH68" s="32">
        <f>求节点(村县营基础信息!X$8:X$28,$Y$33:$Y$53,$AC68)*节奏总纲!O65*(1+$B$10)+AH67</f>
        <v>0</v>
      </c>
      <c r="AR68" s="29">
        <f>AT68/[2]节奏总纲!D65</f>
        <v>0</v>
      </c>
      <c r="AS68" s="29">
        <v>62</v>
      </c>
      <c r="AT68" s="32">
        <f>求节点(村县营基础信息!AC$8:AC$28,$AN$33:$AN$53,$AS68)*节奏总纲!K65+AT67</f>
        <v>0</v>
      </c>
      <c r="AU68" s="32">
        <f>求节点(村县营基础信息!AD$8:AD$28,$AN$33:$AN$53,$AS68)*节奏总纲!L65+AU67</f>
        <v>0</v>
      </c>
      <c r="AV68" s="32">
        <f>求节点(村县营基础信息!AE$8:AE$28,$AN$33:$AN$53,$AS68)*节奏总纲!M65+AV67</f>
        <v>0</v>
      </c>
      <c r="AW68" s="32">
        <f>求节点(村县营基础信息!AF$8:AF$28,$AN$33:$AN$53,$AS68)*节奏总纲!N65+AW67</f>
        <v>0</v>
      </c>
      <c r="AX68" s="32">
        <f>求节点(村县营基础信息!AG$8:AG$28,$AN$33:$AN$53,$AS68)*节奏总纲!O65+AX67</f>
        <v>0</v>
      </c>
      <c r="BA68" s="29">
        <f>(AV68-AV67)/[2]节奏总纲!M65*'[1]功能-付费相关'!BB67</f>
        <v>0</v>
      </c>
      <c r="BL68" s="29">
        <v>62</v>
      </c>
      <c r="BM68" s="32">
        <f>求节点(村县营基础信息!AL$8:AL$28,$BG$33:$BG$53,$BL68)*节奏总纲!K65+BM67</f>
        <v>0</v>
      </c>
      <c r="BN68" s="32">
        <f>求节点(村县营基础信息!AM$8:AM$28,$BG$33:$BG$53,$BL68)*节奏总纲!L65+BN67</f>
        <v>0</v>
      </c>
      <c r="BO68" s="32">
        <f>求节点(村县营基础信息!AN$8:AN$28,$BG$33:$BG$53,$BL68)*节奏总纲!M65+BO67</f>
        <v>0</v>
      </c>
      <c r="BP68" s="32">
        <f>求节点(村县营基础信息!AO$8:AO$28,$BG$33:$BG$53,$BL68)*节奏总纲!N65+BP67</f>
        <v>0</v>
      </c>
      <c r="BQ68" s="32">
        <f>求节点(村县营基础信息!AP$8:AP$28,$BG$33:$BG$53,$BL68)*节奏总纲!O65+BQ67</f>
        <v>0</v>
      </c>
    </row>
    <row r="69" spans="13:69" x14ac:dyDescent="0.15">
      <c r="M69" s="29">
        <v>63</v>
      </c>
      <c r="N69" s="32">
        <f>求节点(村县营基础信息!K$8:K$28,$I$33:$I$53,$M69)*节奏总纲!K66+N68</f>
        <v>0</v>
      </c>
      <c r="O69" s="32">
        <f>求节点(村县营基础信息!L$8:L$28,$I$33:$I$53,$M69)*节奏总纲!L66+O68</f>
        <v>0</v>
      </c>
      <c r="P69" s="32">
        <f>求节点(村县营基础信息!M$8:M$28,$I$33:$I$53,$M69)*节奏总纲!M66+P68</f>
        <v>0</v>
      </c>
      <c r="Q69" s="32">
        <f>求节点(村县营基础信息!N$8:N$28,$I$33:$I$53,$M69)*节奏总纲!N66+Q68</f>
        <v>0</v>
      </c>
      <c r="R69" s="32">
        <f>求节点(村县营基础信息!O$8:O$28,$I$33:$I$53,$M69)*节奏总纲!O66+R68</f>
        <v>0</v>
      </c>
      <c r="AC69" s="29">
        <v>63</v>
      </c>
      <c r="AD69" s="32">
        <f>求节点(村县营基础信息!T$8:T$28,$Y$33:$Y$53,$AC69)*节奏总纲!K66*(1+$B$10)+AD68</f>
        <v>0</v>
      </c>
      <c r="AE69" s="32">
        <f>求节点(村县营基础信息!U$8:U$28,$Y$33:$Y$53,$AC69)*节奏总纲!L66*(1+$B$10)+AE68</f>
        <v>0</v>
      </c>
      <c r="AF69" s="32">
        <f>求节点(村县营基础信息!V$8:V$28,$Y$33:$Y$53,$AC69)*节奏总纲!M66*(1+$B$10)+AF68</f>
        <v>0</v>
      </c>
      <c r="AG69" s="32">
        <f>求节点(村县营基础信息!W$8:W$28,$Y$33:$Y$53,$AC69)*节奏总纲!N66*(1+$B$10)+AG68</f>
        <v>0</v>
      </c>
      <c r="AH69" s="32">
        <f>求节点(村县营基础信息!X$8:X$28,$Y$33:$Y$53,$AC69)*节奏总纲!O66*(1+$B$10)+AH68</f>
        <v>0</v>
      </c>
      <c r="AR69" s="29">
        <f>AT69/[2]节奏总纲!D66</f>
        <v>0</v>
      </c>
      <c r="AS69" s="29">
        <v>63</v>
      </c>
      <c r="AT69" s="32">
        <f>求节点(村县营基础信息!AC$8:AC$28,$AN$33:$AN$53,$AS69)*节奏总纲!K66+AT68</f>
        <v>0</v>
      </c>
      <c r="AU69" s="32">
        <f>求节点(村县营基础信息!AD$8:AD$28,$AN$33:$AN$53,$AS69)*节奏总纲!L66+AU68</f>
        <v>0</v>
      </c>
      <c r="AV69" s="32">
        <f>求节点(村县营基础信息!AE$8:AE$28,$AN$33:$AN$53,$AS69)*节奏总纲!M66+AV68</f>
        <v>0</v>
      </c>
      <c r="AW69" s="32">
        <f>求节点(村县营基础信息!AF$8:AF$28,$AN$33:$AN$53,$AS69)*节奏总纲!N66+AW68</f>
        <v>0</v>
      </c>
      <c r="AX69" s="32">
        <f>求节点(村县营基础信息!AG$8:AG$28,$AN$33:$AN$53,$AS69)*节奏总纲!O66+AX68</f>
        <v>0</v>
      </c>
      <c r="BA69" s="29">
        <f>(AV69-AV68)/[2]节奏总纲!M66*'[1]功能-付费相关'!BB68</f>
        <v>0</v>
      </c>
      <c r="BL69" s="29">
        <v>63</v>
      </c>
      <c r="BM69" s="32">
        <f>求节点(村县营基础信息!AL$8:AL$28,$BG$33:$BG$53,$BL69)*节奏总纲!K66+BM68</f>
        <v>0</v>
      </c>
      <c r="BN69" s="32">
        <f>求节点(村县营基础信息!AM$8:AM$28,$BG$33:$BG$53,$BL69)*节奏总纲!L66+BN68</f>
        <v>0</v>
      </c>
      <c r="BO69" s="32">
        <f>求节点(村县营基础信息!AN$8:AN$28,$BG$33:$BG$53,$BL69)*节奏总纲!M66+BO68</f>
        <v>0</v>
      </c>
      <c r="BP69" s="32">
        <f>求节点(村县营基础信息!AO$8:AO$28,$BG$33:$BG$53,$BL69)*节奏总纲!N66+BP68</f>
        <v>0</v>
      </c>
      <c r="BQ69" s="32">
        <f>求节点(村县营基础信息!AP$8:AP$28,$BG$33:$BG$53,$BL69)*节奏总纲!O66+BQ68</f>
        <v>0</v>
      </c>
    </row>
    <row r="70" spans="13:69" x14ac:dyDescent="0.15">
      <c r="M70" s="29">
        <v>64</v>
      </c>
      <c r="N70" s="32">
        <f>求节点(村县营基础信息!K$8:K$28,$I$33:$I$53,$M70)*节奏总纲!K67+N69</f>
        <v>0</v>
      </c>
      <c r="O70" s="32">
        <f>求节点(村县营基础信息!L$8:L$28,$I$33:$I$53,$M70)*节奏总纲!L67+O69</f>
        <v>0</v>
      </c>
      <c r="P70" s="32">
        <f>求节点(村县营基础信息!M$8:M$28,$I$33:$I$53,$M70)*节奏总纲!M67+P69</f>
        <v>0</v>
      </c>
      <c r="Q70" s="32">
        <f>求节点(村县营基础信息!N$8:N$28,$I$33:$I$53,$M70)*节奏总纲!N67+Q69</f>
        <v>0</v>
      </c>
      <c r="R70" s="32">
        <f>求节点(村县营基础信息!O$8:O$28,$I$33:$I$53,$M70)*节奏总纲!O67+R69</f>
        <v>0</v>
      </c>
      <c r="AC70" s="29">
        <v>64</v>
      </c>
      <c r="AD70" s="32">
        <f>求节点(村县营基础信息!T$8:T$28,$Y$33:$Y$53,$AC70)*节奏总纲!K67*(1+$B$10)+AD69</f>
        <v>0</v>
      </c>
      <c r="AE70" s="32">
        <f>求节点(村县营基础信息!U$8:U$28,$Y$33:$Y$53,$AC70)*节奏总纲!L67*(1+$B$10)+AE69</f>
        <v>0</v>
      </c>
      <c r="AF70" s="32">
        <f>求节点(村县营基础信息!V$8:V$28,$Y$33:$Y$53,$AC70)*节奏总纲!M67*(1+$B$10)+AF69</f>
        <v>0</v>
      </c>
      <c r="AG70" s="32">
        <f>求节点(村县营基础信息!W$8:W$28,$Y$33:$Y$53,$AC70)*节奏总纲!N67*(1+$B$10)+AG69</f>
        <v>0</v>
      </c>
      <c r="AH70" s="32">
        <f>求节点(村县营基础信息!X$8:X$28,$Y$33:$Y$53,$AC70)*节奏总纲!O67*(1+$B$10)+AH69</f>
        <v>0</v>
      </c>
      <c r="AR70" s="29">
        <f>AT70/[2]节奏总纲!D67</f>
        <v>0</v>
      </c>
      <c r="AS70" s="29">
        <v>64</v>
      </c>
      <c r="AT70" s="32">
        <f>求节点(村县营基础信息!AC$8:AC$28,$AN$33:$AN$53,$AS70)*节奏总纲!K67+AT69</f>
        <v>0</v>
      </c>
      <c r="AU70" s="32">
        <f>求节点(村县营基础信息!AD$8:AD$28,$AN$33:$AN$53,$AS70)*节奏总纲!L67+AU69</f>
        <v>0</v>
      </c>
      <c r="AV70" s="32">
        <f>求节点(村县营基础信息!AE$8:AE$28,$AN$33:$AN$53,$AS70)*节奏总纲!M67+AV69</f>
        <v>0</v>
      </c>
      <c r="AW70" s="32">
        <f>求节点(村县营基础信息!AF$8:AF$28,$AN$33:$AN$53,$AS70)*节奏总纲!N67+AW69</f>
        <v>0</v>
      </c>
      <c r="AX70" s="32">
        <f>求节点(村县营基础信息!AG$8:AG$28,$AN$33:$AN$53,$AS70)*节奏总纲!O67+AX69</f>
        <v>0</v>
      </c>
      <c r="BA70" s="29">
        <f>(AV70-AV69)/[2]节奏总纲!M67*'[1]功能-付费相关'!BB69</f>
        <v>0</v>
      </c>
      <c r="BL70" s="29">
        <v>64</v>
      </c>
      <c r="BM70" s="32">
        <f>求节点(村县营基础信息!AL$8:AL$28,$BG$33:$BG$53,$BL70)*节奏总纲!K67+BM69</f>
        <v>0</v>
      </c>
      <c r="BN70" s="32">
        <f>求节点(村县营基础信息!AM$8:AM$28,$BG$33:$BG$53,$BL70)*节奏总纲!L67+BN69</f>
        <v>0</v>
      </c>
      <c r="BO70" s="32">
        <f>求节点(村县营基础信息!AN$8:AN$28,$BG$33:$BG$53,$BL70)*节奏总纲!M67+BO69</f>
        <v>0</v>
      </c>
      <c r="BP70" s="32">
        <f>求节点(村县营基础信息!AO$8:AO$28,$BG$33:$BG$53,$BL70)*节奏总纲!N67+BP69</f>
        <v>0</v>
      </c>
      <c r="BQ70" s="32">
        <f>求节点(村县营基础信息!AP$8:AP$28,$BG$33:$BG$53,$BL70)*节奏总纲!O67+BQ69</f>
        <v>0</v>
      </c>
    </row>
    <row r="71" spans="13:69" x14ac:dyDescent="0.15">
      <c r="M71" s="29">
        <v>65</v>
      </c>
      <c r="N71" s="32">
        <f>求节点(村县营基础信息!K$8:K$28,$I$33:$I$53,$M71)*节奏总纲!K68+N70</f>
        <v>0</v>
      </c>
      <c r="O71" s="32">
        <f>求节点(村县营基础信息!L$8:L$28,$I$33:$I$53,$M71)*节奏总纲!L68+O70</f>
        <v>0</v>
      </c>
      <c r="P71" s="32">
        <f>求节点(村县营基础信息!M$8:M$28,$I$33:$I$53,$M71)*节奏总纲!M68+P70</f>
        <v>0</v>
      </c>
      <c r="Q71" s="32">
        <f>求节点(村县营基础信息!N$8:N$28,$I$33:$I$53,$M71)*节奏总纲!N68+Q70</f>
        <v>0</v>
      </c>
      <c r="R71" s="32">
        <f>求节点(村县营基础信息!O$8:O$28,$I$33:$I$53,$M71)*节奏总纲!O68+R70</f>
        <v>0</v>
      </c>
      <c r="AC71" s="29">
        <v>65</v>
      </c>
      <c r="AD71" s="32">
        <f>求节点(村县营基础信息!T$8:T$28,$Y$33:$Y$53,$AC71)*节奏总纲!K68*(1+$B$10)+AD70</f>
        <v>0</v>
      </c>
      <c r="AE71" s="32">
        <f>求节点(村县营基础信息!U$8:U$28,$Y$33:$Y$53,$AC71)*节奏总纲!L68*(1+$B$10)+AE70</f>
        <v>0</v>
      </c>
      <c r="AF71" s="32">
        <f>求节点(村县营基础信息!V$8:V$28,$Y$33:$Y$53,$AC71)*节奏总纲!M68*(1+$B$10)+AF70</f>
        <v>0</v>
      </c>
      <c r="AG71" s="32">
        <f>求节点(村县营基础信息!W$8:W$28,$Y$33:$Y$53,$AC71)*节奏总纲!N68*(1+$B$10)+AG70</f>
        <v>0</v>
      </c>
      <c r="AH71" s="32">
        <f>求节点(村县营基础信息!X$8:X$28,$Y$33:$Y$53,$AC71)*节奏总纲!O68*(1+$B$10)+AH70</f>
        <v>0</v>
      </c>
      <c r="AR71" s="29">
        <f>AT71/[2]节奏总纲!D68</f>
        <v>0</v>
      </c>
      <c r="AS71" s="29">
        <v>65</v>
      </c>
      <c r="AT71" s="32">
        <f>求节点(村县营基础信息!AC$8:AC$28,$AN$33:$AN$53,$AS71)*节奏总纲!K68+AT70</f>
        <v>0</v>
      </c>
      <c r="AU71" s="32">
        <f>求节点(村县营基础信息!AD$8:AD$28,$AN$33:$AN$53,$AS71)*节奏总纲!L68+AU70</f>
        <v>0</v>
      </c>
      <c r="AV71" s="32">
        <f>求节点(村县营基础信息!AE$8:AE$28,$AN$33:$AN$53,$AS71)*节奏总纲!M68+AV70</f>
        <v>0</v>
      </c>
      <c r="AW71" s="32">
        <f>求节点(村县营基础信息!AF$8:AF$28,$AN$33:$AN$53,$AS71)*节奏总纲!N68+AW70</f>
        <v>0</v>
      </c>
      <c r="AX71" s="32">
        <f>求节点(村县营基础信息!AG$8:AG$28,$AN$33:$AN$53,$AS71)*节奏总纲!O68+AX70</f>
        <v>0</v>
      </c>
      <c r="BA71" s="29">
        <f>(AV71-AV70)/[2]节奏总纲!M68*'[1]功能-付费相关'!BB70</f>
        <v>0</v>
      </c>
      <c r="BL71" s="29">
        <v>65</v>
      </c>
      <c r="BM71" s="32">
        <f>求节点(村县营基础信息!AL$8:AL$28,$BG$33:$BG$53,$BL71)*节奏总纲!K68+BM70</f>
        <v>0</v>
      </c>
      <c r="BN71" s="32">
        <f>求节点(村县营基础信息!AM$8:AM$28,$BG$33:$BG$53,$BL71)*节奏总纲!L68+BN70</f>
        <v>0</v>
      </c>
      <c r="BO71" s="32">
        <f>求节点(村县营基础信息!AN$8:AN$28,$BG$33:$BG$53,$BL71)*节奏总纲!M68+BO70</f>
        <v>0</v>
      </c>
      <c r="BP71" s="32">
        <f>求节点(村县营基础信息!AO$8:AO$28,$BG$33:$BG$53,$BL71)*节奏总纲!N68+BP70</f>
        <v>0</v>
      </c>
      <c r="BQ71" s="32">
        <f>求节点(村县营基础信息!AP$8:AP$28,$BG$33:$BG$53,$BL71)*节奏总纲!O68+BQ70</f>
        <v>0</v>
      </c>
    </row>
    <row r="72" spans="13:69" x14ac:dyDescent="0.15">
      <c r="M72" s="29">
        <v>66</v>
      </c>
      <c r="N72" s="32">
        <f>求节点(村县营基础信息!K$8:K$28,$I$33:$I$53,$M72)*节奏总纲!K69+N71</f>
        <v>0</v>
      </c>
      <c r="O72" s="32">
        <f>求节点(村县营基础信息!L$8:L$28,$I$33:$I$53,$M72)*节奏总纲!L69+O71</f>
        <v>0</v>
      </c>
      <c r="P72" s="32">
        <f>求节点(村县营基础信息!M$8:M$28,$I$33:$I$53,$M72)*节奏总纲!M69+P71</f>
        <v>0</v>
      </c>
      <c r="Q72" s="32">
        <f>求节点(村县营基础信息!N$8:N$28,$I$33:$I$53,$M72)*节奏总纲!N69+Q71</f>
        <v>0</v>
      </c>
      <c r="R72" s="32">
        <f>求节点(村县营基础信息!O$8:O$28,$I$33:$I$53,$M72)*节奏总纲!O69+R71</f>
        <v>0</v>
      </c>
      <c r="AC72" s="29">
        <v>66</v>
      </c>
      <c r="AD72" s="32">
        <f>求节点(村县营基础信息!T$8:T$28,$Y$33:$Y$53,$AC72)*节奏总纲!K69*(1+$B$10)+AD71</f>
        <v>0</v>
      </c>
      <c r="AE72" s="32">
        <f>求节点(村县营基础信息!U$8:U$28,$Y$33:$Y$53,$AC72)*节奏总纲!L69*(1+$B$10)+AE71</f>
        <v>0</v>
      </c>
      <c r="AF72" s="32">
        <f>求节点(村县营基础信息!V$8:V$28,$Y$33:$Y$53,$AC72)*节奏总纲!M69*(1+$B$10)+AF71</f>
        <v>0</v>
      </c>
      <c r="AG72" s="32">
        <f>求节点(村县营基础信息!W$8:W$28,$Y$33:$Y$53,$AC72)*节奏总纲!N69*(1+$B$10)+AG71</f>
        <v>0</v>
      </c>
      <c r="AH72" s="32">
        <f>求节点(村县营基础信息!X$8:X$28,$Y$33:$Y$53,$AC72)*节奏总纲!O69*(1+$B$10)+AH71</f>
        <v>0</v>
      </c>
      <c r="AR72" s="29">
        <f>AT72/[2]节奏总纲!D69</f>
        <v>0</v>
      </c>
      <c r="AS72" s="29">
        <v>66</v>
      </c>
      <c r="AT72" s="32">
        <f>求节点(村县营基础信息!AC$8:AC$28,$AN$33:$AN$53,$AS72)*节奏总纲!K69+AT71</f>
        <v>0</v>
      </c>
      <c r="AU72" s="32">
        <f>求节点(村县营基础信息!AD$8:AD$28,$AN$33:$AN$53,$AS72)*节奏总纲!L69+AU71</f>
        <v>0</v>
      </c>
      <c r="AV72" s="32">
        <f>求节点(村县营基础信息!AE$8:AE$28,$AN$33:$AN$53,$AS72)*节奏总纲!M69+AV71</f>
        <v>0</v>
      </c>
      <c r="AW72" s="32">
        <f>求节点(村县营基础信息!AF$8:AF$28,$AN$33:$AN$53,$AS72)*节奏总纲!N69+AW71</f>
        <v>0</v>
      </c>
      <c r="AX72" s="32">
        <f>求节点(村县营基础信息!AG$8:AG$28,$AN$33:$AN$53,$AS72)*节奏总纲!O69+AX71</f>
        <v>0</v>
      </c>
      <c r="BA72" s="29">
        <f>(AV72-AV71)/[2]节奏总纲!M69*'[1]功能-付费相关'!BB71</f>
        <v>0</v>
      </c>
      <c r="BL72" s="29">
        <v>66</v>
      </c>
      <c r="BM72" s="32">
        <f>求节点(村县营基础信息!AL$8:AL$28,$BG$33:$BG$53,$BL72)*节奏总纲!K69+BM71</f>
        <v>0</v>
      </c>
      <c r="BN72" s="32">
        <f>求节点(村县营基础信息!AM$8:AM$28,$BG$33:$BG$53,$BL72)*节奏总纲!L69+BN71</f>
        <v>0</v>
      </c>
      <c r="BO72" s="32">
        <f>求节点(村县营基础信息!AN$8:AN$28,$BG$33:$BG$53,$BL72)*节奏总纲!M69+BO71</f>
        <v>0</v>
      </c>
      <c r="BP72" s="32">
        <f>求节点(村县营基础信息!AO$8:AO$28,$BG$33:$BG$53,$BL72)*节奏总纲!N69+BP71</f>
        <v>0</v>
      </c>
      <c r="BQ72" s="32">
        <f>求节点(村县营基础信息!AP$8:AP$28,$BG$33:$BG$53,$BL72)*节奏总纲!O69+BQ71</f>
        <v>0</v>
      </c>
    </row>
    <row r="73" spans="13:69" x14ac:dyDescent="0.15">
      <c r="M73" s="29">
        <v>67</v>
      </c>
      <c r="N73" s="32">
        <f>求节点(村县营基础信息!K$8:K$28,$I$33:$I$53,$M73)*节奏总纲!K70+N72</f>
        <v>0</v>
      </c>
      <c r="O73" s="32">
        <f>求节点(村县营基础信息!L$8:L$28,$I$33:$I$53,$M73)*节奏总纲!L70+O72</f>
        <v>0</v>
      </c>
      <c r="P73" s="32">
        <f>求节点(村县营基础信息!M$8:M$28,$I$33:$I$53,$M73)*节奏总纲!M70+P72</f>
        <v>0</v>
      </c>
      <c r="Q73" s="32">
        <f>求节点(村县营基础信息!N$8:N$28,$I$33:$I$53,$M73)*节奏总纲!N70+Q72</f>
        <v>0</v>
      </c>
      <c r="R73" s="32">
        <f>求节点(村县营基础信息!O$8:O$28,$I$33:$I$53,$M73)*节奏总纲!O70+R72</f>
        <v>0</v>
      </c>
      <c r="AC73" s="29">
        <v>67</v>
      </c>
      <c r="AD73" s="32">
        <f>求节点(村县营基础信息!T$8:T$28,$Y$33:$Y$53,$AC73)*节奏总纲!K70*(1+$B$10)+AD72</f>
        <v>0</v>
      </c>
      <c r="AE73" s="32">
        <f>求节点(村县营基础信息!U$8:U$28,$Y$33:$Y$53,$AC73)*节奏总纲!L70*(1+$B$10)+AE72</f>
        <v>0</v>
      </c>
      <c r="AF73" s="32">
        <f>求节点(村县营基础信息!V$8:V$28,$Y$33:$Y$53,$AC73)*节奏总纲!M70*(1+$B$10)+AF72</f>
        <v>0</v>
      </c>
      <c r="AG73" s="32">
        <f>求节点(村县营基础信息!W$8:W$28,$Y$33:$Y$53,$AC73)*节奏总纲!N70*(1+$B$10)+AG72</f>
        <v>0</v>
      </c>
      <c r="AH73" s="32">
        <f>求节点(村县营基础信息!X$8:X$28,$Y$33:$Y$53,$AC73)*节奏总纲!O70*(1+$B$10)+AH72</f>
        <v>0</v>
      </c>
      <c r="AR73" s="29">
        <f>AT73/[2]节奏总纲!D70</f>
        <v>0</v>
      </c>
      <c r="AS73" s="29">
        <v>67</v>
      </c>
      <c r="AT73" s="32">
        <f>求节点(村县营基础信息!AC$8:AC$28,$AN$33:$AN$53,$AS73)*节奏总纲!K70+AT72</f>
        <v>0</v>
      </c>
      <c r="AU73" s="32">
        <f>求节点(村县营基础信息!AD$8:AD$28,$AN$33:$AN$53,$AS73)*节奏总纲!L70+AU72</f>
        <v>0</v>
      </c>
      <c r="AV73" s="32">
        <f>求节点(村县营基础信息!AE$8:AE$28,$AN$33:$AN$53,$AS73)*节奏总纲!M70+AV72</f>
        <v>0</v>
      </c>
      <c r="AW73" s="32">
        <f>求节点(村县营基础信息!AF$8:AF$28,$AN$33:$AN$53,$AS73)*节奏总纲!N70+AW72</f>
        <v>0</v>
      </c>
      <c r="AX73" s="32">
        <f>求节点(村县营基础信息!AG$8:AG$28,$AN$33:$AN$53,$AS73)*节奏总纲!O70+AX72</f>
        <v>0</v>
      </c>
      <c r="BA73" s="29">
        <f>(AV73-AV72)/[2]节奏总纲!M70*'[1]功能-付费相关'!BB72</f>
        <v>0</v>
      </c>
      <c r="BL73" s="29">
        <v>67</v>
      </c>
      <c r="BM73" s="32">
        <f>求节点(村县营基础信息!AL$8:AL$28,$BG$33:$BG$53,$BL73)*节奏总纲!K70+BM72</f>
        <v>0</v>
      </c>
      <c r="BN73" s="32">
        <f>求节点(村县营基础信息!AM$8:AM$28,$BG$33:$BG$53,$BL73)*节奏总纲!L70+BN72</f>
        <v>0</v>
      </c>
      <c r="BO73" s="32">
        <f>求节点(村县营基础信息!AN$8:AN$28,$BG$33:$BG$53,$BL73)*节奏总纲!M70+BO72</f>
        <v>0</v>
      </c>
      <c r="BP73" s="32">
        <f>求节点(村县营基础信息!AO$8:AO$28,$BG$33:$BG$53,$BL73)*节奏总纲!N70+BP72</f>
        <v>0</v>
      </c>
      <c r="BQ73" s="32">
        <f>求节点(村县营基础信息!AP$8:AP$28,$BG$33:$BG$53,$BL73)*节奏总纲!O70+BQ72</f>
        <v>0</v>
      </c>
    </row>
    <row r="74" spans="13:69" x14ac:dyDescent="0.15">
      <c r="M74" s="29">
        <v>68</v>
      </c>
      <c r="N74" s="32">
        <f>求节点(村县营基础信息!K$8:K$28,$I$33:$I$53,$M74)*节奏总纲!K71+N73</f>
        <v>0</v>
      </c>
      <c r="O74" s="32">
        <f>求节点(村县营基础信息!L$8:L$28,$I$33:$I$53,$M74)*节奏总纲!L71+O73</f>
        <v>0</v>
      </c>
      <c r="P74" s="32">
        <f>求节点(村县营基础信息!M$8:M$28,$I$33:$I$53,$M74)*节奏总纲!M71+P73</f>
        <v>0</v>
      </c>
      <c r="Q74" s="32">
        <f>求节点(村县营基础信息!N$8:N$28,$I$33:$I$53,$M74)*节奏总纲!N71+Q73</f>
        <v>0</v>
      </c>
      <c r="R74" s="32">
        <f>求节点(村县营基础信息!O$8:O$28,$I$33:$I$53,$M74)*节奏总纲!O71+R73</f>
        <v>0</v>
      </c>
      <c r="AC74" s="29">
        <v>68</v>
      </c>
      <c r="AD74" s="32">
        <f>求节点(村县营基础信息!T$8:T$28,$Y$33:$Y$53,$AC74)*节奏总纲!K71*(1+$B$10)+AD73</f>
        <v>0</v>
      </c>
      <c r="AE74" s="32">
        <f>求节点(村县营基础信息!U$8:U$28,$Y$33:$Y$53,$AC74)*节奏总纲!L71*(1+$B$10)+AE73</f>
        <v>0</v>
      </c>
      <c r="AF74" s="32">
        <f>求节点(村县营基础信息!V$8:V$28,$Y$33:$Y$53,$AC74)*节奏总纲!M71*(1+$B$10)+AF73</f>
        <v>0</v>
      </c>
      <c r="AG74" s="32">
        <f>求节点(村县营基础信息!W$8:W$28,$Y$33:$Y$53,$AC74)*节奏总纲!N71*(1+$B$10)+AG73</f>
        <v>0</v>
      </c>
      <c r="AH74" s="32">
        <f>求节点(村县营基础信息!X$8:X$28,$Y$33:$Y$53,$AC74)*节奏总纲!O71*(1+$B$10)+AH73</f>
        <v>0</v>
      </c>
      <c r="AR74" s="29">
        <f>AT74/[2]节奏总纲!D71</f>
        <v>0</v>
      </c>
      <c r="AS74" s="29">
        <v>68</v>
      </c>
      <c r="AT74" s="32">
        <f>求节点(村县营基础信息!AC$8:AC$28,$AN$33:$AN$53,$AS74)*节奏总纲!K71+AT73</f>
        <v>0</v>
      </c>
      <c r="AU74" s="32">
        <f>求节点(村县营基础信息!AD$8:AD$28,$AN$33:$AN$53,$AS74)*节奏总纲!L71+AU73</f>
        <v>0</v>
      </c>
      <c r="AV74" s="32">
        <f>求节点(村县营基础信息!AE$8:AE$28,$AN$33:$AN$53,$AS74)*节奏总纲!M71+AV73</f>
        <v>0</v>
      </c>
      <c r="AW74" s="32">
        <f>求节点(村县营基础信息!AF$8:AF$28,$AN$33:$AN$53,$AS74)*节奏总纲!N71+AW73</f>
        <v>0</v>
      </c>
      <c r="AX74" s="32">
        <f>求节点(村县营基础信息!AG$8:AG$28,$AN$33:$AN$53,$AS74)*节奏总纲!O71+AX73</f>
        <v>0</v>
      </c>
      <c r="BA74" s="29">
        <f>(AV74-AV73)/[2]节奏总纲!M71*'[1]功能-付费相关'!BB73</f>
        <v>0</v>
      </c>
      <c r="BL74" s="29">
        <v>68</v>
      </c>
      <c r="BM74" s="32">
        <f>求节点(村县营基础信息!AL$8:AL$28,$BG$33:$BG$53,$BL74)*节奏总纲!K71+BM73</f>
        <v>0</v>
      </c>
      <c r="BN74" s="32">
        <f>求节点(村县营基础信息!AM$8:AM$28,$BG$33:$BG$53,$BL74)*节奏总纲!L71+BN73</f>
        <v>0</v>
      </c>
      <c r="BO74" s="32">
        <f>求节点(村县营基础信息!AN$8:AN$28,$BG$33:$BG$53,$BL74)*节奏总纲!M71+BO73</f>
        <v>0</v>
      </c>
      <c r="BP74" s="32">
        <f>求节点(村县营基础信息!AO$8:AO$28,$BG$33:$BG$53,$BL74)*节奏总纲!N71+BP73</f>
        <v>0</v>
      </c>
      <c r="BQ74" s="32">
        <f>求节点(村县营基础信息!AP$8:AP$28,$BG$33:$BG$53,$BL74)*节奏总纲!O71+BQ73</f>
        <v>0</v>
      </c>
    </row>
    <row r="75" spans="13:69" x14ac:dyDescent="0.15">
      <c r="M75" s="29">
        <v>69</v>
      </c>
      <c r="N75" s="32">
        <f>求节点(村县营基础信息!K$8:K$28,$I$33:$I$53,$M75)*节奏总纲!K72+N74</f>
        <v>0</v>
      </c>
      <c r="O75" s="32">
        <f>求节点(村县营基础信息!L$8:L$28,$I$33:$I$53,$M75)*节奏总纲!L72+O74</f>
        <v>0</v>
      </c>
      <c r="P75" s="32">
        <f>求节点(村县营基础信息!M$8:M$28,$I$33:$I$53,$M75)*节奏总纲!M72+P74</f>
        <v>0</v>
      </c>
      <c r="Q75" s="32">
        <f>求节点(村县营基础信息!N$8:N$28,$I$33:$I$53,$M75)*节奏总纲!N72+Q74</f>
        <v>0</v>
      </c>
      <c r="R75" s="32">
        <f>求节点(村县营基础信息!O$8:O$28,$I$33:$I$53,$M75)*节奏总纲!O72+R74</f>
        <v>0</v>
      </c>
      <c r="AC75" s="29">
        <v>69</v>
      </c>
      <c r="AD75" s="32">
        <f>求节点(村县营基础信息!T$8:T$28,$Y$33:$Y$53,$AC75)*节奏总纲!K72*(1+$B$10)+AD74</f>
        <v>0</v>
      </c>
      <c r="AE75" s="32">
        <f>求节点(村县营基础信息!U$8:U$28,$Y$33:$Y$53,$AC75)*节奏总纲!L72*(1+$B$10)+AE74</f>
        <v>0</v>
      </c>
      <c r="AF75" s="32">
        <f>求节点(村县营基础信息!V$8:V$28,$Y$33:$Y$53,$AC75)*节奏总纲!M72*(1+$B$10)+AF74</f>
        <v>0</v>
      </c>
      <c r="AG75" s="32">
        <f>求节点(村县营基础信息!W$8:W$28,$Y$33:$Y$53,$AC75)*节奏总纲!N72*(1+$B$10)+AG74</f>
        <v>0</v>
      </c>
      <c r="AH75" s="32">
        <f>求节点(村县营基础信息!X$8:X$28,$Y$33:$Y$53,$AC75)*节奏总纲!O72*(1+$B$10)+AH74</f>
        <v>0</v>
      </c>
      <c r="AR75" s="29">
        <f>AT75/[2]节奏总纲!D72</f>
        <v>0</v>
      </c>
      <c r="AS75" s="29">
        <v>69</v>
      </c>
      <c r="AT75" s="32">
        <f>求节点(村县营基础信息!AC$8:AC$28,$AN$33:$AN$53,$AS75)*节奏总纲!K72+AT74</f>
        <v>0</v>
      </c>
      <c r="AU75" s="32">
        <f>求节点(村县营基础信息!AD$8:AD$28,$AN$33:$AN$53,$AS75)*节奏总纲!L72+AU74</f>
        <v>0</v>
      </c>
      <c r="AV75" s="32">
        <f>求节点(村县营基础信息!AE$8:AE$28,$AN$33:$AN$53,$AS75)*节奏总纲!M72+AV74</f>
        <v>0</v>
      </c>
      <c r="AW75" s="32">
        <f>求节点(村县营基础信息!AF$8:AF$28,$AN$33:$AN$53,$AS75)*节奏总纲!N72+AW74</f>
        <v>0</v>
      </c>
      <c r="AX75" s="32">
        <f>求节点(村县营基础信息!AG$8:AG$28,$AN$33:$AN$53,$AS75)*节奏总纲!O72+AX74</f>
        <v>0</v>
      </c>
      <c r="BA75" s="29">
        <f>(AV75-AV74)/[2]节奏总纲!M72*'[1]功能-付费相关'!BB74</f>
        <v>0</v>
      </c>
      <c r="BL75" s="29">
        <v>69</v>
      </c>
      <c r="BM75" s="32">
        <f>求节点(村县营基础信息!AL$8:AL$28,$BG$33:$BG$53,$BL75)*节奏总纲!K72+BM74</f>
        <v>0</v>
      </c>
      <c r="BN75" s="32">
        <f>求节点(村县营基础信息!AM$8:AM$28,$BG$33:$BG$53,$BL75)*节奏总纲!L72+BN74</f>
        <v>0</v>
      </c>
      <c r="BO75" s="32">
        <f>求节点(村县营基础信息!AN$8:AN$28,$BG$33:$BG$53,$BL75)*节奏总纲!M72+BO74</f>
        <v>0</v>
      </c>
      <c r="BP75" s="32">
        <f>求节点(村县营基础信息!AO$8:AO$28,$BG$33:$BG$53,$BL75)*节奏总纲!N72+BP74</f>
        <v>0</v>
      </c>
      <c r="BQ75" s="32">
        <f>求节点(村县营基础信息!AP$8:AP$28,$BG$33:$BG$53,$BL75)*节奏总纲!O72+BQ74</f>
        <v>0</v>
      </c>
    </row>
    <row r="76" spans="13:69" x14ac:dyDescent="0.15">
      <c r="M76" s="29">
        <v>70</v>
      </c>
      <c r="N76" s="32">
        <f>求节点(村县营基础信息!K$8:K$28,$I$33:$I$53,$M76)*节奏总纲!K73+N75</f>
        <v>0</v>
      </c>
      <c r="O76" s="32">
        <f>求节点(村县营基础信息!L$8:L$28,$I$33:$I$53,$M76)*节奏总纲!L73+O75</f>
        <v>0</v>
      </c>
      <c r="P76" s="32">
        <f>求节点(村县营基础信息!M$8:M$28,$I$33:$I$53,$M76)*节奏总纲!M73+P75</f>
        <v>0</v>
      </c>
      <c r="Q76" s="32">
        <f>求节点(村县营基础信息!N$8:N$28,$I$33:$I$53,$M76)*节奏总纲!N73+Q75</f>
        <v>0</v>
      </c>
      <c r="R76" s="32">
        <f>求节点(村县营基础信息!O$8:O$28,$I$33:$I$53,$M76)*节奏总纲!O73+R75</f>
        <v>0</v>
      </c>
      <c r="AC76" s="29">
        <v>70</v>
      </c>
      <c r="AD76" s="32">
        <f>求节点(村县营基础信息!T$8:T$28,$Y$33:$Y$53,$AC76)*节奏总纲!K73*(1+$B$10)+AD75</f>
        <v>0</v>
      </c>
      <c r="AE76" s="32">
        <f>求节点(村县营基础信息!U$8:U$28,$Y$33:$Y$53,$AC76)*节奏总纲!L73*(1+$B$10)+AE75</f>
        <v>0</v>
      </c>
      <c r="AF76" s="32">
        <f>求节点(村县营基础信息!V$8:V$28,$Y$33:$Y$53,$AC76)*节奏总纲!M73*(1+$B$10)+AF75</f>
        <v>0</v>
      </c>
      <c r="AG76" s="32">
        <f>求节点(村县营基础信息!W$8:W$28,$Y$33:$Y$53,$AC76)*节奏总纲!N73*(1+$B$10)+AG75</f>
        <v>0</v>
      </c>
      <c r="AH76" s="32">
        <f>求节点(村县营基础信息!X$8:X$28,$Y$33:$Y$53,$AC76)*节奏总纲!O73*(1+$B$10)+AH75</f>
        <v>0</v>
      </c>
      <c r="AR76" s="29">
        <f>AT76/[2]节奏总纲!D73</f>
        <v>0</v>
      </c>
      <c r="AS76" s="29">
        <v>70</v>
      </c>
      <c r="AT76" s="32">
        <f>求节点(村县营基础信息!AC$8:AC$28,$AN$33:$AN$53,$AS76)*节奏总纲!K73+AT75</f>
        <v>0</v>
      </c>
      <c r="AU76" s="32">
        <f>求节点(村县营基础信息!AD$8:AD$28,$AN$33:$AN$53,$AS76)*节奏总纲!L73+AU75</f>
        <v>0</v>
      </c>
      <c r="AV76" s="32">
        <f>求节点(村县营基础信息!AE$8:AE$28,$AN$33:$AN$53,$AS76)*节奏总纲!M73+AV75</f>
        <v>0</v>
      </c>
      <c r="AW76" s="32">
        <f>求节点(村县营基础信息!AF$8:AF$28,$AN$33:$AN$53,$AS76)*节奏总纲!N73+AW75</f>
        <v>0</v>
      </c>
      <c r="AX76" s="32">
        <f>求节点(村县营基础信息!AG$8:AG$28,$AN$33:$AN$53,$AS76)*节奏总纲!O73+AX75</f>
        <v>0</v>
      </c>
      <c r="BA76" s="29">
        <f>(AV76-AV75)/[2]节奏总纲!M73*'[1]功能-付费相关'!BB75</f>
        <v>0</v>
      </c>
      <c r="BL76" s="29">
        <v>70</v>
      </c>
      <c r="BM76" s="32">
        <f>求节点(村县营基础信息!AL$8:AL$28,$BG$33:$BG$53,$BL76)*节奏总纲!K73+BM75</f>
        <v>0</v>
      </c>
      <c r="BN76" s="32">
        <f>求节点(村县营基础信息!AM$8:AM$28,$BG$33:$BG$53,$BL76)*节奏总纲!L73+BN75</f>
        <v>0</v>
      </c>
      <c r="BO76" s="32">
        <f>求节点(村县营基础信息!AN$8:AN$28,$BG$33:$BG$53,$BL76)*节奏总纲!M73+BO75</f>
        <v>0</v>
      </c>
      <c r="BP76" s="32">
        <f>求节点(村县营基础信息!AO$8:AO$28,$BG$33:$BG$53,$BL76)*节奏总纲!N73+BP75</f>
        <v>0</v>
      </c>
      <c r="BQ76" s="32">
        <f>求节点(村县营基础信息!AP$8:AP$28,$BG$33:$BG$53,$BL76)*节奏总纲!O73+BQ75</f>
        <v>0</v>
      </c>
    </row>
    <row r="77" spans="13:69" x14ac:dyDescent="0.15">
      <c r="M77" s="29">
        <v>71</v>
      </c>
      <c r="N77" s="32">
        <f>求节点(村县营基础信息!K$8:K$28,$I$33:$I$53,$M77)*节奏总纲!K74+N76</f>
        <v>0</v>
      </c>
      <c r="O77" s="32">
        <f>求节点(村县营基础信息!L$8:L$28,$I$33:$I$53,$M77)*节奏总纲!L74+O76</f>
        <v>0</v>
      </c>
      <c r="P77" s="32">
        <f>求节点(村县营基础信息!M$8:M$28,$I$33:$I$53,$M77)*节奏总纲!M74+P76</f>
        <v>0</v>
      </c>
      <c r="Q77" s="32">
        <f>求节点(村县营基础信息!N$8:N$28,$I$33:$I$53,$M77)*节奏总纲!N74+Q76</f>
        <v>0</v>
      </c>
      <c r="R77" s="32">
        <f>求节点(村县营基础信息!O$8:O$28,$I$33:$I$53,$M77)*节奏总纲!O74+R76</f>
        <v>0</v>
      </c>
      <c r="AC77" s="29">
        <v>71</v>
      </c>
      <c r="AD77" s="32">
        <f>求节点(村县营基础信息!T$8:T$28,$Y$33:$Y$53,$AC77)*节奏总纲!K74*(1+$B$10)+AD76</f>
        <v>0</v>
      </c>
      <c r="AE77" s="32">
        <f>求节点(村县营基础信息!U$8:U$28,$Y$33:$Y$53,$AC77)*节奏总纲!L74*(1+$B$10)+AE76</f>
        <v>0</v>
      </c>
      <c r="AF77" s="32">
        <f>求节点(村县营基础信息!V$8:V$28,$Y$33:$Y$53,$AC77)*节奏总纲!M74*(1+$B$10)+AF76</f>
        <v>0</v>
      </c>
      <c r="AG77" s="32">
        <f>求节点(村县营基础信息!W$8:W$28,$Y$33:$Y$53,$AC77)*节奏总纲!N74*(1+$B$10)+AG76</f>
        <v>0</v>
      </c>
      <c r="AH77" s="32">
        <f>求节点(村县营基础信息!X$8:X$28,$Y$33:$Y$53,$AC77)*节奏总纲!O74*(1+$B$10)+AH76</f>
        <v>0</v>
      </c>
      <c r="AR77" s="29">
        <f>AT77/[2]节奏总纲!D74</f>
        <v>0</v>
      </c>
      <c r="AS77" s="29">
        <v>71</v>
      </c>
      <c r="AT77" s="32">
        <f>求节点(村县营基础信息!AC$8:AC$28,$AN$33:$AN$53,$AS77)*节奏总纲!K74+AT76</f>
        <v>0</v>
      </c>
      <c r="AU77" s="32">
        <f>求节点(村县营基础信息!AD$8:AD$28,$AN$33:$AN$53,$AS77)*节奏总纲!L74+AU76</f>
        <v>0</v>
      </c>
      <c r="AV77" s="32">
        <f>求节点(村县营基础信息!AE$8:AE$28,$AN$33:$AN$53,$AS77)*节奏总纲!M74+AV76</f>
        <v>0</v>
      </c>
      <c r="AW77" s="32">
        <f>求节点(村县营基础信息!AF$8:AF$28,$AN$33:$AN$53,$AS77)*节奏总纲!N74+AW76</f>
        <v>0</v>
      </c>
      <c r="AX77" s="32">
        <f>求节点(村县营基础信息!AG$8:AG$28,$AN$33:$AN$53,$AS77)*节奏总纲!O74+AX76</f>
        <v>0</v>
      </c>
      <c r="BA77" s="29">
        <f>(AV77-AV76)/[2]节奏总纲!M74*'[1]功能-付费相关'!BB76</f>
        <v>0</v>
      </c>
      <c r="BL77" s="29">
        <v>71</v>
      </c>
      <c r="BM77" s="32">
        <f>求节点(村县营基础信息!AL$8:AL$28,$BG$33:$BG$53,$BL77)*节奏总纲!K74+BM76</f>
        <v>0</v>
      </c>
      <c r="BN77" s="32">
        <f>求节点(村县营基础信息!AM$8:AM$28,$BG$33:$BG$53,$BL77)*节奏总纲!L74+BN76</f>
        <v>0</v>
      </c>
      <c r="BO77" s="32">
        <f>求节点(村县营基础信息!AN$8:AN$28,$BG$33:$BG$53,$BL77)*节奏总纲!M74+BO76</f>
        <v>0</v>
      </c>
      <c r="BP77" s="32">
        <f>求节点(村县营基础信息!AO$8:AO$28,$BG$33:$BG$53,$BL77)*节奏总纲!N74+BP76</f>
        <v>0</v>
      </c>
      <c r="BQ77" s="32">
        <f>求节点(村县营基础信息!AP$8:AP$28,$BG$33:$BG$53,$BL77)*节奏总纲!O74+BQ76</f>
        <v>0</v>
      </c>
    </row>
    <row r="78" spans="13:69" x14ac:dyDescent="0.15">
      <c r="M78" s="29">
        <v>72</v>
      </c>
      <c r="N78" s="32">
        <f>求节点(村县营基础信息!K$8:K$28,$I$33:$I$53,$M78)*节奏总纲!K75+N77</f>
        <v>0</v>
      </c>
      <c r="O78" s="32">
        <f>求节点(村县营基础信息!L$8:L$28,$I$33:$I$53,$M78)*节奏总纲!L75+O77</f>
        <v>0</v>
      </c>
      <c r="P78" s="32">
        <f>求节点(村县营基础信息!M$8:M$28,$I$33:$I$53,$M78)*节奏总纲!M75+P77</f>
        <v>0</v>
      </c>
      <c r="Q78" s="32">
        <f>求节点(村县营基础信息!N$8:N$28,$I$33:$I$53,$M78)*节奏总纲!N75+Q77</f>
        <v>0</v>
      </c>
      <c r="R78" s="32">
        <f>求节点(村县营基础信息!O$8:O$28,$I$33:$I$53,$M78)*节奏总纲!O75+R77</f>
        <v>0</v>
      </c>
      <c r="AC78" s="29">
        <v>72</v>
      </c>
      <c r="AD78" s="32">
        <f>求节点(村县营基础信息!T$8:T$28,$Y$33:$Y$53,$AC78)*节奏总纲!K75*(1+$B$10)+AD77</f>
        <v>0</v>
      </c>
      <c r="AE78" s="32">
        <f>求节点(村县营基础信息!U$8:U$28,$Y$33:$Y$53,$AC78)*节奏总纲!L75*(1+$B$10)+AE77</f>
        <v>0</v>
      </c>
      <c r="AF78" s="32">
        <f>求节点(村县营基础信息!V$8:V$28,$Y$33:$Y$53,$AC78)*节奏总纲!M75*(1+$B$10)+AF77</f>
        <v>0</v>
      </c>
      <c r="AG78" s="32">
        <f>求节点(村县营基础信息!W$8:W$28,$Y$33:$Y$53,$AC78)*节奏总纲!N75*(1+$B$10)+AG77</f>
        <v>0</v>
      </c>
      <c r="AH78" s="32">
        <f>求节点(村县营基础信息!X$8:X$28,$Y$33:$Y$53,$AC78)*节奏总纲!O75*(1+$B$10)+AH77</f>
        <v>0</v>
      </c>
      <c r="AR78" s="29">
        <f>AT78/[2]节奏总纲!D75</f>
        <v>0</v>
      </c>
      <c r="AS78" s="29">
        <v>72</v>
      </c>
      <c r="AT78" s="32">
        <f>求节点(村县营基础信息!AC$8:AC$28,$AN$33:$AN$53,$AS78)*节奏总纲!K75+AT77</f>
        <v>0</v>
      </c>
      <c r="AU78" s="32">
        <f>求节点(村县营基础信息!AD$8:AD$28,$AN$33:$AN$53,$AS78)*节奏总纲!L75+AU77</f>
        <v>0</v>
      </c>
      <c r="AV78" s="32">
        <f>求节点(村县营基础信息!AE$8:AE$28,$AN$33:$AN$53,$AS78)*节奏总纲!M75+AV77</f>
        <v>0</v>
      </c>
      <c r="AW78" s="32">
        <f>求节点(村县营基础信息!AF$8:AF$28,$AN$33:$AN$53,$AS78)*节奏总纲!N75+AW77</f>
        <v>0</v>
      </c>
      <c r="AX78" s="32">
        <f>求节点(村县营基础信息!AG$8:AG$28,$AN$33:$AN$53,$AS78)*节奏总纲!O75+AX77</f>
        <v>0</v>
      </c>
      <c r="BA78" s="29">
        <f>(AV78-AV77)/[2]节奏总纲!M75*'[1]功能-付费相关'!BB77</f>
        <v>0</v>
      </c>
      <c r="BL78" s="29">
        <v>72</v>
      </c>
      <c r="BM78" s="32">
        <f>求节点(村县营基础信息!AL$8:AL$28,$BG$33:$BG$53,$BL78)*节奏总纲!K75+BM77</f>
        <v>0</v>
      </c>
      <c r="BN78" s="32">
        <f>求节点(村县营基础信息!AM$8:AM$28,$BG$33:$BG$53,$BL78)*节奏总纲!L75+BN77</f>
        <v>0</v>
      </c>
      <c r="BO78" s="32">
        <f>求节点(村县营基础信息!AN$8:AN$28,$BG$33:$BG$53,$BL78)*节奏总纲!M75+BO77</f>
        <v>0</v>
      </c>
      <c r="BP78" s="32">
        <f>求节点(村县营基础信息!AO$8:AO$28,$BG$33:$BG$53,$BL78)*节奏总纲!N75+BP77</f>
        <v>0</v>
      </c>
      <c r="BQ78" s="32">
        <f>求节点(村县营基础信息!AP$8:AP$28,$BG$33:$BG$53,$BL78)*节奏总纲!O75+BQ77</f>
        <v>0</v>
      </c>
    </row>
    <row r="79" spans="13:69" x14ac:dyDescent="0.15">
      <c r="M79" s="29">
        <v>73</v>
      </c>
      <c r="N79" s="32">
        <f>求节点(村县营基础信息!K$8:K$28,$I$33:$I$53,$M79)*节奏总纲!K76+N78</f>
        <v>0</v>
      </c>
      <c r="O79" s="32">
        <f>求节点(村县营基础信息!L$8:L$28,$I$33:$I$53,$M79)*节奏总纲!L76+O78</f>
        <v>0</v>
      </c>
      <c r="P79" s="32">
        <f>求节点(村县营基础信息!M$8:M$28,$I$33:$I$53,$M79)*节奏总纲!M76+P78</f>
        <v>0</v>
      </c>
      <c r="Q79" s="32">
        <f>求节点(村县营基础信息!N$8:N$28,$I$33:$I$53,$M79)*节奏总纲!N76+Q78</f>
        <v>0</v>
      </c>
      <c r="R79" s="32">
        <f>求节点(村县营基础信息!O$8:O$28,$I$33:$I$53,$M79)*节奏总纲!O76+R78</f>
        <v>0</v>
      </c>
      <c r="AC79" s="29">
        <v>73</v>
      </c>
      <c r="AD79" s="32">
        <f>求节点(村县营基础信息!T$8:T$28,$Y$33:$Y$53,$AC79)*节奏总纲!K76*(1+$B$10)+AD78</f>
        <v>0</v>
      </c>
      <c r="AE79" s="32">
        <f>求节点(村县营基础信息!U$8:U$28,$Y$33:$Y$53,$AC79)*节奏总纲!L76*(1+$B$10)+AE78</f>
        <v>0</v>
      </c>
      <c r="AF79" s="32">
        <f>求节点(村县营基础信息!V$8:V$28,$Y$33:$Y$53,$AC79)*节奏总纲!M76*(1+$B$10)+AF78</f>
        <v>0</v>
      </c>
      <c r="AG79" s="32">
        <f>求节点(村县营基础信息!W$8:W$28,$Y$33:$Y$53,$AC79)*节奏总纲!N76*(1+$B$10)+AG78</f>
        <v>0</v>
      </c>
      <c r="AH79" s="32">
        <f>求节点(村县营基础信息!X$8:X$28,$Y$33:$Y$53,$AC79)*节奏总纲!O76*(1+$B$10)+AH78</f>
        <v>0</v>
      </c>
      <c r="AR79" s="29">
        <f>AT79/[2]节奏总纲!D76</f>
        <v>0</v>
      </c>
      <c r="AS79" s="29">
        <v>73</v>
      </c>
      <c r="AT79" s="32">
        <f>求节点(村县营基础信息!AC$8:AC$28,$AN$33:$AN$53,$AS79)*节奏总纲!K76+AT78</f>
        <v>0</v>
      </c>
      <c r="AU79" s="32">
        <f>求节点(村县营基础信息!AD$8:AD$28,$AN$33:$AN$53,$AS79)*节奏总纲!L76+AU78</f>
        <v>0</v>
      </c>
      <c r="AV79" s="32">
        <f>求节点(村县营基础信息!AE$8:AE$28,$AN$33:$AN$53,$AS79)*节奏总纲!M76+AV78</f>
        <v>0</v>
      </c>
      <c r="AW79" s="32">
        <f>求节点(村县营基础信息!AF$8:AF$28,$AN$33:$AN$53,$AS79)*节奏总纲!N76+AW78</f>
        <v>0</v>
      </c>
      <c r="AX79" s="32">
        <f>求节点(村县营基础信息!AG$8:AG$28,$AN$33:$AN$53,$AS79)*节奏总纲!O76+AX78</f>
        <v>0</v>
      </c>
      <c r="BA79" s="29">
        <f>(AV79-AV78)/[2]节奏总纲!M76*'[1]功能-付费相关'!BB78</f>
        <v>0</v>
      </c>
      <c r="BL79" s="29">
        <v>73</v>
      </c>
      <c r="BM79" s="32">
        <f>求节点(村县营基础信息!AL$8:AL$28,$BG$33:$BG$53,$BL79)*节奏总纲!K76+BM78</f>
        <v>0</v>
      </c>
      <c r="BN79" s="32">
        <f>求节点(村县营基础信息!AM$8:AM$28,$BG$33:$BG$53,$BL79)*节奏总纲!L76+BN78</f>
        <v>0</v>
      </c>
      <c r="BO79" s="32">
        <f>求节点(村县营基础信息!AN$8:AN$28,$BG$33:$BG$53,$BL79)*节奏总纲!M76+BO78</f>
        <v>0</v>
      </c>
      <c r="BP79" s="32">
        <f>求节点(村县营基础信息!AO$8:AO$28,$BG$33:$BG$53,$BL79)*节奏总纲!N76+BP78</f>
        <v>0</v>
      </c>
      <c r="BQ79" s="32">
        <f>求节点(村县营基础信息!AP$8:AP$28,$BG$33:$BG$53,$BL79)*节奏总纲!O76+BQ78</f>
        <v>0</v>
      </c>
    </row>
    <row r="80" spans="13:69" x14ac:dyDescent="0.15">
      <c r="M80" s="29">
        <v>74</v>
      </c>
      <c r="N80" s="32">
        <f>求节点(村县营基础信息!K$8:K$28,$I$33:$I$53,$M80)*节奏总纲!K77+N79</f>
        <v>0</v>
      </c>
      <c r="O80" s="32">
        <f>求节点(村县营基础信息!L$8:L$28,$I$33:$I$53,$M80)*节奏总纲!L77+O79</f>
        <v>0</v>
      </c>
      <c r="P80" s="32">
        <f>求节点(村县营基础信息!M$8:M$28,$I$33:$I$53,$M80)*节奏总纲!M77+P79</f>
        <v>0</v>
      </c>
      <c r="Q80" s="32">
        <f>求节点(村县营基础信息!N$8:N$28,$I$33:$I$53,$M80)*节奏总纲!N77+Q79</f>
        <v>0</v>
      </c>
      <c r="R80" s="32">
        <f>求节点(村县营基础信息!O$8:O$28,$I$33:$I$53,$M80)*节奏总纲!O77+R79</f>
        <v>0</v>
      </c>
      <c r="AC80" s="29">
        <v>74</v>
      </c>
      <c r="AD80" s="32">
        <f>求节点(村县营基础信息!T$8:T$28,$Y$33:$Y$53,$AC80)*节奏总纲!K77*(1+$B$10)+AD79</f>
        <v>0</v>
      </c>
      <c r="AE80" s="32">
        <f>求节点(村县营基础信息!U$8:U$28,$Y$33:$Y$53,$AC80)*节奏总纲!L77*(1+$B$10)+AE79</f>
        <v>0</v>
      </c>
      <c r="AF80" s="32">
        <f>求节点(村县营基础信息!V$8:V$28,$Y$33:$Y$53,$AC80)*节奏总纲!M77*(1+$B$10)+AF79</f>
        <v>0</v>
      </c>
      <c r="AG80" s="32">
        <f>求节点(村县营基础信息!W$8:W$28,$Y$33:$Y$53,$AC80)*节奏总纲!N77*(1+$B$10)+AG79</f>
        <v>0</v>
      </c>
      <c r="AH80" s="32">
        <f>求节点(村县营基础信息!X$8:X$28,$Y$33:$Y$53,$AC80)*节奏总纲!O77*(1+$B$10)+AH79</f>
        <v>0</v>
      </c>
      <c r="AR80" s="29">
        <f>AT80/[2]节奏总纲!D77</f>
        <v>0</v>
      </c>
      <c r="AS80" s="29">
        <v>74</v>
      </c>
      <c r="AT80" s="32">
        <f>求节点(村县营基础信息!AC$8:AC$28,$AN$33:$AN$53,$AS80)*节奏总纲!K77+AT79</f>
        <v>0</v>
      </c>
      <c r="AU80" s="32">
        <f>求节点(村县营基础信息!AD$8:AD$28,$AN$33:$AN$53,$AS80)*节奏总纲!L77+AU79</f>
        <v>0</v>
      </c>
      <c r="AV80" s="32">
        <f>求节点(村县营基础信息!AE$8:AE$28,$AN$33:$AN$53,$AS80)*节奏总纲!M77+AV79</f>
        <v>0</v>
      </c>
      <c r="AW80" s="32">
        <f>求节点(村县营基础信息!AF$8:AF$28,$AN$33:$AN$53,$AS80)*节奏总纲!N77+AW79</f>
        <v>0</v>
      </c>
      <c r="AX80" s="32">
        <f>求节点(村县营基础信息!AG$8:AG$28,$AN$33:$AN$53,$AS80)*节奏总纲!O77+AX79</f>
        <v>0</v>
      </c>
      <c r="BA80" s="29">
        <f>(AV80-AV79)/[2]节奏总纲!M77*'[1]功能-付费相关'!BB79</f>
        <v>0</v>
      </c>
      <c r="BL80" s="29">
        <v>74</v>
      </c>
      <c r="BM80" s="32">
        <f>求节点(村县营基础信息!AL$8:AL$28,$BG$33:$BG$53,$BL80)*节奏总纲!K77+BM79</f>
        <v>0</v>
      </c>
      <c r="BN80" s="32">
        <f>求节点(村县营基础信息!AM$8:AM$28,$BG$33:$BG$53,$BL80)*节奏总纲!L77+BN79</f>
        <v>0</v>
      </c>
      <c r="BO80" s="32">
        <f>求节点(村县营基础信息!AN$8:AN$28,$BG$33:$BG$53,$BL80)*节奏总纲!M77+BO79</f>
        <v>0</v>
      </c>
      <c r="BP80" s="32">
        <f>求节点(村县营基础信息!AO$8:AO$28,$BG$33:$BG$53,$BL80)*节奏总纲!N77+BP79</f>
        <v>0</v>
      </c>
      <c r="BQ80" s="32">
        <f>求节点(村县营基础信息!AP$8:AP$28,$BG$33:$BG$53,$BL80)*节奏总纲!O77+BQ79</f>
        <v>0</v>
      </c>
    </row>
    <row r="81" spans="13:69" x14ac:dyDescent="0.15">
      <c r="M81" s="29">
        <v>75</v>
      </c>
      <c r="N81" s="32">
        <f>求节点(村县营基础信息!K$8:K$28,$I$33:$I$53,$M81)*节奏总纲!K78+N80</f>
        <v>0</v>
      </c>
      <c r="O81" s="32">
        <f>求节点(村县营基础信息!L$8:L$28,$I$33:$I$53,$M81)*节奏总纲!L78+O80</f>
        <v>0</v>
      </c>
      <c r="P81" s="32">
        <f>求节点(村县营基础信息!M$8:M$28,$I$33:$I$53,$M81)*节奏总纲!M78+P80</f>
        <v>0</v>
      </c>
      <c r="Q81" s="32">
        <f>求节点(村县营基础信息!N$8:N$28,$I$33:$I$53,$M81)*节奏总纲!N78+Q80</f>
        <v>0</v>
      </c>
      <c r="R81" s="32">
        <f>求节点(村县营基础信息!O$8:O$28,$I$33:$I$53,$M81)*节奏总纲!O78+R80</f>
        <v>0</v>
      </c>
      <c r="AC81" s="29">
        <v>75</v>
      </c>
      <c r="AD81" s="32">
        <f>求节点(村县营基础信息!T$8:T$28,$Y$33:$Y$53,$AC81)*节奏总纲!K78*(1+$B$10)+AD80</f>
        <v>0</v>
      </c>
      <c r="AE81" s="32">
        <f>求节点(村县营基础信息!U$8:U$28,$Y$33:$Y$53,$AC81)*节奏总纲!L78*(1+$B$10)+AE80</f>
        <v>0</v>
      </c>
      <c r="AF81" s="32">
        <f>求节点(村县营基础信息!V$8:V$28,$Y$33:$Y$53,$AC81)*节奏总纲!M78*(1+$B$10)+AF80</f>
        <v>0</v>
      </c>
      <c r="AG81" s="32">
        <f>求节点(村县营基础信息!W$8:W$28,$Y$33:$Y$53,$AC81)*节奏总纲!N78*(1+$B$10)+AG80</f>
        <v>0</v>
      </c>
      <c r="AH81" s="32">
        <f>求节点(村县营基础信息!X$8:X$28,$Y$33:$Y$53,$AC81)*节奏总纲!O78*(1+$B$10)+AH80</f>
        <v>0</v>
      </c>
      <c r="AR81" s="29">
        <f>AT81/[2]节奏总纲!D78</f>
        <v>0</v>
      </c>
      <c r="AS81" s="29">
        <v>75</v>
      </c>
      <c r="AT81" s="32">
        <f>求节点(村县营基础信息!AC$8:AC$28,$AN$33:$AN$53,$AS81)*节奏总纲!K78+AT80</f>
        <v>0</v>
      </c>
      <c r="AU81" s="32">
        <f>求节点(村县营基础信息!AD$8:AD$28,$AN$33:$AN$53,$AS81)*节奏总纲!L78+AU80</f>
        <v>0</v>
      </c>
      <c r="AV81" s="32">
        <f>求节点(村县营基础信息!AE$8:AE$28,$AN$33:$AN$53,$AS81)*节奏总纲!M78+AV80</f>
        <v>0</v>
      </c>
      <c r="AW81" s="32">
        <f>求节点(村县营基础信息!AF$8:AF$28,$AN$33:$AN$53,$AS81)*节奏总纲!N78+AW80</f>
        <v>0</v>
      </c>
      <c r="AX81" s="32">
        <f>求节点(村县营基础信息!AG$8:AG$28,$AN$33:$AN$53,$AS81)*节奏总纲!O78+AX80</f>
        <v>0</v>
      </c>
      <c r="BA81" s="29">
        <f>(AV81-AV80)/[2]节奏总纲!M78*'[1]功能-付费相关'!BB80</f>
        <v>0</v>
      </c>
      <c r="BL81" s="29">
        <v>75</v>
      </c>
      <c r="BM81" s="32">
        <f>求节点(村县营基础信息!AL$8:AL$28,$BG$33:$BG$53,$BL81)*节奏总纲!K78+BM80</f>
        <v>0</v>
      </c>
      <c r="BN81" s="32">
        <f>求节点(村县营基础信息!AM$8:AM$28,$BG$33:$BG$53,$BL81)*节奏总纲!L78+BN80</f>
        <v>0</v>
      </c>
      <c r="BO81" s="32">
        <f>求节点(村县营基础信息!AN$8:AN$28,$BG$33:$BG$53,$BL81)*节奏总纲!M78+BO80</f>
        <v>0</v>
      </c>
      <c r="BP81" s="32">
        <f>求节点(村县营基础信息!AO$8:AO$28,$BG$33:$BG$53,$BL81)*节奏总纲!N78+BP80</f>
        <v>0</v>
      </c>
      <c r="BQ81" s="32">
        <f>求节点(村县营基础信息!AP$8:AP$28,$BG$33:$BG$53,$BL81)*节奏总纲!O78+BQ80</f>
        <v>0</v>
      </c>
    </row>
    <row r="82" spans="13:69" x14ac:dyDescent="0.15">
      <c r="M82" s="29">
        <v>76</v>
      </c>
      <c r="N82" s="32">
        <f>求节点(村县营基础信息!K$8:K$28,$I$33:$I$53,$M82)*节奏总纲!K79+N81</f>
        <v>0</v>
      </c>
      <c r="O82" s="32">
        <f>求节点(村县营基础信息!L$8:L$28,$I$33:$I$53,$M82)*节奏总纲!L79+O81</f>
        <v>0</v>
      </c>
      <c r="P82" s="32">
        <f>求节点(村县营基础信息!M$8:M$28,$I$33:$I$53,$M82)*节奏总纲!M79+P81</f>
        <v>0</v>
      </c>
      <c r="Q82" s="32">
        <f>求节点(村县营基础信息!N$8:N$28,$I$33:$I$53,$M82)*节奏总纲!N79+Q81</f>
        <v>0</v>
      </c>
      <c r="R82" s="32">
        <f>求节点(村县营基础信息!O$8:O$28,$I$33:$I$53,$M82)*节奏总纲!O79+R81</f>
        <v>0</v>
      </c>
      <c r="AC82" s="29">
        <v>76</v>
      </c>
      <c r="AD82" s="32">
        <f>求节点(村县营基础信息!T$8:T$28,$Y$33:$Y$53,$AC82)*节奏总纲!K79*(1+$B$10)+AD81</f>
        <v>0</v>
      </c>
      <c r="AE82" s="32">
        <f>求节点(村县营基础信息!U$8:U$28,$Y$33:$Y$53,$AC82)*节奏总纲!L79*(1+$B$10)+AE81</f>
        <v>0</v>
      </c>
      <c r="AF82" s="32">
        <f>求节点(村县营基础信息!V$8:V$28,$Y$33:$Y$53,$AC82)*节奏总纲!M79*(1+$B$10)+AF81</f>
        <v>0</v>
      </c>
      <c r="AG82" s="32">
        <f>求节点(村县营基础信息!W$8:W$28,$Y$33:$Y$53,$AC82)*节奏总纲!N79*(1+$B$10)+AG81</f>
        <v>0</v>
      </c>
      <c r="AH82" s="32">
        <f>求节点(村县营基础信息!X$8:X$28,$Y$33:$Y$53,$AC82)*节奏总纲!O79*(1+$B$10)+AH81</f>
        <v>0</v>
      </c>
      <c r="AR82" s="29">
        <f>AT82/[2]节奏总纲!D79</f>
        <v>0</v>
      </c>
      <c r="AS82" s="29">
        <v>76</v>
      </c>
      <c r="AT82" s="32">
        <f>求节点(村县营基础信息!AC$8:AC$28,$AN$33:$AN$53,$AS82)*节奏总纲!K79+AT81</f>
        <v>0</v>
      </c>
      <c r="AU82" s="32">
        <f>求节点(村县营基础信息!AD$8:AD$28,$AN$33:$AN$53,$AS82)*节奏总纲!L79+AU81</f>
        <v>0</v>
      </c>
      <c r="AV82" s="32">
        <f>求节点(村县营基础信息!AE$8:AE$28,$AN$33:$AN$53,$AS82)*节奏总纲!M79+AV81</f>
        <v>0</v>
      </c>
      <c r="AW82" s="32">
        <f>求节点(村县营基础信息!AF$8:AF$28,$AN$33:$AN$53,$AS82)*节奏总纲!N79+AW81</f>
        <v>0</v>
      </c>
      <c r="AX82" s="32">
        <f>求节点(村县营基础信息!AG$8:AG$28,$AN$33:$AN$53,$AS82)*节奏总纲!O79+AX81</f>
        <v>0</v>
      </c>
      <c r="BA82" s="29">
        <f>(AV82-AV81)/[2]节奏总纲!M79*'[1]功能-付费相关'!BB81</f>
        <v>0</v>
      </c>
      <c r="BL82" s="29">
        <v>76</v>
      </c>
      <c r="BM82" s="32">
        <f>求节点(村县营基础信息!AL$8:AL$28,$BG$33:$BG$53,$BL82)*节奏总纲!K79+BM81</f>
        <v>0</v>
      </c>
      <c r="BN82" s="32">
        <f>求节点(村县营基础信息!AM$8:AM$28,$BG$33:$BG$53,$BL82)*节奏总纲!L79+BN81</f>
        <v>0</v>
      </c>
      <c r="BO82" s="32">
        <f>求节点(村县营基础信息!AN$8:AN$28,$BG$33:$BG$53,$BL82)*节奏总纲!M79+BO81</f>
        <v>0</v>
      </c>
      <c r="BP82" s="32">
        <f>求节点(村县营基础信息!AO$8:AO$28,$BG$33:$BG$53,$BL82)*节奏总纲!N79+BP81</f>
        <v>0</v>
      </c>
      <c r="BQ82" s="32">
        <f>求节点(村县营基础信息!AP$8:AP$28,$BG$33:$BG$53,$BL82)*节奏总纲!O79+BQ81</f>
        <v>0</v>
      </c>
    </row>
    <row r="83" spans="13:69" x14ac:dyDescent="0.15">
      <c r="M83" s="29">
        <v>77</v>
      </c>
      <c r="N83" s="32">
        <f>求节点(村县营基础信息!K$8:K$28,$I$33:$I$53,$M83)*节奏总纲!K80+N82</f>
        <v>0</v>
      </c>
      <c r="O83" s="32">
        <f>求节点(村县营基础信息!L$8:L$28,$I$33:$I$53,$M83)*节奏总纲!L80+O82</f>
        <v>0</v>
      </c>
      <c r="P83" s="32">
        <f>求节点(村县营基础信息!M$8:M$28,$I$33:$I$53,$M83)*节奏总纲!M80+P82</f>
        <v>0</v>
      </c>
      <c r="Q83" s="32">
        <f>求节点(村县营基础信息!N$8:N$28,$I$33:$I$53,$M83)*节奏总纲!N80+Q82</f>
        <v>0</v>
      </c>
      <c r="R83" s="32">
        <f>求节点(村县营基础信息!O$8:O$28,$I$33:$I$53,$M83)*节奏总纲!O80+R82</f>
        <v>0</v>
      </c>
      <c r="AC83" s="29">
        <v>77</v>
      </c>
      <c r="AD83" s="32">
        <f>求节点(村县营基础信息!T$8:T$28,$Y$33:$Y$53,$AC83)*节奏总纲!K80*(1+$B$10)+AD82</f>
        <v>0</v>
      </c>
      <c r="AE83" s="32">
        <f>求节点(村县营基础信息!U$8:U$28,$Y$33:$Y$53,$AC83)*节奏总纲!L80*(1+$B$10)+AE82</f>
        <v>0</v>
      </c>
      <c r="AF83" s="32">
        <f>求节点(村县营基础信息!V$8:V$28,$Y$33:$Y$53,$AC83)*节奏总纲!M80*(1+$B$10)+AF82</f>
        <v>0</v>
      </c>
      <c r="AG83" s="32">
        <f>求节点(村县营基础信息!W$8:W$28,$Y$33:$Y$53,$AC83)*节奏总纲!N80*(1+$B$10)+AG82</f>
        <v>0</v>
      </c>
      <c r="AH83" s="32">
        <f>求节点(村县营基础信息!X$8:X$28,$Y$33:$Y$53,$AC83)*节奏总纲!O80*(1+$B$10)+AH82</f>
        <v>0</v>
      </c>
      <c r="AR83" s="29">
        <f>AT83/[2]节奏总纲!D80</f>
        <v>0</v>
      </c>
      <c r="AS83" s="29">
        <v>77</v>
      </c>
      <c r="AT83" s="32">
        <f>求节点(村县营基础信息!AC$8:AC$28,$AN$33:$AN$53,$AS83)*节奏总纲!K80+AT82</f>
        <v>0</v>
      </c>
      <c r="AU83" s="32">
        <f>求节点(村县营基础信息!AD$8:AD$28,$AN$33:$AN$53,$AS83)*节奏总纲!L80+AU82</f>
        <v>0</v>
      </c>
      <c r="AV83" s="32">
        <f>求节点(村县营基础信息!AE$8:AE$28,$AN$33:$AN$53,$AS83)*节奏总纲!M80+AV82</f>
        <v>0</v>
      </c>
      <c r="AW83" s="32">
        <f>求节点(村县营基础信息!AF$8:AF$28,$AN$33:$AN$53,$AS83)*节奏总纲!N80+AW82</f>
        <v>0</v>
      </c>
      <c r="AX83" s="32">
        <f>求节点(村县营基础信息!AG$8:AG$28,$AN$33:$AN$53,$AS83)*节奏总纲!O80+AX82</f>
        <v>0</v>
      </c>
      <c r="BA83" s="29">
        <f>(AV83-AV82)/[2]节奏总纲!M80*'[1]功能-付费相关'!BB82</f>
        <v>0</v>
      </c>
      <c r="BL83" s="29">
        <v>77</v>
      </c>
      <c r="BM83" s="32">
        <f>求节点(村县营基础信息!AL$8:AL$28,$BG$33:$BG$53,$BL83)*节奏总纲!K80+BM82</f>
        <v>0</v>
      </c>
      <c r="BN83" s="32">
        <f>求节点(村县营基础信息!AM$8:AM$28,$BG$33:$BG$53,$BL83)*节奏总纲!L80+BN82</f>
        <v>0</v>
      </c>
      <c r="BO83" s="32">
        <f>求节点(村县营基础信息!AN$8:AN$28,$BG$33:$BG$53,$BL83)*节奏总纲!M80+BO82</f>
        <v>0</v>
      </c>
      <c r="BP83" s="32">
        <f>求节点(村县营基础信息!AO$8:AO$28,$BG$33:$BG$53,$BL83)*节奏总纲!N80+BP82</f>
        <v>0</v>
      </c>
      <c r="BQ83" s="32">
        <f>求节点(村县营基础信息!AP$8:AP$28,$BG$33:$BG$53,$BL83)*节奏总纲!O80+BQ82</f>
        <v>0</v>
      </c>
    </row>
    <row r="84" spans="13:69" x14ac:dyDescent="0.15">
      <c r="M84" s="29">
        <v>78</v>
      </c>
      <c r="N84" s="32">
        <f>求节点(村县营基础信息!K$8:K$28,$I$33:$I$53,$M84)*节奏总纲!K81+N83</f>
        <v>0</v>
      </c>
      <c r="O84" s="32">
        <f>求节点(村县营基础信息!L$8:L$28,$I$33:$I$53,$M84)*节奏总纲!L81+O83</f>
        <v>0</v>
      </c>
      <c r="P84" s="32">
        <f>求节点(村县营基础信息!M$8:M$28,$I$33:$I$53,$M84)*节奏总纲!M81+P83</f>
        <v>0</v>
      </c>
      <c r="Q84" s="32">
        <f>求节点(村县营基础信息!N$8:N$28,$I$33:$I$53,$M84)*节奏总纲!N81+Q83</f>
        <v>0</v>
      </c>
      <c r="R84" s="32">
        <f>求节点(村县营基础信息!O$8:O$28,$I$33:$I$53,$M84)*节奏总纲!O81+R83</f>
        <v>0</v>
      </c>
      <c r="AC84" s="29">
        <v>78</v>
      </c>
      <c r="AD84" s="32">
        <f>求节点(村县营基础信息!T$8:T$28,$Y$33:$Y$53,$AC84)*节奏总纲!K81*(1+$B$10)+AD83</f>
        <v>0</v>
      </c>
      <c r="AE84" s="32">
        <f>求节点(村县营基础信息!U$8:U$28,$Y$33:$Y$53,$AC84)*节奏总纲!L81*(1+$B$10)+AE83</f>
        <v>0</v>
      </c>
      <c r="AF84" s="32">
        <f>求节点(村县营基础信息!V$8:V$28,$Y$33:$Y$53,$AC84)*节奏总纲!M81*(1+$B$10)+AF83</f>
        <v>0</v>
      </c>
      <c r="AG84" s="32">
        <f>求节点(村县营基础信息!W$8:W$28,$Y$33:$Y$53,$AC84)*节奏总纲!N81*(1+$B$10)+AG83</f>
        <v>0</v>
      </c>
      <c r="AH84" s="32">
        <f>求节点(村县营基础信息!X$8:X$28,$Y$33:$Y$53,$AC84)*节奏总纲!O81*(1+$B$10)+AH83</f>
        <v>0</v>
      </c>
      <c r="AR84" s="29">
        <f>AT84/[2]节奏总纲!D81</f>
        <v>0</v>
      </c>
      <c r="AS84" s="29">
        <v>78</v>
      </c>
      <c r="AT84" s="32">
        <f>求节点(村县营基础信息!AC$8:AC$28,$AN$33:$AN$53,$AS84)*节奏总纲!K81+AT83</f>
        <v>0</v>
      </c>
      <c r="AU84" s="32">
        <f>求节点(村县营基础信息!AD$8:AD$28,$AN$33:$AN$53,$AS84)*节奏总纲!L81+AU83</f>
        <v>0</v>
      </c>
      <c r="AV84" s="32">
        <f>求节点(村县营基础信息!AE$8:AE$28,$AN$33:$AN$53,$AS84)*节奏总纲!M81+AV83</f>
        <v>0</v>
      </c>
      <c r="AW84" s="32">
        <f>求节点(村县营基础信息!AF$8:AF$28,$AN$33:$AN$53,$AS84)*节奏总纲!N81+AW83</f>
        <v>0</v>
      </c>
      <c r="AX84" s="32">
        <f>求节点(村县营基础信息!AG$8:AG$28,$AN$33:$AN$53,$AS84)*节奏总纲!O81+AX83</f>
        <v>0</v>
      </c>
      <c r="BA84" s="29">
        <f>(AV84-AV83)/[2]节奏总纲!M81*'[1]功能-付费相关'!BB83</f>
        <v>0</v>
      </c>
      <c r="BL84" s="29">
        <v>78</v>
      </c>
      <c r="BM84" s="32">
        <f>求节点(村县营基础信息!AL$8:AL$28,$BG$33:$BG$53,$BL84)*节奏总纲!K81+BM83</f>
        <v>0</v>
      </c>
      <c r="BN84" s="32">
        <f>求节点(村县营基础信息!AM$8:AM$28,$BG$33:$BG$53,$BL84)*节奏总纲!L81+BN83</f>
        <v>0</v>
      </c>
      <c r="BO84" s="32">
        <f>求节点(村县营基础信息!AN$8:AN$28,$BG$33:$BG$53,$BL84)*节奏总纲!M81+BO83</f>
        <v>0</v>
      </c>
      <c r="BP84" s="32">
        <f>求节点(村县营基础信息!AO$8:AO$28,$BG$33:$BG$53,$BL84)*节奏总纲!N81+BP83</f>
        <v>0</v>
      </c>
      <c r="BQ84" s="32">
        <f>求节点(村县营基础信息!AP$8:AP$28,$BG$33:$BG$53,$BL84)*节奏总纲!O81+BQ83</f>
        <v>0</v>
      </c>
    </row>
    <row r="85" spans="13:69" x14ac:dyDescent="0.15">
      <c r="M85" s="29">
        <v>79</v>
      </c>
      <c r="N85" s="32">
        <f>求节点(村县营基础信息!K$8:K$28,$I$33:$I$53,$M85)*节奏总纲!K82+N84</f>
        <v>0</v>
      </c>
      <c r="O85" s="32">
        <f>求节点(村县营基础信息!L$8:L$28,$I$33:$I$53,$M85)*节奏总纲!L82+O84</f>
        <v>0</v>
      </c>
      <c r="P85" s="32">
        <f>求节点(村县营基础信息!M$8:M$28,$I$33:$I$53,$M85)*节奏总纲!M82+P84</f>
        <v>0</v>
      </c>
      <c r="Q85" s="32">
        <f>求节点(村县营基础信息!N$8:N$28,$I$33:$I$53,$M85)*节奏总纲!N82+Q84</f>
        <v>0</v>
      </c>
      <c r="R85" s="32">
        <f>求节点(村县营基础信息!O$8:O$28,$I$33:$I$53,$M85)*节奏总纲!O82+R84</f>
        <v>0</v>
      </c>
      <c r="AC85" s="29">
        <v>79</v>
      </c>
      <c r="AD85" s="32">
        <f>求节点(村县营基础信息!T$8:T$28,$Y$33:$Y$53,$AC85)*节奏总纲!K82*(1+$B$10)+AD84</f>
        <v>0</v>
      </c>
      <c r="AE85" s="32">
        <f>求节点(村县营基础信息!U$8:U$28,$Y$33:$Y$53,$AC85)*节奏总纲!L82*(1+$B$10)+AE84</f>
        <v>0</v>
      </c>
      <c r="AF85" s="32">
        <f>求节点(村县营基础信息!V$8:V$28,$Y$33:$Y$53,$AC85)*节奏总纲!M82*(1+$B$10)+AF84</f>
        <v>0</v>
      </c>
      <c r="AG85" s="32">
        <f>求节点(村县营基础信息!W$8:W$28,$Y$33:$Y$53,$AC85)*节奏总纲!N82*(1+$B$10)+AG84</f>
        <v>0</v>
      </c>
      <c r="AH85" s="32">
        <f>求节点(村县营基础信息!X$8:X$28,$Y$33:$Y$53,$AC85)*节奏总纲!O82*(1+$B$10)+AH84</f>
        <v>0</v>
      </c>
      <c r="AR85" s="29">
        <f>AT85/[2]节奏总纲!D82</f>
        <v>0</v>
      </c>
      <c r="AS85" s="29">
        <v>79</v>
      </c>
      <c r="AT85" s="32">
        <f>求节点(村县营基础信息!AC$8:AC$28,$AN$33:$AN$53,$AS85)*节奏总纲!K82+AT84</f>
        <v>0</v>
      </c>
      <c r="AU85" s="32">
        <f>求节点(村县营基础信息!AD$8:AD$28,$AN$33:$AN$53,$AS85)*节奏总纲!L82+AU84</f>
        <v>0</v>
      </c>
      <c r="AV85" s="32">
        <f>求节点(村县营基础信息!AE$8:AE$28,$AN$33:$AN$53,$AS85)*节奏总纲!M82+AV84</f>
        <v>0</v>
      </c>
      <c r="AW85" s="32">
        <f>求节点(村县营基础信息!AF$8:AF$28,$AN$33:$AN$53,$AS85)*节奏总纲!N82+AW84</f>
        <v>0</v>
      </c>
      <c r="AX85" s="32">
        <f>求节点(村县营基础信息!AG$8:AG$28,$AN$33:$AN$53,$AS85)*节奏总纲!O82+AX84</f>
        <v>0</v>
      </c>
      <c r="BA85" s="29">
        <f>(AV85-AV84)/[2]节奏总纲!M82*'[1]功能-付费相关'!BB84</f>
        <v>0</v>
      </c>
      <c r="BL85" s="29">
        <v>79</v>
      </c>
      <c r="BM85" s="32">
        <f>求节点(村县营基础信息!AL$8:AL$28,$BG$33:$BG$53,$BL85)*节奏总纲!K82+BM84</f>
        <v>0</v>
      </c>
      <c r="BN85" s="32">
        <f>求节点(村县营基础信息!AM$8:AM$28,$BG$33:$BG$53,$BL85)*节奏总纲!L82+BN84</f>
        <v>0</v>
      </c>
      <c r="BO85" s="32">
        <f>求节点(村县营基础信息!AN$8:AN$28,$BG$33:$BG$53,$BL85)*节奏总纲!M82+BO84</f>
        <v>0</v>
      </c>
      <c r="BP85" s="32">
        <f>求节点(村县营基础信息!AO$8:AO$28,$BG$33:$BG$53,$BL85)*节奏总纲!N82+BP84</f>
        <v>0</v>
      </c>
      <c r="BQ85" s="32">
        <f>求节点(村县营基础信息!AP$8:AP$28,$BG$33:$BG$53,$BL85)*节奏总纲!O82+BQ84</f>
        <v>0</v>
      </c>
    </row>
    <row r="86" spans="13:69" x14ac:dyDescent="0.15">
      <c r="M86" s="29">
        <v>80</v>
      </c>
      <c r="N86" s="32">
        <f>求节点(村县营基础信息!K$8:K$28,$I$33:$I$53,$M86)*节奏总纲!K83+N85</f>
        <v>0</v>
      </c>
      <c r="O86" s="32">
        <f>求节点(村县营基础信息!L$8:L$28,$I$33:$I$53,$M86)*节奏总纲!L83+O85</f>
        <v>0</v>
      </c>
      <c r="P86" s="32">
        <f>求节点(村县营基础信息!M$8:M$28,$I$33:$I$53,$M86)*节奏总纲!M83+P85</f>
        <v>0</v>
      </c>
      <c r="Q86" s="32">
        <f>求节点(村县营基础信息!N$8:N$28,$I$33:$I$53,$M86)*节奏总纲!N83+Q85</f>
        <v>0</v>
      </c>
      <c r="R86" s="32">
        <f>求节点(村县营基础信息!O$8:O$28,$I$33:$I$53,$M86)*节奏总纲!O83+R85</f>
        <v>0</v>
      </c>
      <c r="AC86" s="29">
        <v>80</v>
      </c>
      <c r="AD86" s="32">
        <f>求节点(村县营基础信息!T$8:T$28,$Y$33:$Y$53,$AC86)*节奏总纲!K83*(1+$B$10)+AD85</f>
        <v>0</v>
      </c>
      <c r="AE86" s="32">
        <f>求节点(村县营基础信息!U$8:U$28,$Y$33:$Y$53,$AC86)*节奏总纲!L83*(1+$B$10)+AE85</f>
        <v>0</v>
      </c>
      <c r="AF86" s="32">
        <f>求节点(村县营基础信息!V$8:V$28,$Y$33:$Y$53,$AC86)*节奏总纲!M83*(1+$B$10)+AF85</f>
        <v>0</v>
      </c>
      <c r="AG86" s="32">
        <f>求节点(村县营基础信息!W$8:W$28,$Y$33:$Y$53,$AC86)*节奏总纲!N83*(1+$B$10)+AG85</f>
        <v>0</v>
      </c>
      <c r="AH86" s="32">
        <f>求节点(村县营基础信息!X$8:X$28,$Y$33:$Y$53,$AC86)*节奏总纲!O83*(1+$B$10)+AH85</f>
        <v>0</v>
      </c>
      <c r="AR86" s="29">
        <f>AT86/[2]节奏总纲!D83</f>
        <v>0</v>
      </c>
      <c r="AS86" s="29">
        <v>80</v>
      </c>
      <c r="AT86" s="32">
        <f>求节点(村县营基础信息!AC$8:AC$28,$AN$33:$AN$53,$AS86)*节奏总纲!K83+AT85</f>
        <v>0</v>
      </c>
      <c r="AU86" s="32">
        <f>求节点(村县营基础信息!AD$8:AD$28,$AN$33:$AN$53,$AS86)*节奏总纲!L83+AU85</f>
        <v>0</v>
      </c>
      <c r="AV86" s="32">
        <f>求节点(村县营基础信息!AE$8:AE$28,$AN$33:$AN$53,$AS86)*节奏总纲!M83+AV85</f>
        <v>0</v>
      </c>
      <c r="AW86" s="32">
        <f>求节点(村县营基础信息!AF$8:AF$28,$AN$33:$AN$53,$AS86)*节奏总纲!N83+AW85</f>
        <v>0</v>
      </c>
      <c r="AX86" s="32">
        <f>求节点(村县营基础信息!AG$8:AG$28,$AN$33:$AN$53,$AS86)*节奏总纲!O83+AX85</f>
        <v>0</v>
      </c>
      <c r="BA86" s="29">
        <f>(AV86-AV85)/[2]节奏总纲!M83*'[1]功能-付费相关'!BB85</f>
        <v>0</v>
      </c>
      <c r="BL86" s="29">
        <v>80</v>
      </c>
      <c r="BM86" s="32">
        <f>求节点(村县营基础信息!AL$8:AL$28,$BG$33:$BG$53,$BL86)*节奏总纲!K83+BM85</f>
        <v>0</v>
      </c>
      <c r="BN86" s="32">
        <f>求节点(村县营基础信息!AM$8:AM$28,$BG$33:$BG$53,$BL86)*节奏总纲!L83+BN85</f>
        <v>0</v>
      </c>
      <c r="BO86" s="32">
        <f>求节点(村县营基础信息!AN$8:AN$28,$BG$33:$BG$53,$BL86)*节奏总纲!M83+BO85</f>
        <v>0</v>
      </c>
      <c r="BP86" s="32">
        <f>求节点(村县营基础信息!AO$8:AO$28,$BG$33:$BG$53,$BL86)*节奏总纲!N83+BP85</f>
        <v>0</v>
      </c>
      <c r="BQ86" s="32">
        <f>求节点(村县营基础信息!AP$8:AP$28,$BG$33:$BG$53,$BL86)*节奏总纲!O83+BQ85</f>
        <v>0</v>
      </c>
    </row>
    <row r="87" spans="13:69" x14ac:dyDescent="0.15">
      <c r="M87" s="29">
        <v>81</v>
      </c>
      <c r="N87" s="32">
        <f>求节点(村县营基础信息!K$8:K$28,$I$33:$I$53,$M87)*节奏总纲!K84+N86</f>
        <v>0</v>
      </c>
      <c r="O87" s="32">
        <f>求节点(村县营基础信息!L$8:L$28,$I$33:$I$53,$M87)*节奏总纲!L84+O86</f>
        <v>0</v>
      </c>
      <c r="P87" s="32">
        <f>求节点(村县营基础信息!M$8:M$28,$I$33:$I$53,$M87)*节奏总纲!M84+P86</f>
        <v>0</v>
      </c>
      <c r="Q87" s="32">
        <f>求节点(村县营基础信息!N$8:N$28,$I$33:$I$53,$M87)*节奏总纲!N84+Q86</f>
        <v>0</v>
      </c>
      <c r="R87" s="32">
        <f>求节点(村县营基础信息!O$8:O$28,$I$33:$I$53,$M87)*节奏总纲!O84+R86</f>
        <v>0</v>
      </c>
      <c r="AC87" s="29">
        <v>81</v>
      </c>
      <c r="AD87" s="32">
        <f>求节点(村县营基础信息!T$8:T$28,$Y$33:$Y$53,$AC87)*节奏总纲!K84*(1+$B$10)+AD86</f>
        <v>0</v>
      </c>
      <c r="AE87" s="32">
        <f>求节点(村县营基础信息!U$8:U$28,$Y$33:$Y$53,$AC87)*节奏总纲!L84*(1+$B$10)+AE86</f>
        <v>0</v>
      </c>
      <c r="AF87" s="32">
        <f>求节点(村县营基础信息!V$8:V$28,$Y$33:$Y$53,$AC87)*节奏总纲!M84*(1+$B$10)+AF86</f>
        <v>0</v>
      </c>
      <c r="AG87" s="32">
        <f>求节点(村县营基础信息!W$8:W$28,$Y$33:$Y$53,$AC87)*节奏总纲!N84*(1+$B$10)+AG86</f>
        <v>0</v>
      </c>
      <c r="AH87" s="32">
        <f>求节点(村县营基础信息!X$8:X$28,$Y$33:$Y$53,$AC87)*节奏总纲!O84*(1+$B$10)+AH86</f>
        <v>0</v>
      </c>
      <c r="AR87" s="29">
        <f>AT87/[2]节奏总纲!D84</f>
        <v>0</v>
      </c>
      <c r="AS87" s="29">
        <v>81</v>
      </c>
      <c r="AT87" s="32">
        <f>求节点(村县营基础信息!AC$8:AC$28,$AN$33:$AN$53,$AS87)*节奏总纲!K84+AT86</f>
        <v>0</v>
      </c>
      <c r="AU87" s="32">
        <f>求节点(村县营基础信息!AD$8:AD$28,$AN$33:$AN$53,$AS87)*节奏总纲!L84+AU86</f>
        <v>0</v>
      </c>
      <c r="AV87" s="32">
        <f>求节点(村县营基础信息!AE$8:AE$28,$AN$33:$AN$53,$AS87)*节奏总纲!M84+AV86</f>
        <v>0</v>
      </c>
      <c r="AW87" s="32">
        <f>求节点(村县营基础信息!AF$8:AF$28,$AN$33:$AN$53,$AS87)*节奏总纲!N84+AW86</f>
        <v>0</v>
      </c>
      <c r="AX87" s="32">
        <f>求节点(村县营基础信息!AG$8:AG$28,$AN$33:$AN$53,$AS87)*节奏总纲!O84+AX86</f>
        <v>0</v>
      </c>
      <c r="BA87" s="29">
        <f>(AV87-AV86)/[2]节奏总纲!M84*'[1]功能-付费相关'!BB86</f>
        <v>0</v>
      </c>
      <c r="BL87" s="29">
        <v>81</v>
      </c>
      <c r="BM87" s="32">
        <f>求节点(村县营基础信息!AL$8:AL$28,$BG$33:$BG$53,$BL87)*节奏总纲!K84+BM86</f>
        <v>0</v>
      </c>
      <c r="BN87" s="32">
        <f>求节点(村县营基础信息!AM$8:AM$28,$BG$33:$BG$53,$BL87)*节奏总纲!L84+BN86</f>
        <v>0</v>
      </c>
      <c r="BO87" s="32">
        <f>求节点(村县营基础信息!AN$8:AN$28,$BG$33:$BG$53,$BL87)*节奏总纲!M84+BO86</f>
        <v>0</v>
      </c>
      <c r="BP87" s="32">
        <f>求节点(村县营基础信息!AO$8:AO$28,$BG$33:$BG$53,$BL87)*节奏总纲!N84+BP86</f>
        <v>0</v>
      </c>
      <c r="BQ87" s="32">
        <f>求节点(村县营基础信息!AP$8:AP$28,$BG$33:$BG$53,$BL87)*节奏总纲!O84+BQ86</f>
        <v>0</v>
      </c>
    </row>
    <row r="88" spans="13:69" x14ac:dyDescent="0.15">
      <c r="M88" s="29">
        <v>82</v>
      </c>
      <c r="N88" s="32">
        <f>求节点(村县营基础信息!K$8:K$28,$I$33:$I$53,$M88)*节奏总纲!K85+N87</f>
        <v>0</v>
      </c>
      <c r="O88" s="32">
        <f>求节点(村县营基础信息!L$8:L$28,$I$33:$I$53,$M88)*节奏总纲!L85+O87</f>
        <v>0</v>
      </c>
      <c r="P88" s="32">
        <f>求节点(村县营基础信息!M$8:M$28,$I$33:$I$53,$M88)*节奏总纲!M85+P87</f>
        <v>0</v>
      </c>
      <c r="Q88" s="32">
        <f>求节点(村县营基础信息!N$8:N$28,$I$33:$I$53,$M88)*节奏总纲!N85+Q87</f>
        <v>0</v>
      </c>
      <c r="R88" s="32">
        <f>求节点(村县营基础信息!O$8:O$28,$I$33:$I$53,$M88)*节奏总纲!O85+R87</f>
        <v>0</v>
      </c>
      <c r="AC88" s="29">
        <v>82</v>
      </c>
      <c r="AD88" s="32">
        <f>求节点(村县营基础信息!T$8:T$28,$Y$33:$Y$53,$AC88)*节奏总纲!K85*(1+$B$10)+AD87</f>
        <v>0</v>
      </c>
      <c r="AE88" s="32">
        <f>求节点(村县营基础信息!U$8:U$28,$Y$33:$Y$53,$AC88)*节奏总纲!L85*(1+$B$10)+AE87</f>
        <v>0</v>
      </c>
      <c r="AF88" s="32">
        <f>求节点(村县营基础信息!V$8:V$28,$Y$33:$Y$53,$AC88)*节奏总纲!M85*(1+$B$10)+AF87</f>
        <v>0</v>
      </c>
      <c r="AG88" s="32">
        <f>求节点(村县营基础信息!W$8:W$28,$Y$33:$Y$53,$AC88)*节奏总纲!N85*(1+$B$10)+AG87</f>
        <v>0</v>
      </c>
      <c r="AH88" s="32">
        <f>求节点(村县营基础信息!X$8:X$28,$Y$33:$Y$53,$AC88)*节奏总纲!O85*(1+$B$10)+AH87</f>
        <v>0</v>
      </c>
      <c r="AR88" s="29">
        <f>AT88/[2]节奏总纲!D85</f>
        <v>0</v>
      </c>
      <c r="AS88" s="29">
        <v>82</v>
      </c>
      <c r="AT88" s="32">
        <f>求节点(村县营基础信息!AC$8:AC$28,$AN$33:$AN$53,$AS88)*节奏总纲!K85+AT87</f>
        <v>0</v>
      </c>
      <c r="AU88" s="32">
        <f>求节点(村县营基础信息!AD$8:AD$28,$AN$33:$AN$53,$AS88)*节奏总纲!L85+AU87</f>
        <v>0</v>
      </c>
      <c r="AV88" s="32">
        <f>求节点(村县营基础信息!AE$8:AE$28,$AN$33:$AN$53,$AS88)*节奏总纲!M85+AV87</f>
        <v>0</v>
      </c>
      <c r="AW88" s="32">
        <f>求节点(村县营基础信息!AF$8:AF$28,$AN$33:$AN$53,$AS88)*节奏总纲!N85+AW87</f>
        <v>0</v>
      </c>
      <c r="AX88" s="32">
        <f>求节点(村县营基础信息!AG$8:AG$28,$AN$33:$AN$53,$AS88)*节奏总纲!O85+AX87</f>
        <v>0</v>
      </c>
      <c r="BA88" s="29">
        <f>(AV88-AV87)/[2]节奏总纲!M85*'[1]功能-付费相关'!BB87</f>
        <v>0</v>
      </c>
      <c r="BL88" s="29">
        <v>82</v>
      </c>
      <c r="BM88" s="32">
        <f>求节点(村县营基础信息!AL$8:AL$28,$BG$33:$BG$53,$BL88)*节奏总纲!K85+BM87</f>
        <v>0</v>
      </c>
      <c r="BN88" s="32">
        <f>求节点(村县营基础信息!AM$8:AM$28,$BG$33:$BG$53,$BL88)*节奏总纲!L85+BN87</f>
        <v>0</v>
      </c>
      <c r="BO88" s="32">
        <f>求节点(村县营基础信息!AN$8:AN$28,$BG$33:$BG$53,$BL88)*节奏总纲!M85+BO87</f>
        <v>0</v>
      </c>
      <c r="BP88" s="32">
        <f>求节点(村县营基础信息!AO$8:AO$28,$BG$33:$BG$53,$BL88)*节奏总纲!N85+BP87</f>
        <v>0</v>
      </c>
      <c r="BQ88" s="32">
        <f>求节点(村县营基础信息!AP$8:AP$28,$BG$33:$BG$53,$BL88)*节奏总纲!O85+BQ87</f>
        <v>0</v>
      </c>
    </row>
    <row r="89" spans="13:69" x14ac:dyDescent="0.15">
      <c r="M89" s="29">
        <v>83</v>
      </c>
      <c r="N89" s="32">
        <f>求节点(村县营基础信息!K$8:K$28,$I$33:$I$53,$M89)*节奏总纲!K86+N88</f>
        <v>0</v>
      </c>
      <c r="O89" s="32">
        <f>求节点(村县营基础信息!L$8:L$28,$I$33:$I$53,$M89)*节奏总纲!L86+O88</f>
        <v>0</v>
      </c>
      <c r="P89" s="32">
        <f>求节点(村县营基础信息!M$8:M$28,$I$33:$I$53,$M89)*节奏总纲!M86+P88</f>
        <v>0</v>
      </c>
      <c r="Q89" s="32">
        <f>求节点(村县营基础信息!N$8:N$28,$I$33:$I$53,$M89)*节奏总纲!N86+Q88</f>
        <v>0</v>
      </c>
      <c r="R89" s="32">
        <f>求节点(村县营基础信息!O$8:O$28,$I$33:$I$53,$M89)*节奏总纲!O86+R88</f>
        <v>0</v>
      </c>
      <c r="AC89" s="29">
        <v>83</v>
      </c>
      <c r="AD89" s="32">
        <f>求节点(村县营基础信息!T$8:T$28,$Y$33:$Y$53,$AC89)*节奏总纲!K86*(1+$B$10)+AD88</f>
        <v>0</v>
      </c>
      <c r="AE89" s="32">
        <f>求节点(村县营基础信息!U$8:U$28,$Y$33:$Y$53,$AC89)*节奏总纲!L86*(1+$B$10)+AE88</f>
        <v>0</v>
      </c>
      <c r="AF89" s="32">
        <f>求节点(村县营基础信息!V$8:V$28,$Y$33:$Y$53,$AC89)*节奏总纲!M86*(1+$B$10)+AF88</f>
        <v>0</v>
      </c>
      <c r="AG89" s="32">
        <f>求节点(村县营基础信息!W$8:W$28,$Y$33:$Y$53,$AC89)*节奏总纲!N86*(1+$B$10)+AG88</f>
        <v>0</v>
      </c>
      <c r="AH89" s="32">
        <f>求节点(村县营基础信息!X$8:X$28,$Y$33:$Y$53,$AC89)*节奏总纲!O86*(1+$B$10)+AH88</f>
        <v>0</v>
      </c>
      <c r="AR89" s="29">
        <f>AT89/[2]节奏总纲!D86</f>
        <v>0</v>
      </c>
      <c r="AS89" s="29">
        <v>83</v>
      </c>
      <c r="AT89" s="32">
        <f>求节点(村县营基础信息!AC$8:AC$28,$AN$33:$AN$53,$AS89)*节奏总纲!K86+AT88</f>
        <v>0</v>
      </c>
      <c r="AU89" s="32">
        <f>求节点(村县营基础信息!AD$8:AD$28,$AN$33:$AN$53,$AS89)*节奏总纲!L86+AU88</f>
        <v>0</v>
      </c>
      <c r="AV89" s="32">
        <f>求节点(村县营基础信息!AE$8:AE$28,$AN$33:$AN$53,$AS89)*节奏总纲!M86+AV88</f>
        <v>0</v>
      </c>
      <c r="AW89" s="32">
        <f>求节点(村县营基础信息!AF$8:AF$28,$AN$33:$AN$53,$AS89)*节奏总纲!N86+AW88</f>
        <v>0</v>
      </c>
      <c r="AX89" s="32">
        <f>求节点(村县营基础信息!AG$8:AG$28,$AN$33:$AN$53,$AS89)*节奏总纲!O86+AX88</f>
        <v>0</v>
      </c>
      <c r="BA89" s="29">
        <f>(AV89-AV88)/[2]节奏总纲!M86*'[1]功能-付费相关'!BB88</f>
        <v>0</v>
      </c>
      <c r="BL89" s="29">
        <v>83</v>
      </c>
      <c r="BM89" s="32">
        <f>求节点(村县营基础信息!AL$8:AL$28,$BG$33:$BG$53,$BL89)*节奏总纲!K86+BM88</f>
        <v>0</v>
      </c>
      <c r="BN89" s="32">
        <f>求节点(村县营基础信息!AM$8:AM$28,$BG$33:$BG$53,$BL89)*节奏总纲!L86+BN88</f>
        <v>0</v>
      </c>
      <c r="BO89" s="32">
        <f>求节点(村县营基础信息!AN$8:AN$28,$BG$33:$BG$53,$BL89)*节奏总纲!M86+BO88</f>
        <v>0</v>
      </c>
      <c r="BP89" s="32">
        <f>求节点(村县营基础信息!AO$8:AO$28,$BG$33:$BG$53,$BL89)*节奏总纲!N86+BP88</f>
        <v>0</v>
      </c>
      <c r="BQ89" s="32">
        <f>求节点(村县营基础信息!AP$8:AP$28,$BG$33:$BG$53,$BL89)*节奏总纲!O86+BQ88</f>
        <v>0</v>
      </c>
    </row>
    <row r="90" spans="13:69" x14ac:dyDescent="0.15">
      <c r="M90" s="29">
        <v>84</v>
      </c>
      <c r="N90" s="32">
        <f>求节点(村县营基础信息!K$8:K$28,$I$33:$I$53,$M90)*节奏总纲!K87+N89</f>
        <v>0</v>
      </c>
      <c r="O90" s="32">
        <f>求节点(村县营基础信息!L$8:L$28,$I$33:$I$53,$M90)*节奏总纲!L87+O89</f>
        <v>0</v>
      </c>
      <c r="P90" s="32">
        <f>求节点(村县营基础信息!M$8:M$28,$I$33:$I$53,$M90)*节奏总纲!M87+P89</f>
        <v>0</v>
      </c>
      <c r="Q90" s="32">
        <f>求节点(村县营基础信息!N$8:N$28,$I$33:$I$53,$M90)*节奏总纲!N87+Q89</f>
        <v>0</v>
      </c>
      <c r="R90" s="32">
        <f>求节点(村县营基础信息!O$8:O$28,$I$33:$I$53,$M90)*节奏总纲!O87+R89</f>
        <v>0</v>
      </c>
      <c r="AC90" s="29">
        <v>84</v>
      </c>
      <c r="AD90" s="32">
        <f>求节点(村县营基础信息!T$8:T$28,$Y$33:$Y$53,$AC90)*节奏总纲!K87*(1+$B$10)+AD89</f>
        <v>0</v>
      </c>
      <c r="AE90" s="32">
        <f>求节点(村县营基础信息!U$8:U$28,$Y$33:$Y$53,$AC90)*节奏总纲!L87*(1+$B$10)+AE89</f>
        <v>0</v>
      </c>
      <c r="AF90" s="32">
        <f>求节点(村县营基础信息!V$8:V$28,$Y$33:$Y$53,$AC90)*节奏总纲!M87*(1+$B$10)+AF89</f>
        <v>0</v>
      </c>
      <c r="AG90" s="32">
        <f>求节点(村县营基础信息!W$8:W$28,$Y$33:$Y$53,$AC90)*节奏总纲!N87*(1+$B$10)+AG89</f>
        <v>0</v>
      </c>
      <c r="AH90" s="32">
        <f>求节点(村县营基础信息!X$8:X$28,$Y$33:$Y$53,$AC90)*节奏总纲!O87*(1+$B$10)+AH89</f>
        <v>0</v>
      </c>
      <c r="AR90" s="29">
        <f>AT90/[2]节奏总纲!D87</f>
        <v>0</v>
      </c>
      <c r="AS90" s="29">
        <v>84</v>
      </c>
      <c r="AT90" s="32">
        <f>求节点(村县营基础信息!AC$8:AC$28,$AN$33:$AN$53,$AS90)*节奏总纲!K87+AT89</f>
        <v>0</v>
      </c>
      <c r="AU90" s="32">
        <f>求节点(村县营基础信息!AD$8:AD$28,$AN$33:$AN$53,$AS90)*节奏总纲!L87+AU89</f>
        <v>0</v>
      </c>
      <c r="AV90" s="32">
        <f>求节点(村县营基础信息!AE$8:AE$28,$AN$33:$AN$53,$AS90)*节奏总纲!M87+AV89</f>
        <v>0</v>
      </c>
      <c r="AW90" s="32">
        <f>求节点(村县营基础信息!AF$8:AF$28,$AN$33:$AN$53,$AS90)*节奏总纲!N87+AW89</f>
        <v>0</v>
      </c>
      <c r="AX90" s="32">
        <f>求节点(村县营基础信息!AG$8:AG$28,$AN$33:$AN$53,$AS90)*节奏总纲!O87+AX89</f>
        <v>0</v>
      </c>
      <c r="BA90" s="29">
        <f>(AV90-AV89)/[2]节奏总纲!M87*'[1]功能-付费相关'!BB89</f>
        <v>0</v>
      </c>
      <c r="BL90" s="29">
        <v>84</v>
      </c>
      <c r="BM90" s="32">
        <f>求节点(村县营基础信息!AL$8:AL$28,$BG$33:$BG$53,$BL90)*节奏总纲!K87+BM89</f>
        <v>0</v>
      </c>
      <c r="BN90" s="32">
        <f>求节点(村县营基础信息!AM$8:AM$28,$BG$33:$BG$53,$BL90)*节奏总纲!L87+BN89</f>
        <v>0</v>
      </c>
      <c r="BO90" s="32">
        <f>求节点(村县营基础信息!AN$8:AN$28,$BG$33:$BG$53,$BL90)*节奏总纲!M87+BO89</f>
        <v>0</v>
      </c>
      <c r="BP90" s="32">
        <f>求节点(村县营基础信息!AO$8:AO$28,$BG$33:$BG$53,$BL90)*节奏总纲!N87+BP89</f>
        <v>0</v>
      </c>
      <c r="BQ90" s="32">
        <f>求节点(村县营基础信息!AP$8:AP$28,$BG$33:$BG$53,$BL90)*节奏总纲!O87+BQ89</f>
        <v>0</v>
      </c>
    </row>
    <row r="91" spans="13:69" x14ac:dyDescent="0.15">
      <c r="M91" s="29">
        <v>85</v>
      </c>
      <c r="N91" s="32">
        <f>求节点(村县营基础信息!K$8:K$28,$I$33:$I$53,$M91)*节奏总纲!K88+N90</f>
        <v>0</v>
      </c>
      <c r="O91" s="32">
        <f>求节点(村县营基础信息!L$8:L$28,$I$33:$I$53,$M91)*节奏总纲!L88+O90</f>
        <v>0</v>
      </c>
      <c r="P91" s="32">
        <f>求节点(村县营基础信息!M$8:M$28,$I$33:$I$53,$M91)*节奏总纲!M88+P90</f>
        <v>0</v>
      </c>
      <c r="Q91" s="32">
        <f>求节点(村县营基础信息!N$8:N$28,$I$33:$I$53,$M91)*节奏总纲!N88+Q90</f>
        <v>0</v>
      </c>
      <c r="R91" s="32">
        <f>求节点(村县营基础信息!O$8:O$28,$I$33:$I$53,$M91)*节奏总纲!O88+R90</f>
        <v>0</v>
      </c>
      <c r="AC91" s="29">
        <v>85</v>
      </c>
      <c r="AD91" s="32">
        <f>求节点(村县营基础信息!T$8:T$28,$Y$33:$Y$53,$AC91)*节奏总纲!K88*(1+$B$10)+AD90</f>
        <v>0</v>
      </c>
      <c r="AE91" s="32">
        <f>求节点(村县营基础信息!U$8:U$28,$Y$33:$Y$53,$AC91)*节奏总纲!L88*(1+$B$10)+AE90</f>
        <v>0</v>
      </c>
      <c r="AF91" s="32">
        <f>求节点(村县营基础信息!V$8:V$28,$Y$33:$Y$53,$AC91)*节奏总纲!M88*(1+$B$10)+AF90</f>
        <v>0</v>
      </c>
      <c r="AG91" s="32">
        <f>求节点(村县营基础信息!W$8:W$28,$Y$33:$Y$53,$AC91)*节奏总纲!N88*(1+$B$10)+AG90</f>
        <v>0</v>
      </c>
      <c r="AH91" s="32">
        <f>求节点(村县营基础信息!X$8:X$28,$Y$33:$Y$53,$AC91)*节奏总纲!O88*(1+$B$10)+AH90</f>
        <v>0</v>
      </c>
      <c r="AR91" s="29">
        <f>AT91/[2]节奏总纲!D88</f>
        <v>0</v>
      </c>
      <c r="AS91" s="29">
        <v>85</v>
      </c>
      <c r="AT91" s="32">
        <f>求节点(村县营基础信息!AC$8:AC$28,$AN$33:$AN$53,$AS91)*节奏总纲!K88+AT90</f>
        <v>0</v>
      </c>
      <c r="AU91" s="32">
        <f>求节点(村县营基础信息!AD$8:AD$28,$AN$33:$AN$53,$AS91)*节奏总纲!L88+AU90</f>
        <v>0</v>
      </c>
      <c r="AV91" s="32">
        <f>求节点(村县营基础信息!AE$8:AE$28,$AN$33:$AN$53,$AS91)*节奏总纲!M88+AV90</f>
        <v>0</v>
      </c>
      <c r="AW91" s="32">
        <f>求节点(村县营基础信息!AF$8:AF$28,$AN$33:$AN$53,$AS91)*节奏总纲!N88+AW90</f>
        <v>0</v>
      </c>
      <c r="AX91" s="32">
        <f>求节点(村县营基础信息!AG$8:AG$28,$AN$33:$AN$53,$AS91)*节奏总纲!O88+AX90</f>
        <v>0</v>
      </c>
      <c r="BA91" s="29">
        <f>(AV91-AV90)/[2]节奏总纲!M88*'[1]功能-付费相关'!BB90</f>
        <v>0</v>
      </c>
      <c r="BL91" s="29">
        <v>85</v>
      </c>
      <c r="BM91" s="32">
        <f>求节点(村县营基础信息!AL$8:AL$28,$BG$33:$BG$53,$BL91)*节奏总纲!K88+BM90</f>
        <v>0</v>
      </c>
      <c r="BN91" s="32">
        <f>求节点(村县营基础信息!AM$8:AM$28,$BG$33:$BG$53,$BL91)*节奏总纲!L88+BN90</f>
        <v>0</v>
      </c>
      <c r="BO91" s="32">
        <f>求节点(村县营基础信息!AN$8:AN$28,$BG$33:$BG$53,$BL91)*节奏总纲!M88+BO90</f>
        <v>0</v>
      </c>
      <c r="BP91" s="32">
        <f>求节点(村县营基础信息!AO$8:AO$28,$BG$33:$BG$53,$BL91)*节奏总纲!N88+BP90</f>
        <v>0</v>
      </c>
      <c r="BQ91" s="32">
        <f>求节点(村县营基础信息!AP$8:AP$28,$BG$33:$BG$53,$BL91)*节奏总纲!O88+BQ90</f>
        <v>0</v>
      </c>
    </row>
    <row r="92" spans="13:69" x14ac:dyDescent="0.15">
      <c r="M92" s="29">
        <v>86</v>
      </c>
      <c r="N92" s="32">
        <f>求节点(村县营基础信息!K$8:K$28,$I$33:$I$53,$M92)*节奏总纲!K89+N91</f>
        <v>0</v>
      </c>
      <c r="O92" s="32">
        <f>求节点(村县营基础信息!L$8:L$28,$I$33:$I$53,$M92)*节奏总纲!L89+O91</f>
        <v>0</v>
      </c>
      <c r="P92" s="32">
        <f>求节点(村县营基础信息!M$8:M$28,$I$33:$I$53,$M92)*节奏总纲!M89+P91</f>
        <v>0</v>
      </c>
      <c r="Q92" s="32">
        <f>求节点(村县营基础信息!N$8:N$28,$I$33:$I$53,$M92)*节奏总纲!N89+Q91</f>
        <v>0</v>
      </c>
      <c r="R92" s="32">
        <f>求节点(村县营基础信息!O$8:O$28,$I$33:$I$53,$M92)*节奏总纲!O89+R91</f>
        <v>0</v>
      </c>
      <c r="AC92" s="29">
        <v>86</v>
      </c>
      <c r="AD92" s="32">
        <f>求节点(村县营基础信息!T$8:T$28,$Y$33:$Y$53,$AC92)*节奏总纲!K89*(1+$B$10)+AD91</f>
        <v>0</v>
      </c>
      <c r="AE92" s="32">
        <f>求节点(村县营基础信息!U$8:U$28,$Y$33:$Y$53,$AC92)*节奏总纲!L89*(1+$B$10)+AE91</f>
        <v>0</v>
      </c>
      <c r="AF92" s="32">
        <f>求节点(村县营基础信息!V$8:V$28,$Y$33:$Y$53,$AC92)*节奏总纲!M89*(1+$B$10)+AF91</f>
        <v>0</v>
      </c>
      <c r="AG92" s="32">
        <f>求节点(村县营基础信息!W$8:W$28,$Y$33:$Y$53,$AC92)*节奏总纲!N89*(1+$B$10)+AG91</f>
        <v>0</v>
      </c>
      <c r="AH92" s="32">
        <f>求节点(村县营基础信息!X$8:X$28,$Y$33:$Y$53,$AC92)*节奏总纲!O89*(1+$B$10)+AH91</f>
        <v>0</v>
      </c>
      <c r="AR92" s="29">
        <f>AT92/[2]节奏总纲!D89</f>
        <v>0</v>
      </c>
      <c r="AS92" s="29">
        <v>86</v>
      </c>
      <c r="AT92" s="32">
        <f>求节点(村县营基础信息!AC$8:AC$28,$AN$33:$AN$53,$AS92)*节奏总纲!K89+AT91</f>
        <v>0</v>
      </c>
      <c r="AU92" s="32">
        <f>求节点(村县营基础信息!AD$8:AD$28,$AN$33:$AN$53,$AS92)*节奏总纲!L89+AU91</f>
        <v>0</v>
      </c>
      <c r="AV92" s="32">
        <f>求节点(村县营基础信息!AE$8:AE$28,$AN$33:$AN$53,$AS92)*节奏总纲!M89+AV91</f>
        <v>0</v>
      </c>
      <c r="AW92" s="32">
        <f>求节点(村县营基础信息!AF$8:AF$28,$AN$33:$AN$53,$AS92)*节奏总纲!N89+AW91</f>
        <v>0</v>
      </c>
      <c r="AX92" s="32">
        <f>求节点(村县营基础信息!AG$8:AG$28,$AN$33:$AN$53,$AS92)*节奏总纲!O89+AX91</f>
        <v>0</v>
      </c>
      <c r="BA92" s="29">
        <f>(AV92-AV91)/[2]节奏总纲!M89*'[1]功能-付费相关'!BB91</f>
        <v>0</v>
      </c>
      <c r="BL92" s="29">
        <v>86</v>
      </c>
      <c r="BM92" s="32">
        <f>求节点(村县营基础信息!AL$8:AL$28,$BG$33:$BG$53,$BL92)*节奏总纲!K89+BM91</f>
        <v>0</v>
      </c>
      <c r="BN92" s="32">
        <f>求节点(村县营基础信息!AM$8:AM$28,$BG$33:$BG$53,$BL92)*节奏总纲!L89+BN91</f>
        <v>0</v>
      </c>
      <c r="BO92" s="32">
        <f>求节点(村县营基础信息!AN$8:AN$28,$BG$33:$BG$53,$BL92)*节奏总纲!M89+BO91</f>
        <v>0</v>
      </c>
      <c r="BP92" s="32">
        <f>求节点(村县营基础信息!AO$8:AO$28,$BG$33:$BG$53,$BL92)*节奏总纲!N89+BP91</f>
        <v>0</v>
      </c>
      <c r="BQ92" s="32">
        <f>求节点(村县营基础信息!AP$8:AP$28,$BG$33:$BG$53,$BL92)*节奏总纲!O89+BQ91</f>
        <v>0</v>
      </c>
    </row>
    <row r="93" spans="13:69" x14ac:dyDescent="0.15">
      <c r="M93" s="29">
        <v>87</v>
      </c>
      <c r="N93" s="32">
        <f>求节点(村县营基础信息!K$8:K$28,$I$33:$I$53,$M93)*节奏总纲!K90+N92</f>
        <v>0</v>
      </c>
      <c r="O93" s="32">
        <f>求节点(村县营基础信息!L$8:L$28,$I$33:$I$53,$M93)*节奏总纲!L90+O92</f>
        <v>0</v>
      </c>
      <c r="P93" s="32">
        <f>求节点(村县营基础信息!M$8:M$28,$I$33:$I$53,$M93)*节奏总纲!M90+P92</f>
        <v>0</v>
      </c>
      <c r="Q93" s="32">
        <f>求节点(村县营基础信息!N$8:N$28,$I$33:$I$53,$M93)*节奏总纲!N90+Q92</f>
        <v>0</v>
      </c>
      <c r="R93" s="32">
        <f>求节点(村县营基础信息!O$8:O$28,$I$33:$I$53,$M93)*节奏总纲!O90+R92</f>
        <v>0</v>
      </c>
      <c r="AC93" s="29">
        <v>87</v>
      </c>
      <c r="AD93" s="32">
        <f>求节点(村县营基础信息!T$8:T$28,$Y$33:$Y$53,$AC93)*节奏总纲!K90*(1+$B$10)+AD92</f>
        <v>0</v>
      </c>
      <c r="AE93" s="32">
        <f>求节点(村县营基础信息!U$8:U$28,$Y$33:$Y$53,$AC93)*节奏总纲!L90*(1+$B$10)+AE92</f>
        <v>0</v>
      </c>
      <c r="AF93" s="32">
        <f>求节点(村县营基础信息!V$8:V$28,$Y$33:$Y$53,$AC93)*节奏总纲!M90*(1+$B$10)+AF92</f>
        <v>0</v>
      </c>
      <c r="AG93" s="32">
        <f>求节点(村县营基础信息!W$8:W$28,$Y$33:$Y$53,$AC93)*节奏总纲!N90*(1+$B$10)+AG92</f>
        <v>0</v>
      </c>
      <c r="AH93" s="32">
        <f>求节点(村县营基础信息!X$8:X$28,$Y$33:$Y$53,$AC93)*节奏总纲!O90*(1+$B$10)+AH92</f>
        <v>0</v>
      </c>
      <c r="AR93" s="29">
        <f>AT93/[2]节奏总纲!D90</f>
        <v>0</v>
      </c>
      <c r="AS93" s="29">
        <v>87</v>
      </c>
      <c r="AT93" s="32">
        <f>求节点(村县营基础信息!AC$8:AC$28,$AN$33:$AN$53,$AS93)*节奏总纲!K90+AT92</f>
        <v>0</v>
      </c>
      <c r="AU93" s="32">
        <f>求节点(村县营基础信息!AD$8:AD$28,$AN$33:$AN$53,$AS93)*节奏总纲!L90+AU92</f>
        <v>0</v>
      </c>
      <c r="AV93" s="32">
        <f>求节点(村县营基础信息!AE$8:AE$28,$AN$33:$AN$53,$AS93)*节奏总纲!M90+AV92</f>
        <v>0</v>
      </c>
      <c r="AW93" s="32">
        <f>求节点(村县营基础信息!AF$8:AF$28,$AN$33:$AN$53,$AS93)*节奏总纲!N90+AW92</f>
        <v>0</v>
      </c>
      <c r="AX93" s="32">
        <f>求节点(村县营基础信息!AG$8:AG$28,$AN$33:$AN$53,$AS93)*节奏总纲!O90+AX92</f>
        <v>0</v>
      </c>
      <c r="BA93" s="29">
        <f>(AV93-AV92)/[2]节奏总纲!M90*'[1]功能-付费相关'!BB92</f>
        <v>0</v>
      </c>
      <c r="BL93" s="29">
        <v>87</v>
      </c>
      <c r="BM93" s="32">
        <f>求节点(村县营基础信息!AL$8:AL$28,$BG$33:$BG$53,$BL93)*节奏总纲!K90+BM92</f>
        <v>0</v>
      </c>
      <c r="BN93" s="32">
        <f>求节点(村县营基础信息!AM$8:AM$28,$BG$33:$BG$53,$BL93)*节奏总纲!L90+BN92</f>
        <v>0</v>
      </c>
      <c r="BO93" s="32">
        <f>求节点(村县营基础信息!AN$8:AN$28,$BG$33:$BG$53,$BL93)*节奏总纲!M90+BO92</f>
        <v>0</v>
      </c>
      <c r="BP93" s="32">
        <f>求节点(村县营基础信息!AO$8:AO$28,$BG$33:$BG$53,$BL93)*节奏总纲!N90+BP92</f>
        <v>0</v>
      </c>
      <c r="BQ93" s="32">
        <f>求节点(村县营基础信息!AP$8:AP$28,$BG$33:$BG$53,$BL93)*节奏总纲!O90+BQ92</f>
        <v>0</v>
      </c>
    </row>
    <row r="94" spans="13:69" x14ac:dyDescent="0.15">
      <c r="M94" s="29">
        <v>88</v>
      </c>
      <c r="N94" s="32">
        <f>求节点(村县营基础信息!K$8:K$28,$I$33:$I$53,$M94)*节奏总纲!K91+N93</f>
        <v>0</v>
      </c>
      <c r="O94" s="32">
        <f>求节点(村县营基础信息!L$8:L$28,$I$33:$I$53,$M94)*节奏总纲!L91+O93</f>
        <v>0</v>
      </c>
      <c r="P94" s="32">
        <f>求节点(村县营基础信息!M$8:M$28,$I$33:$I$53,$M94)*节奏总纲!M91+P93</f>
        <v>0</v>
      </c>
      <c r="Q94" s="32">
        <f>求节点(村县营基础信息!N$8:N$28,$I$33:$I$53,$M94)*节奏总纲!N91+Q93</f>
        <v>0</v>
      </c>
      <c r="R94" s="32">
        <f>求节点(村县营基础信息!O$8:O$28,$I$33:$I$53,$M94)*节奏总纲!O91+R93</f>
        <v>0</v>
      </c>
      <c r="AC94" s="29">
        <v>88</v>
      </c>
      <c r="AD94" s="32">
        <f>求节点(村县营基础信息!T$8:T$28,$Y$33:$Y$53,$AC94)*节奏总纲!K91*(1+$B$10)+AD93</f>
        <v>0</v>
      </c>
      <c r="AE94" s="32">
        <f>求节点(村县营基础信息!U$8:U$28,$Y$33:$Y$53,$AC94)*节奏总纲!L91*(1+$B$10)+AE93</f>
        <v>0</v>
      </c>
      <c r="AF94" s="32">
        <f>求节点(村县营基础信息!V$8:V$28,$Y$33:$Y$53,$AC94)*节奏总纲!M91*(1+$B$10)+AF93</f>
        <v>0</v>
      </c>
      <c r="AG94" s="32">
        <f>求节点(村县营基础信息!W$8:W$28,$Y$33:$Y$53,$AC94)*节奏总纲!N91*(1+$B$10)+AG93</f>
        <v>0</v>
      </c>
      <c r="AH94" s="32">
        <f>求节点(村县营基础信息!X$8:X$28,$Y$33:$Y$53,$AC94)*节奏总纲!O91*(1+$B$10)+AH93</f>
        <v>0</v>
      </c>
      <c r="AR94" s="29">
        <f>AT94/[2]节奏总纲!D91</f>
        <v>0</v>
      </c>
      <c r="AS94" s="29">
        <v>88</v>
      </c>
      <c r="AT94" s="32">
        <f>求节点(村县营基础信息!AC$8:AC$28,$AN$33:$AN$53,$AS94)*节奏总纲!K91+AT93</f>
        <v>0</v>
      </c>
      <c r="AU94" s="32">
        <f>求节点(村县营基础信息!AD$8:AD$28,$AN$33:$AN$53,$AS94)*节奏总纲!L91+AU93</f>
        <v>0</v>
      </c>
      <c r="AV94" s="32">
        <f>求节点(村县营基础信息!AE$8:AE$28,$AN$33:$AN$53,$AS94)*节奏总纲!M91+AV93</f>
        <v>0</v>
      </c>
      <c r="AW94" s="32">
        <f>求节点(村县营基础信息!AF$8:AF$28,$AN$33:$AN$53,$AS94)*节奏总纲!N91+AW93</f>
        <v>0</v>
      </c>
      <c r="AX94" s="32">
        <f>求节点(村县营基础信息!AG$8:AG$28,$AN$33:$AN$53,$AS94)*节奏总纲!O91+AX93</f>
        <v>0</v>
      </c>
      <c r="BA94" s="29">
        <f>(AV94-AV93)/[2]节奏总纲!M91*'[1]功能-付费相关'!BB93</f>
        <v>0</v>
      </c>
      <c r="BL94" s="29">
        <v>88</v>
      </c>
      <c r="BM94" s="32">
        <f>求节点(村县营基础信息!AL$8:AL$28,$BG$33:$BG$53,$BL94)*节奏总纲!K91+BM93</f>
        <v>0</v>
      </c>
      <c r="BN94" s="32">
        <f>求节点(村县营基础信息!AM$8:AM$28,$BG$33:$BG$53,$BL94)*节奏总纲!L91+BN93</f>
        <v>0</v>
      </c>
      <c r="BO94" s="32">
        <f>求节点(村县营基础信息!AN$8:AN$28,$BG$33:$BG$53,$BL94)*节奏总纲!M91+BO93</f>
        <v>0</v>
      </c>
      <c r="BP94" s="32">
        <f>求节点(村县营基础信息!AO$8:AO$28,$BG$33:$BG$53,$BL94)*节奏总纲!N91+BP93</f>
        <v>0</v>
      </c>
      <c r="BQ94" s="32">
        <f>求节点(村县营基础信息!AP$8:AP$28,$BG$33:$BG$53,$BL94)*节奏总纲!O91+BQ93</f>
        <v>0</v>
      </c>
    </row>
    <row r="95" spans="13:69" x14ac:dyDescent="0.15">
      <c r="M95" s="29">
        <v>89</v>
      </c>
      <c r="N95" s="32">
        <f>求节点(村县营基础信息!K$8:K$28,$I$33:$I$53,$M95)*节奏总纲!K92+N94</f>
        <v>0</v>
      </c>
      <c r="O95" s="32">
        <f>求节点(村县营基础信息!L$8:L$28,$I$33:$I$53,$M95)*节奏总纲!L92+O94</f>
        <v>0</v>
      </c>
      <c r="P95" s="32">
        <f>求节点(村县营基础信息!M$8:M$28,$I$33:$I$53,$M95)*节奏总纲!M92+P94</f>
        <v>0</v>
      </c>
      <c r="Q95" s="32">
        <f>求节点(村县营基础信息!N$8:N$28,$I$33:$I$53,$M95)*节奏总纲!N92+Q94</f>
        <v>0</v>
      </c>
      <c r="R95" s="32">
        <f>求节点(村县营基础信息!O$8:O$28,$I$33:$I$53,$M95)*节奏总纲!O92+R94</f>
        <v>0</v>
      </c>
      <c r="AC95" s="29">
        <v>89</v>
      </c>
      <c r="AD95" s="32">
        <f>求节点(村县营基础信息!T$8:T$28,$Y$33:$Y$53,$AC95)*节奏总纲!K92*(1+$B$10)+AD94</f>
        <v>0</v>
      </c>
      <c r="AE95" s="32">
        <f>求节点(村县营基础信息!U$8:U$28,$Y$33:$Y$53,$AC95)*节奏总纲!L92*(1+$B$10)+AE94</f>
        <v>0</v>
      </c>
      <c r="AF95" s="32">
        <f>求节点(村县营基础信息!V$8:V$28,$Y$33:$Y$53,$AC95)*节奏总纲!M92*(1+$B$10)+AF94</f>
        <v>0</v>
      </c>
      <c r="AG95" s="32">
        <f>求节点(村县营基础信息!W$8:W$28,$Y$33:$Y$53,$AC95)*节奏总纲!N92*(1+$B$10)+AG94</f>
        <v>0</v>
      </c>
      <c r="AH95" s="32">
        <f>求节点(村县营基础信息!X$8:X$28,$Y$33:$Y$53,$AC95)*节奏总纲!O92*(1+$B$10)+AH94</f>
        <v>0</v>
      </c>
      <c r="AR95" s="29">
        <f>AT95/[2]节奏总纲!D92</f>
        <v>0</v>
      </c>
      <c r="AS95" s="29">
        <v>89</v>
      </c>
      <c r="AT95" s="32">
        <f>求节点(村县营基础信息!AC$8:AC$28,$AN$33:$AN$53,$AS95)*节奏总纲!K92+AT94</f>
        <v>0</v>
      </c>
      <c r="AU95" s="32">
        <f>求节点(村县营基础信息!AD$8:AD$28,$AN$33:$AN$53,$AS95)*节奏总纲!L92+AU94</f>
        <v>0</v>
      </c>
      <c r="AV95" s="32">
        <f>求节点(村县营基础信息!AE$8:AE$28,$AN$33:$AN$53,$AS95)*节奏总纲!M92+AV94</f>
        <v>0</v>
      </c>
      <c r="AW95" s="32">
        <f>求节点(村县营基础信息!AF$8:AF$28,$AN$33:$AN$53,$AS95)*节奏总纲!N92+AW94</f>
        <v>0</v>
      </c>
      <c r="AX95" s="32">
        <f>求节点(村县营基础信息!AG$8:AG$28,$AN$33:$AN$53,$AS95)*节奏总纲!O92+AX94</f>
        <v>0</v>
      </c>
      <c r="BA95" s="29">
        <f>(AV95-AV94)/[2]节奏总纲!M92*'[1]功能-付费相关'!BB94</f>
        <v>0</v>
      </c>
      <c r="BL95" s="29">
        <v>89</v>
      </c>
      <c r="BM95" s="32">
        <f>求节点(村县营基础信息!AL$8:AL$28,$BG$33:$BG$53,$BL95)*节奏总纲!K92+BM94</f>
        <v>0</v>
      </c>
      <c r="BN95" s="32">
        <f>求节点(村县营基础信息!AM$8:AM$28,$BG$33:$BG$53,$BL95)*节奏总纲!L92+BN94</f>
        <v>0</v>
      </c>
      <c r="BO95" s="32">
        <f>求节点(村县营基础信息!AN$8:AN$28,$BG$33:$BG$53,$BL95)*节奏总纲!M92+BO94</f>
        <v>0</v>
      </c>
      <c r="BP95" s="32">
        <f>求节点(村县营基础信息!AO$8:AO$28,$BG$33:$BG$53,$BL95)*节奏总纲!N92+BP94</f>
        <v>0</v>
      </c>
      <c r="BQ95" s="32">
        <f>求节点(村县营基础信息!AP$8:AP$28,$BG$33:$BG$53,$BL95)*节奏总纲!O92+BQ94</f>
        <v>0</v>
      </c>
    </row>
    <row r="96" spans="13:69" x14ac:dyDescent="0.15">
      <c r="M96" s="29">
        <v>90</v>
      </c>
      <c r="N96" s="32">
        <f>求节点(村县营基础信息!K$8:K$28,$I$33:$I$53,$M96)*节奏总纲!K93+N95</f>
        <v>0</v>
      </c>
      <c r="O96" s="32">
        <f>求节点(村县营基础信息!L$8:L$28,$I$33:$I$53,$M96)*节奏总纲!L93+O95</f>
        <v>0</v>
      </c>
      <c r="P96" s="32">
        <f>求节点(村县营基础信息!M$8:M$28,$I$33:$I$53,$M96)*节奏总纲!M93+P95</f>
        <v>0</v>
      </c>
      <c r="Q96" s="32">
        <f>求节点(村县营基础信息!N$8:N$28,$I$33:$I$53,$M96)*节奏总纲!N93+Q95</f>
        <v>0</v>
      </c>
      <c r="R96" s="32">
        <f>求节点(村县营基础信息!O$8:O$28,$I$33:$I$53,$M96)*节奏总纲!O93+R95</f>
        <v>0</v>
      </c>
      <c r="AC96" s="29">
        <v>90</v>
      </c>
      <c r="AD96" s="32">
        <f>求节点(村县营基础信息!T$8:T$28,$Y$33:$Y$53,$AC96)*节奏总纲!K93*(1+$B$10)+AD95</f>
        <v>0</v>
      </c>
      <c r="AE96" s="32">
        <f>求节点(村县营基础信息!U$8:U$28,$Y$33:$Y$53,$AC96)*节奏总纲!L93*(1+$B$10)+AE95</f>
        <v>0</v>
      </c>
      <c r="AF96" s="32">
        <f>求节点(村县营基础信息!V$8:V$28,$Y$33:$Y$53,$AC96)*节奏总纲!M93*(1+$B$10)+AF95</f>
        <v>0</v>
      </c>
      <c r="AG96" s="32">
        <f>求节点(村县营基础信息!W$8:W$28,$Y$33:$Y$53,$AC96)*节奏总纲!N93*(1+$B$10)+AG95</f>
        <v>0</v>
      </c>
      <c r="AH96" s="32">
        <f>求节点(村县营基础信息!X$8:X$28,$Y$33:$Y$53,$AC96)*节奏总纲!O93*(1+$B$10)+AH95</f>
        <v>0</v>
      </c>
      <c r="AR96" s="29">
        <f>AT96/[2]节奏总纲!D93</f>
        <v>0</v>
      </c>
      <c r="AS96" s="29">
        <v>90</v>
      </c>
      <c r="AT96" s="32">
        <f>求节点(村县营基础信息!AC$8:AC$28,$AN$33:$AN$53,$AS96)*节奏总纲!K93+AT95</f>
        <v>0</v>
      </c>
      <c r="AU96" s="32">
        <f>求节点(村县营基础信息!AD$8:AD$28,$AN$33:$AN$53,$AS96)*节奏总纲!L93+AU95</f>
        <v>0</v>
      </c>
      <c r="AV96" s="32">
        <f>求节点(村县营基础信息!AE$8:AE$28,$AN$33:$AN$53,$AS96)*节奏总纲!M93+AV95</f>
        <v>0</v>
      </c>
      <c r="AW96" s="32">
        <f>求节点(村县营基础信息!AF$8:AF$28,$AN$33:$AN$53,$AS96)*节奏总纲!N93+AW95</f>
        <v>0</v>
      </c>
      <c r="AX96" s="32">
        <f>求节点(村县营基础信息!AG$8:AG$28,$AN$33:$AN$53,$AS96)*节奏总纲!O93+AX95</f>
        <v>0</v>
      </c>
      <c r="BA96" s="29">
        <f>(AV96-AV95)/[2]节奏总纲!M93*'[1]功能-付费相关'!BB95</f>
        <v>0</v>
      </c>
      <c r="BL96" s="29">
        <v>90</v>
      </c>
      <c r="BM96" s="32">
        <f>求节点(村县营基础信息!AL$8:AL$28,$BG$33:$BG$53,$BL96)*节奏总纲!K93+BM95</f>
        <v>0</v>
      </c>
      <c r="BN96" s="32">
        <f>求节点(村县营基础信息!AM$8:AM$28,$BG$33:$BG$53,$BL96)*节奏总纲!L93+BN95</f>
        <v>0</v>
      </c>
      <c r="BO96" s="32">
        <f>求节点(村县营基础信息!AN$8:AN$28,$BG$33:$BG$53,$BL96)*节奏总纲!M93+BO95</f>
        <v>0</v>
      </c>
      <c r="BP96" s="32">
        <f>求节点(村县营基础信息!AO$8:AO$28,$BG$33:$BG$53,$BL96)*节奏总纲!N93+BP95</f>
        <v>0</v>
      </c>
      <c r="BQ96" s="32">
        <f>求节点(村县营基础信息!AP$8:AP$28,$BG$33:$BG$53,$BL96)*节奏总纲!O93+BQ95</f>
        <v>0</v>
      </c>
    </row>
    <row r="97" spans="13:69" x14ac:dyDescent="0.15">
      <c r="M97" s="29">
        <v>91</v>
      </c>
      <c r="N97" s="32">
        <f>求节点(村县营基础信息!K$8:K$28,$I$33:$I$53,$M97)*节奏总纲!K94+N96</f>
        <v>0</v>
      </c>
      <c r="O97" s="32">
        <f>求节点(村县营基础信息!L$8:L$28,$I$33:$I$53,$M97)*节奏总纲!L94+O96</f>
        <v>0</v>
      </c>
      <c r="P97" s="32">
        <f>求节点(村县营基础信息!M$8:M$28,$I$33:$I$53,$M97)*节奏总纲!M94+P96</f>
        <v>0</v>
      </c>
      <c r="Q97" s="32">
        <f>求节点(村县营基础信息!N$8:N$28,$I$33:$I$53,$M97)*节奏总纲!N94+Q96</f>
        <v>0</v>
      </c>
      <c r="R97" s="32">
        <f>求节点(村县营基础信息!O$8:O$28,$I$33:$I$53,$M97)*节奏总纲!O94+R96</f>
        <v>0</v>
      </c>
      <c r="AC97" s="29">
        <v>91</v>
      </c>
      <c r="AD97" s="32">
        <f>求节点(村县营基础信息!T$8:T$28,$Y$33:$Y$53,$AC97)*节奏总纲!K94*(1+$B$10)+AD96</f>
        <v>0</v>
      </c>
      <c r="AE97" s="32">
        <f>求节点(村县营基础信息!U$8:U$28,$Y$33:$Y$53,$AC97)*节奏总纲!L94*(1+$B$10)+AE96</f>
        <v>0</v>
      </c>
      <c r="AF97" s="32">
        <f>求节点(村县营基础信息!V$8:V$28,$Y$33:$Y$53,$AC97)*节奏总纲!M94*(1+$B$10)+AF96</f>
        <v>0</v>
      </c>
      <c r="AG97" s="32">
        <f>求节点(村县营基础信息!W$8:W$28,$Y$33:$Y$53,$AC97)*节奏总纲!N94*(1+$B$10)+AG96</f>
        <v>0</v>
      </c>
      <c r="AH97" s="32">
        <f>求节点(村县营基础信息!X$8:X$28,$Y$33:$Y$53,$AC97)*节奏总纲!O94*(1+$B$10)+AH96</f>
        <v>0</v>
      </c>
      <c r="AR97" s="29">
        <f>AT97/[2]节奏总纲!D94</f>
        <v>0</v>
      </c>
      <c r="AS97" s="29">
        <v>91</v>
      </c>
      <c r="AT97" s="32">
        <f>求节点(村县营基础信息!AC$8:AC$28,$AN$33:$AN$53,$AS97)*节奏总纲!K94+AT96</f>
        <v>0</v>
      </c>
      <c r="AU97" s="32">
        <f>求节点(村县营基础信息!AD$8:AD$28,$AN$33:$AN$53,$AS97)*节奏总纲!L94+AU96</f>
        <v>0</v>
      </c>
      <c r="AV97" s="32">
        <f>求节点(村县营基础信息!AE$8:AE$28,$AN$33:$AN$53,$AS97)*节奏总纲!M94+AV96</f>
        <v>0</v>
      </c>
      <c r="AW97" s="32">
        <f>求节点(村县营基础信息!AF$8:AF$28,$AN$33:$AN$53,$AS97)*节奏总纲!N94+AW96</f>
        <v>0</v>
      </c>
      <c r="AX97" s="32">
        <f>求节点(村县营基础信息!AG$8:AG$28,$AN$33:$AN$53,$AS97)*节奏总纲!O94+AX96</f>
        <v>0</v>
      </c>
      <c r="BA97" s="29">
        <f>(AV97-AV96)/[2]节奏总纲!M94*'[1]功能-付费相关'!BB96</f>
        <v>0</v>
      </c>
      <c r="BL97" s="29">
        <v>91</v>
      </c>
      <c r="BM97" s="32">
        <f>求节点(村县营基础信息!AL$8:AL$28,$BG$33:$BG$53,$BL97)*节奏总纲!K94+BM96</f>
        <v>0</v>
      </c>
      <c r="BN97" s="32">
        <f>求节点(村县营基础信息!AM$8:AM$28,$BG$33:$BG$53,$BL97)*节奏总纲!L94+BN96</f>
        <v>0</v>
      </c>
      <c r="BO97" s="32">
        <f>求节点(村县营基础信息!AN$8:AN$28,$BG$33:$BG$53,$BL97)*节奏总纲!M94+BO96</f>
        <v>0</v>
      </c>
      <c r="BP97" s="32">
        <f>求节点(村县营基础信息!AO$8:AO$28,$BG$33:$BG$53,$BL97)*节奏总纲!N94+BP96</f>
        <v>0</v>
      </c>
      <c r="BQ97" s="32">
        <f>求节点(村县营基础信息!AP$8:AP$28,$BG$33:$BG$53,$BL97)*节奏总纲!O94+BQ96</f>
        <v>0</v>
      </c>
    </row>
    <row r="98" spans="13:69" x14ac:dyDescent="0.15">
      <c r="M98" s="29">
        <v>92</v>
      </c>
      <c r="N98" s="32">
        <f>求节点(村县营基础信息!K$8:K$28,$I$33:$I$53,$M98)*节奏总纲!K95+N97</f>
        <v>0</v>
      </c>
      <c r="O98" s="32">
        <f>求节点(村县营基础信息!L$8:L$28,$I$33:$I$53,$M98)*节奏总纲!L95+O97</f>
        <v>0</v>
      </c>
      <c r="P98" s="32">
        <f>求节点(村县营基础信息!M$8:M$28,$I$33:$I$53,$M98)*节奏总纲!M95+P97</f>
        <v>0</v>
      </c>
      <c r="Q98" s="32">
        <f>求节点(村县营基础信息!N$8:N$28,$I$33:$I$53,$M98)*节奏总纲!N95+Q97</f>
        <v>0</v>
      </c>
      <c r="R98" s="32">
        <f>求节点(村县营基础信息!O$8:O$28,$I$33:$I$53,$M98)*节奏总纲!O95+R97</f>
        <v>0</v>
      </c>
      <c r="AC98" s="29">
        <v>92</v>
      </c>
      <c r="AD98" s="32">
        <f>求节点(村县营基础信息!T$8:T$28,$Y$33:$Y$53,$AC98)*节奏总纲!K95*(1+$B$10)+AD97</f>
        <v>0</v>
      </c>
      <c r="AE98" s="32">
        <f>求节点(村县营基础信息!U$8:U$28,$Y$33:$Y$53,$AC98)*节奏总纲!L95*(1+$B$10)+AE97</f>
        <v>0</v>
      </c>
      <c r="AF98" s="32">
        <f>求节点(村县营基础信息!V$8:V$28,$Y$33:$Y$53,$AC98)*节奏总纲!M95*(1+$B$10)+AF97</f>
        <v>0</v>
      </c>
      <c r="AG98" s="32">
        <f>求节点(村县营基础信息!W$8:W$28,$Y$33:$Y$53,$AC98)*节奏总纲!N95*(1+$B$10)+AG97</f>
        <v>0</v>
      </c>
      <c r="AH98" s="32">
        <f>求节点(村县营基础信息!X$8:X$28,$Y$33:$Y$53,$AC98)*节奏总纲!O95*(1+$B$10)+AH97</f>
        <v>0</v>
      </c>
      <c r="AR98" s="29">
        <f>AT98/[2]节奏总纲!D95</f>
        <v>0</v>
      </c>
      <c r="AS98" s="29">
        <v>92</v>
      </c>
      <c r="AT98" s="32">
        <f>求节点(村县营基础信息!AC$8:AC$28,$AN$33:$AN$53,$AS98)*节奏总纲!K95+AT97</f>
        <v>0</v>
      </c>
      <c r="AU98" s="32">
        <f>求节点(村县营基础信息!AD$8:AD$28,$AN$33:$AN$53,$AS98)*节奏总纲!L95+AU97</f>
        <v>0</v>
      </c>
      <c r="AV98" s="32">
        <f>求节点(村县营基础信息!AE$8:AE$28,$AN$33:$AN$53,$AS98)*节奏总纲!M95+AV97</f>
        <v>0</v>
      </c>
      <c r="AW98" s="32">
        <f>求节点(村县营基础信息!AF$8:AF$28,$AN$33:$AN$53,$AS98)*节奏总纲!N95+AW97</f>
        <v>0</v>
      </c>
      <c r="AX98" s="32">
        <f>求节点(村县营基础信息!AG$8:AG$28,$AN$33:$AN$53,$AS98)*节奏总纲!O95+AX97</f>
        <v>0</v>
      </c>
      <c r="BA98" s="29">
        <f>(AV98-AV97)/[2]节奏总纲!M95*'[1]功能-付费相关'!BB97</f>
        <v>0</v>
      </c>
      <c r="BL98" s="29">
        <v>92</v>
      </c>
      <c r="BM98" s="32">
        <f>求节点(村县营基础信息!AL$8:AL$28,$BG$33:$BG$53,$BL98)*节奏总纲!K95+BM97</f>
        <v>0</v>
      </c>
      <c r="BN98" s="32">
        <f>求节点(村县营基础信息!AM$8:AM$28,$BG$33:$BG$53,$BL98)*节奏总纲!L95+BN97</f>
        <v>0</v>
      </c>
      <c r="BO98" s="32">
        <f>求节点(村县营基础信息!AN$8:AN$28,$BG$33:$BG$53,$BL98)*节奏总纲!M95+BO97</f>
        <v>0</v>
      </c>
      <c r="BP98" s="32">
        <f>求节点(村县营基础信息!AO$8:AO$28,$BG$33:$BG$53,$BL98)*节奏总纲!N95+BP97</f>
        <v>0</v>
      </c>
      <c r="BQ98" s="32">
        <f>求节点(村县营基础信息!AP$8:AP$28,$BG$33:$BG$53,$BL98)*节奏总纲!O95+BQ97</f>
        <v>0</v>
      </c>
    </row>
    <row r="99" spans="13:69" x14ac:dyDescent="0.15">
      <c r="M99" s="29">
        <v>93</v>
      </c>
      <c r="N99" s="32">
        <f>求节点(村县营基础信息!K$8:K$28,$I$33:$I$53,$M99)*节奏总纲!K96+N98</f>
        <v>0</v>
      </c>
      <c r="O99" s="32">
        <f>求节点(村县营基础信息!L$8:L$28,$I$33:$I$53,$M99)*节奏总纲!L96+O98</f>
        <v>0</v>
      </c>
      <c r="P99" s="32">
        <f>求节点(村县营基础信息!M$8:M$28,$I$33:$I$53,$M99)*节奏总纲!M96+P98</f>
        <v>0</v>
      </c>
      <c r="Q99" s="32">
        <f>求节点(村县营基础信息!N$8:N$28,$I$33:$I$53,$M99)*节奏总纲!N96+Q98</f>
        <v>0</v>
      </c>
      <c r="R99" s="32">
        <f>求节点(村县营基础信息!O$8:O$28,$I$33:$I$53,$M99)*节奏总纲!O96+R98</f>
        <v>0</v>
      </c>
      <c r="AC99" s="29">
        <v>93</v>
      </c>
      <c r="AD99" s="32">
        <f>求节点(村县营基础信息!T$8:T$28,$Y$33:$Y$53,$AC99)*节奏总纲!K96*(1+$B$10)+AD98</f>
        <v>0</v>
      </c>
      <c r="AE99" s="32">
        <f>求节点(村县营基础信息!U$8:U$28,$Y$33:$Y$53,$AC99)*节奏总纲!L96*(1+$B$10)+AE98</f>
        <v>0</v>
      </c>
      <c r="AF99" s="32">
        <f>求节点(村县营基础信息!V$8:V$28,$Y$33:$Y$53,$AC99)*节奏总纲!M96*(1+$B$10)+AF98</f>
        <v>0</v>
      </c>
      <c r="AG99" s="32">
        <f>求节点(村县营基础信息!W$8:W$28,$Y$33:$Y$53,$AC99)*节奏总纲!N96*(1+$B$10)+AG98</f>
        <v>0</v>
      </c>
      <c r="AH99" s="32">
        <f>求节点(村县营基础信息!X$8:X$28,$Y$33:$Y$53,$AC99)*节奏总纲!O96*(1+$B$10)+AH98</f>
        <v>0</v>
      </c>
      <c r="AR99" s="29">
        <f>AT99/[2]节奏总纲!D96</f>
        <v>0</v>
      </c>
      <c r="AS99" s="29">
        <v>93</v>
      </c>
      <c r="AT99" s="32">
        <f>求节点(村县营基础信息!AC$8:AC$28,$AN$33:$AN$53,$AS99)*节奏总纲!K96+AT98</f>
        <v>0</v>
      </c>
      <c r="AU99" s="32">
        <f>求节点(村县营基础信息!AD$8:AD$28,$AN$33:$AN$53,$AS99)*节奏总纲!L96+AU98</f>
        <v>0</v>
      </c>
      <c r="AV99" s="32">
        <f>求节点(村县营基础信息!AE$8:AE$28,$AN$33:$AN$53,$AS99)*节奏总纲!M96+AV98</f>
        <v>0</v>
      </c>
      <c r="AW99" s="32">
        <f>求节点(村县营基础信息!AF$8:AF$28,$AN$33:$AN$53,$AS99)*节奏总纲!N96+AW98</f>
        <v>0</v>
      </c>
      <c r="AX99" s="32">
        <f>求节点(村县营基础信息!AG$8:AG$28,$AN$33:$AN$53,$AS99)*节奏总纲!O96+AX98</f>
        <v>0</v>
      </c>
      <c r="BA99" s="29">
        <f>(AV99-AV98)/[2]节奏总纲!M96*'[1]功能-付费相关'!BB98</f>
        <v>0</v>
      </c>
      <c r="BL99" s="29">
        <v>93</v>
      </c>
      <c r="BM99" s="32">
        <f>求节点(村县营基础信息!AL$8:AL$28,$BG$33:$BG$53,$BL99)*节奏总纲!K96+BM98</f>
        <v>0</v>
      </c>
      <c r="BN99" s="32">
        <f>求节点(村县营基础信息!AM$8:AM$28,$BG$33:$BG$53,$BL99)*节奏总纲!L96+BN98</f>
        <v>0</v>
      </c>
      <c r="BO99" s="32">
        <f>求节点(村县营基础信息!AN$8:AN$28,$BG$33:$BG$53,$BL99)*节奏总纲!M96+BO98</f>
        <v>0</v>
      </c>
      <c r="BP99" s="32">
        <f>求节点(村县营基础信息!AO$8:AO$28,$BG$33:$BG$53,$BL99)*节奏总纲!N96+BP98</f>
        <v>0</v>
      </c>
      <c r="BQ99" s="32">
        <f>求节点(村县营基础信息!AP$8:AP$28,$BG$33:$BG$53,$BL99)*节奏总纲!O96+BQ98</f>
        <v>0</v>
      </c>
    </row>
    <row r="100" spans="13:69" x14ac:dyDescent="0.15">
      <c r="M100" s="29">
        <v>94</v>
      </c>
      <c r="N100" s="32">
        <f>求节点(村县营基础信息!K$8:K$28,$I$33:$I$53,$M100)*节奏总纲!K97+N99</f>
        <v>0</v>
      </c>
      <c r="O100" s="32">
        <f>求节点(村县营基础信息!L$8:L$28,$I$33:$I$53,$M100)*节奏总纲!L97+O99</f>
        <v>0</v>
      </c>
      <c r="P100" s="32">
        <f>求节点(村县营基础信息!M$8:M$28,$I$33:$I$53,$M100)*节奏总纲!M97+P99</f>
        <v>0</v>
      </c>
      <c r="Q100" s="32">
        <f>求节点(村县营基础信息!N$8:N$28,$I$33:$I$53,$M100)*节奏总纲!N97+Q99</f>
        <v>0</v>
      </c>
      <c r="R100" s="32">
        <f>求节点(村县营基础信息!O$8:O$28,$I$33:$I$53,$M100)*节奏总纲!O97+R99</f>
        <v>0</v>
      </c>
      <c r="AC100" s="29">
        <v>94</v>
      </c>
      <c r="AD100" s="32">
        <f>求节点(村县营基础信息!T$8:T$28,$Y$33:$Y$53,$AC100)*节奏总纲!K97*(1+$B$10)+AD99</f>
        <v>0</v>
      </c>
      <c r="AE100" s="32">
        <f>求节点(村县营基础信息!U$8:U$28,$Y$33:$Y$53,$AC100)*节奏总纲!L97*(1+$B$10)+AE99</f>
        <v>0</v>
      </c>
      <c r="AF100" s="32">
        <f>求节点(村县营基础信息!V$8:V$28,$Y$33:$Y$53,$AC100)*节奏总纲!M97*(1+$B$10)+AF99</f>
        <v>0</v>
      </c>
      <c r="AG100" s="32">
        <f>求节点(村县营基础信息!W$8:W$28,$Y$33:$Y$53,$AC100)*节奏总纲!N97*(1+$B$10)+AG99</f>
        <v>0</v>
      </c>
      <c r="AH100" s="32">
        <f>求节点(村县营基础信息!X$8:X$28,$Y$33:$Y$53,$AC100)*节奏总纲!O97*(1+$B$10)+AH99</f>
        <v>0</v>
      </c>
      <c r="AR100" s="29">
        <f>AT100/[2]节奏总纲!D97</f>
        <v>0</v>
      </c>
      <c r="AS100" s="29">
        <v>94</v>
      </c>
      <c r="AT100" s="32">
        <f>求节点(村县营基础信息!AC$8:AC$28,$AN$33:$AN$53,$AS100)*节奏总纲!K97+AT99</f>
        <v>0</v>
      </c>
      <c r="AU100" s="32">
        <f>求节点(村县营基础信息!AD$8:AD$28,$AN$33:$AN$53,$AS100)*节奏总纲!L97+AU99</f>
        <v>0</v>
      </c>
      <c r="AV100" s="32">
        <f>求节点(村县营基础信息!AE$8:AE$28,$AN$33:$AN$53,$AS100)*节奏总纲!M97+AV99</f>
        <v>0</v>
      </c>
      <c r="AW100" s="32">
        <f>求节点(村县营基础信息!AF$8:AF$28,$AN$33:$AN$53,$AS100)*节奏总纲!N97+AW99</f>
        <v>0</v>
      </c>
      <c r="AX100" s="32">
        <f>求节点(村县营基础信息!AG$8:AG$28,$AN$33:$AN$53,$AS100)*节奏总纲!O97+AX99</f>
        <v>0</v>
      </c>
      <c r="BA100" s="29">
        <f>(AV100-AV99)/[2]节奏总纲!M97*'[1]功能-付费相关'!BB99</f>
        <v>0</v>
      </c>
      <c r="BL100" s="29">
        <v>94</v>
      </c>
      <c r="BM100" s="32">
        <f>求节点(村县营基础信息!AL$8:AL$28,$BG$33:$BG$53,$BL100)*节奏总纲!K97+BM99</f>
        <v>0</v>
      </c>
      <c r="BN100" s="32">
        <f>求节点(村县营基础信息!AM$8:AM$28,$BG$33:$BG$53,$BL100)*节奏总纲!L97+BN99</f>
        <v>0</v>
      </c>
      <c r="BO100" s="32">
        <f>求节点(村县营基础信息!AN$8:AN$28,$BG$33:$BG$53,$BL100)*节奏总纲!M97+BO99</f>
        <v>0</v>
      </c>
      <c r="BP100" s="32">
        <f>求节点(村县营基础信息!AO$8:AO$28,$BG$33:$BG$53,$BL100)*节奏总纲!N97+BP99</f>
        <v>0</v>
      </c>
      <c r="BQ100" s="32">
        <f>求节点(村县营基础信息!AP$8:AP$28,$BG$33:$BG$53,$BL100)*节奏总纲!O97+BQ99</f>
        <v>0</v>
      </c>
    </row>
    <row r="101" spans="13:69" x14ac:dyDescent="0.15">
      <c r="M101" s="29">
        <v>95</v>
      </c>
      <c r="N101" s="32">
        <f>求节点(村县营基础信息!K$8:K$28,$I$33:$I$53,$M101)*节奏总纲!K98+N100</f>
        <v>0</v>
      </c>
      <c r="O101" s="32">
        <f>求节点(村县营基础信息!L$8:L$28,$I$33:$I$53,$M101)*节奏总纲!L98+O100</f>
        <v>0</v>
      </c>
      <c r="P101" s="32">
        <f>求节点(村县营基础信息!M$8:M$28,$I$33:$I$53,$M101)*节奏总纲!M98+P100</f>
        <v>0</v>
      </c>
      <c r="Q101" s="32">
        <f>求节点(村县营基础信息!N$8:N$28,$I$33:$I$53,$M101)*节奏总纲!N98+Q100</f>
        <v>0</v>
      </c>
      <c r="R101" s="32">
        <f>求节点(村县营基础信息!O$8:O$28,$I$33:$I$53,$M101)*节奏总纲!O98+R100</f>
        <v>0</v>
      </c>
      <c r="AC101" s="29">
        <v>95</v>
      </c>
      <c r="AD101" s="32">
        <f>求节点(村县营基础信息!T$8:T$28,$Y$33:$Y$53,$AC101)*节奏总纲!K98*(1+$B$10)+AD100</f>
        <v>0</v>
      </c>
      <c r="AE101" s="32">
        <f>求节点(村县营基础信息!U$8:U$28,$Y$33:$Y$53,$AC101)*节奏总纲!L98*(1+$B$10)+AE100</f>
        <v>0</v>
      </c>
      <c r="AF101" s="32">
        <f>求节点(村县营基础信息!V$8:V$28,$Y$33:$Y$53,$AC101)*节奏总纲!M98*(1+$B$10)+AF100</f>
        <v>0</v>
      </c>
      <c r="AG101" s="32">
        <f>求节点(村县营基础信息!W$8:W$28,$Y$33:$Y$53,$AC101)*节奏总纲!N98*(1+$B$10)+AG100</f>
        <v>0</v>
      </c>
      <c r="AH101" s="32">
        <f>求节点(村县营基础信息!X$8:X$28,$Y$33:$Y$53,$AC101)*节奏总纲!O98*(1+$B$10)+AH100</f>
        <v>0</v>
      </c>
      <c r="AR101" s="29">
        <f>AT101/[2]节奏总纲!D98</f>
        <v>0</v>
      </c>
      <c r="AS101" s="29">
        <v>95</v>
      </c>
      <c r="AT101" s="32">
        <f>求节点(村县营基础信息!AC$8:AC$28,$AN$33:$AN$53,$AS101)*节奏总纲!K98+AT100</f>
        <v>0</v>
      </c>
      <c r="AU101" s="32">
        <f>求节点(村县营基础信息!AD$8:AD$28,$AN$33:$AN$53,$AS101)*节奏总纲!L98+AU100</f>
        <v>0</v>
      </c>
      <c r="AV101" s="32">
        <f>求节点(村县营基础信息!AE$8:AE$28,$AN$33:$AN$53,$AS101)*节奏总纲!M98+AV100</f>
        <v>0</v>
      </c>
      <c r="AW101" s="32">
        <f>求节点(村县营基础信息!AF$8:AF$28,$AN$33:$AN$53,$AS101)*节奏总纲!N98+AW100</f>
        <v>0</v>
      </c>
      <c r="AX101" s="32">
        <f>求节点(村县营基础信息!AG$8:AG$28,$AN$33:$AN$53,$AS101)*节奏总纲!O98+AX100</f>
        <v>0</v>
      </c>
      <c r="BA101" s="29">
        <f>(AV101-AV100)/[2]节奏总纲!M98*'[1]功能-付费相关'!BB100</f>
        <v>0</v>
      </c>
      <c r="BL101" s="29">
        <v>95</v>
      </c>
      <c r="BM101" s="32">
        <f>求节点(村县营基础信息!AL$8:AL$28,$BG$33:$BG$53,$BL101)*节奏总纲!K98+BM100</f>
        <v>0</v>
      </c>
      <c r="BN101" s="32">
        <f>求节点(村县营基础信息!AM$8:AM$28,$BG$33:$BG$53,$BL101)*节奏总纲!L98+BN100</f>
        <v>0</v>
      </c>
      <c r="BO101" s="32">
        <f>求节点(村县营基础信息!AN$8:AN$28,$BG$33:$BG$53,$BL101)*节奏总纲!M98+BO100</f>
        <v>0</v>
      </c>
      <c r="BP101" s="32">
        <f>求节点(村县营基础信息!AO$8:AO$28,$BG$33:$BG$53,$BL101)*节奏总纲!N98+BP100</f>
        <v>0</v>
      </c>
      <c r="BQ101" s="32">
        <f>求节点(村县营基础信息!AP$8:AP$28,$BG$33:$BG$53,$BL101)*节奏总纲!O98+BQ100</f>
        <v>0</v>
      </c>
    </row>
    <row r="102" spans="13:69" x14ac:dyDescent="0.15">
      <c r="M102" s="29">
        <v>96</v>
      </c>
      <c r="N102" s="32">
        <f>求节点(村县营基础信息!K$8:K$28,$I$33:$I$53,$M102)*节奏总纲!K99+N101</f>
        <v>0</v>
      </c>
      <c r="O102" s="32">
        <f>求节点(村县营基础信息!L$8:L$28,$I$33:$I$53,$M102)*节奏总纲!L99+O101</f>
        <v>0</v>
      </c>
      <c r="P102" s="32">
        <f>求节点(村县营基础信息!M$8:M$28,$I$33:$I$53,$M102)*节奏总纲!M99+P101</f>
        <v>0</v>
      </c>
      <c r="Q102" s="32">
        <f>求节点(村县营基础信息!N$8:N$28,$I$33:$I$53,$M102)*节奏总纲!N99+Q101</f>
        <v>0</v>
      </c>
      <c r="R102" s="32">
        <f>求节点(村县营基础信息!O$8:O$28,$I$33:$I$53,$M102)*节奏总纲!O99+R101</f>
        <v>0</v>
      </c>
      <c r="AC102" s="29">
        <v>96</v>
      </c>
      <c r="AD102" s="32">
        <f>求节点(村县营基础信息!T$8:T$28,$Y$33:$Y$53,$AC102)*节奏总纲!K99*(1+$B$10)+AD101</f>
        <v>0</v>
      </c>
      <c r="AE102" s="32">
        <f>求节点(村县营基础信息!U$8:U$28,$Y$33:$Y$53,$AC102)*节奏总纲!L99*(1+$B$10)+AE101</f>
        <v>0</v>
      </c>
      <c r="AF102" s="32">
        <f>求节点(村县营基础信息!V$8:V$28,$Y$33:$Y$53,$AC102)*节奏总纲!M99*(1+$B$10)+AF101</f>
        <v>0</v>
      </c>
      <c r="AG102" s="32">
        <f>求节点(村县营基础信息!W$8:W$28,$Y$33:$Y$53,$AC102)*节奏总纲!N99*(1+$B$10)+AG101</f>
        <v>0</v>
      </c>
      <c r="AH102" s="32">
        <f>求节点(村县营基础信息!X$8:X$28,$Y$33:$Y$53,$AC102)*节奏总纲!O99*(1+$B$10)+AH101</f>
        <v>0</v>
      </c>
      <c r="AR102" s="29">
        <f>AT102/[2]节奏总纲!D99</f>
        <v>0</v>
      </c>
      <c r="AS102" s="29">
        <v>96</v>
      </c>
      <c r="AT102" s="32">
        <f>求节点(村县营基础信息!AC$8:AC$28,$AN$33:$AN$53,$AS102)*节奏总纲!K99+AT101</f>
        <v>0</v>
      </c>
      <c r="AU102" s="32">
        <f>求节点(村县营基础信息!AD$8:AD$28,$AN$33:$AN$53,$AS102)*节奏总纲!L99+AU101</f>
        <v>0</v>
      </c>
      <c r="AV102" s="32">
        <f>求节点(村县营基础信息!AE$8:AE$28,$AN$33:$AN$53,$AS102)*节奏总纲!M99+AV101</f>
        <v>0</v>
      </c>
      <c r="AW102" s="32">
        <f>求节点(村县营基础信息!AF$8:AF$28,$AN$33:$AN$53,$AS102)*节奏总纲!N99+AW101</f>
        <v>0</v>
      </c>
      <c r="AX102" s="32">
        <f>求节点(村县营基础信息!AG$8:AG$28,$AN$33:$AN$53,$AS102)*节奏总纲!O99+AX101</f>
        <v>0</v>
      </c>
      <c r="BA102" s="29">
        <f>(AV102-AV101)/[2]节奏总纲!M99*'[1]功能-付费相关'!BB101</f>
        <v>0</v>
      </c>
      <c r="BL102" s="29">
        <v>96</v>
      </c>
      <c r="BM102" s="32">
        <f>求节点(村县营基础信息!AL$8:AL$28,$BG$33:$BG$53,$BL102)*节奏总纲!K99+BM101</f>
        <v>0</v>
      </c>
      <c r="BN102" s="32">
        <f>求节点(村县营基础信息!AM$8:AM$28,$BG$33:$BG$53,$BL102)*节奏总纲!L99+BN101</f>
        <v>0</v>
      </c>
      <c r="BO102" s="32">
        <f>求节点(村县营基础信息!AN$8:AN$28,$BG$33:$BG$53,$BL102)*节奏总纲!M99+BO101</f>
        <v>0</v>
      </c>
      <c r="BP102" s="32">
        <f>求节点(村县营基础信息!AO$8:AO$28,$BG$33:$BG$53,$BL102)*节奏总纲!N99+BP101</f>
        <v>0</v>
      </c>
      <c r="BQ102" s="32">
        <f>求节点(村县营基础信息!AP$8:AP$28,$BG$33:$BG$53,$BL102)*节奏总纲!O99+BQ101</f>
        <v>0</v>
      </c>
    </row>
    <row r="103" spans="13:69" x14ac:dyDescent="0.15">
      <c r="M103" s="29">
        <v>97</v>
      </c>
      <c r="N103" s="32">
        <f>求节点(村县营基础信息!K$8:K$28,$I$33:$I$53,$M103)*节奏总纲!K100+N102</f>
        <v>0</v>
      </c>
      <c r="O103" s="32">
        <f>求节点(村县营基础信息!L$8:L$28,$I$33:$I$53,$M103)*节奏总纲!L100+O102</f>
        <v>0</v>
      </c>
      <c r="P103" s="32">
        <f>求节点(村县营基础信息!M$8:M$28,$I$33:$I$53,$M103)*节奏总纲!M100+P102</f>
        <v>0</v>
      </c>
      <c r="Q103" s="32">
        <f>求节点(村县营基础信息!N$8:N$28,$I$33:$I$53,$M103)*节奏总纲!N100+Q102</f>
        <v>0</v>
      </c>
      <c r="R103" s="32">
        <f>求节点(村县营基础信息!O$8:O$28,$I$33:$I$53,$M103)*节奏总纲!O100+R102</f>
        <v>0</v>
      </c>
      <c r="AC103" s="29">
        <v>97</v>
      </c>
      <c r="AD103" s="32">
        <f>求节点(村县营基础信息!T$8:T$28,$Y$33:$Y$53,$AC103)*节奏总纲!K100*(1+$B$10)+AD102</f>
        <v>0</v>
      </c>
      <c r="AE103" s="32">
        <f>求节点(村县营基础信息!U$8:U$28,$Y$33:$Y$53,$AC103)*节奏总纲!L100*(1+$B$10)+AE102</f>
        <v>0</v>
      </c>
      <c r="AF103" s="32">
        <f>求节点(村县营基础信息!V$8:V$28,$Y$33:$Y$53,$AC103)*节奏总纲!M100*(1+$B$10)+AF102</f>
        <v>0</v>
      </c>
      <c r="AG103" s="32">
        <f>求节点(村县营基础信息!W$8:W$28,$Y$33:$Y$53,$AC103)*节奏总纲!N100*(1+$B$10)+AG102</f>
        <v>0</v>
      </c>
      <c r="AH103" s="32">
        <f>求节点(村县营基础信息!X$8:X$28,$Y$33:$Y$53,$AC103)*节奏总纲!O100*(1+$B$10)+AH102</f>
        <v>0</v>
      </c>
      <c r="AR103" s="29">
        <f>AT103/[2]节奏总纲!D100</f>
        <v>0</v>
      </c>
      <c r="AS103" s="29">
        <v>97</v>
      </c>
      <c r="AT103" s="32">
        <f>求节点(村县营基础信息!AC$8:AC$28,$AN$33:$AN$53,$AS103)*节奏总纲!K100+AT102</f>
        <v>0</v>
      </c>
      <c r="AU103" s="32">
        <f>求节点(村县营基础信息!AD$8:AD$28,$AN$33:$AN$53,$AS103)*节奏总纲!L100+AU102</f>
        <v>0</v>
      </c>
      <c r="AV103" s="32">
        <f>求节点(村县营基础信息!AE$8:AE$28,$AN$33:$AN$53,$AS103)*节奏总纲!M100+AV102</f>
        <v>0</v>
      </c>
      <c r="AW103" s="32">
        <f>求节点(村县营基础信息!AF$8:AF$28,$AN$33:$AN$53,$AS103)*节奏总纲!N100+AW102</f>
        <v>0</v>
      </c>
      <c r="AX103" s="32">
        <f>求节点(村县营基础信息!AG$8:AG$28,$AN$33:$AN$53,$AS103)*节奏总纲!O100+AX102</f>
        <v>0</v>
      </c>
      <c r="BA103" s="29">
        <f>(AV103-AV102)/[2]节奏总纲!M100*'[1]功能-付费相关'!BB102</f>
        <v>0</v>
      </c>
      <c r="BL103" s="29">
        <v>97</v>
      </c>
      <c r="BM103" s="32">
        <f>求节点(村县营基础信息!AL$8:AL$28,$BG$33:$BG$53,$BL103)*节奏总纲!K100+BM102</f>
        <v>0</v>
      </c>
      <c r="BN103" s="32">
        <f>求节点(村县营基础信息!AM$8:AM$28,$BG$33:$BG$53,$BL103)*节奏总纲!L100+BN102</f>
        <v>0</v>
      </c>
      <c r="BO103" s="32">
        <f>求节点(村县营基础信息!AN$8:AN$28,$BG$33:$BG$53,$BL103)*节奏总纲!M100+BO102</f>
        <v>0</v>
      </c>
      <c r="BP103" s="32">
        <f>求节点(村县营基础信息!AO$8:AO$28,$BG$33:$BG$53,$BL103)*节奏总纲!N100+BP102</f>
        <v>0</v>
      </c>
      <c r="BQ103" s="32">
        <f>求节点(村县营基础信息!AP$8:AP$28,$BG$33:$BG$53,$BL103)*节奏总纲!O100+BQ102</f>
        <v>0</v>
      </c>
    </row>
    <row r="104" spans="13:69" x14ac:dyDescent="0.15">
      <c r="M104" s="29">
        <v>98</v>
      </c>
      <c r="N104" s="32">
        <f>求节点(村县营基础信息!K$8:K$28,$I$33:$I$53,$M104)*节奏总纲!K101+N103</f>
        <v>0</v>
      </c>
      <c r="O104" s="32">
        <f>求节点(村县营基础信息!L$8:L$28,$I$33:$I$53,$M104)*节奏总纲!L101+O103</f>
        <v>0</v>
      </c>
      <c r="P104" s="32">
        <f>求节点(村县营基础信息!M$8:M$28,$I$33:$I$53,$M104)*节奏总纲!M101+P103</f>
        <v>0</v>
      </c>
      <c r="Q104" s="32">
        <f>求节点(村县营基础信息!N$8:N$28,$I$33:$I$53,$M104)*节奏总纲!N101+Q103</f>
        <v>0</v>
      </c>
      <c r="R104" s="32">
        <f>求节点(村县营基础信息!O$8:O$28,$I$33:$I$53,$M104)*节奏总纲!O101+R103</f>
        <v>0</v>
      </c>
      <c r="AC104" s="29">
        <v>98</v>
      </c>
      <c r="AD104" s="32">
        <f>求节点(村县营基础信息!T$8:T$28,$Y$33:$Y$53,$AC104)*节奏总纲!K101*(1+$B$10)+AD103</f>
        <v>0</v>
      </c>
      <c r="AE104" s="32">
        <f>求节点(村县营基础信息!U$8:U$28,$Y$33:$Y$53,$AC104)*节奏总纲!L101*(1+$B$10)+AE103</f>
        <v>0</v>
      </c>
      <c r="AF104" s="32">
        <f>求节点(村县营基础信息!V$8:V$28,$Y$33:$Y$53,$AC104)*节奏总纲!M101*(1+$B$10)+AF103</f>
        <v>0</v>
      </c>
      <c r="AG104" s="32">
        <f>求节点(村县营基础信息!W$8:W$28,$Y$33:$Y$53,$AC104)*节奏总纲!N101*(1+$B$10)+AG103</f>
        <v>0</v>
      </c>
      <c r="AH104" s="32">
        <f>求节点(村县营基础信息!X$8:X$28,$Y$33:$Y$53,$AC104)*节奏总纲!O101*(1+$B$10)+AH103</f>
        <v>0</v>
      </c>
      <c r="AR104" s="29">
        <f>AT104/[2]节奏总纲!D101</f>
        <v>0</v>
      </c>
      <c r="AS104" s="29">
        <v>98</v>
      </c>
      <c r="AT104" s="32">
        <f>求节点(村县营基础信息!AC$8:AC$28,$AN$33:$AN$53,$AS104)*节奏总纲!K101+AT103</f>
        <v>0</v>
      </c>
      <c r="AU104" s="32">
        <f>求节点(村县营基础信息!AD$8:AD$28,$AN$33:$AN$53,$AS104)*节奏总纲!L101+AU103</f>
        <v>0</v>
      </c>
      <c r="AV104" s="32">
        <f>求节点(村县营基础信息!AE$8:AE$28,$AN$33:$AN$53,$AS104)*节奏总纲!M101+AV103</f>
        <v>0</v>
      </c>
      <c r="AW104" s="32">
        <f>求节点(村县营基础信息!AF$8:AF$28,$AN$33:$AN$53,$AS104)*节奏总纲!N101+AW103</f>
        <v>0</v>
      </c>
      <c r="AX104" s="32">
        <f>求节点(村县营基础信息!AG$8:AG$28,$AN$33:$AN$53,$AS104)*节奏总纲!O101+AX103</f>
        <v>0</v>
      </c>
      <c r="BA104" s="29">
        <f>(AV104-AV103)/[2]节奏总纲!M101*'[1]功能-付费相关'!BB103</f>
        <v>0</v>
      </c>
      <c r="BL104" s="29">
        <v>98</v>
      </c>
      <c r="BM104" s="32">
        <f>求节点(村县营基础信息!AL$8:AL$28,$BG$33:$BG$53,$BL104)*节奏总纲!K101+BM103</f>
        <v>0</v>
      </c>
      <c r="BN104" s="32">
        <f>求节点(村县营基础信息!AM$8:AM$28,$BG$33:$BG$53,$BL104)*节奏总纲!L101+BN103</f>
        <v>0</v>
      </c>
      <c r="BO104" s="32">
        <f>求节点(村县营基础信息!AN$8:AN$28,$BG$33:$BG$53,$BL104)*节奏总纲!M101+BO103</f>
        <v>0</v>
      </c>
      <c r="BP104" s="32">
        <f>求节点(村县营基础信息!AO$8:AO$28,$BG$33:$BG$53,$BL104)*节奏总纲!N101+BP103</f>
        <v>0</v>
      </c>
      <c r="BQ104" s="32">
        <f>求节点(村县营基础信息!AP$8:AP$28,$BG$33:$BG$53,$BL104)*节奏总纲!O101+BQ103</f>
        <v>0</v>
      </c>
    </row>
    <row r="105" spans="13:69" x14ac:dyDescent="0.15">
      <c r="M105" s="29">
        <v>99</v>
      </c>
      <c r="N105" s="32">
        <f>求节点(村县营基础信息!K$8:K$28,$I$33:$I$53,$M105)*节奏总纲!K102+N104</f>
        <v>0</v>
      </c>
      <c r="O105" s="32">
        <f>求节点(村县营基础信息!L$8:L$28,$I$33:$I$53,$M105)*节奏总纲!L102+O104</f>
        <v>0</v>
      </c>
      <c r="P105" s="32">
        <f>求节点(村县营基础信息!M$8:M$28,$I$33:$I$53,$M105)*节奏总纲!M102+P104</f>
        <v>0</v>
      </c>
      <c r="Q105" s="32">
        <f>求节点(村县营基础信息!N$8:N$28,$I$33:$I$53,$M105)*节奏总纲!N102+Q104</f>
        <v>0</v>
      </c>
      <c r="R105" s="32">
        <f>求节点(村县营基础信息!O$8:O$28,$I$33:$I$53,$M105)*节奏总纲!O102+R104</f>
        <v>0</v>
      </c>
      <c r="AC105" s="29">
        <v>99</v>
      </c>
      <c r="AD105" s="32">
        <f>求节点(村县营基础信息!T$8:T$28,$Y$33:$Y$53,$AC105)*节奏总纲!K102*(1+$B$10)+AD104</f>
        <v>0</v>
      </c>
      <c r="AE105" s="32">
        <f>求节点(村县营基础信息!U$8:U$28,$Y$33:$Y$53,$AC105)*节奏总纲!L102*(1+$B$10)+AE104</f>
        <v>0</v>
      </c>
      <c r="AF105" s="32">
        <f>求节点(村县营基础信息!V$8:V$28,$Y$33:$Y$53,$AC105)*节奏总纲!M102*(1+$B$10)+AF104</f>
        <v>0</v>
      </c>
      <c r="AG105" s="32">
        <f>求节点(村县营基础信息!W$8:W$28,$Y$33:$Y$53,$AC105)*节奏总纲!N102*(1+$B$10)+AG104</f>
        <v>0</v>
      </c>
      <c r="AH105" s="32">
        <f>求节点(村县营基础信息!X$8:X$28,$Y$33:$Y$53,$AC105)*节奏总纲!O102*(1+$B$10)+AH104</f>
        <v>0</v>
      </c>
      <c r="AR105" s="29">
        <f>AT105/[2]节奏总纲!D102</f>
        <v>0</v>
      </c>
      <c r="AS105" s="29">
        <v>99</v>
      </c>
      <c r="AT105" s="32">
        <f>求节点(村县营基础信息!AC$8:AC$28,$AN$33:$AN$53,$AS105)*节奏总纲!K102+AT104</f>
        <v>0</v>
      </c>
      <c r="AU105" s="32">
        <f>求节点(村县营基础信息!AD$8:AD$28,$AN$33:$AN$53,$AS105)*节奏总纲!L102+AU104</f>
        <v>0</v>
      </c>
      <c r="AV105" s="32">
        <f>求节点(村县营基础信息!AE$8:AE$28,$AN$33:$AN$53,$AS105)*节奏总纲!M102+AV104</f>
        <v>0</v>
      </c>
      <c r="AW105" s="32">
        <f>求节点(村县营基础信息!AF$8:AF$28,$AN$33:$AN$53,$AS105)*节奏总纲!N102+AW104</f>
        <v>0</v>
      </c>
      <c r="AX105" s="32">
        <f>求节点(村县营基础信息!AG$8:AG$28,$AN$33:$AN$53,$AS105)*节奏总纲!O102+AX104</f>
        <v>0</v>
      </c>
      <c r="BA105" s="29">
        <f>(AV105-AV104)/[2]节奏总纲!M102*'[1]功能-付费相关'!BB104</f>
        <v>0</v>
      </c>
      <c r="BL105" s="29">
        <v>99</v>
      </c>
      <c r="BM105" s="32">
        <f>求节点(村县营基础信息!AL$8:AL$28,$BG$33:$BG$53,$BL105)*节奏总纲!K102+BM104</f>
        <v>0</v>
      </c>
      <c r="BN105" s="32">
        <f>求节点(村县营基础信息!AM$8:AM$28,$BG$33:$BG$53,$BL105)*节奏总纲!L102+BN104</f>
        <v>0</v>
      </c>
      <c r="BO105" s="32">
        <f>求节点(村县营基础信息!AN$8:AN$28,$BG$33:$BG$53,$BL105)*节奏总纲!M102+BO104</f>
        <v>0</v>
      </c>
      <c r="BP105" s="32">
        <f>求节点(村县营基础信息!AO$8:AO$28,$BG$33:$BG$53,$BL105)*节奏总纲!N102+BP104</f>
        <v>0</v>
      </c>
      <c r="BQ105" s="32">
        <f>求节点(村县营基础信息!AP$8:AP$28,$BG$33:$BG$53,$BL105)*节奏总纲!O102+BQ104</f>
        <v>0</v>
      </c>
    </row>
    <row r="106" spans="13:69" x14ac:dyDescent="0.15">
      <c r="M106" s="29">
        <v>100</v>
      </c>
      <c r="N106" s="32">
        <f>求节点(村县营基础信息!K$8:K$28,$I$33:$I$53,$M106)*节奏总纲!K103+N105</f>
        <v>0</v>
      </c>
      <c r="O106" s="32">
        <f>求节点(村县营基础信息!L$8:L$28,$I$33:$I$53,$M106)*节奏总纲!L103+O105</f>
        <v>0</v>
      </c>
      <c r="P106" s="32">
        <f>求节点(村县营基础信息!M$8:M$28,$I$33:$I$53,$M106)*节奏总纲!M103+P105</f>
        <v>0</v>
      </c>
      <c r="Q106" s="32">
        <f>求节点(村县营基础信息!N$8:N$28,$I$33:$I$53,$M106)*节奏总纲!N103+Q105</f>
        <v>0</v>
      </c>
      <c r="R106" s="32">
        <f>求节点(村县营基础信息!O$8:O$28,$I$33:$I$53,$M106)*节奏总纲!O103+R105</f>
        <v>0</v>
      </c>
      <c r="AC106" s="29">
        <v>100</v>
      </c>
      <c r="AD106" s="32">
        <f>求节点(村县营基础信息!T$8:T$28,$Y$33:$Y$53,$AC106)*节奏总纲!K103*(1+$B$10)+AD105</f>
        <v>0</v>
      </c>
      <c r="AE106" s="32">
        <f>求节点(村县营基础信息!U$8:U$28,$Y$33:$Y$53,$AC106)*节奏总纲!L103*(1+$B$10)+AE105</f>
        <v>0</v>
      </c>
      <c r="AF106" s="32">
        <f>求节点(村县营基础信息!V$8:V$28,$Y$33:$Y$53,$AC106)*节奏总纲!M103*(1+$B$10)+AF105</f>
        <v>0</v>
      </c>
      <c r="AG106" s="32">
        <f>求节点(村县营基础信息!W$8:W$28,$Y$33:$Y$53,$AC106)*节奏总纲!N103*(1+$B$10)+AG105</f>
        <v>0</v>
      </c>
      <c r="AH106" s="32">
        <f>求节点(村县营基础信息!X$8:X$28,$Y$33:$Y$53,$AC106)*节奏总纲!O103*(1+$B$10)+AH105</f>
        <v>0</v>
      </c>
      <c r="AR106" s="29">
        <f>AT106/[2]节奏总纲!D103</f>
        <v>0</v>
      </c>
      <c r="AS106" s="29">
        <v>100</v>
      </c>
      <c r="AT106" s="32">
        <f>求节点(村县营基础信息!AC$8:AC$28,$AN$33:$AN$53,$AS106)*节奏总纲!K103+AT105</f>
        <v>0</v>
      </c>
      <c r="AU106" s="32">
        <f>求节点(村县营基础信息!AD$8:AD$28,$AN$33:$AN$53,$AS106)*节奏总纲!L103+AU105</f>
        <v>0</v>
      </c>
      <c r="AV106" s="32">
        <f>求节点(村县营基础信息!AE$8:AE$28,$AN$33:$AN$53,$AS106)*节奏总纲!M103+AV105</f>
        <v>0</v>
      </c>
      <c r="AW106" s="32">
        <f>求节点(村县营基础信息!AF$8:AF$28,$AN$33:$AN$53,$AS106)*节奏总纲!N103+AW105</f>
        <v>0</v>
      </c>
      <c r="AX106" s="32">
        <f>求节点(村县营基础信息!AG$8:AG$28,$AN$33:$AN$53,$AS106)*节奏总纲!O103+AX105</f>
        <v>0</v>
      </c>
      <c r="BA106" s="29">
        <f>(AV106-AV105)/[2]节奏总纲!M103*'[1]功能-付费相关'!BB105</f>
        <v>0</v>
      </c>
      <c r="BL106" s="29">
        <v>100</v>
      </c>
      <c r="BM106" s="32">
        <f>求节点(村县营基础信息!AL$8:AL$28,$BG$33:$BG$53,$BL106)*节奏总纲!K103+BM105</f>
        <v>0</v>
      </c>
      <c r="BN106" s="32">
        <f>求节点(村县营基础信息!AM$8:AM$28,$BG$33:$BG$53,$BL106)*节奏总纲!L103+BN105</f>
        <v>0</v>
      </c>
      <c r="BO106" s="32">
        <f>求节点(村县营基础信息!AN$8:AN$28,$BG$33:$BG$53,$BL106)*节奏总纲!M103+BO105</f>
        <v>0</v>
      </c>
      <c r="BP106" s="32">
        <f>求节点(村县营基础信息!AO$8:AO$28,$BG$33:$BG$53,$BL106)*节奏总纲!N103+BP105</f>
        <v>0</v>
      </c>
      <c r="BQ106" s="32">
        <f>求节点(村县营基础信息!AP$8:AP$28,$BG$33:$BG$53,$BL106)*节奏总纲!O103+BQ105</f>
        <v>0</v>
      </c>
    </row>
    <row r="107" spans="13:69" x14ac:dyDescent="0.15">
      <c r="M107" s="29">
        <v>101</v>
      </c>
      <c r="N107" s="32">
        <f>求节点(村县营基础信息!K$8:K$28,$I$33:$I$53,$M107)*节奏总纲!K104+N106</f>
        <v>0</v>
      </c>
      <c r="O107" s="32">
        <f>求节点(村县营基础信息!L$8:L$28,$I$33:$I$53,$M107)*节奏总纲!L104+O106</f>
        <v>0</v>
      </c>
      <c r="P107" s="32">
        <f>求节点(村县营基础信息!M$8:M$28,$I$33:$I$53,$M107)*节奏总纲!M104+P106</f>
        <v>0</v>
      </c>
      <c r="Q107" s="32">
        <f>求节点(村县营基础信息!N$8:N$28,$I$33:$I$53,$M107)*节奏总纲!N104+Q106</f>
        <v>0</v>
      </c>
      <c r="R107" s="32">
        <f>求节点(村县营基础信息!O$8:O$28,$I$33:$I$53,$M107)*节奏总纲!O104+R106</f>
        <v>0</v>
      </c>
      <c r="AC107" s="29">
        <v>101</v>
      </c>
      <c r="AD107" s="32">
        <f>求节点(村县营基础信息!T$8:T$28,$Y$33:$Y$53,$AC107)*节奏总纲!K104*(1+$B$10)+AD106</f>
        <v>0</v>
      </c>
      <c r="AE107" s="32">
        <f>求节点(村县营基础信息!U$8:U$28,$Y$33:$Y$53,$AC107)*节奏总纲!L104*(1+$B$10)+AE106</f>
        <v>0</v>
      </c>
      <c r="AF107" s="32">
        <f>求节点(村县营基础信息!V$8:V$28,$Y$33:$Y$53,$AC107)*节奏总纲!M104*(1+$B$10)+AF106</f>
        <v>0</v>
      </c>
      <c r="AG107" s="32">
        <f>求节点(村县营基础信息!W$8:W$28,$Y$33:$Y$53,$AC107)*节奏总纲!N104*(1+$B$10)+AG106</f>
        <v>0</v>
      </c>
      <c r="AH107" s="32">
        <f>求节点(村县营基础信息!X$8:X$28,$Y$33:$Y$53,$AC107)*节奏总纲!O104*(1+$B$10)+AH106</f>
        <v>0</v>
      </c>
      <c r="AR107" s="29">
        <f>AT107/[2]节奏总纲!D104</f>
        <v>0</v>
      </c>
      <c r="AS107" s="29">
        <v>101</v>
      </c>
      <c r="AT107" s="32">
        <f>求节点(村县营基础信息!AC$8:AC$28,$AN$33:$AN$53,$AS107)*节奏总纲!K104+AT106</f>
        <v>0</v>
      </c>
      <c r="AU107" s="32">
        <f>求节点(村县营基础信息!AD$8:AD$28,$AN$33:$AN$53,$AS107)*节奏总纲!L104+AU106</f>
        <v>0</v>
      </c>
      <c r="AV107" s="32">
        <f>求节点(村县营基础信息!AE$8:AE$28,$AN$33:$AN$53,$AS107)*节奏总纲!M104+AV106</f>
        <v>0</v>
      </c>
      <c r="AW107" s="32">
        <f>求节点(村县营基础信息!AF$8:AF$28,$AN$33:$AN$53,$AS107)*节奏总纲!N104+AW106</f>
        <v>0</v>
      </c>
      <c r="AX107" s="32">
        <f>求节点(村县营基础信息!AG$8:AG$28,$AN$33:$AN$53,$AS107)*节奏总纲!O104+AX106</f>
        <v>0</v>
      </c>
      <c r="BA107" s="29">
        <f>(AV107-AV106)/[2]节奏总纲!M104*'[1]功能-付费相关'!BB106</f>
        <v>0</v>
      </c>
      <c r="BL107" s="29">
        <v>101</v>
      </c>
      <c r="BM107" s="32">
        <f>求节点(村县营基础信息!AL$8:AL$28,$BG$33:$BG$53,$BL107)*节奏总纲!K104+BM106</f>
        <v>0</v>
      </c>
      <c r="BN107" s="32">
        <f>求节点(村县营基础信息!AM$8:AM$28,$BG$33:$BG$53,$BL107)*节奏总纲!L104+BN106</f>
        <v>0</v>
      </c>
      <c r="BO107" s="32">
        <f>求节点(村县营基础信息!AN$8:AN$28,$BG$33:$BG$53,$BL107)*节奏总纲!M104+BO106</f>
        <v>0</v>
      </c>
      <c r="BP107" s="32">
        <f>求节点(村县营基础信息!AO$8:AO$28,$BG$33:$BG$53,$BL107)*节奏总纲!N104+BP106</f>
        <v>0</v>
      </c>
      <c r="BQ107" s="32">
        <f>求节点(村县营基础信息!AP$8:AP$28,$BG$33:$BG$53,$BL107)*节奏总纲!O104+BQ106</f>
        <v>0</v>
      </c>
    </row>
    <row r="108" spans="13:69" x14ac:dyDescent="0.15">
      <c r="M108" s="29">
        <v>102</v>
      </c>
      <c r="N108" s="32">
        <f>求节点(村县营基础信息!K$8:K$28,$I$33:$I$53,$M108)*节奏总纲!K105+N107</f>
        <v>0</v>
      </c>
      <c r="O108" s="32">
        <f>求节点(村县营基础信息!L$8:L$28,$I$33:$I$53,$M108)*节奏总纲!L105+O107</f>
        <v>0</v>
      </c>
      <c r="P108" s="32">
        <f>求节点(村县营基础信息!M$8:M$28,$I$33:$I$53,$M108)*节奏总纲!M105+P107</f>
        <v>0</v>
      </c>
      <c r="Q108" s="32">
        <f>求节点(村县营基础信息!N$8:N$28,$I$33:$I$53,$M108)*节奏总纲!N105+Q107</f>
        <v>0</v>
      </c>
      <c r="R108" s="32">
        <f>求节点(村县营基础信息!O$8:O$28,$I$33:$I$53,$M108)*节奏总纲!O105+R107</f>
        <v>0</v>
      </c>
      <c r="AC108" s="29">
        <v>102</v>
      </c>
      <c r="AD108" s="32">
        <f>求节点(村县营基础信息!T$8:T$28,$Y$33:$Y$53,$AC108)*节奏总纲!K105*(1+$B$10)+AD107</f>
        <v>0</v>
      </c>
      <c r="AE108" s="32">
        <f>求节点(村县营基础信息!U$8:U$28,$Y$33:$Y$53,$AC108)*节奏总纲!L105*(1+$B$10)+AE107</f>
        <v>0</v>
      </c>
      <c r="AF108" s="32">
        <f>求节点(村县营基础信息!V$8:V$28,$Y$33:$Y$53,$AC108)*节奏总纲!M105*(1+$B$10)+AF107</f>
        <v>0</v>
      </c>
      <c r="AG108" s="32">
        <f>求节点(村县营基础信息!W$8:W$28,$Y$33:$Y$53,$AC108)*节奏总纲!N105*(1+$B$10)+AG107</f>
        <v>0</v>
      </c>
      <c r="AH108" s="32">
        <f>求节点(村县营基础信息!X$8:X$28,$Y$33:$Y$53,$AC108)*节奏总纲!O105*(1+$B$10)+AH107</f>
        <v>0</v>
      </c>
      <c r="AR108" s="29">
        <f>AT108/[2]节奏总纲!D105</f>
        <v>0</v>
      </c>
      <c r="AS108" s="29">
        <v>102</v>
      </c>
      <c r="AT108" s="32">
        <f>求节点(村县营基础信息!AC$8:AC$28,$AN$33:$AN$53,$AS108)*节奏总纲!K105+AT107</f>
        <v>0</v>
      </c>
      <c r="AU108" s="32">
        <f>求节点(村县营基础信息!AD$8:AD$28,$AN$33:$AN$53,$AS108)*节奏总纲!L105+AU107</f>
        <v>0</v>
      </c>
      <c r="AV108" s="32">
        <f>求节点(村县营基础信息!AE$8:AE$28,$AN$33:$AN$53,$AS108)*节奏总纲!M105+AV107</f>
        <v>0</v>
      </c>
      <c r="AW108" s="32">
        <f>求节点(村县营基础信息!AF$8:AF$28,$AN$33:$AN$53,$AS108)*节奏总纲!N105+AW107</f>
        <v>0</v>
      </c>
      <c r="AX108" s="32">
        <f>求节点(村县营基础信息!AG$8:AG$28,$AN$33:$AN$53,$AS108)*节奏总纲!O105+AX107</f>
        <v>0</v>
      </c>
      <c r="BA108" s="29">
        <f>(AV108-AV107)/[2]节奏总纲!M105*'[1]功能-付费相关'!BB107</f>
        <v>0</v>
      </c>
      <c r="BL108" s="29">
        <v>102</v>
      </c>
      <c r="BM108" s="32">
        <f>求节点(村县营基础信息!AL$8:AL$28,$BG$33:$BG$53,$BL108)*节奏总纲!K105+BM107</f>
        <v>0</v>
      </c>
      <c r="BN108" s="32">
        <f>求节点(村县营基础信息!AM$8:AM$28,$BG$33:$BG$53,$BL108)*节奏总纲!L105+BN107</f>
        <v>0</v>
      </c>
      <c r="BO108" s="32">
        <f>求节点(村县营基础信息!AN$8:AN$28,$BG$33:$BG$53,$BL108)*节奏总纲!M105+BO107</f>
        <v>0</v>
      </c>
      <c r="BP108" s="32">
        <f>求节点(村县营基础信息!AO$8:AO$28,$BG$33:$BG$53,$BL108)*节奏总纲!N105+BP107</f>
        <v>0</v>
      </c>
      <c r="BQ108" s="32">
        <f>求节点(村县营基础信息!AP$8:AP$28,$BG$33:$BG$53,$BL108)*节奏总纲!O105+BQ107</f>
        <v>0</v>
      </c>
    </row>
    <row r="109" spans="13:69" x14ac:dyDescent="0.15">
      <c r="M109" s="29">
        <v>103</v>
      </c>
      <c r="N109" s="32">
        <f>求节点(村县营基础信息!K$8:K$28,$I$33:$I$53,$M109)*节奏总纲!K106+N108</f>
        <v>0</v>
      </c>
      <c r="O109" s="32">
        <f>求节点(村县营基础信息!L$8:L$28,$I$33:$I$53,$M109)*节奏总纲!L106+O108</f>
        <v>0</v>
      </c>
      <c r="P109" s="32">
        <f>求节点(村县营基础信息!M$8:M$28,$I$33:$I$53,$M109)*节奏总纲!M106+P108</f>
        <v>0</v>
      </c>
      <c r="Q109" s="32">
        <f>求节点(村县营基础信息!N$8:N$28,$I$33:$I$53,$M109)*节奏总纲!N106+Q108</f>
        <v>0</v>
      </c>
      <c r="R109" s="32">
        <f>求节点(村县营基础信息!O$8:O$28,$I$33:$I$53,$M109)*节奏总纲!O106+R108</f>
        <v>0</v>
      </c>
      <c r="AC109" s="29">
        <v>103</v>
      </c>
      <c r="AD109" s="32">
        <f>求节点(村县营基础信息!T$8:T$28,$Y$33:$Y$53,$AC109)*节奏总纲!K106*(1+$B$10)+AD108</f>
        <v>0</v>
      </c>
      <c r="AE109" s="32">
        <f>求节点(村县营基础信息!U$8:U$28,$Y$33:$Y$53,$AC109)*节奏总纲!L106*(1+$B$10)+AE108</f>
        <v>0</v>
      </c>
      <c r="AF109" s="32">
        <f>求节点(村县营基础信息!V$8:V$28,$Y$33:$Y$53,$AC109)*节奏总纲!M106*(1+$B$10)+AF108</f>
        <v>0</v>
      </c>
      <c r="AG109" s="32">
        <f>求节点(村县营基础信息!W$8:W$28,$Y$33:$Y$53,$AC109)*节奏总纲!N106*(1+$B$10)+AG108</f>
        <v>0</v>
      </c>
      <c r="AH109" s="32">
        <f>求节点(村县营基础信息!X$8:X$28,$Y$33:$Y$53,$AC109)*节奏总纲!O106*(1+$B$10)+AH108</f>
        <v>0</v>
      </c>
      <c r="AR109" s="29">
        <f>AT109/[2]节奏总纲!D106</f>
        <v>0</v>
      </c>
      <c r="AS109" s="29">
        <v>103</v>
      </c>
      <c r="AT109" s="32">
        <f>求节点(村县营基础信息!AC$8:AC$28,$AN$33:$AN$53,$AS109)*节奏总纲!K106+AT108</f>
        <v>0</v>
      </c>
      <c r="AU109" s="32">
        <f>求节点(村县营基础信息!AD$8:AD$28,$AN$33:$AN$53,$AS109)*节奏总纲!L106+AU108</f>
        <v>0</v>
      </c>
      <c r="AV109" s="32">
        <f>求节点(村县营基础信息!AE$8:AE$28,$AN$33:$AN$53,$AS109)*节奏总纲!M106+AV108</f>
        <v>0</v>
      </c>
      <c r="AW109" s="32">
        <f>求节点(村县营基础信息!AF$8:AF$28,$AN$33:$AN$53,$AS109)*节奏总纲!N106+AW108</f>
        <v>0</v>
      </c>
      <c r="AX109" s="32">
        <f>求节点(村县营基础信息!AG$8:AG$28,$AN$33:$AN$53,$AS109)*节奏总纲!O106+AX108</f>
        <v>0</v>
      </c>
      <c r="BA109" s="29">
        <f>(AV109-AV108)/[2]节奏总纲!M106*'[1]功能-付费相关'!BB108</f>
        <v>0</v>
      </c>
      <c r="BL109" s="29">
        <v>103</v>
      </c>
      <c r="BM109" s="32">
        <f>求节点(村县营基础信息!AL$8:AL$28,$BG$33:$BG$53,$BL109)*节奏总纲!K106+BM108</f>
        <v>0</v>
      </c>
      <c r="BN109" s="32">
        <f>求节点(村县营基础信息!AM$8:AM$28,$BG$33:$BG$53,$BL109)*节奏总纲!L106+BN108</f>
        <v>0</v>
      </c>
      <c r="BO109" s="32">
        <f>求节点(村县营基础信息!AN$8:AN$28,$BG$33:$BG$53,$BL109)*节奏总纲!M106+BO108</f>
        <v>0</v>
      </c>
      <c r="BP109" s="32">
        <f>求节点(村县营基础信息!AO$8:AO$28,$BG$33:$BG$53,$BL109)*节奏总纲!N106+BP108</f>
        <v>0</v>
      </c>
      <c r="BQ109" s="32">
        <f>求节点(村县营基础信息!AP$8:AP$28,$BG$33:$BG$53,$BL109)*节奏总纲!O106+BQ108</f>
        <v>0</v>
      </c>
    </row>
    <row r="110" spans="13:69" x14ac:dyDescent="0.15">
      <c r="M110" s="29">
        <v>104</v>
      </c>
      <c r="N110" s="32">
        <f>求节点(村县营基础信息!K$8:K$28,$I$33:$I$53,$M110)*节奏总纲!K107+N109</f>
        <v>0</v>
      </c>
      <c r="O110" s="32">
        <f>求节点(村县营基础信息!L$8:L$28,$I$33:$I$53,$M110)*节奏总纲!L107+O109</f>
        <v>0</v>
      </c>
      <c r="P110" s="32">
        <f>求节点(村县营基础信息!M$8:M$28,$I$33:$I$53,$M110)*节奏总纲!M107+P109</f>
        <v>0</v>
      </c>
      <c r="Q110" s="32">
        <f>求节点(村县营基础信息!N$8:N$28,$I$33:$I$53,$M110)*节奏总纲!N107+Q109</f>
        <v>0</v>
      </c>
      <c r="R110" s="32">
        <f>求节点(村县营基础信息!O$8:O$28,$I$33:$I$53,$M110)*节奏总纲!O107+R109</f>
        <v>0</v>
      </c>
      <c r="AC110" s="29">
        <v>104</v>
      </c>
      <c r="AD110" s="32">
        <f>求节点(村县营基础信息!T$8:T$28,$Y$33:$Y$53,$AC110)*节奏总纲!K107*(1+$B$10)+AD109</f>
        <v>0</v>
      </c>
      <c r="AE110" s="32">
        <f>求节点(村县营基础信息!U$8:U$28,$Y$33:$Y$53,$AC110)*节奏总纲!L107*(1+$B$10)+AE109</f>
        <v>0</v>
      </c>
      <c r="AF110" s="32">
        <f>求节点(村县营基础信息!V$8:V$28,$Y$33:$Y$53,$AC110)*节奏总纲!M107*(1+$B$10)+AF109</f>
        <v>0</v>
      </c>
      <c r="AG110" s="32">
        <f>求节点(村县营基础信息!W$8:W$28,$Y$33:$Y$53,$AC110)*节奏总纲!N107*(1+$B$10)+AG109</f>
        <v>0</v>
      </c>
      <c r="AH110" s="32">
        <f>求节点(村县营基础信息!X$8:X$28,$Y$33:$Y$53,$AC110)*节奏总纲!O107*(1+$B$10)+AH109</f>
        <v>0</v>
      </c>
      <c r="AR110" s="29">
        <f>AT110/[2]节奏总纲!D107</f>
        <v>0</v>
      </c>
      <c r="AS110" s="29">
        <v>104</v>
      </c>
      <c r="AT110" s="32">
        <f>求节点(村县营基础信息!AC$8:AC$28,$AN$33:$AN$53,$AS110)*节奏总纲!K107+AT109</f>
        <v>0</v>
      </c>
      <c r="AU110" s="32">
        <f>求节点(村县营基础信息!AD$8:AD$28,$AN$33:$AN$53,$AS110)*节奏总纲!L107+AU109</f>
        <v>0</v>
      </c>
      <c r="AV110" s="32">
        <f>求节点(村县营基础信息!AE$8:AE$28,$AN$33:$AN$53,$AS110)*节奏总纲!M107+AV109</f>
        <v>0</v>
      </c>
      <c r="AW110" s="32">
        <f>求节点(村县营基础信息!AF$8:AF$28,$AN$33:$AN$53,$AS110)*节奏总纲!N107+AW109</f>
        <v>0</v>
      </c>
      <c r="AX110" s="32">
        <f>求节点(村县营基础信息!AG$8:AG$28,$AN$33:$AN$53,$AS110)*节奏总纲!O107+AX109</f>
        <v>0</v>
      </c>
      <c r="BA110" s="29">
        <f>(AV110-AV109)/[2]节奏总纲!M107*'[1]功能-付费相关'!BB109</f>
        <v>0</v>
      </c>
      <c r="BL110" s="29">
        <v>104</v>
      </c>
      <c r="BM110" s="32">
        <f>求节点(村县营基础信息!AL$8:AL$28,$BG$33:$BG$53,$BL110)*节奏总纲!K107+BM109</f>
        <v>0</v>
      </c>
      <c r="BN110" s="32">
        <f>求节点(村县营基础信息!AM$8:AM$28,$BG$33:$BG$53,$BL110)*节奏总纲!L107+BN109</f>
        <v>0</v>
      </c>
      <c r="BO110" s="32">
        <f>求节点(村县营基础信息!AN$8:AN$28,$BG$33:$BG$53,$BL110)*节奏总纲!M107+BO109</f>
        <v>0</v>
      </c>
      <c r="BP110" s="32">
        <f>求节点(村县营基础信息!AO$8:AO$28,$BG$33:$BG$53,$BL110)*节奏总纲!N107+BP109</f>
        <v>0</v>
      </c>
      <c r="BQ110" s="32">
        <f>求节点(村县营基础信息!AP$8:AP$28,$BG$33:$BG$53,$BL110)*节奏总纲!O107+BQ109</f>
        <v>0</v>
      </c>
    </row>
    <row r="111" spans="13:69" x14ac:dyDescent="0.15">
      <c r="M111" s="29">
        <v>105</v>
      </c>
      <c r="N111" s="32">
        <f>求节点(村县营基础信息!K$8:K$28,$I$33:$I$53,$M111)*节奏总纲!K108+N110</f>
        <v>0</v>
      </c>
      <c r="O111" s="32">
        <f>求节点(村县营基础信息!L$8:L$28,$I$33:$I$53,$M111)*节奏总纲!L108+O110</f>
        <v>0</v>
      </c>
      <c r="P111" s="32">
        <f>求节点(村县营基础信息!M$8:M$28,$I$33:$I$53,$M111)*节奏总纲!M108+P110</f>
        <v>0</v>
      </c>
      <c r="Q111" s="32">
        <f>求节点(村县营基础信息!N$8:N$28,$I$33:$I$53,$M111)*节奏总纲!N108+Q110</f>
        <v>0</v>
      </c>
      <c r="R111" s="32">
        <f>求节点(村县营基础信息!O$8:O$28,$I$33:$I$53,$M111)*节奏总纲!O108+R110</f>
        <v>0</v>
      </c>
      <c r="AC111" s="29">
        <v>105</v>
      </c>
      <c r="AD111" s="32">
        <f>求节点(村县营基础信息!T$8:T$28,$Y$33:$Y$53,$AC111)*节奏总纲!K108*(1+$B$10)+AD110</f>
        <v>0</v>
      </c>
      <c r="AE111" s="32">
        <f>求节点(村县营基础信息!U$8:U$28,$Y$33:$Y$53,$AC111)*节奏总纲!L108*(1+$B$10)+AE110</f>
        <v>0</v>
      </c>
      <c r="AF111" s="32">
        <f>求节点(村县营基础信息!V$8:V$28,$Y$33:$Y$53,$AC111)*节奏总纲!M108*(1+$B$10)+AF110</f>
        <v>0</v>
      </c>
      <c r="AG111" s="32">
        <f>求节点(村县营基础信息!W$8:W$28,$Y$33:$Y$53,$AC111)*节奏总纲!N108*(1+$B$10)+AG110</f>
        <v>0</v>
      </c>
      <c r="AH111" s="32">
        <f>求节点(村县营基础信息!X$8:X$28,$Y$33:$Y$53,$AC111)*节奏总纲!O108*(1+$B$10)+AH110</f>
        <v>0</v>
      </c>
      <c r="AR111" s="29">
        <f>AT111/[2]节奏总纲!D108</f>
        <v>0</v>
      </c>
      <c r="AS111" s="29">
        <v>105</v>
      </c>
      <c r="AT111" s="32">
        <f>求节点(村县营基础信息!AC$8:AC$28,$AN$33:$AN$53,$AS111)*节奏总纲!K108+AT110</f>
        <v>0</v>
      </c>
      <c r="AU111" s="32">
        <f>求节点(村县营基础信息!AD$8:AD$28,$AN$33:$AN$53,$AS111)*节奏总纲!L108+AU110</f>
        <v>0</v>
      </c>
      <c r="AV111" s="32">
        <f>求节点(村县营基础信息!AE$8:AE$28,$AN$33:$AN$53,$AS111)*节奏总纲!M108+AV110</f>
        <v>0</v>
      </c>
      <c r="AW111" s="32">
        <f>求节点(村县营基础信息!AF$8:AF$28,$AN$33:$AN$53,$AS111)*节奏总纲!N108+AW110</f>
        <v>0</v>
      </c>
      <c r="AX111" s="32">
        <f>求节点(村县营基础信息!AG$8:AG$28,$AN$33:$AN$53,$AS111)*节奏总纲!O108+AX110</f>
        <v>0</v>
      </c>
      <c r="BA111" s="29">
        <f>(AV111-AV110)/[2]节奏总纲!M108*'[1]功能-付费相关'!BB110</f>
        <v>0</v>
      </c>
      <c r="BL111" s="29">
        <v>105</v>
      </c>
      <c r="BM111" s="32">
        <f>求节点(村县营基础信息!AL$8:AL$28,$BG$33:$BG$53,$BL111)*节奏总纲!K108+BM110</f>
        <v>0</v>
      </c>
      <c r="BN111" s="32">
        <f>求节点(村县营基础信息!AM$8:AM$28,$BG$33:$BG$53,$BL111)*节奏总纲!L108+BN110</f>
        <v>0</v>
      </c>
      <c r="BO111" s="32">
        <f>求节点(村县营基础信息!AN$8:AN$28,$BG$33:$BG$53,$BL111)*节奏总纲!M108+BO110</f>
        <v>0</v>
      </c>
      <c r="BP111" s="32">
        <f>求节点(村县营基础信息!AO$8:AO$28,$BG$33:$BG$53,$BL111)*节奏总纲!N108+BP110</f>
        <v>0</v>
      </c>
      <c r="BQ111" s="32">
        <f>求节点(村县营基础信息!AP$8:AP$28,$BG$33:$BG$53,$BL111)*节奏总纲!O108+BQ110</f>
        <v>0</v>
      </c>
    </row>
    <row r="112" spans="13:69" x14ac:dyDescent="0.15">
      <c r="M112" s="29">
        <v>106</v>
      </c>
      <c r="N112" s="32">
        <f>求节点(村县营基础信息!K$8:K$28,$I$33:$I$53,$M112)*节奏总纲!K109+N111</f>
        <v>0</v>
      </c>
      <c r="O112" s="32">
        <f>求节点(村县营基础信息!L$8:L$28,$I$33:$I$53,$M112)*节奏总纲!L109+O111</f>
        <v>0</v>
      </c>
      <c r="P112" s="32">
        <f>求节点(村县营基础信息!M$8:M$28,$I$33:$I$53,$M112)*节奏总纲!M109+P111</f>
        <v>0</v>
      </c>
      <c r="Q112" s="32">
        <f>求节点(村县营基础信息!N$8:N$28,$I$33:$I$53,$M112)*节奏总纲!N109+Q111</f>
        <v>0</v>
      </c>
      <c r="R112" s="32">
        <f>求节点(村县营基础信息!O$8:O$28,$I$33:$I$53,$M112)*节奏总纲!O109+R111</f>
        <v>0</v>
      </c>
      <c r="AC112" s="29">
        <v>106</v>
      </c>
      <c r="AD112" s="32">
        <f>求节点(村县营基础信息!T$8:T$28,$Y$33:$Y$53,$AC112)*节奏总纲!K109*(1+$B$10)+AD111</f>
        <v>0</v>
      </c>
      <c r="AE112" s="32">
        <f>求节点(村县营基础信息!U$8:U$28,$Y$33:$Y$53,$AC112)*节奏总纲!L109*(1+$B$10)+AE111</f>
        <v>0</v>
      </c>
      <c r="AF112" s="32">
        <f>求节点(村县营基础信息!V$8:V$28,$Y$33:$Y$53,$AC112)*节奏总纲!M109*(1+$B$10)+AF111</f>
        <v>0</v>
      </c>
      <c r="AG112" s="32">
        <f>求节点(村县营基础信息!W$8:W$28,$Y$33:$Y$53,$AC112)*节奏总纲!N109*(1+$B$10)+AG111</f>
        <v>0</v>
      </c>
      <c r="AH112" s="32">
        <f>求节点(村县营基础信息!X$8:X$28,$Y$33:$Y$53,$AC112)*节奏总纲!O109*(1+$B$10)+AH111</f>
        <v>0</v>
      </c>
      <c r="AR112" s="29">
        <f>AT112/[2]节奏总纲!D109</f>
        <v>0</v>
      </c>
      <c r="AS112" s="29">
        <v>106</v>
      </c>
      <c r="AT112" s="32">
        <f>求节点(村县营基础信息!AC$8:AC$28,$AN$33:$AN$53,$AS112)*节奏总纲!K109+AT111</f>
        <v>0</v>
      </c>
      <c r="AU112" s="32">
        <f>求节点(村县营基础信息!AD$8:AD$28,$AN$33:$AN$53,$AS112)*节奏总纲!L109+AU111</f>
        <v>0</v>
      </c>
      <c r="AV112" s="32">
        <f>求节点(村县营基础信息!AE$8:AE$28,$AN$33:$AN$53,$AS112)*节奏总纲!M109+AV111</f>
        <v>0</v>
      </c>
      <c r="AW112" s="32">
        <f>求节点(村县营基础信息!AF$8:AF$28,$AN$33:$AN$53,$AS112)*节奏总纲!N109+AW111</f>
        <v>0</v>
      </c>
      <c r="AX112" s="32">
        <f>求节点(村县营基础信息!AG$8:AG$28,$AN$33:$AN$53,$AS112)*节奏总纲!O109+AX111</f>
        <v>0</v>
      </c>
      <c r="BA112" s="29">
        <f>(AV112-AV111)/[2]节奏总纲!M109*'[1]功能-付费相关'!BB111</f>
        <v>0</v>
      </c>
      <c r="BL112" s="29">
        <v>106</v>
      </c>
      <c r="BM112" s="32">
        <f>求节点(村县营基础信息!AL$8:AL$28,$BG$33:$BG$53,$BL112)*节奏总纲!K109+BM111</f>
        <v>0</v>
      </c>
      <c r="BN112" s="32">
        <f>求节点(村县营基础信息!AM$8:AM$28,$BG$33:$BG$53,$BL112)*节奏总纲!L109+BN111</f>
        <v>0</v>
      </c>
      <c r="BO112" s="32">
        <f>求节点(村县营基础信息!AN$8:AN$28,$BG$33:$BG$53,$BL112)*节奏总纲!M109+BO111</f>
        <v>0</v>
      </c>
      <c r="BP112" s="32">
        <f>求节点(村县营基础信息!AO$8:AO$28,$BG$33:$BG$53,$BL112)*节奏总纲!N109+BP111</f>
        <v>0</v>
      </c>
      <c r="BQ112" s="32">
        <f>求节点(村县营基础信息!AP$8:AP$28,$BG$33:$BG$53,$BL112)*节奏总纲!O109+BQ111</f>
        <v>0</v>
      </c>
    </row>
    <row r="113" spans="13:69" x14ac:dyDescent="0.15">
      <c r="M113" s="29">
        <v>107</v>
      </c>
      <c r="N113" s="32">
        <f>求节点(村县营基础信息!K$8:K$28,$I$33:$I$53,$M113)*节奏总纲!K110+N112</f>
        <v>0</v>
      </c>
      <c r="O113" s="32">
        <f>求节点(村县营基础信息!L$8:L$28,$I$33:$I$53,$M113)*节奏总纲!L110+O112</f>
        <v>0</v>
      </c>
      <c r="P113" s="32">
        <f>求节点(村县营基础信息!M$8:M$28,$I$33:$I$53,$M113)*节奏总纲!M110+P112</f>
        <v>0</v>
      </c>
      <c r="Q113" s="32">
        <f>求节点(村县营基础信息!N$8:N$28,$I$33:$I$53,$M113)*节奏总纲!N110+Q112</f>
        <v>0</v>
      </c>
      <c r="R113" s="32">
        <f>求节点(村县营基础信息!O$8:O$28,$I$33:$I$53,$M113)*节奏总纲!O110+R112</f>
        <v>0</v>
      </c>
      <c r="AC113" s="29">
        <v>107</v>
      </c>
      <c r="AD113" s="32">
        <f>求节点(村县营基础信息!T$8:T$28,$Y$33:$Y$53,$AC113)*节奏总纲!K110*(1+$B$10)+AD112</f>
        <v>0</v>
      </c>
      <c r="AE113" s="32">
        <f>求节点(村县营基础信息!U$8:U$28,$Y$33:$Y$53,$AC113)*节奏总纲!L110*(1+$B$10)+AE112</f>
        <v>0</v>
      </c>
      <c r="AF113" s="32">
        <f>求节点(村县营基础信息!V$8:V$28,$Y$33:$Y$53,$AC113)*节奏总纲!M110*(1+$B$10)+AF112</f>
        <v>0</v>
      </c>
      <c r="AG113" s="32">
        <f>求节点(村县营基础信息!W$8:W$28,$Y$33:$Y$53,$AC113)*节奏总纲!N110*(1+$B$10)+AG112</f>
        <v>0</v>
      </c>
      <c r="AH113" s="32">
        <f>求节点(村县营基础信息!X$8:X$28,$Y$33:$Y$53,$AC113)*节奏总纲!O110*(1+$B$10)+AH112</f>
        <v>0</v>
      </c>
      <c r="AR113" s="29">
        <f>AT113/[2]节奏总纲!D110</f>
        <v>0</v>
      </c>
      <c r="AS113" s="29">
        <v>107</v>
      </c>
      <c r="AT113" s="32">
        <f>求节点(村县营基础信息!AC$8:AC$28,$AN$33:$AN$53,$AS113)*节奏总纲!K110+AT112</f>
        <v>0</v>
      </c>
      <c r="AU113" s="32">
        <f>求节点(村县营基础信息!AD$8:AD$28,$AN$33:$AN$53,$AS113)*节奏总纲!L110+AU112</f>
        <v>0</v>
      </c>
      <c r="AV113" s="32">
        <f>求节点(村县营基础信息!AE$8:AE$28,$AN$33:$AN$53,$AS113)*节奏总纲!M110+AV112</f>
        <v>0</v>
      </c>
      <c r="AW113" s="32">
        <f>求节点(村县营基础信息!AF$8:AF$28,$AN$33:$AN$53,$AS113)*节奏总纲!N110+AW112</f>
        <v>0</v>
      </c>
      <c r="AX113" s="32">
        <f>求节点(村县营基础信息!AG$8:AG$28,$AN$33:$AN$53,$AS113)*节奏总纲!O110+AX112</f>
        <v>0</v>
      </c>
      <c r="BA113" s="29">
        <f>(AV113-AV112)/[2]节奏总纲!M110*'[1]功能-付费相关'!BB112</f>
        <v>0</v>
      </c>
      <c r="BL113" s="29">
        <v>107</v>
      </c>
      <c r="BM113" s="32">
        <f>求节点(村县营基础信息!AL$8:AL$28,$BG$33:$BG$53,$BL113)*节奏总纲!K110+BM112</f>
        <v>0</v>
      </c>
      <c r="BN113" s="32">
        <f>求节点(村县营基础信息!AM$8:AM$28,$BG$33:$BG$53,$BL113)*节奏总纲!L110+BN112</f>
        <v>0</v>
      </c>
      <c r="BO113" s="32">
        <f>求节点(村县营基础信息!AN$8:AN$28,$BG$33:$BG$53,$BL113)*节奏总纲!M110+BO112</f>
        <v>0</v>
      </c>
      <c r="BP113" s="32">
        <f>求节点(村县营基础信息!AO$8:AO$28,$BG$33:$BG$53,$BL113)*节奏总纲!N110+BP112</f>
        <v>0</v>
      </c>
      <c r="BQ113" s="32">
        <f>求节点(村县营基础信息!AP$8:AP$28,$BG$33:$BG$53,$BL113)*节奏总纲!O110+BQ112</f>
        <v>0</v>
      </c>
    </row>
    <row r="114" spans="13:69" x14ac:dyDescent="0.15">
      <c r="M114" s="29">
        <v>108</v>
      </c>
      <c r="N114" s="32">
        <f>求节点(村县营基础信息!K$8:K$28,$I$33:$I$53,$M114)*节奏总纲!K111+N113</f>
        <v>0</v>
      </c>
      <c r="O114" s="32">
        <f>求节点(村县营基础信息!L$8:L$28,$I$33:$I$53,$M114)*节奏总纲!L111+O113</f>
        <v>0</v>
      </c>
      <c r="P114" s="32">
        <f>求节点(村县营基础信息!M$8:M$28,$I$33:$I$53,$M114)*节奏总纲!M111+P113</f>
        <v>0</v>
      </c>
      <c r="Q114" s="32">
        <f>求节点(村县营基础信息!N$8:N$28,$I$33:$I$53,$M114)*节奏总纲!N111+Q113</f>
        <v>0</v>
      </c>
      <c r="R114" s="32">
        <f>求节点(村县营基础信息!O$8:O$28,$I$33:$I$53,$M114)*节奏总纲!O111+R113</f>
        <v>0</v>
      </c>
      <c r="AC114" s="29">
        <v>108</v>
      </c>
      <c r="AD114" s="32">
        <f>求节点(村县营基础信息!T$8:T$28,$Y$33:$Y$53,$AC114)*节奏总纲!K111*(1+$B$10)+AD113</f>
        <v>0</v>
      </c>
      <c r="AE114" s="32">
        <f>求节点(村县营基础信息!U$8:U$28,$Y$33:$Y$53,$AC114)*节奏总纲!L111*(1+$B$10)+AE113</f>
        <v>0</v>
      </c>
      <c r="AF114" s="32">
        <f>求节点(村县营基础信息!V$8:V$28,$Y$33:$Y$53,$AC114)*节奏总纲!M111*(1+$B$10)+AF113</f>
        <v>0</v>
      </c>
      <c r="AG114" s="32">
        <f>求节点(村县营基础信息!W$8:W$28,$Y$33:$Y$53,$AC114)*节奏总纲!N111*(1+$B$10)+AG113</f>
        <v>0</v>
      </c>
      <c r="AH114" s="32">
        <f>求节点(村县营基础信息!X$8:X$28,$Y$33:$Y$53,$AC114)*节奏总纲!O111*(1+$B$10)+AH113</f>
        <v>0</v>
      </c>
      <c r="AR114" s="29">
        <f>AT114/[2]节奏总纲!D111</f>
        <v>0</v>
      </c>
      <c r="AS114" s="29">
        <v>108</v>
      </c>
      <c r="AT114" s="32">
        <f>求节点(村县营基础信息!AC$8:AC$28,$AN$33:$AN$53,$AS114)*节奏总纲!K111+AT113</f>
        <v>0</v>
      </c>
      <c r="AU114" s="32">
        <f>求节点(村县营基础信息!AD$8:AD$28,$AN$33:$AN$53,$AS114)*节奏总纲!L111+AU113</f>
        <v>0</v>
      </c>
      <c r="AV114" s="32">
        <f>求节点(村县营基础信息!AE$8:AE$28,$AN$33:$AN$53,$AS114)*节奏总纲!M111+AV113</f>
        <v>0</v>
      </c>
      <c r="AW114" s="32">
        <f>求节点(村县营基础信息!AF$8:AF$28,$AN$33:$AN$53,$AS114)*节奏总纲!N111+AW113</f>
        <v>0</v>
      </c>
      <c r="AX114" s="32">
        <f>求节点(村县营基础信息!AG$8:AG$28,$AN$33:$AN$53,$AS114)*节奏总纲!O111+AX113</f>
        <v>0</v>
      </c>
      <c r="BA114" s="29">
        <f>(AV114-AV113)/[2]节奏总纲!M111*'[1]功能-付费相关'!BB113</f>
        <v>0</v>
      </c>
      <c r="BL114" s="29">
        <v>108</v>
      </c>
      <c r="BM114" s="32">
        <f>求节点(村县营基础信息!AL$8:AL$28,$BG$33:$BG$53,$BL114)*节奏总纲!K111+BM113</f>
        <v>0</v>
      </c>
      <c r="BN114" s="32">
        <f>求节点(村县营基础信息!AM$8:AM$28,$BG$33:$BG$53,$BL114)*节奏总纲!L111+BN113</f>
        <v>0</v>
      </c>
      <c r="BO114" s="32">
        <f>求节点(村县营基础信息!AN$8:AN$28,$BG$33:$BG$53,$BL114)*节奏总纲!M111+BO113</f>
        <v>0</v>
      </c>
      <c r="BP114" s="32">
        <f>求节点(村县营基础信息!AO$8:AO$28,$BG$33:$BG$53,$BL114)*节奏总纲!N111+BP113</f>
        <v>0</v>
      </c>
      <c r="BQ114" s="32">
        <f>求节点(村县营基础信息!AP$8:AP$28,$BG$33:$BG$53,$BL114)*节奏总纲!O111+BQ113</f>
        <v>0</v>
      </c>
    </row>
    <row r="115" spans="13:69" x14ac:dyDescent="0.15">
      <c r="M115" s="29">
        <v>109</v>
      </c>
      <c r="N115" s="32">
        <f>求节点(村县营基础信息!K$8:K$28,$I$33:$I$53,$M115)*节奏总纲!K112+N114</f>
        <v>0</v>
      </c>
      <c r="O115" s="32">
        <f>求节点(村县营基础信息!L$8:L$28,$I$33:$I$53,$M115)*节奏总纲!L112+O114</f>
        <v>0</v>
      </c>
      <c r="P115" s="32">
        <f>求节点(村县营基础信息!M$8:M$28,$I$33:$I$53,$M115)*节奏总纲!M112+P114</f>
        <v>0</v>
      </c>
      <c r="Q115" s="32">
        <f>求节点(村县营基础信息!N$8:N$28,$I$33:$I$53,$M115)*节奏总纲!N112+Q114</f>
        <v>0</v>
      </c>
      <c r="R115" s="32">
        <f>求节点(村县营基础信息!O$8:O$28,$I$33:$I$53,$M115)*节奏总纲!O112+R114</f>
        <v>0</v>
      </c>
      <c r="AC115" s="29">
        <v>109</v>
      </c>
      <c r="AD115" s="32">
        <f>求节点(村县营基础信息!T$8:T$28,$Y$33:$Y$53,$AC115)*节奏总纲!K112*(1+$B$10)+AD114</f>
        <v>0</v>
      </c>
      <c r="AE115" s="32">
        <f>求节点(村县营基础信息!U$8:U$28,$Y$33:$Y$53,$AC115)*节奏总纲!L112*(1+$B$10)+AE114</f>
        <v>0</v>
      </c>
      <c r="AF115" s="32">
        <f>求节点(村县营基础信息!V$8:V$28,$Y$33:$Y$53,$AC115)*节奏总纲!M112*(1+$B$10)+AF114</f>
        <v>0</v>
      </c>
      <c r="AG115" s="32">
        <f>求节点(村县营基础信息!W$8:W$28,$Y$33:$Y$53,$AC115)*节奏总纲!N112*(1+$B$10)+AG114</f>
        <v>0</v>
      </c>
      <c r="AH115" s="32">
        <f>求节点(村县营基础信息!X$8:X$28,$Y$33:$Y$53,$AC115)*节奏总纲!O112*(1+$B$10)+AH114</f>
        <v>0</v>
      </c>
      <c r="AR115" s="29">
        <f>AT115/[2]节奏总纲!D112</f>
        <v>0</v>
      </c>
      <c r="AS115" s="29">
        <v>109</v>
      </c>
      <c r="AT115" s="32">
        <f>求节点(村县营基础信息!AC$8:AC$28,$AN$33:$AN$53,$AS115)*节奏总纲!K112+AT114</f>
        <v>0</v>
      </c>
      <c r="AU115" s="32">
        <f>求节点(村县营基础信息!AD$8:AD$28,$AN$33:$AN$53,$AS115)*节奏总纲!L112+AU114</f>
        <v>0</v>
      </c>
      <c r="AV115" s="32">
        <f>求节点(村县营基础信息!AE$8:AE$28,$AN$33:$AN$53,$AS115)*节奏总纲!M112+AV114</f>
        <v>0</v>
      </c>
      <c r="AW115" s="32">
        <f>求节点(村县营基础信息!AF$8:AF$28,$AN$33:$AN$53,$AS115)*节奏总纲!N112+AW114</f>
        <v>0</v>
      </c>
      <c r="AX115" s="32">
        <f>求节点(村县营基础信息!AG$8:AG$28,$AN$33:$AN$53,$AS115)*节奏总纲!O112+AX114</f>
        <v>0</v>
      </c>
      <c r="BA115" s="29">
        <f>(AV115-AV114)/[2]节奏总纲!M112*'[1]功能-付费相关'!BB114</f>
        <v>0</v>
      </c>
      <c r="BL115" s="29">
        <v>109</v>
      </c>
      <c r="BM115" s="32">
        <f>求节点(村县营基础信息!AL$8:AL$28,$BG$33:$BG$53,$BL115)*节奏总纲!K112+BM114</f>
        <v>0</v>
      </c>
      <c r="BN115" s="32">
        <f>求节点(村县营基础信息!AM$8:AM$28,$BG$33:$BG$53,$BL115)*节奏总纲!L112+BN114</f>
        <v>0</v>
      </c>
      <c r="BO115" s="32">
        <f>求节点(村县营基础信息!AN$8:AN$28,$BG$33:$BG$53,$BL115)*节奏总纲!M112+BO114</f>
        <v>0</v>
      </c>
      <c r="BP115" s="32">
        <f>求节点(村县营基础信息!AO$8:AO$28,$BG$33:$BG$53,$BL115)*节奏总纲!N112+BP114</f>
        <v>0</v>
      </c>
      <c r="BQ115" s="32">
        <f>求节点(村县营基础信息!AP$8:AP$28,$BG$33:$BG$53,$BL115)*节奏总纲!O112+BQ114</f>
        <v>0</v>
      </c>
    </row>
    <row r="116" spans="13:69" x14ac:dyDescent="0.15">
      <c r="M116" s="29">
        <v>110</v>
      </c>
      <c r="N116" s="32">
        <f>求节点(村县营基础信息!K$8:K$28,$I$33:$I$53,$M116)*节奏总纲!K113+N115</f>
        <v>0</v>
      </c>
      <c r="O116" s="32">
        <f>求节点(村县营基础信息!L$8:L$28,$I$33:$I$53,$M116)*节奏总纲!L113+O115</f>
        <v>0</v>
      </c>
      <c r="P116" s="32">
        <f>求节点(村县营基础信息!M$8:M$28,$I$33:$I$53,$M116)*节奏总纲!M113+P115</f>
        <v>0</v>
      </c>
      <c r="Q116" s="32">
        <f>求节点(村县营基础信息!N$8:N$28,$I$33:$I$53,$M116)*节奏总纲!N113+Q115</f>
        <v>0</v>
      </c>
      <c r="R116" s="32">
        <f>求节点(村县营基础信息!O$8:O$28,$I$33:$I$53,$M116)*节奏总纲!O113+R115</f>
        <v>0</v>
      </c>
      <c r="AC116" s="29">
        <v>110</v>
      </c>
      <c r="AD116" s="32">
        <f>求节点(村县营基础信息!T$8:T$28,$Y$33:$Y$53,$AC116)*节奏总纲!K113*(1+$B$10)+AD115</f>
        <v>0</v>
      </c>
      <c r="AE116" s="32">
        <f>求节点(村县营基础信息!U$8:U$28,$Y$33:$Y$53,$AC116)*节奏总纲!L113*(1+$B$10)+AE115</f>
        <v>0</v>
      </c>
      <c r="AF116" s="32">
        <f>求节点(村县营基础信息!V$8:V$28,$Y$33:$Y$53,$AC116)*节奏总纲!M113*(1+$B$10)+AF115</f>
        <v>0</v>
      </c>
      <c r="AG116" s="32">
        <f>求节点(村县营基础信息!W$8:W$28,$Y$33:$Y$53,$AC116)*节奏总纲!N113*(1+$B$10)+AG115</f>
        <v>0</v>
      </c>
      <c r="AH116" s="32">
        <f>求节点(村县营基础信息!X$8:X$28,$Y$33:$Y$53,$AC116)*节奏总纲!O113*(1+$B$10)+AH115</f>
        <v>0</v>
      </c>
      <c r="AR116" s="29">
        <f>AT116/[2]节奏总纲!D113</f>
        <v>0</v>
      </c>
      <c r="AS116" s="29">
        <v>110</v>
      </c>
      <c r="AT116" s="32">
        <f>求节点(村县营基础信息!AC$8:AC$28,$AN$33:$AN$53,$AS116)*节奏总纲!K113+AT115</f>
        <v>0</v>
      </c>
      <c r="AU116" s="32">
        <f>求节点(村县营基础信息!AD$8:AD$28,$AN$33:$AN$53,$AS116)*节奏总纲!L113+AU115</f>
        <v>0</v>
      </c>
      <c r="AV116" s="32">
        <f>求节点(村县营基础信息!AE$8:AE$28,$AN$33:$AN$53,$AS116)*节奏总纲!M113+AV115</f>
        <v>0</v>
      </c>
      <c r="AW116" s="32">
        <f>求节点(村县营基础信息!AF$8:AF$28,$AN$33:$AN$53,$AS116)*节奏总纲!N113+AW115</f>
        <v>0</v>
      </c>
      <c r="AX116" s="32">
        <f>求节点(村县营基础信息!AG$8:AG$28,$AN$33:$AN$53,$AS116)*节奏总纲!O113+AX115</f>
        <v>0</v>
      </c>
      <c r="BA116" s="29">
        <f>(AV116-AV115)/[2]节奏总纲!M113*'[1]功能-付费相关'!BB115</f>
        <v>0</v>
      </c>
      <c r="BL116" s="29">
        <v>110</v>
      </c>
      <c r="BM116" s="32">
        <f>求节点(村县营基础信息!AL$8:AL$28,$BG$33:$BG$53,$BL116)*节奏总纲!K113+BM115</f>
        <v>0</v>
      </c>
      <c r="BN116" s="32">
        <f>求节点(村县营基础信息!AM$8:AM$28,$BG$33:$BG$53,$BL116)*节奏总纲!L113+BN115</f>
        <v>0</v>
      </c>
      <c r="BO116" s="32">
        <f>求节点(村县营基础信息!AN$8:AN$28,$BG$33:$BG$53,$BL116)*节奏总纲!M113+BO115</f>
        <v>0</v>
      </c>
      <c r="BP116" s="32">
        <f>求节点(村县营基础信息!AO$8:AO$28,$BG$33:$BG$53,$BL116)*节奏总纲!N113+BP115</f>
        <v>0</v>
      </c>
      <c r="BQ116" s="32">
        <f>求节点(村县营基础信息!AP$8:AP$28,$BG$33:$BG$53,$BL116)*节奏总纲!O113+BQ115</f>
        <v>0</v>
      </c>
    </row>
    <row r="117" spans="13:69" x14ac:dyDescent="0.15">
      <c r="M117" s="37">
        <v>111</v>
      </c>
      <c r="N117" s="32">
        <f>求节点(村县营基础信息!K$8:K$28,$I$33:$I$53,$M117)*节奏总纲!K114+N116</f>
        <v>0</v>
      </c>
      <c r="O117" s="32">
        <f>求节点(村县营基础信息!L$8:L$28,$I$33:$I$53,$M117)*节奏总纲!L114+O116</f>
        <v>0</v>
      </c>
      <c r="P117" s="32">
        <f>求节点(村县营基础信息!M$8:M$28,$I$33:$I$53,$M117)*节奏总纲!M114+P116</f>
        <v>0</v>
      </c>
      <c r="Q117" s="32">
        <f>求节点(村县营基础信息!N$8:N$28,$I$33:$I$53,$M117)*节奏总纲!N114+Q116</f>
        <v>0</v>
      </c>
      <c r="R117" s="32">
        <f>求节点(村县营基础信息!O$8:O$28,$I$33:$I$53,$M117)*节奏总纲!O114+R116</f>
        <v>0</v>
      </c>
      <c r="AC117" s="37">
        <v>111</v>
      </c>
      <c r="AD117" s="32">
        <f>求节点(村县营基础信息!T$8:T$28,$Y$33:$Y$53,$AC117)*节奏总纲!K114*(1+$B$10)+AD116</f>
        <v>0</v>
      </c>
      <c r="AE117" s="32">
        <f>求节点(村县营基础信息!U$8:U$28,$Y$33:$Y$53,$AC117)*节奏总纲!L114*(1+$B$10)+AE116</f>
        <v>0</v>
      </c>
      <c r="AF117" s="32">
        <f>求节点(村县营基础信息!V$8:V$28,$Y$33:$Y$53,$AC117)*节奏总纲!M114*(1+$B$10)+AF116</f>
        <v>0</v>
      </c>
      <c r="AG117" s="32">
        <f>求节点(村县营基础信息!W$8:W$28,$Y$33:$Y$53,$AC117)*节奏总纲!N114*(1+$B$10)+AG116</f>
        <v>0</v>
      </c>
      <c r="AH117" s="32">
        <f>求节点(村县营基础信息!X$8:X$28,$Y$33:$Y$53,$AC117)*节奏总纲!O114*(1+$B$10)+AH116</f>
        <v>0</v>
      </c>
      <c r="AS117" s="37">
        <v>111</v>
      </c>
      <c r="AT117" s="32">
        <f>求节点(村县营基础信息!AC$8:AC$28,$AN$33:$AN$53,$AS117)*节奏总纲!K114+AT116</f>
        <v>0</v>
      </c>
      <c r="AU117" s="32">
        <f>求节点(村县营基础信息!AD$8:AD$28,$AN$33:$AN$53,$AS117)*节奏总纲!L114+AU116</f>
        <v>0</v>
      </c>
      <c r="AV117" s="32">
        <f>求节点(村县营基础信息!AE$8:AE$28,$AN$33:$AN$53,$AS117)*节奏总纲!M114+AV116</f>
        <v>0</v>
      </c>
      <c r="AW117" s="32">
        <f>求节点(村县营基础信息!AF$8:AF$28,$AN$33:$AN$53,$AS117)*节奏总纲!N114+AW116</f>
        <v>0</v>
      </c>
      <c r="AX117" s="32">
        <f>求节点(村县营基础信息!AG$8:AG$28,$AN$33:$AN$53,$AS117)*节奏总纲!O114+AX116</f>
        <v>0</v>
      </c>
      <c r="BL117" s="37">
        <v>111</v>
      </c>
      <c r="BM117" s="32">
        <f>求节点(村县营基础信息!AL$8:AL$28,$BG$33:$BG$53,$BL117)*节奏总纲!K114+BM116</f>
        <v>0</v>
      </c>
      <c r="BN117" s="32">
        <f>求节点(村县营基础信息!AM$8:AM$28,$BG$33:$BG$53,$BL117)*节奏总纲!L114+BN116</f>
        <v>0</v>
      </c>
      <c r="BO117" s="32">
        <f>求节点(村县营基础信息!AN$8:AN$28,$BG$33:$BG$53,$BL117)*节奏总纲!M114+BO116</f>
        <v>0</v>
      </c>
      <c r="BP117" s="32">
        <f>求节点(村县营基础信息!AO$8:AO$28,$BG$33:$BG$53,$BL117)*节奏总纲!N114+BP116</f>
        <v>0</v>
      </c>
      <c r="BQ117" s="32">
        <f>求节点(村县营基础信息!AP$8:AP$28,$BG$33:$BG$53,$BL117)*节奏总纲!O114+BQ116</f>
        <v>0</v>
      </c>
    </row>
    <row r="118" spans="13:69" x14ac:dyDescent="0.15">
      <c r="M118" s="37">
        <v>112</v>
      </c>
      <c r="N118" s="32">
        <f>求节点(村县营基础信息!K$8:K$28,$I$33:$I$53,$M118)*节奏总纲!K115+N117</f>
        <v>0</v>
      </c>
      <c r="O118" s="32">
        <f>求节点(村县营基础信息!L$8:L$28,$I$33:$I$53,$M118)*节奏总纲!L115+O117</f>
        <v>0</v>
      </c>
      <c r="P118" s="32">
        <f>求节点(村县营基础信息!M$8:M$28,$I$33:$I$53,$M118)*节奏总纲!M115+P117</f>
        <v>0</v>
      </c>
      <c r="Q118" s="32">
        <f>求节点(村县营基础信息!N$8:N$28,$I$33:$I$53,$M118)*节奏总纲!N115+Q117</f>
        <v>0</v>
      </c>
      <c r="R118" s="32">
        <f>求节点(村县营基础信息!O$8:O$28,$I$33:$I$53,$M118)*节奏总纲!O115+R117</f>
        <v>0</v>
      </c>
      <c r="AC118" s="37">
        <v>112</v>
      </c>
      <c r="AD118" s="32">
        <f>求节点(村县营基础信息!T$8:T$28,$Y$33:$Y$53,$AC118)*节奏总纲!K115*(1+$B$10)+AD117</f>
        <v>0</v>
      </c>
      <c r="AE118" s="32">
        <f>求节点(村县营基础信息!U$8:U$28,$Y$33:$Y$53,$AC118)*节奏总纲!L115*(1+$B$10)+AE117</f>
        <v>0</v>
      </c>
      <c r="AF118" s="32">
        <f>求节点(村县营基础信息!V$8:V$28,$Y$33:$Y$53,$AC118)*节奏总纲!M115*(1+$B$10)+AF117</f>
        <v>0</v>
      </c>
      <c r="AG118" s="32">
        <f>求节点(村县营基础信息!W$8:W$28,$Y$33:$Y$53,$AC118)*节奏总纲!N115*(1+$B$10)+AG117</f>
        <v>0</v>
      </c>
      <c r="AH118" s="32">
        <f>求节点(村县营基础信息!X$8:X$28,$Y$33:$Y$53,$AC118)*节奏总纲!O115*(1+$B$10)+AH117</f>
        <v>0</v>
      </c>
      <c r="AS118" s="37">
        <v>112</v>
      </c>
      <c r="AT118" s="32">
        <f>求节点(村县营基础信息!AC$8:AC$28,$AN$33:$AN$53,$AS118)*节奏总纲!K115+AT117</f>
        <v>0</v>
      </c>
      <c r="AU118" s="32">
        <f>求节点(村县营基础信息!AD$8:AD$28,$AN$33:$AN$53,$AS118)*节奏总纲!L115+AU117</f>
        <v>0</v>
      </c>
      <c r="AV118" s="32">
        <f>求节点(村县营基础信息!AE$8:AE$28,$AN$33:$AN$53,$AS118)*节奏总纲!M115+AV117</f>
        <v>0</v>
      </c>
      <c r="AW118" s="32">
        <f>求节点(村县营基础信息!AF$8:AF$28,$AN$33:$AN$53,$AS118)*节奏总纲!N115+AW117</f>
        <v>0</v>
      </c>
      <c r="AX118" s="32">
        <f>求节点(村县营基础信息!AG$8:AG$28,$AN$33:$AN$53,$AS118)*节奏总纲!O115+AX117</f>
        <v>0</v>
      </c>
      <c r="BL118" s="37">
        <v>112</v>
      </c>
      <c r="BM118" s="32">
        <f>求节点(村县营基础信息!AL$8:AL$28,$BG$33:$BG$53,$BL118)*节奏总纲!K115+BM117</f>
        <v>0</v>
      </c>
      <c r="BN118" s="32">
        <f>求节点(村县营基础信息!AM$8:AM$28,$BG$33:$BG$53,$BL118)*节奏总纲!L115+BN117</f>
        <v>0</v>
      </c>
      <c r="BO118" s="32">
        <f>求节点(村县营基础信息!AN$8:AN$28,$BG$33:$BG$53,$BL118)*节奏总纲!M115+BO117</f>
        <v>0</v>
      </c>
      <c r="BP118" s="32">
        <f>求节点(村县营基础信息!AO$8:AO$28,$BG$33:$BG$53,$BL118)*节奏总纲!N115+BP117</f>
        <v>0</v>
      </c>
      <c r="BQ118" s="32">
        <f>求节点(村县营基础信息!AP$8:AP$28,$BG$33:$BG$53,$BL118)*节奏总纲!O115+BQ117</f>
        <v>0</v>
      </c>
    </row>
    <row r="119" spans="13:69" x14ac:dyDescent="0.15">
      <c r="M119" s="37">
        <v>113</v>
      </c>
      <c r="N119" s="32">
        <f>求节点(村县营基础信息!K$8:K$28,$I$33:$I$53,$M119)*节奏总纲!K116+N118</f>
        <v>0</v>
      </c>
      <c r="O119" s="32">
        <f>求节点(村县营基础信息!L$8:L$28,$I$33:$I$53,$M119)*节奏总纲!L116+O118</f>
        <v>0</v>
      </c>
      <c r="P119" s="32">
        <f>求节点(村县营基础信息!M$8:M$28,$I$33:$I$53,$M119)*节奏总纲!M116+P118</f>
        <v>0</v>
      </c>
      <c r="Q119" s="32">
        <f>求节点(村县营基础信息!N$8:N$28,$I$33:$I$53,$M119)*节奏总纲!N116+Q118</f>
        <v>0</v>
      </c>
      <c r="R119" s="32">
        <f>求节点(村县营基础信息!O$8:O$28,$I$33:$I$53,$M119)*节奏总纲!O116+R118</f>
        <v>0</v>
      </c>
      <c r="AC119" s="37">
        <v>113</v>
      </c>
      <c r="AD119" s="32">
        <f>求节点(村县营基础信息!T$8:T$28,$Y$33:$Y$53,$AC119)*节奏总纲!K116*(1+$B$10)+AD118</f>
        <v>0</v>
      </c>
      <c r="AE119" s="32">
        <f>求节点(村县营基础信息!U$8:U$28,$Y$33:$Y$53,$AC119)*节奏总纲!L116*(1+$B$10)+AE118</f>
        <v>0</v>
      </c>
      <c r="AF119" s="32">
        <f>求节点(村县营基础信息!V$8:V$28,$Y$33:$Y$53,$AC119)*节奏总纲!M116*(1+$B$10)+AF118</f>
        <v>0</v>
      </c>
      <c r="AG119" s="32">
        <f>求节点(村县营基础信息!W$8:W$28,$Y$33:$Y$53,$AC119)*节奏总纲!N116*(1+$B$10)+AG118</f>
        <v>0</v>
      </c>
      <c r="AH119" s="32">
        <f>求节点(村县营基础信息!X$8:X$28,$Y$33:$Y$53,$AC119)*节奏总纲!O116*(1+$B$10)+AH118</f>
        <v>0</v>
      </c>
      <c r="AS119" s="37">
        <v>113</v>
      </c>
      <c r="AT119" s="32">
        <f>求节点(村县营基础信息!AC$8:AC$28,$AN$33:$AN$53,$AS119)*节奏总纲!K116+AT118</f>
        <v>0</v>
      </c>
      <c r="AU119" s="32">
        <f>求节点(村县营基础信息!AD$8:AD$28,$AN$33:$AN$53,$AS119)*节奏总纲!L116+AU118</f>
        <v>0</v>
      </c>
      <c r="AV119" s="32">
        <f>求节点(村县营基础信息!AE$8:AE$28,$AN$33:$AN$53,$AS119)*节奏总纲!M116+AV118</f>
        <v>0</v>
      </c>
      <c r="AW119" s="32">
        <f>求节点(村县营基础信息!AF$8:AF$28,$AN$33:$AN$53,$AS119)*节奏总纲!N116+AW118</f>
        <v>0</v>
      </c>
      <c r="AX119" s="32">
        <f>求节点(村县营基础信息!AG$8:AG$28,$AN$33:$AN$53,$AS119)*节奏总纲!O116+AX118</f>
        <v>0</v>
      </c>
      <c r="BL119" s="37">
        <v>113</v>
      </c>
      <c r="BM119" s="32">
        <f>求节点(村县营基础信息!AL$8:AL$28,$BG$33:$BG$53,$BL119)*节奏总纲!K116+BM118</f>
        <v>0</v>
      </c>
      <c r="BN119" s="32">
        <f>求节点(村县营基础信息!AM$8:AM$28,$BG$33:$BG$53,$BL119)*节奏总纲!L116+BN118</f>
        <v>0</v>
      </c>
      <c r="BO119" s="32">
        <f>求节点(村县营基础信息!AN$8:AN$28,$BG$33:$BG$53,$BL119)*节奏总纲!M116+BO118</f>
        <v>0</v>
      </c>
      <c r="BP119" s="32">
        <f>求节点(村县营基础信息!AO$8:AO$28,$BG$33:$BG$53,$BL119)*节奏总纲!N116+BP118</f>
        <v>0</v>
      </c>
      <c r="BQ119" s="32">
        <f>求节点(村县营基础信息!AP$8:AP$28,$BG$33:$BG$53,$BL119)*节奏总纲!O116+BQ118</f>
        <v>0</v>
      </c>
    </row>
    <row r="120" spans="13:69" x14ac:dyDescent="0.15">
      <c r="M120" s="37">
        <v>114</v>
      </c>
      <c r="N120" s="32">
        <f>求节点(村县营基础信息!K$8:K$28,$I$33:$I$53,$M120)*节奏总纲!K117+N119</f>
        <v>0</v>
      </c>
      <c r="O120" s="32">
        <f>求节点(村县营基础信息!L$8:L$28,$I$33:$I$53,$M120)*节奏总纲!L117+O119</f>
        <v>0</v>
      </c>
      <c r="P120" s="32">
        <f>求节点(村县营基础信息!M$8:M$28,$I$33:$I$53,$M120)*节奏总纲!M117+P119</f>
        <v>0</v>
      </c>
      <c r="Q120" s="32">
        <f>求节点(村县营基础信息!N$8:N$28,$I$33:$I$53,$M120)*节奏总纲!N117+Q119</f>
        <v>0</v>
      </c>
      <c r="R120" s="32">
        <f>求节点(村县营基础信息!O$8:O$28,$I$33:$I$53,$M120)*节奏总纲!O117+R119</f>
        <v>0</v>
      </c>
      <c r="W120" s="29">
        <v>0</v>
      </c>
      <c r="X120" s="29">
        <v>0</v>
      </c>
      <c r="Y120" s="29">
        <v>0</v>
      </c>
      <c r="Z120" s="29">
        <v>0</v>
      </c>
      <c r="AA120" s="29">
        <v>0</v>
      </c>
      <c r="AC120" s="37">
        <v>114</v>
      </c>
      <c r="AD120" s="32">
        <f>求节点(村县营基础信息!T$8:T$28,$Y$33:$Y$53,$AC120)*节奏总纲!K117*(1+$B$10)+AD119</f>
        <v>0</v>
      </c>
      <c r="AE120" s="32">
        <f>求节点(村县营基础信息!U$8:U$28,$Y$33:$Y$53,$AC120)*节奏总纲!L117*(1+$B$10)+AE119</f>
        <v>0</v>
      </c>
      <c r="AF120" s="32">
        <f>求节点(村县营基础信息!V$8:V$28,$Y$33:$Y$53,$AC120)*节奏总纲!M117*(1+$B$10)+AF119</f>
        <v>0</v>
      </c>
      <c r="AG120" s="32">
        <f>求节点(村县营基础信息!W$8:W$28,$Y$33:$Y$53,$AC120)*节奏总纲!N117*(1+$B$10)+AG119</f>
        <v>0</v>
      </c>
      <c r="AH120" s="32">
        <f>求节点(村县营基础信息!X$8:X$28,$Y$33:$Y$53,$AC120)*节奏总纲!O117*(1+$B$10)+AH119</f>
        <v>0</v>
      </c>
      <c r="AS120" s="37">
        <v>114</v>
      </c>
      <c r="AT120" s="32">
        <f>求节点(村县营基础信息!AC$8:AC$28,$AN$33:$AN$53,$AS120)*节奏总纲!K117+AT119</f>
        <v>0</v>
      </c>
      <c r="AU120" s="32">
        <f>求节点(村县营基础信息!AD$8:AD$28,$AN$33:$AN$53,$AS120)*节奏总纲!L117+AU119</f>
        <v>0</v>
      </c>
      <c r="AV120" s="32">
        <f>求节点(村县营基础信息!AE$8:AE$28,$AN$33:$AN$53,$AS120)*节奏总纲!M117+AV119</f>
        <v>0</v>
      </c>
      <c r="AW120" s="32">
        <f>求节点(村县营基础信息!AF$8:AF$28,$AN$33:$AN$53,$AS120)*节奏总纲!N117+AW119</f>
        <v>0</v>
      </c>
      <c r="AX120" s="32">
        <f>求节点(村县营基础信息!AG$8:AG$28,$AN$33:$AN$53,$AS120)*节奏总纲!O117+AX119</f>
        <v>0</v>
      </c>
      <c r="BL120" s="37">
        <v>114</v>
      </c>
      <c r="BM120" s="32">
        <f>求节点(村县营基础信息!AL$8:AL$28,$BG$33:$BG$53,$BL120)*节奏总纲!K117+BM119</f>
        <v>0</v>
      </c>
      <c r="BN120" s="32">
        <f>求节点(村县营基础信息!AM$8:AM$28,$BG$33:$BG$53,$BL120)*节奏总纲!L117+BN119</f>
        <v>0</v>
      </c>
      <c r="BO120" s="32">
        <f>求节点(村县营基础信息!AN$8:AN$28,$BG$33:$BG$53,$BL120)*节奏总纲!M117+BO119</f>
        <v>0</v>
      </c>
      <c r="BP120" s="32">
        <f>求节点(村县营基础信息!AO$8:AO$28,$BG$33:$BG$53,$BL120)*节奏总纲!N117+BP119</f>
        <v>0</v>
      </c>
      <c r="BQ120" s="32">
        <f>求节点(村县营基础信息!AP$8:AP$28,$BG$33:$BG$53,$BL120)*节奏总纲!O117+BQ119</f>
        <v>0</v>
      </c>
    </row>
    <row r="121" spans="13:69" x14ac:dyDescent="0.15">
      <c r="M121" s="37">
        <v>115</v>
      </c>
      <c r="N121" s="32">
        <f>求节点(村县营基础信息!K$8:K$28,$I$33:$I$53,$M121)*节奏总纲!K118+N120</f>
        <v>0</v>
      </c>
      <c r="O121" s="32">
        <f>求节点(村县营基础信息!L$8:L$28,$I$33:$I$53,$M121)*节奏总纲!L118+O120</f>
        <v>0</v>
      </c>
      <c r="P121" s="32">
        <f>求节点(村县营基础信息!M$8:M$28,$I$33:$I$53,$M121)*节奏总纲!M118+P120</f>
        <v>0</v>
      </c>
      <c r="Q121" s="32">
        <f>求节点(村县营基础信息!N$8:N$28,$I$33:$I$53,$M121)*节奏总纲!N118+Q120</f>
        <v>0</v>
      </c>
      <c r="R121" s="32">
        <f>求节点(村县营基础信息!O$8:O$28,$I$33:$I$53,$M121)*节奏总纲!O118+R120</f>
        <v>0</v>
      </c>
      <c r="W121" s="29">
        <v>0</v>
      </c>
      <c r="X121" s="29">
        <v>0</v>
      </c>
      <c r="Y121" s="29">
        <v>0</v>
      </c>
      <c r="Z121" s="29">
        <v>0</v>
      </c>
      <c r="AA121" s="29">
        <v>0</v>
      </c>
      <c r="AC121" s="37">
        <v>115</v>
      </c>
      <c r="AD121" s="32">
        <f>求节点(村县营基础信息!T$8:T$28,$Y$33:$Y$53,$AC121)*节奏总纲!K118*(1+$B$10)+AD120</f>
        <v>0</v>
      </c>
      <c r="AE121" s="32">
        <f>求节点(村县营基础信息!U$8:U$28,$Y$33:$Y$53,$AC121)*节奏总纲!L118*(1+$B$10)+AE120</f>
        <v>0</v>
      </c>
      <c r="AF121" s="32">
        <f>求节点(村县营基础信息!V$8:V$28,$Y$33:$Y$53,$AC121)*节奏总纲!M118*(1+$B$10)+AF120</f>
        <v>0</v>
      </c>
      <c r="AG121" s="32">
        <f>求节点(村县营基础信息!W$8:W$28,$Y$33:$Y$53,$AC121)*节奏总纲!N118*(1+$B$10)+AG120</f>
        <v>0</v>
      </c>
      <c r="AH121" s="32">
        <f>求节点(村县营基础信息!X$8:X$28,$Y$33:$Y$53,$AC121)*节奏总纲!O118*(1+$B$10)+AH120</f>
        <v>0</v>
      </c>
      <c r="AS121" s="37">
        <v>115</v>
      </c>
      <c r="AT121" s="32">
        <f>求节点(村县营基础信息!AC$8:AC$28,$AN$33:$AN$53,$AS121)*节奏总纲!K118+AT120</f>
        <v>0</v>
      </c>
      <c r="AU121" s="32">
        <f>求节点(村县营基础信息!AD$8:AD$28,$AN$33:$AN$53,$AS121)*节奏总纲!L118+AU120</f>
        <v>0</v>
      </c>
      <c r="AV121" s="32">
        <f>求节点(村县营基础信息!AE$8:AE$28,$AN$33:$AN$53,$AS121)*节奏总纲!M118+AV120</f>
        <v>0</v>
      </c>
      <c r="AW121" s="32">
        <f>求节点(村县营基础信息!AF$8:AF$28,$AN$33:$AN$53,$AS121)*节奏总纲!N118+AW120</f>
        <v>0</v>
      </c>
      <c r="AX121" s="32">
        <f>求节点(村县营基础信息!AG$8:AG$28,$AN$33:$AN$53,$AS121)*节奏总纲!O118+AX120</f>
        <v>0</v>
      </c>
      <c r="BL121" s="37">
        <v>115</v>
      </c>
      <c r="BM121" s="32">
        <f>求节点(村县营基础信息!AL$8:AL$28,$BG$33:$BG$53,$BL121)*节奏总纲!K118+BM120</f>
        <v>0</v>
      </c>
      <c r="BN121" s="32">
        <f>求节点(村县营基础信息!AM$8:AM$28,$BG$33:$BG$53,$BL121)*节奏总纲!L118+BN120</f>
        <v>0</v>
      </c>
      <c r="BO121" s="32">
        <f>求节点(村县营基础信息!AN$8:AN$28,$BG$33:$BG$53,$BL121)*节奏总纲!M118+BO120</f>
        <v>0</v>
      </c>
      <c r="BP121" s="32">
        <f>求节点(村县营基础信息!AO$8:AO$28,$BG$33:$BG$53,$BL121)*节奏总纲!N118+BP120</f>
        <v>0</v>
      </c>
      <c r="BQ121" s="32">
        <f>求节点(村县营基础信息!AP$8:AP$28,$BG$33:$BG$53,$BL121)*节奏总纲!O118+BQ120</f>
        <v>0</v>
      </c>
    </row>
    <row r="122" spans="13:69" x14ac:dyDescent="0.15">
      <c r="M122" s="37">
        <v>116</v>
      </c>
      <c r="N122" s="32">
        <f>求节点(村县营基础信息!K$8:K$28,$I$33:$I$53,$M122)*节奏总纲!K119+N121</f>
        <v>0</v>
      </c>
      <c r="O122" s="32">
        <f>求节点(村县营基础信息!L$8:L$28,$I$33:$I$53,$M122)*节奏总纲!L119+O121</f>
        <v>0</v>
      </c>
      <c r="P122" s="32">
        <f>求节点(村县营基础信息!M$8:M$28,$I$33:$I$53,$M122)*节奏总纲!M119+P121</f>
        <v>0</v>
      </c>
      <c r="Q122" s="32">
        <f>求节点(村县营基础信息!N$8:N$28,$I$33:$I$53,$M122)*节奏总纲!N119+Q121</f>
        <v>0</v>
      </c>
      <c r="R122" s="32">
        <f>求节点(村县营基础信息!O$8:O$28,$I$33:$I$53,$M122)*节奏总纲!O119+R121</f>
        <v>0</v>
      </c>
      <c r="W122" s="29">
        <v>0</v>
      </c>
      <c r="X122" s="29">
        <v>13.601907532757179</v>
      </c>
      <c r="Y122" s="29">
        <v>21.78509690470753</v>
      </c>
      <c r="Z122" s="29">
        <v>23.164953973823387</v>
      </c>
      <c r="AA122" s="29">
        <v>20.700200473277732</v>
      </c>
      <c r="AC122" s="37">
        <v>116</v>
      </c>
      <c r="AD122" s="32">
        <f>求节点(村县营基础信息!T$8:T$28,$Y$33:$Y$53,$AC122)*节奏总纲!K119*(1+$B$10)+AD121</f>
        <v>0</v>
      </c>
      <c r="AE122" s="32">
        <f>求节点(村县营基础信息!U$8:U$28,$Y$33:$Y$53,$AC122)*节奏总纲!L119*(1+$B$10)+AE121</f>
        <v>0</v>
      </c>
      <c r="AF122" s="32">
        <f>求节点(村县营基础信息!V$8:V$28,$Y$33:$Y$53,$AC122)*节奏总纲!M119*(1+$B$10)+AF121</f>
        <v>0</v>
      </c>
      <c r="AG122" s="32">
        <f>求节点(村县营基础信息!W$8:W$28,$Y$33:$Y$53,$AC122)*节奏总纲!N119*(1+$B$10)+AG121</f>
        <v>0</v>
      </c>
      <c r="AH122" s="32">
        <f>求节点(村县营基础信息!X$8:X$28,$Y$33:$Y$53,$AC122)*节奏总纲!O119*(1+$B$10)+AH121</f>
        <v>0</v>
      </c>
      <c r="AS122" s="37">
        <v>116</v>
      </c>
      <c r="AT122" s="32">
        <f>求节点(村县营基础信息!AC$8:AC$28,$AN$33:$AN$53,$AS122)*节奏总纲!K119+AT121</f>
        <v>0</v>
      </c>
      <c r="AU122" s="32">
        <f>求节点(村县营基础信息!AD$8:AD$28,$AN$33:$AN$53,$AS122)*节奏总纲!L119+AU121</f>
        <v>0</v>
      </c>
      <c r="AV122" s="32">
        <f>求节点(村县营基础信息!AE$8:AE$28,$AN$33:$AN$53,$AS122)*节奏总纲!M119+AV121</f>
        <v>0</v>
      </c>
      <c r="AW122" s="32">
        <f>求节点(村县营基础信息!AF$8:AF$28,$AN$33:$AN$53,$AS122)*节奏总纲!N119+AW121</f>
        <v>0</v>
      </c>
      <c r="AX122" s="32">
        <f>求节点(村县营基础信息!AG$8:AG$28,$AN$33:$AN$53,$AS122)*节奏总纲!O119+AX121</f>
        <v>0</v>
      </c>
      <c r="BL122" s="37">
        <v>116</v>
      </c>
      <c r="BM122" s="32">
        <f>求节点(村县营基础信息!AL$8:AL$28,$BG$33:$BG$53,$BL122)*节奏总纲!K119+BM121</f>
        <v>0</v>
      </c>
      <c r="BN122" s="32">
        <f>求节点(村县营基础信息!AM$8:AM$28,$BG$33:$BG$53,$BL122)*节奏总纲!L119+BN121</f>
        <v>0</v>
      </c>
      <c r="BO122" s="32">
        <f>求节点(村县营基础信息!AN$8:AN$28,$BG$33:$BG$53,$BL122)*节奏总纲!M119+BO121</f>
        <v>0</v>
      </c>
      <c r="BP122" s="32">
        <f>求节点(村县营基础信息!AO$8:AO$28,$BG$33:$BG$53,$BL122)*节奏总纲!N119+BP121</f>
        <v>0</v>
      </c>
      <c r="BQ122" s="32">
        <f>求节点(村县营基础信息!AP$8:AP$28,$BG$33:$BG$53,$BL122)*节奏总纲!O119+BQ121</f>
        <v>0</v>
      </c>
    </row>
    <row r="123" spans="13:69" x14ac:dyDescent="0.15">
      <c r="M123" s="37">
        <v>117</v>
      </c>
      <c r="N123" s="32">
        <f>求节点(村县营基础信息!K$8:K$28,$I$33:$I$53,$M123)*节奏总纲!K120+N122</f>
        <v>0</v>
      </c>
      <c r="O123" s="32">
        <f>求节点(村县营基础信息!L$8:L$28,$I$33:$I$53,$M123)*节奏总纲!L120+O122</f>
        <v>0</v>
      </c>
      <c r="P123" s="32">
        <f>求节点(村县营基础信息!M$8:M$28,$I$33:$I$53,$M123)*节奏总纲!M120+P122</f>
        <v>0</v>
      </c>
      <c r="Q123" s="32">
        <f>求节点(村县营基础信息!N$8:N$28,$I$33:$I$53,$M123)*节奏总纲!N120+Q122</f>
        <v>0</v>
      </c>
      <c r="R123" s="32">
        <f>求节点(村县营基础信息!O$8:O$28,$I$33:$I$53,$M123)*节奏总纲!O120+R122</f>
        <v>0</v>
      </c>
      <c r="W123" s="29">
        <v>572.59546333329672</v>
      </c>
      <c r="X123" s="29">
        <v>521.9907439439653</v>
      </c>
      <c r="Y123" s="29">
        <v>444.93331308700283</v>
      </c>
      <c r="Z123" s="29">
        <v>339.22649734110291</v>
      </c>
      <c r="AA123" s="29">
        <v>204.08643475910768</v>
      </c>
      <c r="AC123" s="37">
        <v>117</v>
      </c>
      <c r="AD123" s="32">
        <f>求节点(村县营基础信息!T$8:T$28,$Y$33:$Y$53,$AC123)*节奏总纲!K120*(1+$B$10)+AD122</f>
        <v>0</v>
      </c>
      <c r="AE123" s="32">
        <f>求节点(村县营基础信息!U$8:U$28,$Y$33:$Y$53,$AC123)*节奏总纲!L120*(1+$B$10)+AE122</f>
        <v>0</v>
      </c>
      <c r="AF123" s="32">
        <f>求节点(村县营基础信息!V$8:V$28,$Y$33:$Y$53,$AC123)*节奏总纲!M120*(1+$B$10)+AF122</f>
        <v>0</v>
      </c>
      <c r="AG123" s="32">
        <f>求节点(村县营基础信息!W$8:W$28,$Y$33:$Y$53,$AC123)*节奏总纲!N120*(1+$B$10)+AG122</f>
        <v>0</v>
      </c>
      <c r="AH123" s="32">
        <f>求节点(村县营基础信息!X$8:X$28,$Y$33:$Y$53,$AC123)*节奏总纲!O120*(1+$B$10)+AH122</f>
        <v>0</v>
      </c>
      <c r="AS123" s="37">
        <v>117</v>
      </c>
      <c r="AT123" s="32">
        <f>求节点(村县营基础信息!AC$8:AC$28,$AN$33:$AN$53,$AS123)*节奏总纲!K120+AT122</f>
        <v>0</v>
      </c>
      <c r="AU123" s="32">
        <f>求节点(村县营基础信息!AD$8:AD$28,$AN$33:$AN$53,$AS123)*节奏总纲!L120+AU122</f>
        <v>0</v>
      </c>
      <c r="AV123" s="32">
        <f>求节点(村县营基础信息!AE$8:AE$28,$AN$33:$AN$53,$AS123)*节奏总纲!M120+AV122</f>
        <v>0</v>
      </c>
      <c r="AW123" s="32">
        <f>求节点(村县营基础信息!AF$8:AF$28,$AN$33:$AN$53,$AS123)*节奏总纲!N120+AW122</f>
        <v>0</v>
      </c>
      <c r="AX123" s="32">
        <f>求节点(村县营基础信息!AG$8:AG$28,$AN$33:$AN$53,$AS123)*节奏总纲!O120+AX122</f>
        <v>0</v>
      </c>
      <c r="BL123" s="37">
        <v>117</v>
      </c>
      <c r="BM123" s="32">
        <f>求节点(村县营基础信息!AL$8:AL$28,$BG$33:$BG$53,$BL123)*节奏总纲!K120+BM122</f>
        <v>0</v>
      </c>
      <c r="BN123" s="32">
        <f>求节点(村县营基础信息!AM$8:AM$28,$BG$33:$BG$53,$BL123)*节奏总纲!L120+BN122</f>
        <v>0</v>
      </c>
      <c r="BO123" s="32">
        <f>求节点(村县营基础信息!AN$8:AN$28,$BG$33:$BG$53,$BL123)*节奏总纲!M120+BO122</f>
        <v>0</v>
      </c>
      <c r="BP123" s="32">
        <f>求节点(村县营基础信息!AO$8:AO$28,$BG$33:$BG$53,$BL123)*节奏总纲!N120+BP122</f>
        <v>0</v>
      </c>
      <c r="BQ123" s="32">
        <f>求节点(村县营基础信息!AP$8:AP$28,$BG$33:$BG$53,$BL123)*节奏总纲!O120+BQ122</f>
        <v>0</v>
      </c>
    </row>
    <row r="124" spans="13:69" x14ac:dyDescent="0.15">
      <c r="M124" s="37">
        <v>118</v>
      </c>
      <c r="N124" s="32">
        <f>求节点(村县营基础信息!K$8:K$28,$I$33:$I$53,$M124)*节奏总纲!K121+N123</f>
        <v>0</v>
      </c>
      <c r="O124" s="32">
        <f>求节点(村县营基础信息!L$8:L$28,$I$33:$I$53,$M124)*节奏总纲!L121+O123</f>
        <v>0</v>
      </c>
      <c r="P124" s="32">
        <f>求节点(村县营基础信息!M$8:M$28,$I$33:$I$53,$M124)*节奏总纲!M121+P123</f>
        <v>0</v>
      </c>
      <c r="Q124" s="32">
        <f>求节点(村县营基础信息!N$8:N$28,$I$33:$I$53,$M124)*节奏总纲!N121+Q123</f>
        <v>0</v>
      </c>
      <c r="R124" s="32">
        <f>求节点(村县营基础信息!O$8:O$28,$I$33:$I$53,$M124)*节奏总纲!O121+R123</f>
        <v>0</v>
      </c>
      <c r="W124" s="29">
        <v>1799.9807080719011</v>
      </c>
      <c r="X124" s="29">
        <v>1580.5662857219756</v>
      </c>
      <c r="Y124" s="29">
        <v>1316.0095262032096</v>
      </c>
      <c r="Z124" s="29">
        <v>980.87856794166578</v>
      </c>
      <c r="AA124" s="29">
        <v>564.0400437696087</v>
      </c>
      <c r="AC124" s="37">
        <v>118</v>
      </c>
      <c r="AD124" s="32">
        <f>求节点(村县营基础信息!T$8:T$28,$Y$33:$Y$53,$AC124)*节奏总纲!K121*(1+$B$10)+AD123</f>
        <v>0</v>
      </c>
      <c r="AE124" s="32">
        <f>求节点(村县营基础信息!U$8:U$28,$Y$33:$Y$53,$AC124)*节奏总纲!L121*(1+$B$10)+AE123</f>
        <v>0</v>
      </c>
      <c r="AF124" s="32">
        <f>求节点(村县营基础信息!V$8:V$28,$Y$33:$Y$53,$AC124)*节奏总纲!M121*(1+$B$10)+AF123</f>
        <v>0</v>
      </c>
      <c r="AG124" s="32">
        <f>求节点(村县营基础信息!W$8:W$28,$Y$33:$Y$53,$AC124)*节奏总纲!N121*(1+$B$10)+AG123</f>
        <v>0</v>
      </c>
      <c r="AH124" s="32">
        <f>求节点(村县营基础信息!X$8:X$28,$Y$33:$Y$53,$AC124)*节奏总纲!O121*(1+$B$10)+AH123</f>
        <v>0</v>
      </c>
      <c r="AS124" s="37">
        <v>118</v>
      </c>
      <c r="AT124" s="32">
        <f>求节点(村县营基础信息!AC$8:AC$28,$AN$33:$AN$53,$AS124)*节奏总纲!K121+AT123</f>
        <v>0</v>
      </c>
      <c r="AU124" s="32">
        <f>求节点(村县营基础信息!AD$8:AD$28,$AN$33:$AN$53,$AS124)*节奏总纲!L121+AU123</f>
        <v>0</v>
      </c>
      <c r="AV124" s="32">
        <f>求节点(村县营基础信息!AE$8:AE$28,$AN$33:$AN$53,$AS124)*节奏总纲!M121+AV123</f>
        <v>0</v>
      </c>
      <c r="AW124" s="32">
        <f>求节点(村县营基础信息!AF$8:AF$28,$AN$33:$AN$53,$AS124)*节奏总纲!N121+AW123</f>
        <v>0</v>
      </c>
      <c r="AX124" s="32">
        <f>求节点(村县营基础信息!AG$8:AG$28,$AN$33:$AN$53,$AS124)*节奏总纲!O121+AX123</f>
        <v>0</v>
      </c>
      <c r="BL124" s="37">
        <v>118</v>
      </c>
      <c r="BM124" s="32">
        <f>求节点(村县营基础信息!AL$8:AL$28,$BG$33:$BG$53,$BL124)*节奏总纲!K121+BM123</f>
        <v>0</v>
      </c>
      <c r="BN124" s="32">
        <f>求节点(村县营基础信息!AM$8:AM$28,$BG$33:$BG$53,$BL124)*节奏总纲!L121+BN123</f>
        <v>0</v>
      </c>
      <c r="BO124" s="32">
        <f>求节点(村县营基础信息!AN$8:AN$28,$BG$33:$BG$53,$BL124)*节奏总纲!M121+BO123</f>
        <v>0</v>
      </c>
      <c r="BP124" s="32">
        <f>求节点(村县营基础信息!AO$8:AO$28,$BG$33:$BG$53,$BL124)*节奏总纲!N121+BP123</f>
        <v>0</v>
      </c>
      <c r="BQ124" s="32">
        <f>求节点(村县营基础信息!AP$8:AP$28,$BG$33:$BG$53,$BL124)*节奏总纲!O121+BQ123</f>
        <v>0</v>
      </c>
    </row>
    <row r="125" spans="13:69" x14ac:dyDescent="0.15">
      <c r="M125" s="37">
        <v>119</v>
      </c>
      <c r="N125" s="32">
        <f>求节点(村县营基础信息!K$8:K$28,$I$33:$I$53,$M125)*节奏总纲!K122+N124</f>
        <v>0</v>
      </c>
      <c r="O125" s="32">
        <f>求节点(村县营基础信息!L$8:L$28,$I$33:$I$53,$M125)*节奏总纲!L122+O124</f>
        <v>0</v>
      </c>
      <c r="P125" s="32">
        <f>求节点(村县营基础信息!M$8:M$28,$I$33:$I$53,$M125)*节奏总纲!M122+P124</f>
        <v>0</v>
      </c>
      <c r="Q125" s="32">
        <f>求节点(村县营基础信息!N$8:N$28,$I$33:$I$53,$M125)*节奏总纲!N122+Q124</f>
        <v>0</v>
      </c>
      <c r="R125" s="32">
        <f>求节点(村县营基础信息!O$8:O$28,$I$33:$I$53,$M125)*节奏总纲!O122+R124</f>
        <v>0</v>
      </c>
      <c r="W125" s="29">
        <v>3553.9526195644944</v>
      </c>
      <c r="X125" s="29">
        <v>3106.2290515706673</v>
      </c>
      <c r="Y125" s="29">
        <v>2551.6397619224736</v>
      </c>
      <c r="Z125" s="29">
        <v>1903.4473163596413</v>
      </c>
      <c r="AA125" s="29">
        <v>1092.6835143550252</v>
      </c>
      <c r="AC125" s="37">
        <v>119</v>
      </c>
      <c r="AD125" s="32">
        <f>求节点(村县营基础信息!T$8:T$28,$Y$33:$Y$53,$AC125)*节奏总纲!K122*(1+$B$10)+AD124</f>
        <v>0</v>
      </c>
      <c r="AE125" s="32">
        <f>求节点(村县营基础信息!U$8:U$28,$Y$33:$Y$53,$AC125)*节奏总纲!L122*(1+$B$10)+AE124</f>
        <v>0</v>
      </c>
      <c r="AF125" s="32">
        <f>求节点(村县营基础信息!V$8:V$28,$Y$33:$Y$53,$AC125)*节奏总纲!M122*(1+$B$10)+AF124</f>
        <v>0</v>
      </c>
      <c r="AG125" s="32">
        <f>求节点(村县营基础信息!W$8:W$28,$Y$33:$Y$53,$AC125)*节奏总纲!N122*(1+$B$10)+AG124</f>
        <v>0</v>
      </c>
      <c r="AH125" s="32">
        <f>求节点(村县营基础信息!X$8:X$28,$Y$33:$Y$53,$AC125)*节奏总纲!O122*(1+$B$10)+AH124</f>
        <v>0</v>
      </c>
      <c r="AS125" s="37">
        <v>119</v>
      </c>
      <c r="AT125" s="32">
        <f>求节点(村县营基础信息!AC$8:AC$28,$AN$33:$AN$53,$AS125)*节奏总纲!K122+AT124</f>
        <v>0</v>
      </c>
      <c r="AU125" s="32">
        <f>求节点(村县营基础信息!AD$8:AD$28,$AN$33:$AN$53,$AS125)*节奏总纲!L122+AU124</f>
        <v>0</v>
      </c>
      <c r="AV125" s="32">
        <f>求节点(村县营基础信息!AE$8:AE$28,$AN$33:$AN$53,$AS125)*节奏总纲!M122+AV124</f>
        <v>0</v>
      </c>
      <c r="AW125" s="32">
        <f>求节点(村县营基础信息!AF$8:AF$28,$AN$33:$AN$53,$AS125)*节奏总纲!N122+AW124</f>
        <v>0</v>
      </c>
      <c r="AX125" s="32">
        <f>求节点(村县营基础信息!AG$8:AG$28,$AN$33:$AN$53,$AS125)*节奏总纲!O122+AX124</f>
        <v>0</v>
      </c>
      <c r="BL125" s="37">
        <v>119</v>
      </c>
      <c r="BM125" s="32">
        <f>求节点(村县营基础信息!AL$8:AL$28,$BG$33:$BG$53,$BL125)*节奏总纲!K122+BM124</f>
        <v>0</v>
      </c>
      <c r="BN125" s="32">
        <f>求节点(村县营基础信息!AM$8:AM$28,$BG$33:$BG$53,$BL125)*节奏总纲!L122+BN124</f>
        <v>0</v>
      </c>
      <c r="BO125" s="32">
        <f>求节点(村县营基础信息!AN$8:AN$28,$BG$33:$BG$53,$BL125)*节奏总纲!M122+BO124</f>
        <v>0</v>
      </c>
      <c r="BP125" s="32">
        <f>求节点(村县营基础信息!AO$8:AO$28,$BG$33:$BG$53,$BL125)*节奏总纲!N122+BP124</f>
        <v>0</v>
      </c>
      <c r="BQ125" s="32">
        <f>求节点(村县营基础信息!AP$8:AP$28,$BG$33:$BG$53,$BL125)*节奏总纲!O122+BQ124</f>
        <v>0</v>
      </c>
    </row>
    <row r="126" spans="13:69" x14ac:dyDescent="0.15">
      <c r="M126" s="37">
        <v>120</v>
      </c>
      <c r="N126" s="32">
        <f>求节点(村县营基础信息!K$8:K$28,$I$33:$I$53,$M126)*节奏总纲!K123+N125</f>
        <v>0</v>
      </c>
      <c r="O126" s="32">
        <f>求节点(村县营基础信息!L$8:L$28,$I$33:$I$53,$M126)*节奏总纲!L123+O125</f>
        <v>0</v>
      </c>
      <c r="P126" s="32">
        <f>求节点(村县营基础信息!M$8:M$28,$I$33:$I$53,$M126)*节奏总纲!M123+P125</f>
        <v>0</v>
      </c>
      <c r="Q126" s="32">
        <f>求节点(村县营基础信息!N$8:N$28,$I$33:$I$53,$M126)*节奏总纲!N123+Q125</f>
        <v>0</v>
      </c>
      <c r="R126" s="32">
        <f>求节点(村县营基础信息!O$8:O$28,$I$33:$I$53,$M126)*节奏总纲!O123+R125</f>
        <v>0</v>
      </c>
      <c r="W126" s="29">
        <v>5903.7783055292703</v>
      </c>
      <c r="X126" s="29">
        <v>5176.8288057479931</v>
      </c>
      <c r="Y126" s="29">
        <v>4278.6284288217903</v>
      </c>
      <c r="Z126" s="29">
        <v>3159.3752726238108</v>
      </c>
      <c r="AA126" s="29">
        <v>1790.0777540552124</v>
      </c>
      <c r="AC126" s="37">
        <v>120</v>
      </c>
      <c r="AD126" s="32">
        <f>求节点(村县营基础信息!T$8:T$28,$Y$33:$Y$53,$AC126)*节奏总纲!K123*(1+$B$10)+AD125</f>
        <v>0</v>
      </c>
      <c r="AE126" s="32">
        <f>求节点(村县营基础信息!U$8:U$28,$Y$33:$Y$53,$AC126)*节奏总纲!L123*(1+$B$10)+AE125</f>
        <v>0</v>
      </c>
      <c r="AF126" s="32">
        <f>求节点(村县营基础信息!V$8:V$28,$Y$33:$Y$53,$AC126)*节奏总纲!M123*(1+$B$10)+AF125</f>
        <v>0</v>
      </c>
      <c r="AG126" s="32">
        <f>求节点(村县营基础信息!W$8:W$28,$Y$33:$Y$53,$AC126)*节奏总纲!N123*(1+$B$10)+AG125</f>
        <v>0</v>
      </c>
      <c r="AH126" s="32">
        <f>求节点(村县营基础信息!X$8:X$28,$Y$33:$Y$53,$AC126)*节奏总纲!O123*(1+$B$10)+AH125</f>
        <v>0</v>
      </c>
      <c r="AS126" s="37">
        <v>120</v>
      </c>
      <c r="AT126" s="32">
        <f>求节点(村县营基础信息!AC$8:AC$28,$AN$33:$AN$53,$AS126)*节奏总纲!K123+AT125</f>
        <v>0</v>
      </c>
      <c r="AU126" s="32">
        <f>求节点(村县营基础信息!AD$8:AD$28,$AN$33:$AN$53,$AS126)*节奏总纲!L123+AU125</f>
        <v>0</v>
      </c>
      <c r="AV126" s="32">
        <f>求节点(村县营基础信息!AE$8:AE$28,$AN$33:$AN$53,$AS126)*节奏总纲!M123+AV125</f>
        <v>0</v>
      </c>
      <c r="AW126" s="32">
        <f>求节点(村县营基础信息!AF$8:AF$28,$AN$33:$AN$53,$AS126)*节奏总纲!N123+AW125</f>
        <v>0</v>
      </c>
      <c r="AX126" s="32">
        <f>求节点(村县营基础信息!AG$8:AG$28,$AN$33:$AN$53,$AS126)*节奏总纲!O123+AX125</f>
        <v>0</v>
      </c>
      <c r="BL126" s="37">
        <v>120</v>
      </c>
      <c r="BM126" s="32">
        <f>求节点(村县营基础信息!AL$8:AL$28,$BG$33:$BG$53,$BL126)*节奏总纲!K123+BM125</f>
        <v>0</v>
      </c>
      <c r="BN126" s="32">
        <f>求节点(村县营基础信息!AM$8:AM$28,$BG$33:$BG$53,$BL126)*节奏总纲!L123+BN125</f>
        <v>0</v>
      </c>
      <c r="BO126" s="32">
        <f>求节点(村县营基础信息!AN$8:AN$28,$BG$33:$BG$53,$BL126)*节奏总纲!M123+BO125</f>
        <v>0</v>
      </c>
      <c r="BP126" s="32">
        <f>求节点(村县营基础信息!AO$8:AO$28,$BG$33:$BG$53,$BL126)*节奏总纲!N123+BP125</f>
        <v>0</v>
      </c>
      <c r="BQ126" s="32">
        <f>求节点(村县营基础信息!AP$8:AP$28,$BG$33:$BG$53,$BL126)*节奏总纲!O123+BQ125</f>
        <v>0</v>
      </c>
    </row>
    <row r="127" spans="13:69" x14ac:dyDescent="0.15">
      <c r="M127" s="37">
        <v>121</v>
      </c>
      <c r="N127" s="32">
        <f>求节点(村县营基础信息!K$8:K$28,$I$33:$I$53,$M127)*节奏总纲!K124+N126</f>
        <v>0</v>
      </c>
      <c r="O127" s="32">
        <f>求节点(村县营基础信息!L$8:L$28,$I$33:$I$53,$M127)*节奏总纲!L124+O126</f>
        <v>0</v>
      </c>
      <c r="P127" s="32">
        <f>求节点(村县营基础信息!M$8:M$28,$I$33:$I$53,$M127)*节奏总纲!M124+P126</f>
        <v>0</v>
      </c>
      <c r="Q127" s="32">
        <f>求节点(村县营基础信息!N$8:N$28,$I$33:$I$53,$M127)*节奏总纲!N124+Q126</f>
        <v>0</v>
      </c>
      <c r="R127" s="32">
        <f>求节点(村县营基础信息!O$8:O$28,$I$33:$I$53,$M127)*节奏总纲!O124+R126</f>
        <v>0</v>
      </c>
      <c r="W127" s="29">
        <v>8925.9552796930984</v>
      </c>
      <c r="X127" s="29">
        <v>7786.4515368381744</v>
      </c>
      <c r="Y127" s="29">
        <v>6404.3457318955861</v>
      </c>
      <c r="Z127" s="29">
        <v>4685.6833860626157</v>
      </c>
      <c r="AA127" s="29">
        <v>2630.2864604716415</v>
      </c>
      <c r="AC127" s="37">
        <v>121</v>
      </c>
      <c r="AD127" s="32">
        <f>求节点(村县营基础信息!T$8:T$28,$Y$33:$Y$53,$AC127)*节奏总纲!K124*(1+$B$10)+AD126</f>
        <v>0</v>
      </c>
      <c r="AE127" s="32">
        <f>求节点(村县营基础信息!U$8:U$28,$Y$33:$Y$53,$AC127)*节奏总纲!L124*(1+$B$10)+AE126</f>
        <v>0</v>
      </c>
      <c r="AF127" s="32">
        <f>求节点(村县营基础信息!V$8:V$28,$Y$33:$Y$53,$AC127)*节奏总纲!M124*(1+$B$10)+AF126</f>
        <v>0</v>
      </c>
      <c r="AG127" s="32">
        <f>求节点(村县营基础信息!W$8:W$28,$Y$33:$Y$53,$AC127)*节奏总纲!N124*(1+$B$10)+AG126</f>
        <v>0</v>
      </c>
      <c r="AH127" s="32">
        <f>求节点(村县营基础信息!X$8:X$28,$Y$33:$Y$53,$AC127)*节奏总纲!O124*(1+$B$10)+AH126</f>
        <v>0</v>
      </c>
      <c r="AS127" s="37">
        <v>121</v>
      </c>
      <c r="AT127" s="32">
        <f>求节点(村县营基础信息!AC$8:AC$28,$AN$33:$AN$53,$AS127)*节奏总纲!K124+AT126</f>
        <v>0</v>
      </c>
      <c r="AU127" s="32">
        <f>求节点(村县营基础信息!AD$8:AD$28,$AN$33:$AN$53,$AS127)*节奏总纲!L124+AU126</f>
        <v>0</v>
      </c>
      <c r="AV127" s="32">
        <f>求节点(村县营基础信息!AE$8:AE$28,$AN$33:$AN$53,$AS127)*节奏总纲!M124+AV126</f>
        <v>0</v>
      </c>
      <c r="AW127" s="32">
        <f>求节点(村县营基础信息!AF$8:AF$28,$AN$33:$AN$53,$AS127)*节奏总纲!N124+AW126</f>
        <v>0</v>
      </c>
      <c r="AX127" s="32">
        <f>求节点(村县营基础信息!AG$8:AG$28,$AN$33:$AN$53,$AS127)*节奏总纲!O124+AX126</f>
        <v>0</v>
      </c>
      <c r="BL127" s="37">
        <v>121</v>
      </c>
      <c r="BM127" s="32">
        <f>求节点(村县营基础信息!AL$8:AL$28,$BG$33:$BG$53,$BL127)*节奏总纲!K124+BM126</f>
        <v>0</v>
      </c>
      <c r="BN127" s="32">
        <f>求节点(村县营基础信息!AM$8:AM$28,$BG$33:$BG$53,$BL127)*节奏总纲!L124+BN126</f>
        <v>0</v>
      </c>
      <c r="BO127" s="32">
        <f>求节点(村县营基础信息!AN$8:AN$28,$BG$33:$BG$53,$BL127)*节奏总纲!M124+BO126</f>
        <v>0</v>
      </c>
      <c r="BP127" s="32">
        <f>求节点(村县营基础信息!AO$8:AO$28,$BG$33:$BG$53,$BL127)*节奏总纲!N124+BP126</f>
        <v>0</v>
      </c>
      <c r="BQ127" s="32">
        <f>求节点(村县营基础信息!AP$8:AP$28,$BG$33:$BG$53,$BL127)*节奏总纲!O124+BQ126</f>
        <v>0</v>
      </c>
    </row>
    <row r="128" spans="13:69" x14ac:dyDescent="0.15">
      <c r="M128" s="37">
        <v>122</v>
      </c>
      <c r="N128" s="32">
        <f>求节点(村县营基础信息!K$8:K$28,$I$33:$I$53,$M128)*节奏总纲!K125+N127</f>
        <v>0</v>
      </c>
      <c r="O128" s="32">
        <f>求节点(村县营基础信息!L$8:L$28,$I$33:$I$53,$M128)*节奏总纲!L125+O127</f>
        <v>0</v>
      </c>
      <c r="P128" s="32">
        <f>求节点(村县营基础信息!M$8:M$28,$I$33:$I$53,$M128)*节奏总纲!M125+P127</f>
        <v>0</v>
      </c>
      <c r="Q128" s="32">
        <f>求节点(村县营基础信息!N$8:N$28,$I$33:$I$53,$M128)*节奏总纲!N125+Q127</f>
        <v>0</v>
      </c>
      <c r="R128" s="32">
        <f>求节点(村县营基础信息!O$8:O$28,$I$33:$I$53,$M128)*节奏总纲!O125+R127</f>
        <v>0</v>
      </c>
      <c r="W128" s="29">
        <v>12569.930494689746</v>
      </c>
      <c r="X128" s="29">
        <v>10931.13343985449</v>
      </c>
      <c r="Y128" s="29">
        <v>8920.6770576175277</v>
      </c>
      <c r="Z128" s="29">
        <v>6507.3214437901715</v>
      </c>
      <c r="AA128" s="29">
        <v>3617.7452936920758</v>
      </c>
      <c r="AC128" s="37">
        <v>122</v>
      </c>
      <c r="AD128" s="32">
        <f>求节点(村县营基础信息!T$8:T$28,$Y$33:$Y$53,$AC128)*节奏总纲!K125*(1+$B$10)+AD127</f>
        <v>0</v>
      </c>
      <c r="AE128" s="32">
        <f>求节点(村县营基础信息!U$8:U$28,$Y$33:$Y$53,$AC128)*节奏总纲!L125*(1+$B$10)+AE127</f>
        <v>0</v>
      </c>
      <c r="AF128" s="32">
        <f>求节点(村县营基础信息!V$8:V$28,$Y$33:$Y$53,$AC128)*节奏总纲!M125*(1+$B$10)+AF127</f>
        <v>0</v>
      </c>
      <c r="AG128" s="32">
        <f>求节点(村县营基础信息!W$8:W$28,$Y$33:$Y$53,$AC128)*节奏总纲!N125*(1+$B$10)+AG127</f>
        <v>0</v>
      </c>
      <c r="AH128" s="32">
        <f>求节点(村县营基础信息!X$8:X$28,$Y$33:$Y$53,$AC128)*节奏总纲!O125*(1+$B$10)+AH127</f>
        <v>0</v>
      </c>
      <c r="AS128" s="37">
        <v>122</v>
      </c>
      <c r="AT128" s="32">
        <f>求节点(村县营基础信息!AC$8:AC$28,$AN$33:$AN$53,$AS128)*节奏总纲!K125+AT127</f>
        <v>0</v>
      </c>
      <c r="AU128" s="32">
        <f>求节点(村县营基础信息!AD$8:AD$28,$AN$33:$AN$53,$AS128)*节奏总纲!L125+AU127</f>
        <v>0</v>
      </c>
      <c r="AV128" s="32">
        <f>求节点(村县营基础信息!AE$8:AE$28,$AN$33:$AN$53,$AS128)*节奏总纲!M125+AV127</f>
        <v>0</v>
      </c>
      <c r="AW128" s="32">
        <f>求节点(村县营基础信息!AF$8:AF$28,$AN$33:$AN$53,$AS128)*节奏总纲!N125+AW127</f>
        <v>0</v>
      </c>
      <c r="AX128" s="32">
        <f>求节点(村县营基础信息!AG$8:AG$28,$AN$33:$AN$53,$AS128)*节奏总纲!O125+AX127</f>
        <v>0</v>
      </c>
      <c r="BL128" s="37">
        <v>122</v>
      </c>
      <c r="BM128" s="32">
        <f>求节点(村县营基础信息!AL$8:AL$28,$BG$33:$BG$53,$BL128)*节奏总纲!K125+BM127</f>
        <v>0</v>
      </c>
      <c r="BN128" s="32">
        <f>求节点(村县营基础信息!AM$8:AM$28,$BG$33:$BG$53,$BL128)*节奏总纲!L125+BN127</f>
        <v>0</v>
      </c>
      <c r="BO128" s="32">
        <f>求节点(村县营基础信息!AN$8:AN$28,$BG$33:$BG$53,$BL128)*节奏总纲!M125+BO127</f>
        <v>0</v>
      </c>
      <c r="BP128" s="32">
        <f>求节点(村县营基础信息!AO$8:AO$28,$BG$33:$BG$53,$BL128)*节奏总纲!N125+BP127</f>
        <v>0</v>
      </c>
      <c r="BQ128" s="32">
        <f>求节点(村县营基础信息!AP$8:AP$28,$BG$33:$BG$53,$BL128)*节奏总纲!O125+BQ127</f>
        <v>0</v>
      </c>
    </row>
    <row r="129" spans="13:69" x14ac:dyDescent="0.15">
      <c r="M129" s="37">
        <v>123</v>
      </c>
      <c r="N129" s="32">
        <f>求节点(村县营基础信息!K$8:K$28,$I$33:$I$53,$M129)*节奏总纲!K126+N128</f>
        <v>0</v>
      </c>
      <c r="O129" s="32">
        <f>求节点(村县营基础信息!L$8:L$28,$I$33:$I$53,$M129)*节奏总纲!L126+O128</f>
        <v>0</v>
      </c>
      <c r="P129" s="32">
        <f>求节点(村县营基础信息!M$8:M$28,$I$33:$I$53,$M129)*节奏总纲!M126+P128</f>
        <v>0</v>
      </c>
      <c r="Q129" s="32">
        <f>求节点(村县营基础信息!N$8:N$28,$I$33:$I$53,$M129)*节奏总纲!N126+Q128</f>
        <v>0</v>
      </c>
      <c r="R129" s="32">
        <f>求节点(村县营基础信息!O$8:O$28,$I$33:$I$53,$M129)*节奏总纲!O126+R128</f>
        <v>0</v>
      </c>
      <c r="W129" s="29">
        <v>16909.392643104627</v>
      </c>
      <c r="X129" s="29">
        <v>14618.538206099269</v>
      </c>
      <c r="Y129" s="29">
        <v>11913.873406880382</v>
      </c>
      <c r="Z129" s="29">
        <v>8796.1965706514347</v>
      </c>
      <c r="AA129" s="29">
        <v>4987.9726025839009</v>
      </c>
      <c r="AC129" s="37">
        <v>123</v>
      </c>
      <c r="AD129" s="32">
        <f>求节点(村县营基础信息!T$8:T$28,$Y$33:$Y$53,$AC129)*节奏总纲!K126*(1+$B$10)+AD128</f>
        <v>0</v>
      </c>
      <c r="AE129" s="32">
        <f>求节点(村县营基础信息!U$8:U$28,$Y$33:$Y$53,$AC129)*节奏总纲!L126*(1+$B$10)+AE128</f>
        <v>0</v>
      </c>
      <c r="AF129" s="32">
        <f>求节点(村县营基础信息!V$8:V$28,$Y$33:$Y$53,$AC129)*节奏总纲!M126*(1+$B$10)+AF128</f>
        <v>0</v>
      </c>
      <c r="AG129" s="32">
        <f>求节点(村县营基础信息!W$8:W$28,$Y$33:$Y$53,$AC129)*节奏总纲!N126*(1+$B$10)+AG128</f>
        <v>0</v>
      </c>
      <c r="AH129" s="32">
        <f>求节点(村县营基础信息!X$8:X$28,$Y$33:$Y$53,$AC129)*节奏总纲!O126*(1+$B$10)+AH128</f>
        <v>0</v>
      </c>
      <c r="AS129" s="37">
        <v>123</v>
      </c>
      <c r="AT129" s="32">
        <f>求节点(村县营基础信息!AC$8:AC$28,$AN$33:$AN$53,$AS129)*节奏总纲!K126+AT128</f>
        <v>0</v>
      </c>
      <c r="AU129" s="32">
        <f>求节点(村县营基础信息!AD$8:AD$28,$AN$33:$AN$53,$AS129)*节奏总纲!L126+AU128</f>
        <v>0</v>
      </c>
      <c r="AV129" s="32">
        <f>求节点(村县营基础信息!AE$8:AE$28,$AN$33:$AN$53,$AS129)*节奏总纲!M126+AV128</f>
        <v>0</v>
      </c>
      <c r="AW129" s="32">
        <f>求节点(村县营基础信息!AF$8:AF$28,$AN$33:$AN$53,$AS129)*节奏总纲!N126+AW128</f>
        <v>0</v>
      </c>
      <c r="AX129" s="32">
        <f>求节点(村县营基础信息!AG$8:AG$28,$AN$33:$AN$53,$AS129)*节奏总纲!O126+AX128</f>
        <v>0</v>
      </c>
      <c r="BL129" s="37">
        <v>123</v>
      </c>
      <c r="BM129" s="32">
        <f>求节点(村县营基础信息!AL$8:AL$28,$BG$33:$BG$53,$BL129)*节奏总纲!K126+BM128</f>
        <v>0</v>
      </c>
      <c r="BN129" s="32">
        <f>求节点(村县营基础信息!AM$8:AM$28,$BG$33:$BG$53,$BL129)*节奏总纲!L126+BN128</f>
        <v>0</v>
      </c>
      <c r="BO129" s="32">
        <f>求节点(村县营基础信息!AN$8:AN$28,$BG$33:$BG$53,$BL129)*节奏总纲!M126+BO128</f>
        <v>0</v>
      </c>
      <c r="BP129" s="32">
        <f>求节点(村县营基础信息!AO$8:AO$28,$BG$33:$BG$53,$BL129)*节奏总纲!N126+BP128</f>
        <v>0</v>
      </c>
      <c r="BQ129" s="32">
        <f>求节点(村县营基础信息!AP$8:AP$28,$BG$33:$BG$53,$BL129)*节奏总纲!O126+BQ128</f>
        <v>0</v>
      </c>
    </row>
    <row r="130" spans="13:69" x14ac:dyDescent="0.15">
      <c r="M130" s="37">
        <v>124</v>
      </c>
      <c r="N130" s="32">
        <f>求节点(村县营基础信息!K$8:K$28,$I$33:$I$53,$M130)*节奏总纲!K127+N129</f>
        <v>0</v>
      </c>
      <c r="O130" s="32">
        <f>求节点(村县营基础信息!L$8:L$28,$I$33:$I$53,$M130)*节奏总纲!L127+O129</f>
        <v>0</v>
      </c>
      <c r="P130" s="32">
        <f>求节点(村县营基础信息!M$8:M$28,$I$33:$I$53,$M130)*节奏总纲!M127+P129</f>
        <v>0</v>
      </c>
      <c r="Q130" s="32">
        <f>求节点(村县营基础信息!N$8:N$28,$I$33:$I$53,$M130)*节奏总纲!N127+Q129</f>
        <v>0</v>
      </c>
      <c r="R130" s="32">
        <f>求节点(村县营基础信息!O$8:O$28,$I$33:$I$53,$M130)*节奏总纲!O127+R129</f>
        <v>0</v>
      </c>
      <c r="W130" s="29">
        <v>22025.405052691603</v>
      </c>
      <c r="X130" s="29">
        <v>19252.912559833476</v>
      </c>
      <c r="Y130" s="29">
        <v>15908.731123834474</v>
      </c>
      <c r="Z130" s="29">
        <v>11774.456556403091</v>
      </c>
      <c r="AA130" s="29">
        <v>6560.4140111932666</v>
      </c>
      <c r="AC130" s="37">
        <v>124</v>
      </c>
      <c r="AD130" s="32">
        <f>求节点(村县营基础信息!T$8:T$28,$Y$33:$Y$53,$AC130)*节奏总纲!K127*(1+$B$10)+AD129</f>
        <v>0</v>
      </c>
      <c r="AE130" s="32">
        <f>求节点(村县营基础信息!U$8:U$28,$Y$33:$Y$53,$AC130)*节奏总纲!L127*(1+$B$10)+AE129</f>
        <v>0</v>
      </c>
      <c r="AF130" s="32">
        <f>求节点(村县营基础信息!V$8:V$28,$Y$33:$Y$53,$AC130)*节奏总纲!M127*(1+$B$10)+AF129</f>
        <v>0</v>
      </c>
      <c r="AG130" s="32">
        <f>求节点(村县营基础信息!W$8:W$28,$Y$33:$Y$53,$AC130)*节奏总纲!N127*(1+$B$10)+AG129</f>
        <v>0</v>
      </c>
      <c r="AH130" s="32">
        <f>求节点(村县营基础信息!X$8:X$28,$Y$33:$Y$53,$AC130)*节奏总纲!O127*(1+$B$10)+AH129</f>
        <v>0</v>
      </c>
      <c r="AS130" s="37">
        <v>124</v>
      </c>
      <c r="AT130" s="32">
        <f>求节点(村县营基础信息!AC$8:AC$28,$AN$33:$AN$53,$AS130)*节奏总纲!K127+AT129</f>
        <v>0</v>
      </c>
      <c r="AU130" s="32">
        <f>求节点(村县营基础信息!AD$8:AD$28,$AN$33:$AN$53,$AS130)*节奏总纲!L127+AU129</f>
        <v>0</v>
      </c>
      <c r="AV130" s="32">
        <f>求节点(村县营基础信息!AE$8:AE$28,$AN$33:$AN$53,$AS130)*节奏总纲!M127+AV129</f>
        <v>0</v>
      </c>
      <c r="AW130" s="32">
        <f>求节点(村县营基础信息!AF$8:AF$28,$AN$33:$AN$53,$AS130)*节奏总纲!N127+AW129</f>
        <v>0</v>
      </c>
      <c r="AX130" s="32">
        <f>求节点(村县营基础信息!AG$8:AG$28,$AN$33:$AN$53,$AS130)*节奏总纲!O127+AX129</f>
        <v>0</v>
      </c>
      <c r="BL130" s="37">
        <v>124</v>
      </c>
      <c r="BM130" s="32">
        <f>求节点(村县营基础信息!AL$8:AL$28,$BG$33:$BG$53,$BL130)*节奏总纲!K127+BM129</f>
        <v>0</v>
      </c>
      <c r="BN130" s="32">
        <f>求节点(村县营基础信息!AM$8:AM$28,$BG$33:$BG$53,$BL130)*节奏总纲!L127+BN129</f>
        <v>0</v>
      </c>
      <c r="BO130" s="32">
        <f>求节点(村县营基础信息!AN$8:AN$28,$BG$33:$BG$53,$BL130)*节奏总纲!M127+BO129</f>
        <v>0</v>
      </c>
      <c r="BP130" s="32">
        <f>求节点(村县营基础信息!AO$8:AO$28,$BG$33:$BG$53,$BL130)*节奏总纲!N127+BP129</f>
        <v>0</v>
      </c>
      <c r="BQ130" s="32">
        <f>求节点(村县营基础信息!AP$8:AP$28,$BG$33:$BG$53,$BL130)*节奏总纲!O127+BQ129</f>
        <v>0</v>
      </c>
    </row>
    <row r="131" spans="13:69" x14ac:dyDescent="0.15">
      <c r="M131" s="37">
        <v>125</v>
      </c>
      <c r="N131" s="32">
        <f>求节点(村县营基础信息!K$8:K$28,$I$33:$I$53,$M131)*节奏总纲!K128+N130</f>
        <v>0</v>
      </c>
      <c r="O131" s="32">
        <f>求节点(村县营基础信息!L$8:L$28,$I$33:$I$53,$M131)*节奏总纲!L128+O130</f>
        <v>0</v>
      </c>
      <c r="P131" s="32">
        <f>求节点(村县营基础信息!M$8:M$28,$I$33:$I$53,$M131)*节奏总纲!M128+P130</f>
        <v>0</v>
      </c>
      <c r="Q131" s="32">
        <f>求节点(村县营基础信息!N$8:N$28,$I$33:$I$53,$M131)*节奏总纲!N128+Q130</f>
        <v>0</v>
      </c>
      <c r="R131" s="32">
        <f>求节点(村县营基础信息!O$8:O$28,$I$33:$I$53,$M131)*节奏总纲!O128+R130</f>
        <v>0</v>
      </c>
      <c r="W131" s="29">
        <v>28007.084690438896</v>
      </c>
      <c r="X131" s="29">
        <v>24449.256940547126</v>
      </c>
      <c r="Y131" s="29">
        <v>20047.082552408348</v>
      </c>
      <c r="Z131" s="29">
        <v>14654.353115710632</v>
      </c>
      <c r="AA131" s="29">
        <v>8132.1028447101444</v>
      </c>
      <c r="AC131" s="37">
        <v>125</v>
      </c>
      <c r="AD131" s="32">
        <f>求节点(村县营基础信息!T$8:T$28,$Y$33:$Y$53,$AC131)*节奏总纲!K128*(1+$B$10)+AD130</f>
        <v>0</v>
      </c>
      <c r="AE131" s="32">
        <f>求节点(村县营基础信息!U$8:U$28,$Y$33:$Y$53,$AC131)*节奏总纲!L128*(1+$B$10)+AE130</f>
        <v>0</v>
      </c>
      <c r="AF131" s="32">
        <f>求节点(村县营基础信息!V$8:V$28,$Y$33:$Y$53,$AC131)*节奏总纲!M128*(1+$B$10)+AF130</f>
        <v>0</v>
      </c>
      <c r="AG131" s="32">
        <f>求节点(村县营基础信息!W$8:W$28,$Y$33:$Y$53,$AC131)*节奏总纲!N128*(1+$B$10)+AG130</f>
        <v>0</v>
      </c>
      <c r="AH131" s="32">
        <f>求节点(村县营基础信息!X$8:X$28,$Y$33:$Y$53,$AC131)*节奏总纲!O128*(1+$B$10)+AH130</f>
        <v>0</v>
      </c>
      <c r="AS131" s="37">
        <v>125</v>
      </c>
      <c r="AT131" s="32">
        <f>求节点(村县营基础信息!AC$8:AC$28,$AN$33:$AN$53,$AS131)*节奏总纲!K128+AT130</f>
        <v>0</v>
      </c>
      <c r="AU131" s="32">
        <f>求节点(村县营基础信息!AD$8:AD$28,$AN$33:$AN$53,$AS131)*节奏总纲!L128+AU130</f>
        <v>0</v>
      </c>
      <c r="AV131" s="32">
        <f>求节点(村县营基础信息!AE$8:AE$28,$AN$33:$AN$53,$AS131)*节奏总纲!M128+AV130</f>
        <v>0</v>
      </c>
      <c r="AW131" s="32">
        <f>求节点(村县营基础信息!AF$8:AF$28,$AN$33:$AN$53,$AS131)*节奏总纲!N128+AW130</f>
        <v>0</v>
      </c>
      <c r="AX131" s="32">
        <f>求节点(村县营基础信息!AG$8:AG$28,$AN$33:$AN$53,$AS131)*节奏总纲!O128+AX130</f>
        <v>0</v>
      </c>
      <c r="BL131" s="37">
        <v>125</v>
      </c>
      <c r="BM131" s="32">
        <f>求节点(村县营基础信息!AL$8:AL$28,$BG$33:$BG$53,$BL131)*节奏总纲!K128+BM130</f>
        <v>0</v>
      </c>
      <c r="BN131" s="32">
        <f>求节点(村县营基础信息!AM$8:AM$28,$BG$33:$BG$53,$BL131)*节奏总纲!L128+BN130</f>
        <v>0</v>
      </c>
      <c r="BO131" s="32">
        <f>求节点(村县营基础信息!AN$8:AN$28,$BG$33:$BG$53,$BL131)*节奏总纲!M128+BO130</f>
        <v>0</v>
      </c>
      <c r="BP131" s="32">
        <f>求节点(村县营基础信息!AO$8:AO$28,$BG$33:$BG$53,$BL131)*节奏总纲!N128+BP130</f>
        <v>0</v>
      </c>
      <c r="BQ131" s="32">
        <f>求节点(村县营基础信息!AP$8:AP$28,$BG$33:$BG$53,$BL131)*节奏总纲!O128+BQ130</f>
        <v>0</v>
      </c>
    </row>
    <row r="132" spans="13:69" x14ac:dyDescent="0.15">
      <c r="M132" s="37">
        <v>126</v>
      </c>
      <c r="N132" s="32">
        <f>求节点(村县营基础信息!K$8:K$28,$I$33:$I$53,$M132)*节奏总纲!K129+N131</f>
        <v>0</v>
      </c>
      <c r="O132" s="32">
        <f>求节点(村县营基础信息!L$8:L$28,$I$33:$I$53,$M132)*节奏总纲!L129+O131</f>
        <v>0</v>
      </c>
      <c r="P132" s="32">
        <f>求节点(村县营基础信息!M$8:M$28,$I$33:$I$53,$M132)*节奏总纲!M129+P131</f>
        <v>0</v>
      </c>
      <c r="Q132" s="32">
        <f>求节点(村县营基础信息!N$8:N$28,$I$33:$I$53,$M132)*节奏总纲!N129+Q131</f>
        <v>0</v>
      </c>
      <c r="R132" s="32">
        <f>求节点(村县营基础信息!O$8:O$28,$I$33:$I$53,$M132)*节奏总纲!O129+R131</f>
        <v>0</v>
      </c>
      <c r="W132" s="29">
        <v>34845.490554045558</v>
      </c>
      <c r="X132" s="29">
        <v>30160.055550322479</v>
      </c>
      <c r="Y132" s="29">
        <v>24749.866587922344</v>
      </c>
      <c r="Z132" s="29">
        <v>18305.413607094702</v>
      </c>
      <c r="AA132" s="29">
        <v>10383.84206017466</v>
      </c>
      <c r="AC132" s="37">
        <v>126</v>
      </c>
      <c r="AD132" s="32">
        <f>求节点(村县营基础信息!T$8:T$28,$Y$33:$Y$53,$AC132)*节奏总纲!K129*(1+$B$10)+AD131</f>
        <v>0</v>
      </c>
      <c r="AE132" s="32">
        <f>求节点(村县营基础信息!U$8:U$28,$Y$33:$Y$53,$AC132)*节奏总纲!L129*(1+$B$10)+AE131</f>
        <v>0</v>
      </c>
      <c r="AF132" s="32">
        <f>求节点(村县营基础信息!V$8:V$28,$Y$33:$Y$53,$AC132)*节奏总纲!M129*(1+$B$10)+AF131</f>
        <v>0</v>
      </c>
      <c r="AG132" s="32">
        <f>求节点(村县营基础信息!W$8:W$28,$Y$33:$Y$53,$AC132)*节奏总纲!N129*(1+$B$10)+AG131</f>
        <v>0</v>
      </c>
      <c r="AH132" s="32">
        <f>求节点(村县营基础信息!X$8:X$28,$Y$33:$Y$53,$AC132)*节奏总纲!O129*(1+$B$10)+AH131</f>
        <v>0</v>
      </c>
      <c r="AS132" s="37">
        <v>126</v>
      </c>
      <c r="AT132" s="32">
        <f>求节点(村县营基础信息!AC$8:AC$28,$AN$33:$AN$53,$AS132)*节奏总纲!K129+AT131</f>
        <v>0</v>
      </c>
      <c r="AU132" s="32">
        <f>求节点(村县营基础信息!AD$8:AD$28,$AN$33:$AN$53,$AS132)*节奏总纲!L129+AU131</f>
        <v>0</v>
      </c>
      <c r="AV132" s="32">
        <f>求节点(村县营基础信息!AE$8:AE$28,$AN$33:$AN$53,$AS132)*节奏总纲!M129+AV131</f>
        <v>0</v>
      </c>
      <c r="AW132" s="32">
        <f>求节点(村县营基础信息!AF$8:AF$28,$AN$33:$AN$53,$AS132)*节奏总纲!N129+AW131</f>
        <v>0</v>
      </c>
      <c r="AX132" s="32">
        <f>求节点(村县营基础信息!AG$8:AG$28,$AN$33:$AN$53,$AS132)*节奏总纲!O129+AX131</f>
        <v>0</v>
      </c>
      <c r="BL132" s="37">
        <v>126</v>
      </c>
      <c r="BM132" s="32">
        <f>求节点(村县营基础信息!AL$8:AL$28,$BG$33:$BG$53,$BL132)*节奏总纲!K129+BM131</f>
        <v>0</v>
      </c>
      <c r="BN132" s="32">
        <f>求节点(村县营基础信息!AM$8:AM$28,$BG$33:$BG$53,$BL132)*节奏总纲!L129+BN131</f>
        <v>0</v>
      </c>
      <c r="BO132" s="32">
        <f>求节点(村县营基础信息!AN$8:AN$28,$BG$33:$BG$53,$BL132)*节奏总纲!M129+BO131</f>
        <v>0</v>
      </c>
      <c r="BP132" s="32">
        <f>求节点(村县营基础信息!AO$8:AO$28,$BG$33:$BG$53,$BL132)*节奏总纲!N129+BP131</f>
        <v>0</v>
      </c>
      <c r="BQ132" s="32">
        <f>求节点(村县营基础信息!AP$8:AP$28,$BG$33:$BG$53,$BL132)*节奏总纲!O129+BQ131</f>
        <v>0</v>
      </c>
    </row>
    <row r="133" spans="13:69" x14ac:dyDescent="0.15">
      <c r="M133" s="37">
        <v>127</v>
      </c>
      <c r="N133" s="32">
        <f>求节点(村县营基础信息!K$8:K$28,$I$33:$I$53,$M133)*节奏总纲!K130+N132</f>
        <v>0</v>
      </c>
      <c r="O133" s="32">
        <f>求节点(村县营基础信息!L$8:L$28,$I$33:$I$53,$M133)*节奏总纲!L130+O132</f>
        <v>0</v>
      </c>
      <c r="P133" s="32">
        <f>求节点(村县营基础信息!M$8:M$28,$I$33:$I$53,$M133)*节奏总纲!M130+P132</f>
        <v>0</v>
      </c>
      <c r="Q133" s="32">
        <f>求节点(村县营基础信息!N$8:N$28,$I$33:$I$53,$M133)*节奏总纲!N130+Q132</f>
        <v>0</v>
      </c>
      <c r="R133" s="32">
        <f>求节点(村县营基础信息!O$8:O$28,$I$33:$I$53,$M133)*节奏总纲!O130+R132</f>
        <v>0</v>
      </c>
      <c r="W133" s="29">
        <v>42632.788855378392</v>
      </c>
      <c r="X133" s="29">
        <v>37001.166152836733</v>
      </c>
      <c r="Y133" s="29">
        <v>30825.157909645364</v>
      </c>
      <c r="Z133" s="29">
        <v>23022.87340774203</v>
      </c>
      <c r="AA133" s="29">
        <v>12808.843195046124</v>
      </c>
      <c r="AC133" s="37">
        <v>127</v>
      </c>
      <c r="AD133" s="32">
        <f>求节点(村县营基础信息!T$8:T$28,$Y$33:$Y$53,$AC133)*节奏总纲!K130*(1+$B$10)+AD132</f>
        <v>0</v>
      </c>
      <c r="AE133" s="32">
        <f>求节点(村县营基础信息!U$8:U$28,$Y$33:$Y$53,$AC133)*节奏总纲!L130*(1+$B$10)+AE132</f>
        <v>0</v>
      </c>
      <c r="AF133" s="32">
        <f>求节点(村县营基础信息!V$8:V$28,$Y$33:$Y$53,$AC133)*节奏总纲!M130*(1+$B$10)+AF132</f>
        <v>0</v>
      </c>
      <c r="AG133" s="32">
        <f>求节点(村县营基础信息!W$8:W$28,$Y$33:$Y$53,$AC133)*节奏总纲!N130*(1+$B$10)+AG132</f>
        <v>0</v>
      </c>
      <c r="AH133" s="32">
        <f>求节点(村县营基础信息!X$8:X$28,$Y$33:$Y$53,$AC133)*节奏总纲!O130*(1+$B$10)+AH132</f>
        <v>0</v>
      </c>
      <c r="AS133" s="37">
        <v>127</v>
      </c>
      <c r="AT133" s="32">
        <f>求节点(村县营基础信息!AC$8:AC$28,$AN$33:$AN$53,$AS133)*节奏总纲!K130+AT132</f>
        <v>0</v>
      </c>
      <c r="AU133" s="32">
        <f>求节点(村县营基础信息!AD$8:AD$28,$AN$33:$AN$53,$AS133)*节奏总纲!L130+AU132</f>
        <v>0</v>
      </c>
      <c r="AV133" s="32">
        <f>求节点(村县营基础信息!AE$8:AE$28,$AN$33:$AN$53,$AS133)*节奏总纲!M130+AV132</f>
        <v>0</v>
      </c>
      <c r="AW133" s="32">
        <f>求节点(村县营基础信息!AF$8:AF$28,$AN$33:$AN$53,$AS133)*节奏总纲!N130+AW132</f>
        <v>0</v>
      </c>
      <c r="AX133" s="32">
        <f>求节点(村县营基础信息!AG$8:AG$28,$AN$33:$AN$53,$AS133)*节奏总纲!O130+AX132</f>
        <v>0</v>
      </c>
      <c r="BL133" s="37">
        <v>127</v>
      </c>
      <c r="BM133" s="32">
        <f>求节点(村县营基础信息!AL$8:AL$28,$BG$33:$BG$53,$BL133)*节奏总纲!K130+BM132</f>
        <v>0</v>
      </c>
      <c r="BN133" s="32">
        <f>求节点(村县营基础信息!AM$8:AM$28,$BG$33:$BG$53,$BL133)*节奏总纲!L130+BN132</f>
        <v>0</v>
      </c>
      <c r="BO133" s="32">
        <f>求节点(村县营基础信息!AN$8:AN$28,$BG$33:$BG$53,$BL133)*节奏总纲!M130+BO132</f>
        <v>0</v>
      </c>
      <c r="BP133" s="32">
        <f>求节点(村县营基础信息!AO$8:AO$28,$BG$33:$BG$53,$BL133)*节奏总纲!N130+BP132</f>
        <v>0</v>
      </c>
      <c r="BQ133" s="32">
        <f>求节点(村县营基础信息!AP$8:AP$28,$BG$33:$BG$53,$BL133)*节奏总纲!O130+BQ132</f>
        <v>0</v>
      </c>
    </row>
    <row r="134" spans="13:69" x14ac:dyDescent="0.15">
      <c r="M134" s="37">
        <v>128</v>
      </c>
      <c r="N134" s="32">
        <f>求节点(村县营基础信息!K$8:K$28,$I$33:$I$53,$M134)*节奏总纲!K131+N133</f>
        <v>0</v>
      </c>
      <c r="O134" s="32">
        <f>求节点(村县营基础信息!L$8:L$28,$I$33:$I$53,$M134)*节奏总纲!L131+O133</f>
        <v>0</v>
      </c>
      <c r="P134" s="32">
        <f>求节点(村县营基础信息!M$8:M$28,$I$33:$I$53,$M134)*节奏总纲!M131+P133</f>
        <v>0</v>
      </c>
      <c r="Q134" s="32">
        <f>求节点(村县营基础信息!N$8:N$28,$I$33:$I$53,$M134)*节奏总纲!N131+Q133</f>
        <v>0</v>
      </c>
      <c r="R134" s="32">
        <f>求节点(村县营基础信息!O$8:O$28,$I$33:$I$53,$M134)*节奏总纲!O131+R133</f>
        <v>0</v>
      </c>
      <c r="W134" s="29">
        <v>51469.96261749632</v>
      </c>
      <c r="X134" s="29">
        <v>45245.860857647131</v>
      </c>
      <c r="Y134" s="29">
        <v>37445.716042838838</v>
      </c>
      <c r="Z134" s="29">
        <v>27304.089671789341</v>
      </c>
      <c r="AA134" s="29">
        <v>15188.134585571994</v>
      </c>
      <c r="AC134" s="37">
        <v>128</v>
      </c>
      <c r="AD134" s="32">
        <f>求节点(村县营基础信息!T$8:T$28,$Y$33:$Y$53,$AC134)*节奏总纲!K131*(1+$B$10)+AD133</f>
        <v>0</v>
      </c>
      <c r="AE134" s="32">
        <f>求节点(村县营基础信息!U$8:U$28,$Y$33:$Y$53,$AC134)*节奏总纲!L131*(1+$B$10)+AE133</f>
        <v>0</v>
      </c>
      <c r="AF134" s="32">
        <f>求节点(村县营基础信息!V$8:V$28,$Y$33:$Y$53,$AC134)*节奏总纲!M131*(1+$B$10)+AF133</f>
        <v>0</v>
      </c>
      <c r="AG134" s="32">
        <f>求节点(村县营基础信息!W$8:W$28,$Y$33:$Y$53,$AC134)*节奏总纲!N131*(1+$B$10)+AG133</f>
        <v>0</v>
      </c>
      <c r="AH134" s="32">
        <f>求节点(村县营基础信息!X$8:X$28,$Y$33:$Y$53,$AC134)*节奏总纲!O131*(1+$B$10)+AH133</f>
        <v>0</v>
      </c>
      <c r="AS134" s="37">
        <v>128</v>
      </c>
      <c r="AT134" s="32">
        <f>求节点(村县营基础信息!AC$8:AC$28,$AN$33:$AN$53,$AS134)*节奏总纲!K131+AT133</f>
        <v>0</v>
      </c>
      <c r="AU134" s="32">
        <f>求节点(村县营基础信息!AD$8:AD$28,$AN$33:$AN$53,$AS134)*节奏总纲!L131+AU133</f>
        <v>0</v>
      </c>
      <c r="AV134" s="32">
        <f>求节点(村县营基础信息!AE$8:AE$28,$AN$33:$AN$53,$AS134)*节奏总纲!M131+AV133</f>
        <v>0</v>
      </c>
      <c r="AW134" s="32">
        <f>求节点(村县营基础信息!AF$8:AF$28,$AN$33:$AN$53,$AS134)*节奏总纲!N131+AW133</f>
        <v>0</v>
      </c>
      <c r="AX134" s="32">
        <f>求节点(村县营基础信息!AG$8:AG$28,$AN$33:$AN$53,$AS134)*节奏总纲!O131+AX133</f>
        <v>0</v>
      </c>
      <c r="BL134" s="37">
        <v>128</v>
      </c>
      <c r="BM134" s="32">
        <f>求节点(村县营基础信息!AL$8:AL$28,$BG$33:$BG$53,$BL134)*节奏总纲!K131+BM133</f>
        <v>0</v>
      </c>
      <c r="BN134" s="32">
        <f>求节点(村县营基础信息!AM$8:AM$28,$BG$33:$BG$53,$BL134)*节奏总纲!L131+BN133</f>
        <v>0</v>
      </c>
      <c r="BO134" s="32">
        <f>求节点(村县营基础信息!AN$8:AN$28,$BG$33:$BG$53,$BL134)*节奏总纲!M131+BO133</f>
        <v>0</v>
      </c>
      <c r="BP134" s="32">
        <f>求节点(村县营基础信息!AO$8:AO$28,$BG$33:$BG$53,$BL134)*节奏总纲!N131+BP133</f>
        <v>0</v>
      </c>
      <c r="BQ134" s="32">
        <f>求节点(村县营基础信息!AP$8:AP$28,$BG$33:$BG$53,$BL134)*节奏总纲!O131+BQ133</f>
        <v>0</v>
      </c>
    </row>
    <row r="135" spans="13:69" x14ac:dyDescent="0.15">
      <c r="M135" s="37">
        <v>129</v>
      </c>
      <c r="N135" s="32">
        <f>求节点(村县营基础信息!K$8:K$28,$I$33:$I$53,$M135)*节奏总纲!K132+N134</f>
        <v>0</v>
      </c>
      <c r="O135" s="32">
        <f>求节点(村县营基础信息!L$8:L$28,$I$33:$I$53,$M135)*节奏总纲!L132+O134</f>
        <v>0</v>
      </c>
      <c r="P135" s="32">
        <f>求节点(村县营基础信息!M$8:M$28,$I$33:$I$53,$M135)*节奏总纲!M132+P134</f>
        <v>0</v>
      </c>
      <c r="Q135" s="32">
        <f>求节点(村县营基础信息!N$8:N$28,$I$33:$I$53,$M135)*节奏总纲!N132+Q134</f>
        <v>0</v>
      </c>
      <c r="R135" s="32">
        <f>求节点(村县营基础信息!O$8:O$28,$I$33:$I$53,$M135)*节奏总纲!O132+R134</f>
        <v>0</v>
      </c>
      <c r="W135" s="29">
        <v>61467.602513004123</v>
      </c>
      <c r="X135" s="29">
        <v>53523.462323900239</v>
      </c>
      <c r="Y135" s="29">
        <v>43773.632977276109</v>
      </c>
      <c r="Z135" s="29">
        <v>31727.868662511224</v>
      </c>
      <c r="AA135" s="29">
        <v>18618.308890468397</v>
      </c>
      <c r="AC135" s="37">
        <v>129</v>
      </c>
      <c r="AD135" s="32">
        <f>求节点(村县营基础信息!T$8:T$28,$Y$33:$Y$53,$AC135)*节奏总纲!K132*(1+$B$10)+AD134</f>
        <v>0</v>
      </c>
      <c r="AE135" s="32">
        <f>求节点(村县营基础信息!U$8:U$28,$Y$33:$Y$53,$AC135)*节奏总纲!L132*(1+$B$10)+AE134</f>
        <v>0</v>
      </c>
      <c r="AF135" s="32">
        <f>求节点(村县营基础信息!V$8:V$28,$Y$33:$Y$53,$AC135)*节奏总纲!M132*(1+$B$10)+AF134</f>
        <v>0</v>
      </c>
      <c r="AG135" s="32">
        <f>求节点(村县营基础信息!W$8:W$28,$Y$33:$Y$53,$AC135)*节奏总纲!N132*(1+$B$10)+AG134</f>
        <v>0</v>
      </c>
      <c r="AH135" s="32">
        <f>求节点(村县营基础信息!X$8:X$28,$Y$33:$Y$53,$AC135)*节奏总纲!O132*(1+$B$10)+AH134</f>
        <v>0</v>
      </c>
      <c r="AS135" s="37">
        <v>129</v>
      </c>
      <c r="AT135" s="32">
        <f>求节点(村县营基础信息!AC$8:AC$28,$AN$33:$AN$53,$AS135)*节奏总纲!K132+AT134</f>
        <v>0</v>
      </c>
      <c r="AU135" s="32">
        <f>求节点(村县营基础信息!AD$8:AD$28,$AN$33:$AN$53,$AS135)*节奏总纲!L132+AU134</f>
        <v>0</v>
      </c>
      <c r="AV135" s="32">
        <f>求节点(村县营基础信息!AE$8:AE$28,$AN$33:$AN$53,$AS135)*节奏总纲!M132+AV134</f>
        <v>0</v>
      </c>
      <c r="AW135" s="32">
        <f>求节点(村县营基础信息!AF$8:AF$28,$AN$33:$AN$53,$AS135)*节奏总纲!N132+AW134</f>
        <v>0</v>
      </c>
      <c r="AX135" s="32">
        <f>求节点(村县营基础信息!AG$8:AG$28,$AN$33:$AN$53,$AS135)*节奏总纲!O132+AX134</f>
        <v>0</v>
      </c>
      <c r="BL135" s="37">
        <v>129</v>
      </c>
      <c r="BM135" s="32">
        <f>求节点(村县营基础信息!AL$8:AL$28,$BG$33:$BG$53,$BL135)*节奏总纲!K132+BM134</f>
        <v>0</v>
      </c>
      <c r="BN135" s="32">
        <f>求节点(村县营基础信息!AM$8:AM$28,$BG$33:$BG$53,$BL135)*节奏总纲!L132+BN134</f>
        <v>0</v>
      </c>
      <c r="BO135" s="32">
        <f>求节点(村县营基础信息!AN$8:AN$28,$BG$33:$BG$53,$BL135)*节奏总纲!M132+BO134</f>
        <v>0</v>
      </c>
      <c r="BP135" s="32">
        <f>求节点(村县营基础信息!AO$8:AO$28,$BG$33:$BG$53,$BL135)*节奏总纲!N132+BP134</f>
        <v>0</v>
      </c>
      <c r="BQ135" s="32">
        <f>求节点(村县营基础信息!AP$8:AP$28,$BG$33:$BG$53,$BL135)*节奏总纲!O132+BQ134</f>
        <v>0</v>
      </c>
    </row>
    <row r="136" spans="13:69" x14ac:dyDescent="0.15">
      <c r="M136" s="37">
        <v>130</v>
      </c>
      <c r="N136" s="32">
        <f>求节点(村县营基础信息!K$8:K$28,$I$33:$I$53,$M136)*节奏总纲!K133+N135</f>
        <v>0</v>
      </c>
      <c r="O136" s="32">
        <f>求节点(村县营基础信息!L$8:L$28,$I$33:$I$53,$M136)*节奏总纲!L133+O135</f>
        <v>0</v>
      </c>
      <c r="P136" s="32">
        <f>求节点(村县营基础信息!M$8:M$28,$I$33:$I$53,$M136)*节奏总纲!M133+P135</f>
        <v>0</v>
      </c>
      <c r="Q136" s="32">
        <f>求节点(村县营基础信息!N$8:N$28,$I$33:$I$53,$M136)*节奏总纲!N133+Q135</f>
        <v>0</v>
      </c>
      <c r="R136" s="32">
        <f>求节点(村县营基础信息!O$8:O$28,$I$33:$I$53,$M136)*节奏总纲!O133+R135</f>
        <v>0</v>
      </c>
      <c r="W136" s="29">
        <v>72746.765805635048</v>
      </c>
      <c r="X136" s="29">
        <v>62965.444554074646</v>
      </c>
      <c r="Y136" s="29">
        <v>52016.475166817676</v>
      </c>
      <c r="Z136" s="29">
        <v>39323.646013232516</v>
      </c>
      <c r="AA136" s="29">
        <v>22539.360435477443</v>
      </c>
      <c r="AC136" s="37">
        <v>130</v>
      </c>
      <c r="AD136" s="32">
        <f>求节点(村县营基础信息!T$8:T$28,$Y$33:$Y$53,$AC136)*节奏总纲!K133*(1+$B$10)+AD135</f>
        <v>0</v>
      </c>
      <c r="AE136" s="32">
        <f>求节点(村县营基础信息!U$8:U$28,$Y$33:$Y$53,$AC136)*节奏总纲!L133*(1+$B$10)+AE135</f>
        <v>0</v>
      </c>
      <c r="AF136" s="32">
        <f>求节点(村县营基础信息!V$8:V$28,$Y$33:$Y$53,$AC136)*节奏总纲!M133*(1+$B$10)+AF135</f>
        <v>0</v>
      </c>
      <c r="AG136" s="32">
        <f>求节点(村县营基础信息!W$8:W$28,$Y$33:$Y$53,$AC136)*节奏总纲!N133*(1+$B$10)+AG135</f>
        <v>0</v>
      </c>
      <c r="AH136" s="32">
        <f>求节点(村县营基础信息!X$8:X$28,$Y$33:$Y$53,$AC136)*节奏总纲!O133*(1+$B$10)+AH135</f>
        <v>0</v>
      </c>
      <c r="AS136" s="37">
        <v>130</v>
      </c>
      <c r="AT136" s="32">
        <f>求节点(村县营基础信息!AC$8:AC$28,$AN$33:$AN$53,$AS136)*节奏总纲!K133+AT135</f>
        <v>0</v>
      </c>
      <c r="AU136" s="32">
        <f>求节点(村县营基础信息!AD$8:AD$28,$AN$33:$AN$53,$AS136)*节奏总纲!L133+AU135</f>
        <v>0</v>
      </c>
      <c r="AV136" s="32">
        <f>求节点(村县营基础信息!AE$8:AE$28,$AN$33:$AN$53,$AS136)*节奏总纲!M133+AV135</f>
        <v>0</v>
      </c>
      <c r="AW136" s="32">
        <f>求节点(村县营基础信息!AF$8:AF$28,$AN$33:$AN$53,$AS136)*节奏总纲!N133+AW135</f>
        <v>0</v>
      </c>
      <c r="AX136" s="32">
        <f>求节点(村县营基础信息!AG$8:AG$28,$AN$33:$AN$53,$AS136)*节奏总纲!O133+AX135</f>
        <v>0</v>
      </c>
      <c r="BL136" s="37">
        <v>130</v>
      </c>
      <c r="BM136" s="32">
        <f>求节点(村县营基础信息!AL$8:AL$28,$BG$33:$BG$53,$BL136)*节奏总纲!K133+BM135</f>
        <v>0</v>
      </c>
      <c r="BN136" s="32">
        <f>求节点(村县营基础信息!AM$8:AM$28,$BG$33:$BG$53,$BL136)*节奏总纲!L133+BN135</f>
        <v>0</v>
      </c>
      <c r="BO136" s="32">
        <f>求节点(村县营基础信息!AN$8:AN$28,$BG$33:$BG$53,$BL136)*节奏总纲!M133+BO135</f>
        <v>0</v>
      </c>
      <c r="BP136" s="32">
        <f>求节点(村县营基础信息!AO$8:AO$28,$BG$33:$BG$53,$BL136)*节奏总纲!N133+BP135</f>
        <v>0</v>
      </c>
      <c r="BQ136" s="32">
        <f>求节点(村县营基础信息!AP$8:AP$28,$BG$33:$BG$53,$BL136)*节奏总纲!O133+BQ135</f>
        <v>0</v>
      </c>
    </row>
    <row r="137" spans="13:69" x14ac:dyDescent="0.15">
      <c r="M137" s="37">
        <v>131</v>
      </c>
      <c r="N137" s="32">
        <f>求节点(村县营基础信息!K$8:K$28,$I$33:$I$53,$M137)*节奏总纲!K134+N136</f>
        <v>0</v>
      </c>
      <c r="O137" s="32">
        <f>求节点(村县营基础信息!L$8:L$28,$I$33:$I$53,$M137)*节奏总纲!L134+O136</f>
        <v>0</v>
      </c>
      <c r="P137" s="32">
        <f>求节点(村县营基础信息!M$8:M$28,$I$33:$I$53,$M137)*节奏总纲!M134+P136</f>
        <v>0</v>
      </c>
      <c r="Q137" s="32">
        <f>求节点(村县营基础信息!N$8:N$28,$I$33:$I$53,$M137)*节奏总纲!N134+Q136</f>
        <v>0</v>
      </c>
      <c r="R137" s="32">
        <f>求节点(村县营基础信息!O$8:O$28,$I$33:$I$53,$M137)*节奏总纲!O134+R136</f>
        <v>0</v>
      </c>
      <c r="W137" s="29">
        <v>85439.90909712312</v>
      </c>
      <c r="X137" s="29">
        <v>75468.208616872114</v>
      </c>
      <c r="Y137" s="29">
        <v>63673.282360861245</v>
      </c>
      <c r="Z137" s="29">
        <v>47567.260620760739</v>
      </c>
      <c r="AA137" s="29">
        <v>26846.075828355893</v>
      </c>
      <c r="AC137" s="37">
        <v>131</v>
      </c>
      <c r="AD137" s="32">
        <f>求节点(村县营基础信息!T$8:T$28,$Y$33:$Y$53,$AC137)*节奏总纲!K134*(1+$B$10)+AD136</f>
        <v>0</v>
      </c>
      <c r="AE137" s="32">
        <f>求节点(村县营基础信息!U$8:U$28,$Y$33:$Y$53,$AC137)*节奏总纲!L134*(1+$B$10)+AE136</f>
        <v>0</v>
      </c>
      <c r="AF137" s="32">
        <f>求节点(村县营基础信息!V$8:V$28,$Y$33:$Y$53,$AC137)*节奏总纲!M134*(1+$B$10)+AF136</f>
        <v>0</v>
      </c>
      <c r="AG137" s="32">
        <f>求节点(村县营基础信息!W$8:W$28,$Y$33:$Y$53,$AC137)*节奏总纲!N134*(1+$B$10)+AG136</f>
        <v>0</v>
      </c>
      <c r="AH137" s="32">
        <f>求节点(村县营基础信息!X$8:X$28,$Y$33:$Y$53,$AC137)*节奏总纲!O134*(1+$B$10)+AH136</f>
        <v>0</v>
      </c>
      <c r="AS137" s="37">
        <v>131</v>
      </c>
      <c r="AT137" s="32">
        <f>求节点(村县营基础信息!AC$8:AC$28,$AN$33:$AN$53,$AS137)*节奏总纲!K134+AT136</f>
        <v>0</v>
      </c>
      <c r="AU137" s="32">
        <f>求节点(村县营基础信息!AD$8:AD$28,$AN$33:$AN$53,$AS137)*节奏总纲!L134+AU136</f>
        <v>0</v>
      </c>
      <c r="AV137" s="32">
        <f>求节点(村县营基础信息!AE$8:AE$28,$AN$33:$AN$53,$AS137)*节奏总纲!M134+AV136</f>
        <v>0</v>
      </c>
      <c r="AW137" s="32">
        <f>求节点(村县营基础信息!AF$8:AF$28,$AN$33:$AN$53,$AS137)*节奏总纲!N134+AW136</f>
        <v>0</v>
      </c>
      <c r="AX137" s="32">
        <f>求节点(村县营基础信息!AG$8:AG$28,$AN$33:$AN$53,$AS137)*节奏总纲!O134+AX136</f>
        <v>0</v>
      </c>
      <c r="BL137" s="37">
        <v>131</v>
      </c>
      <c r="BM137" s="32">
        <f>求节点(村县营基础信息!AL$8:AL$28,$BG$33:$BG$53,$BL137)*节奏总纲!K134+BM136</f>
        <v>0</v>
      </c>
      <c r="BN137" s="32">
        <f>求节点(村县营基础信息!AM$8:AM$28,$BG$33:$BG$53,$BL137)*节奏总纲!L134+BN136</f>
        <v>0</v>
      </c>
      <c r="BO137" s="32">
        <f>求节点(村县营基础信息!AN$8:AN$28,$BG$33:$BG$53,$BL137)*节奏总纲!M134+BO136</f>
        <v>0</v>
      </c>
      <c r="BP137" s="32">
        <f>求节点(村县营基础信息!AO$8:AO$28,$BG$33:$BG$53,$BL137)*节奏总纲!N134+BP136</f>
        <v>0</v>
      </c>
      <c r="BQ137" s="32">
        <f>求节点(村县营基础信息!AP$8:AP$28,$BG$33:$BG$53,$BL137)*节奏总纲!O134+BQ136</f>
        <v>0</v>
      </c>
    </row>
    <row r="138" spans="13:69" x14ac:dyDescent="0.15">
      <c r="M138" s="37">
        <v>132</v>
      </c>
      <c r="N138" s="32">
        <f>求节点(村县营基础信息!K$8:K$28,$I$33:$I$53,$M138)*节奏总纲!K135+N137</f>
        <v>0</v>
      </c>
      <c r="O138" s="32">
        <f>求节点(村县营基础信息!L$8:L$28,$I$33:$I$53,$M138)*节奏总纲!L135+O137</f>
        <v>0</v>
      </c>
      <c r="P138" s="32">
        <f>求节点(村县营基础信息!M$8:M$28,$I$33:$I$53,$M138)*节奏总纲!M135+P137</f>
        <v>0</v>
      </c>
      <c r="Q138" s="32">
        <f>求节点(村县营基础信息!N$8:N$28,$I$33:$I$53,$M138)*节奏总纲!N135+Q137</f>
        <v>0</v>
      </c>
      <c r="R138" s="32">
        <f>求节点(村县营基础信息!O$8:O$28,$I$33:$I$53,$M138)*节奏总纲!O135+R137</f>
        <v>0</v>
      </c>
      <c r="W138" s="29">
        <v>99691.90104911002</v>
      </c>
      <c r="X138" s="29">
        <v>88743.940333864157</v>
      </c>
      <c r="Y138" s="29">
        <v>73687.014480615835</v>
      </c>
      <c r="Z138" s="29">
        <v>54590.555076599885</v>
      </c>
      <c r="AA138" s="29">
        <v>31397.827088406088</v>
      </c>
      <c r="AC138" s="37">
        <v>132</v>
      </c>
      <c r="AD138" s="32">
        <f>求节点(村县营基础信息!T$8:T$28,$Y$33:$Y$53,$AC138)*节奏总纲!K135*(1+$B$10)+AD137</f>
        <v>0</v>
      </c>
      <c r="AE138" s="32">
        <f>求节点(村县营基础信息!U$8:U$28,$Y$33:$Y$53,$AC138)*节奏总纲!L135*(1+$B$10)+AE137</f>
        <v>0</v>
      </c>
      <c r="AF138" s="32">
        <f>求节点(村县营基础信息!V$8:V$28,$Y$33:$Y$53,$AC138)*节奏总纲!M135*(1+$B$10)+AF137</f>
        <v>0</v>
      </c>
      <c r="AG138" s="32">
        <f>求节点(村县营基础信息!W$8:W$28,$Y$33:$Y$53,$AC138)*节奏总纲!N135*(1+$B$10)+AG137</f>
        <v>0</v>
      </c>
      <c r="AH138" s="32">
        <f>求节点(村县营基础信息!X$8:X$28,$Y$33:$Y$53,$AC138)*节奏总纲!O135*(1+$B$10)+AH137</f>
        <v>0</v>
      </c>
      <c r="AS138" s="37">
        <v>132</v>
      </c>
      <c r="AT138" s="32">
        <f>求节点(村县营基础信息!AC$8:AC$28,$AN$33:$AN$53,$AS138)*节奏总纲!K135+AT137</f>
        <v>0</v>
      </c>
      <c r="AU138" s="32">
        <f>求节点(村县营基础信息!AD$8:AD$28,$AN$33:$AN$53,$AS138)*节奏总纲!L135+AU137</f>
        <v>0</v>
      </c>
      <c r="AV138" s="32">
        <f>求节点(村县营基础信息!AE$8:AE$28,$AN$33:$AN$53,$AS138)*节奏总纲!M135+AV137</f>
        <v>0</v>
      </c>
      <c r="AW138" s="32">
        <f>求节点(村县营基础信息!AF$8:AF$28,$AN$33:$AN$53,$AS138)*节奏总纲!N135+AW137</f>
        <v>0</v>
      </c>
      <c r="AX138" s="32">
        <f>求节点(村县营基础信息!AG$8:AG$28,$AN$33:$AN$53,$AS138)*节奏总纲!O135+AX137</f>
        <v>0</v>
      </c>
      <c r="BL138" s="37">
        <v>132</v>
      </c>
      <c r="BM138" s="32">
        <f>求节点(村县营基础信息!AL$8:AL$28,$BG$33:$BG$53,$BL138)*节奏总纲!K135+BM137</f>
        <v>0</v>
      </c>
      <c r="BN138" s="32">
        <f>求节点(村县营基础信息!AM$8:AM$28,$BG$33:$BG$53,$BL138)*节奏总纲!L135+BN137</f>
        <v>0</v>
      </c>
      <c r="BO138" s="32">
        <f>求节点(村县营基础信息!AN$8:AN$28,$BG$33:$BG$53,$BL138)*节奏总纲!M135+BO137</f>
        <v>0</v>
      </c>
      <c r="BP138" s="32">
        <f>求节点(村县营基础信息!AO$8:AO$28,$BG$33:$BG$53,$BL138)*节奏总纲!N135+BP137</f>
        <v>0</v>
      </c>
      <c r="BQ138" s="32">
        <f>求节点(村县营基础信息!AP$8:AP$28,$BG$33:$BG$53,$BL138)*节奏总纲!O135+BQ137</f>
        <v>0</v>
      </c>
    </row>
    <row r="139" spans="13:69" x14ac:dyDescent="0.15">
      <c r="M139" s="37">
        <v>133</v>
      </c>
      <c r="N139" s="32">
        <f>求节点(村县营基础信息!K$8:K$28,$I$33:$I$53,$M139)*节奏总纲!K136+N138</f>
        <v>0</v>
      </c>
      <c r="O139" s="32">
        <f>求节点(村县营基础信息!L$8:L$28,$I$33:$I$53,$M139)*节奏总纲!L136+O138</f>
        <v>0</v>
      </c>
      <c r="P139" s="32">
        <f>求节点(村县营基础信息!M$8:M$28,$I$33:$I$53,$M139)*节奏总纲!M136+P138</f>
        <v>0</v>
      </c>
      <c r="Q139" s="32">
        <f>求节点(村县营基础信息!N$8:N$28,$I$33:$I$53,$M139)*节奏总纲!N136+Q138</f>
        <v>0</v>
      </c>
      <c r="R139" s="32">
        <f>求节点(村县营基础信息!O$8:O$28,$I$33:$I$53,$M139)*节奏总纲!O136+R138</f>
        <v>0</v>
      </c>
      <c r="W139" s="29">
        <v>115661.12175527678</v>
      </c>
      <c r="X139" s="29">
        <v>101398.96475886558</v>
      </c>
      <c r="Y139" s="29">
        <v>83734.767770079852</v>
      </c>
      <c r="Z139" s="29">
        <v>62800.737533201958</v>
      </c>
      <c r="AA139" s="29">
        <v>36421.202792395095</v>
      </c>
      <c r="AC139" s="37">
        <v>133</v>
      </c>
      <c r="AD139" s="32">
        <f>求节点(村县营基础信息!T$8:T$28,$Y$33:$Y$53,$AC139)*节奏总纲!K136*(1+$B$10)+AD138</f>
        <v>0</v>
      </c>
      <c r="AE139" s="32">
        <f>求节点(村县营基础信息!U$8:U$28,$Y$33:$Y$53,$AC139)*节奏总纲!L136*(1+$B$10)+AE138</f>
        <v>0</v>
      </c>
      <c r="AF139" s="32">
        <f>求节点(村县营基础信息!V$8:V$28,$Y$33:$Y$53,$AC139)*节奏总纲!M136*(1+$B$10)+AF138</f>
        <v>0</v>
      </c>
      <c r="AG139" s="32">
        <f>求节点(村县营基础信息!W$8:W$28,$Y$33:$Y$53,$AC139)*节奏总纲!N136*(1+$B$10)+AG138</f>
        <v>0</v>
      </c>
      <c r="AH139" s="32">
        <f>求节点(村县营基础信息!X$8:X$28,$Y$33:$Y$53,$AC139)*节奏总纲!O136*(1+$B$10)+AH138</f>
        <v>0</v>
      </c>
      <c r="AS139" s="37">
        <v>133</v>
      </c>
      <c r="AT139" s="32">
        <f>求节点(村县营基础信息!AC$8:AC$28,$AN$33:$AN$53,$AS139)*节奏总纲!K136+AT138</f>
        <v>0</v>
      </c>
      <c r="AU139" s="32">
        <f>求节点(村县营基础信息!AD$8:AD$28,$AN$33:$AN$53,$AS139)*节奏总纲!L136+AU138</f>
        <v>0</v>
      </c>
      <c r="AV139" s="32">
        <f>求节点(村县营基础信息!AE$8:AE$28,$AN$33:$AN$53,$AS139)*节奏总纲!M136+AV138</f>
        <v>0</v>
      </c>
      <c r="AW139" s="32">
        <f>求节点(村县营基础信息!AF$8:AF$28,$AN$33:$AN$53,$AS139)*节奏总纲!N136+AW138</f>
        <v>0</v>
      </c>
      <c r="AX139" s="32">
        <f>求节点(村县营基础信息!AG$8:AG$28,$AN$33:$AN$53,$AS139)*节奏总纲!O136+AX138</f>
        <v>0</v>
      </c>
      <c r="BL139" s="37">
        <v>133</v>
      </c>
      <c r="BM139" s="32">
        <f>求节点(村县营基础信息!AL$8:AL$28,$BG$33:$BG$53,$BL139)*节奏总纲!K136+BM138</f>
        <v>0</v>
      </c>
      <c r="BN139" s="32">
        <f>求节点(村县营基础信息!AM$8:AM$28,$BG$33:$BG$53,$BL139)*节奏总纲!L136+BN138</f>
        <v>0</v>
      </c>
      <c r="BO139" s="32">
        <f>求节点(村县营基础信息!AN$8:AN$28,$BG$33:$BG$53,$BL139)*节奏总纲!M136+BO138</f>
        <v>0</v>
      </c>
      <c r="BP139" s="32">
        <f>求节点(村县营基础信息!AO$8:AO$28,$BG$33:$BG$53,$BL139)*节奏总纲!N136+BP138</f>
        <v>0</v>
      </c>
      <c r="BQ139" s="32">
        <f>求节点(村县营基础信息!AP$8:AP$28,$BG$33:$BG$53,$BL139)*节奏总纲!O136+BQ138</f>
        <v>0</v>
      </c>
    </row>
    <row r="140" spans="13:69" x14ac:dyDescent="0.15">
      <c r="M140" s="37">
        <v>134</v>
      </c>
      <c r="N140" s="32">
        <f>求节点(村县营基础信息!K$8:K$28,$I$33:$I$53,$M140)*节奏总纲!K137+N139</f>
        <v>0</v>
      </c>
      <c r="O140" s="32">
        <f>求节点(村县营基础信息!L$8:L$28,$I$33:$I$53,$M140)*节奏总纲!L137+O139</f>
        <v>0</v>
      </c>
      <c r="P140" s="32">
        <f>求节点(村县营基础信息!M$8:M$28,$I$33:$I$53,$M140)*节奏总纲!M137+P139</f>
        <v>0</v>
      </c>
      <c r="Q140" s="32">
        <f>求节点(村县营基础信息!N$8:N$28,$I$33:$I$53,$M140)*节奏总纲!N137+Q139</f>
        <v>0</v>
      </c>
      <c r="R140" s="32">
        <f>求节点(村县营基础信息!O$8:O$28,$I$33:$I$53,$M140)*节奏总纲!O137+R139</f>
        <v>0</v>
      </c>
      <c r="W140" s="29">
        <v>133520.65598510767</v>
      </c>
      <c r="X140" s="29">
        <v>116678.97879608782</v>
      </c>
      <c r="Y140" s="29">
        <v>97404.748990154229</v>
      </c>
      <c r="Z140" s="29">
        <v>74108.480199396377</v>
      </c>
      <c r="AA140" s="29">
        <v>41486.323465181275</v>
      </c>
      <c r="AC140" s="37">
        <v>134</v>
      </c>
      <c r="AD140" s="32">
        <f>求节点(村县营基础信息!T$8:T$28,$Y$33:$Y$53,$AC140)*节奏总纲!K137*(1+$B$10)+AD139</f>
        <v>0</v>
      </c>
      <c r="AE140" s="32">
        <f>求节点(村县营基础信息!U$8:U$28,$Y$33:$Y$53,$AC140)*节奏总纲!L137*(1+$B$10)+AE139</f>
        <v>0</v>
      </c>
      <c r="AF140" s="32">
        <f>求节点(村县营基础信息!V$8:V$28,$Y$33:$Y$53,$AC140)*节奏总纲!M137*(1+$B$10)+AF139</f>
        <v>0</v>
      </c>
      <c r="AG140" s="32">
        <f>求节点(村县营基础信息!W$8:W$28,$Y$33:$Y$53,$AC140)*节奏总纲!N137*(1+$B$10)+AG139</f>
        <v>0</v>
      </c>
      <c r="AH140" s="32">
        <f>求节点(村县营基础信息!X$8:X$28,$Y$33:$Y$53,$AC140)*节奏总纲!O137*(1+$B$10)+AH139</f>
        <v>0</v>
      </c>
      <c r="AS140" s="37">
        <v>134</v>
      </c>
      <c r="AT140" s="32">
        <f>求节点(村县营基础信息!AC$8:AC$28,$AN$33:$AN$53,$AS140)*节奏总纲!K137+AT139</f>
        <v>0</v>
      </c>
      <c r="AU140" s="32">
        <f>求节点(村县营基础信息!AD$8:AD$28,$AN$33:$AN$53,$AS140)*节奏总纲!L137+AU139</f>
        <v>0</v>
      </c>
      <c r="AV140" s="32">
        <f>求节点(村县营基础信息!AE$8:AE$28,$AN$33:$AN$53,$AS140)*节奏总纲!M137+AV139</f>
        <v>0</v>
      </c>
      <c r="AW140" s="32">
        <f>求节点(村县营基础信息!AF$8:AF$28,$AN$33:$AN$53,$AS140)*节奏总纲!N137+AW139</f>
        <v>0</v>
      </c>
      <c r="AX140" s="32">
        <f>求节点(村县营基础信息!AG$8:AG$28,$AN$33:$AN$53,$AS140)*节奏总纲!O137+AX139</f>
        <v>0</v>
      </c>
      <c r="BL140" s="37">
        <v>134</v>
      </c>
      <c r="BM140" s="32">
        <f>求节点(村县营基础信息!AL$8:AL$28,$BG$33:$BG$53,$BL140)*节奏总纲!K137+BM139</f>
        <v>0</v>
      </c>
      <c r="BN140" s="32">
        <f>求节点(村县营基础信息!AM$8:AM$28,$BG$33:$BG$53,$BL140)*节奏总纲!L137+BN139</f>
        <v>0</v>
      </c>
      <c r="BO140" s="32">
        <f>求节点(村县营基础信息!AN$8:AN$28,$BG$33:$BG$53,$BL140)*节奏总纲!M137+BO139</f>
        <v>0</v>
      </c>
      <c r="BP140" s="32">
        <f>求节点(村县营基础信息!AO$8:AO$28,$BG$33:$BG$53,$BL140)*节奏总纲!N137+BP139</f>
        <v>0</v>
      </c>
      <c r="BQ140" s="32">
        <f>求节点(村县营基础信息!AP$8:AP$28,$BG$33:$BG$53,$BL140)*节奏总纲!O137+BQ139</f>
        <v>0</v>
      </c>
    </row>
    <row r="141" spans="13:69" x14ac:dyDescent="0.15">
      <c r="M141" s="37">
        <v>135</v>
      </c>
      <c r="N141" s="32">
        <f>求节点(村县营基础信息!K$8:K$28,$I$33:$I$53,$M141)*节奏总纲!K138+N140</f>
        <v>0</v>
      </c>
      <c r="O141" s="32">
        <f>求节点(村县营基础信息!L$8:L$28,$I$33:$I$53,$M141)*节奏总纲!L138+O140</f>
        <v>0</v>
      </c>
      <c r="P141" s="32">
        <f>求节点(村县营基础信息!M$8:M$28,$I$33:$I$53,$M141)*节奏总纲!M138+P140</f>
        <v>0</v>
      </c>
      <c r="Q141" s="32">
        <f>求节点(村县营基础信息!N$8:N$28,$I$33:$I$53,$M141)*节奏总纲!N138+Q140</f>
        <v>0</v>
      </c>
      <c r="R141" s="32">
        <f>求节点(村县营基础信息!O$8:O$28,$I$33:$I$53,$M141)*节奏总纲!O138+R140</f>
        <v>0</v>
      </c>
      <c r="W141" s="29">
        <v>153459.58811093195</v>
      </c>
      <c r="X141" s="29">
        <v>135537.47447673307</v>
      </c>
      <c r="Y141" s="29">
        <v>114154.15344040882</v>
      </c>
      <c r="Z141" s="29">
        <v>84197.370123547385</v>
      </c>
      <c r="AA141" s="29">
        <v>46989.079962621909</v>
      </c>
      <c r="AC141" s="37">
        <v>135</v>
      </c>
      <c r="AD141" s="32">
        <f>求节点(村县营基础信息!T$8:T$28,$Y$33:$Y$53,$AC141)*节奏总纲!K138*(1+$B$10)+AD140</f>
        <v>0</v>
      </c>
      <c r="AE141" s="32">
        <f>求节点(村县营基础信息!U$8:U$28,$Y$33:$Y$53,$AC141)*节奏总纲!L138*(1+$B$10)+AE140</f>
        <v>0</v>
      </c>
      <c r="AF141" s="32">
        <f>求节点(村县营基础信息!V$8:V$28,$Y$33:$Y$53,$AC141)*节奏总纲!M138*(1+$B$10)+AF140</f>
        <v>0</v>
      </c>
      <c r="AG141" s="32">
        <f>求节点(村县营基础信息!W$8:W$28,$Y$33:$Y$53,$AC141)*节奏总纲!N138*(1+$B$10)+AG140</f>
        <v>0</v>
      </c>
      <c r="AH141" s="32">
        <f>求节点(村县营基础信息!X$8:X$28,$Y$33:$Y$53,$AC141)*节奏总纲!O138*(1+$B$10)+AH140</f>
        <v>0</v>
      </c>
      <c r="AS141" s="37">
        <v>135</v>
      </c>
      <c r="AT141" s="32">
        <f>求节点(村县营基础信息!AC$8:AC$28,$AN$33:$AN$53,$AS141)*节奏总纲!K138+AT140</f>
        <v>0</v>
      </c>
      <c r="AU141" s="32">
        <f>求节点(村县营基础信息!AD$8:AD$28,$AN$33:$AN$53,$AS141)*节奏总纲!L138+AU140</f>
        <v>0</v>
      </c>
      <c r="AV141" s="32">
        <f>求节点(村县营基础信息!AE$8:AE$28,$AN$33:$AN$53,$AS141)*节奏总纲!M138+AV140</f>
        <v>0</v>
      </c>
      <c r="AW141" s="32">
        <f>求节点(村县营基础信息!AF$8:AF$28,$AN$33:$AN$53,$AS141)*节奏总纲!N138+AW140</f>
        <v>0</v>
      </c>
      <c r="AX141" s="32">
        <f>求节点(村县营基础信息!AG$8:AG$28,$AN$33:$AN$53,$AS141)*节奏总纲!O138+AX140</f>
        <v>0</v>
      </c>
      <c r="BL141" s="37">
        <v>135</v>
      </c>
      <c r="BM141" s="32">
        <f>求节点(村县营基础信息!AL$8:AL$28,$BG$33:$BG$53,$BL141)*节奏总纲!K138+BM140</f>
        <v>0</v>
      </c>
      <c r="BN141" s="32">
        <f>求节点(村县营基础信息!AM$8:AM$28,$BG$33:$BG$53,$BL141)*节奏总纲!L138+BN140</f>
        <v>0</v>
      </c>
      <c r="BO141" s="32">
        <f>求节点(村县营基础信息!AN$8:AN$28,$BG$33:$BG$53,$BL141)*节奏总纲!M138+BO140</f>
        <v>0</v>
      </c>
      <c r="BP141" s="32">
        <f>求节点(村县营基础信息!AO$8:AO$28,$BG$33:$BG$53,$BL141)*节奏总纲!N138+BP140</f>
        <v>0</v>
      </c>
      <c r="BQ141" s="32">
        <f>求节点(村县营基础信息!AP$8:AP$28,$BG$33:$BG$53,$BL141)*节奏总纲!O138+BQ140</f>
        <v>0</v>
      </c>
    </row>
    <row r="142" spans="13:69" x14ac:dyDescent="0.15">
      <c r="M142" s="37">
        <v>136</v>
      </c>
      <c r="N142" s="32">
        <f>求节点(村县营基础信息!K$8:K$28,$I$33:$I$53,$M142)*节奏总纲!K139+N141</f>
        <v>0</v>
      </c>
      <c r="O142" s="32">
        <f>求节点(村县营基础信息!L$8:L$28,$I$33:$I$53,$M142)*节奏总纲!L139+O141</f>
        <v>0</v>
      </c>
      <c r="P142" s="32">
        <f>求节点(村县营基础信息!M$8:M$28,$I$33:$I$53,$M142)*节奏总纲!M139+P141</f>
        <v>0</v>
      </c>
      <c r="Q142" s="32">
        <f>求节点(村县营基础信息!N$8:N$28,$I$33:$I$53,$M142)*节奏总纲!N139+Q141</f>
        <v>0</v>
      </c>
      <c r="R142" s="32">
        <f>求节点(村县营基础信息!O$8:O$28,$I$33:$I$53,$M142)*节奏总纲!O139+R141</f>
        <v>0</v>
      </c>
      <c r="W142" s="29">
        <v>176539.20790060441</v>
      </c>
      <c r="X142" s="29">
        <v>156790.81874382988</v>
      </c>
      <c r="Y142" s="29">
        <v>129513.13522264417</v>
      </c>
      <c r="Z142" s="29">
        <v>95072.799442981428</v>
      </c>
      <c r="AA142" s="29">
        <v>54832.617293527641</v>
      </c>
      <c r="AC142" s="37">
        <v>136</v>
      </c>
      <c r="AD142" s="32">
        <f>求节点(村县营基础信息!T$8:T$28,$Y$33:$Y$53,$AC142)*节奏总纲!K139*(1+$B$10)+AD141</f>
        <v>0</v>
      </c>
      <c r="AE142" s="32">
        <f>求节点(村县营基础信息!U$8:U$28,$Y$33:$Y$53,$AC142)*节奏总纲!L139*(1+$B$10)+AE141</f>
        <v>0</v>
      </c>
      <c r="AF142" s="32">
        <f>求节点(村县营基础信息!V$8:V$28,$Y$33:$Y$53,$AC142)*节奏总纲!M139*(1+$B$10)+AF141</f>
        <v>0</v>
      </c>
      <c r="AG142" s="32">
        <f>求节点(村县营基础信息!W$8:W$28,$Y$33:$Y$53,$AC142)*节奏总纲!N139*(1+$B$10)+AG141</f>
        <v>0</v>
      </c>
      <c r="AH142" s="32">
        <f>求节点(村县营基础信息!X$8:X$28,$Y$33:$Y$53,$AC142)*节奏总纲!O139*(1+$B$10)+AH141</f>
        <v>0</v>
      </c>
      <c r="AS142" s="37">
        <v>136</v>
      </c>
      <c r="AT142" s="32">
        <f>求节点(村县营基础信息!AC$8:AC$28,$AN$33:$AN$53,$AS142)*节奏总纲!K139+AT141</f>
        <v>0</v>
      </c>
      <c r="AU142" s="32">
        <f>求节点(村县营基础信息!AD$8:AD$28,$AN$33:$AN$53,$AS142)*节奏总纲!L139+AU141</f>
        <v>0</v>
      </c>
      <c r="AV142" s="32">
        <f>求节点(村县营基础信息!AE$8:AE$28,$AN$33:$AN$53,$AS142)*节奏总纲!M139+AV141</f>
        <v>0</v>
      </c>
      <c r="AW142" s="32">
        <f>求节点(村县营基础信息!AF$8:AF$28,$AN$33:$AN$53,$AS142)*节奏总纲!N139+AW141</f>
        <v>0</v>
      </c>
      <c r="AX142" s="32">
        <f>求节点(村县营基础信息!AG$8:AG$28,$AN$33:$AN$53,$AS142)*节奏总纲!O139+AX141</f>
        <v>0</v>
      </c>
      <c r="BL142" s="37">
        <v>136</v>
      </c>
      <c r="BM142" s="32">
        <f>求节点(村县营基础信息!AL$8:AL$28,$BG$33:$BG$53,$BL142)*节奏总纲!K139+BM141</f>
        <v>0</v>
      </c>
      <c r="BN142" s="32">
        <f>求节点(村县营基础信息!AM$8:AM$28,$BG$33:$BG$53,$BL142)*节奏总纲!L139+BN141</f>
        <v>0</v>
      </c>
      <c r="BO142" s="32">
        <f>求节点(村县营基础信息!AN$8:AN$28,$BG$33:$BG$53,$BL142)*节奏总纲!M139+BO141</f>
        <v>0</v>
      </c>
      <c r="BP142" s="32">
        <f>求节点(村县营基础信息!AO$8:AO$28,$BG$33:$BG$53,$BL142)*节奏总纲!N139+BP141</f>
        <v>0</v>
      </c>
      <c r="BQ142" s="32">
        <f>求节点(村县营基础信息!AP$8:AP$28,$BG$33:$BG$53,$BL142)*节奏总纲!O139+BQ141</f>
        <v>0</v>
      </c>
    </row>
    <row r="143" spans="13:69" x14ac:dyDescent="0.15">
      <c r="M143" s="37">
        <v>137</v>
      </c>
      <c r="N143" s="32">
        <f>求节点(村县营基础信息!K$8:K$28,$I$33:$I$53,$M143)*节奏总纲!K140+N142</f>
        <v>0</v>
      </c>
      <c r="O143" s="32">
        <f>求节点(村县营基础信息!L$8:L$28,$I$33:$I$53,$M143)*节奏总纲!L140+O142</f>
        <v>0</v>
      </c>
      <c r="P143" s="32">
        <f>求节点(村县营基础信息!M$8:M$28,$I$33:$I$53,$M143)*节奏总纲!M140+P142</f>
        <v>0</v>
      </c>
      <c r="Q143" s="32">
        <f>求节点(村县营基础信息!N$8:N$28,$I$33:$I$53,$M143)*节奏总纲!N140+Q142</f>
        <v>0</v>
      </c>
      <c r="R143" s="32">
        <f>求节点(村县营基础信息!O$8:O$28,$I$33:$I$53,$M143)*节奏总纲!O140+R142</f>
        <v>0</v>
      </c>
      <c r="W143" s="29">
        <v>203107.63739926944</v>
      </c>
      <c r="X143" s="29">
        <v>177585.96305510224</v>
      </c>
      <c r="Y143" s="29">
        <v>145742.04879636946</v>
      </c>
      <c r="Z143" s="29">
        <v>109188.05016535631</v>
      </c>
      <c r="AA143" s="29">
        <v>64056.929933648942</v>
      </c>
      <c r="AC143" s="37">
        <v>137</v>
      </c>
      <c r="AD143" s="32">
        <f>求节点(村县营基础信息!T$8:T$28,$Y$33:$Y$53,$AC143)*节奏总纲!K140*(1+$B$10)+AD142</f>
        <v>0</v>
      </c>
      <c r="AE143" s="32">
        <f>求节点(村县营基础信息!U$8:U$28,$Y$33:$Y$53,$AC143)*节奏总纲!L140*(1+$B$10)+AE142</f>
        <v>0</v>
      </c>
      <c r="AF143" s="32">
        <f>求节点(村县营基础信息!V$8:V$28,$Y$33:$Y$53,$AC143)*节奏总纲!M140*(1+$B$10)+AF142</f>
        <v>0</v>
      </c>
      <c r="AG143" s="32">
        <f>求节点(村县营基础信息!W$8:W$28,$Y$33:$Y$53,$AC143)*节奏总纲!N140*(1+$B$10)+AG142</f>
        <v>0</v>
      </c>
      <c r="AH143" s="32">
        <f>求节点(村县营基础信息!X$8:X$28,$Y$33:$Y$53,$AC143)*节奏总纲!O140*(1+$B$10)+AH142</f>
        <v>0</v>
      </c>
      <c r="AS143" s="37">
        <v>137</v>
      </c>
      <c r="AT143" s="32">
        <f>求节点(村县营基础信息!AC$8:AC$28,$AN$33:$AN$53,$AS143)*节奏总纲!K140+AT142</f>
        <v>0</v>
      </c>
      <c r="AU143" s="32">
        <f>求节点(村县营基础信息!AD$8:AD$28,$AN$33:$AN$53,$AS143)*节奏总纲!L140+AU142</f>
        <v>0</v>
      </c>
      <c r="AV143" s="32">
        <f>求节点(村县营基础信息!AE$8:AE$28,$AN$33:$AN$53,$AS143)*节奏总纲!M140+AV142</f>
        <v>0</v>
      </c>
      <c r="AW143" s="32">
        <f>求节点(村县营基础信息!AF$8:AF$28,$AN$33:$AN$53,$AS143)*节奏总纲!N140+AW142</f>
        <v>0</v>
      </c>
      <c r="AX143" s="32">
        <f>求节点(村县营基础信息!AG$8:AG$28,$AN$33:$AN$53,$AS143)*节奏总纲!O140+AX142</f>
        <v>0</v>
      </c>
      <c r="BL143" s="37">
        <v>137</v>
      </c>
      <c r="BM143" s="32">
        <f>求节点(村县营基础信息!AL$8:AL$28,$BG$33:$BG$53,$BL143)*节奏总纲!K140+BM142</f>
        <v>0</v>
      </c>
      <c r="BN143" s="32">
        <f>求节点(村县营基础信息!AM$8:AM$28,$BG$33:$BG$53,$BL143)*节奏总纲!L140+BN142</f>
        <v>0</v>
      </c>
      <c r="BO143" s="32">
        <f>求节点(村县营基础信息!AN$8:AN$28,$BG$33:$BG$53,$BL143)*节奏总纲!M140+BO142</f>
        <v>0</v>
      </c>
      <c r="BP143" s="32">
        <f>求节点(村县营基础信息!AO$8:AO$28,$BG$33:$BG$53,$BL143)*节奏总纲!N140+BP142</f>
        <v>0</v>
      </c>
      <c r="BQ143" s="32">
        <f>求节点(村县营基础信息!AP$8:AP$28,$BG$33:$BG$53,$BL143)*节奏总纲!O140+BQ142</f>
        <v>0</v>
      </c>
    </row>
    <row r="144" spans="13:69" x14ac:dyDescent="0.15">
      <c r="M144" s="37">
        <v>138</v>
      </c>
      <c r="N144" s="32">
        <f>求节点(村县营基础信息!K$8:K$28,$I$33:$I$53,$M144)*节奏总纲!K141+N143</f>
        <v>0</v>
      </c>
      <c r="O144" s="32">
        <f>求节点(村县营基础信息!L$8:L$28,$I$33:$I$53,$M144)*节奏总纲!L141+O143</f>
        <v>0</v>
      </c>
      <c r="P144" s="32">
        <f>求节点(村县营基础信息!M$8:M$28,$I$33:$I$53,$M144)*节奏总纲!M141+P143</f>
        <v>0</v>
      </c>
      <c r="Q144" s="32">
        <f>求节点(村县营基础信息!N$8:N$28,$I$33:$I$53,$M144)*节奏总纲!N141+Q143</f>
        <v>0</v>
      </c>
      <c r="R144" s="32">
        <f>求节点(村县营基础信息!O$8:O$28,$I$33:$I$53,$M144)*节奏总纲!O141+R143</f>
        <v>0</v>
      </c>
      <c r="W144" s="29">
        <v>233546.79146878683</v>
      </c>
      <c r="X144" s="29">
        <v>203145.16824683151</v>
      </c>
      <c r="Y144" s="29">
        <v>169128.73812233729</v>
      </c>
      <c r="Z144" s="29">
        <v>129823.22692060034</v>
      </c>
      <c r="AA144" s="29">
        <v>72269.909684835322</v>
      </c>
      <c r="AC144" s="37">
        <v>138</v>
      </c>
      <c r="AD144" s="32">
        <f>求节点(村县营基础信息!T$8:T$28,$Y$33:$Y$53,$AC144)*节奏总纲!K141*(1+$B$10)+AD143</f>
        <v>0</v>
      </c>
      <c r="AE144" s="32">
        <f>求节点(村县营基础信息!U$8:U$28,$Y$33:$Y$53,$AC144)*节奏总纲!L141*(1+$B$10)+AE143</f>
        <v>0</v>
      </c>
      <c r="AF144" s="32">
        <f>求节点(村县营基础信息!V$8:V$28,$Y$33:$Y$53,$AC144)*节奏总纲!M141*(1+$B$10)+AF143</f>
        <v>0</v>
      </c>
      <c r="AG144" s="32">
        <f>求节点(村县营基础信息!W$8:W$28,$Y$33:$Y$53,$AC144)*节奏总纲!N141*(1+$B$10)+AG143</f>
        <v>0</v>
      </c>
      <c r="AH144" s="32">
        <f>求节点(村县营基础信息!X$8:X$28,$Y$33:$Y$53,$AC144)*节奏总纲!O141*(1+$B$10)+AH143</f>
        <v>0</v>
      </c>
      <c r="AS144" s="37">
        <v>138</v>
      </c>
      <c r="AT144" s="32">
        <f>求节点(村县营基础信息!AC$8:AC$28,$AN$33:$AN$53,$AS144)*节奏总纲!K141+AT143</f>
        <v>0</v>
      </c>
      <c r="AU144" s="32">
        <f>求节点(村县营基础信息!AD$8:AD$28,$AN$33:$AN$53,$AS144)*节奏总纲!L141+AU143</f>
        <v>0</v>
      </c>
      <c r="AV144" s="32">
        <f>求节点(村县营基础信息!AE$8:AE$28,$AN$33:$AN$53,$AS144)*节奏总纲!M141+AV143</f>
        <v>0</v>
      </c>
      <c r="AW144" s="32">
        <f>求节点(村县营基础信息!AF$8:AF$28,$AN$33:$AN$53,$AS144)*节奏总纲!N141+AW143</f>
        <v>0</v>
      </c>
      <c r="AX144" s="32">
        <f>求节点(村县营基础信息!AG$8:AG$28,$AN$33:$AN$53,$AS144)*节奏总纲!O141+AX143</f>
        <v>0</v>
      </c>
      <c r="BL144" s="37">
        <v>138</v>
      </c>
      <c r="BM144" s="32">
        <f>求节点(村县营基础信息!AL$8:AL$28,$BG$33:$BG$53,$BL144)*节奏总纲!K141+BM143</f>
        <v>0</v>
      </c>
      <c r="BN144" s="32">
        <f>求节点(村县营基础信息!AM$8:AM$28,$BG$33:$BG$53,$BL144)*节奏总纲!L141+BN143</f>
        <v>0</v>
      </c>
      <c r="BO144" s="32">
        <f>求节点(村县营基础信息!AN$8:AN$28,$BG$33:$BG$53,$BL144)*节奏总纲!M141+BO143</f>
        <v>0</v>
      </c>
      <c r="BP144" s="32">
        <f>求节点(村县营基础信息!AO$8:AO$28,$BG$33:$BG$53,$BL144)*节奏总纲!N141+BP143</f>
        <v>0</v>
      </c>
      <c r="BQ144" s="32">
        <f>求节点(村县营基础信息!AP$8:AP$28,$BG$33:$BG$53,$BL144)*节奏总纲!O141+BQ143</f>
        <v>0</v>
      </c>
    </row>
    <row r="145" spans="13:69" x14ac:dyDescent="0.15">
      <c r="M145" s="37">
        <v>139</v>
      </c>
      <c r="N145" s="32">
        <f>求节点(村县营基础信息!K$8:K$28,$I$33:$I$53,$M145)*节奏总纲!K142+N144</f>
        <v>0</v>
      </c>
      <c r="O145" s="32">
        <f>求节点(村县营基础信息!L$8:L$28,$I$33:$I$53,$M145)*节奏总纲!L142+O144</f>
        <v>0</v>
      </c>
      <c r="P145" s="32">
        <f>求节点(村县营基础信息!M$8:M$28,$I$33:$I$53,$M145)*节奏总纲!M142+P144</f>
        <v>0</v>
      </c>
      <c r="Q145" s="32">
        <f>求节点(村县营基础信息!N$8:N$28,$I$33:$I$53,$M145)*节奏总纲!N142+Q144</f>
        <v>0</v>
      </c>
      <c r="R145" s="32">
        <f>求节点(村县营基础信息!O$8:O$28,$I$33:$I$53,$M145)*节奏总纲!O142+R144</f>
        <v>0</v>
      </c>
      <c r="W145" s="29">
        <v>268275.43531634018</v>
      </c>
      <c r="X145" s="29">
        <v>237142.29622263261</v>
      </c>
      <c r="Y145" s="29">
        <v>201392.3390948819</v>
      </c>
      <c r="Z145" s="29">
        <v>148254.08498534889</v>
      </c>
      <c r="AA145" s="29">
        <v>81833.937665108737</v>
      </c>
      <c r="AC145" s="37">
        <v>139</v>
      </c>
      <c r="AD145" s="32">
        <f>求节点(村县营基础信息!T$8:T$28,$Y$33:$Y$53,$AC145)*节奏总纲!K142*(1+$B$10)+AD144</f>
        <v>0</v>
      </c>
      <c r="AE145" s="32">
        <f>求节点(村县营基础信息!U$8:U$28,$Y$33:$Y$53,$AC145)*节奏总纲!L142*(1+$B$10)+AE144</f>
        <v>0</v>
      </c>
      <c r="AF145" s="32">
        <f>求节点(村县营基础信息!V$8:V$28,$Y$33:$Y$53,$AC145)*节奏总纲!M142*(1+$B$10)+AF144</f>
        <v>0</v>
      </c>
      <c r="AG145" s="32">
        <f>求节点(村县营基础信息!W$8:W$28,$Y$33:$Y$53,$AC145)*节奏总纲!N142*(1+$B$10)+AG144</f>
        <v>0</v>
      </c>
      <c r="AH145" s="32">
        <f>求节点(村县营基础信息!X$8:X$28,$Y$33:$Y$53,$AC145)*节奏总纲!O142*(1+$B$10)+AH144</f>
        <v>0</v>
      </c>
      <c r="AS145" s="37">
        <v>139</v>
      </c>
      <c r="AT145" s="32">
        <f>求节点(村县营基础信息!AC$8:AC$28,$AN$33:$AN$53,$AS145)*节奏总纲!K142+AT144</f>
        <v>0</v>
      </c>
      <c r="AU145" s="32">
        <f>求节点(村县营基础信息!AD$8:AD$28,$AN$33:$AN$53,$AS145)*节奏总纲!L142+AU144</f>
        <v>0</v>
      </c>
      <c r="AV145" s="32">
        <f>求节点(村县营基础信息!AE$8:AE$28,$AN$33:$AN$53,$AS145)*节奏总纲!M142+AV144</f>
        <v>0</v>
      </c>
      <c r="AW145" s="32">
        <f>求节点(村县营基础信息!AF$8:AF$28,$AN$33:$AN$53,$AS145)*节奏总纲!N142+AW144</f>
        <v>0</v>
      </c>
      <c r="AX145" s="32">
        <f>求节点(村县营基础信息!AG$8:AG$28,$AN$33:$AN$53,$AS145)*节奏总纲!O142+AX144</f>
        <v>0</v>
      </c>
      <c r="BL145" s="37">
        <v>139</v>
      </c>
      <c r="BM145" s="32">
        <f>求节点(村县营基础信息!AL$8:AL$28,$BG$33:$BG$53,$BL145)*节奏总纲!K142+BM144</f>
        <v>0</v>
      </c>
      <c r="BN145" s="32">
        <f>求节点(村县营基础信息!AM$8:AM$28,$BG$33:$BG$53,$BL145)*节奏总纲!L142+BN144</f>
        <v>0</v>
      </c>
      <c r="BO145" s="32">
        <f>求节点(村县营基础信息!AN$8:AN$28,$BG$33:$BG$53,$BL145)*节奏总纲!M142+BO144</f>
        <v>0</v>
      </c>
      <c r="BP145" s="32">
        <f>求节点(村县营基础信息!AO$8:AO$28,$BG$33:$BG$53,$BL145)*节奏总纲!N142+BP144</f>
        <v>0</v>
      </c>
      <c r="BQ145" s="32">
        <f>求节点(村县营基础信息!AP$8:AP$28,$BG$33:$BG$53,$BL145)*节奏总纲!O142+BQ144</f>
        <v>0</v>
      </c>
    </row>
    <row r="146" spans="13:69" x14ac:dyDescent="0.15">
      <c r="M146" s="37">
        <v>140</v>
      </c>
      <c r="N146" s="32">
        <f>求节点(村县营基础信息!K$8:K$28,$I$33:$I$53,$M146)*节奏总纲!K143+N145</f>
        <v>0</v>
      </c>
      <c r="O146" s="32">
        <f>求节点(村县营基础信息!L$8:L$28,$I$33:$I$53,$M146)*节奏总纲!L143+O145</f>
        <v>0</v>
      </c>
      <c r="P146" s="32">
        <f>求节点(村县营基础信息!M$8:M$28,$I$33:$I$53,$M146)*节奏总纲!M143+P145</f>
        <v>0</v>
      </c>
      <c r="Q146" s="32">
        <f>求节点(村县营基础信息!N$8:N$28,$I$33:$I$53,$M146)*节奏总纲!N143+Q145</f>
        <v>0</v>
      </c>
      <c r="R146" s="32">
        <f>求节点(村县营基础信息!O$8:O$28,$I$33:$I$53,$M146)*节奏总纲!O143+R145</f>
        <v>0</v>
      </c>
      <c r="W146" s="29">
        <v>307752.50684054848</v>
      </c>
      <c r="X146" s="29">
        <v>276922.84291153739</v>
      </c>
      <c r="Y146" s="29">
        <v>227757.3418067091</v>
      </c>
      <c r="Z146" s="29">
        <v>164948.16630529094</v>
      </c>
      <c r="AA146" s="29">
        <v>94397.870362706191</v>
      </c>
      <c r="AC146" s="37">
        <v>140</v>
      </c>
      <c r="AD146" s="32">
        <f>求节点(村县营基础信息!T$8:T$28,$Y$33:$Y$53,$AC146)*节奏总纲!K143*(1+$B$10)+AD145</f>
        <v>0</v>
      </c>
      <c r="AE146" s="32">
        <f>求节点(村县营基础信息!U$8:U$28,$Y$33:$Y$53,$AC146)*节奏总纲!L143*(1+$B$10)+AE145</f>
        <v>0</v>
      </c>
      <c r="AF146" s="32">
        <f>求节点(村县营基础信息!V$8:V$28,$Y$33:$Y$53,$AC146)*节奏总纲!M143*(1+$B$10)+AF145</f>
        <v>0</v>
      </c>
      <c r="AG146" s="32">
        <f>求节点(村县营基础信息!W$8:W$28,$Y$33:$Y$53,$AC146)*节奏总纲!N143*(1+$B$10)+AG145</f>
        <v>0</v>
      </c>
      <c r="AH146" s="32">
        <f>求节点(村县营基础信息!X$8:X$28,$Y$33:$Y$53,$AC146)*节奏总纲!O143*(1+$B$10)+AH145</f>
        <v>0</v>
      </c>
      <c r="AS146" s="37">
        <v>140</v>
      </c>
      <c r="AT146" s="32">
        <f>求节点(村县营基础信息!AC$8:AC$28,$AN$33:$AN$53,$AS146)*节奏总纲!K143+AT145</f>
        <v>0</v>
      </c>
      <c r="AU146" s="32">
        <f>求节点(村县营基础信息!AD$8:AD$28,$AN$33:$AN$53,$AS146)*节奏总纲!L143+AU145</f>
        <v>0</v>
      </c>
      <c r="AV146" s="32">
        <f>求节点(村县营基础信息!AE$8:AE$28,$AN$33:$AN$53,$AS146)*节奏总纲!M143+AV145</f>
        <v>0</v>
      </c>
      <c r="AW146" s="32">
        <f>求节点(村县营基础信息!AF$8:AF$28,$AN$33:$AN$53,$AS146)*节奏总纲!N143+AW145</f>
        <v>0</v>
      </c>
      <c r="AX146" s="32">
        <f>求节点(村县营基础信息!AG$8:AG$28,$AN$33:$AN$53,$AS146)*节奏总纲!O143+AX145</f>
        <v>0</v>
      </c>
      <c r="BL146" s="37">
        <v>140</v>
      </c>
      <c r="BM146" s="32">
        <f>求节点(村县营基础信息!AL$8:AL$28,$BG$33:$BG$53,$BL146)*节奏总纲!K143+BM145</f>
        <v>0</v>
      </c>
      <c r="BN146" s="32">
        <f>求节点(村县营基础信息!AM$8:AM$28,$BG$33:$BG$53,$BL146)*节奏总纲!L143+BN145</f>
        <v>0</v>
      </c>
      <c r="BO146" s="32">
        <f>求节点(村县营基础信息!AN$8:AN$28,$BG$33:$BG$53,$BL146)*节奏总纲!M143+BO145</f>
        <v>0</v>
      </c>
      <c r="BP146" s="32">
        <f>求节点(村县营基础信息!AO$8:AO$28,$BG$33:$BG$53,$BL146)*节奏总纲!N143+BP145</f>
        <v>0</v>
      </c>
      <c r="BQ146" s="32">
        <f>求节点(村县营基础信息!AP$8:AP$28,$BG$33:$BG$53,$BL146)*节奏总纲!O143+BQ145</f>
        <v>0</v>
      </c>
    </row>
    <row r="147" spans="13:69" x14ac:dyDescent="0.15">
      <c r="M147" s="37">
        <v>141</v>
      </c>
      <c r="N147" s="32">
        <f>求节点(村县营基础信息!K$8:K$28,$I$33:$I$53,$M147)*节奏总纲!K144+N146</f>
        <v>0</v>
      </c>
      <c r="O147" s="32">
        <f>求节点(村县营基础信息!L$8:L$28,$I$33:$I$53,$M147)*节奏总纲!L144+O146</f>
        <v>0</v>
      </c>
      <c r="P147" s="32">
        <f>求节点(村县营基础信息!M$8:M$28,$I$33:$I$53,$M147)*节奏总纲!M144+P146</f>
        <v>0</v>
      </c>
      <c r="Q147" s="32">
        <f>求节点(村县营基础信息!N$8:N$28,$I$33:$I$53,$M147)*节奏总纲!N144+Q146</f>
        <v>0</v>
      </c>
      <c r="R147" s="32">
        <f>求节点(村县营基础信息!O$8:O$28,$I$33:$I$53,$M147)*节奏总纲!O144+R146</f>
        <v>0</v>
      </c>
      <c r="W147" s="29">
        <v>352883.68298806145</v>
      </c>
      <c r="X147" s="29">
        <v>310141.33338876651</v>
      </c>
      <c r="Y147" s="29">
        <v>251866.31117047693</v>
      </c>
      <c r="Z147" s="29">
        <v>184866.65291783182</v>
      </c>
      <c r="AA147" s="29">
        <v>110394.02234087673</v>
      </c>
      <c r="AC147" s="37">
        <v>141</v>
      </c>
      <c r="AD147" s="32">
        <f>求节点(村县营基础信息!T$8:T$28,$Y$33:$Y$53,$AC147)*节奏总纲!K144*(1+$B$10)+AD146</f>
        <v>0</v>
      </c>
      <c r="AE147" s="32">
        <f>求节点(村县营基础信息!U$8:U$28,$Y$33:$Y$53,$AC147)*节奏总纲!L144*(1+$B$10)+AE146</f>
        <v>0</v>
      </c>
      <c r="AF147" s="32">
        <f>求节点(村县营基础信息!V$8:V$28,$Y$33:$Y$53,$AC147)*节奏总纲!M144*(1+$B$10)+AF146</f>
        <v>0</v>
      </c>
      <c r="AG147" s="32">
        <f>求节点(村县营基础信息!W$8:W$28,$Y$33:$Y$53,$AC147)*节奏总纲!N144*(1+$B$10)+AG146</f>
        <v>0</v>
      </c>
      <c r="AH147" s="32">
        <f>求节点(村县营基础信息!X$8:X$28,$Y$33:$Y$53,$AC147)*节奏总纲!O144*(1+$B$10)+AH146</f>
        <v>0</v>
      </c>
      <c r="AS147" s="37">
        <v>141</v>
      </c>
      <c r="AT147" s="32">
        <f>求节点(村县营基础信息!AC$8:AC$28,$AN$33:$AN$53,$AS147)*节奏总纲!K144+AT146</f>
        <v>0</v>
      </c>
      <c r="AU147" s="32">
        <f>求节点(村县营基础信息!AD$8:AD$28,$AN$33:$AN$53,$AS147)*节奏总纲!L144+AU146</f>
        <v>0</v>
      </c>
      <c r="AV147" s="32">
        <f>求节点(村县营基础信息!AE$8:AE$28,$AN$33:$AN$53,$AS147)*节奏总纲!M144+AV146</f>
        <v>0</v>
      </c>
      <c r="AW147" s="32">
        <f>求节点(村县营基础信息!AF$8:AF$28,$AN$33:$AN$53,$AS147)*节奏总纲!N144+AW146</f>
        <v>0</v>
      </c>
      <c r="AX147" s="32">
        <f>求节点(村县营基础信息!AG$8:AG$28,$AN$33:$AN$53,$AS147)*节奏总纲!O144+AX146</f>
        <v>0</v>
      </c>
      <c r="BL147" s="37">
        <v>141</v>
      </c>
      <c r="BM147" s="32">
        <f>求节点(村县营基础信息!AL$8:AL$28,$BG$33:$BG$53,$BL147)*节奏总纲!K144+BM146</f>
        <v>0</v>
      </c>
      <c r="BN147" s="32">
        <f>求节点(村县营基础信息!AM$8:AM$28,$BG$33:$BG$53,$BL147)*节奏总纲!L144+BN146</f>
        <v>0</v>
      </c>
      <c r="BO147" s="32">
        <f>求节点(村县营基础信息!AN$8:AN$28,$BG$33:$BG$53,$BL147)*节奏总纲!M144+BO146</f>
        <v>0</v>
      </c>
      <c r="BP147" s="32">
        <f>求节点(村县营基础信息!AO$8:AO$28,$BG$33:$BG$53,$BL147)*节奏总纲!N144+BP146</f>
        <v>0</v>
      </c>
      <c r="BQ147" s="32">
        <f>求节点(村县营基础信息!AP$8:AP$28,$BG$33:$BG$53,$BL147)*节奏总纲!O144+BQ146</f>
        <v>0</v>
      </c>
    </row>
    <row r="148" spans="13:69" x14ac:dyDescent="0.15">
      <c r="M148" s="37">
        <v>142</v>
      </c>
      <c r="N148" s="32">
        <f>求节点(村县营基础信息!K$8:K$28,$I$33:$I$53,$M148)*节奏总纲!K145+N147</f>
        <v>0</v>
      </c>
      <c r="O148" s="32">
        <f>求节点(村县营基础信息!L$8:L$28,$I$33:$I$53,$M148)*节奏总纲!L145+O147</f>
        <v>0</v>
      </c>
      <c r="P148" s="32">
        <f>求节点(村县营基础信息!M$8:M$28,$I$33:$I$53,$M148)*节奏总纲!M145+P147</f>
        <v>0</v>
      </c>
      <c r="Q148" s="32">
        <f>求节点(村县营基础信息!N$8:N$28,$I$33:$I$53,$M148)*节奏总纲!N145+Q147</f>
        <v>0</v>
      </c>
      <c r="R148" s="32">
        <f>求节点(村县营基础信息!O$8:O$28,$I$33:$I$53,$M148)*节奏总纲!O145+R147</f>
        <v>0</v>
      </c>
      <c r="W148" s="29">
        <v>404277.22972401412</v>
      </c>
      <c r="X148" s="29">
        <v>348513.78254981397</v>
      </c>
      <c r="Y148" s="29">
        <v>283718.65291411255</v>
      </c>
      <c r="Z148" s="29">
        <v>219929.99133252958</v>
      </c>
      <c r="AA148" s="29">
        <v>126017.26513012103</v>
      </c>
      <c r="AC148" s="37">
        <v>142</v>
      </c>
      <c r="AD148" s="32">
        <f>求节点(村县营基础信息!T$8:T$28,$Y$33:$Y$53,$AC148)*节奏总纲!K145*(1+$B$10)+AD147</f>
        <v>0</v>
      </c>
      <c r="AE148" s="32">
        <f>求节点(村县营基础信息!U$8:U$28,$Y$33:$Y$53,$AC148)*节奏总纲!L145*(1+$B$10)+AE147</f>
        <v>0</v>
      </c>
      <c r="AF148" s="32">
        <f>求节点(村县营基础信息!V$8:V$28,$Y$33:$Y$53,$AC148)*节奏总纲!M145*(1+$B$10)+AF147</f>
        <v>0</v>
      </c>
      <c r="AG148" s="32">
        <f>求节点(村县营基础信息!W$8:W$28,$Y$33:$Y$53,$AC148)*节奏总纲!N145*(1+$B$10)+AG147</f>
        <v>0</v>
      </c>
      <c r="AH148" s="32">
        <f>求节点(村县营基础信息!X$8:X$28,$Y$33:$Y$53,$AC148)*节奏总纲!O145*(1+$B$10)+AH147</f>
        <v>0</v>
      </c>
      <c r="AS148" s="37">
        <v>142</v>
      </c>
      <c r="AT148" s="32">
        <f>求节点(村县营基础信息!AC$8:AC$28,$AN$33:$AN$53,$AS148)*节奏总纲!K145+AT147</f>
        <v>0</v>
      </c>
      <c r="AU148" s="32">
        <f>求节点(村县营基础信息!AD$8:AD$28,$AN$33:$AN$53,$AS148)*节奏总纲!L145+AU147</f>
        <v>0</v>
      </c>
      <c r="AV148" s="32">
        <f>求节点(村县营基础信息!AE$8:AE$28,$AN$33:$AN$53,$AS148)*节奏总纲!M145+AV147</f>
        <v>0</v>
      </c>
      <c r="AW148" s="32">
        <f>求节点(村县营基础信息!AF$8:AF$28,$AN$33:$AN$53,$AS148)*节奏总纲!N145+AW147</f>
        <v>0</v>
      </c>
      <c r="AX148" s="32">
        <f>求节点(村县营基础信息!AG$8:AG$28,$AN$33:$AN$53,$AS148)*节奏总纲!O145+AX147</f>
        <v>0</v>
      </c>
      <c r="BL148" s="37">
        <v>142</v>
      </c>
      <c r="BM148" s="32">
        <f>求节点(村县营基础信息!AL$8:AL$28,$BG$33:$BG$53,$BL148)*节奏总纲!K145+BM147</f>
        <v>0</v>
      </c>
      <c r="BN148" s="32">
        <f>求节点(村县营基础信息!AM$8:AM$28,$BG$33:$BG$53,$BL148)*节奏总纲!L145+BN147</f>
        <v>0</v>
      </c>
      <c r="BO148" s="32">
        <f>求节点(村县营基础信息!AN$8:AN$28,$BG$33:$BG$53,$BL148)*节奏总纲!M145+BO147</f>
        <v>0</v>
      </c>
      <c r="BP148" s="32">
        <f>求节点(村县营基础信息!AO$8:AO$28,$BG$33:$BG$53,$BL148)*节奏总纲!N145+BP147</f>
        <v>0</v>
      </c>
      <c r="BQ148" s="32">
        <f>求节点(村县营基础信息!AP$8:AP$28,$BG$33:$BG$53,$BL148)*节奏总纲!O145+BQ147</f>
        <v>0</v>
      </c>
    </row>
    <row r="149" spans="13:69" x14ac:dyDescent="0.15">
      <c r="M149" s="37">
        <v>143</v>
      </c>
      <c r="N149" s="32">
        <f>求节点(村县营基础信息!K$8:K$28,$I$33:$I$53,$M149)*节奏总纲!K146+N148</f>
        <v>0</v>
      </c>
      <c r="O149" s="32">
        <f>求节点(村县营基础信息!L$8:L$28,$I$33:$I$53,$M149)*节奏总纲!L146+O148</f>
        <v>0</v>
      </c>
      <c r="P149" s="32">
        <f>求节点(村县营基础信息!M$8:M$28,$I$33:$I$53,$M149)*节奏总纲!M146+P148</f>
        <v>0</v>
      </c>
      <c r="Q149" s="32">
        <f>求节点(村县营基础信息!N$8:N$28,$I$33:$I$53,$M149)*节奏总纲!N146+Q148</f>
        <v>0</v>
      </c>
      <c r="R149" s="32">
        <f>求节点(村县营基础信息!O$8:O$28,$I$33:$I$53,$M149)*节奏总纲!O146+R148</f>
        <v>0</v>
      </c>
      <c r="W149" s="29">
        <v>462599.60099871032</v>
      </c>
      <c r="X149" s="29">
        <v>400965.14122768189</v>
      </c>
      <c r="Y149" s="29">
        <v>346810.85394021554</v>
      </c>
      <c r="Z149" s="29">
        <v>258910.20651469295</v>
      </c>
      <c r="AA149" s="29">
        <v>143828.66131551846</v>
      </c>
      <c r="AC149" s="37">
        <v>143</v>
      </c>
      <c r="AD149" s="32">
        <f>求节点(村县营基础信息!T$8:T$28,$Y$33:$Y$53,$AC149)*节奏总纲!K146*(1+$B$10)+AD148</f>
        <v>0</v>
      </c>
      <c r="AE149" s="32">
        <f>求节点(村县营基础信息!U$8:U$28,$Y$33:$Y$53,$AC149)*节奏总纲!L146*(1+$B$10)+AE148</f>
        <v>0</v>
      </c>
      <c r="AF149" s="32">
        <f>求节点(村县营基础信息!V$8:V$28,$Y$33:$Y$53,$AC149)*节奏总纲!M146*(1+$B$10)+AF148</f>
        <v>0</v>
      </c>
      <c r="AG149" s="32">
        <f>求节点(村县营基础信息!W$8:W$28,$Y$33:$Y$53,$AC149)*节奏总纲!N146*(1+$B$10)+AG148</f>
        <v>0</v>
      </c>
      <c r="AH149" s="32">
        <f>求节点(村县营基础信息!X$8:X$28,$Y$33:$Y$53,$AC149)*节奏总纲!O146*(1+$B$10)+AH148</f>
        <v>0</v>
      </c>
      <c r="AS149" s="37">
        <v>143</v>
      </c>
      <c r="AT149" s="32">
        <f>求节点(村县营基础信息!AC$8:AC$28,$AN$33:$AN$53,$AS149)*节奏总纲!K146+AT148</f>
        <v>0</v>
      </c>
      <c r="AU149" s="32">
        <f>求节点(村县营基础信息!AD$8:AD$28,$AN$33:$AN$53,$AS149)*节奏总纲!L146+AU148</f>
        <v>0</v>
      </c>
      <c r="AV149" s="32">
        <f>求节点(村县营基础信息!AE$8:AE$28,$AN$33:$AN$53,$AS149)*节奏总纲!M146+AV148</f>
        <v>0</v>
      </c>
      <c r="AW149" s="32">
        <f>求节点(村县营基础信息!AF$8:AF$28,$AN$33:$AN$53,$AS149)*节奏总纲!N146+AW148</f>
        <v>0</v>
      </c>
      <c r="AX149" s="32">
        <f>求节点(村县营基础信息!AG$8:AG$28,$AN$33:$AN$53,$AS149)*节奏总纲!O146+AX148</f>
        <v>0</v>
      </c>
      <c r="BL149" s="37">
        <v>143</v>
      </c>
      <c r="BM149" s="32">
        <f>求节点(村县营基础信息!AL$8:AL$28,$BG$33:$BG$53,$BL149)*节奏总纲!K146+BM148</f>
        <v>0</v>
      </c>
      <c r="BN149" s="32">
        <f>求节点(村县营基础信息!AM$8:AM$28,$BG$33:$BG$53,$BL149)*节奏总纲!L146+BN148</f>
        <v>0</v>
      </c>
      <c r="BO149" s="32">
        <f>求节点(村县营基础信息!AN$8:AN$28,$BG$33:$BG$53,$BL149)*节奏总纲!M146+BO148</f>
        <v>0</v>
      </c>
      <c r="BP149" s="32">
        <f>求节点(村县营基础信息!AO$8:AO$28,$BG$33:$BG$53,$BL149)*节奏总纲!N146+BP148</f>
        <v>0</v>
      </c>
      <c r="BQ149" s="32">
        <f>求节点(村县营基础信息!AP$8:AP$28,$BG$33:$BG$53,$BL149)*节奏总纲!O146+BQ148</f>
        <v>0</v>
      </c>
    </row>
    <row r="150" spans="13:69" x14ac:dyDescent="0.15">
      <c r="M150" s="37">
        <v>144</v>
      </c>
      <c r="N150" s="32">
        <f>求节点(村县营基础信息!K$8:K$28,$I$33:$I$53,$M150)*节奏总纲!K147+N149</f>
        <v>0</v>
      </c>
      <c r="O150" s="32">
        <f>求节点(村县营基础信息!L$8:L$28,$I$33:$I$53,$M150)*节奏总纲!L147+O149</f>
        <v>0</v>
      </c>
      <c r="P150" s="32">
        <f>求节点(村县营基础信息!M$8:M$28,$I$33:$I$53,$M150)*节奏总纲!M147+P149</f>
        <v>0</v>
      </c>
      <c r="Q150" s="32">
        <f>求节点(村县营基础信息!N$8:N$28,$I$33:$I$53,$M150)*节奏总纲!N147+Q149</f>
        <v>0</v>
      </c>
      <c r="R150" s="32">
        <f>求节点(村县营基础信息!O$8:O$28,$I$33:$I$53,$M150)*节奏总纲!O147+R149</f>
        <v>0</v>
      </c>
      <c r="W150" s="29">
        <v>528580.6580144742</v>
      </c>
      <c r="X150" s="29">
        <v>478055.24972807732</v>
      </c>
      <c r="Y150" s="29">
        <v>402058.12576797552</v>
      </c>
      <c r="Z150" s="29">
        <v>293425.43502947647</v>
      </c>
      <c r="AA150" s="29">
        <v>164944.09008294664</v>
      </c>
      <c r="AC150" s="37">
        <v>144</v>
      </c>
      <c r="AD150" s="32">
        <f>求节点(村县营基础信息!T$8:T$28,$Y$33:$Y$53,$AC150)*节奏总纲!K147*(1+$B$10)+AD149</f>
        <v>0</v>
      </c>
      <c r="AE150" s="32">
        <f>求节点(村县营基础信息!U$8:U$28,$Y$33:$Y$53,$AC150)*节奏总纲!L147*(1+$B$10)+AE149</f>
        <v>0</v>
      </c>
      <c r="AF150" s="32">
        <f>求节点(村县营基础信息!V$8:V$28,$Y$33:$Y$53,$AC150)*节奏总纲!M147*(1+$B$10)+AF149</f>
        <v>0</v>
      </c>
      <c r="AG150" s="32">
        <f>求节点(村县营基础信息!W$8:W$28,$Y$33:$Y$53,$AC150)*节奏总纲!N147*(1+$B$10)+AG149</f>
        <v>0</v>
      </c>
      <c r="AH150" s="32">
        <f>求节点(村县营基础信息!X$8:X$28,$Y$33:$Y$53,$AC150)*节奏总纲!O147*(1+$B$10)+AH149</f>
        <v>0</v>
      </c>
      <c r="AS150" s="37">
        <v>144</v>
      </c>
      <c r="AT150" s="32">
        <f>求节点(村县营基础信息!AC$8:AC$28,$AN$33:$AN$53,$AS150)*节奏总纲!K147+AT149</f>
        <v>0</v>
      </c>
      <c r="AU150" s="32">
        <f>求节点(村县营基础信息!AD$8:AD$28,$AN$33:$AN$53,$AS150)*节奏总纲!L147+AU149</f>
        <v>0</v>
      </c>
      <c r="AV150" s="32">
        <f>求节点(村县营基础信息!AE$8:AE$28,$AN$33:$AN$53,$AS150)*节奏总纲!M147+AV149</f>
        <v>0</v>
      </c>
      <c r="AW150" s="32">
        <f>求节点(村县营基础信息!AF$8:AF$28,$AN$33:$AN$53,$AS150)*节奏总纲!N147+AW149</f>
        <v>0</v>
      </c>
      <c r="AX150" s="32">
        <f>求节点(村县营基础信息!AG$8:AG$28,$AN$33:$AN$53,$AS150)*节奏总纲!O147+AX149</f>
        <v>0</v>
      </c>
      <c r="BL150" s="37">
        <v>144</v>
      </c>
      <c r="BM150" s="32">
        <f>求节点(村县营基础信息!AL$8:AL$28,$BG$33:$BG$53,$BL150)*节奏总纲!K147+BM149</f>
        <v>0</v>
      </c>
      <c r="BN150" s="32">
        <f>求节点(村县营基础信息!AM$8:AM$28,$BG$33:$BG$53,$BL150)*节奏总纲!L147+BN149</f>
        <v>0</v>
      </c>
      <c r="BO150" s="32">
        <f>求节点(村县营基础信息!AN$8:AN$28,$BG$33:$BG$53,$BL150)*节奏总纲!M147+BO149</f>
        <v>0</v>
      </c>
      <c r="BP150" s="32">
        <f>求节点(村县营基础信息!AO$8:AO$28,$BG$33:$BG$53,$BL150)*节奏总纲!N147+BP149</f>
        <v>0</v>
      </c>
      <c r="BQ150" s="32">
        <f>求节点(村县营基础信息!AP$8:AP$28,$BG$33:$BG$53,$BL150)*节奏总纲!O147+BQ149</f>
        <v>0</v>
      </c>
    </row>
    <row r="151" spans="13:69" x14ac:dyDescent="0.15">
      <c r="M151" s="37">
        <v>145</v>
      </c>
      <c r="N151" s="32">
        <f>求节点(村县营基础信息!K$8:K$28,$I$33:$I$53,$M151)*节奏总纲!K148+N150</f>
        <v>0</v>
      </c>
      <c r="O151" s="32">
        <f>求节点(村县营基础信息!L$8:L$28,$I$33:$I$53,$M151)*节奏总纲!L148+O150</f>
        <v>0</v>
      </c>
      <c r="P151" s="32">
        <f>求节点(村县营基础信息!M$8:M$28,$I$33:$I$53,$M151)*节奏总纲!M148+P150</f>
        <v>0</v>
      </c>
      <c r="Q151" s="32">
        <f>求节点(村县营基础信息!N$8:N$28,$I$33:$I$53,$M151)*节奏总纲!N148+Q150</f>
        <v>0</v>
      </c>
      <c r="R151" s="32">
        <f>求节点(村县营基础信息!O$8:O$28,$I$33:$I$53,$M151)*节奏总纲!O148+R150</f>
        <v>0</v>
      </c>
      <c r="W151" s="29">
        <v>603019.33795088495</v>
      </c>
      <c r="X151" s="29">
        <v>540492.82000019937</v>
      </c>
      <c r="Y151" s="29">
        <v>439784.31297214201</v>
      </c>
      <c r="Z151" s="29">
        <v>321012.73018430057</v>
      </c>
      <c r="AA151" s="29">
        <v>184272.82276014439</v>
      </c>
      <c r="AC151" s="37">
        <v>145</v>
      </c>
      <c r="AD151" s="32">
        <f>求节点(村县营基础信息!T$8:T$28,$Y$33:$Y$53,$AC151)*节奏总纲!K148*(1+$B$10)+AD150</f>
        <v>0</v>
      </c>
      <c r="AE151" s="32">
        <f>求节点(村县营基础信息!U$8:U$28,$Y$33:$Y$53,$AC151)*节奏总纲!L148*(1+$B$10)+AE150</f>
        <v>0</v>
      </c>
      <c r="AF151" s="32">
        <f>求节点(村县营基础信息!V$8:V$28,$Y$33:$Y$53,$AC151)*节奏总纲!M148*(1+$B$10)+AF150</f>
        <v>0</v>
      </c>
      <c r="AG151" s="32">
        <f>求节点(村县营基础信息!W$8:W$28,$Y$33:$Y$53,$AC151)*节奏总纲!N148*(1+$B$10)+AG150</f>
        <v>0</v>
      </c>
      <c r="AH151" s="32">
        <f>求节点(村县营基础信息!X$8:X$28,$Y$33:$Y$53,$AC151)*节奏总纲!O148*(1+$B$10)+AH150</f>
        <v>0</v>
      </c>
      <c r="AS151" s="37">
        <v>145</v>
      </c>
      <c r="AT151" s="32">
        <f>求节点(村县营基础信息!AC$8:AC$28,$AN$33:$AN$53,$AS151)*节奏总纲!K148+AT150</f>
        <v>0</v>
      </c>
      <c r="AU151" s="32">
        <f>求节点(村县营基础信息!AD$8:AD$28,$AN$33:$AN$53,$AS151)*节奏总纲!L148+AU150</f>
        <v>0</v>
      </c>
      <c r="AV151" s="32">
        <f>求节点(村县营基础信息!AE$8:AE$28,$AN$33:$AN$53,$AS151)*节奏总纲!M148+AV150</f>
        <v>0</v>
      </c>
      <c r="AW151" s="32">
        <f>求节点(村县营基础信息!AF$8:AF$28,$AN$33:$AN$53,$AS151)*节奏总纲!N148+AW150</f>
        <v>0</v>
      </c>
      <c r="AX151" s="32">
        <f>求节点(村县营基础信息!AG$8:AG$28,$AN$33:$AN$53,$AS151)*节奏总纲!O148+AX150</f>
        <v>0</v>
      </c>
      <c r="BL151" s="37">
        <v>145</v>
      </c>
      <c r="BM151" s="32">
        <f>求节点(村县营基础信息!AL$8:AL$28,$BG$33:$BG$53,$BL151)*节奏总纲!K148+BM150</f>
        <v>0</v>
      </c>
      <c r="BN151" s="32">
        <f>求节点(村县营基础信息!AM$8:AM$28,$BG$33:$BG$53,$BL151)*节奏总纲!L148+BN150</f>
        <v>0</v>
      </c>
      <c r="BO151" s="32">
        <f>求节点(村县营基础信息!AN$8:AN$28,$BG$33:$BG$53,$BL151)*节奏总纲!M148+BO150</f>
        <v>0</v>
      </c>
      <c r="BP151" s="32">
        <f>求节点(村县营基础信息!AO$8:AO$28,$BG$33:$BG$53,$BL151)*节奏总纲!N148+BP150</f>
        <v>0</v>
      </c>
      <c r="BQ151" s="32">
        <f>求节点(村县营基础信息!AP$8:AP$28,$BG$33:$BG$53,$BL151)*节奏总纲!O148+BQ150</f>
        <v>0</v>
      </c>
    </row>
    <row r="152" spans="13:69" x14ac:dyDescent="0.15">
      <c r="M152" s="37">
        <v>146</v>
      </c>
      <c r="N152" s="32">
        <f>求节点(村县营基础信息!K$8:K$28,$I$33:$I$53,$M152)*节奏总纲!K149+N151</f>
        <v>0</v>
      </c>
      <c r="O152" s="32">
        <f>求节点(村县营基础信息!L$8:L$28,$I$33:$I$53,$M152)*节奏总纲!L149+O151</f>
        <v>0</v>
      </c>
      <c r="P152" s="32">
        <f>求节点(村县营基础信息!M$8:M$28,$I$33:$I$53,$M152)*节奏总纲!M149+P151</f>
        <v>0</v>
      </c>
      <c r="Q152" s="32">
        <f>求节点(村县营基础信息!N$8:N$28,$I$33:$I$53,$M152)*节奏总纲!N149+Q151</f>
        <v>0</v>
      </c>
      <c r="R152" s="32">
        <f>求节点(村县营基础信息!O$8:O$28,$I$33:$I$53,$M152)*节奏总纲!O149+R151</f>
        <v>0</v>
      </c>
      <c r="W152" s="29">
        <v>686789.80978006648</v>
      </c>
      <c r="X152" s="29">
        <v>594137.96429013356</v>
      </c>
      <c r="Y152" s="29">
        <v>485052.57032361161</v>
      </c>
      <c r="Z152" s="29">
        <v>361618.35706970392</v>
      </c>
      <c r="AA152" s="29">
        <v>207822.79450961098</v>
      </c>
      <c r="AC152" s="37">
        <v>146</v>
      </c>
      <c r="AD152" s="32">
        <f>求节点(村县营基础信息!T$8:T$28,$Y$33:$Y$53,$AC152)*节奏总纲!K149*(1+$B$10)+AD151</f>
        <v>0</v>
      </c>
      <c r="AE152" s="32">
        <f>求节点(村县营基础信息!U$8:U$28,$Y$33:$Y$53,$AC152)*节奏总纲!L149*(1+$B$10)+AE151</f>
        <v>0</v>
      </c>
      <c r="AF152" s="32">
        <f>求节点(村县营基础信息!V$8:V$28,$Y$33:$Y$53,$AC152)*节奏总纲!M149*(1+$B$10)+AF151</f>
        <v>0</v>
      </c>
      <c r="AG152" s="32">
        <f>求节点(村县营基础信息!W$8:W$28,$Y$33:$Y$53,$AC152)*节奏总纲!N149*(1+$B$10)+AG151</f>
        <v>0</v>
      </c>
      <c r="AH152" s="32">
        <f>求节点(村县营基础信息!X$8:X$28,$Y$33:$Y$53,$AC152)*节奏总纲!O149*(1+$B$10)+AH151</f>
        <v>0</v>
      </c>
      <c r="AS152" s="37">
        <v>146</v>
      </c>
      <c r="AT152" s="32">
        <f>求节点(村县营基础信息!AC$8:AC$28,$AN$33:$AN$53,$AS152)*节奏总纲!K149+AT151</f>
        <v>0</v>
      </c>
      <c r="AU152" s="32">
        <f>求节点(村县营基础信息!AD$8:AD$28,$AN$33:$AN$53,$AS152)*节奏总纲!L149+AU151</f>
        <v>0</v>
      </c>
      <c r="AV152" s="32">
        <f>求节点(村县营基础信息!AE$8:AE$28,$AN$33:$AN$53,$AS152)*节奏总纲!M149+AV151</f>
        <v>0</v>
      </c>
      <c r="AW152" s="32">
        <f>求节点(村县营基础信息!AF$8:AF$28,$AN$33:$AN$53,$AS152)*节奏总纲!N149+AW151</f>
        <v>0</v>
      </c>
      <c r="AX152" s="32">
        <f>求节点(村县营基础信息!AG$8:AG$28,$AN$33:$AN$53,$AS152)*节奏总纲!O149+AX151</f>
        <v>0</v>
      </c>
      <c r="BL152" s="37">
        <v>146</v>
      </c>
      <c r="BM152" s="32">
        <f>求节点(村县营基础信息!AL$8:AL$28,$BG$33:$BG$53,$BL152)*节奏总纲!K149+BM151</f>
        <v>0</v>
      </c>
      <c r="BN152" s="32">
        <f>求节点(村县营基础信息!AM$8:AM$28,$BG$33:$BG$53,$BL152)*节奏总纲!L149+BN151</f>
        <v>0</v>
      </c>
      <c r="BO152" s="32">
        <f>求节点(村县营基础信息!AN$8:AN$28,$BG$33:$BG$53,$BL152)*节奏总纲!M149+BO151</f>
        <v>0</v>
      </c>
      <c r="BP152" s="32">
        <f>求节点(村县营基础信息!AO$8:AO$28,$BG$33:$BG$53,$BL152)*节奏总纲!N149+BP151</f>
        <v>0</v>
      </c>
      <c r="BQ152" s="32">
        <f>求节点(村县营基础信息!AP$8:AP$28,$BG$33:$BG$53,$BL152)*节奏总纲!O149+BQ151</f>
        <v>0</v>
      </c>
    </row>
    <row r="153" spans="13:69" x14ac:dyDescent="0.15">
      <c r="M153" s="37">
        <v>147</v>
      </c>
      <c r="N153" s="32">
        <f>求节点(村县营基础信息!K$8:K$28,$I$33:$I$53,$M153)*节奏总纲!K150+N152</f>
        <v>0</v>
      </c>
      <c r="O153" s="32">
        <f>求节点(村县营基础信息!L$8:L$28,$I$33:$I$53,$M153)*节奏总纲!L150+O152</f>
        <v>0</v>
      </c>
      <c r="P153" s="32">
        <f>求节点(村县营基础信息!M$8:M$28,$I$33:$I$53,$M153)*节奏总纲!M150+P152</f>
        <v>0</v>
      </c>
      <c r="Q153" s="32">
        <f>求节点(村县营基础信息!N$8:N$28,$I$33:$I$53,$M153)*节奏总纲!N150+Q152</f>
        <v>0</v>
      </c>
      <c r="R153" s="32">
        <f>求节点(村县营基础信息!O$8:O$28,$I$33:$I$53,$M153)*节奏总纲!O150+R152</f>
        <v>0</v>
      </c>
      <c r="W153" s="29">
        <v>780848.15789028269</v>
      </c>
      <c r="X153" s="29">
        <v>676190.76215556066</v>
      </c>
      <c r="Y153" s="29">
        <v>562064.56728694541</v>
      </c>
      <c r="Z153" s="29">
        <v>422095.22761888517</v>
      </c>
      <c r="AA153" s="29">
        <v>240766.97453984423</v>
      </c>
      <c r="AC153" s="37">
        <v>147</v>
      </c>
      <c r="AD153" s="32">
        <f>求节点(村县营基础信息!T$8:T$28,$Y$33:$Y$53,$AC153)*节奏总纲!K150*(1+$B$10)+AD152</f>
        <v>0</v>
      </c>
      <c r="AE153" s="32">
        <f>求节点(村县营基础信息!U$8:U$28,$Y$33:$Y$53,$AC153)*节奏总纲!L150*(1+$B$10)+AE152</f>
        <v>0</v>
      </c>
      <c r="AF153" s="32">
        <f>求节点(村县营基础信息!V$8:V$28,$Y$33:$Y$53,$AC153)*节奏总纲!M150*(1+$B$10)+AF152</f>
        <v>0</v>
      </c>
      <c r="AG153" s="32">
        <f>求节点(村县营基础信息!W$8:W$28,$Y$33:$Y$53,$AC153)*节奏总纲!N150*(1+$B$10)+AG152</f>
        <v>0</v>
      </c>
      <c r="AH153" s="32">
        <f>求节点(村县营基础信息!X$8:X$28,$Y$33:$Y$53,$AC153)*节奏总纲!O150*(1+$B$10)+AH152</f>
        <v>0</v>
      </c>
      <c r="AS153" s="37">
        <v>147</v>
      </c>
      <c r="AT153" s="32">
        <f>求节点(村县营基础信息!AC$8:AC$28,$AN$33:$AN$53,$AS153)*节奏总纲!K150+AT152</f>
        <v>0</v>
      </c>
      <c r="AU153" s="32">
        <f>求节点(村县营基础信息!AD$8:AD$28,$AN$33:$AN$53,$AS153)*节奏总纲!L150+AU152</f>
        <v>0</v>
      </c>
      <c r="AV153" s="32">
        <f>求节点(村县营基础信息!AE$8:AE$28,$AN$33:$AN$53,$AS153)*节奏总纲!M150+AV152</f>
        <v>0</v>
      </c>
      <c r="AW153" s="32">
        <f>求节点(村县营基础信息!AF$8:AF$28,$AN$33:$AN$53,$AS153)*节奏总纲!N150+AW152</f>
        <v>0</v>
      </c>
      <c r="AX153" s="32">
        <f>求节点(村县营基础信息!AG$8:AG$28,$AN$33:$AN$53,$AS153)*节奏总纲!O150+AX152</f>
        <v>0</v>
      </c>
      <c r="BL153" s="37">
        <v>147</v>
      </c>
      <c r="BM153" s="32">
        <f>求节点(村县营基础信息!AL$8:AL$28,$BG$33:$BG$53,$BL153)*节奏总纲!K150+BM152</f>
        <v>0</v>
      </c>
      <c r="BN153" s="32">
        <f>求节点(村县营基础信息!AM$8:AM$28,$BG$33:$BG$53,$BL153)*节奏总纲!L150+BN152</f>
        <v>0</v>
      </c>
      <c r="BO153" s="32">
        <f>求节点(村县营基础信息!AN$8:AN$28,$BG$33:$BG$53,$BL153)*节奏总纲!M150+BO152</f>
        <v>0</v>
      </c>
      <c r="BP153" s="32">
        <f>求节点(村县营基础信息!AO$8:AO$28,$BG$33:$BG$53,$BL153)*节奏总纲!N150+BP152</f>
        <v>0</v>
      </c>
      <c r="BQ153" s="32">
        <f>求节点(村县营基础信息!AP$8:AP$28,$BG$33:$BG$53,$BL153)*节奏总纲!O150+BQ152</f>
        <v>0</v>
      </c>
    </row>
    <row r="154" spans="13:69" x14ac:dyDescent="0.15">
      <c r="M154" s="37">
        <v>148</v>
      </c>
      <c r="N154" s="32">
        <f>求节点(村县营基础信息!K$8:K$28,$I$33:$I$53,$M154)*节奏总纲!K151+N153</f>
        <v>0</v>
      </c>
      <c r="O154" s="32">
        <f>求节点(村县营基础信息!L$8:L$28,$I$33:$I$53,$M154)*节奏总纲!L151+O153</f>
        <v>0</v>
      </c>
      <c r="P154" s="32">
        <f>求节点(村县营基础信息!M$8:M$28,$I$33:$I$53,$M154)*节奏总纲!M151+P153</f>
        <v>0</v>
      </c>
      <c r="Q154" s="32">
        <f>求节点(村县营基础信息!N$8:N$28,$I$33:$I$53,$M154)*节奏总纲!N151+Q153</f>
        <v>0</v>
      </c>
      <c r="R154" s="32">
        <f>求节点(村县营基础信息!O$8:O$28,$I$33:$I$53,$M154)*节奏总纲!O151+R153</f>
        <v>0</v>
      </c>
      <c r="W154" s="29">
        <v>886239.63757183752</v>
      </c>
      <c r="X154" s="29">
        <v>779045.64713691513</v>
      </c>
      <c r="Y154" s="29">
        <v>651414.4297622965</v>
      </c>
      <c r="Z154" s="29">
        <v>486547.67069503653</v>
      </c>
      <c r="AA154" s="29">
        <v>280813.56458692026</v>
      </c>
      <c r="AC154" s="37">
        <v>148</v>
      </c>
      <c r="AD154" s="32">
        <f>求节点(村县营基础信息!T$8:T$28,$Y$33:$Y$53,$AC154)*节奏总纲!K151*(1+$B$10)+AD153</f>
        <v>0</v>
      </c>
      <c r="AE154" s="32">
        <f>求节点(村县营基础信息!U$8:U$28,$Y$33:$Y$53,$AC154)*节奏总纲!L151*(1+$B$10)+AE153</f>
        <v>0</v>
      </c>
      <c r="AF154" s="32">
        <f>求节点(村县营基础信息!V$8:V$28,$Y$33:$Y$53,$AC154)*节奏总纲!M151*(1+$B$10)+AF153</f>
        <v>0</v>
      </c>
      <c r="AG154" s="32">
        <f>求节点(村县营基础信息!W$8:W$28,$Y$33:$Y$53,$AC154)*节奏总纲!N151*(1+$B$10)+AG153</f>
        <v>0</v>
      </c>
      <c r="AH154" s="32">
        <f>求节点(村县营基础信息!X$8:X$28,$Y$33:$Y$53,$AC154)*节奏总纲!O151*(1+$B$10)+AH153</f>
        <v>0</v>
      </c>
      <c r="AS154" s="37">
        <v>148</v>
      </c>
      <c r="AT154" s="32">
        <f>求节点(村县营基础信息!AC$8:AC$28,$AN$33:$AN$53,$AS154)*节奏总纲!K151+AT153</f>
        <v>0</v>
      </c>
      <c r="AU154" s="32">
        <f>求节点(村县营基础信息!AD$8:AD$28,$AN$33:$AN$53,$AS154)*节奏总纲!L151+AU153</f>
        <v>0</v>
      </c>
      <c r="AV154" s="32">
        <f>求节点(村县营基础信息!AE$8:AE$28,$AN$33:$AN$53,$AS154)*节奏总纲!M151+AV153</f>
        <v>0</v>
      </c>
      <c r="AW154" s="32">
        <f>求节点(村县营基础信息!AF$8:AF$28,$AN$33:$AN$53,$AS154)*节奏总纲!N151+AW153</f>
        <v>0</v>
      </c>
      <c r="AX154" s="32">
        <f>求节点(村县营基础信息!AG$8:AG$28,$AN$33:$AN$53,$AS154)*节奏总纲!O151+AX153</f>
        <v>0</v>
      </c>
      <c r="BL154" s="37">
        <v>148</v>
      </c>
      <c r="BM154" s="32">
        <f>求节点(村县营基础信息!AL$8:AL$28,$BG$33:$BG$53,$BL154)*节奏总纲!K151+BM153</f>
        <v>0</v>
      </c>
      <c r="BN154" s="32">
        <f>求节点(村县营基础信息!AM$8:AM$28,$BG$33:$BG$53,$BL154)*节奏总纲!L151+BN153</f>
        <v>0</v>
      </c>
      <c r="BO154" s="32">
        <f>求节点(村县营基础信息!AN$8:AN$28,$BG$33:$BG$53,$BL154)*节奏总纲!M151+BO153</f>
        <v>0</v>
      </c>
      <c r="BP154" s="32">
        <f>求节点(村县营基础信息!AO$8:AO$28,$BG$33:$BG$53,$BL154)*节奏总纲!N151+BP153</f>
        <v>0</v>
      </c>
      <c r="BQ154" s="32">
        <f>求节点(村县营基础信息!AP$8:AP$28,$BG$33:$BG$53,$BL154)*节奏总纲!O151+BQ153</f>
        <v>0</v>
      </c>
    </row>
    <row r="155" spans="13:69" x14ac:dyDescent="0.15">
      <c r="M155" s="37">
        <v>149</v>
      </c>
      <c r="N155" s="32">
        <f>求节点(村县营基础信息!K$8:K$28,$I$33:$I$53,$M155)*节奏总纲!K152+N154</f>
        <v>0</v>
      </c>
      <c r="O155" s="32">
        <f>求节点(村县营基础信息!L$8:L$28,$I$33:$I$53,$M155)*节奏总纲!L152+O154</f>
        <v>0</v>
      </c>
      <c r="P155" s="32">
        <f>求节点(村县营基础信息!M$8:M$28,$I$33:$I$53,$M155)*节奏总纲!M152+P154</f>
        <v>0</v>
      </c>
      <c r="Q155" s="32">
        <f>求节点(村县营基础信息!N$8:N$28,$I$33:$I$53,$M155)*节奏总纲!N152+Q154</f>
        <v>0</v>
      </c>
      <c r="R155" s="32">
        <f>求节点(村县营基础信息!O$8:O$28,$I$33:$I$53,$M155)*节奏总纲!O152+R154</f>
        <v>0</v>
      </c>
      <c r="W155" s="29">
        <v>1004106.55002414</v>
      </c>
      <c r="X155" s="29">
        <v>889138.75653313717</v>
      </c>
      <c r="Y155" s="29">
        <v>740824.02044385951</v>
      </c>
      <c r="Z155" s="29">
        <v>550974.17164844554</v>
      </c>
      <c r="AA155" s="29">
        <v>333026.76367059327</v>
      </c>
      <c r="AC155" s="37">
        <v>149</v>
      </c>
      <c r="AD155" s="32">
        <f>求节点(村县营基础信息!T$8:T$28,$Y$33:$Y$53,$AC155)*节奏总纲!K152*(1+$B$10)+AD154</f>
        <v>0</v>
      </c>
      <c r="AE155" s="32">
        <f>求节点(村县营基础信息!U$8:U$28,$Y$33:$Y$53,$AC155)*节奏总纲!L152*(1+$B$10)+AE154</f>
        <v>0</v>
      </c>
      <c r="AF155" s="32">
        <f>求节点(村县营基础信息!V$8:V$28,$Y$33:$Y$53,$AC155)*节奏总纲!M152*(1+$B$10)+AF154</f>
        <v>0</v>
      </c>
      <c r="AG155" s="32">
        <f>求节点(村县营基础信息!W$8:W$28,$Y$33:$Y$53,$AC155)*节奏总纲!N152*(1+$B$10)+AG154</f>
        <v>0</v>
      </c>
      <c r="AH155" s="32">
        <f>求节点(村县营基础信息!X$8:X$28,$Y$33:$Y$53,$AC155)*节奏总纲!O152*(1+$B$10)+AH154</f>
        <v>0</v>
      </c>
      <c r="AS155" s="37">
        <v>149</v>
      </c>
      <c r="AT155" s="32">
        <f>求节点(村县营基础信息!AC$8:AC$28,$AN$33:$AN$53,$AS155)*节奏总纲!K152+AT154</f>
        <v>0</v>
      </c>
      <c r="AU155" s="32">
        <f>求节点(村县营基础信息!AD$8:AD$28,$AN$33:$AN$53,$AS155)*节奏总纲!L152+AU154</f>
        <v>0</v>
      </c>
      <c r="AV155" s="32">
        <f>求节点(村县营基础信息!AE$8:AE$28,$AN$33:$AN$53,$AS155)*节奏总纲!M152+AV154</f>
        <v>0</v>
      </c>
      <c r="AW155" s="32">
        <f>求节点(村县营基础信息!AF$8:AF$28,$AN$33:$AN$53,$AS155)*节奏总纲!N152+AW154</f>
        <v>0</v>
      </c>
      <c r="AX155" s="32">
        <f>求节点(村县营基础信息!AG$8:AG$28,$AN$33:$AN$53,$AS155)*节奏总纲!O152+AX154</f>
        <v>0</v>
      </c>
      <c r="BL155" s="37">
        <v>149</v>
      </c>
      <c r="BM155" s="32">
        <f>求节点(村县营基础信息!AL$8:AL$28,$BG$33:$BG$53,$BL155)*节奏总纲!K152+BM154</f>
        <v>0</v>
      </c>
      <c r="BN155" s="32">
        <f>求节点(村县营基础信息!AM$8:AM$28,$BG$33:$BG$53,$BL155)*节奏总纲!L152+BN154</f>
        <v>0</v>
      </c>
      <c r="BO155" s="32">
        <f>求节点(村县营基础信息!AN$8:AN$28,$BG$33:$BG$53,$BL155)*节奏总纲!M152+BO154</f>
        <v>0</v>
      </c>
      <c r="BP155" s="32">
        <f>求节点(村县营基础信息!AO$8:AO$28,$BG$33:$BG$53,$BL155)*节奏总纲!N152+BP154</f>
        <v>0</v>
      </c>
      <c r="BQ155" s="32">
        <f>求节点(村县营基础信息!AP$8:AP$28,$BG$33:$BG$53,$BL155)*节奏总纲!O152+BQ154</f>
        <v>0</v>
      </c>
    </row>
    <row r="156" spans="13:69" x14ac:dyDescent="0.15">
      <c r="M156" s="37">
        <v>150</v>
      </c>
      <c r="N156" s="32">
        <f>求节点(村县营基础信息!K$8:K$28,$I$33:$I$53,$M156)*节奏总纲!K153+N155</f>
        <v>0</v>
      </c>
      <c r="O156" s="32">
        <f>求节点(村县营基础信息!L$8:L$28,$I$33:$I$53,$M156)*节奏总纲!L153+O155</f>
        <v>0</v>
      </c>
      <c r="P156" s="32">
        <f>求节点(村县营基础信息!M$8:M$28,$I$33:$I$53,$M156)*节奏总纲!M153+P155</f>
        <v>0</v>
      </c>
      <c r="Q156" s="32">
        <f>求节点(村县营基础信息!N$8:N$28,$I$33:$I$53,$M156)*节奏总纲!N153+Q155</f>
        <v>0</v>
      </c>
      <c r="R156" s="32">
        <f>求节点(村县营基础信息!O$8:O$28,$I$33:$I$53,$M156)*节奏总纲!O153+R155</f>
        <v>0</v>
      </c>
      <c r="W156" s="29">
        <v>1135696.7884381674</v>
      </c>
      <c r="X156" s="29">
        <v>1001190.2282636584</v>
      </c>
      <c r="Y156" s="29">
        <v>832847.99761683098</v>
      </c>
      <c r="Z156" s="29">
        <v>643739.34108474932</v>
      </c>
      <c r="AA156" s="29">
        <v>372867.07026876888</v>
      </c>
      <c r="AC156" s="37">
        <v>150</v>
      </c>
      <c r="AD156" s="32">
        <f>求节点(村县营基础信息!T$8:T$28,$Y$33:$Y$53,$AC156)*节奏总纲!K153*(1+$B$10)+AD155</f>
        <v>0</v>
      </c>
      <c r="AE156" s="32">
        <f>求节点(村县营基础信息!U$8:U$28,$Y$33:$Y$53,$AC156)*节奏总纲!L153*(1+$B$10)+AE155</f>
        <v>0</v>
      </c>
      <c r="AF156" s="32">
        <f>求节点(村县营基础信息!V$8:V$28,$Y$33:$Y$53,$AC156)*节奏总纲!M153*(1+$B$10)+AF155</f>
        <v>0</v>
      </c>
      <c r="AG156" s="32">
        <f>求节点(村县营基础信息!W$8:W$28,$Y$33:$Y$53,$AC156)*节奏总纲!N153*(1+$B$10)+AG155</f>
        <v>0</v>
      </c>
      <c r="AH156" s="32">
        <f>求节点(村县营基础信息!X$8:X$28,$Y$33:$Y$53,$AC156)*节奏总纲!O153*(1+$B$10)+AH155</f>
        <v>0</v>
      </c>
      <c r="AS156" s="37">
        <v>150</v>
      </c>
      <c r="AT156" s="32">
        <f>求节点(村县营基础信息!AC$8:AC$28,$AN$33:$AN$53,$AS156)*节奏总纲!K153+AT155</f>
        <v>0</v>
      </c>
      <c r="AU156" s="32">
        <f>求节点(村县营基础信息!AD$8:AD$28,$AN$33:$AN$53,$AS156)*节奏总纲!L153+AU155</f>
        <v>0</v>
      </c>
      <c r="AV156" s="32">
        <f>求节点(村县营基础信息!AE$8:AE$28,$AN$33:$AN$53,$AS156)*节奏总纲!M153+AV155</f>
        <v>0</v>
      </c>
      <c r="AW156" s="32">
        <f>求节点(村县营基础信息!AF$8:AF$28,$AN$33:$AN$53,$AS156)*节奏总纲!N153+AW155</f>
        <v>0</v>
      </c>
      <c r="AX156" s="32">
        <f>求节点(村县营基础信息!AG$8:AG$28,$AN$33:$AN$53,$AS156)*节奏总纲!O153+AX155</f>
        <v>0</v>
      </c>
      <c r="BL156" s="37">
        <v>150</v>
      </c>
      <c r="BM156" s="32">
        <f>求节点(村县营基础信息!AL$8:AL$28,$BG$33:$BG$53,$BL156)*节奏总纲!K153+BM155</f>
        <v>0</v>
      </c>
      <c r="BN156" s="32">
        <f>求节点(村县营基础信息!AM$8:AM$28,$BG$33:$BG$53,$BL156)*节奏总纲!L153+BN155</f>
        <v>0</v>
      </c>
      <c r="BO156" s="32">
        <f>求节点(村县营基础信息!AN$8:AN$28,$BG$33:$BG$53,$BL156)*节奏总纲!M153+BO155</f>
        <v>0</v>
      </c>
      <c r="BP156" s="32">
        <f>求节点(村县营基础信息!AO$8:AO$28,$BG$33:$BG$53,$BL156)*节奏总纲!N153+BP155</f>
        <v>0</v>
      </c>
      <c r="BQ156" s="32">
        <f>求节点(村县营基础信息!AP$8:AP$28,$BG$33:$BG$53,$BL156)*节奏总纲!O153+BQ155</f>
        <v>0</v>
      </c>
    </row>
    <row r="157" spans="13:69" x14ac:dyDescent="0.15">
      <c r="M157" s="37">
        <v>151</v>
      </c>
      <c r="N157" s="32">
        <f>求节点(村县营基础信息!K$8:K$28,$I$33:$I$53,$M157)*节奏总纲!K154+N156</f>
        <v>0</v>
      </c>
      <c r="O157" s="32">
        <f>求节点(村县营基础信息!L$8:L$28,$I$33:$I$53,$M157)*节奏总纲!L154+O156</f>
        <v>0</v>
      </c>
      <c r="P157" s="32">
        <f>求节点(村县营基础信息!M$8:M$28,$I$33:$I$53,$M157)*节奏总纲!M154+P156</f>
        <v>0</v>
      </c>
      <c r="Q157" s="32">
        <f>求节点(村县营基础信息!N$8:N$28,$I$33:$I$53,$M157)*节奏总纲!N154+Q156</f>
        <v>0</v>
      </c>
      <c r="R157" s="32">
        <f>求节点(村县营基础信息!O$8:O$28,$I$33:$I$53,$M157)*节奏总纲!O154+R156</f>
        <v>0</v>
      </c>
      <c r="W157" s="29">
        <v>1282373.110917585</v>
      </c>
      <c r="X157" s="29">
        <v>1127362.6123682803</v>
      </c>
      <c r="Y157" s="29">
        <v>956768.23655498598</v>
      </c>
      <c r="Z157" s="29">
        <v>742328.43112235866</v>
      </c>
      <c r="AA157" s="29">
        <v>404752.93542154058</v>
      </c>
      <c r="AC157" s="37">
        <v>151</v>
      </c>
      <c r="AD157" s="32">
        <f>求节点(村县营基础信息!T$8:T$28,$Y$33:$Y$53,$AC157)*节奏总纲!K154*(1+$B$10)+AD156</f>
        <v>0</v>
      </c>
      <c r="AE157" s="32">
        <f>求节点(村县营基础信息!U$8:U$28,$Y$33:$Y$53,$AC157)*节奏总纲!L154*(1+$B$10)+AE156</f>
        <v>0</v>
      </c>
      <c r="AF157" s="32">
        <f>求节点(村县营基础信息!V$8:V$28,$Y$33:$Y$53,$AC157)*节奏总纲!M154*(1+$B$10)+AF156</f>
        <v>0</v>
      </c>
      <c r="AG157" s="32">
        <f>求节点(村县营基础信息!W$8:W$28,$Y$33:$Y$53,$AC157)*节奏总纲!N154*(1+$B$10)+AG156</f>
        <v>0</v>
      </c>
      <c r="AH157" s="32">
        <f>求节点(村县营基础信息!X$8:X$28,$Y$33:$Y$53,$AC157)*节奏总纲!O154*(1+$B$10)+AH156</f>
        <v>0</v>
      </c>
      <c r="AS157" s="37">
        <v>151</v>
      </c>
      <c r="AT157" s="32">
        <f>求节点(村县营基础信息!AC$8:AC$28,$AN$33:$AN$53,$AS157)*节奏总纲!K154+AT156</f>
        <v>0</v>
      </c>
      <c r="AU157" s="32">
        <f>求节点(村县营基础信息!AD$8:AD$28,$AN$33:$AN$53,$AS157)*节奏总纲!L154+AU156</f>
        <v>0</v>
      </c>
      <c r="AV157" s="32">
        <f>求节点(村县营基础信息!AE$8:AE$28,$AN$33:$AN$53,$AS157)*节奏总纲!M154+AV156</f>
        <v>0</v>
      </c>
      <c r="AW157" s="32">
        <f>求节点(村县营基础信息!AF$8:AF$28,$AN$33:$AN$53,$AS157)*节奏总纲!N154+AW156</f>
        <v>0</v>
      </c>
      <c r="AX157" s="32">
        <f>求节点(村县营基础信息!AG$8:AG$28,$AN$33:$AN$53,$AS157)*节奏总纲!O154+AX156</f>
        <v>0</v>
      </c>
      <c r="BL157" s="37">
        <v>151</v>
      </c>
      <c r="BM157" s="32">
        <f>求节点(村县营基础信息!AL$8:AL$28,$BG$33:$BG$53,$BL157)*节奏总纲!K154+BM156</f>
        <v>0</v>
      </c>
      <c r="BN157" s="32">
        <f>求节点(村县营基础信息!AM$8:AM$28,$BG$33:$BG$53,$BL157)*节奏总纲!L154+BN156</f>
        <v>0</v>
      </c>
      <c r="BO157" s="32">
        <f>求节点(村县营基础信息!AN$8:AN$28,$BG$33:$BG$53,$BL157)*节奏总纲!M154+BO156</f>
        <v>0</v>
      </c>
      <c r="BP157" s="32">
        <f>求节点(村县营基础信息!AO$8:AO$28,$BG$33:$BG$53,$BL157)*节奏总纲!N154+BP156</f>
        <v>0</v>
      </c>
      <c r="BQ157" s="32">
        <f>求节点(村县营基础信息!AP$8:AP$28,$BG$33:$BG$53,$BL157)*节奏总纲!O154+BQ156</f>
        <v>0</v>
      </c>
    </row>
    <row r="158" spans="13:69" x14ac:dyDescent="0.15">
      <c r="M158" s="37">
        <v>152</v>
      </c>
      <c r="N158" s="32">
        <f>求节点(村县营基础信息!K$8:K$28,$I$33:$I$53,$M158)*节奏总纲!K155+N157</f>
        <v>0</v>
      </c>
      <c r="O158" s="32">
        <f>求节点(村县营基础信息!L$8:L$28,$I$33:$I$53,$M158)*节奏总纲!L155+O157</f>
        <v>0</v>
      </c>
      <c r="P158" s="32">
        <f>求节点(村县营基础信息!M$8:M$28,$I$33:$I$53,$M158)*节奏总纲!M155+P157</f>
        <v>0</v>
      </c>
      <c r="Q158" s="32">
        <f>求节点(村县营基础信息!N$8:N$28,$I$33:$I$53,$M158)*节奏总纲!N155+Q157</f>
        <v>0</v>
      </c>
      <c r="R158" s="32">
        <f>求节点(村县营基础信息!O$8:O$28,$I$33:$I$53,$M158)*节奏总纲!O155+R157</f>
        <v>0</v>
      </c>
      <c r="W158" s="29">
        <v>1445623.2005494349</v>
      </c>
      <c r="X158" s="29">
        <v>1288057.641451909</v>
      </c>
      <c r="Y158" s="29">
        <v>1115519.8345128226</v>
      </c>
      <c r="Z158" s="29">
        <v>806655.63097755995</v>
      </c>
      <c r="AA158" s="29">
        <v>439891.98817466613</v>
      </c>
      <c r="AC158" s="37">
        <v>152</v>
      </c>
      <c r="AD158" s="32">
        <f>求节点(村县营基础信息!T$8:T$28,$Y$33:$Y$53,$AC158)*节奏总纲!K155*(1+$B$10)+AD157</f>
        <v>0</v>
      </c>
      <c r="AE158" s="32">
        <f>求节点(村县营基础信息!U$8:U$28,$Y$33:$Y$53,$AC158)*节奏总纲!L155*(1+$B$10)+AE157</f>
        <v>0</v>
      </c>
      <c r="AF158" s="32">
        <f>求节点(村县营基础信息!V$8:V$28,$Y$33:$Y$53,$AC158)*节奏总纲!M155*(1+$B$10)+AF157</f>
        <v>0</v>
      </c>
      <c r="AG158" s="32">
        <f>求节点(村县营基础信息!W$8:W$28,$Y$33:$Y$53,$AC158)*节奏总纲!N155*(1+$B$10)+AG157</f>
        <v>0</v>
      </c>
      <c r="AH158" s="32">
        <f>求节点(村县营基础信息!X$8:X$28,$Y$33:$Y$53,$AC158)*节奏总纲!O155*(1+$B$10)+AH157</f>
        <v>0</v>
      </c>
      <c r="AS158" s="37">
        <v>152</v>
      </c>
      <c r="AT158" s="32">
        <f>求节点(村县营基础信息!AC$8:AC$28,$AN$33:$AN$53,$AS158)*节奏总纲!K155+AT157</f>
        <v>0</v>
      </c>
      <c r="AU158" s="32">
        <f>求节点(村县营基础信息!AD$8:AD$28,$AN$33:$AN$53,$AS158)*节奏总纲!L155+AU157</f>
        <v>0</v>
      </c>
      <c r="AV158" s="32">
        <f>求节点(村县营基础信息!AE$8:AE$28,$AN$33:$AN$53,$AS158)*节奏总纲!M155+AV157</f>
        <v>0</v>
      </c>
      <c r="AW158" s="32">
        <f>求节点(村县营基础信息!AF$8:AF$28,$AN$33:$AN$53,$AS158)*节奏总纲!N155+AW157</f>
        <v>0</v>
      </c>
      <c r="AX158" s="32">
        <f>求节点(村县营基础信息!AG$8:AG$28,$AN$33:$AN$53,$AS158)*节奏总纲!O155+AX157</f>
        <v>0</v>
      </c>
      <c r="BL158" s="37">
        <v>152</v>
      </c>
      <c r="BM158" s="32">
        <f>求节点(村县营基础信息!AL$8:AL$28,$BG$33:$BG$53,$BL158)*节奏总纲!K155+BM157</f>
        <v>0</v>
      </c>
      <c r="BN158" s="32">
        <f>求节点(村县营基础信息!AM$8:AM$28,$BG$33:$BG$53,$BL158)*节奏总纲!L155+BN157</f>
        <v>0</v>
      </c>
      <c r="BO158" s="32">
        <f>求节点(村县营基础信息!AN$8:AN$28,$BG$33:$BG$53,$BL158)*节奏总纲!M155+BO157</f>
        <v>0</v>
      </c>
      <c r="BP158" s="32">
        <f>求节点(村县营基础信息!AO$8:AO$28,$BG$33:$BG$53,$BL158)*节奏总纲!N155+BP157</f>
        <v>0</v>
      </c>
      <c r="BQ158" s="32">
        <f>求节点(村县营基础信息!AP$8:AP$28,$BG$33:$BG$53,$BL158)*节奏总纲!O155+BQ157</f>
        <v>0</v>
      </c>
    </row>
    <row r="159" spans="13:69" x14ac:dyDescent="0.15">
      <c r="M159" s="37">
        <v>153</v>
      </c>
      <c r="N159" s="32">
        <f>求节点(村县营基础信息!K$8:K$28,$I$33:$I$53,$M159)*节奏总纲!K156+N158</f>
        <v>0</v>
      </c>
      <c r="O159" s="32">
        <f>求节点(村县营基础信息!L$8:L$28,$I$33:$I$53,$M159)*节奏总纲!L156+O158</f>
        <v>0</v>
      </c>
      <c r="P159" s="32">
        <f>求节点(村县营基础信息!M$8:M$28,$I$33:$I$53,$M159)*节奏总纲!M156+P158</f>
        <v>0</v>
      </c>
      <c r="Q159" s="32">
        <f>求节点(村县营基础信息!N$8:N$28,$I$33:$I$53,$M159)*节奏总纲!N156+Q158</f>
        <v>0</v>
      </c>
      <c r="R159" s="32">
        <f>求节点(村县营基础信息!O$8:O$28,$I$33:$I$53,$M159)*节奏总纲!O156+R158</f>
        <v>0</v>
      </c>
      <c r="W159" s="29">
        <v>1627070.5778484894</v>
      </c>
      <c r="X159" s="29">
        <v>1479705.5551746315</v>
      </c>
      <c r="Y159" s="29">
        <v>1220392.8591895055</v>
      </c>
      <c r="Z159" s="29">
        <v>872571.61670054682</v>
      </c>
      <c r="AA159" s="29">
        <v>495590.18270372308</v>
      </c>
      <c r="AC159" s="37">
        <v>153</v>
      </c>
      <c r="AD159" s="32">
        <f>求节点(村县营基础信息!T$8:T$28,$Y$33:$Y$53,$AC159)*节奏总纲!K156*(1+$B$10)+AD158</f>
        <v>0</v>
      </c>
      <c r="AE159" s="32">
        <f>求节点(村县营基础信息!U$8:U$28,$Y$33:$Y$53,$AC159)*节奏总纲!L156*(1+$B$10)+AE158</f>
        <v>0</v>
      </c>
      <c r="AF159" s="32">
        <f>求节点(村县营基础信息!V$8:V$28,$Y$33:$Y$53,$AC159)*节奏总纲!M156*(1+$B$10)+AF158</f>
        <v>0</v>
      </c>
      <c r="AG159" s="32">
        <f>求节点(村县营基础信息!W$8:W$28,$Y$33:$Y$53,$AC159)*节奏总纲!N156*(1+$B$10)+AG158</f>
        <v>0</v>
      </c>
      <c r="AH159" s="32">
        <f>求节点(村县营基础信息!X$8:X$28,$Y$33:$Y$53,$AC159)*节奏总纲!O156*(1+$B$10)+AH158</f>
        <v>0</v>
      </c>
      <c r="AS159" s="37">
        <v>153</v>
      </c>
      <c r="AT159" s="32">
        <f>求节点(村县营基础信息!AC$8:AC$28,$AN$33:$AN$53,$AS159)*节奏总纲!K156+AT158</f>
        <v>0</v>
      </c>
      <c r="AU159" s="32">
        <f>求节点(村县营基础信息!AD$8:AD$28,$AN$33:$AN$53,$AS159)*节奏总纲!L156+AU158</f>
        <v>0</v>
      </c>
      <c r="AV159" s="32">
        <f>求节点(村县营基础信息!AE$8:AE$28,$AN$33:$AN$53,$AS159)*节奏总纲!M156+AV158</f>
        <v>0</v>
      </c>
      <c r="AW159" s="32">
        <f>求节点(村县营基础信息!AF$8:AF$28,$AN$33:$AN$53,$AS159)*节奏总纲!N156+AW158</f>
        <v>0</v>
      </c>
      <c r="AX159" s="32">
        <f>求节点(村县营基础信息!AG$8:AG$28,$AN$33:$AN$53,$AS159)*节奏总纲!O156+AX158</f>
        <v>0</v>
      </c>
      <c r="BL159" s="37">
        <v>153</v>
      </c>
      <c r="BM159" s="32">
        <f>求节点(村县营基础信息!AL$8:AL$28,$BG$33:$BG$53,$BL159)*节奏总纲!K156+BM158</f>
        <v>0</v>
      </c>
      <c r="BN159" s="32">
        <f>求节点(村县营基础信息!AM$8:AM$28,$BG$33:$BG$53,$BL159)*节奏总纲!L156+BN158</f>
        <v>0</v>
      </c>
      <c r="BO159" s="32">
        <f>求节点(村县营基础信息!AN$8:AN$28,$BG$33:$BG$53,$BL159)*节奏总纲!M156+BO158</f>
        <v>0</v>
      </c>
      <c r="BP159" s="32">
        <f>求节点(村县营基础信息!AO$8:AO$28,$BG$33:$BG$53,$BL159)*节奏总纲!N156+BP158</f>
        <v>0</v>
      </c>
      <c r="BQ159" s="32">
        <f>求节点(村县营基础信息!AP$8:AP$28,$BG$33:$BG$53,$BL159)*节奏总纲!O156+BQ158</f>
        <v>0</v>
      </c>
    </row>
    <row r="160" spans="13:69" x14ac:dyDescent="0.15">
      <c r="M160" s="37">
        <v>154</v>
      </c>
      <c r="N160" s="32">
        <f>求节点(村县营基础信息!K$8:K$28,$I$33:$I$53,$M160)*节奏总纲!K157+N159</f>
        <v>0</v>
      </c>
      <c r="O160" s="32">
        <f>求节点(村县营基础信息!L$8:L$28,$I$33:$I$53,$M160)*节奏总纲!L157+O159</f>
        <v>0</v>
      </c>
      <c r="P160" s="32">
        <f>求节点(村县营基础信息!M$8:M$28,$I$33:$I$53,$M160)*节奏总纲!M157+P159</f>
        <v>0</v>
      </c>
      <c r="Q160" s="32">
        <f>求节点(村县营基础信息!N$8:N$28,$I$33:$I$53,$M160)*节奏总纲!N157+Q159</f>
        <v>0</v>
      </c>
      <c r="R160" s="32">
        <f>求节点(村县营基础信息!O$8:O$28,$I$33:$I$53,$M160)*节奏总纲!O157+R159</f>
        <v>0</v>
      </c>
      <c r="W160" s="29">
        <v>1828486.4361071365</v>
      </c>
      <c r="X160" s="29">
        <v>1628657.5843441573</v>
      </c>
      <c r="Y160" s="29">
        <v>1306964.6091173182</v>
      </c>
      <c r="Z160" s="29">
        <v>935733.59775552328</v>
      </c>
      <c r="AA160" s="29">
        <v>577480.40293443948</v>
      </c>
      <c r="AC160" s="37">
        <v>154</v>
      </c>
      <c r="AD160" s="32">
        <f>求节点(村县营基础信息!T$8:T$28,$Y$33:$Y$53,$AC160)*节奏总纲!K157*(1+$B$10)+AD159</f>
        <v>0</v>
      </c>
      <c r="AE160" s="32">
        <f>求节点(村县营基础信息!U$8:U$28,$Y$33:$Y$53,$AC160)*节奏总纲!L157*(1+$B$10)+AE159</f>
        <v>0</v>
      </c>
      <c r="AF160" s="32">
        <f>求节点(村县营基础信息!V$8:V$28,$Y$33:$Y$53,$AC160)*节奏总纲!M157*(1+$B$10)+AF159</f>
        <v>0</v>
      </c>
      <c r="AG160" s="32">
        <f>求节点(村县营基础信息!W$8:W$28,$Y$33:$Y$53,$AC160)*节奏总纲!N157*(1+$B$10)+AG159</f>
        <v>0</v>
      </c>
      <c r="AH160" s="32">
        <f>求节点(村县营基础信息!X$8:X$28,$Y$33:$Y$53,$AC160)*节奏总纲!O157*(1+$B$10)+AH159</f>
        <v>0</v>
      </c>
      <c r="AS160" s="37">
        <v>154</v>
      </c>
      <c r="AT160" s="32">
        <f>求节点(村县营基础信息!AC$8:AC$28,$AN$33:$AN$53,$AS160)*节奏总纲!K157+AT159</f>
        <v>0</v>
      </c>
      <c r="AU160" s="32">
        <f>求节点(村县营基础信息!AD$8:AD$28,$AN$33:$AN$53,$AS160)*节奏总纲!L157+AU159</f>
        <v>0</v>
      </c>
      <c r="AV160" s="32">
        <f>求节点(村县营基础信息!AE$8:AE$28,$AN$33:$AN$53,$AS160)*节奏总纲!M157+AV159</f>
        <v>0</v>
      </c>
      <c r="AW160" s="32">
        <f>求节点(村县营基础信息!AF$8:AF$28,$AN$33:$AN$53,$AS160)*节奏总纲!N157+AW159</f>
        <v>0</v>
      </c>
      <c r="AX160" s="32">
        <f>求节点(村县营基础信息!AG$8:AG$28,$AN$33:$AN$53,$AS160)*节奏总纲!O157+AX159</f>
        <v>0</v>
      </c>
      <c r="BL160" s="37">
        <v>154</v>
      </c>
      <c r="BM160" s="32">
        <f>求节点(村县营基础信息!AL$8:AL$28,$BG$33:$BG$53,$BL160)*节奏总纲!K157+BM159</f>
        <v>0</v>
      </c>
      <c r="BN160" s="32">
        <f>求节点(村县营基础信息!AM$8:AM$28,$BG$33:$BG$53,$BL160)*节奏总纲!L157+BN159</f>
        <v>0</v>
      </c>
      <c r="BO160" s="32">
        <f>求节点(村县营基础信息!AN$8:AN$28,$BG$33:$BG$53,$BL160)*节奏总纲!M157+BO159</f>
        <v>0</v>
      </c>
      <c r="BP160" s="32">
        <f>求节点(村县营基础信息!AO$8:AO$28,$BG$33:$BG$53,$BL160)*节奏总纲!N157+BP159</f>
        <v>0</v>
      </c>
      <c r="BQ160" s="32">
        <f>求节点(村县营基础信息!AP$8:AP$28,$BG$33:$BG$53,$BL160)*节奏总纲!O157+BQ159</f>
        <v>0</v>
      </c>
    </row>
    <row r="161" spans="13:69" x14ac:dyDescent="0.15">
      <c r="M161" s="37">
        <v>155</v>
      </c>
      <c r="N161" s="32">
        <f>求节点(村县营基础信息!K$8:K$28,$I$33:$I$53,$M161)*节奏总纲!K158+N160</f>
        <v>0</v>
      </c>
      <c r="O161" s="32">
        <f>求节点(村县营基础信息!L$8:L$28,$I$33:$I$53,$M161)*节奏总纲!L158+O160</f>
        <v>0</v>
      </c>
      <c r="P161" s="32">
        <f>求节点(村县营基础信息!M$8:M$28,$I$33:$I$53,$M161)*节奏总纲!M158+P160</f>
        <v>0</v>
      </c>
      <c r="Q161" s="32">
        <f>求节点(村县营基础信息!N$8:N$28,$I$33:$I$53,$M161)*节奏总纲!N158+Q160</f>
        <v>0</v>
      </c>
      <c r="R161" s="32">
        <f>求节点(村县营基础信息!O$8:O$28,$I$33:$I$53,$M161)*节奏总纲!O158+R160</f>
        <v>0</v>
      </c>
      <c r="W161" s="29">
        <v>2051802.4759163696</v>
      </c>
      <c r="X161" s="29">
        <v>1750509.262644382</v>
      </c>
      <c r="Y161" s="29">
        <v>1405456.4666802858</v>
      </c>
      <c r="Z161" s="29">
        <v>1073350.9803654463</v>
      </c>
      <c r="AA161" s="29">
        <v>633687.26338533883</v>
      </c>
      <c r="AC161" s="37">
        <v>155</v>
      </c>
      <c r="AD161" s="32">
        <f>求节点(村县营基础信息!T$8:T$28,$Y$33:$Y$53,$AC161)*节奏总纲!K158*(1+$B$10)+AD160</f>
        <v>0</v>
      </c>
      <c r="AE161" s="32">
        <f>求节点(村县营基础信息!U$8:U$28,$Y$33:$Y$53,$AC161)*节奏总纲!L158*(1+$B$10)+AE160</f>
        <v>0</v>
      </c>
      <c r="AF161" s="32">
        <f>求节点(村县营基础信息!V$8:V$28,$Y$33:$Y$53,$AC161)*节奏总纲!M158*(1+$B$10)+AF160</f>
        <v>0</v>
      </c>
      <c r="AG161" s="32">
        <f>求节点(村县营基础信息!W$8:W$28,$Y$33:$Y$53,$AC161)*节奏总纲!N158*(1+$B$10)+AG160</f>
        <v>0</v>
      </c>
      <c r="AH161" s="32">
        <f>求节点(村县营基础信息!X$8:X$28,$Y$33:$Y$53,$AC161)*节奏总纲!O158*(1+$B$10)+AH160</f>
        <v>0</v>
      </c>
      <c r="AS161" s="37">
        <v>155</v>
      </c>
      <c r="AT161" s="32">
        <f>求节点(村县营基础信息!AC$8:AC$28,$AN$33:$AN$53,$AS161)*节奏总纲!K158+AT160</f>
        <v>0</v>
      </c>
      <c r="AU161" s="32">
        <f>求节点(村县营基础信息!AD$8:AD$28,$AN$33:$AN$53,$AS161)*节奏总纲!L158+AU160</f>
        <v>0</v>
      </c>
      <c r="AV161" s="32">
        <f>求节点(村县营基础信息!AE$8:AE$28,$AN$33:$AN$53,$AS161)*节奏总纲!M158+AV160</f>
        <v>0</v>
      </c>
      <c r="AW161" s="32">
        <f>求节点(村县营基础信息!AF$8:AF$28,$AN$33:$AN$53,$AS161)*节奏总纲!N158+AW160</f>
        <v>0</v>
      </c>
      <c r="AX161" s="32">
        <f>求节点(村县营基础信息!AG$8:AG$28,$AN$33:$AN$53,$AS161)*节奏总纲!O158+AX160</f>
        <v>0</v>
      </c>
      <c r="BL161" s="37">
        <v>155</v>
      </c>
      <c r="BM161" s="32">
        <f>求节点(村县营基础信息!AL$8:AL$28,$BG$33:$BG$53,$BL161)*节奏总纲!K158+BM160</f>
        <v>0</v>
      </c>
      <c r="BN161" s="32">
        <f>求节点(村县营基础信息!AM$8:AM$28,$BG$33:$BG$53,$BL161)*节奏总纲!L158+BN160</f>
        <v>0</v>
      </c>
      <c r="BO161" s="32">
        <f>求节点(村县营基础信息!AN$8:AN$28,$BG$33:$BG$53,$BL161)*节奏总纲!M158+BO160</f>
        <v>0</v>
      </c>
      <c r="BP161" s="32">
        <f>求节点(村县营基础信息!AO$8:AO$28,$BG$33:$BG$53,$BL161)*节奏总纲!N158+BP160</f>
        <v>0</v>
      </c>
      <c r="BQ161" s="32">
        <f>求节点(村县营基础信息!AP$8:AP$28,$BG$33:$BG$53,$BL161)*节奏总纲!O158+BQ160</f>
        <v>0</v>
      </c>
    </row>
    <row r="162" spans="13:69" x14ac:dyDescent="0.15">
      <c r="M162" s="37">
        <v>156</v>
      </c>
      <c r="N162" s="32">
        <f>求节点(村县营基础信息!K$8:K$28,$I$33:$I$53,$M162)*节奏总纲!K159+N161</f>
        <v>0</v>
      </c>
      <c r="O162" s="32">
        <f>求节点(村县营基础信息!L$8:L$28,$I$33:$I$53,$M162)*节奏总纲!L159+O161</f>
        <v>0</v>
      </c>
      <c r="P162" s="32">
        <f>求节点(村县营基础信息!M$8:M$28,$I$33:$I$53,$M162)*节奏总纲!M159+P161</f>
        <v>0</v>
      </c>
      <c r="Q162" s="32">
        <f>求节点(村县营基础信息!N$8:N$28,$I$33:$I$53,$M162)*节奏总纲!N159+Q161</f>
        <v>0</v>
      </c>
      <c r="R162" s="32">
        <f>求节点(村县营基础信息!O$8:O$28,$I$33:$I$53,$M162)*节奏总纲!O159+R161</f>
        <v>0</v>
      </c>
      <c r="W162" s="29">
        <v>2299124.8213168113</v>
      </c>
      <c r="X162" s="29">
        <v>1964464.9229212049</v>
      </c>
      <c r="Y162" s="29">
        <v>1671221.705459652</v>
      </c>
      <c r="Z162" s="29">
        <v>1287770.1207808862</v>
      </c>
      <c r="AA162" s="29">
        <v>710200.41504213994</v>
      </c>
      <c r="AC162" s="37">
        <v>156</v>
      </c>
      <c r="AD162" s="32">
        <f>求节点(村县营基础信息!T$8:T$28,$Y$33:$Y$53,$AC162)*节奏总纲!K159*(1+$B$10)+AD161</f>
        <v>0</v>
      </c>
      <c r="AE162" s="32">
        <f>求节点(村县营基础信息!U$8:U$28,$Y$33:$Y$53,$AC162)*节奏总纲!L159*(1+$B$10)+AE161</f>
        <v>0</v>
      </c>
      <c r="AF162" s="32">
        <f>求节点(村县营基础信息!V$8:V$28,$Y$33:$Y$53,$AC162)*节奏总纲!M159*(1+$B$10)+AF161</f>
        <v>0</v>
      </c>
      <c r="AG162" s="32">
        <f>求节点(村县营基础信息!W$8:W$28,$Y$33:$Y$53,$AC162)*节奏总纲!N159*(1+$B$10)+AG161</f>
        <v>0</v>
      </c>
      <c r="AH162" s="32">
        <f>求节点(村县营基础信息!X$8:X$28,$Y$33:$Y$53,$AC162)*节奏总纲!O159*(1+$B$10)+AH161</f>
        <v>0</v>
      </c>
      <c r="AS162" s="37">
        <v>156</v>
      </c>
      <c r="AT162" s="32">
        <f>求节点(村县营基础信息!AC$8:AC$28,$AN$33:$AN$53,$AS162)*节奏总纲!K159+AT161</f>
        <v>0</v>
      </c>
      <c r="AU162" s="32">
        <f>求节点(村县营基础信息!AD$8:AD$28,$AN$33:$AN$53,$AS162)*节奏总纲!L159+AU161</f>
        <v>0</v>
      </c>
      <c r="AV162" s="32">
        <f>求节点(村县营基础信息!AE$8:AE$28,$AN$33:$AN$53,$AS162)*节奏总纲!M159+AV161</f>
        <v>0</v>
      </c>
      <c r="AW162" s="32">
        <f>求节点(村县营基础信息!AF$8:AF$28,$AN$33:$AN$53,$AS162)*节奏总纲!N159+AW161</f>
        <v>0</v>
      </c>
      <c r="AX162" s="32">
        <f>求节点(村县营基础信息!AG$8:AG$28,$AN$33:$AN$53,$AS162)*节奏总纲!O159+AX161</f>
        <v>0</v>
      </c>
      <c r="BL162" s="37">
        <v>156</v>
      </c>
      <c r="BM162" s="32">
        <f>求节点(村县营基础信息!AL$8:AL$28,$BG$33:$BG$53,$BL162)*节奏总纲!K159+BM161</f>
        <v>0</v>
      </c>
      <c r="BN162" s="32">
        <f>求节点(村县营基础信息!AM$8:AM$28,$BG$33:$BG$53,$BL162)*节奏总纲!L159+BN161</f>
        <v>0</v>
      </c>
      <c r="BO162" s="32">
        <f>求节点(村县营基础信息!AN$8:AN$28,$BG$33:$BG$53,$BL162)*节奏总纲!M159+BO161</f>
        <v>0</v>
      </c>
      <c r="BP162" s="32">
        <f>求节点(村县营基础信息!AO$8:AO$28,$BG$33:$BG$53,$BL162)*节奏总纲!N159+BP161</f>
        <v>0</v>
      </c>
      <c r="BQ162" s="32">
        <f>求节点(村县营基础信息!AP$8:AP$28,$BG$33:$BG$53,$BL162)*节奏总纲!O159+BQ161</f>
        <v>0</v>
      </c>
    </row>
    <row r="163" spans="13:69" x14ac:dyDescent="0.15">
      <c r="M163" s="37">
        <v>157</v>
      </c>
      <c r="N163" s="32">
        <f>求节点(村县营基础信息!K$8:K$28,$I$33:$I$53,$M163)*节奏总纲!K160+N162</f>
        <v>0</v>
      </c>
      <c r="O163" s="32">
        <f>求节点(村县营基础信息!L$8:L$28,$I$33:$I$53,$M163)*节奏总纲!L160+O162</f>
        <v>0</v>
      </c>
      <c r="P163" s="32">
        <f>求节点(村县营基础信息!M$8:M$28,$I$33:$I$53,$M163)*节奏总纲!M160+P162</f>
        <v>0</v>
      </c>
      <c r="Q163" s="32">
        <f>求节点(村县营基础信息!N$8:N$28,$I$33:$I$53,$M163)*节奏总纲!N160+Q162</f>
        <v>0</v>
      </c>
      <c r="R163" s="32">
        <f>求节点(村县营基础信息!O$8:O$28,$I$33:$I$53,$M163)*节奏总纲!O160+R162</f>
        <v>0</v>
      </c>
      <c r="W163" s="29">
        <v>2572749.1067283493</v>
      </c>
      <c r="X163" s="29">
        <v>2330253.8198523759</v>
      </c>
      <c r="Y163" s="29">
        <v>1991183.696532771</v>
      </c>
      <c r="Z163" s="29">
        <v>1440061.3971975963</v>
      </c>
      <c r="AA163" s="29">
        <v>803596.72884009348</v>
      </c>
      <c r="AC163" s="37">
        <v>157</v>
      </c>
      <c r="AD163" s="32">
        <f>求节点(村县营基础信息!T$8:T$28,$Y$33:$Y$53,$AC163)*节奏总纲!K160*(1+$B$10)+AD162</f>
        <v>0</v>
      </c>
      <c r="AE163" s="32">
        <f>求节点(村县营基础信息!U$8:U$28,$Y$33:$Y$53,$AC163)*节奏总纲!L160*(1+$B$10)+AE162</f>
        <v>0</v>
      </c>
      <c r="AF163" s="32">
        <f>求节点(村县营基础信息!V$8:V$28,$Y$33:$Y$53,$AC163)*节奏总纲!M160*(1+$B$10)+AF162</f>
        <v>0</v>
      </c>
      <c r="AG163" s="32">
        <f>求节点(村县营基础信息!W$8:W$28,$Y$33:$Y$53,$AC163)*节奏总纲!N160*(1+$B$10)+AG162</f>
        <v>0</v>
      </c>
      <c r="AH163" s="32">
        <f>求节点(村县营基础信息!X$8:X$28,$Y$33:$Y$53,$AC163)*节奏总纲!O160*(1+$B$10)+AH162</f>
        <v>0</v>
      </c>
      <c r="AS163" s="37">
        <v>157</v>
      </c>
      <c r="AT163" s="32">
        <f>求节点(村县营基础信息!AC$8:AC$28,$AN$33:$AN$53,$AS163)*节奏总纲!K160+AT162</f>
        <v>0</v>
      </c>
      <c r="AU163" s="32">
        <f>求节点(村县营基础信息!AD$8:AD$28,$AN$33:$AN$53,$AS163)*节奏总纲!L160+AU162</f>
        <v>0</v>
      </c>
      <c r="AV163" s="32">
        <f>求节点(村县营基础信息!AE$8:AE$28,$AN$33:$AN$53,$AS163)*节奏总纲!M160+AV162</f>
        <v>0</v>
      </c>
      <c r="AW163" s="32">
        <f>求节点(村县营基础信息!AF$8:AF$28,$AN$33:$AN$53,$AS163)*节奏总纲!N160+AW162</f>
        <v>0</v>
      </c>
      <c r="AX163" s="32">
        <f>求节点(村县营基础信息!AG$8:AG$28,$AN$33:$AN$53,$AS163)*节奏总纲!O160+AX162</f>
        <v>0</v>
      </c>
      <c r="BL163" s="37">
        <v>157</v>
      </c>
      <c r="BM163" s="32">
        <f>求节点(村县营基础信息!AL$8:AL$28,$BG$33:$BG$53,$BL163)*节奏总纲!K160+BM162</f>
        <v>0</v>
      </c>
      <c r="BN163" s="32">
        <f>求节点(村县营基础信息!AM$8:AM$28,$BG$33:$BG$53,$BL163)*节奏总纲!L160+BN162</f>
        <v>0</v>
      </c>
      <c r="BO163" s="32">
        <f>求节点(村县营基础信息!AN$8:AN$28,$BG$33:$BG$53,$BL163)*节奏总纲!M160+BO162</f>
        <v>0</v>
      </c>
      <c r="BP163" s="32">
        <f>求节点(村县营基础信息!AO$8:AO$28,$BG$33:$BG$53,$BL163)*节奏总纲!N160+BP162</f>
        <v>0</v>
      </c>
      <c r="BQ163" s="32">
        <f>求节点(村县营基础信息!AP$8:AP$28,$BG$33:$BG$53,$BL163)*节奏总纲!O160+BQ162</f>
        <v>0</v>
      </c>
    </row>
    <row r="164" spans="13:69" x14ac:dyDescent="0.15">
      <c r="M164" s="37">
        <v>158</v>
      </c>
      <c r="N164" s="32">
        <f>求节点(村县营基础信息!K$8:K$28,$I$33:$I$53,$M164)*节奏总纲!K161+N163</f>
        <v>0</v>
      </c>
      <c r="O164" s="32">
        <f>求节点(村县营基础信息!L$8:L$28,$I$33:$I$53,$M164)*节奏总纲!L161+O163</f>
        <v>0</v>
      </c>
      <c r="P164" s="32">
        <f>求节点(村县营基础信息!M$8:M$28,$I$33:$I$53,$M164)*节奏总纲!M161+P163</f>
        <v>0</v>
      </c>
      <c r="Q164" s="32">
        <f>求节点(村县营基础信息!N$8:N$28,$I$33:$I$53,$M164)*节奏总纲!N161+Q163</f>
        <v>0</v>
      </c>
      <c r="R164" s="32">
        <f>求节点(村县营基础信息!O$8:O$28,$I$33:$I$53,$M164)*节奏总纲!O161+R163</f>
        <v>0</v>
      </c>
      <c r="W164" s="29">
        <v>2875176.8310319409</v>
      </c>
      <c r="X164" s="29">
        <v>2643107.4698256012</v>
      </c>
      <c r="Y164" s="29">
        <v>2140323.5280128014</v>
      </c>
      <c r="Z164" s="29">
        <v>1549045.5017957313</v>
      </c>
      <c r="AA164" s="29">
        <v>889008.70304323127</v>
      </c>
      <c r="AC164" s="37">
        <v>158</v>
      </c>
      <c r="AD164" s="32">
        <f>求节点(村县营基础信息!T$8:T$28,$Y$33:$Y$53,$AC164)*节奏总纲!K161*(1+$B$10)+AD163</f>
        <v>0</v>
      </c>
      <c r="AE164" s="32">
        <f>求节点(村县营基础信息!U$8:U$28,$Y$33:$Y$53,$AC164)*节奏总纲!L161*(1+$B$10)+AE163</f>
        <v>0</v>
      </c>
      <c r="AF164" s="32">
        <f>求节点(村县营基础信息!V$8:V$28,$Y$33:$Y$53,$AC164)*节奏总纲!M161*(1+$B$10)+AF163</f>
        <v>0</v>
      </c>
      <c r="AG164" s="32">
        <f>求节点(村县营基础信息!W$8:W$28,$Y$33:$Y$53,$AC164)*节奏总纲!N161*(1+$B$10)+AG163</f>
        <v>0</v>
      </c>
      <c r="AH164" s="32">
        <f>求节点(村县营基础信息!X$8:X$28,$Y$33:$Y$53,$AC164)*节奏总纲!O161*(1+$B$10)+AH163</f>
        <v>0</v>
      </c>
      <c r="AS164" s="37">
        <v>158</v>
      </c>
      <c r="AT164" s="32">
        <f>求节点(村县营基础信息!AC$8:AC$28,$AN$33:$AN$53,$AS164)*节奏总纲!K161+AT163</f>
        <v>0</v>
      </c>
      <c r="AU164" s="32">
        <f>求节点(村县营基础信息!AD$8:AD$28,$AN$33:$AN$53,$AS164)*节奏总纲!L161+AU163</f>
        <v>0</v>
      </c>
      <c r="AV164" s="32">
        <f>求节点(村县营基础信息!AE$8:AE$28,$AN$33:$AN$53,$AS164)*节奏总纲!M161+AV163</f>
        <v>0</v>
      </c>
      <c r="AW164" s="32">
        <f>求节点(村县营基础信息!AF$8:AF$28,$AN$33:$AN$53,$AS164)*节奏总纲!N161+AW163</f>
        <v>0</v>
      </c>
      <c r="AX164" s="32">
        <f>求节点(村县营基础信息!AG$8:AG$28,$AN$33:$AN$53,$AS164)*节奏总纲!O161+AX163</f>
        <v>0</v>
      </c>
      <c r="BL164" s="37">
        <v>158</v>
      </c>
      <c r="BM164" s="32">
        <f>求节点(村县营基础信息!AL$8:AL$28,$BG$33:$BG$53,$BL164)*节奏总纲!K161+BM163</f>
        <v>0</v>
      </c>
      <c r="BN164" s="32">
        <f>求节点(村县营基础信息!AM$8:AM$28,$BG$33:$BG$53,$BL164)*节奏总纲!L161+BN163</f>
        <v>0</v>
      </c>
      <c r="BO164" s="32">
        <f>求节点(村县营基础信息!AN$8:AN$28,$BG$33:$BG$53,$BL164)*节奏总纲!M161+BO163</f>
        <v>0</v>
      </c>
      <c r="BP164" s="32">
        <f>求节点(村县营基础信息!AO$8:AO$28,$BG$33:$BG$53,$BL164)*节奏总纲!N161+BP163</f>
        <v>0</v>
      </c>
      <c r="BQ164" s="32">
        <f>求节点(村县营基础信息!AP$8:AP$28,$BG$33:$BG$53,$BL164)*节奏总纲!O161+BQ163</f>
        <v>0</v>
      </c>
    </row>
    <row r="165" spans="13:69" x14ac:dyDescent="0.15">
      <c r="M165" s="37">
        <v>159</v>
      </c>
      <c r="N165" s="32">
        <f>求节点(村县营基础信息!K$8:K$28,$I$33:$I$53,$M165)*节奏总纲!K162+N164</f>
        <v>0</v>
      </c>
      <c r="O165" s="32">
        <f>求节点(村县营基础信息!L$8:L$28,$I$33:$I$53,$M165)*节奏总纲!L162+O164</f>
        <v>0</v>
      </c>
      <c r="P165" s="32">
        <f>求节点(村县营基础信息!M$8:M$28,$I$33:$I$53,$M165)*节奏总纲!M162+P164</f>
        <v>0</v>
      </c>
      <c r="Q165" s="32">
        <f>求节点(村县营基础信息!N$8:N$28,$I$33:$I$53,$M165)*节奏总纲!N162+Q164</f>
        <v>0</v>
      </c>
      <c r="R165" s="32">
        <f>求节点(村县营基础信息!O$8:O$28,$I$33:$I$53,$M165)*节奏总纲!O162+R164</f>
        <v>0</v>
      </c>
      <c r="W165" s="29">
        <v>3209133.0829801289</v>
      </c>
      <c r="X165" s="29">
        <v>2816486.7485510199</v>
      </c>
      <c r="Y165" s="29">
        <v>2282312.4860352729</v>
      </c>
      <c r="Z165" s="29">
        <v>1676621.6469741722</v>
      </c>
      <c r="AA165" s="29">
        <v>970823.15736091649</v>
      </c>
      <c r="AC165" s="37">
        <v>159</v>
      </c>
      <c r="AD165" s="32">
        <f>求节点(村县营基础信息!T$8:T$28,$Y$33:$Y$53,$AC165)*节奏总纲!K162*(1+$B$10)+AD164</f>
        <v>0</v>
      </c>
      <c r="AE165" s="32">
        <f>求节点(村县营基础信息!U$8:U$28,$Y$33:$Y$53,$AC165)*节奏总纲!L162*(1+$B$10)+AE164</f>
        <v>0</v>
      </c>
      <c r="AF165" s="32">
        <f>求节点(村县营基础信息!V$8:V$28,$Y$33:$Y$53,$AC165)*节奏总纲!M162*(1+$B$10)+AF164</f>
        <v>0</v>
      </c>
      <c r="AG165" s="32">
        <f>求节点(村县营基础信息!W$8:W$28,$Y$33:$Y$53,$AC165)*节奏总纲!N162*(1+$B$10)+AG164</f>
        <v>0</v>
      </c>
      <c r="AH165" s="32">
        <f>求节点(村县营基础信息!X$8:X$28,$Y$33:$Y$53,$AC165)*节奏总纲!O162*(1+$B$10)+AH164</f>
        <v>0</v>
      </c>
      <c r="AS165" s="37">
        <v>159</v>
      </c>
      <c r="AT165" s="32">
        <f>求节点(村县营基础信息!AC$8:AC$28,$AN$33:$AN$53,$AS165)*节奏总纲!K162+AT164</f>
        <v>0</v>
      </c>
      <c r="AU165" s="32">
        <f>求节点(村县营基础信息!AD$8:AD$28,$AN$33:$AN$53,$AS165)*节奏总纲!L162+AU164</f>
        <v>0</v>
      </c>
      <c r="AV165" s="32">
        <f>求节点(村县营基础信息!AE$8:AE$28,$AN$33:$AN$53,$AS165)*节奏总纲!M162+AV164</f>
        <v>0</v>
      </c>
      <c r="AW165" s="32">
        <f>求节点(村县营基础信息!AF$8:AF$28,$AN$33:$AN$53,$AS165)*节奏总纲!N162+AW164</f>
        <v>0</v>
      </c>
      <c r="AX165" s="32">
        <f>求节点(村县营基础信息!AG$8:AG$28,$AN$33:$AN$53,$AS165)*节奏总纲!O162+AX164</f>
        <v>0</v>
      </c>
      <c r="BL165" s="37">
        <v>159</v>
      </c>
      <c r="BM165" s="32">
        <f>求节点(村县营基础信息!AL$8:AL$28,$BG$33:$BG$53,$BL165)*节奏总纲!K162+BM164</f>
        <v>0</v>
      </c>
      <c r="BN165" s="32">
        <f>求节点(村县营基础信息!AM$8:AM$28,$BG$33:$BG$53,$BL165)*节奏总纲!L162+BN164</f>
        <v>0</v>
      </c>
      <c r="BO165" s="32">
        <f>求节点(村县营基础信息!AN$8:AN$28,$BG$33:$BG$53,$BL165)*节奏总纲!M162+BO164</f>
        <v>0</v>
      </c>
      <c r="BP165" s="32">
        <f>求节点(村县营基础信息!AO$8:AO$28,$BG$33:$BG$53,$BL165)*节奏总纲!N162+BP164</f>
        <v>0</v>
      </c>
      <c r="BQ165" s="32">
        <f>求节点(村县营基础信息!AP$8:AP$28,$BG$33:$BG$53,$BL165)*节奏总纲!O162+BQ164</f>
        <v>0</v>
      </c>
    </row>
    <row r="166" spans="13:69" x14ac:dyDescent="0.15">
      <c r="M166" s="37">
        <v>160</v>
      </c>
      <c r="N166" s="32">
        <f>求节点(村县营基础信息!K$8:K$28,$I$33:$I$53,$M166)*节奏总纲!K163+N165</f>
        <v>0</v>
      </c>
      <c r="O166" s="32">
        <f>求节点(村县营基础信息!L$8:L$28,$I$33:$I$53,$M166)*节奏总纲!L163+O165</f>
        <v>0</v>
      </c>
      <c r="P166" s="32">
        <f>求节点(村县营基础信息!M$8:M$28,$I$33:$I$53,$M166)*节奏总纲!M163+P165</f>
        <v>0</v>
      </c>
      <c r="Q166" s="32">
        <f>求节点(村县营基础信息!N$8:N$28,$I$33:$I$53,$M166)*节奏总纲!N163+Q165</f>
        <v>0</v>
      </c>
      <c r="R166" s="32">
        <f>求节点(村县营基础信息!O$8:O$28,$I$33:$I$53,$M166)*节奏总纲!O163+R165</f>
        <v>0</v>
      </c>
      <c r="W166" s="29">
        <v>3577585.7505394081</v>
      </c>
      <c r="X166" s="29">
        <v>3075699.2259075502</v>
      </c>
      <c r="Y166" s="29">
        <v>2506092.1385030299</v>
      </c>
      <c r="Z166" s="29">
        <v>1889176.742984561</v>
      </c>
      <c r="AA166" s="29">
        <v>1077485.4150255516</v>
      </c>
      <c r="AC166" s="37">
        <v>160</v>
      </c>
      <c r="AD166" s="32">
        <f>求节点(村县营基础信息!T$8:T$28,$Y$33:$Y$53,$AC166)*节奏总纲!K163*(1+$B$10)+AD165</f>
        <v>0</v>
      </c>
      <c r="AE166" s="32">
        <f>求节点(村县营基础信息!U$8:U$28,$Y$33:$Y$53,$AC166)*节奏总纲!L163*(1+$B$10)+AE165</f>
        <v>0</v>
      </c>
      <c r="AF166" s="32">
        <f>求节点(村县营基础信息!V$8:V$28,$Y$33:$Y$53,$AC166)*节奏总纲!M163*(1+$B$10)+AF165</f>
        <v>0</v>
      </c>
      <c r="AG166" s="32">
        <f>求节点(村县营基础信息!W$8:W$28,$Y$33:$Y$53,$AC166)*节奏总纲!N163*(1+$B$10)+AG165</f>
        <v>0</v>
      </c>
      <c r="AH166" s="32">
        <f>求节点(村县营基础信息!X$8:X$28,$Y$33:$Y$53,$AC166)*节奏总纲!O163*(1+$B$10)+AH165</f>
        <v>0</v>
      </c>
      <c r="AS166" s="37">
        <v>160</v>
      </c>
      <c r="AT166" s="32">
        <f>求节点(村县营基础信息!AC$8:AC$28,$AN$33:$AN$53,$AS166)*节奏总纲!K163+AT165</f>
        <v>0</v>
      </c>
      <c r="AU166" s="32">
        <f>求节点(村县营基础信息!AD$8:AD$28,$AN$33:$AN$53,$AS166)*节奏总纲!L163+AU165</f>
        <v>0</v>
      </c>
      <c r="AV166" s="32">
        <f>求节点(村县营基础信息!AE$8:AE$28,$AN$33:$AN$53,$AS166)*节奏总纲!M163+AV165</f>
        <v>0</v>
      </c>
      <c r="AW166" s="32">
        <f>求节点(村县营基础信息!AF$8:AF$28,$AN$33:$AN$53,$AS166)*节奏总纲!N163+AW165</f>
        <v>0</v>
      </c>
      <c r="AX166" s="32">
        <f>求节点(村县营基础信息!AG$8:AG$28,$AN$33:$AN$53,$AS166)*节奏总纲!O163+AX165</f>
        <v>0</v>
      </c>
      <c r="BL166" s="37">
        <v>160</v>
      </c>
      <c r="BM166" s="32">
        <f>求节点(村县营基础信息!AL$8:AL$28,$BG$33:$BG$53,$BL166)*节奏总纲!K163+BM165</f>
        <v>0</v>
      </c>
      <c r="BN166" s="32">
        <f>求节点(村县营基础信息!AM$8:AM$28,$BG$33:$BG$53,$BL166)*节奏总纲!L163+BN165</f>
        <v>0</v>
      </c>
      <c r="BO166" s="32">
        <f>求节点(村县营基础信息!AN$8:AN$28,$BG$33:$BG$53,$BL166)*节奏总纲!M163+BO165</f>
        <v>0</v>
      </c>
      <c r="BP166" s="32">
        <f>求节点(村县营基础信息!AO$8:AO$28,$BG$33:$BG$53,$BL166)*节奏总纲!N163+BP165</f>
        <v>0</v>
      </c>
      <c r="BQ166" s="32">
        <f>求节点(村县营基础信息!AP$8:AP$28,$BG$33:$BG$53,$BL166)*节奏总纲!O163+BQ165</f>
        <v>0</v>
      </c>
    </row>
    <row r="167" spans="13:69" x14ac:dyDescent="0.15">
      <c r="M167" s="37">
        <v>161</v>
      </c>
      <c r="N167" s="32" t="e">
        <f>求节点(村县营基础信息!K$8:K$28,$I$33:$I$53,$M167)*节奏总纲!#REF!+N166</f>
        <v>#REF!</v>
      </c>
      <c r="O167" s="32" t="e">
        <f>求节点(村县营基础信息!L$8:L$28,$I$33:$I$53,$M167)*节奏总纲!#REF!+O166</f>
        <v>#REF!</v>
      </c>
      <c r="P167" s="32" t="e">
        <f>求节点(村县营基础信息!M$8:M$28,$I$33:$I$53,$M167)*节奏总纲!#REF!+P166</f>
        <v>#REF!</v>
      </c>
      <c r="Q167" s="32" t="e">
        <f>求节点(村县营基础信息!N$8:N$28,$I$33:$I$53,$M167)*节奏总纲!#REF!+Q166</f>
        <v>#REF!</v>
      </c>
      <c r="R167" s="32" t="e">
        <f>求节点(村县营基础信息!O$8:O$28,$I$33:$I$53,$M167)*节奏总纲!#REF!+R166</f>
        <v>#REF!</v>
      </c>
      <c r="W167" s="29">
        <v>3983766.3358670264</v>
      </c>
      <c r="X167" s="29">
        <v>3445193.1020063953</v>
      </c>
      <c r="Y167" s="29">
        <v>2888890.040378341</v>
      </c>
      <c r="Z167" s="29">
        <v>2156541.3750734637</v>
      </c>
      <c r="AA167" s="29">
        <v>1221517.5725161305</v>
      </c>
      <c r="AC167" s="37">
        <v>161</v>
      </c>
      <c r="AD167" s="32" t="e">
        <f>求节点(村县营基础信息!T$8:T$28,$Y$33:$Y$53,$AC167)*节奏总纲!#REF!*(1+$B$10)+AD166</f>
        <v>#REF!</v>
      </c>
      <c r="AE167" s="32" t="e">
        <f>求节点(村县营基础信息!U$8:U$28,$Y$33:$Y$53,$AC167)*节奏总纲!#REF!*(1+$B$10)+AE166</f>
        <v>#REF!</v>
      </c>
      <c r="AF167" s="32" t="e">
        <f>求节点(村县营基础信息!V$8:V$28,$Y$33:$Y$53,$AC167)*节奏总纲!#REF!*(1+$B$10)+AF166</f>
        <v>#REF!</v>
      </c>
      <c r="AG167" s="32" t="e">
        <f>求节点(村县营基础信息!W$8:W$28,$Y$33:$Y$53,$AC167)*节奏总纲!#REF!*(1+$B$10)+AG166</f>
        <v>#REF!</v>
      </c>
      <c r="AH167" s="32" t="e">
        <f>求节点(村县营基础信息!X$8:X$28,$Y$33:$Y$53,$AC167)*节奏总纲!#REF!*(1+$B$10)+AH166</f>
        <v>#REF!</v>
      </c>
      <c r="AS167" s="37">
        <v>161</v>
      </c>
      <c r="AT167" s="32" t="e">
        <f>求节点(村县营基础信息!AC$8:AC$28,$AN$33:$AN$53,$AS167)*节奏总纲!#REF!+AT166</f>
        <v>#REF!</v>
      </c>
      <c r="AU167" s="32" t="e">
        <f>求节点(村县营基础信息!AD$8:AD$28,$AN$33:$AN$53,$AS167)*节奏总纲!#REF!+AU166</f>
        <v>#REF!</v>
      </c>
      <c r="AV167" s="32" t="e">
        <f>求节点(村县营基础信息!AE$8:AE$28,$AN$33:$AN$53,$AS167)*节奏总纲!#REF!+AV166</f>
        <v>#REF!</v>
      </c>
      <c r="AW167" s="32" t="e">
        <f>求节点(村县营基础信息!AF$8:AF$28,$AN$33:$AN$53,$AS167)*节奏总纲!#REF!+AW166</f>
        <v>#REF!</v>
      </c>
      <c r="AX167" s="32" t="e">
        <f>求节点(村县营基础信息!AG$8:AG$28,$AN$33:$AN$53,$AS167)*节奏总纲!#REF!+AX166</f>
        <v>#REF!</v>
      </c>
      <c r="BL167" s="37">
        <v>161</v>
      </c>
      <c r="BM167" s="32" t="e">
        <f>求节点(村县营基础信息!AL$8:AL$28,$BG$33:$BG$53,$BL167)*节奏总纲!#REF!+BM166</f>
        <v>#REF!</v>
      </c>
      <c r="BN167" s="32" t="e">
        <f>求节点(村县营基础信息!AM$8:AM$28,$BG$33:$BG$53,$BL167)*节奏总纲!#REF!+BN166</f>
        <v>#REF!</v>
      </c>
      <c r="BO167" s="32" t="e">
        <f>求节点(村县营基础信息!AN$8:AN$28,$BG$33:$BG$53,$BL167)*节奏总纲!#REF!+BO166</f>
        <v>#REF!</v>
      </c>
      <c r="BP167" s="32" t="e">
        <f>求节点(村县营基础信息!AO$8:AO$28,$BG$33:$BG$53,$BL167)*节奏总纲!#REF!+BP166</f>
        <v>#REF!</v>
      </c>
      <c r="BQ167" s="32" t="e">
        <f>求节点(村县营基础信息!AP$8:AP$28,$BG$33:$BG$53,$BL167)*节奏总纲!#REF!+BQ166</f>
        <v>#REF!</v>
      </c>
    </row>
    <row r="168" spans="13:69" x14ac:dyDescent="0.15">
      <c r="M168" s="37">
        <v>162</v>
      </c>
      <c r="N168" s="32" t="e">
        <f>求节点(村县营基础信息!K$8:K$28,$I$33:$I$53,$M168)*节奏总纲!#REF!+N167</f>
        <v>#REF!</v>
      </c>
      <c r="O168" s="32" t="e">
        <f>求节点(村县营基础信息!L$8:L$28,$I$33:$I$53,$M168)*节奏总纲!#REF!+O167</f>
        <v>#REF!</v>
      </c>
      <c r="P168" s="32" t="e">
        <f>求节点(村县营基础信息!M$8:M$28,$I$33:$I$53,$M168)*节奏总纲!#REF!+P167</f>
        <v>#REF!</v>
      </c>
      <c r="Q168" s="32" t="e">
        <f>求节点(村县营基础信息!N$8:N$28,$I$33:$I$53,$M168)*节奏总纲!#REF!+Q167</f>
        <v>#REF!</v>
      </c>
      <c r="R168" s="32" t="e">
        <f>求节点(村县营基础信息!O$8:O$28,$I$33:$I$53,$M168)*节奏总纲!#REF!+R167</f>
        <v>#REF!</v>
      </c>
      <c r="W168" s="29">
        <v>4431192.5074506151</v>
      </c>
      <c r="X168" s="29">
        <v>3922290.6678249808</v>
      </c>
      <c r="Y168" s="29">
        <v>3266937.9450247865</v>
      </c>
      <c r="Z168" s="29">
        <v>2419451.0937284678</v>
      </c>
      <c r="AA168" s="29">
        <v>1364521.8340349782</v>
      </c>
      <c r="AC168" s="37">
        <v>162</v>
      </c>
      <c r="AD168" s="32" t="e">
        <f>求节点(村县营基础信息!T$8:T$28,$Y$33:$Y$53,$AC168)*节奏总纲!#REF!*(1+$B$10)+AD167</f>
        <v>#REF!</v>
      </c>
      <c r="AE168" s="32" t="e">
        <f>求节点(村县营基础信息!U$8:U$28,$Y$33:$Y$53,$AC168)*节奏总纲!#REF!*(1+$B$10)+AE167</f>
        <v>#REF!</v>
      </c>
      <c r="AF168" s="32" t="e">
        <f>求节点(村县营基础信息!V$8:V$28,$Y$33:$Y$53,$AC168)*节奏总纲!#REF!*(1+$B$10)+AF167</f>
        <v>#REF!</v>
      </c>
      <c r="AG168" s="32" t="e">
        <f>求节点(村县营基础信息!W$8:W$28,$Y$33:$Y$53,$AC168)*节奏总纲!#REF!*(1+$B$10)+AG167</f>
        <v>#REF!</v>
      </c>
      <c r="AH168" s="32" t="e">
        <f>求节点(村县营基础信息!X$8:X$28,$Y$33:$Y$53,$AC168)*节奏总纲!#REF!*(1+$B$10)+AH167</f>
        <v>#REF!</v>
      </c>
      <c r="AS168" s="37">
        <v>162</v>
      </c>
      <c r="AT168" s="32" t="e">
        <f>求节点(村县营基础信息!AC$8:AC$28,$AN$33:$AN$53,$AS168)*节奏总纲!#REF!+AT167</f>
        <v>#REF!</v>
      </c>
      <c r="AU168" s="32" t="e">
        <f>求节点(村县营基础信息!AD$8:AD$28,$AN$33:$AN$53,$AS168)*节奏总纲!#REF!+AU167</f>
        <v>#REF!</v>
      </c>
      <c r="AV168" s="32" t="e">
        <f>求节点(村县营基础信息!AE$8:AE$28,$AN$33:$AN$53,$AS168)*节奏总纲!#REF!+AV167</f>
        <v>#REF!</v>
      </c>
      <c r="AW168" s="32" t="e">
        <f>求节点(村县营基础信息!AF$8:AF$28,$AN$33:$AN$53,$AS168)*节奏总纲!#REF!+AW167</f>
        <v>#REF!</v>
      </c>
      <c r="AX168" s="32" t="e">
        <f>求节点(村县营基础信息!AG$8:AG$28,$AN$33:$AN$53,$AS168)*节奏总纲!#REF!+AX167</f>
        <v>#REF!</v>
      </c>
      <c r="BL168" s="37">
        <v>162</v>
      </c>
      <c r="BM168" s="32" t="e">
        <f>求节点(村县营基础信息!AL$8:AL$28,$BG$33:$BG$53,$BL168)*节奏总纲!#REF!+BM167</f>
        <v>#REF!</v>
      </c>
      <c r="BN168" s="32" t="e">
        <f>求节点(村县营基础信息!AM$8:AM$28,$BG$33:$BG$53,$BL168)*节奏总纲!#REF!+BN167</f>
        <v>#REF!</v>
      </c>
      <c r="BO168" s="32" t="e">
        <f>求节点(村县营基础信息!AN$8:AN$28,$BG$33:$BG$53,$BL168)*节奏总纲!#REF!+BO167</f>
        <v>#REF!</v>
      </c>
      <c r="BP168" s="32" t="e">
        <f>求节点(村县营基础信息!AO$8:AO$28,$BG$33:$BG$53,$BL168)*节奏总纲!#REF!+BP167</f>
        <v>#REF!</v>
      </c>
      <c r="BQ168" s="32" t="e">
        <f>求节点(村县营基础信息!AP$8:AP$28,$BG$33:$BG$53,$BL168)*节奏总纲!#REF!+BQ167</f>
        <v>#REF!</v>
      </c>
    </row>
    <row r="169" spans="13:69" x14ac:dyDescent="0.15">
      <c r="M169" s="37">
        <v>163</v>
      </c>
      <c r="N169" s="32" t="e">
        <f>求节点(村县营基础信息!K$8:K$28,$I$33:$I$53,$M169)*节奏总纲!#REF!+N168</f>
        <v>#REF!</v>
      </c>
      <c r="O169" s="32" t="e">
        <f>求节点(村县营基础信息!L$8:L$28,$I$33:$I$53,$M169)*节奏总纲!#REF!+O168</f>
        <v>#REF!</v>
      </c>
      <c r="P169" s="32" t="e">
        <f>求节点(村县营基础信息!M$8:M$28,$I$33:$I$53,$M169)*节奏总纲!#REF!+P168</f>
        <v>#REF!</v>
      </c>
      <c r="Q169" s="32" t="e">
        <f>求节点(村县营基础信息!N$8:N$28,$I$33:$I$53,$M169)*节奏总纲!#REF!+Q168</f>
        <v>#REF!</v>
      </c>
      <c r="R169" s="32" t="e">
        <f>求节点(村县营基础信息!O$8:O$28,$I$33:$I$53,$M169)*节奏总纲!#REF!+R168</f>
        <v>#REF!</v>
      </c>
      <c r="W169" s="29">
        <v>4923692.5315480474</v>
      </c>
      <c r="X169" s="29">
        <v>4349690.3720441097</v>
      </c>
      <c r="Y169" s="29">
        <v>3589201.0104458588</v>
      </c>
      <c r="Z169" s="29">
        <v>2654859.5486484594</v>
      </c>
      <c r="AA169" s="29">
        <v>1495945.0940745831</v>
      </c>
      <c r="AC169" s="37">
        <v>163</v>
      </c>
      <c r="AD169" s="32" t="e">
        <f>求节点(村县营基础信息!T$8:T$28,$Y$33:$Y$53,$AC169)*节奏总纲!#REF!*(1+$B$10)+AD168</f>
        <v>#REF!</v>
      </c>
      <c r="AE169" s="32" t="e">
        <f>求节点(村县营基础信息!U$8:U$28,$Y$33:$Y$53,$AC169)*节奏总纲!#REF!*(1+$B$10)+AE168</f>
        <v>#REF!</v>
      </c>
      <c r="AF169" s="32" t="e">
        <f>求节点(村县营基础信息!V$8:V$28,$Y$33:$Y$53,$AC169)*节奏总纲!#REF!*(1+$B$10)+AF168</f>
        <v>#REF!</v>
      </c>
      <c r="AG169" s="32" t="e">
        <f>求节点(村县营基础信息!W$8:W$28,$Y$33:$Y$53,$AC169)*节奏总纲!#REF!*(1+$B$10)+AG168</f>
        <v>#REF!</v>
      </c>
      <c r="AH169" s="32" t="e">
        <f>求节点(村县营基础信息!X$8:X$28,$Y$33:$Y$53,$AC169)*节奏总纲!#REF!*(1+$B$10)+AH168</f>
        <v>#REF!</v>
      </c>
      <c r="AS169" s="37">
        <v>163</v>
      </c>
      <c r="AT169" s="32" t="e">
        <f>求节点(村县营基础信息!AC$8:AC$28,$AN$33:$AN$53,$AS169)*节奏总纲!#REF!+AT168</f>
        <v>#REF!</v>
      </c>
      <c r="AU169" s="32" t="e">
        <f>求节点(村县营基础信息!AD$8:AD$28,$AN$33:$AN$53,$AS169)*节奏总纲!#REF!+AU168</f>
        <v>#REF!</v>
      </c>
      <c r="AV169" s="32" t="e">
        <f>求节点(村县营基础信息!AE$8:AE$28,$AN$33:$AN$53,$AS169)*节奏总纲!#REF!+AV168</f>
        <v>#REF!</v>
      </c>
      <c r="AW169" s="32" t="e">
        <f>求节点(村县营基础信息!AF$8:AF$28,$AN$33:$AN$53,$AS169)*节奏总纲!#REF!+AW168</f>
        <v>#REF!</v>
      </c>
      <c r="AX169" s="32" t="e">
        <f>求节点(村县营基础信息!AG$8:AG$28,$AN$33:$AN$53,$AS169)*节奏总纲!#REF!+AX168</f>
        <v>#REF!</v>
      </c>
      <c r="BL169" s="37">
        <v>163</v>
      </c>
      <c r="BM169" s="32" t="e">
        <f>求节点(村县营基础信息!AL$8:AL$28,$BG$33:$BG$53,$BL169)*节奏总纲!#REF!+BM168</f>
        <v>#REF!</v>
      </c>
      <c r="BN169" s="32" t="e">
        <f>求节点(村县营基础信息!AM$8:AM$28,$BG$33:$BG$53,$BL169)*节奏总纲!#REF!+BN168</f>
        <v>#REF!</v>
      </c>
      <c r="BO169" s="32" t="e">
        <f>求节点(村县营基础信息!AN$8:AN$28,$BG$33:$BG$53,$BL169)*节奏总纲!#REF!+BO168</f>
        <v>#REF!</v>
      </c>
      <c r="BP169" s="32" t="e">
        <f>求节点(村县营基础信息!AO$8:AO$28,$BG$33:$BG$53,$BL169)*节奏总纲!#REF!+BP168</f>
        <v>#REF!</v>
      </c>
      <c r="BQ169" s="32" t="e">
        <f>求节点(村县营基础信息!AP$8:AP$28,$BG$33:$BG$53,$BL169)*节奏总纲!#REF!+BQ168</f>
        <v>#REF!</v>
      </c>
    </row>
    <row r="170" spans="13:69" x14ac:dyDescent="0.15">
      <c r="M170" s="37">
        <v>164</v>
      </c>
      <c r="N170" s="32" t="e">
        <f>求节点(村县营基础信息!K$8:K$28,$I$33:$I$53,$M170)*节奏总纲!#REF!+N169</f>
        <v>#REF!</v>
      </c>
      <c r="O170" s="32" t="e">
        <f>求节点(村县营基础信息!L$8:L$28,$I$33:$I$53,$M170)*节奏总纲!#REF!+O169</f>
        <v>#REF!</v>
      </c>
      <c r="P170" s="32" t="e">
        <f>求节点(村县营基础信息!M$8:M$28,$I$33:$I$53,$M170)*节奏总纲!#REF!+P169</f>
        <v>#REF!</v>
      </c>
      <c r="Q170" s="32" t="e">
        <f>求节点(村县营基础信息!N$8:N$28,$I$33:$I$53,$M170)*节奏总纲!#REF!+Q169</f>
        <v>#REF!</v>
      </c>
      <c r="R170" s="32" t="e">
        <f>求节点(村县营基础信息!O$8:O$28,$I$33:$I$53,$M170)*节奏总纲!#REF!+R169</f>
        <v>#REF!</v>
      </c>
      <c r="W170" s="29">
        <v>5465431.7365195807</v>
      </c>
      <c r="X170" s="29">
        <v>4776246.0965938903</v>
      </c>
      <c r="Y170" s="29">
        <v>3946412.6228138446</v>
      </c>
      <c r="Z170" s="29">
        <v>2905659.2054145355</v>
      </c>
      <c r="AA170" s="29">
        <v>1645726.0655491208</v>
      </c>
      <c r="AC170" s="37">
        <v>164</v>
      </c>
      <c r="AD170" s="32" t="e">
        <f>求节点(村县营基础信息!T$8:T$28,$Y$33:$Y$53,$AC170)*节奏总纲!#REF!*(1+$B$10)+AD169</f>
        <v>#REF!</v>
      </c>
      <c r="AE170" s="32" t="e">
        <f>求节点(村县营基础信息!U$8:U$28,$Y$33:$Y$53,$AC170)*节奏总纲!#REF!*(1+$B$10)+AE169</f>
        <v>#REF!</v>
      </c>
      <c r="AF170" s="32" t="e">
        <f>求节点(村县营基础信息!V$8:V$28,$Y$33:$Y$53,$AC170)*节奏总纲!#REF!*(1+$B$10)+AF169</f>
        <v>#REF!</v>
      </c>
      <c r="AG170" s="32" t="e">
        <f>求节点(村县营基础信息!W$8:W$28,$Y$33:$Y$53,$AC170)*节奏总纲!#REF!*(1+$B$10)+AG169</f>
        <v>#REF!</v>
      </c>
      <c r="AH170" s="32" t="e">
        <f>求节点(村县营基础信息!X$8:X$28,$Y$33:$Y$53,$AC170)*节奏总纲!#REF!*(1+$B$10)+AH169</f>
        <v>#REF!</v>
      </c>
      <c r="AS170" s="37">
        <v>164</v>
      </c>
      <c r="AT170" s="32" t="e">
        <f>求节点(村县营基础信息!AC$8:AC$28,$AN$33:$AN$53,$AS170)*节奏总纲!#REF!+AT169</f>
        <v>#REF!</v>
      </c>
      <c r="AU170" s="32" t="e">
        <f>求节点(村县营基础信息!AD$8:AD$28,$AN$33:$AN$53,$AS170)*节奏总纲!#REF!+AU169</f>
        <v>#REF!</v>
      </c>
      <c r="AV170" s="32" t="e">
        <f>求节点(村县营基础信息!AE$8:AE$28,$AN$33:$AN$53,$AS170)*节奏总纲!#REF!+AV169</f>
        <v>#REF!</v>
      </c>
      <c r="AW170" s="32" t="e">
        <f>求节点(村县营基础信息!AF$8:AF$28,$AN$33:$AN$53,$AS170)*节奏总纲!#REF!+AW169</f>
        <v>#REF!</v>
      </c>
      <c r="AX170" s="32" t="e">
        <f>求节点(村县营基础信息!AG$8:AG$28,$AN$33:$AN$53,$AS170)*节奏总纲!#REF!+AX169</f>
        <v>#REF!</v>
      </c>
      <c r="BL170" s="37">
        <v>164</v>
      </c>
      <c r="BM170" s="32" t="e">
        <f>求节点(村县营基础信息!AL$8:AL$28,$BG$33:$BG$53,$BL170)*节奏总纲!#REF!+BM169</f>
        <v>#REF!</v>
      </c>
      <c r="BN170" s="32" t="e">
        <f>求节点(村县营基础信息!AM$8:AM$28,$BG$33:$BG$53,$BL170)*节奏总纲!#REF!+BN169</f>
        <v>#REF!</v>
      </c>
      <c r="BO170" s="32" t="e">
        <f>求节点(村县营基础信息!AN$8:AN$28,$BG$33:$BG$53,$BL170)*节奏总纲!#REF!+BO169</f>
        <v>#REF!</v>
      </c>
      <c r="BP170" s="32" t="e">
        <f>求节点(村县营基础信息!AO$8:AO$28,$BG$33:$BG$53,$BL170)*节奏总纲!#REF!+BP169</f>
        <v>#REF!</v>
      </c>
      <c r="BQ170" s="32" t="e">
        <f>求节点(村县营基础信息!AP$8:AP$28,$BG$33:$BG$53,$BL170)*节奏总纲!#REF!+BQ169</f>
        <v>#REF!</v>
      </c>
    </row>
    <row r="171" spans="13:69" x14ac:dyDescent="0.15">
      <c r="M171" s="37">
        <v>165</v>
      </c>
      <c r="N171" s="32" t="e">
        <f>求节点(村县营基础信息!K$8:K$28,$I$33:$I$53,$M171)*节奏总纲!#REF!+N170</f>
        <v>#REF!</v>
      </c>
      <c r="O171" s="32" t="e">
        <f>求节点(村县营基础信息!L$8:L$28,$I$33:$I$53,$M171)*节奏总纲!#REF!+O170</f>
        <v>#REF!</v>
      </c>
      <c r="P171" s="32" t="e">
        <f>求节点(村县营基础信息!M$8:M$28,$I$33:$I$53,$M171)*节奏总纲!#REF!+P170</f>
        <v>#REF!</v>
      </c>
      <c r="Q171" s="32" t="e">
        <f>求节点(村县营基础信息!N$8:N$28,$I$33:$I$53,$M171)*节奏总纲!#REF!+Q170</f>
        <v>#REF!</v>
      </c>
      <c r="R171" s="32" t="e">
        <f>求节点(村县营基础信息!O$8:O$28,$I$33:$I$53,$M171)*节奏总纲!#REF!+R170</f>
        <v>#REF!</v>
      </c>
      <c r="W171" s="29">
        <v>6060941.1760108704</v>
      </c>
      <c r="X171" s="29">
        <v>5295304.4899430908</v>
      </c>
      <c r="Y171" s="29">
        <v>4362546.4304021969</v>
      </c>
      <c r="Z171" s="29">
        <v>3217024.3008978083</v>
      </c>
      <c r="AA171" s="29">
        <v>1851814.040113986</v>
      </c>
      <c r="AC171" s="37">
        <v>165</v>
      </c>
      <c r="AD171" s="32" t="e">
        <f>求节点(村县营基础信息!T$8:T$28,$Y$33:$Y$53,$AC171)*节奏总纲!#REF!*(1+$B$10)+AD170</f>
        <v>#REF!</v>
      </c>
      <c r="AE171" s="32" t="e">
        <f>求节点(村县营基础信息!U$8:U$28,$Y$33:$Y$53,$AC171)*节奏总纲!#REF!*(1+$B$10)+AE170</f>
        <v>#REF!</v>
      </c>
      <c r="AF171" s="32" t="e">
        <f>求节点(村县营基础信息!V$8:V$28,$Y$33:$Y$53,$AC171)*节奏总纲!#REF!*(1+$B$10)+AF170</f>
        <v>#REF!</v>
      </c>
      <c r="AG171" s="32" t="e">
        <f>求节点(村县营基础信息!W$8:W$28,$Y$33:$Y$53,$AC171)*节奏总纲!#REF!*(1+$B$10)+AG170</f>
        <v>#REF!</v>
      </c>
      <c r="AH171" s="32" t="e">
        <f>求节点(村县营基础信息!X$8:X$28,$Y$33:$Y$53,$AC171)*节奏总纲!#REF!*(1+$B$10)+AH170</f>
        <v>#REF!</v>
      </c>
      <c r="AS171" s="37">
        <v>165</v>
      </c>
      <c r="AT171" s="32" t="e">
        <f>求节点(村县营基础信息!AC$8:AC$28,$AN$33:$AN$53,$AS171)*节奏总纲!#REF!+AT170</f>
        <v>#REF!</v>
      </c>
      <c r="AU171" s="32" t="e">
        <f>求节点(村县营基础信息!AD$8:AD$28,$AN$33:$AN$53,$AS171)*节奏总纲!#REF!+AU170</f>
        <v>#REF!</v>
      </c>
      <c r="AV171" s="32" t="e">
        <f>求节点(村县营基础信息!AE$8:AE$28,$AN$33:$AN$53,$AS171)*节奏总纲!#REF!+AV170</f>
        <v>#REF!</v>
      </c>
      <c r="AW171" s="32" t="e">
        <f>求节点(村县营基础信息!AF$8:AF$28,$AN$33:$AN$53,$AS171)*节奏总纲!#REF!+AW170</f>
        <v>#REF!</v>
      </c>
      <c r="AX171" s="32" t="e">
        <f>求节点(村县营基础信息!AG$8:AG$28,$AN$33:$AN$53,$AS171)*节奏总纲!#REF!+AX170</f>
        <v>#REF!</v>
      </c>
      <c r="BL171" s="37">
        <v>165</v>
      </c>
      <c r="BM171" s="32" t="e">
        <f>求节点(村县营基础信息!AL$8:AL$28,$BG$33:$BG$53,$BL171)*节奏总纲!#REF!+BM170</f>
        <v>#REF!</v>
      </c>
      <c r="BN171" s="32" t="e">
        <f>求节点(村县营基础信息!AM$8:AM$28,$BG$33:$BG$53,$BL171)*节奏总纲!#REF!+BN170</f>
        <v>#REF!</v>
      </c>
      <c r="BO171" s="32" t="e">
        <f>求节点(村县营基础信息!AN$8:AN$28,$BG$33:$BG$53,$BL171)*节奏总纲!#REF!+BO170</f>
        <v>#REF!</v>
      </c>
      <c r="BP171" s="32" t="e">
        <f>求节点(村县营基础信息!AO$8:AO$28,$BG$33:$BG$53,$BL171)*节奏总纲!#REF!+BP170</f>
        <v>#REF!</v>
      </c>
      <c r="BQ171" s="32" t="e">
        <f>求节点(村县营基础信息!AP$8:AP$28,$BG$33:$BG$53,$BL171)*节奏总纲!#REF!+BQ170</f>
        <v>#REF!</v>
      </c>
    </row>
    <row r="172" spans="13:69" x14ac:dyDescent="0.15">
      <c r="M172" s="37">
        <v>166</v>
      </c>
      <c r="N172" s="32" t="e">
        <f>求节点(村县营基础信息!K$8:K$28,$I$33:$I$53,$M172)*节奏总纲!#REF!+N171</f>
        <v>#REF!</v>
      </c>
      <c r="O172" s="32" t="e">
        <f>求节点(村县营基础信息!L$8:L$28,$I$33:$I$53,$M172)*节奏总纲!#REF!+O171</f>
        <v>#REF!</v>
      </c>
      <c r="P172" s="32" t="e">
        <f>求节点(村县营基础信息!M$8:M$28,$I$33:$I$53,$M172)*节奏总纲!#REF!+P171</f>
        <v>#REF!</v>
      </c>
      <c r="Q172" s="32" t="e">
        <f>求节点(村县营基础信息!N$8:N$28,$I$33:$I$53,$M172)*节奏总纲!#REF!+Q171</f>
        <v>#REF!</v>
      </c>
      <c r="R172" s="32" t="e">
        <f>求节点(村县营基础信息!O$8:O$28,$I$33:$I$53,$M172)*节奏总纲!#REF!+R171</f>
        <v>#REF!</v>
      </c>
      <c r="W172" s="29">
        <v>6723126.8104701117</v>
      </c>
      <c r="X172" s="29">
        <v>5866955.0372838192</v>
      </c>
      <c r="Y172" s="29">
        <v>4829414.2601061584</v>
      </c>
      <c r="Z172" s="29">
        <v>3614029.9061683742</v>
      </c>
      <c r="AA172" s="29">
        <v>2076943.9084657806</v>
      </c>
      <c r="AC172" s="37">
        <v>166</v>
      </c>
      <c r="AD172" s="32" t="e">
        <f>求节点(村县营基础信息!T$8:T$28,$Y$33:$Y$53,$AC172)*节奏总纲!#REF!*(1+$B$10)+AD171</f>
        <v>#REF!</v>
      </c>
      <c r="AE172" s="32" t="e">
        <f>求节点(村县营基础信息!U$8:U$28,$Y$33:$Y$53,$AC172)*节奏总纲!#REF!*(1+$B$10)+AE171</f>
        <v>#REF!</v>
      </c>
      <c r="AF172" s="32" t="e">
        <f>求节点(村县营基础信息!V$8:V$28,$Y$33:$Y$53,$AC172)*节奏总纲!#REF!*(1+$B$10)+AF171</f>
        <v>#REF!</v>
      </c>
      <c r="AG172" s="32" t="e">
        <f>求节点(村县营基础信息!W$8:W$28,$Y$33:$Y$53,$AC172)*节奏总纲!#REF!*(1+$B$10)+AG171</f>
        <v>#REF!</v>
      </c>
      <c r="AH172" s="32" t="e">
        <f>求节点(村县营基础信息!X$8:X$28,$Y$33:$Y$53,$AC172)*节奏总纲!#REF!*(1+$B$10)+AH171</f>
        <v>#REF!</v>
      </c>
      <c r="AS172" s="37">
        <v>166</v>
      </c>
      <c r="AT172" s="32" t="e">
        <f>求节点(村县营基础信息!AC$8:AC$28,$AN$33:$AN$53,$AS172)*节奏总纲!#REF!+AT171</f>
        <v>#REF!</v>
      </c>
      <c r="AU172" s="32" t="e">
        <f>求节点(村县营基础信息!AD$8:AD$28,$AN$33:$AN$53,$AS172)*节奏总纲!#REF!+AU171</f>
        <v>#REF!</v>
      </c>
      <c r="AV172" s="32" t="e">
        <f>求节点(村县营基础信息!AE$8:AE$28,$AN$33:$AN$53,$AS172)*节奏总纲!#REF!+AV171</f>
        <v>#REF!</v>
      </c>
      <c r="AW172" s="32" t="e">
        <f>求节点(村县营基础信息!AF$8:AF$28,$AN$33:$AN$53,$AS172)*节奏总纲!#REF!+AW171</f>
        <v>#REF!</v>
      </c>
      <c r="AX172" s="32" t="e">
        <f>求节点(村县营基础信息!AG$8:AG$28,$AN$33:$AN$53,$AS172)*节奏总纲!#REF!+AX171</f>
        <v>#REF!</v>
      </c>
      <c r="BL172" s="37">
        <v>166</v>
      </c>
      <c r="BM172" s="32" t="e">
        <f>求节点(村县营基础信息!AL$8:AL$28,$BG$33:$BG$53,$BL172)*节奏总纲!#REF!+BM171</f>
        <v>#REF!</v>
      </c>
      <c r="BN172" s="32" t="e">
        <f>求节点(村县营基础信息!AM$8:AM$28,$BG$33:$BG$53,$BL172)*节奏总纲!#REF!+BN171</f>
        <v>#REF!</v>
      </c>
      <c r="BO172" s="32" t="e">
        <f>求节点(村县营基础信息!AN$8:AN$28,$BG$33:$BG$53,$BL172)*节奏总纲!#REF!+BO171</f>
        <v>#REF!</v>
      </c>
      <c r="BP172" s="32" t="e">
        <f>求节点(村县营基础信息!AO$8:AO$28,$BG$33:$BG$53,$BL172)*节奏总纲!#REF!+BP171</f>
        <v>#REF!</v>
      </c>
      <c r="BQ172" s="32" t="e">
        <f>求节点(村县营基础信息!AP$8:AP$28,$BG$33:$BG$53,$BL172)*节奏总纲!#REF!+BQ171</f>
        <v>#REF!</v>
      </c>
    </row>
    <row r="173" spans="13:69" x14ac:dyDescent="0.15">
      <c r="M173" s="37">
        <v>167</v>
      </c>
      <c r="N173" s="32" t="e">
        <f>求节点(村县营基础信息!K$8:K$28,$I$33:$I$53,$M173)*节奏总纲!#REF!+N172</f>
        <v>#REF!</v>
      </c>
      <c r="O173" s="32" t="e">
        <f>求节点(村县营基础信息!L$8:L$28,$I$33:$I$53,$M173)*节奏总纲!#REF!+O172</f>
        <v>#REF!</v>
      </c>
      <c r="P173" s="32" t="e">
        <f>求节点(村县营基础信息!M$8:M$28,$I$33:$I$53,$M173)*节奏总纲!#REF!+P172</f>
        <v>#REF!</v>
      </c>
      <c r="Q173" s="32" t="e">
        <f>求节点(村县营基础信息!N$8:N$28,$I$33:$I$53,$M173)*节奏总纲!#REF!+Q172</f>
        <v>#REF!</v>
      </c>
      <c r="R173" s="32" t="e">
        <f>求节点(村县营基础信息!O$8:O$28,$I$33:$I$53,$M173)*节奏总纲!#REF!+R172</f>
        <v>#REF!</v>
      </c>
      <c r="W173" s="29">
        <v>7458492.077513624</v>
      </c>
      <c r="X173" s="29">
        <v>6506196.2980589727</v>
      </c>
      <c r="Y173" s="29">
        <v>5413097.1801614529</v>
      </c>
      <c r="Z173" s="29">
        <v>4068876.1099244696</v>
      </c>
      <c r="AA173" s="29">
        <v>2285558.650521745</v>
      </c>
      <c r="AC173" s="37">
        <v>167</v>
      </c>
      <c r="AD173" s="32" t="e">
        <f>求节点(村县营基础信息!T$8:T$28,$Y$33:$Y$53,$AC173)*节奏总纲!#REF!*(1+$B$10)+AD172</f>
        <v>#REF!</v>
      </c>
      <c r="AE173" s="32" t="e">
        <f>求节点(村县营基础信息!U$8:U$28,$Y$33:$Y$53,$AC173)*节奏总纲!#REF!*(1+$B$10)+AE172</f>
        <v>#REF!</v>
      </c>
      <c r="AF173" s="32" t="e">
        <f>求节点(村县营基础信息!V$8:V$28,$Y$33:$Y$53,$AC173)*节奏总纲!#REF!*(1+$B$10)+AF172</f>
        <v>#REF!</v>
      </c>
      <c r="AG173" s="32" t="e">
        <f>求节点(村县营基础信息!W$8:W$28,$Y$33:$Y$53,$AC173)*节奏总纲!#REF!*(1+$B$10)+AG172</f>
        <v>#REF!</v>
      </c>
      <c r="AH173" s="32" t="e">
        <f>求节点(村县营基础信息!X$8:X$28,$Y$33:$Y$53,$AC173)*节奏总纲!#REF!*(1+$B$10)+AH172</f>
        <v>#REF!</v>
      </c>
      <c r="AS173" s="37">
        <v>167</v>
      </c>
      <c r="AT173" s="32" t="e">
        <f>求节点(村县营基础信息!AC$8:AC$28,$AN$33:$AN$53,$AS173)*节奏总纲!#REF!+AT172</f>
        <v>#REF!</v>
      </c>
      <c r="AU173" s="32" t="e">
        <f>求节点(村县营基础信息!AD$8:AD$28,$AN$33:$AN$53,$AS173)*节奏总纲!#REF!+AU172</f>
        <v>#REF!</v>
      </c>
      <c r="AV173" s="32" t="e">
        <f>求节点(村县营基础信息!AE$8:AE$28,$AN$33:$AN$53,$AS173)*节奏总纲!#REF!+AV172</f>
        <v>#REF!</v>
      </c>
      <c r="AW173" s="32" t="e">
        <f>求节点(村县营基础信息!AF$8:AF$28,$AN$33:$AN$53,$AS173)*节奏总纲!#REF!+AW172</f>
        <v>#REF!</v>
      </c>
      <c r="AX173" s="32" t="e">
        <f>求节点(村县营基础信息!AG$8:AG$28,$AN$33:$AN$53,$AS173)*节奏总纲!#REF!+AX172</f>
        <v>#REF!</v>
      </c>
      <c r="BL173" s="37">
        <v>167</v>
      </c>
      <c r="BM173" s="32" t="e">
        <f>求节点(村县营基础信息!AL$8:AL$28,$BG$33:$BG$53,$BL173)*节奏总纲!#REF!+BM172</f>
        <v>#REF!</v>
      </c>
      <c r="BN173" s="32" t="e">
        <f>求节点(村县营基础信息!AM$8:AM$28,$BG$33:$BG$53,$BL173)*节奏总纲!#REF!+BN172</f>
        <v>#REF!</v>
      </c>
      <c r="BO173" s="32" t="e">
        <f>求节点(村县营基础信息!AN$8:AN$28,$BG$33:$BG$53,$BL173)*节奏总纲!#REF!+BO172</f>
        <v>#REF!</v>
      </c>
      <c r="BP173" s="32" t="e">
        <f>求节点(村县营基础信息!AO$8:AO$28,$BG$33:$BG$53,$BL173)*节奏总纲!#REF!+BP172</f>
        <v>#REF!</v>
      </c>
      <c r="BQ173" s="32" t="e">
        <f>求节点(村县营基础信息!AP$8:AP$28,$BG$33:$BG$53,$BL173)*节奏总纲!#REF!+BQ172</f>
        <v>#REF!</v>
      </c>
    </row>
    <row r="174" spans="13:69" x14ac:dyDescent="0.15">
      <c r="M174" s="37">
        <v>168</v>
      </c>
      <c r="N174" s="32" t="e">
        <f>求节点(村县营基础信息!K$8:K$28,$I$33:$I$53,$M174)*节奏总纲!#REF!+N173</f>
        <v>#REF!</v>
      </c>
      <c r="O174" s="32" t="e">
        <f>求节点(村县营基础信息!L$8:L$28,$I$33:$I$53,$M174)*节奏总纲!#REF!+O173</f>
        <v>#REF!</v>
      </c>
      <c r="P174" s="32" t="e">
        <f>求节点(村县营基础信息!M$8:M$28,$I$33:$I$53,$M174)*节奏总纲!#REF!+P173</f>
        <v>#REF!</v>
      </c>
      <c r="Q174" s="32" t="e">
        <f>求节点(村县营基础信息!N$8:N$28,$I$33:$I$53,$M174)*节奏总纲!#REF!+Q173</f>
        <v>#REF!</v>
      </c>
      <c r="R174" s="32" t="e">
        <f>求节点(村县营基础信息!O$8:O$28,$I$33:$I$53,$M174)*节奏总纲!#REF!+R173</f>
        <v>#REF!</v>
      </c>
      <c r="W174" s="29">
        <v>8274130.4854839174</v>
      </c>
      <c r="X174" s="29">
        <v>7263032.4590407284</v>
      </c>
      <c r="Y174" s="29">
        <v>6078762.712662152</v>
      </c>
      <c r="Z174" s="29">
        <v>4492795.681132935</v>
      </c>
      <c r="AA174" s="29">
        <v>2521024.5129905152</v>
      </c>
      <c r="AC174" s="37">
        <v>168</v>
      </c>
      <c r="AD174" s="32" t="e">
        <f>求节点(村县营基础信息!T$8:T$28,$Y$33:$Y$53,$AC174)*节奏总纲!#REF!*(1+$B$10)+AD173</f>
        <v>#REF!</v>
      </c>
      <c r="AE174" s="32" t="e">
        <f>求节点(村县营基础信息!U$8:U$28,$Y$33:$Y$53,$AC174)*节奏总纲!#REF!*(1+$B$10)+AE173</f>
        <v>#REF!</v>
      </c>
      <c r="AF174" s="32" t="e">
        <f>求节点(村县营基础信息!V$8:V$28,$Y$33:$Y$53,$AC174)*节奏总纲!#REF!*(1+$B$10)+AF173</f>
        <v>#REF!</v>
      </c>
      <c r="AG174" s="32" t="e">
        <f>求节点(村县营基础信息!W$8:W$28,$Y$33:$Y$53,$AC174)*节奏总纲!#REF!*(1+$B$10)+AG173</f>
        <v>#REF!</v>
      </c>
      <c r="AH174" s="32" t="e">
        <f>求节点(村县营基础信息!X$8:X$28,$Y$33:$Y$53,$AC174)*节奏总纲!#REF!*(1+$B$10)+AH173</f>
        <v>#REF!</v>
      </c>
      <c r="AS174" s="37">
        <v>168</v>
      </c>
      <c r="AT174" s="32" t="e">
        <f>求节点(村县营基础信息!AC$8:AC$28,$AN$33:$AN$53,$AS174)*节奏总纲!#REF!+AT173</f>
        <v>#REF!</v>
      </c>
      <c r="AU174" s="32" t="e">
        <f>求节点(村县营基础信息!AD$8:AD$28,$AN$33:$AN$53,$AS174)*节奏总纲!#REF!+AU173</f>
        <v>#REF!</v>
      </c>
      <c r="AV174" s="32" t="e">
        <f>求节点(村县营基础信息!AE$8:AE$28,$AN$33:$AN$53,$AS174)*节奏总纲!#REF!+AV173</f>
        <v>#REF!</v>
      </c>
      <c r="AW174" s="32" t="e">
        <f>求节点(村县营基础信息!AF$8:AF$28,$AN$33:$AN$53,$AS174)*节奏总纲!#REF!+AW173</f>
        <v>#REF!</v>
      </c>
      <c r="AX174" s="32" t="e">
        <f>求节点(村县营基础信息!AG$8:AG$28,$AN$33:$AN$53,$AS174)*节奏总纲!#REF!+AX173</f>
        <v>#REF!</v>
      </c>
      <c r="BL174" s="37">
        <v>168</v>
      </c>
      <c r="BM174" s="32" t="e">
        <f>求节点(村县营基础信息!AL$8:AL$28,$BG$33:$BG$53,$BL174)*节奏总纲!#REF!+BM173</f>
        <v>#REF!</v>
      </c>
      <c r="BN174" s="32" t="e">
        <f>求节点(村县营基础信息!AM$8:AM$28,$BG$33:$BG$53,$BL174)*节奏总纲!#REF!+BN173</f>
        <v>#REF!</v>
      </c>
      <c r="BO174" s="32" t="e">
        <f>求节点(村县营基础信息!AN$8:AN$28,$BG$33:$BG$53,$BL174)*节奏总纲!#REF!+BO173</f>
        <v>#REF!</v>
      </c>
      <c r="BP174" s="32" t="e">
        <f>求节点(村县营基础信息!AO$8:AO$28,$BG$33:$BG$53,$BL174)*节奏总纲!#REF!+BP173</f>
        <v>#REF!</v>
      </c>
      <c r="BQ174" s="32" t="e">
        <f>求节点(村县营基础信息!AP$8:AP$28,$BG$33:$BG$53,$BL174)*节奏总纲!#REF!+BQ173</f>
        <v>#REF!</v>
      </c>
    </row>
    <row r="175" spans="13:69" x14ac:dyDescent="0.15">
      <c r="M175" s="37">
        <v>169</v>
      </c>
      <c r="N175" s="32" t="e">
        <f>求节点(村县营基础信息!K$8:K$28,$I$33:$I$53,$M175)*节奏总纲!#REF!+N174</f>
        <v>#REF!</v>
      </c>
      <c r="O175" s="32" t="e">
        <f>求节点(村县营基础信息!L$8:L$28,$I$33:$I$53,$M175)*节奏总纲!#REF!+O174</f>
        <v>#REF!</v>
      </c>
      <c r="P175" s="32" t="e">
        <f>求节点(村县营基础信息!M$8:M$28,$I$33:$I$53,$M175)*节奏总纲!#REF!+P174</f>
        <v>#REF!</v>
      </c>
      <c r="Q175" s="32" t="e">
        <f>求节点(村县营基础信息!N$8:N$28,$I$33:$I$53,$M175)*节奏总纲!#REF!+Q174</f>
        <v>#REF!</v>
      </c>
      <c r="R175" s="32" t="e">
        <f>求节点(村县营基础信息!O$8:O$28,$I$33:$I$53,$M175)*节奏总纲!#REF!+R174</f>
        <v>#REF!</v>
      </c>
      <c r="W175" s="29">
        <v>9177776.8142848983</v>
      </c>
      <c r="X175" s="29">
        <v>8119303.8526873514</v>
      </c>
      <c r="Y175" s="29">
        <v>6729787.6024431018</v>
      </c>
      <c r="Z175" s="29">
        <v>4935114.9690639786</v>
      </c>
      <c r="AA175" s="29">
        <v>2750474.7893877365</v>
      </c>
      <c r="AC175" s="37">
        <v>169</v>
      </c>
      <c r="AD175" s="32" t="e">
        <f>求节点(村县营基础信息!T$8:T$28,$Y$33:$Y$53,$AC175)*节奏总纲!#REF!*(1+$B$10)+AD174</f>
        <v>#REF!</v>
      </c>
      <c r="AE175" s="32" t="e">
        <f>求节点(村县营基础信息!U$8:U$28,$Y$33:$Y$53,$AC175)*节奏总纲!#REF!*(1+$B$10)+AE174</f>
        <v>#REF!</v>
      </c>
      <c r="AF175" s="32" t="e">
        <f>求节点(村县营基础信息!V$8:V$28,$Y$33:$Y$53,$AC175)*节奏总纲!#REF!*(1+$B$10)+AF174</f>
        <v>#REF!</v>
      </c>
      <c r="AG175" s="32" t="e">
        <f>求节点(村县营基础信息!W$8:W$28,$Y$33:$Y$53,$AC175)*节奏总纲!#REF!*(1+$B$10)+AG174</f>
        <v>#REF!</v>
      </c>
      <c r="AH175" s="32" t="e">
        <f>求节点(村县营基础信息!X$8:X$28,$Y$33:$Y$53,$AC175)*节奏总纲!#REF!*(1+$B$10)+AH174</f>
        <v>#REF!</v>
      </c>
      <c r="AS175" s="37">
        <v>169</v>
      </c>
      <c r="AT175" s="32" t="e">
        <f>求节点(村县营基础信息!AC$8:AC$28,$AN$33:$AN$53,$AS175)*节奏总纲!#REF!+AT174</f>
        <v>#REF!</v>
      </c>
      <c r="AU175" s="32" t="e">
        <f>求节点(村县营基础信息!AD$8:AD$28,$AN$33:$AN$53,$AS175)*节奏总纲!#REF!+AU174</f>
        <v>#REF!</v>
      </c>
      <c r="AV175" s="32" t="e">
        <f>求节点(村县营基础信息!AE$8:AE$28,$AN$33:$AN$53,$AS175)*节奏总纲!#REF!+AV174</f>
        <v>#REF!</v>
      </c>
      <c r="AW175" s="32" t="e">
        <f>求节点(村县营基础信息!AF$8:AF$28,$AN$33:$AN$53,$AS175)*节奏总纲!#REF!+AW174</f>
        <v>#REF!</v>
      </c>
      <c r="AX175" s="32" t="e">
        <f>求节点(村县营基础信息!AG$8:AG$28,$AN$33:$AN$53,$AS175)*节奏总纲!#REF!+AX174</f>
        <v>#REF!</v>
      </c>
      <c r="BL175" s="37">
        <v>169</v>
      </c>
      <c r="BM175" s="32" t="e">
        <f>求节点(村县营基础信息!AL$8:AL$28,$BG$33:$BG$53,$BL175)*节奏总纲!#REF!+BM174</f>
        <v>#REF!</v>
      </c>
      <c r="BN175" s="32" t="e">
        <f>求节点(村县营基础信息!AM$8:AM$28,$BG$33:$BG$53,$BL175)*节奏总纲!#REF!+BN174</f>
        <v>#REF!</v>
      </c>
      <c r="BO175" s="32" t="e">
        <f>求节点(村县营基础信息!AN$8:AN$28,$BG$33:$BG$53,$BL175)*节奏总纲!#REF!+BO174</f>
        <v>#REF!</v>
      </c>
      <c r="BP175" s="32" t="e">
        <f>求节点(村县营基础信息!AO$8:AO$28,$BG$33:$BG$53,$BL175)*节奏总纲!#REF!+BP174</f>
        <v>#REF!</v>
      </c>
      <c r="BQ175" s="32" t="e">
        <f>求节点(村县营基础信息!AP$8:AP$28,$BG$33:$BG$53,$BL175)*节奏总纲!#REF!+BQ174</f>
        <v>#REF!</v>
      </c>
    </row>
    <row r="176" spans="13:69" x14ac:dyDescent="0.15">
      <c r="M176" s="37">
        <v>170</v>
      </c>
      <c r="N176" s="32" t="e">
        <f>求节点(村县营基础信息!K$8:K$28,$I$33:$I$53,$M176)*节奏总纲!#REF!+N175</f>
        <v>#REF!</v>
      </c>
      <c r="O176" s="32" t="e">
        <f>求节点(村县营基础信息!L$8:L$28,$I$33:$I$53,$M176)*节奏总纲!#REF!+O175</f>
        <v>#REF!</v>
      </c>
      <c r="P176" s="32" t="e">
        <f>求节点(村县营基础信息!M$8:M$28,$I$33:$I$53,$M176)*节奏总纲!#REF!+P175</f>
        <v>#REF!</v>
      </c>
      <c r="Q176" s="32" t="e">
        <f>求节点(村县营基础信息!N$8:N$28,$I$33:$I$53,$M176)*节奏总纲!#REF!+Q175</f>
        <v>#REF!</v>
      </c>
      <c r="R176" s="32" t="e">
        <f>求节点(村县营基础信息!O$8:O$28,$I$33:$I$53,$M176)*节奏总纲!#REF!+R175</f>
        <v>#REF!</v>
      </c>
      <c r="W176" s="29">
        <v>10177862.626231514</v>
      </c>
      <c r="X176" s="29">
        <v>8958695.7617973816</v>
      </c>
      <c r="Y176" s="29">
        <v>7366467.8549089795</v>
      </c>
      <c r="Z176" s="29">
        <v>5383293.4515211731</v>
      </c>
      <c r="AA176" s="29">
        <v>2991310.5062486674</v>
      </c>
      <c r="AC176" s="37">
        <v>170</v>
      </c>
      <c r="AD176" s="32" t="e">
        <f>求节点(村县营基础信息!T$8:T$28,$Y$33:$Y$53,$AC176)*节奏总纲!#REF!*(1+$B$10)+AD175</f>
        <v>#REF!</v>
      </c>
      <c r="AE176" s="32" t="e">
        <f>求节点(村县营基础信息!U$8:U$28,$Y$33:$Y$53,$AC176)*节奏总纲!#REF!*(1+$B$10)+AE175</f>
        <v>#REF!</v>
      </c>
      <c r="AF176" s="32" t="e">
        <f>求节点(村县营基础信息!V$8:V$28,$Y$33:$Y$53,$AC176)*节奏总纲!#REF!*(1+$B$10)+AF175</f>
        <v>#REF!</v>
      </c>
      <c r="AG176" s="32" t="e">
        <f>求节点(村县营基础信息!W$8:W$28,$Y$33:$Y$53,$AC176)*节奏总纲!#REF!*(1+$B$10)+AG175</f>
        <v>#REF!</v>
      </c>
      <c r="AH176" s="32" t="e">
        <f>求节点(村县营基础信息!X$8:X$28,$Y$33:$Y$53,$AC176)*节奏总纲!#REF!*(1+$B$10)+AH175</f>
        <v>#REF!</v>
      </c>
      <c r="AS176" s="37">
        <v>170</v>
      </c>
      <c r="AT176" s="32" t="e">
        <f>求节点(村县营基础信息!AC$8:AC$28,$AN$33:$AN$53,$AS176)*节奏总纲!#REF!+AT175</f>
        <v>#REF!</v>
      </c>
      <c r="AU176" s="32" t="e">
        <f>求节点(村县营基础信息!AD$8:AD$28,$AN$33:$AN$53,$AS176)*节奏总纲!#REF!+AU175</f>
        <v>#REF!</v>
      </c>
      <c r="AV176" s="32" t="e">
        <f>求节点(村县营基础信息!AE$8:AE$28,$AN$33:$AN$53,$AS176)*节奏总纲!#REF!+AV175</f>
        <v>#REF!</v>
      </c>
      <c r="AW176" s="32" t="e">
        <f>求节点(村县营基础信息!AF$8:AF$28,$AN$33:$AN$53,$AS176)*节奏总纲!#REF!+AW175</f>
        <v>#REF!</v>
      </c>
      <c r="AX176" s="32" t="e">
        <f>求节点(村县营基础信息!AG$8:AG$28,$AN$33:$AN$53,$AS176)*节奏总纲!#REF!+AX175</f>
        <v>#REF!</v>
      </c>
      <c r="BL176" s="37">
        <v>170</v>
      </c>
      <c r="BM176" s="32" t="e">
        <f>求节点(村县营基础信息!AL$8:AL$28,$BG$33:$BG$53,$BL176)*节奏总纲!#REF!+BM175</f>
        <v>#REF!</v>
      </c>
      <c r="BN176" s="32" t="e">
        <f>求节点(村县营基础信息!AM$8:AM$28,$BG$33:$BG$53,$BL176)*节奏总纲!#REF!+BN175</f>
        <v>#REF!</v>
      </c>
      <c r="BO176" s="32" t="e">
        <f>求节点(村县营基础信息!AN$8:AN$28,$BG$33:$BG$53,$BL176)*节奏总纲!#REF!+BO175</f>
        <v>#REF!</v>
      </c>
      <c r="BP176" s="32" t="e">
        <f>求节点(村县营基础信息!AO$8:AO$28,$BG$33:$BG$53,$BL176)*节奏总纲!#REF!+BP175</f>
        <v>#REF!</v>
      </c>
      <c r="BQ176" s="32" t="e">
        <f>求节点(村县营基础信息!AP$8:AP$28,$BG$33:$BG$53,$BL176)*节奏总纲!#REF!+BQ175</f>
        <v>#REF!</v>
      </c>
    </row>
    <row r="177" spans="13:69" x14ac:dyDescent="0.15">
      <c r="M177" s="37">
        <v>171</v>
      </c>
      <c r="N177" s="32" t="e">
        <f>求节点(村县营基础信息!K$8:K$28,$I$33:$I$53,$M177)*节奏总纲!#REF!+N176</f>
        <v>#REF!</v>
      </c>
      <c r="O177" s="32" t="e">
        <f>求节点(村县营基础信息!L$8:L$28,$I$33:$I$53,$M177)*节奏总纲!#REF!+O176</f>
        <v>#REF!</v>
      </c>
      <c r="P177" s="32" t="e">
        <f>求节点(村县营基础信息!M$8:M$28,$I$33:$I$53,$M177)*节奏总纲!#REF!+P176</f>
        <v>#REF!</v>
      </c>
      <c r="Q177" s="32" t="e">
        <f>求节点(村县营基础信息!N$8:N$28,$I$33:$I$53,$M177)*节奏总纲!#REF!+Q176</f>
        <v>#REF!</v>
      </c>
      <c r="R177" s="32" t="e">
        <f>求节点(村县营基础信息!O$8:O$28,$I$33:$I$53,$M177)*节奏总纲!#REF!+R176</f>
        <v>#REF!</v>
      </c>
      <c r="W177" s="29">
        <v>11288411.92500424</v>
      </c>
      <c r="X177" s="29">
        <v>9836911.4976757746</v>
      </c>
      <c r="Y177" s="29">
        <v>8053195.4293408012</v>
      </c>
      <c r="Z177" s="29">
        <v>5848640.6410571458</v>
      </c>
      <c r="AA177" s="29">
        <v>3272839.6339331977</v>
      </c>
      <c r="AC177" s="37">
        <v>171</v>
      </c>
      <c r="AD177" s="32" t="e">
        <f>求节点(村县营基础信息!T$8:T$28,$Y$33:$Y$53,$AC177)*节奏总纲!#REF!*(1+$B$10)+AD176</f>
        <v>#REF!</v>
      </c>
      <c r="AE177" s="32" t="e">
        <f>求节点(村县营基础信息!U$8:U$28,$Y$33:$Y$53,$AC177)*节奏总纲!#REF!*(1+$B$10)+AE176</f>
        <v>#REF!</v>
      </c>
      <c r="AF177" s="32" t="e">
        <f>求节点(村县营基础信息!V$8:V$28,$Y$33:$Y$53,$AC177)*节奏总纲!#REF!*(1+$B$10)+AF176</f>
        <v>#REF!</v>
      </c>
      <c r="AG177" s="32" t="e">
        <f>求节点(村县营基础信息!W$8:W$28,$Y$33:$Y$53,$AC177)*节奏总纲!#REF!*(1+$B$10)+AG176</f>
        <v>#REF!</v>
      </c>
      <c r="AH177" s="32" t="e">
        <f>求节点(村县营基础信息!X$8:X$28,$Y$33:$Y$53,$AC177)*节奏总纲!#REF!*(1+$B$10)+AH176</f>
        <v>#REF!</v>
      </c>
      <c r="AS177" s="37">
        <v>171</v>
      </c>
      <c r="AT177" s="32" t="e">
        <f>求节点(村县营基础信息!AC$8:AC$28,$AN$33:$AN$53,$AS177)*节奏总纲!#REF!+AT176</f>
        <v>#REF!</v>
      </c>
      <c r="AU177" s="32" t="e">
        <f>求节点(村县营基础信息!AD$8:AD$28,$AN$33:$AN$53,$AS177)*节奏总纲!#REF!+AU176</f>
        <v>#REF!</v>
      </c>
      <c r="AV177" s="32" t="e">
        <f>求节点(村县营基础信息!AE$8:AE$28,$AN$33:$AN$53,$AS177)*节奏总纲!#REF!+AV176</f>
        <v>#REF!</v>
      </c>
      <c r="AW177" s="32" t="e">
        <f>求节点(村县营基础信息!AF$8:AF$28,$AN$33:$AN$53,$AS177)*节奏总纲!#REF!+AW176</f>
        <v>#REF!</v>
      </c>
      <c r="AX177" s="32" t="e">
        <f>求节点(村县营基础信息!AG$8:AG$28,$AN$33:$AN$53,$AS177)*节奏总纲!#REF!+AX176</f>
        <v>#REF!</v>
      </c>
      <c r="BL177" s="37">
        <v>171</v>
      </c>
      <c r="BM177" s="32" t="e">
        <f>求节点(村县营基础信息!AL$8:AL$28,$BG$33:$BG$53,$BL177)*节奏总纲!#REF!+BM176</f>
        <v>#REF!</v>
      </c>
      <c r="BN177" s="32" t="e">
        <f>求节点(村县营基础信息!AM$8:AM$28,$BG$33:$BG$53,$BL177)*节奏总纲!#REF!+BN176</f>
        <v>#REF!</v>
      </c>
      <c r="BO177" s="32" t="e">
        <f>求节点(村县营基础信息!AN$8:AN$28,$BG$33:$BG$53,$BL177)*节奏总纲!#REF!+BO176</f>
        <v>#REF!</v>
      </c>
      <c r="BP177" s="32" t="e">
        <f>求节点(村县营基础信息!AO$8:AO$28,$BG$33:$BG$53,$BL177)*节奏总纲!#REF!+BP176</f>
        <v>#REF!</v>
      </c>
      <c r="BQ177" s="32" t="e">
        <f>求节点(村县营基础信息!AP$8:AP$28,$BG$33:$BG$53,$BL177)*节奏总纲!#REF!+BQ176</f>
        <v>#REF!</v>
      </c>
    </row>
    <row r="178" spans="13:69" x14ac:dyDescent="0.15">
      <c r="M178" s="37">
        <v>172</v>
      </c>
      <c r="N178" s="32" t="e">
        <f>求节点(村县营基础信息!K$8:K$28,$I$33:$I$53,$M178)*节奏总纲!#REF!+N177</f>
        <v>#REF!</v>
      </c>
      <c r="O178" s="32" t="e">
        <f>求节点(村县营基础信息!L$8:L$28,$I$33:$I$53,$M178)*节奏总纲!#REF!+O177</f>
        <v>#REF!</v>
      </c>
      <c r="P178" s="32" t="e">
        <f>求节点(村县营基础信息!M$8:M$28,$I$33:$I$53,$M178)*节奏总纲!#REF!+P177</f>
        <v>#REF!</v>
      </c>
      <c r="Q178" s="32" t="e">
        <f>求节点(村县营基础信息!N$8:N$28,$I$33:$I$53,$M178)*节奏总纲!#REF!+Q177</f>
        <v>#REF!</v>
      </c>
      <c r="R178" s="32" t="e">
        <f>求节点(村县营基础信息!O$8:O$28,$I$33:$I$53,$M178)*节奏总纲!#REF!+R177</f>
        <v>#REF!</v>
      </c>
      <c r="W178" s="29">
        <v>12520129.532491123</v>
      </c>
      <c r="X178" s="29">
        <v>10924440.253533836</v>
      </c>
      <c r="Y178" s="29">
        <v>8876190.3777306117</v>
      </c>
      <c r="Z178" s="29">
        <v>6453814.4791291663</v>
      </c>
      <c r="AA178" s="29">
        <v>3798011.928357454</v>
      </c>
      <c r="AC178" s="37">
        <v>172</v>
      </c>
      <c r="AD178" s="32" t="e">
        <f>求节点(村县营基础信息!T$8:T$28,$Y$33:$Y$53,$AC178)*节奏总纲!#REF!*(1+$B$10)+AD177</f>
        <v>#REF!</v>
      </c>
      <c r="AE178" s="32" t="e">
        <f>求节点(村县营基础信息!U$8:U$28,$Y$33:$Y$53,$AC178)*节奏总纲!#REF!*(1+$B$10)+AE177</f>
        <v>#REF!</v>
      </c>
      <c r="AF178" s="32" t="e">
        <f>求节点(村县营基础信息!V$8:V$28,$Y$33:$Y$53,$AC178)*节奏总纲!#REF!*(1+$B$10)+AF177</f>
        <v>#REF!</v>
      </c>
      <c r="AG178" s="32" t="e">
        <f>求节点(村县营基础信息!W$8:W$28,$Y$33:$Y$53,$AC178)*节奏总纲!#REF!*(1+$B$10)+AG177</f>
        <v>#REF!</v>
      </c>
      <c r="AH178" s="32" t="e">
        <f>求节点(村县营基础信息!X$8:X$28,$Y$33:$Y$53,$AC178)*节奏总纲!#REF!*(1+$B$10)+AH177</f>
        <v>#REF!</v>
      </c>
      <c r="AS178" s="37">
        <v>172</v>
      </c>
      <c r="AT178" s="32" t="e">
        <f>求节点(村县营基础信息!AC$8:AC$28,$AN$33:$AN$53,$AS178)*节奏总纲!#REF!+AT177</f>
        <v>#REF!</v>
      </c>
      <c r="AU178" s="32" t="e">
        <f>求节点(村县营基础信息!AD$8:AD$28,$AN$33:$AN$53,$AS178)*节奏总纲!#REF!+AU177</f>
        <v>#REF!</v>
      </c>
      <c r="AV178" s="32" t="e">
        <f>求节点(村县营基础信息!AE$8:AE$28,$AN$33:$AN$53,$AS178)*节奏总纲!#REF!+AV177</f>
        <v>#REF!</v>
      </c>
      <c r="AW178" s="32" t="e">
        <f>求节点(村县营基础信息!AF$8:AF$28,$AN$33:$AN$53,$AS178)*节奏总纲!#REF!+AW177</f>
        <v>#REF!</v>
      </c>
      <c r="AX178" s="32" t="e">
        <f>求节点(村县营基础信息!AG$8:AG$28,$AN$33:$AN$53,$AS178)*节奏总纲!#REF!+AX177</f>
        <v>#REF!</v>
      </c>
      <c r="BL178" s="37">
        <v>172</v>
      </c>
      <c r="BM178" s="32" t="e">
        <f>求节点(村县营基础信息!AL$8:AL$28,$BG$33:$BG$53,$BL178)*节奏总纲!#REF!+BM177</f>
        <v>#REF!</v>
      </c>
      <c r="BN178" s="32" t="e">
        <f>求节点(村县营基础信息!AM$8:AM$28,$BG$33:$BG$53,$BL178)*节奏总纲!#REF!+BN177</f>
        <v>#REF!</v>
      </c>
      <c r="BO178" s="32" t="e">
        <f>求节点(村县营基础信息!AN$8:AN$28,$BG$33:$BG$53,$BL178)*节奏总纲!#REF!+BO177</f>
        <v>#REF!</v>
      </c>
      <c r="BP178" s="32" t="e">
        <f>求节点(村县营基础信息!AO$8:AO$28,$BG$33:$BG$53,$BL178)*节奏总纲!#REF!+BP177</f>
        <v>#REF!</v>
      </c>
      <c r="BQ178" s="32" t="e">
        <f>求节点(村县营基础信息!AP$8:AP$28,$BG$33:$BG$53,$BL178)*节奏总纲!#REF!+BQ177</f>
        <v>#REF!</v>
      </c>
    </row>
    <row r="179" spans="13:69" x14ac:dyDescent="0.15">
      <c r="M179" s="37">
        <v>173</v>
      </c>
      <c r="N179" s="32" t="e">
        <f>求节点(村县营基础信息!K$8:K$28,$I$33:$I$53,$M179)*节奏总纲!#REF!+N178</f>
        <v>#REF!</v>
      </c>
      <c r="O179" s="32" t="e">
        <f>求节点(村县营基础信息!L$8:L$28,$I$33:$I$53,$M179)*节奏总纲!#REF!+O178</f>
        <v>#REF!</v>
      </c>
      <c r="P179" s="32" t="e">
        <f>求节点(村县营基础信息!M$8:M$28,$I$33:$I$53,$M179)*节奏总纲!#REF!+P178</f>
        <v>#REF!</v>
      </c>
      <c r="Q179" s="32" t="e">
        <f>求节点(村县营基础信息!N$8:N$28,$I$33:$I$53,$M179)*节奏总纲!#REF!+Q178</f>
        <v>#REF!</v>
      </c>
      <c r="R179" s="32" t="e">
        <f>求节点(村县营基础信息!O$8:O$28,$I$33:$I$53,$M179)*节奏总纲!#REF!+R178</f>
        <v>#REF!</v>
      </c>
      <c r="W179" s="29">
        <v>13884687.869934002</v>
      </c>
      <c r="X179" s="29">
        <v>12010808.272752117</v>
      </c>
      <c r="Y179" s="29">
        <v>9786348.9210939612</v>
      </c>
      <c r="Z179" s="29">
        <v>7390083.5798529116</v>
      </c>
      <c r="AA179" s="29">
        <v>4271415.8134597391</v>
      </c>
      <c r="AC179" s="37">
        <v>173</v>
      </c>
      <c r="AD179" s="32" t="e">
        <f>求节点(村县营基础信息!T$8:T$28,$Y$33:$Y$53,$AC179)*节奏总纲!#REF!*(1+$B$10)+AD178</f>
        <v>#REF!</v>
      </c>
      <c r="AE179" s="32" t="e">
        <f>求节点(村县营基础信息!U$8:U$28,$Y$33:$Y$53,$AC179)*节奏总纲!#REF!*(1+$B$10)+AE178</f>
        <v>#REF!</v>
      </c>
      <c r="AF179" s="32" t="e">
        <f>求节点(村县营基础信息!V$8:V$28,$Y$33:$Y$53,$AC179)*节奏总纲!#REF!*(1+$B$10)+AF178</f>
        <v>#REF!</v>
      </c>
      <c r="AG179" s="32" t="e">
        <f>求节点(村县营基础信息!W$8:W$28,$Y$33:$Y$53,$AC179)*节奏总纲!#REF!*(1+$B$10)+AG178</f>
        <v>#REF!</v>
      </c>
      <c r="AH179" s="32" t="e">
        <f>求节点(村县营基础信息!X$8:X$28,$Y$33:$Y$53,$AC179)*节奏总纲!#REF!*(1+$B$10)+AH178</f>
        <v>#REF!</v>
      </c>
      <c r="AS179" s="37">
        <v>173</v>
      </c>
      <c r="AT179" s="32" t="e">
        <f>求节点(村县营基础信息!AC$8:AC$28,$AN$33:$AN$53,$AS179)*节奏总纲!#REF!+AT178</f>
        <v>#REF!</v>
      </c>
      <c r="AU179" s="32" t="e">
        <f>求节点(村县营基础信息!AD$8:AD$28,$AN$33:$AN$53,$AS179)*节奏总纲!#REF!+AU178</f>
        <v>#REF!</v>
      </c>
      <c r="AV179" s="32" t="e">
        <f>求节点(村县营基础信息!AE$8:AE$28,$AN$33:$AN$53,$AS179)*节奏总纲!#REF!+AV178</f>
        <v>#REF!</v>
      </c>
      <c r="AW179" s="32" t="e">
        <f>求节点(村县营基础信息!AF$8:AF$28,$AN$33:$AN$53,$AS179)*节奏总纲!#REF!+AW178</f>
        <v>#REF!</v>
      </c>
      <c r="AX179" s="32" t="e">
        <f>求节点(村县营基础信息!AG$8:AG$28,$AN$33:$AN$53,$AS179)*节奏总纲!#REF!+AX178</f>
        <v>#REF!</v>
      </c>
      <c r="BL179" s="37">
        <v>173</v>
      </c>
      <c r="BM179" s="32" t="e">
        <f>求节点(村县营基础信息!AL$8:AL$28,$BG$33:$BG$53,$BL179)*节奏总纲!#REF!+BM178</f>
        <v>#REF!</v>
      </c>
      <c r="BN179" s="32" t="e">
        <f>求节点(村县营基础信息!AM$8:AM$28,$BG$33:$BG$53,$BL179)*节奏总纲!#REF!+BN178</f>
        <v>#REF!</v>
      </c>
      <c r="BO179" s="32" t="e">
        <f>求节点(村县营基础信息!AN$8:AN$28,$BG$33:$BG$53,$BL179)*节奏总纲!#REF!+BO178</f>
        <v>#REF!</v>
      </c>
      <c r="BP179" s="32" t="e">
        <f>求节点(村县营基础信息!AO$8:AO$28,$BG$33:$BG$53,$BL179)*节奏总纲!#REF!+BP178</f>
        <v>#REF!</v>
      </c>
      <c r="BQ179" s="32" t="e">
        <f>求节点(村县营基础信息!AP$8:AP$28,$BG$33:$BG$53,$BL179)*节奏总纲!#REF!+BQ178</f>
        <v>#REF!</v>
      </c>
    </row>
    <row r="180" spans="13:69" x14ac:dyDescent="0.15">
      <c r="M180" s="37">
        <v>174</v>
      </c>
      <c r="N180" s="32" t="e">
        <f>求节点(村县营基础信息!K$8:K$28,$I$33:$I$53,$M180)*节奏总纲!#REF!+N179</f>
        <v>#REF!</v>
      </c>
      <c r="O180" s="32" t="e">
        <f>求节点(村县营基础信息!L$8:L$28,$I$33:$I$53,$M180)*节奏总纲!#REF!+O179</f>
        <v>#REF!</v>
      </c>
      <c r="P180" s="32" t="e">
        <f>求节点(村县营基础信息!M$8:M$28,$I$33:$I$53,$M180)*节奏总纲!#REF!+P179</f>
        <v>#REF!</v>
      </c>
      <c r="Q180" s="32" t="e">
        <f>求节点(村县营基础信息!N$8:N$28,$I$33:$I$53,$M180)*节奏总纲!#REF!+Q179</f>
        <v>#REF!</v>
      </c>
      <c r="R180" s="32" t="e">
        <f>求节点(村县营基础信息!O$8:O$28,$I$33:$I$53,$M180)*节奏总纲!#REF!+R179</f>
        <v>#REF!</v>
      </c>
      <c r="W180" s="29">
        <v>15394810.708700804</v>
      </c>
      <c r="X180" s="29">
        <v>13312999.412737526</v>
      </c>
      <c r="Y180" s="29">
        <v>11166325.280168908</v>
      </c>
      <c r="Z180" s="29">
        <v>8437186.2596445102</v>
      </c>
      <c r="AA180" s="29">
        <v>4725207.2222570647</v>
      </c>
      <c r="AC180" s="37">
        <v>174</v>
      </c>
      <c r="AD180" s="32" t="e">
        <f>求节点(村县营基础信息!T$8:T$28,$Y$33:$Y$53,$AC180)*节奏总纲!#REF!*(1+$B$10)+AD179</f>
        <v>#REF!</v>
      </c>
      <c r="AE180" s="32" t="e">
        <f>求节点(村县营基础信息!U$8:U$28,$Y$33:$Y$53,$AC180)*节奏总纲!#REF!*(1+$B$10)+AE179</f>
        <v>#REF!</v>
      </c>
      <c r="AF180" s="32" t="e">
        <f>求节点(村县营基础信息!V$8:V$28,$Y$33:$Y$53,$AC180)*节奏总纲!#REF!*(1+$B$10)+AF179</f>
        <v>#REF!</v>
      </c>
      <c r="AG180" s="32" t="e">
        <f>求节点(村县营基础信息!W$8:W$28,$Y$33:$Y$53,$AC180)*节奏总纲!#REF!*(1+$B$10)+AG179</f>
        <v>#REF!</v>
      </c>
      <c r="AH180" s="32" t="e">
        <f>求节点(村县营基础信息!X$8:X$28,$Y$33:$Y$53,$AC180)*节奏总纲!#REF!*(1+$B$10)+AH179</f>
        <v>#REF!</v>
      </c>
      <c r="AS180" s="37">
        <v>174</v>
      </c>
      <c r="AT180" s="32" t="e">
        <f>求节点(村县营基础信息!AC$8:AC$28,$AN$33:$AN$53,$AS180)*节奏总纲!#REF!+AT179</f>
        <v>#REF!</v>
      </c>
      <c r="AU180" s="32" t="e">
        <f>求节点(村县营基础信息!AD$8:AD$28,$AN$33:$AN$53,$AS180)*节奏总纲!#REF!+AU179</f>
        <v>#REF!</v>
      </c>
      <c r="AV180" s="32" t="e">
        <f>求节点(村县营基础信息!AE$8:AE$28,$AN$33:$AN$53,$AS180)*节奏总纲!#REF!+AV179</f>
        <v>#REF!</v>
      </c>
      <c r="AW180" s="32" t="e">
        <f>求节点(村县营基础信息!AF$8:AF$28,$AN$33:$AN$53,$AS180)*节奏总纲!#REF!+AW179</f>
        <v>#REF!</v>
      </c>
      <c r="AX180" s="32" t="e">
        <f>求节点(村县营基础信息!AG$8:AG$28,$AN$33:$AN$53,$AS180)*节奏总纲!#REF!+AX179</f>
        <v>#REF!</v>
      </c>
      <c r="BL180" s="37">
        <v>174</v>
      </c>
      <c r="BM180" s="32" t="e">
        <f>求节点(村县营基础信息!AL$8:AL$28,$BG$33:$BG$53,$BL180)*节奏总纲!#REF!+BM179</f>
        <v>#REF!</v>
      </c>
      <c r="BN180" s="32" t="e">
        <f>求节点(村县营基础信息!AM$8:AM$28,$BG$33:$BG$53,$BL180)*节奏总纲!#REF!+BN179</f>
        <v>#REF!</v>
      </c>
      <c r="BO180" s="32" t="e">
        <f>求节点(村县营基础信息!AN$8:AN$28,$BG$33:$BG$53,$BL180)*节奏总纲!#REF!+BO179</f>
        <v>#REF!</v>
      </c>
      <c r="BP180" s="32" t="e">
        <f>求节点(村县营基础信息!AO$8:AO$28,$BG$33:$BG$53,$BL180)*节奏总纲!#REF!+BP179</f>
        <v>#REF!</v>
      </c>
      <c r="BQ180" s="32" t="e">
        <f>求节点(村县营基础信息!AP$8:AP$28,$BG$33:$BG$53,$BL180)*节奏总纲!#REF!+BQ179</f>
        <v>#REF!</v>
      </c>
    </row>
    <row r="181" spans="13:69" x14ac:dyDescent="0.15">
      <c r="M181" s="37">
        <v>175</v>
      </c>
      <c r="N181" s="32" t="e">
        <f>求节点(村县营基础信息!K$8:K$28,$I$33:$I$53,$M181)*节奏总纲!#REF!+N180</f>
        <v>#REF!</v>
      </c>
      <c r="O181" s="32" t="e">
        <f>求节点(村县营基础信息!L$8:L$28,$I$33:$I$53,$M181)*节奏总纲!#REF!+O180</f>
        <v>#REF!</v>
      </c>
      <c r="P181" s="32" t="e">
        <f>求节点(村县营基础信息!M$8:M$28,$I$33:$I$53,$M181)*节奏总纲!#REF!+P180</f>
        <v>#REF!</v>
      </c>
      <c r="Q181" s="32" t="e">
        <f>求节点(村县营基础信息!N$8:N$28,$I$33:$I$53,$M181)*节奏总纲!#REF!+Q180</f>
        <v>#REF!</v>
      </c>
      <c r="R181" s="32" t="e">
        <f>求节点(村县营基础信息!O$8:O$28,$I$33:$I$53,$M181)*节奏总纲!#REF!+R180</f>
        <v>#REF!</v>
      </c>
      <c r="W181" s="29">
        <v>17064363.95870316</v>
      </c>
      <c r="X181" s="29">
        <v>15172283.684479032</v>
      </c>
      <c r="Y181" s="29">
        <v>12765104.586156186</v>
      </c>
      <c r="Z181" s="29">
        <v>9335858.0746823996</v>
      </c>
      <c r="AA181" s="29">
        <v>5281907.5679159705</v>
      </c>
      <c r="AC181" s="37">
        <v>175</v>
      </c>
      <c r="AD181" s="32" t="e">
        <f>求节点(村县营基础信息!T$8:T$28,$Y$33:$Y$53,$AC181)*节奏总纲!#REF!*(1+$B$10)+AD180</f>
        <v>#REF!</v>
      </c>
      <c r="AE181" s="32" t="e">
        <f>求节点(村县营基础信息!U$8:U$28,$Y$33:$Y$53,$AC181)*节奏总纲!#REF!*(1+$B$10)+AE180</f>
        <v>#REF!</v>
      </c>
      <c r="AF181" s="32" t="e">
        <f>求节点(村县营基础信息!V$8:V$28,$Y$33:$Y$53,$AC181)*节奏总纲!#REF!*(1+$B$10)+AF180</f>
        <v>#REF!</v>
      </c>
      <c r="AG181" s="32" t="e">
        <f>求节点(村县营基础信息!W$8:W$28,$Y$33:$Y$53,$AC181)*节奏总纲!#REF!*(1+$B$10)+AG180</f>
        <v>#REF!</v>
      </c>
      <c r="AH181" s="32" t="e">
        <f>求节点(村县营基础信息!X$8:X$28,$Y$33:$Y$53,$AC181)*节奏总纲!#REF!*(1+$B$10)+AH180</f>
        <v>#REF!</v>
      </c>
      <c r="AS181" s="37">
        <v>175</v>
      </c>
      <c r="AT181" s="32" t="e">
        <f>求节点(村县营基础信息!AC$8:AC$28,$AN$33:$AN$53,$AS181)*节奏总纲!#REF!+AT180</f>
        <v>#REF!</v>
      </c>
      <c r="AU181" s="32" t="e">
        <f>求节点(村县营基础信息!AD$8:AD$28,$AN$33:$AN$53,$AS181)*节奏总纲!#REF!+AU180</f>
        <v>#REF!</v>
      </c>
      <c r="AV181" s="32" t="e">
        <f>求节点(村县营基础信息!AE$8:AE$28,$AN$33:$AN$53,$AS181)*节奏总纲!#REF!+AV180</f>
        <v>#REF!</v>
      </c>
      <c r="AW181" s="32" t="e">
        <f>求节点(村县营基础信息!AF$8:AF$28,$AN$33:$AN$53,$AS181)*节奏总纲!#REF!+AW180</f>
        <v>#REF!</v>
      </c>
      <c r="AX181" s="32" t="e">
        <f>求节点(村县营基础信息!AG$8:AG$28,$AN$33:$AN$53,$AS181)*节奏总纲!#REF!+AX180</f>
        <v>#REF!</v>
      </c>
      <c r="BL181" s="37">
        <v>175</v>
      </c>
      <c r="BM181" s="32" t="e">
        <f>求节点(村县营基础信息!AL$8:AL$28,$BG$33:$BG$53,$BL181)*节奏总纲!#REF!+BM180</f>
        <v>#REF!</v>
      </c>
      <c r="BN181" s="32" t="e">
        <f>求节点(村县营基础信息!AM$8:AM$28,$BG$33:$BG$53,$BL181)*节奏总纲!#REF!+BN180</f>
        <v>#REF!</v>
      </c>
      <c r="BO181" s="32" t="e">
        <f>求节点(村县营基础信息!AN$8:AN$28,$BG$33:$BG$53,$BL181)*节奏总纲!#REF!+BO180</f>
        <v>#REF!</v>
      </c>
      <c r="BP181" s="32" t="e">
        <f>求节点(村县营基础信息!AO$8:AO$28,$BG$33:$BG$53,$BL181)*节奏总纲!#REF!+BP180</f>
        <v>#REF!</v>
      </c>
      <c r="BQ181" s="32" t="e">
        <f>求节点(村县营基础信息!AP$8:AP$28,$BG$33:$BG$53,$BL181)*节奏总纲!#REF!+BQ180</f>
        <v>#REF!</v>
      </c>
    </row>
    <row r="182" spans="13:69" x14ac:dyDescent="0.15">
      <c r="M182" s="37">
        <v>176</v>
      </c>
      <c r="N182" s="32" t="e">
        <f>求节点(村县营基础信息!K$8:K$28,$I$33:$I$53,$M182)*节奏总纲!#REF!+N181</f>
        <v>#REF!</v>
      </c>
      <c r="O182" s="32" t="e">
        <f>求节点(村县营基础信息!L$8:L$28,$I$33:$I$53,$M182)*节奏总纲!#REF!+O181</f>
        <v>#REF!</v>
      </c>
      <c r="P182" s="32" t="e">
        <f>求节点(村县营基础信息!M$8:M$28,$I$33:$I$53,$M182)*节奏总纲!#REF!+P181</f>
        <v>#REF!</v>
      </c>
      <c r="Q182" s="32" t="e">
        <f>求节点(村县营基础信息!N$8:N$28,$I$33:$I$53,$M182)*节奏总纲!#REF!+Q181</f>
        <v>#REF!</v>
      </c>
      <c r="R182" s="32" t="e">
        <f>求节点(村县营基础信息!O$8:O$28,$I$33:$I$53,$M182)*节奏总纲!#REF!+R181</f>
        <v>#REF!</v>
      </c>
      <c r="W182" s="29">
        <v>18908454.073255755</v>
      </c>
      <c r="X182" s="29">
        <v>17054033.202983756</v>
      </c>
      <c r="Y182" s="29">
        <v>13876166.776636381</v>
      </c>
      <c r="Z182" s="29">
        <v>10142461.381050957</v>
      </c>
      <c r="AA182" s="29">
        <v>5833406.8958075102</v>
      </c>
      <c r="AC182" s="37">
        <v>176</v>
      </c>
      <c r="AD182" s="32" t="e">
        <f>求节点(村县营基础信息!T$8:T$28,$Y$33:$Y$53,$AC182)*节奏总纲!#REF!*(1+$B$10)+AD181</f>
        <v>#REF!</v>
      </c>
      <c r="AE182" s="32" t="e">
        <f>求节点(村县营基础信息!U$8:U$28,$Y$33:$Y$53,$AC182)*节奏总纲!#REF!*(1+$B$10)+AE181</f>
        <v>#REF!</v>
      </c>
      <c r="AF182" s="32" t="e">
        <f>求节点(村县营基础信息!V$8:V$28,$Y$33:$Y$53,$AC182)*节奏总纲!#REF!*(1+$B$10)+AF181</f>
        <v>#REF!</v>
      </c>
      <c r="AG182" s="32" t="e">
        <f>求节点(村县营基础信息!W$8:W$28,$Y$33:$Y$53,$AC182)*节奏总纲!#REF!*(1+$B$10)+AG181</f>
        <v>#REF!</v>
      </c>
      <c r="AH182" s="32" t="e">
        <f>求节点(村县营基础信息!X$8:X$28,$Y$33:$Y$53,$AC182)*节奏总纲!#REF!*(1+$B$10)+AH181</f>
        <v>#REF!</v>
      </c>
      <c r="AS182" s="37">
        <v>176</v>
      </c>
      <c r="AT182" s="32" t="e">
        <f>求节点(村县营基础信息!AC$8:AC$28,$AN$33:$AN$53,$AS182)*节奏总纲!#REF!+AT181</f>
        <v>#REF!</v>
      </c>
      <c r="AU182" s="32" t="e">
        <f>求节点(村县营基础信息!AD$8:AD$28,$AN$33:$AN$53,$AS182)*节奏总纲!#REF!+AU181</f>
        <v>#REF!</v>
      </c>
      <c r="AV182" s="32" t="e">
        <f>求节点(村县营基础信息!AE$8:AE$28,$AN$33:$AN$53,$AS182)*节奏总纲!#REF!+AV181</f>
        <v>#REF!</v>
      </c>
      <c r="AW182" s="32" t="e">
        <f>求节点(村县营基础信息!AF$8:AF$28,$AN$33:$AN$53,$AS182)*节奏总纲!#REF!+AW181</f>
        <v>#REF!</v>
      </c>
      <c r="AX182" s="32" t="e">
        <f>求节点(村县营基础信息!AG$8:AG$28,$AN$33:$AN$53,$AS182)*节奏总纲!#REF!+AX181</f>
        <v>#REF!</v>
      </c>
      <c r="BL182" s="37">
        <v>176</v>
      </c>
      <c r="BM182" s="32" t="e">
        <f>求节点(村县营基础信息!AL$8:AL$28,$BG$33:$BG$53,$BL182)*节奏总纲!#REF!+BM181</f>
        <v>#REF!</v>
      </c>
      <c r="BN182" s="32" t="e">
        <f>求节点(村县营基础信息!AM$8:AM$28,$BG$33:$BG$53,$BL182)*节奏总纲!#REF!+BN181</f>
        <v>#REF!</v>
      </c>
      <c r="BO182" s="32" t="e">
        <f>求节点(村县营基础信息!AN$8:AN$28,$BG$33:$BG$53,$BL182)*节奏总纲!#REF!+BO181</f>
        <v>#REF!</v>
      </c>
      <c r="BP182" s="32" t="e">
        <f>求节点(村县营基础信息!AO$8:AO$28,$BG$33:$BG$53,$BL182)*节奏总纲!#REF!+BP181</f>
        <v>#REF!</v>
      </c>
      <c r="BQ182" s="32" t="e">
        <f>求节点(村县营基础信息!AP$8:AP$28,$BG$33:$BG$53,$BL182)*节奏总纲!#REF!+BQ181</f>
        <v>#REF!</v>
      </c>
    </row>
    <row r="183" spans="13:69" x14ac:dyDescent="0.15">
      <c r="M183" s="37">
        <v>177</v>
      </c>
      <c r="N183" s="32" t="e">
        <f>求节点(村县营基础信息!K$8:K$28,$I$33:$I$53,$M183)*节奏总纲!#REF!+N182</f>
        <v>#REF!</v>
      </c>
      <c r="O183" s="32" t="e">
        <f>求节点(村县营基础信息!L$8:L$28,$I$33:$I$53,$M183)*节奏总纲!#REF!+O182</f>
        <v>#REF!</v>
      </c>
      <c r="P183" s="32" t="e">
        <f>求节点(村县营基础信息!M$8:M$28,$I$33:$I$53,$M183)*节奏总纲!#REF!+P182</f>
        <v>#REF!</v>
      </c>
      <c r="Q183" s="32" t="e">
        <f>求节点(村县营基础信息!N$8:N$28,$I$33:$I$53,$M183)*节奏总纲!#REF!+Q182</f>
        <v>#REF!</v>
      </c>
      <c r="R183" s="32" t="e">
        <f>求节点(村县营基础信息!O$8:O$28,$I$33:$I$53,$M183)*节奏总纲!#REF!+R182</f>
        <v>#REF!</v>
      </c>
      <c r="W183" s="29">
        <v>20943534.69600407</v>
      </c>
      <c r="X183" s="29">
        <v>18313768.625359099</v>
      </c>
      <c r="Y183" s="29">
        <v>14960501.161467668</v>
      </c>
      <c r="Z183" s="29">
        <v>11108754.867595304</v>
      </c>
      <c r="AA183" s="29">
        <v>6390295.9634939348</v>
      </c>
      <c r="AC183" s="37">
        <v>177</v>
      </c>
      <c r="AD183" s="32" t="e">
        <f>求节点(村县营基础信息!T$8:T$28,$Y$33:$Y$53,$AC183)*节奏总纲!#REF!*(1+$B$10)+AD182</f>
        <v>#REF!</v>
      </c>
      <c r="AE183" s="32" t="e">
        <f>求节点(村县营基础信息!U$8:U$28,$Y$33:$Y$53,$AC183)*节奏总纲!#REF!*(1+$B$10)+AE182</f>
        <v>#REF!</v>
      </c>
      <c r="AF183" s="32" t="e">
        <f>求节点(村县营基础信息!V$8:V$28,$Y$33:$Y$53,$AC183)*节奏总纲!#REF!*(1+$B$10)+AF182</f>
        <v>#REF!</v>
      </c>
      <c r="AG183" s="32" t="e">
        <f>求节点(村县营基础信息!W$8:W$28,$Y$33:$Y$53,$AC183)*节奏总纲!#REF!*(1+$B$10)+AG182</f>
        <v>#REF!</v>
      </c>
      <c r="AH183" s="32" t="e">
        <f>求节点(村县营基础信息!X$8:X$28,$Y$33:$Y$53,$AC183)*节奏总纲!#REF!*(1+$B$10)+AH182</f>
        <v>#REF!</v>
      </c>
      <c r="AS183" s="37">
        <v>177</v>
      </c>
      <c r="AT183" s="32" t="e">
        <f>求节点(村县营基础信息!AC$8:AC$28,$AN$33:$AN$53,$AS183)*节奏总纲!#REF!+AT182</f>
        <v>#REF!</v>
      </c>
      <c r="AU183" s="32" t="e">
        <f>求节点(村县营基础信息!AD$8:AD$28,$AN$33:$AN$53,$AS183)*节奏总纲!#REF!+AU182</f>
        <v>#REF!</v>
      </c>
      <c r="AV183" s="32" t="e">
        <f>求节点(村县营基础信息!AE$8:AE$28,$AN$33:$AN$53,$AS183)*节奏总纲!#REF!+AV182</f>
        <v>#REF!</v>
      </c>
      <c r="AW183" s="32" t="e">
        <f>求节点(村县营基础信息!AF$8:AF$28,$AN$33:$AN$53,$AS183)*节奏总纲!#REF!+AW182</f>
        <v>#REF!</v>
      </c>
      <c r="AX183" s="32" t="e">
        <f>求节点(村县营基础信息!AG$8:AG$28,$AN$33:$AN$53,$AS183)*节奏总纲!#REF!+AX182</f>
        <v>#REF!</v>
      </c>
      <c r="BL183" s="37">
        <v>177</v>
      </c>
      <c r="BM183" s="32" t="e">
        <f>求节点(村县营基础信息!AL$8:AL$28,$BG$33:$BG$53,$BL183)*节奏总纲!#REF!+BM182</f>
        <v>#REF!</v>
      </c>
      <c r="BN183" s="32" t="e">
        <f>求节点(村县营基础信息!AM$8:AM$28,$BG$33:$BG$53,$BL183)*节奏总纲!#REF!+BN182</f>
        <v>#REF!</v>
      </c>
      <c r="BO183" s="32" t="e">
        <f>求节点(村县营基础信息!AN$8:AN$28,$BG$33:$BG$53,$BL183)*节奏总纲!#REF!+BO182</f>
        <v>#REF!</v>
      </c>
      <c r="BP183" s="32" t="e">
        <f>求节点(村县营基础信息!AO$8:AO$28,$BG$33:$BG$53,$BL183)*节奏总纲!#REF!+BP182</f>
        <v>#REF!</v>
      </c>
      <c r="BQ183" s="32" t="e">
        <f>求节点(村县营基础信息!AP$8:AP$28,$BG$33:$BG$53,$BL183)*节奏总纲!#REF!+BQ182</f>
        <v>#REF!</v>
      </c>
    </row>
    <row r="184" spans="13:69" x14ac:dyDescent="0.15">
      <c r="M184" s="37">
        <v>178</v>
      </c>
      <c r="N184" s="32" t="e">
        <f>求节点(村县营基础信息!K$8:K$28,$I$33:$I$53,$M184)*节奏总纲!#REF!+N183</f>
        <v>#REF!</v>
      </c>
      <c r="O184" s="32" t="e">
        <f>求节点(村县营基础信息!L$8:L$28,$I$33:$I$53,$M184)*节奏总纲!#REF!+O183</f>
        <v>#REF!</v>
      </c>
      <c r="P184" s="32" t="e">
        <f>求节点(村县营基础信息!M$8:M$28,$I$33:$I$53,$M184)*节奏总纲!#REF!+P183</f>
        <v>#REF!</v>
      </c>
      <c r="Q184" s="32" t="e">
        <f>求节点(村县营基础信息!N$8:N$28,$I$33:$I$53,$M184)*节奏总纲!#REF!+Q183</f>
        <v>#REF!</v>
      </c>
      <c r="R184" s="32" t="e">
        <f>求节点(村县营基础信息!O$8:O$28,$I$33:$I$53,$M184)*节奏总纲!#REF!+R183</f>
        <v>#REF!</v>
      </c>
      <c r="W184" s="29">
        <v>23187522.22611817</v>
      </c>
      <c r="X184" s="29">
        <v>20108795.168086696</v>
      </c>
      <c r="Y184" s="29">
        <v>16585294.440585904</v>
      </c>
      <c r="Z184" s="29">
        <v>12412201.277168252</v>
      </c>
      <c r="AA184" s="29">
        <v>7114384.4082779977</v>
      </c>
      <c r="AC184" s="37">
        <v>178</v>
      </c>
      <c r="AD184" s="32" t="e">
        <f>求节点(村县营基础信息!T$8:T$28,$Y$33:$Y$53,$AC184)*节奏总纲!#REF!*(1+$B$10)+AD183</f>
        <v>#REF!</v>
      </c>
      <c r="AE184" s="32" t="e">
        <f>求节点(村县营基础信息!U$8:U$28,$Y$33:$Y$53,$AC184)*节奏总纲!#REF!*(1+$B$10)+AE183</f>
        <v>#REF!</v>
      </c>
      <c r="AF184" s="32" t="e">
        <f>求节点(村县营基础信息!V$8:V$28,$Y$33:$Y$53,$AC184)*节奏总纲!#REF!*(1+$B$10)+AF183</f>
        <v>#REF!</v>
      </c>
      <c r="AG184" s="32" t="e">
        <f>求节点(村县营基础信息!W$8:W$28,$Y$33:$Y$53,$AC184)*节奏总纲!#REF!*(1+$B$10)+AG183</f>
        <v>#REF!</v>
      </c>
      <c r="AH184" s="32" t="e">
        <f>求节点(村县营基础信息!X$8:X$28,$Y$33:$Y$53,$AC184)*节奏总纲!#REF!*(1+$B$10)+AH183</f>
        <v>#REF!</v>
      </c>
      <c r="AS184" s="37">
        <v>178</v>
      </c>
      <c r="AT184" s="32" t="e">
        <f>求节点(村县营基础信息!AC$8:AC$28,$AN$33:$AN$53,$AS184)*节奏总纲!#REF!+AT183</f>
        <v>#REF!</v>
      </c>
      <c r="AU184" s="32" t="e">
        <f>求节点(村县营基础信息!AD$8:AD$28,$AN$33:$AN$53,$AS184)*节奏总纲!#REF!+AU183</f>
        <v>#REF!</v>
      </c>
      <c r="AV184" s="32" t="e">
        <f>求节点(村县营基础信息!AE$8:AE$28,$AN$33:$AN$53,$AS184)*节奏总纲!#REF!+AV183</f>
        <v>#REF!</v>
      </c>
      <c r="AW184" s="32" t="e">
        <f>求节点(村县营基础信息!AF$8:AF$28,$AN$33:$AN$53,$AS184)*节奏总纲!#REF!+AW183</f>
        <v>#REF!</v>
      </c>
      <c r="AX184" s="32" t="e">
        <f>求节点(村县营基础信息!AG$8:AG$28,$AN$33:$AN$53,$AS184)*节奏总纲!#REF!+AX183</f>
        <v>#REF!</v>
      </c>
      <c r="BL184" s="37">
        <v>178</v>
      </c>
      <c r="BM184" s="32" t="e">
        <f>求节点(村县营基础信息!AL$8:AL$28,$BG$33:$BG$53,$BL184)*节奏总纲!#REF!+BM183</f>
        <v>#REF!</v>
      </c>
      <c r="BN184" s="32" t="e">
        <f>求节点(村县营基础信息!AM$8:AM$28,$BG$33:$BG$53,$BL184)*节奏总纲!#REF!+BN183</f>
        <v>#REF!</v>
      </c>
      <c r="BO184" s="32" t="e">
        <f>求节点(村县营基础信息!AN$8:AN$28,$BG$33:$BG$53,$BL184)*节奏总纲!#REF!+BO183</f>
        <v>#REF!</v>
      </c>
      <c r="BP184" s="32" t="e">
        <f>求节点(村县营基础信息!AO$8:AO$28,$BG$33:$BG$53,$BL184)*节奏总纲!#REF!+BP183</f>
        <v>#REF!</v>
      </c>
      <c r="BQ184" s="32" t="e">
        <f>求节点(村县营基础信息!AP$8:AP$28,$BG$33:$BG$53,$BL184)*节奏总纲!#REF!+BQ183</f>
        <v>#REF!</v>
      </c>
    </row>
    <row r="185" spans="13:69" x14ac:dyDescent="0.15">
      <c r="M185" s="37">
        <v>179</v>
      </c>
      <c r="N185" s="32" t="e">
        <f>求节点(村县营基础信息!K$8:K$28,$I$33:$I$53,$M185)*节奏总纲!#REF!+N184</f>
        <v>#REF!</v>
      </c>
      <c r="O185" s="32" t="e">
        <f>求节点(村县营基础信息!L$8:L$28,$I$33:$I$53,$M185)*节奏总纲!#REF!+O184</f>
        <v>#REF!</v>
      </c>
      <c r="P185" s="32" t="e">
        <f>求节点(村县营基础信息!M$8:M$28,$I$33:$I$53,$M185)*节奏总纲!#REF!+P184</f>
        <v>#REF!</v>
      </c>
      <c r="Q185" s="32" t="e">
        <f>求节点(村县营基础信息!N$8:N$28,$I$33:$I$53,$M185)*节奏总纲!#REF!+Q184</f>
        <v>#REF!</v>
      </c>
      <c r="R185" s="32" t="e">
        <f>求节点(村县营基础信息!O$8:O$28,$I$33:$I$53,$M185)*节奏总纲!#REF!+R184</f>
        <v>#REF!</v>
      </c>
      <c r="W185" s="29">
        <v>25659921.032558128</v>
      </c>
      <c r="X185" s="29">
        <v>22426540.876573529</v>
      </c>
      <c r="Y185" s="29">
        <v>18708804.789568793</v>
      </c>
      <c r="Z185" s="29">
        <v>13928584.238053853</v>
      </c>
      <c r="AA185" s="29">
        <v>7958052.8454792481</v>
      </c>
      <c r="AC185" s="37">
        <v>179</v>
      </c>
      <c r="AD185" s="32" t="e">
        <f>求节点(村县营基础信息!T$8:T$28,$Y$33:$Y$53,$AC185)*节奏总纲!#REF!*(1+$B$10)+AD184</f>
        <v>#REF!</v>
      </c>
      <c r="AE185" s="32" t="e">
        <f>求节点(村县营基础信息!U$8:U$28,$Y$33:$Y$53,$AC185)*节奏总纲!#REF!*(1+$B$10)+AE184</f>
        <v>#REF!</v>
      </c>
      <c r="AF185" s="32" t="e">
        <f>求节点(村县营基础信息!V$8:V$28,$Y$33:$Y$53,$AC185)*节奏总纲!#REF!*(1+$B$10)+AF184</f>
        <v>#REF!</v>
      </c>
      <c r="AG185" s="32" t="e">
        <f>求节点(村县营基础信息!W$8:W$28,$Y$33:$Y$53,$AC185)*节奏总纲!#REF!*(1+$B$10)+AG184</f>
        <v>#REF!</v>
      </c>
      <c r="AH185" s="32" t="e">
        <f>求节点(村县营基础信息!X$8:X$28,$Y$33:$Y$53,$AC185)*节奏总纲!#REF!*(1+$B$10)+AH184</f>
        <v>#REF!</v>
      </c>
      <c r="AS185" s="37">
        <v>179</v>
      </c>
      <c r="AT185" s="32" t="e">
        <f>求节点(村县营基础信息!AC$8:AC$28,$AN$33:$AN$53,$AS185)*节奏总纲!#REF!+AT184</f>
        <v>#REF!</v>
      </c>
      <c r="AU185" s="32" t="e">
        <f>求节点(村县营基础信息!AD$8:AD$28,$AN$33:$AN$53,$AS185)*节奏总纲!#REF!+AU184</f>
        <v>#REF!</v>
      </c>
      <c r="AV185" s="32" t="e">
        <f>求节点(村县营基础信息!AE$8:AE$28,$AN$33:$AN$53,$AS185)*节奏总纲!#REF!+AV184</f>
        <v>#REF!</v>
      </c>
      <c r="AW185" s="32" t="e">
        <f>求节点(村县营基础信息!AF$8:AF$28,$AN$33:$AN$53,$AS185)*节奏总纲!#REF!+AW184</f>
        <v>#REF!</v>
      </c>
      <c r="AX185" s="32" t="e">
        <f>求节点(村县营基础信息!AG$8:AG$28,$AN$33:$AN$53,$AS185)*节奏总纲!#REF!+AX184</f>
        <v>#REF!</v>
      </c>
      <c r="BL185" s="37">
        <v>179</v>
      </c>
      <c r="BM185" s="32" t="e">
        <f>求节点(村县营基础信息!AL$8:AL$28,$BG$33:$BG$53,$BL185)*节奏总纲!#REF!+BM184</f>
        <v>#REF!</v>
      </c>
      <c r="BN185" s="32" t="e">
        <f>求节点(村县营基础信息!AM$8:AM$28,$BG$33:$BG$53,$BL185)*节奏总纲!#REF!+BN184</f>
        <v>#REF!</v>
      </c>
      <c r="BO185" s="32" t="e">
        <f>求节点(村县营基础信息!AN$8:AN$28,$BG$33:$BG$53,$BL185)*节奏总纲!#REF!+BO184</f>
        <v>#REF!</v>
      </c>
      <c r="BP185" s="32" t="e">
        <f>求节点(村县营基础信息!AO$8:AO$28,$BG$33:$BG$53,$BL185)*节奏总纲!#REF!+BP184</f>
        <v>#REF!</v>
      </c>
      <c r="BQ185" s="32" t="e">
        <f>求节点(村县营基础信息!AP$8:AP$28,$BG$33:$BG$53,$BL185)*节奏总纲!#REF!+BQ184</f>
        <v>#REF!</v>
      </c>
    </row>
    <row r="186" spans="13:69" x14ac:dyDescent="0.15">
      <c r="M186" s="37">
        <v>180</v>
      </c>
      <c r="N186" s="32" t="e">
        <f>求节点(村县营基础信息!K$8:K$28,$I$33:$I$53,$M186)*节奏总纲!#REF!+N185</f>
        <v>#REF!</v>
      </c>
      <c r="O186" s="32" t="e">
        <f>求节点(村县营基础信息!L$8:L$28,$I$33:$I$53,$M186)*节奏总纲!#REF!+O185</f>
        <v>#REF!</v>
      </c>
      <c r="P186" s="32" t="e">
        <f>求节点(村县营基础信息!M$8:M$28,$I$33:$I$53,$M186)*节奏总纲!#REF!+P185</f>
        <v>#REF!</v>
      </c>
      <c r="Q186" s="32" t="e">
        <f>求节点(村县营基础信息!N$8:N$28,$I$33:$I$53,$M186)*节奏总纲!#REF!+Q185</f>
        <v>#REF!</v>
      </c>
      <c r="R186" s="32" t="e">
        <f>求节点(村县营基础信息!O$8:O$28,$I$33:$I$53,$M186)*节奏总纲!#REF!+R185</f>
        <v>#REF!</v>
      </c>
      <c r="W186" s="29">
        <v>28381959.107179724</v>
      </c>
      <c r="X186" s="29">
        <v>25031071.340186745</v>
      </c>
      <c r="Y186" s="29">
        <v>20804702.509466976</v>
      </c>
      <c r="Z186" s="29">
        <v>15462617.626932956</v>
      </c>
      <c r="AA186" s="29">
        <v>8777822.2262841053</v>
      </c>
      <c r="AC186" s="37">
        <v>180</v>
      </c>
      <c r="AD186" s="32" t="e">
        <f>求节点(村县营基础信息!T$8:T$28,$Y$33:$Y$53,$AC186)*节奏总纲!#REF!*(1+$B$10)+AD185</f>
        <v>#REF!</v>
      </c>
      <c r="AE186" s="32" t="e">
        <f>求节点(村县营基础信息!U$8:U$28,$Y$33:$Y$53,$AC186)*节奏总纲!#REF!*(1+$B$10)+AE185</f>
        <v>#REF!</v>
      </c>
      <c r="AF186" s="32" t="e">
        <f>求节点(村县营基础信息!V$8:V$28,$Y$33:$Y$53,$AC186)*节奏总纲!#REF!*(1+$B$10)+AF185</f>
        <v>#REF!</v>
      </c>
      <c r="AG186" s="32" t="e">
        <f>求节点(村县营基础信息!W$8:W$28,$Y$33:$Y$53,$AC186)*节奏总纲!#REF!*(1+$B$10)+AG185</f>
        <v>#REF!</v>
      </c>
      <c r="AH186" s="32" t="e">
        <f>求节点(村县营基础信息!X$8:X$28,$Y$33:$Y$53,$AC186)*节奏总纲!#REF!*(1+$B$10)+AH185</f>
        <v>#REF!</v>
      </c>
      <c r="AS186" s="37">
        <v>180</v>
      </c>
      <c r="AT186" s="32" t="e">
        <f>求节点(村县营基础信息!AC$8:AC$28,$AN$33:$AN$53,$AS186)*节奏总纲!#REF!+AT185</f>
        <v>#REF!</v>
      </c>
      <c r="AU186" s="32" t="e">
        <f>求节点(村县营基础信息!AD$8:AD$28,$AN$33:$AN$53,$AS186)*节奏总纲!#REF!+AU185</f>
        <v>#REF!</v>
      </c>
      <c r="AV186" s="32" t="e">
        <f>求节点(村县营基础信息!AE$8:AE$28,$AN$33:$AN$53,$AS186)*节奏总纲!#REF!+AV185</f>
        <v>#REF!</v>
      </c>
      <c r="AW186" s="32" t="e">
        <f>求节点(村县营基础信息!AF$8:AF$28,$AN$33:$AN$53,$AS186)*节奏总纲!#REF!+AW185</f>
        <v>#REF!</v>
      </c>
      <c r="AX186" s="32" t="e">
        <f>求节点(村县营基础信息!AG$8:AG$28,$AN$33:$AN$53,$AS186)*节奏总纲!#REF!+AX185</f>
        <v>#REF!</v>
      </c>
      <c r="BL186" s="37">
        <v>180</v>
      </c>
      <c r="BM186" s="32" t="e">
        <f>求节点(村县营基础信息!AL$8:AL$28,$BG$33:$BG$53,$BL186)*节奏总纲!#REF!+BM185</f>
        <v>#REF!</v>
      </c>
      <c r="BN186" s="32" t="e">
        <f>求节点(村县营基础信息!AM$8:AM$28,$BG$33:$BG$53,$BL186)*节奏总纲!#REF!+BN185</f>
        <v>#REF!</v>
      </c>
      <c r="BO186" s="32" t="e">
        <f>求节点(村县营基础信息!AN$8:AN$28,$BG$33:$BG$53,$BL186)*节奏总纲!#REF!+BO185</f>
        <v>#REF!</v>
      </c>
      <c r="BP186" s="32" t="e">
        <f>求节点(村县营基础信息!AO$8:AO$28,$BG$33:$BG$53,$BL186)*节奏总纲!#REF!+BP185</f>
        <v>#REF!</v>
      </c>
      <c r="BQ186" s="32" t="e">
        <f>求节点(村县营基础信息!AP$8:AP$28,$BG$33:$BG$53,$BL186)*节奏总纲!#REF!+BQ185</f>
        <v>#REF!</v>
      </c>
    </row>
    <row r="187" spans="13:69" x14ac:dyDescent="0.15">
      <c r="M187" s="37">
        <v>181</v>
      </c>
      <c r="N187" s="32" t="e">
        <f>求节点(村县营基础信息!K$8:K$28,$I$33:$I$53,$M187)*节奏总纲!#REF!+N186</f>
        <v>#REF!</v>
      </c>
      <c r="O187" s="32" t="e">
        <f>求节点(村县营基础信息!L$8:L$28,$I$33:$I$53,$M187)*节奏总纲!#REF!+O186</f>
        <v>#REF!</v>
      </c>
      <c r="P187" s="32" t="e">
        <f>求节点(村县营基础信息!M$8:M$28,$I$33:$I$53,$M187)*节奏总纲!#REF!+P186</f>
        <v>#REF!</v>
      </c>
      <c r="Q187" s="32" t="e">
        <f>求节点(村县营基础信息!N$8:N$28,$I$33:$I$53,$M187)*节奏总纲!#REF!+Q186</f>
        <v>#REF!</v>
      </c>
      <c r="R187" s="32" t="e">
        <f>求节点(村县营基础信息!O$8:O$28,$I$33:$I$53,$M187)*节奏总纲!#REF!+R186</f>
        <v>#REF!</v>
      </c>
      <c r="W187" s="29">
        <v>31376735.010111131</v>
      </c>
      <c r="X187" s="29">
        <v>27628449.088255033</v>
      </c>
      <c r="Y187" s="29">
        <v>22925333.685215145</v>
      </c>
      <c r="Z187" s="29">
        <v>16971590.993443444</v>
      </c>
      <c r="AA187" s="29">
        <v>9638473.4409899823</v>
      </c>
      <c r="AC187" s="37">
        <v>181</v>
      </c>
      <c r="AD187" s="32" t="e">
        <f>求节点(村县营基础信息!T$8:T$28,$Y$33:$Y$53,$AC187)*节奏总纲!#REF!*(1+$B$10)+AD186</f>
        <v>#REF!</v>
      </c>
      <c r="AE187" s="32" t="e">
        <f>求节点(村县营基础信息!U$8:U$28,$Y$33:$Y$53,$AC187)*节奏总纲!#REF!*(1+$B$10)+AE186</f>
        <v>#REF!</v>
      </c>
      <c r="AF187" s="32" t="e">
        <f>求节点(村县营基础信息!V$8:V$28,$Y$33:$Y$53,$AC187)*节奏总纲!#REF!*(1+$B$10)+AF186</f>
        <v>#REF!</v>
      </c>
      <c r="AG187" s="32" t="e">
        <f>求节点(村县营基础信息!W$8:W$28,$Y$33:$Y$53,$AC187)*节奏总纲!#REF!*(1+$B$10)+AG186</f>
        <v>#REF!</v>
      </c>
      <c r="AH187" s="32" t="e">
        <f>求节点(村县营基础信息!X$8:X$28,$Y$33:$Y$53,$AC187)*节奏总纲!#REF!*(1+$B$10)+AH186</f>
        <v>#REF!</v>
      </c>
      <c r="AS187" s="37">
        <v>181</v>
      </c>
      <c r="AT187" s="32" t="e">
        <f>求节点(村县营基础信息!AC$8:AC$28,$AN$33:$AN$53,$AS187)*节奏总纲!#REF!+AT186</f>
        <v>#REF!</v>
      </c>
      <c r="AU187" s="32" t="e">
        <f>求节点(村县营基础信息!AD$8:AD$28,$AN$33:$AN$53,$AS187)*节奏总纲!#REF!+AU186</f>
        <v>#REF!</v>
      </c>
      <c r="AV187" s="32" t="e">
        <f>求节点(村县营基础信息!AE$8:AE$28,$AN$33:$AN$53,$AS187)*节奏总纲!#REF!+AV186</f>
        <v>#REF!</v>
      </c>
      <c r="AW187" s="32" t="e">
        <f>求节点(村县营基础信息!AF$8:AF$28,$AN$33:$AN$53,$AS187)*节奏总纲!#REF!+AW186</f>
        <v>#REF!</v>
      </c>
      <c r="AX187" s="32" t="e">
        <f>求节点(村县营基础信息!AG$8:AG$28,$AN$33:$AN$53,$AS187)*节奏总纲!#REF!+AX186</f>
        <v>#REF!</v>
      </c>
      <c r="BL187" s="37">
        <v>181</v>
      </c>
      <c r="BM187" s="32" t="e">
        <f>求节点(村县营基础信息!AL$8:AL$28,$BG$33:$BG$53,$BL187)*节奏总纲!#REF!+BM186</f>
        <v>#REF!</v>
      </c>
      <c r="BN187" s="32" t="e">
        <f>求节点(村县营基础信息!AM$8:AM$28,$BG$33:$BG$53,$BL187)*节奏总纲!#REF!+BN186</f>
        <v>#REF!</v>
      </c>
      <c r="BO187" s="32" t="e">
        <f>求节点(村县营基础信息!AN$8:AN$28,$BG$33:$BG$53,$BL187)*节奏总纲!#REF!+BO186</f>
        <v>#REF!</v>
      </c>
      <c r="BP187" s="32" t="e">
        <f>求节点(村县营基础信息!AO$8:AO$28,$BG$33:$BG$53,$BL187)*节奏总纲!#REF!+BP186</f>
        <v>#REF!</v>
      </c>
      <c r="BQ187" s="32" t="e">
        <f>求节点(村县营基础信息!AP$8:AP$28,$BG$33:$BG$53,$BL187)*节奏总纲!#REF!+BQ186</f>
        <v>#REF!</v>
      </c>
    </row>
    <row r="188" spans="13:69" x14ac:dyDescent="0.15">
      <c r="M188" s="37">
        <v>182</v>
      </c>
      <c r="N188" s="32" t="e">
        <f>求节点(村县营基础信息!K$8:K$28,$I$33:$I$53,$M188)*节奏总纲!#REF!+N187</f>
        <v>#REF!</v>
      </c>
      <c r="O188" s="32" t="e">
        <f>求节点(村县营基础信息!L$8:L$28,$I$33:$I$53,$M188)*节奏总纲!#REF!+O187</f>
        <v>#REF!</v>
      </c>
      <c r="P188" s="32" t="e">
        <f>求节点(村县营基础信息!M$8:M$28,$I$33:$I$53,$M188)*节奏总纲!#REF!+P187</f>
        <v>#REF!</v>
      </c>
      <c r="Q188" s="32" t="e">
        <f>求节点(村县营基础信息!N$8:N$28,$I$33:$I$53,$M188)*节奏总纲!#REF!+Q187</f>
        <v>#REF!</v>
      </c>
      <c r="R188" s="32" t="e">
        <f>求节点(村县营基础信息!O$8:O$28,$I$33:$I$53,$M188)*节奏总纲!#REF!+R187</f>
        <v>#REF!</v>
      </c>
      <c r="W188" s="29">
        <v>34669377.029564105</v>
      </c>
      <c r="X188" s="29">
        <v>30460739.507918935</v>
      </c>
      <c r="Y188" s="29">
        <v>25175123.276852105</v>
      </c>
      <c r="Z188" s="29">
        <v>18595282.083098531</v>
      </c>
      <c r="AA188" s="29">
        <v>10321690.785945451</v>
      </c>
      <c r="AC188" s="37">
        <v>182</v>
      </c>
      <c r="AD188" s="32" t="e">
        <f>求节点(村县营基础信息!T$8:T$28,$Y$33:$Y$53,$AC188)*节奏总纲!#REF!*(1+$B$10)+AD187</f>
        <v>#REF!</v>
      </c>
      <c r="AE188" s="32" t="e">
        <f>求节点(村县营基础信息!U$8:U$28,$Y$33:$Y$53,$AC188)*节奏总纲!#REF!*(1+$B$10)+AE187</f>
        <v>#REF!</v>
      </c>
      <c r="AF188" s="32" t="e">
        <f>求节点(村县营基础信息!V$8:V$28,$Y$33:$Y$53,$AC188)*节奏总纲!#REF!*(1+$B$10)+AF187</f>
        <v>#REF!</v>
      </c>
      <c r="AG188" s="32" t="e">
        <f>求节点(村县营基础信息!W$8:W$28,$Y$33:$Y$53,$AC188)*节奏总纲!#REF!*(1+$B$10)+AG187</f>
        <v>#REF!</v>
      </c>
      <c r="AH188" s="32" t="e">
        <f>求节点(村县营基础信息!X$8:X$28,$Y$33:$Y$53,$AC188)*节奏总纲!#REF!*(1+$B$10)+AH187</f>
        <v>#REF!</v>
      </c>
      <c r="AS188" s="37">
        <v>182</v>
      </c>
      <c r="AT188" s="32" t="e">
        <f>求节点(村县营基础信息!AC$8:AC$28,$AN$33:$AN$53,$AS188)*节奏总纲!#REF!+AT187</f>
        <v>#REF!</v>
      </c>
      <c r="AU188" s="32" t="e">
        <f>求节点(村县营基础信息!AD$8:AD$28,$AN$33:$AN$53,$AS188)*节奏总纲!#REF!+AU187</f>
        <v>#REF!</v>
      </c>
      <c r="AV188" s="32" t="e">
        <f>求节点(村县营基础信息!AE$8:AE$28,$AN$33:$AN$53,$AS188)*节奏总纲!#REF!+AV187</f>
        <v>#REF!</v>
      </c>
      <c r="AW188" s="32" t="e">
        <f>求节点(村县营基础信息!AF$8:AF$28,$AN$33:$AN$53,$AS188)*节奏总纲!#REF!+AW187</f>
        <v>#REF!</v>
      </c>
      <c r="AX188" s="32" t="e">
        <f>求节点(村县营基础信息!AG$8:AG$28,$AN$33:$AN$53,$AS188)*节奏总纲!#REF!+AX187</f>
        <v>#REF!</v>
      </c>
      <c r="BL188" s="37">
        <v>182</v>
      </c>
      <c r="BM188" s="32" t="e">
        <f>求节点(村县营基础信息!AL$8:AL$28,$BG$33:$BG$53,$BL188)*节奏总纲!#REF!+BM187</f>
        <v>#REF!</v>
      </c>
      <c r="BN188" s="32" t="e">
        <f>求节点(村县营基础信息!AM$8:AM$28,$BG$33:$BG$53,$BL188)*节奏总纲!#REF!+BN187</f>
        <v>#REF!</v>
      </c>
      <c r="BO188" s="32" t="e">
        <f>求节点(村县营基础信息!AN$8:AN$28,$BG$33:$BG$53,$BL188)*节奏总纲!#REF!+BO187</f>
        <v>#REF!</v>
      </c>
      <c r="BP188" s="32" t="e">
        <f>求节点(村县营基础信息!AO$8:AO$28,$BG$33:$BG$53,$BL188)*节奏总纲!#REF!+BP187</f>
        <v>#REF!</v>
      </c>
      <c r="BQ188" s="32" t="e">
        <f>求节点(村县营基础信息!AP$8:AP$28,$BG$33:$BG$53,$BL188)*节奏总纲!#REF!+BQ187</f>
        <v>#REF!</v>
      </c>
    </row>
    <row r="189" spans="13:69" x14ac:dyDescent="0.15">
      <c r="M189" s="37">
        <v>183</v>
      </c>
      <c r="N189" s="32" t="e">
        <f>求节点(村县营基础信息!K$8:K$28,$I$33:$I$53,$M189)*节奏总纲!#REF!+N188</f>
        <v>#REF!</v>
      </c>
      <c r="O189" s="32" t="e">
        <f>求节点(村县营基础信息!L$8:L$28,$I$33:$I$53,$M189)*节奏总纲!#REF!+O188</f>
        <v>#REF!</v>
      </c>
      <c r="P189" s="32" t="e">
        <f>求节点(村县营基础信息!M$8:M$28,$I$33:$I$53,$M189)*节奏总纲!#REF!+P188</f>
        <v>#REF!</v>
      </c>
      <c r="Q189" s="32" t="e">
        <f>求节点(村县营基础信息!N$8:N$28,$I$33:$I$53,$M189)*节奏总纲!#REF!+Q188</f>
        <v>#REF!</v>
      </c>
      <c r="R189" s="32" t="e">
        <f>求节点(村县营基础信息!O$8:O$28,$I$33:$I$53,$M189)*节奏总纲!#REF!+R188</f>
        <v>#REF!</v>
      </c>
      <c r="W189" s="29">
        <v>38287215.552445255</v>
      </c>
      <c r="X189" s="29">
        <v>33572828.558956787</v>
      </c>
      <c r="Y189" s="29">
        <v>27684835.989291392</v>
      </c>
      <c r="Z189" s="29">
        <v>20210862.514839858</v>
      </c>
      <c r="AA189" s="29">
        <v>11129516.366164155</v>
      </c>
      <c r="AC189" s="37">
        <v>183</v>
      </c>
      <c r="AD189" s="32" t="e">
        <f>求节点(村县营基础信息!T$8:T$28,$Y$33:$Y$53,$AC189)*节奏总纲!#REF!*(1+$B$10)+AD188</f>
        <v>#REF!</v>
      </c>
      <c r="AE189" s="32" t="e">
        <f>求节点(村县营基础信息!U$8:U$28,$Y$33:$Y$53,$AC189)*节奏总纲!#REF!*(1+$B$10)+AE188</f>
        <v>#REF!</v>
      </c>
      <c r="AF189" s="32" t="e">
        <f>求节点(村县营基础信息!V$8:V$28,$Y$33:$Y$53,$AC189)*节奏总纲!#REF!*(1+$B$10)+AF188</f>
        <v>#REF!</v>
      </c>
      <c r="AG189" s="32" t="e">
        <f>求节点(村县营基础信息!W$8:W$28,$Y$33:$Y$53,$AC189)*节奏总纲!#REF!*(1+$B$10)+AG188</f>
        <v>#REF!</v>
      </c>
      <c r="AH189" s="32" t="e">
        <f>求节点(村县营基础信息!X$8:X$28,$Y$33:$Y$53,$AC189)*节奏总纲!#REF!*(1+$B$10)+AH188</f>
        <v>#REF!</v>
      </c>
      <c r="AS189" s="37">
        <v>183</v>
      </c>
      <c r="AT189" s="32" t="e">
        <f>求节点(村县营基础信息!AC$8:AC$28,$AN$33:$AN$53,$AS189)*节奏总纲!#REF!+AT188</f>
        <v>#REF!</v>
      </c>
      <c r="AU189" s="32" t="e">
        <f>求节点(村县营基础信息!AD$8:AD$28,$AN$33:$AN$53,$AS189)*节奏总纲!#REF!+AU188</f>
        <v>#REF!</v>
      </c>
      <c r="AV189" s="32" t="e">
        <f>求节点(村县营基础信息!AE$8:AE$28,$AN$33:$AN$53,$AS189)*节奏总纲!#REF!+AV188</f>
        <v>#REF!</v>
      </c>
      <c r="AW189" s="32" t="e">
        <f>求节点(村县营基础信息!AF$8:AF$28,$AN$33:$AN$53,$AS189)*节奏总纲!#REF!+AW188</f>
        <v>#REF!</v>
      </c>
      <c r="AX189" s="32" t="e">
        <f>求节点(村县营基础信息!AG$8:AG$28,$AN$33:$AN$53,$AS189)*节奏总纲!#REF!+AX188</f>
        <v>#REF!</v>
      </c>
      <c r="BL189" s="37">
        <v>183</v>
      </c>
      <c r="BM189" s="32" t="e">
        <f>求节点(村县营基础信息!AL$8:AL$28,$BG$33:$BG$53,$BL189)*节奏总纲!#REF!+BM188</f>
        <v>#REF!</v>
      </c>
      <c r="BN189" s="32" t="e">
        <f>求节点(村县营基础信息!AM$8:AM$28,$BG$33:$BG$53,$BL189)*节奏总纲!#REF!+BN188</f>
        <v>#REF!</v>
      </c>
      <c r="BO189" s="32" t="e">
        <f>求节点(村县营基础信息!AN$8:AN$28,$BG$33:$BG$53,$BL189)*节奏总纲!#REF!+BO188</f>
        <v>#REF!</v>
      </c>
      <c r="BP189" s="32" t="e">
        <f>求节点(村县营基础信息!AO$8:AO$28,$BG$33:$BG$53,$BL189)*节奏总纲!#REF!+BP188</f>
        <v>#REF!</v>
      </c>
      <c r="BQ189" s="32" t="e">
        <f>求节点(村县营基础信息!AP$8:AP$28,$BG$33:$BG$53,$BL189)*节奏总纲!#REF!+BQ188</f>
        <v>#REF!</v>
      </c>
    </row>
    <row r="190" spans="13:69" x14ac:dyDescent="0.15">
      <c r="M190" s="37">
        <v>184</v>
      </c>
      <c r="N190" s="32" t="e">
        <f>求节点(村县营基础信息!K$8:K$28,$I$33:$I$53,$M190)*节奏总纲!#REF!+N189</f>
        <v>#REF!</v>
      </c>
      <c r="O190" s="32" t="e">
        <f>求节点(村县营基础信息!L$8:L$28,$I$33:$I$53,$M190)*节奏总纲!#REF!+O189</f>
        <v>#REF!</v>
      </c>
      <c r="P190" s="32" t="e">
        <f>求节点(村县营基础信息!M$8:M$28,$I$33:$I$53,$M190)*节奏总纲!#REF!+P189</f>
        <v>#REF!</v>
      </c>
      <c r="Q190" s="32" t="e">
        <f>求节点(村县营基础信息!N$8:N$28,$I$33:$I$53,$M190)*节奏总纲!#REF!+Q189</f>
        <v>#REF!</v>
      </c>
      <c r="R190" s="32" t="e">
        <f>求节点(村县营基础信息!O$8:O$28,$I$33:$I$53,$M190)*节奏总纲!#REF!+R189</f>
        <v>#REF!</v>
      </c>
      <c r="W190" s="29">
        <v>42259969.722236514</v>
      </c>
      <c r="X190" s="29">
        <v>36930832.091346212</v>
      </c>
      <c r="Y190" s="29">
        <v>30306113.956385739</v>
      </c>
      <c r="Z190" s="29">
        <v>21773000.239020787</v>
      </c>
      <c r="AA190" s="29">
        <v>12059458.841357611</v>
      </c>
      <c r="AC190" s="37">
        <v>184</v>
      </c>
      <c r="AD190" s="32" t="e">
        <f>求节点(村县营基础信息!T$8:T$28,$Y$33:$Y$53,$AC190)*节奏总纲!#REF!*(1+$B$10)+AD189</f>
        <v>#REF!</v>
      </c>
      <c r="AE190" s="32" t="e">
        <f>求节点(村县营基础信息!U$8:U$28,$Y$33:$Y$53,$AC190)*节奏总纲!#REF!*(1+$B$10)+AE189</f>
        <v>#REF!</v>
      </c>
      <c r="AF190" s="32" t="e">
        <f>求节点(村县营基础信息!V$8:V$28,$Y$33:$Y$53,$AC190)*节奏总纲!#REF!*(1+$B$10)+AF189</f>
        <v>#REF!</v>
      </c>
      <c r="AG190" s="32" t="e">
        <f>求节点(村县营基础信息!W$8:W$28,$Y$33:$Y$53,$AC190)*节奏总纲!#REF!*(1+$B$10)+AG189</f>
        <v>#REF!</v>
      </c>
      <c r="AH190" s="32" t="e">
        <f>求节点(村县营基础信息!X$8:X$28,$Y$33:$Y$53,$AC190)*节奏总纲!#REF!*(1+$B$10)+AH189</f>
        <v>#REF!</v>
      </c>
      <c r="AS190" s="37">
        <v>184</v>
      </c>
      <c r="AT190" s="32" t="e">
        <f>求节点(村县营基础信息!AC$8:AC$28,$AN$33:$AN$53,$AS190)*节奏总纲!#REF!+AT189</f>
        <v>#REF!</v>
      </c>
      <c r="AU190" s="32" t="e">
        <f>求节点(村县营基础信息!AD$8:AD$28,$AN$33:$AN$53,$AS190)*节奏总纲!#REF!+AU189</f>
        <v>#REF!</v>
      </c>
      <c r="AV190" s="32" t="e">
        <f>求节点(村县营基础信息!AE$8:AE$28,$AN$33:$AN$53,$AS190)*节奏总纲!#REF!+AV189</f>
        <v>#REF!</v>
      </c>
      <c r="AW190" s="32" t="e">
        <f>求节点(村县营基础信息!AF$8:AF$28,$AN$33:$AN$53,$AS190)*节奏总纲!#REF!+AW189</f>
        <v>#REF!</v>
      </c>
      <c r="AX190" s="32" t="e">
        <f>求节点(村县营基础信息!AG$8:AG$28,$AN$33:$AN$53,$AS190)*节奏总纲!#REF!+AX189</f>
        <v>#REF!</v>
      </c>
      <c r="BL190" s="37">
        <v>184</v>
      </c>
      <c r="BM190" s="32" t="e">
        <f>求节点(村县营基础信息!AL$8:AL$28,$BG$33:$BG$53,$BL190)*节奏总纲!#REF!+BM189</f>
        <v>#REF!</v>
      </c>
      <c r="BN190" s="32" t="e">
        <f>求节点(村县营基础信息!AM$8:AM$28,$BG$33:$BG$53,$BL190)*节奏总纲!#REF!+BN189</f>
        <v>#REF!</v>
      </c>
      <c r="BO190" s="32" t="e">
        <f>求节点(村县营基础信息!AN$8:AN$28,$BG$33:$BG$53,$BL190)*节奏总纲!#REF!+BO189</f>
        <v>#REF!</v>
      </c>
      <c r="BP190" s="32" t="e">
        <f>求节点(村县营基础信息!AO$8:AO$28,$BG$33:$BG$53,$BL190)*节奏总纲!#REF!+BP189</f>
        <v>#REF!</v>
      </c>
      <c r="BQ190" s="32" t="e">
        <f>求节点(村县营基础信息!AP$8:AP$28,$BG$33:$BG$53,$BL190)*节奏总纲!#REF!+BQ189</f>
        <v>#REF!</v>
      </c>
    </row>
    <row r="191" spans="13:69" x14ac:dyDescent="0.15">
      <c r="M191" s="37">
        <v>185</v>
      </c>
      <c r="N191" s="32" t="e">
        <f>求节点(村县营基础信息!K$8:K$28,$I$33:$I$53,$M191)*节奏总纲!#REF!+N190</f>
        <v>#REF!</v>
      </c>
      <c r="O191" s="32" t="e">
        <f>求节点(村县营基础信息!L$8:L$28,$I$33:$I$53,$M191)*节奏总纲!#REF!+O190</f>
        <v>#REF!</v>
      </c>
      <c r="P191" s="32" t="e">
        <f>求节点(村县营基础信息!M$8:M$28,$I$33:$I$53,$M191)*节奏总纲!#REF!+P190</f>
        <v>#REF!</v>
      </c>
      <c r="Q191" s="32" t="e">
        <f>求节点(村县营基础信息!N$8:N$28,$I$33:$I$53,$M191)*节奏总纲!#REF!+Q190</f>
        <v>#REF!</v>
      </c>
      <c r="R191" s="32" t="e">
        <f>求节点(村县营基础信息!O$8:O$28,$I$33:$I$53,$M191)*节奏总纲!#REF!+R190</f>
        <v>#REF!</v>
      </c>
      <c r="W191" s="29">
        <v>46619949.547083423</v>
      </c>
      <c r="X191" s="29">
        <v>40633285.832915798</v>
      </c>
      <c r="Y191" s="29">
        <v>32785024.05179964</v>
      </c>
      <c r="Z191" s="29">
        <v>23588333.063374791</v>
      </c>
      <c r="AA191" s="29">
        <v>14187538.175148468</v>
      </c>
      <c r="AC191" s="37">
        <v>185</v>
      </c>
      <c r="AD191" s="32" t="e">
        <f>求节点(村县营基础信息!T$8:T$28,$Y$33:$Y$53,$AC191)*节奏总纲!#REF!*(1+$B$10)+AD190</f>
        <v>#REF!</v>
      </c>
      <c r="AE191" s="32" t="e">
        <f>求节点(村县营基础信息!U$8:U$28,$Y$33:$Y$53,$AC191)*节奏总纲!#REF!*(1+$B$10)+AE190</f>
        <v>#REF!</v>
      </c>
      <c r="AF191" s="32" t="e">
        <f>求节点(村县营基础信息!V$8:V$28,$Y$33:$Y$53,$AC191)*节奏总纲!#REF!*(1+$B$10)+AF190</f>
        <v>#REF!</v>
      </c>
      <c r="AG191" s="32" t="e">
        <f>求节点(村县营基础信息!W$8:W$28,$Y$33:$Y$53,$AC191)*节奏总纲!#REF!*(1+$B$10)+AG190</f>
        <v>#REF!</v>
      </c>
      <c r="AH191" s="32" t="e">
        <f>求节点(村县营基础信息!X$8:X$28,$Y$33:$Y$53,$AC191)*节奏总纲!#REF!*(1+$B$10)+AH190</f>
        <v>#REF!</v>
      </c>
      <c r="AS191" s="37">
        <v>185</v>
      </c>
      <c r="AT191" s="32" t="e">
        <f>求节点(村县营基础信息!AC$8:AC$28,$AN$33:$AN$53,$AS191)*节奏总纲!#REF!+AT190</f>
        <v>#REF!</v>
      </c>
      <c r="AU191" s="32" t="e">
        <f>求节点(村县营基础信息!AD$8:AD$28,$AN$33:$AN$53,$AS191)*节奏总纲!#REF!+AU190</f>
        <v>#REF!</v>
      </c>
      <c r="AV191" s="32" t="e">
        <f>求节点(村县营基础信息!AE$8:AE$28,$AN$33:$AN$53,$AS191)*节奏总纲!#REF!+AV190</f>
        <v>#REF!</v>
      </c>
      <c r="AW191" s="32" t="e">
        <f>求节点(村县营基础信息!AF$8:AF$28,$AN$33:$AN$53,$AS191)*节奏总纲!#REF!+AW190</f>
        <v>#REF!</v>
      </c>
      <c r="AX191" s="32" t="e">
        <f>求节点(村县营基础信息!AG$8:AG$28,$AN$33:$AN$53,$AS191)*节奏总纲!#REF!+AX190</f>
        <v>#REF!</v>
      </c>
      <c r="BL191" s="37">
        <v>185</v>
      </c>
      <c r="BM191" s="32" t="e">
        <f>求节点(村县营基础信息!AL$8:AL$28,$BG$33:$BG$53,$BL191)*节奏总纲!#REF!+BM190</f>
        <v>#REF!</v>
      </c>
      <c r="BN191" s="32" t="e">
        <f>求节点(村县营基础信息!AM$8:AM$28,$BG$33:$BG$53,$BL191)*节奏总纲!#REF!+BN190</f>
        <v>#REF!</v>
      </c>
      <c r="BO191" s="32" t="e">
        <f>求节点(村县营基础信息!AN$8:AN$28,$BG$33:$BG$53,$BL191)*节奏总纲!#REF!+BO190</f>
        <v>#REF!</v>
      </c>
      <c r="BP191" s="32" t="e">
        <f>求节点(村县营基础信息!AO$8:AO$28,$BG$33:$BG$53,$BL191)*节奏总纲!#REF!+BP190</f>
        <v>#REF!</v>
      </c>
      <c r="BQ191" s="32" t="e">
        <f>求节点(村县营基础信息!AP$8:AP$28,$BG$33:$BG$53,$BL191)*节奏总纲!#REF!+BQ190</f>
        <v>#REF!</v>
      </c>
    </row>
    <row r="192" spans="13:69" x14ac:dyDescent="0.15">
      <c r="M192" s="37">
        <v>186</v>
      </c>
      <c r="N192" s="32" t="e">
        <f>求节点(村县营基础信息!K$8:K$28,$I$33:$I$53,$M192)*节奏总纲!#REF!+N191</f>
        <v>#REF!</v>
      </c>
      <c r="O192" s="32" t="e">
        <f>求节点(村县营基础信息!L$8:L$28,$I$33:$I$53,$M192)*节奏总纲!#REF!+O191</f>
        <v>#REF!</v>
      </c>
      <c r="P192" s="32" t="e">
        <f>求节点(村县营基础信息!M$8:M$28,$I$33:$I$53,$M192)*节奏总纲!#REF!+P191</f>
        <v>#REF!</v>
      </c>
      <c r="Q192" s="32" t="e">
        <f>求节点(村县营基础信息!N$8:N$28,$I$33:$I$53,$M192)*节奏总纲!#REF!+Q191</f>
        <v>#REF!</v>
      </c>
      <c r="R192" s="32" t="e">
        <f>求节点(村县营基础信息!O$8:O$28,$I$33:$I$53,$M192)*节奏总纲!#REF!+R191</f>
        <v>#REF!</v>
      </c>
      <c r="W192" s="29">
        <v>51438746.212304927</v>
      </c>
      <c r="X192" s="29">
        <v>44121827.802353553</v>
      </c>
      <c r="Y192" s="29">
        <v>35613040.969508849</v>
      </c>
      <c r="Z192" s="29">
        <v>27198057.268863231</v>
      </c>
      <c r="AA192" s="29">
        <v>15727648.439854227</v>
      </c>
      <c r="AC192" s="37">
        <v>186</v>
      </c>
      <c r="AD192" s="32" t="e">
        <f>求节点(村县营基础信息!T$8:T$28,$Y$33:$Y$53,$AC192)*节奏总纲!#REF!*(1+$B$10)+AD191</f>
        <v>#REF!</v>
      </c>
      <c r="AE192" s="32" t="e">
        <f>求节点(村县营基础信息!U$8:U$28,$Y$33:$Y$53,$AC192)*节奏总纲!#REF!*(1+$B$10)+AE191</f>
        <v>#REF!</v>
      </c>
      <c r="AF192" s="32" t="e">
        <f>求节点(村县营基础信息!V$8:V$28,$Y$33:$Y$53,$AC192)*节奏总纲!#REF!*(1+$B$10)+AF191</f>
        <v>#REF!</v>
      </c>
      <c r="AG192" s="32" t="e">
        <f>求节点(村县营基础信息!W$8:W$28,$Y$33:$Y$53,$AC192)*节奏总纲!#REF!*(1+$B$10)+AG191</f>
        <v>#REF!</v>
      </c>
      <c r="AH192" s="32" t="e">
        <f>求节点(村县营基础信息!X$8:X$28,$Y$33:$Y$53,$AC192)*节奏总纲!#REF!*(1+$B$10)+AH191</f>
        <v>#REF!</v>
      </c>
      <c r="AS192" s="37">
        <v>186</v>
      </c>
      <c r="AT192" s="32" t="e">
        <f>求节点(村县营基础信息!AC$8:AC$28,$AN$33:$AN$53,$AS192)*节奏总纲!#REF!+AT191</f>
        <v>#REF!</v>
      </c>
      <c r="AU192" s="32" t="e">
        <f>求节点(村县营基础信息!AD$8:AD$28,$AN$33:$AN$53,$AS192)*节奏总纲!#REF!+AU191</f>
        <v>#REF!</v>
      </c>
      <c r="AV192" s="32" t="e">
        <f>求节点(村县营基础信息!AE$8:AE$28,$AN$33:$AN$53,$AS192)*节奏总纲!#REF!+AV191</f>
        <v>#REF!</v>
      </c>
      <c r="AW192" s="32" t="e">
        <f>求节点(村县营基础信息!AF$8:AF$28,$AN$33:$AN$53,$AS192)*节奏总纲!#REF!+AW191</f>
        <v>#REF!</v>
      </c>
      <c r="AX192" s="32" t="e">
        <f>求节点(村县营基础信息!AG$8:AG$28,$AN$33:$AN$53,$AS192)*节奏总纲!#REF!+AX191</f>
        <v>#REF!</v>
      </c>
      <c r="BL192" s="37">
        <v>186</v>
      </c>
      <c r="BM192" s="32" t="e">
        <f>求节点(村县营基础信息!AL$8:AL$28,$BG$33:$BG$53,$BL192)*节奏总纲!#REF!+BM191</f>
        <v>#REF!</v>
      </c>
      <c r="BN192" s="32" t="e">
        <f>求节点(村县营基础信息!AM$8:AM$28,$BG$33:$BG$53,$BL192)*节奏总纲!#REF!+BN191</f>
        <v>#REF!</v>
      </c>
      <c r="BO192" s="32" t="e">
        <f>求节点(村县营基础信息!AN$8:AN$28,$BG$33:$BG$53,$BL192)*节奏总纲!#REF!+BO191</f>
        <v>#REF!</v>
      </c>
      <c r="BP192" s="32" t="e">
        <f>求节点(村县营基础信息!AO$8:AO$28,$BG$33:$BG$53,$BL192)*节奏总纲!#REF!+BP191</f>
        <v>#REF!</v>
      </c>
      <c r="BQ192" s="32" t="e">
        <f>求节点(村县营基础信息!AP$8:AP$28,$BG$33:$BG$53,$BL192)*节奏总纲!#REF!+BQ191</f>
        <v>#REF!</v>
      </c>
    </row>
    <row r="193" spans="13:69" x14ac:dyDescent="0.15">
      <c r="M193" s="37">
        <v>187</v>
      </c>
      <c r="N193" s="32" t="e">
        <f>求节点(村县营基础信息!K$8:K$28,$I$33:$I$53,$M193)*节奏总纲!#REF!+N192</f>
        <v>#REF!</v>
      </c>
      <c r="O193" s="32" t="e">
        <f>求节点(村县营基础信息!L$8:L$28,$I$33:$I$53,$M193)*节奏总纲!#REF!+O192</f>
        <v>#REF!</v>
      </c>
      <c r="P193" s="32" t="e">
        <f>求节点(村县营基础信息!M$8:M$28,$I$33:$I$53,$M193)*节奏总纲!#REF!+P192</f>
        <v>#REF!</v>
      </c>
      <c r="Q193" s="32" t="e">
        <f>求节点(村县营基础信息!N$8:N$28,$I$33:$I$53,$M193)*节奏总纲!#REF!+Q192</f>
        <v>#REF!</v>
      </c>
      <c r="R193" s="32" t="e">
        <f>求节点(村县营基础信息!O$8:O$28,$I$33:$I$53,$M193)*节奏总纲!#REF!+R192</f>
        <v>#REF!</v>
      </c>
      <c r="W193" s="29">
        <v>56759761.333968587</v>
      </c>
      <c r="X193" s="29">
        <v>48724540.724487163</v>
      </c>
      <c r="Y193" s="29">
        <v>41640424.59579128</v>
      </c>
      <c r="Z193" s="29">
        <v>31211601.962071907</v>
      </c>
      <c r="AA193" s="29">
        <v>17332170.575494781</v>
      </c>
      <c r="AC193" s="37">
        <v>187</v>
      </c>
      <c r="AD193" s="32" t="e">
        <f>求节点(村县营基础信息!T$8:T$28,$Y$33:$Y$53,$AC193)*节奏总纲!#REF!*(1+$B$10)+AD192</f>
        <v>#REF!</v>
      </c>
      <c r="AE193" s="32" t="e">
        <f>求节点(村县营基础信息!U$8:U$28,$Y$33:$Y$53,$AC193)*节奏总纲!#REF!*(1+$B$10)+AE192</f>
        <v>#REF!</v>
      </c>
      <c r="AF193" s="32" t="e">
        <f>求节点(村县营基础信息!V$8:V$28,$Y$33:$Y$53,$AC193)*节奏总纲!#REF!*(1+$B$10)+AF192</f>
        <v>#REF!</v>
      </c>
      <c r="AG193" s="32" t="e">
        <f>求节点(村县营基础信息!W$8:W$28,$Y$33:$Y$53,$AC193)*节奏总纲!#REF!*(1+$B$10)+AG192</f>
        <v>#REF!</v>
      </c>
      <c r="AH193" s="32" t="e">
        <f>求节点(村县营基础信息!X$8:X$28,$Y$33:$Y$53,$AC193)*节奏总纲!#REF!*(1+$B$10)+AH192</f>
        <v>#REF!</v>
      </c>
      <c r="AS193" s="37">
        <v>187</v>
      </c>
      <c r="AT193" s="32" t="e">
        <f>求节点(村县营基础信息!AC$8:AC$28,$AN$33:$AN$53,$AS193)*节奏总纲!#REF!+AT192</f>
        <v>#REF!</v>
      </c>
      <c r="AU193" s="32" t="e">
        <f>求节点(村县营基础信息!AD$8:AD$28,$AN$33:$AN$53,$AS193)*节奏总纲!#REF!+AU192</f>
        <v>#REF!</v>
      </c>
      <c r="AV193" s="32" t="e">
        <f>求节点(村县营基础信息!AE$8:AE$28,$AN$33:$AN$53,$AS193)*节奏总纲!#REF!+AV192</f>
        <v>#REF!</v>
      </c>
      <c r="AW193" s="32" t="e">
        <f>求节点(村县营基础信息!AF$8:AF$28,$AN$33:$AN$53,$AS193)*节奏总纲!#REF!+AW192</f>
        <v>#REF!</v>
      </c>
      <c r="AX193" s="32" t="e">
        <f>求节点(村县营基础信息!AG$8:AG$28,$AN$33:$AN$53,$AS193)*节奏总纲!#REF!+AX192</f>
        <v>#REF!</v>
      </c>
      <c r="BL193" s="37">
        <v>187</v>
      </c>
      <c r="BM193" s="32" t="e">
        <f>求节点(村县营基础信息!AL$8:AL$28,$BG$33:$BG$53,$BL193)*节奏总纲!#REF!+BM192</f>
        <v>#REF!</v>
      </c>
      <c r="BN193" s="32" t="e">
        <f>求节点(村县营基础信息!AM$8:AM$28,$BG$33:$BG$53,$BL193)*节奏总纲!#REF!+BN192</f>
        <v>#REF!</v>
      </c>
      <c r="BO193" s="32" t="e">
        <f>求节点(村县营基础信息!AN$8:AN$28,$BG$33:$BG$53,$BL193)*节奏总纲!#REF!+BO192</f>
        <v>#REF!</v>
      </c>
      <c r="BP193" s="32" t="e">
        <f>求节点(村县营基础信息!AO$8:AO$28,$BG$33:$BG$53,$BL193)*节奏总纲!#REF!+BP192</f>
        <v>#REF!</v>
      </c>
      <c r="BQ193" s="32" t="e">
        <f>求节点(村县营基础信息!AP$8:AP$28,$BG$33:$BG$53,$BL193)*节奏总纲!#REF!+BQ192</f>
        <v>#REF!</v>
      </c>
    </row>
    <row r="194" spans="13:69" x14ac:dyDescent="0.15">
      <c r="M194" s="37">
        <v>188</v>
      </c>
      <c r="N194" s="32" t="e">
        <f>求节点(村县营基础信息!K$8:K$28,$I$33:$I$53,$M194)*节奏总纲!#REF!+N193</f>
        <v>#REF!</v>
      </c>
      <c r="O194" s="32" t="e">
        <f>求节点(村县营基础信息!L$8:L$28,$I$33:$I$53,$M194)*节奏总纲!#REF!+O193</f>
        <v>#REF!</v>
      </c>
      <c r="P194" s="32" t="e">
        <f>求节点(村县营基础信息!M$8:M$28,$I$33:$I$53,$M194)*节奏总纲!#REF!+P193</f>
        <v>#REF!</v>
      </c>
      <c r="Q194" s="32" t="e">
        <f>求节点(村县营基础信息!N$8:N$28,$I$33:$I$53,$M194)*节奏总纲!#REF!+Q193</f>
        <v>#REF!</v>
      </c>
      <c r="R194" s="32" t="e">
        <f>求节点(村县营基础信息!O$8:O$28,$I$33:$I$53,$M194)*节奏总纲!#REF!+R193</f>
        <v>#REF!</v>
      </c>
      <c r="W194" s="29">
        <v>62630263.133870333</v>
      </c>
      <c r="X194" s="29">
        <v>56935316.537710622</v>
      </c>
      <c r="Y194" s="29">
        <v>47509104.385799125</v>
      </c>
      <c r="Z194" s="29">
        <v>34402299.310887784</v>
      </c>
      <c r="AA194" s="29">
        <v>19445505.232078902</v>
      </c>
      <c r="AC194" s="37">
        <v>188</v>
      </c>
      <c r="AD194" s="32" t="e">
        <f>求节点(村县营基础信息!T$8:T$28,$Y$33:$Y$53,$AC194)*节奏总纲!#REF!*(1+$B$10)+AD193</f>
        <v>#REF!</v>
      </c>
      <c r="AE194" s="32" t="e">
        <f>求节点(村县营基础信息!U$8:U$28,$Y$33:$Y$53,$AC194)*节奏总纲!#REF!*(1+$B$10)+AE193</f>
        <v>#REF!</v>
      </c>
      <c r="AF194" s="32" t="e">
        <f>求节点(村县营基础信息!V$8:V$28,$Y$33:$Y$53,$AC194)*节奏总纲!#REF!*(1+$B$10)+AF193</f>
        <v>#REF!</v>
      </c>
      <c r="AG194" s="32" t="e">
        <f>求节点(村县营基础信息!W$8:W$28,$Y$33:$Y$53,$AC194)*节奏总纲!#REF!*(1+$B$10)+AG193</f>
        <v>#REF!</v>
      </c>
      <c r="AH194" s="32" t="e">
        <f>求节点(村县营基础信息!X$8:X$28,$Y$33:$Y$53,$AC194)*节奏总纲!#REF!*(1+$B$10)+AH193</f>
        <v>#REF!</v>
      </c>
      <c r="AS194" s="37">
        <v>188</v>
      </c>
      <c r="AT194" s="32" t="e">
        <f>求节点(村县营基础信息!AC$8:AC$28,$AN$33:$AN$53,$AS194)*节奏总纲!#REF!+AT193</f>
        <v>#REF!</v>
      </c>
      <c r="AU194" s="32" t="e">
        <f>求节点(村县营基础信息!AD$8:AD$28,$AN$33:$AN$53,$AS194)*节奏总纲!#REF!+AU193</f>
        <v>#REF!</v>
      </c>
      <c r="AV194" s="32" t="e">
        <f>求节点(村县营基础信息!AE$8:AE$28,$AN$33:$AN$53,$AS194)*节奏总纲!#REF!+AV193</f>
        <v>#REF!</v>
      </c>
      <c r="AW194" s="32" t="e">
        <f>求节点(村县营基础信息!AF$8:AF$28,$AN$33:$AN$53,$AS194)*节奏总纲!#REF!+AW193</f>
        <v>#REF!</v>
      </c>
      <c r="AX194" s="32" t="e">
        <f>求节点(村县营基础信息!AG$8:AG$28,$AN$33:$AN$53,$AS194)*节奏总纲!#REF!+AX193</f>
        <v>#REF!</v>
      </c>
      <c r="BL194" s="37">
        <v>188</v>
      </c>
      <c r="BM194" s="32" t="e">
        <f>求节点(村县营基础信息!AL$8:AL$28,$BG$33:$BG$53,$BL194)*节奏总纲!#REF!+BM193</f>
        <v>#REF!</v>
      </c>
      <c r="BN194" s="32" t="e">
        <f>求节点(村县营基础信息!AM$8:AM$28,$BG$33:$BG$53,$BL194)*节奏总纲!#REF!+BN193</f>
        <v>#REF!</v>
      </c>
      <c r="BO194" s="32" t="e">
        <f>求节点(村县营基础信息!AN$8:AN$28,$BG$33:$BG$53,$BL194)*节奏总纲!#REF!+BO193</f>
        <v>#REF!</v>
      </c>
      <c r="BP194" s="32" t="e">
        <f>求节点(村县营基础信息!AO$8:AO$28,$BG$33:$BG$53,$BL194)*节奏总纲!#REF!+BP193</f>
        <v>#REF!</v>
      </c>
      <c r="BQ194" s="32" t="e">
        <f>求节点(村县营基础信息!AP$8:AP$28,$BG$33:$BG$53,$BL194)*节奏总纲!#REF!+BQ193</f>
        <v>#REF!</v>
      </c>
    </row>
    <row r="195" spans="13:69" x14ac:dyDescent="0.15">
      <c r="M195" s="37">
        <v>189</v>
      </c>
      <c r="N195" s="32" t="e">
        <f>求节点(村县营基础信息!K$8:K$28,$I$33:$I$53,$M195)*节奏总纲!#REF!+N194</f>
        <v>#REF!</v>
      </c>
      <c r="O195" s="32" t="e">
        <f>求节点(村县营基础信息!L$8:L$28,$I$33:$I$53,$M195)*节奏总纲!#REF!+O194</f>
        <v>#REF!</v>
      </c>
      <c r="P195" s="32" t="e">
        <f>求节点(村县营基础信息!M$8:M$28,$I$33:$I$53,$M195)*节奏总纲!#REF!+P194</f>
        <v>#REF!</v>
      </c>
      <c r="Q195" s="32" t="e">
        <f>求节点(村县营基础信息!N$8:N$28,$I$33:$I$53,$M195)*节奏总纲!#REF!+Q194</f>
        <v>#REF!</v>
      </c>
      <c r="R195" s="32" t="e">
        <f>求节点(村县营基础信息!O$8:O$28,$I$33:$I$53,$M195)*节奏总纲!#REF!+R194</f>
        <v>#REF!</v>
      </c>
      <c r="W195" s="29">
        <v>69101717.898513421</v>
      </c>
      <c r="X195" s="29">
        <v>62122666.056253187</v>
      </c>
      <c r="Y195" s="29">
        <v>50400422.154737934</v>
      </c>
      <c r="Z195" s="29">
        <v>36469638.357920215</v>
      </c>
      <c r="AA195" s="29">
        <v>21142552.599645041</v>
      </c>
      <c r="AC195" s="37">
        <v>189</v>
      </c>
      <c r="AD195" s="32" t="e">
        <f>求节点(村县营基础信息!T$8:T$28,$Y$33:$Y$53,$AC195)*节奏总纲!#REF!*(1+$B$10)+AD194</f>
        <v>#REF!</v>
      </c>
      <c r="AE195" s="32" t="e">
        <f>求节点(村县营基础信息!U$8:U$28,$Y$33:$Y$53,$AC195)*节奏总纲!#REF!*(1+$B$10)+AE194</f>
        <v>#REF!</v>
      </c>
      <c r="AF195" s="32" t="e">
        <f>求节点(村县营基础信息!V$8:V$28,$Y$33:$Y$53,$AC195)*节奏总纲!#REF!*(1+$B$10)+AF194</f>
        <v>#REF!</v>
      </c>
      <c r="AG195" s="32" t="e">
        <f>求节点(村县营基础信息!W$8:W$28,$Y$33:$Y$53,$AC195)*节奏总纲!#REF!*(1+$B$10)+AG194</f>
        <v>#REF!</v>
      </c>
      <c r="AH195" s="32" t="e">
        <f>求节点(村县营基础信息!X$8:X$28,$Y$33:$Y$53,$AC195)*节奏总纲!#REF!*(1+$B$10)+AH194</f>
        <v>#REF!</v>
      </c>
      <c r="AS195" s="37">
        <v>189</v>
      </c>
      <c r="AT195" s="32" t="e">
        <f>求节点(村县营基础信息!AC$8:AC$28,$AN$33:$AN$53,$AS195)*节奏总纲!#REF!+AT194</f>
        <v>#REF!</v>
      </c>
      <c r="AU195" s="32" t="e">
        <f>求节点(村县营基础信息!AD$8:AD$28,$AN$33:$AN$53,$AS195)*节奏总纲!#REF!+AU194</f>
        <v>#REF!</v>
      </c>
      <c r="AV195" s="32" t="e">
        <f>求节点(村县营基础信息!AE$8:AE$28,$AN$33:$AN$53,$AS195)*节奏总纲!#REF!+AV194</f>
        <v>#REF!</v>
      </c>
      <c r="AW195" s="32" t="e">
        <f>求节点(村县营基础信息!AF$8:AF$28,$AN$33:$AN$53,$AS195)*节奏总纲!#REF!+AW194</f>
        <v>#REF!</v>
      </c>
      <c r="AX195" s="32" t="e">
        <f>求节点(村县营基础信息!AG$8:AG$28,$AN$33:$AN$53,$AS195)*节奏总纲!#REF!+AX194</f>
        <v>#REF!</v>
      </c>
      <c r="BL195" s="37">
        <v>189</v>
      </c>
      <c r="BM195" s="32" t="e">
        <f>求节点(村县营基础信息!AL$8:AL$28,$BG$33:$BG$53,$BL195)*节奏总纲!#REF!+BM194</f>
        <v>#REF!</v>
      </c>
      <c r="BN195" s="32" t="e">
        <f>求节点(村县营基础信息!AM$8:AM$28,$BG$33:$BG$53,$BL195)*节奏总纲!#REF!+BN194</f>
        <v>#REF!</v>
      </c>
      <c r="BO195" s="32" t="e">
        <f>求节点(村县营基础信息!AN$8:AN$28,$BG$33:$BG$53,$BL195)*节奏总纲!#REF!+BO194</f>
        <v>#REF!</v>
      </c>
      <c r="BP195" s="32" t="e">
        <f>求节点(村县营基础信息!AO$8:AO$28,$BG$33:$BG$53,$BL195)*节奏总纲!#REF!+BP194</f>
        <v>#REF!</v>
      </c>
      <c r="BQ195" s="32" t="e">
        <f>求节点(村县营基础信息!AP$8:AP$28,$BG$33:$BG$53,$BL195)*节奏总纲!#REF!+BQ194</f>
        <v>#REF!</v>
      </c>
    </row>
    <row r="196" spans="13:69" x14ac:dyDescent="0.15">
      <c r="M196" s="37">
        <v>190</v>
      </c>
      <c r="N196" s="32" t="e">
        <f>求节点(村县营基础信息!K$8:K$28,$I$33:$I$53,$M196)*节奏总纲!#REF!+N195</f>
        <v>#REF!</v>
      </c>
      <c r="O196" s="32" t="e">
        <f>求节点(村县营基础信息!L$8:L$28,$I$33:$I$53,$M196)*节奏总纲!#REF!+O195</f>
        <v>#REF!</v>
      </c>
      <c r="P196" s="32" t="e">
        <f>求节点(村县营基础信息!M$8:M$28,$I$33:$I$53,$M196)*节奏总纲!#REF!+P195</f>
        <v>#REF!</v>
      </c>
      <c r="Q196" s="32" t="e">
        <f>求节点(村县营基础信息!N$8:N$28,$I$33:$I$53,$M196)*节奏总纲!#REF!+Q195</f>
        <v>#REF!</v>
      </c>
      <c r="R196" s="32" t="e">
        <f>求节点(村县营基础信息!O$8:O$28,$I$33:$I$53,$M196)*节奏总纲!#REF!+R195</f>
        <v>#REF!</v>
      </c>
      <c r="W196" s="29">
        <v>76230149.099456161</v>
      </c>
      <c r="X196" s="29">
        <v>65958750.966731064</v>
      </c>
      <c r="Y196" s="29">
        <v>53491468.706489593</v>
      </c>
      <c r="Z196" s="29">
        <v>39626473.515984282</v>
      </c>
      <c r="AA196" s="29">
        <v>22961876.435760066</v>
      </c>
      <c r="AC196" s="37">
        <v>190</v>
      </c>
      <c r="AD196" s="32" t="e">
        <f>求节点(村县营基础信息!T$8:T$28,$Y$33:$Y$53,$AC196)*节奏总纲!#REF!*(1+$B$10)+AD195</f>
        <v>#REF!</v>
      </c>
      <c r="AE196" s="32" t="e">
        <f>求节点(村县营基础信息!U$8:U$28,$Y$33:$Y$53,$AC196)*节奏总纲!#REF!*(1+$B$10)+AE195</f>
        <v>#REF!</v>
      </c>
      <c r="AF196" s="32" t="e">
        <f>求节点(村县营基础信息!V$8:V$28,$Y$33:$Y$53,$AC196)*节奏总纲!#REF!*(1+$B$10)+AF195</f>
        <v>#REF!</v>
      </c>
      <c r="AG196" s="32" t="e">
        <f>求节点(村县营基础信息!W$8:W$28,$Y$33:$Y$53,$AC196)*节奏总纲!#REF!*(1+$B$10)+AG195</f>
        <v>#REF!</v>
      </c>
      <c r="AH196" s="32" t="e">
        <f>求节点(村县营基础信息!X$8:X$28,$Y$33:$Y$53,$AC196)*节奏总纲!#REF!*(1+$B$10)+AH195</f>
        <v>#REF!</v>
      </c>
      <c r="AS196" s="37">
        <v>190</v>
      </c>
      <c r="AT196" s="32" t="e">
        <f>求节点(村县营基础信息!AC$8:AC$28,$AN$33:$AN$53,$AS196)*节奏总纲!#REF!+AT195</f>
        <v>#REF!</v>
      </c>
      <c r="AU196" s="32" t="e">
        <f>求节点(村县营基础信息!AD$8:AD$28,$AN$33:$AN$53,$AS196)*节奏总纲!#REF!+AU195</f>
        <v>#REF!</v>
      </c>
      <c r="AV196" s="32" t="e">
        <f>求节点(村县营基础信息!AE$8:AE$28,$AN$33:$AN$53,$AS196)*节奏总纲!#REF!+AV195</f>
        <v>#REF!</v>
      </c>
      <c r="AW196" s="32" t="e">
        <f>求节点(村县营基础信息!AF$8:AF$28,$AN$33:$AN$53,$AS196)*节奏总纲!#REF!+AW195</f>
        <v>#REF!</v>
      </c>
      <c r="AX196" s="32" t="e">
        <f>求节点(村县营基础信息!AG$8:AG$28,$AN$33:$AN$53,$AS196)*节奏总纲!#REF!+AX195</f>
        <v>#REF!</v>
      </c>
      <c r="BL196" s="37">
        <v>190</v>
      </c>
      <c r="BM196" s="32" t="e">
        <f>求节点(村县营基础信息!AL$8:AL$28,$BG$33:$BG$53,$BL196)*节奏总纲!#REF!+BM195</f>
        <v>#REF!</v>
      </c>
      <c r="BN196" s="32" t="e">
        <f>求节点(村县营基础信息!AM$8:AM$28,$BG$33:$BG$53,$BL196)*节奏总纲!#REF!+BN195</f>
        <v>#REF!</v>
      </c>
      <c r="BO196" s="32" t="e">
        <f>求节点(村县营基础信息!AN$8:AN$28,$BG$33:$BG$53,$BL196)*节奏总纲!#REF!+BO195</f>
        <v>#REF!</v>
      </c>
      <c r="BP196" s="32" t="e">
        <f>求节点(村县营基础信息!AO$8:AO$28,$BG$33:$BG$53,$BL196)*节奏总纲!#REF!+BP195</f>
        <v>#REF!</v>
      </c>
      <c r="BQ196" s="32" t="e">
        <f>求节点(村县营基础信息!AP$8:AP$28,$BG$33:$BG$53,$BL196)*节奏总纲!#REF!+BQ195</f>
        <v>#REF!</v>
      </c>
    </row>
    <row r="197" spans="13:69" x14ac:dyDescent="0.15">
      <c r="M197" s="37">
        <v>191</v>
      </c>
      <c r="N197" s="32" t="e">
        <f>求节点(村县营基础信息!K$8:K$28,$I$33:$I$53,$M197)*节奏总纲!#REF!+N196</f>
        <v>#REF!</v>
      </c>
      <c r="O197" s="32" t="e">
        <f>求节点(村县营基础信息!L$8:L$28,$I$33:$I$53,$M197)*节奏总纲!#REF!+O196</f>
        <v>#REF!</v>
      </c>
      <c r="P197" s="32" t="e">
        <f>求节点(村县营基础信息!M$8:M$28,$I$33:$I$53,$M197)*节奏总纲!#REF!+P196</f>
        <v>#REF!</v>
      </c>
      <c r="Q197" s="32" t="e">
        <f>求节点(村县营基础信息!N$8:N$28,$I$33:$I$53,$M197)*节奏总纲!#REF!+Q196</f>
        <v>#REF!</v>
      </c>
      <c r="R197" s="32" t="e">
        <f>求节点(村县营基础信息!O$8:O$28,$I$33:$I$53,$M197)*节奏总纲!#REF!+R196</f>
        <v>#REF!</v>
      </c>
      <c r="W197" s="29">
        <v>84076526.438245237</v>
      </c>
      <c r="X197" s="29">
        <v>72431589.061243385</v>
      </c>
      <c r="Y197" s="29">
        <v>59893861.471453145</v>
      </c>
      <c r="Z197" s="29">
        <v>45022845.410163715</v>
      </c>
      <c r="AA197" s="29">
        <v>25529059.277899839</v>
      </c>
      <c r="AC197" s="37">
        <v>191</v>
      </c>
      <c r="AD197" s="32" t="e">
        <f>求节点(村县营基础信息!T$8:T$28,$Y$33:$Y$53,$AC197)*节奏总纲!#REF!*(1+$B$10)+AD196</f>
        <v>#REF!</v>
      </c>
      <c r="AE197" s="32" t="e">
        <f>求节点(村县营基础信息!U$8:U$28,$Y$33:$Y$53,$AC197)*节奏总纲!#REF!*(1+$B$10)+AE196</f>
        <v>#REF!</v>
      </c>
      <c r="AF197" s="32" t="e">
        <f>求节点(村县营基础信息!V$8:V$28,$Y$33:$Y$53,$AC197)*节奏总纲!#REF!*(1+$B$10)+AF196</f>
        <v>#REF!</v>
      </c>
      <c r="AG197" s="32" t="e">
        <f>求节点(村县营基础信息!W$8:W$28,$Y$33:$Y$53,$AC197)*节奏总纲!#REF!*(1+$B$10)+AG196</f>
        <v>#REF!</v>
      </c>
      <c r="AH197" s="32" t="e">
        <f>求节点(村县营基础信息!X$8:X$28,$Y$33:$Y$53,$AC197)*节奏总纲!#REF!*(1+$B$10)+AH196</f>
        <v>#REF!</v>
      </c>
      <c r="AS197" s="37">
        <v>191</v>
      </c>
      <c r="AT197" s="32" t="e">
        <f>求节点(村县营基础信息!AC$8:AC$28,$AN$33:$AN$53,$AS197)*节奏总纲!#REF!+AT196</f>
        <v>#REF!</v>
      </c>
      <c r="AU197" s="32" t="e">
        <f>求节点(村县营基础信息!AD$8:AD$28,$AN$33:$AN$53,$AS197)*节奏总纲!#REF!+AU196</f>
        <v>#REF!</v>
      </c>
      <c r="AV197" s="32" t="e">
        <f>求节点(村县营基础信息!AE$8:AE$28,$AN$33:$AN$53,$AS197)*节奏总纲!#REF!+AV196</f>
        <v>#REF!</v>
      </c>
      <c r="AW197" s="32" t="e">
        <f>求节点(村县营基础信息!AF$8:AF$28,$AN$33:$AN$53,$AS197)*节奏总纲!#REF!+AW196</f>
        <v>#REF!</v>
      </c>
      <c r="AX197" s="32" t="e">
        <f>求节点(村县营基础信息!AG$8:AG$28,$AN$33:$AN$53,$AS197)*节奏总纲!#REF!+AX196</f>
        <v>#REF!</v>
      </c>
      <c r="BL197" s="37">
        <v>191</v>
      </c>
      <c r="BM197" s="32" t="e">
        <f>求节点(村县营基础信息!AL$8:AL$28,$BG$33:$BG$53,$BL197)*节奏总纲!#REF!+BM196</f>
        <v>#REF!</v>
      </c>
      <c r="BN197" s="32" t="e">
        <f>求节点(村县营基础信息!AM$8:AM$28,$BG$33:$BG$53,$BL197)*节奏总纲!#REF!+BN196</f>
        <v>#REF!</v>
      </c>
      <c r="BO197" s="32" t="e">
        <f>求节点(村县营基础信息!AN$8:AN$28,$BG$33:$BG$53,$BL197)*节奏总纲!#REF!+BO196</f>
        <v>#REF!</v>
      </c>
      <c r="BP197" s="32" t="e">
        <f>求节点(村县营基础信息!AO$8:AO$28,$BG$33:$BG$53,$BL197)*节奏总纲!#REF!+BP196</f>
        <v>#REF!</v>
      </c>
      <c r="BQ197" s="32" t="e">
        <f>求节点(村县营基础信息!AP$8:AP$28,$BG$33:$BG$53,$BL197)*节奏总纲!#REF!+BQ196</f>
        <v>#REF!</v>
      </c>
    </row>
    <row r="198" spans="13:69" x14ac:dyDescent="0.15">
      <c r="M198" s="37">
        <v>192</v>
      </c>
      <c r="N198" s="32" t="e">
        <f>求节点(村县营基础信息!K$8:K$28,$I$33:$I$53,$M198)*节奏总纲!#REF!+N197</f>
        <v>#REF!</v>
      </c>
      <c r="O198" s="32" t="e">
        <f>求节点(村县营基础信息!L$8:L$28,$I$33:$I$53,$M198)*节奏总纲!#REF!+O197</f>
        <v>#REF!</v>
      </c>
      <c r="P198" s="32" t="e">
        <f>求节点(村县营基础信息!M$8:M$28,$I$33:$I$53,$M198)*节奏总纲!#REF!+P197</f>
        <v>#REF!</v>
      </c>
      <c r="Q198" s="32" t="e">
        <f>求节点(村县营基础信息!N$8:N$28,$I$33:$I$53,$M198)*节奏总纲!#REF!+Q197</f>
        <v>#REF!</v>
      </c>
      <c r="R198" s="32" t="e">
        <f>求节点(村县营基础信息!O$8:O$28,$I$33:$I$53,$M198)*节奏总纲!#REF!+R197</f>
        <v>#REF!</v>
      </c>
      <c r="W198" s="29">
        <v>92707187.26153329</v>
      </c>
      <c r="X198" s="29">
        <v>81474339.142941922</v>
      </c>
      <c r="Y198" s="29">
        <v>68303558.789926231</v>
      </c>
      <c r="Z198" s="29">
        <v>50297871.033402219</v>
      </c>
      <c r="AA198" s="29">
        <v>28570757.744007073</v>
      </c>
      <c r="AC198" s="37">
        <v>192</v>
      </c>
      <c r="AD198" s="32" t="e">
        <f>求节点(村县营基础信息!T$8:T$28,$Y$33:$Y$53,$AC198)*节奏总纲!#REF!*(1+$B$10)+AD197</f>
        <v>#REF!</v>
      </c>
      <c r="AE198" s="32" t="e">
        <f>求节点(村县营基础信息!U$8:U$28,$Y$33:$Y$53,$AC198)*节奏总纲!#REF!*(1+$B$10)+AE197</f>
        <v>#REF!</v>
      </c>
      <c r="AF198" s="32" t="e">
        <f>求节点(村县营基础信息!V$8:V$28,$Y$33:$Y$53,$AC198)*节奏总纲!#REF!*(1+$B$10)+AF197</f>
        <v>#REF!</v>
      </c>
      <c r="AG198" s="32" t="e">
        <f>求节点(村县营基础信息!W$8:W$28,$Y$33:$Y$53,$AC198)*节奏总纲!#REF!*(1+$B$10)+AG197</f>
        <v>#REF!</v>
      </c>
      <c r="AH198" s="32" t="e">
        <f>求节点(村县营基础信息!X$8:X$28,$Y$33:$Y$53,$AC198)*节奏总纲!#REF!*(1+$B$10)+AH197</f>
        <v>#REF!</v>
      </c>
      <c r="AS198" s="37">
        <v>192</v>
      </c>
      <c r="AT198" s="32" t="e">
        <f>求节点(村县营基础信息!AC$8:AC$28,$AN$33:$AN$53,$AS198)*节奏总纲!#REF!+AT197</f>
        <v>#REF!</v>
      </c>
      <c r="AU198" s="32" t="e">
        <f>求节点(村县营基础信息!AD$8:AD$28,$AN$33:$AN$53,$AS198)*节奏总纲!#REF!+AU197</f>
        <v>#REF!</v>
      </c>
      <c r="AV198" s="32" t="e">
        <f>求节点(村县营基础信息!AE$8:AE$28,$AN$33:$AN$53,$AS198)*节奏总纲!#REF!+AV197</f>
        <v>#REF!</v>
      </c>
      <c r="AW198" s="32" t="e">
        <f>求节点(村县营基础信息!AF$8:AF$28,$AN$33:$AN$53,$AS198)*节奏总纲!#REF!+AW197</f>
        <v>#REF!</v>
      </c>
      <c r="AX198" s="32" t="e">
        <f>求节点(村县营基础信息!AG$8:AG$28,$AN$33:$AN$53,$AS198)*节奏总纲!#REF!+AX197</f>
        <v>#REF!</v>
      </c>
      <c r="BL198" s="37">
        <v>192</v>
      </c>
      <c r="BM198" s="32" t="e">
        <f>求节点(村县营基础信息!AL$8:AL$28,$BG$33:$BG$53,$BL198)*节奏总纲!#REF!+BM197</f>
        <v>#REF!</v>
      </c>
      <c r="BN198" s="32" t="e">
        <f>求节点(村县营基础信息!AM$8:AM$28,$BG$33:$BG$53,$BL198)*节奏总纲!#REF!+BN197</f>
        <v>#REF!</v>
      </c>
      <c r="BO198" s="32" t="e">
        <f>求节点(村县营基础信息!AN$8:AN$28,$BG$33:$BG$53,$BL198)*节奏总纲!#REF!+BO197</f>
        <v>#REF!</v>
      </c>
      <c r="BP198" s="32" t="e">
        <f>求节点(村县营基础信息!AO$8:AO$28,$BG$33:$BG$53,$BL198)*节奏总纲!#REF!+BP197</f>
        <v>#REF!</v>
      </c>
      <c r="BQ198" s="32" t="e">
        <f>求节点(村县营基础信息!AP$8:AP$28,$BG$33:$BG$53,$BL198)*节奏总纲!#REF!+BQ197</f>
        <v>#REF!</v>
      </c>
    </row>
    <row r="199" spans="13:69" x14ac:dyDescent="0.15">
      <c r="M199" s="37">
        <v>193</v>
      </c>
      <c r="N199" s="32" t="e">
        <f>求节点(村县营基础信息!K$8:K$28,$I$33:$I$53,$M199)*节奏总纲!#REF!+N198</f>
        <v>#REF!</v>
      </c>
      <c r="O199" s="32" t="e">
        <f>求节点(村县营基础信息!L$8:L$28,$I$33:$I$53,$M199)*节奏总纲!#REF!+O198</f>
        <v>#REF!</v>
      </c>
      <c r="P199" s="32" t="e">
        <f>求节点(村县营基础信息!M$8:M$28,$I$33:$I$53,$M199)*节奏总纲!#REF!+P198</f>
        <v>#REF!</v>
      </c>
      <c r="Q199" s="32" t="e">
        <f>求节点(村县营基础信息!N$8:N$28,$I$33:$I$53,$M199)*节奏总纲!#REF!+Q198</f>
        <v>#REF!</v>
      </c>
      <c r="R199" s="32" t="e">
        <f>求节点(村县营基础信息!O$8:O$28,$I$33:$I$53,$M199)*节奏总纲!#REF!+R198</f>
        <v>#REF!</v>
      </c>
      <c r="W199" s="29">
        <v>102194292.98888387</v>
      </c>
      <c r="X199" s="29">
        <v>90548615.590094611</v>
      </c>
      <c r="Y199" s="29">
        <v>74829077.765746802</v>
      </c>
      <c r="Z199" s="29">
        <v>55067395.348203599</v>
      </c>
      <c r="AA199" s="29">
        <v>31196250.8895991</v>
      </c>
      <c r="AC199" s="37">
        <v>193</v>
      </c>
      <c r="AD199" s="32" t="e">
        <f>求节点(村县营基础信息!T$8:T$28,$Y$33:$Y$53,$AC199)*节奏总纲!#REF!*(1+$B$10)+AD198</f>
        <v>#REF!</v>
      </c>
      <c r="AE199" s="32" t="e">
        <f>求节点(村县营基础信息!U$8:U$28,$Y$33:$Y$53,$AC199)*节奏总纲!#REF!*(1+$B$10)+AE198</f>
        <v>#REF!</v>
      </c>
      <c r="AF199" s="32" t="e">
        <f>求节点(村县营基础信息!V$8:V$28,$Y$33:$Y$53,$AC199)*节奏总纲!#REF!*(1+$B$10)+AF198</f>
        <v>#REF!</v>
      </c>
      <c r="AG199" s="32" t="e">
        <f>求节点(村县营基础信息!W$8:W$28,$Y$33:$Y$53,$AC199)*节奏总纲!#REF!*(1+$B$10)+AG198</f>
        <v>#REF!</v>
      </c>
      <c r="AH199" s="32" t="e">
        <f>求节点(村县营基础信息!X$8:X$28,$Y$33:$Y$53,$AC199)*节奏总纲!#REF!*(1+$B$10)+AH198</f>
        <v>#REF!</v>
      </c>
      <c r="AS199" s="37">
        <v>193</v>
      </c>
      <c r="AT199" s="32" t="e">
        <f>求节点(村县营基础信息!AC$8:AC$28,$AN$33:$AN$53,$AS199)*节奏总纲!#REF!+AT198</f>
        <v>#REF!</v>
      </c>
      <c r="AU199" s="32" t="e">
        <f>求节点(村县营基础信息!AD$8:AD$28,$AN$33:$AN$53,$AS199)*节奏总纲!#REF!+AU198</f>
        <v>#REF!</v>
      </c>
      <c r="AV199" s="32" t="e">
        <f>求节点(村县营基础信息!AE$8:AE$28,$AN$33:$AN$53,$AS199)*节奏总纲!#REF!+AV198</f>
        <v>#REF!</v>
      </c>
      <c r="AW199" s="32" t="e">
        <f>求节点(村县营基础信息!AF$8:AF$28,$AN$33:$AN$53,$AS199)*节奏总纲!#REF!+AW198</f>
        <v>#REF!</v>
      </c>
      <c r="AX199" s="32" t="e">
        <f>求节点(村县营基础信息!AG$8:AG$28,$AN$33:$AN$53,$AS199)*节奏总纲!#REF!+AX198</f>
        <v>#REF!</v>
      </c>
      <c r="BL199" s="37">
        <v>193</v>
      </c>
      <c r="BM199" s="32" t="e">
        <f>求节点(村县营基础信息!AL$8:AL$28,$BG$33:$BG$53,$BL199)*节奏总纲!#REF!+BM198</f>
        <v>#REF!</v>
      </c>
      <c r="BN199" s="32" t="e">
        <f>求节点(村县营基础信息!AM$8:AM$28,$BG$33:$BG$53,$BL199)*节奏总纲!#REF!+BN198</f>
        <v>#REF!</v>
      </c>
      <c r="BO199" s="32" t="e">
        <f>求节点(村县营基础信息!AN$8:AN$28,$BG$33:$BG$53,$BL199)*节奏总纲!#REF!+BO198</f>
        <v>#REF!</v>
      </c>
      <c r="BP199" s="32" t="e">
        <f>求节点(村县营基础信息!AO$8:AO$28,$BG$33:$BG$53,$BL199)*节奏总纲!#REF!+BP198</f>
        <v>#REF!</v>
      </c>
      <c r="BQ199" s="32" t="e">
        <f>求节点(村县营基础信息!AP$8:AP$28,$BG$33:$BG$53,$BL199)*节奏总纲!#REF!+BQ198</f>
        <v>#REF!</v>
      </c>
    </row>
    <row r="200" spans="13:69" x14ac:dyDescent="0.15">
      <c r="M200" s="37">
        <v>194</v>
      </c>
      <c r="N200" s="32" t="e">
        <f>求节点(村县营基础信息!K$8:K$28,$I$33:$I$53,$M200)*节奏总纲!#REF!+N199</f>
        <v>#REF!</v>
      </c>
      <c r="O200" s="32" t="e">
        <f>求节点(村县营基础信息!L$8:L$28,$I$33:$I$53,$M200)*节奏总纲!#REF!+O199</f>
        <v>#REF!</v>
      </c>
      <c r="P200" s="32" t="e">
        <f>求节点(村县营基础信息!M$8:M$28,$I$33:$I$53,$M200)*节奏总纲!#REF!+P199</f>
        <v>#REF!</v>
      </c>
      <c r="Q200" s="32" t="e">
        <f>求节点(村县营基础信息!N$8:N$28,$I$33:$I$53,$M200)*节奏总纲!#REF!+Q199</f>
        <v>#REF!</v>
      </c>
      <c r="R200" s="32" t="e">
        <f>求节点(村县营基础信息!O$8:O$28,$I$33:$I$53,$M200)*节奏总纲!#REF!+R199</f>
        <v>#REF!</v>
      </c>
      <c r="W200" s="29">
        <v>112616323.40833627</v>
      </c>
      <c r="X200" s="29">
        <v>98734568.186688974</v>
      </c>
      <c r="Y200" s="29">
        <v>81328762.882427171</v>
      </c>
      <c r="Z200" s="29">
        <v>59877556.502459973</v>
      </c>
      <c r="AA200" s="29">
        <v>33958100.83913222</v>
      </c>
      <c r="AC200" s="37">
        <v>194</v>
      </c>
      <c r="AD200" s="32" t="e">
        <f>求节点(村县营基础信息!T$8:T$28,$Y$33:$Y$53,$AC200)*节奏总纲!#REF!*(1+$B$10)+AD199</f>
        <v>#REF!</v>
      </c>
      <c r="AE200" s="32" t="e">
        <f>求节点(村县营基础信息!U$8:U$28,$Y$33:$Y$53,$AC200)*节奏总纲!#REF!*(1+$B$10)+AE199</f>
        <v>#REF!</v>
      </c>
      <c r="AF200" s="32" t="e">
        <f>求节点(村县营基础信息!V$8:V$28,$Y$33:$Y$53,$AC200)*节奏总纲!#REF!*(1+$B$10)+AF199</f>
        <v>#REF!</v>
      </c>
      <c r="AG200" s="32" t="e">
        <f>求节点(村县营基础信息!W$8:W$28,$Y$33:$Y$53,$AC200)*节奏总纲!#REF!*(1+$B$10)+AG199</f>
        <v>#REF!</v>
      </c>
      <c r="AH200" s="32" t="e">
        <f>求节点(村县营基础信息!X$8:X$28,$Y$33:$Y$53,$AC200)*节奏总纲!#REF!*(1+$B$10)+AH199</f>
        <v>#REF!</v>
      </c>
      <c r="AS200" s="37">
        <v>194</v>
      </c>
      <c r="AT200" s="32" t="e">
        <f>求节点(村县营基础信息!AC$8:AC$28,$AN$33:$AN$53,$AS200)*节奏总纲!#REF!+AT199</f>
        <v>#REF!</v>
      </c>
      <c r="AU200" s="32" t="e">
        <f>求节点(村县营基础信息!AD$8:AD$28,$AN$33:$AN$53,$AS200)*节奏总纲!#REF!+AU199</f>
        <v>#REF!</v>
      </c>
      <c r="AV200" s="32" t="e">
        <f>求节点(村县营基础信息!AE$8:AE$28,$AN$33:$AN$53,$AS200)*节奏总纲!#REF!+AV199</f>
        <v>#REF!</v>
      </c>
      <c r="AW200" s="32" t="e">
        <f>求节点(村县营基础信息!AF$8:AF$28,$AN$33:$AN$53,$AS200)*节奏总纲!#REF!+AW199</f>
        <v>#REF!</v>
      </c>
      <c r="AX200" s="32" t="e">
        <f>求节点(村县营基础信息!AG$8:AG$28,$AN$33:$AN$53,$AS200)*节奏总纲!#REF!+AX199</f>
        <v>#REF!</v>
      </c>
      <c r="BL200" s="37">
        <v>194</v>
      </c>
      <c r="BM200" s="32" t="e">
        <f>求节点(村县营基础信息!AL$8:AL$28,$BG$33:$BG$53,$BL200)*节奏总纲!#REF!+BM199</f>
        <v>#REF!</v>
      </c>
      <c r="BN200" s="32" t="e">
        <f>求节点(村县营基础信息!AM$8:AM$28,$BG$33:$BG$53,$BL200)*节奏总纲!#REF!+BN199</f>
        <v>#REF!</v>
      </c>
      <c r="BO200" s="32" t="e">
        <f>求节点(村县营基础信息!AN$8:AN$28,$BG$33:$BG$53,$BL200)*节奏总纲!#REF!+BO199</f>
        <v>#REF!</v>
      </c>
      <c r="BP200" s="32" t="e">
        <f>求节点(村县营基础信息!AO$8:AO$28,$BG$33:$BG$53,$BL200)*节奏总纲!#REF!+BP199</f>
        <v>#REF!</v>
      </c>
      <c r="BQ200" s="32" t="e">
        <f>求节点(村县营基础信息!AP$8:AP$28,$BG$33:$BG$53,$BL200)*节奏总纲!#REF!+BQ199</f>
        <v>#REF!</v>
      </c>
    </row>
    <row r="201" spans="13:69" x14ac:dyDescent="0.15">
      <c r="M201" s="37">
        <v>195</v>
      </c>
      <c r="N201" s="32" t="e">
        <f>求节点(村县营基础信息!K$8:K$28,$I$33:$I$53,$M201)*节奏总纲!#REF!+N200</f>
        <v>#REF!</v>
      </c>
      <c r="O201" s="32" t="e">
        <f>求节点(村县营基础信息!L$8:L$28,$I$33:$I$53,$M201)*节奏总纲!#REF!+O200</f>
        <v>#REF!</v>
      </c>
      <c r="P201" s="32" t="e">
        <f>求节点(村县营基础信息!M$8:M$28,$I$33:$I$53,$M201)*节奏总纲!#REF!+P200</f>
        <v>#REF!</v>
      </c>
      <c r="Q201" s="32" t="e">
        <f>求节点(村县营基础信息!N$8:N$28,$I$33:$I$53,$M201)*节奏总纲!#REF!+Q200</f>
        <v>#REF!</v>
      </c>
      <c r="R201" s="32" t="e">
        <f>求节点(村县营基础信息!O$8:O$28,$I$33:$I$53,$M201)*节奏总纲!#REF!+R200</f>
        <v>#REF!</v>
      </c>
      <c r="W201" s="29">
        <v>124058611.92427582</v>
      </c>
      <c r="X201" s="29">
        <v>108309238.42112651</v>
      </c>
      <c r="Y201" s="29">
        <v>89180764.133892134</v>
      </c>
      <c r="Z201" s="29">
        <v>65635732.020035654</v>
      </c>
      <c r="AA201" s="29">
        <v>36315727.264381923</v>
      </c>
      <c r="AC201" s="37">
        <v>195</v>
      </c>
      <c r="AD201" s="32" t="e">
        <f>求节点(村县营基础信息!T$8:T$28,$Y$33:$Y$53,$AC201)*节奏总纲!#REF!*(1+$B$10)+AD200</f>
        <v>#REF!</v>
      </c>
      <c r="AE201" s="32" t="e">
        <f>求节点(村县营基础信息!U$8:U$28,$Y$33:$Y$53,$AC201)*节奏总纲!#REF!*(1+$B$10)+AE200</f>
        <v>#REF!</v>
      </c>
      <c r="AF201" s="32" t="e">
        <f>求节点(村县营基础信息!V$8:V$28,$Y$33:$Y$53,$AC201)*节奏总纲!#REF!*(1+$B$10)+AF200</f>
        <v>#REF!</v>
      </c>
      <c r="AG201" s="32" t="e">
        <f>求节点(村县营基础信息!W$8:W$28,$Y$33:$Y$53,$AC201)*节奏总纲!#REF!*(1+$B$10)+AG200</f>
        <v>#REF!</v>
      </c>
      <c r="AH201" s="32" t="e">
        <f>求节点(村县营基础信息!X$8:X$28,$Y$33:$Y$53,$AC201)*节奏总纲!#REF!*(1+$B$10)+AH200</f>
        <v>#REF!</v>
      </c>
      <c r="AS201" s="37">
        <v>195</v>
      </c>
      <c r="AT201" s="32" t="e">
        <f>求节点(村县营基础信息!AC$8:AC$28,$AN$33:$AN$53,$AS201)*节奏总纲!#REF!+AT200</f>
        <v>#REF!</v>
      </c>
      <c r="AU201" s="32" t="e">
        <f>求节点(村县营基础信息!AD$8:AD$28,$AN$33:$AN$53,$AS201)*节奏总纲!#REF!+AU200</f>
        <v>#REF!</v>
      </c>
      <c r="AV201" s="32" t="e">
        <f>求节点(村县营基础信息!AE$8:AE$28,$AN$33:$AN$53,$AS201)*节奏总纲!#REF!+AV200</f>
        <v>#REF!</v>
      </c>
      <c r="AW201" s="32" t="e">
        <f>求节点(村县营基础信息!AF$8:AF$28,$AN$33:$AN$53,$AS201)*节奏总纲!#REF!+AW200</f>
        <v>#REF!</v>
      </c>
      <c r="AX201" s="32" t="e">
        <f>求节点(村县营基础信息!AG$8:AG$28,$AN$33:$AN$53,$AS201)*节奏总纲!#REF!+AX200</f>
        <v>#REF!</v>
      </c>
      <c r="BL201" s="37">
        <v>195</v>
      </c>
      <c r="BM201" s="32" t="e">
        <f>求节点(村县营基础信息!AL$8:AL$28,$BG$33:$BG$53,$BL201)*节奏总纲!#REF!+BM200</f>
        <v>#REF!</v>
      </c>
      <c r="BN201" s="32" t="e">
        <f>求节点(村县营基础信息!AM$8:AM$28,$BG$33:$BG$53,$BL201)*节奏总纲!#REF!+BN200</f>
        <v>#REF!</v>
      </c>
      <c r="BO201" s="32" t="e">
        <f>求节点(村县营基础信息!AN$8:AN$28,$BG$33:$BG$53,$BL201)*节奏总纲!#REF!+BO200</f>
        <v>#REF!</v>
      </c>
      <c r="BP201" s="32" t="e">
        <f>求节点(村县营基础信息!AO$8:AO$28,$BG$33:$BG$53,$BL201)*节奏总纲!#REF!+BP200</f>
        <v>#REF!</v>
      </c>
      <c r="BQ201" s="32" t="e">
        <f>求节点(村县营基础信息!AP$8:AP$28,$BG$33:$BG$53,$BL201)*节奏总纲!#REF!+BQ200</f>
        <v>#REF!</v>
      </c>
    </row>
    <row r="202" spans="13:69" x14ac:dyDescent="0.15">
      <c r="M202" s="37">
        <v>196</v>
      </c>
      <c r="N202" s="32" t="e">
        <f>求节点(村县营基础信息!K$8:K$28,$I$33:$I$53,$M202)*节奏总纲!#REF!+N201</f>
        <v>#REF!</v>
      </c>
      <c r="O202" s="32" t="e">
        <f>求节点(村县营基础信息!L$8:L$28,$I$33:$I$53,$M202)*节奏总纲!#REF!+O201</f>
        <v>#REF!</v>
      </c>
      <c r="P202" s="32" t="e">
        <f>求节点(村县营基础信息!M$8:M$28,$I$33:$I$53,$M202)*节奏总纲!#REF!+P201</f>
        <v>#REF!</v>
      </c>
      <c r="Q202" s="32" t="e">
        <f>求节点(村县营基础信息!N$8:N$28,$I$33:$I$53,$M202)*节奏总纲!#REF!+Q201</f>
        <v>#REF!</v>
      </c>
      <c r="R202" s="32" t="e">
        <f>求节点(村县营基础信息!O$8:O$28,$I$33:$I$53,$M202)*节奏总纲!#REF!+R201</f>
        <v>#REF!</v>
      </c>
      <c r="W202" s="29">
        <v>136650396.58779722</v>
      </c>
      <c r="X202" s="29">
        <v>119285213.81905292</v>
      </c>
      <c r="Y202" s="29">
        <v>98193012.383790836</v>
      </c>
      <c r="Z202" s="29">
        <v>71178444.627424106</v>
      </c>
      <c r="AA202" s="29">
        <v>38926337.33681643</v>
      </c>
      <c r="AC202" s="37">
        <v>196</v>
      </c>
      <c r="AD202" s="32" t="e">
        <f>求节点(村县营基础信息!T$8:T$28,$Y$33:$Y$53,$AC202)*节奏总纲!#REF!*(1+$B$10)+AD201</f>
        <v>#REF!</v>
      </c>
      <c r="AE202" s="32" t="e">
        <f>求节点(村县营基础信息!U$8:U$28,$Y$33:$Y$53,$AC202)*节奏总纲!#REF!*(1+$B$10)+AE201</f>
        <v>#REF!</v>
      </c>
      <c r="AF202" s="32" t="e">
        <f>求节点(村县营基础信息!V$8:V$28,$Y$33:$Y$53,$AC202)*节奏总纲!#REF!*(1+$B$10)+AF201</f>
        <v>#REF!</v>
      </c>
      <c r="AG202" s="32" t="e">
        <f>求节点(村县营基础信息!W$8:W$28,$Y$33:$Y$53,$AC202)*节奏总纲!#REF!*(1+$B$10)+AG201</f>
        <v>#REF!</v>
      </c>
      <c r="AH202" s="32" t="e">
        <f>求节点(村县营基础信息!X$8:X$28,$Y$33:$Y$53,$AC202)*节奏总纲!#REF!*(1+$B$10)+AH201</f>
        <v>#REF!</v>
      </c>
      <c r="AS202" s="37">
        <v>196</v>
      </c>
      <c r="AT202" s="32" t="e">
        <f>求节点(村县营基础信息!AC$8:AC$28,$AN$33:$AN$53,$AS202)*节奏总纲!#REF!+AT201</f>
        <v>#REF!</v>
      </c>
      <c r="AU202" s="32" t="e">
        <f>求节点(村县营基础信息!AD$8:AD$28,$AN$33:$AN$53,$AS202)*节奏总纲!#REF!+AU201</f>
        <v>#REF!</v>
      </c>
      <c r="AV202" s="32" t="e">
        <f>求节点(村县营基础信息!AE$8:AE$28,$AN$33:$AN$53,$AS202)*节奏总纲!#REF!+AV201</f>
        <v>#REF!</v>
      </c>
      <c r="AW202" s="32" t="e">
        <f>求节点(村县营基础信息!AF$8:AF$28,$AN$33:$AN$53,$AS202)*节奏总纲!#REF!+AW201</f>
        <v>#REF!</v>
      </c>
      <c r="AX202" s="32" t="e">
        <f>求节点(村县营基础信息!AG$8:AG$28,$AN$33:$AN$53,$AS202)*节奏总纲!#REF!+AX201</f>
        <v>#REF!</v>
      </c>
      <c r="BL202" s="37">
        <v>196</v>
      </c>
      <c r="BM202" s="32" t="e">
        <f>求节点(村县营基础信息!AL$8:AL$28,$BG$33:$BG$53,$BL202)*节奏总纲!#REF!+BM201</f>
        <v>#REF!</v>
      </c>
      <c r="BN202" s="32" t="e">
        <f>求节点(村县营基础信息!AM$8:AM$28,$BG$33:$BG$53,$BL202)*节奏总纲!#REF!+BN201</f>
        <v>#REF!</v>
      </c>
      <c r="BO202" s="32" t="e">
        <f>求节点(村县营基础信息!AN$8:AN$28,$BG$33:$BG$53,$BL202)*节奏总纲!#REF!+BO201</f>
        <v>#REF!</v>
      </c>
      <c r="BP202" s="32" t="e">
        <f>求节点(村县营基础信息!AO$8:AO$28,$BG$33:$BG$53,$BL202)*节奏总纲!#REF!+BP201</f>
        <v>#REF!</v>
      </c>
      <c r="BQ202" s="32" t="e">
        <f>求节点(村县营基础信息!AP$8:AP$28,$BG$33:$BG$53,$BL202)*节奏总纲!#REF!+BQ201</f>
        <v>#REF!</v>
      </c>
    </row>
    <row r="203" spans="13:69" x14ac:dyDescent="0.15">
      <c r="M203" s="37">
        <v>197</v>
      </c>
      <c r="N203" s="32" t="e">
        <f>求节点(村县营基础信息!K$8:K$28,$I$33:$I$53,$M203)*节奏总纲!#REF!+N202</f>
        <v>#REF!</v>
      </c>
      <c r="O203" s="32" t="e">
        <f>求节点(村县营基础信息!L$8:L$28,$I$33:$I$53,$M203)*节奏总纲!#REF!+O202</f>
        <v>#REF!</v>
      </c>
      <c r="P203" s="32" t="e">
        <f>求节点(村县营基础信息!M$8:M$28,$I$33:$I$53,$M203)*节奏总纲!#REF!+P202</f>
        <v>#REF!</v>
      </c>
      <c r="Q203" s="32" t="e">
        <f>求节点(村县营基础信息!N$8:N$28,$I$33:$I$53,$M203)*节奏总纲!#REF!+Q202</f>
        <v>#REF!</v>
      </c>
      <c r="R203" s="32" t="e">
        <f>求节点(村县营基础信息!O$8:O$28,$I$33:$I$53,$M203)*节奏总纲!#REF!+R202</f>
        <v>#REF!</v>
      </c>
      <c r="W203" s="29">
        <v>150497739.88880238</v>
      </c>
      <c r="X203" s="29">
        <v>131411030.02844338</v>
      </c>
      <c r="Y203" s="29">
        <v>106993677.43038031</v>
      </c>
      <c r="Z203" s="29">
        <v>76280170.107958749</v>
      </c>
      <c r="AA203" s="29">
        <v>41708264.015233696</v>
      </c>
      <c r="AC203" s="37">
        <v>197</v>
      </c>
      <c r="AD203" s="32" t="e">
        <f>求节点(村县营基础信息!T$8:T$28,$Y$33:$Y$53,$AC203)*节奏总纲!#REF!*(1+$B$10)+AD202</f>
        <v>#REF!</v>
      </c>
      <c r="AE203" s="32" t="e">
        <f>求节点(村县营基础信息!U$8:U$28,$Y$33:$Y$53,$AC203)*节奏总纲!#REF!*(1+$B$10)+AE202</f>
        <v>#REF!</v>
      </c>
      <c r="AF203" s="32" t="e">
        <f>求节点(村县营基础信息!V$8:V$28,$Y$33:$Y$53,$AC203)*节奏总纲!#REF!*(1+$B$10)+AF202</f>
        <v>#REF!</v>
      </c>
      <c r="AG203" s="32" t="e">
        <f>求节点(村县营基础信息!W$8:W$28,$Y$33:$Y$53,$AC203)*节奏总纲!#REF!*(1+$B$10)+AG202</f>
        <v>#REF!</v>
      </c>
      <c r="AH203" s="32" t="e">
        <f>求节点(村县营基础信息!X$8:X$28,$Y$33:$Y$53,$AC203)*节奏总纲!#REF!*(1+$B$10)+AH202</f>
        <v>#REF!</v>
      </c>
      <c r="AS203" s="37">
        <v>197</v>
      </c>
      <c r="AT203" s="32" t="e">
        <f>求节点(村县营基础信息!AC$8:AC$28,$AN$33:$AN$53,$AS203)*节奏总纲!#REF!+AT202</f>
        <v>#REF!</v>
      </c>
      <c r="AU203" s="32" t="e">
        <f>求节点(村县营基础信息!AD$8:AD$28,$AN$33:$AN$53,$AS203)*节奏总纲!#REF!+AU202</f>
        <v>#REF!</v>
      </c>
      <c r="AV203" s="32" t="e">
        <f>求节点(村县营基础信息!AE$8:AE$28,$AN$33:$AN$53,$AS203)*节奏总纲!#REF!+AV202</f>
        <v>#REF!</v>
      </c>
      <c r="AW203" s="32" t="e">
        <f>求节点(村县营基础信息!AF$8:AF$28,$AN$33:$AN$53,$AS203)*节奏总纲!#REF!+AW202</f>
        <v>#REF!</v>
      </c>
      <c r="AX203" s="32" t="e">
        <f>求节点(村县营基础信息!AG$8:AG$28,$AN$33:$AN$53,$AS203)*节奏总纲!#REF!+AX202</f>
        <v>#REF!</v>
      </c>
      <c r="BL203" s="37">
        <v>197</v>
      </c>
      <c r="BM203" s="32" t="e">
        <f>求节点(村县营基础信息!AL$8:AL$28,$BG$33:$BG$53,$BL203)*节奏总纲!#REF!+BM202</f>
        <v>#REF!</v>
      </c>
      <c r="BN203" s="32" t="e">
        <f>求节点(村县营基础信息!AM$8:AM$28,$BG$33:$BG$53,$BL203)*节奏总纲!#REF!+BN202</f>
        <v>#REF!</v>
      </c>
      <c r="BO203" s="32" t="e">
        <f>求节点(村县营基础信息!AN$8:AN$28,$BG$33:$BG$53,$BL203)*节奏总纲!#REF!+BO202</f>
        <v>#REF!</v>
      </c>
      <c r="BP203" s="32" t="e">
        <f>求节点(村县营基础信息!AO$8:AO$28,$BG$33:$BG$53,$BL203)*节奏总纲!#REF!+BP202</f>
        <v>#REF!</v>
      </c>
      <c r="BQ203" s="32" t="e">
        <f>求节点(村县营基础信息!AP$8:AP$28,$BG$33:$BG$53,$BL203)*节奏总纲!#REF!+BQ202</f>
        <v>#REF!</v>
      </c>
    </row>
    <row r="204" spans="13:69" x14ac:dyDescent="0.15">
      <c r="M204" s="37">
        <v>198</v>
      </c>
      <c r="N204" s="32" t="e">
        <f>求节点(村县营基础信息!K$8:K$28,$I$33:$I$53,$M204)*节奏总纲!#REF!+N203</f>
        <v>#REF!</v>
      </c>
      <c r="O204" s="32" t="e">
        <f>求节点(村县营基础信息!L$8:L$28,$I$33:$I$53,$M204)*节奏总纲!#REF!+O203</f>
        <v>#REF!</v>
      </c>
      <c r="P204" s="32" t="e">
        <f>求节点(村县营基础信息!M$8:M$28,$I$33:$I$53,$M204)*节奏总纲!#REF!+P203</f>
        <v>#REF!</v>
      </c>
      <c r="Q204" s="32" t="e">
        <f>求节点(村县营基础信息!N$8:N$28,$I$33:$I$53,$M204)*节奏总纲!#REF!+Q203</f>
        <v>#REF!</v>
      </c>
      <c r="R204" s="32" t="e">
        <f>求节点(村县营基础信息!O$8:O$28,$I$33:$I$53,$M204)*节奏总纲!#REF!+R203</f>
        <v>#REF!</v>
      </c>
      <c r="W204" s="29">
        <v>165716007.71263334</v>
      </c>
      <c r="X204" s="29">
        <v>143368116.4628813</v>
      </c>
      <c r="Y204" s="29">
        <v>114869358.30282873</v>
      </c>
      <c r="Z204" s="29">
        <v>81961217.990976751</v>
      </c>
      <c r="AA204" s="29">
        <v>48066803.887462616</v>
      </c>
      <c r="AC204" s="37">
        <v>198</v>
      </c>
      <c r="AD204" s="32" t="e">
        <f>求节点(村县营基础信息!T$8:T$28,$Y$33:$Y$53,$AC204)*节奏总纲!#REF!*(1+$B$10)+AD203</f>
        <v>#REF!</v>
      </c>
      <c r="AE204" s="32" t="e">
        <f>求节点(村县营基础信息!U$8:U$28,$Y$33:$Y$53,$AC204)*节奏总纲!#REF!*(1+$B$10)+AE203</f>
        <v>#REF!</v>
      </c>
      <c r="AF204" s="32" t="e">
        <f>求节点(村县营基础信息!V$8:V$28,$Y$33:$Y$53,$AC204)*节奏总纲!#REF!*(1+$B$10)+AF203</f>
        <v>#REF!</v>
      </c>
      <c r="AG204" s="32" t="e">
        <f>求节点(村县营基础信息!W$8:W$28,$Y$33:$Y$53,$AC204)*节奏总纲!#REF!*(1+$B$10)+AG203</f>
        <v>#REF!</v>
      </c>
      <c r="AH204" s="32" t="e">
        <f>求节点(村县营基础信息!X$8:X$28,$Y$33:$Y$53,$AC204)*节奏总纲!#REF!*(1+$B$10)+AH203</f>
        <v>#REF!</v>
      </c>
      <c r="AS204" s="37">
        <v>198</v>
      </c>
      <c r="AT204" s="32" t="e">
        <f>求节点(村县营基础信息!AC$8:AC$28,$AN$33:$AN$53,$AS204)*节奏总纲!#REF!+AT203</f>
        <v>#REF!</v>
      </c>
      <c r="AU204" s="32" t="e">
        <f>求节点(村县营基础信息!AD$8:AD$28,$AN$33:$AN$53,$AS204)*节奏总纲!#REF!+AU203</f>
        <v>#REF!</v>
      </c>
      <c r="AV204" s="32" t="e">
        <f>求节点(村县营基础信息!AE$8:AE$28,$AN$33:$AN$53,$AS204)*节奏总纲!#REF!+AV203</f>
        <v>#REF!</v>
      </c>
      <c r="AW204" s="32" t="e">
        <f>求节点(村县营基础信息!AF$8:AF$28,$AN$33:$AN$53,$AS204)*节奏总纲!#REF!+AW203</f>
        <v>#REF!</v>
      </c>
      <c r="AX204" s="32" t="e">
        <f>求节点(村县营基础信息!AG$8:AG$28,$AN$33:$AN$53,$AS204)*节奏总纲!#REF!+AX203</f>
        <v>#REF!</v>
      </c>
      <c r="BL204" s="37">
        <v>198</v>
      </c>
      <c r="BM204" s="32" t="e">
        <f>求节点(村县营基础信息!AL$8:AL$28,$BG$33:$BG$53,$BL204)*节奏总纲!#REF!+BM203</f>
        <v>#REF!</v>
      </c>
      <c r="BN204" s="32" t="e">
        <f>求节点(村县营基础信息!AM$8:AM$28,$BG$33:$BG$53,$BL204)*节奏总纲!#REF!+BN203</f>
        <v>#REF!</v>
      </c>
      <c r="BO204" s="32" t="e">
        <f>求节点(村县营基础信息!AN$8:AN$28,$BG$33:$BG$53,$BL204)*节奏总纲!#REF!+BO203</f>
        <v>#REF!</v>
      </c>
      <c r="BP204" s="32" t="e">
        <f>求节点(村县营基础信息!AO$8:AO$28,$BG$33:$BG$53,$BL204)*节奏总纲!#REF!+BP203</f>
        <v>#REF!</v>
      </c>
      <c r="BQ204" s="32" t="e">
        <f>求节点(村县营基础信息!AP$8:AP$28,$BG$33:$BG$53,$BL204)*节奏总纲!#REF!+BQ203</f>
        <v>#REF!</v>
      </c>
    </row>
    <row r="205" spans="13:69" x14ac:dyDescent="0.15">
      <c r="M205" s="37">
        <v>199</v>
      </c>
      <c r="N205" s="32" t="e">
        <f>求节点(村县营基础信息!K$8:K$28,$I$33:$I$53,$M205)*节奏总纲!#REF!+N204</f>
        <v>#REF!</v>
      </c>
      <c r="O205" s="32" t="e">
        <f>求节点(村县营基础信息!L$8:L$28,$I$33:$I$53,$M205)*节奏总纲!#REF!+O204</f>
        <v>#REF!</v>
      </c>
      <c r="P205" s="32" t="e">
        <f>求节点(村县营基础信息!M$8:M$28,$I$33:$I$53,$M205)*节奏总纲!#REF!+P204</f>
        <v>#REF!</v>
      </c>
      <c r="Q205" s="32" t="e">
        <f>求节点(村县营基础信息!N$8:N$28,$I$33:$I$53,$M205)*节奏总纲!#REF!+Q204</f>
        <v>#REF!</v>
      </c>
      <c r="R205" s="32" t="e">
        <f>求节点(村县营基础信息!O$8:O$28,$I$33:$I$53,$M205)*节奏总纲!#REF!+R204</f>
        <v>#REF!</v>
      </c>
      <c r="W205" s="29">
        <v>182430658.44039321</v>
      </c>
      <c r="X205" s="29">
        <v>155328922.2972329</v>
      </c>
      <c r="Y205" s="29">
        <v>124459093.60253766</v>
      </c>
      <c r="Z205" s="29">
        <v>94129590.250835389</v>
      </c>
      <c r="AA205" s="29">
        <v>55411435.688704237</v>
      </c>
      <c r="AC205" s="37">
        <v>199</v>
      </c>
      <c r="AD205" s="32" t="e">
        <f>求节点(村县营基础信息!T$8:T$28,$Y$33:$Y$53,$AC205)*节奏总纲!#REF!*(1+$B$10)+AD204</f>
        <v>#REF!</v>
      </c>
      <c r="AE205" s="32" t="e">
        <f>求节点(村县营基础信息!U$8:U$28,$Y$33:$Y$53,$AC205)*节奏总纲!#REF!*(1+$B$10)+AE204</f>
        <v>#REF!</v>
      </c>
      <c r="AF205" s="32" t="e">
        <f>求节点(村县营基础信息!V$8:V$28,$Y$33:$Y$53,$AC205)*节奏总纲!#REF!*(1+$B$10)+AF204</f>
        <v>#REF!</v>
      </c>
      <c r="AG205" s="32" t="e">
        <f>求节点(村县营基础信息!W$8:W$28,$Y$33:$Y$53,$AC205)*节奏总纲!#REF!*(1+$B$10)+AG204</f>
        <v>#REF!</v>
      </c>
      <c r="AH205" s="32" t="e">
        <f>求节点(村县营基础信息!X$8:X$28,$Y$33:$Y$53,$AC205)*节奏总纲!#REF!*(1+$B$10)+AH204</f>
        <v>#REF!</v>
      </c>
      <c r="AS205" s="37">
        <v>199</v>
      </c>
      <c r="AT205" s="32" t="e">
        <f>求节点(村县营基础信息!AC$8:AC$28,$AN$33:$AN$53,$AS205)*节奏总纲!#REF!+AT204</f>
        <v>#REF!</v>
      </c>
      <c r="AU205" s="32" t="e">
        <f>求节点(村县营基础信息!AD$8:AD$28,$AN$33:$AN$53,$AS205)*节奏总纲!#REF!+AU204</f>
        <v>#REF!</v>
      </c>
      <c r="AV205" s="32" t="e">
        <f>求节点(村县营基础信息!AE$8:AE$28,$AN$33:$AN$53,$AS205)*节奏总纲!#REF!+AV204</f>
        <v>#REF!</v>
      </c>
      <c r="AW205" s="32" t="e">
        <f>求节点(村县营基础信息!AF$8:AF$28,$AN$33:$AN$53,$AS205)*节奏总纲!#REF!+AW204</f>
        <v>#REF!</v>
      </c>
      <c r="AX205" s="32" t="e">
        <f>求节点(村县营基础信息!AG$8:AG$28,$AN$33:$AN$53,$AS205)*节奏总纲!#REF!+AX204</f>
        <v>#REF!</v>
      </c>
      <c r="BL205" s="37">
        <v>199</v>
      </c>
      <c r="BM205" s="32" t="e">
        <f>求节点(村县营基础信息!AL$8:AL$28,$BG$33:$BG$53,$BL205)*节奏总纲!#REF!+BM204</f>
        <v>#REF!</v>
      </c>
      <c r="BN205" s="32" t="e">
        <f>求节点(村县营基础信息!AM$8:AM$28,$BG$33:$BG$53,$BL205)*节奏总纲!#REF!+BN204</f>
        <v>#REF!</v>
      </c>
      <c r="BO205" s="32" t="e">
        <f>求节点(村县营基础信息!AN$8:AN$28,$BG$33:$BG$53,$BL205)*节奏总纲!#REF!+BO204</f>
        <v>#REF!</v>
      </c>
      <c r="BP205" s="32" t="e">
        <f>求节点(村县营基础信息!AO$8:AO$28,$BG$33:$BG$53,$BL205)*节奏总纲!#REF!+BP204</f>
        <v>#REF!</v>
      </c>
      <c r="BQ205" s="32" t="e">
        <f>求节点(村县营基础信息!AP$8:AP$28,$BG$33:$BG$53,$BL205)*节奏总纲!#REF!+BQ204</f>
        <v>#REF!</v>
      </c>
    </row>
    <row r="206" spans="13:69" x14ac:dyDescent="0.15">
      <c r="M206" s="37">
        <v>200</v>
      </c>
      <c r="N206" s="32" t="e">
        <f>求节点(村县营基础信息!K$8:K$28,$I$33:$I$53,$M206)*节奏总纲!#REF!+N205</f>
        <v>#REF!</v>
      </c>
      <c r="O206" s="32" t="e">
        <f>求节点(村县营基础信息!L$8:L$28,$I$33:$I$53,$M206)*节奏总纲!#REF!+O205</f>
        <v>#REF!</v>
      </c>
      <c r="P206" s="32" t="e">
        <f>求节点(村县营基础信息!M$8:M$28,$I$33:$I$53,$M206)*节奏总纲!#REF!+P205</f>
        <v>#REF!</v>
      </c>
      <c r="Q206" s="32" t="e">
        <f>求节点(村县营基础信息!N$8:N$28,$I$33:$I$53,$M206)*节奏总纲!#REF!+Q205</f>
        <v>#REF!</v>
      </c>
      <c r="R206" s="32" t="e">
        <f>求节点(村县营基础信息!O$8:O$28,$I$33:$I$53,$M206)*节奏总纲!#REF!+R205</f>
        <v>#REF!</v>
      </c>
      <c r="W206" s="29">
        <v>200778097.39640591</v>
      </c>
      <c r="X206" s="29">
        <v>171082965.90507132</v>
      </c>
      <c r="Y206" s="29">
        <v>146838760.4660511</v>
      </c>
      <c r="Z206" s="29">
        <v>110948110.11650659</v>
      </c>
      <c r="AA206" s="29">
        <v>63158582.59211573</v>
      </c>
      <c r="AC206" s="37">
        <v>200</v>
      </c>
      <c r="AD206" s="32" t="e">
        <f>求节点(村县营基础信息!T$8:T$28,$Y$33:$Y$53,$AC206)*节奏总纲!#REF!*(1+$B$10)+AD205</f>
        <v>#REF!</v>
      </c>
      <c r="AE206" s="32" t="e">
        <f>求节点(村县营基础信息!U$8:U$28,$Y$33:$Y$53,$AC206)*节奏总纲!#REF!*(1+$B$10)+AE205</f>
        <v>#REF!</v>
      </c>
      <c r="AF206" s="32" t="e">
        <f>求节点(村县营基础信息!V$8:V$28,$Y$33:$Y$53,$AC206)*节奏总纲!#REF!*(1+$B$10)+AF205</f>
        <v>#REF!</v>
      </c>
      <c r="AG206" s="32" t="e">
        <f>求节点(村县营基础信息!W$8:W$28,$Y$33:$Y$53,$AC206)*节奏总纲!#REF!*(1+$B$10)+AG205</f>
        <v>#REF!</v>
      </c>
      <c r="AH206" s="32" t="e">
        <f>求节点(村县营基础信息!X$8:X$28,$Y$33:$Y$53,$AC206)*节奏总纲!#REF!*(1+$B$10)+AH205</f>
        <v>#REF!</v>
      </c>
      <c r="AS206" s="37">
        <v>200</v>
      </c>
      <c r="AT206" s="32" t="e">
        <f>求节点(村县营基础信息!AC$8:AC$28,$AN$33:$AN$53,$AS206)*节奏总纲!#REF!+AT205</f>
        <v>#REF!</v>
      </c>
      <c r="AU206" s="32" t="e">
        <f>求节点(村县营基础信息!AD$8:AD$28,$AN$33:$AN$53,$AS206)*节奏总纲!#REF!+AU205</f>
        <v>#REF!</v>
      </c>
      <c r="AV206" s="32" t="e">
        <f>求节点(村县营基础信息!AE$8:AE$28,$AN$33:$AN$53,$AS206)*节奏总纲!#REF!+AV205</f>
        <v>#REF!</v>
      </c>
      <c r="AW206" s="32" t="e">
        <f>求节点(村县营基础信息!AF$8:AF$28,$AN$33:$AN$53,$AS206)*节奏总纲!#REF!+AW205</f>
        <v>#REF!</v>
      </c>
      <c r="AX206" s="32" t="e">
        <f>求节点(村县营基础信息!AG$8:AG$28,$AN$33:$AN$53,$AS206)*节奏总纲!#REF!+AX205</f>
        <v>#REF!</v>
      </c>
      <c r="BL206" s="37">
        <v>200</v>
      </c>
      <c r="BM206" s="32" t="e">
        <f>求节点(村县营基础信息!AL$8:AL$28,$BG$33:$BG$53,$BL206)*节奏总纲!#REF!+BM205</f>
        <v>#REF!</v>
      </c>
      <c r="BN206" s="32" t="e">
        <f>求节点(村县营基础信息!AM$8:AM$28,$BG$33:$BG$53,$BL206)*节奏总纲!#REF!+BN205</f>
        <v>#REF!</v>
      </c>
      <c r="BO206" s="32" t="e">
        <f>求节点(村县营基础信息!AN$8:AN$28,$BG$33:$BG$53,$BL206)*节奏总纲!#REF!+BO205</f>
        <v>#REF!</v>
      </c>
      <c r="BP206" s="32" t="e">
        <f>求节点(村县营基础信息!AO$8:AO$28,$BG$33:$BG$53,$BL206)*节奏总纲!#REF!+BP205</f>
        <v>#REF!</v>
      </c>
      <c r="BQ206" s="32" t="e">
        <f>求节点(村县营基础信息!AP$8:AP$28,$BG$33:$BG$53,$BL206)*节奏总纲!#REF!+BQ205</f>
        <v>#REF!</v>
      </c>
    </row>
    <row r="207" spans="13:69" x14ac:dyDescent="0.15">
      <c r="W207" s="29">
        <v>220906601.958197</v>
      </c>
      <c r="X207" s="29">
        <v>200175578.03742281</v>
      </c>
      <c r="Y207" s="29">
        <v>168031395.36802164</v>
      </c>
      <c r="Z207" s="29">
        <v>124344670.24422823</v>
      </c>
      <c r="AA207" s="29">
        <v>136660739.66126198</v>
      </c>
      <c r="AC207" s="29">
        <f t="shared" ref="AC207:AG229" si="10">AD94/W207</f>
        <v>0</v>
      </c>
      <c r="AD207" s="29">
        <f t="shared" si="10"/>
        <v>0</v>
      </c>
      <c r="AE207" s="29">
        <f t="shared" si="10"/>
        <v>0</v>
      </c>
      <c r="AF207" s="29">
        <f t="shared" si="10"/>
        <v>0</v>
      </c>
      <c r="AG207" s="29">
        <f t="shared" si="10"/>
        <v>0</v>
      </c>
    </row>
    <row r="208" spans="13:69" x14ac:dyDescent="0.15">
      <c r="W208" s="29">
        <v>242977323.07075271</v>
      </c>
      <c r="X208" s="29">
        <v>217772268.60750002</v>
      </c>
      <c r="Y208" s="29">
        <v>180133864.34014043</v>
      </c>
      <c r="Z208" s="29">
        <v>167318261.84749663</v>
      </c>
      <c r="AA208" s="29">
        <v>191204822.41941959</v>
      </c>
      <c r="AC208" s="29">
        <f t="shared" si="10"/>
        <v>0</v>
      </c>
      <c r="AD208" s="29">
        <f t="shared" si="10"/>
        <v>0</v>
      </c>
      <c r="AE208" s="29">
        <f t="shared" si="10"/>
        <v>0</v>
      </c>
      <c r="AF208" s="29">
        <f t="shared" si="10"/>
        <v>0</v>
      </c>
      <c r="AG208" s="29">
        <f t="shared" si="10"/>
        <v>0</v>
      </c>
    </row>
    <row r="209" spans="23:33" x14ac:dyDescent="0.15">
      <c r="W209" s="29">
        <v>267165369.36702666</v>
      </c>
      <c r="X209" s="29">
        <v>234205355.25628072</v>
      </c>
      <c r="Y209" s="29">
        <v>202628396.56419635</v>
      </c>
      <c r="Z209" s="29">
        <v>224609343.43659765</v>
      </c>
      <c r="AA209" s="29">
        <v>247634108.67090857</v>
      </c>
      <c r="AC209" s="29">
        <f t="shared" si="10"/>
        <v>0</v>
      </c>
      <c r="AD209" s="29">
        <f t="shared" si="10"/>
        <v>0</v>
      </c>
      <c r="AE209" s="29">
        <f t="shared" si="10"/>
        <v>0</v>
      </c>
      <c r="AF209" s="29">
        <f t="shared" si="10"/>
        <v>0</v>
      </c>
      <c r="AG209" s="29">
        <f t="shared" si="10"/>
        <v>0</v>
      </c>
    </row>
    <row r="210" spans="23:33" x14ac:dyDescent="0.15">
      <c r="W210" s="29">
        <v>293660980.59332687</v>
      </c>
      <c r="X210" s="29">
        <v>259518800.63486981</v>
      </c>
      <c r="Y210" s="29">
        <v>281139861.96333599</v>
      </c>
      <c r="Z210" s="29">
        <v>304341611.52861583</v>
      </c>
      <c r="AA210" s="29">
        <v>333803938.62997305</v>
      </c>
      <c r="AC210" s="29">
        <f t="shared" si="10"/>
        <v>0</v>
      </c>
      <c r="AD210" s="29">
        <f t="shared" si="10"/>
        <v>0</v>
      </c>
      <c r="AE210" s="29">
        <f t="shared" si="10"/>
        <v>0</v>
      </c>
      <c r="AF210" s="29">
        <f t="shared" si="10"/>
        <v>0</v>
      </c>
      <c r="AG210" s="29">
        <f t="shared" si="10"/>
        <v>0</v>
      </c>
    </row>
    <row r="211" spans="23:33" x14ac:dyDescent="0.15">
      <c r="W211" s="29">
        <v>322670797.5742591</v>
      </c>
      <c r="X211" s="29">
        <v>342424957.48062426</v>
      </c>
      <c r="Y211" s="29">
        <v>366524753.72100586</v>
      </c>
      <c r="Z211" s="29">
        <v>391305418.10536969</v>
      </c>
      <c r="AA211" s="29">
        <v>421976805.3388775</v>
      </c>
      <c r="AC211" s="29">
        <f t="shared" si="10"/>
        <v>0</v>
      </c>
      <c r="AD211" s="29">
        <f t="shared" si="10"/>
        <v>0</v>
      </c>
      <c r="AE211" s="29">
        <f t="shared" si="10"/>
        <v>0</v>
      </c>
      <c r="AF211" s="29">
        <f t="shared" si="10"/>
        <v>0</v>
      </c>
      <c r="AG211" s="29">
        <f t="shared" si="10"/>
        <v>0</v>
      </c>
    </row>
    <row r="212" spans="23:33" x14ac:dyDescent="0.15">
      <c r="W212" s="29">
        <v>354100705.56738377</v>
      </c>
      <c r="X212" s="29">
        <v>375806168.60680884</v>
      </c>
      <c r="Y212" s="29">
        <v>400030546.50056434</v>
      </c>
      <c r="Z212" s="29">
        <v>424996095.29314601</v>
      </c>
      <c r="AA212" s="29">
        <v>457527782.18777478</v>
      </c>
      <c r="AC212" s="29">
        <f t="shared" si="10"/>
        <v>0</v>
      </c>
      <c r="AD212" s="29">
        <f t="shared" si="10"/>
        <v>0</v>
      </c>
      <c r="AE212" s="29">
        <f t="shared" si="10"/>
        <v>0</v>
      </c>
      <c r="AF212" s="29">
        <f t="shared" si="10"/>
        <v>0</v>
      </c>
      <c r="AG212" s="29">
        <f t="shared" si="10"/>
        <v>0</v>
      </c>
    </row>
    <row r="213" spans="23:33" x14ac:dyDescent="0.15">
      <c r="W213" s="29">
        <v>388148659.1565975</v>
      </c>
      <c r="X213" s="29">
        <v>410198040.91914594</v>
      </c>
      <c r="Y213" s="29">
        <v>434877584.71483105</v>
      </c>
      <c r="Z213" s="29">
        <v>460691285.30714327</v>
      </c>
      <c r="AA213" s="29">
        <v>493593845.3537299</v>
      </c>
      <c r="AC213" s="29">
        <f t="shared" si="10"/>
        <v>0</v>
      </c>
      <c r="AD213" s="29">
        <f t="shared" si="10"/>
        <v>0</v>
      </c>
      <c r="AE213" s="29">
        <f t="shared" si="10"/>
        <v>0</v>
      </c>
      <c r="AF213" s="29">
        <f t="shared" si="10"/>
        <v>0</v>
      </c>
      <c r="AG213" s="29">
        <f t="shared" si="10"/>
        <v>0</v>
      </c>
    </row>
    <row r="214" spans="23:33" x14ac:dyDescent="0.15">
      <c r="W214" s="29">
        <v>425028561.7683605</v>
      </c>
      <c r="X214" s="29">
        <v>448005979.82872903</v>
      </c>
      <c r="Y214" s="29">
        <v>472847508.26900268</v>
      </c>
      <c r="Z214" s="29">
        <v>498818929.29185086</v>
      </c>
      <c r="AA214" s="29">
        <v>532540046.18452609</v>
      </c>
      <c r="AC214" s="29">
        <f t="shared" si="10"/>
        <v>0</v>
      </c>
      <c r="AD214" s="29">
        <f t="shared" si="10"/>
        <v>0</v>
      </c>
      <c r="AE214" s="29">
        <f t="shared" si="10"/>
        <v>0</v>
      </c>
      <c r="AF214" s="29">
        <f t="shared" si="10"/>
        <v>0</v>
      </c>
      <c r="AG214" s="29">
        <f t="shared" si="10"/>
        <v>0</v>
      </c>
    </row>
    <row r="215" spans="23:33" x14ac:dyDescent="0.15">
      <c r="W215" s="29">
        <v>464971535.32983643</v>
      </c>
      <c r="X215" s="29">
        <v>488091911.22655588</v>
      </c>
      <c r="Y215" s="29">
        <v>513865791.38335001</v>
      </c>
      <c r="Z215" s="29">
        <v>540227851.16135621</v>
      </c>
      <c r="AA215" s="29">
        <v>574959120.34880877</v>
      </c>
      <c r="AC215" s="29">
        <f t="shared" si="10"/>
        <v>0</v>
      </c>
      <c r="AD215" s="29">
        <f t="shared" si="10"/>
        <v>0</v>
      </c>
      <c r="AE215" s="29">
        <f t="shared" si="10"/>
        <v>0</v>
      </c>
      <c r="AF215" s="29">
        <f t="shared" si="10"/>
        <v>0</v>
      </c>
      <c r="AG215" s="29">
        <f t="shared" si="10"/>
        <v>0</v>
      </c>
    </row>
    <row r="216" spans="23:33" x14ac:dyDescent="0.15">
      <c r="W216" s="29">
        <v>508227290.02321017</v>
      </c>
      <c r="X216" s="29">
        <v>532458105.489712</v>
      </c>
      <c r="Y216" s="29">
        <v>558031552.05713487</v>
      </c>
      <c r="Z216" s="29">
        <v>584938116.07856834</v>
      </c>
      <c r="AA216" s="29">
        <v>620561344.51054811</v>
      </c>
      <c r="AC216" s="29">
        <f t="shared" si="10"/>
        <v>0</v>
      </c>
      <c r="AD216" s="29">
        <f t="shared" si="10"/>
        <v>0</v>
      </c>
      <c r="AE216" s="29">
        <f t="shared" si="10"/>
        <v>0</v>
      </c>
      <c r="AF216" s="29">
        <f t="shared" si="10"/>
        <v>0</v>
      </c>
      <c r="AG216" s="29">
        <f t="shared" si="10"/>
        <v>0</v>
      </c>
    </row>
    <row r="217" spans="23:33" x14ac:dyDescent="0.15">
      <c r="W217" s="29">
        <v>555065601.96412981</v>
      </c>
      <c r="X217" s="29">
        <v>579134802.78136599</v>
      </c>
      <c r="Y217" s="29">
        <v>605988248.18113363</v>
      </c>
      <c r="Z217" s="29">
        <v>633197686.37688088</v>
      </c>
      <c r="AA217" s="29">
        <v>669626557.86173272</v>
      </c>
      <c r="AC217" s="29">
        <f t="shared" si="10"/>
        <v>0</v>
      </c>
      <c r="AD217" s="29">
        <f t="shared" si="10"/>
        <v>0</v>
      </c>
      <c r="AE217" s="29">
        <f t="shared" si="10"/>
        <v>0</v>
      </c>
      <c r="AF217" s="29">
        <f t="shared" si="10"/>
        <v>0</v>
      </c>
      <c r="AG217" s="29">
        <f t="shared" si="10"/>
        <v>0</v>
      </c>
    </row>
    <row r="218" spans="23:33" x14ac:dyDescent="0.15">
      <c r="W218" s="29">
        <v>605777907.2402432</v>
      </c>
      <c r="X218" s="29">
        <v>631149087.42220259</v>
      </c>
      <c r="Y218" s="29">
        <v>657679863.49169397</v>
      </c>
      <c r="Z218" s="29">
        <v>686129755.43392456</v>
      </c>
      <c r="AA218" s="29">
        <v>723662752.54133642</v>
      </c>
      <c r="AC218" s="29">
        <f t="shared" si="10"/>
        <v>0</v>
      </c>
      <c r="AD218" s="29">
        <f t="shared" si="10"/>
        <v>0</v>
      </c>
      <c r="AE218" s="29">
        <f t="shared" si="10"/>
        <v>0</v>
      </c>
      <c r="AF218" s="29">
        <f t="shared" si="10"/>
        <v>0</v>
      </c>
      <c r="AG218" s="29">
        <f t="shared" si="10"/>
        <v>0</v>
      </c>
    </row>
    <row r="219" spans="23:33" x14ac:dyDescent="0.15">
      <c r="W219" s="29">
        <v>660679021.40082657</v>
      </c>
      <c r="X219" s="29">
        <v>685860646.14560866</v>
      </c>
      <c r="Y219" s="29">
        <v>713540780.36538804</v>
      </c>
      <c r="Z219" s="29">
        <v>742617960.52736819</v>
      </c>
      <c r="AA219" s="29">
        <v>781840596.35760939</v>
      </c>
      <c r="AC219" s="29">
        <f t="shared" si="10"/>
        <v>0</v>
      </c>
      <c r="AD219" s="29">
        <f t="shared" si="10"/>
        <v>0</v>
      </c>
      <c r="AE219" s="29">
        <f t="shared" si="10"/>
        <v>0</v>
      </c>
      <c r="AF219" s="29">
        <f t="shared" si="10"/>
        <v>0</v>
      </c>
      <c r="AG219" s="29">
        <f t="shared" si="10"/>
        <v>0</v>
      </c>
    </row>
    <row r="220" spans="23:33" x14ac:dyDescent="0.15">
      <c r="W220" s="29">
        <v>720108994.19402444</v>
      </c>
      <c r="X220" s="29">
        <v>745920936.83206773</v>
      </c>
      <c r="Y220" s="29">
        <v>774347345.38553047</v>
      </c>
      <c r="Z220" s="29">
        <v>803643874.87780416</v>
      </c>
      <c r="AA220" s="29">
        <v>844630938.49637985</v>
      </c>
      <c r="AC220" s="29">
        <f t="shared" si="10"/>
        <v>0</v>
      </c>
      <c r="AD220" s="29">
        <f t="shared" si="10"/>
        <v>0</v>
      </c>
      <c r="AE220" s="29">
        <f t="shared" si="10"/>
        <v>0</v>
      </c>
      <c r="AF220" s="29">
        <f t="shared" si="10"/>
        <v>0</v>
      </c>
      <c r="AG220" s="29">
        <f t="shared" si="10"/>
        <v>0</v>
      </c>
    </row>
    <row r="221" spans="23:33" x14ac:dyDescent="0.15">
      <c r="W221" s="29">
        <v>784435110.10826623</v>
      </c>
      <c r="X221" s="29">
        <v>810929299.4302485</v>
      </c>
      <c r="Y221" s="29">
        <v>840163464.18880618</v>
      </c>
      <c r="Z221" s="29">
        <v>870251246.8615818</v>
      </c>
      <c r="AA221" s="29">
        <v>911772504.82673728</v>
      </c>
      <c r="AC221" s="29">
        <f t="shared" si="10"/>
        <v>0</v>
      </c>
      <c r="AD221" s="29">
        <f t="shared" si="10"/>
        <v>0</v>
      </c>
      <c r="AE221" s="29">
        <f t="shared" si="10"/>
        <v>0</v>
      </c>
      <c r="AF221" s="29">
        <f t="shared" si="10"/>
        <v>0</v>
      </c>
      <c r="AG221" s="29">
        <f t="shared" si="10"/>
        <v>0</v>
      </c>
    </row>
    <row r="222" spans="23:33" x14ac:dyDescent="0.15">
      <c r="W222" s="29">
        <v>854054046.09303725</v>
      </c>
      <c r="X222" s="29">
        <v>881286618.06940341</v>
      </c>
      <c r="Y222" s="29">
        <v>911395002.0581224</v>
      </c>
      <c r="Z222" s="29">
        <v>941803691.56552756</v>
      </c>
      <c r="AA222" s="29">
        <v>986005376.48248887</v>
      </c>
      <c r="AC222" s="29">
        <f t="shared" si="10"/>
        <v>0</v>
      </c>
      <c r="AD222" s="29">
        <f t="shared" si="10"/>
        <v>0</v>
      </c>
      <c r="AE222" s="29">
        <f t="shared" si="10"/>
        <v>0</v>
      </c>
      <c r="AF222" s="29">
        <f t="shared" si="10"/>
        <v>0</v>
      </c>
      <c r="AG222" s="29">
        <f t="shared" si="10"/>
        <v>0</v>
      </c>
    </row>
    <row r="223" spans="23:33" x14ac:dyDescent="0.15">
      <c r="W223" s="29">
        <v>929394198.71597815</v>
      </c>
      <c r="X223" s="29">
        <v>957425832.91713309</v>
      </c>
      <c r="Y223" s="29">
        <v>988480278.62447214</v>
      </c>
      <c r="Z223" s="29">
        <v>1019776866.0172496</v>
      </c>
      <c r="AA223" s="29">
        <v>1065786632.8389926</v>
      </c>
      <c r="AC223" s="29">
        <f t="shared" si="10"/>
        <v>0</v>
      </c>
      <c r="AD223" s="29">
        <f t="shared" si="10"/>
        <v>0</v>
      </c>
      <c r="AE223" s="29">
        <f t="shared" si="10"/>
        <v>0</v>
      </c>
      <c r="AF223" s="29">
        <f t="shared" si="10"/>
        <v>0</v>
      </c>
      <c r="AG223" s="29">
        <f t="shared" si="10"/>
        <v>0</v>
      </c>
    </row>
    <row r="224" spans="23:33" x14ac:dyDescent="0.15">
      <c r="W224" s="29">
        <v>1010918193.9630334</v>
      </c>
      <c r="X224" s="29">
        <v>1039814476.5986267</v>
      </c>
      <c r="Y224" s="29">
        <v>1071892635.8022501</v>
      </c>
      <c r="Z224" s="29">
        <v>1104902494.6188662</v>
      </c>
      <c r="AA224" s="29">
        <v>1151475971.5646029</v>
      </c>
      <c r="AC224" s="29">
        <f t="shared" si="10"/>
        <v>0</v>
      </c>
      <c r="AD224" s="29">
        <f t="shared" si="10"/>
        <v>0</v>
      </c>
      <c r="AE224" s="29">
        <f t="shared" si="10"/>
        <v>0</v>
      </c>
      <c r="AF224" s="29">
        <f t="shared" si="10"/>
        <v>0</v>
      </c>
      <c r="AG224" s="29">
        <f t="shared" si="10"/>
        <v>0</v>
      </c>
    </row>
    <row r="225" spans="23:33" x14ac:dyDescent="0.15">
      <c r="W225" s="29">
        <v>1099125593.9112916</v>
      </c>
      <c r="X225" s="29">
        <v>1128957409.5766392</v>
      </c>
      <c r="Y225" s="29">
        <v>1162143207.1574731</v>
      </c>
      <c r="Z225" s="29">
        <v>1195975760.172576</v>
      </c>
      <c r="AA225" s="29">
        <v>1244836540.6677332</v>
      </c>
      <c r="AC225" s="29">
        <f t="shared" si="10"/>
        <v>0</v>
      </c>
      <c r="AD225" s="29">
        <f t="shared" si="10"/>
        <v>0</v>
      </c>
      <c r="AE225" s="29">
        <f t="shared" si="10"/>
        <v>0</v>
      </c>
      <c r="AF225" s="29">
        <f t="shared" si="10"/>
        <v>0</v>
      </c>
      <c r="AG225" s="29">
        <f t="shared" si="10"/>
        <v>0</v>
      </c>
    </row>
    <row r="226" spans="23:33" x14ac:dyDescent="0.15">
      <c r="W226" s="29">
        <v>1194555815.6059523</v>
      </c>
      <c r="X226" s="29">
        <v>1225399769.9862432</v>
      </c>
      <c r="Y226" s="29">
        <v>1259783904.3954692</v>
      </c>
      <c r="Z226" s="29">
        <v>1294486828.5275977</v>
      </c>
      <c r="AA226" s="29">
        <v>1345841896.3666606</v>
      </c>
      <c r="AC226" s="29">
        <f t="shared" si="10"/>
        <v>0</v>
      </c>
      <c r="AD226" s="29">
        <f t="shared" si="10"/>
        <v>0</v>
      </c>
      <c r="AE226" s="29">
        <f t="shared" si="10"/>
        <v>0</v>
      </c>
      <c r="AF226" s="29">
        <f t="shared" si="10"/>
        <v>0</v>
      </c>
      <c r="AG226" s="29">
        <f t="shared" si="10"/>
        <v>0</v>
      </c>
    </row>
    <row r="227" spans="23:33" x14ac:dyDescent="0.15">
      <c r="W227" s="29">
        <v>1297791278.6594079</v>
      </c>
      <c r="X227" s="29">
        <v>1329730154.6175387</v>
      </c>
      <c r="Y227" s="29">
        <v>1365410637.8686326</v>
      </c>
      <c r="Z227" s="29">
        <v>1401351497.0347884</v>
      </c>
      <c r="AA227" s="29">
        <v>1454297577.3965445</v>
      </c>
      <c r="AC227" s="29">
        <f t="shared" si="10"/>
        <v>0</v>
      </c>
      <c r="AD227" s="29">
        <f t="shared" si="10"/>
        <v>0</v>
      </c>
      <c r="AE227" s="29">
        <f t="shared" si="10"/>
        <v>0</v>
      </c>
      <c r="AF227" s="29">
        <f t="shared" si="10"/>
        <v>0</v>
      </c>
      <c r="AG227" s="29">
        <f t="shared" si="10"/>
        <v>0</v>
      </c>
    </row>
    <row r="228" spans="23:33" x14ac:dyDescent="0.15">
      <c r="W228" s="29">
        <v>1409460799.3684251</v>
      </c>
      <c r="X228" s="29">
        <v>1442584049.0310457</v>
      </c>
      <c r="Y228" s="29">
        <v>1479666789.3124404</v>
      </c>
      <c r="Z228" s="29">
        <v>1516603078.6860237</v>
      </c>
      <c r="AA228" s="29">
        <v>1571554987.3512788</v>
      </c>
      <c r="AC228" s="29">
        <f t="shared" si="10"/>
        <v>0</v>
      </c>
      <c r="AD228" s="29">
        <f t="shared" si="10"/>
        <v>0</v>
      </c>
      <c r="AE228" s="29">
        <f t="shared" si="10"/>
        <v>0</v>
      </c>
      <c r="AF228" s="29">
        <f t="shared" si="10"/>
        <v>0</v>
      </c>
      <c r="AG228" s="29">
        <f t="shared" si="10"/>
        <v>0</v>
      </c>
    </row>
    <row r="229" spans="23:33" x14ac:dyDescent="0.15">
      <c r="W229" s="29">
        <v>1530243250.5217085</v>
      </c>
      <c r="X229" s="29">
        <v>1564647526.1814089</v>
      </c>
      <c r="Y229" s="29">
        <v>1603246956.4261107</v>
      </c>
      <c r="Z229" s="29">
        <v>1641234992.6991999</v>
      </c>
      <c r="AA229" s="29">
        <v>1699266537.0180924</v>
      </c>
      <c r="AC229" s="29">
        <f t="shared" si="10"/>
        <v>0</v>
      </c>
      <c r="AD229" s="29">
        <f t="shared" si="10"/>
        <v>0</v>
      </c>
      <c r="AE229" s="29">
        <f t="shared" si="10"/>
        <v>0</v>
      </c>
      <c r="AF229" s="29">
        <f t="shared" si="10"/>
        <v>0</v>
      </c>
      <c r="AG229" s="29">
        <f t="shared" si="10"/>
        <v>0</v>
      </c>
    </row>
  </sheetData>
  <mergeCells count="4">
    <mergeCell ref="BM5:BQ5"/>
    <mergeCell ref="N5:R5"/>
    <mergeCell ref="AD5:AH5"/>
    <mergeCell ref="AT5:AX5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theme="0" tint="-0.249977111117893"/>
  </sheetPr>
  <dimension ref="B1:AQ28"/>
  <sheetViews>
    <sheetView workbookViewId="0">
      <selection activeCell="K43" sqref="K43"/>
    </sheetView>
  </sheetViews>
  <sheetFormatPr defaultColWidth="6.625" defaultRowHeight="11.25" x14ac:dyDescent="0.15"/>
  <cols>
    <col min="1" max="7" width="6.625" style="4"/>
    <col min="8" max="8" width="1.625" style="16" customWidth="1"/>
    <col min="9" max="9" width="6.625" style="4"/>
    <col min="10" max="16" width="6.625" style="4" customWidth="1"/>
    <col min="17" max="17" width="1.625" style="16" customWidth="1"/>
    <col min="18" max="25" width="6.625" style="4" customWidth="1"/>
    <col min="26" max="26" width="1.625" style="16" customWidth="1"/>
    <col min="27" max="33" width="6.625" style="4" customWidth="1"/>
    <col min="34" max="34" width="9.75" style="4" customWidth="1"/>
    <col min="35" max="35" width="1.625" style="16" customWidth="1"/>
    <col min="36" max="42" width="6.625" style="26" customWidth="1"/>
    <col min="43" max="43" width="9.75" style="26" customWidth="1"/>
    <col min="44" max="16384" width="6.625" style="4"/>
  </cols>
  <sheetData>
    <row r="1" spans="2:42" x14ac:dyDescent="0.15">
      <c r="J1" s="4" t="s">
        <v>52</v>
      </c>
      <c r="S1" s="4" t="s">
        <v>53</v>
      </c>
      <c r="AB1" s="4" t="s">
        <v>92</v>
      </c>
      <c r="AK1" s="26" t="s">
        <v>95</v>
      </c>
    </row>
    <row r="4" spans="2:42" x14ac:dyDescent="0.15">
      <c r="E4" s="24"/>
    </row>
    <row r="5" spans="2:42" x14ac:dyDescent="0.15">
      <c r="C5" s="8"/>
      <c r="D5" s="8"/>
      <c r="E5" s="8"/>
      <c r="F5" s="8"/>
      <c r="G5" s="8"/>
    </row>
    <row r="6" spans="2:42" x14ac:dyDescent="0.15">
      <c r="D6" s="74" t="s">
        <v>54</v>
      </c>
      <c r="E6" s="74"/>
      <c r="F6" s="74"/>
      <c r="G6" s="74"/>
      <c r="K6" s="73" t="s">
        <v>89</v>
      </c>
      <c r="L6" s="73"/>
      <c r="M6" s="73"/>
      <c r="N6" s="73"/>
      <c r="O6" s="73"/>
      <c r="T6" s="73" t="s">
        <v>91</v>
      </c>
      <c r="U6" s="73"/>
      <c r="V6" s="73"/>
      <c r="W6" s="73"/>
      <c r="X6" s="73"/>
      <c r="AC6" s="73" t="s">
        <v>93</v>
      </c>
      <c r="AD6" s="73"/>
      <c r="AE6" s="73"/>
      <c r="AF6" s="73"/>
      <c r="AG6" s="73"/>
      <c r="AL6" s="73" t="s">
        <v>99</v>
      </c>
      <c r="AM6" s="73"/>
      <c r="AN6" s="73"/>
      <c r="AO6" s="73"/>
      <c r="AP6" s="73"/>
    </row>
    <row r="7" spans="2:42" x14ac:dyDescent="0.15">
      <c r="B7" s="15" t="s">
        <v>41</v>
      </c>
      <c r="C7" s="15" t="s">
        <v>66</v>
      </c>
      <c r="D7" s="15" t="s">
        <v>52</v>
      </c>
      <c r="E7" s="15" t="s">
        <v>53</v>
      </c>
      <c r="F7" s="25" t="s">
        <v>90</v>
      </c>
      <c r="G7" s="27" t="s">
        <v>95</v>
      </c>
      <c r="J7" s="4" t="s">
        <v>79</v>
      </c>
      <c r="K7" s="4" t="s">
        <v>0</v>
      </c>
      <c r="L7" s="4" t="s">
        <v>18</v>
      </c>
      <c r="M7" s="4" t="s">
        <v>17</v>
      </c>
      <c r="N7" s="4" t="s">
        <v>16</v>
      </c>
      <c r="O7" s="4" t="s">
        <v>15</v>
      </c>
      <c r="S7" s="4" t="s">
        <v>81</v>
      </c>
      <c r="T7" s="4" t="s">
        <v>0</v>
      </c>
      <c r="U7" s="4" t="s">
        <v>18</v>
      </c>
      <c r="V7" s="4" t="s">
        <v>17</v>
      </c>
      <c r="W7" s="4" t="s">
        <v>16</v>
      </c>
      <c r="X7" s="4" t="s">
        <v>15</v>
      </c>
      <c r="AB7" s="4" t="s">
        <v>94</v>
      </c>
      <c r="AC7" s="4" t="s">
        <v>0</v>
      </c>
      <c r="AD7" s="4" t="s">
        <v>18</v>
      </c>
      <c r="AE7" s="4" t="s">
        <v>17</v>
      </c>
      <c r="AF7" s="4" t="s">
        <v>16</v>
      </c>
      <c r="AG7" s="4" t="s">
        <v>15</v>
      </c>
      <c r="AK7" s="26" t="s">
        <v>98</v>
      </c>
      <c r="AL7" s="26" t="s">
        <v>0</v>
      </c>
      <c r="AM7" s="26" t="s">
        <v>18</v>
      </c>
      <c r="AN7" s="26" t="s">
        <v>17</v>
      </c>
      <c r="AO7" s="26" t="s">
        <v>16</v>
      </c>
      <c r="AP7" s="26" t="s">
        <v>15</v>
      </c>
    </row>
    <row r="8" spans="2:42" x14ac:dyDescent="0.15">
      <c r="B8" s="15">
        <v>0</v>
      </c>
      <c r="C8" s="15" t="s">
        <v>65</v>
      </c>
      <c r="D8" s="31">
        <f>[2]村县营基础信息!D8</f>
        <v>2</v>
      </c>
      <c r="E8" s="31">
        <f>[2]村县营基础信息!E8</f>
        <v>0</v>
      </c>
      <c r="F8" s="31">
        <f>[2]村县营基础信息!F8</f>
        <v>0</v>
      </c>
      <c r="G8" s="31">
        <f>[2]村县营基础信息!G8</f>
        <v>0</v>
      </c>
      <c r="J8" s="4">
        <v>1</v>
      </c>
      <c r="K8" s="30">
        <f>[2]村县营基础信息!K8</f>
        <v>1</v>
      </c>
      <c r="L8" s="30">
        <f>[2]村县营基础信息!L8</f>
        <v>1</v>
      </c>
      <c r="M8" s="30">
        <f>[2]村县营基础信息!M8</f>
        <v>1</v>
      </c>
      <c r="N8" s="30">
        <f>[2]村县营基础信息!N8</f>
        <v>1</v>
      </c>
      <c r="O8" s="30">
        <f>[2]村县营基础信息!O8</f>
        <v>1</v>
      </c>
      <c r="S8" s="4">
        <v>1</v>
      </c>
      <c r="T8" s="30">
        <f>[2]村县营基础信息!T8</f>
        <v>1</v>
      </c>
      <c r="U8" s="30">
        <f>[2]村县营基础信息!U8</f>
        <v>1</v>
      </c>
      <c r="V8" s="30">
        <f>[2]村县营基础信息!V8</f>
        <v>1</v>
      </c>
      <c r="W8" s="30">
        <f>[2]村县营基础信息!W8</f>
        <v>1</v>
      </c>
      <c r="X8" s="30">
        <f>[2]村县营基础信息!X8</f>
        <v>1</v>
      </c>
      <c r="AB8" s="4">
        <v>1</v>
      </c>
      <c r="AC8" s="30">
        <f>[2]村县营基础信息!AC8</f>
        <v>1</v>
      </c>
      <c r="AD8" s="30">
        <f>[2]村县营基础信息!AD8</f>
        <v>1</v>
      </c>
      <c r="AE8" s="30">
        <f>[2]村县营基础信息!AE8</f>
        <v>1</v>
      </c>
      <c r="AF8" s="30">
        <f>[2]村县营基础信息!AF8</f>
        <v>1</v>
      </c>
      <c r="AG8" s="30">
        <f>[2]村县营基础信息!AG8</f>
        <v>1</v>
      </c>
      <c r="AJ8" s="26">
        <v>0</v>
      </c>
      <c r="AK8" s="26">
        <v>1</v>
      </c>
      <c r="AL8" s="30">
        <f>[2]村县营基础信息!AL8</f>
        <v>1</v>
      </c>
      <c r="AM8" s="30">
        <f>[2]村县营基础信息!AM8</f>
        <v>0.99537967966892504</v>
      </c>
      <c r="AN8" s="30">
        <f>[2]村县营基础信息!AN8</f>
        <v>0.98918579258744932</v>
      </c>
      <c r="AO8" s="30">
        <f>[2]村县营基础信息!AO8</f>
        <v>0.98261329294713518</v>
      </c>
      <c r="AP8" s="30">
        <f>[2]村县营基础信息!AP8</f>
        <v>0.97749801337535314</v>
      </c>
    </row>
    <row r="9" spans="2:42" x14ac:dyDescent="0.15">
      <c r="B9" s="15">
        <v>1</v>
      </c>
      <c r="C9" s="15" t="s">
        <v>24</v>
      </c>
      <c r="D9" s="31">
        <f>[2]村县营基础信息!D9</f>
        <v>2</v>
      </c>
      <c r="E9" s="31">
        <f>[2]村县营基础信息!E9</f>
        <v>0</v>
      </c>
      <c r="F9" s="31">
        <f>[2]村县营基础信息!F9</f>
        <v>1</v>
      </c>
      <c r="G9" s="31">
        <f>[2]村县营基础信息!G9</f>
        <v>0</v>
      </c>
      <c r="J9" s="4">
        <v>2</v>
      </c>
      <c r="K9" s="30">
        <f>[2]村县营基础信息!K9</f>
        <v>3</v>
      </c>
      <c r="L9" s="30">
        <f>[2]村县营基础信息!L9</f>
        <v>2.9699999999999998</v>
      </c>
      <c r="M9" s="30">
        <f>[2]村县营基础信息!M9</f>
        <v>2.94</v>
      </c>
      <c r="N9" s="30">
        <f>[2]村县营基础信息!N9</f>
        <v>2.91</v>
      </c>
      <c r="O9" s="30">
        <f>[2]村县营基础信息!O9</f>
        <v>2.8499999999999996</v>
      </c>
      <c r="R9" s="23"/>
      <c r="S9" s="4">
        <v>2</v>
      </c>
      <c r="T9" s="30">
        <f>[2]村县营基础信息!T9</f>
        <v>3</v>
      </c>
      <c r="U9" s="30">
        <f>[2]村县营基础信息!U9</f>
        <v>2.9699999999999998</v>
      </c>
      <c r="V9" s="30">
        <f>[2]村县营基础信息!V9</f>
        <v>2.94</v>
      </c>
      <c r="W9" s="30">
        <f>[2]村县营基础信息!W9</f>
        <v>2.91</v>
      </c>
      <c r="X9" s="30">
        <f>[2]村县营基础信息!X9</f>
        <v>2.8499999999999996</v>
      </c>
      <c r="Y9" s="21"/>
      <c r="AA9" s="21"/>
      <c r="AB9" s="4">
        <v>2</v>
      </c>
      <c r="AC9" s="30">
        <f>[2]村县营基础信息!AC9</f>
        <v>3</v>
      </c>
      <c r="AD9" s="30">
        <f>[2]村县营基础信息!AD9</f>
        <v>2.9699999999999998</v>
      </c>
      <c r="AE9" s="30">
        <f>[2]村县营基础信息!AE9</f>
        <v>2.94</v>
      </c>
      <c r="AF9" s="30">
        <f>[2]村县营基础信息!AF9</f>
        <v>2.91</v>
      </c>
      <c r="AG9" s="30">
        <f>[2]村县营基础信息!AG9</f>
        <v>2.8499999999999996</v>
      </c>
      <c r="AH9" s="22"/>
      <c r="AJ9" s="26">
        <v>0</v>
      </c>
      <c r="AK9" s="26">
        <v>2</v>
      </c>
      <c r="AL9" s="30">
        <f>[2]村县营基础信息!AL9</f>
        <v>3</v>
      </c>
      <c r="AM9" s="30">
        <f>[2]村县营基础信息!AM9</f>
        <v>2.9320550442231124</v>
      </c>
      <c r="AN9" s="30">
        <f>[2]村县营基础信息!AN9</f>
        <v>2.8277248565649522</v>
      </c>
      <c r="AO9" s="30">
        <f>[2]村县营基础信息!AO9</f>
        <v>2.692839164844822</v>
      </c>
      <c r="AP9" s="30">
        <f>[2]村县营基础信息!AP9</f>
        <v>2.6238079725478252</v>
      </c>
    </row>
    <row r="10" spans="2:42" x14ac:dyDescent="0.15">
      <c r="B10" s="15">
        <v>2</v>
      </c>
      <c r="C10" s="15" t="s">
        <v>25</v>
      </c>
      <c r="D10" s="31">
        <f>[2]村县营基础信息!D10</f>
        <v>2</v>
      </c>
      <c r="E10" s="31">
        <f>[2]村县营基础信息!E10</f>
        <v>1</v>
      </c>
      <c r="F10" s="31">
        <f>[2]村县营基础信息!F10</f>
        <v>1</v>
      </c>
      <c r="G10" s="31">
        <f>[2]村县营基础信息!G10</f>
        <v>0</v>
      </c>
      <c r="J10" s="4">
        <v>3</v>
      </c>
      <c r="K10" s="30">
        <f>[2]村县营基础信息!K10</f>
        <v>5</v>
      </c>
      <c r="L10" s="30">
        <f>[2]村县营基础信息!L10</f>
        <v>4.95</v>
      </c>
      <c r="M10" s="30">
        <f>[2]村县营基础信息!M10</f>
        <v>4.9000000000000004</v>
      </c>
      <c r="N10" s="30">
        <f>[2]村县营基础信息!N10</f>
        <v>4.8499999999999996</v>
      </c>
      <c r="O10" s="30">
        <f>[2]村县营基础信息!O10</f>
        <v>4.75</v>
      </c>
      <c r="R10" s="23"/>
      <c r="S10" s="4">
        <v>3</v>
      </c>
      <c r="T10" s="30">
        <f>[2]村县营基础信息!T10</f>
        <v>5</v>
      </c>
      <c r="U10" s="30">
        <f>[2]村县营基础信息!U10</f>
        <v>4.95</v>
      </c>
      <c r="V10" s="30">
        <f>[2]村县营基础信息!V10</f>
        <v>4.9000000000000004</v>
      </c>
      <c r="W10" s="30">
        <f>[2]村县营基础信息!W10</f>
        <v>4.8499999999999996</v>
      </c>
      <c r="X10" s="30">
        <f>[2]村县营基础信息!X10</f>
        <v>4.75</v>
      </c>
      <c r="Y10" s="21"/>
      <c r="AA10" s="21"/>
      <c r="AB10" s="4">
        <v>3</v>
      </c>
      <c r="AC10" s="30">
        <f>[2]村县营基础信息!AC10</f>
        <v>5</v>
      </c>
      <c r="AD10" s="30">
        <f>[2]村县营基础信息!AD10</f>
        <v>4.95</v>
      </c>
      <c r="AE10" s="30">
        <f>[2]村县营基础信息!AE10</f>
        <v>4.9000000000000004</v>
      </c>
      <c r="AF10" s="30">
        <f>[2]村县营基础信息!AF10</f>
        <v>4.8499999999999996</v>
      </c>
      <c r="AG10" s="30">
        <f>[2]村县营基础信息!AG10</f>
        <v>4.75</v>
      </c>
      <c r="AH10" s="22"/>
      <c r="AJ10" s="26">
        <v>0</v>
      </c>
      <c r="AK10" s="26">
        <v>3</v>
      </c>
      <c r="AL10" s="30">
        <f>[2]村县营基础信息!AL10</f>
        <v>5</v>
      </c>
      <c r="AM10" s="30">
        <f>[2]村县营基础信息!AM10</f>
        <v>4.8740552651904707</v>
      </c>
      <c r="AN10" s="30">
        <f>[2]村县营基础信息!AN10</f>
        <v>4.6791416374814538</v>
      </c>
      <c r="AO10" s="30">
        <f>[2]村县营基础信息!AO10</f>
        <v>4.4337884155316427</v>
      </c>
      <c r="AP10" s="30">
        <f>[2]村县营基础信息!AP10</f>
        <v>4.311770027515248</v>
      </c>
    </row>
    <row r="11" spans="2:42" x14ac:dyDescent="0.15">
      <c r="B11" s="15">
        <v>3</v>
      </c>
      <c r="C11" s="15" t="s">
        <v>26</v>
      </c>
      <c r="D11" s="31">
        <f>[2]村县营基础信息!D11</f>
        <v>3</v>
      </c>
      <c r="E11" s="31">
        <f>[2]村县营基础信息!E11</f>
        <v>0</v>
      </c>
      <c r="F11" s="31">
        <f>[2]村县营基础信息!F11</f>
        <v>1</v>
      </c>
      <c r="G11" s="31">
        <f>[2]村县营基础信息!G11</f>
        <v>1</v>
      </c>
      <c r="J11" s="4">
        <v>4</v>
      </c>
      <c r="K11" s="30">
        <f>[2]村县营基础信息!K11</f>
        <v>8</v>
      </c>
      <c r="L11" s="30">
        <f>[2]村县营基础信息!L11</f>
        <v>7.92</v>
      </c>
      <c r="M11" s="30">
        <f>[2]村县营基础信息!M11</f>
        <v>7.84</v>
      </c>
      <c r="N11" s="30">
        <f>[2]村县营基础信息!N11</f>
        <v>7.76</v>
      </c>
      <c r="O11" s="30">
        <f>[2]村县营基础信息!O11</f>
        <v>7.6</v>
      </c>
      <c r="R11" s="23"/>
      <c r="S11" s="4">
        <v>4</v>
      </c>
      <c r="T11" s="30">
        <f>[2]村县营基础信息!T11</f>
        <v>8</v>
      </c>
      <c r="U11" s="30">
        <f>[2]村县营基础信息!U11</f>
        <v>7.92</v>
      </c>
      <c r="V11" s="30">
        <f>[2]村县营基础信息!V11</f>
        <v>7.84</v>
      </c>
      <c r="W11" s="30">
        <f>[2]村县营基础信息!W11</f>
        <v>7.76</v>
      </c>
      <c r="X11" s="30">
        <f>[2]村县营基础信息!X11</f>
        <v>7.6</v>
      </c>
      <c r="Y11" s="21"/>
      <c r="AA11" s="21">
        <v>1</v>
      </c>
      <c r="AB11" s="4">
        <v>4</v>
      </c>
      <c r="AC11" s="30">
        <f>[2]村县营基础信息!AC11</f>
        <v>8</v>
      </c>
      <c r="AD11" s="30">
        <f>[2]村县营基础信息!AD11</f>
        <v>7.92</v>
      </c>
      <c r="AE11" s="30">
        <f>[2]村县营基础信息!AE11</f>
        <v>7.84</v>
      </c>
      <c r="AF11" s="30">
        <f>[2]村县营基础信息!AF11</f>
        <v>7.76</v>
      </c>
      <c r="AG11" s="30">
        <f>[2]村县营基础信息!AG11</f>
        <v>7.6</v>
      </c>
      <c r="AH11" s="22"/>
      <c r="AJ11" s="26">
        <v>0</v>
      </c>
      <c r="AK11" s="26">
        <v>4</v>
      </c>
      <c r="AL11" s="30">
        <f>[2]村县营基础信息!AL11</f>
        <v>8</v>
      </c>
      <c r="AM11" s="30">
        <f>[2]村县营基础信息!AM11</f>
        <v>7.7933518456985578</v>
      </c>
      <c r="AN11" s="30">
        <f>[2]村县营基础信息!AN11</f>
        <v>7.4633440062479988</v>
      </c>
      <c r="AO11" s="30">
        <f>[2]村县营基础信息!AO11</f>
        <v>7.0590916003006674</v>
      </c>
      <c r="AP11" s="30">
        <f>[2]村县营基础信息!AP11</f>
        <v>6.8432617718574207</v>
      </c>
    </row>
    <row r="12" spans="2:42" x14ac:dyDescent="0.15">
      <c r="B12" s="15">
        <v>4</v>
      </c>
      <c r="C12" s="15" t="s">
        <v>27</v>
      </c>
      <c r="D12" s="31">
        <f>[2]村县营基础信息!D12</f>
        <v>3</v>
      </c>
      <c r="E12" s="31">
        <f>[2]村县营基础信息!E12</f>
        <v>1</v>
      </c>
      <c r="F12" s="31">
        <f>[2]村县营基础信息!F12</f>
        <v>1</v>
      </c>
      <c r="G12" s="31">
        <f>[2]村县营基础信息!G12</f>
        <v>0</v>
      </c>
      <c r="J12" s="4">
        <v>5</v>
      </c>
      <c r="K12" s="30">
        <f>[2]村县营基础信息!K12</f>
        <v>11</v>
      </c>
      <c r="L12" s="30">
        <f>[2]村县营基础信息!L12</f>
        <v>10.89</v>
      </c>
      <c r="M12" s="30">
        <f>[2]村县营基础信息!M12</f>
        <v>10.78</v>
      </c>
      <c r="N12" s="30">
        <f>[2]村县营基础信息!N12</f>
        <v>10.67</v>
      </c>
      <c r="O12" s="30">
        <f>[2]村县营基础信息!O12</f>
        <v>10.45</v>
      </c>
      <c r="R12" s="23"/>
      <c r="S12" s="4">
        <v>5</v>
      </c>
      <c r="T12" s="30">
        <f>[2]村县营基础信息!T12</f>
        <v>11</v>
      </c>
      <c r="U12" s="30">
        <f>[2]村县营基础信息!U12</f>
        <v>10.89</v>
      </c>
      <c r="V12" s="30">
        <f>[2]村县营基础信息!V12</f>
        <v>10.78</v>
      </c>
      <c r="W12" s="30">
        <f>[2]村县营基础信息!W12</f>
        <v>10.67</v>
      </c>
      <c r="X12" s="30">
        <f>[2]村县营基础信息!X12</f>
        <v>10.45</v>
      </c>
      <c r="Y12" s="21"/>
      <c r="AA12" s="21"/>
      <c r="AB12" s="4">
        <v>5</v>
      </c>
      <c r="AC12" s="30">
        <f>[2]村县营基础信息!AC12</f>
        <v>11</v>
      </c>
      <c r="AD12" s="30">
        <f>[2]村县营基础信息!AD12</f>
        <v>10.89</v>
      </c>
      <c r="AE12" s="30">
        <f>[2]村县营基础信息!AE12</f>
        <v>10.78</v>
      </c>
      <c r="AF12" s="30">
        <f>[2]村县营基础信息!AF12</f>
        <v>10.67</v>
      </c>
      <c r="AG12" s="30">
        <f>[2]村县营基础信息!AG12</f>
        <v>10.45</v>
      </c>
      <c r="AH12" s="22"/>
      <c r="AJ12" s="26">
        <v>1</v>
      </c>
      <c r="AK12" s="26">
        <v>5</v>
      </c>
      <c r="AL12" s="30">
        <f>[2]村县营基础信息!AL12</f>
        <v>12</v>
      </c>
      <c r="AM12" s="30">
        <f>[2]村县营基础信息!AM12</f>
        <v>11.661465511532494</v>
      </c>
      <c r="AN12" s="30">
        <f>[2]村县营基础信息!AN12</f>
        <v>11.12662890157071</v>
      </c>
      <c r="AO12" s="30">
        <f>[2]村县营基础信息!AO12</f>
        <v>10.457001445763728</v>
      </c>
      <c r="AP12" s="30">
        <f>[2]村县营基础信息!AP12</f>
        <v>10.140537092826376</v>
      </c>
    </row>
    <row r="13" spans="2:42" x14ac:dyDescent="0.15">
      <c r="B13" s="15">
        <v>5</v>
      </c>
      <c r="C13" s="15" t="s">
        <v>28</v>
      </c>
      <c r="D13" s="31">
        <f>[2]村县营基础信息!D13</f>
        <v>3</v>
      </c>
      <c r="E13" s="31">
        <f>[2]村县营基础信息!E13</f>
        <v>0</v>
      </c>
      <c r="F13" s="31">
        <f>[2]村县营基础信息!F13</f>
        <v>1</v>
      </c>
      <c r="G13" s="31">
        <f>[2]村县营基础信息!G13</f>
        <v>1</v>
      </c>
      <c r="J13" s="4">
        <v>6</v>
      </c>
      <c r="K13" s="30">
        <f>[2]村县营基础信息!K13</f>
        <v>14</v>
      </c>
      <c r="L13" s="30">
        <f>[2]村县营基础信息!L13</f>
        <v>13.86</v>
      </c>
      <c r="M13" s="30">
        <f>[2]村县营基础信息!M13</f>
        <v>13.719999999999999</v>
      </c>
      <c r="N13" s="30">
        <f>[2]村县营基础信息!N13</f>
        <v>13.58</v>
      </c>
      <c r="O13" s="30">
        <f>[2]村县营基础信息!O13</f>
        <v>13.299999999999999</v>
      </c>
      <c r="R13" s="23"/>
      <c r="S13" s="4">
        <v>6</v>
      </c>
      <c r="T13" s="30">
        <f>[2]村县营基础信息!T13</f>
        <v>14</v>
      </c>
      <c r="U13" s="30">
        <f>[2]村县营基础信息!U13</f>
        <v>13.86</v>
      </c>
      <c r="V13" s="30">
        <f>[2]村县营基础信息!V13</f>
        <v>13.719999999999999</v>
      </c>
      <c r="W13" s="30">
        <f>[2]村县营基础信息!W13</f>
        <v>13.58</v>
      </c>
      <c r="X13" s="30">
        <f>[2]村县营基础信息!X13</f>
        <v>13.299999999999999</v>
      </c>
      <c r="Y13" s="21"/>
      <c r="AA13" s="21">
        <v>1</v>
      </c>
      <c r="AB13" s="4">
        <v>6</v>
      </c>
      <c r="AC13" s="30">
        <f>[2]村县营基础信息!AC13</f>
        <v>14</v>
      </c>
      <c r="AD13" s="30">
        <f>[2]村县营基础信息!AD13</f>
        <v>13.86</v>
      </c>
      <c r="AE13" s="30">
        <f>[2]村县营基础信息!AE13</f>
        <v>13.719999999999999</v>
      </c>
      <c r="AF13" s="30">
        <f>[2]村县营基础信息!AF13</f>
        <v>13.58</v>
      </c>
      <c r="AG13" s="30">
        <f>[2]村县营基础信息!AG13</f>
        <v>13.299999999999999</v>
      </c>
      <c r="AH13" s="22"/>
      <c r="AJ13" s="26">
        <v>2</v>
      </c>
      <c r="AK13" s="26">
        <v>6</v>
      </c>
      <c r="AL13" s="30">
        <f>[2]村县营基础信息!AL13</f>
        <v>16</v>
      </c>
      <c r="AM13" s="30">
        <f>[2]村县营基础信息!AM13</f>
        <v>15.607805702259935</v>
      </c>
      <c r="AN13" s="30">
        <f>[2]村县营基础信息!AN13</f>
        <v>15.002358217549178</v>
      </c>
      <c r="AO13" s="30">
        <f>[2]村县营基础信息!AO13</f>
        <v>14.066425716819753</v>
      </c>
      <c r="AP13" s="30">
        <f>[2]村县营基础信息!AP13</f>
        <v>13.457198728890571</v>
      </c>
    </row>
    <row r="14" spans="2:42" x14ac:dyDescent="0.15">
      <c r="B14" s="15">
        <v>6</v>
      </c>
      <c r="C14" s="15" t="s">
        <v>29</v>
      </c>
      <c r="D14" s="31">
        <f>[2]村县营基础信息!D14</f>
        <v>4</v>
      </c>
      <c r="E14" s="31">
        <f>[2]村县营基础信息!E14</f>
        <v>1</v>
      </c>
      <c r="F14" s="31">
        <f>[2]村县营基础信息!F14</f>
        <v>1</v>
      </c>
      <c r="G14" s="31">
        <f>[2]村县营基础信息!G14</f>
        <v>0</v>
      </c>
      <c r="J14" s="4">
        <v>7</v>
      </c>
      <c r="K14" s="30">
        <f>[2]村县营基础信息!K14</f>
        <v>17</v>
      </c>
      <c r="L14" s="30">
        <f>[2]村县营基础信息!L14</f>
        <v>16.829999999999998</v>
      </c>
      <c r="M14" s="30">
        <f>[2]村县营基础信息!M14</f>
        <v>16.66</v>
      </c>
      <c r="N14" s="30">
        <f>[2]村县营基础信息!N14</f>
        <v>16.489999999999998</v>
      </c>
      <c r="O14" s="30">
        <f>[2]村县营基础信息!O14</f>
        <v>16.149999999999999</v>
      </c>
      <c r="R14" s="23"/>
      <c r="S14" s="4">
        <v>7</v>
      </c>
      <c r="T14" s="30">
        <f>[2]村县营基础信息!T14</f>
        <v>17</v>
      </c>
      <c r="U14" s="30">
        <f>[2]村县营基础信息!U14</f>
        <v>16.829999999999998</v>
      </c>
      <c r="V14" s="30">
        <f>[2]村县营基础信息!V14</f>
        <v>16.66</v>
      </c>
      <c r="W14" s="30">
        <f>[2]村县营基础信息!W14</f>
        <v>16.489999999999998</v>
      </c>
      <c r="X14" s="30">
        <f>[2]村县营基础信息!X14</f>
        <v>16.149999999999999</v>
      </c>
      <c r="Y14" s="23"/>
      <c r="AA14" s="21"/>
      <c r="AB14" s="4">
        <v>7</v>
      </c>
      <c r="AC14" s="30">
        <f>[2]村县营基础信息!AC14</f>
        <v>17</v>
      </c>
      <c r="AD14" s="30">
        <f>[2]村县营基础信息!AD14</f>
        <v>16.829999999999998</v>
      </c>
      <c r="AE14" s="30">
        <f>[2]村县营基础信息!AE14</f>
        <v>16.66</v>
      </c>
      <c r="AF14" s="30">
        <f>[2]村县营基础信息!AF14</f>
        <v>16.489999999999998</v>
      </c>
      <c r="AG14" s="30">
        <f>[2]村县营基础信息!AG14</f>
        <v>16.149999999999999</v>
      </c>
      <c r="AH14" s="22"/>
      <c r="AJ14" s="26">
        <v>3</v>
      </c>
      <c r="AK14" s="26">
        <v>7</v>
      </c>
      <c r="AL14" s="30">
        <f>[2]村县营基础信息!AL14</f>
        <v>20</v>
      </c>
      <c r="AM14" s="30">
        <f>[2]村县营基础信息!AM14</f>
        <v>19.605096811703451</v>
      </c>
      <c r="AN14" s="30">
        <f>[2]村县营基础信息!AN14</f>
        <v>18.922526321034162</v>
      </c>
      <c r="AO14" s="30">
        <f>[2]村县营基础信息!AO14</f>
        <v>17.826419214159746</v>
      </c>
      <c r="AP14" s="30">
        <f>[2]村县营基础信息!AP14</f>
        <v>17.077967899740415</v>
      </c>
    </row>
    <row r="15" spans="2:42" x14ac:dyDescent="0.15">
      <c r="B15" s="15">
        <v>7</v>
      </c>
      <c r="C15" s="15" t="s">
        <v>30</v>
      </c>
      <c r="D15" s="31">
        <f>[2]村县营基础信息!D15</f>
        <v>4</v>
      </c>
      <c r="E15" s="31">
        <f>[2]村县营基础信息!E15</f>
        <v>0</v>
      </c>
      <c r="F15" s="31">
        <f>[2]村县营基础信息!F15</f>
        <v>2</v>
      </c>
      <c r="G15" s="31">
        <f>[2]村县营基础信息!G15</f>
        <v>1</v>
      </c>
      <c r="J15" s="4">
        <v>8</v>
      </c>
      <c r="K15" s="30">
        <f>[2]村县营基础信息!K15</f>
        <v>20</v>
      </c>
      <c r="L15" s="30">
        <f>[2]村县营基础信息!L15</f>
        <v>19.8</v>
      </c>
      <c r="M15" s="30">
        <f>[2]村县营基础信息!M15</f>
        <v>19.600000000000001</v>
      </c>
      <c r="N15" s="30">
        <f>[2]村县营基础信息!N15</f>
        <v>19.399999999999999</v>
      </c>
      <c r="O15" s="30">
        <f>[2]村县营基础信息!O15</f>
        <v>19</v>
      </c>
      <c r="R15" s="23"/>
      <c r="S15" s="4">
        <v>8</v>
      </c>
      <c r="T15" s="30">
        <f>[2]村县营基础信息!T15</f>
        <v>20</v>
      </c>
      <c r="U15" s="30">
        <f>[2]村县营基础信息!U15</f>
        <v>19.8</v>
      </c>
      <c r="V15" s="30">
        <f>[2]村县营基础信息!V15</f>
        <v>19.600000000000001</v>
      </c>
      <c r="W15" s="30">
        <f>[2]村县营基础信息!W15</f>
        <v>19.399999999999999</v>
      </c>
      <c r="X15" s="30">
        <f>[2]村县营基础信息!X15</f>
        <v>19</v>
      </c>
      <c r="Y15" s="23"/>
      <c r="AA15" s="21">
        <v>1</v>
      </c>
      <c r="AB15" s="4">
        <v>8</v>
      </c>
      <c r="AC15" s="30">
        <f>[2]村县营基础信息!AC15</f>
        <v>20</v>
      </c>
      <c r="AD15" s="30">
        <f>[2]村县营基础信息!AD15</f>
        <v>19.8</v>
      </c>
      <c r="AE15" s="30">
        <f>[2]村县营基础信息!AE15</f>
        <v>19.600000000000001</v>
      </c>
      <c r="AF15" s="30">
        <f>[2]村县营基础信息!AF15</f>
        <v>19.399999999999999</v>
      </c>
      <c r="AG15" s="30">
        <f>[2]村县营基础信息!AG15</f>
        <v>19</v>
      </c>
      <c r="AH15" s="22"/>
      <c r="AJ15" s="26">
        <v>4</v>
      </c>
      <c r="AK15" s="26">
        <v>8</v>
      </c>
      <c r="AL15" s="30">
        <f>[2]村县营基础信息!AL15</f>
        <v>24</v>
      </c>
      <c r="AM15" s="30">
        <f>[2]村县营基础信息!AM15</f>
        <v>23.503161514625848</v>
      </c>
      <c r="AN15" s="30">
        <f>[2]村县营基础信息!AN15</f>
        <v>22.73254890452386</v>
      </c>
      <c r="AO15" s="30">
        <f>[2]村县营基础信息!AO15</f>
        <v>21.540495518248466</v>
      </c>
      <c r="AP15" s="30">
        <f>[2]村县营基础信息!AP15</f>
        <v>20.671133423331483</v>
      </c>
    </row>
    <row r="16" spans="2:42" x14ac:dyDescent="0.15">
      <c r="B16" s="15">
        <v>8</v>
      </c>
      <c r="C16" s="15" t="s">
        <v>31</v>
      </c>
      <c r="D16" s="31">
        <f>[2]村县营基础信息!D16</f>
        <v>4</v>
      </c>
      <c r="E16" s="31">
        <f>[2]村县营基础信息!E16</f>
        <v>1</v>
      </c>
      <c r="F16" s="31">
        <f>[2]村县营基础信息!F16</f>
        <v>2</v>
      </c>
      <c r="G16" s="31">
        <f>[2]村县营基础信息!G16</f>
        <v>0</v>
      </c>
      <c r="J16" s="4">
        <v>9</v>
      </c>
      <c r="K16" s="30">
        <f>[2]村县营基础信息!K16</f>
        <v>23</v>
      </c>
      <c r="L16" s="30">
        <f>[2]村县营基础信息!L16</f>
        <v>22.77</v>
      </c>
      <c r="M16" s="30">
        <f>[2]村县营基础信息!M16</f>
        <v>22.54</v>
      </c>
      <c r="N16" s="30">
        <f>[2]村县营基础信息!N16</f>
        <v>22.31</v>
      </c>
      <c r="O16" s="30">
        <f>[2]村县营基础信息!O16</f>
        <v>21.849999999999998</v>
      </c>
      <c r="R16" s="23"/>
      <c r="S16" s="4">
        <v>9</v>
      </c>
      <c r="T16" s="30">
        <f>[2]村县营基础信息!T16</f>
        <v>23</v>
      </c>
      <c r="U16" s="30">
        <f>[2]村县营基础信息!U16</f>
        <v>22.77</v>
      </c>
      <c r="V16" s="30">
        <f>[2]村县营基础信息!V16</f>
        <v>22.54</v>
      </c>
      <c r="W16" s="30">
        <f>[2]村县营基础信息!W16</f>
        <v>22.31</v>
      </c>
      <c r="X16" s="30">
        <f>[2]村县营基础信息!X16</f>
        <v>21.849999999999998</v>
      </c>
      <c r="Y16" s="23"/>
      <c r="AA16" s="21"/>
      <c r="AB16" s="4">
        <v>9</v>
      </c>
      <c r="AC16" s="30">
        <f>[2]村县营基础信息!AC16</f>
        <v>23</v>
      </c>
      <c r="AD16" s="30">
        <f>[2]村县营基础信息!AD16</f>
        <v>22.77</v>
      </c>
      <c r="AE16" s="30">
        <f>[2]村县营基础信息!AE16</f>
        <v>22.54</v>
      </c>
      <c r="AF16" s="30">
        <f>[2]村县营基础信息!AF16</f>
        <v>22.31</v>
      </c>
      <c r="AG16" s="30">
        <f>[2]村县营基础信息!AG16</f>
        <v>21.849999999999998</v>
      </c>
      <c r="AH16" s="22"/>
      <c r="AJ16" s="26">
        <v>5</v>
      </c>
      <c r="AK16" s="26">
        <v>9</v>
      </c>
      <c r="AL16" s="30">
        <f>[2]村县营基础信息!AL16</f>
        <v>28</v>
      </c>
      <c r="AM16" s="30">
        <f>[2]村县营基础信息!AM16</f>
        <v>27.331456566129798</v>
      </c>
      <c r="AN16" s="30">
        <f>[2]村县营基础信息!AN16</f>
        <v>26.429117542862578</v>
      </c>
      <c r="AO16" s="30">
        <f>[2]村县营基础信息!AO16</f>
        <v>25.046914789936586</v>
      </c>
      <c r="AP16" s="30">
        <f>[2]村县营基础信息!AP16</f>
        <v>23.925480048079397</v>
      </c>
    </row>
    <row r="17" spans="2:42" x14ac:dyDescent="0.15">
      <c r="B17" s="15">
        <v>9</v>
      </c>
      <c r="C17" s="15" t="s">
        <v>32</v>
      </c>
      <c r="D17" s="31">
        <f>[2]村县营基础信息!D17</f>
        <v>5</v>
      </c>
      <c r="E17" s="31">
        <f>[2]村县营基础信息!E17</f>
        <v>0</v>
      </c>
      <c r="F17" s="31">
        <f>[2]村县营基础信息!F17</f>
        <v>2</v>
      </c>
      <c r="G17" s="31">
        <f>[2]村县营基础信息!G17</f>
        <v>1</v>
      </c>
      <c r="J17" s="4">
        <v>10</v>
      </c>
      <c r="K17" s="30">
        <f>[2]村县营基础信息!K17</f>
        <v>26</v>
      </c>
      <c r="L17" s="30">
        <f>[2]村县营基础信息!L17</f>
        <v>25.74</v>
      </c>
      <c r="M17" s="30">
        <f>[2]村县营基础信息!M17</f>
        <v>25.48</v>
      </c>
      <c r="N17" s="30">
        <f>[2]村县营基础信息!N17</f>
        <v>25.22</v>
      </c>
      <c r="O17" s="30">
        <f>[2]村县营基础信息!O17</f>
        <v>24.7</v>
      </c>
      <c r="R17" s="23"/>
      <c r="S17" s="4">
        <v>10</v>
      </c>
      <c r="T17" s="30">
        <f>[2]村县营基础信息!T17</f>
        <v>26</v>
      </c>
      <c r="U17" s="30">
        <f>[2]村县营基础信息!U17</f>
        <v>25.74</v>
      </c>
      <c r="V17" s="30">
        <f>[2]村县营基础信息!V17</f>
        <v>25.48</v>
      </c>
      <c r="W17" s="30">
        <f>[2]村县营基础信息!W17</f>
        <v>25.22</v>
      </c>
      <c r="X17" s="30">
        <f>[2]村县营基础信息!X17</f>
        <v>24.7</v>
      </c>
      <c r="Y17" s="23"/>
      <c r="AA17" s="21"/>
      <c r="AB17" s="4">
        <v>10</v>
      </c>
      <c r="AC17" s="30">
        <f>[2]村县营基础信息!AC17</f>
        <v>26</v>
      </c>
      <c r="AD17" s="30">
        <f>[2]村县营基础信息!AD17</f>
        <v>25.74</v>
      </c>
      <c r="AE17" s="30">
        <f>[2]村县营基础信息!AE17</f>
        <v>25.48</v>
      </c>
      <c r="AF17" s="30">
        <f>[2]村县营基础信息!AF17</f>
        <v>25.22</v>
      </c>
      <c r="AG17" s="30">
        <f>[2]村县营基础信息!AG17</f>
        <v>24.7</v>
      </c>
      <c r="AH17" s="22"/>
      <c r="AJ17" s="26">
        <v>5</v>
      </c>
      <c r="AK17" s="26">
        <v>10</v>
      </c>
      <c r="AL17" s="30">
        <f>[2]村县营基础信息!AL17</f>
        <v>31</v>
      </c>
      <c r="AM17" s="30">
        <f>[2]村县营基础信息!AM17</f>
        <v>30.234974651167828</v>
      </c>
      <c r="AN17" s="30">
        <f>[2]村县营基础信息!AN17</f>
        <v>29.235087061802496</v>
      </c>
      <c r="AO17" s="30">
        <f>[2]村县营基础信息!AO17</f>
        <v>27.949441214974154</v>
      </c>
      <c r="AP17" s="30">
        <f>[2]村县营基础信息!AP17</f>
        <v>26.981780019012231</v>
      </c>
    </row>
    <row r="18" spans="2:42" x14ac:dyDescent="0.15">
      <c r="B18" s="15">
        <v>10</v>
      </c>
      <c r="C18" s="15" t="s">
        <v>33</v>
      </c>
      <c r="D18" s="31">
        <f>[2]村县营基础信息!D18</f>
        <v>5</v>
      </c>
      <c r="E18" s="31">
        <f>[2]村县营基础信息!E18</f>
        <v>1</v>
      </c>
      <c r="F18" s="31">
        <f>[2]村县营基础信息!F18</f>
        <v>2</v>
      </c>
      <c r="G18" s="31">
        <f>[2]村县营基础信息!G18</f>
        <v>0</v>
      </c>
      <c r="J18" s="4">
        <v>11</v>
      </c>
      <c r="K18" s="30">
        <f>[2]村县营基础信息!K18</f>
        <v>29</v>
      </c>
      <c r="L18" s="30">
        <f>[2]村县营基础信息!L18</f>
        <v>28.71</v>
      </c>
      <c r="M18" s="30">
        <f>[2]村县营基础信息!M18</f>
        <v>28.419999999999998</v>
      </c>
      <c r="N18" s="30">
        <f>[2]村县营基础信息!N18</f>
        <v>28.13</v>
      </c>
      <c r="O18" s="30">
        <f>[2]村县营基础信息!O18</f>
        <v>27.549999999999997</v>
      </c>
      <c r="R18" s="23"/>
      <c r="S18" s="4">
        <v>11</v>
      </c>
      <c r="T18" s="30">
        <f>[2]村县营基础信息!T18</f>
        <v>29</v>
      </c>
      <c r="U18" s="30">
        <f>[2]村县营基础信息!U18</f>
        <v>28.71</v>
      </c>
      <c r="V18" s="30">
        <f>[2]村县营基础信息!V18</f>
        <v>28.419999999999998</v>
      </c>
      <c r="W18" s="30">
        <f>[2]村县营基础信息!W18</f>
        <v>28.13</v>
      </c>
      <c r="X18" s="30">
        <f>[2]村县营基础信息!X18</f>
        <v>27.549999999999997</v>
      </c>
      <c r="Y18" s="23"/>
      <c r="AA18" s="21">
        <v>1</v>
      </c>
      <c r="AB18" s="4">
        <v>11</v>
      </c>
      <c r="AC18" s="30">
        <f>[2]村县营基础信息!AC18</f>
        <v>29</v>
      </c>
      <c r="AD18" s="30">
        <f>[2]村县营基础信息!AD18</f>
        <v>28.71</v>
      </c>
      <c r="AE18" s="30">
        <f>[2]村县营基础信息!AE18</f>
        <v>28.419999999999998</v>
      </c>
      <c r="AF18" s="30">
        <f>[2]村县营基础信息!AF18</f>
        <v>28.13</v>
      </c>
      <c r="AG18" s="30">
        <f>[2]村县营基础信息!AG18</f>
        <v>27.549999999999997</v>
      </c>
      <c r="AH18" s="22"/>
      <c r="AJ18" s="26">
        <v>5</v>
      </c>
      <c r="AK18" s="26">
        <v>11</v>
      </c>
      <c r="AL18" s="30">
        <f>[2]村县营基础信息!AL18</f>
        <v>34</v>
      </c>
      <c r="AM18" s="30">
        <f>[2]村县营基础信息!AM18</f>
        <v>32.974783396076973</v>
      </c>
      <c r="AN18" s="30">
        <f>[2]村县营基础信息!AN18</f>
        <v>31.681569875848282</v>
      </c>
      <c r="AO18" s="30">
        <f>[2]村县营基础信息!AO18</f>
        <v>30.242151957495238</v>
      </c>
      <c r="AP18" s="30">
        <f>[2]村县营基础信息!AP18</f>
        <v>29.243933999824822</v>
      </c>
    </row>
    <row r="19" spans="2:42" x14ac:dyDescent="0.15">
      <c r="B19" s="15">
        <v>11</v>
      </c>
      <c r="C19" s="15" t="s">
        <v>42</v>
      </c>
      <c r="D19" s="31">
        <f>[2]村县营基础信息!D19</f>
        <v>5</v>
      </c>
      <c r="E19" s="31">
        <f>[2]村县营基础信息!E19</f>
        <v>0</v>
      </c>
      <c r="F19" s="31">
        <f>[2]村县营基础信息!F19</f>
        <v>2</v>
      </c>
      <c r="G19" s="31">
        <f>[2]村县营基础信息!G19</f>
        <v>1</v>
      </c>
      <c r="J19" s="4">
        <v>12</v>
      </c>
      <c r="K19" s="30">
        <f>[2]村县营基础信息!K19</f>
        <v>33</v>
      </c>
      <c r="L19" s="30">
        <f>[2]村县营基础信息!L19</f>
        <v>32.67</v>
      </c>
      <c r="M19" s="30">
        <f>[2]村县营基础信息!M19</f>
        <v>32.339999999999996</v>
      </c>
      <c r="N19" s="30">
        <f>[2]村县营基础信息!N19</f>
        <v>32.01</v>
      </c>
      <c r="O19" s="30">
        <f>[2]村县营基础信息!O19</f>
        <v>31.349999999999998</v>
      </c>
      <c r="R19" s="23"/>
      <c r="S19" s="4">
        <v>12</v>
      </c>
      <c r="T19" s="30">
        <f>[2]村县营基础信息!T19</f>
        <v>33</v>
      </c>
      <c r="U19" s="30">
        <f>[2]村县营基础信息!U19</f>
        <v>32.67</v>
      </c>
      <c r="V19" s="30">
        <f>[2]村县营基础信息!V19</f>
        <v>32.339999999999996</v>
      </c>
      <c r="W19" s="30">
        <f>[2]村县营基础信息!W19</f>
        <v>32.01</v>
      </c>
      <c r="X19" s="30">
        <f>[2]村县营基础信息!X19</f>
        <v>31.349999999999998</v>
      </c>
      <c r="Y19" s="23"/>
      <c r="AA19" s="21"/>
      <c r="AB19" s="4">
        <v>12</v>
      </c>
      <c r="AC19" s="30">
        <f>[2]村县营基础信息!AC19</f>
        <v>33</v>
      </c>
      <c r="AD19" s="30">
        <f>[2]村县营基础信息!AD19</f>
        <v>32.67</v>
      </c>
      <c r="AE19" s="30">
        <f>[2]村县营基础信息!AE19</f>
        <v>32.339999999999996</v>
      </c>
      <c r="AF19" s="30">
        <f>[2]村县营基础信息!AF19</f>
        <v>32.01</v>
      </c>
      <c r="AG19" s="30">
        <f>[2]村县营基础信息!AG19</f>
        <v>31.349999999999998</v>
      </c>
      <c r="AH19" s="22"/>
      <c r="AJ19" s="26">
        <v>5</v>
      </c>
      <c r="AK19" s="26">
        <v>12</v>
      </c>
      <c r="AL19" s="30">
        <f>[2]村县营基础信息!AL19</f>
        <v>38</v>
      </c>
      <c r="AM19" s="30">
        <f>[2]村县营基础信息!AM19</f>
        <v>37.14866352139633</v>
      </c>
      <c r="AN19" s="30">
        <f>[2]村县营基础信息!AN19</f>
        <v>35.662185600039912</v>
      </c>
      <c r="AO19" s="30">
        <f>[2]村县营基础信息!AO19</f>
        <v>33.582029784168526</v>
      </c>
      <c r="AP19" s="30">
        <f>[2]村县营基础信息!AP19</f>
        <v>32.4846447620627</v>
      </c>
    </row>
    <row r="20" spans="2:42" x14ac:dyDescent="0.15">
      <c r="B20" s="15">
        <v>12</v>
      </c>
      <c r="C20" s="15" t="s">
        <v>43</v>
      </c>
      <c r="D20" s="31">
        <f>[2]村县营基础信息!D20</f>
        <v>6</v>
      </c>
      <c r="E20" s="31">
        <f>[2]村县营基础信息!E20</f>
        <v>1</v>
      </c>
      <c r="F20" s="31">
        <f>[2]村县营基础信息!F20</f>
        <v>2</v>
      </c>
      <c r="G20" s="31">
        <f>[2]村县营基础信息!G20</f>
        <v>0</v>
      </c>
      <c r="J20" s="4">
        <v>13</v>
      </c>
      <c r="K20" s="30">
        <f>[2]村县营基础信息!K20</f>
        <v>37</v>
      </c>
      <c r="L20" s="30">
        <f>[2]村县营基础信息!L20</f>
        <v>36.630000000000003</v>
      </c>
      <c r="M20" s="30">
        <f>[2]村县营基础信息!M20</f>
        <v>36.26</v>
      </c>
      <c r="N20" s="30">
        <f>[2]村县营基础信息!N20</f>
        <v>35.89</v>
      </c>
      <c r="O20" s="30">
        <f>[2]村县营基础信息!O20</f>
        <v>35.15</v>
      </c>
      <c r="R20" s="23"/>
      <c r="S20" s="4">
        <v>13</v>
      </c>
      <c r="T20" s="30">
        <f>[2]村县营基础信息!T20</f>
        <v>37</v>
      </c>
      <c r="U20" s="30">
        <f>[2]村县营基础信息!U20</f>
        <v>36.630000000000003</v>
      </c>
      <c r="V20" s="30">
        <f>[2]村县营基础信息!V20</f>
        <v>36.26</v>
      </c>
      <c r="W20" s="30">
        <f>[2]村县营基础信息!W20</f>
        <v>35.89</v>
      </c>
      <c r="X20" s="30">
        <f>[2]村县营基础信息!X20</f>
        <v>35.15</v>
      </c>
      <c r="Y20" s="23"/>
      <c r="AA20" s="21"/>
      <c r="AB20" s="4">
        <v>13</v>
      </c>
      <c r="AC20" s="30">
        <f>[2]村县营基础信息!AC20</f>
        <v>37</v>
      </c>
      <c r="AD20" s="30">
        <f>[2]村县营基础信息!AD20</f>
        <v>36.630000000000003</v>
      </c>
      <c r="AE20" s="30">
        <f>[2]村县营基础信息!AE20</f>
        <v>36.26</v>
      </c>
      <c r="AF20" s="30">
        <f>[2]村县营基础信息!AF20</f>
        <v>35.89</v>
      </c>
      <c r="AG20" s="30">
        <f>[2]村县营基础信息!AG20</f>
        <v>35.15</v>
      </c>
      <c r="AH20" s="22"/>
      <c r="AJ20" s="26">
        <v>5</v>
      </c>
      <c r="AK20" s="26">
        <v>13</v>
      </c>
      <c r="AL20" s="30">
        <f>[2]村县营基础信息!AL20</f>
        <v>42</v>
      </c>
      <c r="AM20" s="30">
        <f>[2]村县营基础信息!AM20</f>
        <v>41.062312448313918</v>
      </c>
      <c r="AN20" s="30">
        <f>[2]村县营基础信息!AN20</f>
        <v>39.509928039658021</v>
      </c>
      <c r="AO20" s="30">
        <f>[2]村县营基础信息!AO20</f>
        <v>37.030615285353456</v>
      </c>
      <c r="AP20" s="30">
        <f>[2]村县营基础信息!AP20</f>
        <v>35.641398617917993</v>
      </c>
    </row>
    <row r="21" spans="2:42" x14ac:dyDescent="0.15">
      <c r="B21" s="15">
        <v>13</v>
      </c>
      <c r="C21" s="15" t="s">
        <v>44</v>
      </c>
      <c r="D21" s="31">
        <f>[2]村县营基础信息!D21</f>
        <v>6</v>
      </c>
      <c r="E21" s="31">
        <f>[2]村县营基础信息!E21</f>
        <v>0</v>
      </c>
      <c r="F21" s="31">
        <f>[2]村县营基础信息!F21</f>
        <v>3</v>
      </c>
      <c r="G21" s="31">
        <f>[2]村县营基础信息!G21</f>
        <v>1</v>
      </c>
      <c r="J21" s="4">
        <v>14</v>
      </c>
      <c r="K21" s="30">
        <f>[2]村县营基础信息!K21</f>
        <v>42</v>
      </c>
      <c r="L21" s="30">
        <f>[2]村县营基础信息!L21</f>
        <v>41.58</v>
      </c>
      <c r="M21" s="30">
        <f>[2]村县营基础信息!M21</f>
        <v>41.16</v>
      </c>
      <c r="N21" s="30">
        <f>[2]村县营基础信息!N21</f>
        <v>40.74</v>
      </c>
      <c r="O21" s="30">
        <f>[2]村县营基础信息!O21</f>
        <v>39.9</v>
      </c>
      <c r="R21" s="23"/>
      <c r="S21" s="4">
        <v>14</v>
      </c>
      <c r="T21" s="30">
        <f>[2]村县营基础信息!T21</f>
        <v>42</v>
      </c>
      <c r="U21" s="30">
        <f>[2]村县营基础信息!U21</f>
        <v>41.58</v>
      </c>
      <c r="V21" s="30">
        <f>[2]村县营基础信息!V21</f>
        <v>41.16</v>
      </c>
      <c r="W21" s="30">
        <f>[2]村县营基础信息!W21</f>
        <v>40.74</v>
      </c>
      <c r="X21" s="30">
        <f>[2]村县营基础信息!X21</f>
        <v>39.9</v>
      </c>
      <c r="Y21" s="23"/>
      <c r="AA21" s="21"/>
      <c r="AB21" s="4">
        <v>14</v>
      </c>
      <c r="AC21" s="30">
        <f>[2]村县营基础信息!AC21</f>
        <v>42</v>
      </c>
      <c r="AD21" s="30">
        <f>[2]村县营基础信息!AD21</f>
        <v>41.58</v>
      </c>
      <c r="AE21" s="30">
        <f>[2]村县营基础信息!AE21</f>
        <v>41.16</v>
      </c>
      <c r="AF21" s="30">
        <f>[2]村县营基础信息!AF21</f>
        <v>40.74</v>
      </c>
      <c r="AG21" s="30">
        <f>[2]村县营基础信息!AG21</f>
        <v>39.9</v>
      </c>
      <c r="AH21" s="22"/>
      <c r="AJ21" s="26">
        <v>5</v>
      </c>
      <c r="AK21" s="26">
        <v>14</v>
      </c>
      <c r="AL21" s="30">
        <f>[2]村县营基础信息!AL21</f>
        <v>47</v>
      </c>
      <c r="AM21" s="30">
        <f>[2]村县营基础信息!AM21</f>
        <v>46.025135676364243</v>
      </c>
      <c r="AN21" s="30">
        <f>[2]村县营基础信息!AN21</f>
        <v>44.085092690374182</v>
      </c>
      <c r="AO21" s="30">
        <f>[2]村县营基础信息!AO21</f>
        <v>40.619357390696052</v>
      </c>
      <c r="AP21" s="30">
        <f>[2]村县营基础信息!AP21</f>
        <v>39.058225824172347</v>
      </c>
    </row>
    <row r="22" spans="2:42" x14ac:dyDescent="0.15">
      <c r="B22" s="15">
        <v>14</v>
      </c>
      <c r="C22" s="15" t="s">
        <v>45</v>
      </c>
      <c r="D22" s="31">
        <f>[2]村县营基础信息!D22</f>
        <v>6</v>
      </c>
      <c r="E22" s="31">
        <f>[2]村县营基础信息!E22</f>
        <v>1</v>
      </c>
      <c r="F22" s="31">
        <f>[2]村县营基础信息!F22</f>
        <v>3</v>
      </c>
      <c r="G22" s="31">
        <f>[2]村县营基础信息!G22</f>
        <v>0</v>
      </c>
      <c r="J22" s="4">
        <v>15</v>
      </c>
      <c r="K22" s="30">
        <f>[2]村县营基础信息!K22</f>
        <v>48</v>
      </c>
      <c r="L22" s="30">
        <f>[2]村县营基础信息!L22</f>
        <v>47.519999999999996</v>
      </c>
      <c r="M22" s="30">
        <f>[2]村县营基础信息!M22</f>
        <v>47.04</v>
      </c>
      <c r="N22" s="30">
        <f>[2]村县营基础信息!N22</f>
        <v>46.56</v>
      </c>
      <c r="O22" s="30">
        <f>[2]村县营基础信息!O22</f>
        <v>45.599999999999994</v>
      </c>
      <c r="R22" s="23"/>
      <c r="S22" s="4">
        <v>15</v>
      </c>
      <c r="T22" s="30">
        <f>[2]村县营基础信息!T22</f>
        <v>48</v>
      </c>
      <c r="U22" s="30">
        <f>[2]村县营基础信息!U22</f>
        <v>47.519999999999996</v>
      </c>
      <c r="V22" s="30">
        <f>[2]村县营基础信息!V22</f>
        <v>47.04</v>
      </c>
      <c r="W22" s="30">
        <f>[2]村县营基础信息!W22</f>
        <v>46.56</v>
      </c>
      <c r="X22" s="30">
        <f>[2]村县营基础信息!X22</f>
        <v>45.599999999999994</v>
      </c>
      <c r="Y22" s="23"/>
      <c r="AA22" s="21">
        <v>1</v>
      </c>
      <c r="AB22" s="4">
        <v>15</v>
      </c>
      <c r="AC22" s="30">
        <f>[2]村县营基础信息!AC22</f>
        <v>48</v>
      </c>
      <c r="AD22" s="30">
        <f>[2]村县营基础信息!AD22</f>
        <v>47.519999999999996</v>
      </c>
      <c r="AE22" s="30">
        <f>[2]村县营基础信息!AE22</f>
        <v>47.04</v>
      </c>
      <c r="AF22" s="30">
        <f>[2]村县营基础信息!AF22</f>
        <v>46.56</v>
      </c>
      <c r="AG22" s="30">
        <f>[2]村县营基础信息!AG22</f>
        <v>45.599999999999994</v>
      </c>
      <c r="AH22" s="22"/>
      <c r="AJ22" s="26">
        <v>5</v>
      </c>
      <c r="AK22" s="26">
        <v>15</v>
      </c>
      <c r="AL22" s="30">
        <f>[2]村县营基础信息!AL22</f>
        <v>53</v>
      </c>
      <c r="AM22" s="30">
        <f>[2]村县营基础信息!AM22</f>
        <v>52.119736623432679</v>
      </c>
      <c r="AN22" s="30">
        <f>[2]村县营基础信息!AN22</f>
        <v>49.823768538802618</v>
      </c>
      <c r="AO22" s="30">
        <f>[2]村县营基础信息!AO22</f>
        <v>46.075058568669277</v>
      </c>
      <c r="AP22" s="30">
        <f>[2]村县营基础信息!AP22</f>
        <v>44.199048384264401</v>
      </c>
    </row>
    <row r="23" spans="2:42" x14ac:dyDescent="0.15">
      <c r="B23" s="15">
        <v>15</v>
      </c>
      <c r="C23" s="15" t="s">
        <v>46</v>
      </c>
      <c r="D23" s="31">
        <f>[2]村县营基础信息!D23</f>
        <v>7</v>
      </c>
      <c r="E23" s="31">
        <f>[2]村县营基础信息!E23</f>
        <v>0</v>
      </c>
      <c r="F23" s="31">
        <f>[2]村县营基础信息!F23</f>
        <v>3</v>
      </c>
      <c r="G23" s="31">
        <f>[2]村县营基础信息!G23</f>
        <v>1</v>
      </c>
      <c r="J23" s="4">
        <v>16</v>
      </c>
      <c r="K23" s="30">
        <f>[2]村县营基础信息!K23</f>
        <v>54</v>
      </c>
      <c r="L23" s="30">
        <f>[2]村县营基础信息!L23</f>
        <v>53.46</v>
      </c>
      <c r="M23" s="30">
        <f>[2]村县营基础信息!M23</f>
        <v>52.92</v>
      </c>
      <c r="N23" s="30">
        <f>[2]村县营基础信息!N23</f>
        <v>52.379999999999995</v>
      </c>
      <c r="O23" s="30">
        <f>[2]村县营基础信息!O23</f>
        <v>51.3</v>
      </c>
      <c r="R23" s="23"/>
      <c r="S23" s="4">
        <v>16</v>
      </c>
      <c r="T23" s="30">
        <f>[2]村县营基础信息!T23</f>
        <v>54</v>
      </c>
      <c r="U23" s="30">
        <f>[2]村县营基础信息!U23</f>
        <v>53.46</v>
      </c>
      <c r="V23" s="30">
        <f>[2]村县营基础信息!V23</f>
        <v>52.92</v>
      </c>
      <c r="W23" s="30">
        <f>[2]村县营基础信息!W23</f>
        <v>52.379999999999995</v>
      </c>
      <c r="X23" s="30">
        <f>[2]村县营基础信息!X23</f>
        <v>51.3</v>
      </c>
      <c r="Y23" s="23"/>
      <c r="AA23" s="21"/>
      <c r="AB23" s="4">
        <v>16</v>
      </c>
      <c r="AC23" s="30">
        <f>[2]村县营基础信息!AC23</f>
        <v>54</v>
      </c>
      <c r="AD23" s="30">
        <f>[2]村县营基础信息!AD23</f>
        <v>53.46</v>
      </c>
      <c r="AE23" s="30">
        <f>[2]村县营基础信息!AE23</f>
        <v>52.92</v>
      </c>
      <c r="AF23" s="30">
        <f>[2]村县营基础信息!AF23</f>
        <v>52.379999999999995</v>
      </c>
      <c r="AG23" s="30">
        <f>[2]村县营基础信息!AG23</f>
        <v>51.3</v>
      </c>
      <c r="AH23" s="22"/>
      <c r="AJ23" s="26">
        <v>5</v>
      </c>
      <c r="AK23" s="26">
        <v>16</v>
      </c>
      <c r="AL23" s="30">
        <f>[2]村县营基础信息!AL23</f>
        <v>59</v>
      </c>
      <c r="AM23" s="30">
        <f>[2]村县营基础信息!AM23</f>
        <v>58.006231421771886</v>
      </c>
      <c r="AN23" s="30">
        <f>[2]村县营基础信息!AN23</f>
        <v>54.288747191558286</v>
      </c>
      <c r="AO23" s="30">
        <f>[2]村县营基础信息!AO23</f>
        <v>52.263226020635869</v>
      </c>
      <c r="AP23" s="30">
        <f>[2]村县营基础信息!AP23</f>
        <v>50.386738840991939</v>
      </c>
    </row>
    <row r="24" spans="2:42" x14ac:dyDescent="0.15">
      <c r="B24" s="15">
        <v>16</v>
      </c>
      <c r="C24" s="15" t="s">
        <v>47</v>
      </c>
      <c r="D24" s="31">
        <f>[2]村县营基础信息!D24</f>
        <v>7</v>
      </c>
      <c r="E24" s="31">
        <f>[2]村县营基础信息!E24</f>
        <v>1</v>
      </c>
      <c r="F24" s="31">
        <f>[2]村县营基础信息!F24</f>
        <v>3</v>
      </c>
      <c r="G24" s="31">
        <f>[2]村县营基础信息!G24</f>
        <v>0</v>
      </c>
      <c r="J24" s="4">
        <v>17</v>
      </c>
      <c r="K24" s="30">
        <f>[2]村县营基础信息!K24</f>
        <v>60</v>
      </c>
      <c r="L24" s="30">
        <f>[2]村县营基础信息!L24</f>
        <v>59.4</v>
      </c>
      <c r="M24" s="30">
        <f>[2]村县营基础信息!M24</f>
        <v>58.8</v>
      </c>
      <c r="N24" s="30">
        <f>[2]村县营基础信息!N24</f>
        <v>58.199999999999996</v>
      </c>
      <c r="O24" s="30">
        <f>[2]村县营基础信息!O24</f>
        <v>57</v>
      </c>
      <c r="R24" s="23"/>
      <c r="S24" s="4">
        <v>17</v>
      </c>
      <c r="T24" s="30">
        <f>[2]村县营基础信息!T24</f>
        <v>60</v>
      </c>
      <c r="U24" s="30">
        <f>[2]村县营基础信息!U24</f>
        <v>59.4</v>
      </c>
      <c r="V24" s="30">
        <f>[2]村县营基础信息!V24</f>
        <v>58.8</v>
      </c>
      <c r="W24" s="30">
        <f>[2]村县营基础信息!W24</f>
        <v>58.199999999999996</v>
      </c>
      <c r="X24" s="30">
        <f>[2]村县营基础信息!X24</f>
        <v>57</v>
      </c>
      <c r="Y24" s="23"/>
      <c r="AA24" s="21"/>
      <c r="AB24" s="4">
        <v>17</v>
      </c>
      <c r="AC24" s="30">
        <f>[2]村县营基础信息!AC24</f>
        <v>60</v>
      </c>
      <c r="AD24" s="30">
        <f>[2]村县营基础信息!AD24</f>
        <v>59.4</v>
      </c>
      <c r="AE24" s="30">
        <f>[2]村县营基础信息!AE24</f>
        <v>58.8</v>
      </c>
      <c r="AF24" s="30">
        <f>[2]村县营基础信息!AF24</f>
        <v>58.199999999999996</v>
      </c>
      <c r="AG24" s="30">
        <f>[2]村县营基础信息!AG24</f>
        <v>57</v>
      </c>
      <c r="AH24" s="22"/>
      <c r="AJ24" s="26">
        <v>5</v>
      </c>
      <c r="AK24" s="26">
        <v>17</v>
      </c>
      <c r="AL24" s="30">
        <f>[2]村县营基础信息!AL24</f>
        <v>65</v>
      </c>
      <c r="AM24" s="30">
        <f>[2]村县营基础信息!AM24</f>
        <v>63.980355323869176</v>
      </c>
      <c r="AN24" s="30">
        <f>[2]村县营基础信息!AN24</f>
        <v>62.098866306616308</v>
      </c>
      <c r="AO24" s="30">
        <f>[2]村县营基础信息!AO24</f>
        <v>58.114698679794657</v>
      </c>
      <c r="AP24" s="30">
        <f>[2]村县营基础信息!AP24</f>
        <v>56.101482614290369</v>
      </c>
    </row>
    <row r="25" spans="2:42" x14ac:dyDescent="0.15">
      <c r="B25" s="15">
        <v>17</v>
      </c>
      <c r="C25" s="15" t="s">
        <v>48</v>
      </c>
      <c r="D25" s="31">
        <f>[2]村县营基础信息!D25</f>
        <v>7</v>
      </c>
      <c r="E25" s="31">
        <f>[2]村县营基础信息!E25</f>
        <v>0</v>
      </c>
      <c r="F25" s="31">
        <f>[2]村县营基础信息!F25</f>
        <v>4</v>
      </c>
      <c r="G25" s="31">
        <f>[2]村县营基础信息!G25</f>
        <v>1</v>
      </c>
      <c r="J25" s="4">
        <v>18</v>
      </c>
      <c r="K25" s="30">
        <f>[2]村县营基础信息!K25</f>
        <v>66</v>
      </c>
      <c r="L25" s="30">
        <f>[2]村县营基础信息!L25</f>
        <v>65.34</v>
      </c>
      <c r="M25" s="30">
        <f>[2]村县营基础信息!M25</f>
        <v>64.679999999999993</v>
      </c>
      <c r="N25" s="30">
        <f>[2]村县营基础信息!N25</f>
        <v>64.02</v>
      </c>
      <c r="O25" s="30">
        <f>[2]村县营基础信息!O25</f>
        <v>62.699999999999996</v>
      </c>
      <c r="R25" s="23"/>
      <c r="S25" s="4">
        <v>18</v>
      </c>
      <c r="T25" s="30">
        <f>[2]村县营基础信息!T25</f>
        <v>66</v>
      </c>
      <c r="U25" s="30">
        <f>[2]村县营基础信息!U25</f>
        <v>65.34</v>
      </c>
      <c r="V25" s="30">
        <f>[2]村县营基础信息!V25</f>
        <v>64.679999999999993</v>
      </c>
      <c r="W25" s="30">
        <f>[2]村县营基础信息!W25</f>
        <v>64.02</v>
      </c>
      <c r="X25" s="30">
        <f>[2]村县营基础信息!X25</f>
        <v>62.699999999999996</v>
      </c>
      <c r="Y25" s="23"/>
      <c r="AA25" s="21"/>
      <c r="AB25" s="4">
        <v>18</v>
      </c>
      <c r="AC25" s="30">
        <f>[2]村县营基础信息!AC25</f>
        <v>66</v>
      </c>
      <c r="AD25" s="30">
        <f>[2]村县营基础信息!AD25</f>
        <v>65.34</v>
      </c>
      <c r="AE25" s="30">
        <f>[2]村县营基础信息!AE25</f>
        <v>64.679999999999993</v>
      </c>
      <c r="AF25" s="30">
        <f>[2]村县营基础信息!AF25</f>
        <v>64.02</v>
      </c>
      <c r="AG25" s="30">
        <f>[2]村县营基础信息!AG25</f>
        <v>62.699999999999996</v>
      </c>
      <c r="AH25" s="22"/>
      <c r="AJ25" s="26">
        <v>5</v>
      </c>
      <c r="AK25" s="26">
        <v>18</v>
      </c>
      <c r="AL25" s="30">
        <f>[2]村县营基础信息!AL25</f>
        <v>71</v>
      </c>
      <c r="AM25" s="30">
        <f>[2]村县营基础信息!AM25</f>
        <v>69.572649417033119</v>
      </c>
      <c r="AN25" s="30">
        <f>[2]村县营基础信息!AN25</f>
        <v>67.12438688831098</v>
      </c>
      <c r="AO25" s="30">
        <f>[2]村县营基础信息!AO25</f>
        <v>62.907250900301442</v>
      </c>
      <c r="AP25" s="30">
        <f>[2]村县营基础信息!AP25</f>
        <v>61.218799145777616</v>
      </c>
    </row>
    <row r="26" spans="2:42" x14ac:dyDescent="0.15">
      <c r="B26" s="15">
        <v>18</v>
      </c>
      <c r="C26" s="15" t="s">
        <v>49</v>
      </c>
      <c r="D26" s="31">
        <f>[2]村县营基础信息!D26</f>
        <v>8</v>
      </c>
      <c r="E26" s="31">
        <f>[2]村县营基础信息!E26</f>
        <v>1</v>
      </c>
      <c r="F26" s="31">
        <f>[2]村县营基础信息!F26</f>
        <v>4</v>
      </c>
      <c r="G26" s="31">
        <f>[2]村县营基础信息!G26</f>
        <v>0</v>
      </c>
      <c r="J26" s="4">
        <v>19</v>
      </c>
      <c r="K26" s="30">
        <f>[2]村县营基础信息!K26</f>
        <v>72</v>
      </c>
      <c r="L26" s="30">
        <f>[2]村县营基础信息!L26</f>
        <v>71.28</v>
      </c>
      <c r="M26" s="30">
        <f>[2]村县营基础信息!M26</f>
        <v>70.56</v>
      </c>
      <c r="N26" s="30">
        <f>[2]村县营基础信息!N26</f>
        <v>69.84</v>
      </c>
      <c r="O26" s="30">
        <f>[2]村县营基础信息!O26</f>
        <v>68.399999999999991</v>
      </c>
      <c r="R26" s="23"/>
      <c r="S26" s="4">
        <v>19</v>
      </c>
      <c r="T26" s="30">
        <f>[2]村县营基础信息!T26</f>
        <v>72</v>
      </c>
      <c r="U26" s="30">
        <f>[2]村县营基础信息!U26</f>
        <v>71.28</v>
      </c>
      <c r="V26" s="30">
        <f>[2]村县营基础信息!V26</f>
        <v>70.56</v>
      </c>
      <c r="W26" s="30">
        <f>[2]村县营基础信息!W26</f>
        <v>69.84</v>
      </c>
      <c r="X26" s="30">
        <f>[2]村县营基础信息!X26</f>
        <v>68.399999999999991</v>
      </c>
      <c r="Y26" s="23"/>
      <c r="AA26" s="21"/>
      <c r="AB26" s="4">
        <v>19</v>
      </c>
      <c r="AC26" s="30">
        <f>[2]村县营基础信息!AC26</f>
        <v>72</v>
      </c>
      <c r="AD26" s="30">
        <f>[2]村县营基础信息!AD26</f>
        <v>71.28</v>
      </c>
      <c r="AE26" s="30">
        <f>[2]村县营基础信息!AE26</f>
        <v>70.56</v>
      </c>
      <c r="AF26" s="30">
        <f>[2]村县营基础信息!AF26</f>
        <v>69.84</v>
      </c>
      <c r="AG26" s="30">
        <f>[2]村县营基础信息!AG26</f>
        <v>68.399999999999991</v>
      </c>
      <c r="AH26" s="22"/>
      <c r="AJ26" s="26">
        <v>5</v>
      </c>
      <c r="AK26" s="26">
        <v>19</v>
      </c>
      <c r="AL26" s="30">
        <f>[2]村县营基础信息!AL26</f>
        <v>77</v>
      </c>
      <c r="AM26" s="30">
        <f>[2]村县营基础信息!AM26</f>
        <v>75.718002020584976</v>
      </c>
      <c r="AN26" s="30">
        <f>[2]村县营基础信息!AN26</f>
        <v>73.288714998115623</v>
      </c>
      <c r="AO26" s="30">
        <f>[2]村县营基础信息!AO26</f>
        <v>68.892027927282513</v>
      </c>
      <c r="AP26" s="30">
        <f>[2]村县营基础信息!AP26</f>
        <v>67.412546218574022</v>
      </c>
    </row>
    <row r="27" spans="2:42" x14ac:dyDescent="0.15">
      <c r="B27" s="15">
        <v>19</v>
      </c>
      <c r="C27" s="15" t="s">
        <v>50</v>
      </c>
      <c r="D27" s="31">
        <f>[2]村县营基础信息!D27</f>
        <v>8</v>
      </c>
      <c r="E27" s="31">
        <f>[2]村县营基础信息!E27</f>
        <v>0</v>
      </c>
      <c r="F27" s="31">
        <f>[2]村县营基础信息!F27</f>
        <v>4</v>
      </c>
      <c r="G27" s="31">
        <f>[2]村县营基础信息!G27</f>
        <v>1</v>
      </c>
      <c r="J27" s="4">
        <v>20</v>
      </c>
      <c r="K27" s="30">
        <f>[2]村县营基础信息!K27</f>
        <v>78</v>
      </c>
      <c r="L27" s="30">
        <f>[2]村县营基础信息!L27</f>
        <v>77.22</v>
      </c>
      <c r="M27" s="30">
        <f>[2]村县营基础信息!M27</f>
        <v>76.44</v>
      </c>
      <c r="N27" s="30">
        <f>[2]村县营基础信息!N27</f>
        <v>75.66</v>
      </c>
      <c r="O27" s="30">
        <f>[2]村县营基础信息!O27</f>
        <v>74.099999999999994</v>
      </c>
      <c r="R27" s="23"/>
      <c r="S27" s="4">
        <v>20</v>
      </c>
      <c r="T27" s="30">
        <f>[2]村县营基础信息!T27</f>
        <v>78</v>
      </c>
      <c r="U27" s="30">
        <f>[2]村县营基础信息!U27</f>
        <v>77.22</v>
      </c>
      <c r="V27" s="30">
        <f>[2]村县营基础信息!V27</f>
        <v>76.44</v>
      </c>
      <c r="W27" s="30">
        <f>[2]村县营基础信息!W27</f>
        <v>75.66</v>
      </c>
      <c r="X27" s="30">
        <f>[2]村县营基础信息!X27</f>
        <v>74.099999999999994</v>
      </c>
      <c r="Y27" s="23"/>
      <c r="AA27" s="21">
        <v>1</v>
      </c>
      <c r="AB27" s="4">
        <v>20</v>
      </c>
      <c r="AC27" s="30">
        <f>[2]村县营基础信息!AC27</f>
        <v>78</v>
      </c>
      <c r="AD27" s="30">
        <f>[2]村县营基础信息!AD27</f>
        <v>77.22</v>
      </c>
      <c r="AE27" s="30">
        <f>[2]村县营基础信息!AE27</f>
        <v>76.44</v>
      </c>
      <c r="AF27" s="30">
        <f>[2]村县营基础信息!AF27</f>
        <v>75.66</v>
      </c>
      <c r="AG27" s="30">
        <f>[2]村县营基础信息!AG27</f>
        <v>74.099999999999994</v>
      </c>
      <c r="AH27" s="22"/>
      <c r="AJ27" s="26">
        <v>5</v>
      </c>
      <c r="AK27" s="26">
        <v>20</v>
      </c>
      <c r="AL27" s="30">
        <f>[2]村县营基础信息!AL27</f>
        <v>83</v>
      </c>
      <c r="AM27" s="30">
        <f>[2]村县营基础信息!AM27</f>
        <v>81.303546379802981</v>
      </c>
      <c r="AN27" s="30">
        <f>[2]村县营基础信息!AN27</f>
        <v>79.154436679034504</v>
      </c>
      <c r="AO27" s="30">
        <f>[2]村县营基础信息!AO27</f>
        <v>75.193814234627212</v>
      </c>
      <c r="AP27" s="30">
        <f>[2]村县营基础信息!AP27</f>
        <v>73.789369473692815</v>
      </c>
    </row>
    <row r="28" spans="2:42" x14ac:dyDescent="0.15">
      <c r="B28" s="15">
        <v>20</v>
      </c>
      <c r="C28" s="15" t="s">
        <v>51</v>
      </c>
      <c r="D28" s="31">
        <f>[2]村县营基础信息!D28</f>
        <v>8</v>
      </c>
      <c r="E28" s="31">
        <f>[2]村县营基础信息!E28</f>
        <v>1</v>
      </c>
      <c r="F28" s="31">
        <f>[2]村县营基础信息!F28</f>
        <v>4</v>
      </c>
      <c r="G28" s="31">
        <f>[2]村县营基础信息!G28</f>
        <v>0</v>
      </c>
      <c r="J28" s="4">
        <v>21</v>
      </c>
      <c r="K28" s="30">
        <f>[2]村县营基础信息!K28</f>
        <v>84</v>
      </c>
      <c r="L28" s="30">
        <f>[2]村县营基础信息!L28</f>
        <v>83.16</v>
      </c>
      <c r="M28" s="30">
        <f>[2]村县营基础信息!M28</f>
        <v>82.32</v>
      </c>
      <c r="N28" s="30">
        <f>[2]村县营基础信息!N28</f>
        <v>81.48</v>
      </c>
      <c r="O28" s="30">
        <f>[2]村县营基础信息!O28</f>
        <v>79.8</v>
      </c>
      <c r="R28" s="23"/>
      <c r="S28" s="4">
        <v>21</v>
      </c>
      <c r="T28" s="30">
        <f>[2]村县营基础信息!T28</f>
        <v>84</v>
      </c>
      <c r="U28" s="30">
        <f>[2]村县营基础信息!U28</f>
        <v>83.16</v>
      </c>
      <c r="V28" s="30">
        <f>[2]村县营基础信息!V28</f>
        <v>82.32</v>
      </c>
      <c r="W28" s="30">
        <f>[2]村县营基础信息!W28</f>
        <v>81.48</v>
      </c>
      <c r="X28" s="30">
        <f>[2]村县营基础信息!X28</f>
        <v>79.8</v>
      </c>
      <c r="Y28" s="23"/>
      <c r="AA28" s="21"/>
      <c r="AB28" s="4">
        <v>21</v>
      </c>
      <c r="AC28" s="30">
        <f>[2]村县营基础信息!AC28</f>
        <v>84</v>
      </c>
      <c r="AD28" s="30">
        <f>[2]村县营基础信息!AD28</f>
        <v>83.16</v>
      </c>
      <c r="AE28" s="30">
        <f>[2]村县营基础信息!AE28</f>
        <v>82.32</v>
      </c>
      <c r="AF28" s="30">
        <f>[2]村县营基础信息!AF28</f>
        <v>81.48</v>
      </c>
      <c r="AG28" s="30">
        <f>[2]村县营基础信息!AG28</f>
        <v>79.8</v>
      </c>
      <c r="AH28" s="22"/>
      <c r="AJ28" s="26">
        <v>5</v>
      </c>
      <c r="AK28" s="26">
        <v>21</v>
      </c>
      <c r="AL28" s="30">
        <f>[2]村县营基础信息!AL28</f>
        <v>89</v>
      </c>
      <c r="AM28" s="30">
        <f>[2]村县营基础信息!AM28</f>
        <v>87.018651273874212</v>
      </c>
      <c r="AN28" s="30">
        <f>[2]村县营基础信息!AN28</f>
        <v>84.852100643997147</v>
      </c>
      <c r="AO28" s="30">
        <f>[2]村县营基础信息!AO28</f>
        <v>80.120832302773195</v>
      </c>
      <c r="AP28" s="30">
        <f>[2]村县营基础信息!AP28</f>
        <v>78.505335515885989</v>
      </c>
    </row>
  </sheetData>
  <mergeCells count="5">
    <mergeCell ref="AC6:AG6"/>
    <mergeCell ref="T6:X6"/>
    <mergeCell ref="K6:O6"/>
    <mergeCell ref="D6:G6"/>
    <mergeCell ref="AL6:AP6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资源-材料1</vt:lpstr>
      <vt:lpstr>节奏总纲</vt:lpstr>
      <vt:lpstr>基础状态预期</vt:lpstr>
      <vt:lpstr>协作币产出情况</vt:lpstr>
      <vt:lpstr>协作币产消关系</vt:lpstr>
      <vt:lpstr>食邑产出协作币</vt:lpstr>
      <vt:lpstr>村县营基础信息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2022-04-28T06:48:04Z</dcterms:modified>
</cp:coreProperties>
</file>