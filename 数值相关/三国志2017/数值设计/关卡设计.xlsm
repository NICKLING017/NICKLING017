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F:\slg_cehua\trunk\数值文档\数值设计\"/>
    </mc:Choice>
  </mc:AlternateContent>
  <xr:revisionPtr revIDLastSave="0" documentId="13_ncr:1_{9BBF7AA0-7B87-42C5-9183-DB8BF68EA0B2}" xr6:coauthVersionLast="45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其他调用" sheetId="3" r:id="rId1"/>
    <sheet name="BOSS通用模板" sheetId="2" r:id="rId2"/>
    <sheet name="军团BOSS模板" sheetId="4" r:id="rId3"/>
    <sheet name="入侵BOSS模板" sheetId="5" r:id="rId4"/>
    <sheet name="BOSS战模型设计" sheetId="1" r:id="rId5"/>
  </sheets>
  <functionGroups builtInGroupCount="19"/>
  <externalReferences>
    <externalReference r:id="rId6"/>
    <externalReference r:id="rId7"/>
    <externalReference r:id="rId8"/>
    <externalReference r:id="rId9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07" i="5" l="1"/>
  <c r="F107" i="5"/>
  <c r="H107" i="5"/>
  <c r="I107" i="5"/>
  <c r="J107" i="5"/>
  <c r="K107" i="5"/>
  <c r="A108" i="5"/>
  <c r="F108" i="5"/>
  <c r="H108" i="5"/>
  <c r="I108" i="5"/>
  <c r="J108" i="5"/>
  <c r="K108" i="5" s="1"/>
  <c r="A109" i="5"/>
  <c r="F109" i="5"/>
  <c r="H109" i="5"/>
  <c r="I109" i="5"/>
  <c r="J109" i="5"/>
  <c r="A96" i="5"/>
  <c r="F96" i="5"/>
  <c r="H96" i="5"/>
  <c r="J96" i="5" s="1"/>
  <c r="K96" i="5" s="1"/>
  <c r="I96" i="5"/>
  <c r="A97" i="5"/>
  <c r="F97" i="5"/>
  <c r="H97" i="5"/>
  <c r="I97" i="5"/>
  <c r="J97" i="5"/>
  <c r="A98" i="5"/>
  <c r="F98" i="5"/>
  <c r="H98" i="5"/>
  <c r="I98" i="5"/>
  <c r="J98" i="5"/>
  <c r="A99" i="5"/>
  <c r="F99" i="5"/>
  <c r="H99" i="5"/>
  <c r="J99" i="5" s="1"/>
  <c r="K99" i="5" s="1"/>
  <c r="I99" i="5"/>
  <c r="A100" i="5"/>
  <c r="F100" i="5"/>
  <c r="H100" i="5"/>
  <c r="J100" i="5" s="1"/>
  <c r="I100" i="5"/>
  <c r="A101" i="5"/>
  <c r="F101" i="5"/>
  <c r="H101" i="5"/>
  <c r="J101" i="5" s="1"/>
  <c r="I101" i="5"/>
  <c r="A102" i="5"/>
  <c r="F102" i="5"/>
  <c r="H102" i="5"/>
  <c r="J102" i="5" s="1"/>
  <c r="I102" i="5"/>
  <c r="A103" i="5"/>
  <c r="F103" i="5"/>
  <c r="H103" i="5"/>
  <c r="J103" i="5" s="1"/>
  <c r="I103" i="5"/>
  <c r="A104" i="5"/>
  <c r="F104" i="5"/>
  <c r="H104" i="5"/>
  <c r="J104" i="5" s="1"/>
  <c r="I104" i="5"/>
  <c r="A105" i="5"/>
  <c r="F105" i="5"/>
  <c r="H105" i="5"/>
  <c r="I105" i="5"/>
  <c r="J105" i="5"/>
  <c r="A106" i="5"/>
  <c r="F106" i="5"/>
  <c r="H106" i="5"/>
  <c r="I106" i="5"/>
  <c r="J106" i="5"/>
  <c r="K106" i="5"/>
  <c r="K98" i="5" l="1"/>
  <c r="K97" i="5"/>
  <c r="K109" i="5"/>
  <c r="K101" i="5"/>
  <c r="K105" i="5"/>
  <c r="K100" i="5"/>
  <c r="K104" i="5"/>
  <c r="K102" i="5"/>
  <c r="K103" i="5"/>
  <c r="A62" i="5"/>
  <c r="F62" i="5"/>
  <c r="H62" i="5"/>
  <c r="I62" i="5"/>
  <c r="J62" i="5"/>
  <c r="A63" i="5"/>
  <c r="F63" i="5"/>
  <c r="H63" i="5"/>
  <c r="I63" i="5"/>
  <c r="J63" i="5"/>
  <c r="A64" i="5"/>
  <c r="F64" i="5"/>
  <c r="H64" i="5"/>
  <c r="I64" i="5"/>
  <c r="J64" i="5"/>
  <c r="A65" i="5"/>
  <c r="F65" i="5"/>
  <c r="H65" i="5"/>
  <c r="J65" i="5" s="1"/>
  <c r="I65" i="5"/>
  <c r="A66" i="5"/>
  <c r="F66" i="5"/>
  <c r="H66" i="5"/>
  <c r="J66" i="5" s="1"/>
  <c r="I66" i="5"/>
  <c r="A67" i="5"/>
  <c r="F67" i="5"/>
  <c r="H67" i="5"/>
  <c r="I67" i="5"/>
  <c r="J67" i="5"/>
  <c r="A68" i="5"/>
  <c r="F68" i="5"/>
  <c r="H68" i="5"/>
  <c r="J68" i="5" s="1"/>
  <c r="K68" i="5" s="1"/>
  <c r="I68" i="5"/>
  <c r="A69" i="5"/>
  <c r="F69" i="5"/>
  <c r="H69" i="5"/>
  <c r="J69" i="5" s="1"/>
  <c r="I69" i="5"/>
  <c r="A70" i="5"/>
  <c r="F70" i="5"/>
  <c r="H70" i="5"/>
  <c r="I70" i="5"/>
  <c r="J70" i="5"/>
  <c r="A71" i="5"/>
  <c r="F71" i="5"/>
  <c r="H71" i="5"/>
  <c r="I71" i="5"/>
  <c r="J71" i="5"/>
  <c r="A72" i="5"/>
  <c r="F72" i="5"/>
  <c r="H72" i="5"/>
  <c r="J72" i="5" s="1"/>
  <c r="I72" i="5"/>
  <c r="A73" i="5"/>
  <c r="F73" i="5"/>
  <c r="H73" i="5"/>
  <c r="J73" i="5" s="1"/>
  <c r="I73" i="5"/>
  <c r="A74" i="5"/>
  <c r="F74" i="5"/>
  <c r="H74" i="5"/>
  <c r="I74" i="5"/>
  <c r="J74" i="5"/>
  <c r="A75" i="5"/>
  <c r="F75" i="5"/>
  <c r="H75" i="5"/>
  <c r="I75" i="5"/>
  <c r="J75" i="5"/>
  <c r="K75" i="5" s="1"/>
  <c r="K67" i="5" l="1"/>
  <c r="K73" i="5"/>
  <c r="K63" i="5"/>
  <c r="K71" i="5"/>
  <c r="K74" i="5"/>
  <c r="K65" i="5"/>
  <c r="K70" i="5"/>
  <c r="K62" i="5"/>
  <c r="K64" i="5"/>
  <c r="K72" i="5"/>
  <c r="K66" i="5"/>
  <c r="K69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D28" i="5" l="1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F12" i="5" l="1"/>
  <c r="D8" i="3" l="1"/>
  <c r="E8" i="3"/>
  <c r="F8" i="3"/>
  <c r="G8" i="3"/>
  <c r="H8" i="3"/>
  <c r="D9" i="3"/>
  <c r="E9" i="3"/>
  <c r="F9" i="3"/>
  <c r="G9" i="3"/>
  <c r="H9" i="3"/>
  <c r="D10" i="3"/>
  <c r="E10" i="3"/>
  <c r="F10" i="3"/>
  <c r="G10" i="3"/>
  <c r="H10" i="3"/>
  <c r="D11" i="3"/>
  <c r="E11" i="3"/>
  <c r="F11" i="3"/>
  <c r="G11" i="3"/>
  <c r="H11" i="3"/>
  <c r="D12" i="3"/>
  <c r="E12" i="3"/>
  <c r="F12" i="3"/>
  <c r="G12" i="3"/>
  <c r="H12" i="3"/>
  <c r="D13" i="3"/>
  <c r="E13" i="3"/>
  <c r="F13" i="3"/>
  <c r="G13" i="3"/>
  <c r="H13" i="3"/>
  <c r="D14" i="3"/>
  <c r="E14" i="3"/>
  <c r="F14" i="3"/>
  <c r="G14" i="3"/>
  <c r="H14" i="3"/>
  <c r="D15" i="3"/>
  <c r="E15" i="3"/>
  <c r="F15" i="3"/>
  <c r="G15" i="3"/>
  <c r="H15" i="3"/>
  <c r="D16" i="3"/>
  <c r="E16" i="3"/>
  <c r="F16" i="3"/>
  <c r="G16" i="3"/>
  <c r="H16" i="3"/>
  <c r="D17" i="3"/>
  <c r="E17" i="3"/>
  <c r="F17" i="3"/>
  <c r="G17" i="3"/>
  <c r="H17" i="3"/>
  <c r="D18" i="3"/>
  <c r="E18" i="3"/>
  <c r="F18" i="3"/>
  <c r="G18" i="3"/>
  <c r="H18" i="3"/>
  <c r="D19" i="3"/>
  <c r="E19" i="3"/>
  <c r="F19" i="3"/>
  <c r="G19" i="3"/>
  <c r="H19" i="3"/>
  <c r="D20" i="3"/>
  <c r="E20" i="3"/>
  <c r="F20" i="3"/>
  <c r="G20" i="3"/>
  <c r="H20" i="3"/>
  <c r="D21" i="3"/>
  <c r="E21" i="3"/>
  <c r="F21" i="3"/>
  <c r="G21" i="3"/>
  <c r="H21" i="3"/>
  <c r="D22" i="3"/>
  <c r="E22" i="3"/>
  <c r="F22" i="3"/>
  <c r="G22" i="3"/>
  <c r="H22" i="3"/>
  <c r="D23" i="3"/>
  <c r="E23" i="3"/>
  <c r="F23" i="3"/>
  <c r="G23" i="3"/>
  <c r="H23" i="3"/>
  <c r="D24" i="3"/>
  <c r="E24" i="3"/>
  <c r="F24" i="3"/>
  <c r="G24" i="3"/>
  <c r="H24" i="3"/>
  <c r="D25" i="3"/>
  <c r="E25" i="3"/>
  <c r="F25" i="3"/>
  <c r="G25" i="3"/>
  <c r="H25" i="3"/>
  <c r="D26" i="3"/>
  <c r="E26" i="3"/>
  <c r="F26" i="3"/>
  <c r="G26" i="3"/>
  <c r="H26" i="3"/>
  <c r="D27" i="3"/>
  <c r="E27" i="3"/>
  <c r="F27" i="3"/>
  <c r="G27" i="3"/>
  <c r="H27" i="3"/>
  <c r="D28" i="3"/>
  <c r="E28" i="3"/>
  <c r="F28" i="3"/>
  <c r="G28" i="3"/>
  <c r="H28" i="3"/>
  <c r="D29" i="3"/>
  <c r="E29" i="3"/>
  <c r="F29" i="3"/>
  <c r="G29" i="3"/>
  <c r="H29" i="3"/>
  <c r="D30" i="3"/>
  <c r="E30" i="3"/>
  <c r="F30" i="3"/>
  <c r="G30" i="3"/>
  <c r="H30" i="3"/>
  <c r="D31" i="3"/>
  <c r="E31" i="3"/>
  <c r="F31" i="3"/>
  <c r="G31" i="3"/>
  <c r="H31" i="3"/>
  <c r="D32" i="3"/>
  <c r="E32" i="3"/>
  <c r="F32" i="3"/>
  <c r="G32" i="3"/>
  <c r="H32" i="3"/>
  <c r="D33" i="3"/>
  <c r="E33" i="3"/>
  <c r="F33" i="3"/>
  <c r="G33" i="3"/>
  <c r="H33" i="3"/>
  <c r="D34" i="3"/>
  <c r="E34" i="3"/>
  <c r="F34" i="3"/>
  <c r="G34" i="3"/>
  <c r="H34" i="3"/>
  <c r="D35" i="3"/>
  <c r="E35" i="3"/>
  <c r="F35" i="3"/>
  <c r="G35" i="3"/>
  <c r="H35" i="3"/>
  <c r="D36" i="3"/>
  <c r="E36" i="3"/>
  <c r="F36" i="3"/>
  <c r="G36" i="3"/>
  <c r="H36" i="3"/>
  <c r="D37" i="3"/>
  <c r="E37" i="3"/>
  <c r="F37" i="3"/>
  <c r="G37" i="3"/>
  <c r="H37" i="3"/>
  <c r="D38" i="3"/>
  <c r="E38" i="3"/>
  <c r="F38" i="3"/>
  <c r="G38" i="3"/>
  <c r="H38" i="3"/>
  <c r="D39" i="3"/>
  <c r="E39" i="3"/>
  <c r="F39" i="3"/>
  <c r="G39" i="3"/>
  <c r="H39" i="3"/>
  <c r="D40" i="3"/>
  <c r="E40" i="3"/>
  <c r="F40" i="3"/>
  <c r="G40" i="3"/>
  <c r="H40" i="3"/>
  <c r="D41" i="3"/>
  <c r="E41" i="3"/>
  <c r="F41" i="3"/>
  <c r="G41" i="3"/>
  <c r="H41" i="3"/>
  <c r="D42" i="3"/>
  <c r="E42" i="3"/>
  <c r="F42" i="3"/>
  <c r="G42" i="3"/>
  <c r="H42" i="3"/>
  <c r="D43" i="3"/>
  <c r="E43" i="3"/>
  <c r="F43" i="3"/>
  <c r="G43" i="3"/>
  <c r="H43" i="3"/>
  <c r="D44" i="3"/>
  <c r="E44" i="3"/>
  <c r="F44" i="3"/>
  <c r="G44" i="3"/>
  <c r="H44" i="3"/>
  <c r="D45" i="3"/>
  <c r="E45" i="3"/>
  <c r="F45" i="3"/>
  <c r="G45" i="3"/>
  <c r="H45" i="3"/>
  <c r="D46" i="3"/>
  <c r="E46" i="3"/>
  <c r="F46" i="3"/>
  <c r="G46" i="3"/>
  <c r="H46" i="3"/>
  <c r="D47" i="3"/>
  <c r="E47" i="3"/>
  <c r="F47" i="3"/>
  <c r="G47" i="3"/>
  <c r="H47" i="3"/>
  <c r="D48" i="3"/>
  <c r="E48" i="3"/>
  <c r="F48" i="3"/>
  <c r="G48" i="3"/>
  <c r="H48" i="3"/>
  <c r="D49" i="3"/>
  <c r="E49" i="3"/>
  <c r="F49" i="3"/>
  <c r="G49" i="3"/>
  <c r="H49" i="3"/>
  <c r="D50" i="3"/>
  <c r="E50" i="3"/>
  <c r="F50" i="3"/>
  <c r="G50" i="3"/>
  <c r="H50" i="3"/>
  <c r="D51" i="3"/>
  <c r="E51" i="3"/>
  <c r="F51" i="3"/>
  <c r="G51" i="3"/>
  <c r="H51" i="3"/>
  <c r="D52" i="3"/>
  <c r="E52" i="3"/>
  <c r="F52" i="3"/>
  <c r="G52" i="3"/>
  <c r="H52" i="3"/>
  <c r="D53" i="3"/>
  <c r="E53" i="3"/>
  <c r="F53" i="3"/>
  <c r="G53" i="3"/>
  <c r="H53" i="3"/>
  <c r="D54" i="3"/>
  <c r="E54" i="3"/>
  <c r="F54" i="3"/>
  <c r="G54" i="3"/>
  <c r="H54" i="3"/>
  <c r="D55" i="3"/>
  <c r="E55" i="3"/>
  <c r="F55" i="3"/>
  <c r="G55" i="3"/>
  <c r="H55" i="3"/>
  <c r="D56" i="3"/>
  <c r="E56" i="3"/>
  <c r="F56" i="3"/>
  <c r="G56" i="3"/>
  <c r="H56" i="3"/>
  <c r="D57" i="3"/>
  <c r="E57" i="3"/>
  <c r="F57" i="3"/>
  <c r="G57" i="3"/>
  <c r="H57" i="3"/>
  <c r="D58" i="3"/>
  <c r="E58" i="3"/>
  <c r="F58" i="3"/>
  <c r="G58" i="3"/>
  <c r="H58" i="3"/>
  <c r="D59" i="3"/>
  <c r="E59" i="3"/>
  <c r="F59" i="3"/>
  <c r="G59" i="3"/>
  <c r="H59" i="3"/>
  <c r="D60" i="3"/>
  <c r="E60" i="3"/>
  <c r="F60" i="3"/>
  <c r="G60" i="3"/>
  <c r="H60" i="3"/>
  <c r="D61" i="3"/>
  <c r="E61" i="3"/>
  <c r="F61" i="3"/>
  <c r="G61" i="3"/>
  <c r="H61" i="3"/>
  <c r="D62" i="3"/>
  <c r="E62" i="3"/>
  <c r="F62" i="3"/>
  <c r="G62" i="3"/>
  <c r="H62" i="3"/>
  <c r="D63" i="3"/>
  <c r="E63" i="3"/>
  <c r="F63" i="3"/>
  <c r="G63" i="3"/>
  <c r="H63" i="3"/>
  <c r="D64" i="3"/>
  <c r="E64" i="3"/>
  <c r="F64" i="3"/>
  <c r="G64" i="3"/>
  <c r="H64" i="3"/>
  <c r="D65" i="3"/>
  <c r="E65" i="3"/>
  <c r="F65" i="3"/>
  <c r="G65" i="3"/>
  <c r="H65" i="3"/>
  <c r="D66" i="3"/>
  <c r="E66" i="3"/>
  <c r="F66" i="3"/>
  <c r="G66" i="3"/>
  <c r="H66" i="3"/>
  <c r="D67" i="3"/>
  <c r="E67" i="3"/>
  <c r="F67" i="3"/>
  <c r="G67" i="3"/>
  <c r="H67" i="3"/>
  <c r="D68" i="3"/>
  <c r="E68" i="3"/>
  <c r="F68" i="3"/>
  <c r="G68" i="3"/>
  <c r="H68" i="3"/>
  <c r="D69" i="3"/>
  <c r="E69" i="3"/>
  <c r="F69" i="3"/>
  <c r="G69" i="3"/>
  <c r="H69" i="3"/>
  <c r="D70" i="3"/>
  <c r="E70" i="3"/>
  <c r="F70" i="3"/>
  <c r="G70" i="3"/>
  <c r="H70" i="3"/>
  <c r="D71" i="3"/>
  <c r="E71" i="3"/>
  <c r="F71" i="3"/>
  <c r="G71" i="3"/>
  <c r="H71" i="3"/>
  <c r="D72" i="3"/>
  <c r="E72" i="3"/>
  <c r="F72" i="3"/>
  <c r="G72" i="3"/>
  <c r="H72" i="3"/>
  <c r="D73" i="3"/>
  <c r="E73" i="3"/>
  <c r="F73" i="3"/>
  <c r="G73" i="3"/>
  <c r="H73" i="3"/>
  <c r="D74" i="3"/>
  <c r="E74" i="3"/>
  <c r="F74" i="3"/>
  <c r="G74" i="3"/>
  <c r="H74" i="3"/>
  <c r="D75" i="3"/>
  <c r="E75" i="3"/>
  <c r="F75" i="3"/>
  <c r="G75" i="3"/>
  <c r="H75" i="3"/>
  <c r="D76" i="3"/>
  <c r="E76" i="3"/>
  <c r="F76" i="3"/>
  <c r="G76" i="3"/>
  <c r="H76" i="3"/>
  <c r="D77" i="3"/>
  <c r="E77" i="3"/>
  <c r="F77" i="3"/>
  <c r="G77" i="3"/>
  <c r="H77" i="3"/>
  <c r="D78" i="3"/>
  <c r="E78" i="3"/>
  <c r="F78" i="3"/>
  <c r="G78" i="3"/>
  <c r="H78" i="3"/>
  <c r="D79" i="3"/>
  <c r="E79" i="3"/>
  <c r="F79" i="3"/>
  <c r="G79" i="3"/>
  <c r="H79" i="3"/>
  <c r="D80" i="3"/>
  <c r="E80" i="3"/>
  <c r="F80" i="3"/>
  <c r="G80" i="3"/>
  <c r="H80" i="3"/>
  <c r="D81" i="3"/>
  <c r="E81" i="3"/>
  <c r="F81" i="3"/>
  <c r="G81" i="3"/>
  <c r="H81" i="3"/>
  <c r="D82" i="3"/>
  <c r="E82" i="3"/>
  <c r="F82" i="3"/>
  <c r="G82" i="3"/>
  <c r="H82" i="3"/>
  <c r="D83" i="3"/>
  <c r="E83" i="3"/>
  <c r="F83" i="3"/>
  <c r="G83" i="3"/>
  <c r="H83" i="3"/>
  <c r="D84" i="3"/>
  <c r="E84" i="3"/>
  <c r="F84" i="3"/>
  <c r="G84" i="3"/>
  <c r="H84" i="3"/>
  <c r="D85" i="3"/>
  <c r="E85" i="3"/>
  <c r="F85" i="3"/>
  <c r="G85" i="3"/>
  <c r="H85" i="3"/>
  <c r="D86" i="3"/>
  <c r="E86" i="3"/>
  <c r="F86" i="3"/>
  <c r="G86" i="3"/>
  <c r="H86" i="3"/>
  <c r="D87" i="3"/>
  <c r="E87" i="3"/>
  <c r="F87" i="3"/>
  <c r="G87" i="3"/>
  <c r="H87" i="3"/>
  <c r="D88" i="3"/>
  <c r="E88" i="3"/>
  <c r="F88" i="3"/>
  <c r="G88" i="3"/>
  <c r="H88" i="3"/>
  <c r="D89" i="3"/>
  <c r="E89" i="3"/>
  <c r="F89" i="3"/>
  <c r="G89" i="3"/>
  <c r="H89" i="3"/>
  <c r="D90" i="3"/>
  <c r="E90" i="3"/>
  <c r="F90" i="3"/>
  <c r="G90" i="3"/>
  <c r="H90" i="3"/>
  <c r="D91" i="3"/>
  <c r="E91" i="3"/>
  <c r="F91" i="3"/>
  <c r="G91" i="3"/>
  <c r="H91" i="3"/>
  <c r="D92" i="3"/>
  <c r="E92" i="3"/>
  <c r="F92" i="3"/>
  <c r="G92" i="3"/>
  <c r="H92" i="3"/>
  <c r="D93" i="3"/>
  <c r="E93" i="3"/>
  <c r="F93" i="3"/>
  <c r="G93" i="3"/>
  <c r="H93" i="3"/>
  <c r="D94" i="3"/>
  <c r="E94" i="3"/>
  <c r="F94" i="3"/>
  <c r="G94" i="3"/>
  <c r="H94" i="3"/>
  <c r="D95" i="3"/>
  <c r="E95" i="3"/>
  <c r="F95" i="3"/>
  <c r="G95" i="3"/>
  <c r="H95" i="3"/>
  <c r="D96" i="3"/>
  <c r="E96" i="3"/>
  <c r="F96" i="3"/>
  <c r="G96" i="3"/>
  <c r="H96" i="3"/>
  <c r="D97" i="3"/>
  <c r="E97" i="3"/>
  <c r="F97" i="3"/>
  <c r="G97" i="3"/>
  <c r="H97" i="3"/>
  <c r="D98" i="3"/>
  <c r="E98" i="3"/>
  <c r="F98" i="3"/>
  <c r="G98" i="3"/>
  <c r="H98" i="3"/>
  <c r="D99" i="3"/>
  <c r="E99" i="3"/>
  <c r="F99" i="3"/>
  <c r="G99" i="3"/>
  <c r="H99" i="3"/>
  <c r="D100" i="3"/>
  <c r="E100" i="3"/>
  <c r="F100" i="3"/>
  <c r="G100" i="3"/>
  <c r="H100" i="3"/>
  <c r="D101" i="3"/>
  <c r="E101" i="3"/>
  <c r="F101" i="3"/>
  <c r="G101" i="3"/>
  <c r="H101" i="3"/>
  <c r="D102" i="3"/>
  <c r="E102" i="3"/>
  <c r="F102" i="3"/>
  <c r="G102" i="3"/>
  <c r="H102" i="3"/>
  <c r="D103" i="3"/>
  <c r="E103" i="3"/>
  <c r="F103" i="3"/>
  <c r="G103" i="3"/>
  <c r="H103" i="3"/>
  <c r="D104" i="3"/>
  <c r="E104" i="3"/>
  <c r="F104" i="3"/>
  <c r="G104" i="3"/>
  <c r="H104" i="3"/>
  <c r="D105" i="3"/>
  <c r="E105" i="3"/>
  <c r="F105" i="3"/>
  <c r="G105" i="3"/>
  <c r="H105" i="3"/>
  <c r="D106" i="3"/>
  <c r="E106" i="3"/>
  <c r="F106" i="3"/>
  <c r="G106" i="3"/>
  <c r="H106" i="3"/>
  <c r="D107" i="3"/>
  <c r="E107" i="3"/>
  <c r="F107" i="3"/>
  <c r="G107" i="3"/>
  <c r="H107" i="3"/>
  <c r="D108" i="3"/>
  <c r="E108" i="3"/>
  <c r="F108" i="3"/>
  <c r="G108" i="3"/>
  <c r="H108" i="3"/>
  <c r="D109" i="3"/>
  <c r="E109" i="3"/>
  <c r="F109" i="3"/>
  <c r="G109" i="3"/>
  <c r="H109" i="3"/>
  <c r="D110" i="3"/>
  <c r="E110" i="3"/>
  <c r="F110" i="3"/>
  <c r="G110" i="3"/>
  <c r="H110" i="3"/>
  <c r="D111" i="3"/>
  <c r="E111" i="3"/>
  <c r="F111" i="3"/>
  <c r="G111" i="3"/>
  <c r="H111" i="3"/>
  <c r="D112" i="3"/>
  <c r="E112" i="3"/>
  <c r="F112" i="3"/>
  <c r="G112" i="3"/>
  <c r="H112" i="3"/>
  <c r="D113" i="3"/>
  <c r="E113" i="3"/>
  <c r="F113" i="3"/>
  <c r="G113" i="3"/>
  <c r="H113" i="3"/>
  <c r="D114" i="3"/>
  <c r="E114" i="3"/>
  <c r="F114" i="3"/>
  <c r="G114" i="3"/>
  <c r="H114" i="3"/>
  <c r="D115" i="3"/>
  <c r="E115" i="3"/>
  <c r="F115" i="3"/>
  <c r="G115" i="3"/>
  <c r="H115" i="3"/>
  <c r="D116" i="3"/>
  <c r="E116" i="3"/>
  <c r="F116" i="3"/>
  <c r="G116" i="3"/>
  <c r="H116" i="3"/>
  <c r="D117" i="3"/>
  <c r="E117" i="3"/>
  <c r="F117" i="3"/>
  <c r="G117" i="3"/>
  <c r="H117" i="3"/>
  <c r="D118" i="3"/>
  <c r="E118" i="3"/>
  <c r="F118" i="3"/>
  <c r="G118" i="3"/>
  <c r="H118" i="3"/>
  <c r="D119" i="3"/>
  <c r="E119" i="3"/>
  <c r="F119" i="3"/>
  <c r="G119" i="3"/>
  <c r="H119" i="3"/>
  <c r="D120" i="3"/>
  <c r="E120" i="3"/>
  <c r="F120" i="3"/>
  <c r="G120" i="3"/>
  <c r="H120" i="3"/>
  <c r="D121" i="3"/>
  <c r="E121" i="3"/>
  <c r="F121" i="3"/>
  <c r="G121" i="3"/>
  <c r="H121" i="3"/>
  <c r="D122" i="3"/>
  <c r="E122" i="3"/>
  <c r="F122" i="3"/>
  <c r="G122" i="3"/>
  <c r="H122" i="3"/>
  <c r="D123" i="3"/>
  <c r="E123" i="3"/>
  <c r="F123" i="3"/>
  <c r="G123" i="3"/>
  <c r="H123" i="3"/>
  <c r="D124" i="3"/>
  <c r="E124" i="3"/>
  <c r="F124" i="3"/>
  <c r="G124" i="3"/>
  <c r="H124" i="3"/>
  <c r="D125" i="3"/>
  <c r="E125" i="3"/>
  <c r="F125" i="3"/>
  <c r="G125" i="3"/>
  <c r="H125" i="3"/>
  <c r="D126" i="3"/>
  <c r="E126" i="3"/>
  <c r="F126" i="3"/>
  <c r="G126" i="3"/>
  <c r="H126" i="3"/>
  <c r="D127" i="3"/>
  <c r="E127" i="3"/>
  <c r="F127" i="3"/>
  <c r="G127" i="3"/>
  <c r="H127" i="3"/>
  <c r="D128" i="3"/>
  <c r="E128" i="3"/>
  <c r="F128" i="3"/>
  <c r="G128" i="3"/>
  <c r="H128" i="3"/>
  <c r="D129" i="3"/>
  <c r="E129" i="3"/>
  <c r="F129" i="3"/>
  <c r="G129" i="3"/>
  <c r="H129" i="3"/>
  <c r="D130" i="3"/>
  <c r="E130" i="3"/>
  <c r="F130" i="3"/>
  <c r="G130" i="3"/>
  <c r="H130" i="3"/>
  <c r="D131" i="3"/>
  <c r="E131" i="3"/>
  <c r="F131" i="3"/>
  <c r="G131" i="3"/>
  <c r="H131" i="3"/>
  <c r="D132" i="3"/>
  <c r="E132" i="3"/>
  <c r="F132" i="3"/>
  <c r="G132" i="3"/>
  <c r="H132" i="3"/>
  <c r="D133" i="3"/>
  <c r="E133" i="3"/>
  <c r="F133" i="3"/>
  <c r="G133" i="3"/>
  <c r="H133" i="3"/>
  <c r="D134" i="3"/>
  <c r="E134" i="3"/>
  <c r="F134" i="3"/>
  <c r="G134" i="3"/>
  <c r="H134" i="3"/>
  <c r="D135" i="3"/>
  <c r="E135" i="3"/>
  <c r="F135" i="3"/>
  <c r="G135" i="3"/>
  <c r="H135" i="3"/>
  <c r="D136" i="3"/>
  <c r="E136" i="3"/>
  <c r="F136" i="3"/>
  <c r="G136" i="3"/>
  <c r="H136" i="3"/>
  <c r="D137" i="3"/>
  <c r="E137" i="3"/>
  <c r="F137" i="3"/>
  <c r="G137" i="3"/>
  <c r="H137" i="3"/>
  <c r="D138" i="3"/>
  <c r="E138" i="3"/>
  <c r="F138" i="3"/>
  <c r="G138" i="3"/>
  <c r="H138" i="3"/>
  <c r="D139" i="3"/>
  <c r="E139" i="3"/>
  <c r="F139" i="3"/>
  <c r="G139" i="3"/>
  <c r="H139" i="3"/>
  <c r="D140" i="3"/>
  <c r="E140" i="3"/>
  <c r="F140" i="3"/>
  <c r="G140" i="3"/>
  <c r="H140" i="3"/>
  <c r="D141" i="3"/>
  <c r="E141" i="3"/>
  <c r="F141" i="3"/>
  <c r="G141" i="3"/>
  <c r="H141" i="3"/>
  <c r="D142" i="3"/>
  <c r="E142" i="3"/>
  <c r="F142" i="3"/>
  <c r="G142" i="3"/>
  <c r="H142" i="3"/>
  <c r="D143" i="3"/>
  <c r="E143" i="3"/>
  <c r="F143" i="3"/>
  <c r="G143" i="3"/>
  <c r="H143" i="3"/>
  <c r="D144" i="3"/>
  <c r="E144" i="3"/>
  <c r="F144" i="3"/>
  <c r="G144" i="3"/>
  <c r="H144" i="3"/>
  <c r="D145" i="3"/>
  <c r="E145" i="3"/>
  <c r="F145" i="3"/>
  <c r="G145" i="3"/>
  <c r="H145" i="3"/>
  <c r="D146" i="3"/>
  <c r="E146" i="3"/>
  <c r="F146" i="3"/>
  <c r="G146" i="3"/>
  <c r="H146" i="3"/>
  <c r="D147" i="3"/>
  <c r="E147" i="3"/>
  <c r="F147" i="3"/>
  <c r="G147" i="3"/>
  <c r="H147" i="3"/>
  <c r="D148" i="3"/>
  <c r="E148" i="3"/>
  <c r="F148" i="3"/>
  <c r="G148" i="3"/>
  <c r="H148" i="3"/>
  <c r="D149" i="3"/>
  <c r="E149" i="3"/>
  <c r="F149" i="3"/>
  <c r="G149" i="3"/>
  <c r="H149" i="3"/>
  <c r="D150" i="3"/>
  <c r="E150" i="3"/>
  <c r="F150" i="3"/>
  <c r="G150" i="3"/>
  <c r="H150" i="3"/>
  <c r="D151" i="3"/>
  <c r="E151" i="3"/>
  <c r="F151" i="3"/>
  <c r="G151" i="3"/>
  <c r="H151" i="3"/>
  <c r="D152" i="3"/>
  <c r="E152" i="3"/>
  <c r="F152" i="3"/>
  <c r="G152" i="3"/>
  <c r="H152" i="3"/>
  <c r="D153" i="3"/>
  <c r="E153" i="3"/>
  <c r="F153" i="3"/>
  <c r="G153" i="3"/>
  <c r="H153" i="3"/>
  <c r="D154" i="3"/>
  <c r="E154" i="3"/>
  <c r="F154" i="3"/>
  <c r="G154" i="3"/>
  <c r="H154" i="3"/>
  <c r="D155" i="3"/>
  <c r="E155" i="3"/>
  <c r="F155" i="3"/>
  <c r="G155" i="3"/>
  <c r="H155" i="3"/>
  <c r="D156" i="3"/>
  <c r="E156" i="3"/>
  <c r="F156" i="3"/>
  <c r="G156" i="3"/>
  <c r="H156" i="3"/>
  <c r="D157" i="3"/>
  <c r="E157" i="3"/>
  <c r="F157" i="3"/>
  <c r="G157" i="3"/>
  <c r="H157" i="3"/>
  <c r="D158" i="3"/>
  <c r="E158" i="3"/>
  <c r="F158" i="3"/>
  <c r="G158" i="3"/>
  <c r="H158" i="3"/>
  <c r="D159" i="3"/>
  <c r="E159" i="3"/>
  <c r="F159" i="3"/>
  <c r="G159" i="3"/>
  <c r="H159" i="3"/>
  <c r="D160" i="3"/>
  <c r="E160" i="3"/>
  <c r="F160" i="3"/>
  <c r="G160" i="3"/>
  <c r="H160" i="3"/>
  <c r="D161" i="3"/>
  <c r="E161" i="3"/>
  <c r="F161" i="3"/>
  <c r="G161" i="3"/>
  <c r="H161" i="3"/>
  <c r="D162" i="3"/>
  <c r="E162" i="3"/>
  <c r="F162" i="3"/>
  <c r="G162" i="3"/>
  <c r="H162" i="3"/>
  <c r="D163" i="3"/>
  <c r="E163" i="3"/>
  <c r="F163" i="3"/>
  <c r="G163" i="3"/>
  <c r="H163" i="3"/>
  <c r="D164" i="3"/>
  <c r="E164" i="3"/>
  <c r="F164" i="3"/>
  <c r="G164" i="3"/>
  <c r="H164" i="3"/>
  <c r="D165" i="3"/>
  <c r="E165" i="3"/>
  <c r="F165" i="3"/>
  <c r="G165" i="3"/>
  <c r="H165" i="3"/>
  <c r="D166" i="3"/>
  <c r="E166" i="3"/>
  <c r="F166" i="3"/>
  <c r="G166" i="3"/>
  <c r="H166" i="3"/>
  <c r="L8" i="3"/>
  <c r="M8" i="3"/>
  <c r="N8" i="3"/>
  <c r="O8" i="3"/>
  <c r="P8" i="3"/>
  <c r="L9" i="3"/>
  <c r="M9" i="3"/>
  <c r="N9" i="3"/>
  <c r="O9" i="3"/>
  <c r="P9" i="3"/>
  <c r="L10" i="3"/>
  <c r="M10" i="3"/>
  <c r="N10" i="3"/>
  <c r="O10" i="3"/>
  <c r="P10" i="3"/>
  <c r="L11" i="3"/>
  <c r="M11" i="3"/>
  <c r="N11" i="3"/>
  <c r="O11" i="3"/>
  <c r="P11" i="3"/>
  <c r="L12" i="3"/>
  <c r="M12" i="3"/>
  <c r="N12" i="3"/>
  <c r="O12" i="3"/>
  <c r="P12" i="3"/>
  <c r="L13" i="3"/>
  <c r="M13" i="3"/>
  <c r="N13" i="3"/>
  <c r="O13" i="3"/>
  <c r="P13" i="3"/>
  <c r="L14" i="3"/>
  <c r="M14" i="3"/>
  <c r="N14" i="3"/>
  <c r="O14" i="3"/>
  <c r="P14" i="3"/>
  <c r="L15" i="3"/>
  <c r="M15" i="3"/>
  <c r="N15" i="3"/>
  <c r="O15" i="3"/>
  <c r="P15" i="3"/>
  <c r="L16" i="3"/>
  <c r="M16" i="3"/>
  <c r="N16" i="3"/>
  <c r="O16" i="3"/>
  <c r="P16" i="3"/>
  <c r="L17" i="3"/>
  <c r="M17" i="3"/>
  <c r="N17" i="3"/>
  <c r="O17" i="3"/>
  <c r="P17" i="3"/>
  <c r="L18" i="3"/>
  <c r="M18" i="3"/>
  <c r="N18" i="3"/>
  <c r="O18" i="3"/>
  <c r="P18" i="3"/>
  <c r="L19" i="3"/>
  <c r="M19" i="3"/>
  <c r="N19" i="3"/>
  <c r="O19" i="3"/>
  <c r="P19" i="3"/>
  <c r="L20" i="3"/>
  <c r="M20" i="3"/>
  <c r="N20" i="3"/>
  <c r="O20" i="3"/>
  <c r="P20" i="3"/>
  <c r="L21" i="3"/>
  <c r="M21" i="3"/>
  <c r="N21" i="3"/>
  <c r="O21" i="3"/>
  <c r="P21" i="3"/>
  <c r="L22" i="3"/>
  <c r="M22" i="3"/>
  <c r="N22" i="3"/>
  <c r="O22" i="3"/>
  <c r="P22" i="3"/>
  <c r="L23" i="3"/>
  <c r="M23" i="3"/>
  <c r="N23" i="3"/>
  <c r="O23" i="3"/>
  <c r="P23" i="3"/>
  <c r="L24" i="3"/>
  <c r="M24" i="3"/>
  <c r="N24" i="3"/>
  <c r="O24" i="3"/>
  <c r="P24" i="3"/>
  <c r="L25" i="3"/>
  <c r="M25" i="3"/>
  <c r="N25" i="3"/>
  <c r="O25" i="3"/>
  <c r="P25" i="3"/>
  <c r="L26" i="3"/>
  <c r="M26" i="3"/>
  <c r="N26" i="3"/>
  <c r="O26" i="3"/>
  <c r="P26" i="3"/>
  <c r="L27" i="3"/>
  <c r="M27" i="3"/>
  <c r="N27" i="3"/>
  <c r="O27" i="3"/>
  <c r="P27" i="3"/>
  <c r="L28" i="3"/>
  <c r="M28" i="3"/>
  <c r="N28" i="3"/>
  <c r="O28" i="3"/>
  <c r="P28" i="3"/>
  <c r="L29" i="3"/>
  <c r="M29" i="3"/>
  <c r="N29" i="3"/>
  <c r="O29" i="3"/>
  <c r="P29" i="3"/>
  <c r="L30" i="3"/>
  <c r="M30" i="3"/>
  <c r="N30" i="3"/>
  <c r="O30" i="3"/>
  <c r="P30" i="3"/>
  <c r="L31" i="3"/>
  <c r="M31" i="3"/>
  <c r="N31" i="3"/>
  <c r="O31" i="3"/>
  <c r="P31" i="3"/>
  <c r="L32" i="3"/>
  <c r="M32" i="3"/>
  <c r="N32" i="3"/>
  <c r="O32" i="3"/>
  <c r="P32" i="3"/>
  <c r="L33" i="3"/>
  <c r="M33" i="3"/>
  <c r="N33" i="3"/>
  <c r="O33" i="3"/>
  <c r="P33" i="3"/>
  <c r="L34" i="3"/>
  <c r="M34" i="3"/>
  <c r="N34" i="3"/>
  <c r="O34" i="3"/>
  <c r="P34" i="3"/>
  <c r="L35" i="3"/>
  <c r="M35" i="3"/>
  <c r="N35" i="3"/>
  <c r="O35" i="3"/>
  <c r="P35" i="3"/>
  <c r="L36" i="3"/>
  <c r="M36" i="3"/>
  <c r="N36" i="3"/>
  <c r="O36" i="3"/>
  <c r="P36" i="3"/>
  <c r="L37" i="3"/>
  <c r="M37" i="3"/>
  <c r="N37" i="3"/>
  <c r="O37" i="3"/>
  <c r="P37" i="3"/>
  <c r="L38" i="3"/>
  <c r="M38" i="3"/>
  <c r="N38" i="3"/>
  <c r="O38" i="3"/>
  <c r="P38" i="3"/>
  <c r="L39" i="3"/>
  <c r="M39" i="3"/>
  <c r="N39" i="3"/>
  <c r="O39" i="3"/>
  <c r="P39" i="3"/>
  <c r="L40" i="3"/>
  <c r="M40" i="3"/>
  <c r="N40" i="3"/>
  <c r="O40" i="3"/>
  <c r="P40" i="3"/>
  <c r="L41" i="3"/>
  <c r="M41" i="3"/>
  <c r="N41" i="3"/>
  <c r="O41" i="3"/>
  <c r="P41" i="3"/>
  <c r="L42" i="3"/>
  <c r="M42" i="3"/>
  <c r="N42" i="3"/>
  <c r="O42" i="3"/>
  <c r="P42" i="3"/>
  <c r="L43" i="3"/>
  <c r="M43" i="3"/>
  <c r="N43" i="3"/>
  <c r="O43" i="3"/>
  <c r="P43" i="3"/>
  <c r="L44" i="3"/>
  <c r="M44" i="3"/>
  <c r="N44" i="3"/>
  <c r="O44" i="3"/>
  <c r="P44" i="3"/>
  <c r="L45" i="3"/>
  <c r="M45" i="3"/>
  <c r="N45" i="3"/>
  <c r="O45" i="3"/>
  <c r="P45" i="3"/>
  <c r="L46" i="3"/>
  <c r="M46" i="3"/>
  <c r="N46" i="3"/>
  <c r="O46" i="3"/>
  <c r="P46" i="3"/>
  <c r="L47" i="3"/>
  <c r="M47" i="3"/>
  <c r="N47" i="3"/>
  <c r="O47" i="3"/>
  <c r="P47" i="3"/>
  <c r="L48" i="3"/>
  <c r="M48" i="3"/>
  <c r="N48" i="3"/>
  <c r="O48" i="3"/>
  <c r="P48" i="3"/>
  <c r="L49" i="3"/>
  <c r="M49" i="3"/>
  <c r="N49" i="3"/>
  <c r="O49" i="3"/>
  <c r="P49" i="3"/>
  <c r="L50" i="3"/>
  <c r="M50" i="3"/>
  <c r="N50" i="3"/>
  <c r="O50" i="3"/>
  <c r="P50" i="3"/>
  <c r="L51" i="3"/>
  <c r="M51" i="3"/>
  <c r="N51" i="3"/>
  <c r="O51" i="3"/>
  <c r="P51" i="3"/>
  <c r="L52" i="3"/>
  <c r="M52" i="3"/>
  <c r="N52" i="3"/>
  <c r="O52" i="3"/>
  <c r="P52" i="3"/>
  <c r="L53" i="3"/>
  <c r="M53" i="3"/>
  <c r="N53" i="3"/>
  <c r="O53" i="3"/>
  <c r="P53" i="3"/>
  <c r="L54" i="3"/>
  <c r="M54" i="3"/>
  <c r="N54" i="3"/>
  <c r="O54" i="3"/>
  <c r="P54" i="3"/>
  <c r="L55" i="3"/>
  <c r="M55" i="3"/>
  <c r="N55" i="3"/>
  <c r="O55" i="3"/>
  <c r="P55" i="3"/>
  <c r="L56" i="3"/>
  <c r="M56" i="3"/>
  <c r="N56" i="3"/>
  <c r="O56" i="3"/>
  <c r="P56" i="3"/>
  <c r="L57" i="3"/>
  <c r="M57" i="3"/>
  <c r="N57" i="3"/>
  <c r="O57" i="3"/>
  <c r="P57" i="3"/>
  <c r="L58" i="3"/>
  <c r="M58" i="3"/>
  <c r="N58" i="3"/>
  <c r="O58" i="3"/>
  <c r="P58" i="3"/>
  <c r="L59" i="3"/>
  <c r="M59" i="3"/>
  <c r="N59" i="3"/>
  <c r="O59" i="3"/>
  <c r="P59" i="3"/>
  <c r="L60" i="3"/>
  <c r="M60" i="3"/>
  <c r="N60" i="3"/>
  <c r="O60" i="3"/>
  <c r="P60" i="3"/>
  <c r="L61" i="3"/>
  <c r="M61" i="3"/>
  <c r="N61" i="3"/>
  <c r="O61" i="3"/>
  <c r="P61" i="3"/>
  <c r="L62" i="3"/>
  <c r="M62" i="3"/>
  <c r="N62" i="3"/>
  <c r="O62" i="3"/>
  <c r="P62" i="3"/>
  <c r="L63" i="3"/>
  <c r="M63" i="3"/>
  <c r="N63" i="3"/>
  <c r="O63" i="3"/>
  <c r="P63" i="3"/>
  <c r="L64" i="3"/>
  <c r="M64" i="3"/>
  <c r="N64" i="3"/>
  <c r="O64" i="3"/>
  <c r="P64" i="3"/>
  <c r="L65" i="3"/>
  <c r="M65" i="3"/>
  <c r="N65" i="3"/>
  <c r="O65" i="3"/>
  <c r="P65" i="3"/>
  <c r="L66" i="3"/>
  <c r="M66" i="3"/>
  <c r="N66" i="3"/>
  <c r="O66" i="3"/>
  <c r="P66" i="3"/>
  <c r="L67" i="3"/>
  <c r="M67" i="3"/>
  <c r="N67" i="3"/>
  <c r="O67" i="3"/>
  <c r="P67" i="3"/>
  <c r="L68" i="3"/>
  <c r="M68" i="3"/>
  <c r="N68" i="3"/>
  <c r="O68" i="3"/>
  <c r="P68" i="3"/>
  <c r="L69" i="3"/>
  <c r="M69" i="3"/>
  <c r="N69" i="3"/>
  <c r="O69" i="3"/>
  <c r="P69" i="3"/>
  <c r="L70" i="3"/>
  <c r="M70" i="3"/>
  <c r="N70" i="3"/>
  <c r="O70" i="3"/>
  <c r="P70" i="3"/>
  <c r="L71" i="3"/>
  <c r="M71" i="3"/>
  <c r="N71" i="3"/>
  <c r="O71" i="3"/>
  <c r="P71" i="3"/>
  <c r="L72" i="3"/>
  <c r="M72" i="3"/>
  <c r="N72" i="3"/>
  <c r="O72" i="3"/>
  <c r="P72" i="3"/>
  <c r="L73" i="3"/>
  <c r="M73" i="3"/>
  <c r="N73" i="3"/>
  <c r="O73" i="3"/>
  <c r="P73" i="3"/>
  <c r="L74" i="3"/>
  <c r="M74" i="3"/>
  <c r="N74" i="3"/>
  <c r="O74" i="3"/>
  <c r="P74" i="3"/>
  <c r="L75" i="3"/>
  <c r="M75" i="3"/>
  <c r="N75" i="3"/>
  <c r="O75" i="3"/>
  <c r="P75" i="3"/>
  <c r="L76" i="3"/>
  <c r="M76" i="3"/>
  <c r="N76" i="3"/>
  <c r="O76" i="3"/>
  <c r="P76" i="3"/>
  <c r="L77" i="3"/>
  <c r="M77" i="3"/>
  <c r="N77" i="3"/>
  <c r="O77" i="3"/>
  <c r="P77" i="3"/>
  <c r="L78" i="3"/>
  <c r="M78" i="3"/>
  <c r="N78" i="3"/>
  <c r="O78" i="3"/>
  <c r="P78" i="3"/>
  <c r="L79" i="3"/>
  <c r="M79" i="3"/>
  <c r="N79" i="3"/>
  <c r="O79" i="3"/>
  <c r="P79" i="3"/>
  <c r="L80" i="3"/>
  <c r="M80" i="3"/>
  <c r="N80" i="3"/>
  <c r="O80" i="3"/>
  <c r="P80" i="3"/>
  <c r="L81" i="3"/>
  <c r="M81" i="3"/>
  <c r="N81" i="3"/>
  <c r="O81" i="3"/>
  <c r="P81" i="3"/>
  <c r="L82" i="3"/>
  <c r="M82" i="3"/>
  <c r="N82" i="3"/>
  <c r="O82" i="3"/>
  <c r="P82" i="3"/>
  <c r="L83" i="3"/>
  <c r="M83" i="3"/>
  <c r="N83" i="3"/>
  <c r="O83" i="3"/>
  <c r="P83" i="3"/>
  <c r="L84" i="3"/>
  <c r="M84" i="3"/>
  <c r="N84" i="3"/>
  <c r="O84" i="3"/>
  <c r="P84" i="3"/>
  <c r="L85" i="3"/>
  <c r="M85" i="3"/>
  <c r="N85" i="3"/>
  <c r="O85" i="3"/>
  <c r="P85" i="3"/>
  <c r="L86" i="3"/>
  <c r="M86" i="3"/>
  <c r="N86" i="3"/>
  <c r="O86" i="3"/>
  <c r="P86" i="3"/>
  <c r="L87" i="3"/>
  <c r="M87" i="3"/>
  <c r="N87" i="3"/>
  <c r="O87" i="3"/>
  <c r="P87" i="3"/>
  <c r="L88" i="3"/>
  <c r="M88" i="3"/>
  <c r="N88" i="3"/>
  <c r="O88" i="3"/>
  <c r="P88" i="3"/>
  <c r="L89" i="3"/>
  <c r="M89" i="3"/>
  <c r="N89" i="3"/>
  <c r="O89" i="3"/>
  <c r="P89" i="3"/>
  <c r="L90" i="3"/>
  <c r="M90" i="3"/>
  <c r="N90" i="3"/>
  <c r="O90" i="3"/>
  <c r="P90" i="3"/>
  <c r="L91" i="3"/>
  <c r="M91" i="3"/>
  <c r="N91" i="3"/>
  <c r="O91" i="3"/>
  <c r="P91" i="3"/>
  <c r="L92" i="3"/>
  <c r="M92" i="3"/>
  <c r="N92" i="3"/>
  <c r="O92" i="3"/>
  <c r="P92" i="3"/>
  <c r="L93" i="3"/>
  <c r="M93" i="3"/>
  <c r="N93" i="3"/>
  <c r="O93" i="3"/>
  <c r="P93" i="3"/>
  <c r="L94" i="3"/>
  <c r="M94" i="3"/>
  <c r="N94" i="3"/>
  <c r="O94" i="3"/>
  <c r="P94" i="3"/>
  <c r="L95" i="3"/>
  <c r="M95" i="3"/>
  <c r="N95" i="3"/>
  <c r="O95" i="3"/>
  <c r="P95" i="3"/>
  <c r="L96" i="3"/>
  <c r="M96" i="3"/>
  <c r="N96" i="3"/>
  <c r="O96" i="3"/>
  <c r="P96" i="3"/>
  <c r="L97" i="3"/>
  <c r="M97" i="3"/>
  <c r="N97" i="3"/>
  <c r="O97" i="3"/>
  <c r="P97" i="3"/>
  <c r="L98" i="3"/>
  <c r="M98" i="3"/>
  <c r="N98" i="3"/>
  <c r="O98" i="3"/>
  <c r="P98" i="3"/>
  <c r="L99" i="3"/>
  <c r="M99" i="3"/>
  <c r="N99" i="3"/>
  <c r="O99" i="3"/>
  <c r="P99" i="3"/>
  <c r="L100" i="3"/>
  <c r="M100" i="3"/>
  <c r="N100" i="3"/>
  <c r="O100" i="3"/>
  <c r="P100" i="3"/>
  <c r="L101" i="3"/>
  <c r="M101" i="3"/>
  <c r="N101" i="3"/>
  <c r="O101" i="3"/>
  <c r="P101" i="3"/>
  <c r="L102" i="3"/>
  <c r="M102" i="3"/>
  <c r="N102" i="3"/>
  <c r="O102" i="3"/>
  <c r="P102" i="3"/>
  <c r="L103" i="3"/>
  <c r="M103" i="3"/>
  <c r="N103" i="3"/>
  <c r="O103" i="3"/>
  <c r="P103" i="3"/>
  <c r="L104" i="3"/>
  <c r="M104" i="3"/>
  <c r="N104" i="3"/>
  <c r="O104" i="3"/>
  <c r="P104" i="3"/>
  <c r="L105" i="3"/>
  <c r="M105" i="3"/>
  <c r="N105" i="3"/>
  <c r="O105" i="3"/>
  <c r="P105" i="3"/>
  <c r="L106" i="3"/>
  <c r="M106" i="3"/>
  <c r="N106" i="3"/>
  <c r="O106" i="3"/>
  <c r="P106" i="3"/>
  <c r="L107" i="3"/>
  <c r="M107" i="3"/>
  <c r="N107" i="3"/>
  <c r="O107" i="3"/>
  <c r="P107" i="3"/>
  <c r="L108" i="3"/>
  <c r="M108" i="3"/>
  <c r="N108" i="3"/>
  <c r="O108" i="3"/>
  <c r="P108" i="3"/>
  <c r="L109" i="3"/>
  <c r="M109" i="3"/>
  <c r="N109" i="3"/>
  <c r="O109" i="3"/>
  <c r="P109" i="3"/>
  <c r="L110" i="3"/>
  <c r="M110" i="3"/>
  <c r="N110" i="3"/>
  <c r="O110" i="3"/>
  <c r="P110" i="3"/>
  <c r="L111" i="3"/>
  <c r="M111" i="3"/>
  <c r="N111" i="3"/>
  <c r="O111" i="3"/>
  <c r="P111" i="3"/>
  <c r="L112" i="3"/>
  <c r="M112" i="3"/>
  <c r="N112" i="3"/>
  <c r="O112" i="3"/>
  <c r="P112" i="3"/>
  <c r="L113" i="3"/>
  <c r="M113" i="3"/>
  <c r="N113" i="3"/>
  <c r="O113" i="3"/>
  <c r="P113" i="3"/>
  <c r="L114" i="3"/>
  <c r="M114" i="3"/>
  <c r="N114" i="3"/>
  <c r="O114" i="3"/>
  <c r="P114" i="3"/>
  <c r="L115" i="3"/>
  <c r="M115" i="3"/>
  <c r="N115" i="3"/>
  <c r="O115" i="3"/>
  <c r="P115" i="3"/>
  <c r="L116" i="3"/>
  <c r="M116" i="3"/>
  <c r="N116" i="3"/>
  <c r="O116" i="3"/>
  <c r="P116" i="3"/>
  <c r="L117" i="3"/>
  <c r="M117" i="3"/>
  <c r="N117" i="3"/>
  <c r="O117" i="3"/>
  <c r="P117" i="3"/>
  <c r="L118" i="3"/>
  <c r="M118" i="3"/>
  <c r="N118" i="3"/>
  <c r="O118" i="3"/>
  <c r="P118" i="3"/>
  <c r="L119" i="3"/>
  <c r="M119" i="3"/>
  <c r="N119" i="3"/>
  <c r="O119" i="3"/>
  <c r="P119" i="3"/>
  <c r="L120" i="3"/>
  <c r="M120" i="3"/>
  <c r="N120" i="3"/>
  <c r="O120" i="3"/>
  <c r="P120" i="3"/>
  <c r="L121" i="3"/>
  <c r="M121" i="3"/>
  <c r="N121" i="3"/>
  <c r="O121" i="3"/>
  <c r="P121" i="3"/>
  <c r="L122" i="3"/>
  <c r="M122" i="3"/>
  <c r="N122" i="3"/>
  <c r="O122" i="3"/>
  <c r="P122" i="3"/>
  <c r="L123" i="3"/>
  <c r="M123" i="3"/>
  <c r="N123" i="3"/>
  <c r="O123" i="3"/>
  <c r="P123" i="3"/>
  <c r="L124" i="3"/>
  <c r="M124" i="3"/>
  <c r="N124" i="3"/>
  <c r="O124" i="3"/>
  <c r="P124" i="3"/>
  <c r="L125" i="3"/>
  <c r="M125" i="3"/>
  <c r="N125" i="3"/>
  <c r="O125" i="3"/>
  <c r="P125" i="3"/>
  <c r="L126" i="3"/>
  <c r="M126" i="3"/>
  <c r="N126" i="3"/>
  <c r="O126" i="3"/>
  <c r="P126" i="3"/>
  <c r="L127" i="3"/>
  <c r="M127" i="3"/>
  <c r="N127" i="3"/>
  <c r="O127" i="3"/>
  <c r="P127" i="3"/>
  <c r="L128" i="3"/>
  <c r="M128" i="3"/>
  <c r="N128" i="3"/>
  <c r="O128" i="3"/>
  <c r="P128" i="3"/>
  <c r="L129" i="3"/>
  <c r="M129" i="3"/>
  <c r="N129" i="3"/>
  <c r="O129" i="3"/>
  <c r="P129" i="3"/>
  <c r="L130" i="3"/>
  <c r="M130" i="3"/>
  <c r="N130" i="3"/>
  <c r="O130" i="3"/>
  <c r="P130" i="3"/>
  <c r="L131" i="3"/>
  <c r="M131" i="3"/>
  <c r="N131" i="3"/>
  <c r="O131" i="3"/>
  <c r="P131" i="3"/>
  <c r="L132" i="3"/>
  <c r="M132" i="3"/>
  <c r="N132" i="3"/>
  <c r="O132" i="3"/>
  <c r="P132" i="3"/>
  <c r="L133" i="3"/>
  <c r="M133" i="3"/>
  <c r="N133" i="3"/>
  <c r="O133" i="3"/>
  <c r="P133" i="3"/>
  <c r="L134" i="3"/>
  <c r="M134" i="3"/>
  <c r="N134" i="3"/>
  <c r="O134" i="3"/>
  <c r="P134" i="3"/>
  <c r="L135" i="3"/>
  <c r="M135" i="3"/>
  <c r="N135" i="3"/>
  <c r="O135" i="3"/>
  <c r="P135" i="3"/>
  <c r="L136" i="3"/>
  <c r="M136" i="3"/>
  <c r="N136" i="3"/>
  <c r="O136" i="3"/>
  <c r="P136" i="3"/>
  <c r="L137" i="3"/>
  <c r="M137" i="3"/>
  <c r="N137" i="3"/>
  <c r="O137" i="3"/>
  <c r="P137" i="3"/>
  <c r="L138" i="3"/>
  <c r="M138" i="3"/>
  <c r="N138" i="3"/>
  <c r="O138" i="3"/>
  <c r="P138" i="3"/>
  <c r="L139" i="3"/>
  <c r="M139" i="3"/>
  <c r="N139" i="3"/>
  <c r="O139" i="3"/>
  <c r="P139" i="3"/>
  <c r="L140" i="3"/>
  <c r="M140" i="3"/>
  <c r="N140" i="3"/>
  <c r="O140" i="3"/>
  <c r="P140" i="3"/>
  <c r="L141" i="3"/>
  <c r="M141" i="3"/>
  <c r="N141" i="3"/>
  <c r="O141" i="3"/>
  <c r="P141" i="3"/>
  <c r="L142" i="3"/>
  <c r="M142" i="3"/>
  <c r="N142" i="3"/>
  <c r="O142" i="3"/>
  <c r="P142" i="3"/>
  <c r="L143" i="3"/>
  <c r="M143" i="3"/>
  <c r="N143" i="3"/>
  <c r="O143" i="3"/>
  <c r="P143" i="3"/>
  <c r="L144" i="3"/>
  <c r="M144" i="3"/>
  <c r="N144" i="3"/>
  <c r="O144" i="3"/>
  <c r="P144" i="3"/>
  <c r="L145" i="3"/>
  <c r="M145" i="3"/>
  <c r="N145" i="3"/>
  <c r="O145" i="3"/>
  <c r="P145" i="3"/>
  <c r="L146" i="3"/>
  <c r="M146" i="3"/>
  <c r="N146" i="3"/>
  <c r="O146" i="3"/>
  <c r="P146" i="3"/>
  <c r="L147" i="3"/>
  <c r="M147" i="3"/>
  <c r="N147" i="3"/>
  <c r="O147" i="3"/>
  <c r="P147" i="3"/>
  <c r="L148" i="3"/>
  <c r="M148" i="3"/>
  <c r="N148" i="3"/>
  <c r="O148" i="3"/>
  <c r="P148" i="3"/>
  <c r="L149" i="3"/>
  <c r="M149" i="3"/>
  <c r="N149" i="3"/>
  <c r="O149" i="3"/>
  <c r="P149" i="3"/>
  <c r="L150" i="3"/>
  <c r="M150" i="3"/>
  <c r="N150" i="3"/>
  <c r="O150" i="3"/>
  <c r="P150" i="3"/>
  <c r="L151" i="3"/>
  <c r="M151" i="3"/>
  <c r="N151" i="3"/>
  <c r="O151" i="3"/>
  <c r="P151" i="3"/>
  <c r="L152" i="3"/>
  <c r="M152" i="3"/>
  <c r="N152" i="3"/>
  <c r="O152" i="3"/>
  <c r="P152" i="3"/>
  <c r="L153" i="3"/>
  <c r="M153" i="3"/>
  <c r="N153" i="3"/>
  <c r="O153" i="3"/>
  <c r="P153" i="3"/>
  <c r="L154" i="3"/>
  <c r="M154" i="3"/>
  <c r="N154" i="3"/>
  <c r="O154" i="3"/>
  <c r="P154" i="3"/>
  <c r="L155" i="3"/>
  <c r="M155" i="3"/>
  <c r="N155" i="3"/>
  <c r="O155" i="3"/>
  <c r="P155" i="3"/>
  <c r="L156" i="3"/>
  <c r="M156" i="3"/>
  <c r="N156" i="3"/>
  <c r="O156" i="3"/>
  <c r="P156" i="3"/>
  <c r="L157" i="3"/>
  <c r="M157" i="3"/>
  <c r="N157" i="3"/>
  <c r="O157" i="3"/>
  <c r="P157" i="3"/>
  <c r="L158" i="3"/>
  <c r="M158" i="3"/>
  <c r="N158" i="3"/>
  <c r="O158" i="3"/>
  <c r="P158" i="3"/>
  <c r="L159" i="3"/>
  <c r="M159" i="3"/>
  <c r="N159" i="3"/>
  <c r="O159" i="3"/>
  <c r="P159" i="3"/>
  <c r="L160" i="3"/>
  <c r="M160" i="3"/>
  <c r="N160" i="3"/>
  <c r="O160" i="3"/>
  <c r="P160" i="3"/>
  <c r="L161" i="3"/>
  <c r="M161" i="3"/>
  <c r="N161" i="3"/>
  <c r="O161" i="3"/>
  <c r="P161" i="3"/>
  <c r="L162" i="3"/>
  <c r="M162" i="3"/>
  <c r="N162" i="3"/>
  <c r="O162" i="3"/>
  <c r="P162" i="3"/>
  <c r="L163" i="3"/>
  <c r="M163" i="3"/>
  <c r="N163" i="3"/>
  <c r="O163" i="3"/>
  <c r="P163" i="3"/>
  <c r="L164" i="3"/>
  <c r="M164" i="3"/>
  <c r="N164" i="3"/>
  <c r="O164" i="3"/>
  <c r="P164" i="3"/>
  <c r="L165" i="3"/>
  <c r="M165" i="3"/>
  <c r="N165" i="3"/>
  <c r="O165" i="3"/>
  <c r="P165" i="3"/>
  <c r="L166" i="3"/>
  <c r="M166" i="3"/>
  <c r="N166" i="3"/>
  <c r="O166" i="3"/>
  <c r="P166" i="3"/>
  <c r="L167" i="3"/>
  <c r="M167" i="3"/>
  <c r="N167" i="3"/>
  <c r="O167" i="3"/>
  <c r="P167" i="3"/>
  <c r="L168" i="3"/>
  <c r="M168" i="3"/>
  <c r="N168" i="3"/>
  <c r="O168" i="3"/>
  <c r="P168" i="3"/>
  <c r="L169" i="3"/>
  <c r="M169" i="3"/>
  <c r="N169" i="3"/>
  <c r="O169" i="3"/>
  <c r="P169" i="3"/>
  <c r="L170" i="3"/>
  <c r="M170" i="3"/>
  <c r="N170" i="3"/>
  <c r="O170" i="3"/>
  <c r="P170" i="3"/>
  <c r="L171" i="3"/>
  <c r="M171" i="3"/>
  <c r="N171" i="3"/>
  <c r="O171" i="3"/>
  <c r="P171" i="3"/>
  <c r="L172" i="3"/>
  <c r="M172" i="3"/>
  <c r="N172" i="3"/>
  <c r="O172" i="3"/>
  <c r="P172" i="3"/>
  <c r="L173" i="3"/>
  <c r="M173" i="3"/>
  <c r="N173" i="3"/>
  <c r="O173" i="3"/>
  <c r="P173" i="3"/>
  <c r="L174" i="3"/>
  <c r="M174" i="3"/>
  <c r="N174" i="3"/>
  <c r="O174" i="3"/>
  <c r="P174" i="3"/>
  <c r="L175" i="3"/>
  <c r="M175" i="3"/>
  <c r="N175" i="3"/>
  <c r="O175" i="3"/>
  <c r="P175" i="3"/>
  <c r="L176" i="3"/>
  <c r="M176" i="3"/>
  <c r="N176" i="3"/>
  <c r="O176" i="3"/>
  <c r="P176" i="3"/>
  <c r="L177" i="3"/>
  <c r="M177" i="3"/>
  <c r="N177" i="3"/>
  <c r="O177" i="3"/>
  <c r="P177" i="3"/>
  <c r="L178" i="3"/>
  <c r="M178" i="3"/>
  <c r="N178" i="3"/>
  <c r="O178" i="3"/>
  <c r="P178" i="3"/>
  <c r="L179" i="3"/>
  <c r="M179" i="3"/>
  <c r="N179" i="3"/>
  <c r="O179" i="3"/>
  <c r="P179" i="3"/>
  <c r="L180" i="3"/>
  <c r="M180" i="3"/>
  <c r="N180" i="3"/>
  <c r="O180" i="3"/>
  <c r="P180" i="3"/>
  <c r="L181" i="3"/>
  <c r="M181" i="3"/>
  <c r="N181" i="3"/>
  <c r="O181" i="3"/>
  <c r="P181" i="3"/>
  <c r="L182" i="3"/>
  <c r="M182" i="3"/>
  <c r="N182" i="3"/>
  <c r="O182" i="3"/>
  <c r="P182" i="3"/>
  <c r="L183" i="3"/>
  <c r="M183" i="3"/>
  <c r="N183" i="3"/>
  <c r="O183" i="3"/>
  <c r="P183" i="3"/>
  <c r="L184" i="3"/>
  <c r="M184" i="3"/>
  <c r="N184" i="3"/>
  <c r="O184" i="3"/>
  <c r="P184" i="3"/>
  <c r="L185" i="3"/>
  <c r="M185" i="3"/>
  <c r="N185" i="3"/>
  <c r="O185" i="3"/>
  <c r="P185" i="3"/>
  <c r="L186" i="3"/>
  <c r="M186" i="3"/>
  <c r="N186" i="3"/>
  <c r="O186" i="3"/>
  <c r="P186" i="3"/>
  <c r="L187" i="3"/>
  <c r="M187" i="3"/>
  <c r="N187" i="3"/>
  <c r="O187" i="3"/>
  <c r="P187" i="3"/>
  <c r="L188" i="3"/>
  <c r="M188" i="3"/>
  <c r="N188" i="3"/>
  <c r="O188" i="3"/>
  <c r="P188" i="3"/>
  <c r="L189" i="3"/>
  <c r="M189" i="3"/>
  <c r="N189" i="3"/>
  <c r="O189" i="3"/>
  <c r="P189" i="3"/>
  <c r="L190" i="3"/>
  <c r="M190" i="3"/>
  <c r="N190" i="3"/>
  <c r="O190" i="3"/>
  <c r="P190" i="3"/>
  <c r="L191" i="3"/>
  <c r="M191" i="3"/>
  <c r="N191" i="3"/>
  <c r="O191" i="3"/>
  <c r="P191" i="3"/>
  <c r="L192" i="3"/>
  <c r="M192" i="3"/>
  <c r="N192" i="3"/>
  <c r="O192" i="3"/>
  <c r="P192" i="3"/>
  <c r="L193" i="3"/>
  <c r="M193" i="3"/>
  <c r="N193" i="3"/>
  <c r="O193" i="3"/>
  <c r="P193" i="3"/>
  <c r="L194" i="3"/>
  <c r="M194" i="3"/>
  <c r="N194" i="3"/>
  <c r="O194" i="3"/>
  <c r="P194" i="3"/>
  <c r="L195" i="3"/>
  <c r="M195" i="3"/>
  <c r="N195" i="3"/>
  <c r="O195" i="3"/>
  <c r="P195" i="3"/>
  <c r="L196" i="3"/>
  <c r="M196" i="3"/>
  <c r="N196" i="3"/>
  <c r="O196" i="3"/>
  <c r="P196" i="3"/>
  <c r="L197" i="3"/>
  <c r="M197" i="3"/>
  <c r="N197" i="3"/>
  <c r="O197" i="3"/>
  <c r="P197" i="3"/>
  <c r="L198" i="3"/>
  <c r="M198" i="3"/>
  <c r="N198" i="3"/>
  <c r="O198" i="3"/>
  <c r="P198" i="3"/>
  <c r="L199" i="3"/>
  <c r="M199" i="3"/>
  <c r="N199" i="3"/>
  <c r="O199" i="3"/>
  <c r="P199" i="3"/>
  <c r="L200" i="3"/>
  <c r="M200" i="3"/>
  <c r="N200" i="3"/>
  <c r="O200" i="3"/>
  <c r="P200" i="3"/>
  <c r="L201" i="3"/>
  <c r="M201" i="3"/>
  <c r="N201" i="3"/>
  <c r="O201" i="3"/>
  <c r="P201" i="3"/>
  <c r="L202" i="3"/>
  <c r="M202" i="3"/>
  <c r="N202" i="3"/>
  <c r="O202" i="3"/>
  <c r="P202" i="3"/>
  <c r="L203" i="3"/>
  <c r="M203" i="3"/>
  <c r="N203" i="3"/>
  <c r="O203" i="3"/>
  <c r="P203" i="3"/>
  <c r="L204" i="3"/>
  <c r="M204" i="3"/>
  <c r="N204" i="3"/>
  <c r="O204" i="3"/>
  <c r="P204" i="3"/>
  <c r="L205" i="3"/>
  <c r="M205" i="3"/>
  <c r="N205" i="3"/>
  <c r="O205" i="3"/>
  <c r="P205" i="3"/>
  <c r="L206" i="3"/>
  <c r="M206" i="3"/>
  <c r="N206" i="3"/>
  <c r="O206" i="3"/>
  <c r="P206" i="3"/>
  <c r="L207" i="3"/>
  <c r="M207" i="3"/>
  <c r="N207" i="3"/>
  <c r="O207" i="3"/>
  <c r="P207" i="3"/>
  <c r="L208" i="3"/>
  <c r="M208" i="3"/>
  <c r="N208" i="3"/>
  <c r="O208" i="3"/>
  <c r="P208" i="3"/>
  <c r="L209" i="3"/>
  <c r="M209" i="3"/>
  <c r="N209" i="3"/>
  <c r="O209" i="3"/>
  <c r="P209" i="3"/>
  <c r="L210" i="3"/>
  <c r="M210" i="3"/>
  <c r="N210" i="3"/>
  <c r="O210" i="3"/>
  <c r="P210" i="3"/>
  <c r="L211" i="3"/>
  <c r="M211" i="3"/>
  <c r="N211" i="3"/>
  <c r="O211" i="3"/>
  <c r="P211" i="3"/>
  <c r="L212" i="3"/>
  <c r="M212" i="3"/>
  <c r="N212" i="3"/>
  <c r="O212" i="3"/>
  <c r="P212" i="3"/>
  <c r="L213" i="3"/>
  <c r="M213" i="3"/>
  <c r="N213" i="3"/>
  <c r="O213" i="3"/>
  <c r="P213" i="3"/>
  <c r="L214" i="3"/>
  <c r="M214" i="3"/>
  <c r="N214" i="3"/>
  <c r="O214" i="3"/>
  <c r="P214" i="3"/>
  <c r="L215" i="3"/>
  <c r="M215" i="3"/>
  <c r="N215" i="3"/>
  <c r="O215" i="3"/>
  <c r="P215" i="3"/>
  <c r="L216" i="3"/>
  <c r="M216" i="3"/>
  <c r="N216" i="3"/>
  <c r="O216" i="3"/>
  <c r="P216" i="3"/>
  <c r="L217" i="3"/>
  <c r="M217" i="3"/>
  <c r="N217" i="3"/>
  <c r="O217" i="3"/>
  <c r="P217" i="3"/>
  <c r="L218" i="3"/>
  <c r="M218" i="3"/>
  <c r="N218" i="3"/>
  <c r="O218" i="3"/>
  <c r="P218" i="3"/>
  <c r="L219" i="3"/>
  <c r="M219" i="3"/>
  <c r="N219" i="3"/>
  <c r="O219" i="3"/>
  <c r="P219" i="3"/>
  <c r="L220" i="3"/>
  <c r="M220" i="3"/>
  <c r="N220" i="3"/>
  <c r="O220" i="3"/>
  <c r="P220" i="3"/>
  <c r="L221" i="3"/>
  <c r="M221" i="3"/>
  <c r="N221" i="3"/>
  <c r="O221" i="3"/>
  <c r="P221" i="3"/>
  <c r="L222" i="3"/>
  <c r="M222" i="3"/>
  <c r="N222" i="3"/>
  <c r="O222" i="3"/>
  <c r="P222" i="3"/>
  <c r="L223" i="3"/>
  <c r="M223" i="3"/>
  <c r="N223" i="3"/>
  <c r="O223" i="3"/>
  <c r="P223" i="3"/>
  <c r="L224" i="3"/>
  <c r="M224" i="3"/>
  <c r="N224" i="3"/>
  <c r="O224" i="3"/>
  <c r="P224" i="3"/>
  <c r="L225" i="3"/>
  <c r="M225" i="3"/>
  <c r="N225" i="3"/>
  <c r="O225" i="3"/>
  <c r="P225" i="3"/>
  <c r="L226" i="3"/>
  <c r="M226" i="3"/>
  <c r="N226" i="3"/>
  <c r="O226" i="3"/>
  <c r="P226" i="3"/>
  <c r="L227" i="3"/>
  <c r="M227" i="3"/>
  <c r="N227" i="3"/>
  <c r="O227" i="3"/>
  <c r="P227" i="3"/>
  <c r="L228" i="3"/>
  <c r="M228" i="3"/>
  <c r="N228" i="3"/>
  <c r="O228" i="3"/>
  <c r="P228" i="3"/>
  <c r="L229" i="3"/>
  <c r="M229" i="3"/>
  <c r="N229" i="3"/>
  <c r="O229" i="3"/>
  <c r="P229" i="3"/>
  <c r="L230" i="3"/>
  <c r="M230" i="3"/>
  <c r="N230" i="3"/>
  <c r="O230" i="3"/>
  <c r="P230" i="3"/>
  <c r="L231" i="3"/>
  <c r="M231" i="3"/>
  <c r="N231" i="3"/>
  <c r="O231" i="3"/>
  <c r="P231" i="3"/>
  <c r="L232" i="3"/>
  <c r="M232" i="3"/>
  <c r="N232" i="3"/>
  <c r="O232" i="3"/>
  <c r="P232" i="3"/>
  <c r="L233" i="3"/>
  <c r="M233" i="3"/>
  <c r="N233" i="3"/>
  <c r="O233" i="3"/>
  <c r="P233" i="3"/>
  <c r="L234" i="3"/>
  <c r="M234" i="3"/>
  <c r="N234" i="3"/>
  <c r="O234" i="3"/>
  <c r="P234" i="3"/>
  <c r="L235" i="3"/>
  <c r="M235" i="3"/>
  <c r="N235" i="3"/>
  <c r="O235" i="3"/>
  <c r="P235" i="3"/>
  <c r="L236" i="3"/>
  <c r="M236" i="3"/>
  <c r="N236" i="3"/>
  <c r="O236" i="3"/>
  <c r="P236" i="3"/>
  <c r="L237" i="3"/>
  <c r="M237" i="3"/>
  <c r="N237" i="3"/>
  <c r="O237" i="3"/>
  <c r="P237" i="3"/>
  <c r="L238" i="3"/>
  <c r="M238" i="3"/>
  <c r="N238" i="3"/>
  <c r="O238" i="3"/>
  <c r="P238" i="3"/>
  <c r="L239" i="3"/>
  <c r="M239" i="3"/>
  <c r="N239" i="3"/>
  <c r="O239" i="3"/>
  <c r="P239" i="3"/>
  <c r="L240" i="3"/>
  <c r="M240" i="3"/>
  <c r="N240" i="3"/>
  <c r="O240" i="3"/>
  <c r="P240" i="3"/>
  <c r="L241" i="3"/>
  <c r="M241" i="3"/>
  <c r="N241" i="3"/>
  <c r="O241" i="3"/>
  <c r="P241" i="3"/>
  <c r="L242" i="3"/>
  <c r="M242" i="3"/>
  <c r="N242" i="3"/>
  <c r="O242" i="3"/>
  <c r="P242" i="3"/>
  <c r="L243" i="3"/>
  <c r="M243" i="3"/>
  <c r="N243" i="3"/>
  <c r="O243" i="3"/>
  <c r="P243" i="3"/>
  <c r="L244" i="3"/>
  <c r="M244" i="3"/>
  <c r="N244" i="3"/>
  <c r="O244" i="3"/>
  <c r="P244" i="3"/>
  <c r="L245" i="3"/>
  <c r="M245" i="3"/>
  <c r="N245" i="3"/>
  <c r="O245" i="3"/>
  <c r="P245" i="3"/>
  <c r="L246" i="3"/>
  <c r="M246" i="3"/>
  <c r="N246" i="3"/>
  <c r="O246" i="3"/>
  <c r="P246" i="3"/>
  <c r="L247" i="3"/>
  <c r="M247" i="3"/>
  <c r="N247" i="3"/>
  <c r="O247" i="3"/>
  <c r="P247" i="3"/>
  <c r="L248" i="3"/>
  <c r="M248" i="3"/>
  <c r="N248" i="3"/>
  <c r="O248" i="3"/>
  <c r="P248" i="3"/>
  <c r="L249" i="3"/>
  <c r="M249" i="3"/>
  <c r="N249" i="3"/>
  <c r="O249" i="3"/>
  <c r="P249" i="3"/>
  <c r="L250" i="3"/>
  <c r="M250" i="3"/>
  <c r="N250" i="3"/>
  <c r="O250" i="3"/>
  <c r="P250" i="3"/>
  <c r="L251" i="3"/>
  <c r="M251" i="3"/>
  <c r="N251" i="3"/>
  <c r="O251" i="3"/>
  <c r="P251" i="3"/>
  <c r="L252" i="3"/>
  <c r="M252" i="3"/>
  <c r="N252" i="3"/>
  <c r="O252" i="3"/>
  <c r="P252" i="3"/>
  <c r="L253" i="3"/>
  <c r="M253" i="3"/>
  <c r="N253" i="3"/>
  <c r="O253" i="3"/>
  <c r="P253" i="3"/>
  <c r="L254" i="3"/>
  <c r="M254" i="3"/>
  <c r="N254" i="3"/>
  <c r="O254" i="3"/>
  <c r="P254" i="3"/>
  <c r="L255" i="3"/>
  <c r="M255" i="3"/>
  <c r="N255" i="3"/>
  <c r="O255" i="3"/>
  <c r="P255" i="3"/>
  <c r="L256" i="3"/>
  <c r="M256" i="3"/>
  <c r="N256" i="3"/>
  <c r="O256" i="3"/>
  <c r="P256" i="3"/>
  <c r="L257" i="3"/>
  <c r="M257" i="3"/>
  <c r="N257" i="3"/>
  <c r="O257" i="3"/>
  <c r="P257" i="3"/>
  <c r="L258" i="3"/>
  <c r="M258" i="3"/>
  <c r="N258" i="3"/>
  <c r="O258" i="3"/>
  <c r="P258" i="3"/>
  <c r="L259" i="3"/>
  <c r="M259" i="3"/>
  <c r="N259" i="3"/>
  <c r="O259" i="3"/>
  <c r="P259" i="3"/>
  <c r="L260" i="3"/>
  <c r="M260" i="3"/>
  <c r="N260" i="3"/>
  <c r="O260" i="3"/>
  <c r="P260" i="3"/>
  <c r="L261" i="3"/>
  <c r="M261" i="3"/>
  <c r="N261" i="3"/>
  <c r="O261" i="3"/>
  <c r="P261" i="3"/>
  <c r="L262" i="3"/>
  <c r="M262" i="3"/>
  <c r="N262" i="3"/>
  <c r="O262" i="3"/>
  <c r="P262" i="3"/>
  <c r="L263" i="3"/>
  <c r="M263" i="3"/>
  <c r="N263" i="3"/>
  <c r="O263" i="3"/>
  <c r="P263" i="3"/>
  <c r="L264" i="3"/>
  <c r="M264" i="3"/>
  <c r="N264" i="3"/>
  <c r="O264" i="3"/>
  <c r="P264" i="3"/>
  <c r="L265" i="3"/>
  <c r="M265" i="3"/>
  <c r="N265" i="3"/>
  <c r="O265" i="3"/>
  <c r="P265" i="3"/>
  <c r="L266" i="3"/>
  <c r="M266" i="3"/>
  <c r="N266" i="3"/>
  <c r="O266" i="3"/>
  <c r="P266" i="3"/>
  <c r="L267" i="3"/>
  <c r="M267" i="3"/>
  <c r="N267" i="3"/>
  <c r="O267" i="3"/>
  <c r="P267" i="3"/>
  <c r="L268" i="3"/>
  <c r="M268" i="3"/>
  <c r="N268" i="3"/>
  <c r="O268" i="3"/>
  <c r="P268" i="3"/>
  <c r="L269" i="3"/>
  <c r="M269" i="3"/>
  <c r="N269" i="3"/>
  <c r="O269" i="3"/>
  <c r="P269" i="3"/>
  <c r="L270" i="3"/>
  <c r="M270" i="3"/>
  <c r="N270" i="3"/>
  <c r="O270" i="3"/>
  <c r="P270" i="3"/>
  <c r="L271" i="3"/>
  <c r="M271" i="3"/>
  <c r="N271" i="3"/>
  <c r="O271" i="3"/>
  <c r="P271" i="3"/>
  <c r="L272" i="3"/>
  <c r="M272" i="3"/>
  <c r="N272" i="3"/>
  <c r="O272" i="3"/>
  <c r="P272" i="3"/>
  <c r="L273" i="3"/>
  <c r="M273" i="3"/>
  <c r="N273" i="3"/>
  <c r="O273" i="3"/>
  <c r="P273" i="3"/>
  <c r="L274" i="3"/>
  <c r="M274" i="3"/>
  <c r="N274" i="3"/>
  <c r="O274" i="3"/>
  <c r="P274" i="3"/>
  <c r="L275" i="3"/>
  <c r="M275" i="3"/>
  <c r="N275" i="3"/>
  <c r="O275" i="3"/>
  <c r="P275" i="3"/>
  <c r="L276" i="3"/>
  <c r="M276" i="3"/>
  <c r="N276" i="3"/>
  <c r="O276" i="3"/>
  <c r="P276" i="3"/>
  <c r="L277" i="3"/>
  <c r="M277" i="3"/>
  <c r="N277" i="3"/>
  <c r="O277" i="3"/>
  <c r="P277" i="3"/>
  <c r="L278" i="3"/>
  <c r="M278" i="3"/>
  <c r="N278" i="3"/>
  <c r="O278" i="3"/>
  <c r="P278" i="3"/>
  <c r="L279" i="3"/>
  <c r="M279" i="3"/>
  <c r="N279" i="3"/>
  <c r="O279" i="3"/>
  <c r="P279" i="3"/>
  <c r="L280" i="3"/>
  <c r="M280" i="3"/>
  <c r="N280" i="3"/>
  <c r="O280" i="3"/>
  <c r="P280" i="3"/>
  <c r="L281" i="3"/>
  <c r="M281" i="3"/>
  <c r="N281" i="3"/>
  <c r="O281" i="3"/>
  <c r="P281" i="3"/>
  <c r="L282" i="3"/>
  <c r="M282" i="3"/>
  <c r="N282" i="3"/>
  <c r="O282" i="3"/>
  <c r="P282" i="3"/>
  <c r="L283" i="3"/>
  <c r="M283" i="3"/>
  <c r="N283" i="3"/>
  <c r="O283" i="3"/>
  <c r="P283" i="3"/>
  <c r="L284" i="3"/>
  <c r="M284" i="3"/>
  <c r="N284" i="3"/>
  <c r="O284" i="3"/>
  <c r="P284" i="3"/>
  <c r="L285" i="3"/>
  <c r="M285" i="3"/>
  <c r="N285" i="3"/>
  <c r="O285" i="3"/>
  <c r="P285" i="3"/>
  <c r="L286" i="3"/>
  <c r="M286" i="3"/>
  <c r="N286" i="3"/>
  <c r="O286" i="3"/>
  <c r="P286" i="3"/>
  <c r="L287" i="3"/>
  <c r="M287" i="3"/>
  <c r="N287" i="3"/>
  <c r="O287" i="3"/>
  <c r="P287" i="3"/>
  <c r="L288" i="3"/>
  <c r="M288" i="3"/>
  <c r="N288" i="3"/>
  <c r="O288" i="3"/>
  <c r="P288" i="3"/>
  <c r="L289" i="3"/>
  <c r="M289" i="3"/>
  <c r="N289" i="3"/>
  <c r="O289" i="3"/>
  <c r="P289" i="3"/>
  <c r="L290" i="3"/>
  <c r="M290" i="3"/>
  <c r="N290" i="3"/>
  <c r="O290" i="3"/>
  <c r="P290" i="3"/>
  <c r="L291" i="3"/>
  <c r="M291" i="3"/>
  <c r="N291" i="3"/>
  <c r="O291" i="3"/>
  <c r="P291" i="3"/>
  <c r="L292" i="3"/>
  <c r="M292" i="3"/>
  <c r="N292" i="3"/>
  <c r="O292" i="3"/>
  <c r="P292" i="3"/>
  <c r="L293" i="3"/>
  <c r="M293" i="3"/>
  <c r="N293" i="3"/>
  <c r="O293" i="3"/>
  <c r="P293" i="3"/>
  <c r="L294" i="3"/>
  <c r="M294" i="3"/>
  <c r="N294" i="3"/>
  <c r="O294" i="3"/>
  <c r="P294" i="3"/>
  <c r="L295" i="3"/>
  <c r="M295" i="3"/>
  <c r="N295" i="3"/>
  <c r="O295" i="3"/>
  <c r="P295" i="3"/>
  <c r="L296" i="3"/>
  <c r="M296" i="3"/>
  <c r="N296" i="3"/>
  <c r="O296" i="3"/>
  <c r="P296" i="3"/>
  <c r="L297" i="3"/>
  <c r="M297" i="3"/>
  <c r="N297" i="3"/>
  <c r="O297" i="3"/>
  <c r="P297" i="3"/>
  <c r="L298" i="3"/>
  <c r="M298" i="3"/>
  <c r="N298" i="3"/>
  <c r="O298" i="3"/>
  <c r="P298" i="3"/>
  <c r="L299" i="3"/>
  <c r="M299" i="3"/>
  <c r="N299" i="3"/>
  <c r="O299" i="3"/>
  <c r="P299" i="3"/>
  <c r="L300" i="3"/>
  <c r="M300" i="3"/>
  <c r="N300" i="3"/>
  <c r="O300" i="3"/>
  <c r="P300" i="3"/>
  <c r="L301" i="3"/>
  <c r="M301" i="3"/>
  <c r="N301" i="3"/>
  <c r="O301" i="3"/>
  <c r="P301" i="3"/>
  <c r="L302" i="3"/>
  <c r="M302" i="3"/>
  <c r="N302" i="3"/>
  <c r="O302" i="3"/>
  <c r="P302" i="3"/>
  <c r="L303" i="3"/>
  <c r="M303" i="3"/>
  <c r="N303" i="3"/>
  <c r="O303" i="3"/>
  <c r="P303" i="3"/>
  <c r="L304" i="3"/>
  <c r="M304" i="3"/>
  <c r="N304" i="3"/>
  <c r="O304" i="3"/>
  <c r="P304" i="3"/>
  <c r="L305" i="3"/>
  <c r="M305" i="3"/>
  <c r="N305" i="3"/>
  <c r="O305" i="3"/>
  <c r="P305" i="3"/>
  <c r="L306" i="3"/>
  <c r="M306" i="3"/>
  <c r="N306" i="3"/>
  <c r="O306" i="3"/>
  <c r="P306" i="3"/>
  <c r="L307" i="3"/>
  <c r="M307" i="3"/>
  <c r="N307" i="3"/>
  <c r="O307" i="3"/>
  <c r="P307" i="3"/>
  <c r="L308" i="3"/>
  <c r="M308" i="3"/>
  <c r="N308" i="3"/>
  <c r="O308" i="3"/>
  <c r="P308" i="3"/>
  <c r="L309" i="3"/>
  <c r="M309" i="3"/>
  <c r="N309" i="3"/>
  <c r="O309" i="3"/>
  <c r="P309" i="3"/>
  <c r="L310" i="3"/>
  <c r="M310" i="3"/>
  <c r="N310" i="3"/>
  <c r="O310" i="3"/>
  <c r="P310" i="3"/>
  <c r="L311" i="3"/>
  <c r="M311" i="3"/>
  <c r="N311" i="3"/>
  <c r="O311" i="3"/>
  <c r="P311" i="3"/>
  <c r="L312" i="3"/>
  <c r="M312" i="3"/>
  <c r="N312" i="3"/>
  <c r="O312" i="3"/>
  <c r="P312" i="3"/>
  <c r="L313" i="3"/>
  <c r="M313" i="3"/>
  <c r="N313" i="3"/>
  <c r="O313" i="3"/>
  <c r="P313" i="3"/>
  <c r="L314" i="3"/>
  <c r="M314" i="3"/>
  <c r="N314" i="3"/>
  <c r="O314" i="3"/>
  <c r="P314" i="3"/>
  <c r="L315" i="3"/>
  <c r="M315" i="3"/>
  <c r="N315" i="3"/>
  <c r="O315" i="3"/>
  <c r="P315" i="3"/>
  <c r="L316" i="3"/>
  <c r="M316" i="3"/>
  <c r="N316" i="3"/>
  <c r="O316" i="3"/>
  <c r="P316" i="3"/>
  <c r="L317" i="3"/>
  <c r="M317" i="3"/>
  <c r="N317" i="3"/>
  <c r="O317" i="3"/>
  <c r="P317" i="3"/>
  <c r="L318" i="3"/>
  <c r="M318" i="3"/>
  <c r="N318" i="3"/>
  <c r="O318" i="3"/>
  <c r="P318" i="3"/>
  <c r="L319" i="3"/>
  <c r="M319" i="3"/>
  <c r="N319" i="3"/>
  <c r="O319" i="3"/>
  <c r="P319" i="3"/>
  <c r="L320" i="3"/>
  <c r="M320" i="3"/>
  <c r="N320" i="3"/>
  <c r="O320" i="3"/>
  <c r="P320" i="3"/>
  <c r="L321" i="3"/>
  <c r="M321" i="3"/>
  <c r="N321" i="3"/>
  <c r="O321" i="3"/>
  <c r="P321" i="3"/>
  <c r="L322" i="3"/>
  <c r="M322" i="3"/>
  <c r="N322" i="3"/>
  <c r="O322" i="3"/>
  <c r="P322" i="3"/>
  <c r="L323" i="3"/>
  <c r="M323" i="3"/>
  <c r="N323" i="3"/>
  <c r="O323" i="3"/>
  <c r="P323" i="3"/>
  <c r="L324" i="3"/>
  <c r="M324" i="3"/>
  <c r="N324" i="3"/>
  <c r="O324" i="3"/>
  <c r="P324" i="3"/>
  <c r="L325" i="3"/>
  <c r="M325" i="3"/>
  <c r="N325" i="3"/>
  <c r="O325" i="3"/>
  <c r="P325" i="3"/>
  <c r="L326" i="3"/>
  <c r="M326" i="3"/>
  <c r="N326" i="3"/>
  <c r="O326" i="3"/>
  <c r="P326" i="3"/>
  <c r="L327" i="3"/>
  <c r="M327" i="3"/>
  <c r="N327" i="3"/>
  <c r="O327" i="3"/>
  <c r="P327" i="3"/>
  <c r="L328" i="3"/>
  <c r="M328" i="3"/>
  <c r="N328" i="3"/>
  <c r="O328" i="3"/>
  <c r="P328" i="3"/>
  <c r="L329" i="3"/>
  <c r="M329" i="3"/>
  <c r="N329" i="3"/>
  <c r="O329" i="3"/>
  <c r="P329" i="3"/>
  <c r="L330" i="3"/>
  <c r="M330" i="3"/>
  <c r="N330" i="3"/>
  <c r="O330" i="3"/>
  <c r="P330" i="3"/>
  <c r="L331" i="3"/>
  <c r="M331" i="3"/>
  <c r="N331" i="3"/>
  <c r="O331" i="3"/>
  <c r="P331" i="3"/>
  <c r="L332" i="3"/>
  <c r="M332" i="3"/>
  <c r="N332" i="3"/>
  <c r="O332" i="3"/>
  <c r="P332" i="3"/>
  <c r="L333" i="3"/>
  <c r="M333" i="3"/>
  <c r="N333" i="3"/>
  <c r="O333" i="3"/>
  <c r="P333" i="3"/>
  <c r="L334" i="3"/>
  <c r="M334" i="3"/>
  <c r="N334" i="3"/>
  <c r="O334" i="3"/>
  <c r="P334" i="3"/>
  <c r="L335" i="3"/>
  <c r="M335" i="3"/>
  <c r="N335" i="3"/>
  <c r="O335" i="3"/>
  <c r="P335" i="3"/>
  <c r="L336" i="3"/>
  <c r="M336" i="3"/>
  <c r="N336" i="3"/>
  <c r="O336" i="3"/>
  <c r="P336" i="3"/>
  <c r="L337" i="3"/>
  <c r="M337" i="3"/>
  <c r="N337" i="3"/>
  <c r="O337" i="3"/>
  <c r="P337" i="3"/>
  <c r="L338" i="3"/>
  <c r="M338" i="3"/>
  <c r="N338" i="3"/>
  <c r="O338" i="3"/>
  <c r="P338" i="3"/>
  <c r="L339" i="3"/>
  <c r="M339" i="3"/>
  <c r="N339" i="3"/>
  <c r="O339" i="3"/>
  <c r="P339" i="3"/>
  <c r="L340" i="3"/>
  <c r="M340" i="3"/>
  <c r="N340" i="3"/>
  <c r="O340" i="3"/>
  <c r="P340" i="3"/>
  <c r="L341" i="3"/>
  <c r="M341" i="3"/>
  <c r="N341" i="3"/>
  <c r="O341" i="3"/>
  <c r="P341" i="3"/>
  <c r="L342" i="3"/>
  <c r="M342" i="3"/>
  <c r="N342" i="3"/>
  <c r="O342" i="3"/>
  <c r="P342" i="3"/>
  <c r="L343" i="3"/>
  <c r="M343" i="3"/>
  <c r="N343" i="3"/>
  <c r="O343" i="3"/>
  <c r="P343" i="3"/>
  <c r="L344" i="3"/>
  <c r="M344" i="3"/>
  <c r="N344" i="3"/>
  <c r="O344" i="3"/>
  <c r="P344" i="3"/>
  <c r="L345" i="3"/>
  <c r="M345" i="3"/>
  <c r="N345" i="3"/>
  <c r="O345" i="3"/>
  <c r="P345" i="3"/>
  <c r="L346" i="3"/>
  <c r="M346" i="3"/>
  <c r="N346" i="3"/>
  <c r="O346" i="3"/>
  <c r="P346" i="3"/>
  <c r="L347" i="3"/>
  <c r="M347" i="3"/>
  <c r="N347" i="3"/>
  <c r="O347" i="3"/>
  <c r="P347" i="3"/>
  <c r="L348" i="3"/>
  <c r="M348" i="3"/>
  <c r="N348" i="3"/>
  <c r="O348" i="3"/>
  <c r="P348" i="3"/>
  <c r="L349" i="3"/>
  <c r="M349" i="3"/>
  <c r="N349" i="3"/>
  <c r="O349" i="3"/>
  <c r="P349" i="3"/>
  <c r="L350" i="3"/>
  <c r="M350" i="3"/>
  <c r="N350" i="3"/>
  <c r="O350" i="3"/>
  <c r="P350" i="3"/>
  <c r="L351" i="3"/>
  <c r="M351" i="3"/>
  <c r="N351" i="3"/>
  <c r="O351" i="3"/>
  <c r="P351" i="3"/>
  <c r="L352" i="3"/>
  <c r="M352" i="3"/>
  <c r="N352" i="3"/>
  <c r="O352" i="3"/>
  <c r="P352" i="3"/>
  <c r="L353" i="3"/>
  <c r="M353" i="3"/>
  <c r="N353" i="3"/>
  <c r="O353" i="3"/>
  <c r="P353" i="3"/>
  <c r="L354" i="3"/>
  <c r="M354" i="3"/>
  <c r="N354" i="3"/>
  <c r="O354" i="3"/>
  <c r="P354" i="3"/>
  <c r="L355" i="3"/>
  <c r="M355" i="3"/>
  <c r="N355" i="3"/>
  <c r="O355" i="3"/>
  <c r="P355" i="3"/>
  <c r="L356" i="3"/>
  <c r="M356" i="3"/>
  <c r="N356" i="3"/>
  <c r="O356" i="3"/>
  <c r="P356" i="3"/>
  <c r="L357" i="3"/>
  <c r="M357" i="3"/>
  <c r="N357" i="3"/>
  <c r="O357" i="3"/>
  <c r="P357" i="3"/>
  <c r="L358" i="3"/>
  <c r="M358" i="3"/>
  <c r="N358" i="3"/>
  <c r="O358" i="3"/>
  <c r="P358" i="3"/>
  <c r="L359" i="3"/>
  <c r="M359" i="3"/>
  <c r="N359" i="3"/>
  <c r="O359" i="3"/>
  <c r="P359" i="3"/>
  <c r="L360" i="3"/>
  <c r="M360" i="3"/>
  <c r="N360" i="3"/>
  <c r="O360" i="3"/>
  <c r="P360" i="3"/>
  <c r="L361" i="3"/>
  <c r="M361" i="3"/>
  <c r="N361" i="3"/>
  <c r="O361" i="3"/>
  <c r="P361" i="3"/>
  <c r="L362" i="3"/>
  <c r="M362" i="3"/>
  <c r="N362" i="3"/>
  <c r="O362" i="3"/>
  <c r="P362" i="3"/>
  <c r="L363" i="3"/>
  <c r="M363" i="3"/>
  <c r="N363" i="3"/>
  <c r="O363" i="3"/>
  <c r="P363" i="3"/>
  <c r="L364" i="3"/>
  <c r="M364" i="3"/>
  <c r="N364" i="3"/>
  <c r="O364" i="3"/>
  <c r="P364" i="3"/>
  <c r="L365" i="3"/>
  <c r="M365" i="3"/>
  <c r="N365" i="3"/>
  <c r="O365" i="3"/>
  <c r="P365" i="3"/>
  <c r="L366" i="3"/>
  <c r="M366" i="3"/>
  <c r="N366" i="3"/>
  <c r="O366" i="3"/>
  <c r="P366" i="3"/>
  <c r="L367" i="3"/>
  <c r="M367" i="3"/>
  <c r="N367" i="3"/>
  <c r="O367" i="3"/>
  <c r="P367" i="3"/>
  <c r="L368" i="3"/>
  <c r="M368" i="3"/>
  <c r="N368" i="3"/>
  <c r="O368" i="3"/>
  <c r="P368" i="3"/>
  <c r="L369" i="3"/>
  <c r="M369" i="3"/>
  <c r="N369" i="3"/>
  <c r="O369" i="3"/>
  <c r="P369" i="3"/>
  <c r="L370" i="3"/>
  <c r="M370" i="3"/>
  <c r="N370" i="3"/>
  <c r="O370" i="3"/>
  <c r="P370" i="3"/>
  <c r="L371" i="3"/>
  <c r="M371" i="3"/>
  <c r="N371" i="3"/>
  <c r="O371" i="3"/>
  <c r="P371" i="3"/>
  <c r="L372" i="3"/>
  <c r="M372" i="3"/>
  <c r="N372" i="3"/>
  <c r="O372" i="3"/>
  <c r="P372" i="3"/>
  <c r="L373" i="3"/>
  <c r="M373" i="3"/>
  <c r="N373" i="3"/>
  <c r="O373" i="3"/>
  <c r="P373" i="3"/>
  <c r="L374" i="3"/>
  <c r="M374" i="3"/>
  <c r="N374" i="3"/>
  <c r="O374" i="3"/>
  <c r="P374" i="3"/>
  <c r="L375" i="3"/>
  <c r="M375" i="3"/>
  <c r="N375" i="3"/>
  <c r="O375" i="3"/>
  <c r="P375" i="3"/>
  <c r="L376" i="3"/>
  <c r="M376" i="3"/>
  <c r="N376" i="3"/>
  <c r="O376" i="3"/>
  <c r="P376" i="3"/>
  <c r="L377" i="3"/>
  <c r="M377" i="3"/>
  <c r="N377" i="3"/>
  <c r="O377" i="3"/>
  <c r="P377" i="3"/>
  <c r="L378" i="3"/>
  <c r="M378" i="3"/>
  <c r="N378" i="3"/>
  <c r="O378" i="3"/>
  <c r="P378" i="3"/>
  <c r="L379" i="3"/>
  <c r="M379" i="3"/>
  <c r="N379" i="3"/>
  <c r="O379" i="3"/>
  <c r="P379" i="3"/>
  <c r="L380" i="3"/>
  <c r="M380" i="3"/>
  <c r="N380" i="3"/>
  <c r="O380" i="3"/>
  <c r="P380" i="3"/>
  <c r="L381" i="3"/>
  <c r="M381" i="3"/>
  <c r="N381" i="3"/>
  <c r="O381" i="3"/>
  <c r="P381" i="3"/>
  <c r="L382" i="3"/>
  <c r="M382" i="3"/>
  <c r="N382" i="3"/>
  <c r="O382" i="3"/>
  <c r="P382" i="3"/>
  <c r="L383" i="3"/>
  <c r="M383" i="3"/>
  <c r="N383" i="3"/>
  <c r="O383" i="3"/>
  <c r="P383" i="3"/>
  <c r="L384" i="3"/>
  <c r="M384" i="3"/>
  <c r="N384" i="3"/>
  <c r="O384" i="3"/>
  <c r="P384" i="3"/>
  <c r="L385" i="3"/>
  <c r="M385" i="3"/>
  <c r="N385" i="3"/>
  <c r="O385" i="3"/>
  <c r="P385" i="3"/>
  <c r="L386" i="3"/>
  <c r="M386" i="3"/>
  <c r="N386" i="3"/>
  <c r="O386" i="3"/>
  <c r="P386" i="3"/>
  <c r="L387" i="3"/>
  <c r="M387" i="3"/>
  <c r="N387" i="3"/>
  <c r="O387" i="3"/>
  <c r="P387" i="3"/>
  <c r="L388" i="3"/>
  <c r="M388" i="3"/>
  <c r="N388" i="3"/>
  <c r="O388" i="3"/>
  <c r="P388" i="3"/>
  <c r="L389" i="3"/>
  <c r="M389" i="3"/>
  <c r="N389" i="3"/>
  <c r="O389" i="3"/>
  <c r="P389" i="3"/>
  <c r="L390" i="3"/>
  <c r="M390" i="3"/>
  <c r="N390" i="3"/>
  <c r="O390" i="3"/>
  <c r="P390" i="3"/>
  <c r="L391" i="3"/>
  <c r="M391" i="3"/>
  <c r="N391" i="3"/>
  <c r="O391" i="3"/>
  <c r="P391" i="3"/>
  <c r="L392" i="3"/>
  <c r="M392" i="3"/>
  <c r="N392" i="3"/>
  <c r="O392" i="3"/>
  <c r="P392" i="3"/>
  <c r="L393" i="3"/>
  <c r="M393" i="3"/>
  <c r="N393" i="3"/>
  <c r="O393" i="3"/>
  <c r="P393" i="3"/>
  <c r="L394" i="3"/>
  <c r="M394" i="3"/>
  <c r="N394" i="3"/>
  <c r="O394" i="3"/>
  <c r="P394" i="3"/>
  <c r="L395" i="3"/>
  <c r="M395" i="3"/>
  <c r="N395" i="3"/>
  <c r="O395" i="3"/>
  <c r="P395" i="3"/>
  <c r="L396" i="3"/>
  <c r="M396" i="3"/>
  <c r="N396" i="3"/>
  <c r="O396" i="3"/>
  <c r="P396" i="3"/>
  <c r="L397" i="3"/>
  <c r="M397" i="3"/>
  <c r="N397" i="3"/>
  <c r="O397" i="3"/>
  <c r="P397" i="3"/>
  <c r="L398" i="3"/>
  <c r="M398" i="3"/>
  <c r="N398" i="3"/>
  <c r="O398" i="3"/>
  <c r="P398" i="3"/>
  <c r="L399" i="3"/>
  <c r="M399" i="3"/>
  <c r="N399" i="3"/>
  <c r="O399" i="3"/>
  <c r="P399" i="3"/>
  <c r="L400" i="3"/>
  <c r="M400" i="3"/>
  <c r="N400" i="3"/>
  <c r="O400" i="3"/>
  <c r="P400" i="3"/>
  <c r="L401" i="3"/>
  <c r="M401" i="3"/>
  <c r="N401" i="3"/>
  <c r="O401" i="3"/>
  <c r="P401" i="3"/>
  <c r="L402" i="3"/>
  <c r="M402" i="3"/>
  <c r="N402" i="3"/>
  <c r="O402" i="3"/>
  <c r="P402" i="3"/>
  <c r="L403" i="3"/>
  <c r="M403" i="3"/>
  <c r="N403" i="3"/>
  <c r="O403" i="3"/>
  <c r="P403" i="3"/>
  <c r="L404" i="3"/>
  <c r="M404" i="3"/>
  <c r="N404" i="3"/>
  <c r="O404" i="3"/>
  <c r="P404" i="3"/>
  <c r="L405" i="3"/>
  <c r="M405" i="3"/>
  <c r="N405" i="3"/>
  <c r="O405" i="3"/>
  <c r="P405" i="3"/>
  <c r="L406" i="3"/>
  <c r="M406" i="3"/>
  <c r="N406" i="3"/>
  <c r="O406" i="3"/>
  <c r="P406" i="3"/>
  <c r="L407" i="3"/>
  <c r="M407" i="3"/>
  <c r="N407" i="3"/>
  <c r="O407" i="3"/>
  <c r="P407" i="3"/>
  <c r="L408" i="3"/>
  <c r="M408" i="3"/>
  <c r="N408" i="3"/>
  <c r="O408" i="3"/>
  <c r="P408" i="3"/>
  <c r="L409" i="3"/>
  <c r="M409" i="3"/>
  <c r="N409" i="3"/>
  <c r="O409" i="3"/>
  <c r="P409" i="3"/>
  <c r="L410" i="3"/>
  <c r="M410" i="3"/>
  <c r="N410" i="3"/>
  <c r="O410" i="3"/>
  <c r="P410" i="3"/>
  <c r="L411" i="3"/>
  <c r="M411" i="3"/>
  <c r="N411" i="3"/>
  <c r="O411" i="3"/>
  <c r="P411" i="3"/>
  <c r="L412" i="3"/>
  <c r="M412" i="3"/>
  <c r="N412" i="3"/>
  <c r="O412" i="3"/>
  <c r="P412" i="3"/>
  <c r="L413" i="3"/>
  <c r="M413" i="3"/>
  <c r="N413" i="3"/>
  <c r="O413" i="3"/>
  <c r="P413" i="3"/>
  <c r="L414" i="3"/>
  <c r="M414" i="3"/>
  <c r="N414" i="3"/>
  <c r="O414" i="3"/>
  <c r="P414" i="3"/>
  <c r="L415" i="3"/>
  <c r="M415" i="3"/>
  <c r="N415" i="3"/>
  <c r="O415" i="3"/>
  <c r="P415" i="3"/>
  <c r="L416" i="3"/>
  <c r="M416" i="3"/>
  <c r="N416" i="3"/>
  <c r="O416" i="3"/>
  <c r="P416" i="3"/>
  <c r="L417" i="3"/>
  <c r="M417" i="3"/>
  <c r="N417" i="3"/>
  <c r="O417" i="3"/>
  <c r="P417" i="3"/>
  <c r="L418" i="3"/>
  <c r="M418" i="3"/>
  <c r="N418" i="3"/>
  <c r="O418" i="3"/>
  <c r="P418" i="3"/>
  <c r="L419" i="3"/>
  <c r="M419" i="3"/>
  <c r="N419" i="3"/>
  <c r="O419" i="3"/>
  <c r="P419" i="3"/>
  <c r="L420" i="3"/>
  <c r="M420" i="3"/>
  <c r="N420" i="3"/>
  <c r="O420" i="3"/>
  <c r="P420" i="3"/>
  <c r="L421" i="3"/>
  <c r="M421" i="3"/>
  <c r="N421" i="3"/>
  <c r="O421" i="3"/>
  <c r="P421" i="3"/>
  <c r="L422" i="3"/>
  <c r="M422" i="3"/>
  <c r="N422" i="3"/>
  <c r="O422" i="3"/>
  <c r="P422" i="3"/>
  <c r="L423" i="3"/>
  <c r="M423" i="3"/>
  <c r="N423" i="3"/>
  <c r="O423" i="3"/>
  <c r="P423" i="3"/>
  <c r="L424" i="3"/>
  <c r="M424" i="3"/>
  <c r="N424" i="3"/>
  <c r="O424" i="3"/>
  <c r="P424" i="3"/>
  <c r="L425" i="3"/>
  <c r="M425" i="3"/>
  <c r="N425" i="3"/>
  <c r="O425" i="3"/>
  <c r="P425" i="3"/>
  <c r="L426" i="3"/>
  <c r="M426" i="3"/>
  <c r="N426" i="3"/>
  <c r="O426" i="3"/>
  <c r="P426" i="3"/>
  <c r="L427" i="3"/>
  <c r="M427" i="3"/>
  <c r="N427" i="3"/>
  <c r="O427" i="3"/>
  <c r="P427" i="3"/>
  <c r="L428" i="3"/>
  <c r="M428" i="3"/>
  <c r="N428" i="3"/>
  <c r="O428" i="3"/>
  <c r="P428" i="3"/>
  <c r="L429" i="3"/>
  <c r="M429" i="3"/>
  <c r="N429" i="3"/>
  <c r="O429" i="3"/>
  <c r="P429" i="3"/>
  <c r="L430" i="3"/>
  <c r="M430" i="3"/>
  <c r="N430" i="3"/>
  <c r="O430" i="3"/>
  <c r="P430" i="3"/>
  <c r="L431" i="3"/>
  <c r="M431" i="3"/>
  <c r="N431" i="3"/>
  <c r="O431" i="3"/>
  <c r="P431" i="3"/>
  <c r="L432" i="3"/>
  <c r="M432" i="3"/>
  <c r="N432" i="3"/>
  <c r="O432" i="3"/>
  <c r="P432" i="3"/>
  <c r="L433" i="3"/>
  <c r="M433" i="3"/>
  <c r="N433" i="3"/>
  <c r="O433" i="3"/>
  <c r="P433" i="3"/>
  <c r="L434" i="3"/>
  <c r="M434" i="3"/>
  <c r="N434" i="3"/>
  <c r="O434" i="3"/>
  <c r="P434" i="3"/>
  <c r="L435" i="3"/>
  <c r="M435" i="3"/>
  <c r="N435" i="3"/>
  <c r="O435" i="3"/>
  <c r="P435" i="3"/>
  <c r="L436" i="3"/>
  <c r="M436" i="3"/>
  <c r="N436" i="3"/>
  <c r="O436" i="3"/>
  <c r="P436" i="3"/>
  <c r="L437" i="3"/>
  <c r="M437" i="3"/>
  <c r="N437" i="3"/>
  <c r="O437" i="3"/>
  <c r="P437" i="3"/>
  <c r="L438" i="3"/>
  <c r="M438" i="3"/>
  <c r="N438" i="3"/>
  <c r="O438" i="3"/>
  <c r="P438" i="3"/>
  <c r="L439" i="3"/>
  <c r="M439" i="3"/>
  <c r="N439" i="3"/>
  <c r="O439" i="3"/>
  <c r="P439" i="3"/>
  <c r="L440" i="3"/>
  <c r="M440" i="3"/>
  <c r="N440" i="3"/>
  <c r="O440" i="3"/>
  <c r="P440" i="3"/>
  <c r="L441" i="3"/>
  <c r="M441" i="3"/>
  <c r="N441" i="3"/>
  <c r="O441" i="3"/>
  <c r="P441" i="3"/>
  <c r="L442" i="3"/>
  <c r="M442" i="3"/>
  <c r="N442" i="3"/>
  <c r="O442" i="3"/>
  <c r="P442" i="3"/>
  <c r="L443" i="3"/>
  <c r="M443" i="3"/>
  <c r="N443" i="3"/>
  <c r="O443" i="3"/>
  <c r="P443" i="3"/>
  <c r="L444" i="3"/>
  <c r="M444" i="3"/>
  <c r="N444" i="3"/>
  <c r="O444" i="3"/>
  <c r="P444" i="3"/>
  <c r="L445" i="3"/>
  <c r="M445" i="3"/>
  <c r="N445" i="3"/>
  <c r="O445" i="3"/>
  <c r="P445" i="3"/>
  <c r="L446" i="3"/>
  <c r="M446" i="3"/>
  <c r="N446" i="3"/>
  <c r="O446" i="3"/>
  <c r="P446" i="3"/>
  <c r="L447" i="3"/>
  <c r="M447" i="3"/>
  <c r="N447" i="3"/>
  <c r="O447" i="3"/>
  <c r="P447" i="3"/>
  <c r="L448" i="3"/>
  <c r="M448" i="3"/>
  <c r="N448" i="3"/>
  <c r="O448" i="3"/>
  <c r="P448" i="3"/>
  <c r="L449" i="3"/>
  <c r="M449" i="3"/>
  <c r="N449" i="3"/>
  <c r="O449" i="3"/>
  <c r="P449" i="3"/>
  <c r="L450" i="3"/>
  <c r="M450" i="3"/>
  <c r="N450" i="3"/>
  <c r="O450" i="3"/>
  <c r="P450" i="3"/>
  <c r="L451" i="3"/>
  <c r="M451" i="3"/>
  <c r="N451" i="3"/>
  <c r="O451" i="3"/>
  <c r="P451" i="3"/>
  <c r="L452" i="3"/>
  <c r="M452" i="3"/>
  <c r="N452" i="3"/>
  <c r="O452" i="3"/>
  <c r="P452" i="3"/>
  <c r="L453" i="3"/>
  <c r="M453" i="3"/>
  <c r="N453" i="3"/>
  <c r="O453" i="3"/>
  <c r="P453" i="3"/>
  <c r="L454" i="3"/>
  <c r="M454" i="3"/>
  <c r="N454" i="3"/>
  <c r="O454" i="3"/>
  <c r="P454" i="3"/>
  <c r="L455" i="3"/>
  <c r="M455" i="3"/>
  <c r="N455" i="3"/>
  <c r="O455" i="3"/>
  <c r="P455" i="3"/>
  <c r="L456" i="3"/>
  <c r="M456" i="3"/>
  <c r="N456" i="3"/>
  <c r="O456" i="3"/>
  <c r="P456" i="3"/>
  <c r="L457" i="3"/>
  <c r="M457" i="3"/>
  <c r="N457" i="3"/>
  <c r="O457" i="3"/>
  <c r="P457" i="3"/>
  <c r="L458" i="3"/>
  <c r="M458" i="3"/>
  <c r="N458" i="3"/>
  <c r="O458" i="3"/>
  <c r="P458" i="3"/>
  <c r="L459" i="3"/>
  <c r="M459" i="3"/>
  <c r="N459" i="3"/>
  <c r="O459" i="3"/>
  <c r="P459" i="3"/>
  <c r="L460" i="3"/>
  <c r="M460" i="3"/>
  <c r="N460" i="3"/>
  <c r="O460" i="3"/>
  <c r="P460" i="3"/>
  <c r="L461" i="3"/>
  <c r="M461" i="3"/>
  <c r="N461" i="3"/>
  <c r="O461" i="3"/>
  <c r="P461" i="3"/>
  <c r="L462" i="3"/>
  <c r="M462" i="3"/>
  <c r="N462" i="3"/>
  <c r="O462" i="3"/>
  <c r="P462" i="3"/>
  <c r="L463" i="3"/>
  <c r="M463" i="3"/>
  <c r="N463" i="3"/>
  <c r="O463" i="3"/>
  <c r="P463" i="3"/>
  <c r="L464" i="3"/>
  <c r="M464" i="3"/>
  <c r="N464" i="3"/>
  <c r="O464" i="3"/>
  <c r="P464" i="3"/>
  <c r="L465" i="3"/>
  <c r="M465" i="3"/>
  <c r="N465" i="3"/>
  <c r="O465" i="3"/>
  <c r="P465" i="3"/>
  <c r="L466" i="3"/>
  <c r="M466" i="3"/>
  <c r="N466" i="3"/>
  <c r="O466" i="3"/>
  <c r="P466" i="3"/>
  <c r="L467" i="3"/>
  <c r="M467" i="3"/>
  <c r="N467" i="3"/>
  <c r="O467" i="3"/>
  <c r="P467" i="3"/>
  <c r="L468" i="3"/>
  <c r="M468" i="3"/>
  <c r="N468" i="3"/>
  <c r="O468" i="3"/>
  <c r="P468" i="3"/>
  <c r="L469" i="3"/>
  <c r="M469" i="3"/>
  <c r="N469" i="3"/>
  <c r="O469" i="3"/>
  <c r="P469" i="3"/>
  <c r="L470" i="3"/>
  <c r="M470" i="3"/>
  <c r="N470" i="3"/>
  <c r="O470" i="3"/>
  <c r="P470" i="3"/>
  <c r="L471" i="3"/>
  <c r="M471" i="3"/>
  <c r="N471" i="3"/>
  <c r="O471" i="3"/>
  <c r="P471" i="3"/>
  <c r="L472" i="3"/>
  <c r="M472" i="3"/>
  <c r="N472" i="3"/>
  <c r="O472" i="3"/>
  <c r="P472" i="3"/>
  <c r="L473" i="3"/>
  <c r="M473" i="3"/>
  <c r="N473" i="3"/>
  <c r="O473" i="3"/>
  <c r="P473" i="3"/>
  <c r="L474" i="3"/>
  <c r="M474" i="3"/>
  <c r="N474" i="3"/>
  <c r="O474" i="3"/>
  <c r="P474" i="3"/>
  <c r="L475" i="3"/>
  <c r="M475" i="3"/>
  <c r="N475" i="3"/>
  <c r="O475" i="3"/>
  <c r="P475" i="3"/>
  <c r="L476" i="3"/>
  <c r="M476" i="3"/>
  <c r="N476" i="3"/>
  <c r="O476" i="3"/>
  <c r="P476" i="3"/>
  <c r="L477" i="3"/>
  <c r="M477" i="3"/>
  <c r="N477" i="3"/>
  <c r="O477" i="3"/>
  <c r="P477" i="3"/>
  <c r="L478" i="3"/>
  <c r="M478" i="3"/>
  <c r="N478" i="3"/>
  <c r="O478" i="3"/>
  <c r="P478" i="3"/>
  <c r="L479" i="3"/>
  <c r="M479" i="3"/>
  <c r="N479" i="3"/>
  <c r="O479" i="3"/>
  <c r="P479" i="3"/>
  <c r="L480" i="3"/>
  <c r="M480" i="3"/>
  <c r="N480" i="3"/>
  <c r="O480" i="3"/>
  <c r="P480" i="3"/>
  <c r="L481" i="3"/>
  <c r="M481" i="3"/>
  <c r="N481" i="3"/>
  <c r="O481" i="3"/>
  <c r="P481" i="3"/>
  <c r="L482" i="3"/>
  <c r="M482" i="3"/>
  <c r="N482" i="3"/>
  <c r="O482" i="3"/>
  <c r="P482" i="3"/>
  <c r="L483" i="3"/>
  <c r="M483" i="3"/>
  <c r="N483" i="3"/>
  <c r="O483" i="3"/>
  <c r="P483" i="3"/>
  <c r="L484" i="3"/>
  <c r="M484" i="3"/>
  <c r="N484" i="3"/>
  <c r="O484" i="3"/>
  <c r="P484" i="3"/>
  <c r="L485" i="3"/>
  <c r="M485" i="3"/>
  <c r="N485" i="3"/>
  <c r="O485" i="3"/>
  <c r="P485" i="3"/>
  <c r="L486" i="3"/>
  <c r="M486" i="3"/>
  <c r="N486" i="3"/>
  <c r="O486" i="3"/>
  <c r="P486" i="3"/>
  <c r="L487" i="3"/>
  <c r="M487" i="3"/>
  <c r="N487" i="3"/>
  <c r="O487" i="3"/>
  <c r="P487" i="3"/>
  <c r="L488" i="3"/>
  <c r="M488" i="3"/>
  <c r="N488" i="3"/>
  <c r="O488" i="3"/>
  <c r="P488" i="3"/>
  <c r="L489" i="3"/>
  <c r="M489" i="3"/>
  <c r="N489" i="3"/>
  <c r="O489" i="3"/>
  <c r="P489" i="3"/>
  <c r="L490" i="3"/>
  <c r="M490" i="3"/>
  <c r="N490" i="3"/>
  <c r="O490" i="3"/>
  <c r="P490" i="3"/>
  <c r="L491" i="3"/>
  <c r="M491" i="3"/>
  <c r="N491" i="3"/>
  <c r="O491" i="3"/>
  <c r="P491" i="3"/>
  <c r="L492" i="3"/>
  <c r="M492" i="3"/>
  <c r="N492" i="3"/>
  <c r="O492" i="3"/>
  <c r="P492" i="3"/>
  <c r="L493" i="3"/>
  <c r="M493" i="3"/>
  <c r="N493" i="3"/>
  <c r="O493" i="3"/>
  <c r="P493" i="3"/>
  <c r="L494" i="3"/>
  <c r="M494" i="3"/>
  <c r="N494" i="3"/>
  <c r="O494" i="3"/>
  <c r="P494" i="3"/>
  <c r="L495" i="3"/>
  <c r="M495" i="3"/>
  <c r="N495" i="3"/>
  <c r="O495" i="3"/>
  <c r="P495" i="3"/>
  <c r="L496" i="3"/>
  <c r="M496" i="3"/>
  <c r="N496" i="3"/>
  <c r="O496" i="3"/>
  <c r="P496" i="3"/>
  <c r="L497" i="3"/>
  <c r="M497" i="3"/>
  <c r="N497" i="3"/>
  <c r="O497" i="3"/>
  <c r="P497" i="3"/>
  <c r="L498" i="3"/>
  <c r="M498" i="3"/>
  <c r="N498" i="3"/>
  <c r="O498" i="3"/>
  <c r="P498" i="3"/>
  <c r="L499" i="3"/>
  <c r="M499" i="3"/>
  <c r="N499" i="3"/>
  <c r="O499" i="3"/>
  <c r="P499" i="3"/>
  <c r="L500" i="3"/>
  <c r="M500" i="3"/>
  <c r="N500" i="3"/>
  <c r="O500" i="3"/>
  <c r="P500" i="3"/>
  <c r="L501" i="3"/>
  <c r="M501" i="3"/>
  <c r="N501" i="3"/>
  <c r="O501" i="3"/>
  <c r="P501" i="3"/>
  <c r="L502" i="3"/>
  <c r="M502" i="3"/>
  <c r="N502" i="3"/>
  <c r="O502" i="3"/>
  <c r="P502" i="3"/>
  <c r="L503" i="3"/>
  <c r="M503" i="3"/>
  <c r="N503" i="3"/>
  <c r="O503" i="3"/>
  <c r="P503" i="3"/>
  <c r="L504" i="3"/>
  <c r="M504" i="3"/>
  <c r="N504" i="3"/>
  <c r="O504" i="3"/>
  <c r="P504" i="3"/>
  <c r="L505" i="3"/>
  <c r="M505" i="3"/>
  <c r="N505" i="3"/>
  <c r="O505" i="3"/>
  <c r="P505" i="3"/>
  <c r="L506" i="3"/>
  <c r="M506" i="3"/>
  <c r="N506" i="3"/>
  <c r="O506" i="3"/>
  <c r="P506" i="3"/>
  <c r="L507" i="3"/>
  <c r="M507" i="3"/>
  <c r="N507" i="3"/>
  <c r="O507" i="3"/>
  <c r="P507" i="3"/>
  <c r="L508" i="3"/>
  <c r="M508" i="3"/>
  <c r="N508" i="3"/>
  <c r="O508" i="3"/>
  <c r="P508" i="3"/>
  <c r="L509" i="3"/>
  <c r="M509" i="3"/>
  <c r="N509" i="3"/>
  <c r="O509" i="3"/>
  <c r="P509" i="3"/>
  <c r="L510" i="3"/>
  <c r="M510" i="3"/>
  <c r="N510" i="3"/>
  <c r="O510" i="3"/>
  <c r="P510" i="3"/>
  <c r="L511" i="3"/>
  <c r="M511" i="3"/>
  <c r="N511" i="3"/>
  <c r="O511" i="3"/>
  <c r="P511" i="3"/>
  <c r="L512" i="3"/>
  <c r="M512" i="3"/>
  <c r="N512" i="3"/>
  <c r="O512" i="3"/>
  <c r="P512" i="3"/>
  <c r="L513" i="3"/>
  <c r="M513" i="3"/>
  <c r="N513" i="3"/>
  <c r="O513" i="3"/>
  <c r="P513" i="3"/>
  <c r="L514" i="3"/>
  <c r="M514" i="3"/>
  <c r="N514" i="3"/>
  <c r="O514" i="3"/>
  <c r="P514" i="3"/>
  <c r="L515" i="3"/>
  <c r="M515" i="3"/>
  <c r="N515" i="3"/>
  <c r="O515" i="3"/>
  <c r="P515" i="3"/>
  <c r="L516" i="3"/>
  <c r="M516" i="3"/>
  <c r="N516" i="3"/>
  <c r="O516" i="3"/>
  <c r="P516" i="3"/>
  <c r="L517" i="3"/>
  <c r="M517" i="3"/>
  <c r="N517" i="3"/>
  <c r="O517" i="3"/>
  <c r="P517" i="3"/>
  <c r="L518" i="3"/>
  <c r="M518" i="3"/>
  <c r="N518" i="3"/>
  <c r="O518" i="3"/>
  <c r="P518" i="3"/>
  <c r="L519" i="3"/>
  <c r="M519" i="3"/>
  <c r="N519" i="3"/>
  <c r="O519" i="3"/>
  <c r="P519" i="3"/>
  <c r="L520" i="3"/>
  <c r="M520" i="3"/>
  <c r="N520" i="3"/>
  <c r="O520" i="3"/>
  <c r="P520" i="3"/>
  <c r="L521" i="3"/>
  <c r="M521" i="3"/>
  <c r="N521" i="3"/>
  <c r="O521" i="3"/>
  <c r="P521" i="3"/>
  <c r="L522" i="3"/>
  <c r="M522" i="3"/>
  <c r="N522" i="3"/>
  <c r="O522" i="3"/>
  <c r="P522" i="3"/>
  <c r="L523" i="3"/>
  <c r="M523" i="3"/>
  <c r="N523" i="3"/>
  <c r="O523" i="3"/>
  <c r="P523" i="3"/>
  <c r="L524" i="3"/>
  <c r="M524" i="3"/>
  <c r="N524" i="3"/>
  <c r="O524" i="3"/>
  <c r="P524" i="3"/>
  <c r="L525" i="3"/>
  <c r="M525" i="3"/>
  <c r="N525" i="3"/>
  <c r="O525" i="3"/>
  <c r="P525" i="3"/>
  <c r="L526" i="3"/>
  <c r="M526" i="3"/>
  <c r="N526" i="3"/>
  <c r="O526" i="3"/>
  <c r="P526" i="3"/>
  <c r="L527" i="3"/>
  <c r="M527" i="3"/>
  <c r="N527" i="3"/>
  <c r="O527" i="3"/>
  <c r="P527" i="3"/>
  <c r="L528" i="3"/>
  <c r="M528" i="3"/>
  <c r="N528" i="3"/>
  <c r="O528" i="3"/>
  <c r="P528" i="3"/>
  <c r="L529" i="3"/>
  <c r="M529" i="3"/>
  <c r="N529" i="3"/>
  <c r="O529" i="3"/>
  <c r="P529" i="3"/>
  <c r="L530" i="3"/>
  <c r="M530" i="3"/>
  <c r="N530" i="3"/>
  <c r="O530" i="3"/>
  <c r="P530" i="3"/>
  <c r="L531" i="3"/>
  <c r="M531" i="3"/>
  <c r="N531" i="3"/>
  <c r="O531" i="3"/>
  <c r="P531" i="3"/>
  <c r="L532" i="3"/>
  <c r="M532" i="3"/>
  <c r="N532" i="3"/>
  <c r="O532" i="3"/>
  <c r="P532" i="3"/>
  <c r="L533" i="3"/>
  <c r="M533" i="3"/>
  <c r="N533" i="3"/>
  <c r="O533" i="3"/>
  <c r="P533" i="3"/>
  <c r="L534" i="3"/>
  <c r="M534" i="3"/>
  <c r="N534" i="3"/>
  <c r="O534" i="3"/>
  <c r="P534" i="3"/>
  <c r="L535" i="3"/>
  <c r="M535" i="3"/>
  <c r="N535" i="3"/>
  <c r="O535" i="3"/>
  <c r="P535" i="3"/>
  <c r="L536" i="3"/>
  <c r="M536" i="3"/>
  <c r="N536" i="3"/>
  <c r="O536" i="3"/>
  <c r="P536" i="3"/>
  <c r="L537" i="3"/>
  <c r="M537" i="3"/>
  <c r="N537" i="3"/>
  <c r="O537" i="3"/>
  <c r="P537" i="3"/>
  <c r="L538" i="3"/>
  <c r="M538" i="3"/>
  <c r="N538" i="3"/>
  <c r="O538" i="3"/>
  <c r="P538" i="3"/>
  <c r="L539" i="3"/>
  <c r="M539" i="3"/>
  <c r="N539" i="3"/>
  <c r="O539" i="3"/>
  <c r="P539" i="3"/>
  <c r="L540" i="3"/>
  <c r="M540" i="3"/>
  <c r="N540" i="3"/>
  <c r="O540" i="3"/>
  <c r="P540" i="3"/>
  <c r="L541" i="3"/>
  <c r="M541" i="3"/>
  <c r="N541" i="3"/>
  <c r="O541" i="3"/>
  <c r="P541" i="3"/>
  <c r="L542" i="3"/>
  <c r="M542" i="3"/>
  <c r="N542" i="3"/>
  <c r="O542" i="3"/>
  <c r="P542" i="3"/>
  <c r="L543" i="3"/>
  <c r="M543" i="3"/>
  <c r="N543" i="3"/>
  <c r="O543" i="3"/>
  <c r="P543" i="3"/>
  <c r="L544" i="3"/>
  <c r="M544" i="3"/>
  <c r="N544" i="3"/>
  <c r="O544" i="3"/>
  <c r="P544" i="3"/>
  <c r="L545" i="3"/>
  <c r="M545" i="3"/>
  <c r="N545" i="3"/>
  <c r="O545" i="3"/>
  <c r="P545" i="3"/>
  <c r="L546" i="3"/>
  <c r="M546" i="3"/>
  <c r="N546" i="3"/>
  <c r="O546" i="3"/>
  <c r="P546" i="3"/>
  <c r="L547" i="3"/>
  <c r="M547" i="3"/>
  <c r="N547" i="3"/>
  <c r="O547" i="3"/>
  <c r="P547" i="3"/>
  <c r="L548" i="3"/>
  <c r="M548" i="3"/>
  <c r="N548" i="3"/>
  <c r="O548" i="3"/>
  <c r="P548" i="3"/>
  <c r="L549" i="3"/>
  <c r="M549" i="3"/>
  <c r="N549" i="3"/>
  <c r="O549" i="3"/>
  <c r="P549" i="3"/>
  <c r="L550" i="3"/>
  <c r="M550" i="3"/>
  <c r="N550" i="3"/>
  <c r="O550" i="3"/>
  <c r="P550" i="3"/>
  <c r="L551" i="3"/>
  <c r="M551" i="3"/>
  <c r="N551" i="3"/>
  <c r="O551" i="3"/>
  <c r="P551" i="3"/>
  <c r="L552" i="3"/>
  <c r="M552" i="3"/>
  <c r="N552" i="3"/>
  <c r="O552" i="3"/>
  <c r="P552" i="3"/>
  <c r="L553" i="3"/>
  <c r="M553" i="3"/>
  <c r="N553" i="3"/>
  <c r="O553" i="3"/>
  <c r="P553" i="3"/>
  <c r="L554" i="3"/>
  <c r="M554" i="3"/>
  <c r="N554" i="3"/>
  <c r="O554" i="3"/>
  <c r="P554" i="3"/>
  <c r="L555" i="3"/>
  <c r="M555" i="3"/>
  <c r="N555" i="3"/>
  <c r="O555" i="3"/>
  <c r="P555" i="3"/>
  <c r="L556" i="3"/>
  <c r="M556" i="3"/>
  <c r="N556" i="3"/>
  <c r="O556" i="3"/>
  <c r="P556" i="3"/>
  <c r="L557" i="3"/>
  <c r="M557" i="3"/>
  <c r="N557" i="3"/>
  <c r="O557" i="3"/>
  <c r="P557" i="3"/>
  <c r="L558" i="3"/>
  <c r="M558" i="3"/>
  <c r="N558" i="3"/>
  <c r="O558" i="3"/>
  <c r="P558" i="3"/>
  <c r="L559" i="3"/>
  <c r="M559" i="3"/>
  <c r="N559" i="3"/>
  <c r="O559" i="3"/>
  <c r="P559" i="3"/>
  <c r="L560" i="3"/>
  <c r="M560" i="3"/>
  <c r="N560" i="3"/>
  <c r="O560" i="3"/>
  <c r="P560" i="3"/>
  <c r="L561" i="3"/>
  <c r="M561" i="3"/>
  <c r="N561" i="3"/>
  <c r="O561" i="3"/>
  <c r="P561" i="3"/>
  <c r="L562" i="3"/>
  <c r="M562" i="3"/>
  <c r="N562" i="3"/>
  <c r="O562" i="3"/>
  <c r="P562" i="3"/>
  <c r="L563" i="3"/>
  <c r="M563" i="3"/>
  <c r="N563" i="3"/>
  <c r="O563" i="3"/>
  <c r="P563" i="3"/>
  <c r="L564" i="3"/>
  <c r="M564" i="3"/>
  <c r="N564" i="3"/>
  <c r="O564" i="3"/>
  <c r="P564" i="3"/>
  <c r="L565" i="3"/>
  <c r="M565" i="3"/>
  <c r="N565" i="3"/>
  <c r="O565" i="3"/>
  <c r="P565" i="3"/>
  <c r="L566" i="3"/>
  <c r="M566" i="3"/>
  <c r="N566" i="3"/>
  <c r="O566" i="3"/>
  <c r="P566" i="3"/>
  <c r="L567" i="3"/>
  <c r="M567" i="3"/>
  <c r="N567" i="3"/>
  <c r="O567" i="3"/>
  <c r="P567" i="3"/>
  <c r="L568" i="3"/>
  <c r="M568" i="3"/>
  <c r="N568" i="3"/>
  <c r="O568" i="3"/>
  <c r="P568" i="3"/>
  <c r="L569" i="3"/>
  <c r="M569" i="3"/>
  <c r="N569" i="3"/>
  <c r="O569" i="3"/>
  <c r="P569" i="3"/>
  <c r="L570" i="3"/>
  <c r="M570" i="3"/>
  <c r="N570" i="3"/>
  <c r="O570" i="3"/>
  <c r="P570" i="3"/>
  <c r="L571" i="3"/>
  <c r="M571" i="3"/>
  <c r="N571" i="3"/>
  <c r="O571" i="3"/>
  <c r="P571" i="3"/>
  <c r="L572" i="3"/>
  <c r="M572" i="3"/>
  <c r="N572" i="3"/>
  <c r="O572" i="3"/>
  <c r="P572" i="3"/>
  <c r="L573" i="3"/>
  <c r="M573" i="3"/>
  <c r="N573" i="3"/>
  <c r="O573" i="3"/>
  <c r="P573" i="3"/>
  <c r="L574" i="3"/>
  <c r="M574" i="3"/>
  <c r="N574" i="3"/>
  <c r="O574" i="3"/>
  <c r="P574" i="3"/>
  <c r="L575" i="3"/>
  <c r="M575" i="3"/>
  <c r="N575" i="3"/>
  <c r="O575" i="3"/>
  <c r="P575" i="3"/>
  <c r="L576" i="3"/>
  <c r="M576" i="3"/>
  <c r="N576" i="3"/>
  <c r="O576" i="3"/>
  <c r="P576" i="3"/>
  <c r="L577" i="3"/>
  <c r="M577" i="3"/>
  <c r="N577" i="3"/>
  <c r="O577" i="3"/>
  <c r="P577" i="3"/>
  <c r="L578" i="3"/>
  <c r="M578" i="3"/>
  <c r="N578" i="3"/>
  <c r="O578" i="3"/>
  <c r="P578" i="3"/>
  <c r="L579" i="3"/>
  <c r="M579" i="3"/>
  <c r="N579" i="3"/>
  <c r="O579" i="3"/>
  <c r="P579" i="3"/>
  <c r="L580" i="3"/>
  <c r="M580" i="3"/>
  <c r="N580" i="3"/>
  <c r="O580" i="3"/>
  <c r="P580" i="3"/>
  <c r="L581" i="3"/>
  <c r="M581" i="3"/>
  <c r="N581" i="3"/>
  <c r="O581" i="3"/>
  <c r="P581" i="3"/>
  <c r="L582" i="3"/>
  <c r="M582" i="3"/>
  <c r="N582" i="3"/>
  <c r="O582" i="3"/>
  <c r="P582" i="3"/>
  <c r="L583" i="3"/>
  <c r="M583" i="3"/>
  <c r="N583" i="3"/>
  <c r="O583" i="3"/>
  <c r="P583" i="3"/>
  <c r="L584" i="3"/>
  <c r="M584" i="3"/>
  <c r="N584" i="3"/>
  <c r="O584" i="3"/>
  <c r="P584" i="3"/>
  <c r="L585" i="3"/>
  <c r="M585" i="3"/>
  <c r="N585" i="3"/>
  <c r="O585" i="3"/>
  <c r="P585" i="3"/>
  <c r="L586" i="3"/>
  <c r="M586" i="3"/>
  <c r="N586" i="3"/>
  <c r="O586" i="3"/>
  <c r="P586" i="3"/>
  <c r="L587" i="3"/>
  <c r="M587" i="3"/>
  <c r="N587" i="3"/>
  <c r="O587" i="3"/>
  <c r="P587" i="3"/>
  <c r="L588" i="3"/>
  <c r="M588" i="3"/>
  <c r="N588" i="3"/>
  <c r="O588" i="3"/>
  <c r="P588" i="3"/>
  <c r="L589" i="3"/>
  <c r="M589" i="3"/>
  <c r="N589" i="3"/>
  <c r="O589" i="3"/>
  <c r="P589" i="3"/>
  <c r="L590" i="3"/>
  <c r="M590" i="3"/>
  <c r="N590" i="3"/>
  <c r="O590" i="3"/>
  <c r="P590" i="3"/>
  <c r="L591" i="3"/>
  <c r="M591" i="3"/>
  <c r="N591" i="3"/>
  <c r="O591" i="3"/>
  <c r="P591" i="3"/>
  <c r="L592" i="3"/>
  <c r="M592" i="3"/>
  <c r="N592" i="3"/>
  <c r="O592" i="3"/>
  <c r="P592" i="3"/>
  <c r="L593" i="3"/>
  <c r="M593" i="3"/>
  <c r="N593" i="3"/>
  <c r="O593" i="3"/>
  <c r="P593" i="3"/>
  <c r="L594" i="3"/>
  <c r="M594" i="3"/>
  <c r="N594" i="3"/>
  <c r="O594" i="3"/>
  <c r="P594" i="3"/>
  <c r="L595" i="3"/>
  <c r="M595" i="3"/>
  <c r="N595" i="3"/>
  <c r="O595" i="3"/>
  <c r="P595" i="3"/>
  <c r="L596" i="3"/>
  <c r="M596" i="3"/>
  <c r="N596" i="3"/>
  <c r="O596" i="3"/>
  <c r="P596" i="3"/>
  <c r="L597" i="3"/>
  <c r="M597" i="3"/>
  <c r="N597" i="3"/>
  <c r="O597" i="3"/>
  <c r="P597" i="3"/>
  <c r="L598" i="3"/>
  <c r="M598" i="3"/>
  <c r="N598" i="3"/>
  <c r="O598" i="3"/>
  <c r="P598" i="3"/>
  <c r="L599" i="3"/>
  <c r="M599" i="3"/>
  <c r="N599" i="3"/>
  <c r="O599" i="3"/>
  <c r="P599" i="3"/>
  <c r="L600" i="3"/>
  <c r="M600" i="3"/>
  <c r="N600" i="3"/>
  <c r="O600" i="3"/>
  <c r="P600" i="3"/>
  <c r="L601" i="3"/>
  <c r="M601" i="3"/>
  <c r="N601" i="3"/>
  <c r="O601" i="3"/>
  <c r="P601" i="3"/>
  <c r="L602" i="3"/>
  <c r="M602" i="3"/>
  <c r="N602" i="3"/>
  <c r="O602" i="3"/>
  <c r="P602" i="3"/>
  <c r="L603" i="3"/>
  <c r="M603" i="3"/>
  <c r="N603" i="3"/>
  <c r="O603" i="3"/>
  <c r="P603" i="3"/>
  <c r="L604" i="3"/>
  <c r="M604" i="3"/>
  <c r="N604" i="3"/>
  <c r="O604" i="3"/>
  <c r="P604" i="3"/>
  <c r="L605" i="3"/>
  <c r="M605" i="3"/>
  <c r="N605" i="3"/>
  <c r="O605" i="3"/>
  <c r="P605" i="3"/>
  <c r="L606" i="3"/>
  <c r="M606" i="3"/>
  <c r="N606" i="3"/>
  <c r="O606" i="3"/>
  <c r="P606" i="3"/>
  <c r="T8" i="3"/>
  <c r="U8" i="3"/>
  <c r="V8" i="3"/>
  <c r="W8" i="3"/>
  <c r="X8" i="3"/>
  <c r="T9" i="3"/>
  <c r="U9" i="3"/>
  <c r="V9" i="3"/>
  <c r="W9" i="3"/>
  <c r="X9" i="3"/>
  <c r="T10" i="3"/>
  <c r="U10" i="3"/>
  <c r="V10" i="3"/>
  <c r="W10" i="3"/>
  <c r="X10" i="3"/>
  <c r="T11" i="3"/>
  <c r="U11" i="3"/>
  <c r="V11" i="3"/>
  <c r="W11" i="3"/>
  <c r="X11" i="3"/>
  <c r="T12" i="3"/>
  <c r="U12" i="3"/>
  <c r="V12" i="3"/>
  <c r="W12" i="3"/>
  <c r="X12" i="3"/>
  <c r="T13" i="3"/>
  <c r="U13" i="3"/>
  <c r="V13" i="3"/>
  <c r="W13" i="3"/>
  <c r="X13" i="3"/>
  <c r="T14" i="3"/>
  <c r="U14" i="3"/>
  <c r="V14" i="3"/>
  <c r="W14" i="3"/>
  <c r="X14" i="3"/>
  <c r="T15" i="3"/>
  <c r="U15" i="3"/>
  <c r="V15" i="3"/>
  <c r="W15" i="3"/>
  <c r="X15" i="3"/>
  <c r="T16" i="3"/>
  <c r="U16" i="3"/>
  <c r="V16" i="3"/>
  <c r="W16" i="3"/>
  <c r="X16" i="3"/>
  <c r="T17" i="3"/>
  <c r="U17" i="3"/>
  <c r="V17" i="3"/>
  <c r="W17" i="3"/>
  <c r="X17" i="3"/>
  <c r="T18" i="3"/>
  <c r="U18" i="3"/>
  <c r="V18" i="3"/>
  <c r="W18" i="3"/>
  <c r="X18" i="3"/>
  <c r="T19" i="3"/>
  <c r="U19" i="3"/>
  <c r="V19" i="3"/>
  <c r="W19" i="3"/>
  <c r="X19" i="3"/>
  <c r="T20" i="3"/>
  <c r="U20" i="3"/>
  <c r="V20" i="3"/>
  <c r="W20" i="3"/>
  <c r="X20" i="3"/>
  <c r="T21" i="3"/>
  <c r="U21" i="3"/>
  <c r="V21" i="3"/>
  <c r="W21" i="3"/>
  <c r="X21" i="3"/>
  <c r="T22" i="3"/>
  <c r="U22" i="3"/>
  <c r="V22" i="3"/>
  <c r="W22" i="3"/>
  <c r="X22" i="3"/>
  <c r="T23" i="3"/>
  <c r="U23" i="3"/>
  <c r="V23" i="3"/>
  <c r="W23" i="3"/>
  <c r="X23" i="3"/>
  <c r="T24" i="3"/>
  <c r="U24" i="3"/>
  <c r="V24" i="3"/>
  <c r="W24" i="3"/>
  <c r="X24" i="3"/>
  <c r="T25" i="3"/>
  <c r="U25" i="3"/>
  <c r="V25" i="3"/>
  <c r="W25" i="3"/>
  <c r="X25" i="3"/>
  <c r="T26" i="3"/>
  <c r="U26" i="3"/>
  <c r="V26" i="3"/>
  <c r="W26" i="3"/>
  <c r="X26" i="3"/>
  <c r="T27" i="3"/>
  <c r="U27" i="3"/>
  <c r="V27" i="3"/>
  <c r="W27" i="3"/>
  <c r="X27" i="3"/>
  <c r="T28" i="3"/>
  <c r="U28" i="3"/>
  <c r="V28" i="3"/>
  <c r="W28" i="3"/>
  <c r="X28" i="3"/>
  <c r="T29" i="3"/>
  <c r="U29" i="3"/>
  <c r="V29" i="3"/>
  <c r="W29" i="3"/>
  <c r="X29" i="3"/>
  <c r="T30" i="3"/>
  <c r="U30" i="3"/>
  <c r="V30" i="3"/>
  <c r="W30" i="3"/>
  <c r="X30" i="3"/>
  <c r="T31" i="3"/>
  <c r="U31" i="3"/>
  <c r="V31" i="3"/>
  <c r="W31" i="3"/>
  <c r="X31" i="3"/>
  <c r="T32" i="3"/>
  <c r="U32" i="3"/>
  <c r="V32" i="3"/>
  <c r="W32" i="3"/>
  <c r="X32" i="3"/>
  <c r="T33" i="3"/>
  <c r="U33" i="3"/>
  <c r="V33" i="3"/>
  <c r="W33" i="3"/>
  <c r="X33" i="3"/>
  <c r="T34" i="3"/>
  <c r="U34" i="3"/>
  <c r="V34" i="3"/>
  <c r="W34" i="3"/>
  <c r="X34" i="3"/>
  <c r="T35" i="3"/>
  <c r="U35" i="3"/>
  <c r="V35" i="3"/>
  <c r="W35" i="3"/>
  <c r="X35" i="3"/>
  <c r="T36" i="3"/>
  <c r="U36" i="3"/>
  <c r="V36" i="3"/>
  <c r="W36" i="3"/>
  <c r="X36" i="3"/>
  <c r="T37" i="3"/>
  <c r="U37" i="3"/>
  <c r="V37" i="3"/>
  <c r="W37" i="3"/>
  <c r="X37" i="3"/>
  <c r="T38" i="3"/>
  <c r="U38" i="3"/>
  <c r="V38" i="3"/>
  <c r="W38" i="3"/>
  <c r="X38" i="3"/>
  <c r="T39" i="3"/>
  <c r="U39" i="3"/>
  <c r="V39" i="3"/>
  <c r="W39" i="3"/>
  <c r="X39" i="3"/>
  <c r="T40" i="3"/>
  <c r="U40" i="3"/>
  <c r="V40" i="3"/>
  <c r="W40" i="3"/>
  <c r="X40" i="3"/>
  <c r="T41" i="3"/>
  <c r="U41" i="3"/>
  <c r="V41" i="3"/>
  <c r="W41" i="3"/>
  <c r="X41" i="3"/>
  <c r="T42" i="3"/>
  <c r="U42" i="3"/>
  <c r="V42" i="3"/>
  <c r="W42" i="3"/>
  <c r="X42" i="3"/>
  <c r="T43" i="3"/>
  <c r="U43" i="3"/>
  <c r="V43" i="3"/>
  <c r="W43" i="3"/>
  <c r="X43" i="3"/>
  <c r="T44" i="3"/>
  <c r="U44" i="3"/>
  <c r="V44" i="3"/>
  <c r="W44" i="3"/>
  <c r="X44" i="3"/>
  <c r="T45" i="3"/>
  <c r="U45" i="3"/>
  <c r="V45" i="3"/>
  <c r="W45" i="3"/>
  <c r="X45" i="3"/>
  <c r="T46" i="3"/>
  <c r="U46" i="3"/>
  <c r="V46" i="3"/>
  <c r="W46" i="3"/>
  <c r="X46" i="3"/>
  <c r="T47" i="3"/>
  <c r="U47" i="3"/>
  <c r="V47" i="3"/>
  <c r="W47" i="3"/>
  <c r="X47" i="3"/>
  <c r="T48" i="3"/>
  <c r="U48" i="3"/>
  <c r="V48" i="3"/>
  <c r="W48" i="3"/>
  <c r="X48" i="3"/>
  <c r="T49" i="3"/>
  <c r="U49" i="3"/>
  <c r="V49" i="3"/>
  <c r="W49" i="3"/>
  <c r="X49" i="3"/>
  <c r="T50" i="3"/>
  <c r="U50" i="3"/>
  <c r="V50" i="3"/>
  <c r="W50" i="3"/>
  <c r="X50" i="3"/>
  <c r="T51" i="3"/>
  <c r="U51" i="3"/>
  <c r="V51" i="3"/>
  <c r="W51" i="3"/>
  <c r="X51" i="3"/>
  <c r="T52" i="3"/>
  <c r="U52" i="3"/>
  <c r="V52" i="3"/>
  <c r="W52" i="3"/>
  <c r="X52" i="3"/>
  <c r="T53" i="3"/>
  <c r="U53" i="3"/>
  <c r="V53" i="3"/>
  <c r="W53" i="3"/>
  <c r="X53" i="3"/>
  <c r="T54" i="3"/>
  <c r="U54" i="3"/>
  <c r="V54" i="3"/>
  <c r="W54" i="3"/>
  <c r="X54" i="3"/>
  <c r="T55" i="3"/>
  <c r="U55" i="3"/>
  <c r="V55" i="3"/>
  <c r="W55" i="3"/>
  <c r="X55" i="3"/>
  <c r="T56" i="3"/>
  <c r="U56" i="3"/>
  <c r="V56" i="3"/>
  <c r="W56" i="3"/>
  <c r="X56" i="3"/>
  <c r="T57" i="3"/>
  <c r="U57" i="3"/>
  <c r="V57" i="3"/>
  <c r="W57" i="3"/>
  <c r="X57" i="3"/>
  <c r="T58" i="3"/>
  <c r="U58" i="3"/>
  <c r="V58" i="3"/>
  <c r="W58" i="3"/>
  <c r="X58" i="3"/>
  <c r="T59" i="3"/>
  <c r="U59" i="3"/>
  <c r="V59" i="3"/>
  <c r="W59" i="3"/>
  <c r="X59" i="3"/>
  <c r="T60" i="3"/>
  <c r="U60" i="3"/>
  <c r="V60" i="3"/>
  <c r="W60" i="3"/>
  <c r="X60" i="3"/>
  <c r="T61" i="3"/>
  <c r="U61" i="3"/>
  <c r="V61" i="3"/>
  <c r="W61" i="3"/>
  <c r="X61" i="3"/>
  <c r="T62" i="3"/>
  <c r="U62" i="3"/>
  <c r="V62" i="3"/>
  <c r="W62" i="3"/>
  <c r="X62" i="3"/>
  <c r="T63" i="3"/>
  <c r="U63" i="3"/>
  <c r="V63" i="3"/>
  <c r="W63" i="3"/>
  <c r="X63" i="3"/>
  <c r="T64" i="3"/>
  <c r="U64" i="3"/>
  <c r="V64" i="3"/>
  <c r="W64" i="3"/>
  <c r="X64" i="3"/>
  <c r="T65" i="3"/>
  <c r="U65" i="3"/>
  <c r="V65" i="3"/>
  <c r="W65" i="3"/>
  <c r="X65" i="3"/>
  <c r="T66" i="3"/>
  <c r="U66" i="3"/>
  <c r="V66" i="3"/>
  <c r="W66" i="3"/>
  <c r="X66" i="3"/>
  <c r="T67" i="3"/>
  <c r="U67" i="3"/>
  <c r="V67" i="3"/>
  <c r="W67" i="3"/>
  <c r="X67" i="3"/>
  <c r="T68" i="3"/>
  <c r="U68" i="3"/>
  <c r="V68" i="3"/>
  <c r="W68" i="3"/>
  <c r="X68" i="3"/>
  <c r="T69" i="3"/>
  <c r="U69" i="3"/>
  <c r="V69" i="3"/>
  <c r="W69" i="3"/>
  <c r="X69" i="3"/>
  <c r="T70" i="3"/>
  <c r="U70" i="3"/>
  <c r="V70" i="3"/>
  <c r="W70" i="3"/>
  <c r="X70" i="3"/>
  <c r="T71" i="3"/>
  <c r="U71" i="3"/>
  <c r="V71" i="3"/>
  <c r="W71" i="3"/>
  <c r="X71" i="3"/>
  <c r="T72" i="3"/>
  <c r="U72" i="3"/>
  <c r="V72" i="3"/>
  <c r="W72" i="3"/>
  <c r="X72" i="3"/>
  <c r="T73" i="3"/>
  <c r="U73" i="3"/>
  <c r="V73" i="3"/>
  <c r="W73" i="3"/>
  <c r="X73" i="3"/>
  <c r="T74" i="3"/>
  <c r="U74" i="3"/>
  <c r="V74" i="3"/>
  <c r="W74" i="3"/>
  <c r="X74" i="3"/>
  <c r="T75" i="3"/>
  <c r="U75" i="3"/>
  <c r="V75" i="3"/>
  <c r="W75" i="3"/>
  <c r="X75" i="3"/>
  <c r="T76" i="3"/>
  <c r="U76" i="3"/>
  <c r="V76" i="3"/>
  <c r="W76" i="3"/>
  <c r="X76" i="3"/>
  <c r="T77" i="3"/>
  <c r="U77" i="3"/>
  <c r="V77" i="3"/>
  <c r="W77" i="3"/>
  <c r="X77" i="3"/>
  <c r="T78" i="3"/>
  <c r="U78" i="3"/>
  <c r="V78" i="3"/>
  <c r="W78" i="3"/>
  <c r="X78" i="3"/>
  <c r="T79" i="3"/>
  <c r="U79" i="3"/>
  <c r="V79" i="3"/>
  <c r="W79" i="3"/>
  <c r="X79" i="3"/>
  <c r="T80" i="3"/>
  <c r="U80" i="3"/>
  <c r="V80" i="3"/>
  <c r="W80" i="3"/>
  <c r="X80" i="3"/>
  <c r="T81" i="3"/>
  <c r="U81" i="3"/>
  <c r="V81" i="3"/>
  <c r="W81" i="3"/>
  <c r="X81" i="3"/>
  <c r="T82" i="3"/>
  <c r="U82" i="3"/>
  <c r="V82" i="3"/>
  <c r="W82" i="3"/>
  <c r="X82" i="3"/>
  <c r="T83" i="3"/>
  <c r="U83" i="3"/>
  <c r="V83" i="3"/>
  <c r="W83" i="3"/>
  <c r="X83" i="3"/>
  <c r="T84" i="3"/>
  <c r="U84" i="3"/>
  <c r="V84" i="3"/>
  <c r="W84" i="3"/>
  <c r="X84" i="3"/>
  <c r="T85" i="3"/>
  <c r="U85" i="3"/>
  <c r="V85" i="3"/>
  <c r="W85" i="3"/>
  <c r="X85" i="3"/>
  <c r="T86" i="3"/>
  <c r="U86" i="3"/>
  <c r="V86" i="3"/>
  <c r="W86" i="3"/>
  <c r="X86" i="3"/>
  <c r="T87" i="3"/>
  <c r="U87" i="3"/>
  <c r="V87" i="3"/>
  <c r="W87" i="3"/>
  <c r="X87" i="3"/>
  <c r="T88" i="3"/>
  <c r="U88" i="3"/>
  <c r="V88" i="3"/>
  <c r="W88" i="3"/>
  <c r="X88" i="3"/>
  <c r="T89" i="3"/>
  <c r="U89" i="3"/>
  <c r="V89" i="3"/>
  <c r="W89" i="3"/>
  <c r="X89" i="3"/>
  <c r="T90" i="3"/>
  <c r="U90" i="3"/>
  <c r="V90" i="3"/>
  <c r="W90" i="3"/>
  <c r="X90" i="3"/>
  <c r="T91" i="3"/>
  <c r="U91" i="3"/>
  <c r="V91" i="3"/>
  <c r="W91" i="3"/>
  <c r="X91" i="3"/>
  <c r="T92" i="3"/>
  <c r="U92" i="3"/>
  <c r="V92" i="3"/>
  <c r="W92" i="3"/>
  <c r="X92" i="3"/>
  <c r="T93" i="3"/>
  <c r="U93" i="3"/>
  <c r="V93" i="3"/>
  <c r="W93" i="3"/>
  <c r="X93" i="3"/>
  <c r="T94" i="3"/>
  <c r="U94" i="3"/>
  <c r="V94" i="3"/>
  <c r="W94" i="3"/>
  <c r="X94" i="3"/>
  <c r="T95" i="3"/>
  <c r="U95" i="3"/>
  <c r="V95" i="3"/>
  <c r="W95" i="3"/>
  <c r="X95" i="3"/>
  <c r="T96" i="3"/>
  <c r="U96" i="3"/>
  <c r="V96" i="3"/>
  <c r="W96" i="3"/>
  <c r="X96" i="3"/>
  <c r="T97" i="3"/>
  <c r="U97" i="3"/>
  <c r="V97" i="3"/>
  <c r="W97" i="3"/>
  <c r="X97" i="3"/>
  <c r="T98" i="3"/>
  <c r="U98" i="3"/>
  <c r="V98" i="3"/>
  <c r="W98" i="3"/>
  <c r="X98" i="3"/>
  <c r="T99" i="3"/>
  <c r="U99" i="3"/>
  <c r="V99" i="3"/>
  <c r="W99" i="3"/>
  <c r="X99" i="3"/>
  <c r="T100" i="3"/>
  <c r="U100" i="3"/>
  <c r="V100" i="3"/>
  <c r="W100" i="3"/>
  <c r="X100" i="3"/>
  <c r="T101" i="3"/>
  <c r="U101" i="3"/>
  <c r="V101" i="3"/>
  <c r="W101" i="3"/>
  <c r="X101" i="3"/>
  <c r="T102" i="3"/>
  <c r="U102" i="3"/>
  <c r="V102" i="3"/>
  <c r="W102" i="3"/>
  <c r="X102" i="3"/>
  <c r="T103" i="3"/>
  <c r="U103" i="3"/>
  <c r="V103" i="3"/>
  <c r="W103" i="3"/>
  <c r="X103" i="3"/>
  <c r="T104" i="3"/>
  <c r="U104" i="3"/>
  <c r="V104" i="3"/>
  <c r="W104" i="3"/>
  <c r="X104" i="3"/>
  <c r="T105" i="3"/>
  <c r="U105" i="3"/>
  <c r="V105" i="3"/>
  <c r="W105" i="3"/>
  <c r="X105" i="3"/>
  <c r="T106" i="3"/>
  <c r="U106" i="3"/>
  <c r="V106" i="3"/>
  <c r="W106" i="3"/>
  <c r="X106" i="3"/>
  <c r="T107" i="3"/>
  <c r="U107" i="3"/>
  <c r="V107" i="3"/>
  <c r="W107" i="3"/>
  <c r="X107" i="3"/>
  <c r="T108" i="3"/>
  <c r="U108" i="3"/>
  <c r="V108" i="3"/>
  <c r="W108" i="3"/>
  <c r="X108" i="3"/>
  <c r="T109" i="3"/>
  <c r="U109" i="3"/>
  <c r="V109" i="3"/>
  <c r="W109" i="3"/>
  <c r="X109" i="3"/>
  <c r="T110" i="3"/>
  <c r="U110" i="3"/>
  <c r="V110" i="3"/>
  <c r="W110" i="3"/>
  <c r="X110" i="3"/>
  <c r="T111" i="3"/>
  <c r="U111" i="3"/>
  <c r="V111" i="3"/>
  <c r="W111" i="3"/>
  <c r="X111" i="3"/>
  <c r="T112" i="3"/>
  <c r="U112" i="3"/>
  <c r="V112" i="3"/>
  <c r="W112" i="3"/>
  <c r="X112" i="3"/>
  <c r="T113" i="3"/>
  <c r="U113" i="3"/>
  <c r="V113" i="3"/>
  <c r="W113" i="3"/>
  <c r="X113" i="3"/>
  <c r="T114" i="3"/>
  <c r="U114" i="3"/>
  <c r="V114" i="3"/>
  <c r="W114" i="3"/>
  <c r="X114" i="3"/>
  <c r="T115" i="3"/>
  <c r="U115" i="3"/>
  <c r="V115" i="3"/>
  <c r="W115" i="3"/>
  <c r="X115" i="3"/>
  <c r="T116" i="3"/>
  <c r="U116" i="3"/>
  <c r="V116" i="3"/>
  <c r="W116" i="3"/>
  <c r="X116" i="3"/>
  <c r="T117" i="3"/>
  <c r="U117" i="3"/>
  <c r="V117" i="3"/>
  <c r="W117" i="3"/>
  <c r="X117" i="3"/>
  <c r="T118" i="3"/>
  <c r="U118" i="3"/>
  <c r="V118" i="3"/>
  <c r="W118" i="3"/>
  <c r="X118" i="3"/>
  <c r="T119" i="3"/>
  <c r="U119" i="3"/>
  <c r="V119" i="3"/>
  <c r="W119" i="3"/>
  <c r="X119" i="3"/>
  <c r="T120" i="3"/>
  <c r="U120" i="3"/>
  <c r="V120" i="3"/>
  <c r="W120" i="3"/>
  <c r="X120" i="3"/>
  <c r="T121" i="3"/>
  <c r="U121" i="3"/>
  <c r="V121" i="3"/>
  <c r="W121" i="3"/>
  <c r="X121" i="3"/>
  <c r="T122" i="3"/>
  <c r="U122" i="3"/>
  <c r="V122" i="3"/>
  <c r="W122" i="3"/>
  <c r="X122" i="3"/>
  <c r="T123" i="3"/>
  <c r="U123" i="3"/>
  <c r="V123" i="3"/>
  <c r="W123" i="3"/>
  <c r="X123" i="3"/>
  <c r="T124" i="3"/>
  <c r="U124" i="3"/>
  <c r="V124" i="3"/>
  <c r="W124" i="3"/>
  <c r="X124" i="3"/>
  <c r="T125" i="3"/>
  <c r="U125" i="3"/>
  <c r="V125" i="3"/>
  <c r="W125" i="3"/>
  <c r="X125" i="3"/>
  <c r="T126" i="3"/>
  <c r="U126" i="3"/>
  <c r="V126" i="3"/>
  <c r="W126" i="3"/>
  <c r="X126" i="3"/>
  <c r="T127" i="3"/>
  <c r="U127" i="3"/>
  <c r="V127" i="3"/>
  <c r="W127" i="3"/>
  <c r="X127" i="3"/>
  <c r="T128" i="3"/>
  <c r="U128" i="3"/>
  <c r="V128" i="3"/>
  <c r="W128" i="3"/>
  <c r="X128" i="3"/>
  <c r="T129" i="3"/>
  <c r="U129" i="3"/>
  <c r="V129" i="3"/>
  <c r="W129" i="3"/>
  <c r="X129" i="3"/>
  <c r="T130" i="3"/>
  <c r="U130" i="3"/>
  <c r="V130" i="3"/>
  <c r="W130" i="3"/>
  <c r="X130" i="3"/>
  <c r="T131" i="3"/>
  <c r="U131" i="3"/>
  <c r="V131" i="3"/>
  <c r="W131" i="3"/>
  <c r="X131" i="3"/>
  <c r="T132" i="3"/>
  <c r="U132" i="3"/>
  <c r="V132" i="3"/>
  <c r="W132" i="3"/>
  <c r="X132" i="3"/>
  <c r="T133" i="3"/>
  <c r="U133" i="3"/>
  <c r="V133" i="3"/>
  <c r="W133" i="3"/>
  <c r="X133" i="3"/>
  <c r="T134" i="3"/>
  <c r="U134" i="3"/>
  <c r="V134" i="3"/>
  <c r="W134" i="3"/>
  <c r="X134" i="3"/>
  <c r="T135" i="3"/>
  <c r="U135" i="3"/>
  <c r="V135" i="3"/>
  <c r="W135" i="3"/>
  <c r="X135" i="3"/>
  <c r="T136" i="3"/>
  <c r="U136" i="3"/>
  <c r="V136" i="3"/>
  <c r="W136" i="3"/>
  <c r="X136" i="3"/>
  <c r="T137" i="3"/>
  <c r="U137" i="3"/>
  <c r="V137" i="3"/>
  <c r="W137" i="3"/>
  <c r="X137" i="3"/>
  <c r="T138" i="3"/>
  <c r="U138" i="3"/>
  <c r="V138" i="3"/>
  <c r="W138" i="3"/>
  <c r="X138" i="3"/>
  <c r="T139" i="3"/>
  <c r="U139" i="3"/>
  <c r="V139" i="3"/>
  <c r="W139" i="3"/>
  <c r="X139" i="3"/>
  <c r="T140" i="3"/>
  <c r="U140" i="3"/>
  <c r="V140" i="3"/>
  <c r="W140" i="3"/>
  <c r="X140" i="3"/>
  <c r="T141" i="3"/>
  <c r="U141" i="3"/>
  <c r="V141" i="3"/>
  <c r="W141" i="3"/>
  <c r="X141" i="3"/>
  <c r="T142" i="3"/>
  <c r="U142" i="3"/>
  <c r="V142" i="3"/>
  <c r="W142" i="3"/>
  <c r="X142" i="3"/>
  <c r="T143" i="3"/>
  <c r="U143" i="3"/>
  <c r="V143" i="3"/>
  <c r="W143" i="3"/>
  <c r="X143" i="3"/>
  <c r="T144" i="3"/>
  <c r="U144" i="3"/>
  <c r="V144" i="3"/>
  <c r="W144" i="3"/>
  <c r="X144" i="3"/>
  <c r="T145" i="3"/>
  <c r="U145" i="3"/>
  <c r="V145" i="3"/>
  <c r="W145" i="3"/>
  <c r="X145" i="3"/>
  <c r="T146" i="3"/>
  <c r="U146" i="3"/>
  <c r="V146" i="3"/>
  <c r="W146" i="3"/>
  <c r="X146" i="3"/>
  <c r="T147" i="3"/>
  <c r="U147" i="3"/>
  <c r="V147" i="3"/>
  <c r="W147" i="3"/>
  <c r="X147" i="3"/>
  <c r="T148" i="3"/>
  <c r="U148" i="3"/>
  <c r="V148" i="3"/>
  <c r="W148" i="3"/>
  <c r="X148" i="3"/>
  <c r="T149" i="3"/>
  <c r="U149" i="3"/>
  <c r="V149" i="3"/>
  <c r="W149" i="3"/>
  <c r="X149" i="3"/>
  <c r="T150" i="3"/>
  <c r="U150" i="3"/>
  <c r="V150" i="3"/>
  <c r="W150" i="3"/>
  <c r="X150" i="3"/>
  <c r="T151" i="3"/>
  <c r="U151" i="3"/>
  <c r="V151" i="3"/>
  <c r="W151" i="3"/>
  <c r="X151" i="3"/>
  <c r="T152" i="3"/>
  <c r="U152" i="3"/>
  <c r="V152" i="3"/>
  <c r="W152" i="3"/>
  <c r="X152" i="3"/>
  <c r="T153" i="3"/>
  <c r="U153" i="3"/>
  <c r="V153" i="3"/>
  <c r="W153" i="3"/>
  <c r="X153" i="3"/>
  <c r="T154" i="3"/>
  <c r="U154" i="3"/>
  <c r="V154" i="3"/>
  <c r="W154" i="3"/>
  <c r="X154" i="3"/>
  <c r="T155" i="3"/>
  <c r="U155" i="3"/>
  <c r="V155" i="3"/>
  <c r="W155" i="3"/>
  <c r="X155" i="3"/>
  <c r="T156" i="3"/>
  <c r="U156" i="3"/>
  <c r="V156" i="3"/>
  <c r="W156" i="3"/>
  <c r="X156" i="3"/>
  <c r="T157" i="3"/>
  <c r="U157" i="3"/>
  <c r="V157" i="3"/>
  <c r="W157" i="3"/>
  <c r="X157" i="3"/>
  <c r="T158" i="3"/>
  <c r="U158" i="3"/>
  <c r="V158" i="3"/>
  <c r="W158" i="3"/>
  <c r="X158" i="3"/>
  <c r="T159" i="3"/>
  <c r="U159" i="3"/>
  <c r="V159" i="3"/>
  <c r="W159" i="3"/>
  <c r="X159" i="3"/>
  <c r="T160" i="3"/>
  <c r="U160" i="3"/>
  <c r="V160" i="3"/>
  <c r="W160" i="3"/>
  <c r="X160" i="3"/>
  <c r="T161" i="3"/>
  <c r="U161" i="3"/>
  <c r="V161" i="3"/>
  <c r="W161" i="3"/>
  <c r="X161" i="3"/>
  <c r="T162" i="3"/>
  <c r="U162" i="3"/>
  <c r="V162" i="3"/>
  <c r="W162" i="3"/>
  <c r="X162" i="3"/>
  <c r="T163" i="3"/>
  <c r="U163" i="3"/>
  <c r="V163" i="3"/>
  <c r="W163" i="3"/>
  <c r="X163" i="3"/>
  <c r="T164" i="3"/>
  <c r="U164" i="3"/>
  <c r="V164" i="3"/>
  <c r="W164" i="3"/>
  <c r="X164" i="3"/>
  <c r="T165" i="3"/>
  <c r="U165" i="3"/>
  <c r="V165" i="3"/>
  <c r="W165" i="3"/>
  <c r="X165" i="3"/>
  <c r="T166" i="3"/>
  <c r="U166" i="3"/>
  <c r="V166" i="3"/>
  <c r="W166" i="3"/>
  <c r="X166" i="3"/>
  <c r="AB8" i="3"/>
  <c r="AC8" i="3"/>
  <c r="AD8" i="3"/>
  <c r="AE8" i="3"/>
  <c r="AF8" i="3"/>
  <c r="AB9" i="3"/>
  <c r="AC9" i="3"/>
  <c r="AD9" i="3"/>
  <c r="AE9" i="3"/>
  <c r="AF9" i="3"/>
  <c r="AB10" i="3"/>
  <c r="AC10" i="3"/>
  <c r="AD10" i="3"/>
  <c r="AE10" i="3"/>
  <c r="AF10" i="3"/>
  <c r="AB11" i="3"/>
  <c r="AC11" i="3"/>
  <c r="AD11" i="3"/>
  <c r="AE11" i="3"/>
  <c r="AF11" i="3"/>
  <c r="AB12" i="3"/>
  <c r="AC12" i="3"/>
  <c r="AD12" i="3"/>
  <c r="AE12" i="3"/>
  <c r="AF12" i="3"/>
  <c r="AB13" i="3"/>
  <c r="AC13" i="3"/>
  <c r="AD13" i="3"/>
  <c r="AE13" i="3"/>
  <c r="AF13" i="3"/>
  <c r="AB14" i="3"/>
  <c r="AC14" i="3"/>
  <c r="AD14" i="3"/>
  <c r="AE14" i="3"/>
  <c r="AF14" i="3"/>
  <c r="AB15" i="3"/>
  <c r="AC15" i="3"/>
  <c r="AD15" i="3"/>
  <c r="AE15" i="3"/>
  <c r="AF15" i="3"/>
  <c r="AB16" i="3"/>
  <c r="AC16" i="3"/>
  <c r="AD16" i="3"/>
  <c r="AE16" i="3"/>
  <c r="AF16" i="3"/>
  <c r="AB17" i="3"/>
  <c r="AC17" i="3"/>
  <c r="AD17" i="3"/>
  <c r="AE17" i="3"/>
  <c r="AF17" i="3"/>
  <c r="AB18" i="3"/>
  <c r="AC18" i="3"/>
  <c r="AD18" i="3"/>
  <c r="AE18" i="3"/>
  <c r="AF18" i="3"/>
  <c r="AB19" i="3"/>
  <c r="AC19" i="3"/>
  <c r="AD19" i="3"/>
  <c r="AE19" i="3"/>
  <c r="AF19" i="3"/>
  <c r="AB20" i="3"/>
  <c r="AC20" i="3"/>
  <c r="AD20" i="3"/>
  <c r="AE20" i="3"/>
  <c r="AF20" i="3"/>
  <c r="AB21" i="3"/>
  <c r="AC21" i="3"/>
  <c r="AD21" i="3"/>
  <c r="AE21" i="3"/>
  <c r="AF21" i="3"/>
  <c r="AB22" i="3"/>
  <c r="AC22" i="3"/>
  <c r="AD22" i="3"/>
  <c r="AE22" i="3"/>
  <c r="AF22" i="3"/>
  <c r="AB23" i="3"/>
  <c r="AC23" i="3"/>
  <c r="AD23" i="3"/>
  <c r="AE23" i="3"/>
  <c r="AF23" i="3"/>
  <c r="AB24" i="3"/>
  <c r="AC24" i="3"/>
  <c r="AD24" i="3"/>
  <c r="AE24" i="3"/>
  <c r="AF24" i="3"/>
  <c r="AB25" i="3"/>
  <c r="AC25" i="3"/>
  <c r="AD25" i="3"/>
  <c r="AE25" i="3"/>
  <c r="AF25" i="3"/>
  <c r="AB26" i="3"/>
  <c r="AC26" i="3"/>
  <c r="AD26" i="3"/>
  <c r="AE26" i="3"/>
  <c r="AF26" i="3"/>
  <c r="AB27" i="3"/>
  <c r="AC27" i="3"/>
  <c r="AD27" i="3"/>
  <c r="AE27" i="3"/>
  <c r="AF27" i="3"/>
  <c r="AB28" i="3"/>
  <c r="AC28" i="3"/>
  <c r="AD28" i="3"/>
  <c r="AE28" i="3"/>
  <c r="AF28" i="3"/>
  <c r="AB29" i="3"/>
  <c r="AC29" i="3"/>
  <c r="AD29" i="3"/>
  <c r="AE29" i="3"/>
  <c r="AF29" i="3"/>
  <c r="AB30" i="3"/>
  <c r="AC30" i="3"/>
  <c r="AD30" i="3"/>
  <c r="AE30" i="3"/>
  <c r="AF30" i="3"/>
  <c r="AB31" i="3"/>
  <c r="AC31" i="3"/>
  <c r="AD31" i="3"/>
  <c r="AE31" i="3"/>
  <c r="AF31" i="3"/>
  <c r="AB32" i="3"/>
  <c r="AC32" i="3"/>
  <c r="AD32" i="3"/>
  <c r="AE32" i="3"/>
  <c r="AF32" i="3"/>
  <c r="AB33" i="3"/>
  <c r="AC33" i="3"/>
  <c r="AD33" i="3"/>
  <c r="AE33" i="3"/>
  <c r="AF33" i="3"/>
  <c r="AB34" i="3"/>
  <c r="AC34" i="3"/>
  <c r="AD34" i="3"/>
  <c r="AE34" i="3"/>
  <c r="AF34" i="3"/>
  <c r="AB35" i="3"/>
  <c r="AC35" i="3"/>
  <c r="AD35" i="3"/>
  <c r="AE35" i="3"/>
  <c r="AF35" i="3"/>
  <c r="AB36" i="3"/>
  <c r="AC36" i="3"/>
  <c r="AD36" i="3"/>
  <c r="AE36" i="3"/>
  <c r="AF36" i="3"/>
  <c r="AB37" i="3"/>
  <c r="AC37" i="3"/>
  <c r="AD37" i="3"/>
  <c r="AE37" i="3"/>
  <c r="AF37" i="3"/>
  <c r="AB38" i="3"/>
  <c r="AC38" i="3"/>
  <c r="AD38" i="3"/>
  <c r="AE38" i="3"/>
  <c r="AF38" i="3"/>
  <c r="AB39" i="3"/>
  <c r="AC39" i="3"/>
  <c r="AD39" i="3"/>
  <c r="AE39" i="3"/>
  <c r="AF39" i="3"/>
  <c r="AB40" i="3"/>
  <c r="AC40" i="3"/>
  <c r="AD40" i="3"/>
  <c r="AE40" i="3"/>
  <c r="AF40" i="3"/>
  <c r="AB41" i="3"/>
  <c r="AC41" i="3"/>
  <c r="AD41" i="3"/>
  <c r="AE41" i="3"/>
  <c r="AF41" i="3"/>
  <c r="AB42" i="3"/>
  <c r="AC42" i="3"/>
  <c r="AD42" i="3"/>
  <c r="AE42" i="3"/>
  <c r="AF42" i="3"/>
  <c r="AB43" i="3"/>
  <c r="AC43" i="3"/>
  <c r="AD43" i="3"/>
  <c r="AE43" i="3"/>
  <c r="AF43" i="3"/>
  <c r="AB44" i="3"/>
  <c r="AC44" i="3"/>
  <c r="AD44" i="3"/>
  <c r="AE44" i="3"/>
  <c r="AF44" i="3"/>
  <c r="AB45" i="3"/>
  <c r="AC45" i="3"/>
  <c r="AD45" i="3"/>
  <c r="AE45" i="3"/>
  <c r="AF45" i="3"/>
  <c r="AB46" i="3"/>
  <c r="AC46" i="3"/>
  <c r="AD46" i="3"/>
  <c r="AE46" i="3"/>
  <c r="AF46" i="3"/>
  <c r="AB47" i="3"/>
  <c r="AC47" i="3"/>
  <c r="AD47" i="3"/>
  <c r="AE47" i="3"/>
  <c r="AF47" i="3"/>
  <c r="AB48" i="3"/>
  <c r="AC48" i="3"/>
  <c r="AD48" i="3"/>
  <c r="AE48" i="3"/>
  <c r="AF48" i="3"/>
  <c r="AB49" i="3"/>
  <c r="AC49" i="3"/>
  <c r="AD49" i="3"/>
  <c r="AE49" i="3"/>
  <c r="AF49" i="3"/>
  <c r="AB50" i="3"/>
  <c r="AC50" i="3"/>
  <c r="AD50" i="3"/>
  <c r="AE50" i="3"/>
  <c r="AF50" i="3"/>
  <c r="AB51" i="3"/>
  <c r="AC51" i="3"/>
  <c r="AD51" i="3"/>
  <c r="AE51" i="3"/>
  <c r="AF51" i="3"/>
  <c r="AB52" i="3"/>
  <c r="AC52" i="3"/>
  <c r="AD52" i="3"/>
  <c r="AE52" i="3"/>
  <c r="AF52" i="3"/>
  <c r="AB53" i="3"/>
  <c r="AC53" i="3"/>
  <c r="AD53" i="3"/>
  <c r="AE53" i="3"/>
  <c r="AF53" i="3"/>
  <c r="AB54" i="3"/>
  <c r="AC54" i="3"/>
  <c r="AD54" i="3"/>
  <c r="AE54" i="3"/>
  <c r="AF54" i="3"/>
  <c r="AB55" i="3"/>
  <c r="AC55" i="3"/>
  <c r="AD55" i="3"/>
  <c r="AE55" i="3"/>
  <c r="AF55" i="3"/>
  <c r="AB56" i="3"/>
  <c r="AC56" i="3"/>
  <c r="AD56" i="3"/>
  <c r="AE56" i="3"/>
  <c r="AF56" i="3"/>
  <c r="AB57" i="3"/>
  <c r="AC57" i="3"/>
  <c r="AD57" i="3"/>
  <c r="AE57" i="3"/>
  <c r="AF57" i="3"/>
  <c r="AB58" i="3"/>
  <c r="AC58" i="3"/>
  <c r="AD58" i="3"/>
  <c r="AE58" i="3"/>
  <c r="AF58" i="3"/>
  <c r="AB59" i="3"/>
  <c r="AC59" i="3"/>
  <c r="AD59" i="3"/>
  <c r="AE59" i="3"/>
  <c r="AF59" i="3"/>
  <c r="AB60" i="3"/>
  <c r="AC60" i="3"/>
  <c r="AD60" i="3"/>
  <c r="AE60" i="3"/>
  <c r="AF60" i="3"/>
  <c r="AB61" i="3"/>
  <c r="AC61" i="3"/>
  <c r="AD61" i="3"/>
  <c r="AE61" i="3"/>
  <c r="AF61" i="3"/>
  <c r="AB62" i="3"/>
  <c r="AC62" i="3"/>
  <c r="AD62" i="3"/>
  <c r="AE62" i="3"/>
  <c r="AF62" i="3"/>
  <c r="AB63" i="3"/>
  <c r="AC63" i="3"/>
  <c r="AD63" i="3"/>
  <c r="AE63" i="3"/>
  <c r="AF63" i="3"/>
  <c r="AB64" i="3"/>
  <c r="AC64" i="3"/>
  <c r="AD64" i="3"/>
  <c r="AE64" i="3"/>
  <c r="AF64" i="3"/>
  <c r="AB65" i="3"/>
  <c r="AC65" i="3"/>
  <c r="AD65" i="3"/>
  <c r="AE65" i="3"/>
  <c r="AF65" i="3"/>
  <c r="AB66" i="3"/>
  <c r="AC66" i="3"/>
  <c r="AD66" i="3"/>
  <c r="AE66" i="3"/>
  <c r="AF66" i="3"/>
  <c r="AB67" i="3"/>
  <c r="AC67" i="3"/>
  <c r="AD67" i="3"/>
  <c r="AE67" i="3"/>
  <c r="AF67" i="3"/>
  <c r="AB68" i="3"/>
  <c r="AC68" i="3"/>
  <c r="AD68" i="3"/>
  <c r="AE68" i="3"/>
  <c r="AF68" i="3"/>
  <c r="AB69" i="3"/>
  <c r="AC69" i="3"/>
  <c r="AD69" i="3"/>
  <c r="AE69" i="3"/>
  <c r="AF69" i="3"/>
  <c r="AB70" i="3"/>
  <c r="AC70" i="3"/>
  <c r="AD70" i="3"/>
  <c r="AE70" i="3"/>
  <c r="AF70" i="3"/>
  <c r="AB71" i="3"/>
  <c r="AC71" i="3"/>
  <c r="AD71" i="3"/>
  <c r="AE71" i="3"/>
  <c r="AF71" i="3"/>
  <c r="AB72" i="3"/>
  <c r="AC72" i="3"/>
  <c r="AD72" i="3"/>
  <c r="AE72" i="3"/>
  <c r="AF72" i="3"/>
  <c r="AB73" i="3"/>
  <c r="AC73" i="3"/>
  <c r="AD73" i="3"/>
  <c r="AE73" i="3"/>
  <c r="AF73" i="3"/>
  <c r="AB74" i="3"/>
  <c r="AC74" i="3"/>
  <c r="AD74" i="3"/>
  <c r="AE74" i="3"/>
  <c r="AF74" i="3"/>
  <c r="AB75" i="3"/>
  <c r="AC75" i="3"/>
  <c r="AD75" i="3"/>
  <c r="AE75" i="3"/>
  <c r="AF75" i="3"/>
  <c r="AB76" i="3"/>
  <c r="AC76" i="3"/>
  <c r="AD76" i="3"/>
  <c r="AE76" i="3"/>
  <c r="AF76" i="3"/>
  <c r="AB77" i="3"/>
  <c r="AC77" i="3"/>
  <c r="AD77" i="3"/>
  <c r="AE77" i="3"/>
  <c r="AF77" i="3"/>
  <c r="AB78" i="3"/>
  <c r="AC78" i="3"/>
  <c r="AD78" i="3"/>
  <c r="AE78" i="3"/>
  <c r="AF78" i="3"/>
  <c r="AB79" i="3"/>
  <c r="AC79" i="3"/>
  <c r="AD79" i="3"/>
  <c r="AE79" i="3"/>
  <c r="AF79" i="3"/>
  <c r="AB80" i="3"/>
  <c r="AC80" i="3"/>
  <c r="AD80" i="3"/>
  <c r="AE80" i="3"/>
  <c r="AF80" i="3"/>
  <c r="AB81" i="3"/>
  <c r="AC81" i="3"/>
  <c r="AD81" i="3"/>
  <c r="AE81" i="3"/>
  <c r="AF81" i="3"/>
  <c r="AB82" i="3"/>
  <c r="AC82" i="3"/>
  <c r="AD82" i="3"/>
  <c r="AE82" i="3"/>
  <c r="AF82" i="3"/>
  <c r="AB83" i="3"/>
  <c r="AC83" i="3"/>
  <c r="AD83" i="3"/>
  <c r="AE83" i="3"/>
  <c r="AF83" i="3"/>
  <c r="AB84" i="3"/>
  <c r="AC84" i="3"/>
  <c r="AD84" i="3"/>
  <c r="AE84" i="3"/>
  <c r="AF84" i="3"/>
  <c r="AB85" i="3"/>
  <c r="AC85" i="3"/>
  <c r="AD85" i="3"/>
  <c r="AE85" i="3"/>
  <c r="AF85" i="3"/>
  <c r="AB86" i="3"/>
  <c r="AC86" i="3"/>
  <c r="AD86" i="3"/>
  <c r="AE86" i="3"/>
  <c r="AF86" i="3"/>
  <c r="AB87" i="3"/>
  <c r="AC87" i="3"/>
  <c r="AD87" i="3"/>
  <c r="AE87" i="3"/>
  <c r="AF87" i="3"/>
  <c r="AB88" i="3"/>
  <c r="AC88" i="3"/>
  <c r="AD88" i="3"/>
  <c r="AE88" i="3"/>
  <c r="AF88" i="3"/>
  <c r="AB89" i="3"/>
  <c r="AC89" i="3"/>
  <c r="AD89" i="3"/>
  <c r="AE89" i="3"/>
  <c r="AF89" i="3"/>
  <c r="AB90" i="3"/>
  <c r="AC90" i="3"/>
  <c r="AD90" i="3"/>
  <c r="AE90" i="3"/>
  <c r="AF90" i="3"/>
  <c r="AB91" i="3"/>
  <c r="AC91" i="3"/>
  <c r="AD91" i="3"/>
  <c r="AE91" i="3"/>
  <c r="AF91" i="3"/>
  <c r="AB92" i="3"/>
  <c r="AC92" i="3"/>
  <c r="AD92" i="3"/>
  <c r="AE92" i="3"/>
  <c r="AF92" i="3"/>
  <c r="AB93" i="3"/>
  <c r="AC93" i="3"/>
  <c r="AD93" i="3"/>
  <c r="AE93" i="3"/>
  <c r="AF93" i="3"/>
  <c r="AB94" i="3"/>
  <c r="AC94" i="3"/>
  <c r="AD94" i="3"/>
  <c r="AE94" i="3"/>
  <c r="AF94" i="3"/>
  <c r="AB95" i="3"/>
  <c r="AC95" i="3"/>
  <c r="AD95" i="3"/>
  <c r="AE95" i="3"/>
  <c r="AF95" i="3"/>
  <c r="AB96" i="3"/>
  <c r="AC96" i="3"/>
  <c r="AD96" i="3"/>
  <c r="AE96" i="3"/>
  <c r="AF96" i="3"/>
  <c r="AB97" i="3"/>
  <c r="AC97" i="3"/>
  <c r="AD97" i="3"/>
  <c r="AE97" i="3"/>
  <c r="AF97" i="3"/>
  <c r="AB98" i="3"/>
  <c r="AC98" i="3"/>
  <c r="AD98" i="3"/>
  <c r="AE98" i="3"/>
  <c r="AF98" i="3"/>
  <c r="AB99" i="3"/>
  <c r="AC99" i="3"/>
  <c r="AD99" i="3"/>
  <c r="AE99" i="3"/>
  <c r="AF99" i="3"/>
  <c r="AB100" i="3"/>
  <c r="AC100" i="3"/>
  <c r="AD100" i="3"/>
  <c r="AE100" i="3"/>
  <c r="AF100" i="3"/>
  <c r="AB101" i="3"/>
  <c r="AC101" i="3"/>
  <c r="AD101" i="3"/>
  <c r="AE101" i="3"/>
  <c r="AF101" i="3"/>
  <c r="AB102" i="3"/>
  <c r="AC102" i="3"/>
  <c r="AD102" i="3"/>
  <c r="AE102" i="3"/>
  <c r="AF102" i="3"/>
  <c r="AB103" i="3"/>
  <c r="AC103" i="3"/>
  <c r="AD103" i="3"/>
  <c r="AE103" i="3"/>
  <c r="AF103" i="3"/>
  <c r="AB104" i="3"/>
  <c r="AC104" i="3"/>
  <c r="AD104" i="3"/>
  <c r="AE104" i="3"/>
  <c r="AF104" i="3"/>
  <c r="AB105" i="3"/>
  <c r="AC105" i="3"/>
  <c r="AD105" i="3"/>
  <c r="AE105" i="3"/>
  <c r="AF105" i="3"/>
  <c r="AB106" i="3"/>
  <c r="AC106" i="3"/>
  <c r="AD106" i="3"/>
  <c r="AE106" i="3"/>
  <c r="AF106" i="3"/>
  <c r="AB107" i="3"/>
  <c r="AC107" i="3"/>
  <c r="AD107" i="3"/>
  <c r="AE107" i="3"/>
  <c r="AF107" i="3"/>
  <c r="AB108" i="3"/>
  <c r="AC108" i="3"/>
  <c r="AD108" i="3"/>
  <c r="AE108" i="3"/>
  <c r="AF108" i="3"/>
  <c r="AB109" i="3"/>
  <c r="AC109" i="3"/>
  <c r="AD109" i="3"/>
  <c r="AE109" i="3"/>
  <c r="AF109" i="3"/>
  <c r="AB110" i="3"/>
  <c r="AC110" i="3"/>
  <c r="AD110" i="3"/>
  <c r="AE110" i="3"/>
  <c r="AF110" i="3"/>
  <c r="AB111" i="3"/>
  <c r="AC111" i="3"/>
  <c r="AD111" i="3"/>
  <c r="AE111" i="3"/>
  <c r="AF111" i="3"/>
  <c r="AB112" i="3"/>
  <c r="AC112" i="3"/>
  <c r="AD112" i="3"/>
  <c r="AE112" i="3"/>
  <c r="AF112" i="3"/>
  <c r="AB113" i="3"/>
  <c r="AC113" i="3"/>
  <c r="AD113" i="3"/>
  <c r="AE113" i="3"/>
  <c r="AF113" i="3"/>
  <c r="AB114" i="3"/>
  <c r="AC114" i="3"/>
  <c r="AD114" i="3"/>
  <c r="AE114" i="3"/>
  <c r="AF114" i="3"/>
  <c r="AB115" i="3"/>
  <c r="AC115" i="3"/>
  <c r="AD115" i="3"/>
  <c r="AE115" i="3"/>
  <c r="AF115" i="3"/>
  <c r="AB116" i="3"/>
  <c r="AC116" i="3"/>
  <c r="AD116" i="3"/>
  <c r="AE116" i="3"/>
  <c r="AF116" i="3"/>
  <c r="AB117" i="3"/>
  <c r="AC117" i="3"/>
  <c r="AD117" i="3"/>
  <c r="AE117" i="3"/>
  <c r="AF117" i="3"/>
  <c r="AB118" i="3"/>
  <c r="AC118" i="3"/>
  <c r="AD118" i="3"/>
  <c r="AE118" i="3"/>
  <c r="AF118" i="3"/>
  <c r="AB119" i="3"/>
  <c r="AC119" i="3"/>
  <c r="AD119" i="3"/>
  <c r="AE119" i="3"/>
  <c r="AF119" i="3"/>
  <c r="AB120" i="3"/>
  <c r="AC120" i="3"/>
  <c r="AD120" i="3"/>
  <c r="AE120" i="3"/>
  <c r="AF120" i="3"/>
  <c r="AB121" i="3"/>
  <c r="AC121" i="3"/>
  <c r="AD121" i="3"/>
  <c r="AE121" i="3"/>
  <c r="AF121" i="3"/>
  <c r="AB122" i="3"/>
  <c r="AC122" i="3"/>
  <c r="AD122" i="3"/>
  <c r="AE122" i="3"/>
  <c r="AF122" i="3"/>
  <c r="AB123" i="3"/>
  <c r="AC123" i="3"/>
  <c r="AD123" i="3"/>
  <c r="AE123" i="3"/>
  <c r="AF123" i="3"/>
  <c r="AB124" i="3"/>
  <c r="AC124" i="3"/>
  <c r="AD124" i="3"/>
  <c r="AE124" i="3"/>
  <c r="AF124" i="3"/>
  <c r="AB125" i="3"/>
  <c r="AC125" i="3"/>
  <c r="AD125" i="3"/>
  <c r="AE125" i="3"/>
  <c r="AF125" i="3"/>
  <c r="AB126" i="3"/>
  <c r="AC126" i="3"/>
  <c r="AD126" i="3"/>
  <c r="AE126" i="3"/>
  <c r="AF126" i="3"/>
  <c r="AB127" i="3"/>
  <c r="AC127" i="3"/>
  <c r="AD127" i="3"/>
  <c r="AE127" i="3"/>
  <c r="AF127" i="3"/>
  <c r="AB128" i="3"/>
  <c r="AC128" i="3"/>
  <c r="AD128" i="3"/>
  <c r="AE128" i="3"/>
  <c r="AF128" i="3"/>
  <c r="AB129" i="3"/>
  <c r="AC129" i="3"/>
  <c r="AD129" i="3"/>
  <c r="AE129" i="3"/>
  <c r="AF129" i="3"/>
  <c r="AB130" i="3"/>
  <c r="AC130" i="3"/>
  <c r="AD130" i="3"/>
  <c r="AE130" i="3"/>
  <c r="AF130" i="3"/>
  <c r="AB131" i="3"/>
  <c r="AC131" i="3"/>
  <c r="AD131" i="3"/>
  <c r="AE131" i="3"/>
  <c r="AF131" i="3"/>
  <c r="AB132" i="3"/>
  <c r="AC132" i="3"/>
  <c r="AD132" i="3"/>
  <c r="AE132" i="3"/>
  <c r="AF132" i="3"/>
  <c r="AB133" i="3"/>
  <c r="AC133" i="3"/>
  <c r="AD133" i="3"/>
  <c r="AE133" i="3"/>
  <c r="AF133" i="3"/>
  <c r="AB134" i="3"/>
  <c r="AC134" i="3"/>
  <c r="AD134" i="3"/>
  <c r="AE134" i="3"/>
  <c r="AF134" i="3"/>
  <c r="AB135" i="3"/>
  <c r="AC135" i="3"/>
  <c r="AD135" i="3"/>
  <c r="AE135" i="3"/>
  <c r="AF135" i="3"/>
  <c r="AB136" i="3"/>
  <c r="AC136" i="3"/>
  <c r="AD136" i="3"/>
  <c r="AE136" i="3"/>
  <c r="AF136" i="3"/>
  <c r="AB137" i="3"/>
  <c r="AC137" i="3"/>
  <c r="AD137" i="3"/>
  <c r="AE137" i="3"/>
  <c r="AF137" i="3"/>
  <c r="AB138" i="3"/>
  <c r="AC138" i="3"/>
  <c r="AD138" i="3"/>
  <c r="AE138" i="3"/>
  <c r="AF138" i="3"/>
  <c r="AB139" i="3"/>
  <c r="AC139" i="3"/>
  <c r="AD139" i="3"/>
  <c r="AE139" i="3"/>
  <c r="AF139" i="3"/>
  <c r="AB140" i="3"/>
  <c r="AC140" i="3"/>
  <c r="AD140" i="3"/>
  <c r="AE140" i="3"/>
  <c r="AF140" i="3"/>
  <c r="AB141" i="3"/>
  <c r="AC141" i="3"/>
  <c r="AD141" i="3"/>
  <c r="AE141" i="3"/>
  <c r="AF141" i="3"/>
  <c r="AB142" i="3"/>
  <c r="AC142" i="3"/>
  <c r="AD142" i="3"/>
  <c r="AE142" i="3"/>
  <c r="AF142" i="3"/>
  <c r="AB143" i="3"/>
  <c r="AC143" i="3"/>
  <c r="AD143" i="3"/>
  <c r="AE143" i="3"/>
  <c r="AF143" i="3"/>
  <c r="AB144" i="3"/>
  <c r="AC144" i="3"/>
  <c r="AD144" i="3"/>
  <c r="AE144" i="3"/>
  <c r="AF144" i="3"/>
  <c r="AB145" i="3"/>
  <c r="AC145" i="3"/>
  <c r="AD145" i="3"/>
  <c r="AE145" i="3"/>
  <c r="AF145" i="3"/>
  <c r="AB146" i="3"/>
  <c r="AC146" i="3"/>
  <c r="AD146" i="3"/>
  <c r="AE146" i="3"/>
  <c r="AF146" i="3"/>
  <c r="AB147" i="3"/>
  <c r="AC147" i="3"/>
  <c r="AD147" i="3"/>
  <c r="AE147" i="3"/>
  <c r="AF147" i="3"/>
  <c r="AB148" i="3"/>
  <c r="AC148" i="3"/>
  <c r="AD148" i="3"/>
  <c r="AE148" i="3"/>
  <c r="AF148" i="3"/>
  <c r="AB149" i="3"/>
  <c r="AC149" i="3"/>
  <c r="AD149" i="3"/>
  <c r="AE149" i="3"/>
  <c r="AF149" i="3"/>
  <c r="AB150" i="3"/>
  <c r="AC150" i="3"/>
  <c r="AD150" i="3"/>
  <c r="AE150" i="3"/>
  <c r="AF150" i="3"/>
  <c r="AB151" i="3"/>
  <c r="AC151" i="3"/>
  <c r="AD151" i="3"/>
  <c r="AE151" i="3"/>
  <c r="AF151" i="3"/>
  <c r="AB152" i="3"/>
  <c r="AC152" i="3"/>
  <c r="AD152" i="3"/>
  <c r="AE152" i="3"/>
  <c r="AF152" i="3"/>
  <c r="AB153" i="3"/>
  <c r="AC153" i="3"/>
  <c r="AD153" i="3"/>
  <c r="AE153" i="3"/>
  <c r="AF153" i="3"/>
  <c r="AB154" i="3"/>
  <c r="AC154" i="3"/>
  <c r="AD154" i="3"/>
  <c r="AE154" i="3"/>
  <c r="AF154" i="3"/>
  <c r="AB155" i="3"/>
  <c r="AC155" i="3"/>
  <c r="AD155" i="3"/>
  <c r="AE155" i="3"/>
  <c r="AF155" i="3"/>
  <c r="AB156" i="3"/>
  <c r="AC156" i="3"/>
  <c r="AD156" i="3"/>
  <c r="AE156" i="3"/>
  <c r="AF156" i="3"/>
  <c r="AB157" i="3"/>
  <c r="AC157" i="3"/>
  <c r="AD157" i="3"/>
  <c r="AE157" i="3"/>
  <c r="AF157" i="3"/>
  <c r="AB158" i="3"/>
  <c r="AC158" i="3"/>
  <c r="AD158" i="3"/>
  <c r="AE158" i="3"/>
  <c r="AF158" i="3"/>
  <c r="AB159" i="3"/>
  <c r="AC159" i="3"/>
  <c r="AD159" i="3"/>
  <c r="AE159" i="3"/>
  <c r="AF159" i="3"/>
  <c r="AB160" i="3"/>
  <c r="AC160" i="3"/>
  <c r="AD160" i="3"/>
  <c r="AE160" i="3"/>
  <c r="AF160" i="3"/>
  <c r="AB161" i="3"/>
  <c r="AC161" i="3"/>
  <c r="AD161" i="3"/>
  <c r="AE161" i="3"/>
  <c r="AF161" i="3"/>
  <c r="AB162" i="3"/>
  <c r="AC162" i="3"/>
  <c r="AD162" i="3"/>
  <c r="AE162" i="3"/>
  <c r="AF162" i="3"/>
  <c r="AB163" i="3"/>
  <c r="AC163" i="3"/>
  <c r="AD163" i="3"/>
  <c r="AE163" i="3"/>
  <c r="AF163" i="3"/>
  <c r="AB164" i="3"/>
  <c r="AC164" i="3"/>
  <c r="AD164" i="3"/>
  <c r="AE164" i="3"/>
  <c r="AF164" i="3"/>
  <c r="AB165" i="3"/>
  <c r="AC165" i="3"/>
  <c r="AD165" i="3"/>
  <c r="AE165" i="3"/>
  <c r="AF165" i="3"/>
  <c r="AB166" i="3"/>
  <c r="AC166" i="3"/>
  <c r="AD166" i="3"/>
  <c r="AE166" i="3"/>
  <c r="AF166" i="3"/>
  <c r="AR8" i="3"/>
  <c r="AS8" i="3"/>
  <c r="AT8" i="3"/>
  <c r="AU8" i="3"/>
  <c r="AV8" i="3"/>
  <c r="AR9" i="3"/>
  <c r="AS9" i="3"/>
  <c r="AT9" i="3"/>
  <c r="AU9" i="3"/>
  <c r="AV9" i="3"/>
  <c r="AR10" i="3"/>
  <c r="AS10" i="3"/>
  <c r="AT10" i="3"/>
  <c r="AU10" i="3"/>
  <c r="AV10" i="3"/>
  <c r="AR11" i="3"/>
  <c r="AS11" i="3"/>
  <c r="AT11" i="3"/>
  <c r="AU11" i="3"/>
  <c r="AV11" i="3"/>
  <c r="AR12" i="3"/>
  <c r="AS12" i="3"/>
  <c r="AT12" i="3"/>
  <c r="AU12" i="3"/>
  <c r="AV12" i="3"/>
  <c r="AR13" i="3"/>
  <c r="AS13" i="3"/>
  <c r="AT13" i="3"/>
  <c r="AU13" i="3"/>
  <c r="AV13" i="3"/>
  <c r="AR14" i="3"/>
  <c r="AS14" i="3"/>
  <c r="AT14" i="3"/>
  <c r="AU14" i="3"/>
  <c r="AV14" i="3"/>
  <c r="AR15" i="3"/>
  <c r="AS15" i="3"/>
  <c r="AT15" i="3"/>
  <c r="AU15" i="3"/>
  <c r="AV15" i="3"/>
  <c r="AR16" i="3"/>
  <c r="AS16" i="3"/>
  <c r="AT16" i="3"/>
  <c r="AU16" i="3"/>
  <c r="AV16" i="3"/>
  <c r="AR17" i="3"/>
  <c r="AS17" i="3"/>
  <c r="AT17" i="3"/>
  <c r="AU17" i="3"/>
  <c r="AV17" i="3"/>
  <c r="AR18" i="3"/>
  <c r="AS18" i="3"/>
  <c r="AT18" i="3"/>
  <c r="AU18" i="3"/>
  <c r="AV18" i="3"/>
  <c r="AR19" i="3"/>
  <c r="AS19" i="3"/>
  <c r="AT19" i="3"/>
  <c r="AU19" i="3"/>
  <c r="AV19" i="3"/>
  <c r="AR20" i="3"/>
  <c r="AS20" i="3"/>
  <c r="AT20" i="3"/>
  <c r="AU20" i="3"/>
  <c r="AV20" i="3"/>
  <c r="AR21" i="3"/>
  <c r="AS21" i="3"/>
  <c r="AT21" i="3"/>
  <c r="AU21" i="3"/>
  <c r="AV21" i="3"/>
  <c r="AR22" i="3"/>
  <c r="AS22" i="3"/>
  <c r="AT22" i="3"/>
  <c r="AU22" i="3"/>
  <c r="AV22" i="3"/>
  <c r="AR23" i="3"/>
  <c r="AS23" i="3"/>
  <c r="AT23" i="3"/>
  <c r="AU23" i="3"/>
  <c r="AV23" i="3"/>
  <c r="AR24" i="3"/>
  <c r="AS24" i="3"/>
  <c r="AT24" i="3"/>
  <c r="AU24" i="3"/>
  <c r="AV24" i="3"/>
  <c r="AR25" i="3"/>
  <c r="AS25" i="3"/>
  <c r="AT25" i="3"/>
  <c r="AU25" i="3"/>
  <c r="AV25" i="3"/>
  <c r="AR26" i="3"/>
  <c r="AS26" i="3"/>
  <c r="AT26" i="3"/>
  <c r="AU26" i="3"/>
  <c r="AV26" i="3"/>
  <c r="AR27" i="3"/>
  <c r="AS27" i="3"/>
  <c r="AT27" i="3"/>
  <c r="AU27" i="3"/>
  <c r="AV27" i="3"/>
  <c r="AR28" i="3"/>
  <c r="AS28" i="3"/>
  <c r="AT28" i="3"/>
  <c r="AU28" i="3"/>
  <c r="AV28" i="3"/>
  <c r="AR29" i="3"/>
  <c r="AS29" i="3"/>
  <c r="AT29" i="3"/>
  <c r="AU29" i="3"/>
  <c r="AV29" i="3"/>
  <c r="AR30" i="3"/>
  <c r="AS30" i="3"/>
  <c r="AT30" i="3"/>
  <c r="AU30" i="3"/>
  <c r="AV30" i="3"/>
  <c r="AR31" i="3"/>
  <c r="AS31" i="3"/>
  <c r="AT31" i="3"/>
  <c r="AU31" i="3"/>
  <c r="AV31" i="3"/>
  <c r="AR32" i="3"/>
  <c r="AS32" i="3"/>
  <c r="AT32" i="3"/>
  <c r="AU32" i="3"/>
  <c r="AV32" i="3"/>
  <c r="AR33" i="3"/>
  <c r="AS33" i="3"/>
  <c r="AT33" i="3"/>
  <c r="AU33" i="3"/>
  <c r="AV33" i="3"/>
  <c r="AR34" i="3"/>
  <c r="AS34" i="3"/>
  <c r="AT34" i="3"/>
  <c r="AU34" i="3"/>
  <c r="AV34" i="3"/>
  <c r="AR35" i="3"/>
  <c r="AS35" i="3"/>
  <c r="AT35" i="3"/>
  <c r="AU35" i="3"/>
  <c r="AV35" i="3"/>
  <c r="AR36" i="3"/>
  <c r="AS36" i="3"/>
  <c r="AT36" i="3"/>
  <c r="AU36" i="3"/>
  <c r="AV36" i="3"/>
  <c r="AR37" i="3"/>
  <c r="AS37" i="3"/>
  <c r="AT37" i="3"/>
  <c r="AU37" i="3"/>
  <c r="AV37" i="3"/>
  <c r="AR38" i="3"/>
  <c r="AS38" i="3"/>
  <c r="AT38" i="3"/>
  <c r="AU38" i="3"/>
  <c r="AV38" i="3"/>
  <c r="AR39" i="3"/>
  <c r="AS39" i="3"/>
  <c r="AT39" i="3"/>
  <c r="AU39" i="3"/>
  <c r="AV39" i="3"/>
  <c r="AR40" i="3"/>
  <c r="AS40" i="3"/>
  <c r="AT40" i="3"/>
  <c r="AU40" i="3"/>
  <c r="AV40" i="3"/>
  <c r="AR41" i="3"/>
  <c r="AS41" i="3"/>
  <c r="AT41" i="3"/>
  <c r="AU41" i="3"/>
  <c r="AV41" i="3"/>
  <c r="AR42" i="3"/>
  <c r="AS42" i="3"/>
  <c r="AT42" i="3"/>
  <c r="AU42" i="3"/>
  <c r="AV42" i="3"/>
  <c r="AR43" i="3"/>
  <c r="AS43" i="3"/>
  <c r="AT43" i="3"/>
  <c r="AU43" i="3"/>
  <c r="AV43" i="3"/>
  <c r="AR44" i="3"/>
  <c r="AS44" i="3"/>
  <c r="AT44" i="3"/>
  <c r="AU44" i="3"/>
  <c r="AV44" i="3"/>
  <c r="AR45" i="3"/>
  <c r="AS45" i="3"/>
  <c r="AT45" i="3"/>
  <c r="AU45" i="3"/>
  <c r="AV45" i="3"/>
  <c r="AR46" i="3"/>
  <c r="AS46" i="3"/>
  <c r="AT46" i="3"/>
  <c r="AU46" i="3"/>
  <c r="AV46" i="3"/>
  <c r="AR47" i="3"/>
  <c r="AS47" i="3"/>
  <c r="AT47" i="3"/>
  <c r="AU47" i="3"/>
  <c r="AV47" i="3"/>
  <c r="AR48" i="3"/>
  <c r="AS48" i="3"/>
  <c r="AT48" i="3"/>
  <c r="AU48" i="3"/>
  <c r="AV48" i="3"/>
  <c r="AR49" i="3"/>
  <c r="AS49" i="3"/>
  <c r="AT49" i="3"/>
  <c r="AU49" i="3"/>
  <c r="AV49" i="3"/>
  <c r="AR50" i="3"/>
  <c r="AS50" i="3"/>
  <c r="AT50" i="3"/>
  <c r="AU50" i="3"/>
  <c r="AV50" i="3"/>
  <c r="AR51" i="3"/>
  <c r="AS51" i="3"/>
  <c r="AT51" i="3"/>
  <c r="AU51" i="3"/>
  <c r="AV51" i="3"/>
  <c r="AR52" i="3"/>
  <c r="AS52" i="3"/>
  <c r="AT52" i="3"/>
  <c r="AU52" i="3"/>
  <c r="AV52" i="3"/>
  <c r="AR53" i="3"/>
  <c r="AS53" i="3"/>
  <c r="AT53" i="3"/>
  <c r="AU53" i="3"/>
  <c r="AV53" i="3"/>
  <c r="AR54" i="3"/>
  <c r="AS54" i="3"/>
  <c r="AT54" i="3"/>
  <c r="AU54" i="3"/>
  <c r="AV54" i="3"/>
  <c r="AR55" i="3"/>
  <c r="AS55" i="3"/>
  <c r="AT55" i="3"/>
  <c r="AU55" i="3"/>
  <c r="AV55" i="3"/>
  <c r="AR56" i="3"/>
  <c r="AS56" i="3"/>
  <c r="AT56" i="3"/>
  <c r="AU56" i="3"/>
  <c r="AV56" i="3"/>
  <c r="AR57" i="3"/>
  <c r="AS57" i="3"/>
  <c r="AT57" i="3"/>
  <c r="AU57" i="3"/>
  <c r="AV57" i="3"/>
  <c r="AR58" i="3"/>
  <c r="AS58" i="3"/>
  <c r="AT58" i="3"/>
  <c r="AU58" i="3"/>
  <c r="AV58" i="3"/>
  <c r="AR59" i="3"/>
  <c r="AS59" i="3"/>
  <c r="AT59" i="3"/>
  <c r="AU59" i="3"/>
  <c r="AV59" i="3"/>
  <c r="AR60" i="3"/>
  <c r="AS60" i="3"/>
  <c r="AT60" i="3"/>
  <c r="AU60" i="3"/>
  <c r="AV60" i="3"/>
  <c r="AR61" i="3"/>
  <c r="AS61" i="3"/>
  <c r="AT61" i="3"/>
  <c r="AU61" i="3"/>
  <c r="AV61" i="3"/>
  <c r="AR62" i="3"/>
  <c r="AS62" i="3"/>
  <c r="AT62" i="3"/>
  <c r="AU62" i="3"/>
  <c r="AV62" i="3"/>
  <c r="AR63" i="3"/>
  <c r="AS63" i="3"/>
  <c r="AT63" i="3"/>
  <c r="AU63" i="3"/>
  <c r="AV63" i="3"/>
  <c r="AR64" i="3"/>
  <c r="AS64" i="3"/>
  <c r="AT64" i="3"/>
  <c r="AU64" i="3"/>
  <c r="AV64" i="3"/>
  <c r="AR65" i="3"/>
  <c r="AS65" i="3"/>
  <c r="AT65" i="3"/>
  <c r="AU65" i="3"/>
  <c r="AV65" i="3"/>
  <c r="AR66" i="3"/>
  <c r="AS66" i="3"/>
  <c r="AT66" i="3"/>
  <c r="AU66" i="3"/>
  <c r="AV66" i="3"/>
  <c r="AR67" i="3"/>
  <c r="AS67" i="3"/>
  <c r="AT67" i="3"/>
  <c r="AU67" i="3"/>
  <c r="AV67" i="3"/>
  <c r="AR68" i="3"/>
  <c r="AS68" i="3"/>
  <c r="AT68" i="3"/>
  <c r="AU68" i="3"/>
  <c r="AV68" i="3"/>
  <c r="AR69" i="3"/>
  <c r="AS69" i="3"/>
  <c r="AT69" i="3"/>
  <c r="AU69" i="3"/>
  <c r="AV69" i="3"/>
  <c r="AR70" i="3"/>
  <c r="AS70" i="3"/>
  <c r="AT70" i="3"/>
  <c r="AU70" i="3"/>
  <c r="AV70" i="3"/>
  <c r="AR71" i="3"/>
  <c r="AS71" i="3"/>
  <c r="AT71" i="3"/>
  <c r="AU71" i="3"/>
  <c r="AV71" i="3"/>
  <c r="AR72" i="3"/>
  <c r="AS72" i="3"/>
  <c r="AT72" i="3"/>
  <c r="AU72" i="3"/>
  <c r="AV72" i="3"/>
  <c r="AR73" i="3"/>
  <c r="AS73" i="3"/>
  <c r="AT73" i="3"/>
  <c r="AU73" i="3"/>
  <c r="AV73" i="3"/>
  <c r="AR74" i="3"/>
  <c r="AS74" i="3"/>
  <c r="AT74" i="3"/>
  <c r="AU74" i="3"/>
  <c r="AV74" i="3"/>
  <c r="AR75" i="3"/>
  <c r="AS75" i="3"/>
  <c r="AT75" i="3"/>
  <c r="AU75" i="3"/>
  <c r="AV75" i="3"/>
  <c r="AR76" i="3"/>
  <c r="AS76" i="3"/>
  <c r="AT76" i="3"/>
  <c r="AU76" i="3"/>
  <c r="AV76" i="3"/>
  <c r="AR77" i="3"/>
  <c r="AS77" i="3"/>
  <c r="AT77" i="3"/>
  <c r="AU77" i="3"/>
  <c r="AV77" i="3"/>
  <c r="AR78" i="3"/>
  <c r="AS78" i="3"/>
  <c r="AT78" i="3"/>
  <c r="AU78" i="3"/>
  <c r="AV78" i="3"/>
  <c r="AR79" i="3"/>
  <c r="AS79" i="3"/>
  <c r="AT79" i="3"/>
  <c r="AU79" i="3"/>
  <c r="AV79" i="3"/>
  <c r="AR80" i="3"/>
  <c r="AS80" i="3"/>
  <c r="AT80" i="3"/>
  <c r="AU80" i="3"/>
  <c r="AV80" i="3"/>
  <c r="AR81" i="3"/>
  <c r="AS81" i="3"/>
  <c r="AT81" i="3"/>
  <c r="AU81" i="3"/>
  <c r="AV81" i="3"/>
  <c r="AR82" i="3"/>
  <c r="AS82" i="3"/>
  <c r="AT82" i="3"/>
  <c r="AU82" i="3"/>
  <c r="AV82" i="3"/>
  <c r="AR83" i="3"/>
  <c r="AS83" i="3"/>
  <c r="AT83" i="3"/>
  <c r="AU83" i="3"/>
  <c r="AV83" i="3"/>
  <c r="AR84" i="3"/>
  <c r="AS84" i="3"/>
  <c r="AT84" i="3"/>
  <c r="AU84" i="3"/>
  <c r="AV84" i="3"/>
  <c r="AR85" i="3"/>
  <c r="AS85" i="3"/>
  <c r="AT85" i="3"/>
  <c r="AU85" i="3"/>
  <c r="AV85" i="3"/>
  <c r="AR86" i="3"/>
  <c r="AS86" i="3"/>
  <c r="AT86" i="3"/>
  <c r="AU86" i="3"/>
  <c r="AV86" i="3"/>
  <c r="AR87" i="3"/>
  <c r="AS87" i="3"/>
  <c r="AT87" i="3"/>
  <c r="AU87" i="3"/>
  <c r="AV87" i="3"/>
  <c r="AR88" i="3"/>
  <c r="AS88" i="3"/>
  <c r="AT88" i="3"/>
  <c r="AU88" i="3"/>
  <c r="AV88" i="3"/>
  <c r="AR89" i="3"/>
  <c r="AS89" i="3"/>
  <c r="AT89" i="3"/>
  <c r="AU89" i="3"/>
  <c r="AV89" i="3"/>
  <c r="AR90" i="3"/>
  <c r="AS90" i="3"/>
  <c r="AT90" i="3"/>
  <c r="AU90" i="3"/>
  <c r="AV90" i="3"/>
  <c r="AR91" i="3"/>
  <c r="AS91" i="3"/>
  <c r="AT91" i="3"/>
  <c r="AU91" i="3"/>
  <c r="AV91" i="3"/>
  <c r="AR92" i="3"/>
  <c r="AS92" i="3"/>
  <c r="AT92" i="3"/>
  <c r="AU92" i="3"/>
  <c r="AV92" i="3"/>
  <c r="AR93" i="3"/>
  <c r="AS93" i="3"/>
  <c r="AT93" i="3"/>
  <c r="AU93" i="3"/>
  <c r="AV93" i="3"/>
  <c r="AR94" i="3"/>
  <c r="AS94" i="3"/>
  <c r="AT94" i="3"/>
  <c r="AU94" i="3"/>
  <c r="AV94" i="3"/>
  <c r="AR95" i="3"/>
  <c r="AS95" i="3"/>
  <c r="AT95" i="3"/>
  <c r="AU95" i="3"/>
  <c r="AV95" i="3"/>
  <c r="AR96" i="3"/>
  <c r="AS96" i="3"/>
  <c r="AT96" i="3"/>
  <c r="AU96" i="3"/>
  <c r="AV96" i="3"/>
  <c r="AR97" i="3"/>
  <c r="AS97" i="3"/>
  <c r="AT97" i="3"/>
  <c r="AU97" i="3"/>
  <c r="AV97" i="3"/>
  <c r="AR98" i="3"/>
  <c r="AS98" i="3"/>
  <c r="AT98" i="3"/>
  <c r="AU98" i="3"/>
  <c r="AV98" i="3"/>
  <c r="AR99" i="3"/>
  <c r="AS99" i="3"/>
  <c r="AT99" i="3"/>
  <c r="AU99" i="3"/>
  <c r="AV99" i="3"/>
  <c r="AR100" i="3"/>
  <c r="AS100" i="3"/>
  <c r="AT100" i="3"/>
  <c r="AU100" i="3"/>
  <c r="AV100" i="3"/>
  <c r="AR101" i="3"/>
  <c r="AS101" i="3"/>
  <c r="AT101" i="3"/>
  <c r="AU101" i="3"/>
  <c r="AV101" i="3"/>
  <c r="AR102" i="3"/>
  <c r="AS102" i="3"/>
  <c r="AT102" i="3"/>
  <c r="AU102" i="3"/>
  <c r="AV102" i="3"/>
  <c r="AR103" i="3"/>
  <c r="AS103" i="3"/>
  <c r="AT103" i="3"/>
  <c r="AU103" i="3"/>
  <c r="AV103" i="3"/>
  <c r="AR104" i="3"/>
  <c r="AS104" i="3"/>
  <c r="AT104" i="3"/>
  <c r="AU104" i="3"/>
  <c r="AV104" i="3"/>
  <c r="AR105" i="3"/>
  <c r="AS105" i="3"/>
  <c r="AT105" i="3"/>
  <c r="AU105" i="3"/>
  <c r="AV105" i="3"/>
  <c r="AR106" i="3"/>
  <c r="AS106" i="3"/>
  <c r="AT106" i="3"/>
  <c r="AU106" i="3"/>
  <c r="AV106" i="3"/>
  <c r="AR107" i="3"/>
  <c r="AS107" i="3"/>
  <c r="AT107" i="3"/>
  <c r="AU107" i="3"/>
  <c r="AV107" i="3"/>
  <c r="AR108" i="3"/>
  <c r="AS108" i="3"/>
  <c r="AT108" i="3"/>
  <c r="AU108" i="3"/>
  <c r="AV108" i="3"/>
  <c r="AR109" i="3"/>
  <c r="AS109" i="3"/>
  <c r="AT109" i="3"/>
  <c r="AU109" i="3"/>
  <c r="AV109" i="3"/>
  <c r="AR110" i="3"/>
  <c r="AS110" i="3"/>
  <c r="AT110" i="3"/>
  <c r="AU110" i="3"/>
  <c r="AV110" i="3"/>
  <c r="AR111" i="3"/>
  <c r="AS111" i="3"/>
  <c r="AT111" i="3"/>
  <c r="AU111" i="3"/>
  <c r="AV111" i="3"/>
  <c r="AR112" i="3"/>
  <c r="AS112" i="3"/>
  <c r="AT112" i="3"/>
  <c r="AU112" i="3"/>
  <c r="AV112" i="3"/>
  <c r="AR113" i="3"/>
  <c r="AS113" i="3"/>
  <c r="AT113" i="3"/>
  <c r="AU113" i="3"/>
  <c r="AV113" i="3"/>
  <c r="AR114" i="3"/>
  <c r="AS114" i="3"/>
  <c r="AT114" i="3"/>
  <c r="AU114" i="3"/>
  <c r="AV114" i="3"/>
  <c r="AR115" i="3"/>
  <c r="AS115" i="3"/>
  <c r="AT115" i="3"/>
  <c r="AU115" i="3"/>
  <c r="AV115" i="3"/>
  <c r="AR116" i="3"/>
  <c r="AS116" i="3"/>
  <c r="AT116" i="3"/>
  <c r="AU116" i="3"/>
  <c r="AV116" i="3"/>
  <c r="AR117" i="3"/>
  <c r="AS117" i="3"/>
  <c r="AT117" i="3"/>
  <c r="AU117" i="3"/>
  <c r="AV117" i="3"/>
  <c r="AR118" i="3"/>
  <c r="AS118" i="3"/>
  <c r="AT118" i="3"/>
  <c r="AU118" i="3"/>
  <c r="AV118" i="3"/>
  <c r="AR119" i="3"/>
  <c r="AS119" i="3"/>
  <c r="AT119" i="3"/>
  <c r="AU119" i="3"/>
  <c r="AV119" i="3"/>
  <c r="AR120" i="3"/>
  <c r="AS120" i="3"/>
  <c r="AT120" i="3"/>
  <c r="AU120" i="3"/>
  <c r="AV120" i="3"/>
  <c r="AR121" i="3"/>
  <c r="AS121" i="3"/>
  <c r="AT121" i="3"/>
  <c r="AU121" i="3"/>
  <c r="AV121" i="3"/>
  <c r="AR122" i="3"/>
  <c r="AS122" i="3"/>
  <c r="AT122" i="3"/>
  <c r="AU122" i="3"/>
  <c r="AV122" i="3"/>
  <c r="AR123" i="3"/>
  <c r="AS123" i="3"/>
  <c r="AT123" i="3"/>
  <c r="AU123" i="3"/>
  <c r="AV123" i="3"/>
  <c r="AR124" i="3"/>
  <c r="AS124" i="3"/>
  <c r="AT124" i="3"/>
  <c r="AU124" i="3"/>
  <c r="AV124" i="3"/>
  <c r="AR125" i="3"/>
  <c r="AS125" i="3"/>
  <c r="AT125" i="3"/>
  <c r="AU125" i="3"/>
  <c r="AV125" i="3"/>
  <c r="AR126" i="3"/>
  <c r="AS126" i="3"/>
  <c r="AT126" i="3"/>
  <c r="AU126" i="3"/>
  <c r="AV126" i="3"/>
  <c r="AR127" i="3"/>
  <c r="AS127" i="3"/>
  <c r="AT127" i="3"/>
  <c r="AU127" i="3"/>
  <c r="AV127" i="3"/>
  <c r="AR128" i="3"/>
  <c r="AS128" i="3"/>
  <c r="AT128" i="3"/>
  <c r="AU128" i="3"/>
  <c r="AV128" i="3"/>
  <c r="AR129" i="3"/>
  <c r="AS129" i="3"/>
  <c r="AT129" i="3"/>
  <c r="AU129" i="3"/>
  <c r="AV129" i="3"/>
  <c r="AR130" i="3"/>
  <c r="AS130" i="3"/>
  <c r="AT130" i="3"/>
  <c r="AU130" i="3"/>
  <c r="AV130" i="3"/>
  <c r="AR131" i="3"/>
  <c r="AS131" i="3"/>
  <c r="AT131" i="3"/>
  <c r="AU131" i="3"/>
  <c r="AV131" i="3"/>
  <c r="AR132" i="3"/>
  <c r="AS132" i="3"/>
  <c r="AT132" i="3"/>
  <c r="AU132" i="3"/>
  <c r="AV132" i="3"/>
  <c r="AR133" i="3"/>
  <c r="AS133" i="3"/>
  <c r="AT133" i="3"/>
  <c r="AU133" i="3"/>
  <c r="AV133" i="3"/>
  <c r="AR134" i="3"/>
  <c r="AS134" i="3"/>
  <c r="AT134" i="3"/>
  <c r="AU134" i="3"/>
  <c r="AV134" i="3"/>
  <c r="AR135" i="3"/>
  <c r="AS135" i="3"/>
  <c r="AT135" i="3"/>
  <c r="AU135" i="3"/>
  <c r="AV135" i="3"/>
  <c r="AR136" i="3"/>
  <c r="AS136" i="3"/>
  <c r="AT136" i="3"/>
  <c r="AU136" i="3"/>
  <c r="AV136" i="3"/>
  <c r="AR137" i="3"/>
  <c r="AS137" i="3"/>
  <c r="AT137" i="3"/>
  <c r="AU137" i="3"/>
  <c r="AV137" i="3"/>
  <c r="AR138" i="3"/>
  <c r="AS138" i="3"/>
  <c r="AT138" i="3"/>
  <c r="AU138" i="3"/>
  <c r="AV138" i="3"/>
  <c r="AR139" i="3"/>
  <c r="AS139" i="3"/>
  <c r="AT139" i="3"/>
  <c r="AU139" i="3"/>
  <c r="AV139" i="3"/>
  <c r="AR140" i="3"/>
  <c r="AS140" i="3"/>
  <c r="AT140" i="3"/>
  <c r="AU140" i="3"/>
  <c r="AV140" i="3"/>
  <c r="AR141" i="3"/>
  <c r="AS141" i="3"/>
  <c r="AT141" i="3"/>
  <c r="AU141" i="3"/>
  <c r="AV141" i="3"/>
  <c r="AR142" i="3"/>
  <c r="AS142" i="3"/>
  <c r="AT142" i="3"/>
  <c r="AU142" i="3"/>
  <c r="AV142" i="3"/>
  <c r="AR143" i="3"/>
  <c r="AS143" i="3"/>
  <c r="AT143" i="3"/>
  <c r="AU143" i="3"/>
  <c r="AV143" i="3"/>
  <c r="AR144" i="3"/>
  <c r="AS144" i="3"/>
  <c r="AT144" i="3"/>
  <c r="AU144" i="3"/>
  <c r="AV144" i="3"/>
  <c r="AR145" i="3"/>
  <c r="AS145" i="3"/>
  <c r="AT145" i="3"/>
  <c r="AU145" i="3"/>
  <c r="AV145" i="3"/>
  <c r="AR146" i="3"/>
  <c r="AS146" i="3"/>
  <c r="AT146" i="3"/>
  <c r="AU146" i="3"/>
  <c r="AV146" i="3"/>
  <c r="AR147" i="3"/>
  <c r="AS147" i="3"/>
  <c r="AT147" i="3"/>
  <c r="AU147" i="3"/>
  <c r="AV147" i="3"/>
  <c r="AR148" i="3"/>
  <c r="AS148" i="3"/>
  <c r="AT148" i="3"/>
  <c r="AU148" i="3"/>
  <c r="AV148" i="3"/>
  <c r="AR149" i="3"/>
  <c r="AS149" i="3"/>
  <c r="AT149" i="3"/>
  <c r="AU149" i="3"/>
  <c r="AV149" i="3"/>
  <c r="AR150" i="3"/>
  <c r="AS150" i="3"/>
  <c r="AT150" i="3"/>
  <c r="AU150" i="3"/>
  <c r="AV150" i="3"/>
  <c r="AR151" i="3"/>
  <c r="AS151" i="3"/>
  <c r="AT151" i="3"/>
  <c r="AU151" i="3"/>
  <c r="AV151" i="3"/>
  <c r="AR152" i="3"/>
  <c r="AS152" i="3"/>
  <c r="AT152" i="3"/>
  <c r="AU152" i="3"/>
  <c r="AV152" i="3"/>
  <c r="AR153" i="3"/>
  <c r="AS153" i="3"/>
  <c r="AT153" i="3"/>
  <c r="AU153" i="3"/>
  <c r="AV153" i="3"/>
  <c r="AR154" i="3"/>
  <c r="AS154" i="3"/>
  <c r="AT154" i="3"/>
  <c r="AU154" i="3"/>
  <c r="AV154" i="3"/>
  <c r="AR155" i="3"/>
  <c r="AS155" i="3"/>
  <c r="AT155" i="3"/>
  <c r="AU155" i="3"/>
  <c r="AV155" i="3"/>
  <c r="AR156" i="3"/>
  <c r="AS156" i="3"/>
  <c r="AT156" i="3"/>
  <c r="AU156" i="3"/>
  <c r="AV156" i="3"/>
  <c r="AR157" i="3"/>
  <c r="AS157" i="3"/>
  <c r="AT157" i="3"/>
  <c r="AU157" i="3"/>
  <c r="AV157" i="3"/>
  <c r="AR158" i="3"/>
  <c r="AS158" i="3"/>
  <c r="AT158" i="3"/>
  <c r="AU158" i="3"/>
  <c r="AV158" i="3"/>
  <c r="AR159" i="3"/>
  <c r="AS159" i="3"/>
  <c r="AT159" i="3"/>
  <c r="AU159" i="3"/>
  <c r="AV159" i="3"/>
  <c r="AR160" i="3"/>
  <c r="AS160" i="3"/>
  <c r="AT160" i="3"/>
  <c r="AU160" i="3"/>
  <c r="AV160" i="3"/>
  <c r="AR161" i="3"/>
  <c r="AS161" i="3"/>
  <c r="AT161" i="3"/>
  <c r="AU161" i="3"/>
  <c r="AV161" i="3"/>
  <c r="AR162" i="3"/>
  <c r="AS162" i="3"/>
  <c r="AT162" i="3"/>
  <c r="AU162" i="3"/>
  <c r="AV162" i="3"/>
  <c r="AR163" i="3"/>
  <c r="AS163" i="3"/>
  <c r="AT163" i="3"/>
  <c r="AU163" i="3"/>
  <c r="AV163" i="3"/>
  <c r="AR164" i="3"/>
  <c r="AS164" i="3"/>
  <c r="AT164" i="3"/>
  <c r="AU164" i="3"/>
  <c r="AV164" i="3"/>
  <c r="AR165" i="3"/>
  <c r="AS165" i="3"/>
  <c r="AT165" i="3"/>
  <c r="AU165" i="3"/>
  <c r="AV165" i="3"/>
  <c r="AR166" i="3"/>
  <c r="AS166" i="3"/>
  <c r="AT166" i="3"/>
  <c r="AU166" i="3"/>
  <c r="AV166" i="3"/>
  <c r="B152" i="3" l="1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B12" i="5"/>
  <c r="E33" i="4" l="1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32" i="4"/>
  <c r="H95" i="5" l="1"/>
  <c r="H94" i="5"/>
  <c r="H93" i="5"/>
  <c r="H92" i="5"/>
  <c r="H91" i="5"/>
  <c r="H90" i="5"/>
  <c r="H89" i="5"/>
  <c r="H88" i="5"/>
  <c r="H87" i="5"/>
  <c r="H86" i="5"/>
  <c r="H85" i="5"/>
  <c r="H84" i="5"/>
  <c r="H83" i="5"/>
  <c r="H82" i="5"/>
  <c r="H81" i="5"/>
  <c r="H80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46" i="5"/>
  <c r="I8" i="5"/>
  <c r="I8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32" i="4"/>
  <c r="B7" i="3" l="1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6" i="3"/>
  <c r="A90" i="5" l="1"/>
  <c r="F90" i="5"/>
  <c r="J90" i="5"/>
  <c r="I90" i="5"/>
  <c r="A91" i="5"/>
  <c r="F91" i="5"/>
  <c r="J91" i="5"/>
  <c r="I91" i="5"/>
  <c r="A92" i="5"/>
  <c r="F92" i="5"/>
  <c r="J92" i="5"/>
  <c r="I92" i="5"/>
  <c r="A93" i="5"/>
  <c r="F93" i="5"/>
  <c r="J93" i="5"/>
  <c r="I93" i="5"/>
  <c r="A94" i="5"/>
  <c r="F94" i="5"/>
  <c r="J94" i="5"/>
  <c r="I94" i="5"/>
  <c r="A95" i="5"/>
  <c r="F95" i="5"/>
  <c r="J95" i="5"/>
  <c r="I95" i="5"/>
  <c r="A56" i="5"/>
  <c r="F56" i="5"/>
  <c r="J56" i="5"/>
  <c r="I56" i="5"/>
  <c r="A57" i="5"/>
  <c r="F57" i="5"/>
  <c r="J57" i="5"/>
  <c r="I57" i="5"/>
  <c r="A58" i="5"/>
  <c r="F58" i="5"/>
  <c r="J58" i="5"/>
  <c r="I58" i="5"/>
  <c r="A59" i="5"/>
  <c r="F59" i="5"/>
  <c r="J59" i="5"/>
  <c r="I59" i="5"/>
  <c r="A60" i="5"/>
  <c r="F60" i="5"/>
  <c r="I60" i="5"/>
  <c r="A61" i="5"/>
  <c r="F61" i="5"/>
  <c r="J61" i="5"/>
  <c r="I61" i="5"/>
  <c r="J60" i="5" l="1"/>
  <c r="K61" i="5"/>
  <c r="K95" i="5"/>
  <c r="K93" i="5"/>
  <c r="K91" i="5"/>
  <c r="K90" i="5"/>
  <c r="K94" i="5"/>
  <c r="K92" i="5"/>
  <c r="K58" i="5"/>
  <c r="K56" i="5"/>
  <c r="K59" i="5"/>
  <c r="K57" i="5"/>
  <c r="AJ595" i="3"/>
  <c r="AK595" i="3"/>
  <c r="AL595" i="3"/>
  <c r="AM595" i="3"/>
  <c r="AN595" i="3"/>
  <c r="AJ596" i="3"/>
  <c r="AK596" i="3"/>
  <c r="AL596" i="3"/>
  <c r="AM596" i="3"/>
  <c r="AN596" i="3"/>
  <c r="AJ597" i="3"/>
  <c r="AK597" i="3"/>
  <c r="AL597" i="3"/>
  <c r="AM597" i="3"/>
  <c r="AN597" i="3"/>
  <c r="AJ598" i="3"/>
  <c r="AK598" i="3"/>
  <c r="AL598" i="3"/>
  <c r="AM598" i="3"/>
  <c r="AN598" i="3"/>
  <c r="AJ599" i="3"/>
  <c r="AK599" i="3"/>
  <c r="AL599" i="3"/>
  <c r="AM599" i="3"/>
  <c r="AN599" i="3"/>
  <c r="AJ600" i="3"/>
  <c r="AK600" i="3"/>
  <c r="AL600" i="3"/>
  <c r="AM600" i="3"/>
  <c r="AN600" i="3"/>
  <c r="AJ601" i="3"/>
  <c r="AK601" i="3"/>
  <c r="AL601" i="3"/>
  <c r="AM601" i="3"/>
  <c r="AN601" i="3"/>
  <c r="AJ602" i="3"/>
  <c r="AK602" i="3"/>
  <c r="AL602" i="3"/>
  <c r="AM602" i="3"/>
  <c r="AN602" i="3"/>
  <c r="AJ603" i="3"/>
  <c r="AK603" i="3"/>
  <c r="AL603" i="3"/>
  <c r="AM603" i="3"/>
  <c r="AN603" i="3"/>
  <c r="AJ604" i="3"/>
  <c r="AK604" i="3"/>
  <c r="AL604" i="3"/>
  <c r="AM604" i="3"/>
  <c r="AN604" i="3"/>
  <c r="AJ605" i="3"/>
  <c r="AK605" i="3"/>
  <c r="AL605" i="3"/>
  <c r="AM605" i="3"/>
  <c r="AN605" i="3"/>
  <c r="AJ606" i="3"/>
  <c r="AK606" i="3"/>
  <c r="AL606" i="3"/>
  <c r="AM606" i="3"/>
  <c r="AN606" i="3"/>
  <c r="AJ128" i="3"/>
  <c r="AK128" i="3"/>
  <c r="AL128" i="3"/>
  <c r="AM128" i="3"/>
  <c r="AN128" i="3"/>
  <c r="AJ129" i="3"/>
  <c r="AK129" i="3"/>
  <c r="AL129" i="3"/>
  <c r="AM129" i="3"/>
  <c r="AN129" i="3"/>
  <c r="AJ130" i="3"/>
  <c r="AK130" i="3"/>
  <c r="AL130" i="3"/>
  <c r="AM130" i="3"/>
  <c r="AN130" i="3"/>
  <c r="AJ131" i="3"/>
  <c r="AK131" i="3"/>
  <c r="AL131" i="3"/>
  <c r="AM131" i="3"/>
  <c r="AN131" i="3"/>
  <c r="AJ132" i="3"/>
  <c r="AK132" i="3"/>
  <c r="AL132" i="3"/>
  <c r="AM132" i="3"/>
  <c r="AN132" i="3"/>
  <c r="AJ133" i="3"/>
  <c r="AK133" i="3"/>
  <c r="AL133" i="3"/>
  <c r="AM133" i="3"/>
  <c r="AN133" i="3"/>
  <c r="AJ134" i="3"/>
  <c r="AK134" i="3"/>
  <c r="AL134" i="3"/>
  <c r="AM134" i="3"/>
  <c r="AN134" i="3"/>
  <c r="AJ135" i="3"/>
  <c r="AK135" i="3"/>
  <c r="AL135" i="3"/>
  <c r="AM135" i="3"/>
  <c r="AN135" i="3"/>
  <c r="AJ136" i="3"/>
  <c r="AK136" i="3"/>
  <c r="AL136" i="3"/>
  <c r="AM136" i="3"/>
  <c r="AN136" i="3"/>
  <c r="AJ137" i="3"/>
  <c r="AK137" i="3"/>
  <c r="AL137" i="3"/>
  <c r="AM137" i="3"/>
  <c r="AN137" i="3"/>
  <c r="AJ138" i="3"/>
  <c r="AK138" i="3"/>
  <c r="AL138" i="3"/>
  <c r="AM138" i="3"/>
  <c r="AN138" i="3"/>
  <c r="AJ139" i="3"/>
  <c r="AK139" i="3"/>
  <c r="AL139" i="3"/>
  <c r="AM139" i="3"/>
  <c r="AN139" i="3"/>
  <c r="AJ140" i="3"/>
  <c r="AK140" i="3"/>
  <c r="AL140" i="3"/>
  <c r="AM140" i="3"/>
  <c r="AN140" i="3"/>
  <c r="AJ141" i="3"/>
  <c r="AK141" i="3"/>
  <c r="AL141" i="3"/>
  <c r="AM141" i="3"/>
  <c r="AN141" i="3"/>
  <c r="AJ142" i="3"/>
  <c r="AK142" i="3"/>
  <c r="AL142" i="3"/>
  <c r="AM142" i="3"/>
  <c r="AN142" i="3"/>
  <c r="AJ143" i="3"/>
  <c r="AK143" i="3"/>
  <c r="AL143" i="3"/>
  <c r="AM143" i="3"/>
  <c r="AN143" i="3"/>
  <c r="AJ144" i="3"/>
  <c r="AK144" i="3"/>
  <c r="AL144" i="3"/>
  <c r="AM144" i="3"/>
  <c r="AN144" i="3"/>
  <c r="AJ145" i="3"/>
  <c r="AK145" i="3"/>
  <c r="AL145" i="3"/>
  <c r="AM145" i="3"/>
  <c r="AN145" i="3"/>
  <c r="AJ146" i="3"/>
  <c r="AK146" i="3"/>
  <c r="AL146" i="3"/>
  <c r="AM146" i="3"/>
  <c r="AN146" i="3"/>
  <c r="AJ147" i="3"/>
  <c r="AK147" i="3"/>
  <c r="AL147" i="3"/>
  <c r="AM147" i="3"/>
  <c r="AN147" i="3"/>
  <c r="AJ148" i="3"/>
  <c r="AK148" i="3"/>
  <c r="AL148" i="3"/>
  <c r="AM148" i="3"/>
  <c r="AN148" i="3"/>
  <c r="AJ149" i="3"/>
  <c r="AK149" i="3"/>
  <c r="AL149" i="3"/>
  <c r="AM149" i="3"/>
  <c r="AN149" i="3"/>
  <c r="AJ150" i="3"/>
  <c r="AK150" i="3"/>
  <c r="AL150" i="3"/>
  <c r="AM150" i="3"/>
  <c r="AN150" i="3"/>
  <c r="AJ151" i="3"/>
  <c r="AK151" i="3"/>
  <c r="AL151" i="3"/>
  <c r="AM151" i="3"/>
  <c r="AN151" i="3"/>
  <c r="AJ152" i="3"/>
  <c r="AK152" i="3"/>
  <c r="AL152" i="3"/>
  <c r="AM152" i="3"/>
  <c r="AN152" i="3"/>
  <c r="AJ153" i="3"/>
  <c r="AK153" i="3"/>
  <c r="AL153" i="3"/>
  <c r="AM153" i="3"/>
  <c r="AN153" i="3"/>
  <c r="AJ154" i="3"/>
  <c r="AK154" i="3"/>
  <c r="AL154" i="3"/>
  <c r="AM154" i="3"/>
  <c r="AN154" i="3"/>
  <c r="AJ155" i="3"/>
  <c r="AK155" i="3"/>
  <c r="AL155" i="3"/>
  <c r="AM155" i="3"/>
  <c r="AN155" i="3"/>
  <c r="AJ156" i="3"/>
  <c r="AK156" i="3"/>
  <c r="AL156" i="3"/>
  <c r="AM156" i="3"/>
  <c r="AN156" i="3"/>
  <c r="AJ157" i="3"/>
  <c r="AK157" i="3"/>
  <c r="AL157" i="3"/>
  <c r="AM157" i="3"/>
  <c r="AN157" i="3"/>
  <c r="AJ158" i="3"/>
  <c r="AK158" i="3"/>
  <c r="AL158" i="3"/>
  <c r="AM158" i="3"/>
  <c r="AN158" i="3"/>
  <c r="AJ159" i="3"/>
  <c r="AK159" i="3"/>
  <c r="AL159" i="3"/>
  <c r="AM159" i="3"/>
  <c r="AN159" i="3"/>
  <c r="AJ160" i="3"/>
  <c r="AK160" i="3"/>
  <c r="AL160" i="3"/>
  <c r="AM160" i="3"/>
  <c r="AN160" i="3"/>
  <c r="AJ161" i="3"/>
  <c r="AK161" i="3"/>
  <c r="AL161" i="3"/>
  <c r="AM161" i="3"/>
  <c r="AN161" i="3"/>
  <c r="AJ162" i="3"/>
  <c r="AK162" i="3"/>
  <c r="AL162" i="3"/>
  <c r="AM162" i="3"/>
  <c r="AN162" i="3"/>
  <c r="AJ163" i="3"/>
  <c r="AK163" i="3"/>
  <c r="AL163" i="3"/>
  <c r="AM163" i="3"/>
  <c r="AN163" i="3"/>
  <c r="AJ164" i="3"/>
  <c r="AK164" i="3"/>
  <c r="AL164" i="3"/>
  <c r="AM164" i="3"/>
  <c r="AN164" i="3"/>
  <c r="AJ165" i="3"/>
  <c r="AK165" i="3"/>
  <c r="AL165" i="3"/>
  <c r="AM165" i="3"/>
  <c r="AN165" i="3"/>
  <c r="AJ166" i="3"/>
  <c r="AK166" i="3"/>
  <c r="AL166" i="3"/>
  <c r="AM166" i="3"/>
  <c r="AN166" i="3"/>
  <c r="AJ167" i="3"/>
  <c r="AK167" i="3"/>
  <c r="AL167" i="3"/>
  <c r="AM167" i="3"/>
  <c r="AN167" i="3"/>
  <c r="AJ168" i="3"/>
  <c r="AK168" i="3"/>
  <c r="AL168" i="3"/>
  <c r="AM168" i="3"/>
  <c r="AN168" i="3"/>
  <c r="AJ169" i="3"/>
  <c r="AK169" i="3"/>
  <c r="AL169" i="3"/>
  <c r="AM169" i="3"/>
  <c r="AN169" i="3"/>
  <c r="AJ170" i="3"/>
  <c r="AK170" i="3"/>
  <c r="AL170" i="3"/>
  <c r="AM170" i="3"/>
  <c r="AN170" i="3"/>
  <c r="AJ171" i="3"/>
  <c r="AK171" i="3"/>
  <c r="AL171" i="3"/>
  <c r="AM171" i="3"/>
  <c r="AN171" i="3"/>
  <c r="AJ172" i="3"/>
  <c r="AK172" i="3"/>
  <c r="AL172" i="3"/>
  <c r="AM172" i="3"/>
  <c r="AN172" i="3"/>
  <c r="AJ173" i="3"/>
  <c r="AK173" i="3"/>
  <c r="AL173" i="3"/>
  <c r="AM173" i="3"/>
  <c r="AN173" i="3"/>
  <c r="AJ174" i="3"/>
  <c r="AK174" i="3"/>
  <c r="AL174" i="3"/>
  <c r="AM174" i="3"/>
  <c r="AN174" i="3"/>
  <c r="AJ175" i="3"/>
  <c r="AK175" i="3"/>
  <c r="AL175" i="3"/>
  <c r="AM175" i="3"/>
  <c r="AN175" i="3"/>
  <c r="AJ176" i="3"/>
  <c r="AK176" i="3"/>
  <c r="AL176" i="3"/>
  <c r="AM176" i="3"/>
  <c r="AN176" i="3"/>
  <c r="AJ177" i="3"/>
  <c r="AK177" i="3"/>
  <c r="AL177" i="3"/>
  <c r="AM177" i="3"/>
  <c r="AN177" i="3"/>
  <c r="AJ178" i="3"/>
  <c r="AK178" i="3"/>
  <c r="AL178" i="3"/>
  <c r="AM178" i="3"/>
  <c r="AN178" i="3"/>
  <c r="AJ179" i="3"/>
  <c r="AK179" i="3"/>
  <c r="AL179" i="3"/>
  <c r="AM179" i="3"/>
  <c r="AN179" i="3"/>
  <c r="AJ180" i="3"/>
  <c r="AK180" i="3"/>
  <c r="AL180" i="3"/>
  <c r="AM180" i="3"/>
  <c r="AN180" i="3"/>
  <c r="AJ181" i="3"/>
  <c r="AK181" i="3"/>
  <c r="AL181" i="3"/>
  <c r="AM181" i="3"/>
  <c r="AN181" i="3"/>
  <c r="AJ182" i="3"/>
  <c r="AK182" i="3"/>
  <c r="AL182" i="3"/>
  <c r="AM182" i="3"/>
  <c r="AN182" i="3"/>
  <c r="AJ183" i="3"/>
  <c r="AK183" i="3"/>
  <c r="AL183" i="3"/>
  <c r="AM183" i="3"/>
  <c r="AN183" i="3"/>
  <c r="AJ184" i="3"/>
  <c r="AK184" i="3"/>
  <c r="AL184" i="3"/>
  <c r="AM184" i="3"/>
  <c r="AN184" i="3"/>
  <c r="AJ185" i="3"/>
  <c r="AK185" i="3"/>
  <c r="AL185" i="3"/>
  <c r="AM185" i="3"/>
  <c r="AN185" i="3"/>
  <c r="AJ186" i="3"/>
  <c r="AK186" i="3"/>
  <c r="AL186" i="3"/>
  <c r="AM186" i="3"/>
  <c r="AN186" i="3"/>
  <c r="AJ187" i="3"/>
  <c r="AK187" i="3"/>
  <c r="AL187" i="3"/>
  <c r="AM187" i="3"/>
  <c r="AN187" i="3"/>
  <c r="AJ188" i="3"/>
  <c r="AK188" i="3"/>
  <c r="AL188" i="3"/>
  <c r="AM188" i="3"/>
  <c r="AN188" i="3"/>
  <c r="AJ189" i="3"/>
  <c r="AK189" i="3"/>
  <c r="AL189" i="3"/>
  <c r="AM189" i="3"/>
  <c r="AN189" i="3"/>
  <c r="AJ190" i="3"/>
  <c r="AK190" i="3"/>
  <c r="AL190" i="3"/>
  <c r="AM190" i="3"/>
  <c r="AN190" i="3"/>
  <c r="AJ191" i="3"/>
  <c r="AK191" i="3"/>
  <c r="AL191" i="3"/>
  <c r="AM191" i="3"/>
  <c r="AN191" i="3"/>
  <c r="AJ192" i="3"/>
  <c r="AK192" i="3"/>
  <c r="AL192" i="3"/>
  <c r="AM192" i="3"/>
  <c r="AN192" i="3"/>
  <c r="AJ193" i="3"/>
  <c r="AK193" i="3"/>
  <c r="AL193" i="3"/>
  <c r="AM193" i="3"/>
  <c r="AN193" i="3"/>
  <c r="AJ194" i="3"/>
  <c r="AK194" i="3"/>
  <c r="AL194" i="3"/>
  <c r="AM194" i="3"/>
  <c r="AN194" i="3"/>
  <c r="AJ195" i="3"/>
  <c r="AK195" i="3"/>
  <c r="AL195" i="3"/>
  <c r="AM195" i="3"/>
  <c r="AN195" i="3"/>
  <c r="AJ196" i="3"/>
  <c r="AK196" i="3"/>
  <c r="AL196" i="3"/>
  <c r="AM196" i="3"/>
  <c r="AN196" i="3"/>
  <c r="AJ197" i="3"/>
  <c r="AK197" i="3"/>
  <c r="AL197" i="3"/>
  <c r="AM197" i="3"/>
  <c r="AN197" i="3"/>
  <c r="AJ198" i="3"/>
  <c r="AK198" i="3"/>
  <c r="AL198" i="3"/>
  <c r="AM198" i="3"/>
  <c r="AN198" i="3"/>
  <c r="AJ199" i="3"/>
  <c r="AK199" i="3"/>
  <c r="AL199" i="3"/>
  <c r="AM199" i="3"/>
  <c r="AN199" i="3"/>
  <c r="AJ200" i="3"/>
  <c r="AK200" i="3"/>
  <c r="AL200" i="3"/>
  <c r="AM200" i="3"/>
  <c r="AN200" i="3"/>
  <c r="AJ201" i="3"/>
  <c r="AK201" i="3"/>
  <c r="AL201" i="3"/>
  <c r="AM201" i="3"/>
  <c r="AN201" i="3"/>
  <c r="AJ202" i="3"/>
  <c r="AK202" i="3"/>
  <c r="AL202" i="3"/>
  <c r="AM202" i="3"/>
  <c r="AN202" i="3"/>
  <c r="AJ203" i="3"/>
  <c r="AK203" i="3"/>
  <c r="AL203" i="3"/>
  <c r="AM203" i="3"/>
  <c r="AN203" i="3"/>
  <c r="AJ204" i="3"/>
  <c r="AK204" i="3"/>
  <c r="AL204" i="3"/>
  <c r="AM204" i="3"/>
  <c r="AN204" i="3"/>
  <c r="AJ205" i="3"/>
  <c r="AK205" i="3"/>
  <c r="AL205" i="3"/>
  <c r="AM205" i="3"/>
  <c r="AN205" i="3"/>
  <c r="AJ206" i="3"/>
  <c r="AK206" i="3"/>
  <c r="AL206" i="3"/>
  <c r="AM206" i="3"/>
  <c r="AN206" i="3"/>
  <c r="AJ207" i="3"/>
  <c r="AK207" i="3"/>
  <c r="AL207" i="3"/>
  <c r="AM207" i="3"/>
  <c r="AN207" i="3"/>
  <c r="AJ208" i="3"/>
  <c r="AK208" i="3"/>
  <c r="AL208" i="3"/>
  <c r="AM208" i="3"/>
  <c r="AN208" i="3"/>
  <c r="AJ209" i="3"/>
  <c r="AK209" i="3"/>
  <c r="AL209" i="3"/>
  <c r="AM209" i="3"/>
  <c r="AN209" i="3"/>
  <c r="AJ210" i="3"/>
  <c r="AK210" i="3"/>
  <c r="AL210" i="3"/>
  <c r="AM210" i="3"/>
  <c r="AN210" i="3"/>
  <c r="AJ211" i="3"/>
  <c r="AK211" i="3"/>
  <c r="AL211" i="3"/>
  <c r="AM211" i="3"/>
  <c r="AN211" i="3"/>
  <c r="AJ212" i="3"/>
  <c r="AK212" i="3"/>
  <c r="AL212" i="3"/>
  <c r="AM212" i="3"/>
  <c r="AN212" i="3"/>
  <c r="AJ213" i="3"/>
  <c r="AK213" i="3"/>
  <c r="AL213" i="3"/>
  <c r="AM213" i="3"/>
  <c r="AN213" i="3"/>
  <c r="AJ214" i="3"/>
  <c r="AK214" i="3"/>
  <c r="AL214" i="3"/>
  <c r="AM214" i="3"/>
  <c r="AN214" i="3"/>
  <c r="AJ215" i="3"/>
  <c r="AK215" i="3"/>
  <c r="AL215" i="3"/>
  <c r="AM215" i="3"/>
  <c r="AN215" i="3"/>
  <c r="AJ216" i="3"/>
  <c r="AK216" i="3"/>
  <c r="AL216" i="3"/>
  <c r="AM216" i="3"/>
  <c r="AN216" i="3"/>
  <c r="AJ217" i="3"/>
  <c r="AK217" i="3"/>
  <c r="AL217" i="3"/>
  <c r="AM217" i="3"/>
  <c r="AN217" i="3"/>
  <c r="AJ218" i="3"/>
  <c r="AK218" i="3"/>
  <c r="AL218" i="3"/>
  <c r="AM218" i="3"/>
  <c r="AN218" i="3"/>
  <c r="AJ219" i="3"/>
  <c r="AK219" i="3"/>
  <c r="AL219" i="3"/>
  <c r="AM219" i="3"/>
  <c r="AN219" i="3"/>
  <c r="AJ220" i="3"/>
  <c r="AK220" i="3"/>
  <c r="AL220" i="3"/>
  <c r="AM220" i="3"/>
  <c r="AN220" i="3"/>
  <c r="AJ221" i="3"/>
  <c r="AK221" i="3"/>
  <c r="AL221" i="3"/>
  <c r="AM221" i="3"/>
  <c r="AN221" i="3"/>
  <c r="AJ222" i="3"/>
  <c r="AK222" i="3"/>
  <c r="AL222" i="3"/>
  <c r="AM222" i="3"/>
  <c r="AN222" i="3"/>
  <c r="AJ223" i="3"/>
  <c r="AK223" i="3"/>
  <c r="AL223" i="3"/>
  <c r="AM223" i="3"/>
  <c r="AN223" i="3"/>
  <c r="AJ224" i="3"/>
  <c r="AK224" i="3"/>
  <c r="AL224" i="3"/>
  <c r="AM224" i="3"/>
  <c r="AN224" i="3"/>
  <c r="AJ225" i="3"/>
  <c r="AK225" i="3"/>
  <c r="AL225" i="3"/>
  <c r="AM225" i="3"/>
  <c r="AN225" i="3"/>
  <c r="AJ226" i="3"/>
  <c r="AK226" i="3"/>
  <c r="AL226" i="3"/>
  <c r="AM226" i="3"/>
  <c r="AN226" i="3"/>
  <c r="AJ227" i="3"/>
  <c r="AK227" i="3"/>
  <c r="AL227" i="3"/>
  <c r="AM227" i="3"/>
  <c r="AN227" i="3"/>
  <c r="AJ228" i="3"/>
  <c r="AK228" i="3"/>
  <c r="AL228" i="3"/>
  <c r="AM228" i="3"/>
  <c r="AN228" i="3"/>
  <c r="AJ229" i="3"/>
  <c r="AK229" i="3"/>
  <c r="AL229" i="3"/>
  <c r="AM229" i="3"/>
  <c r="AN229" i="3"/>
  <c r="AJ230" i="3"/>
  <c r="AK230" i="3"/>
  <c r="AL230" i="3"/>
  <c r="AM230" i="3"/>
  <c r="AN230" i="3"/>
  <c r="AJ231" i="3"/>
  <c r="AK231" i="3"/>
  <c r="AL231" i="3"/>
  <c r="AM231" i="3"/>
  <c r="AN231" i="3"/>
  <c r="AJ232" i="3"/>
  <c r="AK232" i="3"/>
  <c r="AL232" i="3"/>
  <c r="AM232" i="3"/>
  <c r="AN232" i="3"/>
  <c r="AJ233" i="3"/>
  <c r="AK233" i="3"/>
  <c r="AL233" i="3"/>
  <c r="AM233" i="3"/>
  <c r="AN233" i="3"/>
  <c r="AJ234" i="3"/>
  <c r="AK234" i="3"/>
  <c r="AL234" i="3"/>
  <c r="AM234" i="3"/>
  <c r="AN234" i="3"/>
  <c r="AJ235" i="3"/>
  <c r="AK235" i="3"/>
  <c r="AL235" i="3"/>
  <c r="AM235" i="3"/>
  <c r="AN235" i="3"/>
  <c r="AJ236" i="3"/>
  <c r="AK236" i="3"/>
  <c r="AL236" i="3"/>
  <c r="AM236" i="3"/>
  <c r="AN236" i="3"/>
  <c r="AJ237" i="3"/>
  <c r="AK237" i="3"/>
  <c r="AL237" i="3"/>
  <c r="AM237" i="3"/>
  <c r="AN237" i="3"/>
  <c r="AJ238" i="3"/>
  <c r="AK238" i="3"/>
  <c r="AL238" i="3"/>
  <c r="AM238" i="3"/>
  <c r="AN238" i="3"/>
  <c r="AJ239" i="3"/>
  <c r="AK239" i="3"/>
  <c r="AL239" i="3"/>
  <c r="AM239" i="3"/>
  <c r="AN239" i="3"/>
  <c r="AJ240" i="3"/>
  <c r="AK240" i="3"/>
  <c r="AL240" i="3"/>
  <c r="AM240" i="3"/>
  <c r="AN240" i="3"/>
  <c r="AJ241" i="3"/>
  <c r="AK241" i="3"/>
  <c r="AL241" i="3"/>
  <c r="AM241" i="3"/>
  <c r="AN241" i="3"/>
  <c r="AJ242" i="3"/>
  <c r="AK242" i="3"/>
  <c r="AL242" i="3"/>
  <c r="AM242" i="3"/>
  <c r="AN242" i="3"/>
  <c r="AJ243" i="3"/>
  <c r="AK243" i="3"/>
  <c r="AL243" i="3"/>
  <c r="AM243" i="3"/>
  <c r="AN243" i="3"/>
  <c r="AJ244" i="3"/>
  <c r="AK244" i="3"/>
  <c r="AL244" i="3"/>
  <c r="AM244" i="3"/>
  <c r="AN244" i="3"/>
  <c r="AJ245" i="3"/>
  <c r="AK245" i="3"/>
  <c r="AL245" i="3"/>
  <c r="AM245" i="3"/>
  <c r="AN245" i="3"/>
  <c r="AJ246" i="3"/>
  <c r="AK246" i="3"/>
  <c r="AL246" i="3"/>
  <c r="AM246" i="3"/>
  <c r="AN246" i="3"/>
  <c r="AJ247" i="3"/>
  <c r="AK247" i="3"/>
  <c r="AL247" i="3"/>
  <c r="AM247" i="3"/>
  <c r="AN247" i="3"/>
  <c r="AJ248" i="3"/>
  <c r="AK248" i="3"/>
  <c r="AL248" i="3"/>
  <c r="AM248" i="3"/>
  <c r="AN248" i="3"/>
  <c r="AJ249" i="3"/>
  <c r="AK249" i="3"/>
  <c r="AL249" i="3"/>
  <c r="AM249" i="3"/>
  <c r="AN249" i="3"/>
  <c r="AJ250" i="3"/>
  <c r="AK250" i="3"/>
  <c r="AL250" i="3"/>
  <c r="AM250" i="3"/>
  <c r="AN250" i="3"/>
  <c r="AJ251" i="3"/>
  <c r="AK251" i="3"/>
  <c r="AL251" i="3"/>
  <c r="AM251" i="3"/>
  <c r="AN251" i="3"/>
  <c r="AJ252" i="3"/>
  <c r="AK252" i="3"/>
  <c r="AL252" i="3"/>
  <c r="AM252" i="3"/>
  <c r="AN252" i="3"/>
  <c r="AJ253" i="3"/>
  <c r="AK253" i="3"/>
  <c r="AL253" i="3"/>
  <c r="AM253" i="3"/>
  <c r="AN253" i="3"/>
  <c r="AJ254" i="3"/>
  <c r="AK254" i="3"/>
  <c r="AL254" i="3"/>
  <c r="AM254" i="3"/>
  <c r="AN254" i="3"/>
  <c r="AJ255" i="3"/>
  <c r="AK255" i="3"/>
  <c r="AL255" i="3"/>
  <c r="AM255" i="3"/>
  <c r="AN255" i="3"/>
  <c r="AJ256" i="3"/>
  <c r="AK256" i="3"/>
  <c r="AL256" i="3"/>
  <c r="AM256" i="3"/>
  <c r="AN256" i="3"/>
  <c r="AJ257" i="3"/>
  <c r="AK257" i="3"/>
  <c r="AL257" i="3"/>
  <c r="AM257" i="3"/>
  <c r="AN257" i="3"/>
  <c r="AJ258" i="3"/>
  <c r="AK258" i="3"/>
  <c r="AL258" i="3"/>
  <c r="AM258" i="3"/>
  <c r="AN258" i="3"/>
  <c r="AJ259" i="3"/>
  <c r="AK259" i="3"/>
  <c r="AL259" i="3"/>
  <c r="AM259" i="3"/>
  <c r="AN259" i="3"/>
  <c r="AJ260" i="3"/>
  <c r="AK260" i="3"/>
  <c r="AL260" i="3"/>
  <c r="AM260" i="3"/>
  <c r="AN260" i="3"/>
  <c r="AJ261" i="3"/>
  <c r="AK261" i="3"/>
  <c r="AL261" i="3"/>
  <c r="AM261" i="3"/>
  <c r="AN261" i="3"/>
  <c r="AJ262" i="3"/>
  <c r="AK262" i="3"/>
  <c r="AL262" i="3"/>
  <c r="AM262" i="3"/>
  <c r="AN262" i="3"/>
  <c r="AJ263" i="3"/>
  <c r="AK263" i="3"/>
  <c r="AL263" i="3"/>
  <c r="AM263" i="3"/>
  <c r="AN263" i="3"/>
  <c r="AJ264" i="3"/>
  <c r="AK264" i="3"/>
  <c r="AL264" i="3"/>
  <c r="AM264" i="3"/>
  <c r="AN264" i="3"/>
  <c r="AJ265" i="3"/>
  <c r="AK265" i="3"/>
  <c r="AL265" i="3"/>
  <c r="AM265" i="3"/>
  <c r="AN265" i="3"/>
  <c r="AJ266" i="3"/>
  <c r="AK266" i="3"/>
  <c r="AL266" i="3"/>
  <c r="AM266" i="3"/>
  <c r="AN266" i="3"/>
  <c r="AJ267" i="3"/>
  <c r="AK267" i="3"/>
  <c r="AL267" i="3"/>
  <c r="AM267" i="3"/>
  <c r="AN267" i="3"/>
  <c r="AJ268" i="3"/>
  <c r="AK268" i="3"/>
  <c r="AL268" i="3"/>
  <c r="AM268" i="3"/>
  <c r="AN268" i="3"/>
  <c r="AJ269" i="3"/>
  <c r="AK269" i="3"/>
  <c r="AL269" i="3"/>
  <c r="AM269" i="3"/>
  <c r="AN269" i="3"/>
  <c r="AJ270" i="3"/>
  <c r="AK270" i="3"/>
  <c r="AL270" i="3"/>
  <c r="AM270" i="3"/>
  <c r="AN270" i="3"/>
  <c r="AJ271" i="3"/>
  <c r="AK271" i="3"/>
  <c r="AL271" i="3"/>
  <c r="AM271" i="3"/>
  <c r="AN271" i="3"/>
  <c r="AJ272" i="3"/>
  <c r="AK272" i="3"/>
  <c r="AL272" i="3"/>
  <c r="AM272" i="3"/>
  <c r="AN272" i="3"/>
  <c r="AJ273" i="3"/>
  <c r="AK273" i="3"/>
  <c r="AL273" i="3"/>
  <c r="AM273" i="3"/>
  <c r="AN273" i="3"/>
  <c r="AJ274" i="3"/>
  <c r="AK274" i="3"/>
  <c r="AL274" i="3"/>
  <c r="AM274" i="3"/>
  <c r="AN274" i="3"/>
  <c r="AJ275" i="3"/>
  <c r="AK275" i="3"/>
  <c r="AL275" i="3"/>
  <c r="AM275" i="3"/>
  <c r="AN275" i="3"/>
  <c r="AJ276" i="3"/>
  <c r="AK276" i="3"/>
  <c r="AL276" i="3"/>
  <c r="AM276" i="3"/>
  <c r="AN276" i="3"/>
  <c r="AJ277" i="3"/>
  <c r="AK277" i="3"/>
  <c r="AL277" i="3"/>
  <c r="AM277" i="3"/>
  <c r="AN277" i="3"/>
  <c r="AJ278" i="3"/>
  <c r="AK278" i="3"/>
  <c r="AL278" i="3"/>
  <c r="AM278" i="3"/>
  <c r="AN278" i="3"/>
  <c r="AJ279" i="3"/>
  <c r="AK279" i="3"/>
  <c r="AL279" i="3"/>
  <c r="AM279" i="3"/>
  <c r="AN279" i="3"/>
  <c r="AJ280" i="3"/>
  <c r="AK280" i="3"/>
  <c r="AL280" i="3"/>
  <c r="AM280" i="3"/>
  <c r="AN280" i="3"/>
  <c r="AJ281" i="3"/>
  <c r="AK281" i="3"/>
  <c r="AL281" i="3"/>
  <c r="AM281" i="3"/>
  <c r="AN281" i="3"/>
  <c r="AJ282" i="3"/>
  <c r="AK282" i="3"/>
  <c r="AL282" i="3"/>
  <c r="AM282" i="3"/>
  <c r="AN282" i="3"/>
  <c r="AJ283" i="3"/>
  <c r="AK283" i="3"/>
  <c r="AL283" i="3"/>
  <c r="AM283" i="3"/>
  <c r="AN283" i="3"/>
  <c r="AJ284" i="3"/>
  <c r="AK284" i="3"/>
  <c r="AL284" i="3"/>
  <c r="AM284" i="3"/>
  <c r="AN284" i="3"/>
  <c r="AJ285" i="3"/>
  <c r="AK285" i="3"/>
  <c r="AL285" i="3"/>
  <c r="AM285" i="3"/>
  <c r="AN285" i="3"/>
  <c r="AJ286" i="3"/>
  <c r="AK286" i="3"/>
  <c r="AL286" i="3"/>
  <c r="AM286" i="3"/>
  <c r="AN286" i="3"/>
  <c r="AJ287" i="3"/>
  <c r="AK287" i="3"/>
  <c r="AL287" i="3"/>
  <c r="AM287" i="3"/>
  <c r="AN287" i="3"/>
  <c r="AJ288" i="3"/>
  <c r="AK288" i="3"/>
  <c r="AL288" i="3"/>
  <c r="AM288" i="3"/>
  <c r="AN288" i="3"/>
  <c r="AJ289" i="3"/>
  <c r="AK289" i="3"/>
  <c r="AL289" i="3"/>
  <c r="AM289" i="3"/>
  <c r="AN289" i="3"/>
  <c r="AJ290" i="3"/>
  <c r="AK290" i="3"/>
  <c r="AL290" i="3"/>
  <c r="AM290" i="3"/>
  <c r="AN290" i="3"/>
  <c r="AJ291" i="3"/>
  <c r="AK291" i="3"/>
  <c r="AL291" i="3"/>
  <c r="AM291" i="3"/>
  <c r="AN291" i="3"/>
  <c r="AJ292" i="3"/>
  <c r="AK292" i="3"/>
  <c r="AL292" i="3"/>
  <c r="AM292" i="3"/>
  <c r="AN292" i="3"/>
  <c r="AJ293" i="3"/>
  <c r="AK293" i="3"/>
  <c r="AL293" i="3"/>
  <c r="AM293" i="3"/>
  <c r="AN293" i="3"/>
  <c r="AJ294" i="3"/>
  <c r="AK294" i="3"/>
  <c r="AL294" i="3"/>
  <c r="AM294" i="3"/>
  <c r="AN294" i="3"/>
  <c r="AJ295" i="3"/>
  <c r="AK295" i="3"/>
  <c r="AL295" i="3"/>
  <c r="AM295" i="3"/>
  <c r="AN295" i="3"/>
  <c r="AJ296" i="3"/>
  <c r="AK296" i="3"/>
  <c r="AL296" i="3"/>
  <c r="AM296" i="3"/>
  <c r="AN296" i="3"/>
  <c r="AJ297" i="3"/>
  <c r="AK297" i="3"/>
  <c r="AL297" i="3"/>
  <c r="AM297" i="3"/>
  <c r="AN297" i="3"/>
  <c r="AJ298" i="3"/>
  <c r="AK298" i="3"/>
  <c r="AL298" i="3"/>
  <c r="AM298" i="3"/>
  <c r="AN298" i="3"/>
  <c r="AJ299" i="3"/>
  <c r="AK299" i="3"/>
  <c r="AL299" i="3"/>
  <c r="AM299" i="3"/>
  <c r="AN299" i="3"/>
  <c r="AJ300" i="3"/>
  <c r="AK300" i="3"/>
  <c r="AL300" i="3"/>
  <c r="AM300" i="3"/>
  <c r="AN300" i="3"/>
  <c r="AJ301" i="3"/>
  <c r="AK301" i="3"/>
  <c r="AL301" i="3"/>
  <c r="AM301" i="3"/>
  <c r="AN301" i="3"/>
  <c r="AJ302" i="3"/>
  <c r="AK302" i="3"/>
  <c r="AL302" i="3"/>
  <c r="AM302" i="3"/>
  <c r="AN302" i="3"/>
  <c r="AJ303" i="3"/>
  <c r="AK303" i="3"/>
  <c r="AL303" i="3"/>
  <c r="AM303" i="3"/>
  <c r="AN303" i="3"/>
  <c r="AJ304" i="3"/>
  <c r="AK304" i="3"/>
  <c r="AL304" i="3"/>
  <c r="AM304" i="3"/>
  <c r="AN304" i="3"/>
  <c r="AJ305" i="3"/>
  <c r="AK305" i="3"/>
  <c r="AL305" i="3"/>
  <c r="AM305" i="3"/>
  <c r="AN305" i="3"/>
  <c r="AJ306" i="3"/>
  <c r="AK306" i="3"/>
  <c r="AL306" i="3"/>
  <c r="AM306" i="3"/>
  <c r="AN306" i="3"/>
  <c r="AJ307" i="3"/>
  <c r="AK307" i="3"/>
  <c r="AL307" i="3"/>
  <c r="AM307" i="3"/>
  <c r="AN307" i="3"/>
  <c r="AJ308" i="3"/>
  <c r="AK308" i="3"/>
  <c r="AL308" i="3"/>
  <c r="AM308" i="3"/>
  <c r="AN308" i="3"/>
  <c r="AJ309" i="3"/>
  <c r="AK309" i="3"/>
  <c r="AL309" i="3"/>
  <c r="AM309" i="3"/>
  <c r="AN309" i="3"/>
  <c r="AJ310" i="3"/>
  <c r="AK310" i="3"/>
  <c r="AL310" i="3"/>
  <c r="AM310" i="3"/>
  <c r="AN310" i="3"/>
  <c r="AJ311" i="3"/>
  <c r="AK311" i="3"/>
  <c r="AL311" i="3"/>
  <c r="AM311" i="3"/>
  <c r="AN311" i="3"/>
  <c r="AJ312" i="3"/>
  <c r="AK312" i="3"/>
  <c r="AL312" i="3"/>
  <c r="AM312" i="3"/>
  <c r="AN312" i="3"/>
  <c r="AJ313" i="3"/>
  <c r="AK313" i="3"/>
  <c r="AL313" i="3"/>
  <c r="AM313" i="3"/>
  <c r="AN313" i="3"/>
  <c r="AJ314" i="3"/>
  <c r="AK314" i="3"/>
  <c r="AL314" i="3"/>
  <c r="AM314" i="3"/>
  <c r="AN314" i="3"/>
  <c r="AJ315" i="3"/>
  <c r="AK315" i="3"/>
  <c r="AL315" i="3"/>
  <c r="AM315" i="3"/>
  <c r="AN315" i="3"/>
  <c r="AJ316" i="3"/>
  <c r="AK316" i="3"/>
  <c r="AL316" i="3"/>
  <c r="AM316" i="3"/>
  <c r="AN316" i="3"/>
  <c r="AJ317" i="3"/>
  <c r="AK317" i="3"/>
  <c r="AL317" i="3"/>
  <c r="AM317" i="3"/>
  <c r="AN317" i="3"/>
  <c r="AJ318" i="3"/>
  <c r="AK318" i="3"/>
  <c r="AL318" i="3"/>
  <c r="AM318" i="3"/>
  <c r="AN318" i="3"/>
  <c r="AJ319" i="3"/>
  <c r="AK319" i="3"/>
  <c r="AL319" i="3"/>
  <c r="AM319" i="3"/>
  <c r="AN319" i="3"/>
  <c r="AJ320" i="3"/>
  <c r="AK320" i="3"/>
  <c r="AL320" i="3"/>
  <c r="AM320" i="3"/>
  <c r="AN320" i="3"/>
  <c r="AJ321" i="3"/>
  <c r="AK321" i="3"/>
  <c r="AL321" i="3"/>
  <c r="AM321" i="3"/>
  <c r="AN321" i="3"/>
  <c r="AJ322" i="3"/>
  <c r="AK322" i="3"/>
  <c r="AL322" i="3"/>
  <c r="AM322" i="3"/>
  <c r="AN322" i="3"/>
  <c r="AJ323" i="3"/>
  <c r="AK323" i="3"/>
  <c r="AL323" i="3"/>
  <c r="AM323" i="3"/>
  <c r="AN323" i="3"/>
  <c r="AJ324" i="3"/>
  <c r="AK324" i="3"/>
  <c r="AL324" i="3"/>
  <c r="AM324" i="3"/>
  <c r="AN324" i="3"/>
  <c r="AJ325" i="3"/>
  <c r="AK325" i="3"/>
  <c r="AL325" i="3"/>
  <c r="AM325" i="3"/>
  <c r="AN325" i="3"/>
  <c r="AJ326" i="3"/>
  <c r="AK326" i="3"/>
  <c r="AL326" i="3"/>
  <c r="AM326" i="3"/>
  <c r="AN326" i="3"/>
  <c r="AJ327" i="3"/>
  <c r="AK327" i="3"/>
  <c r="AL327" i="3"/>
  <c r="AM327" i="3"/>
  <c r="AN327" i="3"/>
  <c r="AJ328" i="3"/>
  <c r="AK328" i="3"/>
  <c r="AL328" i="3"/>
  <c r="AM328" i="3"/>
  <c r="AN328" i="3"/>
  <c r="AJ329" i="3"/>
  <c r="AK329" i="3"/>
  <c r="AL329" i="3"/>
  <c r="AM329" i="3"/>
  <c r="AN329" i="3"/>
  <c r="AJ330" i="3"/>
  <c r="AK330" i="3"/>
  <c r="AL330" i="3"/>
  <c r="AM330" i="3"/>
  <c r="AN330" i="3"/>
  <c r="AJ331" i="3"/>
  <c r="AK331" i="3"/>
  <c r="AL331" i="3"/>
  <c r="AM331" i="3"/>
  <c r="AN331" i="3"/>
  <c r="AJ332" i="3"/>
  <c r="AK332" i="3"/>
  <c r="AL332" i="3"/>
  <c r="AM332" i="3"/>
  <c r="AN332" i="3"/>
  <c r="AJ333" i="3"/>
  <c r="AK333" i="3"/>
  <c r="AL333" i="3"/>
  <c r="AM333" i="3"/>
  <c r="AN333" i="3"/>
  <c r="AJ334" i="3"/>
  <c r="AK334" i="3"/>
  <c r="AL334" i="3"/>
  <c r="AM334" i="3"/>
  <c r="AN334" i="3"/>
  <c r="AJ335" i="3"/>
  <c r="AK335" i="3"/>
  <c r="AL335" i="3"/>
  <c r="AM335" i="3"/>
  <c r="AN335" i="3"/>
  <c r="AJ336" i="3"/>
  <c r="AK336" i="3"/>
  <c r="AL336" i="3"/>
  <c r="AM336" i="3"/>
  <c r="AN336" i="3"/>
  <c r="AJ337" i="3"/>
  <c r="AK337" i="3"/>
  <c r="AL337" i="3"/>
  <c r="AM337" i="3"/>
  <c r="AN337" i="3"/>
  <c r="AJ338" i="3"/>
  <c r="AK338" i="3"/>
  <c r="AL338" i="3"/>
  <c r="AM338" i="3"/>
  <c r="AN338" i="3"/>
  <c r="AJ339" i="3"/>
  <c r="AK339" i="3"/>
  <c r="AL339" i="3"/>
  <c r="AM339" i="3"/>
  <c r="AN339" i="3"/>
  <c r="AJ340" i="3"/>
  <c r="AK340" i="3"/>
  <c r="AL340" i="3"/>
  <c r="AM340" i="3"/>
  <c r="AN340" i="3"/>
  <c r="AJ341" i="3"/>
  <c r="AK341" i="3"/>
  <c r="AL341" i="3"/>
  <c r="AM341" i="3"/>
  <c r="AN341" i="3"/>
  <c r="AJ342" i="3"/>
  <c r="AK342" i="3"/>
  <c r="AL342" i="3"/>
  <c r="AM342" i="3"/>
  <c r="AN342" i="3"/>
  <c r="AJ343" i="3"/>
  <c r="AK343" i="3"/>
  <c r="AL343" i="3"/>
  <c r="AM343" i="3"/>
  <c r="AN343" i="3"/>
  <c r="AJ344" i="3"/>
  <c r="AK344" i="3"/>
  <c r="AL344" i="3"/>
  <c r="AM344" i="3"/>
  <c r="AN344" i="3"/>
  <c r="AJ345" i="3"/>
  <c r="AK345" i="3"/>
  <c r="AL345" i="3"/>
  <c r="AM345" i="3"/>
  <c r="AN345" i="3"/>
  <c r="AJ346" i="3"/>
  <c r="AK346" i="3"/>
  <c r="AL346" i="3"/>
  <c r="AM346" i="3"/>
  <c r="AN346" i="3"/>
  <c r="AJ347" i="3"/>
  <c r="AK347" i="3"/>
  <c r="AL347" i="3"/>
  <c r="AM347" i="3"/>
  <c r="AN347" i="3"/>
  <c r="AJ348" i="3"/>
  <c r="AK348" i="3"/>
  <c r="AL348" i="3"/>
  <c r="AM348" i="3"/>
  <c r="AN348" i="3"/>
  <c r="AJ349" i="3"/>
  <c r="AK349" i="3"/>
  <c r="AL349" i="3"/>
  <c r="AM349" i="3"/>
  <c r="AN349" i="3"/>
  <c r="AJ350" i="3"/>
  <c r="AK350" i="3"/>
  <c r="AL350" i="3"/>
  <c r="AM350" i="3"/>
  <c r="AN350" i="3"/>
  <c r="AJ351" i="3"/>
  <c r="AK351" i="3"/>
  <c r="AL351" i="3"/>
  <c r="AM351" i="3"/>
  <c r="AN351" i="3"/>
  <c r="AJ352" i="3"/>
  <c r="AK352" i="3"/>
  <c r="AL352" i="3"/>
  <c r="AM352" i="3"/>
  <c r="AN352" i="3"/>
  <c r="AJ353" i="3"/>
  <c r="AK353" i="3"/>
  <c r="AL353" i="3"/>
  <c r="AM353" i="3"/>
  <c r="AN353" i="3"/>
  <c r="AJ354" i="3"/>
  <c r="AK354" i="3"/>
  <c r="AL354" i="3"/>
  <c r="AM354" i="3"/>
  <c r="AN354" i="3"/>
  <c r="AJ355" i="3"/>
  <c r="AK355" i="3"/>
  <c r="AL355" i="3"/>
  <c r="AM355" i="3"/>
  <c r="AN355" i="3"/>
  <c r="AJ356" i="3"/>
  <c r="AK356" i="3"/>
  <c r="AL356" i="3"/>
  <c r="AM356" i="3"/>
  <c r="AN356" i="3"/>
  <c r="AJ357" i="3"/>
  <c r="AK357" i="3"/>
  <c r="AL357" i="3"/>
  <c r="AM357" i="3"/>
  <c r="AN357" i="3"/>
  <c r="AJ358" i="3"/>
  <c r="AK358" i="3"/>
  <c r="AL358" i="3"/>
  <c r="AM358" i="3"/>
  <c r="AN358" i="3"/>
  <c r="AJ359" i="3"/>
  <c r="AK359" i="3"/>
  <c r="AL359" i="3"/>
  <c r="AM359" i="3"/>
  <c r="AN359" i="3"/>
  <c r="AJ360" i="3"/>
  <c r="AK360" i="3"/>
  <c r="AL360" i="3"/>
  <c r="AM360" i="3"/>
  <c r="AN360" i="3"/>
  <c r="AJ361" i="3"/>
  <c r="AK361" i="3"/>
  <c r="AL361" i="3"/>
  <c r="AM361" i="3"/>
  <c r="AN361" i="3"/>
  <c r="AJ362" i="3"/>
  <c r="AK362" i="3"/>
  <c r="AL362" i="3"/>
  <c r="AM362" i="3"/>
  <c r="AN362" i="3"/>
  <c r="AJ363" i="3"/>
  <c r="AK363" i="3"/>
  <c r="AL363" i="3"/>
  <c r="AM363" i="3"/>
  <c r="AN363" i="3"/>
  <c r="AJ364" i="3"/>
  <c r="AK364" i="3"/>
  <c r="AL364" i="3"/>
  <c r="AM364" i="3"/>
  <c r="AN364" i="3"/>
  <c r="AJ365" i="3"/>
  <c r="AK365" i="3"/>
  <c r="AL365" i="3"/>
  <c r="AM365" i="3"/>
  <c r="AN365" i="3"/>
  <c r="AJ366" i="3"/>
  <c r="AK366" i="3"/>
  <c r="AL366" i="3"/>
  <c r="AM366" i="3"/>
  <c r="AN366" i="3"/>
  <c r="AJ367" i="3"/>
  <c r="AK367" i="3"/>
  <c r="AL367" i="3"/>
  <c r="AM367" i="3"/>
  <c r="AN367" i="3"/>
  <c r="AJ368" i="3"/>
  <c r="AK368" i="3"/>
  <c r="AL368" i="3"/>
  <c r="AM368" i="3"/>
  <c r="AN368" i="3"/>
  <c r="AJ369" i="3"/>
  <c r="AK369" i="3"/>
  <c r="AL369" i="3"/>
  <c r="AM369" i="3"/>
  <c r="AN369" i="3"/>
  <c r="AJ370" i="3"/>
  <c r="AK370" i="3"/>
  <c r="AL370" i="3"/>
  <c r="AM370" i="3"/>
  <c r="AN370" i="3"/>
  <c r="AJ371" i="3"/>
  <c r="AK371" i="3"/>
  <c r="AL371" i="3"/>
  <c r="AM371" i="3"/>
  <c r="AN371" i="3"/>
  <c r="AJ372" i="3"/>
  <c r="AK372" i="3"/>
  <c r="AL372" i="3"/>
  <c r="AM372" i="3"/>
  <c r="AN372" i="3"/>
  <c r="AJ373" i="3"/>
  <c r="AK373" i="3"/>
  <c r="AL373" i="3"/>
  <c r="AM373" i="3"/>
  <c r="AN373" i="3"/>
  <c r="AJ374" i="3"/>
  <c r="AK374" i="3"/>
  <c r="AL374" i="3"/>
  <c r="AM374" i="3"/>
  <c r="AN374" i="3"/>
  <c r="AJ375" i="3"/>
  <c r="AK375" i="3"/>
  <c r="AL375" i="3"/>
  <c r="AM375" i="3"/>
  <c r="AN375" i="3"/>
  <c r="AJ376" i="3"/>
  <c r="AK376" i="3"/>
  <c r="AL376" i="3"/>
  <c r="AM376" i="3"/>
  <c r="AN376" i="3"/>
  <c r="AJ377" i="3"/>
  <c r="AK377" i="3"/>
  <c r="AL377" i="3"/>
  <c r="AM377" i="3"/>
  <c r="AN377" i="3"/>
  <c r="AJ378" i="3"/>
  <c r="AK378" i="3"/>
  <c r="AL378" i="3"/>
  <c r="AM378" i="3"/>
  <c r="AN378" i="3"/>
  <c r="AJ379" i="3"/>
  <c r="AK379" i="3"/>
  <c r="AL379" i="3"/>
  <c r="AM379" i="3"/>
  <c r="AN379" i="3"/>
  <c r="AJ380" i="3"/>
  <c r="AK380" i="3"/>
  <c r="AL380" i="3"/>
  <c r="AM380" i="3"/>
  <c r="AN380" i="3"/>
  <c r="AJ381" i="3"/>
  <c r="AK381" i="3"/>
  <c r="AL381" i="3"/>
  <c r="AM381" i="3"/>
  <c r="AN381" i="3"/>
  <c r="AJ382" i="3"/>
  <c r="AK382" i="3"/>
  <c r="AL382" i="3"/>
  <c r="AM382" i="3"/>
  <c r="AN382" i="3"/>
  <c r="AJ383" i="3"/>
  <c r="AK383" i="3"/>
  <c r="AL383" i="3"/>
  <c r="AM383" i="3"/>
  <c r="AN383" i="3"/>
  <c r="AJ384" i="3"/>
  <c r="AK384" i="3"/>
  <c r="AL384" i="3"/>
  <c r="AM384" i="3"/>
  <c r="AN384" i="3"/>
  <c r="AJ385" i="3"/>
  <c r="AK385" i="3"/>
  <c r="AL385" i="3"/>
  <c r="AM385" i="3"/>
  <c r="AN385" i="3"/>
  <c r="AJ386" i="3"/>
  <c r="AK386" i="3"/>
  <c r="AL386" i="3"/>
  <c r="AM386" i="3"/>
  <c r="AN386" i="3"/>
  <c r="AJ387" i="3"/>
  <c r="AK387" i="3"/>
  <c r="AL387" i="3"/>
  <c r="AM387" i="3"/>
  <c r="AN387" i="3"/>
  <c r="AJ388" i="3"/>
  <c r="AK388" i="3"/>
  <c r="AL388" i="3"/>
  <c r="AM388" i="3"/>
  <c r="AN388" i="3"/>
  <c r="AJ389" i="3"/>
  <c r="AK389" i="3"/>
  <c r="AL389" i="3"/>
  <c r="AM389" i="3"/>
  <c r="AN389" i="3"/>
  <c r="AJ390" i="3"/>
  <c r="AK390" i="3"/>
  <c r="AL390" i="3"/>
  <c r="AM390" i="3"/>
  <c r="AN390" i="3"/>
  <c r="AJ391" i="3"/>
  <c r="AK391" i="3"/>
  <c r="AL391" i="3"/>
  <c r="AM391" i="3"/>
  <c r="AN391" i="3"/>
  <c r="AJ392" i="3"/>
  <c r="AK392" i="3"/>
  <c r="AL392" i="3"/>
  <c r="AM392" i="3"/>
  <c r="AN392" i="3"/>
  <c r="AJ393" i="3"/>
  <c r="AK393" i="3"/>
  <c r="AL393" i="3"/>
  <c r="AM393" i="3"/>
  <c r="AN393" i="3"/>
  <c r="AJ394" i="3"/>
  <c r="AK394" i="3"/>
  <c r="AL394" i="3"/>
  <c r="AM394" i="3"/>
  <c r="AN394" i="3"/>
  <c r="AJ395" i="3"/>
  <c r="AK395" i="3"/>
  <c r="AL395" i="3"/>
  <c r="AM395" i="3"/>
  <c r="AN395" i="3"/>
  <c r="AJ396" i="3"/>
  <c r="AK396" i="3"/>
  <c r="AL396" i="3"/>
  <c r="AM396" i="3"/>
  <c r="AN396" i="3"/>
  <c r="AJ397" i="3"/>
  <c r="AK397" i="3"/>
  <c r="AL397" i="3"/>
  <c r="AM397" i="3"/>
  <c r="AN397" i="3"/>
  <c r="AJ398" i="3"/>
  <c r="AK398" i="3"/>
  <c r="AL398" i="3"/>
  <c r="AM398" i="3"/>
  <c r="AN398" i="3"/>
  <c r="AJ399" i="3"/>
  <c r="AK399" i="3"/>
  <c r="AL399" i="3"/>
  <c r="AM399" i="3"/>
  <c r="AN399" i="3"/>
  <c r="AJ400" i="3"/>
  <c r="AK400" i="3"/>
  <c r="AL400" i="3"/>
  <c r="AM400" i="3"/>
  <c r="AN400" i="3"/>
  <c r="AJ401" i="3"/>
  <c r="AK401" i="3"/>
  <c r="AL401" i="3"/>
  <c r="AM401" i="3"/>
  <c r="AN401" i="3"/>
  <c r="AJ402" i="3"/>
  <c r="AK402" i="3"/>
  <c r="AL402" i="3"/>
  <c r="AM402" i="3"/>
  <c r="AN402" i="3"/>
  <c r="AJ403" i="3"/>
  <c r="AK403" i="3"/>
  <c r="AL403" i="3"/>
  <c r="AM403" i="3"/>
  <c r="AN403" i="3"/>
  <c r="AJ404" i="3"/>
  <c r="AK404" i="3"/>
  <c r="AL404" i="3"/>
  <c r="AM404" i="3"/>
  <c r="AN404" i="3"/>
  <c r="AJ405" i="3"/>
  <c r="AK405" i="3"/>
  <c r="AL405" i="3"/>
  <c r="AM405" i="3"/>
  <c r="AN405" i="3"/>
  <c r="AJ406" i="3"/>
  <c r="AK406" i="3"/>
  <c r="AL406" i="3"/>
  <c r="AM406" i="3"/>
  <c r="AN406" i="3"/>
  <c r="AJ407" i="3"/>
  <c r="AK407" i="3"/>
  <c r="AL407" i="3"/>
  <c r="AM407" i="3"/>
  <c r="AN407" i="3"/>
  <c r="AJ408" i="3"/>
  <c r="AK408" i="3"/>
  <c r="AL408" i="3"/>
  <c r="AM408" i="3"/>
  <c r="AN408" i="3"/>
  <c r="AJ409" i="3"/>
  <c r="AK409" i="3"/>
  <c r="AL409" i="3"/>
  <c r="AM409" i="3"/>
  <c r="AN409" i="3"/>
  <c r="AJ410" i="3"/>
  <c r="AK410" i="3"/>
  <c r="AL410" i="3"/>
  <c r="AM410" i="3"/>
  <c r="AN410" i="3"/>
  <c r="AJ411" i="3"/>
  <c r="AK411" i="3"/>
  <c r="AL411" i="3"/>
  <c r="AM411" i="3"/>
  <c r="AN411" i="3"/>
  <c r="AJ412" i="3"/>
  <c r="AK412" i="3"/>
  <c r="AL412" i="3"/>
  <c r="AM412" i="3"/>
  <c r="AN412" i="3"/>
  <c r="AJ413" i="3"/>
  <c r="AK413" i="3"/>
  <c r="AL413" i="3"/>
  <c r="AM413" i="3"/>
  <c r="AN413" i="3"/>
  <c r="AJ414" i="3"/>
  <c r="AK414" i="3"/>
  <c r="AL414" i="3"/>
  <c r="AM414" i="3"/>
  <c r="AN414" i="3"/>
  <c r="AJ415" i="3"/>
  <c r="AK415" i="3"/>
  <c r="AL415" i="3"/>
  <c r="AM415" i="3"/>
  <c r="AN415" i="3"/>
  <c r="AJ416" i="3"/>
  <c r="AK416" i="3"/>
  <c r="AL416" i="3"/>
  <c r="AM416" i="3"/>
  <c r="AN416" i="3"/>
  <c r="AJ417" i="3"/>
  <c r="AK417" i="3"/>
  <c r="AL417" i="3"/>
  <c r="AM417" i="3"/>
  <c r="AN417" i="3"/>
  <c r="AJ418" i="3"/>
  <c r="AK418" i="3"/>
  <c r="AL418" i="3"/>
  <c r="AM418" i="3"/>
  <c r="AN418" i="3"/>
  <c r="AJ419" i="3"/>
  <c r="AK419" i="3"/>
  <c r="AL419" i="3"/>
  <c r="AM419" i="3"/>
  <c r="AN419" i="3"/>
  <c r="AJ420" i="3"/>
  <c r="AK420" i="3"/>
  <c r="AL420" i="3"/>
  <c r="AM420" i="3"/>
  <c r="AN420" i="3"/>
  <c r="AJ421" i="3"/>
  <c r="AK421" i="3"/>
  <c r="AL421" i="3"/>
  <c r="AM421" i="3"/>
  <c r="AN421" i="3"/>
  <c r="AJ422" i="3"/>
  <c r="AK422" i="3"/>
  <c r="AL422" i="3"/>
  <c r="AM422" i="3"/>
  <c r="AN422" i="3"/>
  <c r="AJ423" i="3"/>
  <c r="AK423" i="3"/>
  <c r="AL423" i="3"/>
  <c r="AM423" i="3"/>
  <c r="AN423" i="3"/>
  <c r="AJ424" i="3"/>
  <c r="AK424" i="3"/>
  <c r="AL424" i="3"/>
  <c r="AM424" i="3"/>
  <c r="AN424" i="3"/>
  <c r="AJ425" i="3"/>
  <c r="AK425" i="3"/>
  <c r="AL425" i="3"/>
  <c r="AM425" i="3"/>
  <c r="AN425" i="3"/>
  <c r="AJ426" i="3"/>
  <c r="AK426" i="3"/>
  <c r="AL426" i="3"/>
  <c r="AM426" i="3"/>
  <c r="AN426" i="3"/>
  <c r="AJ427" i="3"/>
  <c r="AK427" i="3"/>
  <c r="AL427" i="3"/>
  <c r="AM427" i="3"/>
  <c r="AN427" i="3"/>
  <c r="AJ428" i="3"/>
  <c r="AK428" i="3"/>
  <c r="AL428" i="3"/>
  <c r="AM428" i="3"/>
  <c r="AN428" i="3"/>
  <c r="AJ429" i="3"/>
  <c r="AK429" i="3"/>
  <c r="AL429" i="3"/>
  <c r="AM429" i="3"/>
  <c r="AN429" i="3"/>
  <c r="AJ430" i="3"/>
  <c r="AK430" i="3"/>
  <c r="AL430" i="3"/>
  <c r="AM430" i="3"/>
  <c r="AN430" i="3"/>
  <c r="AJ431" i="3"/>
  <c r="AK431" i="3"/>
  <c r="AL431" i="3"/>
  <c r="AM431" i="3"/>
  <c r="AN431" i="3"/>
  <c r="AJ432" i="3"/>
  <c r="AK432" i="3"/>
  <c r="AL432" i="3"/>
  <c r="AM432" i="3"/>
  <c r="AN432" i="3"/>
  <c r="AJ433" i="3"/>
  <c r="AK433" i="3"/>
  <c r="AL433" i="3"/>
  <c r="AM433" i="3"/>
  <c r="AN433" i="3"/>
  <c r="AJ434" i="3"/>
  <c r="AK434" i="3"/>
  <c r="AL434" i="3"/>
  <c r="AM434" i="3"/>
  <c r="AN434" i="3"/>
  <c r="AJ435" i="3"/>
  <c r="AK435" i="3"/>
  <c r="AL435" i="3"/>
  <c r="AM435" i="3"/>
  <c r="AN435" i="3"/>
  <c r="AJ436" i="3"/>
  <c r="AK436" i="3"/>
  <c r="AL436" i="3"/>
  <c r="AM436" i="3"/>
  <c r="AN436" i="3"/>
  <c r="AJ437" i="3"/>
  <c r="AK437" i="3"/>
  <c r="AL437" i="3"/>
  <c r="AM437" i="3"/>
  <c r="AN437" i="3"/>
  <c r="AJ438" i="3"/>
  <c r="AK438" i="3"/>
  <c r="AL438" i="3"/>
  <c r="AM438" i="3"/>
  <c r="AN438" i="3"/>
  <c r="AJ439" i="3"/>
  <c r="AK439" i="3"/>
  <c r="AL439" i="3"/>
  <c r="AM439" i="3"/>
  <c r="AN439" i="3"/>
  <c r="AJ440" i="3"/>
  <c r="AK440" i="3"/>
  <c r="AL440" i="3"/>
  <c r="AM440" i="3"/>
  <c r="AN440" i="3"/>
  <c r="AJ441" i="3"/>
  <c r="AK441" i="3"/>
  <c r="AL441" i="3"/>
  <c r="AM441" i="3"/>
  <c r="AN441" i="3"/>
  <c r="AJ442" i="3"/>
  <c r="AK442" i="3"/>
  <c r="AL442" i="3"/>
  <c r="AM442" i="3"/>
  <c r="AN442" i="3"/>
  <c r="AJ443" i="3"/>
  <c r="AK443" i="3"/>
  <c r="AL443" i="3"/>
  <c r="AM443" i="3"/>
  <c r="AN443" i="3"/>
  <c r="AJ444" i="3"/>
  <c r="AK444" i="3"/>
  <c r="AL444" i="3"/>
  <c r="AM444" i="3"/>
  <c r="AN444" i="3"/>
  <c r="AJ445" i="3"/>
  <c r="AK445" i="3"/>
  <c r="AL445" i="3"/>
  <c r="AM445" i="3"/>
  <c r="AN445" i="3"/>
  <c r="AJ446" i="3"/>
  <c r="AK446" i="3"/>
  <c r="AL446" i="3"/>
  <c r="AM446" i="3"/>
  <c r="AN446" i="3"/>
  <c r="AJ447" i="3"/>
  <c r="AK447" i="3"/>
  <c r="AL447" i="3"/>
  <c r="AM447" i="3"/>
  <c r="AN447" i="3"/>
  <c r="AJ448" i="3"/>
  <c r="AK448" i="3"/>
  <c r="AL448" i="3"/>
  <c r="AM448" i="3"/>
  <c r="AN448" i="3"/>
  <c r="AJ449" i="3"/>
  <c r="AK449" i="3"/>
  <c r="AL449" i="3"/>
  <c r="AM449" i="3"/>
  <c r="AN449" i="3"/>
  <c r="AJ450" i="3"/>
  <c r="AK450" i="3"/>
  <c r="AL450" i="3"/>
  <c r="AM450" i="3"/>
  <c r="AN450" i="3"/>
  <c r="AJ451" i="3"/>
  <c r="AK451" i="3"/>
  <c r="AL451" i="3"/>
  <c r="AM451" i="3"/>
  <c r="AN451" i="3"/>
  <c r="AJ452" i="3"/>
  <c r="AK452" i="3"/>
  <c r="AL452" i="3"/>
  <c r="AM452" i="3"/>
  <c r="AN452" i="3"/>
  <c r="AJ453" i="3"/>
  <c r="AK453" i="3"/>
  <c r="AL453" i="3"/>
  <c r="AM453" i="3"/>
  <c r="AN453" i="3"/>
  <c r="AJ454" i="3"/>
  <c r="AK454" i="3"/>
  <c r="AL454" i="3"/>
  <c r="AM454" i="3"/>
  <c r="AN454" i="3"/>
  <c r="AJ455" i="3"/>
  <c r="AK455" i="3"/>
  <c r="AL455" i="3"/>
  <c r="AM455" i="3"/>
  <c r="AN455" i="3"/>
  <c r="AJ456" i="3"/>
  <c r="AK456" i="3"/>
  <c r="AL456" i="3"/>
  <c r="AM456" i="3"/>
  <c r="AN456" i="3"/>
  <c r="AJ457" i="3"/>
  <c r="AK457" i="3"/>
  <c r="AL457" i="3"/>
  <c r="AM457" i="3"/>
  <c r="AN457" i="3"/>
  <c r="AJ458" i="3"/>
  <c r="AK458" i="3"/>
  <c r="AL458" i="3"/>
  <c r="AM458" i="3"/>
  <c r="AN458" i="3"/>
  <c r="AJ459" i="3"/>
  <c r="AK459" i="3"/>
  <c r="AL459" i="3"/>
  <c r="AM459" i="3"/>
  <c r="AN459" i="3"/>
  <c r="AJ460" i="3"/>
  <c r="AK460" i="3"/>
  <c r="AL460" i="3"/>
  <c r="AM460" i="3"/>
  <c r="AN460" i="3"/>
  <c r="AJ461" i="3"/>
  <c r="AK461" i="3"/>
  <c r="AL461" i="3"/>
  <c r="AM461" i="3"/>
  <c r="AN461" i="3"/>
  <c r="AJ462" i="3"/>
  <c r="AK462" i="3"/>
  <c r="AL462" i="3"/>
  <c r="AM462" i="3"/>
  <c r="AN462" i="3"/>
  <c r="AJ463" i="3"/>
  <c r="AK463" i="3"/>
  <c r="AL463" i="3"/>
  <c r="AM463" i="3"/>
  <c r="AN463" i="3"/>
  <c r="AJ464" i="3"/>
  <c r="AK464" i="3"/>
  <c r="AL464" i="3"/>
  <c r="AM464" i="3"/>
  <c r="AN464" i="3"/>
  <c r="AJ465" i="3"/>
  <c r="AK465" i="3"/>
  <c r="AL465" i="3"/>
  <c r="AM465" i="3"/>
  <c r="AN465" i="3"/>
  <c r="AJ466" i="3"/>
  <c r="AK466" i="3"/>
  <c r="AL466" i="3"/>
  <c r="AM466" i="3"/>
  <c r="AN466" i="3"/>
  <c r="AJ467" i="3"/>
  <c r="AK467" i="3"/>
  <c r="AL467" i="3"/>
  <c r="AM467" i="3"/>
  <c r="AN467" i="3"/>
  <c r="AJ468" i="3"/>
  <c r="AK468" i="3"/>
  <c r="AL468" i="3"/>
  <c r="AM468" i="3"/>
  <c r="AN468" i="3"/>
  <c r="AJ469" i="3"/>
  <c r="AK469" i="3"/>
  <c r="AL469" i="3"/>
  <c r="AM469" i="3"/>
  <c r="AN469" i="3"/>
  <c r="AJ470" i="3"/>
  <c r="AK470" i="3"/>
  <c r="AL470" i="3"/>
  <c r="AM470" i="3"/>
  <c r="AN470" i="3"/>
  <c r="AJ471" i="3"/>
  <c r="AK471" i="3"/>
  <c r="AL471" i="3"/>
  <c r="AM471" i="3"/>
  <c r="AN471" i="3"/>
  <c r="AJ472" i="3"/>
  <c r="AK472" i="3"/>
  <c r="AL472" i="3"/>
  <c r="AM472" i="3"/>
  <c r="AN472" i="3"/>
  <c r="AJ473" i="3"/>
  <c r="AK473" i="3"/>
  <c r="AL473" i="3"/>
  <c r="AM473" i="3"/>
  <c r="AN473" i="3"/>
  <c r="AJ474" i="3"/>
  <c r="AK474" i="3"/>
  <c r="AL474" i="3"/>
  <c r="AM474" i="3"/>
  <c r="AN474" i="3"/>
  <c r="AJ475" i="3"/>
  <c r="AK475" i="3"/>
  <c r="AL475" i="3"/>
  <c r="AM475" i="3"/>
  <c r="AN475" i="3"/>
  <c r="AJ476" i="3"/>
  <c r="AK476" i="3"/>
  <c r="AL476" i="3"/>
  <c r="AM476" i="3"/>
  <c r="AN476" i="3"/>
  <c r="AJ477" i="3"/>
  <c r="AK477" i="3"/>
  <c r="AL477" i="3"/>
  <c r="AM477" i="3"/>
  <c r="AN477" i="3"/>
  <c r="AJ478" i="3"/>
  <c r="AK478" i="3"/>
  <c r="AL478" i="3"/>
  <c r="AM478" i="3"/>
  <c r="AN478" i="3"/>
  <c r="AJ479" i="3"/>
  <c r="AK479" i="3"/>
  <c r="AL479" i="3"/>
  <c r="AM479" i="3"/>
  <c r="AN479" i="3"/>
  <c r="AJ480" i="3"/>
  <c r="AK480" i="3"/>
  <c r="AL480" i="3"/>
  <c r="AM480" i="3"/>
  <c r="AN480" i="3"/>
  <c r="AJ481" i="3"/>
  <c r="AK481" i="3"/>
  <c r="AL481" i="3"/>
  <c r="AM481" i="3"/>
  <c r="AN481" i="3"/>
  <c r="AJ482" i="3"/>
  <c r="AK482" i="3"/>
  <c r="AL482" i="3"/>
  <c r="AM482" i="3"/>
  <c r="AN482" i="3"/>
  <c r="AJ483" i="3"/>
  <c r="AK483" i="3"/>
  <c r="AL483" i="3"/>
  <c r="AM483" i="3"/>
  <c r="AN483" i="3"/>
  <c r="AJ484" i="3"/>
  <c r="AK484" i="3"/>
  <c r="AL484" i="3"/>
  <c r="AM484" i="3"/>
  <c r="AN484" i="3"/>
  <c r="AJ485" i="3"/>
  <c r="AK485" i="3"/>
  <c r="AL485" i="3"/>
  <c r="AM485" i="3"/>
  <c r="AN485" i="3"/>
  <c r="AJ486" i="3"/>
  <c r="AK486" i="3"/>
  <c r="AL486" i="3"/>
  <c r="AM486" i="3"/>
  <c r="AN486" i="3"/>
  <c r="AJ487" i="3"/>
  <c r="AK487" i="3"/>
  <c r="AL487" i="3"/>
  <c r="AM487" i="3"/>
  <c r="AN487" i="3"/>
  <c r="AJ488" i="3"/>
  <c r="AK488" i="3"/>
  <c r="AL488" i="3"/>
  <c r="AM488" i="3"/>
  <c r="AN488" i="3"/>
  <c r="AJ489" i="3"/>
  <c r="AK489" i="3"/>
  <c r="AL489" i="3"/>
  <c r="AM489" i="3"/>
  <c r="AN489" i="3"/>
  <c r="AJ490" i="3"/>
  <c r="AK490" i="3"/>
  <c r="AL490" i="3"/>
  <c r="AM490" i="3"/>
  <c r="AN490" i="3"/>
  <c r="AJ491" i="3"/>
  <c r="AK491" i="3"/>
  <c r="AL491" i="3"/>
  <c r="AM491" i="3"/>
  <c r="AN491" i="3"/>
  <c r="AJ492" i="3"/>
  <c r="AK492" i="3"/>
  <c r="AL492" i="3"/>
  <c r="AM492" i="3"/>
  <c r="AN492" i="3"/>
  <c r="AJ493" i="3"/>
  <c r="AK493" i="3"/>
  <c r="AL493" i="3"/>
  <c r="AM493" i="3"/>
  <c r="AN493" i="3"/>
  <c r="AJ494" i="3"/>
  <c r="AK494" i="3"/>
  <c r="AL494" i="3"/>
  <c r="AM494" i="3"/>
  <c r="AN494" i="3"/>
  <c r="AJ495" i="3"/>
  <c r="AK495" i="3"/>
  <c r="AL495" i="3"/>
  <c r="AM495" i="3"/>
  <c r="AN495" i="3"/>
  <c r="AJ496" i="3"/>
  <c r="AK496" i="3"/>
  <c r="AL496" i="3"/>
  <c r="AM496" i="3"/>
  <c r="AN496" i="3"/>
  <c r="AJ497" i="3"/>
  <c r="AK497" i="3"/>
  <c r="AL497" i="3"/>
  <c r="AM497" i="3"/>
  <c r="AN497" i="3"/>
  <c r="AJ498" i="3"/>
  <c r="AK498" i="3"/>
  <c r="AL498" i="3"/>
  <c r="AM498" i="3"/>
  <c r="AN498" i="3"/>
  <c r="AJ499" i="3"/>
  <c r="AK499" i="3"/>
  <c r="AL499" i="3"/>
  <c r="AM499" i="3"/>
  <c r="AN499" i="3"/>
  <c r="AJ500" i="3"/>
  <c r="AK500" i="3"/>
  <c r="AL500" i="3"/>
  <c r="AM500" i="3"/>
  <c r="AN500" i="3"/>
  <c r="AJ501" i="3"/>
  <c r="AK501" i="3"/>
  <c r="AL501" i="3"/>
  <c r="AM501" i="3"/>
  <c r="AN501" i="3"/>
  <c r="AJ502" i="3"/>
  <c r="AK502" i="3"/>
  <c r="AL502" i="3"/>
  <c r="AM502" i="3"/>
  <c r="AN502" i="3"/>
  <c r="AJ503" i="3"/>
  <c r="AK503" i="3"/>
  <c r="AL503" i="3"/>
  <c r="AM503" i="3"/>
  <c r="AN503" i="3"/>
  <c r="AJ504" i="3"/>
  <c r="AK504" i="3"/>
  <c r="AL504" i="3"/>
  <c r="AM504" i="3"/>
  <c r="AN504" i="3"/>
  <c r="AJ505" i="3"/>
  <c r="AK505" i="3"/>
  <c r="AL505" i="3"/>
  <c r="AM505" i="3"/>
  <c r="AN505" i="3"/>
  <c r="AJ506" i="3"/>
  <c r="AK506" i="3"/>
  <c r="AL506" i="3"/>
  <c r="AM506" i="3"/>
  <c r="AN506" i="3"/>
  <c r="AJ507" i="3"/>
  <c r="AK507" i="3"/>
  <c r="AL507" i="3"/>
  <c r="AM507" i="3"/>
  <c r="AN507" i="3"/>
  <c r="AJ508" i="3"/>
  <c r="AK508" i="3"/>
  <c r="AL508" i="3"/>
  <c r="AM508" i="3"/>
  <c r="AN508" i="3"/>
  <c r="AJ509" i="3"/>
  <c r="AK509" i="3"/>
  <c r="AL509" i="3"/>
  <c r="AM509" i="3"/>
  <c r="AN509" i="3"/>
  <c r="AJ510" i="3"/>
  <c r="AK510" i="3"/>
  <c r="AL510" i="3"/>
  <c r="AM510" i="3"/>
  <c r="AN510" i="3"/>
  <c r="AJ511" i="3"/>
  <c r="AK511" i="3"/>
  <c r="AL511" i="3"/>
  <c r="AM511" i="3"/>
  <c r="AN511" i="3"/>
  <c r="AJ512" i="3"/>
  <c r="AK512" i="3"/>
  <c r="AL512" i="3"/>
  <c r="AM512" i="3"/>
  <c r="AN512" i="3"/>
  <c r="AJ513" i="3"/>
  <c r="AK513" i="3"/>
  <c r="AL513" i="3"/>
  <c r="AM513" i="3"/>
  <c r="AN513" i="3"/>
  <c r="AJ514" i="3"/>
  <c r="AK514" i="3"/>
  <c r="AL514" i="3"/>
  <c r="AM514" i="3"/>
  <c r="AN514" i="3"/>
  <c r="AJ515" i="3"/>
  <c r="AK515" i="3"/>
  <c r="AL515" i="3"/>
  <c r="AM515" i="3"/>
  <c r="AN515" i="3"/>
  <c r="AJ516" i="3"/>
  <c r="AK516" i="3"/>
  <c r="AL516" i="3"/>
  <c r="AM516" i="3"/>
  <c r="AN516" i="3"/>
  <c r="AJ517" i="3"/>
  <c r="AK517" i="3"/>
  <c r="AL517" i="3"/>
  <c r="AM517" i="3"/>
  <c r="AN517" i="3"/>
  <c r="AJ518" i="3"/>
  <c r="AK518" i="3"/>
  <c r="AL518" i="3"/>
  <c r="AM518" i="3"/>
  <c r="AN518" i="3"/>
  <c r="AJ519" i="3"/>
  <c r="AK519" i="3"/>
  <c r="AL519" i="3"/>
  <c r="AM519" i="3"/>
  <c r="AN519" i="3"/>
  <c r="AJ520" i="3"/>
  <c r="AK520" i="3"/>
  <c r="AL520" i="3"/>
  <c r="AM520" i="3"/>
  <c r="AN520" i="3"/>
  <c r="AJ521" i="3"/>
  <c r="AK521" i="3"/>
  <c r="AL521" i="3"/>
  <c r="AM521" i="3"/>
  <c r="AN521" i="3"/>
  <c r="AJ522" i="3"/>
  <c r="AK522" i="3"/>
  <c r="AL522" i="3"/>
  <c r="AM522" i="3"/>
  <c r="AN522" i="3"/>
  <c r="AJ523" i="3"/>
  <c r="AK523" i="3"/>
  <c r="AL523" i="3"/>
  <c r="AM523" i="3"/>
  <c r="AN523" i="3"/>
  <c r="AJ524" i="3"/>
  <c r="AK524" i="3"/>
  <c r="AL524" i="3"/>
  <c r="AM524" i="3"/>
  <c r="AN524" i="3"/>
  <c r="AJ525" i="3"/>
  <c r="AK525" i="3"/>
  <c r="AL525" i="3"/>
  <c r="AM525" i="3"/>
  <c r="AN525" i="3"/>
  <c r="AJ526" i="3"/>
  <c r="AK526" i="3"/>
  <c r="AL526" i="3"/>
  <c r="AM526" i="3"/>
  <c r="AN526" i="3"/>
  <c r="AJ527" i="3"/>
  <c r="AK527" i="3"/>
  <c r="AL527" i="3"/>
  <c r="AM527" i="3"/>
  <c r="AN527" i="3"/>
  <c r="AJ528" i="3"/>
  <c r="AK528" i="3"/>
  <c r="AL528" i="3"/>
  <c r="AM528" i="3"/>
  <c r="AN528" i="3"/>
  <c r="AJ529" i="3"/>
  <c r="AK529" i="3"/>
  <c r="AL529" i="3"/>
  <c r="AM529" i="3"/>
  <c r="AN529" i="3"/>
  <c r="AJ530" i="3"/>
  <c r="AK530" i="3"/>
  <c r="AL530" i="3"/>
  <c r="AM530" i="3"/>
  <c r="AN530" i="3"/>
  <c r="AJ531" i="3"/>
  <c r="AK531" i="3"/>
  <c r="AL531" i="3"/>
  <c r="AM531" i="3"/>
  <c r="AN531" i="3"/>
  <c r="AJ532" i="3"/>
  <c r="AK532" i="3"/>
  <c r="AL532" i="3"/>
  <c r="AM532" i="3"/>
  <c r="AN532" i="3"/>
  <c r="AJ533" i="3"/>
  <c r="AK533" i="3"/>
  <c r="AL533" i="3"/>
  <c r="AM533" i="3"/>
  <c r="AN533" i="3"/>
  <c r="AJ534" i="3"/>
  <c r="AK534" i="3"/>
  <c r="AL534" i="3"/>
  <c r="AM534" i="3"/>
  <c r="AN534" i="3"/>
  <c r="AJ535" i="3"/>
  <c r="AK535" i="3"/>
  <c r="AL535" i="3"/>
  <c r="AM535" i="3"/>
  <c r="AN535" i="3"/>
  <c r="AJ536" i="3"/>
  <c r="AK536" i="3"/>
  <c r="AL536" i="3"/>
  <c r="AM536" i="3"/>
  <c r="AN536" i="3"/>
  <c r="AJ537" i="3"/>
  <c r="AK537" i="3"/>
  <c r="AL537" i="3"/>
  <c r="AM537" i="3"/>
  <c r="AN537" i="3"/>
  <c r="AJ538" i="3"/>
  <c r="AK538" i="3"/>
  <c r="AL538" i="3"/>
  <c r="AM538" i="3"/>
  <c r="AN538" i="3"/>
  <c r="AJ539" i="3"/>
  <c r="AK539" i="3"/>
  <c r="AL539" i="3"/>
  <c r="AM539" i="3"/>
  <c r="AN539" i="3"/>
  <c r="AJ540" i="3"/>
  <c r="AK540" i="3"/>
  <c r="AL540" i="3"/>
  <c r="AM540" i="3"/>
  <c r="AN540" i="3"/>
  <c r="AJ541" i="3"/>
  <c r="AK541" i="3"/>
  <c r="AL541" i="3"/>
  <c r="AM541" i="3"/>
  <c r="AN541" i="3"/>
  <c r="AJ542" i="3"/>
  <c r="AK542" i="3"/>
  <c r="AL542" i="3"/>
  <c r="AM542" i="3"/>
  <c r="AN542" i="3"/>
  <c r="AJ543" i="3"/>
  <c r="AK543" i="3"/>
  <c r="AL543" i="3"/>
  <c r="AM543" i="3"/>
  <c r="AN543" i="3"/>
  <c r="AJ544" i="3"/>
  <c r="AK544" i="3"/>
  <c r="AL544" i="3"/>
  <c r="AM544" i="3"/>
  <c r="AN544" i="3"/>
  <c r="AJ545" i="3"/>
  <c r="AK545" i="3"/>
  <c r="AL545" i="3"/>
  <c r="AM545" i="3"/>
  <c r="AN545" i="3"/>
  <c r="AJ546" i="3"/>
  <c r="AK546" i="3"/>
  <c r="AL546" i="3"/>
  <c r="AM546" i="3"/>
  <c r="AN546" i="3"/>
  <c r="AJ547" i="3"/>
  <c r="AK547" i="3"/>
  <c r="AL547" i="3"/>
  <c r="AM547" i="3"/>
  <c r="AN547" i="3"/>
  <c r="AJ548" i="3"/>
  <c r="AK548" i="3"/>
  <c r="AL548" i="3"/>
  <c r="AM548" i="3"/>
  <c r="AN548" i="3"/>
  <c r="AJ549" i="3"/>
  <c r="AK549" i="3"/>
  <c r="AL549" i="3"/>
  <c r="AM549" i="3"/>
  <c r="AN549" i="3"/>
  <c r="AJ550" i="3"/>
  <c r="AK550" i="3"/>
  <c r="AL550" i="3"/>
  <c r="AM550" i="3"/>
  <c r="AN550" i="3"/>
  <c r="AJ551" i="3"/>
  <c r="AK551" i="3"/>
  <c r="AL551" i="3"/>
  <c r="AM551" i="3"/>
  <c r="AN551" i="3"/>
  <c r="AJ552" i="3"/>
  <c r="AK552" i="3"/>
  <c r="AL552" i="3"/>
  <c r="AM552" i="3"/>
  <c r="AN552" i="3"/>
  <c r="AJ553" i="3"/>
  <c r="AK553" i="3"/>
  <c r="AL553" i="3"/>
  <c r="AM553" i="3"/>
  <c r="AN553" i="3"/>
  <c r="AJ554" i="3"/>
  <c r="AK554" i="3"/>
  <c r="AL554" i="3"/>
  <c r="AM554" i="3"/>
  <c r="AN554" i="3"/>
  <c r="AJ555" i="3"/>
  <c r="AK555" i="3"/>
  <c r="AL555" i="3"/>
  <c r="AM555" i="3"/>
  <c r="AN555" i="3"/>
  <c r="AJ556" i="3"/>
  <c r="AK556" i="3"/>
  <c r="AL556" i="3"/>
  <c r="AM556" i="3"/>
  <c r="AN556" i="3"/>
  <c r="AJ557" i="3"/>
  <c r="AK557" i="3"/>
  <c r="AL557" i="3"/>
  <c r="AM557" i="3"/>
  <c r="AN557" i="3"/>
  <c r="AJ558" i="3"/>
  <c r="AK558" i="3"/>
  <c r="AL558" i="3"/>
  <c r="AM558" i="3"/>
  <c r="AN558" i="3"/>
  <c r="AJ559" i="3"/>
  <c r="AK559" i="3"/>
  <c r="AL559" i="3"/>
  <c r="AM559" i="3"/>
  <c r="AN559" i="3"/>
  <c r="AJ560" i="3"/>
  <c r="AK560" i="3"/>
  <c r="AL560" i="3"/>
  <c r="AM560" i="3"/>
  <c r="AN560" i="3"/>
  <c r="AJ561" i="3"/>
  <c r="AK561" i="3"/>
  <c r="AL561" i="3"/>
  <c r="AM561" i="3"/>
  <c r="AN561" i="3"/>
  <c r="AJ562" i="3"/>
  <c r="AK562" i="3"/>
  <c r="AL562" i="3"/>
  <c r="AM562" i="3"/>
  <c r="AN562" i="3"/>
  <c r="AJ563" i="3"/>
  <c r="AK563" i="3"/>
  <c r="AL563" i="3"/>
  <c r="AM563" i="3"/>
  <c r="AN563" i="3"/>
  <c r="AJ564" i="3"/>
  <c r="AK564" i="3"/>
  <c r="AL564" i="3"/>
  <c r="AM564" i="3"/>
  <c r="AN564" i="3"/>
  <c r="AJ565" i="3"/>
  <c r="AK565" i="3"/>
  <c r="AL565" i="3"/>
  <c r="AM565" i="3"/>
  <c r="AN565" i="3"/>
  <c r="AJ566" i="3"/>
  <c r="AK566" i="3"/>
  <c r="AL566" i="3"/>
  <c r="AM566" i="3"/>
  <c r="AN566" i="3"/>
  <c r="AJ567" i="3"/>
  <c r="AK567" i="3"/>
  <c r="AL567" i="3"/>
  <c r="AM567" i="3"/>
  <c r="AN567" i="3"/>
  <c r="AJ568" i="3"/>
  <c r="AK568" i="3"/>
  <c r="AL568" i="3"/>
  <c r="AM568" i="3"/>
  <c r="AN568" i="3"/>
  <c r="AJ569" i="3"/>
  <c r="AK569" i="3"/>
  <c r="AL569" i="3"/>
  <c r="AM569" i="3"/>
  <c r="AN569" i="3"/>
  <c r="AJ570" i="3"/>
  <c r="AK570" i="3"/>
  <c r="AL570" i="3"/>
  <c r="AM570" i="3"/>
  <c r="AN570" i="3"/>
  <c r="AJ571" i="3"/>
  <c r="AK571" i="3"/>
  <c r="AL571" i="3"/>
  <c r="AM571" i="3"/>
  <c r="AN571" i="3"/>
  <c r="AJ572" i="3"/>
  <c r="AK572" i="3"/>
  <c r="AL572" i="3"/>
  <c r="AM572" i="3"/>
  <c r="AN572" i="3"/>
  <c r="AJ573" i="3"/>
  <c r="AK573" i="3"/>
  <c r="AL573" i="3"/>
  <c r="AM573" i="3"/>
  <c r="AN573" i="3"/>
  <c r="AJ574" i="3"/>
  <c r="AK574" i="3"/>
  <c r="AL574" i="3"/>
  <c r="AM574" i="3"/>
  <c r="AN574" i="3"/>
  <c r="AJ575" i="3"/>
  <c r="AK575" i="3"/>
  <c r="AL575" i="3"/>
  <c r="AM575" i="3"/>
  <c r="AN575" i="3"/>
  <c r="AJ576" i="3"/>
  <c r="AK576" i="3"/>
  <c r="AL576" i="3"/>
  <c r="AM576" i="3"/>
  <c r="AN576" i="3"/>
  <c r="AJ577" i="3"/>
  <c r="AK577" i="3"/>
  <c r="AL577" i="3"/>
  <c r="AM577" i="3"/>
  <c r="AN577" i="3"/>
  <c r="AJ578" i="3"/>
  <c r="AK578" i="3"/>
  <c r="AL578" i="3"/>
  <c r="AM578" i="3"/>
  <c r="AN578" i="3"/>
  <c r="AJ579" i="3"/>
  <c r="AK579" i="3"/>
  <c r="AL579" i="3"/>
  <c r="AM579" i="3"/>
  <c r="AN579" i="3"/>
  <c r="AJ580" i="3"/>
  <c r="AK580" i="3"/>
  <c r="AL580" i="3"/>
  <c r="AM580" i="3"/>
  <c r="AN580" i="3"/>
  <c r="AJ581" i="3"/>
  <c r="AK581" i="3"/>
  <c r="AL581" i="3"/>
  <c r="AM581" i="3"/>
  <c r="AN581" i="3"/>
  <c r="AJ582" i="3"/>
  <c r="AK582" i="3"/>
  <c r="AL582" i="3"/>
  <c r="AM582" i="3"/>
  <c r="AN582" i="3"/>
  <c r="AJ583" i="3"/>
  <c r="AK583" i="3"/>
  <c r="AL583" i="3"/>
  <c r="AM583" i="3"/>
  <c r="AN583" i="3"/>
  <c r="AJ584" i="3"/>
  <c r="AK584" i="3"/>
  <c r="AL584" i="3"/>
  <c r="AM584" i="3"/>
  <c r="AN584" i="3"/>
  <c r="AJ585" i="3"/>
  <c r="AK585" i="3"/>
  <c r="AL585" i="3"/>
  <c r="AM585" i="3"/>
  <c r="AN585" i="3"/>
  <c r="AJ586" i="3"/>
  <c r="AK586" i="3"/>
  <c r="AL586" i="3"/>
  <c r="AM586" i="3"/>
  <c r="AN586" i="3"/>
  <c r="AJ587" i="3"/>
  <c r="AK587" i="3"/>
  <c r="AL587" i="3"/>
  <c r="AM587" i="3"/>
  <c r="AN587" i="3"/>
  <c r="AJ588" i="3"/>
  <c r="AK588" i="3"/>
  <c r="AL588" i="3"/>
  <c r="AM588" i="3"/>
  <c r="AN588" i="3"/>
  <c r="AJ589" i="3"/>
  <c r="AK589" i="3"/>
  <c r="AL589" i="3"/>
  <c r="AM589" i="3"/>
  <c r="AN589" i="3"/>
  <c r="AJ590" i="3"/>
  <c r="AK590" i="3"/>
  <c r="AL590" i="3"/>
  <c r="AM590" i="3"/>
  <c r="AN590" i="3"/>
  <c r="AJ591" i="3"/>
  <c r="AK591" i="3"/>
  <c r="AL591" i="3"/>
  <c r="AM591" i="3"/>
  <c r="AN591" i="3"/>
  <c r="AJ592" i="3"/>
  <c r="AK592" i="3"/>
  <c r="AL592" i="3"/>
  <c r="AM592" i="3"/>
  <c r="AN592" i="3"/>
  <c r="AJ593" i="3"/>
  <c r="AK593" i="3"/>
  <c r="AL593" i="3"/>
  <c r="AM593" i="3"/>
  <c r="AN593" i="3"/>
  <c r="AJ594" i="3"/>
  <c r="AK594" i="3"/>
  <c r="AL594" i="3"/>
  <c r="AM594" i="3"/>
  <c r="AN594" i="3"/>
  <c r="AJ107" i="3"/>
  <c r="AK107" i="3"/>
  <c r="AL107" i="3"/>
  <c r="AM107" i="3"/>
  <c r="AN107" i="3"/>
  <c r="AJ108" i="3"/>
  <c r="AK108" i="3"/>
  <c r="AL108" i="3"/>
  <c r="AM108" i="3"/>
  <c r="AN108" i="3"/>
  <c r="AJ109" i="3"/>
  <c r="AK109" i="3"/>
  <c r="AL109" i="3"/>
  <c r="AM109" i="3"/>
  <c r="AN109" i="3"/>
  <c r="AJ110" i="3"/>
  <c r="AK110" i="3"/>
  <c r="AL110" i="3"/>
  <c r="AM110" i="3"/>
  <c r="AN110" i="3"/>
  <c r="AJ111" i="3"/>
  <c r="AK111" i="3"/>
  <c r="AL111" i="3"/>
  <c r="AM111" i="3"/>
  <c r="AN111" i="3"/>
  <c r="AJ112" i="3"/>
  <c r="AK112" i="3"/>
  <c r="AL112" i="3"/>
  <c r="AM112" i="3"/>
  <c r="AN112" i="3"/>
  <c r="AJ113" i="3"/>
  <c r="AK113" i="3"/>
  <c r="AL113" i="3"/>
  <c r="AM113" i="3"/>
  <c r="AN113" i="3"/>
  <c r="AJ114" i="3"/>
  <c r="AK114" i="3"/>
  <c r="AL114" i="3"/>
  <c r="AM114" i="3"/>
  <c r="AN114" i="3"/>
  <c r="AJ115" i="3"/>
  <c r="AK115" i="3"/>
  <c r="AL115" i="3"/>
  <c r="AM115" i="3"/>
  <c r="AN115" i="3"/>
  <c r="AJ116" i="3"/>
  <c r="AK116" i="3"/>
  <c r="AL116" i="3"/>
  <c r="AM116" i="3"/>
  <c r="AN116" i="3"/>
  <c r="AJ117" i="3"/>
  <c r="AK117" i="3"/>
  <c r="AL117" i="3"/>
  <c r="AM117" i="3"/>
  <c r="AN117" i="3"/>
  <c r="AJ118" i="3"/>
  <c r="AK118" i="3"/>
  <c r="AL118" i="3"/>
  <c r="AM118" i="3"/>
  <c r="AN118" i="3"/>
  <c r="AJ119" i="3"/>
  <c r="AK119" i="3"/>
  <c r="AL119" i="3"/>
  <c r="AM119" i="3"/>
  <c r="AN119" i="3"/>
  <c r="AJ120" i="3"/>
  <c r="AK120" i="3"/>
  <c r="AL120" i="3"/>
  <c r="AM120" i="3"/>
  <c r="AN120" i="3"/>
  <c r="AJ121" i="3"/>
  <c r="AK121" i="3"/>
  <c r="AL121" i="3"/>
  <c r="AM121" i="3"/>
  <c r="AN121" i="3"/>
  <c r="AJ122" i="3"/>
  <c r="AK122" i="3"/>
  <c r="AL122" i="3"/>
  <c r="AM122" i="3"/>
  <c r="AN122" i="3"/>
  <c r="AJ123" i="3"/>
  <c r="AK123" i="3"/>
  <c r="AL123" i="3"/>
  <c r="AM123" i="3"/>
  <c r="AN123" i="3"/>
  <c r="AJ124" i="3"/>
  <c r="AK124" i="3"/>
  <c r="AL124" i="3"/>
  <c r="AM124" i="3"/>
  <c r="AN124" i="3"/>
  <c r="AJ125" i="3"/>
  <c r="AK125" i="3"/>
  <c r="AL125" i="3"/>
  <c r="AM125" i="3"/>
  <c r="AN125" i="3"/>
  <c r="AJ126" i="3"/>
  <c r="AK126" i="3"/>
  <c r="AL126" i="3"/>
  <c r="AM126" i="3"/>
  <c r="AN126" i="3"/>
  <c r="AJ127" i="3"/>
  <c r="AK127" i="3"/>
  <c r="AL127" i="3"/>
  <c r="AM127" i="3"/>
  <c r="AN127" i="3"/>
  <c r="E7" i="3"/>
  <c r="F7" i="3"/>
  <c r="G7" i="3"/>
  <c r="H7" i="3"/>
  <c r="D7" i="3"/>
  <c r="J12" i="5"/>
  <c r="K12" i="5"/>
  <c r="M12" i="5"/>
  <c r="I12" i="5"/>
  <c r="L12" i="5"/>
  <c r="K60" i="5" l="1"/>
  <c r="F81" i="5"/>
  <c r="J81" i="5"/>
  <c r="I81" i="5"/>
  <c r="F82" i="5"/>
  <c r="J82" i="5"/>
  <c r="I82" i="5"/>
  <c r="F83" i="5"/>
  <c r="J83" i="5"/>
  <c r="I83" i="5"/>
  <c r="F84" i="5"/>
  <c r="J84" i="5"/>
  <c r="I84" i="5"/>
  <c r="F85" i="5"/>
  <c r="J85" i="5"/>
  <c r="I85" i="5"/>
  <c r="F86" i="5"/>
  <c r="J86" i="5"/>
  <c r="I86" i="5"/>
  <c r="F87" i="5"/>
  <c r="J87" i="5"/>
  <c r="I87" i="5"/>
  <c r="F88" i="5"/>
  <c r="J88" i="5"/>
  <c r="I88" i="5"/>
  <c r="F89" i="5"/>
  <c r="J89" i="5"/>
  <c r="I89" i="5"/>
  <c r="I80" i="5"/>
  <c r="J80" i="5"/>
  <c r="F80" i="5"/>
  <c r="J47" i="5"/>
  <c r="I47" i="5"/>
  <c r="J48" i="5"/>
  <c r="I48" i="5"/>
  <c r="J49" i="5"/>
  <c r="I49" i="5"/>
  <c r="J50" i="5"/>
  <c r="I50" i="5"/>
  <c r="J51" i="5"/>
  <c r="I51" i="5"/>
  <c r="J52" i="5"/>
  <c r="I52" i="5"/>
  <c r="J53" i="5"/>
  <c r="I53" i="5"/>
  <c r="J54" i="5"/>
  <c r="I54" i="5"/>
  <c r="J55" i="5"/>
  <c r="I55" i="5"/>
  <c r="F47" i="5"/>
  <c r="F48" i="5"/>
  <c r="F49" i="5"/>
  <c r="F50" i="5"/>
  <c r="F51" i="5"/>
  <c r="F52" i="5"/>
  <c r="F53" i="5"/>
  <c r="F54" i="5"/>
  <c r="F55" i="5"/>
  <c r="I46" i="5"/>
  <c r="J46" i="5"/>
  <c r="F46" i="5"/>
  <c r="A88" i="5"/>
  <c r="A89" i="5"/>
  <c r="A81" i="5"/>
  <c r="A82" i="5"/>
  <c r="A83" i="5"/>
  <c r="A84" i="5"/>
  <c r="A85" i="5"/>
  <c r="A86" i="5"/>
  <c r="A87" i="5"/>
  <c r="A80" i="5"/>
  <c r="A47" i="5"/>
  <c r="A48" i="5"/>
  <c r="A49" i="5"/>
  <c r="A50" i="5"/>
  <c r="A51" i="5"/>
  <c r="A52" i="5"/>
  <c r="A53" i="5"/>
  <c r="A54" i="5"/>
  <c r="A55" i="5"/>
  <c r="A46" i="5"/>
  <c r="K55" i="5" l="1"/>
  <c r="K82" i="5"/>
  <c r="K86" i="5"/>
  <c r="K49" i="5"/>
  <c r="K80" i="5"/>
  <c r="K89" i="5"/>
  <c r="K87" i="5"/>
  <c r="K84" i="5"/>
  <c r="K81" i="5"/>
  <c r="K83" i="5"/>
  <c r="K88" i="5"/>
  <c r="K85" i="5"/>
  <c r="K54" i="5"/>
  <c r="K51" i="5"/>
  <c r="K48" i="5"/>
  <c r="K52" i="5"/>
  <c r="K53" i="5"/>
  <c r="K47" i="5"/>
  <c r="K50" i="5"/>
  <c r="K46" i="5"/>
  <c r="I33" i="4" l="1"/>
  <c r="M33" i="4"/>
  <c r="L33" i="4"/>
  <c r="I34" i="4"/>
  <c r="M34" i="4"/>
  <c r="L34" i="4"/>
  <c r="I35" i="4"/>
  <c r="M35" i="4"/>
  <c r="L35" i="4"/>
  <c r="I36" i="4"/>
  <c r="M36" i="4"/>
  <c r="L36" i="4"/>
  <c r="I37" i="4"/>
  <c r="M37" i="4"/>
  <c r="L37" i="4"/>
  <c r="I38" i="4"/>
  <c r="M38" i="4"/>
  <c r="L38" i="4"/>
  <c r="I39" i="4"/>
  <c r="M39" i="4"/>
  <c r="L39" i="4"/>
  <c r="I40" i="4"/>
  <c r="M40" i="4"/>
  <c r="L40" i="4"/>
  <c r="I41" i="4"/>
  <c r="M41" i="4"/>
  <c r="L41" i="4"/>
  <c r="I42" i="4"/>
  <c r="M42" i="4"/>
  <c r="L42" i="4"/>
  <c r="I43" i="4"/>
  <c r="M43" i="4"/>
  <c r="L43" i="4"/>
  <c r="I44" i="4"/>
  <c r="M44" i="4"/>
  <c r="L44" i="4"/>
  <c r="I45" i="4"/>
  <c r="M45" i="4"/>
  <c r="L45" i="4"/>
  <c r="I46" i="4"/>
  <c r="M46" i="4"/>
  <c r="L46" i="4"/>
  <c r="I47" i="4"/>
  <c r="M47" i="4"/>
  <c r="L47" i="4"/>
  <c r="L32" i="4"/>
  <c r="I32" i="4"/>
  <c r="J8" i="4"/>
  <c r="G8" i="4"/>
  <c r="M32" i="4" l="1"/>
  <c r="N42" i="4"/>
  <c r="N35" i="4"/>
  <c r="N38" i="4"/>
  <c r="N37" i="4"/>
  <c r="N34" i="4"/>
  <c r="N45" i="4"/>
  <c r="N33" i="4"/>
  <c r="N32" i="4" l="1"/>
  <c r="N47" i="4"/>
  <c r="N46" i="4"/>
  <c r="N44" i="4"/>
  <c r="N43" i="4"/>
  <c r="N41" i="4"/>
  <c r="N40" i="4"/>
  <c r="N39" i="4"/>
  <c r="N36" i="4"/>
  <c r="C12" i="2"/>
  <c r="F12" i="2" s="1"/>
  <c r="I12" i="2" s="1"/>
  <c r="L12" i="2"/>
  <c r="C13" i="2"/>
  <c r="F13" i="2"/>
  <c r="I13" i="2" s="1"/>
  <c r="L13" i="2"/>
  <c r="C14" i="2"/>
  <c r="F14" i="2"/>
  <c r="I14" i="2"/>
  <c r="G14" i="2" s="1"/>
  <c r="L14" i="2"/>
  <c r="C15" i="2"/>
  <c r="F15" i="2" s="1"/>
  <c r="I15" i="2" s="1"/>
  <c r="L15" i="2"/>
  <c r="C16" i="2"/>
  <c r="F16" i="2"/>
  <c r="I16" i="2" s="1"/>
  <c r="L16" i="2"/>
  <c r="C17" i="2"/>
  <c r="F17" i="2"/>
  <c r="I17" i="2" s="1"/>
  <c r="G17" i="2" s="1"/>
  <c r="L17" i="2"/>
  <c r="C18" i="2"/>
  <c r="F18" i="2" s="1"/>
  <c r="I18" i="2" s="1"/>
  <c r="L18" i="2"/>
  <c r="C19" i="2"/>
  <c r="F19" i="2"/>
  <c r="I19" i="2" s="1"/>
  <c r="L19" i="2"/>
  <c r="C20" i="2"/>
  <c r="F20" i="2"/>
  <c r="I20" i="2" s="1"/>
  <c r="G20" i="2" s="1"/>
  <c r="L20" i="2"/>
  <c r="C21" i="2"/>
  <c r="F21" i="2" s="1"/>
  <c r="I21" i="2" s="1"/>
  <c r="L21" i="2"/>
  <c r="C22" i="2"/>
  <c r="F22" i="2" s="1"/>
  <c r="I22" i="2" s="1"/>
  <c r="L22" i="2"/>
  <c r="C23" i="2"/>
  <c r="F23" i="2"/>
  <c r="I23" i="2"/>
  <c r="G23" i="2" s="1"/>
  <c r="L23" i="2"/>
  <c r="C24" i="2"/>
  <c r="F24" i="2" s="1"/>
  <c r="I24" i="2" s="1"/>
  <c r="L24" i="2"/>
  <c r="C25" i="2"/>
  <c r="F25" i="2"/>
  <c r="I25" i="2" s="1"/>
  <c r="L25" i="2"/>
  <c r="C26" i="2"/>
  <c r="F26" i="2" s="1"/>
  <c r="I26" i="2" s="1"/>
  <c r="H26" i="2" s="1"/>
  <c r="K26" i="2" s="1"/>
  <c r="L26" i="2"/>
  <c r="C27" i="2"/>
  <c r="F27" i="2" s="1"/>
  <c r="I27" i="2" s="1"/>
  <c r="L27" i="2"/>
  <c r="C28" i="2"/>
  <c r="F28" i="2"/>
  <c r="I28" i="2" s="1"/>
  <c r="L28" i="2"/>
  <c r="C29" i="2"/>
  <c r="F29" i="2"/>
  <c r="I29" i="2" s="1"/>
  <c r="G29" i="2" s="1"/>
  <c r="L29" i="2"/>
  <c r="C30" i="2"/>
  <c r="F30" i="2" s="1"/>
  <c r="I30" i="2" s="1"/>
  <c r="L30" i="2"/>
  <c r="L11" i="2"/>
  <c r="C11" i="2"/>
  <c r="F11" i="2" s="1"/>
  <c r="I11" i="2" s="1"/>
  <c r="C8" i="5"/>
  <c r="F8" i="5" s="1"/>
  <c r="H8" i="5" s="1"/>
  <c r="K8" i="5" s="1"/>
  <c r="C8" i="4"/>
  <c r="F8" i="4" s="1"/>
  <c r="L8" i="5"/>
  <c r="G15" i="2" l="1"/>
  <c r="H15" i="2"/>
  <c r="K15" i="2" s="1"/>
  <c r="G18" i="2"/>
  <c r="H18" i="2"/>
  <c r="K18" i="2" s="1"/>
  <c r="G19" i="2"/>
  <c r="H19" i="2"/>
  <c r="K19" i="2" s="1"/>
  <c r="G27" i="2"/>
  <c r="H27" i="2"/>
  <c r="K27" i="2" s="1"/>
  <c r="G30" i="2"/>
  <c r="H30" i="2"/>
  <c r="K30" i="2" s="1"/>
  <c r="H22" i="2"/>
  <c r="K22" i="2" s="1"/>
  <c r="G22" i="2"/>
  <c r="M22" i="2" s="1"/>
  <c r="G25" i="2"/>
  <c r="H25" i="2"/>
  <c r="K25" i="2" s="1"/>
  <c r="G13" i="2"/>
  <c r="H13" i="2"/>
  <c r="K13" i="2" s="1"/>
  <c r="G21" i="2"/>
  <c r="H21" i="2"/>
  <c r="K21" i="2" s="1"/>
  <c r="H28" i="2"/>
  <c r="K28" i="2" s="1"/>
  <c r="G28" i="2"/>
  <c r="G24" i="2"/>
  <c r="H24" i="2"/>
  <c r="K24" i="2" s="1"/>
  <c r="H16" i="2"/>
  <c r="K16" i="2" s="1"/>
  <c r="G16" i="2"/>
  <c r="G12" i="2"/>
  <c r="H12" i="2"/>
  <c r="K12" i="2" s="1"/>
  <c r="H20" i="2"/>
  <c r="K20" i="2" s="1"/>
  <c r="H17" i="2"/>
  <c r="K17" i="2" s="1"/>
  <c r="G26" i="2"/>
  <c r="M26" i="2" s="1"/>
  <c r="H23" i="2"/>
  <c r="K23" i="2" s="1"/>
  <c r="H14" i="2"/>
  <c r="K14" i="2" s="1"/>
  <c r="H29" i="2"/>
  <c r="K29" i="2" s="1"/>
  <c r="H11" i="2"/>
  <c r="K11" i="2" s="1"/>
  <c r="G11" i="2"/>
  <c r="M11" i="2" s="1"/>
  <c r="K8" i="4"/>
  <c r="G8" i="5"/>
  <c r="M8" i="5" s="1"/>
  <c r="L8" i="4" l="1"/>
  <c r="M20" i="2"/>
  <c r="M12" i="2"/>
  <c r="M19" i="2"/>
  <c r="M16" i="2"/>
  <c r="M24" i="2"/>
  <c r="M13" i="2"/>
  <c r="M29" i="2"/>
  <c r="M17" i="2"/>
  <c r="M21" i="2"/>
  <c r="M23" i="2"/>
  <c r="M27" i="2"/>
  <c r="M14" i="2"/>
  <c r="M30" i="2"/>
  <c r="M25" i="2"/>
  <c r="M18" i="2"/>
  <c r="M28" i="2"/>
  <c r="M15" i="2"/>
  <c r="AJ8" i="3"/>
  <c r="AK8" i="3"/>
  <c r="AL8" i="3"/>
  <c r="AM8" i="3"/>
  <c r="AN8" i="3"/>
  <c r="AJ9" i="3"/>
  <c r="AK9" i="3"/>
  <c r="AL9" i="3"/>
  <c r="AM9" i="3"/>
  <c r="AN9" i="3"/>
  <c r="AJ10" i="3"/>
  <c r="AK10" i="3"/>
  <c r="AL10" i="3"/>
  <c r="AM10" i="3"/>
  <c r="AN10" i="3"/>
  <c r="AJ11" i="3"/>
  <c r="AK11" i="3"/>
  <c r="AL11" i="3"/>
  <c r="AM11" i="3"/>
  <c r="AN11" i="3"/>
  <c r="AJ12" i="3"/>
  <c r="AK12" i="3"/>
  <c r="AL12" i="3"/>
  <c r="AM12" i="3"/>
  <c r="AN12" i="3"/>
  <c r="AJ13" i="3"/>
  <c r="AK13" i="3"/>
  <c r="AL13" i="3"/>
  <c r="AM13" i="3"/>
  <c r="AN13" i="3"/>
  <c r="AJ14" i="3"/>
  <c r="AK14" i="3"/>
  <c r="AL14" i="3"/>
  <c r="AM14" i="3"/>
  <c r="AN14" i="3"/>
  <c r="AJ15" i="3"/>
  <c r="AK15" i="3"/>
  <c r="AL15" i="3"/>
  <c r="AM15" i="3"/>
  <c r="AN15" i="3"/>
  <c r="AJ16" i="3"/>
  <c r="AK16" i="3"/>
  <c r="AL16" i="3"/>
  <c r="AM16" i="3"/>
  <c r="AN16" i="3"/>
  <c r="AJ17" i="3"/>
  <c r="AK17" i="3"/>
  <c r="AL17" i="3"/>
  <c r="AM17" i="3"/>
  <c r="AN17" i="3"/>
  <c r="AJ18" i="3"/>
  <c r="AK18" i="3"/>
  <c r="AL18" i="3"/>
  <c r="AM18" i="3"/>
  <c r="AN18" i="3"/>
  <c r="AJ19" i="3"/>
  <c r="AK19" i="3"/>
  <c r="AL19" i="3"/>
  <c r="AM19" i="3"/>
  <c r="AN19" i="3"/>
  <c r="AJ20" i="3"/>
  <c r="AK20" i="3"/>
  <c r="AL20" i="3"/>
  <c r="AM20" i="3"/>
  <c r="AN20" i="3"/>
  <c r="AJ21" i="3"/>
  <c r="AK21" i="3"/>
  <c r="AL21" i="3"/>
  <c r="AM21" i="3"/>
  <c r="AN21" i="3"/>
  <c r="AJ22" i="3"/>
  <c r="AK22" i="3"/>
  <c r="AL22" i="3"/>
  <c r="AM22" i="3"/>
  <c r="AN22" i="3"/>
  <c r="AJ23" i="3"/>
  <c r="AK23" i="3"/>
  <c r="AL23" i="3"/>
  <c r="AM23" i="3"/>
  <c r="AN23" i="3"/>
  <c r="AJ24" i="3"/>
  <c r="AK24" i="3"/>
  <c r="AL24" i="3"/>
  <c r="AM24" i="3"/>
  <c r="AN24" i="3"/>
  <c r="AJ25" i="3"/>
  <c r="AK25" i="3"/>
  <c r="AL25" i="3"/>
  <c r="AM25" i="3"/>
  <c r="AN25" i="3"/>
  <c r="AJ26" i="3"/>
  <c r="AK26" i="3"/>
  <c r="AL26" i="3"/>
  <c r="AM26" i="3"/>
  <c r="AN26" i="3"/>
  <c r="AJ27" i="3"/>
  <c r="AK27" i="3"/>
  <c r="AL27" i="3"/>
  <c r="AM27" i="3"/>
  <c r="AN27" i="3"/>
  <c r="AJ28" i="3"/>
  <c r="AK28" i="3"/>
  <c r="AL28" i="3"/>
  <c r="AM28" i="3"/>
  <c r="AN28" i="3"/>
  <c r="AJ29" i="3"/>
  <c r="AK29" i="3"/>
  <c r="AL29" i="3"/>
  <c r="AM29" i="3"/>
  <c r="AN29" i="3"/>
  <c r="AJ30" i="3"/>
  <c r="AK30" i="3"/>
  <c r="AL30" i="3"/>
  <c r="AM30" i="3"/>
  <c r="AN30" i="3"/>
  <c r="AJ31" i="3"/>
  <c r="AK31" i="3"/>
  <c r="AL31" i="3"/>
  <c r="AM31" i="3"/>
  <c r="AN31" i="3"/>
  <c r="AJ32" i="3"/>
  <c r="AK32" i="3"/>
  <c r="AL32" i="3"/>
  <c r="AM32" i="3"/>
  <c r="AN32" i="3"/>
  <c r="AJ33" i="3"/>
  <c r="AK33" i="3"/>
  <c r="AL33" i="3"/>
  <c r="AM33" i="3"/>
  <c r="AN33" i="3"/>
  <c r="AJ34" i="3"/>
  <c r="AK34" i="3"/>
  <c r="AL34" i="3"/>
  <c r="AM34" i="3"/>
  <c r="AN34" i="3"/>
  <c r="AJ35" i="3"/>
  <c r="AK35" i="3"/>
  <c r="AL35" i="3"/>
  <c r="AM35" i="3"/>
  <c r="AN35" i="3"/>
  <c r="AJ36" i="3"/>
  <c r="AK36" i="3"/>
  <c r="AL36" i="3"/>
  <c r="AM36" i="3"/>
  <c r="AN36" i="3"/>
  <c r="AJ37" i="3"/>
  <c r="AK37" i="3"/>
  <c r="AL37" i="3"/>
  <c r="AM37" i="3"/>
  <c r="AN37" i="3"/>
  <c r="AJ38" i="3"/>
  <c r="AK38" i="3"/>
  <c r="AL38" i="3"/>
  <c r="AM38" i="3"/>
  <c r="AN38" i="3"/>
  <c r="AJ39" i="3"/>
  <c r="AK39" i="3"/>
  <c r="AL39" i="3"/>
  <c r="AM39" i="3"/>
  <c r="AN39" i="3"/>
  <c r="AJ40" i="3"/>
  <c r="AK40" i="3"/>
  <c r="AL40" i="3"/>
  <c r="AM40" i="3"/>
  <c r="AN40" i="3"/>
  <c r="AJ41" i="3"/>
  <c r="AK41" i="3"/>
  <c r="AL41" i="3"/>
  <c r="AM41" i="3"/>
  <c r="AN41" i="3"/>
  <c r="AJ42" i="3"/>
  <c r="AK42" i="3"/>
  <c r="AL42" i="3"/>
  <c r="AM42" i="3"/>
  <c r="AN42" i="3"/>
  <c r="AJ43" i="3"/>
  <c r="AK43" i="3"/>
  <c r="AL43" i="3"/>
  <c r="AM43" i="3"/>
  <c r="AN43" i="3"/>
  <c r="AJ44" i="3"/>
  <c r="AK44" i="3"/>
  <c r="AL44" i="3"/>
  <c r="AM44" i="3"/>
  <c r="AN44" i="3"/>
  <c r="AJ45" i="3"/>
  <c r="AK45" i="3"/>
  <c r="AL45" i="3"/>
  <c r="AM45" i="3"/>
  <c r="AN45" i="3"/>
  <c r="AJ46" i="3"/>
  <c r="AK46" i="3"/>
  <c r="AL46" i="3"/>
  <c r="AM46" i="3"/>
  <c r="AN46" i="3"/>
  <c r="AJ47" i="3"/>
  <c r="AK47" i="3"/>
  <c r="AL47" i="3"/>
  <c r="AM47" i="3"/>
  <c r="AN47" i="3"/>
  <c r="AJ48" i="3"/>
  <c r="AK48" i="3"/>
  <c r="AL48" i="3"/>
  <c r="AM48" i="3"/>
  <c r="AN48" i="3"/>
  <c r="AJ49" i="3"/>
  <c r="AK49" i="3"/>
  <c r="AL49" i="3"/>
  <c r="AM49" i="3"/>
  <c r="AN49" i="3"/>
  <c r="AJ50" i="3"/>
  <c r="AK50" i="3"/>
  <c r="AL50" i="3"/>
  <c r="AM50" i="3"/>
  <c r="AN50" i="3"/>
  <c r="AJ51" i="3"/>
  <c r="AK51" i="3"/>
  <c r="AL51" i="3"/>
  <c r="AM51" i="3"/>
  <c r="AN51" i="3"/>
  <c r="AJ52" i="3"/>
  <c r="AK52" i="3"/>
  <c r="AL52" i="3"/>
  <c r="AM52" i="3"/>
  <c r="AN52" i="3"/>
  <c r="AJ53" i="3"/>
  <c r="AK53" i="3"/>
  <c r="AL53" i="3"/>
  <c r="AM53" i="3"/>
  <c r="AN53" i="3"/>
  <c r="AJ54" i="3"/>
  <c r="AK54" i="3"/>
  <c r="AL54" i="3"/>
  <c r="AM54" i="3"/>
  <c r="AN54" i="3"/>
  <c r="AJ55" i="3"/>
  <c r="AK55" i="3"/>
  <c r="AL55" i="3"/>
  <c r="AM55" i="3"/>
  <c r="AN55" i="3"/>
  <c r="AJ56" i="3"/>
  <c r="AK56" i="3"/>
  <c r="AL56" i="3"/>
  <c r="AM56" i="3"/>
  <c r="AN56" i="3"/>
  <c r="AJ57" i="3"/>
  <c r="AK57" i="3"/>
  <c r="AL57" i="3"/>
  <c r="AM57" i="3"/>
  <c r="AN57" i="3"/>
  <c r="AJ58" i="3"/>
  <c r="AK58" i="3"/>
  <c r="AL58" i="3"/>
  <c r="AM58" i="3"/>
  <c r="AN58" i="3"/>
  <c r="AJ59" i="3"/>
  <c r="AK59" i="3"/>
  <c r="AL59" i="3"/>
  <c r="AM59" i="3"/>
  <c r="AN59" i="3"/>
  <c r="AJ60" i="3"/>
  <c r="AK60" i="3"/>
  <c r="AL60" i="3"/>
  <c r="AM60" i="3"/>
  <c r="AN60" i="3"/>
  <c r="AJ61" i="3"/>
  <c r="AK61" i="3"/>
  <c r="AL61" i="3"/>
  <c r="AM61" i="3"/>
  <c r="AN61" i="3"/>
  <c r="AJ62" i="3"/>
  <c r="AK62" i="3"/>
  <c r="AL62" i="3"/>
  <c r="AM62" i="3"/>
  <c r="AN62" i="3"/>
  <c r="AJ63" i="3"/>
  <c r="AK63" i="3"/>
  <c r="AL63" i="3"/>
  <c r="AM63" i="3"/>
  <c r="AN63" i="3"/>
  <c r="AJ64" i="3"/>
  <c r="AK64" i="3"/>
  <c r="AL64" i="3"/>
  <c r="AM64" i="3"/>
  <c r="AN64" i="3"/>
  <c r="AJ65" i="3"/>
  <c r="AK65" i="3"/>
  <c r="AL65" i="3"/>
  <c r="AM65" i="3"/>
  <c r="AN65" i="3"/>
  <c r="AJ66" i="3"/>
  <c r="AK66" i="3"/>
  <c r="AL66" i="3"/>
  <c r="AM66" i="3"/>
  <c r="AN66" i="3"/>
  <c r="AJ67" i="3"/>
  <c r="AK67" i="3"/>
  <c r="AL67" i="3"/>
  <c r="AM67" i="3"/>
  <c r="AN67" i="3"/>
  <c r="AJ68" i="3"/>
  <c r="AK68" i="3"/>
  <c r="AL68" i="3"/>
  <c r="AM68" i="3"/>
  <c r="AN68" i="3"/>
  <c r="AJ69" i="3"/>
  <c r="AK69" i="3"/>
  <c r="AL69" i="3"/>
  <c r="AM69" i="3"/>
  <c r="AN69" i="3"/>
  <c r="AJ70" i="3"/>
  <c r="AK70" i="3"/>
  <c r="AL70" i="3"/>
  <c r="AM70" i="3"/>
  <c r="AN70" i="3"/>
  <c r="AJ71" i="3"/>
  <c r="AK71" i="3"/>
  <c r="AL71" i="3"/>
  <c r="AM71" i="3"/>
  <c r="AN71" i="3"/>
  <c r="AJ72" i="3"/>
  <c r="AK72" i="3"/>
  <c r="AL72" i="3"/>
  <c r="AM72" i="3"/>
  <c r="AN72" i="3"/>
  <c r="AJ73" i="3"/>
  <c r="AK73" i="3"/>
  <c r="AL73" i="3"/>
  <c r="AM73" i="3"/>
  <c r="AN73" i="3"/>
  <c r="AJ74" i="3"/>
  <c r="AK74" i="3"/>
  <c r="AL74" i="3"/>
  <c r="AM74" i="3"/>
  <c r="AN74" i="3"/>
  <c r="AJ75" i="3"/>
  <c r="AK75" i="3"/>
  <c r="AL75" i="3"/>
  <c r="AM75" i="3"/>
  <c r="AN75" i="3"/>
  <c r="AJ76" i="3"/>
  <c r="AK76" i="3"/>
  <c r="AL76" i="3"/>
  <c r="AM76" i="3"/>
  <c r="AN76" i="3"/>
  <c r="AJ77" i="3"/>
  <c r="AK77" i="3"/>
  <c r="AL77" i="3"/>
  <c r="AM77" i="3"/>
  <c r="AN77" i="3"/>
  <c r="AJ78" i="3"/>
  <c r="AK78" i="3"/>
  <c r="AL78" i="3"/>
  <c r="AM78" i="3"/>
  <c r="AN78" i="3"/>
  <c r="AJ79" i="3"/>
  <c r="AK79" i="3"/>
  <c r="AL79" i="3"/>
  <c r="AM79" i="3"/>
  <c r="AN79" i="3"/>
  <c r="AJ80" i="3"/>
  <c r="AK80" i="3"/>
  <c r="AL80" i="3"/>
  <c r="AM80" i="3"/>
  <c r="AN80" i="3"/>
  <c r="AJ81" i="3"/>
  <c r="AK81" i="3"/>
  <c r="AL81" i="3"/>
  <c r="AM81" i="3"/>
  <c r="AN81" i="3"/>
  <c r="AJ82" i="3"/>
  <c r="AK82" i="3"/>
  <c r="AL82" i="3"/>
  <c r="AM82" i="3"/>
  <c r="AN82" i="3"/>
  <c r="AJ83" i="3"/>
  <c r="AK83" i="3"/>
  <c r="AL83" i="3"/>
  <c r="AM83" i="3"/>
  <c r="AN83" i="3"/>
  <c r="AJ84" i="3"/>
  <c r="AK84" i="3"/>
  <c r="AL84" i="3"/>
  <c r="AM84" i="3"/>
  <c r="AN84" i="3"/>
  <c r="AJ85" i="3"/>
  <c r="AK85" i="3"/>
  <c r="AL85" i="3"/>
  <c r="AM85" i="3"/>
  <c r="AN85" i="3"/>
  <c r="AJ86" i="3"/>
  <c r="AK86" i="3"/>
  <c r="AL86" i="3"/>
  <c r="AM86" i="3"/>
  <c r="AN86" i="3"/>
  <c r="AJ87" i="3"/>
  <c r="AK87" i="3"/>
  <c r="AL87" i="3"/>
  <c r="AM87" i="3"/>
  <c r="AN87" i="3"/>
  <c r="AJ88" i="3"/>
  <c r="AK88" i="3"/>
  <c r="AL88" i="3"/>
  <c r="AM88" i="3"/>
  <c r="AN88" i="3"/>
  <c r="AJ89" i="3"/>
  <c r="AK89" i="3"/>
  <c r="AL89" i="3"/>
  <c r="AM89" i="3"/>
  <c r="AN89" i="3"/>
  <c r="AJ90" i="3"/>
  <c r="AK90" i="3"/>
  <c r="AL90" i="3"/>
  <c r="AM90" i="3"/>
  <c r="AN90" i="3"/>
  <c r="AJ91" i="3"/>
  <c r="AK91" i="3"/>
  <c r="AL91" i="3"/>
  <c r="AM91" i="3"/>
  <c r="AN91" i="3"/>
  <c r="AJ92" i="3"/>
  <c r="AK92" i="3"/>
  <c r="AL92" i="3"/>
  <c r="AM92" i="3"/>
  <c r="AN92" i="3"/>
  <c r="AJ93" i="3"/>
  <c r="AK93" i="3"/>
  <c r="AL93" i="3"/>
  <c r="AM93" i="3"/>
  <c r="AN93" i="3"/>
  <c r="AJ94" i="3"/>
  <c r="AK94" i="3"/>
  <c r="AL94" i="3"/>
  <c r="AM94" i="3"/>
  <c r="AN94" i="3"/>
  <c r="AJ95" i="3"/>
  <c r="AK95" i="3"/>
  <c r="AL95" i="3"/>
  <c r="AM95" i="3"/>
  <c r="AN95" i="3"/>
  <c r="AJ96" i="3"/>
  <c r="AK96" i="3"/>
  <c r="AL96" i="3"/>
  <c r="AM96" i="3"/>
  <c r="AN96" i="3"/>
  <c r="AJ97" i="3"/>
  <c r="AK97" i="3"/>
  <c r="AL97" i="3"/>
  <c r="AM97" i="3"/>
  <c r="AN97" i="3"/>
  <c r="AJ98" i="3"/>
  <c r="AK98" i="3"/>
  <c r="AL98" i="3"/>
  <c r="AM98" i="3"/>
  <c r="AN98" i="3"/>
  <c r="AJ99" i="3"/>
  <c r="AK99" i="3"/>
  <c r="AL99" i="3"/>
  <c r="AM99" i="3"/>
  <c r="AN99" i="3"/>
  <c r="AJ100" i="3"/>
  <c r="AK100" i="3"/>
  <c r="AL100" i="3"/>
  <c r="AM100" i="3"/>
  <c r="AN100" i="3"/>
  <c r="AJ101" i="3"/>
  <c r="AK101" i="3"/>
  <c r="AL101" i="3"/>
  <c r="AM101" i="3"/>
  <c r="AN101" i="3"/>
  <c r="AJ102" i="3"/>
  <c r="AK102" i="3"/>
  <c r="AL102" i="3"/>
  <c r="AM102" i="3"/>
  <c r="AN102" i="3"/>
  <c r="AJ103" i="3"/>
  <c r="AK103" i="3"/>
  <c r="AL103" i="3"/>
  <c r="AM103" i="3"/>
  <c r="AN103" i="3"/>
  <c r="AJ104" i="3"/>
  <c r="AK104" i="3"/>
  <c r="AL104" i="3"/>
  <c r="AM104" i="3"/>
  <c r="AN104" i="3"/>
  <c r="AJ105" i="3"/>
  <c r="AK105" i="3"/>
  <c r="AL105" i="3"/>
  <c r="AM105" i="3"/>
  <c r="AN105" i="3"/>
  <c r="AJ106" i="3"/>
  <c r="AK106" i="3"/>
  <c r="AL106" i="3"/>
  <c r="AM106" i="3"/>
  <c r="AN106" i="3"/>
  <c r="AK7" i="3"/>
  <c r="AL7" i="3"/>
  <c r="AM7" i="3"/>
  <c r="AN7" i="3"/>
  <c r="AJ7" i="3"/>
  <c r="S12" i="5"/>
  <c r="V12" i="5"/>
  <c r="T12" i="5"/>
  <c r="U12" i="5"/>
  <c r="W12" i="5"/>
  <c r="M7" i="3" l="1"/>
  <c r="N7" i="3"/>
  <c r="O7" i="3"/>
  <c r="P7" i="3"/>
  <c r="L7" i="3"/>
  <c r="AZ8" i="3" l="1"/>
  <c r="BA8" i="3"/>
  <c r="B32" i="4" s="1"/>
  <c r="AZ9" i="3"/>
  <c r="BA9" i="3"/>
  <c r="B33" i="4" s="1"/>
  <c r="AZ10" i="3"/>
  <c r="BA10" i="3"/>
  <c r="B34" i="4" s="1"/>
  <c r="AZ11" i="3"/>
  <c r="BA11" i="3"/>
  <c r="B35" i="4" s="1"/>
  <c r="AZ12" i="3"/>
  <c r="BA12" i="3"/>
  <c r="B36" i="4" s="1"/>
  <c r="AZ13" i="3"/>
  <c r="BA13" i="3"/>
  <c r="B37" i="4" s="1"/>
  <c r="AZ14" i="3"/>
  <c r="BA14" i="3"/>
  <c r="B38" i="4" s="1"/>
  <c r="AZ15" i="3"/>
  <c r="BA15" i="3"/>
  <c r="B39" i="4" s="1"/>
  <c r="AZ16" i="3"/>
  <c r="BA16" i="3"/>
  <c r="B40" i="4" s="1"/>
  <c r="AZ17" i="3"/>
  <c r="BA17" i="3"/>
  <c r="B41" i="4" s="1"/>
  <c r="AZ18" i="3"/>
  <c r="BA18" i="3"/>
  <c r="B42" i="4" s="1"/>
  <c r="AZ19" i="3"/>
  <c r="BA19" i="3"/>
  <c r="B43" i="4" s="1"/>
  <c r="AZ20" i="3"/>
  <c r="BA20" i="3"/>
  <c r="B44" i="4" s="1"/>
  <c r="AZ21" i="3"/>
  <c r="BA21" i="3"/>
  <c r="B45" i="4" s="1"/>
  <c r="AZ22" i="3"/>
  <c r="BA22" i="3"/>
  <c r="B46" i="4" s="1"/>
  <c r="AZ23" i="3"/>
  <c r="BA23" i="3"/>
  <c r="B47" i="4" s="1"/>
  <c r="AZ24" i="3"/>
  <c r="BA24" i="3"/>
  <c r="AZ25" i="3"/>
  <c r="BA25" i="3"/>
  <c r="AZ26" i="3"/>
  <c r="BA26" i="3"/>
  <c r="AZ27" i="3"/>
  <c r="BA27" i="3"/>
  <c r="BA7" i="3"/>
  <c r="AZ7" i="3"/>
  <c r="BM27" i="3"/>
  <c r="BN20" i="3"/>
  <c r="BN11" i="3"/>
  <c r="BM15" i="3"/>
  <c r="BO7" i="3"/>
  <c r="BP23" i="3"/>
  <c r="BO10" i="3"/>
  <c r="BO19" i="3"/>
  <c r="BL23" i="3"/>
  <c r="BM20" i="3"/>
  <c r="BP26" i="3"/>
  <c r="BM23" i="3"/>
  <c r="BO24" i="3"/>
  <c r="BN15" i="3"/>
  <c r="BM10" i="3"/>
  <c r="BP14" i="3"/>
  <c r="BP17" i="3"/>
  <c r="BP20" i="3"/>
  <c r="BO13" i="3"/>
  <c r="BP10" i="3"/>
  <c r="BL26" i="3"/>
  <c r="BM7" i="3"/>
  <c r="BL10" i="3"/>
  <c r="BL13" i="3"/>
  <c r="BM19" i="3"/>
  <c r="BO17" i="3"/>
  <c r="BO11" i="3"/>
  <c r="BM9" i="3"/>
  <c r="BM16" i="3"/>
  <c r="BO9" i="3"/>
  <c r="BL14" i="3"/>
  <c r="BP22" i="3"/>
  <c r="BP15" i="3"/>
  <c r="BL25" i="3"/>
  <c r="BP27" i="3"/>
  <c r="BO22" i="3"/>
  <c r="BM21" i="3"/>
  <c r="BO27" i="3"/>
  <c r="BN17" i="3"/>
  <c r="BL24" i="3"/>
  <c r="BM26" i="3"/>
  <c r="BN14" i="3"/>
  <c r="BN24" i="3"/>
  <c r="BO20" i="3"/>
  <c r="BL11" i="3"/>
  <c r="BN27" i="3"/>
  <c r="BM22" i="3"/>
  <c r="BN23" i="3"/>
  <c r="BP11" i="3"/>
  <c r="BN16" i="3"/>
  <c r="BM13" i="3"/>
  <c r="BO18" i="3"/>
  <c r="BP7" i="3"/>
  <c r="BL12" i="3"/>
  <c r="BP24" i="3"/>
  <c r="BL18" i="3"/>
  <c r="BM8" i="3"/>
  <c r="BP18" i="3"/>
  <c r="BN26" i="3"/>
  <c r="BP9" i="3"/>
  <c r="BN13" i="3"/>
  <c r="BO8" i="3"/>
  <c r="BO16" i="3"/>
  <c r="BO15" i="3"/>
  <c r="BP13" i="3"/>
  <c r="BL27" i="3"/>
  <c r="BN18" i="3"/>
  <c r="BO14" i="3"/>
  <c r="BP21" i="3"/>
  <c r="BM25" i="3"/>
  <c r="BN22" i="3"/>
  <c r="BL21" i="3"/>
  <c r="BP19" i="3"/>
  <c r="BM24" i="3"/>
  <c r="BP25" i="3"/>
  <c r="BP12" i="3"/>
  <c r="BM12" i="3"/>
  <c r="BO26" i="3"/>
  <c r="BN8" i="3"/>
  <c r="BN19" i="3"/>
  <c r="BN10" i="3"/>
  <c r="BO21" i="3"/>
  <c r="BL20" i="3"/>
  <c r="BN9" i="3"/>
  <c r="BO23" i="3"/>
  <c r="BN21" i="3"/>
  <c r="BL16" i="3"/>
  <c r="BL22" i="3"/>
  <c r="BP16" i="3"/>
  <c r="BN7" i="3"/>
  <c r="BL7" i="3"/>
  <c r="BM14" i="3"/>
  <c r="BL8" i="3"/>
  <c r="BL19" i="3"/>
  <c r="BM11" i="3"/>
  <c r="BO12" i="3"/>
  <c r="BN12" i="3"/>
  <c r="BL9" i="3"/>
  <c r="BP8" i="3"/>
  <c r="BM18" i="3"/>
  <c r="BN25" i="3"/>
  <c r="BM17" i="3"/>
  <c r="BL15" i="3"/>
  <c r="BL17" i="3"/>
  <c r="BO25" i="3"/>
  <c r="BQ7" i="3" l="1"/>
  <c r="BT7" i="3"/>
  <c r="BU7" i="3"/>
  <c r="BS7" i="3"/>
  <c r="BR7" i="3"/>
  <c r="BR27" i="3"/>
  <c r="BQ20" i="3"/>
  <c r="BR22" i="3"/>
  <c r="BU19" i="3"/>
  <c r="BS17" i="3"/>
  <c r="BQ15" i="3"/>
  <c r="BT12" i="3"/>
  <c r="BR10" i="3"/>
  <c r="BU26" i="3"/>
  <c r="BS24" i="3"/>
  <c r="BQ22" i="3"/>
  <c r="BT19" i="3"/>
  <c r="BR17" i="3"/>
  <c r="BU14" i="3"/>
  <c r="BS12" i="3"/>
  <c r="BQ10" i="3"/>
  <c r="BU24" i="3"/>
  <c r="BT24" i="3"/>
  <c r="BR24" i="3"/>
  <c r="BS26" i="3"/>
  <c r="BT9" i="3"/>
  <c r="BR26" i="3"/>
  <c r="BU23" i="3"/>
  <c r="BS21" i="3"/>
  <c r="BQ19" i="3"/>
  <c r="BT16" i="3"/>
  <c r="BR14" i="3"/>
  <c r="BU11" i="3"/>
  <c r="BS9" i="3"/>
  <c r="BR15" i="3"/>
  <c r="BT26" i="3"/>
  <c r="BR12" i="3"/>
  <c r="BQ12" i="3"/>
  <c r="BQ26" i="3"/>
  <c r="BT23" i="3"/>
  <c r="BR21" i="3"/>
  <c r="BU18" i="3"/>
  <c r="BS16" i="3"/>
  <c r="BQ14" i="3"/>
  <c r="BT11" i="3"/>
  <c r="BR9" i="3"/>
  <c r="BQ8" i="3"/>
  <c r="BS19" i="3"/>
  <c r="BS14" i="3"/>
  <c r="BU25" i="3"/>
  <c r="BS23" i="3"/>
  <c r="BQ21" i="3"/>
  <c r="BT18" i="3"/>
  <c r="BR16" i="3"/>
  <c r="BU13" i="3"/>
  <c r="BS11" i="3"/>
  <c r="BQ9" i="3"/>
  <c r="BS22" i="3"/>
  <c r="BQ27" i="3"/>
  <c r="BU21" i="3"/>
  <c r="BR19" i="3"/>
  <c r="BT25" i="3"/>
  <c r="BR23" i="3"/>
  <c r="BU20" i="3"/>
  <c r="BS18" i="3"/>
  <c r="BQ16" i="3"/>
  <c r="BT13" i="3"/>
  <c r="BR11" i="3"/>
  <c r="BU8" i="3"/>
  <c r="BU12" i="3"/>
  <c r="BQ17" i="3"/>
  <c r="BT21" i="3"/>
  <c r="BU27" i="3"/>
  <c r="BS25" i="3"/>
  <c r="BQ23" i="3"/>
  <c r="BT20" i="3"/>
  <c r="BR18" i="3"/>
  <c r="BU15" i="3"/>
  <c r="BS13" i="3"/>
  <c r="BQ11" i="3"/>
  <c r="BT8" i="3"/>
  <c r="BS10" i="3"/>
  <c r="BT14" i="3"/>
  <c r="BU16" i="3"/>
  <c r="BT27" i="3"/>
  <c r="BR25" i="3"/>
  <c r="BU22" i="3"/>
  <c r="BS20" i="3"/>
  <c r="BQ18" i="3"/>
  <c r="BT15" i="3"/>
  <c r="BR13" i="3"/>
  <c r="BU10" i="3"/>
  <c r="BS8" i="3"/>
  <c r="BT17" i="3"/>
  <c r="BU9" i="3"/>
  <c r="BQ24" i="3"/>
  <c r="BS27" i="3"/>
  <c r="BQ25" i="3"/>
  <c r="BT22" i="3"/>
  <c r="BR20" i="3"/>
  <c r="BU17" i="3"/>
  <c r="BS15" i="3"/>
  <c r="BQ13" i="3"/>
  <c r="BT10" i="3"/>
  <c r="BR8" i="3"/>
  <c r="AV7" i="3" l="1"/>
  <c r="AU7" i="3"/>
  <c r="AT7" i="3"/>
  <c r="AS7" i="3"/>
  <c r="AR7" i="3"/>
  <c r="V7" i="3" l="1"/>
  <c r="U7" i="3"/>
  <c r="X7" i="3"/>
  <c r="W7" i="3"/>
  <c r="AB7" i="3" l="1"/>
  <c r="T7" i="3"/>
  <c r="AF7" i="3"/>
  <c r="AD7" i="3"/>
  <c r="AE7" i="3"/>
  <c r="AC7" i="3"/>
  <c r="BB16" i="3" l="1"/>
  <c r="B18" i="4"/>
  <c r="C38" i="4" s="1"/>
  <c r="BD19" i="3"/>
  <c r="BF18" i="3"/>
  <c r="BE9" i="3"/>
  <c r="BE11" i="3"/>
  <c r="BB11" i="3"/>
  <c r="BD23" i="3"/>
  <c r="BF10" i="3"/>
  <c r="BB10" i="3"/>
  <c r="BC8" i="3"/>
  <c r="BB9" i="3"/>
  <c r="BC11" i="3"/>
  <c r="BF7" i="3"/>
  <c r="B17" i="4"/>
  <c r="C37" i="4" s="1"/>
  <c r="BC10" i="3"/>
  <c r="B22" i="4"/>
  <c r="C42" i="4" s="1"/>
  <c r="BE10" i="3"/>
  <c r="B16" i="4"/>
  <c r="C36" i="4" s="1"/>
  <c r="BD16" i="3"/>
  <c r="BD7" i="3"/>
  <c r="BE23" i="3"/>
  <c r="B21" i="4"/>
  <c r="C41" i="4" s="1"/>
  <c r="B26" i="4"/>
  <c r="C46" i="4" s="1"/>
  <c r="BB7" i="3"/>
  <c r="BB12" i="3"/>
  <c r="B12" i="4"/>
  <c r="C32" i="4" s="1"/>
  <c r="BD11" i="3"/>
  <c r="BE8" i="3"/>
  <c r="BF8" i="3"/>
  <c r="B13" i="4"/>
  <c r="C33" i="4" s="1"/>
  <c r="B23" i="4"/>
  <c r="C43" i="4" s="1"/>
  <c r="BE21" i="3"/>
  <c r="BE7" i="3"/>
  <c r="BD8" i="3"/>
  <c r="BB27" i="3"/>
  <c r="B25" i="4"/>
  <c r="C45" i="4" s="1"/>
  <c r="BB21" i="3" l="1"/>
  <c r="BC20" i="3"/>
  <c r="BC22" i="3"/>
  <c r="BB17" i="3"/>
  <c r="BE22" i="3"/>
  <c r="BB23" i="3"/>
  <c r="B14" i="4"/>
  <c r="C34" i="4" s="1"/>
  <c r="BB18" i="3"/>
  <c r="BF13" i="3"/>
  <c r="BD27" i="3"/>
  <c r="BF14" i="3"/>
  <c r="BB25" i="3"/>
  <c r="BF27" i="3"/>
  <c r="BF17" i="3"/>
  <c r="BD22" i="3"/>
  <c r="BC19" i="3"/>
  <c r="BC25" i="3"/>
  <c r="BC23" i="3"/>
  <c r="BF15" i="3"/>
  <c r="BB24" i="3"/>
  <c r="BB26" i="3"/>
  <c r="BE16" i="3"/>
  <c r="BB20" i="3"/>
  <c r="BF12" i="3"/>
  <c r="BF11" i="3"/>
  <c r="BE26" i="3"/>
  <c r="BC21" i="3"/>
  <c r="BF20" i="3"/>
  <c r="BD12" i="3"/>
  <c r="BC26" i="3"/>
  <c r="BB22" i="3"/>
  <c r="BF24" i="3"/>
  <c r="BE13" i="3"/>
  <c r="BF23" i="3"/>
  <c r="BD25" i="3"/>
  <c r="BD10" i="3"/>
  <c r="BE25" i="3"/>
  <c r="BF9" i="3"/>
  <c r="BD26" i="3"/>
  <c r="BE19" i="3"/>
  <c r="BC13" i="3"/>
  <c r="BB14" i="3"/>
  <c r="BC15" i="3"/>
  <c r="BD20" i="3"/>
  <c r="BE15" i="3"/>
  <c r="BC7" i="3"/>
  <c r="BD24" i="3"/>
  <c r="BE27" i="3"/>
  <c r="BF19" i="3"/>
  <c r="BB8" i="3"/>
  <c r="BF25" i="3"/>
  <c r="BC27" i="3"/>
  <c r="BE18" i="3"/>
  <c r="BE20" i="3"/>
  <c r="BC24" i="3"/>
  <c r="BC12" i="3"/>
  <c r="BD17" i="3"/>
  <c r="BC16" i="3"/>
  <c r="BC9" i="3"/>
  <c r="B20" i="4"/>
  <c r="C40" i="4" s="1"/>
  <c r="BF22" i="3"/>
  <c r="BD9" i="3"/>
  <c r="B24" i="4"/>
  <c r="C44" i="4" s="1"/>
  <c r="B19" i="4"/>
  <c r="C39" i="4" s="1"/>
  <c r="BB15" i="3"/>
  <c r="BC17" i="3"/>
  <c r="BE17" i="3"/>
  <c r="BD21" i="3"/>
  <c r="BE14" i="3"/>
  <c r="BD15" i="3"/>
  <c r="BF16" i="3"/>
  <c r="BC18" i="3"/>
  <c r="B27" i="4"/>
  <c r="C47" i="4" s="1"/>
  <c r="BE12" i="3"/>
  <c r="BC14" i="3"/>
  <c r="B15" i="4"/>
  <c r="C35" i="4" s="1"/>
  <c r="BD18" i="3"/>
  <c r="BD13" i="3"/>
  <c r="BF21" i="3"/>
  <c r="BD14" i="3"/>
  <c r="BF26" i="3"/>
  <c r="BB19" i="3"/>
  <c r="BB13" i="3"/>
  <c r="BE24" i="3"/>
  <c r="BG17" i="3"/>
  <c r="G46" i="4"/>
  <c r="BK22" i="3"/>
  <c r="BK21" i="3"/>
  <c r="BI9" i="3"/>
  <c r="BJ22" i="3"/>
  <c r="BJ15" i="3"/>
  <c r="BH17" i="3"/>
  <c r="BH21" i="3"/>
  <c r="BI15" i="3"/>
  <c r="BG14" i="3"/>
  <c r="G35" i="4"/>
  <c r="BI26" i="3"/>
  <c r="BK10" i="3"/>
  <c r="BI10" i="3"/>
  <c r="BG10" i="3"/>
  <c r="BH20" i="3"/>
  <c r="BJ8" i="3"/>
  <c r="BJ9" i="3"/>
  <c r="BJ24" i="3"/>
  <c r="G39" i="4"/>
  <c r="BH23" i="3"/>
  <c r="BG24" i="3"/>
  <c r="BJ27" i="3"/>
  <c r="BI27" i="3"/>
  <c r="G38" i="4"/>
  <c r="BG27" i="3"/>
  <c r="BG18" i="3"/>
  <c r="BK13" i="3"/>
  <c r="BJ21" i="3"/>
  <c r="BG15" i="3"/>
  <c r="BK27" i="3"/>
  <c r="BH18" i="3"/>
  <c r="BH11" i="3"/>
  <c r="BI22" i="3"/>
  <c r="BH24" i="3"/>
  <c r="G47" i="4"/>
  <c r="G40" i="4"/>
  <c r="BJ18" i="3"/>
  <c r="BI19" i="3"/>
  <c r="BH15" i="3"/>
  <c r="BG11" i="3"/>
  <c r="BJ26" i="3"/>
  <c r="BG19" i="3"/>
  <c r="G32" i="4"/>
  <c r="BK20" i="3"/>
  <c r="G33" i="4"/>
  <c r="BH8" i="3"/>
  <c r="BH19" i="3"/>
  <c r="BG12" i="3"/>
  <c r="G43" i="4"/>
  <c r="BJ14" i="3"/>
  <c r="BK17" i="3"/>
  <c r="BK8" i="3"/>
  <c r="BG16" i="3"/>
  <c r="BK11" i="3"/>
  <c r="BG21" i="3"/>
  <c r="BG8" i="3"/>
  <c r="BJ11" i="3"/>
  <c r="G34" i="4"/>
  <c r="BK14" i="3"/>
  <c r="BK26" i="3"/>
  <c r="BH9" i="3"/>
  <c r="BH10" i="3"/>
  <c r="BK16" i="3"/>
  <c r="BK25" i="3"/>
  <c r="BI20" i="3"/>
  <c r="BH25" i="3"/>
  <c r="BH14" i="3"/>
  <c r="BG22" i="3"/>
  <c r="BG23" i="3"/>
  <c r="BH13" i="3"/>
  <c r="BJ23" i="3"/>
  <c r="BK12" i="3"/>
  <c r="BJ19" i="3"/>
  <c r="BK23" i="3"/>
  <c r="BJ16" i="3"/>
  <c r="BK9" i="3"/>
  <c r="BH22" i="3"/>
  <c r="BH7" i="3"/>
  <c r="G45" i="4"/>
  <c r="BH16" i="3"/>
  <c r="BI17" i="3"/>
  <c r="BK15" i="3"/>
  <c r="BI18" i="3"/>
  <c r="BI21" i="3"/>
  <c r="BI14" i="3"/>
  <c r="BG25" i="3"/>
  <c r="G41" i="4"/>
  <c r="BI16" i="3"/>
  <c r="BH27" i="3"/>
  <c r="BJ17" i="3"/>
  <c r="BK24" i="3"/>
  <c r="BG20" i="3"/>
  <c r="BJ20" i="3"/>
  <c r="BI12" i="3"/>
  <c r="BH12" i="3"/>
  <c r="BJ10" i="3"/>
  <c r="BG9" i="3"/>
  <c r="BG13" i="3"/>
  <c r="G42" i="4"/>
  <c r="BG26" i="3"/>
  <c r="G36" i="4"/>
  <c r="BI23" i="3"/>
  <c r="G37" i="4"/>
  <c r="BK18" i="3"/>
  <c r="BJ7" i="3"/>
  <c r="BI8" i="3"/>
  <c r="BI11" i="3"/>
  <c r="BG7" i="3"/>
  <c r="BI24" i="3"/>
  <c r="BJ12" i="3"/>
  <c r="G44" i="4"/>
  <c r="BK19" i="3"/>
  <c r="BH26" i="3"/>
  <c r="BI7" i="3"/>
  <c r="BI25" i="3"/>
  <c r="BJ25" i="3"/>
  <c r="BI13" i="3"/>
  <c r="BK7" i="3"/>
  <c r="BJ13" i="3"/>
  <c r="D80" i="5"/>
  <c r="D46" i="5"/>
  <c r="Q12" i="5"/>
  <c r="O12" i="5"/>
  <c r="P12" i="5"/>
  <c r="R12" i="5"/>
  <c r="N12" i="5"/>
  <c r="C12" i="4" l="1"/>
  <c r="D32" i="4" s="1"/>
  <c r="F32" i="4" s="1"/>
  <c r="H32" i="4" s="1"/>
  <c r="C17" i="4"/>
  <c r="D37" i="4" s="1"/>
  <c r="F37" i="4" s="1"/>
  <c r="H37" i="4" s="1"/>
  <c r="C13" i="4"/>
  <c r="D33" i="4" s="1"/>
  <c r="F33" i="4" s="1"/>
  <c r="H33" i="4" s="1"/>
  <c r="C15" i="4"/>
  <c r="D35" i="4" s="1"/>
  <c r="F35" i="4" s="1"/>
  <c r="H35" i="4" s="1"/>
  <c r="C14" i="4"/>
  <c r="D34" i="4" s="1"/>
  <c r="F34" i="4" s="1"/>
  <c r="H34" i="4" s="1"/>
  <c r="C16" i="4"/>
  <c r="D36" i="4" s="1"/>
  <c r="F36" i="4" s="1"/>
  <c r="H36" i="4" s="1"/>
  <c r="C19" i="4"/>
  <c r="D39" i="4" s="1"/>
  <c r="F39" i="4" s="1"/>
  <c r="H39" i="4" s="1"/>
  <c r="O39" i="4" l="1"/>
  <c r="O36" i="4"/>
  <c r="O35" i="4"/>
  <c r="O33" i="4"/>
  <c r="O34" i="4"/>
  <c r="O37" i="4"/>
  <c r="O32" i="4"/>
  <c r="C18" i="4"/>
  <c r="D38" i="4" s="1"/>
  <c r="F38" i="4" s="1"/>
  <c r="H38" i="4" s="1"/>
  <c r="O38" i="4" l="1"/>
  <c r="C20" i="4"/>
  <c r="D40" i="4" s="1"/>
  <c r="F40" i="4" s="1"/>
  <c r="H40" i="4" s="1"/>
  <c r="O40" i="4" l="1"/>
  <c r="C21" i="4"/>
  <c r="D41" i="4" s="1"/>
  <c r="F41" i="4" s="1"/>
  <c r="H41" i="4" s="1"/>
  <c r="O41" i="4" l="1"/>
  <c r="C22" i="4"/>
  <c r="D42" i="4" s="1"/>
  <c r="F42" i="4" s="1"/>
  <c r="H42" i="4" s="1"/>
  <c r="C23" i="4"/>
  <c r="D43" i="4" s="1"/>
  <c r="F43" i="4" s="1"/>
  <c r="H43" i="4" s="1"/>
  <c r="O43" i="4" l="1"/>
  <c r="O42" i="4"/>
  <c r="C24" i="4"/>
  <c r="D44" i="4" s="1"/>
  <c r="F44" i="4" s="1"/>
  <c r="H44" i="4" s="1"/>
  <c r="O44" i="4" l="1"/>
  <c r="C25" i="4"/>
  <c r="D45" i="4" s="1"/>
  <c r="F45" i="4" s="1"/>
  <c r="H45" i="4" s="1"/>
  <c r="O45" i="4" l="1"/>
  <c r="C26" i="4"/>
  <c r="D46" i="4" s="1"/>
  <c r="F46" i="4" s="1"/>
  <c r="H46" i="4" s="1"/>
  <c r="O46" i="4" l="1"/>
  <c r="C27" i="4"/>
  <c r="D47" i="4" s="1"/>
  <c r="F47" i="4" s="1"/>
  <c r="H47" i="4" s="1"/>
  <c r="O47" i="4" l="1"/>
  <c r="H28" i="5" l="1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24" i="5" l="1"/>
  <c r="H22" i="5"/>
  <c r="H23" i="5"/>
  <c r="H21" i="5"/>
  <c r="H20" i="5"/>
  <c r="H19" i="5"/>
  <c r="H12" i="5"/>
  <c r="H18" i="5"/>
  <c r="H17" i="5"/>
  <c r="H16" i="5"/>
  <c r="H27" i="5"/>
  <c r="H15" i="5"/>
  <c r="H26" i="5"/>
  <c r="H14" i="5"/>
  <c r="H25" i="5"/>
  <c r="H13" i="5"/>
  <c r="B13" i="5" l="1"/>
  <c r="B14" i="5"/>
  <c r="T13" i="5"/>
  <c r="I13" i="5"/>
  <c r="K13" i="5"/>
  <c r="W13" i="5"/>
  <c r="U13" i="5"/>
  <c r="J13" i="5"/>
  <c r="O13" i="5" s="1"/>
  <c r="M13" i="5"/>
  <c r="R13" i="5" s="1"/>
  <c r="L13" i="5"/>
  <c r="Q13" i="5" s="1"/>
  <c r="V13" i="5"/>
  <c r="S13" i="5"/>
  <c r="J14" i="5"/>
  <c r="O14" i="5" s="1"/>
  <c r="U14" i="5"/>
  <c r="K14" i="5"/>
  <c r="V14" i="5"/>
  <c r="L14" i="5"/>
  <c r="Q14" i="5" s="1"/>
  <c r="M14" i="5"/>
  <c r="R14" i="5" s="1"/>
  <c r="T14" i="5"/>
  <c r="W14" i="5"/>
  <c r="I14" i="5"/>
  <c r="S14" i="5"/>
  <c r="D47" i="5"/>
  <c r="N13" i="5"/>
  <c r="D81" i="5"/>
  <c r="P13" i="5"/>
  <c r="D82" i="5"/>
  <c r="P14" i="5"/>
  <c r="D48" i="5"/>
  <c r="N14" i="5"/>
  <c r="B15" i="5" l="1"/>
  <c r="U15" i="5"/>
  <c r="V15" i="5"/>
  <c r="I15" i="5"/>
  <c r="T15" i="5"/>
  <c r="J15" i="5"/>
  <c r="O15" i="5" s="1"/>
  <c r="L15" i="5"/>
  <c r="Q15" i="5" s="1"/>
  <c r="W15" i="5"/>
  <c r="M15" i="5"/>
  <c r="R15" i="5" s="1"/>
  <c r="K15" i="5"/>
  <c r="S15" i="5"/>
  <c r="D49" i="5"/>
  <c r="N15" i="5"/>
  <c r="D83" i="5"/>
  <c r="P15" i="5"/>
  <c r="B16" i="5" l="1"/>
  <c r="C16" i="5"/>
  <c r="C12" i="5"/>
  <c r="B46" i="5" s="1"/>
  <c r="C46" i="5" s="1"/>
  <c r="E46" i="5" s="1"/>
  <c r="C13" i="5"/>
  <c r="B47" i="5" s="1"/>
  <c r="C47" i="5" s="1"/>
  <c r="E47" i="5" s="1"/>
  <c r="C15" i="5"/>
  <c r="B49" i="5" s="1"/>
  <c r="C49" i="5" s="1"/>
  <c r="E49" i="5" s="1"/>
  <c r="C14" i="5"/>
  <c r="B48" i="5" s="1"/>
  <c r="C48" i="5" s="1"/>
  <c r="E48" i="5" s="1"/>
  <c r="L16" i="5"/>
  <c r="Q16" i="5" s="1"/>
  <c r="S16" i="5"/>
  <c r="U16" i="5"/>
  <c r="I16" i="5"/>
  <c r="V16" i="5"/>
  <c r="T16" i="5"/>
  <c r="J16" i="5"/>
  <c r="O16" i="5" s="1"/>
  <c r="M16" i="5"/>
  <c r="R16" i="5" s="1"/>
  <c r="K16" i="5"/>
  <c r="W16" i="5"/>
  <c r="N16" i="5"/>
  <c r="D50" i="5"/>
  <c r="P16" i="5"/>
  <c r="D84" i="5"/>
  <c r="B18" i="5" l="1"/>
  <c r="B50" i="5"/>
  <c r="C50" i="5" s="1"/>
  <c r="E50" i="5" s="1"/>
  <c r="B17" i="5"/>
  <c r="L48" i="5"/>
  <c r="L49" i="5"/>
  <c r="L47" i="5"/>
  <c r="L46" i="5"/>
  <c r="L50" i="5"/>
  <c r="C17" i="5"/>
  <c r="S18" i="5"/>
  <c r="J18" i="5"/>
  <c r="O18" i="5" s="1"/>
  <c r="V18" i="5"/>
  <c r="U18" i="5"/>
  <c r="I18" i="5"/>
  <c r="W18" i="5"/>
  <c r="M18" i="5"/>
  <c r="R18" i="5" s="1"/>
  <c r="L18" i="5"/>
  <c r="Q18" i="5" s="1"/>
  <c r="T18" i="5"/>
  <c r="K18" i="5"/>
  <c r="S17" i="5"/>
  <c r="W17" i="5"/>
  <c r="U17" i="5"/>
  <c r="K17" i="5"/>
  <c r="I17" i="5"/>
  <c r="J17" i="5"/>
  <c r="O17" i="5" s="1"/>
  <c r="T17" i="5"/>
  <c r="L17" i="5"/>
  <c r="Q17" i="5" s="1"/>
  <c r="V17" i="5"/>
  <c r="M17" i="5"/>
  <c r="R17" i="5" s="1"/>
  <c r="N18" i="5"/>
  <c r="D52" i="5"/>
  <c r="D86" i="5"/>
  <c r="P18" i="5"/>
  <c r="P17" i="5"/>
  <c r="D85" i="5"/>
  <c r="N17" i="5"/>
  <c r="D51" i="5"/>
  <c r="B51" i="5" l="1"/>
  <c r="C51" i="5" s="1"/>
  <c r="E51" i="5" s="1"/>
  <c r="L51" i="5" s="1"/>
  <c r="B19" i="5"/>
  <c r="C18" i="5"/>
  <c r="B52" i="5" s="1"/>
  <c r="C52" i="5" s="1"/>
  <c r="E52" i="5" s="1"/>
  <c r="U19" i="5"/>
  <c r="T19" i="5"/>
  <c r="M19" i="5"/>
  <c r="R19" i="5" s="1"/>
  <c r="V19" i="5"/>
  <c r="W19" i="5"/>
  <c r="S19" i="5"/>
  <c r="I19" i="5"/>
  <c r="K19" i="5"/>
  <c r="L19" i="5"/>
  <c r="Q19" i="5" s="1"/>
  <c r="J19" i="5"/>
  <c r="O19" i="5" s="1"/>
  <c r="N19" i="5"/>
  <c r="D53" i="5"/>
  <c r="P19" i="5"/>
  <c r="D87" i="5"/>
  <c r="B20" i="5" l="1"/>
  <c r="L52" i="5"/>
  <c r="C19" i="5"/>
  <c r="B53" i="5" s="1"/>
  <c r="C53" i="5" s="1"/>
  <c r="E53" i="5" s="1"/>
  <c r="V20" i="5"/>
  <c r="K20" i="5"/>
  <c r="M20" i="5"/>
  <c r="R20" i="5" s="1"/>
  <c r="J20" i="5"/>
  <c r="O20" i="5" s="1"/>
  <c r="U20" i="5"/>
  <c r="L20" i="5"/>
  <c r="Q20" i="5" s="1"/>
  <c r="S20" i="5"/>
  <c r="T20" i="5"/>
  <c r="I20" i="5"/>
  <c r="W20" i="5"/>
  <c r="P20" i="5"/>
  <c r="D88" i="5"/>
  <c r="D54" i="5"/>
  <c r="N20" i="5"/>
  <c r="B21" i="5" l="1"/>
  <c r="L53" i="5"/>
  <c r="C20" i="5"/>
  <c r="B54" i="5" s="1"/>
  <c r="C54" i="5" s="1"/>
  <c r="E54" i="5" s="1"/>
  <c r="S21" i="5"/>
  <c r="J21" i="5"/>
  <c r="O21" i="5" s="1"/>
  <c r="K21" i="5"/>
  <c r="T21" i="5"/>
  <c r="I21" i="5"/>
  <c r="U21" i="5"/>
  <c r="L21" i="5"/>
  <c r="Q21" i="5" s="1"/>
  <c r="V21" i="5"/>
  <c r="W21" i="5"/>
  <c r="M21" i="5"/>
  <c r="R21" i="5" s="1"/>
  <c r="D89" i="5"/>
  <c r="P21" i="5"/>
  <c r="D55" i="5"/>
  <c r="N21" i="5"/>
  <c r="B22" i="5" l="1"/>
  <c r="L54" i="5"/>
  <c r="C21" i="5"/>
  <c r="B55" i="5" s="1"/>
  <c r="C55" i="5" s="1"/>
  <c r="E55" i="5" s="1"/>
  <c r="J22" i="5"/>
  <c r="O22" i="5" s="1"/>
  <c r="W22" i="5"/>
  <c r="L22" i="5"/>
  <c r="Q22" i="5" s="1"/>
  <c r="K22" i="5"/>
  <c r="M22" i="5"/>
  <c r="R22" i="5" s="1"/>
  <c r="T22" i="5"/>
  <c r="S22" i="5"/>
  <c r="I22" i="5"/>
  <c r="U22" i="5"/>
  <c r="V22" i="5"/>
  <c r="D90" i="5"/>
  <c r="P22" i="5"/>
  <c r="N22" i="5"/>
  <c r="D56" i="5"/>
  <c r="B23" i="5" l="1"/>
  <c r="L55" i="5"/>
  <c r="C22" i="5"/>
  <c r="B56" i="5" s="1"/>
  <c r="C56" i="5" s="1"/>
  <c r="E56" i="5" s="1"/>
  <c r="U23" i="5"/>
  <c r="S23" i="5"/>
  <c r="V23" i="5"/>
  <c r="W23" i="5"/>
  <c r="T23" i="5"/>
  <c r="L23" i="5"/>
  <c r="Q23" i="5" s="1"/>
  <c r="K23" i="5"/>
  <c r="M23" i="5"/>
  <c r="R23" i="5" s="1"/>
  <c r="J23" i="5"/>
  <c r="O23" i="5" s="1"/>
  <c r="I23" i="5"/>
  <c r="D91" i="5"/>
  <c r="P23" i="5"/>
  <c r="D57" i="5"/>
  <c r="N23" i="5"/>
  <c r="B24" i="5" l="1"/>
  <c r="L56" i="5"/>
  <c r="C23" i="5"/>
  <c r="B57" i="5" s="1"/>
  <c r="C57" i="5" s="1"/>
  <c r="E57" i="5" s="1"/>
  <c r="T24" i="5"/>
  <c r="K24" i="5"/>
  <c r="L24" i="5"/>
  <c r="Q24" i="5" s="1"/>
  <c r="W24" i="5"/>
  <c r="J24" i="5"/>
  <c r="O24" i="5" s="1"/>
  <c r="S24" i="5"/>
  <c r="U24" i="5"/>
  <c r="M24" i="5"/>
  <c r="R24" i="5" s="1"/>
  <c r="V24" i="5"/>
  <c r="I24" i="5"/>
  <c r="P24" i="5"/>
  <c r="D92" i="5"/>
  <c r="D58" i="5"/>
  <c r="N24" i="5"/>
  <c r="B25" i="5" l="1"/>
  <c r="L57" i="5"/>
  <c r="C24" i="5"/>
  <c r="B58" i="5" s="1"/>
  <c r="C58" i="5" s="1"/>
  <c r="E58" i="5" s="1"/>
  <c r="I25" i="5"/>
  <c r="L25" i="5"/>
  <c r="Q25" i="5" s="1"/>
  <c r="M25" i="5"/>
  <c r="R25" i="5" s="1"/>
  <c r="T25" i="5"/>
  <c r="W25" i="5"/>
  <c r="V25" i="5"/>
  <c r="U25" i="5"/>
  <c r="S25" i="5"/>
  <c r="J25" i="5"/>
  <c r="O25" i="5" s="1"/>
  <c r="K25" i="5"/>
  <c r="D59" i="5"/>
  <c r="N25" i="5"/>
  <c r="P25" i="5"/>
  <c r="D93" i="5"/>
  <c r="B26" i="5" l="1"/>
  <c r="L58" i="5"/>
  <c r="C25" i="5"/>
  <c r="B59" i="5" s="1"/>
  <c r="C59" i="5" s="1"/>
  <c r="E59" i="5" s="1"/>
  <c r="U26" i="5"/>
  <c r="T26" i="5"/>
  <c r="I26" i="5"/>
  <c r="J26" i="5"/>
  <c r="O26" i="5" s="1"/>
  <c r="S26" i="5"/>
  <c r="V26" i="5"/>
  <c r="K26" i="5"/>
  <c r="W26" i="5"/>
  <c r="L26" i="5"/>
  <c r="Q26" i="5" s="1"/>
  <c r="M26" i="5"/>
  <c r="R26" i="5" s="1"/>
  <c r="D60" i="5"/>
  <c r="N26" i="5"/>
  <c r="D94" i="5"/>
  <c r="P26" i="5"/>
  <c r="B27" i="5" l="1"/>
  <c r="L59" i="5"/>
  <c r="C26" i="5"/>
  <c r="B60" i="5" s="1"/>
  <c r="C60" i="5" s="1"/>
  <c r="E60" i="5" s="1"/>
  <c r="V27" i="5"/>
  <c r="W27" i="5"/>
  <c r="S27" i="5"/>
  <c r="M27" i="5"/>
  <c r="R27" i="5" s="1"/>
  <c r="U27" i="5"/>
  <c r="J27" i="5"/>
  <c r="O27" i="5" s="1"/>
  <c r="I27" i="5"/>
  <c r="L27" i="5"/>
  <c r="Q27" i="5" s="1"/>
  <c r="T27" i="5"/>
  <c r="K27" i="5"/>
  <c r="D61" i="5"/>
  <c r="N27" i="5"/>
  <c r="D95" i="5"/>
  <c r="P27" i="5"/>
  <c r="B28" i="5" l="1"/>
  <c r="L60" i="5"/>
  <c r="C27" i="5"/>
  <c r="B61" i="5" s="1"/>
  <c r="C61" i="5" s="1"/>
  <c r="E61" i="5" s="1"/>
  <c r="V28" i="5"/>
  <c r="J28" i="5"/>
  <c r="O28" i="5" s="1"/>
  <c r="S28" i="5"/>
  <c r="M28" i="5"/>
  <c r="R28" i="5" s="1"/>
  <c r="L28" i="5"/>
  <c r="Q28" i="5" s="1"/>
  <c r="W28" i="5"/>
  <c r="K28" i="5"/>
  <c r="U28" i="5"/>
  <c r="I28" i="5"/>
  <c r="T28" i="5"/>
  <c r="P28" i="5"/>
  <c r="D96" i="5"/>
  <c r="D62" i="5"/>
  <c r="N28" i="5"/>
  <c r="B29" i="5" l="1"/>
  <c r="L61" i="5"/>
  <c r="C28" i="5"/>
  <c r="B62" i="5" s="1"/>
  <c r="C62" i="5" s="1"/>
  <c r="E62" i="5" s="1"/>
  <c r="U29" i="5"/>
  <c r="T29" i="5"/>
  <c r="I29" i="5"/>
  <c r="S29" i="5"/>
  <c r="M29" i="5"/>
  <c r="R29" i="5" s="1"/>
  <c r="K29" i="5"/>
  <c r="L29" i="5"/>
  <c r="Q29" i="5" s="1"/>
  <c r="W29" i="5"/>
  <c r="V29" i="5"/>
  <c r="J29" i="5"/>
  <c r="O29" i="5" s="1"/>
  <c r="N29" i="5"/>
  <c r="D63" i="5"/>
  <c r="P29" i="5"/>
  <c r="D97" i="5"/>
  <c r="B30" i="5" l="1"/>
  <c r="L62" i="5"/>
  <c r="E28" i="5"/>
  <c r="C29" i="5"/>
  <c r="B63" i="5" s="1"/>
  <c r="C63" i="5" s="1"/>
  <c r="E63" i="5" s="1"/>
  <c r="U30" i="5"/>
  <c r="I30" i="5"/>
  <c r="K30" i="5"/>
  <c r="J30" i="5"/>
  <c r="O30" i="5" s="1"/>
  <c r="W30" i="5"/>
  <c r="T30" i="5"/>
  <c r="S30" i="5"/>
  <c r="V30" i="5"/>
  <c r="L30" i="5"/>
  <c r="Q30" i="5" s="1"/>
  <c r="M30" i="5"/>
  <c r="R30" i="5" s="1"/>
  <c r="D64" i="5"/>
  <c r="N30" i="5"/>
  <c r="P30" i="5"/>
  <c r="D98" i="5"/>
  <c r="B31" i="5" l="1"/>
  <c r="L63" i="5"/>
  <c r="G28" i="5"/>
  <c r="B96" i="5" s="1"/>
  <c r="C96" i="5" s="1"/>
  <c r="E96" i="5" s="1"/>
  <c r="E29" i="5"/>
  <c r="C30" i="5"/>
  <c r="B64" i="5" s="1"/>
  <c r="C64" i="5" s="1"/>
  <c r="E64" i="5" s="1"/>
  <c r="V31" i="5"/>
  <c r="K31" i="5"/>
  <c r="W31" i="5"/>
  <c r="J31" i="5"/>
  <c r="O31" i="5" s="1"/>
  <c r="U31" i="5"/>
  <c r="I31" i="5"/>
  <c r="T31" i="5"/>
  <c r="S31" i="5"/>
  <c r="M31" i="5"/>
  <c r="R31" i="5" s="1"/>
  <c r="L31" i="5"/>
  <c r="Q31" i="5" s="1"/>
  <c r="P31" i="5"/>
  <c r="D99" i="5"/>
  <c r="D65" i="5"/>
  <c r="N31" i="5"/>
  <c r="B32" i="5" l="1"/>
  <c r="L96" i="5"/>
  <c r="L64" i="5"/>
  <c r="E30" i="5"/>
  <c r="C31" i="5"/>
  <c r="B65" i="5" s="1"/>
  <c r="C65" i="5" s="1"/>
  <c r="E65" i="5" s="1"/>
  <c r="G29" i="5"/>
  <c r="B97" i="5" s="1"/>
  <c r="C97" i="5" s="1"/>
  <c r="E97" i="5" s="1"/>
  <c r="L32" i="5"/>
  <c r="Q32" i="5" s="1"/>
  <c r="M32" i="5"/>
  <c r="R32" i="5" s="1"/>
  <c r="W32" i="5"/>
  <c r="K32" i="5"/>
  <c r="V32" i="5"/>
  <c r="J32" i="5"/>
  <c r="O32" i="5" s="1"/>
  <c r="U32" i="5"/>
  <c r="I32" i="5"/>
  <c r="T32" i="5"/>
  <c r="S32" i="5"/>
  <c r="P32" i="5"/>
  <c r="D100" i="5"/>
  <c r="D66" i="5"/>
  <c r="N32" i="5"/>
  <c r="B33" i="5" l="1"/>
  <c r="L97" i="5"/>
  <c r="L65" i="5"/>
  <c r="C32" i="5"/>
  <c r="B66" i="5" s="1"/>
  <c r="C66" i="5" s="1"/>
  <c r="E66" i="5" s="1"/>
  <c r="E31" i="5"/>
  <c r="G30" i="5"/>
  <c r="B98" i="5" s="1"/>
  <c r="C98" i="5" s="1"/>
  <c r="E98" i="5" s="1"/>
  <c r="W33" i="5"/>
  <c r="K33" i="5"/>
  <c r="V33" i="5"/>
  <c r="M33" i="5"/>
  <c r="R33" i="5" s="1"/>
  <c r="J33" i="5"/>
  <c r="O33" i="5" s="1"/>
  <c r="U33" i="5"/>
  <c r="I33" i="5"/>
  <c r="T33" i="5"/>
  <c r="S33" i="5"/>
  <c r="L33" i="5"/>
  <c r="Q33" i="5" s="1"/>
  <c r="P33" i="5"/>
  <c r="D101" i="5"/>
  <c r="D67" i="5"/>
  <c r="N33" i="5"/>
  <c r="B34" i="5" l="1"/>
  <c r="L98" i="5"/>
  <c r="L66" i="5"/>
  <c r="C33" i="5"/>
  <c r="B67" i="5" s="1"/>
  <c r="C67" i="5" s="1"/>
  <c r="E67" i="5" s="1"/>
  <c r="G31" i="5"/>
  <c r="B99" i="5" s="1"/>
  <c r="C99" i="5" s="1"/>
  <c r="E99" i="5" s="1"/>
  <c r="E32" i="5"/>
  <c r="M34" i="5"/>
  <c r="R34" i="5" s="1"/>
  <c r="L34" i="5"/>
  <c r="Q34" i="5" s="1"/>
  <c r="U34" i="5"/>
  <c r="V34" i="5"/>
  <c r="W34" i="5"/>
  <c r="K34" i="5"/>
  <c r="I34" i="5"/>
  <c r="T34" i="5"/>
  <c r="S34" i="5"/>
  <c r="J34" i="5"/>
  <c r="O34" i="5" s="1"/>
  <c r="P34" i="5"/>
  <c r="D102" i="5"/>
  <c r="D68" i="5"/>
  <c r="N34" i="5"/>
  <c r="B35" i="5" l="1"/>
  <c r="L99" i="5"/>
  <c r="L67" i="5"/>
  <c r="C34" i="5"/>
  <c r="B68" i="5" s="1"/>
  <c r="C68" i="5" s="1"/>
  <c r="E68" i="5" s="1"/>
  <c r="G32" i="5"/>
  <c r="B100" i="5" s="1"/>
  <c r="C100" i="5" s="1"/>
  <c r="E100" i="5" s="1"/>
  <c r="E33" i="5"/>
  <c r="I35" i="5"/>
  <c r="K35" i="5"/>
  <c r="V35" i="5"/>
  <c r="L35" i="5"/>
  <c r="Q35" i="5" s="1"/>
  <c r="M35" i="5"/>
  <c r="R35" i="5" s="1"/>
  <c r="T35" i="5"/>
  <c r="W35" i="5"/>
  <c r="J35" i="5"/>
  <c r="O35" i="5" s="1"/>
  <c r="S35" i="5"/>
  <c r="U35" i="5"/>
  <c r="N35" i="5"/>
  <c r="D69" i="5"/>
  <c r="P35" i="5"/>
  <c r="D103" i="5"/>
  <c r="B36" i="5" l="1"/>
  <c r="L100" i="5"/>
  <c r="L68" i="5"/>
  <c r="C35" i="5"/>
  <c r="B69" i="5" s="1"/>
  <c r="C69" i="5" s="1"/>
  <c r="E69" i="5" s="1"/>
  <c r="G33" i="5"/>
  <c r="B101" i="5" s="1"/>
  <c r="C101" i="5" s="1"/>
  <c r="E101" i="5" s="1"/>
  <c r="E34" i="5"/>
  <c r="L36" i="5"/>
  <c r="Q36" i="5" s="1"/>
  <c r="M36" i="5"/>
  <c r="R36" i="5" s="1"/>
  <c r="T36" i="5"/>
  <c r="S36" i="5"/>
  <c r="U36" i="5"/>
  <c r="I36" i="5"/>
  <c r="W36" i="5"/>
  <c r="K36" i="5"/>
  <c r="V36" i="5"/>
  <c r="J36" i="5"/>
  <c r="O36" i="5" s="1"/>
  <c r="N36" i="5"/>
  <c r="D70" i="5"/>
  <c r="P36" i="5"/>
  <c r="D104" i="5"/>
  <c r="B37" i="5" l="1"/>
  <c r="L101" i="5"/>
  <c r="L69" i="5"/>
  <c r="G34" i="5"/>
  <c r="B102" i="5" s="1"/>
  <c r="C102" i="5" s="1"/>
  <c r="E102" i="5" s="1"/>
  <c r="E35" i="5"/>
  <c r="C36" i="5"/>
  <c r="B70" i="5" s="1"/>
  <c r="C70" i="5" s="1"/>
  <c r="E70" i="5" s="1"/>
  <c r="K37" i="5"/>
  <c r="V37" i="5"/>
  <c r="M37" i="5"/>
  <c r="R37" i="5" s="1"/>
  <c r="L37" i="5"/>
  <c r="Q37" i="5" s="1"/>
  <c r="J37" i="5"/>
  <c r="O37" i="5" s="1"/>
  <c r="U37" i="5"/>
  <c r="I37" i="5"/>
  <c r="T37" i="5"/>
  <c r="S37" i="5"/>
  <c r="W37" i="5"/>
  <c r="P37" i="5"/>
  <c r="D105" i="5"/>
  <c r="N37" i="5"/>
  <c r="D71" i="5"/>
  <c r="B38" i="5" l="1"/>
  <c r="L70" i="5"/>
  <c r="L102" i="5"/>
  <c r="G35" i="5"/>
  <c r="B103" i="5" s="1"/>
  <c r="C103" i="5" s="1"/>
  <c r="E103" i="5" s="1"/>
  <c r="E36" i="5"/>
  <c r="C37" i="5"/>
  <c r="B71" i="5" s="1"/>
  <c r="C71" i="5" s="1"/>
  <c r="E71" i="5" s="1"/>
  <c r="I38" i="5"/>
  <c r="M38" i="5"/>
  <c r="R38" i="5" s="1"/>
  <c r="S38" i="5"/>
  <c r="T38" i="5"/>
  <c r="V38" i="5"/>
  <c r="L38" i="5"/>
  <c r="Q38" i="5" s="1"/>
  <c r="J38" i="5"/>
  <c r="O38" i="5" s="1"/>
  <c r="W38" i="5"/>
  <c r="K38" i="5"/>
  <c r="U38" i="5"/>
  <c r="N38" i="5"/>
  <c r="D72" i="5"/>
  <c r="P38" i="5"/>
  <c r="D106" i="5"/>
  <c r="B39" i="5" l="1"/>
  <c r="L103" i="5"/>
  <c r="L71" i="5"/>
  <c r="C38" i="5"/>
  <c r="B72" i="5" s="1"/>
  <c r="C72" i="5" s="1"/>
  <c r="E72" i="5" s="1"/>
  <c r="E37" i="5"/>
  <c r="G36" i="5"/>
  <c r="B104" i="5" s="1"/>
  <c r="C104" i="5" s="1"/>
  <c r="E104" i="5" s="1"/>
  <c r="L39" i="5"/>
  <c r="Q39" i="5" s="1"/>
  <c r="M39" i="5"/>
  <c r="R39" i="5" s="1"/>
  <c r="K39" i="5"/>
  <c r="V39" i="5"/>
  <c r="S39" i="5"/>
  <c r="W39" i="5"/>
  <c r="J39" i="5"/>
  <c r="O39" i="5" s="1"/>
  <c r="U39" i="5"/>
  <c r="I39" i="5"/>
  <c r="T39" i="5"/>
  <c r="P39" i="5"/>
  <c r="D107" i="5"/>
  <c r="D73" i="5"/>
  <c r="N39" i="5"/>
  <c r="B40" i="5" l="1"/>
  <c r="L104" i="5"/>
  <c r="L72" i="5"/>
  <c r="C39" i="5"/>
  <c r="B73" i="5" s="1"/>
  <c r="C73" i="5" s="1"/>
  <c r="E73" i="5" s="1"/>
  <c r="G37" i="5"/>
  <c r="B105" i="5" s="1"/>
  <c r="C105" i="5" s="1"/>
  <c r="E105" i="5" s="1"/>
  <c r="E38" i="5"/>
  <c r="J40" i="5"/>
  <c r="O40" i="5" s="1"/>
  <c r="U40" i="5"/>
  <c r="S40" i="5"/>
  <c r="L40" i="5"/>
  <c r="Q40" i="5" s="1"/>
  <c r="I40" i="5"/>
  <c r="T40" i="5"/>
  <c r="M40" i="5"/>
  <c r="R40" i="5" s="1"/>
  <c r="W40" i="5"/>
  <c r="K40" i="5"/>
  <c r="V40" i="5"/>
  <c r="N40" i="5"/>
  <c r="D74" i="5"/>
  <c r="P40" i="5"/>
  <c r="D108" i="5"/>
  <c r="B41" i="5" l="1"/>
  <c r="L105" i="5"/>
  <c r="L73" i="5"/>
  <c r="G38" i="5"/>
  <c r="B106" i="5" s="1"/>
  <c r="C106" i="5" s="1"/>
  <c r="E106" i="5" s="1"/>
  <c r="E39" i="5"/>
  <c r="C40" i="5"/>
  <c r="B74" i="5" s="1"/>
  <c r="C74" i="5" s="1"/>
  <c r="E74" i="5" s="1"/>
  <c r="I41" i="5"/>
  <c r="K41" i="5"/>
  <c r="L41" i="5"/>
  <c r="Q41" i="5" s="1"/>
  <c r="S41" i="5"/>
  <c r="T41" i="5"/>
  <c r="M41" i="5"/>
  <c r="R41" i="5" s="1"/>
  <c r="W41" i="5"/>
  <c r="V41" i="5"/>
  <c r="J41" i="5"/>
  <c r="O41" i="5" s="1"/>
  <c r="U41" i="5"/>
  <c r="N41" i="5"/>
  <c r="D75" i="5"/>
  <c r="P41" i="5"/>
  <c r="D109" i="5"/>
  <c r="L74" i="5" l="1"/>
  <c r="L106" i="5"/>
  <c r="G39" i="5"/>
  <c r="B107" i="5" s="1"/>
  <c r="C107" i="5" s="1"/>
  <c r="E107" i="5" s="1"/>
  <c r="E40" i="5"/>
  <c r="C41" i="5"/>
  <c r="B75" i="5" s="1"/>
  <c r="C75" i="5" s="1"/>
  <c r="E75" i="5" s="1"/>
  <c r="L75" i="5" l="1"/>
  <c r="L107" i="5"/>
  <c r="E41" i="5"/>
  <c r="G40" i="5"/>
  <c r="B108" i="5" s="1"/>
  <c r="C108" i="5" s="1"/>
  <c r="E108" i="5" s="1"/>
  <c r="L108" i="5" l="1"/>
  <c r="G41" i="5"/>
  <c r="B109" i="5" s="1"/>
  <c r="C109" i="5" s="1"/>
  <c r="E109" i="5" s="1"/>
  <c r="L109" i="5" l="1"/>
  <c r="E19" i="5" l="1"/>
  <c r="E25" i="5"/>
  <c r="E18" i="5"/>
  <c r="G27" i="5"/>
  <c r="B95" i="5" s="1"/>
  <c r="C95" i="5" s="1"/>
  <c r="E95" i="5" s="1"/>
  <c r="E15" i="5"/>
  <c r="G12" i="5"/>
  <c r="B80" i="5" s="1"/>
  <c r="C80" i="5" s="1"/>
  <c r="E80" i="5" s="1"/>
  <c r="E16" i="5"/>
  <c r="E24" i="5"/>
  <c r="G26" i="5"/>
  <c r="B94" i="5" s="1"/>
  <c r="C94" i="5" s="1"/>
  <c r="E94" i="5" s="1"/>
  <c r="G16" i="5"/>
  <c r="B84" i="5" s="1"/>
  <c r="C84" i="5" s="1"/>
  <c r="E84" i="5" s="1"/>
  <c r="E20" i="5"/>
  <c r="G25" i="5"/>
  <c r="B93" i="5" s="1"/>
  <c r="C93" i="5" s="1"/>
  <c r="E93" i="5" s="1"/>
  <c r="G13" i="5"/>
  <c r="B81" i="5" s="1"/>
  <c r="C81" i="5" s="1"/>
  <c r="E81" i="5" s="1"/>
  <c r="G23" i="5"/>
  <c r="B91" i="5" s="1"/>
  <c r="C91" i="5" s="1"/>
  <c r="E91" i="5" s="1"/>
  <c r="G17" i="5"/>
  <c r="B85" i="5" s="1"/>
  <c r="C85" i="5" s="1"/>
  <c r="E85" i="5" s="1"/>
  <c r="G22" i="5"/>
  <c r="B90" i="5" s="1"/>
  <c r="C90" i="5" s="1"/>
  <c r="E90" i="5" s="1"/>
  <c r="E23" i="5"/>
  <c r="E17" i="5"/>
  <c r="G24" i="5"/>
  <c r="B92" i="5" s="1"/>
  <c r="C92" i="5" s="1"/>
  <c r="E92" i="5" s="1"/>
  <c r="E13" i="5"/>
  <c r="G20" i="5"/>
  <c r="B88" i="5" s="1"/>
  <c r="C88" i="5" s="1"/>
  <c r="E88" i="5" s="1"/>
  <c r="E21" i="5"/>
  <c r="G18" i="5"/>
  <c r="B86" i="5" s="1"/>
  <c r="C86" i="5" s="1"/>
  <c r="E86" i="5" s="1"/>
  <c r="E22" i="5"/>
  <c r="E12" i="5"/>
  <c r="G14" i="5"/>
  <c r="B82" i="5" s="1"/>
  <c r="C82" i="5" s="1"/>
  <c r="E82" i="5" s="1"/>
  <c r="E14" i="5"/>
  <c r="G19" i="5"/>
  <c r="B87" i="5" s="1"/>
  <c r="C87" i="5" s="1"/>
  <c r="E87" i="5" s="1"/>
  <c r="E26" i="5"/>
  <c r="G21" i="5"/>
  <c r="B89" i="5" s="1"/>
  <c r="C89" i="5" s="1"/>
  <c r="E89" i="5" s="1"/>
  <c r="E27" i="5"/>
  <c r="G15" i="5"/>
  <c r="B83" i="5" s="1"/>
  <c r="C83" i="5" s="1"/>
  <c r="E83" i="5" s="1"/>
  <c r="L89" i="5" l="1"/>
  <c r="L94" i="5"/>
  <c r="L88" i="5"/>
  <c r="L80" i="5"/>
  <c r="L90" i="5"/>
  <c r="L92" i="5"/>
  <c r="L87" i="5"/>
  <c r="L86" i="5"/>
  <c r="L81" i="5"/>
  <c r="L83" i="5"/>
  <c r="L85" i="5"/>
  <c r="L84" i="5"/>
  <c r="L82" i="5"/>
  <c r="L91" i="5"/>
  <c r="L93" i="5"/>
  <c r="L95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I7" authorId="0" shapeId="0" xr:uid="{A33B59CC-991D-4288-824B-62CFED665C9F}">
      <text>
        <r>
          <rPr>
            <b/>
            <sz val="9"/>
            <color indexed="81"/>
            <rFont val="宋体"/>
            <family val="3"/>
            <charset val="134"/>
          </rPr>
          <t>手动调试使实际调整系数与预期匹配</t>
        </r>
      </text>
    </comment>
    <comment ref="K31" authorId="0" shapeId="0" xr:uid="{CB7BB44E-D021-44D8-8FF3-0E5ACAB2D63E}">
      <text>
        <r>
          <rPr>
            <b/>
            <sz val="9"/>
            <color indexed="81"/>
            <rFont val="宋体"/>
            <family val="3"/>
            <charset val="134"/>
          </rPr>
          <t>手动调试使实际调整系数与预期匹配</t>
        </r>
      </text>
    </comment>
  </commentList>
</comments>
</file>

<file path=xl/sharedStrings.xml><?xml version="1.0" encoding="utf-8"?>
<sst xmlns="http://schemas.openxmlformats.org/spreadsheetml/2006/main" count="223" uniqueCount="120">
  <si>
    <t>a</t>
    <phoneticPr fontId="1" type="noConversion"/>
  </si>
  <si>
    <t>士兵攻击</t>
    <phoneticPr fontId="1" type="noConversion"/>
  </si>
  <si>
    <t>h</t>
    <phoneticPr fontId="1" type="noConversion"/>
  </si>
  <si>
    <t>士兵生命</t>
    <phoneticPr fontId="1" type="noConversion"/>
  </si>
  <si>
    <t>n</t>
    <phoneticPr fontId="1" type="noConversion"/>
  </si>
  <si>
    <t>士兵兵力</t>
    <phoneticPr fontId="1" type="noConversion"/>
  </si>
  <si>
    <t>A</t>
    <phoneticPr fontId="1" type="noConversion"/>
  </si>
  <si>
    <t>武将攻击</t>
    <phoneticPr fontId="1" type="noConversion"/>
  </si>
  <si>
    <t>H</t>
    <phoneticPr fontId="1" type="noConversion"/>
  </si>
  <si>
    <t>武将生命</t>
    <phoneticPr fontId="1" type="noConversion"/>
  </si>
  <si>
    <t>u</t>
    <phoneticPr fontId="1" type="noConversion"/>
  </si>
  <si>
    <t>士兵受击概率</t>
    <phoneticPr fontId="1" type="noConversion"/>
  </si>
  <si>
    <t>v</t>
    <phoneticPr fontId="1" type="noConversion"/>
  </si>
  <si>
    <t>武将受击概率</t>
    <phoneticPr fontId="1" type="noConversion"/>
  </si>
  <si>
    <t>BOSS队伍变量说明（单只部队）</t>
    <phoneticPr fontId="1" type="noConversion"/>
  </si>
  <si>
    <t>t</t>
    <phoneticPr fontId="1" type="noConversion"/>
  </si>
  <si>
    <t>战斗时间</t>
    <phoneticPr fontId="1" type="noConversion"/>
  </si>
  <si>
    <t>由兰切斯特方程可以得到在将兵模式的战斗中，存在如下两组等式（1，2分别代表两只部队）</t>
    <phoneticPr fontId="1" type="noConversion"/>
  </si>
  <si>
    <t>如果两只部队要做到势均力敌，则上述两组等式可以两两相除得到</t>
    <phoneticPr fontId="1" type="noConversion"/>
  </si>
  <si>
    <t>根据等式可以解释为：部队1士兵总能量=部队2士兵总能量，部队1武将总能量=部队2武将总能量</t>
    <phoneticPr fontId="1" type="noConversion"/>
  </si>
  <si>
    <r>
      <t>d(n</t>
    </r>
    <r>
      <rPr>
        <vertAlign val="subscript"/>
        <sz val="9"/>
        <color theme="1"/>
        <rFont val="等线"/>
        <family val="3"/>
        <charset val="134"/>
        <scheme val="minor"/>
      </rPr>
      <t>t</t>
    </r>
    <r>
      <rPr>
        <sz val="9"/>
        <color theme="1"/>
        <rFont val="等线"/>
        <family val="2"/>
        <scheme val="minor"/>
      </rPr>
      <t>1h1)/d(t)=(a2*n</t>
    </r>
    <r>
      <rPr>
        <vertAlign val="subscript"/>
        <sz val="9"/>
        <color theme="1"/>
        <rFont val="等线"/>
        <family val="3"/>
        <charset val="134"/>
        <scheme val="minor"/>
      </rPr>
      <t>t</t>
    </r>
    <r>
      <rPr>
        <sz val="9"/>
        <color theme="1"/>
        <rFont val="等线"/>
        <family val="2"/>
        <scheme val="minor"/>
      </rPr>
      <t>2+A2)*u</t>
    </r>
    <phoneticPr fontId="1" type="noConversion"/>
  </si>
  <si>
    <r>
      <t>d(H</t>
    </r>
    <r>
      <rPr>
        <vertAlign val="subscript"/>
        <sz val="9"/>
        <color theme="1"/>
        <rFont val="等线"/>
        <family val="3"/>
        <charset val="134"/>
        <scheme val="minor"/>
      </rPr>
      <t>t</t>
    </r>
    <r>
      <rPr>
        <sz val="9"/>
        <color theme="1"/>
        <rFont val="等线"/>
        <family val="2"/>
        <scheme val="minor"/>
      </rPr>
      <t>1)/d(t)=(a2*n</t>
    </r>
    <r>
      <rPr>
        <vertAlign val="subscript"/>
        <sz val="9"/>
        <color theme="1"/>
        <rFont val="等线"/>
        <family val="3"/>
        <charset val="134"/>
        <scheme val="minor"/>
      </rPr>
      <t>t</t>
    </r>
    <r>
      <rPr>
        <sz val="9"/>
        <color theme="1"/>
        <rFont val="等线"/>
        <family val="2"/>
        <scheme val="minor"/>
      </rPr>
      <t>2+A2)*v</t>
    </r>
    <phoneticPr fontId="1" type="noConversion"/>
  </si>
  <si>
    <r>
      <t>d(n</t>
    </r>
    <r>
      <rPr>
        <vertAlign val="subscript"/>
        <sz val="9"/>
        <color theme="1"/>
        <rFont val="等线"/>
        <family val="3"/>
        <charset val="134"/>
        <scheme val="minor"/>
      </rPr>
      <t>t</t>
    </r>
    <r>
      <rPr>
        <sz val="9"/>
        <color theme="1"/>
        <rFont val="等线"/>
        <family val="2"/>
        <scheme val="minor"/>
      </rPr>
      <t>2h2)/d(t)=(a1*n</t>
    </r>
    <r>
      <rPr>
        <vertAlign val="subscript"/>
        <sz val="9"/>
        <color theme="1"/>
        <rFont val="等线"/>
        <family val="3"/>
        <charset val="134"/>
        <scheme val="minor"/>
      </rPr>
      <t>t</t>
    </r>
    <r>
      <rPr>
        <sz val="9"/>
        <color theme="1"/>
        <rFont val="等线"/>
        <family val="2"/>
        <scheme val="minor"/>
      </rPr>
      <t>1+A1)*u</t>
    </r>
    <phoneticPr fontId="1" type="noConversion"/>
  </si>
  <si>
    <r>
      <t>d(H</t>
    </r>
    <r>
      <rPr>
        <vertAlign val="subscript"/>
        <sz val="9"/>
        <color theme="1"/>
        <rFont val="等线"/>
        <family val="3"/>
        <charset val="134"/>
        <scheme val="minor"/>
      </rPr>
      <t>t</t>
    </r>
    <r>
      <rPr>
        <sz val="9"/>
        <color theme="1"/>
        <rFont val="等线"/>
        <family val="2"/>
        <scheme val="minor"/>
      </rPr>
      <t>2)/d(t)=(a1*n</t>
    </r>
    <r>
      <rPr>
        <vertAlign val="subscript"/>
        <sz val="9"/>
        <color theme="1"/>
        <rFont val="等线"/>
        <family val="3"/>
        <charset val="134"/>
        <scheme val="minor"/>
      </rPr>
      <t>t</t>
    </r>
    <r>
      <rPr>
        <sz val="9"/>
        <color theme="1"/>
        <rFont val="等线"/>
        <family val="2"/>
        <scheme val="minor"/>
      </rPr>
      <t>1+A1)*v</t>
    </r>
    <phoneticPr fontId="1" type="noConversion"/>
  </si>
  <si>
    <r>
      <t>(a1*n</t>
    </r>
    <r>
      <rPr>
        <vertAlign val="subscript"/>
        <sz val="9"/>
        <color theme="1"/>
        <rFont val="等线"/>
        <family val="3"/>
        <charset val="134"/>
        <scheme val="minor"/>
      </rPr>
      <t>t</t>
    </r>
    <r>
      <rPr>
        <sz val="9"/>
        <color theme="1"/>
        <rFont val="等线"/>
        <family val="2"/>
        <scheme val="minor"/>
      </rPr>
      <t>1+A1)*u*d(n</t>
    </r>
    <r>
      <rPr>
        <vertAlign val="subscript"/>
        <sz val="9"/>
        <color theme="1"/>
        <rFont val="等线"/>
        <family val="3"/>
        <charset val="134"/>
        <scheme val="minor"/>
      </rPr>
      <t>t</t>
    </r>
    <r>
      <rPr>
        <sz val="9"/>
        <color theme="1"/>
        <rFont val="等线"/>
        <family val="2"/>
        <scheme val="minor"/>
      </rPr>
      <t>1h1)=(a2*n</t>
    </r>
    <r>
      <rPr>
        <vertAlign val="subscript"/>
        <sz val="9"/>
        <color theme="1"/>
        <rFont val="等线"/>
        <family val="3"/>
        <charset val="134"/>
        <scheme val="minor"/>
      </rPr>
      <t>t</t>
    </r>
    <r>
      <rPr>
        <sz val="9"/>
        <color theme="1"/>
        <rFont val="等线"/>
        <family val="2"/>
        <scheme val="minor"/>
      </rPr>
      <t>2+A2)*u*d(n</t>
    </r>
    <r>
      <rPr>
        <vertAlign val="subscript"/>
        <sz val="9"/>
        <color theme="1"/>
        <rFont val="等线"/>
        <family val="3"/>
        <charset val="134"/>
        <scheme val="minor"/>
      </rPr>
      <t>t</t>
    </r>
    <r>
      <rPr>
        <sz val="9"/>
        <color theme="1"/>
        <rFont val="等线"/>
        <family val="2"/>
        <scheme val="minor"/>
      </rPr>
      <t>2h2)</t>
    </r>
    <phoneticPr fontId="1" type="noConversion"/>
  </si>
  <si>
    <r>
      <t>(a1*n</t>
    </r>
    <r>
      <rPr>
        <vertAlign val="subscript"/>
        <sz val="9"/>
        <color theme="1"/>
        <rFont val="等线"/>
        <family val="3"/>
        <charset val="134"/>
        <scheme val="minor"/>
      </rPr>
      <t>t</t>
    </r>
    <r>
      <rPr>
        <sz val="9"/>
        <color theme="1"/>
        <rFont val="等线"/>
        <family val="2"/>
        <scheme val="minor"/>
      </rPr>
      <t>1+A1)*v*d(H</t>
    </r>
    <r>
      <rPr>
        <vertAlign val="subscript"/>
        <sz val="9"/>
        <color theme="1"/>
        <rFont val="等线"/>
        <family val="3"/>
        <charset val="134"/>
        <scheme val="minor"/>
      </rPr>
      <t>t</t>
    </r>
    <r>
      <rPr>
        <sz val="9"/>
        <color theme="1"/>
        <rFont val="等线"/>
        <family val="2"/>
        <scheme val="minor"/>
      </rPr>
      <t>1)=(a2*n</t>
    </r>
    <r>
      <rPr>
        <vertAlign val="subscript"/>
        <sz val="9"/>
        <color theme="1"/>
        <rFont val="等线"/>
        <family val="3"/>
        <charset val="134"/>
        <scheme val="minor"/>
      </rPr>
      <t>t</t>
    </r>
    <r>
      <rPr>
        <sz val="9"/>
        <color theme="1"/>
        <rFont val="等线"/>
        <family val="2"/>
        <scheme val="minor"/>
      </rPr>
      <t>2+A2)*v*d(H</t>
    </r>
    <r>
      <rPr>
        <vertAlign val="subscript"/>
        <sz val="9"/>
        <color theme="1"/>
        <rFont val="等线"/>
        <family val="3"/>
        <charset val="134"/>
        <scheme val="minor"/>
      </rPr>
      <t>t</t>
    </r>
    <r>
      <rPr>
        <sz val="9"/>
        <color theme="1"/>
        <rFont val="等线"/>
        <family val="2"/>
        <scheme val="minor"/>
      </rPr>
      <t>2)</t>
    </r>
    <phoneticPr fontId="1" type="noConversion"/>
  </si>
  <si>
    <t>定义E为单只部队总能量，则可以列出公式</t>
    <phoneticPr fontId="1" type="noConversion"/>
  </si>
  <si>
    <r>
      <t>E=</t>
    </r>
    <r>
      <rPr>
        <sz val="9"/>
        <color theme="1"/>
        <rFont val="等线"/>
        <family val="2"/>
        <charset val="134"/>
      </rPr>
      <t>∫</t>
    </r>
    <r>
      <rPr>
        <sz val="9"/>
        <color theme="1"/>
        <rFont val="等线"/>
        <family val="2"/>
        <scheme val="minor"/>
      </rPr>
      <t>(a*n</t>
    </r>
    <r>
      <rPr>
        <vertAlign val="subscript"/>
        <sz val="9"/>
        <color theme="1"/>
        <rFont val="等线"/>
        <family val="3"/>
        <charset val="134"/>
        <scheme val="minor"/>
      </rPr>
      <t>t</t>
    </r>
    <r>
      <rPr>
        <sz val="9"/>
        <color theme="1"/>
        <rFont val="等线"/>
        <family val="2"/>
        <scheme val="minor"/>
      </rPr>
      <t>+A)*u*d(n</t>
    </r>
    <r>
      <rPr>
        <vertAlign val="subscript"/>
        <sz val="9"/>
        <color theme="1"/>
        <rFont val="等线"/>
        <family val="3"/>
        <charset val="134"/>
        <scheme val="minor"/>
      </rPr>
      <t>t</t>
    </r>
    <r>
      <rPr>
        <sz val="9"/>
        <color theme="1"/>
        <rFont val="等线"/>
        <family val="2"/>
        <scheme val="minor"/>
      </rPr>
      <t>h)+∫(a*n</t>
    </r>
    <r>
      <rPr>
        <vertAlign val="subscript"/>
        <sz val="9"/>
        <color theme="1"/>
        <rFont val="等线"/>
        <family val="3"/>
        <charset val="134"/>
        <scheme val="minor"/>
      </rPr>
      <t>t</t>
    </r>
    <r>
      <rPr>
        <sz val="9"/>
        <color theme="1"/>
        <rFont val="等线"/>
        <family val="2"/>
        <scheme val="minor"/>
      </rPr>
      <t>+A)*v*d(H</t>
    </r>
    <r>
      <rPr>
        <vertAlign val="subscript"/>
        <sz val="9"/>
        <color theme="1"/>
        <rFont val="等线"/>
        <family val="3"/>
        <charset val="134"/>
        <scheme val="minor"/>
      </rPr>
      <t>t</t>
    </r>
    <r>
      <rPr>
        <sz val="9"/>
        <color theme="1"/>
        <rFont val="等线"/>
        <family val="2"/>
        <scheme val="minor"/>
      </rPr>
      <t>)</t>
    </r>
    <phoneticPr fontId="1" type="noConversion"/>
  </si>
  <si>
    <r>
      <t>注：n</t>
    </r>
    <r>
      <rPr>
        <vertAlign val="subscript"/>
        <sz val="9"/>
        <color theme="1"/>
        <rFont val="等线"/>
        <family val="3"/>
        <charset val="134"/>
        <scheme val="minor"/>
      </rPr>
      <t>t</t>
    </r>
    <r>
      <rPr>
        <sz val="9"/>
        <color theme="1"/>
        <rFont val="等线"/>
        <family val="2"/>
        <scheme val="minor"/>
      </rPr>
      <t>取值范围为0到n，H</t>
    </r>
    <r>
      <rPr>
        <vertAlign val="subscript"/>
        <sz val="9"/>
        <color theme="1"/>
        <rFont val="等线"/>
        <family val="3"/>
        <charset val="134"/>
        <scheme val="minor"/>
      </rPr>
      <t>t</t>
    </r>
    <r>
      <rPr>
        <sz val="9"/>
        <color theme="1"/>
        <rFont val="等线"/>
        <family val="2"/>
        <scheme val="minor"/>
      </rPr>
      <t>取值范围为0到H，对H</t>
    </r>
    <r>
      <rPr>
        <vertAlign val="subscript"/>
        <sz val="9"/>
        <color theme="1"/>
        <rFont val="等线"/>
        <family val="3"/>
        <charset val="134"/>
        <scheme val="minor"/>
      </rPr>
      <t>t</t>
    </r>
    <r>
      <rPr>
        <sz val="9"/>
        <color theme="1"/>
        <rFont val="等线"/>
        <family val="2"/>
        <scheme val="minor"/>
      </rPr>
      <t>积分时n</t>
    </r>
    <r>
      <rPr>
        <vertAlign val="subscript"/>
        <sz val="9"/>
        <color theme="1"/>
        <rFont val="等线"/>
        <family val="3"/>
        <charset val="134"/>
        <scheme val="minor"/>
      </rPr>
      <t>t</t>
    </r>
    <r>
      <rPr>
        <sz val="9"/>
        <color theme="1"/>
        <rFont val="等线"/>
        <family val="2"/>
        <scheme val="minor"/>
      </rPr>
      <t>取值约为0.5n</t>
    </r>
    <phoneticPr fontId="1" type="noConversion"/>
  </si>
  <si>
    <t>积分得到</t>
    <phoneticPr fontId="1" type="noConversion"/>
  </si>
  <si>
    <t>E=(0.5*a*h*n*n+A*h*n)*u+(0.5*a*H*n+A*H)*v</t>
    <phoneticPr fontId="1" type="noConversion"/>
  </si>
  <si>
    <t>当战斗为多打一模式且BOSS在一个战斗场景中仅面对一个玩家队伍时有</t>
    <phoneticPr fontId="1" type="noConversion"/>
  </si>
  <si>
    <r>
      <t>E</t>
    </r>
    <r>
      <rPr>
        <vertAlign val="subscript"/>
        <sz val="9"/>
        <color theme="1"/>
        <rFont val="等线"/>
        <family val="3"/>
        <charset val="134"/>
        <scheme val="minor"/>
      </rPr>
      <t>boss</t>
    </r>
    <r>
      <rPr>
        <sz val="9"/>
        <color theme="1"/>
        <rFont val="等线"/>
        <family val="2"/>
        <scheme val="minor"/>
      </rPr>
      <t>=n*E</t>
    </r>
    <r>
      <rPr>
        <vertAlign val="subscript"/>
        <sz val="9"/>
        <color theme="1"/>
        <rFont val="等线"/>
        <family val="3"/>
        <charset val="134"/>
        <scheme val="minor"/>
      </rPr>
      <t>player</t>
    </r>
    <phoneticPr fontId="1" type="noConversion"/>
  </si>
  <si>
    <t>n即为BOSS预估能承受的玩家数量</t>
    <phoneticPr fontId="1" type="noConversion"/>
  </si>
  <si>
    <t>各R总能量与非R比例关系</t>
    <phoneticPr fontId="1" type="noConversion"/>
  </si>
  <si>
    <t>服务器生态（各r数量）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</si>
  <si>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</si>
  <si>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</si>
  <si>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</si>
  <si>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</si>
  <si>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</si>
  <si>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参数配置</t>
    <phoneticPr fontId="1" type="noConversion"/>
  </si>
  <si>
    <t>士兵受击概率u</t>
    <phoneticPr fontId="1" type="noConversion"/>
  </si>
  <si>
    <t>BOSS难度系数</t>
    <phoneticPr fontId="1" type="noConversion"/>
  </si>
  <si>
    <t>武将受击概率v</t>
    <phoneticPr fontId="1" type="noConversion"/>
  </si>
  <si>
    <t>队伍总部队数</t>
    <phoneticPr fontId="1" type="noConversion"/>
  </si>
  <si>
    <t>为便于观看，部队总能量缩小倍率</t>
    <phoneticPr fontId="1" type="noConversion"/>
  </si>
  <si>
    <t>BOSS士兵攻击调整系数</t>
    <phoneticPr fontId="1" type="noConversion"/>
  </si>
  <si>
    <t>BOSS士兵生命调整系数</t>
    <phoneticPr fontId="1" type="noConversion"/>
  </si>
  <si>
    <t>BOSS兵力调整系数</t>
    <phoneticPr fontId="1" type="noConversion"/>
  </si>
  <si>
    <t>BOSS武将攻击调整系数</t>
    <phoneticPr fontId="1" type="noConversion"/>
  </si>
  <si>
    <t>BOSS武将生命调整系数</t>
    <phoneticPr fontId="1" type="noConversion"/>
  </si>
  <si>
    <t>BOSS士兵攻击*兵力总调整系数</t>
    <phoneticPr fontId="1" type="noConversion"/>
  </si>
  <si>
    <t>实际难度调整系数</t>
    <phoneticPr fontId="1" type="noConversion"/>
  </si>
  <si>
    <t>玩家三维</t>
    <phoneticPr fontId="1" type="noConversion"/>
  </si>
  <si>
    <t>军团等级</t>
    <phoneticPr fontId="1" type="noConversion"/>
  </si>
  <si>
    <t>预估完成天数</t>
    <phoneticPr fontId="1" type="noConversion"/>
  </si>
  <si>
    <t>预估军团人数</t>
    <phoneticPr fontId="1" type="noConversion"/>
  </si>
  <si>
    <t>各R等级</t>
    <phoneticPr fontId="1" type="noConversion"/>
  </si>
  <si>
    <t>各R比例</t>
    <phoneticPr fontId="1" type="noConversion"/>
  </si>
  <si>
    <t>各R生态人数</t>
    <phoneticPr fontId="1" type="noConversion"/>
  </si>
  <si>
    <t>军团人数</t>
    <phoneticPr fontId="1" type="noConversion"/>
  </si>
  <si>
    <t>各R总能量</t>
    <phoneticPr fontId="1" type="noConversion"/>
  </si>
  <si>
    <t>对应非R等级</t>
    <phoneticPr fontId="1" type="noConversion"/>
  </si>
  <si>
    <t>各R能量</t>
    <phoneticPr fontId="1" type="noConversion"/>
  </si>
  <si>
    <t>玩家总能量</t>
    <phoneticPr fontId="1" type="noConversion"/>
  </si>
  <si>
    <t>BOSS数量</t>
    <phoneticPr fontId="1" type="noConversion"/>
  </si>
  <si>
    <t>单个BOSS总能量</t>
    <phoneticPr fontId="1" type="noConversion"/>
  </si>
  <si>
    <t>标准怪物总能量</t>
    <phoneticPr fontId="1" type="noConversion"/>
  </si>
  <si>
    <t>难度等级</t>
    <phoneticPr fontId="1" type="noConversion"/>
  </si>
  <si>
    <t>天数</t>
    <phoneticPr fontId="1" type="noConversion"/>
  </si>
  <si>
    <t>对应小R等级</t>
    <phoneticPr fontId="1" type="noConversion"/>
  </si>
  <si>
    <t>对应中R等级</t>
    <phoneticPr fontId="1" type="noConversion"/>
  </si>
  <si>
    <t>对应大R等级</t>
    <phoneticPr fontId="1" type="noConversion"/>
  </si>
  <si>
    <t>对应超R等级</t>
    <phoneticPr fontId="1" type="noConversion"/>
  </si>
  <si>
    <t>对应非R能量</t>
    <phoneticPr fontId="1" type="noConversion"/>
  </si>
  <si>
    <t>对应小R能量</t>
    <phoneticPr fontId="1" type="noConversion"/>
  </si>
  <si>
    <t>对应中R能量</t>
    <phoneticPr fontId="1" type="noConversion"/>
  </si>
  <si>
    <t>对应大R能量</t>
    <phoneticPr fontId="1" type="noConversion"/>
  </si>
  <si>
    <t>对应超R能量</t>
    <phoneticPr fontId="1" type="noConversion"/>
  </si>
  <si>
    <t>天数</t>
    <phoneticPr fontId="1" type="noConversion"/>
  </si>
  <si>
    <t>对应非R生态</t>
    <phoneticPr fontId="1" type="noConversion"/>
  </si>
  <si>
    <t>对应小R生态</t>
    <phoneticPr fontId="1" type="noConversion"/>
  </si>
  <si>
    <t>对应中R生态</t>
    <phoneticPr fontId="1" type="noConversion"/>
  </si>
  <si>
    <t>对应大R生态</t>
    <phoneticPr fontId="1" type="noConversion"/>
  </si>
  <si>
    <t>对应超R生态</t>
    <phoneticPr fontId="1" type="noConversion"/>
  </si>
  <si>
    <t>玩家队伍数量</t>
    <phoneticPr fontId="1" type="noConversion"/>
  </si>
  <si>
    <t>怪物队伍数量</t>
    <phoneticPr fontId="1" type="noConversion"/>
  </si>
  <si>
    <t>BOSS属性计算模板</t>
    <phoneticPr fontId="1" type="noConversion"/>
  </si>
  <si>
    <t>玩家队伍总能量</t>
    <phoneticPr fontId="1" type="noConversion"/>
  </si>
  <si>
    <t>玩家平均能量</t>
    <phoneticPr fontId="1" type="noConversion"/>
  </si>
  <si>
    <t>怪物标准能量</t>
    <phoneticPr fontId="1" type="noConversion"/>
  </si>
  <si>
    <t>BOSS难度系数（相当于N个标准怪物的总能量）</t>
    <phoneticPr fontId="1" type="noConversion"/>
  </si>
  <si>
    <t>士兵攻击调整系数</t>
    <phoneticPr fontId="1" type="noConversion"/>
  </si>
  <si>
    <t>武将攻击调整系数</t>
    <phoneticPr fontId="1" type="noConversion"/>
  </si>
  <si>
    <t>BOSS标准能量</t>
    <phoneticPr fontId="1" type="noConversion"/>
  </si>
  <si>
    <t>怪物数</t>
    <phoneticPr fontId="1" type="noConversion"/>
  </si>
  <si>
    <t>BOSS参与人数</t>
    <phoneticPr fontId="1" type="noConversion"/>
  </si>
  <si>
    <t>BOSS数</t>
    <phoneticPr fontId="1" type="noConversion"/>
  </si>
  <si>
    <t>对应天数</t>
    <phoneticPr fontId="1" type="noConversion"/>
  </si>
  <si>
    <t>单个怪物总能量</t>
    <phoneticPr fontId="1" type="noConversion"/>
  </si>
  <si>
    <t>怪物难度系数</t>
    <phoneticPr fontId="1" type="noConversion"/>
  </si>
  <si>
    <t>BOSS对应玩家总能量</t>
    <phoneticPr fontId="1" type="noConversion"/>
  </si>
  <si>
    <t>怪物士兵攻击调整系数</t>
    <phoneticPr fontId="1" type="noConversion"/>
  </si>
  <si>
    <t>怪物士兵生命调整系数</t>
    <phoneticPr fontId="1" type="noConversion"/>
  </si>
  <si>
    <t>怪物兵力调整系数</t>
    <phoneticPr fontId="1" type="noConversion"/>
  </si>
  <si>
    <t>怪物武将攻击调整系数</t>
    <phoneticPr fontId="1" type="noConversion"/>
  </si>
  <si>
    <t>怪物武将生命调整系数</t>
    <phoneticPr fontId="1" type="noConversion"/>
  </si>
  <si>
    <t>中间计算</t>
    <phoneticPr fontId="1" type="noConversion"/>
  </si>
  <si>
    <t>标准难度系数-实际难度系数</t>
    <phoneticPr fontId="1" type="noConversion"/>
  </si>
  <si>
    <t>难度等级</t>
    <phoneticPr fontId="1" type="noConversion"/>
  </si>
  <si>
    <t>对应非R等级</t>
    <phoneticPr fontId="1" type="noConversion"/>
  </si>
  <si>
    <t>玩家总能量</t>
    <phoneticPr fontId="1" type="noConversion"/>
  </si>
  <si>
    <t>中间计算</t>
    <phoneticPr fontId="1" type="noConversion"/>
  </si>
  <si>
    <t>怪物1参与人数</t>
    <phoneticPr fontId="1" type="noConversion"/>
  </si>
  <si>
    <t>怪物2参与人数</t>
    <phoneticPr fontId="1" type="noConversion"/>
  </si>
  <si>
    <t>怪物1对应玩家总能量</t>
    <phoneticPr fontId="1" type="noConversion"/>
  </si>
  <si>
    <t>当前值测试版本临时调整</t>
    <phoneticPr fontId="1" type="noConversion"/>
  </si>
  <si>
    <t>定义等级</t>
  </si>
  <si>
    <t>士兵兵力调整系数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</si>
</sst>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);[Red]\(0.00\)"/>
    <numFmt numFmtId="177" formatCode="0_);[Red]\(0\)"/>
    <numFmt numFmtId="178" formatCode="0.000_ "/>
    <numFmt numFmtId="179" formatCode="0.000_);[Red]\(0.000\)"/>
  </numFmts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9"/>
      <color theme="1"/>
      <name val="等线"/>
      <family val="2"/>
      <scheme val="minor"/>
    </font>
    <font>
      <vertAlign val="subscript"/>
      <sz val="9"/>
      <color theme="1"/>
      <name val="等线"/>
      <family val="3"/>
      <charset val="134"/>
      <scheme val="minor"/>
    </font>
    <font>
      <sz val="9"/>
      <color theme="1"/>
      <name val="等线"/>
      <family val="2"/>
      <charset val="134"/>
    </font>
    <font>
      <sz val="9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rgb="FFFF0000"/>
      <name val="等线"/>
      <family val="3"/>
      <charset val="134"/>
      <scheme val="minor"/>
    </font>
    <font>
      <sz val="9"/>
      <color theme="1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2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176" fontId="5" fillId="3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176" fontId="5" fillId="0" borderId="0" xfId="0" applyNumberFormat="1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177" fontId="5" fillId="3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179" fontId="5" fillId="3" borderId="0" xfId="0" applyNumberFormat="1" applyFont="1" applyFill="1" applyAlignment="1">
      <alignment horizontal="center" vertical="center"/>
    </xf>
    <xf numFmtId="0" fontId="5" fillId="5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176" fontId="8" fillId="0" borderId="1" xfId="0" applyNumberFormat="1" applyFont="1" applyFill="1" applyBorder="1" applyAlignment="1">
      <alignment horizontal="center" vertical="center"/>
    </xf>
    <xf numFmtId="176" fontId="8" fillId="2" borderId="1" xfId="0" applyNumberFormat="1" applyFont="1" applyFill="1" applyBorder="1" applyAlignment="1">
      <alignment horizontal="center" vertical="center"/>
    </xf>
    <xf numFmtId="176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59;&#25104;&#3492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91;&#22242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slg_cehua/trunk/&#25968;&#20540;&#25991;&#26723;/&#27963;&#21160;&#35774;&#35745;/&#31616;&#20307;/&#27963;&#21160;&#35774;&#35745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进度"/>
      <sheetName val="节奏总纲"/>
      <sheetName val="纲要"/>
      <sheetName val="问题"/>
      <sheetName val="资源-玩家经验"/>
      <sheetName val="资源-武将经验"/>
      <sheetName val="资源-装备经验"/>
      <sheetName val="功能-行军令"/>
      <sheetName val="功能-付费相关"/>
      <sheetName val="功能-采集"/>
      <sheetName val="功能-城建"/>
      <sheetName val="功能-实力"/>
      <sheetName val="资源-银币"/>
      <sheetName val="资源-铁"/>
      <sheetName val="资源-木石铜粮"/>
      <sheetName val="资源-战法经验"/>
      <sheetName val="功能-活动"/>
      <sheetName val="功能-士兵训练"/>
      <sheetName val="资源-士兵训练时间"/>
      <sheetName val="资源-玩家城池建筑时间"/>
      <sheetName val="资源-士兵招募时间"/>
      <sheetName val="资源-圣人研究时间"/>
      <sheetName val="养成buff汇总"/>
      <sheetName val="非养成buff汇总"/>
      <sheetName val="资源-钻石"/>
      <sheetName val="功能-分享问卷社区"/>
      <sheetName val="功能-战损相关"/>
      <sheetName val="服务器生态"/>
      <sheetName val="功能-仓库"/>
      <sheetName val="功能-士兵负重"/>
      <sheetName val="功能-竞技场"/>
      <sheetName val="功能-推荐任务"/>
      <sheetName val="功能-登录奖励"/>
      <sheetName val="功能-子任务"/>
      <sheetName val="功能-日常任务"/>
      <sheetName val="功能-九鼎之争"/>
      <sheetName val="调研"/>
      <sheetName val="资源-贡品"/>
      <sheetName val="资源-圣人好感度（废弃）"/>
      <sheetName val="资源-装备"/>
      <sheetName val="把控"/>
      <sheetName val="资源-时间分配"/>
      <sheetName val="功能-VIP"/>
      <sheetName val="草稿"/>
      <sheetName val="Sheet1"/>
      <sheetName val="Sheet4"/>
      <sheetName val="Sheet5"/>
      <sheetName val="功能-分享和问卷"/>
      <sheetName val="付费汇总"/>
      <sheetName val="资源-圣人好感度"/>
      <sheetName val="资源-城池"/>
      <sheetName val="资源-普通点将牌"/>
      <sheetName val="功能-主线副本"/>
      <sheetName val="功能-主线任务"/>
      <sheetName val="功能-成就"/>
      <sheetName val="功能-大地图"/>
      <sheetName val="功能-采集效率"/>
      <sheetName val="功能-付费占比汇总"/>
      <sheetName val="资源-国家币"/>
      <sheetName val="Sheet3"/>
      <sheetName val="功能-军团"/>
      <sheetName val="资源-士兵招募"/>
      <sheetName val="资源-抽奖卷"/>
      <sheetName val="功能-全局事件"/>
      <sheetName val="评分"/>
      <sheetName val="Sheet2"/>
      <sheetName val="资源-玩家城池建筑时间（备份）"/>
      <sheetName val="资源-战法"/>
      <sheetName val="资源-采集效率"/>
      <sheetName val="功能-圣人"/>
      <sheetName val="功能-国家城池"/>
      <sheetName val="功能-挑战副本"/>
      <sheetName val="资源-非养成buff价值"/>
      <sheetName val="资源-铁（备份）"/>
      <sheetName val="资源-木石铜（备份）"/>
      <sheetName val="功能-大地图城池"/>
    </sheetNames>
    <sheetDataSet>
      <sheetData sheetId="0"/>
      <sheetData sheetId="1">
        <row r="3">
          <cell r="F3">
            <v>1</v>
          </cell>
          <cell r="N3" t="str">
            <v>对应玩家等级</v>
          </cell>
        </row>
        <row r="4">
          <cell r="N4">
            <v>2</v>
          </cell>
          <cell r="P4">
            <v>7.1773462536293131E-2</v>
          </cell>
          <cell r="Q4">
            <v>5.9787294292732177E-2</v>
          </cell>
          <cell r="R4">
            <v>4.677476553490223E-2</v>
          </cell>
          <cell r="S4">
            <v>3.2585151991477081E-2</v>
          </cell>
          <cell r="T4">
            <v>1.7039020006115988E-2</v>
          </cell>
          <cell r="AD4">
            <v>10</v>
          </cell>
          <cell r="AE4">
            <v>11.148446722089302</v>
          </cell>
          <cell r="AF4">
            <v>12.761737853656415</v>
          </cell>
          <cell r="AG4">
            <v>15.452231935206081</v>
          </cell>
          <cell r="AH4">
            <v>21.291911942729964</v>
          </cell>
        </row>
        <row r="5">
          <cell r="N5">
            <v>4</v>
          </cell>
          <cell r="P5">
            <v>0.1486983549970351</v>
          </cell>
          <cell r="Q5">
            <v>0.12505531655250651</v>
          </cell>
          <cell r="R5">
            <v>9.883979656652922E-2</v>
          </cell>
          <cell r="S5">
            <v>6.9828747506607683E-2</v>
          </cell>
          <cell r="T5">
            <v>3.7085369736260552E-2</v>
          </cell>
          <cell r="AD5">
            <v>15.845161563010114</v>
          </cell>
          <cell r="AE5">
            <v>17.271997130667014</v>
          </cell>
          <cell r="AF5">
            <v>19.263096801323076</v>
          </cell>
          <cell r="AG5">
            <v>22.536681597650272</v>
          </cell>
          <cell r="AH5">
            <v>29.386000042029625</v>
          </cell>
        </row>
        <row r="6">
          <cell r="N6">
            <v>6</v>
          </cell>
          <cell r="P6">
            <v>0.23114441334491631</v>
          </cell>
          <cell r="Q6">
            <v>0.19582554698581309</v>
          </cell>
          <cell r="R6">
            <v>0.15616116565582547</v>
          </cell>
          <cell r="S6">
            <v>0.11120357726023924</v>
          </cell>
          <cell r="T6">
            <v>5.9380999788309005E-2</v>
          </cell>
          <cell r="AD6">
            <v>20</v>
          </cell>
          <cell r="AE6">
            <v>21.543844702365945</v>
          </cell>
          <cell r="AF6">
            <v>23.734615677065324</v>
          </cell>
          <cell r="AG6">
            <v>27.324610510337703</v>
          </cell>
          <cell r="AH6">
            <v>34.517938607173015</v>
          </cell>
        </row>
        <row r="7">
          <cell r="N7">
            <v>8</v>
          </cell>
          <cell r="P7">
            <v>0.3195079107728942</v>
          </cell>
          <cell r="Q7">
            <v>0.2719651336498875</v>
          </cell>
          <cell r="R7">
            <v>0.21816000147573214</v>
          </cell>
          <cell r="S7">
            <v>0.15607961441255883</v>
          </cell>
          <cell r="T7">
            <v>8.4062531324348461E-2</v>
          </cell>
          <cell r="AD7">
            <v>23.213386604241784</v>
          </cell>
          <cell r="AE7">
            <v>24.836966034810484</v>
          </cell>
          <cell r="AF7">
            <v>27.155717181399513</v>
          </cell>
          <cell r="AG7">
            <v>30.831257561377125</v>
          </cell>
          <cell r="AH7">
            <v>38.431365705145346</v>
          </cell>
        </row>
        <row r="8">
          <cell r="N8">
            <v>10</v>
          </cell>
          <cell r="P8">
            <v>0.41421356237309515</v>
          </cell>
          <cell r="Q8">
            <v>0.35241289886702937</v>
          </cell>
          <cell r="R8">
            <v>0.28315639123824782</v>
          </cell>
          <cell r="S8">
            <v>0.20296464556281663</v>
          </cell>
          <cell r="T8">
            <v>0.10951806589144637</v>
          </cell>
          <cell r="AD8">
            <v>25.845161563010112</v>
          </cell>
          <cell r="AE8">
            <v>27.525245270311611</v>
          </cell>
          <cell r="AF8">
            <v>29.892344464157688</v>
          </cell>
          <cell r="AG8">
            <v>33.672145166817529</v>
          </cell>
          <cell r="AH8">
            <v>41.359260538726978</v>
          </cell>
        </row>
        <row r="9">
          <cell r="N9">
            <v>12</v>
          </cell>
          <cell r="P9">
            <v>0.51571656651039799</v>
          </cell>
          <cell r="Q9">
            <v>0.43939051466685908</v>
          </cell>
          <cell r="R9">
            <v>0.35336899137292471</v>
          </cell>
          <cell r="S9">
            <v>0.25440298225957936</v>
          </cell>
          <cell r="T9">
            <v>0.13836675479473978</v>
          </cell>
          <cell r="AD9">
            <v>28.071211008105138</v>
          </cell>
          <cell r="AE9">
            <v>29.78183527117605</v>
          </cell>
          <cell r="AF9">
            <v>32.202183458664891</v>
          </cell>
          <cell r="AG9">
            <v>36.067019846099676</v>
          </cell>
          <cell r="AH9">
            <v>43.870275262019007</v>
          </cell>
        </row>
        <row r="10">
          <cell r="N10">
            <v>14</v>
          </cell>
          <cell r="P10">
            <v>0.62450479271247095</v>
          </cell>
          <cell r="Q10">
            <v>0.53413894920697635</v>
          </cell>
          <cell r="R10">
            <v>0.43072095553379119</v>
          </cell>
          <cell r="S10">
            <v>0.30950457526830061</v>
          </cell>
          <cell r="T10">
            <v>0.16699258157131475</v>
          </cell>
          <cell r="AD10">
            <v>30</v>
          </cell>
          <cell r="AE10">
            <v>31.718819483847451</v>
          </cell>
          <cell r="AF10">
            <v>34.192155176139416</v>
          </cell>
          <cell r="AG10">
            <v>38.19822972207853</v>
          </cell>
          <cell r="AH10">
            <v>46.093186357957826</v>
          </cell>
        </row>
        <row r="11">
          <cell r="N11">
            <v>16</v>
          </cell>
          <cell r="P11">
            <v>0.74110112659224825</v>
          </cell>
          <cell r="Q11">
            <v>0.63089938906798093</v>
          </cell>
          <cell r="R11">
            <v>0.50550507844857251</v>
          </cell>
          <cell r="S11">
            <v>0.36195379022765406</v>
          </cell>
          <cell r="T11">
            <v>0.19579891764567198</v>
          </cell>
          <cell r="AD11">
            <v>31.691928656135214</v>
          </cell>
          <cell r="AE11">
            <v>33.465251056098396</v>
          </cell>
          <cell r="AF11">
            <v>35.930751746472978</v>
          </cell>
          <cell r="AG11">
            <v>39.998279638578282</v>
          </cell>
          <cell r="AH11">
            <v>48.067140183443534</v>
          </cell>
        </row>
        <row r="12">
          <cell r="N12">
            <v>18</v>
          </cell>
          <cell r="P12">
            <v>0.86606598307361482</v>
          </cell>
          <cell r="Q12">
            <v>0.73702215159564621</v>
          </cell>
          <cell r="R12">
            <v>0.59282216541388932</v>
          </cell>
          <cell r="S12">
            <v>0.42766338244175101</v>
          </cell>
          <cell r="T12">
            <v>0.23193247026711403</v>
          </cell>
          <cell r="AD12">
            <v>33.213386604241784</v>
          </cell>
          <cell r="AE12">
            <v>34.992730785174565</v>
          </cell>
          <cell r="AF12">
            <v>37.510565846691456</v>
          </cell>
          <cell r="AG12">
            <v>41.534743419557365</v>
          </cell>
          <cell r="AH12">
            <v>49.706056771838036</v>
          </cell>
        </row>
        <row r="13">
          <cell r="N13">
            <v>20</v>
          </cell>
          <cell r="P13">
            <v>1</v>
          </cell>
          <cell r="Q13">
            <v>0.8548</v>
          </cell>
          <cell r="R13">
            <v>0.6895</v>
          </cell>
          <cell r="S13">
            <v>0.49980000000000002</v>
          </cell>
          <cell r="T13">
            <v>0.2732</v>
          </cell>
          <cell r="AD13">
            <v>34.585942742481357</v>
          </cell>
          <cell r="AE13">
            <v>36.36169634498642</v>
          </cell>
          <cell r="AF13">
            <v>38.977035507933373</v>
          </cell>
          <cell r="AG13">
            <v>42.970748198558951</v>
          </cell>
          <cell r="AH13">
            <v>51.212821897464167</v>
          </cell>
        </row>
        <row r="14">
          <cell r="N14">
            <v>21</v>
          </cell>
          <cell r="P14">
            <v>1.1435469250725863</v>
          </cell>
          <cell r="Q14">
            <v>0.98036277886472811</v>
          </cell>
          <cell r="R14">
            <v>0.79453640354043287</v>
          </cell>
          <cell r="S14">
            <v>0.57577587677404707</v>
          </cell>
          <cell r="T14">
            <v>0.31767733578516444</v>
          </cell>
          <cell r="AD14">
            <v>35.845161563010116</v>
          </cell>
          <cell r="AE14">
            <v>37.6388925299823</v>
          </cell>
          <cell r="AF14">
            <v>40.259528204263837</v>
          </cell>
          <cell r="AG14">
            <v>44.288230531994081</v>
          </cell>
          <cell r="AH14">
            <v>52.559419343629337</v>
          </cell>
        </row>
        <row r="15">
          <cell r="N15">
            <v>22</v>
          </cell>
          <cell r="P15">
            <v>1.2973967099940702</v>
          </cell>
          <cell r="Q15">
            <v>1.1126474184909145</v>
          </cell>
          <cell r="R15">
            <v>0.9058423829178599</v>
          </cell>
          <cell r="S15">
            <v>0.66219128078097333</v>
          </cell>
          <cell r="T15">
            <v>0.36560639287632896</v>
          </cell>
          <cell r="AD15">
            <v>37.004247194324648</v>
          </cell>
          <cell r="AE15">
            <v>38.827998824669805</v>
          </cell>
          <cell r="AF15">
            <v>41.408320762540754</v>
          </cell>
          <cell r="AG15">
            <v>45.500930067545958</v>
          </cell>
          <cell r="AH15">
            <v>53.855547243088772</v>
          </cell>
        </row>
        <row r="16">
          <cell r="N16">
            <v>23</v>
          </cell>
          <cell r="P16">
            <v>1.4622888266898326</v>
          </cell>
          <cell r="Q16">
            <v>1.2628326307293396</v>
          </cell>
          <cell r="R16">
            <v>1.0294513339896421</v>
          </cell>
          <cell r="S16">
            <v>0.75556463675063656</v>
          </cell>
          <cell r="T16">
            <v>0.41865329108129906</v>
          </cell>
          <cell r="AD16">
            <v>38.071211008105138</v>
          </cell>
          <cell r="AE16">
            <v>39.935302111946527</v>
          </cell>
          <cell r="AF16">
            <v>42.470214785133983</v>
          </cell>
          <cell r="AG16">
            <v>46.631096344914496</v>
          </cell>
          <cell r="AH16">
            <v>55.062101953238496</v>
          </cell>
        </row>
        <row r="17">
          <cell r="N17">
            <v>24</v>
          </cell>
          <cell r="P17">
            <v>1.6390158215457884</v>
          </cell>
          <cell r="Q17">
            <v>1.4136511460832426</v>
          </cell>
          <cell r="R17">
            <v>1.1545227446968533</v>
          </cell>
          <cell r="S17">
            <v>0.84605996708193598</v>
          </cell>
          <cell r="T17">
            <v>0.46810291863347719</v>
          </cell>
          <cell r="AD17">
            <v>39.066704614192943</v>
          </cell>
          <cell r="AE17">
            <v>40.935169244165145</v>
          </cell>
          <cell r="AF17">
            <v>43.484929789964411</v>
          </cell>
          <cell r="AG17">
            <v>47.711408234944486</v>
          </cell>
          <cell r="AH17">
            <v>56.165983112651688</v>
          </cell>
        </row>
        <row r="18">
          <cell r="N18">
            <v>25</v>
          </cell>
          <cell r="P18">
            <v>1.8284271247461898</v>
          </cell>
          <cell r="Q18">
            <v>1.5793953503557587</v>
          </cell>
          <cell r="R18">
            <v>1.2928808199080308</v>
          </cell>
          <cell r="S18">
            <v>0.94895367774327255</v>
          </cell>
          <cell r="T18">
            <v>0.5271355400643265</v>
          </cell>
          <cell r="AD18">
            <v>40</v>
          </cell>
          <cell r="AE18">
            <v>41.83669503626701</v>
          </cell>
          <cell r="AF18">
            <v>44.442238853326032</v>
          </cell>
          <cell r="AG18">
            <v>48.731413734867289</v>
          </cell>
          <cell r="AH18">
            <v>57.176846218996921</v>
          </cell>
        </row>
        <row r="19">
          <cell r="N19">
            <v>26</v>
          </cell>
          <cell r="P19">
            <v>2.031433133020796</v>
          </cell>
          <cell r="Q19">
            <v>1.7586116632561031</v>
          </cell>
          <cell r="R19">
            <v>1.4398798046851402</v>
          </cell>
          <cell r="S19">
            <v>1.0618300986299702</v>
          </cell>
          <cell r="T19">
            <v>0.59460047803518701</v>
          </cell>
          <cell r="AD19">
            <v>40.870795385807064</v>
          </cell>
          <cell r="AE19">
            <v>42.707142308553742</v>
          </cell>
          <cell r="AF19">
            <v>45.343250058486468</v>
          </cell>
          <cell r="AG19">
            <v>49.654306534727205</v>
          </cell>
          <cell r="AH19">
            <v>58.12511610143563</v>
          </cell>
        </row>
        <row r="20">
          <cell r="N20">
            <v>27</v>
          </cell>
          <cell r="P20">
            <v>2.2490095854249419</v>
          </cell>
          <cell r="Q20">
            <v>1.9433691827656923</v>
          </cell>
          <cell r="R20">
            <v>1.5904995788125189</v>
          </cell>
          <cell r="S20">
            <v>1.1742079045503622</v>
          </cell>
          <cell r="T20">
            <v>0.65311238360740309</v>
          </cell>
          <cell r="AD20">
            <v>41.691928656135218</v>
          </cell>
          <cell r="AE20">
            <v>43.535389560453282</v>
          </cell>
          <cell r="AF20">
            <v>46.195785611164197</v>
          </cell>
          <cell r="AG20">
            <v>50.510850036206186</v>
          </cell>
          <cell r="AH20">
            <v>58.996855914896834</v>
          </cell>
        </row>
        <row r="21">
          <cell r="N21">
            <v>28</v>
          </cell>
          <cell r="P21">
            <v>2.4822022531844965</v>
          </cell>
          <cell r="Q21">
            <v>2.1515729130603214</v>
          </cell>
          <cell r="R21">
            <v>1.7690655458445907</v>
          </cell>
          <cell r="S21">
            <v>1.3066312660763189</v>
          </cell>
          <cell r="T21">
            <v>0.72554771860582834</v>
          </cell>
          <cell r="AD21">
            <v>42.470630686057078</v>
          </cell>
          <cell r="AE21">
            <v>44.32123076997032</v>
          </cell>
          <cell r="AF21">
            <v>47.002405448181747</v>
          </cell>
          <cell r="AG21">
            <v>51.307235833425089</v>
          </cell>
          <cell r="AH21">
            <v>59.782901351568675</v>
          </cell>
        </row>
        <row r="22">
          <cell r="N22">
            <v>29</v>
          </cell>
          <cell r="P22">
            <v>2.7321319661472296</v>
          </cell>
          <cell r="Q22">
            <v>2.3734030389920986</v>
          </cell>
          <cell r="R22">
            <v>1.9510154370257367</v>
          </cell>
          <cell r="S22">
            <v>1.4395603329629754</v>
          </cell>
          <cell r="T22">
            <v>0.80270037165405606</v>
          </cell>
          <cell r="AD22">
            <v>43.213386604241784</v>
          </cell>
          <cell r="AE22">
            <v>45.070782602372333</v>
          </cell>
          <cell r="AF22">
            <v>47.752799438858894</v>
          </cell>
          <cell r="AG22">
            <v>52.050057424983954</v>
          </cell>
          <cell r="AH22">
            <v>60.54585273688761</v>
          </cell>
        </row>
        <row r="23">
          <cell r="N23">
            <v>30</v>
          </cell>
          <cell r="P23">
            <v>3</v>
          </cell>
          <cell r="Q23">
            <v>2.6036999999999999</v>
          </cell>
          <cell r="R23">
            <v>2.1372</v>
          </cell>
          <cell r="S23">
            <v>1.5800999999999998</v>
          </cell>
          <cell r="T23">
            <v>0.87990000000000002</v>
          </cell>
          <cell r="AD23">
            <v>43.920692243099523</v>
          </cell>
          <cell r="AE23">
            <v>45.780025086357675</v>
          </cell>
          <cell r="AF23">
            <v>48.482447528152484</v>
          </cell>
          <cell r="AG23">
            <v>52.769987980532711</v>
          </cell>
          <cell r="AH23">
            <v>61.261422558944936</v>
          </cell>
        </row>
        <row r="24">
          <cell r="N24">
            <v>31</v>
          </cell>
          <cell r="P24">
            <v>3.2870938501451725</v>
          </cell>
          <cell r="Q24">
            <v>2.8518826243859516</v>
          </cell>
          <cell r="R24">
            <v>2.3466562996186386</v>
          </cell>
          <cell r="S24">
            <v>1.7365716810316947</v>
          </cell>
          <cell r="T24">
            <v>0.97166494210291288</v>
          </cell>
          <cell r="AD24">
            <v>44.585942742481357</v>
          </cell>
          <cell r="AE24">
            <v>46.455967430551723</v>
          </cell>
          <cell r="AF24">
            <v>49.18886033229559</v>
          </cell>
          <cell r="AG24">
            <v>53.471660769826336</v>
          </cell>
          <cell r="AH24">
            <v>61.918453772109508</v>
          </cell>
        </row>
        <row r="25">
          <cell r="N25">
            <v>32</v>
          </cell>
          <cell r="P25">
            <v>3.5947934199881395</v>
          </cell>
          <cell r="Q25">
            <v>3.124234961311692</v>
          </cell>
          <cell r="R25">
            <v>2.5749505267375046</v>
          </cell>
          <cell r="S25">
            <v>1.9077568679877055</v>
          </cell>
          <cell r="T25">
            <v>1.0687320837624739</v>
          </cell>
          <cell r="AD25">
            <v>45.229416240679988</v>
          </cell>
          <cell r="AE25">
            <v>47.110426931480873</v>
          </cell>
          <cell r="AF25">
            <v>49.861837738505173</v>
          </cell>
          <cell r="AG25">
            <v>54.15637358335789</v>
          </cell>
          <cell r="AH25">
            <v>62.555781631668886</v>
          </cell>
        </row>
        <row r="26">
          <cell r="N26">
            <v>33</v>
          </cell>
          <cell r="P26">
            <v>3.9245776533796644</v>
          </cell>
          <cell r="Q26">
            <v>3.4081032341949005</v>
          </cell>
          <cell r="R26">
            <v>2.8064654799317976</v>
          </cell>
          <cell r="S26">
            <v>2.0796336985258841</v>
          </cell>
          <cell r="T26">
            <v>1.1608900698697047</v>
          </cell>
          <cell r="AD26">
            <v>45.845161563010116</v>
          </cell>
          <cell r="AE26">
            <v>47.734594805743399</v>
          </cell>
          <cell r="AF26">
            <v>50.503430607741265</v>
          </cell>
          <cell r="AG26">
            <v>54.814188287451351</v>
          </cell>
          <cell r="AH26">
            <v>63.182677965405439</v>
          </cell>
        </row>
        <row r="27">
          <cell r="N27">
            <v>34</v>
          </cell>
          <cell r="P27">
            <v>4.2780316430915768</v>
          </cell>
          <cell r="Q27">
            <v>3.7214597263253628</v>
          </cell>
          <cell r="R27">
            <v>3.0699155070825155</v>
          </cell>
          <cell r="S27">
            <v>2.2742016214674821</v>
          </cell>
          <cell r="T27">
            <v>1.2692919885052709</v>
          </cell>
          <cell r="AD27">
            <v>46.430041330048923</v>
          </cell>
          <cell r="AE27">
            <v>48.330142263709867</v>
          </cell>
          <cell r="AF27">
            <v>51.118578408701396</v>
          </cell>
          <cell r="AG27">
            <v>55.44072585486321</v>
          </cell>
          <cell r="AH27">
            <v>63.791742872142052</v>
          </cell>
        </row>
        <row r="28">
          <cell r="N28">
            <v>35</v>
          </cell>
          <cell r="P28">
            <v>4.6568542494923806</v>
          </cell>
          <cell r="Q28">
            <v>4.054257309608067</v>
          </cell>
          <cell r="R28">
            <v>3.3445527219854276</v>
          </cell>
          <cell r="S28">
            <v>2.478377831579845</v>
          </cell>
          <cell r="T28">
            <v>1.3802915995495415</v>
          </cell>
          <cell r="AD28">
            <v>47.004247194324648</v>
          </cell>
          <cell r="AE28">
            <v>48.904516930942819</v>
          </cell>
          <cell r="AF28">
            <v>51.667220029142385</v>
          </cell>
          <cell r="AG28">
            <v>56.05100027504308</v>
          </cell>
          <cell r="AH28">
            <v>64.398425477456215</v>
          </cell>
        </row>
        <row r="29">
          <cell r="N29">
            <v>36</v>
          </cell>
          <cell r="P29">
            <v>5.062866266041592</v>
          </cell>
          <cell r="Q29">
            <v>4.408743944469018</v>
          </cell>
          <cell r="R29">
            <v>3.63716312552428</v>
          </cell>
          <cell r="S29">
            <v>2.6914197070277099</v>
          </cell>
          <cell r="T29">
            <v>1.4996209880015197</v>
          </cell>
          <cell r="AD29">
            <v>47.540284631526092</v>
          </cell>
          <cell r="AE29">
            <v>49.446133440059114</v>
          </cell>
          <cell r="AF29">
            <v>52.199341027338768</v>
          </cell>
          <cell r="AG29">
            <v>56.621068614050692</v>
          </cell>
          <cell r="AH29">
            <v>65.00344105132713</v>
          </cell>
        </row>
        <row r="30">
          <cell r="N30">
            <v>37</v>
          </cell>
          <cell r="P30">
            <v>5.4980191708498847</v>
          </cell>
          <cell r="Q30">
            <v>4.7882248958931646</v>
          </cell>
          <cell r="R30">
            <v>3.9492271704214725</v>
          </cell>
          <cell r="S30">
            <v>2.9205477835554587</v>
          </cell>
          <cell r="T30">
            <v>1.6290630803228208</v>
          </cell>
          <cell r="AD30">
            <v>48.071211008105138</v>
          </cell>
          <cell r="AE30">
            <v>49.981218513907905</v>
          </cell>
          <cell r="AF30">
            <v>52.705993248660157</v>
          </cell>
          <cell r="AG30">
            <v>57.175765669822162</v>
          </cell>
          <cell r="AH30">
            <v>65.541743280100334</v>
          </cell>
        </row>
        <row r="31">
          <cell r="N31">
            <v>38</v>
          </cell>
          <cell r="P31">
            <v>5.9644045063689921</v>
          </cell>
          <cell r="Q31">
            <v>5.1914176823435705</v>
          </cell>
          <cell r="R31">
            <v>4.2752851501652938</v>
          </cell>
          <cell r="S31">
            <v>3.1653094715300236</v>
          </cell>
          <cell r="T31">
            <v>1.7738139001941382</v>
          </cell>
          <cell r="AD31">
            <v>48.571351621712928</v>
          </cell>
          <cell r="AE31">
            <v>50.509688493127967</v>
          </cell>
          <cell r="AF31">
            <v>53.212684955585161</v>
          </cell>
          <cell r="AG31">
            <v>57.699988965458331</v>
          </cell>
          <cell r="AH31">
            <v>66.076345334947405</v>
          </cell>
        </row>
        <row r="32">
          <cell r="N32">
            <v>39</v>
          </cell>
          <cell r="P32">
            <v>6.4642639322944575</v>
          </cell>
          <cell r="Q32">
            <v>5.6323131642081607</v>
          </cell>
          <cell r="R32">
            <v>4.6510378992858623</v>
          </cell>
          <cell r="S32">
            <v>3.4532097926316991</v>
          </cell>
          <cell r="T32">
            <v>1.9366934741154194</v>
          </cell>
          <cell r="AD32">
            <v>49.066704614192936</v>
          </cell>
          <cell r="AE32">
            <v>51.033341828534468</v>
          </cell>
          <cell r="AF32">
            <v>53.719431255885922</v>
          </cell>
          <cell r="AG32">
            <v>58.210135614815364</v>
          </cell>
          <cell r="AH32">
            <v>66.589764070576265</v>
          </cell>
        </row>
        <row r="33">
          <cell r="N33">
            <v>40</v>
          </cell>
          <cell r="P33">
            <v>7</v>
          </cell>
          <cell r="Q33">
            <v>6.1025999999999998</v>
          </cell>
          <cell r="R33">
            <v>5.0421000000000005</v>
          </cell>
          <cell r="S33">
            <v>3.7428999999999997</v>
          </cell>
          <cell r="T33">
            <v>2.1006999999999998</v>
          </cell>
          <cell r="AD33">
            <v>49.533352307096472</v>
          </cell>
          <cell r="AE33">
            <v>51.497823295559343</v>
          </cell>
          <cell r="AF33">
            <v>54.213705787583436</v>
          </cell>
          <cell r="AG33">
            <v>58.701446767877648</v>
          </cell>
          <cell r="AH33">
            <v>67.097551508592701</v>
          </cell>
        </row>
        <row r="34">
          <cell r="N34">
            <v>41</v>
          </cell>
          <cell r="P34">
            <v>7.5741877002903433</v>
          </cell>
          <cell r="Q34">
            <v>6.6115084435834408</v>
          </cell>
          <cell r="R34">
            <v>5.4632615882194253</v>
          </cell>
          <cell r="S34">
            <v>4.052190419655334</v>
          </cell>
          <cell r="T34">
            <v>2.2783156602473356</v>
          </cell>
          <cell r="AD34">
            <v>50</v>
          </cell>
          <cell r="AE34">
            <v>51.96230476258421</v>
          </cell>
          <cell r="AF34">
            <v>54.692509339255828</v>
          </cell>
          <cell r="AG34">
            <v>59.178112178215827</v>
          </cell>
          <cell r="AH34">
            <v>67.582949939226467</v>
          </cell>
        </row>
        <row r="35">
          <cell r="N35">
            <v>42</v>
          </cell>
          <cell r="P35">
            <v>8.189586839976279</v>
          </cell>
          <cell r="Q35">
            <v>7.1519661873512845</v>
          </cell>
          <cell r="R35">
            <v>5.906330028990892</v>
          </cell>
          <cell r="S35">
            <v>4.3855237528072974</v>
          </cell>
          <cell r="T35">
            <v>2.46506563883286</v>
          </cell>
          <cell r="AD35">
            <v>50.435397692903535</v>
          </cell>
          <cell r="AE35">
            <v>52.391506955233744</v>
          </cell>
          <cell r="AF35">
            <v>55.159275389027101</v>
          </cell>
          <cell r="AG35">
            <v>59.632093520341421</v>
          </cell>
          <cell r="AH35">
            <v>68.063981730538742</v>
          </cell>
        </row>
        <row r="36">
          <cell r="N36">
            <v>43</v>
          </cell>
          <cell r="P36">
            <v>8.8491553067593287</v>
          </cell>
          <cell r="Q36">
            <v>7.7120388498407557</v>
          </cell>
          <cell r="R36">
            <v>6.3696219898053652</v>
          </cell>
          <cell r="S36">
            <v>4.736067920177593</v>
          </cell>
          <cell r="T36">
            <v>2.6627108318038819</v>
          </cell>
          <cell r="AD36">
            <v>50.870795385807064</v>
          </cell>
          <cell r="AE36">
            <v>52.81759316022675</v>
          </cell>
          <cell r="AF36">
            <v>55.604435245632025</v>
          </cell>
          <cell r="AG36">
            <v>60.078368706270226</v>
          </cell>
          <cell r="AH36">
            <v>68.518369035696878</v>
          </cell>
        </row>
        <row r="37">
          <cell r="N37">
            <v>44</v>
          </cell>
          <cell r="P37">
            <v>9.5560632861831518</v>
          </cell>
          <cell r="Q37">
            <v>8.3309759728944712</v>
          </cell>
          <cell r="R37">
            <v>6.8918328419952886</v>
          </cell>
          <cell r="S37">
            <v>5.1287391656944967</v>
          </cell>
          <cell r="T37">
            <v>2.8811530807842201</v>
          </cell>
          <cell r="AD37">
            <v>51.285688244217212</v>
          </cell>
          <cell r="AE37">
            <v>53.226994578658328</v>
          </cell>
          <cell r="AF37">
            <v>56.045896281048073</v>
          </cell>
          <cell r="AG37">
            <v>60.491705764657482</v>
          </cell>
          <cell r="AH37">
            <v>68.972756340855</v>
          </cell>
        </row>
        <row r="38">
          <cell r="N38">
            <v>45</v>
          </cell>
          <cell r="P38">
            <v>10.313708498984759</v>
          </cell>
          <cell r="Q38">
            <v>9.0048988904635934</v>
          </cell>
          <cell r="R38">
            <v>7.4547485030661838</v>
          </cell>
          <cell r="S38">
            <v>5.5405242056546129</v>
          </cell>
          <cell r="T38">
            <v>3.1106144832938032</v>
          </cell>
          <cell r="AD38">
            <v>51.691928656135211</v>
          </cell>
          <cell r="AE38">
            <v>53.623906555539456</v>
          </cell>
          <cell r="AF38">
            <v>56.457855949816349</v>
          </cell>
          <cell r="AG38">
            <v>60.905042823044738</v>
          </cell>
          <cell r="AH38">
            <v>69.385288338144662</v>
          </cell>
        </row>
        <row r="39">
          <cell r="N39">
            <v>46</v>
          </cell>
          <cell r="P39">
            <v>11.125732532083184</v>
          </cell>
          <cell r="Q39">
            <v>9.7261153795471191</v>
          </cell>
          <cell r="R39">
            <v>8.0405669009365166</v>
          </cell>
          <cell r="S39">
            <v>5.9700680767158358</v>
          </cell>
          <cell r="T39">
            <v>3.3388323328781633</v>
          </cell>
          <cell r="AD39">
            <v>52.091594979242075</v>
          </cell>
          <cell r="AE39">
            <v>54.020289560649204</v>
          </cell>
          <cell r="AF39">
            <v>56.869815618584624</v>
          </cell>
          <cell r="AG39">
            <v>61.294362422865476</v>
          </cell>
          <cell r="AH39">
            <v>69.795150761037945</v>
          </cell>
        </row>
        <row r="40">
          <cell r="N40">
            <v>47</v>
          </cell>
          <cell r="P40">
            <v>11.996038341699768</v>
          </cell>
          <cell r="Q40">
            <v>10.483337906811427</v>
          </cell>
          <cell r="R40">
            <v>8.6671377018780831</v>
          </cell>
          <cell r="S40">
            <v>6.4166809089752066</v>
          </cell>
          <cell r="T40">
            <v>3.6000111063441</v>
          </cell>
          <cell r="AD40">
            <v>52.470630686057078</v>
          </cell>
          <cell r="AE40">
            <v>54.407116521581436</v>
          </cell>
          <cell r="AF40">
            <v>57.263329041432932</v>
          </cell>
          <cell r="AG40">
            <v>61.676518787205197</v>
          </cell>
          <cell r="AH40">
            <v>70.190427169053478</v>
          </cell>
        </row>
        <row r="41">
          <cell r="N41">
            <v>48</v>
          </cell>
          <cell r="P41">
            <v>12.928809012737984</v>
          </cell>
          <cell r="Q41">
            <v>11.292021791725356</v>
          </cell>
          <cell r="R41">
            <v>9.3190855363815395</v>
          </cell>
          <cell r="S41">
            <v>6.8962267273944402</v>
          </cell>
          <cell r="T41">
            <v>3.8708854184137524</v>
          </cell>
          <cell r="AD41">
            <v>52.849666392872081</v>
          </cell>
          <cell r="AE41">
            <v>54.793943482513676</v>
          </cell>
          <cell r="AF41">
            <v>57.64832002380362</v>
          </cell>
          <cell r="AG41">
            <v>62.054222259937362</v>
          </cell>
          <cell r="AH41">
            <v>70.571129226337533</v>
          </cell>
        </row>
        <row r="42">
          <cell r="N42">
            <v>49</v>
          </cell>
          <cell r="P42">
            <v>13.928527864588917</v>
          </cell>
          <cell r="Q42">
            <v>12.147069150707994</v>
          </cell>
          <cell r="R42">
            <v>10.016004387425889</v>
          </cell>
          <cell r="S42">
            <v>7.4197267934665154</v>
          </cell>
          <cell r="T42">
            <v>4.1702012426579218</v>
          </cell>
          <cell r="AD42">
            <v>53.213386604241784</v>
          </cell>
          <cell r="AE42">
            <v>55.170390866416149</v>
          </cell>
          <cell r="AF42">
            <v>58.030740707238266</v>
          </cell>
          <cell r="AG42">
            <v>62.407376554018477</v>
          </cell>
          <cell r="AH42">
            <v>70.951831283621587</v>
          </cell>
        </row>
        <row r="43">
          <cell r="N43">
            <v>50</v>
          </cell>
          <cell r="P43">
            <v>15</v>
          </cell>
          <cell r="Q43">
            <v>13.059000000000001</v>
          </cell>
          <cell r="R43">
            <v>10.782</v>
          </cell>
          <cell r="S43">
            <v>8.0009999999999994</v>
          </cell>
          <cell r="T43">
            <v>4.5</v>
          </cell>
          <cell r="AD43">
            <v>53.567039423670657</v>
          </cell>
          <cell r="AE43">
            <v>55.535006783542492</v>
          </cell>
          <cell r="AF43">
            <v>58.38602553461638</v>
          </cell>
          <cell r="AG43">
            <v>62.760530848099599</v>
          </cell>
          <cell r="AH43">
            <v>71.315281959371688</v>
          </cell>
        </row>
        <row r="44">
          <cell r="N44">
            <v>51</v>
          </cell>
          <cell r="P44">
            <v>16.148375400580683</v>
          </cell>
          <cell r="Q44">
            <v>14.065234973905774</v>
          </cell>
          <cell r="R44">
            <v>11.621985775797917</v>
          </cell>
          <cell r="S44">
            <v>8.6296918140703163</v>
          </cell>
          <cell r="T44">
            <v>4.8606609955747855</v>
          </cell>
          <cell r="AD44">
            <v>53.920692243099523</v>
          </cell>
          <cell r="AE44">
            <v>55.899622700668843</v>
          </cell>
          <cell r="AF44">
            <v>58.741310361994486</v>
          </cell>
          <cell r="AG44">
            <v>63.10587219844583</v>
          </cell>
          <cell r="AH44">
            <v>71.676233707038421</v>
          </cell>
        </row>
        <row r="45">
          <cell r="N45">
            <v>52</v>
          </cell>
          <cell r="P45">
            <v>17.379173679952558</v>
          </cell>
          <cell r="Q45">
            <v>15.182446126806555</v>
          </cell>
          <cell r="R45">
            <v>12.547763396925747</v>
          </cell>
          <cell r="S45">
            <v>9.3221887619265527</v>
          </cell>
          <cell r="T45">
            <v>5.2485104513456724</v>
          </cell>
          <cell r="AD45">
            <v>54.255972994404218</v>
          </cell>
          <cell r="AE45">
            <v>56.238779717153008</v>
          </cell>
          <cell r="AF45">
            <v>59.09095196730258</v>
          </cell>
          <cell r="AG45">
            <v>63.434756173851497</v>
          </cell>
          <cell r="AH45">
            <v>72.034562459436771</v>
          </cell>
        </row>
        <row r="46">
          <cell r="N46">
            <v>53</v>
          </cell>
          <cell r="P46">
            <v>18.698310613518661</v>
          </cell>
          <cell r="Q46">
            <v>16.338583814092605</v>
          </cell>
          <cell r="R46">
            <v>13.509529418267233</v>
          </cell>
          <cell r="S46">
            <v>10.020424657784652</v>
          </cell>
          <cell r="T46">
            <v>5.6394104810372276</v>
          </cell>
          <cell r="AD46">
            <v>54.585942742481357</v>
          </cell>
          <cell r="AE46">
            <v>56.568265567054013</v>
          </cell>
          <cell r="AF46">
            <v>59.425480572843689</v>
          </cell>
          <cell r="AG46">
            <v>63.763640149257171</v>
          </cell>
          <cell r="AH46">
            <v>72.370053318329937</v>
          </cell>
        </row>
        <row r="47">
          <cell r="N47">
            <v>54</v>
          </cell>
          <cell r="P47">
            <v>20.112126572366307</v>
          </cell>
          <cell r="Q47">
            <v>17.573976198933678</v>
          </cell>
          <cell r="R47">
            <v>14.520955385248474</v>
          </cell>
          <cell r="S47">
            <v>10.768032566844921</v>
          </cell>
          <cell r="T47">
            <v>6.0537500982822579</v>
          </cell>
          <cell r="AD47">
            <v>54.915912490558505</v>
          </cell>
          <cell r="AE47">
            <v>56.897751416955018</v>
          </cell>
          <cell r="AF47">
            <v>59.760009178384806</v>
          </cell>
          <cell r="AG47">
            <v>64.08760696397195</v>
          </cell>
          <cell r="AH47">
            <v>72.705544177223089</v>
          </cell>
        </row>
        <row r="48">
          <cell r="N48">
            <v>55</v>
          </cell>
          <cell r="P48">
            <v>21.627416997969519</v>
          </cell>
          <cell r="Q48">
            <v>18.900199714525563</v>
          </cell>
          <cell r="R48">
            <v>15.604181364035009</v>
          </cell>
          <cell r="S48">
            <v>11.572830835613489</v>
          </cell>
          <cell r="T48">
            <v>6.49903880788984</v>
          </cell>
          <cell r="AD48">
            <v>55.229416240679981</v>
          </cell>
          <cell r="AE48">
            <v>57.218966664386244</v>
          </cell>
          <cell r="AF48">
            <v>60.086674688654931</v>
          </cell>
          <cell r="AG48">
            <v>64.399012521055653</v>
          </cell>
          <cell r="AH48">
            <v>73.037155126421851</v>
          </cell>
        </row>
        <row r="49">
          <cell r="N49">
            <v>56</v>
          </cell>
          <cell r="P49">
            <v>23.251465064166357</v>
          </cell>
          <cell r="Q49">
            <v>20.310154733549314</v>
          </cell>
          <cell r="R49">
            <v>16.757330871744692</v>
          </cell>
          <cell r="S49">
            <v>12.425582930290501</v>
          </cell>
          <cell r="T49">
            <v>6.9545132006921566</v>
          </cell>
          <cell r="AD49">
            <v>55.537288901845052</v>
          </cell>
          <cell r="AE49">
            <v>57.53646043868428</v>
          </cell>
          <cell r="AF49">
            <v>60.393379177879737</v>
          </cell>
          <cell r="AG49">
            <v>64.710418078139355</v>
          </cell>
          <cell r="AH49">
            <v>73.340924940105893</v>
          </cell>
        </row>
        <row r="50">
          <cell r="N50">
            <v>57</v>
          </cell>
          <cell r="P50">
            <v>24.992076683399535</v>
          </cell>
          <cell r="Q50">
            <v>21.823081359944474</v>
          </cell>
          <cell r="R50">
            <v>17.996794419716004</v>
          </cell>
          <cell r="S50">
            <v>13.335772118261991</v>
          </cell>
          <cell r="T50">
            <v>7.4426404363163821</v>
          </cell>
          <cell r="AD50">
            <v>55.845161563010116</v>
          </cell>
          <cell r="AE50">
            <v>57.853954212982316</v>
          </cell>
          <cell r="AF50">
            <v>60.700083667104536</v>
          </cell>
          <cell r="AG50">
            <v>65.021675833900701</v>
          </cell>
          <cell r="AH50">
            <v>73.644694753789935</v>
          </cell>
        </row>
        <row r="51">
          <cell r="N51">
            <v>58</v>
          </cell>
          <cell r="P51">
            <v>26.857618025475972</v>
          </cell>
          <cell r="Q51">
            <v>23.425214441820142</v>
          </cell>
          <cell r="R51">
            <v>19.329427692935056</v>
          </cell>
          <cell r="S51">
            <v>14.269452456935383</v>
          </cell>
          <cell r="T51">
            <v>7.9605979827510778</v>
          </cell>
          <cell r="AD51">
            <v>56.142785979989682</v>
          </cell>
          <cell r="AE51">
            <v>58.155157256402767</v>
          </cell>
          <cell r="AF51">
            <v>61.006268532239034</v>
          </cell>
          <cell r="AG51">
            <v>65.330972386106993</v>
          </cell>
          <cell r="AH51">
            <v>73.948464567473962</v>
          </cell>
        </row>
        <row r="52">
          <cell r="N52">
            <v>59</v>
          </cell>
          <cell r="P52">
            <v>28.857055729177837</v>
          </cell>
          <cell r="Q52">
            <v>25.166238301415991</v>
          </cell>
          <cell r="R52">
            <v>20.719366013549685</v>
          </cell>
          <cell r="S52">
            <v>15.268268186307994</v>
          </cell>
          <cell r="T52">
            <v>8.5474599069824766</v>
          </cell>
          <cell r="AD52">
            <v>56.430041330048923</v>
          </cell>
          <cell r="AE52">
            <v>58.442483247955479</v>
          </cell>
          <cell r="AF52">
            <v>61.289495211956165</v>
          </cell>
          <cell r="AG52">
            <v>65.640268938313284</v>
          </cell>
          <cell r="AH52">
            <v>74.231558509323534</v>
          </cell>
        </row>
        <row r="53">
          <cell r="N53">
            <v>60</v>
          </cell>
          <cell r="P53">
            <v>31</v>
          </cell>
          <cell r="Q53">
            <v>27.0351</v>
          </cell>
          <cell r="R53">
            <v>22.205300000000001</v>
          </cell>
          <cell r="S53">
            <v>16.386599999999998</v>
          </cell>
          <cell r="T53">
            <v>9.1883999999999997</v>
          </cell>
          <cell r="AD53">
            <v>56.717296680108156</v>
          </cell>
          <cell r="AE53">
            <v>58.729809239508185</v>
          </cell>
          <cell r="AF53">
            <v>61.572721891673297</v>
          </cell>
          <cell r="AG53">
            <v>65.949565490519575</v>
          </cell>
          <cell r="AH53">
            <v>74.51042804689898</v>
          </cell>
        </row>
        <row r="54">
          <cell r="N54">
            <v>61</v>
          </cell>
          <cell r="P54">
            <v>33.296750801161366</v>
          </cell>
          <cell r="Q54">
            <v>28.928217096048996</v>
          </cell>
          <cell r="R54">
            <v>23.783869097269566</v>
          </cell>
          <cell r="S54">
            <v>17.587343773173433</v>
          </cell>
          <cell r="T54">
            <v>9.8458492119034169</v>
          </cell>
          <cell r="AD54">
            <v>57.004247194324648</v>
          </cell>
          <cell r="AE54">
            <v>59.016342740868758</v>
          </cell>
          <cell r="AF54">
            <v>61.855948571390428</v>
          </cell>
          <cell r="AG54">
            <v>66.241691764589476</v>
          </cell>
          <cell r="AH54">
            <v>74.789297584474426</v>
          </cell>
        </row>
        <row r="55">
          <cell r="N55">
            <v>62</v>
          </cell>
          <cell r="P55">
            <v>35.758347359905123</v>
          </cell>
          <cell r="Q55">
            <v>31.081155525229534</v>
          </cell>
          <cell r="R55">
            <v>25.606552544428059</v>
          </cell>
          <cell r="S55">
            <v>18.930469092333773</v>
          </cell>
          <cell r="T55">
            <v>10.570167479587953</v>
          </cell>
          <cell r="AD55">
            <v>57.27226591292537</v>
          </cell>
          <cell r="AE55">
            <v>59.290380144164828</v>
          </cell>
          <cell r="AF55">
            <v>62.130298748930763</v>
          </cell>
          <cell r="AG55">
            <v>66.530472725664353</v>
          </cell>
          <cell r="AH55">
            <v>75.062532510920803</v>
          </cell>
        </row>
        <row r="56">
          <cell r="N56">
            <v>63</v>
          </cell>
          <cell r="P56">
            <v>38.396621227037308</v>
          </cell>
          <cell r="Q56">
            <v>33.42809844025868</v>
          </cell>
          <cell r="R56">
            <v>27.5802930273809</v>
          </cell>
          <cell r="S56">
            <v>20.319491953348145</v>
          </cell>
          <cell r="T56">
            <v>11.338522248344118</v>
          </cell>
          <cell r="AD56">
            <v>57.540284631526099</v>
          </cell>
          <cell r="AE56">
            <v>59.564417547460899</v>
          </cell>
          <cell r="AF56">
            <v>62.395461425033538</v>
          </cell>
          <cell r="AG56">
            <v>66.819253686739231</v>
          </cell>
          <cell r="AH56">
            <v>75.318351032805268</v>
          </cell>
        </row>
        <row r="57">
          <cell r="N57">
            <v>64</v>
          </cell>
          <cell r="P57">
            <v>41.224253144732614</v>
          </cell>
          <cell r="Q57">
            <v>35.947548742206841</v>
          </cell>
          <cell r="R57">
            <v>29.553667079458812</v>
          </cell>
          <cell r="S57">
            <v>21.762283235104348</v>
          </cell>
          <cell r="T57">
            <v>12.111685573922442</v>
          </cell>
          <cell r="AD57">
            <v>57.80830335012682</v>
          </cell>
          <cell r="AE57">
            <v>59.838454950756969</v>
          </cell>
          <cell r="AF57">
            <v>62.660624101136307</v>
          </cell>
          <cell r="AG57">
            <v>67.098789255934349</v>
          </cell>
          <cell r="AH57">
            <v>75.574169554689718</v>
          </cell>
        </row>
        <row r="58">
          <cell r="N58">
            <v>65</v>
          </cell>
          <cell r="P58">
            <v>44.254833995939045</v>
          </cell>
          <cell r="Q58">
            <v>38.53268396026413</v>
          </cell>
          <cell r="R58">
            <v>31.642206307096416</v>
          </cell>
          <cell r="S58">
            <v>23.282468165263531</v>
          </cell>
          <cell r="T58">
            <v>12.944538943812169</v>
          </cell>
          <cell r="AD58">
            <v>58.071211008105138</v>
          </cell>
          <cell r="AE58">
            <v>60.102437883401088</v>
          </cell>
          <cell r="AF58">
            <v>62.925786777239075</v>
          </cell>
          <cell r="AG58">
            <v>67.36285691246691</v>
          </cell>
          <cell r="AH58">
            <v>75.829988076574182</v>
          </cell>
        </row>
        <row r="59">
          <cell r="N59">
            <v>66</v>
          </cell>
          <cell r="P59">
            <v>47.502930128332721</v>
          </cell>
          <cell r="Q59">
            <v>41.275295988508304</v>
          </cell>
          <cell r="R59">
            <v>33.888590353552566</v>
          </cell>
          <cell r="S59">
            <v>24.910536559297679</v>
          </cell>
          <cell r="T59">
            <v>13.837603546383322</v>
          </cell>
          <cell r="AD59">
            <v>58.321281314909029</v>
          </cell>
          <cell r="AE59">
            <v>60.351982057337977</v>
          </cell>
          <cell r="AF59">
            <v>63.17626763611517</v>
          </cell>
          <cell r="AG59">
            <v>67.626924568999456</v>
          </cell>
          <cell r="AH59">
            <v>76.086647524934079</v>
          </cell>
        </row>
        <row r="60">
          <cell r="N60">
            <v>67</v>
          </cell>
          <cell r="P60">
            <v>50.984153366799077</v>
          </cell>
          <cell r="Q60">
            <v>44.310327691085078</v>
          </cell>
          <cell r="R60">
            <v>36.316012443170983</v>
          </cell>
          <cell r="S60">
            <v>26.664712210835919</v>
          </cell>
          <cell r="T60">
            <v>14.815994968391813</v>
          </cell>
          <cell r="AD60">
            <v>58.571351621712921</v>
          </cell>
          <cell r="AE60">
            <v>60.60152623127486</v>
          </cell>
          <cell r="AF60">
            <v>63.421042351541736</v>
          </cell>
          <cell r="AG60">
            <v>67.890992225532017</v>
          </cell>
          <cell r="AH60">
            <v>76.344973133357612</v>
          </cell>
        </row>
        <row r="61">
          <cell r="N61">
            <v>68</v>
          </cell>
          <cell r="P61">
            <v>54.715236050951923</v>
          </cell>
          <cell r="Q61">
            <v>47.459995750595695</v>
          </cell>
          <cell r="R61">
            <v>38.913475879437009</v>
          </cell>
          <cell r="S61">
            <v>28.572296265807093</v>
          </cell>
          <cell r="T61">
            <v>15.856475407565867</v>
          </cell>
          <cell r="AD61">
            <v>58.821421928516813</v>
          </cell>
          <cell r="AE61">
            <v>60.851070405211743</v>
          </cell>
          <cell r="AF61">
            <v>63.665817066968295</v>
          </cell>
          <cell r="AG61">
            <v>68.142437172458173</v>
          </cell>
          <cell r="AH61">
            <v>76.60329874178116</v>
          </cell>
        </row>
        <row r="62">
          <cell r="N62">
            <v>69</v>
          </cell>
          <cell r="P62">
            <v>58.714111458355703</v>
          </cell>
          <cell r="Q62">
            <v>50.940363101269412</v>
          </cell>
          <cell r="R62">
            <v>41.728119013453394</v>
          </cell>
          <cell r="S62">
            <v>30.607666303240826</v>
          </cell>
          <cell r="T62">
            <v>17.003606678339814</v>
          </cell>
          <cell r="AD62">
            <v>59.066704614192936</v>
          </cell>
          <cell r="AE62">
            <v>61.094954819415335</v>
          </cell>
          <cell r="AF62">
            <v>63.91059178239486</v>
          </cell>
          <cell r="AG62">
            <v>68.385008299388929</v>
          </cell>
          <cell r="AH62">
            <v>76.861624350204693</v>
          </cell>
        </row>
        <row r="63">
          <cell r="N63">
            <v>70</v>
          </cell>
          <cell r="P63">
            <v>63</v>
          </cell>
          <cell r="Q63">
            <v>54.589500000000001</v>
          </cell>
          <cell r="R63">
            <v>44.717399999999998</v>
          </cell>
          <cell r="S63">
            <v>32.810400000000001</v>
          </cell>
          <cell r="T63">
            <v>18.276300000000003</v>
          </cell>
          <cell r="AD63">
            <v>59.300028460644697</v>
          </cell>
          <cell r="AE63">
            <v>61.330461663183208</v>
          </cell>
          <cell r="AF63">
            <v>64.14304723627319</v>
          </cell>
          <cell r="AG63">
            <v>68.627579426319684</v>
          </cell>
          <cell r="AH63">
            <v>77.112805903056142</v>
          </cell>
        </row>
        <row r="64">
          <cell r="N64">
            <v>71</v>
          </cell>
          <cell r="P64">
            <v>67.593501602322732</v>
          </cell>
          <cell r="Q64">
            <v>58.596806539053574</v>
          </cell>
          <cell r="R64">
            <v>47.977867437328676</v>
          </cell>
          <cell r="S64">
            <v>35.229733035130607</v>
          </cell>
          <cell r="T64">
            <v>19.602115464673592</v>
          </cell>
          <cell r="AD64">
            <v>59.533352307096465</v>
          </cell>
          <cell r="AE64">
            <v>61.56596850695108</v>
          </cell>
          <cell r="AF64">
            <v>64.368413367596901</v>
          </cell>
          <cell r="AG64">
            <v>68.870150553250454</v>
          </cell>
          <cell r="AH64">
            <v>77.355745991356301</v>
          </cell>
        </row>
        <row r="65">
          <cell r="N65">
            <v>72</v>
          </cell>
          <cell r="P65">
            <v>72.516694719810218</v>
          </cell>
          <cell r="Q65">
            <v>62.842967644187539</v>
          </cell>
          <cell r="R65">
            <v>51.5086082594812</v>
          </cell>
          <cell r="S65">
            <v>37.846462974268952</v>
          </cell>
          <cell r="T65">
            <v>21.124113171880715</v>
          </cell>
          <cell r="AD65">
            <v>59.766676153548232</v>
          </cell>
          <cell r="AE65">
            <v>61.801475350718952</v>
          </cell>
          <cell r="AF65">
            <v>64.593779498920611</v>
          </cell>
          <cell r="AG65">
            <v>69.105843627521551</v>
          </cell>
          <cell r="AH65">
            <v>77.59868607965646</v>
          </cell>
        </row>
        <row r="66">
          <cell r="N66">
            <v>73</v>
          </cell>
          <cell r="P66">
            <v>77.793242454074615</v>
          </cell>
          <cell r="Q66">
            <v>67.470079180418907</v>
          </cell>
          <cell r="R66">
            <v>55.27987808786542</v>
          </cell>
          <cell r="S66">
            <v>40.678086479235617</v>
          </cell>
          <cell r="T66">
            <v>22.700068148098975</v>
          </cell>
          <cell r="AD66">
            <v>60</v>
          </cell>
          <cell r="AE66">
            <v>62.033937447710706</v>
          </cell>
          <cell r="AF66">
            <v>64.819145630244321</v>
          </cell>
          <cell r="AG66">
            <v>69.333613546893503</v>
          </cell>
          <cell r="AH66">
            <v>77.841626167956619</v>
          </cell>
        </row>
        <row r="67">
          <cell r="N67">
            <v>74</v>
          </cell>
          <cell r="P67">
            <v>83.4485062894652</v>
          </cell>
          <cell r="Q67">
            <v>72.399924056740005</v>
          </cell>
          <cell r="R67">
            <v>59.365267374325548</v>
          </cell>
          <cell r="S67">
            <v>43.718672445050821</v>
          </cell>
          <cell r="T67">
            <v>24.341929284637001</v>
          </cell>
          <cell r="AD67">
            <v>60.217698846451768</v>
          </cell>
          <cell r="AE67">
            <v>62.250054995811666</v>
          </cell>
          <cell r="AF67">
            <v>65.042129882798193</v>
          </cell>
          <cell r="AG67">
            <v>69.56138346626544</v>
          </cell>
          <cell r="AH67">
            <v>78.077870469399883</v>
          </cell>
        </row>
        <row r="68">
          <cell r="N68">
            <v>75</v>
          </cell>
          <cell r="P68">
            <v>89.509667991878061</v>
          </cell>
          <cell r="Q68">
            <v>77.64963698295422</v>
          </cell>
          <cell r="R68">
            <v>63.802491344610679</v>
          </cell>
          <cell r="S68">
            <v>46.929918928141667</v>
          </cell>
          <cell r="T68">
            <v>25.993607584841389</v>
          </cell>
          <cell r="AD68">
            <v>60.435397692903535</v>
          </cell>
          <cell r="AE68">
            <v>62.466172543912634</v>
          </cell>
          <cell r="AF68">
            <v>65.255436396961542</v>
          </cell>
          <cell r="AG68">
            <v>69.789153385637391</v>
          </cell>
          <cell r="AH68">
            <v>78.301575047908599</v>
          </cell>
        </row>
        <row r="69">
          <cell r="N69">
            <v>76</v>
          </cell>
          <cell r="P69">
            <v>96.005860256665443</v>
          </cell>
          <cell r="Q69">
            <v>83.352287874836932</v>
          </cell>
          <cell r="R69">
            <v>68.490580707105124</v>
          </cell>
          <cell r="S69">
            <v>50.163061984107692</v>
          </cell>
          <cell r="T69">
            <v>27.851300060458648</v>
          </cell>
          <cell r="AD69">
            <v>60.653096539355303</v>
          </cell>
          <cell r="AE69">
            <v>62.682290092013595</v>
          </cell>
          <cell r="AF69">
            <v>65.468742911124906</v>
          </cell>
          <cell r="AG69">
            <v>70.015851474333999</v>
          </cell>
          <cell r="AH69">
            <v>78.525279626417301</v>
          </cell>
        </row>
        <row r="70">
          <cell r="N70">
            <v>77</v>
          </cell>
          <cell r="P70">
            <v>102.96830673359811</v>
          </cell>
          <cell r="Q70">
            <v>89.469161720823394</v>
          </cell>
          <cell r="R70">
            <v>73.292840732975137</v>
          </cell>
          <cell r="S70">
            <v>53.625894146857902</v>
          </cell>
          <cell r="T70">
            <v>29.799027968703292</v>
          </cell>
          <cell r="AD70">
            <v>60.870795385807064</v>
          </cell>
          <cell r="AE70">
            <v>62.898407640114556</v>
          </cell>
          <cell r="AF70">
            <v>65.682049425288255</v>
          </cell>
          <cell r="AG70">
            <v>70.229195678021767</v>
          </cell>
          <cell r="AH70">
            <v>78.748984204926018</v>
          </cell>
        </row>
        <row r="71">
          <cell r="N71">
            <v>78</v>
          </cell>
          <cell r="P71">
            <v>110.43047210190386</v>
          </cell>
          <cell r="Q71">
            <v>95.831563690032169</v>
          </cell>
          <cell r="R71">
            <v>78.251032531409081</v>
          </cell>
          <cell r="S71">
            <v>57.412802445779818</v>
          </cell>
          <cell r="T71">
            <v>31.859191201399263</v>
          </cell>
          <cell r="AD71">
            <v>61.082568038258209</v>
          </cell>
          <cell r="AE71">
            <v>63.107492392331935</v>
          </cell>
          <cell r="AF71">
            <v>65.895355939451605</v>
          </cell>
          <cell r="AG71">
            <v>70.442539881709536</v>
          </cell>
          <cell r="AH71">
            <v>78.972688783434734</v>
          </cell>
        </row>
        <row r="72">
          <cell r="N72">
            <v>79</v>
          </cell>
          <cell r="P72">
            <v>118.42822291671132</v>
          </cell>
          <cell r="Q72">
            <v>102.51146975670532</v>
          </cell>
          <cell r="R72">
            <v>83.894553114198303</v>
          </cell>
          <cell r="S72">
            <v>61.535304627523196</v>
          </cell>
          <cell r="T72">
            <v>34.059956910846175</v>
          </cell>
          <cell r="AD72">
            <v>61.285688244217212</v>
          </cell>
          <cell r="AE72">
            <v>63.310338531528565</v>
          </cell>
          <cell r="AF72">
            <v>66.106079073217742</v>
          </cell>
          <cell r="AG72">
            <v>70.655884085397304</v>
          </cell>
          <cell r="AH72">
            <v>79.188599387584361</v>
          </cell>
        </row>
        <row r="73">
          <cell r="N73">
            <v>80</v>
          </cell>
          <cell r="P73">
            <v>127</v>
          </cell>
          <cell r="Q73">
            <v>109.9693</v>
          </cell>
          <cell r="R73">
            <v>90.106499999999997</v>
          </cell>
          <cell r="S73">
            <v>65.925700000000006</v>
          </cell>
          <cell r="T73">
            <v>36.4998</v>
          </cell>
          <cell r="AD73">
            <v>61.488808450176215</v>
          </cell>
          <cell r="AE73">
            <v>63.513184670725188</v>
          </cell>
          <cell r="AF73">
            <v>66.314314361313961</v>
          </cell>
          <cell r="AG73">
            <v>70.869228289085072</v>
          </cell>
          <cell r="AH73">
            <v>79.403426131671111</v>
          </cell>
        </row>
        <row r="74">
          <cell r="N74">
            <v>81</v>
          </cell>
          <cell r="P74">
            <v>136.18700320464549</v>
          </cell>
          <cell r="Q74">
            <v>118.03327567746625</v>
          </cell>
          <cell r="R74">
            <v>96.583822672734584</v>
          </cell>
          <cell r="S74">
            <v>70.612961161608681</v>
          </cell>
          <cell r="T74">
            <v>39.126526020694648</v>
          </cell>
          <cell r="AD74">
            <v>61.691928656135218</v>
          </cell>
          <cell r="AE74">
            <v>63.716030809921811</v>
          </cell>
          <cell r="AF74">
            <v>66.52254964941018</v>
          </cell>
          <cell r="AG74">
            <v>71.07781362467729</v>
          </cell>
          <cell r="AH74">
            <v>79.618252875757847</v>
          </cell>
        </row>
        <row r="75">
          <cell r="N75">
            <v>82</v>
          </cell>
          <cell r="P75">
            <v>146.03338943962044</v>
          </cell>
          <cell r="Q75">
            <v>126.581741966263</v>
          </cell>
          <cell r="R75">
            <v>103.31862302853146</v>
          </cell>
          <cell r="S75">
            <v>75.586882373947532</v>
          </cell>
          <cell r="T75">
            <v>41.896979430227098</v>
          </cell>
          <cell r="AD75">
            <v>61.895048862094221</v>
          </cell>
          <cell r="AE75">
            <v>63.918876949118435</v>
          </cell>
          <cell r="AF75">
            <v>66.7307849375064</v>
          </cell>
          <cell r="AG75">
            <v>71.278862245535876</v>
          </cell>
          <cell r="AH75">
            <v>79.833079619844597</v>
          </cell>
        </row>
        <row r="76">
          <cell r="N76">
            <v>83</v>
          </cell>
          <cell r="P76">
            <v>156.58648490814926</v>
          </cell>
          <cell r="Q76">
            <v>135.41599214856748</v>
          </cell>
          <cell r="R76">
            <v>110.58137564213501</v>
          </cell>
          <cell r="S76">
            <v>80.955212697513176</v>
          </cell>
          <cell r="T76">
            <v>44.877686574675579</v>
          </cell>
          <cell r="AD76">
            <v>62.091594979242075</v>
          </cell>
          <cell r="AE76">
            <v>64.114306430026588</v>
          </cell>
          <cell r="AF76">
            <v>66.939020225602619</v>
          </cell>
          <cell r="AG76">
            <v>71.479910866394462</v>
          </cell>
          <cell r="AH76">
            <v>80.043898354812981</v>
          </cell>
        </row>
        <row r="77">
          <cell r="N77">
            <v>84</v>
          </cell>
          <cell r="P77">
            <v>167.89701257893043</v>
          </cell>
          <cell r="Q77">
            <v>145.16375707574326</v>
          </cell>
          <cell r="R77">
            <v>118.70318789330381</v>
          </cell>
          <cell r="S77">
            <v>86.869914308338593</v>
          </cell>
          <cell r="T77">
            <v>48.169652908895138</v>
          </cell>
          <cell r="AD77">
            <v>62.281112832649576</v>
          </cell>
          <cell r="AE77">
            <v>64.304793036447776</v>
          </cell>
          <cell r="AF77">
            <v>67.14262442756818</v>
          </cell>
          <cell r="AG77">
            <v>71.680959487253048</v>
          </cell>
          <cell r="AH77">
            <v>80.24075196383977</v>
          </cell>
        </row>
        <row r="78">
          <cell r="N78">
            <v>85</v>
          </cell>
          <cell r="P78">
            <v>180.01933598375612</v>
          </cell>
          <cell r="Q78">
            <v>155.75272949314578</v>
          </cell>
          <cell r="R78">
            <v>127.38168214210583</v>
          </cell>
          <cell r="S78">
            <v>93.214012172388934</v>
          </cell>
          <cell r="T78">
            <v>51.755559095329879</v>
          </cell>
          <cell r="AD78">
            <v>62.470630686057078</v>
          </cell>
          <cell r="AE78">
            <v>64.495279642868965</v>
          </cell>
          <cell r="AF78">
            <v>67.344310856946692</v>
          </cell>
          <cell r="AG78">
            <v>71.882008108111634</v>
          </cell>
          <cell r="AH78">
            <v>80.437605572866573</v>
          </cell>
        </row>
        <row r="79">
          <cell r="N79">
            <v>86</v>
          </cell>
          <cell r="P79">
            <v>193.01172051333091</v>
          </cell>
          <cell r="Q79">
            <v>166.97443941608256</v>
          </cell>
          <cell r="R79">
            <v>136.51718991907896</v>
          </cell>
          <cell r="S79">
            <v>100.0379747420594</v>
          </cell>
          <cell r="T79">
            <v>55.664580196044632</v>
          </cell>
          <cell r="AD79">
            <v>62.660148539464579</v>
          </cell>
          <cell r="AE79">
            <v>64.685766249290154</v>
          </cell>
          <cell r="AF79">
            <v>67.545997286325218</v>
          </cell>
          <cell r="AG79">
            <v>72.076954583856178</v>
          </cell>
          <cell r="AH79">
            <v>80.634459181893376</v>
          </cell>
        </row>
        <row r="80">
          <cell r="N80">
            <v>87</v>
          </cell>
          <cell r="P80">
            <v>206.93661346719625</v>
          </cell>
          <cell r="Q80">
            <v>179.12433261720508</v>
          </cell>
          <cell r="R80">
            <v>146.53181599612165</v>
          </cell>
          <cell r="S80">
            <v>107.42079605082158</v>
          </cell>
          <cell r="T80">
            <v>59.535663694512365</v>
          </cell>
          <cell r="AD80">
            <v>62.849666392872081</v>
          </cell>
          <cell r="AE80">
            <v>64.876252855711357</v>
          </cell>
          <cell r="AF80">
            <v>67.747683715703729</v>
          </cell>
          <cell r="AG80">
            <v>72.263232241847945</v>
          </cell>
          <cell r="AH80">
            <v>80.83131279092018</v>
          </cell>
        </row>
        <row r="81">
          <cell r="N81">
            <v>88</v>
          </cell>
          <cell r="P81">
            <v>221.86094420380775</v>
          </cell>
          <cell r="Q81">
            <v>192.04283330281601</v>
          </cell>
          <cell r="R81">
            <v>157.23285115723854</v>
          </cell>
          <cell r="S81">
            <v>115.1680161361966</v>
          </cell>
          <cell r="T81">
            <v>63.651904892072437</v>
          </cell>
          <cell r="AD81">
            <v>63.036560194527354</v>
          </cell>
          <cell r="AE81">
            <v>65.061438622789353</v>
          </cell>
          <cell r="AF81">
            <v>67.949370145082256</v>
          </cell>
          <cell r="AG81">
            <v>72.449509899839711</v>
          </cell>
          <cell r="AH81">
            <v>81.026624803116562</v>
          </cell>
        </row>
        <row r="82">
          <cell r="N82">
            <v>89</v>
          </cell>
          <cell r="P82">
            <v>237.85644583342264</v>
          </cell>
          <cell r="Q82">
            <v>206.07882467007735</v>
          </cell>
          <cell r="R82">
            <v>168.73536267423003</v>
          </cell>
          <cell r="S82">
            <v>123.11449636337954</v>
          </cell>
          <cell r="T82">
            <v>68.122086086692235</v>
          </cell>
          <cell r="AD82">
            <v>63.213386604241791</v>
          </cell>
          <cell r="AE82">
            <v>65.23679566619937</v>
          </cell>
          <cell r="AF82">
            <v>68.132712808893615</v>
          </cell>
          <cell r="AG82">
            <v>72.635787557831478</v>
          </cell>
          <cell r="AH82">
            <v>81.212704266341873</v>
          </cell>
        </row>
        <row r="83">
          <cell r="N83">
            <v>90</v>
          </cell>
          <cell r="P83">
            <v>255</v>
          </cell>
          <cell r="Q83">
            <v>221.08500000000001</v>
          </cell>
          <cell r="R83">
            <v>180.33600000000001</v>
          </cell>
          <cell r="S83">
            <v>131.58000000000001</v>
          </cell>
          <cell r="T83">
            <v>72.777000000000001</v>
          </cell>
          <cell r="AD83">
            <v>63.39021301395622</v>
          </cell>
          <cell r="AE83">
            <v>65.412152709609373</v>
          </cell>
          <cell r="AF83">
            <v>68.309907165737044</v>
          </cell>
          <cell r="AG83">
            <v>72.822065215823244</v>
          </cell>
          <cell r="AH83">
            <v>81.398783729567185</v>
          </cell>
        </row>
        <row r="84">
          <cell r="N84">
            <v>91</v>
          </cell>
          <cell r="P84">
            <v>273.37400640929098</v>
          </cell>
          <cell r="Q84">
            <v>236.35916594147301</v>
          </cell>
          <cell r="R84">
            <v>192.67399971726829</v>
          </cell>
          <cell r="S84">
            <v>140.76027590014394</v>
          </cell>
          <cell r="T84">
            <v>77.856917025366073</v>
          </cell>
          <cell r="AD84">
            <v>63.567039423670657</v>
          </cell>
          <cell r="AE84">
            <v>65.58750975301939</v>
          </cell>
          <cell r="AF84">
            <v>68.487101522580488</v>
          </cell>
          <cell r="AG84">
            <v>73.007572199822363</v>
          </cell>
          <cell r="AH84">
            <v>81.584863192792497</v>
          </cell>
        </row>
        <row r="85">
          <cell r="N85">
            <v>92</v>
          </cell>
          <cell r="P85">
            <v>293.06677887924064</v>
          </cell>
          <cell r="Q85">
            <v>253.15108359588808</v>
          </cell>
          <cell r="R85">
            <v>206.37762568676126</v>
          </cell>
          <cell r="S85">
            <v>150.81216441125721</v>
          </cell>
          <cell r="T85">
            <v>83.230965201704336</v>
          </cell>
          <cell r="AD85">
            <v>63.743865833385094</v>
          </cell>
          <cell r="AE85">
            <v>65.762866796429392</v>
          </cell>
          <cell r="AF85">
            <v>68.664295879423918</v>
          </cell>
          <cell r="AG85">
            <v>73.176642436293761</v>
          </cell>
          <cell r="AH85">
            <v>81.770942656017823</v>
          </cell>
        </row>
        <row r="86">
          <cell r="N86">
            <v>93</v>
          </cell>
          <cell r="P86">
            <v>314.1729698162988</v>
          </cell>
          <cell r="Q86">
            <v>271.53969781222702</v>
          </cell>
          <cell r="R86">
            <v>221.55477831445393</v>
          </cell>
          <cell r="S86">
            <v>161.57915837652246</v>
          </cell>
          <cell r="T86">
            <v>89.193706130847232</v>
          </cell>
          <cell r="AD86">
            <v>63.920692243099523</v>
          </cell>
          <cell r="AE86">
            <v>65.938223839839395</v>
          </cell>
          <cell r="AF86">
            <v>68.841490236267347</v>
          </cell>
          <cell r="AG86">
            <v>73.34571267276516</v>
          </cell>
          <cell r="AH86">
            <v>81.957022119243135</v>
          </cell>
        </row>
        <row r="87">
          <cell r="N87">
            <v>94</v>
          </cell>
          <cell r="P87">
            <v>336.79402515786086</v>
          </cell>
          <cell r="Q87">
            <v>291.2594729565181</v>
          </cell>
          <cell r="R87">
            <v>237.27139072371298</v>
          </cell>
          <cell r="S87">
            <v>172.97741132107731</v>
          </cell>
          <cell r="T87">
            <v>95.64950314483248</v>
          </cell>
          <cell r="AD87">
            <v>64.090988120365651</v>
          </cell>
          <cell r="AE87">
            <v>66.105889403880397</v>
          </cell>
          <cell r="AF87">
            <v>69.01697485309198</v>
          </cell>
          <cell r="AG87">
            <v>73.514782909236544</v>
          </cell>
          <cell r="AH87">
            <v>82.128973371044353</v>
          </cell>
        </row>
        <row r="88">
          <cell r="N88">
            <v>95</v>
          </cell>
          <cell r="P88">
            <v>361.0386719675123</v>
          </cell>
          <cell r="Q88">
            <v>311.72078937675008</v>
          </cell>
          <cell r="R88">
            <v>253.91849799475142</v>
          </cell>
          <cell r="S88">
            <v>185.57387739130132</v>
          </cell>
          <cell r="T88">
            <v>102.53498283877349</v>
          </cell>
          <cell r="AD88">
            <v>64.255972994404218</v>
          </cell>
          <cell r="AE88">
            <v>66.269371604948859</v>
          </cell>
          <cell r="AF88">
            <v>69.17795498031839</v>
          </cell>
          <cell r="AG88">
            <v>73.683853145707943</v>
          </cell>
          <cell r="AH88">
            <v>82.296681479091191</v>
          </cell>
        </row>
        <row r="89">
          <cell r="N89">
            <v>96</v>
          </cell>
          <cell r="P89">
            <v>387.02344102666189</v>
          </cell>
          <cell r="Q89">
            <v>334.00122960600919</v>
          </cell>
          <cell r="R89">
            <v>272.23228841815398</v>
          </cell>
          <cell r="S89">
            <v>199.39447681693619</v>
          </cell>
          <cell r="T89">
            <v>108.94709864900531</v>
          </cell>
          <cell r="AD89">
            <v>64.420957868442798</v>
          </cell>
          <cell r="AE89">
            <v>66.43285380601732</v>
          </cell>
          <cell r="AF89">
            <v>69.338935107544785</v>
          </cell>
          <cell r="AG89">
            <v>73.852923382179341</v>
          </cell>
          <cell r="AH89">
            <v>82.464389587138029</v>
          </cell>
        </row>
        <row r="90">
          <cell r="N90">
            <v>97</v>
          </cell>
          <cell r="P90">
            <v>414.87322693439216</v>
          </cell>
          <cell r="Q90">
            <v>358.28451878054108</v>
          </cell>
          <cell r="R90">
            <v>292.4026503433596</v>
          </cell>
          <cell r="S90">
            <v>212.58104148118252</v>
          </cell>
          <cell r="T90">
            <v>115.74963031469542</v>
          </cell>
          <cell r="AD90">
            <v>64.585942742481365</v>
          </cell>
          <cell r="AE90">
            <v>66.596336007085796</v>
          </cell>
          <cell r="AF90">
            <v>69.49991523477118</v>
          </cell>
          <cell r="AG90">
            <v>74.02050499447661</v>
          </cell>
          <cell r="AH90">
            <v>82.632097695184868</v>
          </cell>
        </row>
        <row r="91">
          <cell r="N91">
            <v>98</v>
          </cell>
          <cell r="P91">
            <v>444.72188840761549</v>
          </cell>
          <cell r="Q91">
            <v>384.7733778502689</v>
          </cell>
          <cell r="R91">
            <v>312.90632068359827</v>
          </cell>
          <cell r="S91">
            <v>226.0076636887502</v>
          </cell>
          <cell r="T91">
            <v>123.1879630889095</v>
          </cell>
          <cell r="AD91">
            <v>64.750927616519931</v>
          </cell>
          <cell r="AE91">
            <v>66.759818208154257</v>
          </cell>
          <cell r="AF91">
            <v>69.660895361997589</v>
          </cell>
          <cell r="AG91">
            <v>74.178131818877702</v>
          </cell>
          <cell r="AH91">
            <v>82.799805803231706</v>
          </cell>
        </row>
        <row r="92">
          <cell r="N92">
            <v>99</v>
          </cell>
          <cell r="P92">
            <v>476.71289166684534</v>
          </cell>
          <cell r="Q92">
            <v>411.78459582182103</v>
          </cell>
          <cell r="R92">
            <v>332.60258451595797</v>
          </cell>
          <cell r="S92">
            <v>240.31096868925673</v>
          </cell>
          <cell r="T92">
            <v>130.61933231671563</v>
          </cell>
          <cell r="AD92">
            <v>64.915912490558512</v>
          </cell>
          <cell r="AE92">
            <v>66.923300409222719</v>
          </cell>
          <cell r="AF92">
            <v>69.821875489223984</v>
          </cell>
          <cell r="AG92">
            <v>74.335758643278794</v>
          </cell>
          <cell r="AH92">
            <v>82.967513911278544</v>
          </cell>
        </row>
        <row r="93">
          <cell r="N93">
            <v>100</v>
          </cell>
          <cell r="P93">
            <v>511</v>
          </cell>
          <cell r="Q93">
            <v>438.13140000000004</v>
          </cell>
          <cell r="R93">
            <v>354.12299999999999</v>
          </cell>
          <cell r="S93">
            <v>254.88680000000002</v>
          </cell>
          <cell r="T93">
            <v>138.48100000000002</v>
          </cell>
          <cell r="AD93">
            <v>65.075479910097457</v>
          </cell>
          <cell r="AE93">
            <v>67.083433628014333</v>
          </cell>
          <cell r="AF93">
            <v>69.982855616450394</v>
          </cell>
          <cell r="AG93">
            <v>74.493385467679886</v>
          </cell>
          <cell r="AH93">
            <v>83.124894550960335</v>
          </cell>
        </row>
        <row r="94">
          <cell r="N94">
            <v>101</v>
          </cell>
          <cell r="P94">
            <v>547.74801281858208</v>
          </cell>
          <cell r="Q94">
            <v>469.6391461906523</v>
          </cell>
          <cell r="R94">
            <v>378.43910205635837</v>
          </cell>
          <cell r="S94">
            <v>272.61418597980827</v>
          </cell>
          <cell r="T94">
            <v>147.89196346101718</v>
          </cell>
          <cell r="AD94">
            <v>65.229416240679981</v>
          </cell>
          <cell r="AE94">
            <v>67.240606973055961</v>
          </cell>
          <cell r="AF94">
            <v>70.137942795989005</v>
          </cell>
          <cell r="AG94">
            <v>74.651012292080978</v>
          </cell>
          <cell r="AH94">
            <v>83.279794092850153</v>
          </cell>
        </row>
        <row r="95">
          <cell r="N95">
            <v>102</v>
          </cell>
          <cell r="P95">
            <v>587.1335577584814</v>
          </cell>
          <cell r="Q95">
            <v>502.29275866238083</v>
          </cell>
          <cell r="R95">
            <v>405.12215485335213</v>
          </cell>
          <cell r="S95">
            <v>291.57052478286187</v>
          </cell>
          <cell r="T95">
            <v>157.64536025815227</v>
          </cell>
          <cell r="AD95">
            <v>65.38335257126252</v>
          </cell>
          <cell r="AE95">
            <v>67.397780318097588</v>
          </cell>
          <cell r="AF95">
            <v>70.292327570459079</v>
          </cell>
          <cell r="AG95">
            <v>74.808639116482055</v>
          </cell>
          <cell r="AH95">
            <v>83.434693634739986</v>
          </cell>
        </row>
        <row r="96">
          <cell r="N96">
            <v>103</v>
          </cell>
          <cell r="P96">
            <v>629.34593963259704</v>
          </cell>
          <cell r="Q96">
            <v>538.34251676172357</v>
          </cell>
          <cell r="R96">
            <v>433.68228700082267</v>
          </cell>
          <cell r="S96">
            <v>311.52624011813555</v>
          </cell>
          <cell r="T96">
            <v>168.35003885171972</v>
          </cell>
          <cell r="AD96">
            <v>65.537288901845059</v>
          </cell>
          <cell r="AE96">
            <v>67.554953663139216</v>
          </cell>
          <cell r="AF96">
            <v>70.446712344929153</v>
          </cell>
          <cell r="AG96">
            <v>74.966265940883147</v>
          </cell>
          <cell r="AH96">
            <v>83.589593176629805</v>
          </cell>
        </row>
        <row r="97">
          <cell r="N97">
            <v>104</v>
          </cell>
          <cell r="P97">
            <v>674.58805031572183</v>
          </cell>
          <cell r="Q97">
            <v>576.30057138472114</v>
          </cell>
          <cell r="R97">
            <v>464.04911981218504</v>
          </cell>
          <cell r="S97">
            <v>332.70682641571403</v>
          </cell>
          <cell r="T97">
            <v>179.6427977990767</v>
          </cell>
          <cell r="AD97">
            <v>65.691225232427584</v>
          </cell>
          <cell r="AE97">
            <v>67.712127008180858</v>
          </cell>
          <cell r="AF97">
            <v>70.601097119399213</v>
          </cell>
          <cell r="AG97">
            <v>75.115180559621535</v>
          </cell>
          <cell r="AH97">
            <v>83.744492718519624</v>
          </cell>
        </row>
        <row r="98">
          <cell r="N98">
            <v>105</v>
          </cell>
          <cell r="P98">
            <v>723.0773439350246</v>
          </cell>
          <cell r="Q98">
            <v>618.15882133005255</v>
          </cell>
          <cell r="R98">
            <v>495.95875020503337</v>
          </cell>
          <cell r="S98">
            <v>355.39251454406457</v>
          </cell>
          <cell r="T98">
            <v>192.84472762747106</v>
          </cell>
          <cell r="AD98">
            <v>65.845161563010123</v>
          </cell>
          <cell r="AE98">
            <v>67.869300353222485</v>
          </cell>
          <cell r="AF98">
            <v>70.755481893869288</v>
          </cell>
          <cell r="AG98">
            <v>75.261722981240993</v>
          </cell>
          <cell r="AH98">
            <v>83.899392260409456</v>
          </cell>
        </row>
        <row r="99">
          <cell r="N99">
            <v>106</v>
          </cell>
          <cell r="P99">
            <v>775.04688205332377</v>
          </cell>
          <cell r="Q99">
            <v>661.0374857032798</v>
          </cell>
          <cell r="R99">
            <v>529.97705794806279</v>
          </cell>
          <cell r="S99">
            <v>380.70302846459265</v>
          </cell>
          <cell r="T99">
            <v>206.86001282003213</v>
          </cell>
          <cell r="AD99">
            <v>65.999097893592648</v>
          </cell>
          <cell r="AE99">
            <v>68.025215371037646</v>
          </cell>
          <cell r="AF99">
            <v>70.909866668339362</v>
          </cell>
          <cell r="AG99">
            <v>75.408265402860437</v>
          </cell>
          <cell r="AH99">
            <v>84.050903767166133</v>
          </cell>
        </row>
        <row r="100">
          <cell r="N100">
            <v>107</v>
          </cell>
          <cell r="P100">
            <v>830.74645386878444</v>
          </cell>
          <cell r="Q100">
            <v>707.71290405081743</v>
          </cell>
          <cell r="R100">
            <v>569.31054483627804</v>
          </cell>
          <cell r="S100">
            <v>409.80722569347137</v>
          </cell>
          <cell r="T100">
            <v>223.30464679992923</v>
          </cell>
          <cell r="AD100">
            <v>66.142785979989682</v>
          </cell>
          <cell r="AE100">
            <v>68.174918074940805</v>
          </cell>
          <cell r="AF100">
            <v>71.061795050376986</v>
          </cell>
          <cell r="AG100">
            <v>75.554807824479894</v>
          </cell>
          <cell r="AH100">
            <v>84.196136930932482</v>
          </cell>
        </row>
        <row r="101">
          <cell r="N101">
            <v>108</v>
          </cell>
          <cell r="P101">
            <v>890.4437768152311</v>
          </cell>
          <cell r="Q101">
            <v>760.34994102252585</v>
          </cell>
          <cell r="R101">
            <v>612.98149595960513</v>
          </cell>
          <cell r="S101">
            <v>441.9272464333992</v>
          </cell>
          <cell r="T101">
            <v>240.77599725083846</v>
          </cell>
          <cell r="AD101">
            <v>66.286413655019302</v>
          </cell>
          <cell r="AE101">
            <v>68.324620778843951</v>
          </cell>
          <cell r="AF101">
            <v>71.210277551293188</v>
          </cell>
          <cell r="AG101">
            <v>75.701350246099338</v>
          </cell>
          <cell r="AH101">
            <v>84.341370094698831</v>
          </cell>
        </row>
        <row r="102">
          <cell r="N102">
            <v>109</v>
          </cell>
          <cell r="P102">
            <v>954.42578333369079</v>
          </cell>
          <cell r="Q102">
            <v>816.51125764197252</v>
          </cell>
          <cell r="R102">
            <v>658.6492330785801</v>
          </cell>
          <cell r="S102">
            <v>475.39948267851139</v>
          </cell>
          <cell r="T102">
            <v>257.59951892176309</v>
          </cell>
          <cell r="AD102">
            <v>66.430041330048923</v>
          </cell>
          <cell r="AE102">
            <v>68.474323482747096</v>
          </cell>
          <cell r="AF102">
            <v>71.358760052209377</v>
          </cell>
          <cell r="AG102">
            <v>75.847892667718796</v>
          </cell>
          <cell r="AH102">
            <v>84.48660325846518</v>
          </cell>
        </row>
        <row r="103">
          <cell r="N103">
            <v>110</v>
          </cell>
          <cell r="P103">
            <v>1023</v>
          </cell>
          <cell r="Q103">
            <v>875.38110000000006</v>
          </cell>
          <cell r="R103">
            <v>706.6884</v>
          </cell>
          <cell r="S103">
            <v>508.22640000000001</v>
          </cell>
          <cell r="T103">
            <v>274.77780000000001</v>
          </cell>
          <cell r="AD103">
            <v>66.573669005078543</v>
          </cell>
          <cell r="AE103">
            <v>68.624026186650241</v>
          </cell>
          <cell r="AF103">
            <v>71.507242553125565</v>
          </cell>
          <cell r="AG103">
            <v>75.994435089338239</v>
          </cell>
          <cell r="AH103">
            <v>84.63183642223153</v>
          </cell>
        </row>
        <row r="104">
          <cell r="N104">
            <v>111</v>
          </cell>
          <cell r="P104">
            <v>1096.4960256371633</v>
          </cell>
          <cell r="Q104">
            <v>939.14884595823037</v>
          </cell>
          <cell r="R104">
            <v>756.25330888195151</v>
          </cell>
          <cell r="S104">
            <v>541.99798547244984</v>
          </cell>
          <cell r="T104">
            <v>293.42233646050488</v>
          </cell>
          <cell r="AD104">
            <v>66.717296680108163</v>
          </cell>
          <cell r="AE104">
            <v>68.773728890553386</v>
          </cell>
          <cell r="AF104">
            <v>71.655725054041767</v>
          </cell>
          <cell r="AG104">
            <v>76.130305911210229</v>
          </cell>
          <cell r="AH104">
            <v>84.777069585997879</v>
          </cell>
        </row>
        <row r="105">
          <cell r="N105">
            <v>112</v>
          </cell>
          <cell r="P105">
            <v>1175.2671155169628</v>
          </cell>
          <cell r="Q105">
            <v>1004.2657502092447</v>
          </cell>
          <cell r="R105">
            <v>806.23324124463659</v>
          </cell>
          <cell r="S105">
            <v>577.99636741124232</v>
          </cell>
          <cell r="T105">
            <v>313.56126641992563</v>
          </cell>
          <cell r="AD105">
            <v>66.860924355137783</v>
          </cell>
          <cell r="AE105">
            <v>68.923431594456531</v>
          </cell>
          <cell r="AF105">
            <v>71.804207554957955</v>
          </cell>
          <cell r="AG105">
            <v>76.265755485049056</v>
          </cell>
          <cell r="AH105">
            <v>84.922302749764228</v>
          </cell>
        </row>
        <row r="106">
          <cell r="N106">
            <v>113</v>
          </cell>
          <cell r="P106">
            <v>1259.6918792651943</v>
          </cell>
          <cell r="Q106">
            <v>1073.383450321872</v>
          </cell>
          <cell r="R106">
            <v>861.50327622946634</v>
          </cell>
          <cell r="S106">
            <v>619.01258947091651</v>
          </cell>
          <cell r="T106">
            <v>335.8338550121008</v>
          </cell>
          <cell r="AD106">
            <v>67.004247194324648</v>
          </cell>
          <cell r="AE106">
            <v>69.0655056802525</v>
          </cell>
          <cell r="AF106">
            <v>71.952690055874157</v>
          </cell>
          <cell r="AG106">
            <v>76.401205058887882</v>
          </cell>
          <cell r="AH106">
            <v>85.072521641060263</v>
          </cell>
        </row>
        <row r="107">
          <cell r="N107">
            <v>114</v>
          </cell>
          <cell r="P107">
            <v>1350.1761006314437</v>
          </cell>
          <cell r="Q107">
            <v>1150.7550905681794</v>
          </cell>
          <cell r="R107">
            <v>925.41069937279144</v>
          </cell>
          <cell r="S107">
            <v>665.09674717104917</v>
          </cell>
          <cell r="T107">
            <v>360.49701886859549</v>
          </cell>
          <cell r="AD107">
            <v>67.138256553625013</v>
          </cell>
          <cell r="AE107">
            <v>69.199592937186125</v>
          </cell>
          <cell r="AF107">
            <v>72.093818006439079</v>
          </cell>
          <cell r="AG107">
            <v>76.536654632726695</v>
          </cell>
          <cell r="AH107">
            <v>85.228476403824274</v>
          </cell>
        </row>
        <row r="108">
          <cell r="N108">
            <v>115</v>
          </cell>
          <cell r="P108">
            <v>1447.1546878700494</v>
          </cell>
          <cell r="Q108">
            <v>1234.8570951595132</v>
          </cell>
          <cell r="R108">
            <v>993.18226228521496</v>
          </cell>
          <cell r="S108">
            <v>713.59197658872131</v>
          </cell>
          <cell r="T108">
            <v>386.39030166130323</v>
          </cell>
          <cell r="AD108">
            <v>67.272265912925377</v>
          </cell>
          <cell r="AE108">
            <v>69.333680194119751</v>
          </cell>
          <cell r="AF108">
            <v>72.23150684883845</v>
          </cell>
          <cell r="AG108">
            <v>76.672104206565521</v>
          </cell>
          <cell r="AH108">
            <v>85.384431166588271</v>
          </cell>
        </row>
        <row r="109">
          <cell r="N109">
            <v>116</v>
          </cell>
          <cell r="P109">
            <v>1551.0937641066464</v>
          </cell>
          <cell r="Q109">
            <v>1324.4789651706653</v>
          </cell>
          <cell r="R109">
            <v>1064.6707596828021</v>
          </cell>
          <cell r="S109">
            <v>764.3790069517554</v>
          </cell>
          <cell r="T109">
            <v>412.59094125236794</v>
          </cell>
          <cell r="AD109">
            <v>67.406275272225741</v>
          </cell>
          <cell r="AE109">
            <v>69.467767451053362</v>
          </cell>
          <cell r="AF109">
            <v>72.369195691237806</v>
          </cell>
          <cell r="AG109">
            <v>76.807553780404334</v>
          </cell>
          <cell r="AH109">
            <v>85.540385929352269</v>
          </cell>
        </row>
        <row r="110">
          <cell r="N110">
            <v>117</v>
          </cell>
          <cell r="P110">
            <v>1662.4929077375689</v>
          </cell>
          <cell r="Q110">
            <v>1418.9376967540152</v>
          </cell>
          <cell r="R110">
            <v>1141.6338797433884</v>
          </cell>
          <cell r="S110">
            <v>816.11776840837263</v>
          </cell>
          <cell r="T110">
            <v>440.22812196890823</v>
          </cell>
          <cell r="AD110">
            <v>67.540284631526106</v>
          </cell>
          <cell r="AE110">
            <v>69.601854707986988</v>
          </cell>
          <cell r="AF110">
            <v>72.506884533637162</v>
          </cell>
          <cell r="AG110">
            <v>76.94300335424316</v>
          </cell>
          <cell r="AH110">
            <v>85.696340692116266</v>
          </cell>
        </row>
        <row r="111">
          <cell r="N111">
            <v>118</v>
          </cell>
          <cell r="P111">
            <v>1781.8875536304624</v>
          </cell>
          <cell r="Q111">
            <v>1520.8410270235997</v>
          </cell>
          <cell r="R111">
            <v>1218.0983316617842</v>
          </cell>
          <cell r="S111">
            <v>871.69939123602228</v>
          </cell>
          <cell r="T111">
            <v>471.13106917989433</v>
          </cell>
          <cell r="AD111">
            <v>67.674293990826456</v>
          </cell>
          <cell r="AE111">
            <v>69.735941964920613</v>
          </cell>
          <cell r="AF111">
            <v>72.644573376036519</v>
          </cell>
          <cell r="AG111">
            <v>77.074762810762508</v>
          </cell>
          <cell r="AH111">
            <v>85.852295454880277</v>
          </cell>
        </row>
        <row r="112">
          <cell r="N112">
            <v>119</v>
          </cell>
          <cell r="P112">
            <v>1909.8515666673818</v>
          </cell>
          <cell r="Q112">
            <v>1624.7107277639418</v>
          </cell>
          <cell r="R112">
            <v>1301.5638426838207</v>
          </cell>
          <cell r="S112">
            <v>931.81657937701561</v>
          </cell>
          <cell r="T112">
            <v>504.58278391352223</v>
          </cell>
          <cell r="AD112">
            <v>67.80830335012682</v>
          </cell>
          <cell r="AE112">
            <v>69.870029221854239</v>
          </cell>
          <cell r="AF112">
            <v>72.782262218435889</v>
          </cell>
          <cell r="AG112">
            <v>77.203841369133116</v>
          </cell>
          <cell r="AH112">
            <v>86.007776715139968</v>
          </cell>
        </row>
        <row r="113">
          <cell r="N113">
            <v>120</v>
          </cell>
          <cell r="P113">
            <v>2047</v>
          </cell>
          <cell r="Q113">
            <v>1741.3829000000001</v>
          </cell>
          <cell r="R113">
            <v>1397.2821999999999</v>
          </cell>
          <cell r="S113">
            <v>1001.3924000000001</v>
          </cell>
          <cell r="T113">
            <v>542.04559999999992</v>
          </cell>
          <cell r="AD113">
            <v>67.942312709427185</v>
          </cell>
          <cell r="AE113">
            <v>70.003807055133578</v>
          </cell>
          <cell r="AF113">
            <v>72.919951060835245</v>
          </cell>
          <cell r="AG113">
            <v>77.332919927503724</v>
          </cell>
          <cell r="AH113">
            <v>86.154780808490045</v>
          </cell>
        </row>
        <row r="114">
          <cell r="N114">
            <v>121</v>
          </cell>
          <cell r="P114">
            <v>2193.9920512743265</v>
          </cell>
          <cell r="Q114">
            <v>1869.0618284805987</v>
          </cell>
          <cell r="R114">
            <v>1500.4711638665117</v>
          </cell>
          <cell r="S114">
            <v>1076.5918995603122</v>
          </cell>
          <cell r="T114">
            <v>583.16308722871599</v>
          </cell>
          <cell r="AD114">
            <v>68.071211008105138</v>
          </cell>
          <cell r="AE114">
            <v>70.127815365673797</v>
          </cell>
          <cell r="AF114">
            <v>73.051543220271398</v>
          </cell>
          <cell r="AG114">
            <v>77.461998485874332</v>
          </cell>
          <cell r="AH114">
            <v>86.301784901840136</v>
          </cell>
        </row>
        <row r="115">
          <cell r="N115">
            <v>122</v>
          </cell>
          <cell r="P115">
            <v>2351.5342310339256</v>
          </cell>
          <cell r="Q115">
            <v>2004.6829319564217</v>
          </cell>
          <cell r="R115">
            <v>1609.3900277196187</v>
          </cell>
          <cell r="S115">
            <v>1155.3087677069677</v>
          </cell>
          <cell r="T115">
            <v>623.15657122399034</v>
          </cell>
          <cell r="AD115">
            <v>68.196246161507091</v>
          </cell>
          <cell r="AE115">
            <v>70.251823676214016</v>
          </cell>
          <cell r="AF115">
            <v>73.174668450093861</v>
          </cell>
          <cell r="AG115">
            <v>77.591077044244926</v>
          </cell>
          <cell r="AH115">
            <v>86.448788995190213</v>
          </cell>
        </row>
        <row r="116">
          <cell r="N116">
            <v>123</v>
          </cell>
          <cell r="P116">
            <v>2520.3837585303886</v>
          </cell>
          <cell r="Q116">
            <v>2149.6353076505684</v>
          </cell>
          <cell r="R116">
            <v>1726.7149129691693</v>
          </cell>
          <cell r="S116">
            <v>1235.7441568074496</v>
          </cell>
          <cell r="T116">
            <v>665.63335062787564</v>
          </cell>
          <cell r="AD116">
            <v>68.321281314909029</v>
          </cell>
          <cell r="AE116">
            <v>70.375831986754235</v>
          </cell>
          <cell r="AF116">
            <v>73.297793679916325</v>
          </cell>
          <cell r="AG116">
            <v>77.720155602615534</v>
          </cell>
          <cell r="AH116">
            <v>86.595793088540304</v>
          </cell>
        </row>
        <row r="117">
          <cell r="N117">
            <v>124</v>
          </cell>
          <cell r="P117">
            <v>2701.3522012628878</v>
          </cell>
          <cell r="Q117">
            <v>2304.5235628973696</v>
          </cell>
          <cell r="R117">
            <v>1846.3742295631837</v>
          </cell>
          <cell r="S117">
            <v>1319.3404150967945</v>
          </cell>
          <cell r="T117">
            <v>710.99589937239205</v>
          </cell>
          <cell r="AD117">
            <v>68.446316468310982</v>
          </cell>
          <cell r="AE117">
            <v>70.499840297294455</v>
          </cell>
          <cell r="AF117">
            <v>73.420918909738774</v>
          </cell>
          <cell r="AG117">
            <v>77.849234160986143</v>
          </cell>
          <cell r="AH117">
            <v>86.742797181890381</v>
          </cell>
        </row>
        <row r="118">
          <cell r="N118">
            <v>125</v>
          </cell>
          <cell r="P118">
            <v>2895.3093757400989</v>
          </cell>
          <cell r="Q118">
            <v>2463.0396859421021</v>
          </cell>
          <cell r="R118">
            <v>1969.9684992535633</v>
          </cell>
          <cell r="S118">
            <v>1407.1203566096881</v>
          </cell>
          <cell r="T118">
            <v>758.86058738147995</v>
          </cell>
          <cell r="AD118">
            <v>68.571351621712935</v>
          </cell>
          <cell r="AE118">
            <v>70.623848607834674</v>
          </cell>
          <cell r="AF118">
            <v>73.544044139561237</v>
          </cell>
          <cell r="AG118">
            <v>77.978312719356751</v>
          </cell>
          <cell r="AH118">
            <v>86.889801275240458</v>
          </cell>
        </row>
        <row r="119">
          <cell r="N119">
            <v>126</v>
          </cell>
          <cell r="P119">
            <v>3103.1875282132928</v>
          </cell>
          <cell r="Q119">
            <v>2636.7784427228348</v>
          </cell>
          <cell r="R119">
            <v>2108.9262441737537</v>
          </cell>
          <cell r="S119">
            <v>1509.0800949701243</v>
          </cell>
          <cell r="T119">
            <v>813.34545114470404</v>
          </cell>
          <cell r="AD119">
            <v>68.696386775114874</v>
          </cell>
          <cell r="AE119">
            <v>70.747856918374893</v>
          </cell>
          <cell r="AF119">
            <v>73.667169369383686</v>
          </cell>
          <cell r="AG119">
            <v>78.10469841238104</v>
          </cell>
          <cell r="AH119">
            <v>87.033659382136349</v>
          </cell>
        </row>
        <row r="120">
          <cell r="N120">
            <v>127</v>
          </cell>
          <cell r="P120">
            <v>3325.985815475135</v>
          </cell>
          <cell r="Q120">
            <v>2826.7553445723174</v>
          </cell>
          <cell r="R120">
            <v>2262.6681502677343</v>
          </cell>
          <cell r="S120">
            <v>1618.0920992286531</v>
          </cell>
          <cell r="T120">
            <v>873.07127656222303</v>
          </cell>
          <cell r="AD120">
            <v>68.821421928516827</v>
          </cell>
          <cell r="AE120">
            <v>70.871865228915112</v>
          </cell>
          <cell r="AF120">
            <v>73.790294599206149</v>
          </cell>
          <cell r="AG120">
            <v>78.230540290975199</v>
          </cell>
          <cell r="AH120">
            <v>87.168098110592624</v>
          </cell>
        </row>
        <row r="121">
          <cell r="N121">
            <v>128</v>
          </cell>
          <cell r="P121">
            <v>3564.7751072609281</v>
          </cell>
          <cell r="Q121">
            <v>3030.4153186825147</v>
          </cell>
          <cell r="R121">
            <v>2426.1859380017877</v>
          </cell>
          <cell r="S121">
            <v>1737.4713872789764</v>
          </cell>
          <cell r="T121">
            <v>936.10994316671975</v>
          </cell>
          <cell r="AD121">
            <v>68.946457081918766</v>
          </cell>
          <cell r="AE121">
            <v>70.995873539455332</v>
          </cell>
          <cell r="AF121">
            <v>73.913419829028598</v>
          </cell>
          <cell r="AG121">
            <v>78.356382169569343</v>
          </cell>
          <cell r="AH121">
            <v>87.302536839048898</v>
          </cell>
        </row>
        <row r="122">
          <cell r="N122">
            <v>129</v>
          </cell>
          <cell r="P122">
            <v>3820.7031333347636</v>
          </cell>
          <cell r="Q122">
            <v>3250.2721555278836</v>
          </cell>
          <cell r="R122">
            <v>2604.5733259943081</v>
          </cell>
          <cell r="S122">
            <v>1863.3569181273642</v>
          </cell>
          <cell r="T122">
            <v>1000.260080307041</v>
          </cell>
          <cell r="AD122">
            <v>69.066704614192943</v>
          </cell>
          <cell r="AE122">
            <v>71.113087458015798</v>
          </cell>
          <cell r="AF122">
            <v>74.034200876118248</v>
          </cell>
          <cell r="AG122">
            <v>78.482224048163502</v>
          </cell>
          <cell r="AH122">
            <v>87.436975567505186</v>
          </cell>
        </row>
        <row r="123">
          <cell r="N123">
            <v>130</v>
          </cell>
          <cell r="P123">
            <v>4095</v>
          </cell>
          <cell r="Q123">
            <v>3486.0735</v>
          </cell>
          <cell r="R123">
            <v>2791.971</v>
          </cell>
          <cell r="S123">
            <v>1988.5319999999999</v>
          </cell>
          <cell r="T123">
            <v>1067.9759999999999</v>
          </cell>
          <cell r="AD123">
            <v>69.18336653741882</v>
          </cell>
          <cell r="AE123">
            <v>71.230067506391322</v>
          </cell>
          <cell r="AF123">
            <v>74.149428238300118</v>
          </cell>
          <cell r="AG123">
            <v>78.608065926757661</v>
          </cell>
          <cell r="AH123">
            <v>87.571414295961461</v>
          </cell>
        </row>
        <row r="124">
          <cell r="N124">
            <v>131</v>
          </cell>
          <cell r="P124">
            <v>4388.9841025486576</v>
          </cell>
          <cell r="Q124">
            <v>3731.5142839868686</v>
          </cell>
          <cell r="R124">
            <v>2978.8035103997736</v>
          </cell>
          <cell r="S124">
            <v>2122.0738135822758</v>
          </cell>
          <cell r="T124">
            <v>1143.3303587139253</v>
          </cell>
          <cell r="AD124">
            <v>69.300028460644711</v>
          </cell>
          <cell r="AE124">
            <v>71.347047554766846</v>
          </cell>
          <cell r="AF124">
            <v>74.264655600481987</v>
          </cell>
          <cell r="AG124">
            <v>78.733907805351805</v>
          </cell>
          <cell r="AH124">
            <v>87.705853024417735</v>
          </cell>
        </row>
        <row r="125">
          <cell r="N125">
            <v>132</v>
          </cell>
          <cell r="P125">
            <v>4704.0684620678521</v>
          </cell>
          <cell r="Q125">
            <v>3989.5204626797454</v>
          </cell>
          <cell r="R125">
            <v>3183.7135351275219</v>
          </cell>
          <cell r="S125">
            <v>2271.1242534863591</v>
          </cell>
          <cell r="T125">
            <v>1223.9986138300551</v>
          </cell>
          <cell r="AD125">
            <v>69.416690383870588</v>
          </cell>
          <cell r="AE125">
            <v>71.46402760314237</v>
          </cell>
          <cell r="AF125">
            <v>74.379882962663856</v>
          </cell>
          <cell r="AG125">
            <v>78.859749683945964</v>
          </cell>
          <cell r="AH125">
            <v>87.840291752874009</v>
          </cell>
        </row>
        <row r="126">
          <cell r="N126">
            <v>133</v>
          </cell>
          <cell r="P126">
            <v>5041.7675170607781</v>
          </cell>
          <cell r="Q126">
            <v>4275.9230312192458</v>
          </cell>
          <cell r="R126">
            <v>3419.8309068223257</v>
          </cell>
          <cell r="S126">
            <v>2442.7363620159467</v>
          </cell>
          <cell r="T126">
            <v>1316.4054987045693</v>
          </cell>
          <cell r="AD126">
            <v>69.533352307096465</v>
          </cell>
          <cell r="AE126">
            <v>71.581007651517908</v>
          </cell>
          <cell r="AF126">
            <v>74.495110324845726</v>
          </cell>
          <cell r="AG126">
            <v>78.985591562540122</v>
          </cell>
          <cell r="AH126">
            <v>87.974730481330297</v>
          </cell>
        </row>
        <row r="127">
          <cell r="N127">
            <v>134</v>
          </cell>
          <cell r="P127">
            <v>5403.704402525771</v>
          </cell>
          <cell r="Q127">
            <v>4591.5276308261473</v>
          </cell>
          <cell r="R127">
            <v>3671.276771076009</v>
          </cell>
          <cell r="S127">
            <v>2624.0388578665143</v>
          </cell>
          <cell r="T127">
            <v>1415.7705534617521</v>
          </cell>
          <cell r="AD127">
            <v>69.650014230322356</v>
          </cell>
          <cell r="AE127">
            <v>71.697987699893432</v>
          </cell>
          <cell r="AF127">
            <v>74.610337687027609</v>
          </cell>
          <cell r="AG127">
            <v>79.104601412347151</v>
          </cell>
          <cell r="AH127">
            <v>88.109271506528316</v>
          </cell>
        </row>
        <row r="128">
          <cell r="N128">
            <v>135</v>
          </cell>
          <cell r="P128">
            <v>5791.6187514801986</v>
          </cell>
          <cell r="Q128">
            <v>4918.821805632133</v>
          </cell>
          <cell r="R128">
            <v>3940.0382366319791</v>
          </cell>
          <cell r="S128">
            <v>2816.4641988448207</v>
          </cell>
          <cell r="T128">
            <v>1509.8750085108877</v>
          </cell>
          <cell r="AD128">
            <v>69.766676153548232</v>
          </cell>
          <cell r="AE128">
            <v>71.814967748268955</v>
          </cell>
          <cell r="AF128">
            <v>74.725565049209479</v>
          </cell>
          <cell r="AG128">
            <v>79.222727875098187</v>
          </cell>
          <cell r="AH128">
            <v>88.243836210467165</v>
          </cell>
        </row>
        <row r="129">
          <cell r="N129">
            <v>136</v>
          </cell>
          <cell r="P129">
            <v>6207.3750564265865</v>
          </cell>
          <cell r="Q129">
            <v>5279.3724854908123</v>
          </cell>
          <cell r="R129">
            <v>4225.9809384152195</v>
          </cell>
          <cell r="S129">
            <v>3006.8524773330387</v>
          </cell>
          <cell r="T129">
            <v>1610.1930896370566</v>
          </cell>
          <cell r="AD129">
            <v>69.883338076774123</v>
          </cell>
          <cell r="AE129">
            <v>71.931947796644479</v>
          </cell>
          <cell r="AF129">
            <v>74.840792411391348</v>
          </cell>
          <cell r="AG129">
            <v>79.340854337849223</v>
          </cell>
          <cell r="AH129">
            <v>88.378400914406001</v>
          </cell>
        </row>
        <row r="130">
          <cell r="N130">
            <v>137</v>
          </cell>
          <cell r="P130">
            <v>6652.971630950271</v>
          </cell>
          <cell r="Q130">
            <v>5658.3523721232059</v>
          </cell>
          <cell r="R130">
            <v>4508.7188742949984</v>
          </cell>
          <cell r="S130">
            <v>3203.4058403025556</v>
          </cell>
          <cell r="T130">
            <v>1719.793166600645</v>
          </cell>
          <cell r="AD130">
            <v>70</v>
          </cell>
          <cell r="AE130">
            <v>72.047345051940553</v>
          </cell>
          <cell r="AF130">
            <v>74.956019773573217</v>
          </cell>
          <cell r="AG130">
            <v>79.458980800600258</v>
          </cell>
          <cell r="AH130">
            <v>88.51296561834485</v>
          </cell>
        </row>
        <row r="131">
          <cell r="N131">
            <v>138</v>
          </cell>
          <cell r="P131">
            <v>7130.5502145218443</v>
          </cell>
          <cell r="Q131">
            <v>6036.010756592741</v>
          </cell>
          <cell r="R131">
            <v>4805.9908445877236</v>
          </cell>
          <cell r="S131">
            <v>3419.0988278632244</v>
          </cell>
          <cell r="T131">
            <v>1838.9689003251838</v>
          </cell>
          <cell r="AD131">
            <v>70.108849423225877</v>
          </cell>
          <cell r="AE131">
            <v>72.160540850040434</v>
          </cell>
          <cell r="AF131">
            <v>75.067682921736733</v>
          </cell>
          <cell r="AG131">
            <v>79.577107263351294</v>
          </cell>
          <cell r="AH131">
            <v>88.6475303222837</v>
          </cell>
        </row>
        <row r="132">
          <cell r="N132">
            <v>139</v>
          </cell>
          <cell r="P132">
            <v>7642.4062666695281</v>
          </cell>
          <cell r="Q132">
            <v>6469.2969047357556</v>
          </cell>
          <cell r="R132">
            <v>5159.388470628599</v>
          </cell>
          <cell r="S132">
            <v>3676.7616548947103</v>
          </cell>
          <cell r="T132">
            <v>1975.5620199340731</v>
          </cell>
          <cell r="AD132">
            <v>70.217698846451768</v>
          </cell>
          <cell r="AE132">
            <v>72.273736648140314</v>
          </cell>
          <cell r="AF132">
            <v>75.177145912126889</v>
          </cell>
          <cell r="AG132">
            <v>79.69523372610233</v>
          </cell>
          <cell r="AH132">
            <v>88.782095026222549</v>
          </cell>
        </row>
        <row r="133">
          <cell r="N133">
            <v>140</v>
          </cell>
          <cell r="P133">
            <v>8191</v>
          </cell>
          <cell r="Q133">
            <v>6941.8725000000004</v>
          </cell>
          <cell r="R133">
            <v>5542.0306</v>
          </cell>
          <cell r="S133">
            <v>3951.3384000000001</v>
          </cell>
          <cell r="T133">
            <v>2124.7454000000002</v>
          </cell>
          <cell r="AD133">
            <v>70.326548269677644</v>
          </cell>
          <cell r="AE133">
            <v>72.386932446240195</v>
          </cell>
          <cell r="AF133">
            <v>75.286608902517045</v>
          </cell>
          <cell r="AG133">
            <v>79.813360188853366</v>
          </cell>
          <cell r="AH133">
            <v>88.916659730161399</v>
          </cell>
        </row>
        <row r="134">
          <cell r="N134">
            <v>141</v>
          </cell>
          <cell r="P134">
            <v>8778.9682050973151</v>
          </cell>
          <cell r="Q134">
            <v>7443.6871411020138</v>
          </cell>
          <cell r="R134">
            <v>5945.117268491902</v>
          </cell>
          <cell r="S134">
            <v>4244.6311271645518</v>
          </cell>
          <cell r="T134">
            <v>2275.5085587612239</v>
          </cell>
          <cell r="AD134">
            <v>70.435397692903535</v>
          </cell>
          <cell r="AE134">
            <v>72.50012824434009</v>
          </cell>
          <cell r="AF134">
            <v>75.396071892907202</v>
          </cell>
          <cell r="AG134">
            <v>79.931486651604402</v>
          </cell>
          <cell r="AH134">
            <v>89.048420729369383</v>
          </cell>
        </row>
        <row r="135">
          <cell r="N135">
            <v>142</v>
          </cell>
          <cell r="P135">
            <v>9409.1369241357042</v>
          </cell>
          <cell r="Q135">
            <v>7983.6526801291457</v>
          </cell>
          <cell r="R135">
            <v>6385.9812304109018</v>
          </cell>
          <cell r="S135">
            <v>4544.6131343575453</v>
          </cell>
          <cell r="T135">
            <v>2431.3209811966663</v>
          </cell>
          <cell r="AD135">
            <v>70.544247116129412</v>
          </cell>
          <cell r="AE135">
            <v>72.61332404243997</v>
          </cell>
          <cell r="AF135">
            <v>75.505534883297358</v>
          </cell>
          <cell r="AG135">
            <v>80.045750258986601</v>
          </cell>
          <cell r="AH135">
            <v>89.175620204122851</v>
          </cell>
        </row>
        <row r="136">
          <cell r="N136">
            <v>143</v>
          </cell>
          <cell r="P136">
            <v>10084.535034121556</v>
          </cell>
          <cell r="Q136">
            <v>8562.7786974726132</v>
          </cell>
          <cell r="R136">
            <v>6827.2302181002942</v>
          </cell>
          <cell r="S136">
            <v>4847.6359909022322</v>
          </cell>
          <cell r="T136">
            <v>2595.759317782889</v>
          </cell>
          <cell r="AD136">
            <v>70.653096539355303</v>
          </cell>
          <cell r="AE136">
            <v>72.726519840539851</v>
          </cell>
          <cell r="AF136">
            <v>75.614997873687514</v>
          </cell>
          <cell r="AG136">
            <v>80.154679447049915</v>
          </cell>
          <cell r="AH136">
            <v>89.302819678876304</v>
          </cell>
        </row>
        <row r="137">
          <cell r="N137">
            <v>144</v>
          </cell>
          <cell r="P137">
            <v>10808.408805051544</v>
          </cell>
          <cell r="Q137">
            <v>9151.4797352371424</v>
          </cell>
          <cell r="R137">
            <v>7283.7866937242361</v>
          </cell>
          <cell r="S137">
            <v>5175.0661358586794</v>
          </cell>
          <cell r="T137">
            <v>2775.5993811372364</v>
          </cell>
          <cell r="AD137">
            <v>70.76194596258118</v>
          </cell>
          <cell r="AE137">
            <v>72.839715638639731</v>
          </cell>
          <cell r="AF137">
            <v>75.72446086407767</v>
          </cell>
          <cell r="AG137">
            <v>80.263608635113243</v>
          </cell>
          <cell r="AH137">
            <v>89.430019153629758</v>
          </cell>
        </row>
        <row r="138">
          <cell r="N138">
            <v>145</v>
          </cell>
          <cell r="P138">
            <v>11584.237502960397</v>
          </cell>
          <cell r="Q138">
            <v>9796.789656253608</v>
          </cell>
          <cell r="R138">
            <v>7796.1918394923478</v>
          </cell>
          <cell r="S138">
            <v>5548.8497639180305</v>
          </cell>
          <cell r="T138">
            <v>2979.465885761414</v>
          </cell>
          <cell r="AD138">
            <v>70.870795385807057</v>
          </cell>
          <cell r="AE138">
            <v>72.952911436739612</v>
          </cell>
          <cell r="AF138">
            <v>75.833923854467812</v>
          </cell>
          <cell r="AG138">
            <v>80.372537823176572</v>
          </cell>
          <cell r="AH138">
            <v>89.557218628383211</v>
          </cell>
        </row>
        <row r="139">
          <cell r="N139">
            <v>146</v>
          </cell>
          <cell r="P139">
            <v>12415.750112853173</v>
          </cell>
          <cell r="Q139">
            <v>10507.449320507641</v>
          </cell>
          <cell r="R139">
            <v>8384.3560512097483</v>
          </cell>
          <cell r="S139">
            <v>5967.009504237235</v>
          </cell>
          <cell r="T139">
            <v>3204.5051041274041</v>
          </cell>
          <cell r="AD139">
            <v>70.979644809032948</v>
          </cell>
          <cell r="AE139">
            <v>73.059911975288244</v>
          </cell>
          <cell r="AF139">
            <v>75.943386844857969</v>
          </cell>
          <cell r="AG139">
            <v>80.4814670112399</v>
          </cell>
          <cell r="AH139">
            <v>89.684418103136665</v>
          </cell>
        </row>
        <row r="140">
          <cell r="N140">
            <v>147</v>
          </cell>
          <cell r="P140">
            <v>13306.943261900544</v>
          </cell>
          <cell r="Q140">
            <v>11274.973025808331</v>
          </cell>
          <cell r="R140">
            <v>8995.4936450447676</v>
          </cell>
          <cell r="S140">
            <v>6407.293180605112</v>
          </cell>
          <cell r="T140">
            <v>3438.5141388751008</v>
          </cell>
          <cell r="AD140">
            <v>71.082568038258202</v>
          </cell>
          <cell r="AE140">
            <v>73.162499594857536</v>
          </cell>
          <cell r="AF140">
            <v>76.048210495050611</v>
          </cell>
          <cell r="AG140">
            <v>80.590396199303228</v>
          </cell>
          <cell r="AH140">
            <v>89.811617577890132</v>
          </cell>
        </row>
        <row r="141">
          <cell r="N141">
            <v>148</v>
          </cell>
          <cell r="P141">
            <v>14262.10042904369</v>
          </cell>
          <cell r="Q141">
            <v>12084.27769352872</v>
          </cell>
          <cell r="R141">
            <v>9648.3109402480568</v>
          </cell>
          <cell r="S141">
            <v>6871.4799867132497</v>
          </cell>
          <cell r="T141">
            <v>3671.064650435846</v>
          </cell>
          <cell r="AD141">
            <v>71.184128141237707</v>
          </cell>
          <cell r="AE141">
            <v>73.265087214426828</v>
          </cell>
          <cell r="AF141">
            <v>76.148064447889894</v>
          </cell>
          <cell r="AG141">
            <v>80.699325387366557</v>
          </cell>
          <cell r="AH141">
            <v>89.938817052643586</v>
          </cell>
        </row>
        <row r="142">
          <cell r="N142">
            <v>149</v>
          </cell>
          <cell r="P142">
            <v>15285.812533339058</v>
          </cell>
          <cell r="Q142">
            <v>12957.783284511519</v>
          </cell>
          <cell r="R142">
            <v>10342.380760057207</v>
          </cell>
          <cell r="S142">
            <v>7335.6614347494142</v>
          </cell>
          <cell r="T142">
            <v>3920.8109148014687</v>
          </cell>
          <cell r="AD142">
            <v>71.285688244217212</v>
          </cell>
          <cell r="AE142">
            <v>73.367674833996119</v>
          </cell>
          <cell r="AF142">
            <v>76.247918400729162</v>
          </cell>
          <cell r="AG142">
            <v>80.808254575429885</v>
          </cell>
          <cell r="AH142">
            <v>90.055148444912135</v>
          </cell>
        </row>
        <row r="143">
          <cell r="N143">
            <v>150</v>
          </cell>
          <cell r="P143">
            <v>16383</v>
          </cell>
          <cell r="Q143">
            <v>13881.315900000001</v>
          </cell>
          <cell r="R143">
            <v>11037.2271</v>
          </cell>
          <cell r="S143">
            <v>7827.7974000000004</v>
          </cell>
          <cell r="T143">
            <v>4192.4097000000002</v>
          </cell>
          <cell r="AD143">
            <v>71.387248347196717</v>
          </cell>
          <cell r="AE143">
            <v>73.470262453565411</v>
          </cell>
          <cell r="AF143">
            <v>76.347772353568445</v>
          </cell>
          <cell r="AG143">
            <v>80.917183763493213</v>
          </cell>
          <cell r="AH143">
            <v>90.16140749098561</v>
          </cell>
        </row>
        <row r="144">
          <cell r="N144">
            <v>151</v>
          </cell>
          <cell r="P144">
            <v>17558.936410194601</v>
          </cell>
          <cell r="Q144">
            <v>14839.057160255457</v>
          </cell>
          <cell r="R144">
            <v>11789.069905804656</v>
          </cell>
          <cell r="S144">
            <v>8380.8803485858825</v>
          </cell>
          <cell r="T144">
            <v>4489.820040086759</v>
          </cell>
          <cell r="AD144">
            <v>71.488808450176208</v>
          </cell>
          <cell r="AE144">
            <v>73.572850073134703</v>
          </cell>
          <cell r="AF144">
            <v>76.447626306407713</v>
          </cell>
          <cell r="AG144">
            <v>81.023848662825003</v>
          </cell>
          <cell r="AH144">
            <v>90.267666537059071</v>
          </cell>
        </row>
        <row r="145">
          <cell r="N145">
            <v>152</v>
          </cell>
          <cell r="P145">
            <v>18819.273848271412</v>
          </cell>
          <cell r="Q145">
            <v>15904.16832917417</v>
          </cell>
          <cell r="R145">
            <v>12667.253227271489</v>
          </cell>
          <cell r="S145">
            <v>9003.140609013044</v>
          </cell>
          <cell r="T145">
            <v>4823.3798873119622</v>
          </cell>
          <cell r="AD145">
            <v>71.590368553155713</v>
          </cell>
          <cell r="AE145">
            <v>73.675437692703994</v>
          </cell>
          <cell r="AF145">
            <v>76.547480259246996</v>
          </cell>
          <cell r="AG145">
            <v>81.123332456233015</v>
          </cell>
          <cell r="AH145">
            <v>90.373925583132547</v>
          </cell>
        </row>
        <row r="146">
          <cell r="N146">
            <v>153</v>
          </cell>
          <cell r="P146">
            <v>20170.070068243116</v>
          </cell>
          <cell r="Q146">
            <v>17065.896284740498</v>
          </cell>
          <cell r="R146">
            <v>13594.62722599586</v>
          </cell>
          <cell r="S146">
            <v>9669.5315907157492</v>
          </cell>
          <cell r="T146">
            <v>5185.7250145453054</v>
          </cell>
          <cell r="AD146">
            <v>71.691928656135218</v>
          </cell>
          <cell r="AE146">
            <v>73.778025312273286</v>
          </cell>
          <cell r="AF146">
            <v>76.647334212086264</v>
          </cell>
          <cell r="AG146">
            <v>81.222816249641028</v>
          </cell>
          <cell r="AH146">
            <v>90.480184629206022</v>
          </cell>
        </row>
        <row r="147">
          <cell r="N147">
            <v>154</v>
          </cell>
          <cell r="P147">
            <v>21617.817610103088</v>
          </cell>
          <cell r="Q147">
            <v>18290.835479908223</v>
          </cell>
          <cell r="R147">
            <v>14585.541541536553</v>
          </cell>
          <cell r="S147">
            <v>10380.876016371503</v>
          </cell>
          <cell r="T147">
            <v>5547.1319987524521</v>
          </cell>
          <cell r="AD147">
            <v>71.793488759114723</v>
          </cell>
          <cell r="AE147">
            <v>73.880612931842577</v>
          </cell>
          <cell r="AF147">
            <v>76.747188164925547</v>
          </cell>
          <cell r="AG147">
            <v>81.322300043049054</v>
          </cell>
          <cell r="AH147">
            <v>90.586443675279497</v>
          </cell>
        </row>
        <row r="148">
          <cell r="N148">
            <v>155</v>
          </cell>
          <cell r="P148">
            <v>23169.475005920798</v>
          </cell>
          <cell r="Q148">
            <v>19631.496172516694</v>
          </cell>
          <cell r="R148">
            <v>15650.9803664995</v>
          </cell>
          <cell r="S148">
            <v>11105.129370337838</v>
          </cell>
          <cell r="T148">
            <v>5926.7517065145412</v>
          </cell>
          <cell r="AD148">
            <v>71.895048862094214</v>
          </cell>
          <cell r="AE148">
            <v>73.983200551411869</v>
          </cell>
          <cell r="AF148">
            <v>76.847042117764815</v>
          </cell>
          <cell r="AG148">
            <v>81.421783836457067</v>
          </cell>
          <cell r="AH148">
            <v>90.692702721352973</v>
          </cell>
        </row>
        <row r="149">
          <cell r="N149">
            <v>156</v>
          </cell>
          <cell r="P149">
            <v>24832.50022570635</v>
          </cell>
          <cell r="Q149">
            <v>21035.61094119585</v>
          </cell>
          <cell r="R149">
            <v>16719.722401968087</v>
          </cell>
          <cell r="S149">
            <v>11847.5858576845</v>
          </cell>
          <cell r="T149">
            <v>6324.8378074874072</v>
          </cell>
          <cell r="AD149">
            <v>71.996608965073719</v>
          </cell>
          <cell r="AE149">
            <v>74.078973000522922</v>
          </cell>
          <cell r="AF149">
            <v>76.946896070604097</v>
          </cell>
          <cell r="AG149">
            <v>81.521267629865079</v>
          </cell>
          <cell r="AH149">
            <v>90.798961767426448</v>
          </cell>
        </row>
        <row r="150">
          <cell r="N150">
            <v>157</v>
          </cell>
          <cell r="P150">
            <v>26614.886523801088</v>
          </cell>
          <cell r="Q150">
            <v>22470.948692045258</v>
          </cell>
          <cell r="R150">
            <v>17837.296948251489</v>
          </cell>
          <cell r="S150">
            <v>12631.425144195997</v>
          </cell>
          <cell r="T150">
            <v>6754.8581997407164</v>
          </cell>
          <cell r="AD150">
            <v>72.091594979242075</v>
          </cell>
          <cell r="AE150">
            <v>74.173410870467364</v>
          </cell>
          <cell r="AF150">
            <v>77.043751281705866</v>
          </cell>
          <cell r="AG150">
            <v>81.620751423273092</v>
          </cell>
          <cell r="AH150">
            <v>90.905220813499923</v>
          </cell>
        </row>
        <row r="151">
          <cell r="N151">
            <v>158</v>
          </cell>
          <cell r="P151">
            <v>28525.200858087381</v>
          </cell>
          <cell r="Q151">
            <v>24083.827084483179</v>
          </cell>
          <cell r="R151">
            <v>19128.999695433398</v>
          </cell>
          <cell r="S151">
            <v>13566.58552810636</v>
          </cell>
          <cell r="T151">
            <v>7242.5484978683862</v>
          </cell>
          <cell r="AD151">
            <v>72.186353905945822</v>
          </cell>
          <cell r="AE151">
            <v>74.267848740411821</v>
          </cell>
          <cell r="AF151">
            <v>77.137200185007629</v>
          </cell>
          <cell r="AG151">
            <v>81.720235216681118</v>
          </cell>
          <cell r="AH151">
            <v>91.011076811620597</v>
          </cell>
        </row>
        <row r="152">
          <cell r="N152">
            <v>159</v>
          </cell>
          <cell r="P152">
            <v>30572.62506667812</v>
          </cell>
          <cell r="Q152">
            <v>25818.581868809673</v>
          </cell>
          <cell r="R152">
            <v>20520.345944754354</v>
          </cell>
          <cell r="S152">
            <v>14549.512269232117</v>
          </cell>
          <cell r="T152">
            <v>7768.50402944291</v>
          </cell>
          <cell r="AD152">
            <v>72.281112832649583</v>
          </cell>
          <cell r="AE152">
            <v>74.362286610356264</v>
          </cell>
          <cell r="AF152">
            <v>77.230649088309391</v>
          </cell>
          <cell r="AG152">
            <v>81.819719010089131</v>
          </cell>
          <cell r="AH152">
            <v>91.113605194377854</v>
          </cell>
        </row>
        <row r="153">
          <cell r="N153">
            <v>160</v>
          </cell>
          <cell r="P153">
            <v>32767</v>
          </cell>
          <cell r="Q153">
            <v>27671.731500000002</v>
          </cell>
          <cell r="R153">
            <v>21996.487099999998</v>
          </cell>
          <cell r="S153">
            <v>15603.645400000001</v>
          </cell>
          <cell r="T153">
            <v>8355.5850000000009</v>
          </cell>
          <cell r="AD153">
            <v>72.375871759353331</v>
          </cell>
          <cell r="AE153">
            <v>74.456724480300707</v>
          </cell>
          <cell r="AF153">
            <v>77.324097991611154</v>
          </cell>
          <cell r="AG153">
            <v>81.919202803497143</v>
          </cell>
          <cell r="AH153">
            <v>91.216133577135096</v>
          </cell>
        </row>
        <row r="154">
          <cell r="N154">
            <v>161</v>
          </cell>
          <cell r="P154">
            <v>35118.87282038921</v>
          </cell>
          <cell r="Q154">
            <v>29671.935645946844</v>
          </cell>
          <cell r="R154">
            <v>23592.858760737468</v>
          </cell>
          <cell r="S154">
            <v>16804.380644556237</v>
          </cell>
          <cell r="T154">
            <v>9095.7880604808051</v>
          </cell>
          <cell r="AD154">
            <v>72.470630686057078</v>
          </cell>
          <cell r="AE154">
            <v>74.551162350245164</v>
          </cell>
          <cell r="AF154">
            <v>77.417546894912917</v>
          </cell>
          <cell r="AG154">
            <v>82.01744549958407</v>
          </cell>
          <cell r="AH154">
            <v>91.318661959892353</v>
          </cell>
        </row>
        <row r="155">
          <cell r="N155">
            <v>162</v>
          </cell>
          <cell r="P155">
            <v>37639.547696542824</v>
          </cell>
          <cell r="Q155">
            <v>31794.125939269725</v>
          </cell>
          <cell r="R155">
            <v>25425.514469014677</v>
          </cell>
          <cell r="S155">
            <v>18255.180632823271</v>
          </cell>
          <cell r="T155">
            <v>14114.830386203559</v>
          </cell>
          <cell r="AD155">
            <v>72.565389612760825</v>
          </cell>
          <cell r="AE155">
            <v>74.645600220189607</v>
          </cell>
          <cell r="AF155">
            <v>77.51099579821468</v>
          </cell>
          <cell r="AG155">
            <v>82.110321933176039</v>
          </cell>
          <cell r="AH155">
            <v>91.421190342649595</v>
          </cell>
        </row>
        <row r="156">
          <cell r="N156">
            <v>163</v>
          </cell>
          <cell r="P156">
            <v>40341.140136486232</v>
          </cell>
          <cell r="Q156">
            <v>34330.31025614978</v>
          </cell>
          <cell r="R156">
            <v>27552.998713220099</v>
          </cell>
          <cell r="S156">
            <v>24204.684081891737</v>
          </cell>
          <cell r="T156">
            <v>24204.684081891737</v>
          </cell>
          <cell r="AD156">
            <v>72.660148539464572</v>
          </cell>
          <cell r="AE156">
            <v>74.74003809013405</v>
          </cell>
          <cell r="AF156">
            <v>77.604444701516456</v>
          </cell>
          <cell r="AG156">
            <v>82.203198366767992</v>
          </cell>
          <cell r="AH156">
            <v>91.523718725406852</v>
          </cell>
        </row>
        <row r="157">
          <cell r="N157">
            <v>164</v>
          </cell>
          <cell r="P157">
            <v>43236.635220206183</v>
          </cell>
          <cell r="Q157">
            <v>36967.323113276288</v>
          </cell>
          <cell r="R157">
            <v>33940.758647861854</v>
          </cell>
          <cell r="S157">
            <v>34156.941823962887</v>
          </cell>
          <cell r="T157">
            <v>34156.941823962887</v>
          </cell>
          <cell r="AD157">
            <v>72.754907466168333</v>
          </cell>
          <cell r="AE157">
            <v>74.834475960078507</v>
          </cell>
          <cell r="AF157">
            <v>77.697893604818219</v>
          </cell>
          <cell r="AG157">
            <v>82.29607480035996</v>
          </cell>
          <cell r="AH157">
            <v>91.626247108164094</v>
          </cell>
        </row>
        <row r="158">
          <cell r="N158">
            <v>165</v>
          </cell>
          <cell r="P158">
            <v>46339.950011841604</v>
          </cell>
          <cell r="Q158">
            <v>44078.560451263736</v>
          </cell>
          <cell r="R158">
            <v>44402.940101346627</v>
          </cell>
          <cell r="S158">
            <v>44402.940101346627</v>
          </cell>
          <cell r="T158">
            <v>44541.959951382152</v>
          </cell>
          <cell r="AD158">
            <v>72.849666392872081</v>
          </cell>
          <cell r="AE158">
            <v>74.92891383002295</v>
          </cell>
          <cell r="AF158">
            <v>77.791342508119982</v>
          </cell>
          <cell r="AG158">
            <v>82.388951233951914</v>
          </cell>
          <cell r="AH158">
            <v>91.72877549092135</v>
          </cell>
        </row>
        <row r="159">
          <cell r="N159">
            <v>166</v>
          </cell>
          <cell r="P159">
            <v>49666.000451412707</v>
          </cell>
          <cell r="Q159">
            <v>49666.000451412707</v>
          </cell>
          <cell r="R159">
            <v>50162.660455926831</v>
          </cell>
          <cell r="S159">
            <v>50162.660455926831</v>
          </cell>
          <cell r="T159">
            <v>50311.658457281068</v>
          </cell>
          <cell r="AD159">
            <v>72.944425319575828</v>
          </cell>
          <cell r="AE159">
            <v>75.022035011469043</v>
          </cell>
          <cell r="AF159">
            <v>77.884791411421745</v>
          </cell>
          <cell r="AG159">
            <v>82.481827667543882</v>
          </cell>
          <cell r="AH159">
            <v>91.831303873678593</v>
          </cell>
        </row>
        <row r="160">
          <cell r="N160">
            <v>167</v>
          </cell>
          <cell r="P160">
            <v>53230.773047602182</v>
          </cell>
          <cell r="Q160">
            <v>53230.773047602182</v>
          </cell>
          <cell r="R160">
            <v>53763.080778078205</v>
          </cell>
          <cell r="S160">
            <v>53763.080778078205</v>
          </cell>
          <cell r="T160">
            <v>53763.080778078205</v>
          </cell>
          <cell r="AD160">
            <v>73.036560194527354</v>
          </cell>
          <cell r="AE160">
            <v>75.111147990406067</v>
          </cell>
          <cell r="AF160">
            <v>77.978240314723507</v>
          </cell>
          <cell r="AG160">
            <v>82.574704101135836</v>
          </cell>
          <cell r="AH160">
            <v>91.933832256435849</v>
          </cell>
        </row>
        <row r="161">
          <cell r="N161">
            <v>168</v>
          </cell>
          <cell r="P161">
            <v>57051.401716174769</v>
          </cell>
          <cell r="Q161">
            <v>57051.401716174769</v>
          </cell>
          <cell r="R161">
            <v>57621.915733336515</v>
          </cell>
          <cell r="S161">
            <v>57621.915733336515</v>
          </cell>
          <cell r="T161">
            <v>57621.915733336515</v>
          </cell>
          <cell r="AD161">
            <v>73.124973399384572</v>
          </cell>
          <cell r="AE161">
            <v>75.200260969343077</v>
          </cell>
          <cell r="AF161">
            <v>78.066694029528094</v>
          </cell>
          <cell r="AG161">
            <v>82.667580534727804</v>
          </cell>
          <cell r="AH161">
            <v>92.033129415212969</v>
          </cell>
        </row>
        <row r="162">
          <cell r="N162">
            <v>169</v>
          </cell>
          <cell r="P162">
            <v>61146.25013335624</v>
          </cell>
          <cell r="Q162">
            <v>61146.25013335624</v>
          </cell>
          <cell r="R162">
            <v>61757.7126346898</v>
          </cell>
          <cell r="S162">
            <v>61757.7126346898</v>
          </cell>
          <cell r="T162">
            <v>61757.7126346898</v>
          </cell>
          <cell r="AD162">
            <v>73.213386604241791</v>
          </cell>
          <cell r="AE162">
            <v>75.289373948280101</v>
          </cell>
          <cell r="AF162">
            <v>78.153631564737054</v>
          </cell>
          <cell r="AG162">
            <v>82.760456968319758</v>
          </cell>
          <cell r="AH162">
            <v>92.126546512350387</v>
          </cell>
        </row>
        <row r="163">
          <cell r="N163">
            <v>170</v>
          </cell>
          <cell r="P163">
            <v>65535</v>
          </cell>
          <cell r="Q163">
            <v>65535</v>
          </cell>
          <cell r="R163">
            <v>66190.350000000006</v>
          </cell>
          <cell r="S163">
            <v>66190.350000000006</v>
          </cell>
          <cell r="T163">
            <v>66190.350000000006</v>
          </cell>
          <cell r="AD163">
            <v>73.301799809099009</v>
          </cell>
          <cell r="AE163">
            <v>75.378486927217125</v>
          </cell>
          <cell r="AF163">
            <v>78.240569099946029</v>
          </cell>
          <cell r="AG163">
            <v>82.853333401911726</v>
          </cell>
          <cell r="AH163">
            <v>92.219963609487792</v>
          </cell>
        </row>
        <row r="164">
          <cell r="AD164">
            <v>73.390213013956213</v>
          </cell>
          <cell r="AE164">
            <v>75.467599906154135</v>
          </cell>
          <cell r="AF164">
            <v>78.32750663515499</v>
          </cell>
          <cell r="AG164">
            <v>82.94620983550368</v>
          </cell>
          <cell r="AH164">
            <v>92.313380706625196</v>
          </cell>
        </row>
        <row r="165">
          <cell r="AD165">
            <v>73.478626218813432</v>
          </cell>
          <cell r="AE165">
            <v>75.556712885091159</v>
          </cell>
          <cell r="AF165">
            <v>78.414444170363964</v>
          </cell>
          <cell r="AG165">
            <v>83.036921590135321</v>
          </cell>
          <cell r="AH165">
            <v>92.406797803762601</v>
          </cell>
        </row>
        <row r="166">
          <cell r="AD166">
            <v>73.56703942367065</v>
          </cell>
          <cell r="AE166">
            <v>75.645825864028183</v>
          </cell>
          <cell r="AF166">
            <v>78.501381705572925</v>
          </cell>
          <cell r="AG166">
            <v>83.124654333465756</v>
          </cell>
          <cell r="AH166">
            <v>92.500214900900005</v>
          </cell>
        </row>
        <row r="167">
          <cell r="AD167">
            <v>73.655452628527868</v>
          </cell>
          <cell r="AE167">
            <v>75.734938842965192</v>
          </cell>
          <cell r="AF167">
            <v>78.5883192407819</v>
          </cell>
          <cell r="AG167">
            <v>83.21238707679619</v>
          </cell>
          <cell r="AH167">
            <v>92.593631998037409</v>
          </cell>
        </row>
        <row r="168">
          <cell r="AD168">
            <v>73.743865833385087</v>
          </cell>
          <cell r="AE168">
            <v>75.824051821902216</v>
          </cell>
          <cell r="AF168">
            <v>78.67525677599086</v>
          </cell>
          <cell r="AG168">
            <v>83.300119820126625</v>
          </cell>
          <cell r="AH168">
            <v>92.687049095174814</v>
          </cell>
        </row>
        <row r="169">
          <cell r="AD169">
            <v>73.832279038242305</v>
          </cell>
          <cell r="AE169">
            <v>75.91316480083924</v>
          </cell>
          <cell r="AF169">
            <v>78.762194311199835</v>
          </cell>
          <cell r="AG169">
            <v>83.387852563457059</v>
          </cell>
          <cell r="AH169">
            <v>92.780466192312218</v>
          </cell>
        </row>
        <row r="170">
          <cell r="AD170">
            <v>73.920692243099523</v>
          </cell>
          <cell r="AE170">
            <v>76.002103770254962</v>
          </cell>
          <cell r="AF170">
            <v>78.849131846408795</v>
          </cell>
          <cell r="AG170">
            <v>83.475585306787494</v>
          </cell>
          <cell r="AH170">
            <v>92.873883289449623</v>
          </cell>
        </row>
        <row r="171">
          <cell r="AD171">
            <v>74.008495683346354</v>
          </cell>
          <cell r="AE171">
            <v>76.084409020469636</v>
          </cell>
          <cell r="AF171">
            <v>78.93606938161777</v>
          </cell>
          <cell r="AG171">
            <v>83.563318050117928</v>
          </cell>
          <cell r="AH171">
            <v>92.967300386587027</v>
          </cell>
        </row>
        <row r="172">
          <cell r="AD172">
            <v>74.090988120365651</v>
          </cell>
          <cell r="AE172">
            <v>76.166714270684309</v>
          </cell>
          <cell r="AF172">
            <v>79.022812309215297</v>
          </cell>
          <cell r="AG172">
            <v>83.651050793448363</v>
          </cell>
          <cell r="AH172">
            <v>93.057555567360481</v>
          </cell>
        </row>
        <row r="173">
          <cell r="AD173">
            <v>74.173480557384934</v>
          </cell>
          <cell r="AE173">
            <v>76.249019520898997</v>
          </cell>
          <cell r="AF173">
            <v>79.109014469658547</v>
          </cell>
          <cell r="AG173">
            <v>83.738783536778797</v>
          </cell>
          <cell r="AH173">
            <v>93.146107887007233</v>
          </cell>
        </row>
        <row r="174">
          <cell r="AD174">
            <v>74.255972994404218</v>
          </cell>
          <cell r="AE174">
            <v>76.331324771113671</v>
          </cell>
          <cell r="AF174">
            <v>79.195216630101797</v>
          </cell>
          <cell r="AG174">
            <v>83.826516280109232</v>
          </cell>
          <cell r="AH174">
            <v>93.23466020665397</v>
          </cell>
        </row>
        <row r="175">
          <cell r="AD175">
            <v>74.338465431423501</v>
          </cell>
          <cell r="AE175">
            <v>76.413630021328345</v>
          </cell>
          <cell r="AF175">
            <v>79.281418790545047</v>
          </cell>
          <cell r="AG175">
            <v>83.914249023439666</v>
          </cell>
          <cell r="AH175">
            <v>93.323212526300722</v>
          </cell>
        </row>
        <row r="176">
          <cell r="AD176">
            <v>74.420957868442784</v>
          </cell>
          <cell r="AE176">
            <v>76.495935271543019</v>
          </cell>
          <cell r="AF176">
            <v>79.367620950988297</v>
          </cell>
          <cell r="AG176">
            <v>84.00179325525086</v>
          </cell>
          <cell r="AH176">
            <v>93.411764845947459</v>
          </cell>
        </row>
        <row r="177">
          <cell r="AD177">
            <v>74.503450305462081</v>
          </cell>
          <cell r="AE177">
            <v>76.578240521757706</v>
          </cell>
          <cell r="AF177">
            <v>79.453823111431561</v>
          </cell>
          <cell r="AG177">
            <v>84.08118060043364</v>
          </cell>
          <cell r="AH177">
            <v>93.500317165594211</v>
          </cell>
        </row>
        <row r="178">
          <cell r="AD178">
            <v>74.585942742481365</v>
          </cell>
          <cell r="AE178">
            <v>76.66054577197238</v>
          </cell>
          <cell r="AF178">
            <v>79.540025271874811</v>
          </cell>
          <cell r="AG178">
            <v>84.160567945616407</v>
          </cell>
          <cell r="AH178">
            <v>93.588869485240949</v>
          </cell>
        </row>
        <row r="179">
          <cell r="AD179">
            <v>74.668435179500648</v>
          </cell>
          <cell r="AE179">
            <v>76.742851022187054</v>
          </cell>
          <cell r="AF179">
            <v>79.626227432318061</v>
          </cell>
          <cell r="AG179">
            <v>84.239955290799188</v>
          </cell>
          <cell r="AH179">
            <v>93.6774218048877</v>
          </cell>
        </row>
        <row r="180">
          <cell r="AD180">
            <v>74.750927616519931</v>
          </cell>
          <cell r="AE180">
            <v>76.825156272401728</v>
          </cell>
          <cell r="AF180">
            <v>79.71242959276131</v>
          </cell>
          <cell r="AG180">
            <v>84.319342635981968</v>
          </cell>
          <cell r="AH180">
            <v>93.765974124534438</v>
          </cell>
        </row>
        <row r="181">
          <cell r="AD181">
            <v>74.833420053539214</v>
          </cell>
          <cell r="AE181">
            <v>76.907461522616416</v>
          </cell>
          <cell r="AF181">
            <v>79.79863175320456</v>
          </cell>
          <cell r="AG181">
            <v>84.398729981164735</v>
          </cell>
          <cell r="AH181">
            <v>93.85452644418119</v>
          </cell>
        </row>
        <row r="182">
          <cell r="AD182">
            <v>74.915912490558512</v>
          </cell>
          <cell r="AE182">
            <v>76.989766772831089</v>
          </cell>
          <cell r="AF182">
            <v>79.88483391364781</v>
          </cell>
          <cell r="AG182">
            <v>84.478117326347515</v>
          </cell>
          <cell r="AH182">
            <v>93.943078763827941</v>
          </cell>
        </row>
        <row r="183">
          <cell r="AD183">
            <v>74.998404927577795</v>
          </cell>
          <cell r="AE183">
            <v>77.06778397927944</v>
          </cell>
          <cell r="AF183">
            <v>79.97103607409106</v>
          </cell>
          <cell r="AG183">
            <v>84.557504671530296</v>
          </cell>
          <cell r="AH183">
            <v>94.027056817114342</v>
          </cell>
        </row>
        <row r="184">
          <cell r="AD184">
            <v>75.075479910097457</v>
          </cell>
          <cell r="AE184">
            <v>77.145192343015793</v>
          </cell>
          <cell r="AF184">
            <v>80.053817475702374</v>
          </cell>
          <cell r="AG184">
            <v>84.636892016713063</v>
          </cell>
          <cell r="AH184">
            <v>94.102803318799971</v>
          </cell>
        </row>
        <row r="185">
          <cell r="AD185">
            <v>75.152448075388719</v>
          </cell>
          <cell r="AE185">
            <v>77.222600706752132</v>
          </cell>
          <cell r="AF185">
            <v>80.134867890916794</v>
          </cell>
          <cell r="AG185">
            <v>84.716279361895843</v>
          </cell>
          <cell r="AH185">
            <v>94.1785498204856</v>
          </cell>
        </row>
        <row r="186">
          <cell r="AD186">
            <v>75.229416240679981</v>
          </cell>
          <cell r="AE186">
            <v>77.300009070488485</v>
          </cell>
          <cell r="AF186">
            <v>80.215918306131215</v>
          </cell>
          <cell r="AG186">
            <v>84.795666707078624</v>
          </cell>
          <cell r="AH186">
            <v>94.254296322171228</v>
          </cell>
        </row>
        <row r="187">
          <cell r="AD187">
            <v>75.306384405971258</v>
          </cell>
          <cell r="AE187">
            <v>77.377417434224824</v>
          </cell>
          <cell r="AF187">
            <v>80.296968721345635</v>
          </cell>
          <cell r="AG187">
            <v>84.87505405226139</v>
          </cell>
          <cell r="AH187">
            <v>94.330042823856857</v>
          </cell>
        </row>
        <row r="188">
          <cell r="AD188">
            <v>75.38335257126252</v>
          </cell>
          <cell r="AE188">
            <v>77.454825797961163</v>
          </cell>
          <cell r="AF188">
            <v>80.378019136560056</v>
          </cell>
          <cell r="AG188">
            <v>84.954441397444171</v>
          </cell>
          <cell r="AH188">
            <v>94.405789325542486</v>
          </cell>
        </row>
        <row r="189">
          <cell r="AD189">
            <v>75.460320736553783</v>
          </cell>
          <cell r="AE189">
            <v>77.532234161697517</v>
          </cell>
          <cell r="AF189">
            <v>80.459069551774476</v>
          </cell>
          <cell r="AG189">
            <v>85.030832425973387</v>
          </cell>
          <cell r="AH189">
            <v>94.4815358272281</v>
          </cell>
        </row>
        <row r="190">
          <cell r="AD190">
            <v>75.537288901845045</v>
          </cell>
          <cell r="AE190">
            <v>77.609642525433856</v>
          </cell>
          <cell r="AF190">
            <v>80.540119966988897</v>
          </cell>
          <cell r="AG190">
            <v>85.103188187775231</v>
          </cell>
          <cell r="AH190">
            <v>94.557282328913729</v>
          </cell>
        </row>
        <row r="191">
          <cell r="AD191">
            <v>75.614257067136322</v>
          </cell>
          <cell r="AE191">
            <v>77.687050889170209</v>
          </cell>
          <cell r="AF191">
            <v>80.621170382203317</v>
          </cell>
          <cell r="AG191">
            <v>85.175543949577076</v>
          </cell>
          <cell r="AH191">
            <v>94.633028830599358</v>
          </cell>
        </row>
        <row r="192">
          <cell r="AD192">
            <v>75.691225232427584</v>
          </cell>
          <cell r="AE192">
            <v>77.764459252906548</v>
          </cell>
          <cell r="AF192">
            <v>80.702220797417738</v>
          </cell>
          <cell r="AG192">
            <v>85.247899711378935</v>
          </cell>
          <cell r="AH192">
            <v>94.708775332284986</v>
          </cell>
        </row>
        <row r="193">
          <cell r="AD193">
            <v>75.768193397718846</v>
          </cell>
          <cell r="AE193">
            <v>77.841867616642901</v>
          </cell>
          <cell r="AF193">
            <v>80.783271212632158</v>
          </cell>
          <cell r="AG193">
            <v>85.320255473180779</v>
          </cell>
          <cell r="AH193">
            <v>94.784521833970615</v>
          </cell>
        </row>
        <row r="194">
          <cell r="AD194">
            <v>75.845161563010109</v>
          </cell>
          <cell r="AE194">
            <v>77.91927598037924</v>
          </cell>
          <cell r="AF194">
            <v>80.864321627846579</v>
          </cell>
          <cell r="AG194">
            <v>85.392611234982624</v>
          </cell>
          <cell r="AH194">
            <v>94.860268335656244</v>
          </cell>
        </row>
        <row r="195">
          <cell r="AD195">
            <v>75.922129728301385</v>
          </cell>
          <cell r="AE195">
            <v>77.996684344115593</v>
          </cell>
          <cell r="AF195">
            <v>80.945372043060999</v>
          </cell>
          <cell r="AG195">
            <v>85.464966996784469</v>
          </cell>
          <cell r="AH195">
            <v>94.936014837341872</v>
          </cell>
        </row>
        <row r="196">
          <cell r="AD196">
            <v>75.999097893592648</v>
          </cell>
          <cell r="AE196">
            <v>78.068193736526268</v>
          </cell>
          <cell r="AF196">
            <v>81.02378934476593</v>
          </cell>
          <cell r="AG196">
            <v>85.537322758586328</v>
          </cell>
          <cell r="AH196">
            <v>95.011078787937279</v>
          </cell>
        </row>
        <row r="197">
          <cell r="AD197">
            <v>76.070972142474872</v>
          </cell>
          <cell r="AE197">
            <v>78.139439149396253</v>
          </cell>
          <cell r="AF197">
            <v>81.096762731680187</v>
          </cell>
          <cell r="AG197">
            <v>85.609678520388172</v>
          </cell>
          <cell r="AH197">
            <v>95.082429458741387</v>
          </cell>
        </row>
        <row r="198">
          <cell r="AD198">
            <v>76.142785979989682</v>
          </cell>
          <cell r="AE198">
            <v>78.210684562266223</v>
          </cell>
          <cell r="AF198">
            <v>81.169736118594443</v>
          </cell>
          <cell r="AG198">
            <v>85.682034282190017</v>
          </cell>
          <cell r="AH198">
            <v>95.153780129545481</v>
          </cell>
        </row>
        <row r="199">
          <cell r="AD199">
            <v>76.214599817504492</v>
          </cell>
          <cell r="AE199">
            <v>78.281929975136208</v>
          </cell>
          <cell r="AF199">
            <v>81.242709505508685</v>
          </cell>
          <cell r="AG199">
            <v>85.754390043991862</v>
          </cell>
          <cell r="AH199">
            <v>95.225130800349589</v>
          </cell>
        </row>
        <row r="200">
          <cell r="AD200">
            <v>76.286413655019302</v>
          </cell>
          <cell r="AE200">
            <v>78.353175388006179</v>
          </cell>
          <cell r="AF200">
            <v>81.315682892422942</v>
          </cell>
          <cell r="AG200">
            <v>85.82674580579372</v>
          </cell>
          <cell r="AH200">
            <v>95.296481471153683</v>
          </cell>
        </row>
        <row r="201">
          <cell r="AD201">
            <v>76.358227492534112</v>
          </cell>
          <cell r="AE201">
            <v>78.424420800876163</v>
          </cell>
          <cell r="AF201">
            <v>81.388656279337198</v>
          </cell>
          <cell r="AG201">
            <v>85.899101567595565</v>
          </cell>
          <cell r="AH201">
            <v>95.367832141957777</v>
          </cell>
        </row>
        <row r="202">
          <cell r="AD202">
            <v>76.430041330048923</v>
          </cell>
          <cell r="AE202">
            <v>78.495666213746148</v>
          </cell>
          <cell r="AF202">
            <v>81.461629666251454</v>
          </cell>
          <cell r="AG202">
            <v>85.97145732939741</v>
          </cell>
          <cell r="AH202">
            <v>95.439182812761885</v>
          </cell>
        </row>
        <row r="203">
          <cell r="AD203">
            <v>76.501855167563733</v>
          </cell>
          <cell r="AE203">
            <v>78.566911626616118</v>
          </cell>
          <cell r="AF203">
            <v>81.534603053165696</v>
          </cell>
          <cell r="AG203">
            <v>86.045919706798657</v>
          </cell>
          <cell r="AH203">
            <v>95.510533483565979</v>
          </cell>
        </row>
        <row r="204">
          <cell r="AD204">
            <v>76.573669005078543</v>
          </cell>
          <cell r="AE204">
            <v>78.638157039486103</v>
          </cell>
          <cell r="AF204">
            <v>81.607576440079953</v>
          </cell>
          <cell r="AG204">
            <v>86.121754469336281</v>
          </cell>
          <cell r="AH204">
            <v>95.581884154370087</v>
          </cell>
        </row>
        <row r="205">
          <cell r="AD205">
            <v>76.645482842593353</v>
          </cell>
          <cell r="AE205">
            <v>78.709402452356088</v>
          </cell>
          <cell r="AF205">
            <v>81.680549826994209</v>
          </cell>
          <cell r="AG205">
            <v>86.197589231873891</v>
          </cell>
          <cell r="AH205">
            <v>95.653234825174181</v>
          </cell>
        </row>
        <row r="206">
          <cell r="AD206">
            <v>76.717296680108163</v>
          </cell>
          <cell r="AE206">
            <v>78.780647865226058</v>
          </cell>
          <cell r="AF206">
            <v>81.753523213908451</v>
          </cell>
          <cell r="AG206">
            <v>86.273423994411502</v>
          </cell>
          <cell r="AH206">
            <v>95.724585495978289</v>
          </cell>
        </row>
        <row r="207">
          <cell r="AD207">
            <v>76.789110517622973</v>
          </cell>
          <cell r="AE207">
            <v>78.851893278096043</v>
          </cell>
          <cell r="AF207">
            <v>81.826496600822708</v>
          </cell>
          <cell r="AG207">
            <v>86.349258756949112</v>
          </cell>
          <cell r="AH207">
            <v>95.795936166782383</v>
          </cell>
        </row>
        <row r="208">
          <cell r="AD208">
            <v>76.860924355137783</v>
          </cell>
          <cell r="AE208">
            <v>78.923138690966013</v>
          </cell>
          <cell r="AF208">
            <v>81.899469987736964</v>
          </cell>
          <cell r="AG208">
            <v>86.425093519486722</v>
          </cell>
          <cell r="AH208">
            <v>95.867286837586477</v>
          </cell>
        </row>
        <row r="209">
          <cell r="AD209">
            <v>76.932738192652593</v>
          </cell>
          <cell r="AE209">
            <v>78.994384103835998</v>
          </cell>
          <cell r="AF209">
            <v>81.972443374651206</v>
          </cell>
          <cell r="AG209">
            <v>86.500928282024347</v>
          </cell>
          <cell r="AH209">
            <v>95.938637508390585</v>
          </cell>
        </row>
        <row r="210">
          <cell r="AD210">
            <v>77.004247194324648</v>
          </cell>
          <cell r="AE210">
            <v>79.061386416569832</v>
          </cell>
          <cell r="AF210">
            <v>82.041007317281839</v>
          </cell>
          <cell r="AG210">
            <v>86.576763044561957</v>
          </cell>
          <cell r="AH210">
            <v>96.008512635801992</v>
          </cell>
        </row>
        <row r="211">
          <cell r="AD211">
            <v>77.07125187397483</v>
          </cell>
          <cell r="AE211">
            <v>79.128025648620252</v>
          </cell>
          <cell r="AF211">
            <v>82.106895829081836</v>
          </cell>
          <cell r="AG211">
            <v>86.652597807099568</v>
          </cell>
          <cell r="AH211">
            <v>96.069322745727362</v>
          </cell>
        </row>
        <row r="212">
          <cell r="AD212">
            <v>77.138256553625013</v>
          </cell>
          <cell r="AE212">
            <v>79.194664880670672</v>
          </cell>
          <cell r="AF212">
            <v>82.172784340881819</v>
          </cell>
          <cell r="AG212">
            <v>86.728432569637178</v>
          </cell>
          <cell r="AH212">
            <v>96.130132855652732</v>
          </cell>
        </row>
        <row r="213">
          <cell r="AD213">
            <v>77.205261233275195</v>
          </cell>
          <cell r="AE213">
            <v>79.261304112721092</v>
          </cell>
          <cell r="AF213">
            <v>82.238672852681816</v>
          </cell>
          <cell r="AG213">
            <v>86.804267332174788</v>
          </cell>
          <cell r="AH213">
            <v>96.190942965578103</v>
          </cell>
        </row>
        <row r="214">
          <cell r="AD214">
            <v>77.272265912925377</v>
          </cell>
          <cell r="AE214">
            <v>79.327943344771512</v>
          </cell>
          <cell r="AF214">
            <v>82.304561364481813</v>
          </cell>
          <cell r="AG214">
            <v>86.880102094712413</v>
          </cell>
          <cell r="AH214">
            <v>96.251753075503458</v>
          </cell>
        </row>
        <row r="215">
          <cell r="AD215">
            <v>77.339270592575559</v>
          </cell>
          <cell r="AE215">
            <v>79.394582576821932</v>
          </cell>
          <cell r="AF215">
            <v>82.370449876281796</v>
          </cell>
          <cell r="AG215">
            <v>86.955936857250023</v>
          </cell>
          <cell r="AH215">
            <v>96.312563185428829</v>
          </cell>
        </row>
        <row r="216">
          <cell r="AD216">
            <v>77.406275272225741</v>
          </cell>
          <cell r="AE216">
            <v>79.461221808872352</v>
          </cell>
          <cell r="AF216">
            <v>82.436338388081793</v>
          </cell>
          <cell r="AG216">
            <v>87.031203567981635</v>
          </cell>
          <cell r="AH216">
            <v>96.373373295354199</v>
          </cell>
        </row>
        <row r="217">
          <cell r="AD217">
            <v>77.473279951875909</v>
          </cell>
          <cell r="AE217">
            <v>79.527861040922772</v>
          </cell>
          <cell r="AF217">
            <v>82.502226899881776</v>
          </cell>
          <cell r="AG217">
            <v>87.10568246405397</v>
          </cell>
          <cell r="AH217">
            <v>96.434183405279569</v>
          </cell>
        </row>
        <row r="218">
          <cell r="AD218">
            <v>77.540284631526092</v>
          </cell>
          <cell r="AE218">
            <v>79.594500272973193</v>
          </cell>
          <cell r="AF218">
            <v>82.568115411681774</v>
          </cell>
          <cell r="AG218">
            <v>87.180161360126306</v>
          </cell>
          <cell r="AH218">
            <v>96.494993515204939</v>
          </cell>
        </row>
        <row r="219">
          <cell r="AD219">
            <v>77.607289311176274</v>
          </cell>
          <cell r="AE219">
            <v>79.661139505023613</v>
          </cell>
          <cell r="AF219">
            <v>82.634003923481771</v>
          </cell>
          <cell r="AG219">
            <v>87.254640256198641</v>
          </cell>
          <cell r="AH219">
            <v>96.555803625130309</v>
          </cell>
        </row>
        <row r="220">
          <cell r="AD220">
            <v>77.674293990826456</v>
          </cell>
          <cell r="AE220">
            <v>79.727778737074033</v>
          </cell>
          <cell r="AF220">
            <v>82.699892435281754</v>
          </cell>
          <cell r="AG220">
            <v>87.329119152270991</v>
          </cell>
          <cell r="AH220">
            <v>96.61661373505568</v>
          </cell>
        </row>
        <row r="221">
          <cell r="AD221">
            <v>77.741298670476638</v>
          </cell>
          <cell r="AE221">
            <v>79.794417969124453</v>
          </cell>
          <cell r="AF221">
            <v>82.765780947081751</v>
          </cell>
          <cell r="AG221">
            <v>87.403598048343326</v>
          </cell>
          <cell r="AH221">
            <v>96.67742384498105</v>
          </cell>
        </row>
        <row r="222">
          <cell r="AD222">
            <v>77.80830335012682</v>
          </cell>
          <cell r="AE222">
            <v>79.861057201174873</v>
          </cell>
          <cell r="AF222">
            <v>82.831669458881734</v>
          </cell>
          <cell r="AG222">
            <v>87.478076944415662</v>
          </cell>
          <cell r="AH222">
            <v>96.73823395490642</v>
          </cell>
        </row>
        <row r="223">
          <cell r="AD223">
            <v>77.875308029777003</v>
          </cell>
          <cell r="AE223">
            <v>79.927696433225293</v>
          </cell>
          <cell r="AF223">
            <v>82.897557970681731</v>
          </cell>
          <cell r="AG223">
            <v>87.552555840488012</v>
          </cell>
          <cell r="AH223">
            <v>96.79904406483179</v>
          </cell>
        </row>
        <row r="224">
          <cell r="AD224">
            <v>77.942312709427185</v>
          </cell>
          <cell r="AE224">
            <v>79.994335665275713</v>
          </cell>
          <cell r="AF224">
            <v>82.963446482481729</v>
          </cell>
          <cell r="AG224">
            <v>87.627034736560347</v>
          </cell>
          <cell r="AH224">
            <v>96.85985417475716</v>
          </cell>
        </row>
        <row r="225">
          <cell r="AD225">
            <v>78.008693431404168</v>
          </cell>
          <cell r="AE225">
            <v>80.05990507131493</v>
          </cell>
          <cell r="AF225">
            <v>83.028328094754301</v>
          </cell>
          <cell r="AG225">
            <v>87.701513632632683</v>
          </cell>
          <cell r="AH225">
            <v>96.920664284682516</v>
          </cell>
        </row>
        <row r="226">
          <cell r="AD226">
            <v>78.071211008105138</v>
          </cell>
          <cell r="AE226">
            <v>80.125375094609936</v>
          </cell>
          <cell r="AF226">
            <v>83.091955037632331</v>
          </cell>
          <cell r="AG226">
            <v>87.775992528705018</v>
          </cell>
          <cell r="AH226">
            <v>96.981474394607886</v>
          </cell>
        </row>
        <row r="227">
          <cell r="AD227">
            <v>78.133728584806107</v>
          </cell>
          <cell r="AE227">
            <v>80.190845117904942</v>
          </cell>
          <cell r="AF227">
            <v>83.155581980510348</v>
          </cell>
          <cell r="AG227">
            <v>87.850471424777368</v>
          </cell>
          <cell r="AH227">
            <v>97.03979962522213</v>
          </cell>
        </row>
        <row r="228">
          <cell r="AD228">
            <v>78.196246161507091</v>
          </cell>
          <cell r="AE228">
            <v>80.256315141199948</v>
          </cell>
          <cell r="AF228">
            <v>83.219208923388379</v>
          </cell>
          <cell r="AG228">
            <v>87.924950320849703</v>
          </cell>
          <cell r="AH228">
            <v>97.097036185315744</v>
          </cell>
        </row>
        <row r="229">
          <cell r="AD229">
            <v>78.25876373820806</v>
          </cell>
          <cell r="AE229">
            <v>80.321785164494941</v>
          </cell>
          <cell r="AF229">
            <v>83.282835866266396</v>
          </cell>
          <cell r="AG229">
            <v>87.999429216922039</v>
          </cell>
          <cell r="AH229">
            <v>97.154272745409358</v>
          </cell>
        </row>
        <row r="230">
          <cell r="AD230">
            <v>78.321281314909029</v>
          </cell>
          <cell r="AE230">
            <v>80.387255187789947</v>
          </cell>
          <cell r="AF230">
            <v>83.346462809144427</v>
          </cell>
          <cell r="AG230">
            <v>88.069378113045531</v>
          </cell>
          <cell r="AH230">
            <v>97.211509305502972</v>
          </cell>
        </row>
        <row r="231">
          <cell r="AD231">
            <v>78.383798891610013</v>
          </cell>
          <cell r="AE231">
            <v>80.452725211084953</v>
          </cell>
          <cell r="AF231">
            <v>83.410089752022458</v>
          </cell>
          <cell r="AG231">
            <v>88.139292024548126</v>
          </cell>
          <cell r="AH231">
            <v>97.268745865596571</v>
          </cell>
        </row>
        <row r="232">
          <cell r="AD232">
            <v>78.446316468310982</v>
          </cell>
          <cell r="AE232">
            <v>80.518195234379959</v>
          </cell>
          <cell r="AF232">
            <v>83.473716694900475</v>
          </cell>
          <cell r="AG232">
            <v>88.209205936050708</v>
          </cell>
          <cell r="AH232">
            <v>97.325982425690185</v>
          </cell>
        </row>
        <row r="233">
          <cell r="AD233">
            <v>78.508834045011952</v>
          </cell>
          <cell r="AE233">
            <v>80.583665257674966</v>
          </cell>
          <cell r="AF233">
            <v>83.537343637778505</v>
          </cell>
          <cell r="AG233">
            <v>88.279119847553304</v>
          </cell>
          <cell r="AH233">
            <v>97.383218985783799</v>
          </cell>
        </row>
        <row r="234">
          <cell r="AD234">
            <v>78.571351621712921</v>
          </cell>
          <cell r="AE234">
            <v>80.649135280969972</v>
          </cell>
          <cell r="AF234">
            <v>83.600970580656536</v>
          </cell>
          <cell r="AG234">
            <v>88.349033759055899</v>
          </cell>
          <cell r="AH234">
            <v>97.440455545877413</v>
          </cell>
        </row>
        <row r="235">
          <cell r="AD235">
            <v>78.633869198413905</v>
          </cell>
          <cell r="AE235">
            <v>80.714605304264978</v>
          </cell>
          <cell r="AF235">
            <v>83.664597523534553</v>
          </cell>
          <cell r="AG235">
            <v>88.418947670558495</v>
          </cell>
          <cell r="AH235">
            <v>97.497692105971026</v>
          </cell>
        </row>
        <row r="236">
          <cell r="AD236">
            <v>78.696386775114874</v>
          </cell>
          <cell r="AE236">
            <v>80.78007532755997</v>
          </cell>
          <cell r="AF236">
            <v>83.728224466412584</v>
          </cell>
          <cell r="AG236">
            <v>88.488861582061077</v>
          </cell>
          <cell r="AH236">
            <v>97.554928666064626</v>
          </cell>
        </row>
        <row r="237">
          <cell r="AD237">
            <v>78.758904351815843</v>
          </cell>
          <cell r="AE237">
            <v>80.845545350854977</v>
          </cell>
          <cell r="AF237">
            <v>83.791851409290615</v>
          </cell>
          <cell r="AG237">
            <v>88.558775493563672</v>
          </cell>
          <cell r="AH237">
            <v>97.61216522615824</v>
          </cell>
        </row>
        <row r="238">
          <cell r="AD238">
            <v>78.821421928516827</v>
          </cell>
          <cell r="AE238">
            <v>80.911015374149983</v>
          </cell>
          <cell r="AF238">
            <v>83.855478352168632</v>
          </cell>
          <cell r="AG238">
            <v>88.628689405066268</v>
          </cell>
          <cell r="AH238">
            <v>97.669401786251854</v>
          </cell>
        </row>
        <row r="239">
          <cell r="AD239">
            <v>78.883939505217796</v>
          </cell>
          <cell r="AE239">
            <v>80.976485397444989</v>
          </cell>
          <cell r="AF239">
            <v>83.919105295046663</v>
          </cell>
          <cell r="AG239">
            <v>88.698603316568864</v>
          </cell>
          <cell r="AH239">
            <v>97.726638346345467</v>
          </cell>
        </row>
        <row r="240">
          <cell r="AD240">
            <v>78.946457081918766</v>
          </cell>
          <cell r="AE240">
            <v>81.038163244467697</v>
          </cell>
          <cell r="AF240">
            <v>83.982732237924694</v>
          </cell>
          <cell r="AG240">
            <v>88.768517228071445</v>
          </cell>
          <cell r="AH240">
            <v>97.783874906439081</v>
          </cell>
        </row>
        <row r="241">
          <cell r="AD241">
            <v>79.008373652580005</v>
          </cell>
          <cell r="AE241">
            <v>81.097715704203424</v>
          </cell>
          <cell r="AF241">
            <v>84.043767921022209</v>
          </cell>
          <cell r="AG241">
            <v>88.838431139574041</v>
          </cell>
          <cell r="AH241">
            <v>97.841111466532681</v>
          </cell>
        </row>
        <row r="242">
          <cell r="AD242">
            <v>79.066704614192943</v>
          </cell>
          <cell r="AE242">
            <v>81.157268163939136</v>
          </cell>
          <cell r="AF242">
            <v>84.103838417578672</v>
          </cell>
          <cell r="AG242">
            <v>88.908345051076637</v>
          </cell>
          <cell r="AH242">
            <v>97.898348026626294</v>
          </cell>
        </row>
        <row r="243">
          <cell r="AD243">
            <v>79.125035575805882</v>
          </cell>
          <cell r="AE243">
            <v>81.216820623674849</v>
          </cell>
          <cell r="AF243">
            <v>84.163908914135135</v>
          </cell>
          <cell r="AG243">
            <v>88.978258962579233</v>
          </cell>
          <cell r="AH243">
            <v>97.955584586719908</v>
          </cell>
        </row>
        <row r="244">
          <cell r="AD244">
            <v>79.18336653741882</v>
          </cell>
          <cell r="AE244">
            <v>81.276373083410562</v>
          </cell>
          <cell r="AF244">
            <v>84.223979410691598</v>
          </cell>
          <cell r="AG244">
            <v>89.047272179270863</v>
          </cell>
          <cell r="AH244">
            <v>98.013314854852808</v>
          </cell>
        </row>
        <row r="245">
          <cell r="AD245">
            <v>79.241697499031773</v>
          </cell>
          <cell r="AE245">
            <v>81.335925543146274</v>
          </cell>
          <cell r="AF245">
            <v>84.284049907248061</v>
          </cell>
          <cell r="AG245">
            <v>89.11587890081428</v>
          </cell>
          <cell r="AH245">
            <v>98.072755441643167</v>
          </cell>
        </row>
        <row r="246">
          <cell r="AD246">
            <v>79.300028460644711</v>
          </cell>
          <cell r="AE246">
            <v>81.395478002882001</v>
          </cell>
          <cell r="AF246">
            <v>84.344120403804524</v>
          </cell>
          <cell r="AG246">
            <v>89.184485622357698</v>
          </cell>
          <cell r="AH246">
            <v>98.132196028433526</v>
          </cell>
        </row>
        <row r="247">
          <cell r="AD247">
            <v>79.358359422257649</v>
          </cell>
          <cell r="AE247">
            <v>81.455030462617714</v>
          </cell>
          <cell r="AF247">
            <v>84.404190900360987</v>
          </cell>
          <cell r="AG247">
            <v>89.253092343901116</v>
          </cell>
          <cell r="AH247">
            <v>98.191636615223871</v>
          </cell>
        </row>
        <row r="248">
          <cell r="AD248">
            <v>79.416690383870588</v>
          </cell>
          <cell r="AE248">
            <v>81.514582922353426</v>
          </cell>
          <cell r="AF248">
            <v>84.46426139691745</v>
          </cell>
          <cell r="AG248">
            <v>89.321699065444534</v>
          </cell>
          <cell r="AH248">
            <v>98.25107720201423</v>
          </cell>
        </row>
        <row r="249">
          <cell r="AD249">
            <v>79.475021345483526</v>
          </cell>
          <cell r="AE249">
            <v>81.574135382089139</v>
          </cell>
          <cell r="AF249">
            <v>84.524331893473914</v>
          </cell>
          <cell r="AG249">
            <v>89.390305786987952</v>
          </cell>
          <cell r="AH249">
            <v>98.310517788804589</v>
          </cell>
        </row>
        <row r="250">
          <cell r="AD250">
            <v>79.533352307096465</v>
          </cell>
          <cell r="AE250">
            <v>81.633687841824852</v>
          </cell>
          <cell r="AF250">
            <v>84.584402390030377</v>
          </cell>
          <cell r="AG250">
            <v>89.45891250853137</v>
          </cell>
          <cell r="AH250">
            <v>98.369958375594933</v>
          </cell>
        </row>
        <row r="251">
          <cell r="AD251">
            <v>79.591683268709417</v>
          </cell>
          <cell r="AE251">
            <v>81.693240301560579</v>
          </cell>
          <cell r="AF251">
            <v>84.64447288658684</v>
          </cell>
          <cell r="AG251">
            <v>89.527519230074788</v>
          </cell>
          <cell r="AH251">
            <v>98.429398962385292</v>
          </cell>
        </row>
        <row r="252">
          <cell r="AD252">
            <v>79.650014230322356</v>
          </cell>
          <cell r="AE252">
            <v>81.752792761296291</v>
          </cell>
          <cell r="AF252">
            <v>84.704543383143317</v>
          </cell>
          <cell r="AG252">
            <v>89.596125951618205</v>
          </cell>
          <cell r="AH252">
            <v>98.488839549175651</v>
          </cell>
        </row>
        <row r="253">
          <cell r="AD253">
            <v>79.708345191935294</v>
          </cell>
          <cell r="AE253">
            <v>81.812345221032004</v>
          </cell>
          <cell r="AF253">
            <v>84.76461387969978</v>
          </cell>
          <cell r="AG253">
            <v>89.664732673161623</v>
          </cell>
          <cell r="AH253">
            <v>98.548280135965996</v>
          </cell>
        </row>
        <row r="254">
          <cell r="AD254">
            <v>79.766676153548232</v>
          </cell>
          <cell r="AE254">
            <v>81.871897680767717</v>
          </cell>
          <cell r="AF254">
            <v>84.824684376256243</v>
          </cell>
          <cell r="AG254">
            <v>89.733339394705041</v>
          </cell>
          <cell r="AH254">
            <v>98.607720722756355</v>
          </cell>
        </row>
        <row r="255">
          <cell r="AD255">
            <v>79.825007115161171</v>
          </cell>
          <cell r="AE255">
            <v>81.931450140503429</v>
          </cell>
          <cell r="AF255">
            <v>84.884754872812707</v>
          </cell>
          <cell r="AG255">
            <v>89.801946116248459</v>
          </cell>
          <cell r="AH255">
            <v>98.667161309546714</v>
          </cell>
        </row>
        <row r="256">
          <cell r="AD256">
            <v>79.883338076774123</v>
          </cell>
          <cell r="AE256">
            <v>81.991002600239142</v>
          </cell>
          <cell r="AF256">
            <v>84.94482536936917</v>
          </cell>
          <cell r="AG256">
            <v>89.870552837791877</v>
          </cell>
          <cell r="AH256">
            <v>98.726601896337058</v>
          </cell>
        </row>
        <row r="257">
          <cell r="AD257">
            <v>79.941669038387062</v>
          </cell>
          <cell r="AE257">
            <v>82.046165327855846</v>
          </cell>
          <cell r="AF257">
            <v>85.004450307848032</v>
          </cell>
          <cell r="AG257">
            <v>89.939159559335295</v>
          </cell>
          <cell r="AH257">
            <v>98.786042483127417</v>
          </cell>
        </row>
        <row r="258">
          <cell r="AD258">
            <v>80</v>
          </cell>
          <cell r="AE258">
            <v>82.100546804797787</v>
          </cell>
          <cell r="AF258">
            <v>85.059053968634842</v>
          </cell>
          <cell r="AG258">
            <v>90.006385600230558</v>
          </cell>
          <cell r="AH258">
            <v>98.845483069917776</v>
          </cell>
        </row>
        <row r="259">
          <cell r="AD259">
            <v>80.054424711612938</v>
          </cell>
          <cell r="AE259">
            <v>82.154928281739714</v>
          </cell>
          <cell r="AF259">
            <v>85.113657629421638</v>
          </cell>
          <cell r="AG259">
            <v>90.062795496260307</v>
          </cell>
          <cell r="AH259">
            <v>98.904923656708121</v>
          </cell>
        </row>
        <row r="260">
          <cell r="AD260">
            <v>80.108849423225877</v>
          </cell>
          <cell r="AE260">
            <v>82.209309758681655</v>
          </cell>
          <cell r="AF260">
            <v>85.168261290208434</v>
          </cell>
          <cell r="AG260">
            <v>90.119205392290041</v>
          </cell>
          <cell r="AH260">
            <v>98.96436424349848</v>
          </cell>
        </row>
        <row r="261">
          <cell r="AD261">
            <v>80.163274134838829</v>
          </cell>
          <cell r="AE261">
            <v>82.263691235623583</v>
          </cell>
          <cell r="AF261">
            <v>85.222864950995231</v>
          </cell>
          <cell r="AG261">
            <v>90.175615288319776</v>
          </cell>
          <cell r="AH261">
            <v>99.023313221876677</v>
          </cell>
        </row>
        <row r="262">
          <cell r="AD262">
            <v>80.217698846451768</v>
          </cell>
          <cell r="AE262">
            <v>82.318072712565524</v>
          </cell>
          <cell r="AF262">
            <v>85.277468611782027</v>
          </cell>
          <cell r="AG262">
            <v>90.23202518434951</v>
          </cell>
          <cell r="AH262">
            <v>99.081526263999208</v>
          </cell>
        </row>
        <row r="263">
          <cell r="AD263">
            <v>80.272123558064706</v>
          </cell>
          <cell r="AE263">
            <v>82.372454189507465</v>
          </cell>
          <cell r="AF263">
            <v>85.332072272568837</v>
          </cell>
          <cell r="AG263">
            <v>90.288435080379244</v>
          </cell>
          <cell r="AH263">
            <v>99.139739306121726</v>
          </cell>
        </row>
        <row r="264">
          <cell r="AD264">
            <v>80.326548269677644</v>
          </cell>
          <cell r="AE264">
            <v>82.426835666449392</v>
          </cell>
          <cell r="AF264">
            <v>85.386675933355633</v>
          </cell>
          <cell r="AG264">
            <v>90.344844976408993</v>
          </cell>
          <cell r="AH264">
            <v>99.197952348244257</v>
          </cell>
        </row>
        <row r="265">
          <cell r="AD265">
            <v>80.380972981290597</v>
          </cell>
          <cell r="AE265">
            <v>82.481217143391333</v>
          </cell>
          <cell r="AF265">
            <v>85.441279594142429</v>
          </cell>
          <cell r="AG265">
            <v>90.401254872438727</v>
          </cell>
          <cell r="AH265">
            <v>99.256165390366789</v>
          </cell>
        </row>
        <row r="266">
          <cell r="AD266">
            <v>80.435397692903535</v>
          </cell>
          <cell r="AE266">
            <v>82.535598620333275</v>
          </cell>
          <cell r="AF266">
            <v>85.495883254929225</v>
          </cell>
          <cell r="AG266">
            <v>90.457664768468462</v>
          </cell>
          <cell r="AH266">
            <v>99.314378432489306</v>
          </cell>
        </row>
        <row r="267">
          <cell r="AD267">
            <v>80.489822404516474</v>
          </cell>
          <cell r="AE267">
            <v>82.589980097275202</v>
          </cell>
          <cell r="AF267">
            <v>85.550486915716021</v>
          </cell>
          <cell r="AG267">
            <v>90.514074664498196</v>
          </cell>
          <cell r="AH267">
            <v>99.372591474611838</v>
          </cell>
        </row>
        <row r="268">
          <cell r="AD268">
            <v>80.544247116129412</v>
          </cell>
          <cell r="AE268">
            <v>82.644361574217143</v>
          </cell>
          <cell r="AF268">
            <v>85.605090576502832</v>
          </cell>
          <cell r="AG268">
            <v>90.57048456052793</v>
          </cell>
          <cell r="AH268">
            <v>99.430804516734369</v>
          </cell>
        </row>
        <row r="269">
          <cell r="AD269">
            <v>80.598671827742351</v>
          </cell>
          <cell r="AE269">
            <v>82.698743051159084</v>
          </cell>
          <cell r="AF269">
            <v>85.659694237289628</v>
          </cell>
          <cell r="AG269">
            <v>90.626894456557665</v>
          </cell>
          <cell r="AH269">
            <v>99.489017558856887</v>
          </cell>
        </row>
        <row r="270">
          <cell r="AD270">
            <v>80.653096539355303</v>
          </cell>
          <cell r="AE270">
            <v>82.753124528101011</v>
          </cell>
          <cell r="AF270">
            <v>85.714297898076424</v>
          </cell>
          <cell r="AG270">
            <v>90.683304352587413</v>
          </cell>
          <cell r="AH270">
            <v>99.547230600979418</v>
          </cell>
        </row>
        <row r="271">
          <cell r="AD271">
            <v>80.707521250968242</v>
          </cell>
          <cell r="AE271">
            <v>82.807506005042953</v>
          </cell>
          <cell r="AF271">
            <v>85.76890155886322</v>
          </cell>
          <cell r="AG271">
            <v>90.739714248617148</v>
          </cell>
          <cell r="AH271">
            <v>99.605443643101935</v>
          </cell>
        </row>
        <row r="272">
          <cell r="AD272">
            <v>80.76194596258118</v>
          </cell>
          <cell r="AE272">
            <v>82.861887481984894</v>
          </cell>
          <cell r="AF272">
            <v>85.823505219650016</v>
          </cell>
          <cell r="AG272">
            <v>90.796124144646882</v>
          </cell>
          <cell r="AH272">
            <v>99.663656685224467</v>
          </cell>
        </row>
        <row r="273">
          <cell r="AD273">
            <v>80.816370674194118</v>
          </cell>
          <cell r="AE273">
            <v>82.916268958926821</v>
          </cell>
          <cell r="AF273">
            <v>85.878108880436827</v>
          </cell>
          <cell r="AG273">
            <v>90.852534040676616</v>
          </cell>
          <cell r="AH273">
            <v>99.721869727346999</v>
          </cell>
        </row>
        <row r="274">
          <cell r="AD274">
            <v>80.870795385807057</v>
          </cell>
          <cell r="AE274">
            <v>82.970650435868762</v>
          </cell>
          <cell r="AF274">
            <v>85.932712541223623</v>
          </cell>
          <cell r="AG274">
            <v>90.908943936706351</v>
          </cell>
          <cell r="AH274">
            <v>99.780082769469516</v>
          </cell>
        </row>
        <row r="275">
          <cell r="AD275">
            <v>80.925220097420009</v>
          </cell>
          <cell r="AE275">
            <v>83.023342162088809</v>
          </cell>
          <cell r="AF275">
            <v>85.987316202010419</v>
          </cell>
          <cell r="AG275">
            <v>90.965353832736099</v>
          </cell>
          <cell r="AH275">
            <v>99.838295811592047</v>
          </cell>
        </row>
        <row r="276">
          <cell r="AD276">
            <v>80.979644809032948</v>
          </cell>
          <cell r="AE276">
            <v>83.07405267945947</v>
          </cell>
          <cell r="AF276">
            <v>86.038061368689995</v>
          </cell>
          <cell r="AG276">
            <v>91.020352770869948</v>
          </cell>
          <cell r="AH276">
            <v>99.896508853714579</v>
          </cell>
        </row>
        <row r="277">
          <cell r="AD277">
            <v>81.031787986768464</v>
          </cell>
          <cell r="AE277">
            <v>83.124763196830131</v>
          </cell>
          <cell r="AF277">
            <v>86.087639061133402</v>
          </cell>
          <cell r="AG277">
            <v>91.073105573528181</v>
          </cell>
          <cell r="AH277">
            <v>99.954721895837096</v>
          </cell>
        </row>
        <row r="278">
          <cell r="AD278">
            <v>81.082568038258216</v>
          </cell>
          <cell r="AE278">
            <v>83.175473714200777</v>
          </cell>
          <cell r="AF278">
            <v>86.137216753576809</v>
          </cell>
          <cell r="AG278">
            <v>91.125858376186414</v>
          </cell>
          <cell r="AH278">
            <v>100.01191770041967</v>
          </cell>
        </row>
        <row r="279">
          <cell r="AD279">
            <v>81.133348089747955</v>
          </cell>
          <cell r="AE279">
            <v>83.226184231571438</v>
          </cell>
          <cell r="AF279">
            <v>86.186794446020215</v>
          </cell>
          <cell r="AG279">
            <v>91.178611178844633</v>
          </cell>
          <cell r="AH279">
            <v>100.06555271580974</v>
          </cell>
        </row>
        <row r="280">
          <cell r="AD280">
            <v>81.184128141237707</v>
          </cell>
          <cell r="AE280">
            <v>83.276894748942098</v>
          </cell>
          <cell r="AF280">
            <v>86.236372138463622</v>
          </cell>
          <cell r="AG280">
            <v>91.231363981502867</v>
          </cell>
          <cell r="AH280">
            <v>100.11918773119983</v>
          </cell>
        </row>
        <row r="281">
          <cell r="AD281">
            <v>81.23490819272746</v>
          </cell>
          <cell r="AE281">
            <v>83.327605266312744</v>
          </cell>
          <cell r="AF281">
            <v>86.285949830907029</v>
          </cell>
          <cell r="AG281">
            <v>91.2841167841611</v>
          </cell>
          <cell r="AH281">
            <v>100.1728227465899</v>
          </cell>
        </row>
        <row r="282">
          <cell r="AD282">
            <v>81.285688244217212</v>
          </cell>
          <cell r="AE282">
            <v>83.378315783683405</v>
          </cell>
          <cell r="AF282">
            <v>86.335527523350422</v>
          </cell>
          <cell r="AG282">
            <v>91.336869586819319</v>
          </cell>
          <cell r="AH282">
            <v>100.22645776197997</v>
          </cell>
        </row>
        <row r="283">
          <cell r="AD283">
            <v>81.336468295706965</v>
          </cell>
          <cell r="AE283">
            <v>83.429026301054066</v>
          </cell>
          <cell r="AF283">
            <v>86.385105215793828</v>
          </cell>
          <cell r="AG283">
            <v>91.389622389477552</v>
          </cell>
          <cell r="AH283">
            <v>100.28009277737006</v>
          </cell>
        </row>
        <row r="284">
          <cell r="AD284">
            <v>81.387248347196717</v>
          </cell>
          <cell r="AE284">
            <v>83.479736818424712</v>
          </cell>
          <cell r="AF284">
            <v>86.434682908237235</v>
          </cell>
          <cell r="AG284">
            <v>91.442375192135771</v>
          </cell>
          <cell r="AH284">
            <v>100.33372779276013</v>
          </cell>
        </row>
        <row r="285">
          <cell r="AD285">
            <v>81.43802839868647</v>
          </cell>
          <cell r="AE285">
            <v>83.530447335795373</v>
          </cell>
          <cell r="AF285">
            <v>86.484260600680642</v>
          </cell>
          <cell r="AG285">
            <v>91.495127994794004</v>
          </cell>
          <cell r="AH285">
            <v>100.3873628081502</v>
          </cell>
        </row>
        <row r="286">
          <cell r="AD286">
            <v>81.488808450176222</v>
          </cell>
          <cell r="AE286">
            <v>83.581157853166033</v>
          </cell>
          <cell r="AF286">
            <v>86.533838293124049</v>
          </cell>
          <cell r="AG286">
            <v>91.547880797452237</v>
          </cell>
          <cell r="AH286">
            <v>100.44099782354027</v>
          </cell>
        </row>
        <row r="287">
          <cell r="AD287">
            <v>81.539588501665975</v>
          </cell>
          <cell r="AE287">
            <v>83.631868370536679</v>
          </cell>
          <cell r="AF287">
            <v>86.583415985567456</v>
          </cell>
          <cell r="AG287">
            <v>91.600633600110456</v>
          </cell>
          <cell r="AH287">
            <v>100.49463283893036</v>
          </cell>
        </row>
        <row r="288">
          <cell r="AD288">
            <v>81.590368553155727</v>
          </cell>
          <cell r="AE288">
            <v>83.68257888790734</v>
          </cell>
          <cell r="AF288">
            <v>86.632993678010848</v>
          </cell>
          <cell r="AG288">
            <v>91.653386402768689</v>
          </cell>
          <cell r="AH288">
            <v>100.54826785432043</v>
          </cell>
        </row>
        <row r="289">
          <cell r="AD289">
            <v>81.64114860464548</v>
          </cell>
          <cell r="AE289">
            <v>83.733289405278001</v>
          </cell>
          <cell r="AF289">
            <v>86.682571370454255</v>
          </cell>
          <cell r="AG289">
            <v>91.706139205426922</v>
          </cell>
          <cell r="AH289">
            <v>100.6019028697105</v>
          </cell>
        </row>
        <row r="290">
          <cell r="AD290">
            <v>81.691928656135218</v>
          </cell>
          <cell r="AE290">
            <v>83.783999922648647</v>
          </cell>
          <cell r="AF290">
            <v>86.732149062897662</v>
          </cell>
          <cell r="AG290">
            <v>91.758892008085141</v>
          </cell>
          <cell r="AH290">
            <v>100.65553788510059</v>
          </cell>
        </row>
        <row r="291">
          <cell r="AD291">
            <v>81.742708707624971</v>
          </cell>
          <cell r="AE291">
            <v>83.834710440019307</v>
          </cell>
          <cell r="AF291">
            <v>86.781726755341069</v>
          </cell>
          <cell r="AG291">
            <v>91.811644810743374</v>
          </cell>
          <cell r="AH291">
            <v>100.70917290049066</v>
          </cell>
        </row>
        <row r="292">
          <cell r="AD292">
            <v>81.793488759114723</v>
          </cell>
          <cell r="AE292">
            <v>83.885420957389968</v>
          </cell>
          <cell r="AF292">
            <v>86.831304447784476</v>
          </cell>
          <cell r="AG292">
            <v>91.864397613401607</v>
          </cell>
          <cell r="AH292">
            <v>100.76280791588073</v>
          </cell>
        </row>
        <row r="293">
          <cell r="AD293">
            <v>81.844268810604476</v>
          </cell>
          <cell r="AE293">
            <v>83.936131474760614</v>
          </cell>
          <cell r="AF293">
            <v>86.880882140227882</v>
          </cell>
          <cell r="AG293">
            <v>91.917150416059826</v>
          </cell>
          <cell r="AH293">
            <v>100.8164429312708</v>
          </cell>
        </row>
        <row r="294">
          <cell r="AD294">
            <v>81.895048862094228</v>
          </cell>
          <cell r="AE294">
            <v>83.986841992131275</v>
          </cell>
          <cell r="AF294">
            <v>86.930459832671289</v>
          </cell>
          <cell r="AG294">
            <v>91.969903218718059</v>
          </cell>
          <cell r="AH294">
            <v>100.87007794666089</v>
          </cell>
        </row>
        <row r="295">
          <cell r="AD295">
            <v>81.945828913583981</v>
          </cell>
          <cell r="AE295">
            <v>84.036191564035917</v>
          </cell>
          <cell r="AF295">
            <v>86.980037525114682</v>
          </cell>
          <cell r="AG295">
            <v>92.021521414287719</v>
          </cell>
          <cell r="AH295">
            <v>100.92371296205096</v>
          </cell>
        </row>
        <row r="296">
          <cell r="AD296">
            <v>81.996608965073733</v>
          </cell>
          <cell r="AE296">
            <v>84.085064274836242</v>
          </cell>
          <cell r="AF296">
            <v>87.029133791498197</v>
          </cell>
          <cell r="AG296">
            <v>92.071632371634976</v>
          </cell>
          <cell r="AH296">
            <v>100.97734797744103</v>
          </cell>
        </row>
        <row r="297">
          <cell r="AD297">
            <v>82.044215515890215</v>
          </cell>
          <cell r="AE297">
            <v>84.133936985636566</v>
          </cell>
          <cell r="AF297">
            <v>87.077905547159801</v>
          </cell>
          <cell r="AG297">
            <v>92.121743328982234</v>
          </cell>
          <cell r="AH297">
            <v>101.02868392415382</v>
          </cell>
        </row>
        <row r="298">
          <cell r="AD298">
            <v>82.091594979242089</v>
          </cell>
          <cell r="AE298">
            <v>84.182809696436891</v>
          </cell>
          <cell r="AF298">
            <v>87.126677302821392</v>
          </cell>
          <cell r="AG298">
            <v>92.171854286329506</v>
          </cell>
          <cell r="AH298">
            <v>101.07833899530283</v>
          </cell>
        </row>
        <row r="299">
          <cell r="AD299">
            <v>82.138974442593963</v>
          </cell>
          <cell r="AE299">
            <v>84.23168240723723</v>
          </cell>
          <cell r="AF299">
            <v>87.175449058482982</v>
          </cell>
          <cell r="AG299">
            <v>92.221965243676763</v>
          </cell>
          <cell r="AH299">
            <v>101.12799406645185</v>
          </cell>
        </row>
        <row r="300">
          <cell r="AD300">
            <v>82.186353905945836</v>
          </cell>
          <cell r="AE300">
            <v>84.280555118037555</v>
          </cell>
          <cell r="AF300">
            <v>87.224220814144587</v>
          </cell>
          <cell r="AG300">
            <v>92.272076201024021</v>
          </cell>
          <cell r="AH300">
            <v>101.17764913760085</v>
          </cell>
        </row>
        <row r="301">
          <cell r="AD301">
            <v>82.23373336929771</v>
          </cell>
          <cell r="AE301">
            <v>84.329427828837879</v>
          </cell>
          <cell r="AF301">
            <v>87.272992569806178</v>
          </cell>
          <cell r="AG301">
            <v>92.322187158371293</v>
          </cell>
          <cell r="AH301">
            <v>101.22730420874987</v>
          </cell>
        </row>
        <row r="302">
          <cell r="AD302">
            <v>82.281112832649583</v>
          </cell>
          <cell r="AE302">
            <v>84.378300539638204</v>
          </cell>
          <cell r="AF302">
            <v>87.321764325467768</v>
          </cell>
          <cell r="AG302">
            <v>92.37229811571855</v>
          </cell>
          <cell r="AH302">
            <v>101.27695927989888</v>
          </cell>
        </row>
        <row r="303">
          <cell r="AD303">
            <v>82.328492296001457</v>
          </cell>
          <cell r="AE303">
            <v>84.427173250438543</v>
          </cell>
          <cell r="AF303">
            <v>87.370536081129359</v>
          </cell>
          <cell r="AG303">
            <v>92.422409073065808</v>
          </cell>
          <cell r="AH303">
            <v>101.32661435104789</v>
          </cell>
        </row>
        <row r="304">
          <cell r="AD304">
            <v>82.375871759353331</v>
          </cell>
          <cell r="AE304">
            <v>84.476045961238867</v>
          </cell>
          <cell r="AF304">
            <v>87.419307836790964</v>
          </cell>
          <cell r="AG304">
            <v>92.472520030413079</v>
          </cell>
          <cell r="AH304">
            <v>101.3762694221969</v>
          </cell>
        </row>
        <row r="305">
          <cell r="AD305">
            <v>82.423251222705204</v>
          </cell>
          <cell r="AE305">
            <v>84.524918672039192</v>
          </cell>
          <cell r="AF305">
            <v>87.468079592452554</v>
          </cell>
          <cell r="AG305">
            <v>92.522630987760337</v>
          </cell>
          <cell r="AH305">
            <v>101.42592449334592</v>
          </cell>
        </row>
        <row r="306">
          <cell r="AD306">
            <v>82.470630686057078</v>
          </cell>
          <cell r="AE306">
            <v>84.573791382839516</v>
          </cell>
          <cell r="AF306">
            <v>87.516851348114145</v>
          </cell>
          <cell r="AG306">
            <v>92.572741945107595</v>
          </cell>
          <cell r="AH306">
            <v>101.47557956449492</v>
          </cell>
        </row>
        <row r="307">
          <cell r="AD307">
            <v>82.518010149408951</v>
          </cell>
          <cell r="AE307">
            <v>84.622664093639855</v>
          </cell>
          <cell r="AF307">
            <v>87.565623103775735</v>
          </cell>
          <cell r="AG307">
            <v>92.622852902454852</v>
          </cell>
          <cell r="AH307">
            <v>101.52523463564394</v>
          </cell>
        </row>
        <row r="308">
          <cell r="AD308">
            <v>82.565389612760825</v>
          </cell>
          <cell r="AE308">
            <v>84.67153680444018</v>
          </cell>
          <cell r="AF308">
            <v>87.61439485943734</v>
          </cell>
          <cell r="AG308">
            <v>92.672963859802124</v>
          </cell>
          <cell r="AH308">
            <v>101.57488970679294</v>
          </cell>
        </row>
        <row r="309">
          <cell r="AD309">
            <v>82.612769076112698</v>
          </cell>
          <cell r="AE309">
            <v>84.720409515240505</v>
          </cell>
          <cell r="AF309">
            <v>87.66316661509893</v>
          </cell>
          <cell r="AG309">
            <v>92.723074817149381</v>
          </cell>
          <cell r="AH309">
            <v>101.62454477794196</v>
          </cell>
        </row>
        <row r="310">
          <cell r="AD310">
            <v>82.660148539464572</v>
          </cell>
          <cell r="AE310">
            <v>84.769282226040829</v>
          </cell>
          <cell r="AF310">
            <v>87.711938370760521</v>
          </cell>
          <cell r="AG310">
            <v>92.773185774496639</v>
          </cell>
          <cell r="AH310">
            <v>101.67419984909097</v>
          </cell>
        </row>
        <row r="311">
          <cell r="AD311">
            <v>82.707528002816446</v>
          </cell>
          <cell r="AE311">
            <v>84.818154936841154</v>
          </cell>
          <cell r="AF311">
            <v>87.760710126422126</v>
          </cell>
          <cell r="AG311">
            <v>92.823296731843911</v>
          </cell>
          <cell r="AH311">
            <v>101.72385492023999</v>
          </cell>
        </row>
        <row r="312">
          <cell r="AD312">
            <v>82.754907466168319</v>
          </cell>
          <cell r="AE312">
            <v>84.867027647641493</v>
          </cell>
          <cell r="AF312">
            <v>87.809481882083716</v>
          </cell>
          <cell r="AG312">
            <v>92.873407689191168</v>
          </cell>
          <cell r="AH312">
            <v>101.77350999138899</v>
          </cell>
        </row>
        <row r="313">
          <cell r="AD313">
            <v>82.802286929520193</v>
          </cell>
          <cell r="AE313">
            <v>84.915900358441817</v>
          </cell>
          <cell r="AF313">
            <v>87.858253637745307</v>
          </cell>
          <cell r="AG313">
            <v>92.923518646538426</v>
          </cell>
          <cell r="AH313">
            <v>101.82316506253801</v>
          </cell>
        </row>
        <row r="314">
          <cell r="AD314">
            <v>82.849666392872066</v>
          </cell>
          <cell r="AE314">
            <v>84.964773069242142</v>
          </cell>
          <cell r="AF314">
            <v>87.907025393406897</v>
          </cell>
          <cell r="AG314">
            <v>92.973629603885698</v>
          </cell>
          <cell r="AH314">
            <v>101.87282013368701</v>
          </cell>
        </row>
        <row r="315">
          <cell r="AD315">
            <v>82.89704585622394</v>
          </cell>
          <cell r="AE315">
            <v>85.012531647506819</v>
          </cell>
          <cell r="AF315">
            <v>87.955797149068502</v>
          </cell>
          <cell r="AG315">
            <v>93.022367647203353</v>
          </cell>
          <cell r="AH315">
            <v>101.92247520483603</v>
          </cell>
        </row>
        <row r="316">
          <cell r="AD316">
            <v>82.944425319575814</v>
          </cell>
          <cell r="AE316">
            <v>85.057414064088832</v>
          </cell>
          <cell r="AF316">
            <v>88.004756197276762</v>
          </cell>
          <cell r="AG316">
            <v>93.069580693431178</v>
          </cell>
          <cell r="AH316">
            <v>101.97213027598504</v>
          </cell>
        </row>
        <row r="317">
          <cell r="AD317">
            <v>82.991804782927687</v>
          </cell>
          <cell r="AE317">
            <v>85.10229648067083</v>
          </cell>
          <cell r="AF317">
            <v>88.05552724748766</v>
          </cell>
          <cell r="AG317">
            <v>93.116793739659002</v>
          </cell>
          <cell r="AH317">
            <v>102.01969836502204</v>
          </cell>
        </row>
        <row r="318">
          <cell r="AD318">
            <v>83.03656019452734</v>
          </cell>
          <cell r="AE318">
            <v>85.147178897252829</v>
          </cell>
          <cell r="AF318">
            <v>88.106298297698572</v>
          </cell>
          <cell r="AG318">
            <v>93.164006785886826</v>
          </cell>
          <cell r="AH318">
            <v>102.06459660376342</v>
          </cell>
        </row>
        <row r="319">
          <cell r="AD319">
            <v>83.080766796955942</v>
          </cell>
          <cell r="AE319">
            <v>85.192061313834827</v>
          </cell>
          <cell r="AF319">
            <v>88.15706934790947</v>
          </cell>
          <cell r="AG319">
            <v>93.211219832114651</v>
          </cell>
          <cell r="AH319">
            <v>102.1094948425048</v>
          </cell>
        </row>
        <row r="320">
          <cell r="AD320">
            <v>83.124973399384558</v>
          </cell>
          <cell r="AE320">
            <v>85.236943730416826</v>
          </cell>
          <cell r="AF320">
            <v>88.207840398120382</v>
          </cell>
          <cell r="AG320">
            <v>93.258432878342475</v>
          </cell>
          <cell r="AH320">
            <v>102.15439308124618</v>
          </cell>
        </row>
        <row r="321">
          <cell r="AD321">
            <v>83.16918000181316</v>
          </cell>
          <cell r="AE321">
            <v>85.281826146998839</v>
          </cell>
          <cell r="AF321">
            <v>88.258611448331294</v>
          </cell>
          <cell r="AG321">
            <v>93.3056459245703</v>
          </cell>
          <cell r="AH321">
            <v>102.19929131998755</v>
          </cell>
        </row>
        <row r="322">
          <cell r="AD322">
            <v>83.213386604241776</v>
          </cell>
          <cell r="AE322">
            <v>85.326708563580837</v>
          </cell>
          <cell r="AF322">
            <v>88.309382498542192</v>
          </cell>
          <cell r="AG322">
            <v>93.352858970798124</v>
          </cell>
          <cell r="AH322">
            <v>102.24418955872893</v>
          </cell>
        </row>
        <row r="323">
          <cell r="AD323">
            <v>83.257593206670379</v>
          </cell>
          <cell r="AE323">
            <v>85.371590980162836</v>
          </cell>
          <cell r="AF323">
            <v>88.360153548753104</v>
          </cell>
          <cell r="AG323">
            <v>93.400072017025948</v>
          </cell>
          <cell r="AH323">
            <v>102.28908779747032</v>
          </cell>
        </row>
        <row r="324">
          <cell r="AD324">
            <v>83.301799809098995</v>
          </cell>
          <cell r="AE324">
            <v>85.416473396744834</v>
          </cell>
          <cell r="AF324">
            <v>88.410924598964016</v>
          </cell>
          <cell r="AG324">
            <v>93.447285063253773</v>
          </cell>
          <cell r="AH324">
            <v>102.3339860362117</v>
          </cell>
        </row>
        <row r="325">
          <cell r="AD325">
            <v>83.346006411527597</v>
          </cell>
          <cell r="AE325">
            <v>85.461355813326847</v>
          </cell>
          <cell r="AF325">
            <v>88.461695649174914</v>
          </cell>
          <cell r="AG325">
            <v>93.494498109481597</v>
          </cell>
          <cell r="AH325">
            <v>102.37888427495307</v>
          </cell>
        </row>
        <row r="326">
          <cell r="AD326">
            <v>83.390213013956213</v>
          </cell>
          <cell r="AE326">
            <v>85.506238229908845</v>
          </cell>
          <cell r="AF326">
            <v>88.512466699385826</v>
          </cell>
          <cell r="AG326">
            <v>93.541711155709422</v>
          </cell>
          <cell r="AH326">
            <v>102.42378251369445</v>
          </cell>
        </row>
        <row r="327">
          <cell r="AD327">
            <v>83.434419616384815</v>
          </cell>
          <cell r="AE327">
            <v>85.551120646490844</v>
          </cell>
          <cell r="AF327">
            <v>88.563237749596723</v>
          </cell>
          <cell r="AG327">
            <v>93.588924201937246</v>
          </cell>
          <cell r="AH327">
            <v>102.46868075243583</v>
          </cell>
        </row>
        <row r="328">
          <cell r="AD328">
            <v>83.478626218813432</v>
          </cell>
          <cell r="AE328">
            <v>85.596003063072843</v>
          </cell>
          <cell r="AF328">
            <v>88.614008799807635</v>
          </cell>
          <cell r="AG328">
            <v>93.63613724816507</v>
          </cell>
          <cell r="AH328">
            <v>102.51357899117721</v>
          </cell>
        </row>
        <row r="329">
          <cell r="AD329">
            <v>83.522832821242034</v>
          </cell>
          <cell r="AE329">
            <v>85.640885479654855</v>
          </cell>
          <cell r="AF329">
            <v>88.664779850018547</v>
          </cell>
          <cell r="AG329">
            <v>93.683350294392895</v>
          </cell>
          <cell r="AH329">
            <v>102.55847722991859</v>
          </cell>
        </row>
        <row r="330">
          <cell r="AD330">
            <v>83.56703942367065</v>
          </cell>
          <cell r="AE330">
            <v>85.685767896236854</v>
          </cell>
          <cell r="AF330">
            <v>88.715550900229445</v>
          </cell>
          <cell r="AG330">
            <v>93.730563340620719</v>
          </cell>
          <cell r="AH330">
            <v>102.60337546865996</v>
          </cell>
        </row>
        <row r="331">
          <cell r="AD331">
            <v>83.611246026099252</v>
          </cell>
          <cell r="AE331">
            <v>85.730650312818852</v>
          </cell>
          <cell r="AF331">
            <v>88.766321950440357</v>
          </cell>
          <cell r="AG331">
            <v>93.777776386848544</v>
          </cell>
          <cell r="AH331">
            <v>102.64827370740134</v>
          </cell>
        </row>
        <row r="332">
          <cell r="AD332">
            <v>83.655452628527868</v>
          </cell>
          <cell r="AE332">
            <v>85.775532729400851</v>
          </cell>
          <cell r="AF332">
            <v>88.817093000651269</v>
          </cell>
          <cell r="AG332">
            <v>93.824989433076368</v>
          </cell>
          <cell r="AH332">
            <v>102.69317194614273</v>
          </cell>
        </row>
        <row r="333">
          <cell r="AD333">
            <v>83.69965923095647</v>
          </cell>
          <cell r="AE333">
            <v>85.820415145982849</v>
          </cell>
          <cell r="AF333">
            <v>88.867864050862167</v>
          </cell>
          <cell r="AG333">
            <v>93.872202479304192</v>
          </cell>
          <cell r="AH333">
            <v>102.73807018488411</v>
          </cell>
        </row>
        <row r="334">
          <cell r="AD334">
            <v>83.743865833385087</v>
          </cell>
          <cell r="AE334">
            <v>85.865297562564862</v>
          </cell>
          <cell r="AF334">
            <v>88.918635101073079</v>
          </cell>
          <cell r="AG334">
            <v>93.919415525532017</v>
          </cell>
          <cell r="AH334">
            <v>102.78296842362549</v>
          </cell>
        </row>
        <row r="335">
          <cell r="AD335">
            <v>83.788072435813689</v>
          </cell>
          <cell r="AE335">
            <v>85.910179979146861</v>
          </cell>
          <cell r="AF335">
            <v>88.969406151283977</v>
          </cell>
          <cell r="AG335">
            <v>93.966628571759841</v>
          </cell>
          <cell r="AH335">
            <v>102.82786666236686</v>
          </cell>
        </row>
        <row r="336">
          <cell r="AD336">
            <v>83.832279038242305</v>
          </cell>
          <cell r="AE336">
            <v>85.955062395728859</v>
          </cell>
          <cell r="AF336">
            <v>89.018466905731287</v>
          </cell>
          <cell r="AG336">
            <v>94.012923283729691</v>
          </cell>
          <cell r="AH336">
            <v>102.87276490110824</v>
          </cell>
        </row>
        <row r="337">
          <cell r="AD337">
            <v>83.876485640670907</v>
          </cell>
          <cell r="AE337">
            <v>85.999944812310858</v>
          </cell>
          <cell r="AF337">
            <v>89.064934410075779</v>
          </cell>
          <cell r="AG337">
            <v>94.057003939090123</v>
          </cell>
          <cell r="AH337">
            <v>102.91766313984962</v>
          </cell>
        </row>
        <row r="338">
          <cell r="AD338">
            <v>83.920692243099523</v>
          </cell>
          <cell r="AE338">
            <v>86.041129946887025</v>
          </cell>
          <cell r="AF338">
            <v>89.11140191442027</v>
          </cell>
          <cell r="AG338">
            <v>94.101084594450555</v>
          </cell>
          <cell r="AH338">
            <v>102.962561378591</v>
          </cell>
        </row>
        <row r="339">
          <cell r="AD339">
            <v>83.964898845528126</v>
          </cell>
          <cell r="AE339">
            <v>86.082310529666103</v>
          </cell>
          <cell r="AF339">
            <v>89.157869418764761</v>
          </cell>
          <cell r="AG339">
            <v>94.145165249810972</v>
          </cell>
          <cell r="AH339">
            <v>103.00673656424885</v>
          </cell>
        </row>
        <row r="340">
          <cell r="AD340">
            <v>84.008495683346354</v>
          </cell>
          <cell r="AE340">
            <v>86.12349111244518</v>
          </cell>
          <cell r="AF340">
            <v>89.204336923109267</v>
          </cell>
          <cell r="AG340">
            <v>94.189245905171404</v>
          </cell>
          <cell r="AH340">
            <v>103.04728286259964</v>
          </cell>
        </row>
        <row r="341">
          <cell r="AD341">
            <v>84.049741901856009</v>
          </cell>
          <cell r="AE341">
            <v>86.164671695224243</v>
          </cell>
          <cell r="AF341">
            <v>89.250804427453758</v>
          </cell>
          <cell r="AG341">
            <v>94.233326560531836</v>
          </cell>
          <cell r="AH341">
            <v>103.08782916095045</v>
          </cell>
        </row>
        <row r="342">
          <cell r="AD342">
            <v>84.090988120365651</v>
          </cell>
          <cell r="AE342">
            <v>86.20585227800332</v>
          </cell>
          <cell r="AF342">
            <v>89.29727193179825</v>
          </cell>
          <cell r="AG342">
            <v>94.277407215892268</v>
          </cell>
          <cell r="AH342">
            <v>103.12837545930124</v>
          </cell>
        </row>
        <row r="343">
          <cell r="AD343">
            <v>84.132234338875293</v>
          </cell>
          <cell r="AE343">
            <v>86.247032860782397</v>
          </cell>
          <cell r="AF343">
            <v>89.343739436142741</v>
          </cell>
          <cell r="AG343">
            <v>94.3214878712527</v>
          </cell>
          <cell r="AH343">
            <v>103.16892175765203</v>
          </cell>
        </row>
        <row r="344">
          <cell r="AD344">
            <v>84.173480557384934</v>
          </cell>
          <cell r="AE344">
            <v>86.288213443561474</v>
          </cell>
          <cell r="AF344">
            <v>89.390206940487232</v>
          </cell>
          <cell r="AG344">
            <v>94.365568526613131</v>
          </cell>
          <cell r="AH344">
            <v>103.20946805600283</v>
          </cell>
        </row>
        <row r="345">
          <cell r="AD345">
            <v>84.214726775894576</v>
          </cell>
          <cell r="AE345">
            <v>86.329394026340537</v>
          </cell>
          <cell r="AF345">
            <v>89.436674444831723</v>
          </cell>
          <cell r="AG345">
            <v>94.409649181973549</v>
          </cell>
          <cell r="AH345">
            <v>103.25001435435362</v>
          </cell>
        </row>
        <row r="346">
          <cell r="AD346">
            <v>84.255972994404218</v>
          </cell>
          <cell r="AE346">
            <v>86.370574609119615</v>
          </cell>
          <cell r="AF346">
            <v>89.483141949176215</v>
          </cell>
          <cell r="AG346">
            <v>94.453729837333981</v>
          </cell>
          <cell r="AH346">
            <v>103.29056065270443</v>
          </cell>
        </row>
        <row r="347">
          <cell r="AD347">
            <v>84.297219212913859</v>
          </cell>
          <cell r="AE347">
            <v>86.411755191898692</v>
          </cell>
          <cell r="AF347">
            <v>89.529609453520706</v>
          </cell>
          <cell r="AG347">
            <v>94.497810492694413</v>
          </cell>
          <cell r="AH347">
            <v>103.33110695105522</v>
          </cell>
        </row>
        <row r="348">
          <cell r="AD348">
            <v>84.338465431423501</v>
          </cell>
          <cell r="AE348">
            <v>86.452935774677769</v>
          </cell>
          <cell r="AF348">
            <v>89.576076957865197</v>
          </cell>
          <cell r="AG348">
            <v>94.541891148054845</v>
          </cell>
          <cell r="AH348">
            <v>103.37165324940601</v>
          </cell>
        </row>
        <row r="349">
          <cell r="AD349">
            <v>84.379711649933142</v>
          </cell>
          <cell r="AE349">
            <v>86.494116357456846</v>
          </cell>
          <cell r="AF349">
            <v>89.622544462209689</v>
          </cell>
          <cell r="AG349">
            <v>94.585971803415276</v>
          </cell>
          <cell r="AH349">
            <v>103.41219954775681</v>
          </cell>
        </row>
        <row r="350">
          <cell r="AD350">
            <v>84.420957868442784</v>
          </cell>
          <cell r="AE350">
            <v>86.535296940235909</v>
          </cell>
          <cell r="AF350">
            <v>89.66901196655418</v>
          </cell>
          <cell r="AG350">
            <v>94.630052458775694</v>
          </cell>
          <cell r="AH350">
            <v>103.4527458461076</v>
          </cell>
        </row>
        <row r="351">
          <cell r="AD351">
            <v>84.462204086952426</v>
          </cell>
          <cell r="AE351">
            <v>86.576477523014987</v>
          </cell>
          <cell r="AF351">
            <v>89.715479470898671</v>
          </cell>
          <cell r="AG351">
            <v>94.674133114136126</v>
          </cell>
          <cell r="AH351">
            <v>103.49329214445841</v>
          </cell>
        </row>
        <row r="352">
          <cell r="AD352">
            <v>84.503450305462081</v>
          </cell>
          <cell r="AE352">
            <v>86.617658105794064</v>
          </cell>
          <cell r="AF352">
            <v>89.761946975243163</v>
          </cell>
          <cell r="AG352">
            <v>94.718213769496558</v>
          </cell>
          <cell r="AH352">
            <v>103.5338384428092</v>
          </cell>
        </row>
        <row r="353">
          <cell r="AD353">
            <v>84.544696523971723</v>
          </cell>
          <cell r="AE353">
            <v>86.658838688573141</v>
          </cell>
          <cell r="AF353">
            <v>89.808414479587654</v>
          </cell>
          <cell r="AG353">
            <v>94.762294424856989</v>
          </cell>
          <cell r="AH353">
            <v>103.57438474115999</v>
          </cell>
        </row>
        <row r="354">
          <cell r="AD354">
            <v>84.585942742481365</v>
          </cell>
          <cell r="AE354">
            <v>86.700019271352204</v>
          </cell>
          <cell r="AF354">
            <v>89.854881983932145</v>
          </cell>
          <cell r="AG354">
            <v>94.806375080217421</v>
          </cell>
          <cell r="AH354">
            <v>103.61493103951079</v>
          </cell>
        </row>
        <row r="355">
          <cell r="AD355">
            <v>84.627188960991006</v>
          </cell>
          <cell r="AE355">
            <v>86.741199854131281</v>
          </cell>
          <cell r="AF355">
            <v>89.901349488276637</v>
          </cell>
          <cell r="AG355">
            <v>94.850455735577853</v>
          </cell>
          <cell r="AH355">
            <v>103.65547733786158</v>
          </cell>
        </row>
        <row r="356">
          <cell r="AD356">
            <v>84.668435179500648</v>
          </cell>
          <cell r="AE356">
            <v>86.782380436910358</v>
          </cell>
          <cell r="AF356">
            <v>89.947816992621142</v>
          </cell>
          <cell r="AG356">
            <v>94.894536390938271</v>
          </cell>
          <cell r="AH356">
            <v>103.69602363621237</v>
          </cell>
        </row>
        <row r="357">
          <cell r="AD357">
            <v>84.709681398010289</v>
          </cell>
          <cell r="AE357">
            <v>86.823561019689436</v>
          </cell>
          <cell r="AF357">
            <v>89.994284496965633</v>
          </cell>
          <cell r="AG357">
            <v>94.938617046298702</v>
          </cell>
          <cell r="AH357">
            <v>103.73656993456318</v>
          </cell>
        </row>
        <row r="358">
          <cell r="AD358">
            <v>84.750927616519931</v>
          </cell>
          <cell r="AE358">
            <v>86.864741602468499</v>
          </cell>
          <cell r="AF358">
            <v>90.036066635925749</v>
          </cell>
          <cell r="AG358">
            <v>94.982697701659134</v>
          </cell>
          <cell r="AH358">
            <v>103.77711623291397</v>
          </cell>
        </row>
        <row r="359">
          <cell r="AD359">
            <v>84.792173835029573</v>
          </cell>
          <cell r="AE359">
            <v>86.905922185247576</v>
          </cell>
          <cell r="AF359">
            <v>90.077191648383845</v>
          </cell>
          <cell r="AG359">
            <v>95.024001308619916</v>
          </cell>
          <cell r="AH359">
            <v>103.81766253126477</v>
          </cell>
        </row>
        <row r="360">
          <cell r="AD360">
            <v>84.833420053539214</v>
          </cell>
          <cell r="AE360">
            <v>86.947102768026653</v>
          </cell>
          <cell r="AF360">
            <v>90.118316660841927</v>
          </cell>
          <cell r="AG360">
            <v>95.063510581451752</v>
          </cell>
          <cell r="AH360">
            <v>103.85820882961556</v>
          </cell>
        </row>
        <row r="361">
          <cell r="AD361">
            <v>84.874666272048856</v>
          </cell>
          <cell r="AE361">
            <v>86.98828335080573</v>
          </cell>
          <cell r="AF361">
            <v>90.159441673300023</v>
          </cell>
          <cell r="AG361">
            <v>95.103019854283588</v>
          </cell>
          <cell r="AH361">
            <v>103.89875512796635</v>
          </cell>
        </row>
        <row r="362">
          <cell r="AD362">
            <v>84.915912490558497</v>
          </cell>
          <cell r="AE362">
            <v>87.027010646912942</v>
          </cell>
          <cell r="AF362">
            <v>90.200566685758119</v>
          </cell>
          <cell r="AG362">
            <v>95.142529127115409</v>
          </cell>
          <cell r="AH362">
            <v>103.93930142631716</v>
          </cell>
        </row>
        <row r="363">
          <cell r="AD363">
            <v>84.957158709068153</v>
          </cell>
          <cell r="AE363">
            <v>87.064762367263285</v>
          </cell>
          <cell r="AF363">
            <v>90.241691698216215</v>
          </cell>
          <cell r="AG363">
            <v>95.182038399947245</v>
          </cell>
          <cell r="AH363">
            <v>103.97984772466795</v>
          </cell>
        </row>
        <row r="364">
          <cell r="AD364">
            <v>84.998404927577795</v>
          </cell>
          <cell r="AE364">
            <v>87.102514087613613</v>
          </cell>
          <cell r="AF364">
            <v>90.293213829934885</v>
          </cell>
          <cell r="AG364">
            <v>95.215215800730917</v>
          </cell>
          <cell r="AH364">
            <v>104.01942515885031</v>
          </cell>
        </row>
        <row r="365">
          <cell r="AD365">
            <v>85.036995827451818</v>
          </cell>
          <cell r="AE365">
            <v>87.140265807963956</v>
          </cell>
          <cell r="AF365">
            <v>90.333742646601067</v>
          </cell>
          <cell r="AG365">
            <v>95.255683175879639</v>
          </cell>
          <cell r="AH365">
            <v>104.05804521363463</v>
          </cell>
        </row>
        <row r="366">
          <cell r="AD366">
            <v>85.075479910097457</v>
          </cell>
          <cell r="AE366">
            <v>87.1780175283143</v>
          </cell>
          <cell r="AF366">
            <v>90.374271463267263</v>
          </cell>
          <cell r="AG366">
            <v>95.296150551028362</v>
          </cell>
          <cell r="AH366">
            <v>104.09666526841893</v>
          </cell>
        </row>
        <row r="367">
          <cell r="AD367">
            <v>85.113963992743081</v>
          </cell>
          <cell r="AE367">
            <v>87.215769248664643</v>
          </cell>
          <cell r="AF367">
            <v>90.414800279933445</v>
          </cell>
          <cell r="AG367">
            <v>95.336617926177098</v>
          </cell>
          <cell r="AH367">
            <v>104.13528532320325</v>
          </cell>
        </row>
        <row r="368">
          <cell r="AD368">
            <v>85.152448075388719</v>
          </cell>
          <cell r="AE368">
            <v>87.253520969014986</v>
          </cell>
          <cell r="AF368">
            <v>90.455329096599641</v>
          </cell>
          <cell r="AG368">
            <v>95.37708530132582</v>
          </cell>
          <cell r="AH368">
            <v>104.17390537798755</v>
          </cell>
        </row>
        <row r="369">
          <cell r="AD369">
            <v>85.190932158034357</v>
          </cell>
          <cell r="AE369">
            <v>87.291272689365329</v>
          </cell>
          <cell r="AF369">
            <v>90.495857913265823</v>
          </cell>
          <cell r="AG369">
            <v>95.417552676474543</v>
          </cell>
          <cell r="AH369">
            <v>104.21252543277187</v>
          </cell>
        </row>
        <row r="370">
          <cell r="AD370">
            <v>85.229416240679981</v>
          </cell>
          <cell r="AE370">
            <v>87.329024409715672</v>
          </cell>
          <cell r="AF370">
            <v>90.536386729932019</v>
          </cell>
          <cell r="AG370">
            <v>95.458020051623265</v>
          </cell>
          <cell r="AH370">
            <v>104.25114548755617</v>
          </cell>
        </row>
        <row r="371">
          <cell r="AD371">
            <v>85.26790032332562</v>
          </cell>
          <cell r="AE371">
            <v>87.366776130066015</v>
          </cell>
          <cell r="AF371">
            <v>90.576915546598215</v>
          </cell>
          <cell r="AG371">
            <v>95.498487426771987</v>
          </cell>
          <cell r="AH371">
            <v>104.28976554234049</v>
          </cell>
        </row>
        <row r="372">
          <cell r="AD372">
            <v>85.306384405971258</v>
          </cell>
          <cell r="AE372">
            <v>87.404527850416358</v>
          </cell>
          <cell r="AF372">
            <v>90.617444363264397</v>
          </cell>
          <cell r="AG372">
            <v>95.53895480192071</v>
          </cell>
          <cell r="AH372">
            <v>104.32838559712479</v>
          </cell>
        </row>
        <row r="373">
          <cell r="AD373">
            <v>85.344868488616882</v>
          </cell>
          <cell r="AE373">
            <v>87.442279570766701</v>
          </cell>
          <cell r="AF373">
            <v>90.657973179930593</v>
          </cell>
          <cell r="AG373">
            <v>95.579422177069432</v>
          </cell>
          <cell r="AH373">
            <v>104.36700565190911</v>
          </cell>
        </row>
        <row r="374">
          <cell r="AD374">
            <v>85.38335257126252</v>
          </cell>
          <cell r="AE374">
            <v>87.480031291117044</v>
          </cell>
          <cell r="AF374">
            <v>90.698501996596775</v>
          </cell>
          <cell r="AG374">
            <v>95.619889552218154</v>
          </cell>
          <cell r="AH374">
            <v>104.40562570669341</v>
          </cell>
        </row>
        <row r="375">
          <cell r="AD375">
            <v>85.421836653908144</v>
          </cell>
          <cell r="AE375">
            <v>87.517783011467387</v>
          </cell>
          <cell r="AF375">
            <v>90.739030813262971</v>
          </cell>
          <cell r="AG375">
            <v>95.660356927366877</v>
          </cell>
          <cell r="AH375">
            <v>104.44424576147773</v>
          </cell>
        </row>
        <row r="376">
          <cell r="AD376">
            <v>85.460320736553783</v>
          </cell>
          <cell r="AE376">
            <v>87.55553473181773</v>
          </cell>
          <cell r="AF376">
            <v>90.779559629929153</v>
          </cell>
          <cell r="AG376">
            <v>95.700824302515599</v>
          </cell>
          <cell r="AH376">
            <v>104.48286581626203</v>
          </cell>
        </row>
        <row r="377">
          <cell r="AD377">
            <v>85.498804819199421</v>
          </cell>
          <cell r="AE377">
            <v>87.593286452168073</v>
          </cell>
          <cell r="AF377">
            <v>90.820088446595349</v>
          </cell>
          <cell r="AG377">
            <v>95.741291677664321</v>
          </cell>
          <cell r="AH377">
            <v>104.52148587104634</v>
          </cell>
        </row>
        <row r="378">
          <cell r="AD378">
            <v>85.537288901845045</v>
          </cell>
          <cell r="AE378">
            <v>87.631038172518416</v>
          </cell>
          <cell r="AF378">
            <v>90.860617263261531</v>
          </cell>
          <cell r="AG378">
            <v>95.781759052813044</v>
          </cell>
          <cell r="AH378">
            <v>104.56010592583065</v>
          </cell>
        </row>
        <row r="379">
          <cell r="AD379">
            <v>85.575772984490683</v>
          </cell>
          <cell r="AE379">
            <v>87.668789892868759</v>
          </cell>
          <cell r="AF379">
            <v>90.901146079927727</v>
          </cell>
          <cell r="AG379">
            <v>95.822226427961766</v>
          </cell>
          <cell r="AH379">
            <v>104.59872598061496</v>
          </cell>
        </row>
        <row r="380">
          <cell r="AD380">
            <v>85.614257067136322</v>
          </cell>
          <cell r="AE380">
            <v>87.706541613219102</v>
          </cell>
          <cell r="AF380">
            <v>90.941674896593909</v>
          </cell>
          <cell r="AG380">
            <v>95.862693803110488</v>
          </cell>
          <cell r="AH380">
            <v>104.63734603539928</v>
          </cell>
        </row>
        <row r="381">
          <cell r="AD381">
            <v>85.652741149781946</v>
          </cell>
          <cell r="AE381">
            <v>87.744293333569445</v>
          </cell>
          <cell r="AF381">
            <v>90.982203713260105</v>
          </cell>
          <cell r="AG381">
            <v>95.903161178259211</v>
          </cell>
          <cell r="AH381">
            <v>104.67596609018358</v>
          </cell>
        </row>
        <row r="382">
          <cell r="AD382">
            <v>85.691225232427584</v>
          </cell>
          <cell r="AE382">
            <v>87.782045053919788</v>
          </cell>
          <cell r="AF382">
            <v>91.021020756054753</v>
          </cell>
          <cell r="AG382">
            <v>95.943628553407933</v>
          </cell>
          <cell r="AH382">
            <v>104.7145861449679</v>
          </cell>
        </row>
        <row r="383">
          <cell r="AD383">
            <v>85.729709315073208</v>
          </cell>
          <cell r="AE383">
            <v>87.819796774270131</v>
          </cell>
          <cell r="AF383">
            <v>91.05849772720974</v>
          </cell>
          <cell r="AG383">
            <v>95.984095928556656</v>
          </cell>
          <cell r="AH383">
            <v>104.7532061997522</v>
          </cell>
        </row>
        <row r="384">
          <cell r="AD384">
            <v>85.768193397718846</v>
          </cell>
          <cell r="AE384">
            <v>87.857548494620474</v>
          </cell>
          <cell r="AF384">
            <v>91.095974698364728</v>
          </cell>
          <cell r="AG384">
            <v>96.021112985603693</v>
          </cell>
          <cell r="AH384">
            <v>104.79182625453652</v>
          </cell>
        </row>
        <row r="385">
          <cell r="AD385">
            <v>85.806677480364485</v>
          </cell>
          <cell r="AE385">
            <v>87.895300214970817</v>
          </cell>
          <cell r="AF385">
            <v>91.133451669519715</v>
          </cell>
          <cell r="AG385">
            <v>96.055896055470086</v>
          </cell>
          <cell r="AH385">
            <v>104.83044630932082</v>
          </cell>
        </row>
        <row r="386">
          <cell r="AD386">
            <v>85.845161563010109</v>
          </cell>
          <cell r="AE386">
            <v>87.93305193532116</v>
          </cell>
          <cell r="AF386">
            <v>91.170928640674703</v>
          </cell>
          <cell r="AG386">
            <v>96.090679125336493</v>
          </cell>
          <cell r="AH386">
            <v>104.86906636410514</v>
          </cell>
        </row>
        <row r="387">
          <cell r="AD387">
            <v>85.883645645655747</v>
          </cell>
          <cell r="AE387">
            <v>87.970803655671503</v>
          </cell>
          <cell r="AF387">
            <v>91.208405611829704</v>
          </cell>
          <cell r="AG387">
            <v>96.1254621952029</v>
          </cell>
          <cell r="AH387">
            <v>104.90768641888944</v>
          </cell>
        </row>
        <row r="388">
          <cell r="AD388">
            <v>85.922129728301385</v>
          </cell>
          <cell r="AE388">
            <v>88.008389927102499</v>
          </cell>
          <cell r="AF388">
            <v>91.245882582984692</v>
          </cell>
          <cell r="AG388">
            <v>96.160245265069307</v>
          </cell>
          <cell r="AH388">
            <v>104.94630647367376</v>
          </cell>
        </row>
        <row r="389">
          <cell r="AD389">
            <v>85.960613810947009</v>
          </cell>
          <cell r="AE389">
            <v>88.04541158236637</v>
          </cell>
          <cell r="AF389">
            <v>91.283359554139679</v>
          </cell>
          <cell r="AG389">
            <v>96.195028334935699</v>
          </cell>
          <cell r="AH389">
            <v>104.98492652845806</v>
          </cell>
        </row>
        <row r="390">
          <cell r="AD390">
            <v>85.999097893592648</v>
          </cell>
          <cell r="AE390">
            <v>88.082433237630241</v>
          </cell>
          <cell r="AF390">
            <v>91.320836525294666</v>
          </cell>
          <cell r="AG390">
            <v>96.229811404802106</v>
          </cell>
          <cell r="AH390">
            <v>105.02327036088481</v>
          </cell>
        </row>
        <row r="391">
          <cell r="AD391">
            <v>86.035065223717467</v>
          </cell>
          <cell r="AE391">
            <v>88.119454892894112</v>
          </cell>
          <cell r="AF391">
            <v>91.358313496449654</v>
          </cell>
          <cell r="AG391">
            <v>96.264594474668513</v>
          </cell>
          <cell r="AH391">
            <v>105.06143736808798</v>
          </cell>
        </row>
        <row r="392">
          <cell r="AD392">
            <v>86.070972142474872</v>
          </cell>
          <cell r="AE392">
            <v>88.156476548157968</v>
          </cell>
          <cell r="AF392">
            <v>91.395790467604641</v>
          </cell>
          <cell r="AG392">
            <v>96.29937754453492</v>
          </cell>
          <cell r="AH392">
            <v>105.09960437529116</v>
          </cell>
        </row>
        <row r="393">
          <cell r="AD393">
            <v>86.106879061232277</v>
          </cell>
          <cell r="AE393">
            <v>88.193498203421839</v>
          </cell>
          <cell r="AF393">
            <v>91.433267438759643</v>
          </cell>
          <cell r="AG393">
            <v>96.334160614401313</v>
          </cell>
          <cell r="AH393">
            <v>105.13777138249434</v>
          </cell>
        </row>
        <row r="394">
          <cell r="AD394">
            <v>86.142785979989682</v>
          </cell>
          <cell r="AE394">
            <v>88.23051985868571</v>
          </cell>
          <cell r="AF394">
            <v>91.47074440991463</v>
          </cell>
          <cell r="AG394">
            <v>96.36894368426772</v>
          </cell>
          <cell r="AH394">
            <v>105.17593838969751</v>
          </cell>
        </row>
        <row r="395">
          <cell r="AD395">
            <v>86.178692898747087</v>
          </cell>
          <cell r="AE395">
            <v>88.267541513949581</v>
          </cell>
          <cell r="AF395">
            <v>91.508221381069617</v>
          </cell>
          <cell r="AG395">
            <v>96.403726754134127</v>
          </cell>
          <cell r="AH395">
            <v>105.21410539690069</v>
          </cell>
        </row>
        <row r="396">
          <cell r="AD396">
            <v>86.214599817504492</v>
          </cell>
          <cell r="AE396">
            <v>88.304563169213452</v>
          </cell>
          <cell r="AF396">
            <v>91.545698352224605</v>
          </cell>
          <cell r="AG396">
            <v>96.438509824000519</v>
          </cell>
          <cell r="AH396">
            <v>105.25227240410386</v>
          </cell>
        </row>
        <row r="397">
          <cell r="AD397">
            <v>86.250506736261897</v>
          </cell>
          <cell r="AE397">
            <v>88.341584824477309</v>
          </cell>
          <cell r="AF397">
            <v>91.583175323379592</v>
          </cell>
          <cell r="AG397">
            <v>96.473292893866926</v>
          </cell>
          <cell r="AH397">
            <v>105.29043941130703</v>
          </cell>
        </row>
        <row r="398">
          <cell r="AD398">
            <v>86.286413655019302</v>
          </cell>
          <cell r="AE398">
            <v>88.37860647974118</v>
          </cell>
          <cell r="AF398">
            <v>91.62065229453458</v>
          </cell>
          <cell r="AG398">
            <v>96.508075963733333</v>
          </cell>
          <cell r="AH398">
            <v>105.32860641851022</v>
          </cell>
        </row>
        <row r="399">
          <cell r="AD399">
            <v>86.322320573776707</v>
          </cell>
          <cell r="AE399">
            <v>88.415628135005051</v>
          </cell>
          <cell r="AF399">
            <v>91.658129265689567</v>
          </cell>
          <cell r="AG399">
            <v>96.54285903359974</v>
          </cell>
          <cell r="AH399">
            <v>105.36677342571339</v>
          </cell>
        </row>
        <row r="400">
          <cell r="AD400">
            <v>86.358227492534112</v>
          </cell>
          <cell r="AE400">
            <v>88.452649790268921</v>
          </cell>
          <cell r="AF400">
            <v>91.695606236844569</v>
          </cell>
          <cell r="AG400">
            <v>96.577642103466133</v>
          </cell>
          <cell r="AH400">
            <v>105.40494043291658</v>
          </cell>
        </row>
        <row r="401">
          <cell r="AD401">
            <v>86.394134411291517</v>
          </cell>
          <cell r="AE401">
            <v>88.489671445532792</v>
          </cell>
          <cell r="AF401">
            <v>91.733083207999556</v>
          </cell>
          <cell r="AG401">
            <v>96.612425173332539</v>
          </cell>
          <cell r="AH401">
            <v>105.44310744011975</v>
          </cell>
        </row>
        <row r="402">
          <cell r="AD402">
            <v>86.430041330048923</v>
          </cell>
          <cell r="AE402">
            <v>88.526693100796649</v>
          </cell>
          <cell r="AF402">
            <v>91.770560179154543</v>
          </cell>
          <cell r="AG402">
            <v>96.647208243198946</v>
          </cell>
          <cell r="AH402">
            <v>105.48127444732292</v>
          </cell>
        </row>
        <row r="403">
          <cell r="AD403">
            <v>86.465948248806328</v>
          </cell>
          <cell r="AE403">
            <v>88.56371475606052</v>
          </cell>
          <cell r="AF403">
            <v>91.808037150309531</v>
          </cell>
          <cell r="AG403">
            <v>96.681991313065353</v>
          </cell>
          <cell r="AH403">
            <v>105.5194414545261</v>
          </cell>
        </row>
        <row r="404">
          <cell r="AD404">
            <v>86.501855167563733</v>
          </cell>
          <cell r="AE404">
            <v>88.600736411324391</v>
          </cell>
          <cell r="AF404">
            <v>91.845514121464518</v>
          </cell>
          <cell r="AG404">
            <v>96.716774382931746</v>
          </cell>
          <cell r="AH404">
            <v>105.55760846172927</v>
          </cell>
        </row>
        <row r="405">
          <cell r="AD405">
            <v>86.537762086321138</v>
          </cell>
          <cell r="AE405">
            <v>88.637758066588262</v>
          </cell>
          <cell r="AF405">
            <v>91.882991092619505</v>
          </cell>
          <cell r="AG405">
            <v>96.751557452798153</v>
          </cell>
          <cell r="AH405">
            <v>105.59577546893246</v>
          </cell>
        </row>
        <row r="406">
          <cell r="AD406">
            <v>86.573669005078543</v>
          </cell>
          <cell r="AE406">
            <v>88.674779721852133</v>
          </cell>
          <cell r="AF406">
            <v>91.920468063774507</v>
          </cell>
          <cell r="AG406">
            <v>96.78634052266456</v>
          </cell>
          <cell r="AH406">
            <v>105.63394247613563</v>
          </cell>
        </row>
        <row r="407">
          <cell r="AD407">
            <v>86.609575923835948</v>
          </cell>
          <cell r="AE407">
            <v>88.711801377115989</v>
          </cell>
          <cell r="AF407">
            <v>91.957945034929494</v>
          </cell>
          <cell r="AG407">
            <v>96.821123592530967</v>
          </cell>
          <cell r="AH407">
            <v>105.6721094833388</v>
          </cell>
        </row>
        <row r="408">
          <cell r="AD408">
            <v>86.645482842593353</v>
          </cell>
          <cell r="AE408">
            <v>88.74882303237986</v>
          </cell>
          <cell r="AF408">
            <v>91.995422006084482</v>
          </cell>
          <cell r="AG408">
            <v>96.855906662397359</v>
          </cell>
          <cell r="AH408">
            <v>105.71027649054199</v>
          </cell>
        </row>
        <row r="409">
          <cell r="AD409">
            <v>86.681389761350758</v>
          </cell>
          <cell r="AE409">
            <v>88.785844687643731</v>
          </cell>
          <cell r="AF409">
            <v>92.030736732663385</v>
          </cell>
          <cell r="AG409">
            <v>96.890689732263766</v>
          </cell>
          <cell r="AH409">
            <v>105.74844349774516</v>
          </cell>
        </row>
        <row r="410">
          <cell r="AD410">
            <v>86.717296680108163</v>
          </cell>
          <cell r="AE410">
            <v>88.822866342907602</v>
          </cell>
          <cell r="AF410">
            <v>92.06575057625615</v>
          </cell>
          <cell r="AG410">
            <v>96.925472802130173</v>
          </cell>
          <cell r="AH410">
            <v>105.78661050494834</v>
          </cell>
        </row>
        <row r="411">
          <cell r="AD411">
            <v>86.753203598865568</v>
          </cell>
          <cell r="AE411">
            <v>88.859887998171473</v>
          </cell>
          <cell r="AF411">
            <v>92.1007644198489</v>
          </cell>
          <cell r="AG411">
            <v>96.96025587199658</v>
          </cell>
          <cell r="AH411">
            <v>105.82477751215151</v>
          </cell>
        </row>
        <row r="412">
          <cell r="AD412">
            <v>86.789110517622973</v>
          </cell>
          <cell r="AE412">
            <v>88.89690965343533</v>
          </cell>
          <cell r="AF412">
            <v>92.135778263441665</v>
          </cell>
          <cell r="AG412">
            <v>96.995038941862973</v>
          </cell>
          <cell r="AH412">
            <v>105.86294451935468</v>
          </cell>
        </row>
        <row r="413">
          <cell r="AD413">
            <v>86.825017436380378</v>
          </cell>
          <cell r="AE413">
            <v>88.933931308699201</v>
          </cell>
          <cell r="AF413">
            <v>92.170792107034416</v>
          </cell>
          <cell r="AG413">
            <v>97.026732490712917</v>
          </cell>
          <cell r="AH413">
            <v>105.90111152655787</v>
          </cell>
        </row>
        <row r="414">
          <cell r="AD414">
            <v>86.860924355137783</v>
          </cell>
          <cell r="AE414">
            <v>88.970952963963072</v>
          </cell>
          <cell r="AF414">
            <v>92.20580595062718</v>
          </cell>
          <cell r="AG414">
            <v>97.057912080494049</v>
          </cell>
          <cell r="AH414">
            <v>105.93927853376104</v>
          </cell>
        </row>
        <row r="415">
          <cell r="AD415">
            <v>86.896831273895188</v>
          </cell>
          <cell r="AE415">
            <v>89.008175723200509</v>
          </cell>
          <cell r="AF415">
            <v>92.240819794219931</v>
          </cell>
          <cell r="AG415">
            <v>97.089091670275181</v>
          </cell>
          <cell r="AH415">
            <v>105.97744554096421</v>
          </cell>
        </row>
        <row r="416">
          <cell r="AD416">
            <v>86.932738192652593</v>
          </cell>
          <cell r="AE416">
            <v>89.046130990687118</v>
          </cell>
          <cell r="AF416">
            <v>92.275833637812681</v>
          </cell>
          <cell r="AG416">
            <v>97.120271260056313</v>
          </cell>
          <cell r="AH416">
            <v>106.0149812675207</v>
          </cell>
        </row>
        <row r="417">
          <cell r="AD417">
            <v>86.968645111409998</v>
          </cell>
          <cell r="AE417">
            <v>89.084086258173727</v>
          </cell>
          <cell r="AF417">
            <v>92.310847481405446</v>
          </cell>
          <cell r="AG417">
            <v>97.151450849837445</v>
          </cell>
          <cell r="AH417">
            <v>106.05160502292851</v>
          </cell>
        </row>
        <row r="418">
          <cell r="AD418">
            <v>87.004247194324662</v>
          </cell>
          <cell r="AE418">
            <v>89.122041525660336</v>
          </cell>
          <cell r="AF418">
            <v>92.345861324998197</v>
          </cell>
          <cell r="AG418">
            <v>97.182630439618578</v>
          </cell>
          <cell r="AH418">
            <v>106.08822877833633</v>
          </cell>
        </row>
        <row r="419">
          <cell r="AD419">
            <v>87.037749534149754</v>
          </cell>
          <cell r="AE419">
            <v>89.159996793146931</v>
          </cell>
          <cell r="AF419">
            <v>92.380875168590961</v>
          </cell>
          <cell r="AG419">
            <v>97.21381002939971</v>
          </cell>
          <cell r="AH419">
            <v>106.12485253374413</v>
          </cell>
        </row>
        <row r="420">
          <cell r="AD420">
            <v>87.071251873974845</v>
          </cell>
          <cell r="AE420">
            <v>89.19795206063354</v>
          </cell>
          <cell r="AF420">
            <v>92.415889012183712</v>
          </cell>
          <cell r="AG420">
            <v>97.244989619180842</v>
          </cell>
          <cell r="AH420">
            <v>106.16147628915195</v>
          </cell>
        </row>
        <row r="421">
          <cell r="AD421">
            <v>87.104754213799936</v>
          </cell>
          <cell r="AE421">
            <v>89.235907328120149</v>
          </cell>
          <cell r="AF421">
            <v>92.450902855776476</v>
          </cell>
          <cell r="AG421">
            <v>97.276169208961974</v>
          </cell>
          <cell r="AH421">
            <v>106.19810004455975</v>
          </cell>
        </row>
        <row r="422">
          <cell r="AD422">
            <v>87.138256553625027</v>
          </cell>
          <cell r="AE422">
            <v>89.273862595606758</v>
          </cell>
          <cell r="AF422">
            <v>92.485916699369227</v>
          </cell>
          <cell r="AG422">
            <v>97.307348798743106</v>
          </cell>
          <cell r="AH422">
            <v>106.23472379996757</v>
          </cell>
        </row>
        <row r="423">
          <cell r="AD423">
            <v>87.171758893450118</v>
          </cell>
          <cell r="AE423">
            <v>89.311817863093353</v>
          </cell>
          <cell r="AF423">
            <v>92.520930542961992</v>
          </cell>
          <cell r="AG423">
            <v>97.338528388524239</v>
          </cell>
          <cell r="AH423">
            <v>106.27134755537539</v>
          </cell>
        </row>
        <row r="424">
          <cell r="AD424">
            <v>87.205261233275209</v>
          </cell>
          <cell r="AE424">
            <v>89.349773130579962</v>
          </cell>
          <cell r="AF424">
            <v>92.555944386554742</v>
          </cell>
          <cell r="AG424">
            <v>97.369707978305371</v>
          </cell>
          <cell r="AH424">
            <v>106.30797131078319</v>
          </cell>
        </row>
        <row r="425">
          <cell r="AD425">
            <v>87.238763573100286</v>
          </cell>
          <cell r="AE425">
            <v>89.387728398066571</v>
          </cell>
          <cell r="AF425">
            <v>92.590958230147493</v>
          </cell>
          <cell r="AG425">
            <v>97.400887568086503</v>
          </cell>
          <cell r="AH425">
            <v>106.344595066191</v>
          </cell>
        </row>
        <row r="426">
          <cell r="AD426">
            <v>87.272265912925377</v>
          </cell>
          <cell r="AE426">
            <v>89.42568366555318</v>
          </cell>
          <cell r="AF426">
            <v>92.625972073740257</v>
          </cell>
          <cell r="AG426">
            <v>97.432067157867621</v>
          </cell>
          <cell r="AH426">
            <v>106.38121882159881</v>
          </cell>
        </row>
        <row r="427">
          <cell r="AD427">
            <v>87.305768252750468</v>
          </cell>
          <cell r="AE427">
            <v>89.463638933039775</v>
          </cell>
          <cell r="AF427">
            <v>92.660985917333008</v>
          </cell>
          <cell r="AG427">
            <v>97.463246747648753</v>
          </cell>
          <cell r="AH427">
            <v>106.41784257700662</v>
          </cell>
        </row>
        <row r="428">
          <cell r="AD428">
            <v>87.339270592575559</v>
          </cell>
          <cell r="AE428">
            <v>89.501594200526384</v>
          </cell>
          <cell r="AF428">
            <v>92.695999760925773</v>
          </cell>
          <cell r="AG428">
            <v>97.494426337429886</v>
          </cell>
          <cell r="AH428">
            <v>106.45446633241443</v>
          </cell>
        </row>
        <row r="429">
          <cell r="AD429">
            <v>87.37277293240065</v>
          </cell>
          <cell r="AE429">
            <v>89.539549468012993</v>
          </cell>
          <cell r="AF429">
            <v>92.731013604518523</v>
          </cell>
          <cell r="AG429">
            <v>97.525605927211018</v>
          </cell>
          <cell r="AH429">
            <v>106.49109008782224</v>
          </cell>
        </row>
        <row r="430">
          <cell r="AD430">
            <v>87.406275272225741</v>
          </cell>
          <cell r="AE430">
            <v>89.577504735499602</v>
          </cell>
          <cell r="AF430">
            <v>92.766027448111288</v>
          </cell>
          <cell r="AG430">
            <v>97.55678551699215</v>
          </cell>
          <cell r="AH430">
            <v>106.52771384323006</v>
          </cell>
        </row>
        <row r="431">
          <cell r="AD431">
            <v>87.439777612050833</v>
          </cell>
          <cell r="AE431">
            <v>89.615460002986197</v>
          </cell>
          <cell r="AF431">
            <v>92.801041291704038</v>
          </cell>
          <cell r="AG431">
            <v>97.587965106773282</v>
          </cell>
          <cell r="AH431">
            <v>106.56433759863786</v>
          </cell>
        </row>
        <row r="432">
          <cell r="AD432">
            <v>87.473279951875924</v>
          </cell>
          <cell r="AE432">
            <v>89.653415270472806</v>
          </cell>
          <cell r="AF432">
            <v>92.836055135296803</v>
          </cell>
          <cell r="AG432">
            <v>97.619144696554415</v>
          </cell>
          <cell r="AH432">
            <v>106.60096135404568</v>
          </cell>
        </row>
        <row r="433">
          <cell r="AD433">
            <v>87.506782291701015</v>
          </cell>
          <cell r="AE433">
            <v>89.691370537959415</v>
          </cell>
          <cell r="AF433">
            <v>92.871068978889554</v>
          </cell>
          <cell r="AG433">
            <v>97.650324286335547</v>
          </cell>
          <cell r="AH433">
            <v>106.63758510945348</v>
          </cell>
        </row>
        <row r="434">
          <cell r="AD434">
            <v>87.540284631526106</v>
          </cell>
          <cell r="AE434">
            <v>89.729325805446024</v>
          </cell>
          <cell r="AF434">
            <v>92.906082822482304</v>
          </cell>
          <cell r="AG434">
            <v>97.681503876116679</v>
          </cell>
          <cell r="AH434">
            <v>106.6742088648613</v>
          </cell>
        </row>
        <row r="435">
          <cell r="AD435">
            <v>87.573786971351197</v>
          </cell>
          <cell r="AE435">
            <v>89.767281072932619</v>
          </cell>
          <cell r="AF435">
            <v>92.941096666075069</v>
          </cell>
          <cell r="AG435">
            <v>97.712683465897811</v>
          </cell>
          <cell r="AH435">
            <v>106.71083262026912</v>
          </cell>
        </row>
        <row r="436">
          <cell r="AD436">
            <v>87.607289311176288</v>
          </cell>
          <cell r="AE436">
            <v>89.805236340419228</v>
          </cell>
          <cell r="AF436">
            <v>92.976110509667819</v>
          </cell>
          <cell r="AG436">
            <v>97.743863055678943</v>
          </cell>
          <cell r="AH436">
            <v>106.74745637567692</v>
          </cell>
        </row>
        <row r="437">
          <cell r="AD437">
            <v>87.640791651001379</v>
          </cell>
          <cell r="AE437">
            <v>89.843191607905837</v>
          </cell>
          <cell r="AF437">
            <v>93.010370350941912</v>
          </cell>
          <cell r="AG437">
            <v>97.775042645460076</v>
          </cell>
          <cell r="AH437">
            <v>106.78408013108474</v>
          </cell>
        </row>
        <row r="438">
          <cell r="AD438">
            <v>87.674293990826456</v>
          </cell>
          <cell r="AE438">
            <v>89.881146875392446</v>
          </cell>
          <cell r="AF438">
            <v>93.043010976187844</v>
          </cell>
          <cell r="AG438">
            <v>97.806222235241208</v>
          </cell>
          <cell r="AH438">
            <v>106.82070388649254</v>
          </cell>
        </row>
        <row r="439">
          <cell r="AD439">
            <v>87.707796330651547</v>
          </cell>
          <cell r="AE439">
            <v>89.919102142879041</v>
          </cell>
          <cell r="AF439">
            <v>93.07565160143379</v>
          </cell>
          <cell r="AG439">
            <v>97.83740182502234</v>
          </cell>
          <cell r="AH439">
            <v>106.85732764190035</v>
          </cell>
        </row>
        <row r="440">
          <cell r="AD440">
            <v>87.741298670476638</v>
          </cell>
          <cell r="AE440">
            <v>89.95705741036565</v>
          </cell>
          <cell r="AF440">
            <v>93.108292226679723</v>
          </cell>
          <cell r="AG440">
            <v>97.868581414803472</v>
          </cell>
          <cell r="AH440">
            <v>106.89395139730816</v>
          </cell>
        </row>
        <row r="441">
          <cell r="AD441">
            <v>87.774801010301729</v>
          </cell>
          <cell r="AE441">
            <v>89.995012677852259</v>
          </cell>
          <cell r="AF441">
            <v>93.140932851925655</v>
          </cell>
          <cell r="AG441">
            <v>97.899761004584605</v>
          </cell>
          <cell r="AH441">
            <v>106.93057515271597</v>
          </cell>
        </row>
        <row r="442">
          <cell r="AD442">
            <v>87.80830335012682</v>
          </cell>
          <cell r="AE442">
            <v>90.02776086803631</v>
          </cell>
          <cell r="AF442">
            <v>93.173573477171601</v>
          </cell>
          <cell r="AG442">
            <v>97.930940594365737</v>
          </cell>
          <cell r="AH442">
            <v>106.96719890812379</v>
          </cell>
        </row>
        <row r="443">
          <cell r="AD443">
            <v>87.841805689951912</v>
          </cell>
          <cell r="AE443">
            <v>90.059721342404629</v>
          </cell>
          <cell r="AF443">
            <v>93.206214102417533</v>
          </cell>
          <cell r="AG443">
            <v>97.962120184146869</v>
          </cell>
          <cell r="AH443">
            <v>107.00341963994663</v>
          </cell>
        </row>
        <row r="444">
          <cell r="AD444">
            <v>87.875308029777003</v>
          </cell>
          <cell r="AE444">
            <v>90.091681816772933</v>
          </cell>
          <cell r="AF444">
            <v>93.238854727663465</v>
          </cell>
          <cell r="AG444">
            <v>97.993299773928001</v>
          </cell>
          <cell r="AH444">
            <v>107.03618215120423</v>
          </cell>
        </row>
        <row r="445">
          <cell r="AD445">
            <v>87.908810369602094</v>
          </cell>
          <cell r="AE445">
            <v>90.123642291141252</v>
          </cell>
          <cell r="AF445">
            <v>93.271495352909412</v>
          </cell>
          <cell r="AG445">
            <v>98.022966739076409</v>
          </cell>
          <cell r="AH445">
            <v>107.06894466246183</v>
          </cell>
        </row>
        <row r="446">
          <cell r="AD446">
            <v>87.942312709427185</v>
          </cell>
          <cell r="AE446">
            <v>90.155602765509556</v>
          </cell>
          <cell r="AF446">
            <v>93.304135978155344</v>
          </cell>
          <cell r="AG446">
            <v>98.052219685007586</v>
          </cell>
          <cell r="AH446">
            <v>107.10170717371945</v>
          </cell>
        </row>
        <row r="447">
          <cell r="AD447">
            <v>87.975815049252276</v>
          </cell>
          <cell r="AE447">
            <v>90.187563239877875</v>
          </cell>
          <cell r="AF447">
            <v>93.336776603401276</v>
          </cell>
          <cell r="AG447">
            <v>98.081472630938748</v>
          </cell>
          <cell r="AH447">
            <v>107.13446968497705</v>
          </cell>
        </row>
        <row r="448">
          <cell r="AD448">
            <v>88.008693431404168</v>
          </cell>
          <cell r="AE448">
            <v>90.219523714246179</v>
          </cell>
          <cell r="AF448">
            <v>93.369417228647222</v>
          </cell>
          <cell r="AG448">
            <v>98.110725576869925</v>
          </cell>
          <cell r="AH448">
            <v>107.16723219623466</v>
          </cell>
        </row>
        <row r="449">
          <cell r="AD449">
            <v>88.039952219754653</v>
          </cell>
          <cell r="AE449">
            <v>90.251484188614498</v>
          </cell>
          <cell r="AF449">
            <v>93.402057853893155</v>
          </cell>
          <cell r="AG449">
            <v>98.139978522801101</v>
          </cell>
          <cell r="AH449">
            <v>107.19999470749227</v>
          </cell>
        </row>
        <row r="450">
          <cell r="AD450">
            <v>88.071211008105138</v>
          </cell>
          <cell r="AE450">
            <v>90.283444662982802</v>
          </cell>
          <cell r="AF450">
            <v>93.434698479139087</v>
          </cell>
          <cell r="AG450">
            <v>98.169231468732264</v>
          </cell>
          <cell r="AH450">
            <v>107.23275721874987</v>
          </cell>
        </row>
        <row r="451">
          <cell r="AD451">
            <v>88.102469796455622</v>
          </cell>
          <cell r="AE451">
            <v>90.315405137351107</v>
          </cell>
          <cell r="AF451">
            <v>93.467339104385033</v>
          </cell>
          <cell r="AG451">
            <v>98.19848441466344</v>
          </cell>
          <cell r="AH451">
            <v>107.26551973000748</v>
          </cell>
        </row>
        <row r="452">
          <cell r="AD452">
            <v>88.133728584806107</v>
          </cell>
          <cell r="AE452">
            <v>90.347365611719425</v>
          </cell>
          <cell r="AF452">
            <v>93.499979729630965</v>
          </cell>
          <cell r="AG452">
            <v>98.227737360594617</v>
          </cell>
          <cell r="AH452">
            <v>107.29828224126508</v>
          </cell>
        </row>
        <row r="453">
          <cell r="AD453">
            <v>88.164987373156592</v>
          </cell>
          <cell r="AE453">
            <v>90.37932608608773</v>
          </cell>
          <cell r="AF453">
            <v>93.532620354876897</v>
          </cell>
          <cell r="AG453">
            <v>98.256990306525779</v>
          </cell>
          <cell r="AH453">
            <v>107.33104475252269</v>
          </cell>
        </row>
        <row r="454">
          <cell r="AD454">
            <v>88.196246161507091</v>
          </cell>
          <cell r="AE454">
            <v>90.411286560456048</v>
          </cell>
          <cell r="AF454">
            <v>93.565260980122844</v>
          </cell>
          <cell r="AG454">
            <v>98.286243252456956</v>
          </cell>
          <cell r="AH454">
            <v>107.3638072637803</v>
          </cell>
        </row>
        <row r="455">
          <cell r="AD455">
            <v>88.227504949857575</v>
          </cell>
          <cell r="AE455">
            <v>90.443247034824353</v>
          </cell>
          <cell r="AF455">
            <v>93.597901605368776</v>
          </cell>
          <cell r="AG455">
            <v>98.315496198388132</v>
          </cell>
          <cell r="AH455">
            <v>107.3965697750379</v>
          </cell>
        </row>
        <row r="456">
          <cell r="AD456">
            <v>88.25876373820806</v>
          </cell>
          <cell r="AE456">
            <v>90.475207509192671</v>
          </cell>
          <cell r="AF456">
            <v>93.630542230614708</v>
          </cell>
          <cell r="AG456">
            <v>98.344749144319294</v>
          </cell>
          <cell r="AH456">
            <v>107.42933228629551</v>
          </cell>
        </row>
        <row r="457">
          <cell r="AD457">
            <v>88.290022526558545</v>
          </cell>
          <cell r="AE457">
            <v>90.507167983560976</v>
          </cell>
          <cell r="AF457">
            <v>93.663182855860654</v>
          </cell>
          <cell r="AG457">
            <v>98.374002090250471</v>
          </cell>
          <cell r="AH457">
            <v>107.46209479755312</v>
          </cell>
        </row>
        <row r="458">
          <cell r="AD458">
            <v>88.321281314909029</v>
          </cell>
          <cell r="AE458">
            <v>90.539128457929294</v>
          </cell>
          <cell r="AF458">
            <v>93.695823481106586</v>
          </cell>
          <cell r="AG458">
            <v>98.403255036181633</v>
          </cell>
          <cell r="AH458">
            <v>107.49485730881072</v>
          </cell>
        </row>
        <row r="459">
          <cell r="AD459">
            <v>88.352540103259514</v>
          </cell>
          <cell r="AE459">
            <v>90.571088932297599</v>
          </cell>
          <cell r="AF459">
            <v>93.728464106352519</v>
          </cell>
          <cell r="AG459">
            <v>98.43250798211281</v>
          </cell>
          <cell r="AH459">
            <v>107.52761982006834</v>
          </cell>
        </row>
        <row r="460">
          <cell r="AD460">
            <v>88.383798891610013</v>
          </cell>
          <cell r="AE460">
            <v>90.603049406665917</v>
          </cell>
          <cell r="AF460">
            <v>93.761104731598465</v>
          </cell>
          <cell r="AG460">
            <v>98.461760928043986</v>
          </cell>
          <cell r="AH460">
            <v>107.56038233132594</v>
          </cell>
        </row>
        <row r="461">
          <cell r="AD461">
            <v>88.415057679960498</v>
          </cell>
          <cell r="AE461">
            <v>90.635009881034222</v>
          </cell>
          <cell r="AF461">
            <v>93.793745356844397</v>
          </cell>
          <cell r="AG461">
            <v>98.491013873975149</v>
          </cell>
          <cell r="AH461">
            <v>107.59314484258354</v>
          </cell>
        </row>
        <row r="462">
          <cell r="AD462">
            <v>88.446316468310982</v>
          </cell>
          <cell r="AE462">
            <v>90.66697035540254</v>
          </cell>
          <cell r="AF462">
            <v>93.826385982090329</v>
          </cell>
          <cell r="AG462">
            <v>98.520266819906325</v>
          </cell>
          <cell r="AH462">
            <v>107.62590735384116</v>
          </cell>
        </row>
        <row r="463">
          <cell r="AD463">
            <v>88.477575256661467</v>
          </cell>
          <cell r="AE463">
            <v>90.698930829770845</v>
          </cell>
          <cell r="AF463">
            <v>93.859026607336276</v>
          </cell>
          <cell r="AG463">
            <v>98.549519765837502</v>
          </cell>
          <cell r="AH463">
            <v>107.65866986509876</v>
          </cell>
        </row>
        <row r="464">
          <cell r="AD464">
            <v>88.508834045011952</v>
          </cell>
          <cell r="AE464">
            <v>90.730891304139163</v>
          </cell>
          <cell r="AF464">
            <v>93.891667232582208</v>
          </cell>
          <cell r="AG464">
            <v>98.578772711768664</v>
          </cell>
          <cell r="AH464">
            <v>107.69143237635636</v>
          </cell>
        </row>
        <row r="465">
          <cell r="AD465">
            <v>88.540092833362436</v>
          </cell>
          <cell r="AE465">
            <v>90.762851778507468</v>
          </cell>
          <cell r="AF465">
            <v>93.92430785782814</v>
          </cell>
          <cell r="AG465">
            <v>98.608025657699841</v>
          </cell>
          <cell r="AH465">
            <v>107.72419488761398</v>
          </cell>
        </row>
        <row r="466">
          <cell r="AD466">
            <v>88.571351621712921</v>
          </cell>
          <cell r="AE466">
            <v>90.794812252875786</v>
          </cell>
          <cell r="AF466">
            <v>93.956948483074086</v>
          </cell>
          <cell r="AG466">
            <v>98.637278603631017</v>
          </cell>
          <cell r="AH466">
            <v>107.75695739887158</v>
          </cell>
        </row>
        <row r="467">
          <cell r="AD467">
            <v>88.60261041006342</v>
          </cell>
          <cell r="AE467">
            <v>90.826772727244091</v>
          </cell>
          <cell r="AF467">
            <v>93.989589108320018</v>
          </cell>
          <cell r="AG467">
            <v>98.66653154956218</v>
          </cell>
          <cell r="AH467">
            <v>107.78971991012918</v>
          </cell>
        </row>
        <row r="468">
          <cell r="AD468">
            <v>88.633869198413905</v>
          </cell>
          <cell r="AE468">
            <v>90.858733201612409</v>
          </cell>
          <cell r="AF468">
            <v>94.021329963693105</v>
          </cell>
          <cell r="AG468">
            <v>98.695784495493356</v>
          </cell>
          <cell r="AH468">
            <v>107.82248242138679</v>
          </cell>
        </row>
        <row r="469">
          <cell r="AD469">
            <v>88.665127986764389</v>
          </cell>
          <cell r="AE469">
            <v>90.890693675980714</v>
          </cell>
          <cell r="AF469">
            <v>94.052649428199956</v>
          </cell>
          <cell r="AG469">
            <v>98.725037441424519</v>
          </cell>
          <cell r="AH469">
            <v>107.8552449326444</v>
          </cell>
        </row>
        <row r="470">
          <cell r="AD470">
            <v>88.696386775114874</v>
          </cell>
          <cell r="AE470">
            <v>90.922654150349018</v>
          </cell>
          <cell r="AF470">
            <v>94.083968892706821</v>
          </cell>
          <cell r="AG470">
            <v>98.754290387355695</v>
          </cell>
          <cell r="AH470">
            <v>107.888007443902</v>
          </cell>
        </row>
        <row r="471">
          <cell r="AD471">
            <v>88.727645563465359</v>
          </cell>
          <cell r="AE471">
            <v>90.954614624717337</v>
          </cell>
          <cell r="AF471">
            <v>94.115288357213672</v>
          </cell>
          <cell r="AG471">
            <v>98.783543333286872</v>
          </cell>
          <cell r="AH471">
            <v>107.92076995515961</v>
          </cell>
        </row>
        <row r="472">
          <cell r="AD472">
            <v>88.758904351815843</v>
          </cell>
          <cell r="AE472">
            <v>90.986575099085641</v>
          </cell>
          <cell r="AF472">
            <v>94.146607821720536</v>
          </cell>
          <cell r="AG472">
            <v>98.812796279218034</v>
          </cell>
          <cell r="AH472">
            <v>107.95353246641722</v>
          </cell>
        </row>
        <row r="473">
          <cell r="AD473">
            <v>88.790163140166328</v>
          </cell>
          <cell r="AE473">
            <v>91.01764238436354</v>
          </cell>
          <cell r="AF473">
            <v>94.177927286227401</v>
          </cell>
          <cell r="AG473">
            <v>98.842049225149211</v>
          </cell>
          <cell r="AH473">
            <v>107.98629497767483</v>
          </cell>
        </row>
        <row r="474">
          <cell r="AD474">
            <v>88.821421928516827</v>
          </cell>
          <cell r="AE474">
            <v>91.048062752778236</v>
          </cell>
          <cell r="AF474">
            <v>94.209246750734252</v>
          </cell>
          <cell r="AG474">
            <v>98.871302171080387</v>
          </cell>
          <cell r="AH474">
            <v>108.01782312025433</v>
          </cell>
        </row>
        <row r="475">
          <cell r="AD475">
            <v>88.852680716867312</v>
          </cell>
          <cell r="AE475">
            <v>91.078483121192932</v>
          </cell>
          <cell r="AF475">
            <v>94.240566215241117</v>
          </cell>
          <cell r="AG475">
            <v>98.90055511701155</v>
          </cell>
          <cell r="AH475">
            <v>108.04846357766448</v>
          </cell>
        </row>
        <row r="476">
          <cell r="AD476">
            <v>88.883939505217796</v>
          </cell>
          <cell r="AE476">
            <v>91.108903489607627</v>
          </cell>
          <cell r="AF476">
            <v>94.271885679747967</v>
          </cell>
          <cell r="AG476">
            <v>98.929808062942726</v>
          </cell>
          <cell r="AH476">
            <v>108.07910403507461</v>
          </cell>
        </row>
        <row r="477">
          <cell r="AD477">
            <v>88.915198293568281</v>
          </cell>
          <cell r="AE477">
            <v>91.139323858022323</v>
          </cell>
          <cell r="AF477">
            <v>94.303205144254832</v>
          </cell>
          <cell r="AG477">
            <v>98.959061008873888</v>
          </cell>
          <cell r="AH477">
            <v>108.10974449248475</v>
          </cell>
        </row>
        <row r="478">
          <cell r="AD478">
            <v>88.946457081918766</v>
          </cell>
          <cell r="AE478">
            <v>91.169744226437018</v>
          </cell>
          <cell r="AF478">
            <v>94.334524608761697</v>
          </cell>
          <cell r="AG478">
            <v>98.988313954805065</v>
          </cell>
          <cell r="AH478">
            <v>108.14038494989489</v>
          </cell>
        </row>
        <row r="479">
          <cell r="AD479">
            <v>88.97771587026925</v>
          </cell>
          <cell r="AE479">
            <v>91.200164594851714</v>
          </cell>
          <cell r="AF479">
            <v>94.365844073268548</v>
          </cell>
          <cell r="AG479">
            <v>99.018293442409089</v>
          </cell>
          <cell r="AH479">
            <v>108.17102540730504</v>
          </cell>
        </row>
        <row r="480">
          <cell r="AD480">
            <v>89.008373652580005</v>
          </cell>
          <cell r="AE480">
            <v>91.230584963266409</v>
          </cell>
          <cell r="AF480">
            <v>94.397163537775413</v>
          </cell>
          <cell r="AG480">
            <v>99.048756247984358</v>
          </cell>
          <cell r="AH480">
            <v>108.20166586471517</v>
          </cell>
        </row>
        <row r="481">
          <cell r="AD481">
            <v>89.037539133386474</v>
          </cell>
          <cell r="AE481">
            <v>91.261005331681105</v>
          </cell>
          <cell r="AF481">
            <v>94.428483002282277</v>
          </cell>
          <cell r="AG481">
            <v>99.079219053559626</v>
          </cell>
          <cell r="AH481">
            <v>108.23230632212531</v>
          </cell>
        </row>
        <row r="482">
          <cell r="AD482">
            <v>89.066704614192943</v>
          </cell>
          <cell r="AE482">
            <v>91.2914257000958</v>
          </cell>
          <cell r="AF482">
            <v>94.459802466789128</v>
          </cell>
          <cell r="AG482">
            <v>99.109681859134909</v>
          </cell>
          <cell r="AH482">
            <v>108.26294677953545</v>
          </cell>
        </row>
        <row r="483">
          <cell r="AD483">
            <v>89.095870094999412</v>
          </cell>
          <cell r="AE483">
            <v>91.321846068510496</v>
          </cell>
          <cell r="AF483">
            <v>94.491121931295993</v>
          </cell>
          <cell r="AG483">
            <v>99.140144664710178</v>
          </cell>
          <cell r="AH483">
            <v>108.29358723694558</v>
          </cell>
        </row>
        <row r="484">
          <cell r="AD484">
            <v>89.125035575805882</v>
          </cell>
          <cell r="AE484">
            <v>91.352266436925191</v>
          </cell>
          <cell r="AF484">
            <v>94.522441395802844</v>
          </cell>
          <cell r="AG484">
            <v>99.170607470285447</v>
          </cell>
          <cell r="AH484">
            <v>108.32422769435573</v>
          </cell>
        </row>
        <row r="485">
          <cell r="AD485">
            <v>89.154201056612351</v>
          </cell>
          <cell r="AE485">
            <v>91.382686805339887</v>
          </cell>
          <cell r="AF485">
            <v>94.553760860309708</v>
          </cell>
          <cell r="AG485">
            <v>99.201070275860715</v>
          </cell>
          <cell r="AH485">
            <v>108.35486815176587</v>
          </cell>
        </row>
        <row r="486">
          <cell r="AD486">
            <v>89.18336653741882</v>
          </cell>
          <cell r="AE486">
            <v>91.413107173754582</v>
          </cell>
          <cell r="AF486">
            <v>94.585080324816573</v>
          </cell>
          <cell r="AG486">
            <v>99.231533081435984</v>
          </cell>
          <cell r="AH486">
            <v>108.38550860917601</v>
          </cell>
        </row>
        <row r="487">
          <cell r="AD487">
            <v>89.212532018225289</v>
          </cell>
          <cell r="AE487">
            <v>91.443527542169278</v>
          </cell>
          <cell r="AF487">
            <v>94.616399789323424</v>
          </cell>
          <cell r="AG487">
            <v>99.261995887011253</v>
          </cell>
          <cell r="AH487">
            <v>108.41614906658614</v>
          </cell>
        </row>
        <row r="488">
          <cell r="AD488">
            <v>89.241697499031758</v>
          </cell>
          <cell r="AE488">
            <v>91.473947910583973</v>
          </cell>
          <cell r="AF488">
            <v>94.647719253830289</v>
          </cell>
          <cell r="AG488">
            <v>99.292458692586521</v>
          </cell>
          <cell r="AH488">
            <v>108.44678952399629</v>
          </cell>
        </row>
        <row r="489">
          <cell r="AD489">
            <v>89.270862979838242</v>
          </cell>
          <cell r="AE489">
            <v>91.504368278998669</v>
          </cell>
          <cell r="AF489">
            <v>94.679038718337139</v>
          </cell>
          <cell r="AG489">
            <v>99.322921498161804</v>
          </cell>
          <cell r="AH489">
            <v>108.47742998140643</v>
          </cell>
        </row>
        <row r="490">
          <cell r="AD490">
            <v>89.300028460644711</v>
          </cell>
          <cell r="AE490">
            <v>91.534788647413365</v>
          </cell>
          <cell r="AF490">
            <v>94.710358182844004</v>
          </cell>
          <cell r="AG490">
            <v>99.353384303737073</v>
          </cell>
          <cell r="AH490">
            <v>108.50807043881656</v>
          </cell>
        </row>
        <row r="491">
          <cell r="AD491">
            <v>89.32919394145118</v>
          </cell>
          <cell r="AE491">
            <v>91.56520901582806</v>
          </cell>
          <cell r="AF491">
            <v>94.741677647350869</v>
          </cell>
          <cell r="AG491">
            <v>99.383847109312342</v>
          </cell>
          <cell r="AH491">
            <v>108.5387108962267</v>
          </cell>
        </row>
        <row r="492">
          <cell r="AD492">
            <v>89.358359422257649</v>
          </cell>
          <cell r="AE492">
            <v>91.595629384242756</v>
          </cell>
          <cell r="AF492">
            <v>94.77299711185772</v>
          </cell>
          <cell r="AG492">
            <v>99.41430991488761</v>
          </cell>
          <cell r="AH492">
            <v>108.56935135363685</v>
          </cell>
        </row>
        <row r="493">
          <cell r="AD493">
            <v>89.387524903064119</v>
          </cell>
          <cell r="AE493">
            <v>91.626049752657437</v>
          </cell>
          <cell r="AF493">
            <v>94.804316576364585</v>
          </cell>
          <cell r="AG493">
            <v>99.444772720462879</v>
          </cell>
          <cell r="AH493">
            <v>108.59999181104698</v>
          </cell>
        </row>
        <row r="494">
          <cell r="AD494">
            <v>89.416690383870588</v>
          </cell>
          <cell r="AE494">
            <v>91.656470121072132</v>
          </cell>
          <cell r="AF494">
            <v>94.835636040871435</v>
          </cell>
          <cell r="AG494">
            <v>99.475235526038148</v>
          </cell>
          <cell r="AH494">
            <v>108.63063226845712</v>
          </cell>
        </row>
        <row r="495">
          <cell r="AD495">
            <v>89.445855864677057</v>
          </cell>
          <cell r="AE495">
            <v>91.686890489486828</v>
          </cell>
          <cell r="AF495">
            <v>94.8669555053783</v>
          </cell>
          <cell r="AG495">
            <v>99.505698331613431</v>
          </cell>
          <cell r="AH495">
            <v>108.66127272586726</v>
          </cell>
        </row>
        <row r="496">
          <cell r="AD496">
            <v>89.475021345483526</v>
          </cell>
          <cell r="AE496">
            <v>91.717310857901523</v>
          </cell>
          <cell r="AF496">
            <v>94.898274969885165</v>
          </cell>
          <cell r="AG496">
            <v>99.536161137188699</v>
          </cell>
          <cell r="AH496">
            <v>108.69191318327741</v>
          </cell>
        </row>
        <row r="497">
          <cell r="AD497">
            <v>89.504186826289995</v>
          </cell>
          <cell r="AE497">
            <v>91.747731226316219</v>
          </cell>
          <cell r="AF497">
            <v>94.929594434392016</v>
          </cell>
          <cell r="AG497">
            <v>99.566623942763968</v>
          </cell>
          <cell r="AH497">
            <v>108.72255364068754</v>
          </cell>
        </row>
        <row r="498">
          <cell r="AD498">
            <v>89.533352307096465</v>
          </cell>
          <cell r="AE498">
            <v>91.778151594730915</v>
          </cell>
          <cell r="AF498">
            <v>94.96091389889888</v>
          </cell>
          <cell r="AG498">
            <v>99.597086748339237</v>
          </cell>
          <cell r="AH498">
            <v>108.75319409809768</v>
          </cell>
        </row>
        <row r="499">
          <cell r="AD499">
            <v>89.562517787902948</v>
          </cell>
          <cell r="AE499">
            <v>91.80857196314561</v>
          </cell>
          <cell r="AF499">
            <v>94.992233363405731</v>
          </cell>
          <cell r="AG499">
            <v>99.627549553914506</v>
          </cell>
          <cell r="AH499">
            <v>108.78383455550782</v>
          </cell>
        </row>
        <row r="500">
          <cell r="AD500">
            <v>89.591683268709417</v>
          </cell>
          <cell r="AE500">
            <v>91.838992331560306</v>
          </cell>
          <cell r="AF500">
            <v>95.022502694606416</v>
          </cell>
          <cell r="AG500">
            <v>99.658012359489774</v>
          </cell>
          <cell r="AH500">
            <v>108.81447501291795</v>
          </cell>
        </row>
        <row r="501">
          <cell r="AD501">
            <v>89.620848749515886</v>
          </cell>
          <cell r="AE501">
            <v>91.869412699975001</v>
          </cell>
          <cell r="AF501">
            <v>95.052425740265733</v>
          </cell>
          <cell r="AG501">
            <v>99.688475165065043</v>
          </cell>
          <cell r="AH501">
            <v>108.8451154703281</v>
          </cell>
        </row>
        <row r="502">
          <cell r="AD502">
            <v>89.650014230322356</v>
          </cell>
          <cell r="AE502">
            <v>91.899833068389697</v>
          </cell>
          <cell r="AF502">
            <v>95.082348785925035</v>
          </cell>
          <cell r="AG502">
            <v>99.718937970640326</v>
          </cell>
          <cell r="AH502">
            <v>108.87575592773824</v>
          </cell>
        </row>
        <row r="503">
          <cell r="AD503">
            <v>89.679179711128825</v>
          </cell>
          <cell r="AE503">
            <v>91.930253436804392</v>
          </cell>
          <cell r="AF503">
            <v>95.112271831584337</v>
          </cell>
          <cell r="AG503">
            <v>99.749400776215595</v>
          </cell>
          <cell r="AH503">
            <v>108.90639638514837</v>
          </cell>
        </row>
        <row r="504">
          <cell r="AD504">
            <v>89.708345191935294</v>
          </cell>
          <cell r="AE504">
            <v>91.960673805219088</v>
          </cell>
          <cell r="AF504">
            <v>95.142194877243654</v>
          </cell>
          <cell r="AG504">
            <v>99.779863581790863</v>
          </cell>
          <cell r="AH504">
            <v>108.93703684255851</v>
          </cell>
        </row>
        <row r="505">
          <cell r="AD505">
            <v>89.737510672741763</v>
          </cell>
          <cell r="AE505">
            <v>91.991094173633783</v>
          </cell>
          <cell r="AF505">
            <v>95.172117922902956</v>
          </cell>
          <cell r="AG505">
            <v>99.810326387366132</v>
          </cell>
          <cell r="AH505">
            <v>108.96767729996866</v>
          </cell>
        </row>
        <row r="506">
          <cell r="AD506">
            <v>89.766676153548232</v>
          </cell>
          <cell r="AE506">
            <v>92.019721765666318</v>
          </cell>
          <cell r="AF506">
            <v>95.202040968562258</v>
          </cell>
          <cell r="AG506">
            <v>99.840789192941401</v>
          </cell>
          <cell r="AH506">
            <v>108.9983177573788</v>
          </cell>
        </row>
        <row r="507">
          <cell r="AD507">
            <v>89.795841634354701</v>
          </cell>
          <cell r="AE507">
            <v>92.047607247774451</v>
          </cell>
          <cell r="AF507">
            <v>95.231964014221575</v>
          </cell>
          <cell r="AG507">
            <v>99.871251998516669</v>
          </cell>
          <cell r="AH507">
            <v>109.02475898254148</v>
          </cell>
        </row>
        <row r="508">
          <cell r="AD508">
            <v>89.825007115161171</v>
          </cell>
          <cell r="AE508">
            <v>92.075492729882583</v>
          </cell>
          <cell r="AF508">
            <v>95.261887059880877</v>
          </cell>
          <cell r="AG508">
            <v>99.901714804091952</v>
          </cell>
          <cell r="AH508">
            <v>109.05095626561331</v>
          </cell>
        </row>
        <row r="509">
          <cell r="AD509">
            <v>89.854172595967654</v>
          </cell>
          <cell r="AE509">
            <v>92.103378211990716</v>
          </cell>
          <cell r="AF509">
            <v>95.291810105540179</v>
          </cell>
          <cell r="AG509">
            <v>99.932177609667221</v>
          </cell>
          <cell r="AH509">
            <v>109.07715354868515</v>
          </cell>
        </row>
        <row r="510">
          <cell r="AD510">
            <v>89.883338076774123</v>
          </cell>
          <cell r="AE510">
            <v>92.131263694098863</v>
          </cell>
          <cell r="AF510">
            <v>95.321733151199481</v>
          </cell>
          <cell r="AG510">
            <v>99.96264041524249</v>
          </cell>
          <cell r="AH510">
            <v>109.10335083175698</v>
          </cell>
        </row>
        <row r="511">
          <cell r="AD511">
            <v>89.912503557580592</v>
          </cell>
          <cell r="AE511">
            <v>92.159149176206995</v>
          </cell>
          <cell r="AF511">
            <v>95.351656196858798</v>
          </cell>
          <cell r="AG511">
            <v>99.993103220817758</v>
          </cell>
          <cell r="AH511">
            <v>109.12954811482881</v>
          </cell>
        </row>
        <row r="512">
          <cell r="AD512">
            <v>89.941669038387062</v>
          </cell>
          <cell r="AE512">
            <v>92.187034658315127</v>
          </cell>
          <cell r="AF512">
            <v>95.3815792425181</v>
          </cell>
          <cell r="AG512">
            <v>100.02336194033535</v>
          </cell>
          <cell r="AH512">
            <v>109.15574539790065</v>
          </cell>
        </row>
        <row r="513">
          <cell r="AD513">
            <v>89.970834519193531</v>
          </cell>
          <cell r="AE513">
            <v>92.21492014042326</v>
          </cell>
          <cell r="AF513">
            <v>95.411502288177402</v>
          </cell>
          <cell r="AG513">
            <v>100.05356093249581</v>
          </cell>
          <cell r="AH513">
            <v>109.18194268097248</v>
          </cell>
        </row>
        <row r="514">
          <cell r="AD514">
            <v>90</v>
          </cell>
          <cell r="AE514">
            <v>92.242805622531392</v>
          </cell>
          <cell r="AF514">
            <v>95.441425333836719</v>
          </cell>
          <cell r="AG514">
            <v>100.08375992465629</v>
          </cell>
          <cell r="AH514">
            <v>109.20813996404431</v>
          </cell>
        </row>
        <row r="515">
          <cell r="AD515">
            <v>90.027212355806469</v>
          </cell>
          <cell r="AE515">
            <v>92.270691104639539</v>
          </cell>
          <cell r="AF515">
            <v>95.471348379496021</v>
          </cell>
          <cell r="AG515">
            <v>100.11395891681677</v>
          </cell>
          <cell r="AH515">
            <v>109.23433724711614</v>
          </cell>
        </row>
        <row r="516">
          <cell r="AD516">
            <v>90.054424711612938</v>
          </cell>
          <cell r="AE516">
            <v>92.298576586747672</v>
          </cell>
          <cell r="AF516">
            <v>95.501271425155323</v>
          </cell>
          <cell r="AG516">
            <v>100.14415790897725</v>
          </cell>
          <cell r="AH516">
            <v>109.26053453018798</v>
          </cell>
        </row>
        <row r="517">
          <cell r="AD517">
            <v>90.081637067419408</v>
          </cell>
          <cell r="AE517">
            <v>92.326462068855804</v>
          </cell>
          <cell r="AF517">
            <v>95.53119447081464</v>
          </cell>
          <cell r="AG517">
            <v>100.17435690113771</v>
          </cell>
          <cell r="AH517">
            <v>109.28673181325981</v>
          </cell>
        </row>
        <row r="518">
          <cell r="AD518">
            <v>90.108849423225877</v>
          </cell>
          <cell r="AE518">
            <v>92.354347550963936</v>
          </cell>
          <cell r="AF518">
            <v>95.561117516473942</v>
          </cell>
          <cell r="AG518">
            <v>100.20455589329819</v>
          </cell>
          <cell r="AH518">
            <v>109.31292909633164</v>
          </cell>
        </row>
        <row r="519">
          <cell r="AD519">
            <v>90.13606177903236</v>
          </cell>
          <cell r="AE519">
            <v>92.382233033072069</v>
          </cell>
          <cell r="AF519">
            <v>95.591040562133244</v>
          </cell>
          <cell r="AG519">
            <v>100.23475488545867</v>
          </cell>
          <cell r="AH519">
            <v>109.33912637940348</v>
          </cell>
        </row>
        <row r="520">
          <cell r="AD520">
            <v>90.163274134838829</v>
          </cell>
          <cell r="AE520">
            <v>92.410118515180216</v>
          </cell>
          <cell r="AF520">
            <v>95.620963607792561</v>
          </cell>
          <cell r="AG520">
            <v>100.26495387761915</v>
          </cell>
          <cell r="AH520">
            <v>109.3653236624753</v>
          </cell>
        </row>
        <row r="521">
          <cell r="AD521">
            <v>90.190486490645299</v>
          </cell>
          <cell r="AE521">
            <v>92.438003997288348</v>
          </cell>
          <cell r="AF521">
            <v>95.650886653451863</v>
          </cell>
          <cell r="AG521">
            <v>100.29515286977961</v>
          </cell>
          <cell r="AH521">
            <v>109.39152094554714</v>
          </cell>
        </row>
        <row r="522">
          <cell r="AD522">
            <v>90.217698846451768</v>
          </cell>
          <cell r="AE522">
            <v>92.465889479396481</v>
          </cell>
          <cell r="AF522">
            <v>95.680809699111165</v>
          </cell>
          <cell r="AG522">
            <v>100.32535186194009</v>
          </cell>
          <cell r="AH522">
            <v>109.41771822861898</v>
          </cell>
        </row>
        <row r="523">
          <cell r="AD523">
            <v>90.244911202258237</v>
          </cell>
          <cell r="AE523">
            <v>92.493774961504613</v>
          </cell>
          <cell r="AF523">
            <v>95.710732744770482</v>
          </cell>
          <cell r="AG523">
            <v>100.35555085410057</v>
          </cell>
          <cell r="AH523">
            <v>109.44391551169082</v>
          </cell>
        </row>
        <row r="524">
          <cell r="AD524">
            <v>90.272123558064706</v>
          </cell>
          <cell r="AE524">
            <v>92.52166044361276</v>
          </cell>
          <cell r="AF524">
            <v>95.740655790429784</v>
          </cell>
          <cell r="AG524">
            <v>100.38574984626105</v>
          </cell>
          <cell r="AH524">
            <v>109.47011279476264</v>
          </cell>
        </row>
        <row r="525">
          <cell r="AD525">
            <v>90.299335913871175</v>
          </cell>
          <cell r="AE525">
            <v>92.549545925720892</v>
          </cell>
          <cell r="AF525">
            <v>95.770578836089086</v>
          </cell>
          <cell r="AG525">
            <v>100.41594883842151</v>
          </cell>
          <cell r="AH525">
            <v>109.49631007783448</v>
          </cell>
        </row>
        <row r="526">
          <cell r="AD526">
            <v>90.326548269677644</v>
          </cell>
          <cell r="AE526">
            <v>92.577431407829025</v>
          </cell>
          <cell r="AF526">
            <v>95.800501881748403</v>
          </cell>
          <cell r="AG526">
            <v>100.44614783058199</v>
          </cell>
          <cell r="AH526">
            <v>109.52250736090632</v>
          </cell>
        </row>
        <row r="527">
          <cell r="AD527">
            <v>90.353760625484114</v>
          </cell>
          <cell r="AE527">
            <v>92.605316889937157</v>
          </cell>
          <cell r="AF527">
            <v>95.830424927407705</v>
          </cell>
          <cell r="AG527">
            <v>100.47634682274247</v>
          </cell>
          <cell r="AH527">
            <v>109.54870464397814</v>
          </cell>
        </row>
        <row r="528">
          <cell r="AD528">
            <v>90.380972981290583</v>
          </cell>
          <cell r="AE528">
            <v>92.63320237204529</v>
          </cell>
          <cell r="AF528">
            <v>95.860347973067007</v>
          </cell>
          <cell r="AG528">
            <v>100.50654581490295</v>
          </cell>
          <cell r="AH528">
            <v>109.57490192704998</v>
          </cell>
        </row>
        <row r="529">
          <cell r="AD529">
            <v>90.408185337097066</v>
          </cell>
          <cell r="AE529">
            <v>92.661087854153436</v>
          </cell>
          <cell r="AF529">
            <v>95.890271018726324</v>
          </cell>
          <cell r="AG529">
            <v>100.53674480706341</v>
          </cell>
          <cell r="AH529">
            <v>109.60109921012182</v>
          </cell>
        </row>
        <row r="530">
          <cell r="AD530">
            <v>90.435397692903535</v>
          </cell>
          <cell r="AE530">
            <v>92.688973336261569</v>
          </cell>
          <cell r="AF530">
            <v>95.920194064385626</v>
          </cell>
          <cell r="AG530">
            <v>100.56694379922389</v>
          </cell>
          <cell r="AH530">
            <v>109.62729649319364</v>
          </cell>
        </row>
        <row r="531">
          <cell r="AD531">
            <v>90.462610048710005</v>
          </cell>
          <cell r="AE531">
            <v>92.716858818369701</v>
          </cell>
          <cell r="AF531">
            <v>95.950117110044928</v>
          </cell>
          <cell r="AG531">
            <v>100.59714279138437</v>
          </cell>
          <cell r="AH531">
            <v>109.65349377626548</v>
          </cell>
        </row>
        <row r="532">
          <cell r="AD532">
            <v>90.489822404516474</v>
          </cell>
          <cell r="AE532">
            <v>92.744744300477834</v>
          </cell>
          <cell r="AF532">
            <v>95.980040155704245</v>
          </cell>
          <cell r="AG532">
            <v>100.62734178354485</v>
          </cell>
          <cell r="AH532">
            <v>109.67969105933732</v>
          </cell>
        </row>
        <row r="533">
          <cell r="AD533">
            <v>90.517034760322943</v>
          </cell>
          <cell r="AE533">
            <v>92.77262978258598</v>
          </cell>
          <cell r="AF533">
            <v>96.008542076157596</v>
          </cell>
          <cell r="AG533">
            <v>100.65754077570531</v>
          </cell>
          <cell r="AH533">
            <v>109.70588834240914</v>
          </cell>
        </row>
        <row r="534">
          <cell r="AD534">
            <v>90.544247116129412</v>
          </cell>
          <cell r="AE534">
            <v>92.800515264694113</v>
          </cell>
          <cell r="AF534">
            <v>96.034196976180411</v>
          </cell>
          <cell r="AG534">
            <v>100.68773976786579</v>
          </cell>
          <cell r="AH534">
            <v>109.73208562548098</v>
          </cell>
        </row>
        <row r="535">
          <cell r="AD535">
            <v>90.571459471935881</v>
          </cell>
          <cell r="AE535">
            <v>92.828400746802245</v>
          </cell>
          <cell r="AF535">
            <v>96.059851876203226</v>
          </cell>
          <cell r="AG535">
            <v>100.71793876002627</v>
          </cell>
          <cell r="AH535">
            <v>109.75828290855281</v>
          </cell>
        </row>
        <row r="536">
          <cell r="AD536">
            <v>90.598671827742351</v>
          </cell>
          <cell r="AE536">
            <v>92.856286228910378</v>
          </cell>
          <cell r="AF536">
            <v>96.08550677622604</v>
          </cell>
          <cell r="AG536">
            <v>100.74813775218675</v>
          </cell>
          <cell r="AH536">
            <v>109.78448019162464</v>
          </cell>
        </row>
        <row r="537">
          <cell r="AD537">
            <v>90.62588418354882</v>
          </cell>
          <cell r="AE537">
            <v>92.88417171101851</v>
          </cell>
          <cell r="AF537">
            <v>96.111161676248855</v>
          </cell>
          <cell r="AG537">
            <v>100.77833674434721</v>
          </cell>
          <cell r="AH537">
            <v>109.81067747469648</v>
          </cell>
        </row>
        <row r="538">
          <cell r="AD538">
            <v>90.653096539355289</v>
          </cell>
          <cell r="AE538">
            <v>92.912057193126657</v>
          </cell>
          <cell r="AF538">
            <v>96.13681657627167</v>
          </cell>
          <cell r="AG538">
            <v>100.80853573650769</v>
          </cell>
          <cell r="AH538">
            <v>109.83687475776831</v>
          </cell>
        </row>
        <row r="539">
          <cell r="AD539">
            <v>90.680308895161772</v>
          </cell>
          <cell r="AE539">
            <v>92.939942675234789</v>
          </cell>
          <cell r="AF539">
            <v>96.162471476294485</v>
          </cell>
          <cell r="AG539">
            <v>100.83873472866817</v>
          </cell>
          <cell r="AH539">
            <v>109.86307204084014</v>
          </cell>
        </row>
        <row r="540">
          <cell r="AD540">
            <v>90.707521250968242</v>
          </cell>
          <cell r="AE540">
            <v>92.967828157342922</v>
          </cell>
          <cell r="AF540">
            <v>96.188126376317285</v>
          </cell>
          <cell r="AG540">
            <v>100.86893372082865</v>
          </cell>
          <cell r="AH540">
            <v>109.88926932391198</v>
          </cell>
        </row>
        <row r="541">
          <cell r="AD541">
            <v>90.734733606774711</v>
          </cell>
          <cell r="AE541">
            <v>92.995713639451054</v>
          </cell>
          <cell r="AF541">
            <v>96.2137812763401</v>
          </cell>
          <cell r="AG541">
            <v>100.89913271298911</v>
          </cell>
          <cell r="AH541">
            <v>109.91546660698381</v>
          </cell>
        </row>
        <row r="542">
          <cell r="AD542">
            <v>90.76194596258118</v>
          </cell>
          <cell r="AE542">
            <v>93.022029147756101</v>
          </cell>
          <cell r="AF542">
            <v>96.239436176362915</v>
          </cell>
          <cell r="AG542">
            <v>100.92933170514959</v>
          </cell>
          <cell r="AH542">
            <v>109.94166389005564</v>
          </cell>
        </row>
        <row r="543">
          <cell r="AD543">
            <v>90.789158318387649</v>
          </cell>
          <cell r="AE543">
            <v>93.048059498253238</v>
          </cell>
          <cell r="AF543">
            <v>96.26509107638573</v>
          </cell>
          <cell r="AG543">
            <v>100.95953069731007</v>
          </cell>
          <cell r="AH543">
            <v>109.96786117312747</v>
          </cell>
        </row>
        <row r="544">
          <cell r="AD544">
            <v>90.816370674194118</v>
          </cell>
          <cell r="AE544">
            <v>93.074089848750361</v>
          </cell>
          <cell r="AF544">
            <v>96.290745976408544</v>
          </cell>
          <cell r="AG544">
            <v>100.98972968947055</v>
          </cell>
          <cell r="AH544">
            <v>109.99405845619931</v>
          </cell>
        </row>
        <row r="545">
          <cell r="AD545">
            <v>90.843583030000588</v>
          </cell>
          <cell r="AE545">
            <v>93.100120199247499</v>
          </cell>
          <cell r="AF545">
            <v>96.316400876431359</v>
          </cell>
          <cell r="AG545">
            <v>101.01847661905111</v>
          </cell>
          <cell r="AH545">
            <v>110.01824657079369</v>
          </cell>
        </row>
        <row r="546">
          <cell r="AD546">
            <v>90.870795385807057</v>
          </cell>
          <cell r="AE546">
            <v>93.126150549744622</v>
          </cell>
          <cell r="AF546">
            <v>96.342055776454174</v>
          </cell>
          <cell r="AG546">
            <v>101.04647522348506</v>
          </cell>
          <cell r="AH546">
            <v>110.04184534316006</v>
          </cell>
        </row>
        <row r="547">
          <cell r="AD547">
            <v>90.898007741613526</v>
          </cell>
          <cell r="AE547">
            <v>93.15218090024176</v>
          </cell>
          <cell r="AF547">
            <v>96.367710676476989</v>
          </cell>
          <cell r="AG547">
            <v>101.07447382791901</v>
          </cell>
          <cell r="AH547">
            <v>110.06544411552645</v>
          </cell>
        </row>
        <row r="548">
          <cell r="AD548">
            <v>90.925220097419995</v>
          </cell>
          <cell r="AE548">
            <v>93.178211250738883</v>
          </cell>
          <cell r="AF548">
            <v>96.393365576499804</v>
          </cell>
          <cell r="AG548">
            <v>101.10247243235294</v>
          </cell>
          <cell r="AH548">
            <v>110.08904288789283</v>
          </cell>
        </row>
        <row r="549">
          <cell r="AD549">
            <v>90.952432453226479</v>
          </cell>
          <cell r="AE549">
            <v>93.204241601236021</v>
          </cell>
          <cell r="AF549">
            <v>96.419020476522618</v>
          </cell>
          <cell r="AG549">
            <v>101.13047103678689</v>
          </cell>
          <cell r="AH549">
            <v>110.11264166025921</v>
          </cell>
        </row>
        <row r="550">
          <cell r="AD550">
            <v>90.979644809032948</v>
          </cell>
          <cell r="AE550">
            <v>93.230271951733144</v>
          </cell>
          <cell r="AF550">
            <v>96.444675376545433</v>
          </cell>
          <cell r="AG550">
            <v>101.15846964122082</v>
          </cell>
          <cell r="AH550">
            <v>110.1362404326256</v>
          </cell>
        </row>
        <row r="551">
          <cell r="AD551">
            <v>91.00639796102358</v>
          </cell>
          <cell r="AE551">
            <v>93.256302302230281</v>
          </cell>
          <cell r="AF551">
            <v>96.470330276568248</v>
          </cell>
          <cell r="AG551">
            <v>101.18646824565477</v>
          </cell>
          <cell r="AH551">
            <v>110.15983920499198</v>
          </cell>
        </row>
        <row r="552">
          <cell r="AD552">
            <v>91.03178798676845</v>
          </cell>
          <cell r="AE552">
            <v>93.282332652727405</v>
          </cell>
          <cell r="AF552">
            <v>96.495985176591063</v>
          </cell>
          <cell r="AG552">
            <v>101.2144668500887</v>
          </cell>
          <cell r="AH552">
            <v>110.18343797735835</v>
          </cell>
        </row>
        <row r="553">
          <cell r="AD553">
            <v>91.057178012513333</v>
          </cell>
          <cell r="AE553">
            <v>93.308363003224542</v>
          </cell>
          <cell r="AF553">
            <v>96.521640076613878</v>
          </cell>
          <cell r="AG553">
            <v>101.24246545452264</v>
          </cell>
          <cell r="AH553">
            <v>110.20703674972474</v>
          </cell>
        </row>
        <row r="554">
          <cell r="AD554">
            <v>91.082568038258202</v>
          </cell>
          <cell r="AE554">
            <v>93.334393353721666</v>
          </cell>
          <cell r="AF554">
            <v>96.547294976636692</v>
          </cell>
          <cell r="AG554">
            <v>101.27046405895658</v>
          </cell>
          <cell r="AH554">
            <v>110.23063552209112</v>
          </cell>
        </row>
        <row r="555">
          <cell r="AD555">
            <v>91.107958064003085</v>
          </cell>
          <cell r="AE555">
            <v>93.360423704218803</v>
          </cell>
          <cell r="AF555">
            <v>96.572949876659507</v>
          </cell>
          <cell r="AG555">
            <v>101.29846266339052</v>
          </cell>
          <cell r="AH555">
            <v>110.2542342944575</v>
          </cell>
        </row>
        <row r="556">
          <cell r="AD556">
            <v>91.133348089747955</v>
          </cell>
          <cell r="AE556">
            <v>93.386454054715927</v>
          </cell>
          <cell r="AF556">
            <v>96.598604776682308</v>
          </cell>
          <cell r="AG556">
            <v>101.32646126782446</v>
          </cell>
          <cell r="AH556">
            <v>110.27783306682389</v>
          </cell>
        </row>
        <row r="557">
          <cell r="AD557">
            <v>91.158738115492838</v>
          </cell>
          <cell r="AE557">
            <v>93.412484405213064</v>
          </cell>
          <cell r="AF557">
            <v>96.624259676705123</v>
          </cell>
          <cell r="AG557">
            <v>101.3544598722584</v>
          </cell>
          <cell r="AH557">
            <v>110.30143183919027</v>
          </cell>
        </row>
        <row r="558">
          <cell r="AD558">
            <v>91.184128141237707</v>
          </cell>
          <cell r="AE558">
            <v>93.438514755710202</v>
          </cell>
          <cell r="AF558">
            <v>96.649914576727937</v>
          </cell>
          <cell r="AG558">
            <v>101.38245847669234</v>
          </cell>
          <cell r="AH558">
            <v>110.32503061155664</v>
          </cell>
        </row>
        <row r="559">
          <cell r="AD559">
            <v>91.209518166982591</v>
          </cell>
          <cell r="AE559">
            <v>93.464545106207325</v>
          </cell>
          <cell r="AF559">
            <v>96.675569476750752</v>
          </cell>
          <cell r="AG559">
            <v>101.41045708112628</v>
          </cell>
          <cell r="AH559">
            <v>110.34862938392303</v>
          </cell>
        </row>
        <row r="560">
          <cell r="AD560">
            <v>91.23490819272746</v>
          </cell>
          <cell r="AE560">
            <v>93.490575456704462</v>
          </cell>
          <cell r="AF560">
            <v>96.701224376773567</v>
          </cell>
          <cell r="AG560">
            <v>101.43845568556021</v>
          </cell>
          <cell r="AH560">
            <v>110.37222815628941</v>
          </cell>
        </row>
        <row r="561">
          <cell r="AD561">
            <v>91.260298218472343</v>
          </cell>
          <cell r="AE561">
            <v>93.516605807201586</v>
          </cell>
          <cell r="AF561">
            <v>96.726879276796382</v>
          </cell>
          <cell r="AG561">
            <v>101.46645428999416</v>
          </cell>
          <cell r="AH561">
            <v>110.39582692865579</v>
          </cell>
        </row>
        <row r="562">
          <cell r="AD562">
            <v>91.285688244217212</v>
          </cell>
          <cell r="AE562">
            <v>93.542636157698723</v>
          </cell>
          <cell r="AF562">
            <v>96.752534176819196</v>
          </cell>
          <cell r="AG562">
            <v>101.49445289442811</v>
          </cell>
          <cell r="AH562">
            <v>110.41942570102218</v>
          </cell>
        </row>
        <row r="563">
          <cell r="AD563">
            <v>91.311078269962081</v>
          </cell>
          <cell r="AE563">
            <v>93.568666508195847</v>
          </cell>
          <cell r="AF563">
            <v>96.778189076842011</v>
          </cell>
          <cell r="AG563">
            <v>101.52245149886204</v>
          </cell>
          <cell r="AH563">
            <v>110.44302447338856</v>
          </cell>
        </row>
        <row r="564">
          <cell r="AD564">
            <v>91.336468295706965</v>
          </cell>
          <cell r="AE564">
            <v>93.594696858692984</v>
          </cell>
          <cell r="AF564">
            <v>96.803843976864826</v>
          </cell>
          <cell r="AG564">
            <v>101.55045010329599</v>
          </cell>
          <cell r="AH564">
            <v>110.46662324575493</v>
          </cell>
        </row>
        <row r="565">
          <cell r="AD565">
            <v>91.361858321451834</v>
          </cell>
          <cell r="AE565">
            <v>93.620727209190107</v>
          </cell>
          <cell r="AF565">
            <v>96.829498876887641</v>
          </cell>
          <cell r="AG565">
            <v>101.57844870772992</v>
          </cell>
          <cell r="AH565">
            <v>110.49022201812132</v>
          </cell>
        </row>
        <row r="566">
          <cell r="AD566">
            <v>91.387248347196717</v>
          </cell>
          <cell r="AE566">
            <v>93.646757559687245</v>
          </cell>
          <cell r="AF566">
            <v>96.855153776910456</v>
          </cell>
          <cell r="AG566">
            <v>101.60644731216387</v>
          </cell>
          <cell r="AH566">
            <v>110.5138207904877</v>
          </cell>
        </row>
        <row r="567">
          <cell r="AD567">
            <v>91.412638372941586</v>
          </cell>
          <cell r="AE567">
            <v>93.672787910184368</v>
          </cell>
          <cell r="AF567">
            <v>96.88080867693327</v>
          </cell>
          <cell r="AG567">
            <v>101.6344459165978</v>
          </cell>
          <cell r="AH567">
            <v>110.53741956285408</v>
          </cell>
        </row>
        <row r="568">
          <cell r="AD568">
            <v>91.43802839868647</v>
          </cell>
          <cell r="AE568">
            <v>93.698818260681506</v>
          </cell>
          <cell r="AF568">
            <v>96.906463576956085</v>
          </cell>
          <cell r="AG568">
            <v>101.66244452103174</v>
          </cell>
          <cell r="AH568">
            <v>110.56101833522047</v>
          </cell>
        </row>
        <row r="569">
          <cell r="AD569">
            <v>91.463418424431339</v>
          </cell>
          <cell r="AE569">
            <v>93.724848611178629</v>
          </cell>
          <cell r="AF569">
            <v>96.9321184769789</v>
          </cell>
          <cell r="AG569">
            <v>101.69044312546568</v>
          </cell>
          <cell r="AH569">
            <v>110.58461710758685</v>
          </cell>
        </row>
        <row r="570">
          <cell r="AD570">
            <v>91.488808450176222</v>
          </cell>
          <cell r="AE570">
            <v>93.750878961675767</v>
          </cell>
          <cell r="AF570">
            <v>96.957773377001715</v>
          </cell>
          <cell r="AG570">
            <v>101.71844172989962</v>
          </cell>
          <cell r="AH570">
            <v>110.60821587995322</v>
          </cell>
        </row>
        <row r="571">
          <cell r="AD571">
            <v>91.514198475921091</v>
          </cell>
          <cell r="AE571">
            <v>93.77690931217289</v>
          </cell>
          <cell r="AF571">
            <v>96.983428277024515</v>
          </cell>
          <cell r="AG571">
            <v>101.74644033433356</v>
          </cell>
          <cell r="AH571">
            <v>110.6318146523196</v>
          </cell>
        </row>
        <row r="572">
          <cell r="AD572">
            <v>91.539588501665975</v>
          </cell>
          <cell r="AE572">
            <v>93.802939662670028</v>
          </cell>
          <cell r="AF572">
            <v>97.008116148780459</v>
          </cell>
          <cell r="AG572">
            <v>101.7744389387675</v>
          </cell>
          <cell r="AH572">
            <v>110.65541342468599</v>
          </cell>
        </row>
        <row r="573">
          <cell r="AD573">
            <v>91.564978527410844</v>
          </cell>
          <cell r="AE573">
            <v>93.828970013167151</v>
          </cell>
          <cell r="AF573">
            <v>97.031039734266869</v>
          </cell>
          <cell r="AG573">
            <v>101.80243754320144</v>
          </cell>
          <cell r="AH573">
            <v>110.67901219705237</v>
          </cell>
        </row>
        <row r="574">
          <cell r="AD574">
            <v>91.590368553155713</v>
          </cell>
          <cell r="AE574">
            <v>93.855000363664288</v>
          </cell>
          <cell r="AF574">
            <v>97.053963319753294</v>
          </cell>
          <cell r="AG574">
            <v>101.83043614763538</v>
          </cell>
          <cell r="AH574">
            <v>110.70261096941876</v>
          </cell>
        </row>
        <row r="575">
          <cell r="AD575">
            <v>91.615758578900596</v>
          </cell>
          <cell r="AE575">
            <v>93.881030714161426</v>
          </cell>
          <cell r="AF575">
            <v>97.076886905239704</v>
          </cell>
          <cell r="AG575">
            <v>101.85843475206931</v>
          </cell>
          <cell r="AH575">
            <v>110.72620974178514</v>
          </cell>
        </row>
        <row r="576">
          <cell r="AD576">
            <v>91.641148604645466</v>
          </cell>
          <cell r="AE576">
            <v>93.907061064658549</v>
          </cell>
          <cell r="AF576">
            <v>97.099810490726114</v>
          </cell>
          <cell r="AG576">
            <v>101.88643335650326</v>
          </cell>
          <cell r="AH576">
            <v>110.74980851415151</v>
          </cell>
        </row>
        <row r="577">
          <cell r="AD577">
            <v>91.666538630390349</v>
          </cell>
          <cell r="AE577">
            <v>93.933091415155687</v>
          </cell>
          <cell r="AF577">
            <v>97.122734076212538</v>
          </cell>
          <cell r="AG577">
            <v>101.91443196093721</v>
          </cell>
          <cell r="AH577">
            <v>110.77340728651789</v>
          </cell>
        </row>
        <row r="578">
          <cell r="AD578">
            <v>91.691928656135218</v>
          </cell>
          <cell r="AE578">
            <v>93.95912176565281</v>
          </cell>
          <cell r="AF578">
            <v>97.145657661698948</v>
          </cell>
          <cell r="AG578">
            <v>101.94243056537114</v>
          </cell>
          <cell r="AH578">
            <v>110.79700605888428</v>
          </cell>
        </row>
        <row r="579">
          <cell r="AD579">
            <v>91.717318681880101</v>
          </cell>
          <cell r="AE579">
            <v>93.985152116149948</v>
          </cell>
          <cell r="AF579">
            <v>97.168581247185372</v>
          </cell>
          <cell r="AG579">
            <v>101.97042916980509</v>
          </cell>
          <cell r="AH579">
            <v>110.82060483125066</v>
          </cell>
        </row>
        <row r="580">
          <cell r="AD580">
            <v>91.742708707624971</v>
          </cell>
          <cell r="AE580">
            <v>94.010258298630532</v>
          </cell>
          <cell r="AF580">
            <v>97.191504832671782</v>
          </cell>
          <cell r="AG580">
            <v>101.99842777423902</v>
          </cell>
          <cell r="AH580">
            <v>110.84420360361705</v>
          </cell>
        </row>
        <row r="581">
          <cell r="AD581">
            <v>91.768098733369854</v>
          </cell>
          <cell r="AE581">
            <v>94.034137386964503</v>
          </cell>
          <cell r="AF581">
            <v>97.214428418158207</v>
          </cell>
          <cell r="AG581">
            <v>102.0230494909565</v>
          </cell>
          <cell r="AH581">
            <v>110.86780237598343</v>
          </cell>
        </row>
        <row r="582">
          <cell r="AD582">
            <v>91.793488759114723</v>
          </cell>
          <cell r="AE582">
            <v>94.058016475298473</v>
          </cell>
          <cell r="AF582">
            <v>97.237352003644617</v>
          </cell>
          <cell r="AG582">
            <v>102.04747030122647</v>
          </cell>
          <cell r="AH582">
            <v>110.8914011483498</v>
          </cell>
        </row>
        <row r="583">
          <cell r="AD583">
            <v>91.818878784859606</v>
          </cell>
          <cell r="AE583">
            <v>94.081895563632429</v>
          </cell>
          <cell r="AF583">
            <v>97.260275589131041</v>
          </cell>
          <cell r="AG583">
            <v>102.07189111149643</v>
          </cell>
          <cell r="AH583">
            <v>110.91499992071618</v>
          </cell>
        </row>
        <row r="584">
          <cell r="AD584">
            <v>91.844268810604476</v>
          </cell>
          <cell r="AE584">
            <v>94.105774651966399</v>
          </cell>
          <cell r="AF584">
            <v>97.283199174617451</v>
          </cell>
          <cell r="AG584">
            <v>102.09631192176639</v>
          </cell>
          <cell r="AH584">
            <v>110.93859869308257</v>
          </cell>
        </row>
        <row r="585">
          <cell r="AD585">
            <v>91.869658836349345</v>
          </cell>
          <cell r="AE585">
            <v>94.129653740300355</v>
          </cell>
          <cell r="AF585">
            <v>97.306122760103861</v>
          </cell>
          <cell r="AG585">
            <v>102.12073273203636</v>
          </cell>
          <cell r="AH585">
            <v>110.96219746544895</v>
          </cell>
        </row>
        <row r="586">
          <cell r="AD586">
            <v>91.895048862094228</v>
          </cell>
          <cell r="AE586">
            <v>94.153532828634326</v>
          </cell>
          <cell r="AF586">
            <v>97.329046345590285</v>
          </cell>
          <cell r="AG586">
            <v>102.14515354230632</v>
          </cell>
          <cell r="AH586">
            <v>110.98579623781534</v>
          </cell>
        </row>
        <row r="587">
          <cell r="AD587">
            <v>91.920438887839097</v>
          </cell>
          <cell r="AE587">
            <v>94.177411916968296</v>
          </cell>
          <cell r="AF587">
            <v>97.351969931076695</v>
          </cell>
          <cell r="AG587">
            <v>102.16957435257629</v>
          </cell>
          <cell r="AH587">
            <v>111.01006491026641</v>
          </cell>
        </row>
        <row r="588">
          <cell r="AD588">
            <v>91.945828913583981</v>
          </cell>
          <cell r="AE588">
            <v>94.201291005302252</v>
          </cell>
          <cell r="AF588">
            <v>97.37489351656312</v>
          </cell>
          <cell r="AG588">
            <v>102.19399516284625</v>
          </cell>
          <cell r="AH588">
            <v>111.03534636517395</v>
          </cell>
        </row>
        <row r="589">
          <cell r="AD589">
            <v>91.97121893932885</v>
          </cell>
          <cell r="AE589">
            <v>94.225170093636223</v>
          </cell>
          <cell r="AF589">
            <v>97.39781710204953</v>
          </cell>
          <cell r="AG589">
            <v>102.21841597311622</v>
          </cell>
          <cell r="AH589">
            <v>111.06062782008151</v>
          </cell>
        </row>
        <row r="590">
          <cell r="AD590">
            <v>91.996608965073733</v>
          </cell>
          <cell r="AE590">
            <v>94.249049181970193</v>
          </cell>
          <cell r="AF590">
            <v>97.420740687535954</v>
          </cell>
          <cell r="AG590">
            <v>102.24283678338618</v>
          </cell>
          <cell r="AH590">
            <v>111.08590927498906</v>
          </cell>
        </row>
        <row r="591">
          <cell r="AD591">
            <v>92.020525784214271</v>
          </cell>
          <cell r="AE591">
            <v>94.272928270304149</v>
          </cell>
          <cell r="AF591">
            <v>97.443664273022364</v>
          </cell>
          <cell r="AG591">
            <v>102.26725759365615</v>
          </cell>
          <cell r="AH591">
            <v>111.11119072989661</v>
          </cell>
        </row>
        <row r="592">
          <cell r="AD592">
            <v>92.044215515890215</v>
          </cell>
          <cell r="AE592">
            <v>94.296807358638119</v>
          </cell>
          <cell r="AF592">
            <v>97.466587858508788</v>
          </cell>
          <cell r="AG592">
            <v>102.29167840392611</v>
          </cell>
          <cell r="AH592">
            <v>111.13647218480416</v>
          </cell>
        </row>
        <row r="593">
          <cell r="AD593">
            <v>92.067905247566145</v>
          </cell>
          <cell r="AE593">
            <v>94.32068644697209</v>
          </cell>
          <cell r="AF593">
            <v>97.489511443995198</v>
          </cell>
          <cell r="AG593">
            <v>102.31609921419609</v>
          </cell>
          <cell r="AH593">
            <v>111.1617536397117</v>
          </cell>
        </row>
        <row r="594">
          <cell r="AD594">
            <v>92.091594979242089</v>
          </cell>
          <cell r="AE594">
            <v>94.344565535306046</v>
          </cell>
          <cell r="AF594">
            <v>97.512435029481608</v>
          </cell>
          <cell r="AG594">
            <v>102.34052002446604</v>
          </cell>
          <cell r="AH594">
            <v>111.18703509461926</v>
          </cell>
        </row>
        <row r="595">
          <cell r="AD595">
            <v>92.115284710918019</v>
          </cell>
          <cell r="AE595">
            <v>94.368444623640016</v>
          </cell>
          <cell r="AF595">
            <v>97.535358614968032</v>
          </cell>
          <cell r="AG595">
            <v>102.364940834736</v>
          </cell>
          <cell r="AH595">
            <v>111.2123165495268</v>
          </cell>
        </row>
        <row r="596">
          <cell r="AD596">
            <v>92.138974442593963</v>
          </cell>
          <cell r="AE596">
            <v>94.392323711973987</v>
          </cell>
          <cell r="AF596">
            <v>97.558282200454443</v>
          </cell>
          <cell r="AG596">
            <v>102.38936164500598</v>
          </cell>
          <cell r="AH596">
            <v>111.23759800443436</v>
          </cell>
        </row>
        <row r="597">
          <cell r="AD597">
            <v>92.162664174269892</v>
          </cell>
          <cell r="AE597">
            <v>94.416202800307943</v>
          </cell>
          <cell r="AF597">
            <v>97.581205785940867</v>
          </cell>
          <cell r="AG597">
            <v>102.41378245527594</v>
          </cell>
          <cell r="AH597">
            <v>111.2628794593419</v>
          </cell>
        </row>
        <row r="598">
          <cell r="AD598">
            <v>92.186353905945836</v>
          </cell>
          <cell r="AE598">
            <v>94.440081888641913</v>
          </cell>
          <cell r="AF598">
            <v>97.604129371427277</v>
          </cell>
          <cell r="AG598">
            <v>102.43820326554591</v>
          </cell>
          <cell r="AH598">
            <v>111.28816091424946</v>
          </cell>
        </row>
        <row r="599">
          <cell r="AD599">
            <v>92.210043637621766</v>
          </cell>
          <cell r="AE599">
            <v>94.463960976975883</v>
          </cell>
          <cell r="AF599">
            <v>97.627052956913701</v>
          </cell>
          <cell r="AG599">
            <v>102.46262407581587</v>
          </cell>
          <cell r="AH599">
            <v>111.31344236915702</v>
          </cell>
        </row>
        <row r="600">
          <cell r="AD600">
            <v>92.23373336929771</v>
          </cell>
          <cell r="AE600">
            <v>94.48784006530984</v>
          </cell>
          <cell r="AF600">
            <v>97.649976542400111</v>
          </cell>
          <cell r="AG600">
            <v>102.48704488608584</v>
          </cell>
          <cell r="AH600">
            <v>111.33872382406456</v>
          </cell>
        </row>
        <row r="601">
          <cell r="AD601">
            <v>92.257423100973654</v>
          </cell>
          <cell r="AE601">
            <v>94.51171915364381</v>
          </cell>
          <cell r="AF601">
            <v>97.672900127886535</v>
          </cell>
          <cell r="AG601">
            <v>102.5114656963558</v>
          </cell>
          <cell r="AH601">
            <v>111.36400527897212</v>
          </cell>
        </row>
        <row r="602">
          <cell r="AD602">
            <v>92.281112832649583</v>
          </cell>
          <cell r="AE602">
            <v>94.535598241977766</v>
          </cell>
          <cell r="AF602">
            <v>97.695823713372945</v>
          </cell>
          <cell r="AG602">
            <v>102.53588650662577</v>
          </cell>
          <cell r="AH602">
            <v>111.38928673387966</v>
          </cell>
        </row>
        <row r="603">
          <cell r="AD603">
            <v>92.304802564325527</v>
          </cell>
          <cell r="AE603">
            <v>94.559477330311736</v>
          </cell>
          <cell r="AF603">
            <v>97.718747298859356</v>
          </cell>
          <cell r="AG603">
            <v>102.56030731689573</v>
          </cell>
          <cell r="AH603">
            <v>111.41456818878721</v>
          </cell>
        </row>
      </sheetData>
      <sheetData sheetId="2"/>
      <sheetData sheetId="3"/>
      <sheetData sheetId="4">
        <row r="4">
          <cell r="AV4">
            <v>20</v>
          </cell>
        </row>
      </sheetData>
      <sheetData sheetId="5">
        <row r="6">
          <cell r="R6"/>
        </row>
      </sheetData>
      <sheetData sheetId="6">
        <row r="6">
          <cell r="Y6">
            <v>0.78396012978844121</v>
          </cell>
        </row>
      </sheetData>
      <sheetData sheetId="7">
        <row r="1">
          <cell r="AD1">
            <v>1000</v>
          </cell>
        </row>
      </sheetData>
      <sheetData sheetId="8">
        <row r="6">
          <cell r="H6">
            <v>15</v>
          </cell>
        </row>
      </sheetData>
      <sheetData sheetId="9">
        <row r="5">
          <cell r="E5">
            <v>5</v>
          </cell>
        </row>
      </sheetData>
      <sheetData sheetId="10">
        <row r="1">
          <cell r="CW1">
            <v>600</v>
          </cell>
        </row>
      </sheetData>
      <sheetData sheetId="11">
        <row r="5">
          <cell r="AJ5">
            <v>13341</v>
          </cell>
        </row>
      </sheetData>
      <sheetData sheetId="12"/>
      <sheetData sheetId="13">
        <row r="6">
          <cell r="BG6">
            <v>0</v>
          </cell>
        </row>
      </sheetData>
      <sheetData sheetId="14">
        <row r="6">
          <cell r="C6">
            <v>562785.51873358048</v>
          </cell>
        </row>
      </sheetData>
      <sheetData sheetId="15"/>
      <sheetData sheetId="16">
        <row r="3">
          <cell r="C3"/>
        </row>
      </sheetData>
      <sheetData sheetId="17">
        <row r="5">
          <cell r="B5">
            <v>1</v>
          </cell>
        </row>
      </sheetData>
      <sheetData sheetId="18">
        <row r="6">
          <cell r="C6">
            <v>8101.9351214672988</v>
          </cell>
        </row>
      </sheetData>
      <sheetData sheetId="19">
        <row r="6">
          <cell r="D6">
            <v>39202.306950863218</v>
          </cell>
        </row>
      </sheetData>
      <sheetData sheetId="20">
        <row r="6">
          <cell r="V6">
            <v>3390.3908593159599</v>
          </cell>
        </row>
      </sheetData>
      <sheetData sheetId="21">
        <row r="5">
          <cell r="AG5">
            <v>0</v>
          </cell>
        </row>
      </sheetData>
      <sheetData sheetId="22">
        <row r="6">
          <cell r="C6">
            <v>5.0636889117865597E-3</v>
          </cell>
        </row>
      </sheetData>
      <sheetData sheetId="23">
        <row r="4">
          <cell r="L4">
            <v>1.9884843757322645E-6</v>
          </cell>
        </row>
      </sheetData>
      <sheetData sheetId="24">
        <row r="4">
          <cell r="K4">
            <v>1</v>
          </cell>
        </row>
      </sheetData>
      <sheetData sheetId="25">
        <row r="5">
          <cell r="AK5">
            <v>50</v>
          </cell>
        </row>
      </sheetData>
      <sheetData sheetId="26">
        <row r="2">
          <cell r="D2">
            <v>0.5</v>
          </cell>
        </row>
      </sheetData>
      <sheetData sheetId="27">
        <row r="3">
          <cell r="J3">
            <v>10000</v>
          </cell>
        </row>
        <row r="22">
          <cell r="W22">
            <v>9000</v>
          </cell>
          <cell r="X22">
            <v>725.99999999999966</v>
          </cell>
          <cell r="Y22">
            <v>256</v>
          </cell>
          <cell r="Z22">
            <v>16</v>
          </cell>
          <cell r="AA22">
            <v>2</v>
          </cell>
        </row>
        <row r="23">
          <cell r="W23">
            <v>3454.304347826087</v>
          </cell>
          <cell r="X23">
            <v>426.60231884057947</v>
          </cell>
          <cell r="Y23">
            <v>109.22666666666666</v>
          </cell>
          <cell r="Z23">
            <v>8.5333333333333332</v>
          </cell>
          <cell r="AA23">
            <v>1.3333333333333335</v>
          </cell>
        </row>
        <row r="24">
          <cell r="W24">
            <v>2646.8869565217392</v>
          </cell>
          <cell r="X24">
            <v>450.24371014492726</v>
          </cell>
          <cell r="Y24">
            <v>92.842666666666659</v>
          </cell>
          <cell r="Z24">
            <v>8.533333333333335</v>
          </cell>
          <cell r="AA24">
            <v>1.4933333333333334</v>
          </cell>
        </row>
        <row r="25">
          <cell r="W25">
            <v>1897.7478260869568</v>
          </cell>
          <cell r="X25">
            <v>419.40417391304322</v>
          </cell>
          <cell r="Y25">
            <v>73.727999999999994</v>
          </cell>
          <cell r="Z25">
            <v>7.6800000000000015</v>
          </cell>
          <cell r="AA25">
            <v>1.4400000000000002</v>
          </cell>
        </row>
        <row r="26">
          <cell r="W26">
            <v>1640.6119565217396</v>
          </cell>
          <cell r="X26">
            <v>454.14504347826056</v>
          </cell>
          <cell r="Y26">
            <v>70.528000000000006</v>
          </cell>
          <cell r="Z26">
            <v>8.120000000000001</v>
          </cell>
          <cell r="AA26">
            <v>1.595</v>
          </cell>
        </row>
        <row r="27">
          <cell r="W27">
            <v>1399.8668478260872</v>
          </cell>
          <cell r="X27">
            <v>473.56315217391273</v>
          </cell>
          <cell r="Y27">
            <v>66.56</v>
          </cell>
          <cell r="Z27">
            <v>8.3200000000000021</v>
          </cell>
          <cell r="AA27">
            <v>1.6900000000000002</v>
          </cell>
        </row>
        <row r="28">
          <cell r="W28">
            <v>1175.5125000000003</v>
          </cell>
          <cell r="X28">
            <v>477.65849999999961</v>
          </cell>
          <cell r="Y28">
            <v>61.823999999999984</v>
          </cell>
          <cell r="Z28">
            <v>8.2799999999999994</v>
          </cell>
          <cell r="AA28">
            <v>1.7249999999999999</v>
          </cell>
        </row>
        <row r="29">
          <cell r="W29">
            <v>1005.1159713000645</v>
          </cell>
          <cell r="X29">
            <v>432.12471441422116</v>
          </cell>
          <cell r="Y29">
            <v>53.913600000000002</v>
          </cell>
          <cell r="Z29">
            <v>7.3028571428571434</v>
          </cell>
          <cell r="AA29">
            <v>1.5428571428571429</v>
          </cell>
        </row>
        <row r="30">
          <cell r="W30">
            <v>959.81724113453504</v>
          </cell>
          <cell r="X30">
            <v>436.06866253893429</v>
          </cell>
          <cell r="Y30">
            <v>52.52242285714285</v>
          </cell>
          <cell r="Z30">
            <v>7.1941224489795923</v>
          </cell>
          <cell r="AA30">
            <v>1.5404081632653062</v>
          </cell>
        </row>
        <row r="31">
          <cell r="W31">
            <v>915.49387161521304</v>
          </cell>
          <cell r="X31">
            <v>439.05435369090935</v>
          </cell>
          <cell r="Y31">
            <v>51.122468571428563</v>
          </cell>
          <cell r="Z31">
            <v>7.0795102040816325</v>
          </cell>
          <cell r="AA31">
            <v>1.5355102040816326</v>
          </cell>
        </row>
        <row r="32">
          <cell r="W32">
            <v>872.14586274209864</v>
          </cell>
          <cell r="X32">
            <v>441.08178787014623</v>
          </cell>
          <cell r="Y32">
            <v>49.713737142857141</v>
          </cell>
          <cell r="Z32">
            <v>6.9590204081632665</v>
          </cell>
          <cell r="AA32">
            <v>1.5281632653061221</v>
          </cell>
        </row>
        <row r="33">
          <cell r="W33">
            <v>829.77321451519163</v>
          </cell>
          <cell r="X33">
            <v>442.15096507664504</v>
          </cell>
          <cell r="Y33">
            <v>48.296228571428571</v>
          </cell>
          <cell r="Z33">
            <v>6.83265306122449</v>
          </cell>
          <cell r="AA33">
            <v>1.5183673469387753</v>
          </cell>
        </row>
        <row r="34">
          <cell r="W34">
            <v>788.3759269344921</v>
          </cell>
          <cell r="X34">
            <v>442.26188531040566</v>
          </cell>
          <cell r="Y34">
            <v>46.869942857142846</v>
          </cell>
          <cell r="Z34">
            <v>6.7004081632653056</v>
          </cell>
          <cell r="AA34">
            <v>1.5061224489795915</v>
          </cell>
        </row>
        <row r="35">
          <cell r="W35">
            <v>747.95400000000018</v>
          </cell>
          <cell r="X35">
            <v>441.41454857142821</v>
          </cell>
          <cell r="Y35">
            <v>45.434879999999993</v>
          </cell>
          <cell r="Z35">
            <v>6.5622857142857143</v>
          </cell>
          <cell r="AA35">
            <v>1.4914285714285711</v>
          </cell>
        </row>
        <row r="36">
          <cell r="W36">
            <v>717.28800940438896</v>
          </cell>
          <cell r="X36">
            <v>430.95539539561105</v>
          </cell>
          <cell r="Y36">
            <v>43.922995199999995</v>
          </cell>
          <cell r="Z36">
            <v>6.3756000000000013</v>
          </cell>
          <cell r="AA36">
            <v>1.458</v>
          </cell>
        </row>
        <row r="37">
          <cell r="W37">
            <v>697.57158738244539</v>
          </cell>
          <cell r="X37">
            <v>426.63998701755457</v>
          </cell>
          <cell r="Y37">
            <v>43.061625600000006</v>
          </cell>
          <cell r="Z37">
            <v>6.2815500000000011</v>
          </cell>
          <cell r="AA37">
            <v>1.4452499999999999</v>
          </cell>
        </row>
        <row r="38">
          <cell r="W38">
            <v>678.05826841692817</v>
          </cell>
          <cell r="X38">
            <v>422.12616038307186</v>
          </cell>
          <cell r="Y38">
            <v>42.197971199999998</v>
          </cell>
          <cell r="Z38">
            <v>6.1858500000000012</v>
          </cell>
          <cell r="AA38">
            <v>1.4317499999999999</v>
          </cell>
        </row>
        <row r="39">
          <cell r="W39">
            <v>658.74805250783731</v>
          </cell>
          <cell r="X39">
            <v>417.4139154921628</v>
          </cell>
          <cell r="Y39">
            <v>41.332031999999998</v>
          </cell>
          <cell r="Z39">
            <v>6.0885000000000016</v>
          </cell>
          <cell r="AA39">
            <v>1.4174999999999998</v>
          </cell>
        </row>
        <row r="40">
          <cell r="W40">
            <v>639.64093965517259</v>
          </cell>
          <cell r="X40">
            <v>412.50325234482733</v>
          </cell>
          <cell r="Y40">
            <v>40.463808000000007</v>
          </cell>
          <cell r="Z40">
            <v>5.9895000000000014</v>
          </cell>
          <cell r="AA40">
            <v>1.4024999999999999</v>
          </cell>
        </row>
        <row r="41">
          <cell r="W41">
            <v>620.73692985893445</v>
          </cell>
          <cell r="X41">
            <v>407.39417094106557</v>
          </cell>
          <cell r="Y41">
            <v>39.593299200000004</v>
          </cell>
          <cell r="Z41">
            <v>5.8888500000000015</v>
          </cell>
          <cell r="AA41">
            <v>1.3867499999999999</v>
          </cell>
        </row>
        <row r="42">
          <cell r="W42">
            <v>602.03602311912243</v>
          </cell>
          <cell r="X42">
            <v>402.08667128087751</v>
          </cell>
          <cell r="Y42">
            <v>38.720505599999996</v>
          </cell>
          <cell r="Z42">
            <v>5.786550000000001</v>
          </cell>
          <cell r="AA42">
            <v>1.37025</v>
          </cell>
        </row>
        <row r="43">
          <cell r="W43">
            <v>583.53821943573701</v>
          </cell>
          <cell r="X43">
            <v>396.58075336426316</v>
          </cell>
          <cell r="Y43">
            <v>37.845427199999996</v>
          </cell>
          <cell r="Z43">
            <v>5.6826000000000016</v>
          </cell>
          <cell r="AA43">
            <v>1.353</v>
          </cell>
        </row>
        <row r="44">
          <cell r="W44">
            <v>565.24351880877771</v>
          </cell>
          <cell r="X44">
            <v>390.87641719122234</v>
          </cell>
          <cell r="Y44">
            <v>36.968064000000005</v>
          </cell>
          <cell r="Z44">
            <v>5.5770000000000008</v>
          </cell>
          <cell r="AA44">
            <v>1.3349999999999997</v>
          </cell>
        </row>
        <row r="45">
          <cell r="W45">
            <v>547.15192123824465</v>
          </cell>
          <cell r="X45">
            <v>384.97366276175529</v>
          </cell>
          <cell r="Y45">
            <v>36.088416000000002</v>
          </cell>
          <cell r="Z45">
            <v>5.4697500000000012</v>
          </cell>
          <cell r="AA45">
            <v>1.3162499999999999</v>
          </cell>
        </row>
        <row r="46">
          <cell r="W46">
            <v>529.26342672413818</v>
          </cell>
          <cell r="X46">
            <v>378.87249007586189</v>
          </cell>
          <cell r="Y46">
            <v>35.206483200000001</v>
          </cell>
          <cell r="Z46">
            <v>5.360850000000001</v>
          </cell>
          <cell r="AA46">
            <v>1.2967499999999998</v>
          </cell>
        </row>
        <row r="47">
          <cell r="W47">
            <v>511.57803526645785</v>
          </cell>
          <cell r="X47">
            <v>372.57289913354214</v>
          </cell>
          <cell r="Y47">
            <v>34.322265600000001</v>
          </cell>
          <cell r="Z47">
            <v>5.2503000000000011</v>
          </cell>
          <cell r="AA47">
            <v>1.2765</v>
          </cell>
        </row>
        <row r="48">
          <cell r="W48">
            <v>494.09574686520398</v>
          </cell>
          <cell r="X48">
            <v>366.07488993479603</v>
          </cell>
          <cell r="Y48">
            <v>33.435763199999997</v>
          </cell>
          <cell r="Z48">
            <v>5.1381000000000014</v>
          </cell>
          <cell r="AA48">
            <v>1.2555000000000001</v>
          </cell>
        </row>
        <row r="49">
          <cell r="W49">
            <v>476.81656152037635</v>
          </cell>
          <cell r="X49">
            <v>359.37846247962364</v>
          </cell>
          <cell r="Y49">
            <v>32.546976000000001</v>
          </cell>
          <cell r="Z49">
            <v>5.0242500000000012</v>
          </cell>
          <cell r="AA49">
            <v>1.2337499999999999</v>
          </cell>
        </row>
        <row r="50">
          <cell r="W50">
            <v>459.74047923197509</v>
          </cell>
          <cell r="X50">
            <v>352.48361676802483</v>
          </cell>
          <cell r="Y50">
            <v>31.655904</v>
          </cell>
          <cell r="Z50">
            <v>4.9087500000000004</v>
          </cell>
          <cell r="AA50">
            <v>1.2112499999999997</v>
          </cell>
        </row>
        <row r="51">
          <cell r="W51">
            <v>442.86750000000018</v>
          </cell>
          <cell r="X51">
            <v>345.39035279999985</v>
          </cell>
          <cell r="Y51">
            <v>30.7625472</v>
          </cell>
          <cell r="Z51">
            <v>4.7916000000000016</v>
          </cell>
          <cell r="AA51">
            <v>1.1879999999999999</v>
          </cell>
        </row>
        <row r="52">
          <cell r="W52">
            <v>428.59553563636376</v>
          </cell>
          <cell r="X52">
            <v>335.7326606644362</v>
          </cell>
          <cell r="Y52">
            <v>29.850235699199999</v>
          </cell>
          <cell r="Z52">
            <v>4.6618880000000011</v>
          </cell>
          <cell r="AA52">
            <v>1.1596799999999998</v>
          </cell>
        </row>
        <row r="53">
          <cell r="W53">
            <v>422.21262873667729</v>
          </cell>
          <cell r="X53">
            <v>332.18951514679861</v>
          </cell>
          <cell r="Y53">
            <v>29.483871013075863</v>
          </cell>
          <cell r="Z53">
            <v>4.6168926896551739</v>
          </cell>
          <cell r="AA53">
            <v>1.1522648275862069</v>
          </cell>
        </row>
        <row r="54">
          <cell r="W54">
            <v>415.8517495203763</v>
          </cell>
          <cell r="X54">
            <v>328.62545543454775</v>
          </cell>
          <cell r="Y54">
            <v>29.116992010593101</v>
          </cell>
          <cell r="Z54">
            <v>4.5714968275862082</v>
          </cell>
          <cell r="AA54">
            <v>1.1446510344827585</v>
          </cell>
        </row>
        <row r="55">
          <cell r="W55">
            <v>409.51289798746103</v>
          </cell>
          <cell r="X55">
            <v>325.04048152768388</v>
          </cell>
          <cell r="Y55">
            <v>28.749598691751729</v>
          </cell>
          <cell r="Z55">
            <v>4.5257004137931052</v>
          </cell>
          <cell r="AA55">
            <v>1.1368386206896552</v>
          </cell>
        </row>
        <row r="56">
          <cell r="W56">
            <v>403.19607413793119</v>
          </cell>
          <cell r="X56">
            <v>321.43459342620673</v>
          </cell>
          <cell r="Y56">
            <v>28.381691056551727</v>
          </cell>
          <cell r="Z56">
            <v>4.4795034482758638</v>
          </cell>
          <cell r="AA56">
            <v>1.1288275862068964</v>
          </cell>
        </row>
        <row r="57">
          <cell r="W57">
            <v>396.90127797178707</v>
          </cell>
          <cell r="X57">
            <v>317.80779113011653</v>
          </cell>
          <cell r="Y57">
            <v>28.013269104993107</v>
          </cell>
          <cell r="Z57">
            <v>4.432905931034484</v>
          </cell>
          <cell r="AA57">
            <v>1.1206179310344826</v>
          </cell>
        </row>
        <row r="58">
          <cell r="W58">
            <v>390.62850948902832</v>
          </cell>
          <cell r="X58">
            <v>314.16007463941304</v>
          </cell>
          <cell r="Y58">
            <v>27.644332837075861</v>
          </cell>
          <cell r="Z58">
            <v>4.3859078620689669</v>
          </cell>
          <cell r="AA58">
            <v>1.1122096551724137</v>
          </cell>
        </row>
        <row r="59">
          <cell r="W59">
            <v>384.37776868965534</v>
          </cell>
          <cell r="X59">
            <v>310.49144395409644</v>
          </cell>
          <cell r="Y59">
            <v>27.274882252800001</v>
          </cell>
          <cell r="Z59">
            <v>4.3385092413793123</v>
          </cell>
          <cell r="AA59">
            <v>1.1036027586206896</v>
          </cell>
        </row>
        <row r="60">
          <cell r="W60">
            <v>378.14905557366779</v>
          </cell>
          <cell r="X60">
            <v>306.80189907416661</v>
          </cell>
          <cell r="Y60">
            <v>26.904917352165516</v>
          </cell>
          <cell r="Z60">
            <v>4.2907100689655175</v>
          </cell>
          <cell r="AA60">
            <v>1.0947972413793101</v>
          </cell>
        </row>
        <row r="61">
          <cell r="W61">
            <v>371.94237014106602</v>
          </cell>
          <cell r="X61">
            <v>303.09143999962367</v>
          </cell>
          <cell r="Y61">
            <v>26.534438135172415</v>
          </cell>
          <cell r="Z61">
            <v>4.2425103448275872</v>
          </cell>
          <cell r="AA61">
            <v>1.0857931034482757</v>
          </cell>
        </row>
        <row r="62">
          <cell r="W62">
            <v>365.75771239184962</v>
          </cell>
          <cell r="X62">
            <v>299.36006673046751</v>
          </cell>
          <cell r="Y62">
            <v>26.163444601820686</v>
          </cell>
          <cell r="Z62">
            <v>4.1939100689655175</v>
          </cell>
          <cell r="AA62">
            <v>1.076590344827586</v>
          </cell>
        </row>
        <row r="63">
          <cell r="W63">
            <v>359.595082326019</v>
          </cell>
          <cell r="X63">
            <v>295.60777926669829</v>
          </cell>
          <cell r="Y63">
            <v>25.791936752110349</v>
          </cell>
          <cell r="Z63">
            <v>4.1449092413793123</v>
          </cell>
          <cell r="AA63">
            <v>1.0671889655172413</v>
          </cell>
        </row>
        <row r="64">
          <cell r="W64">
            <v>353.45447994357386</v>
          </cell>
          <cell r="X64">
            <v>291.8345776083159</v>
          </cell>
          <cell r="Y64">
            <v>25.419914586041383</v>
          </cell>
          <cell r="Z64">
            <v>4.0955078620689669</v>
          </cell>
          <cell r="AA64">
            <v>1.0575889655172415</v>
          </cell>
        </row>
        <row r="65">
          <cell r="W65">
            <v>347.33590524451427</v>
          </cell>
          <cell r="X65">
            <v>288.04046175532022</v>
          </cell>
          <cell r="Y65">
            <v>25.047378103613795</v>
          </cell>
          <cell r="Z65">
            <v>4.0457059310344841</v>
          </cell>
          <cell r="AA65">
            <v>1.047790344827586</v>
          </cell>
        </row>
        <row r="66">
          <cell r="W66">
            <v>341.23935822884027</v>
          </cell>
          <cell r="X66">
            <v>284.22543170771149</v>
          </cell>
          <cell r="Y66">
            <v>24.674327304827589</v>
          </cell>
          <cell r="Z66">
            <v>3.9955034482758638</v>
          </cell>
          <cell r="AA66">
            <v>1.0377931034482759</v>
          </cell>
        </row>
        <row r="67">
          <cell r="W67">
            <v>335.16483889655183</v>
          </cell>
          <cell r="X67">
            <v>280.38948746548954</v>
          </cell>
          <cell r="Y67">
            <v>24.300762189682757</v>
          </cell>
          <cell r="Z67">
            <v>3.9449004137931043</v>
          </cell>
          <cell r="AA67">
            <v>1.0275972413793102</v>
          </cell>
        </row>
        <row r="68">
          <cell r="W68">
            <v>329.11234724764904</v>
          </cell>
          <cell r="X68">
            <v>276.53262902865441</v>
          </cell>
          <cell r="Y68">
            <v>23.926682758179311</v>
          </cell>
          <cell r="Z68">
            <v>3.8938968275862083</v>
          </cell>
          <cell r="AA68">
            <v>1.0172027586206895</v>
          </cell>
        </row>
        <row r="69">
          <cell r="W69">
            <v>323.08188328213174</v>
          </cell>
          <cell r="X69">
            <v>272.65485639720612</v>
          </cell>
          <cell r="Y69">
            <v>23.552089010317239</v>
          </cell>
          <cell r="Z69">
            <v>3.842492689655173</v>
          </cell>
          <cell r="AA69">
            <v>1.0066096551724135</v>
          </cell>
        </row>
        <row r="70">
          <cell r="W70">
            <v>317.07344700000016</v>
          </cell>
          <cell r="X70">
            <v>268.75616957114471</v>
          </cell>
          <cell r="Y70">
            <v>23.176980946096556</v>
          </cell>
          <cell r="Z70">
            <v>3.7906880000000016</v>
          </cell>
          <cell r="AA70">
            <v>0.99581793103448268</v>
          </cell>
        </row>
        <row r="71">
          <cell r="W71">
            <v>311.08703840125401</v>
          </cell>
          <cell r="X71">
            <v>264.83656855047008</v>
          </cell>
          <cell r="Y71">
            <v>22.801358565517244</v>
          </cell>
          <cell r="Z71">
            <v>3.7384827586206906</v>
          </cell>
          <cell r="AA71">
            <v>0.98482758620689637</v>
          </cell>
        </row>
        <row r="72">
          <cell r="W72">
            <v>305.12265748589357</v>
          </cell>
          <cell r="X72">
            <v>260.89605333518233</v>
          </cell>
          <cell r="Y72">
            <v>22.425221868579314</v>
          </cell>
          <cell r="Z72">
            <v>3.6858769655172425</v>
          </cell>
          <cell r="AA72">
            <v>0.97363862068965512</v>
          </cell>
        </row>
        <row r="73">
          <cell r="W73">
            <v>299.18030425391862</v>
          </cell>
          <cell r="X73">
            <v>256.93462392528141</v>
          </cell>
          <cell r="Y73">
            <v>22.048570855282762</v>
          </cell>
          <cell r="Z73">
            <v>3.6328706206896562</v>
          </cell>
          <cell r="AA73">
            <v>0.96225103448275862</v>
          </cell>
        </row>
        <row r="74">
          <cell r="W74">
            <v>293.25997870532927</v>
          </cell>
          <cell r="X74">
            <v>252.95228032076727</v>
          </cell>
          <cell r="Y74">
            <v>21.671405525627588</v>
          </cell>
          <cell r="Z74">
            <v>3.5794637241379319</v>
          </cell>
          <cell r="AA74">
            <v>0.95066482758620674</v>
          </cell>
        </row>
        <row r="75">
          <cell r="W75">
            <v>287.36168084012553</v>
          </cell>
          <cell r="X75">
            <v>248.94902252164002</v>
          </cell>
          <cell r="Y75">
            <v>21.293725879613795</v>
          </cell>
          <cell r="Z75">
            <v>3.5256562758620702</v>
          </cell>
          <cell r="AA75">
            <v>0.93887999999999994</v>
          </cell>
        </row>
        <row r="76">
          <cell r="W76">
            <v>281.48541065830733</v>
          </cell>
          <cell r="X76">
            <v>244.92485052789957</v>
          </cell>
          <cell r="Y76">
            <v>20.915531917241378</v>
          </cell>
          <cell r="Z76">
            <v>3.4714482758620693</v>
          </cell>
          <cell r="AA76">
            <v>0.92689655172413765</v>
          </cell>
        </row>
        <row r="77">
          <cell r="W77">
            <v>275.63116815987473</v>
          </cell>
          <cell r="X77">
            <v>240.87976433954603</v>
          </cell>
          <cell r="Y77">
            <v>20.536823638510349</v>
          </cell>
          <cell r="Z77">
            <v>3.4168397241379327</v>
          </cell>
          <cell r="AA77">
            <v>0.91471448275862066</v>
          </cell>
        </row>
        <row r="78">
          <cell r="W78">
            <v>269.79895334482774</v>
          </cell>
          <cell r="X78">
            <v>236.81376395657921</v>
          </cell>
          <cell r="Y78">
            <v>20.157601043420691</v>
          </cell>
          <cell r="Z78">
            <v>3.361830620689656</v>
          </cell>
          <cell r="AA78">
            <v>0.90233379310344808</v>
          </cell>
        </row>
        <row r="79">
          <cell r="W79">
            <v>263.98876621316629</v>
          </cell>
          <cell r="X79">
            <v>232.7268493789993</v>
          </cell>
          <cell r="Y79">
            <v>19.777864131972418</v>
          </cell>
          <cell r="Z79">
            <v>3.3064209655172427</v>
          </cell>
          <cell r="AA79">
            <v>0.88975448275862057</v>
          </cell>
        </row>
        <row r="80">
          <cell r="W80">
            <v>258.20060676489038</v>
          </cell>
          <cell r="X80">
            <v>228.61902060680615</v>
          </cell>
          <cell r="Y80">
            <v>19.397612904165516</v>
          </cell>
          <cell r="Z80">
            <v>3.2506107586206903</v>
          </cell>
          <cell r="AA80">
            <v>0.87697655172413769</v>
          </cell>
        </row>
        <row r="81">
          <cell r="W81">
            <v>252.43447500000011</v>
          </cell>
          <cell r="X81">
            <v>224.4902776399999</v>
          </cell>
          <cell r="Y81">
            <v>19.016847360000003</v>
          </cell>
          <cell r="Z81">
            <v>3.1944000000000008</v>
          </cell>
          <cell r="AA81">
            <v>0.86399999999999988</v>
          </cell>
        </row>
        <row r="82">
          <cell r="W82">
            <v>251.17370503875009</v>
          </cell>
          <cell r="X82">
            <v>224.13955671684883</v>
          </cell>
          <cell r="Y82">
            <v>18.962934597734399</v>
          </cell>
          <cell r="Z82">
            <v>3.191711380000001</v>
          </cell>
          <cell r="AA82">
            <v>0.86542559999999991</v>
          </cell>
        </row>
        <row r="83">
          <cell r="W83">
            <v>249.91573990500015</v>
          </cell>
          <cell r="X83">
            <v>223.78617639568901</v>
          </cell>
          <cell r="Y83">
            <v>18.908958445977603</v>
          </cell>
          <cell r="Z83">
            <v>3.1889695200000014</v>
          </cell>
          <cell r="AA83">
            <v>0.86682239999999999</v>
          </cell>
        </row>
        <row r="84">
          <cell r="W84">
            <v>248.66057959875008</v>
          </cell>
          <cell r="X84">
            <v>223.43013667652031</v>
          </cell>
          <cell r="Y84">
            <v>18.854918904729601</v>
          </cell>
          <cell r="Z84">
            <v>3.1861744200000008</v>
          </cell>
          <cell r="AA84">
            <v>0.86819039999999992</v>
          </cell>
        </row>
        <row r="85">
          <cell r="W85">
            <v>247.40822412000006</v>
          </cell>
          <cell r="X85">
            <v>223.07143755934285</v>
          </cell>
          <cell r="Y85">
            <v>18.800815973990403</v>
          </cell>
          <cell r="Z85">
            <v>3.1833260800000005</v>
          </cell>
          <cell r="AA85">
            <v>0.8695295999999999</v>
          </cell>
        </row>
        <row r="86">
          <cell r="W86">
            <v>246.1586734687501</v>
          </cell>
          <cell r="X86">
            <v>222.7100790441566</v>
          </cell>
          <cell r="Y86">
            <v>18.746649653760002</v>
          </cell>
          <cell r="Z86">
            <v>3.1804245000000009</v>
          </cell>
          <cell r="AA86">
            <v>0.87083999999999984</v>
          </cell>
        </row>
        <row r="87">
          <cell r="W87">
            <v>244.91192764500008</v>
          </cell>
          <cell r="X87">
            <v>222.34606113096154</v>
          </cell>
          <cell r="Y87">
            <v>18.692419944038399</v>
          </cell>
          <cell r="Z87">
            <v>3.1774696800000006</v>
          </cell>
          <cell r="AA87">
            <v>0.87212159999999983</v>
          </cell>
        </row>
        <row r="88">
          <cell r="W88">
            <v>243.66798664875006</v>
          </cell>
          <cell r="X88">
            <v>221.97938381975766</v>
          </cell>
          <cell r="Y88">
            <v>18.638126844825603</v>
          </cell>
          <cell r="Z88">
            <v>3.1744616200000007</v>
          </cell>
          <cell r="AA88">
            <v>0.87337439999999977</v>
          </cell>
        </row>
        <row r="89">
          <cell r="W89">
            <v>242.42685048000007</v>
          </cell>
          <cell r="X89">
            <v>221.610047110545</v>
          </cell>
          <cell r="Y89">
            <v>18.583770356121605</v>
          </cell>
          <cell r="Z89">
            <v>3.1714003200000014</v>
          </cell>
          <cell r="AA89">
            <v>0.87459839999999989</v>
          </cell>
        </row>
        <row r="90">
          <cell r="W90">
            <v>241.18851913875008</v>
          </cell>
          <cell r="X90">
            <v>221.23805100332353</v>
          </cell>
          <cell r="Y90">
            <v>18.5293504779264</v>
          </cell>
          <cell r="Z90">
            <v>3.1682857800000011</v>
          </cell>
          <cell r="AA90">
            <v>0.87579359999999995</v>
          </cell>
        </row>
        <row r="91">
          <cell r="W91">
            <v>239.95299262500004</v>
          </cell>
          <cell r="X91">
            <v>220.86339549809324</v>
          </cell>
          <cell r="Y91">
            <v>18.474867210239999</v>
          </cell>
          <cell r="Z91">
            <v>3.165118000000001</v>
          </cell>
          <cell r="AA91">
            <v>0.87695999999999985</v>
          </cell>
        </row>
        <row r="92">
          <cell r="W92">
            <v>238.72027093875008</v>
          </cell>
          <cell r="X92">
            <v>220.4860805948542</v>
          </cell>
          <cell r="Y92">
            <v>18.420320553062403</v>
          </cell>
          <cell r="Z92">
            <v>3.1618969800000007</v>
          </cell>
          <cell r="AA92">
            <v>0.87809759999999992</v>
          </cell>
        </row>
        <row r="93">
          <cell r="W93">
            <v>237.49035408000006</v>
          </cell>
          <cell r="X93">
            <v>220.10610629360633</v>
          </cell>
          <cell r="Y93">
            <v>18.365710506393601</v>
          </cell>
          <cell r="Z93">
            <v>3.1586227200000008</v>
          </cell>
          <cell r="AA93">
            <v>0.87920639999999994</v>
          </cell>
        </row>
        <row r="94">
          <cell r="W94">
            <v>236.26324204875004</v>
          </cell>
          <cell r="X94">
            <v>219.72347259434966</v>
          </cell>
          <cell r="Y94">
            <v>18.311037070233599</v>
          </cell>
          <cell r="Z94">
            <v>3.1552952200000006</v>
          </cell>
          <cell r="AA94">
            <v>0.8802863999999998</v>
          </cell>
        </row>
        <row r="95">
          <cell r="W95">
            <v>235.03893484500006</v>
          </cell>
          <cell r="X95">
            <v>219.33817949708421</v>
          </cell>
          <cell r="Y95">
            <v>18.256300244582402</v>
          </cell>
          <cell r="Z95">
            <v>3.1519144800000012</v>
          </cell>
          <cell r="AA95">
            <v>0.88133759999999994</v>
          </cell>
        </row>
        <row r="96">
          <cell r="W96">
            <v>233.81743246875004</v>
          </cell>
          <cell r="X96">
            <v>218.95022700180996</v>
          </cell>
          <cell r="Y96">
            <v>18.201500029439998</v>
          </cell>
          <cell r="Z96">
            <v>3.1484805000000007</v>
          </cell>
          <cell r="AA96">
            <v>0.88235999999999981</v>
          </cell>
        </row>
        <row r="97">
          <cell r="W97">
            <v>232.59873492000003</v>
          </cell>
          <cell r="X97">
            <v>218.55961510852688</v>
          </cell>
          <cell r="Y97">
            <v>18.146636424806402</v>
          </cell>
          <cell r="Z97">
            <v>3.1449932800000009</v>
          </cell>
          <cell r="AA97">
            <v>0.88335359999999985</v>
          </cell>
        </row>
        <row r="98">
          <cell r="W98">
            <v>231.38284219875004</v>
          </cell>
          <cell r="X98">
            <v>218.16634381723503</v>
          </cell>
          <cell r="Y98">
            <v>18.0917094306816</v>
          </cell>
          <cell r="Z98">
            <v>3.1414528200000014</v>
          </cell>
          <cell r="AA98">
            <v>0.88431839999999995</v>
          </cell>
        </row>
        <row r="99">
          <cell r="W99">
            <v>230.16975430500003</v>
          </cell>
          <cell r="X99">
            <v>217.77041312793438</v>
          </cell>
          <cell r="Y99">
            <v>18.036719047065599</v>
          </cell>
          <cell r="Z99">
            <v>3.1378591200000008</v>
          </cell>
          <cell r="AA99">
            <v>0.88525439999999977</v>
          </cell>
        </row>
        <row r="100">
          <cell r="W100">
            <v>228.95947123875001</v>
          </cell>
          <cell r="X100">
            <v>217.37182304062489</v>
          </cell>
          <cell r="Y100">
            <v>17.981665273958399</v>
          </cell>
          <cell r="Z100">
            <v>3.1342121800000009</v>
          </cell>
          <cell r="AA100">
            <v>0.88616159999999988</v>
          </cell>
        </row>
        <row r="101">
          <cell r="W101">
            <v>227.75199300000003</v>
          </cell>
          <cell r="X101">
            <v>216.97057355530666</v>
          </cell>
          <cell r="Y101">
            <v>17.926548111360002</v>
          </cell>
          <cell r="Z101">
            <v>3.1305120000000008</v>
          </cell>
          <cell r="AA101">
            <v>0.88703999999999994</v>
          </cell>
        </row>
        <row r="102">
          <cell r="W102">
            <v>226.54731958875001</v>
          </cell>
          <cell r="X102">
            <v>216.56666467197957</v>
          </cell>
          <cell r="Y102">
            <v>17.8713675592704</v>
          </cell>
          <cell r="Z102">
            <v>3.1267585800000011</v>
          </cell>
          <cell r="AA102">
            <v>0.88788959999999983</v>
          </cell>
        </row>
        <row r="103">
          <cell r="W103">
            <v>225.345451005</v>
          </cell>
          <cell r="X103">
            <v>216.1600963906437</v>
          </cell>
          <cell r="Y103">
            <v>17.816123617689598</v>
          </cell>
          <cell r="Z103">
            <v>3.1229519200000007</v>
          </cell>
          <cell r="AA103">
            <v>0.88871039999999979</v>
          </cell>
        </row>
        <row r="104">
          <cell r="W104">
            <v>224.14638724875002</v>
          </cell>
          <cell r="X104">
            <v>215.75086871129903</v>
          </cell>
          <cell r="Y104">
            <v>17.760816286617601</v>
          </cell>
          <cell r="Z104">
            <v>3.119092020000001</v>
          </cell>
          <cell r="AA104">
            <v>0.88950239999999992</v>
          </cell>
        </row>
        <row r="105">
          <cell r="W105">
            <v>222.95012832</v>
          </cell>
          <cell r="X105">
            <v>215.33898163394556</v>
          </cell>
          <cell r="Y105">
            <v>17.705445566054401</v>
          </cell>
          <cell r="Z105">
            <v>3.1151788800000011</v>
          </cell>
          <cell r="AA105">
            <v>0.89026559999999988</v>
          </cell>
        </row>
        <row r="106">
          <cell r="W106">
            <v>221.75667421874999</v>
          </cell>
          <cell r="X106">
            <v>214.92443515858329</v>
          </cell>
          <cell r="Y106">
            <v>17.650011456000001</v>
          </cell>
          <cell r="Z106">
            <v>3.1112125000000006</v>
          </cell>
          <cell r="AA106">
            <v>0.8909999999999999</v>
          </cell>
        </row>
        <row r="107">
          <cell r="W107">
            <v>220.56602494500001</v>
          </cell>
          <cell r="X107">
            <v>214.50722928521225</v>
          </cell>
          <cell r="Y107">
            <v>17.594513956454403</v>
          </cell>
          <cell r="Z107">
            <v>3.1071928800000013</v>
          </cell>
          <cell r="AA107">
            <v>0.89170559999999999</v>
          </cell>
        </row>
        <row r="108">
          <cell r="W108">
            <v>219.37818049875</v>
          </cell>
          <cell r="X108">
            <v>214.08736401383237</v>
          </cell>
          <cell r="Y108">
            <v>17.538953067417602</v>
          </cell>
          <cell r="Z108">
            <v>3.1031200200000009</v>
          </cell>
          <cell r="AA108">
            <v>0.89238239999999991</v>
          </cell>
        </row>
        <row r="109">
          <cell r="W109">
            <v>218.19314087999999</v>
          </cell>
          <cell r="X109">
            <v>213.66483934444372</v>
          </cell>
          <cell r="Y109">
            <v>17.483328788889601</v>
          </cell>
          <cell r="Z109">
            <v>3.0989939200000007</v>
          </cell>
          <cell r="AA109">
            <v>0.89303039999999978</v>
          </cell>
        </row>
        <row r="110">
          <cell r="W110">
            <v>217.01090608874998</v>
          </cell>
          <cell r="X110">
            <v>213.23965527704627</v>
          </cell>
          <cell r="Y110">
            <v>17.427641120870401</v>
          </cell>
          <cell r="Z110">
            <v>3.0948145800000009</v>
          </cell>
          <cell r="AA110">
            <v>0.89364959999999993</v>
          </cell>
        </row>
        <row r="111">
          <cell r="W111">
            <v>215.83147612499999</v>
          </cell>
          <cell r="X111">
            <v>212.81181181163998</v>
          </cell>
          <cell r="Y111">
            <v>17.371890063360002</v>
          </cell>
          <cell r="Z111">
            <v>3.0905820000000008</v>
          </cell>
          <cell r="AA111">
            <v>0.89423999999999992</v>
          </cell>
        </row>
        <row r="112">
          <cell r="W112">
            <v>214.23272445000001</v>
          </cell>
          <cell r="X112">
            <v>211.23542802044267</v>
          </cell>
          <cell r="Y112">
            <v>17.243209396224003</v>
          </cell>
          <cell r="Z112">
            <v>3.0676888000000009</v>
          </cell>
          <cell r="AA112">
            <v>0.88761599999999996</v>
          </cell>
        </row>
        <row r="113">
          <cell r="W113">
            <v>212.63397277499999</v>
          </cell>
          <cell r="X113">
            <v>209.65904422924532</v>
          </cell>
          <cell r="Y113">
            <v>17.114528729088001</v>
          </cell>
          <cell r="Z113">
            <v>3.0447956000000009</v>
          </cell>
          <cell r="AA113">
            <v>0.88099199999999989</v>
          </cell>
        </row>
        <row r="114">
          <cell r="W114">
            <v>211.03522109999997</v>
          </cell>
          <cell r="X114">
            <v>208.08266043804798</v>
          </cell>
          <cell r="Y114">
            <v>16.985848061952002</v>
          </cell>
          <cell r="Z114">
            <v>3.021902400000001</v>
          </cell>
          <cell r="AA114">
            <v>0.87436799999999992</v>
          </cell>
        </row>
        <row r="115">
          <cell r="W115">
            <v>209.43646942499998</v>
          </cell>
          <cell r="X115">
            <v>206.50627664685067</v>
          </cell>
          <cell r="Y115">
            <v>16.857167394816003</v>
          </cell>
          <cell r="Z115">
            <v>2.999009200000001</v>
          </cell>
          <cell r="AA115">
            <v>0.86774399999999996</v>
          </cell>
        </row>
        <row r="116">
          <cell r="W116">
            <v>207.83771775</v>
          </cell>
          <cell r="X116">
            <v>204.92989285565335</v>
          </cell>
          <cell r="Y116">
            <v>16.728486727680004</v>
          </cell>
          <cell r="Z116">
            <v>2.9761160000000011</v>
          </cell>
          <cell r="AA116">
            <v>0.86112</v>
          </cell>
        </row>
        <row r="117">
          <cell r="W117">
            <v>206.23896607499995</v>
          </cell>
          <cell r="X117">
            <v>203.35350906445598</v>
          </cell>
          <cell r="Y117">
            <v>16.599806060543997</v>
          </cell>
          <cell r="Z117">
            <v>2.9532228000000003</v>
          </cell>
          <cell r="AA117">
            <v>0.85449599999999981</v>
          </cell>
        </row>
        <row r="118">
          <cell r="W118">
            <v>204.64021439999996</v>
          </cell>
          <cell r="X118">
            <v>201.77712527325863</v>
          </cell>
          <cell r="Y118">
            <v>16.471125393407998</v>
          </cell>
          <cell r="Z118">
            <v>2.9303296000000008</v>
          </cell>
          <cell r="AA118">
            <v>0.84787199999999985</v>
          </cell>
        </row>
        <row r="119">
          <cell r="W119">
            <v>203.04146272499997</v>
          </cell>
          <cell r="X119">
            <v>200.20074148206132</v>
          </cell>
          <cell r="Y119">
            <v>16.342444726271999</v>
          </cell>
          <cell r="Z119">
            <v>2.9074364000000008</v>
          </cell>
          <cell r="AA119">
            <v>0.84124799999999988</v>
          </cell>
        </row>
        <row r="120">
          <cell r="W120">
            <v>201.44271104999999</v>
          </cell>
          <cell r="X120">
            <v>198.624357690864</v>
          </cell>
          <cell r="Y120">
            <v>16.213764059136</v>
          </cell>
          <cell r="Z120">
            <v>2.8845432000000009</v>
          </cell>
          <cell r="AA120">
            <v>0.83462399999999992</v>
          </cell>
        </row>
        <row r="121">
          <cell r="W121">
            <v>199.84395937499997</v>
          </cell>
          <cell r="X121">
            <v>197.04797389966663</v>
          </cell>
          <cell r="Y121">
            <v>16.085083391999998</v>
          </cell>
          <cell r="Z121">
            <v>2.8616500000000005</v>
          </cell>
          <cell r="AA121">
            <v>0.82799999999999985</v>
          </cell>
        </row>
        <row r="122">
          <cell r="W122">
            <v>198.24520769999998</v>
          </cell>
          <cell r="X122">
            <v>195.47159010846931</v>
          </cell>
          <cell r="Y122">
            <v>15.956402724864001</v>
          </cell>
          <cell r="Z122">
            <v>2.8387568000000005</v>
          </cell>
          <cell r="AA122">
            <v>0.82137599999999988</v>
          </cell>
        </row>
        <row r="123">
          <cell r="W123">
            <v>196.64645602499999</v>
          </cell>
          <cell r="X123">
            <v>193.895206317272</v>
          </cell>
          <cell r="Y123">
            <v>15.827722057728002</v>
          </cell>
          <cell r="Z123">
            <v>2.8158636000000006</v>
          </cell>
          <cell r="AA123">
            <v>0.81475199999999992</v>
          </cell>
        </row>
        <row r="124">
          <cell r="W124">
            <v>195.04770435</v>
          </cell>
          <cell r="X124">
            <v>192.31882252607468</v>
          </cell>
          <cell r="Y124">
            <v>15.699041390592001</v>
          </cell>
          <cell r="Z124">
            <v>2.7929704000000011</v>
          </cell>
          <cell r="AA124">
            <v>0.80812799999999996</v>
          </cell>
        </row>
        <row r="125">
          <cell r="W125">
            <v>193.44895267499999</v>
          </cell>
          <cell r="X125">
            <v>190.74243873487731</v>
          </cell>
          <cell r="Y125">
            <v>15.570360723456</v>
          </cell>
          <cell r="Z125">
            <v>2.7700772000000007</v>
          </cell>
          <cell r="AA125">
            <v>0.80150399999999988</v>
          </cell>
        </row>
        <row r="126">
          <cell r="W126">
            <v>191.850201</v>
          </cell>
          <cell r="X126">
            <v>189.16605494368</v>
          </cell>
          <cell r="Y126">
            <v>15.441680056320001</v>
          </cell>
          <cell r="Z126">
            <v>2.7471840000000007</v>
          </cell>
          <cell r="AA126">
            <v>0.79487999999999992</v>
          </cell>
        </row>
        <row r="127">
          <cell r="W127">
            <v>190.25144932500001</v>
          </cell>
          <cell r="X127">
            <v>187.58967115248268</v>
          </cell>
          <cell r="Y127">
            <v>15.312999389184002</v>
          </cell>
          <cell r="Z127">
            <v>2.7242908000000008</v>
          </cell>
          <cell r="AA127">
            <v>0.78825599999999996</v>
          </cell>
        </row>
        <row r="128">
          <cell r="W128">
            <v>188.65269764999996</v>
          </cell>
          <cell r="X128">
            <v>186.01328736128531</v>
          </cell>
          <cell r="Y128">
            <v>15.184318722047999</v>
          </cell>
          <cell r="Z128">
            <v>2.7013976000000008</v>
          </cell>
          <cell r="AA128">
            <v>0.78163199999999988</v>
          </cell>
        </row>
        <row r="129">
          <cell r="W129">
            <v>187.05394597499998</v>
          </cell>
          <cell r="X129">
            <v>184.43690357008799</v>
          </cell>
          <cell r="Y129">
            <v>15.055638054912</v>
          </cell>
          <cell r="Z129">
            <v>2.6785044000000009</v>
          </cell>
          <cell r="AA129">
            <v>0.77500799999999992</v>
          </cell>
        </row>
        <row r="130">
          <cell r="W130">
            <v>185.45519429999999</v>
          </cell>
          <cell r="X130">
            <v>182.86051977889068</v>
          </cell>
          <cell r="Y130">
            <v>14.926957387776001</v>
          </cell>
          <cell r="Z130">
            <v>2.6556112000000009</v>
          </cell>
          <cell r="AA130">
            <v>0.76838399999999996</v>
          </cell>
        </row>
        <row r="131">
          <cell r="W131">
            <v>183.856442625</v>
          </cell>
          <cell r="X131">
            <v>181.28413598769336</v>
          </cell>
          <cell r="Y131">
            <v>14.798276720640002</v>
          </cell>
          <cell r="Z131">
            <v>2.632718000000001</v>
          </cell>
          <cell r="AA131">
            <v>0.76175999999999999</v>
          </cell>
        </row>
        <row r="132">
          <cell r="W132">
            <v>182.25769094999998</v>
          </cell>
          <cell r="X132">
            <v>179.70775219649599</v>
          </cell>
          <cell r="Y132">
            <v>14.669596053504002</v>
          </cell>
          <cell r="Z132">
            <v>2.6098248000000006</v>
          </cell>
          <cell r="AA132">
            <v>0.75513599999999992</v>
          </cell>
        </row>
        <row r="133">
          <cell r="W133">
            <v>180.65893927499999</v>
          </cell>
          <cell r="X133">
            <v>178.13136840529867</v>
          </cell>
          <cell r="Y133">
            <v>14.540915386368001</v>
          </cell>
          <cell r="Z133">
            <v>2.5869316000000007</v>
          </cell>
          <cell r="AA133">
            <v>0.74851199999999996</v>
          </cell>
        </row>
        <row r="134">
          <cell r="W134">
            <v>179.06018760000001</v>
          </cell>
          <cell r="X134">
            <v>176.55498461410136</v>
          </cell>
          <cell r="Y134">
            <v>14.412234719232002</v>
          </cell>
          <cell r="Z134">
            <v>2.5640384000000012</v>
          </cell>
          <cell r="AA134">
            <v>0.74188799999999999</v>
          </cell>
        </row>
        <row r="135">
          <cell r="W135">
            <v>177.46143592500002</v>
          </cell>
          <cell r="X135">
            <v>174.97860082290401</v>
          </cell>
          <cell r="Y135">
            <v>14.283554052096003</v>
          </cell>
          <cell r="Z135">
            <v>2.5411452000000012</v>
          </cell>
          <cell r="AA135">
            <v>0.73526400000000003</v>
          </cell>
        </row>
        <row r="136">
          <cell r="W136">
            <v>175.86268425</v>
          </cell>
          <cell r="X136">
            <v>173.40221703170667</v>
          </cell>
          <cell r="Y136">
            <v>14.154873384960002</v>
          </cell>
          <cell r="Z136">
            <v>2.5182520000000008</v>
          </cell>
          <cell r="AA136">
            <v>0.72863999999999995</v>
          </cell>
        </row>
        <row r="137">
          <cell r="W137">
            <v>174.26393257500001</v>
          </cell>
          <cell r="X137">
            <v>171.82583324050935</v>
          </cell>
          <cell r="Y137">
            <v>14.026192717824003</v>
          </cell>
          <cell r="Z137">
            <v>2.4953588000000009</v>
          </cell>
          <cell r="AA137">
            <v>0.72201599999999999</v>
          </cell>
        </row>
        <row r="138">
          <cell r="W138">
            <v>172.66518090000002</v>
          </cell>
          <cell r="X138">
            <v>170.24944944931201</v>
          </cell>
          <cell r="Y138">
            <v>13.897512050688002</v>
          </cell>
          <cell r="Z138">
            <v>2.4724656000000009</v>
          </cell>
          <cell r="AA138">
            <v>0.71539200000000003</v>
          </cell>
        </row>
        <row r="139">
          <cell r="W139">
            <v>171.06642922500001</v>
          </cell>
          <cell r="X139">
            <v>168.67306565811467</v>
          </cell>
          <cell r="Y139">
            <v>13.768831383552001</v>
          </cell>
          <cell r="Z139">
            <v>2.449572400000001</v>
          </cell>
          <cell r="AA139">
            <v>0.70876799999999995</v>
          </cell>
        </row>
        <row r="140">
          <cell r="W140">
            <v>169.46767755000002</v>
          </cell>
          <cell r="X140">
            <v>167.09668186691735</v>
          </cell>
          <cell r="Y140">
            <v>13.640150716416002</v>
          </cell>
          <cell r="Z140">
            <v>2.426679200000001</v>
          </cell>
          <cell r="AA140">
            <v>0.70214399999999999</v>
          </cell>
        </row>
        <row r="141">
          <cell r="W141">
            <v>167.868925875</v>
          </cell>
          <cell r="X141">
            <v>165.52029807572004</v>
          </cell>
          <cell r="Y141">
            <v>13.511470049280003</v>
          </cell>
          <cell r="Z141">
            <v>2.4037860000000011</v>
          </cell>
          <cell r="AA141">
            <v>0.69552000000000003</v>
          </cell>
        </row>
        <row r="142">
          <cell r="W142">
            <v>167.06955003749997</v>
          </cell>
          <cell r="X142">
            <v>164.73210618012132</v>
          </cell>
          <cell r="Y142">
            <v>13.447129715712</v>
          </cell>
          <cell r="Z142">
            <v>2.3923394000000004</v>
          </cell>
          <cell r="AA142">
            <v>0.69220799999999982</v>
          </cell>
        </row>
        <row r="143">
          <cell r="W143">
            <v>166.27017420000001</v>
          </cell>
          <cell r="X143">
            <v>163.94391428452269</v>
          </cell>
          <cell r="Y143">
            <v>13.382789382144004</v>
          </cell>
          <cell r="Z143">
            <v>2.3808928000000011</v>
          </cell>
          <cell r="AA143">
            <v>0.68889600000000006</v>
          </cell>
        </row>
        <row r="144">
          <cell r="W144">
            <v>165.47079836250001</v>
          </cell>
          <cell r="X144">
            <v>163.15572238892403</v>
          </cell>
          <cell r="Y144">
            <v>13.318449048576003</v>
          </cell>
          <cell r="Z144">
            <v>2.3694462000000009</v>
          </cell>
          <cell r="AA144">
            <v>0.68558399999999997</v>
          </cell>
        </row>
        <row r="145">
          <cell r="W145">
            <v>164.67142252499997</v>
          </cell>
          <cell r="X145">
            <v>162.36753049332532</v>
          </cell>
          <cell r="Y145">
            <v>13.254108715008</v>
          </cell>
          <cell r="Z145">
            <v>2.3579996000000008</v>
          </cell>
          <cell r="AA145">
            <v>0.68227199999999988</v>
          </cell>
        </row>
        <row r="146">
          <cell r="W146">
            <v>163.87204668750002</v>
          </cell>
          <cell r="X146">
            <v>161.57933859772669</v>
          </cell>
          <cell r="Y146">
            <v>13.189768381440004</v>
          </cell>
          <cell r="Z146">
            <v>2.346553000000001</v>
          </cell>
          <cell r="AA146">
            <v>0.67896000000000001</v>
          </cell>
        </row>
        <row r="147">
          <cell r="W147">
            <v>163.07267084999998</v>
          </cell>
          <cell r="X147">
            <v>160.791146702128</v>
          </cell>
          <cell r="Y147">
            <v>13.125428047872001</v>
          </cell>
          <cell r="Z147">
            <v>2.3351064000000008</v>
          </cell>
          <cell r="AA147">
            <v>0.67564799999999992</v>
          </cell>
        </row>
        <row r="148">
          <cell r="W148">
            <v>162.27329501249997</v>
          </cell>
          <cell r="X148">
            <v>160.00295480652932</v>
          </cell>
          <cell r="Y148">
            <v>13.061087714304</v>
          </cell>
          <cell r="Z148">
            <v>2.3236598000000006</v>
          </cell>
          <cell r="AA148">
            <v>0.67233599999999982</v>
          </cell>
        </row>
        <row r="149">
          <cell r="W149">
            <v>161.47391917499999</v>
          </cell>
          <cell r="X149">
            <v>159.21476291093066</v>
          </cell>
          <cell r="Y149">
            <v>12.996747380736002</v>
          </cell>
          <cell r="Z149">
            <v>2.3122132000000009</v>
          </cell>
          <cell r="AA149">
            <v>0.66902399999999995</v>
          </cell>
        </row>
        <row r="150">
          <cell r="W150">
            <v>160.67454333749998</v>
          </cell>
          <cell r="X150">
            <v>158.426571015332</v>
          </cell>
          <cell r="Y150">
            <v>12.932407047168001</v>
          </cell>
          <cell r="Z150">
            <v>2.3007666000000007</v>
          </cell>
          <cell r="AA150">
            <v>0.66571199999999986</v>
          </cell>
        </row>
        <row r="151">
          <cell r="W151">
            <v>159.87516749999998</v>
          </cell>
          <cell r="X151">
            <v>157.63837911973332</v>
          </cell>
          <cell r="Y151">
            <v>12.868066713599999</v>
          </cell>
          <cell r="Z151">
            <v>2.2893200000000005</v>
          </cell>
          <cell r="AA151">
            <v>0.66239999999999988</v>
          </cell>
        </row>
        <row r="152">
          <cell r="W152">
            <v>159.0757916625</v>
          </cell>
          <cell r="X152">
            <v>156.85018722413469</v>
          </cell>
          <cell r="Y152">
            <v>12.803726380032002</v>
          </cell>
          <cell r="Z152">
            <v>2.2778734000000007</v>
          </cell>
          <cell r="AA152">
            <v>0.6590879999999999</v>
          </cell>
        </row>
        <row r="153">
          <cell r="W153">
            <v>158.27641582499999</v>
          </cell>
          <cell r="X153">
            <v>156.061995328536</v>
          </cell>
          <cell r="Y153">
            <v>12.739386046464</v>
          </cell>
          <cell r="Z153">
            <v>2.2664268000000005</v>
          </cell>
          <cell r="AA153">
            <v>0.65577599999999991</v>
          </cell>
        </row>
        <row r="154">
          <cell r="W154">
            <v>157.47703998749998</v>
          </cell>
          <cell r="X154">
            <v>155.27380343293731</v>
          </cell>
          <cell r="Y154">
            <v>12.675045712895999</v>
          </cell>
          <cell r="Z154">
            <v>2.2549802000000003</v>
          </cell>
          <cell r="AA154">
            <v>0.65246399999999982</v>
          </cell>
        </row>
        <row r="155">
          <cell r="W155">
            <v>156.67766415</v>
          </cell>
          <cell r="X155">
            <v>154.48561153733868</v>
          </cell>
          <cell r="Y155">
            <v>12.610705379328001</v>
          </cell>
          <cell r="Z155">
            <v>2.2435336000000006</v>
          </cell>
          <cell r="AA155">
            <v>0.64915199999999995</v>
          </cell>
        </row>
        <row r="156">
          <cell r="W156">
            <v>155.87828831249999</v>
          </cell>
          <cell r="X156">
            <v>153.69741964174</v>
          </cell>
          <cell r="Y156">
            <v>12.54636504576</v>
          </cell>
          <cell r="Z156">
            <v>2.2320870000000008</v>
          </cell>
          <cell r="AA156">
            <v>0.64583999999999986</v>
          </cell>
        </row>
        <row r="157">
          <cell r="W157">
            <v>155.07891247499998</v>
          </cell>
          <cell r="X157">
            <v>152.90922774614131</v>
          </cell>
          <cell r="Y157">
            <v>12.482024712192</v>
          </cell>
          <cell r="Z157">
            <v>2.2206404000000006</v>
          </cell>
          <cell r="AA157">
            <v>0.64252799999999988</v>
          </cell>
        </row>
        <row r="158">
          <cell r="W158">
            <v>154.2795366375</v>
          </cell>
          <cell r="X158">
            <v>152.12103585054268</v>
          </cell>
          <cell r="Y158">
            <v>12.417684378624001</v>
          </cell>
          <cell r="Z158">
            <v>2.2091938000000009</v>
          </cell>
          <cell r="AA158">
            <v>0.63921600000000001</v>
          </cell>
        </row>
        <row r="159">
          <cell r="W159">
            <v>153.48016079999999</v>
          </cell>
          <cell r="X159">
            <v>151.332843954944</v>
          </cell>
          <cell r="Y159">
            <v>12.353344045056001</v>
          </cell>
          <cell r="Z159">
            <v>2.1977472000000007</v>
          </cell>
          <cell r="AA159">
            <v>0.63590399999999991</v>
          </cell>
        </row>
        <row r="160">
          <cell r="W160">
            <v>152.68078496249998</v>
          </cell>
          <cell r="X160">
            <v>150.54465205934531</v>
          </cell>
          <cell r="Y160">
            <v>12.289003711488</v>
          </cell>
          <cell r="Z160">
            <v>2.1863006000000005</v>
          </cell>
          <cell r="AA160">
            <v>0.63259199999999982</v>
          </cell>
        </row>
        <row r="161">
          <cell r="W161">
            <v>151.881409125</v>
          </cell>
          <cell r="X161">
            <v>149.75646016374668</v>
          </cell>
          <cell r="Y161">
            <v>12.224663377920001</v>
          </cell>
          <cell r="Z161">
            <v>2.1748540000000007</v>
          </cell>
          <cell r="AA161">
            <v>0.62927999999999995</v>
          </cell>
        </row>
        <row r="162">
          <cell r="W162">
            <v>151.0820332875</v>
          </cell>
          <cell r="X162">
            <v>148.96826826814799</v>
          </cell>
          <cell r="Y162">
            <v>12.160323044352001</v>
          </cell>
          <cell r="Z162">
            <v>2.1634074000000005</v>
          </cell>
          <cell r="AA162">
            <v>0.62596799999999997</v>
          </cell>
        </row>
        <row r="163">
          <cell r="W163">
            <v>150.28265744999999</v>
          </cell>
          <cell r="X163">
            <v>148.18007637254931</v>
          </cell>
          <cell r="Y163">
            <v>12.095982710784</v>
          </cell>
          <cell r="Z163">
            <v>2.1519608000000003</v>
          </cell>
          <cell r="AA163">
            <v>0.62265599999999988</v>
          </cell>
        </row>
        <row r="164">
          <cell r="W164">
            <v>149.48328161249998</v>
          </cell>
          <cell r="X164">
            <v>147.39188447695065</v>
          </cell>
          <cell r="Y164">
            <v>12.031642377215999</v>
          </cell>
          <cell r="Z164">
            <v>2.1405142000000001</v>
          </cell>
          <cell r="AA164">
            <v>0.61934399999999989</v>
          </cell>
        </row>
        <row r="165">
          <cell r="W165">
            <v>148.683905775</v>
          </cell>
          <cell r="X165">
            <v>146.60369258135199</v>
          </cell>
          <cell r="Y165">
            <v>11.967302043648001</v>
          </cell>
          <cell r="Z165">
            <v>2.1290676000000004</v>
          </cell>
          <cell r="AA165">
            <v>0.61603199999999991</v>
          </cell>
        </row>
        <row r="166">
          <cell r="W166">
            <v>147.88452993749999</v>
          </cell>
          <cell r="X166">
            <v>145.81550068575331</v>
          </cell>
          <cell r="Y166">
            <v>11.90296171008</v>
          </cell>
          <cell r="Z166">
            <v>2.1176210000000006</v>
          </cell>
          <cell r="AA166">
            <v>0.61271999999999993</v>
          </cell>
        </row>
        <row r="167">
          <cell r="W167">
            <v>147.08515409999998</v>
          </cell>
          <cell r="X167">
            <v>145.02730879015465</v>
          </cell>
          <cell r="Y167">
            <v>11.838621376511998</v>
          </cell>
          <cell r="Z167">
            <v>2.1061744000000004</v>
          </cell>
          <cell r="AA167">
            <v>0.60940799999999984</v>
          </cell>
        </row>
        <row r="168">
          <cell r="W168">
            <v>146.2857782625</v>
          </cell>
          <cell r="X168">
            <v>144.23911689455599</v>
          </cell>
          <cell r="Y168">
            <v>11.774281042944001</v>
          </cell>
          <cell r="Z168">
            <v>2.0947278000000007</v>
          </cell>
          <cell r="AA168">
            <v>0.60609599999999997</v>
          </cell>
        </row>
        <row r="169">
          <cell r="W169">
            <v>145.48640242499999</v>
          </cell>
          <cell r="X169">
            <v>143.45092499895733</v>
          </cell>
          <cell r="Y169">
            <v>11.709940709375999</v>
          </cell>
          <cell r="Z169">
            <v>2.0832812000000005</v>
          </cell>
          <cell r="AA169">
            <v>0.60278399999999988</v>
          </cell>
        </row>
        <row r="170">
          <cell r="W170">
            <v>144.68702658749999</v>
          </cell>
          <cell r="X170">
            <v>142.66273310335865</v>
          </cell>
          <cell r="Y170">
            <v>11.645600375808</v>
          </cell>
          <cell r="Z170">
            <v>2.0718346000000003</v>
          </cell>
          <cell r="AA170">
            <v>0.59947199999999989</v>
          </cell>
        </row>
        <row r="171">
          <cell r="W171">
            <v>143.88765074999998</v>
          </cell>
          <cell r="X171">
            <v>141.87454120775999</v>
          </cell>
          <cell r="Y171">
            <v>11.58126004224</v>
          </cell>
          <cell r="Z171">
            <v>2.0603880000000006</v>
          </cell>
          <cell r="AA171">
            <v>0.59615999999999991</v>
          </cell>
        </row>
        <row r="172">
          <cell r="W172">
            <v>143.048306120625</v>
          </cell>
          <cell r="X172">
            <v>141.04693971738141</v>
          </cell>
          <cell r="Y172">
            <v>11.513702691993601</v>
          </cell>
          <cell r="Z172">
            <v>2.0483690700000006</v>
          </cell>
          <cell r="AA172">
            <v>0.59268239999999994</v>
          </cell>
        </row>
        <row r="173">
          <cell r="W173">
            <v>142.20896149124999</v>
          </cell>
          <cell r="X173">
            <v>140.21933822700279</v>
          </cell>
          <cell r="Y173">
            <v>11.446145341747201</v>
          </cell>
          <cell r="Z173">
            <v>2.0363501400000006</v>
          </cell>
          <cell r="AA173">
            <v>0.58920479999999997</v>
          </cell>
        </row>
        <row r="174">
          <cell r="W174">
            <v>141.36961686187499</v>
          </cell>
          <cell r="X174">
            <v>139.39173673662421</v>
          </cell>
          <cell r="Y174">
            <v>11.378587991500801</v>
          </cell>
          <cell r="Z174">
            <v>2.0243312100000006</v>
          </cell>
          <cell r="AA174">
            <v>0.58572719999999989</v>
          </cell>
        </row>
        <row r="175">
          <cell r="W175">
            <v>140.53027223249998</v>
          </cell>
          <cell r="X175">
            <v>138.5641352462456</v>
          </cell>
          <cell r="Y175">
            <v>11.311030641254401</v>
          </cell>
          <cell r="Z175">
            <v>2.0123122800000006</v>
          </cell>
          <cell r="AA175">
            <v>0.58224959999999992</v>
          </cell>
        </row>
        <row r="176">
          <cell r="W176">
            <v>139.690927603125</v>
          </cell>
          <cell r="X176">
            <v>137.73653375586699</v>
          </cell>
          <cell r="Y176">
            <v>11.243473291008</v>
          </cell>
          <cell r="Z176">
            <v>2.0002933500000006</v>
          </cell>
          <cell r="AA176">
            <v>0.57877199999999995</v>
          </cell>
        </row>
        <row r="177">
          <cell r="W177">
            <v>138.85158297375</v>
          </cell>
          <cell r="X177">
            <v>136.9089322654884</v>
          </cell>
          <cell r="Y177">
            <v>11.1759159407616</v>
          </cell>
          <cell r="Z177">
            <v>1.9882744200000007</v>
          </cell>
          <cell r="AA177">
            <v>0.57529439999999987</v>
          </cell>
        </row>
        <row r="178">
          <cell r="W178">
            <v>138.01223834437499</v>
          </cell>
          <cell r="X178">
            <v>136.08133077510979</v>
          </cell>
          <cell r="Y178">
            <v>11.1083585905152</v>
          </cell>
          <cell r="Z178">
            <v>1.9762554900000007</v>
          </cell>
          <cell r="AA178">
            <v>0.5718167999999999</v>
          </cell>
        </row>
        <row r="179">
          <cell r="W179">
            <v>137.17289371499996</v>
          </cell>
          <cell r="X179">
            <v>135.25372928473118</v>
          </cell>
          <cell r="Y179">
            <v>11.040801240268799</v>
          </cell>
          <cell r="Z179">
            <v>1.9642365600000002</v>
          </cell>
          <cell r="AA179">
            <v>0.56833919999999982</v>
          </cell>
        </row>
        <row r="180">
          <cell r="W180">
            <v>136.33354908562498</v>
          </cell>
          <cell r="X180">
            <v>134.4261277943526</v>
          </cell>
          <cell r="Y180">
            <v>10.973243890022401</v>
          </cell>
          <cell r="Z180">
            <v>1.9522176300000005</v>
          </cell>
          <cell r="AA180">
            <v>0.56486159999999996</v>
          </cell>
        </row>
        <row r="181">
          <cell r="W181">
            <v>135.49420445625</v>
          </cell>
          <cell r="X181">
            <v>133.59852630397398</v>
          </cell>
          <cell r="Y181">
            <v>10.905686539776001</v>
          </cell>
          <cell r="Z181">
            <v>1.9401987000000005</v>
          </cell>
          <cell r="AA181">
            <v>0.56138399999999988</v>
          </cell>
        </row>
        <row r="182">
          <cell r="W182">
            <v>134.654859826875</v>
          </cell>
          <cell r="X182">
            <v>132.7709248135954</v>
          </cell>
          <cell r="Y182">
            <v>10.838129189529601</v>
          </cell>
          <cell r="Z182">
            <v>1.9281797700000005</v>
          </cell>
          <cell r="AA182">
            <v>0.55790639999999991</v>
          </cell>
        </row>
        <row r="183">
          <cell r="W183">
            <v>133.81551519749999</v>
          </cell>
          <cell r="X183">
            <v>131.94332332321679</v>
          </cell>
          <cell r="Y183">
            <v>10.7705718392832</v>
          </cell>
          <cell r="Z183">
            <v>1.9161608400000005</v>
          </cell>
          <cell r="AA183">
            <v>0.55442879999999994</v>
          </cell>
        </row>
        <row r="184">
          <cell r="W184">
            <v>132.97617056812499</v>
          </cell>
          <cell r="X184">
            <v>131.1157218328382</v>
          </cell>
          <cell r="Y184">
            <v>10.7030144890368</v>
          </cell>
          <cell r="Z184">
            <v>1.9041419100000005</v>
          </cell>
          <cell r="AA184">
            <v>0.55095119999999997</v>
          </cell>
        </row>
        <row r="185">
          <cell r="W185">
            <v>132.13682593874998</v>
          </cell>
          <cell r="X185">
            <v>130.28812034245959</v>
          </cell>
          <cell r="Y185">
            <v>10.6354571387904</v>
          </cell>
          <cell r="Z185">
            <v>1.8921229800000006</v>
          </cell>
          <cell r="AA185">
            <v>0.54747359999999989</v>
          </cell>
        </row>
        <row r="186">
          <cell r="W186">
            <v>131.29748130937497</v>
          </cell>
          <cell r="X186">
            <v>129.46051885208098</v>
          </cell>
          <cell r="Y186">
            <v>10.567899788543999</v>
          </cell>
          <cell r="Z186">
            <v>1.8801040500000001</v>
          </cell>
          <cell r="AA186">
            <v>0.54399599999999981</v>
          </cell>
        </row>
        <row r="187">
          <cell r="W187">
            <v>130.45813668</v>
          </cell>
          <cell r="X187">
            <v>128.6329173617024</v>
          </cell>
          <cell r="Y187">
            <v>10.500342438297601</v>
          </cell>
          <cell r="Z187">
            <v>1.8680851200000006</v>
          </cell>
          <cell r="AA187">
            <v>0.54051839999999995</v>
          </cell>
        </row>
        <row r="188">
          <cell r="W188">
            <v>129.61879205062496</v>
          </cell>
          <cell r="X188">
            <v>127.80531587132377</v>
          </cell>
          <cell r="Y188">
            <v>10.432785088051197</v>
          </cell>
          <cell r="Z188">
            <v>1.8560661900000002</v>
          </cell>
          <cell r="AA188">
            <v>0.53704079999999976</v>
          </cell>
        </row>
        <row r="189">
          <cell r="W189">
            <v>128.77944742124998</v>
          </cell>
          <cell r="X189">
            <v>126.9777143809452</v>
          </cell>
          <cell r="Y189">
            <v>10.365227737804801</v>
          </cell>
          <cell r="Z189">
            <v>1.8440472600000006</v>
          </cell>
          <cell r="AA189">
            <v>0.5335631999999999</v>
          </cell>
        </row>
        <row r="190">
          <cell r="W190">
            <v>127.94010279187499</v>
          </cell>
          <cell r="X190">
            <v>126.1501128905666</v>
          </cell>
          <cell r="Y190">
            <v>10.2976703875584</v>
          </cell>
          <cell r="Z190">
            <v>1.8320283300000004</v>
          </cell>
          <cell r="AA190">
            <v>0.53008559999999993</v>
          </cell>
        </row>
        <row r="191">
          <cell r="W191">
            <v>127.10075816249999</v>
          </cell>
          <cell r="X191">
            <v>125.32251140018799</v>
          </cell>
          <cell r="Y191">
            <v>10.230113037312</v>
          </cell>
          <cell r="Z191">
            <v>1.8200094000000004</v>
          </cell>
          <cell r="AA191">
            <v>0.52660799999999997</v>
          </cell>
        </row>
        <row r="192">
          <cell r="W192">
            <v>126.26141353312499</v>
          </cell>
          <cell r="X192">
            <v>124.49490990980939</v>
          </cell>
          <cell r="Y192">
            <v>10.1625556870656</v>
          </cell>
          <cell r="Z192">
            <v>1.8079904700000005</v>
          </cell>
          <cell r="AA192">
            <v>0.52313039999999988</v>
          </cell>
        </row>
        <row r="193">
          <cell r="W193">
            <v>125.42206890374999</v>
          </cell>
          <cell r="X193">
            <v>123.6673084194308</v>
          </cell>
          <cell r="Y193">
            <v>10.0949983368192</v>
          </cell>
          <cell r="Z193">
            <v>1.7959715400000005</v>
          </cell>
          <cell r="AA193">
            <v>0.51965279999999991</v>
          </cell>
        </row>
        <row r="194">
          <cell r="W194">
            <v>124.582724274375</v>
          </cell>
          <cell r="X194">
            <v>122.8397069290522</v>
          </cell>
          <cell r="Y194">
            <v>10.027440986572801</v>
          </cell>
          <cell r="Z194">
            <v>1.7839526100000005</v>
          </cell>
          <cell r="AA194">
            <v>0.51617519999999995</v>
          </cell>
        </row>
        <row r="195">
          <cell r="W195">
            <v>123.74337964499996</v>
          </cell>
          <cell r="X195">
            <v>122.01210543867357</v>
          </cell>
          <cell r="Y195">
            <v>9.9598836363263974</v>
          </cell>
          <cell r="Z195">
            <v>1.7719336800000001</v>
          </cell>
          <cell r="AA195">
            <v>0.51269759999999986</v>
          </cell>
        </row>
        <row r="196">
          <cell r="W196">
            <v>122.904035015625</v>
          </cell>
          <cell r="X196">
            <v>121.184503948295</v>
          </cell>
          <cell r="Y196">
            <v>9.8923262860800012</v>
          </cell>
          <cell r="Z196">
            <v>1.7599147500000005</v>
          </cell>
          <cell r="AA196">
            <v>0.50921999999999989</v>
          </cell>
        </row>
        <row r="197">
          <cell r="W197">
            <v>122.06469038624998</v>
          </cell>
          <cell r="X197">
            <v>120.35690245791638</v>
          </cell>
          <cell r="Y197">
            <v>9.8247689358335997</v>
          </cell>
          <cell r="Z197">
            <v>1.7478958200000003</v>
          </cell>
          <cell r="AA197">
            <v>0.50574239999999993</v>
          </cell>
        </row>
        <row r="198">
          <cell r="W198">
            <v>121.22534575687499</v>
          </cell>
          <cell r="X198">
            <v>119.52930096753779</v>
          </cell>
          <cell r="Y198">
            <v>9.7572115855871999</v>
          </cell>
          <cell r="Z198">
            <v>1.7358768900000006</v>
          </cell>
          <cell r="AA198">
            <v>0.50226479999999996</v>
          </cell>
        </row>
        <row r="199">
          <cell r="W199">
            <v>120.38600112749998</v>
          </cell>
          <cell r="X199">
            <v>118.70169947715918</v>
          </cell>
          <cell r="Y199">
            <v>9.6896542353408002</v>
          </cell>
          <cell r="Z199">
            <v>1.7238579600000004</v>
          </cell>
          <cell r="AA199">
            <v>0.49878719999999988</v>
          </cell>
        </row>
        <row r="200">
          <cell r="W200">
            <v>119.54665649812497</v>
          </cell>
          <cell r="X200">
            <v>117.87409798678058</v>
          </cell>
          <cell r="Y200">
            <v>9.6220968850943986</v>
          </cell>
          <cell r="Z200">
            <v>1.7118390300000004</v>
          </cell>
          <cell r="AA200">
            <v>0.49530959999999985</v>
          </cell>
        </row>
        <row r="201">
          <cell r="W201">
            <v>118.70731186874998</v>
          </cell>
          <cell r="X201">
            <v>117.04649649640199</v>
          </cell>
          <cell r="Y201">
            <v>9.5545395348479989</v>
          </cell>
          <cell r="Z201">
            <v>1.6998201000000004</v>
          </cell>
          <cell r="AA201">
            <v>0.49183199999999988</v>
          </cell>
        </row>
        <row r="202">
          <cell r="W202">
            <v>118.01485254951561</v>
          </cell>
          <cell r="X202">
            <v>116.36372526683964</v>
          </cell>
          <cell r="Y202">
            <v>9.4988047208947197</v>
          </cell>
          <cell r="Z202">
            <v>1.6899044827500003</v>
          </cell>
          <cell r="AA202">
            <v>0.48896297999999988</v>
          </cell>
        </row>
        <row r="203">
          <cell r="W203">
            <v>117.32239323028124</v>
          </cell>
          <cell r="X203">
            <v>115.6809540372773</v>
          </cell>
          <cell r="Y203">
            <v>9.4430699069414405</v>
          </cell>
          <cell r="Z203">
            <v>1.6799888655000004</v>
          </cell>
          <cell r="AA203">
            <v>0.48609395999999988</v>
          </cell>
        </row>
        <row r="204">
          <cell r="W204">
            <v>116.62993391104686</v>
          </cell>
          <cell r="X204">
            <v>114.99818280771495</v>
          </cell>
          <cell r="Y204">
            <v>9.3873350929881596</v>
          </cell>
          <cell r="Z204">
            <v>1.6700732482500005</v>
          </cell>
          <cell r="AA204">
            <v>0.48322493999999994</v>
          </cell>
        </row>
        <row r="205">
          <cell r="W205">
            <v>115.93747459181247</v>
          </cell>
          <cell r="X205">
            <v>114.31541157815261</v>
          </cell>
          <cell r="Y205">
            <v>9.3316002790348787</v>
          </cell>
          <cell r="Z205">
            <v>1.6601576310000001</v>
          </cell>
          <cell r="AA205">
            <v>0.48035591999999988</v>
          </cell>
        </row>
        <row r="206">
          <cell r="W206">
            <v>115.2450152725781</v>
          </cell>
          <cell r="X206">
            <v>113.63264034859026</v>
          </cell>
          <cell r="Y206">
            <v>9.2758654650815995</v>
          </cell>
          <cell r="Z206">
            <v>1.6502420137500002</v>
          </cell>
          <cell r="AA206">
            <v>0.47748689999999988</v>
          </cell>
        </row>
        <row r="207">
          <cell r="W207">
            <v>114.55255595334373</v>
          </cell>
          <cell r="X207">
            <v>112.94986911902792</v>
          </cell>
          <cell r="Y207">
            <v>9.2201306511283203</v>
          </cell>
          <cell r="Z207">
            <v>1.6403263965000003</v>
          </cell>
          <cell r="AA207">
            <v>0.47461787999999988</v>
          </cell>
        </row>
        <row r="208">
          <cell r="W208">
            <v>113.86009663410934</v>
          </cell>
          <cell r="X208">
            <v>112.26709788946556</v>
          </cell>
          <cell r="Y208">
            <v>9.1643958371750394</v>
          </cell>
          <cell r="Z208">
            <v>1.6304107792500002</v>
          </cell>
          <cell r="AA208">
            <v>0.47174885999999983</v>
          </cell>
        </row>
        <row r="209">
          <cell r="W209">
            <v>113.16763731487498</v>
          </cell>
          <cell r="X209">
            <v>111.58432665990323</v>
          </cell>
          <cell r="Y209">
            <v>9.1086610232217602</v>
          </cell>
          <cell r="Z209">
            <v>1.6204951620000003</v>
          </cell>
          <cell r="AA209">
            <v>0.46887983999999994</v>
          </cell>
        </row>
        <row r="210">
          <cell r="W210">
            <v>112.47517799564061</v>
          </cell>
          <cell r="X210">
            <v>110.90155543034088</v>
          </cell>
          <cell r="Y210">
            <v>9.0529262092684792</v>
          </cell>
          <cell r="Z210">
            <v>1.6105795447500002</v>
          </cell>
          <cell r="AA210">
            <v>0.46601081999999988</v>
          </cell>
        </row>
        <row r="211">
          <cell r="W211">
            <v>111.78271867640623</v>
          </cell>
          <cell r="X211">
            <v>110.21878420077853</v>
          </cell>
          <cell r="Y211">
            <v>8.9971913953152001</v>
          </cell>
          <cell r="Z211">
            <v>1.6006639275000003</v>
          </cell>
          <cell r="AA211">
            <v>0.46314179999999988</v>
          </cell>
        </row>
        <row r="212">
          <cell r="W212">
            <v>111.09025935717186</v>
          </cell>
          <cell r="X212">
            <v>109.53601297121619</v>
          </cell>
          <cell r="Y212">
            <v>8.9414565813619191</v>
          </cell>
          <cell r="Z212">
            <v>1.5907483102500002</v>
          </cell>
          <cell r="AA212">
            <v>0.46027277999999988</v>
          </cell>
        </row>
        <row r="213">
          <cell r="W213">
            <v>110.39780003793747</v>
          </cell>
          <cell r="X213">
            <v>108.85324174165383</v>
          </cell>
          <cell r="Y213">
            <v>8.8857217674086382</v>
          </cell>
          <cell r="Z213">
            <v>1.5808326930000001</v>
          </cell>
          <cell r="AA213">
            <v>0.45740375999999983</v>
          </cell>
        </row>
        <row r="214">
          <cell r="W214">
            <v>109.70534071870311</v>
          </cell>
          <cell r="X214">
            <v>108.17047051209151</v>
          </cell>
          <cell r="Y214">
            <v>8.8299869534553608</v>
          </cell>
          <cell r="Z214">
            <v>1.5709170757500004</v>
          </cell>
          <cell r="AA214">
            <v>0.45453473999999994</v>
          </cell>
        </row>
        <row r="215">
          <cell r="W215">
            <v>109.01288139946872</v>
          </cell>
          <cell r="X215">
            <v>107.48769928252915</v>
          </cell>
          <cell r="Y215">
            <v>8.7742521395020798</v>
          </cell>
          <cell r="Z215">
            <v>1.5610014585000003</v>
          </cell>
          <cell r="AA215">
            <v>0.45166571999999988</v>
          </cell>
        </row>
        <row r="216">
          <cell r="W216">
            <v>108.32042208023435</v>
          </cell>
          <cell r="X216">
            <v>106.80492805296682</v>
          </cell>
          <cell r="Y216">
            <v>8.7185173255487989</v>
          </cell>
          <cell r="Z216">
            <v>1.5510858412500002</v>
          </cell>
          <cell r="AA216">
            <v>0.44879669999999988</v>
          </cell>
        </row>
        <row r="217">
          <cell r="W217">
            <v>107.62796276099998</v>
          </cell>
          <cell r="X217">
            <v>106.12215682340447</v>
          </cell>
          <cell r="Y217">
            <v>8.6627825115955197</v>
          </cell>
          <cell r="Z217">
            <v>1.5411702240000003</v>
          </cell>
          <cell r="AA217">
            <v>0.44592767999999988</v>
          </cell>
        </row>
        <row r="218">
          <cell r="W218">
            <v>106.93550344176559</v>
          </cell>
          <cell r="X218">
            <v>105.4393855938421</v>
          </cell>
          <cell r="Y218">
            <v>8.6070476976422388</v>
          </cell>
          <cell r="Z218">
            <v>1.5312546067500001</v>
          </cell>
          <cell r="AA218">
            <v>0.44305865999999983</v>
          </cell>
        </row>
        <row r="219">
          <cell r="W219">
            <v>106.24304412253122</v>
          </cell>
          <cell r="X219">
            <v>104.75661436427977</v>
          </cell>
          <cell r="Y219">
            <v>8.5513128836889596</v>
          </cell>
          <cell r="Z219">
            <v>1.5213389895000002</v>
          </cell>
          <cell r="AA219">
            <v>0.44018963999999988</v>
          </cell>
        </row>
        <row r="220">
          <cell r="W220">
            <v>105.55058480329686</v>
          </cell>
          <cell r="X220">
            <v>104.07384313471742</v>
          </cell>
          <cell r="Y220">
            <v>8.4955780697356786</v>
          </cell>
          <cell r="Z220">
            <v>1.5114233722500001</v>
          </cell>
          <cell r="AA220">
            <v>0.43732061999999988</v>
          </cell>
        </row>
        <row r="221">
          <cell r="W221">
            <v>104.85812548406248</v>
          </cell>
          <cell r="X221">
            <v>103.39107190515509</v>
          </cell>
          <cell r="Y221">
            <v>8.4398432557823995</v>
          </cell>
          <cell r="Z221">
            <v>1.5015077550000002</v>
          </cell>
          <cell r="AA221">
            <v>0.43445159999999988</v>
          </cell>
        </row>
        <row r="222">
          <cell r="W222">
            <v>104.16566616482811</v>
          </cell>
          <cell r="X222">
            <v>102.70830067559274</v>
          </cell>
          <cell r="Y222">
            <v>8.3841084418291203</v>
          </cell>
          <cell r="Z222">
            <v>1.4915921377500003</v>
          </cell>
          <cell r="AA222">
            <v>0.43158257999999988</v>
          </cell>
        </row>
        <row r="223">
          <cell r="W223">
            <v>103.47320684559372</v>
          </cell>
          <cell r="X223">
            <v>102.02552944603039</v>
          </cell>
          <cell r="Y223">
            <v>8.3283736278758393</v>
          </cell>
          <cell r="Z223">
            <v>1.4816765205000002</v>
          </cell>
          <cell r="AA223">
            <v>0.42871355999999983</v>
          </cell>
        </row>
        <row r="224">
          <cell r="W224">
            <v>102.78074752635935</v>
          </cell>
          <cell r="X224">
            <v>101.34275821646804</v>
          </cell>
          <cell r="Y224">
            <v>8.2726388139225584</v>
          </cell>
          <cell r="Z224">
            <v>1.4717609032500001</v>
          </cell>
          <cell r="AA224">
            <v>0.42584453999999988</v>
          </cell>
        </row>
        <row r="225">
          <cell r="W225">
            <v>102.08828820712499</v>
          </cell>
          <cell r="X225">
            <v>100.65998698690572</v>
          </cell>
          <cell r="Y225">
            <v>8.216903999969281</v>
          </cell>
          <cell r="Z225">
            <v>1.4618452860000004</v>
          </cell>
          <cell r="AA225">
            <v>0.42297551999999994</v>
          </cell>
        </row>
        <row r="226">
          <cell r="W226">
            <v>101.3958288878906</v>
          </cell>
          <cell r="X226">
            <v>99.977215757343359</v>
          </cell>
          <cell r="Y226">
            <v>8.1611691860160001</v>
          </cell>
          <cell r="Z226">
            <v>1.4519296687500003</v>
          </cell>
          <cell r="AA226">
            <v>0.42010649999999988</v>
          </cell>
        </row>
        <row r="227">
          <cell r="W227">
            <v>100.70336956865623</v>
          </cell>
          <cell r="X227">
            <v>99.29444452778101</v>
          </cell>
          <cell r="Y227">
            <v>8.1054343720627191</v>
          </cell>
          <cell r="Z227">
            <v>1.4420140515000002</v>
          </cell>
          <cell r="AA227">
            <v>0.41723747999999988</v>
          </cell>
        </row>
        <row r="228">
          <cell r="W228">
            <v>100.01091024942184</v>
          </cell>
          <cell r="X228">
            <v>98.611673298218662</v>
          </cell>
          <cell r="Y228">
            <v>8.0496995581094382</v>
          </cell>
          <cell r="Z228">
            <v>1.4320984342500001</v>
          </cell>
          <cell r="AA228">
            <v>0.41436845999999983</v>
          </cell>
        </row>
        <row r="229">
          <cell r="W229">
            <v>99.318450930187481</v>
          </cell>
          <cell r="X229">
            <v>97.928902068656313</v>
          </cell>
          <cell r="Y229">
            <v>7.993964744156159</v>
          </cell>
          <cell r="Z229">
            <v>1.4221828170000002</v>
          </cell>
          <cell r="AA229">
            <v>0.41149943999999988</v>
          </cell>
        </row>
        <row r="230">
          <cell r="W230">
            <v>98.625991610953093</v>
          </cell>
          <cell r="X230">
            <v>97.246130839093965</v>
          </cell>
          <cell r="Y230">
            <v>7.938229930202878</v>
          </cell>
          <cell r="Z230">
            <v>1.41226719975</v>
          </cell>
          <cell r="AA230">
            <v>0.40863041999999983</v>
          </cell>
        </row>
        <row r="231">
          <cell r="W231">
            <v>97.933532291718734</v>
          </cell>
          <cell r="X231">
            <v>96.563359609531631</v>
          </cell>
          <cell r="Y231">
            <v>7.8824951162495989</v>
          </cell>
          <cell r="Z231">
            <v>1.4023515825000001</v>
          </cell>
          <cell r="AA231">
            <v>0.40576139999999988</v>
          </cell>
        </row>
        <row r="232">
          <cell r="W232">
            <v>97.362253353350368</v>
          </cell>
          <cell r="X232">
            <v>96.00007334514271</v>
          </cell>
          <cell r="Y232">
            <v>7.8365138947381432</v>
          </cell>
          <cell r="Z232">
            <v>1.3941711982687504</v>
          </cell>
          <cell r="AA232">
            <v>0.40339445849999989</v>
          </cell>
        </row>
        <row r="233">
          <cell r="W233">
            <v>96.790974414982003</v>
          </cell>
          <cell r="X233">
            <v>95.43678708075376</v>
          </cell>
          <cell r="Y233">
            <v>7.7905326732266866</v>
          </cell>
          <cell r="Z233">
            <v>1.3859908140375001</v>
          </cell>
          <cell r="AA233">
            <v>0.40102751699999983</v>
          </cell>
        </row>
        <row r="234">
          <cell r="W234">
            <v>96.219695476613651</v>
          </cell>
          <cell r="X234">
            <v>94.873500816364825</v>
          </cell>
          <cell r="Y234">
            <v>7.744551451715231</v>
          </cell>
          <cell r="Z234">
            <v>1.3778104298062501</v>
          </cell>
          <cell r="AA234">
            <v>0.39866057549999989</v>
          </cell>
        </row>
        <row r="235">
          <cell r="W235">
            <v>95.648416538245286</v>
          </cell>
          <cell r="X235">
            <v>94.310214551975889</v>
          </cell>
          <cell r="Y235">
            <v>7.6985702302037753</v>
          </cell>
          <cell r="Z235">
            <v>1.3696300455750001</v>
          </cell>
          <cell r="AA235">
            <v>0.39629363399999989</v>
          </cell>
        </row>
        <row r="236">
          <cell r="W236">
            <v>95.07713759987692</v>
          </cell>
          <cell r="X236">
            <v>93.746928287586954</v>
          </cell>
          <cell r="Y236">
            <v>7.6525890086923187</v>
          </cell>
          <cell r="Z236">
            <v>1.3614496613437501</v>
          </cell>
          <cell r="AA236">
            <v>0.39392669249999984</v>
          </cell>
        </row>
        <row r="237">
          <cell r="W237">
            <v>94.505858661508569</v>
          </cell>
          <cell r="X237">
            <v>93.183642023198018</v>
          </cell>
          <cell r="Y237">
            <v>7.6066077871808631</v>
          </cell>
          <cell r="Z237">
            <v>1.3532692771125001</v>
          </cell>
          <cell r="AA237">
            <v>0.39155975099999984</v>
          </cell>
        </row>
        <row r="238">
          <cell r="W238">
            <v>93.934579723140203</v>
          </cell>
          <cell r="X238">
            <v>92.620355758809083</v>
          </cell>
          <cell r="Y238">
            <v>7.5606265656694065</v>
          </cell>
          <cell r="Z238">
            <v>1.3450888928812501</v>
          </cell>
          <cell r="AA238">
            <v>0.38919280949999985</v>
          </cell>
        </row>
        <row r="239">
          <cell r="W239">
            <v>93.363300784771852</v>
          </cell>
          <cell r="X239">
            <v>92.057069494420162</v>
          </cell>
          <cell r="Y239">
            <v>7.5146453441579508</v>
          </cell>
          <cell r="Z239">
            <v>1.3369085086500001</v>
          </cell>
          <cell r="AA239">
            <v>0.38682586799999991</v>
          </cell>
        </row>
        <row r="240">
          <cell r="W240">
            <v>92.792021846403486</v>
          </cell>
          <cell r="X240">
            <v>91.493783230031212</v>
          </cell>
          <cell r="Y240">
            <v>7.4686641226464943</v>
          </cell>
          <cell r="Z240">
            <v>1.3287281244187501</v>
          </cell>
          <cell r="AA240">
            <v>0.38445892649999985</v>
          </cell>
        </row>
        <row r="241">
          <cell r="W241">
            <v>92.220742908035135</v>
          </cell>
          <cell r="X241">
            <v>90.930496965642277</v>
          </cell>
          <cell r="Y241">
            <v>7.4226829011350386</v>
          </cell>
          <cell r="Z241">
            <v>1.3205477401875001</v>
          </cell>
          <cell r="AA241">
            <v>0.38209198499999986</v>
          </cell>
        </row>
        <row r="242">
          <cell r="W242">
            <v>91.649463969666769</v>
          </cell>
          <cell r="X242">
            <v>90.367210701253342</v>
          </cell>
          <cell r="Y242">
            <v>7.3767016796235829</v>
          </cell>
          <cell r="Z242">
            <v>1.3123673559562501</v>
          </cell>
          <cell r="AA242">
            <v>0.37972504349999986</v>
          </cell>
        </row>
        <row r="243">
          <cell r="W243">
            <v>91.078185031298403</v>
          </cell>
          <cell r="X243">
            <v>89.803924436864406</v>
          </cell>
          <cell r="Y243">
            <v>7.3307204581121264</v>
          </cell>
          <cell r="Z243">
            <v>1.3041869717249999</v>
          </cell>
          <cell r="AA243">
            <v>0.37735810199999981</v>
          </cell>
        </row>
        <row r="244">
          <cell r="W244">
            <v>90.506906092930052</v>
          </cell>
          <cell r="X244">
            <v>89.240638172475471</v>
          </cell>
          <cell r="Y244">
            <v>7.2847392366006707</v>
          </cell>
          <cell r="Z244">
            <v>1.2960065874937501</v>
          </cell>
          <cell r="AA244">
            <v>0.37499116049999986</v>
          </cell>
        </row>
        <row r="245">
          <cell r="W245">
            <v>89.935627154561686</v>
          </cell>
          <cell r="X245">
            <v>88.677351908086536</v>
          </cell>
          <cell r="Y245">
            <v>7.2387580150892141</v>
          </cell>
          <cell r="Z245">
            <v>1.2878262032625001</v>
          </cell>
          <cell r="AA245">
            <v>0.37262421899999987</v>
          </cell>
        </row>
        <row r="246">
          <cell r="W246">
            <v>89.364348216193335</v>
          </cell>
          <cell r="X246">
            <v>88.114065643697614</v>
          </cell>
          <cell r="Y246">
            <v>7.1927767935777585</v>
          </cell>
          <cell r="Z246">
            <v>1.2796458190312501</v>
          </cell>
          <cell r="AA246">
            <v>0.37025727749999987</v>
          </cell>
        </row>
        <row r="247">
          <cell r="W247">
            <v>88.793069277824969</v>
          </cell>
          <cell r="X247">
            <v>87.550779379308665</v>
          </cell>
          <cell r="Y247">
            <v>7.1467955720663019</v>
          </cell>
          <cell r="Z247">
            <v>1.2714654347999998</v>
          </cell>
          <cell r="AA247">
            <v>0.36789033599999982</v>
          </cell>
        </row>
        <row r="248">
          <cell r="W248">
            <v>88.221790339456604</v>
          </cell>
          <cell r="X248">
            <v>86.987493114919729</v>
          </cell>
          <cell r="Y248">
            <v>7.1008143505548462</v>
          </cell>
          <cell r="Z248">
            <v>1.2632850505687501</v>
          </cell>
          <cell r="AA248">
            <v>0.36552339449999982</v>
          </cell>
        </row>
        <row r="249">
          <cell r="W249">
            <v>87.650511401088266</v>
          </cell>
          <cell r="X249">
            <v>86.424206850530823</v>
          </cell>
          <cell r="Y249">
            <v>7.0548331290433914</v>
          </cell>
          <cell r="Z249">
            <v>1.2551046663375003</v>
          </cell>
          <cell r="AA249">
            <v>0.36315645299999993</v>
          </cell>
        </row>
        <row r="250">
          <cell r="W250">
            <v>87.079232462719887</v>
          </cell>
          <cell r="X250">
            <v>85.860920586141859</v>
          </cell>
          <cell r="Y250">
            <v>7.008851907531934</v>
          </cell>
          <cell r="Z250">
            <v>1.2469242821062498</v>
          </cell>
          <cell r="AA250">
            <v>0.36078951149999983</v>
          </cell>
        </row>
        <row r="251">
          <cell r="W251">
            <v>86.507953524351535</v>
          </cell>
          <cell r="X251">
            <v>85.297634321752938</v>
          </cell>
          <cell r="Y251">
            <v>6.9628706860204792</v>
          </cell>
          <cell r="Z251">
            <v>1.2387438978750001</v>
          </cell>
          <cell r="AA251">
            <v>0.35842256999999988</v>
          </cell>
        </row>
        <row r="252">
          <cell r="W252">
            <v>85.936674585983184</v>
          </cell>
          <cell r="X252">
            <v>84.734348057364002</v>
          </cell>
          <cell r="Y252">
            <v>6.9168894645090235</v>
          </cell>
          <cell r="Z252">
            <v>1.2305635136437501</v>
          </cell>
          <cell r="AA252">
            <v>0.35605562849999989</v>
          </cell>
        </row>
        <row r="253">
          <cell r="W253">
            <v>85.365395647614818</v>
          </cell>
          <cell r="X253">
            <v>84.171061792975067</v>
          </cell>
          <cell r="Y253">
            <v>6.8709082429975661</v>
          </cell>
          <cell r="Z253">
            <v>1.2223831294125</v>
          </cell>
          <cell r="AA253">
            <v>0.35368868699999984</v>
          </cell>
        </row>
        <row r="254">
          <cell r="W254">
            <v>84.794116709246453</v>
          </cell>
          <cell r="X254">
            <v>83.607775528586131</v>
          </cell>
          <cell r="Y254">
            <v>6.8249270214861104</v>
          </cell>
          <cell r="Z254">
            <v>1.21420274518125</v>
          </cell>
          <cell r="AA254">
            <v>0.35132174549999989</v>
          </cell>
        </row>
        <row r="255">
          <cell r="W255">
            <v>84.222837770878101</v>
          </cell>
          <cell r="X255">
            <v>83.044489264197196</v>
          </cell>
          <cell r="Y255">
            <v>6.7789457999746547</v>
          </cell>
          <cell r="Z255">
            <v>1.20602236095</v>
          </cell>
          <cell r="AA255">
            <v>0.3489548039999999</v>
          </cell>
        </row>
        <row r="256">
          <cell r="W256">
            <v>83.651558832509735</v>
          </cell>
          <cell r="X256">
            <v>82.481202999808261</v>
          </cell>
          <cell r="Y256">
            <v>6.7329645784631982</v>
          </cell>
          <cell r="Z256">
            <v>1.19784197671875</v>
          </cell>
          <cell r="AA256">
            <v>0.34658786249999984</v>
          </cell>
        </row>
        <row r="257">
          <cell r="W257">
            <v>83.08027989414137</v>
          </cell>
          <cell r="X257">
            <v>81.917916735419325</v>
          </cell>
          <cell r="Y257">
            <v>6.6869833569517425</v>
          </cell>
          <cell r="Z257">
            <v>1.1896615924875</v>
          </cell>
          <cell r="AA257">
            <v>0.34422092099999985</v>
          </cell>
        </row>
        <row r="258">
          <cell r="W258">
            <v>82.509000955773018</v>
          </cell>
          <cell r="X258">
            <v>81.35463047103039</v>
          </cell>
          <cell r="Y258">
            <v>6.6410021354402868</v>
          </cell>
          <cell r="Z258">
            <v>1.18148120825625</v>
          </cell>
          <cell r="AA258">
            <v>0.34185397949999985</v>
          </cell>
        </row>
        <row r="259">
          <cell r="W259">
            <v>81.937722017404667</v>
          </cell>
          <cell r="X259">
            <v>80.791344206641455</v>
          </cell>
          <cell r="Y259">
            <v>6.5950209139288312</v>
          </cell>
          <cell r="Z259">
            <v>1.173300824025</v>
          </cell>
          <cell r="AA259">
            <v>0.33948703799999991</v>
          </cell>
        </row>
        <row r="260">
          <cell r="W260">
            <v>81.366443079036301</v>
          </cell>
          <cell r="X260">
            <v>80.228057942252519</v>
          </cell>
          <cell r="Y260">
            <v>6.5490396924173737</v>
          </cell>
          <cell r="Z260">
            <v>1.16512043979375</v>
          </cell>
          <cell r="AA260">
            <v>0.33712009649999986</v>
          </cell>
        </row>
        <row r="261">
          <cell r="W261">
            <v>80.795164140667936</v>
          </cell>
          <cell r="X261">
            <v>79.664771677863584</v>
          </cell>
          <cell r="Y261">
            <v>6.503058470905918</v>
          </cell>
          <cell r="Z261">
            <v>1.1569400555625</v>
          </cell>
          <cell r="AA261">
            <v>0.33475315499999986</v>
          </cell>
        </row>
        <row r="262">
          <cell r="W262">
            <v>80.323859016514049</v>
          </cell>
          <cell r="X262">
            <v>79.200060509742727</v>
          </cell>
          <cell r="Y262">
            <v>6.4651239631589679</v>
          </cell>
          <cell r="Z262">
            <v>1.1501912385717188</v>
          </cell>
          <cell r="AA262">
            <v>0.33280042826249989</v>
          </cell>
        </row>
        <row r="263">
          <cell r="W263">
            <v>79.852553892360135</v>
          </cell>
          <cell r="X263">
            <v>78.735349341621841</v>
          </cell>
          <cell r="Y263">
            <v>6.4271894554120159</v>
          </cell>
          <cell r="Z263">
            <v>1.1434424215809373</v>
          </cell>
          <cell r="AA263">
            <v>0.33084770152499982</v>
          </cell>
        </row>
        <row r="264">
          <cell r="W264">
            <v>79.381248768206262</v>
          </cell>
          <cell r="X264">
            <v>78.270638173500984</v>
          </cell>
          <cell r="Y264">
            <v>6.3892549476650657</v>
          </cell>
          <cell r="Z264">
            <v>1.1366936045901563</v>
          </cell>
          <cell r="AA264">
            <v>0.32889497478749991</v>
          </cell>
        </row>
        <row r="265">
          <cell r="W265">
            <v>78.909943644052362</v>
          </cell>
          <cell r="X265">
            <v>77.805927005380113</v>
          </cell>
          <cell r="Y265">
            <v>6.3513204399181138</v>
          </cell>
          <cell r="Z265">
            <v>1.1299447875993751</v>
          </cell>
          <cell r="AA265">
            <v>0.32694224804999988</v>
          </cell>
        </row>
        <row r="266">
          <cell r="W266">
            <v>78.438638519898461</v>
          </cell>
          <cell r="X266">
            <v>77.341215837259227</v>
          </cell>
          <cell r="Y266">
            <v>6.3133859321711627</v>
          </cell>
          <cell r="Z266">
            <v>1.1231959706085937</v>
          </cell>
          <cell r="AA266">
            <v>0.32498952131249986</v>
          </cell>
        </row>
        <row r="267">
          <cell r="W267">
            <v>77.967333395744561</v>
          </cell>
          <cell r="X267">
            <v>76.876504669138356</v>
          </cell>
          <cell r="Y267">
            <v>6.2754514244242108</v>
          </cell>
          <cell r="Z267">
            <v>1.1164471536178124</v>
          </cell>
          <cell r="AA267">
            <v>0.32303679457499984</v>
          </cell>
        </row>
        <row r="268">
          <cell r="W268">
            <v>77.49602827159066</v>
          </cell>
          <cell r="X268">
            <v>76.411793501017485</v>
          </cell>
          <cell r="Y268">
            <v>6.2375169166772597</v>
          </cell>
          <cell r="Z268">
            <v>1.1096983366270312</v>
          </cell>
          <cell r="AA268">
            <v>0.32108406783749988</v>
          </cell>
        </row>
        <row r="269">
          <cell r="W269">
            <v>77.02472314743676</v>
          </cell>
          <cell r="X269">
            <v>75.947082332896613</v>
          </cell>
          <cell r="Y269">
            <v>6.1995824089303087</v>
          </cell>
          <cell r="Z269">
            <v>1.10294951963625</v>
          </cell>
          <cell r="AA269">
            <v>0.31913134109999985</v>
          </cell>
        </row>
        <row r="270">
          <cell r="W270">
            <v>76.553418023282873</v>
          </cell>
          <cell r="X270">
            <v>75.482371164775756</v>
          </cell>
          <cell r="Y270">
            <v>6.1616479011833585</v>
          </cell>
          <cell r="Z270">
            <v>1.0962007026454688</v>
          </cell>
          <cell r="AA270">
            <v>0.31717861436249989</v>
          </cell>
        </row>
        <row r="271">
          <cell r="W271">
            <v>76.082112899128973</v>
          </cell>
          <cell r="X271">
            <v>75.017659996654871</v>
          </cell>
          <cell r="Y271">
            <v>6.1237133934364056</v>
          </cell>
          <cell r="Z271">
            <v>1.0894518856546873</v>
          </cell>
          <cell r="AA271">
            <v>0.31522588762499981</v>
          </cell>
        </row>
        <row r="272">
          <cell r="W272">
            <v>75.610807774975086</v>
          </cell>
          <cell r="X272">
            <v>74.552948828534014</v>
          </cell>
          <cell r="Y272">
            <v>6.0857788856894555</v>
          </cell>
          <cell r="Z272">
            <v>1.0827030686639063</v>
          </cell>
          <cell r="AA272">
            <v>0.3132731608874999</v>
          </cell>
        </row>
        <row r="273">
          <cell r="W273">
            <v>75.139502650821186</v>
          </cell>
          <cell r="X273">
            <v>74.088237660413128</v>
          </cell>
          <cell r="Y273">
            <v>6.0478443779425044</v>
          </cell>
          <cell r="Z273">
            <v>1.0759542516731251</v>
          </cell>
          <cell r="AA273">
            <v>0.31132043414999988</v>
          </cell>
        </row>
        <row r="274">
          <cell r="W274">
            <v>74.668197526667285</v>
          </cell>
          <cell r="X274">
            <v>73.623526492292257</v>
          </cell>
          <cell r="Y274">
            <v>6.0099098701955525</v>
          </cell>
          <cell r="Z274">
            <v>1.0692054346823436</v>
          </cell>
          <cell r="AA274">
            <v>0.30936770741249986</v>
          </cell>
        </row>
        <row r="275">
          <cell r="W275">
            <v>74.196892402513384</v>
          </cell>
          <cell r="X275">
            <v>73.158815324171385</v>
          </cell>
          <cell r="Y275">
            <v>5.9719753624486014</v>
          </cell>
          <cell r="Z275">
            <v>1.0624566176915624</v>
          </cell>
          <cell r="AA275">
            <v>0.30741498067499984</v>
          </cell>
        </row>
        <row r="276">
          <cell r="W276">
            <v>73.725587278359484</v>
          </cell>
          <cell r="X276">
            <v>72.694104156050514</v>
          </cell>
          <cell r="Y276">
            <v>5.9340408547016503</v>
          </cell>
          <cell r="Z276">
            <v>1.0557078007007812</v>
          </cell>
          <cell r="AA276">
            <v>0.30546225393749982</v>
          </cell>
        </row>
        <row r="277">
          <cell r="W277">
            <v>73.254282154205583</v>
          </cell>
          <cell r="X277">
            <v>72.229392987929643</v>
          </cell>
          <cell r="Y277">
            <v>5.8961063469546984</v>
          </cell>
          <cell r="Z277">
            <v>1.04895898371</v>
          </cell>
          <cell r="AA277">
            <v>0.30350952719999985</v>
          </cell>
        </row>
        <row r="278">
          <cell r="W278">
            <v>72.782977030051711</v>
          </cell>
          <cell r="X278">
            <v>71.764681819808786</v>
          </cell>
          <cell r="Y278">
            <v>5.8581718392077482</v>
          </cell>
          <cell r="Z278">
            <v>1.0422101667192187</v>
          </cell>
          <cell r="AA278">
            <v>0.30155680046249989</v>
          </cell>
        </row>
        <row r="279">
          <cell r="W279">
            <v>72.311671905897811</v>
          </cell>
          <cell r="X279">
            <v>71.299970651687914</v>
          </cell>
          <cell r="Y279">
            <v>5.8202373314607971</v>
          </cell>
          <cell r="Z279">
            <v>1.0354613497284375</v>
          </cell>
          <cell r="AA279">
            <v>0.29960407372499986</v>
          </cell>
        </row>
        <row r="280">
          <cell r="W280">
            <v>71.84036678174391</v>
          </cell>
          <cell r="X280">
            <v>70.835259483567043</v>
          </cell>
          <cell r="Y280">
            <v>5.7823028237138452</v>
          </cell>
          <cell r="Z280">
            <v>1.0287125327376563</v>
          </cell>
          <cell r="AA280">
            <v>0.29765134698749984</v>
          </cell>
        </row>
        <row r="281">
          <cell r="W281">
            <v>71.369061657590009</v>
          </cell>
          <cell r="X281">
            <v>70.370548315446158</v>
          </cell>
          <cell r="Y281">
            <v>5.7443683159668941</v>
          </cell>
          <cell r="Z281">
            <v>1.0219637157468748</v>
          </cell>
          <cell r="AA281">
            <v>0.29569862024999988</v>
          </cell>
        </row>
        <row r="282">
          <cell r="W282">
            <v>70.897756533436109</v>
          </cell>
          <cell r="X282">
            <v>69.905837147325286</v>
          </cell>
          <cell r="Y282">
            <v>5.7064338082199431</v>
          </cell>
          <cell r="Z282">
            <v>1.0152148987560936</v>
          </cell>
          <cell r="AA282">
            <v>0.29374589351249986</v>
          </cell>
        </row>
        <row r="283">
          <cell r="W283">
            <v>70.426451409282208</v>
          </cell>
          <cell r="X283">
            <v>69.441125979204415</v>
          </cell>
          <cell r="Y283">
            <v>5.6684993004729911</v>
          </cell>
          <cell r="Z283">
            <v>1.0084660817653124</v>
          </cell>
          <cell r="AA283">
            <v>0.29179316677499983</v>
          </cell>
        </row>
        <row r="284">
          <cell r="W284">
            <v>69.955146285128308</v>
          </cell>
          <cell r="X284">
            <v>68.976414811083544</v>
          </cell>
          <cell r="Y284">
            <v>5.63056479272604</v>
          </cell>
          <cell r="Z284">
            <v>1.0017172647745312</v>
          </cell>
          <cell r="AA284">
            <v>0.28984044003749981</v>
          </cell>
        </row>
        <row r="285">
          <cell r="W285">
            <v>69.483841160974421</v>
          </cell>
          <cell r="X285">
            <v>68.511703642962672</v>
          </cell>
          <cell r="Y285">
            <v>5.592630284979089</v>
          </cell>
          <cell r="Z285">
            <v>0.99496844778374982</v>
          </cell>
          <cell r="AA285">
            <v>0.28788771329999985</v>
          </cell>
        </row>
        <row r="286">
          <cell r="W286">
            <v>69.012536036820535</v>
          </cell>
          <cell r="X286">
            <v>68.046992474841815</v>
          </cell>
          <cell r="Y286">
            <v>5.5546957772321388</v>
          </cell>
          <cell r="Z286">
            <v>0.98821963079296871</v>
          </cell>
          <cell r="AA286">
            <v>0.28593498656249988</v>
          </cell>
        </row>
        <row r="287">
          <cell r="W287">
            <v>68.541230912666634</v>
          </cell>
          <cell r="X287">
            <v>67.582281306720944</v>
          </cell>
          <cell r="Y287">
            <v>5.5167612694851869</v>
          </cell>
          <cell r="Z287">
            <v>0.98147081380218748</v>
          </cell>
          <cell r="AA287">
            <v>0.28398225982499986</v>
          </cell>
        </row>
        <row r="288">
          <cell r="W288">
            <v>68.069925788512734</v>
          </cell>
          <cell r="X288">
            <v>67.117570138600058</v>
          </cell>
          <cell r="Y288">
            <v>5.4788267617382358</v>
          </cell>
          <cell r="Z288">
            <v>0.97472199681140614</v>
          </cell>
          <cell r="AA288">
            <v>0.28202953308749984</v>
          </cell>
        </row>
        <row r="289">
          <cell r="W289">
            <v>67.598620664358847</v>
          </cell>
          <cell r="X289">
            <v>66.652858970479201</v>
          </cell>
          <cell r="Y289">
            <v>5.4408922539912856</v>
          </cell>
          <cell r="Z289">
            <v>0.96797317982062503</v>
          </cell>
          <cell r="AA289">
            <v>0.28007680634999993</v>
          </cell>
        </row>
        <row r="290">
          <cell r="W290">
            <v>67.127315540204947</v>
          </cell>
          <cell r="X290">
            <v>66.18814780235833</v>
          </cell>
          <cell r="Y290">
            <v>5.4029577462443346</v>
          </cell>
          <cell r="Z290">
            <v>0.9612243628298438</v>
          </cell>
          <cell r="AA290">
            <v>0.27812407961249991</v>
          </cell>
        </row>
        <row r="291">
          <cell r="W291">
            <v>66.656010416051046</v>
          </cell>
          <cell r="X291">
            <v>65.723436634237459</v>
          </cell>
          <cell r="Y291">
            <v>5.3650232384973826</v>
          </cell>
          <cell r="Z291">
            <v>0.95447554583906247</v>
          </cell>
          <cell r="AA291">
            <v>0.27617135287499989</v>
          </cell>
        </row>
        <row r="292">
          <cell r="W292">
            <v>66.267183688624087</v>
          </cell>
          <cell r="X292">
            <v>65.340049920537737</v>
          </cell>
          <cell r="Y292">
            <v>5.3337272696061477</v>
          </cell>
          <cell r="Z292">
            <v>0.94890777182166797</v>
          </cell>
          <cell r="AA292">
            <v>0.27456035331656237</v>
          </cell>
        </row>
        <row r="293">
          <cell r="W293">
            <v>65.878356961197113</v>
          </cell>
          <cell r="X293">
            <v>64.956663206838016</v>
          </cell>
          <cell r="Y293">
            <v>5.3024313007149129</v>
          </cell>
          <cell r="Z293">
            <v>0.94333999780427336</v>
          </cell>
          <cell r="AA293">
            <v>0.27294935375812485</v>
          </cell>
        </row>
        <row r="294">
          <cell r="W294">
            <v>65.489530233770154</v>
          </cell>
          <cell r="X294">
            <v>64.573276493138295</v>
          </cell>
          <cell r="Y294">
            <v>5.271135331823678</v>
          </cell>
          <cell r="Z294">
            <v>0.93777222378687886</v>
          </cell>
          <cell r="AA294">
            <v>0.27133835419968738</v>
          </cell>
        </row>
        <row r="295">
          <cell r="W295">
            <v>65.10070350634318</v>
          </cell>
          <cell r="X295">
            <v>64.189889779438573</v>
          </cell>
          <cell r="Y295">
            <v>5.2398393629324431</v>
          </cell>
          <cell r="Z295">
            <v>0.93220444976948424</v>
          </cell>
          <cell r="AA295">
            <v>0.26972735464124986</v>
          </cell>
        </row>
        <row r="296">
          <cell r="W296">
            <v>64.711876778916235</v>
          </cell>
          <cell r="X296">
            <v>63.806503065738866</v>
          </cell>
          <cell r="Y296">
            <v>5.2085433940412091</v>
          </cell>
          <cell r="Z296">
            <v>0.92663667575208986</v>
          </cell>
          <cell r="AA296">
            <v>0.2681163550828124</v>
          </cell>
        </row>
        <row r="297">
          <cell r="W297">
            <v>64.323050051489261</v>
          </cell>
          <cell r="X297">
            <v>63.423116352039152</v>
          </cell>
          <cell r="Y297">
            <v>5.1772474251499743</v>
          </cell>
          <cell r="Z297">
            <v>0.92106890173469536</v>
          </cell>
          <cell r="AA297">
            <v>0.26650535552437488</v>
          </cell>
        </row>
        <row r="298">
          <cell r="W298">
            <v>63.934223324062302</v>
          </cell>
          <cell r="X298">
            <v>63.039729638339431</v>
          </cell>
          <cell r="Y298">
            <v>5.1459514562587394</v>
          </cell>
          <cell r="Z298">
            <v>0.91550112771730074</v>
          </cell>
          <cell r="AA298">
            <v>0.26489435596593741</v>
          </cell>
        </row>
        <row r="299">
          <cell r="W299">
            <v>63.545396596635335</v>
          </cell>
          <cell r="X299">
            <v>62.656342924639709</v>
          </cell>
          <cell r="Y299">
            <v>5.1146554873675045</v>
          </cell>
          <cell r="Z299">
            <v>0.90993335369990624</v>
          </cell>
          <cell r="AA299">
            <v>0.26328335640749989</v>
          </cell>
        </row>
        <row r="300">
          <cell r="W300">
            <v>63.156569869208369</v>
          </cell>
          <cell r="X300">
            <v>62.272956210939988</v>
          </cell>
          <cell r="Y300">
            <v>5.0833595184762697</v>
          </cell>
          <cell r="Z300">
            <v>0.90436557968251163</v>
          </cell>
          <cell r="AA300">
            <v>0.26167235684906237</v>
          </cell>
        </row>
        <row r="301">
          <cell r="W301">
            <v>62.767743141781402</v>
          </cell>
          <cell r="X301">
            <v>61.889569497240267</v>
          </cell>
          <cell r="Y301">
            <v>5.0520635495850348</v>
          </cell>
          <cell r="Z301">
            <v>0.89879780566511713</v>
          </cell>
          <cell r="AA301">
            <v>0.26006135729062485</v>
          </cell>
        </row>
        <row r="302">
          <cell r="W302">
            <v>62.378916414354428</v>
          </cell>
          <cell r="X302">
            <v>61.506182783540545</v>
          </cell>
          <cell r="Y302">
            <v>5.0207675806937999</v>
          </cell>
          <cell r="Z302">
            <v>0.89323003164772252</v>
          </cell>
          <cell r="AA302">
            <v>0.25845035773218733</v>
          </cell>
        </row>
        <row r="303">
          <cell r="W303">
            <v>61.990089686927462</v>
          </cell>
          <cell r="X303">
            <v>61.122796069840824</v>
          </cell>
          <cell r="Y303">
            <v>4.989471611802565</v>
          </cell>
          <cell r="Z303">
            <v>0.88766225763032791</v>
          </cell>
          <cell r="AA303">
            <v>0.25683935817374987</v>
          </cell>
        </row>
        <row r="304">
          <cell r="W304">
            <v>61.601262959500495</v>
          </cell>
          <cell r="X304">
            <v>60.739409356141103</v>
          </cell>
          <cell r="Y304">
            <v>4.9581756429113302</v>
          </cell>
          <cell r="Z304">
            <v>0.88209448361293341</v>
          </cell>
          <cell r="AA304">
            <v>0.25522835861531235</v>
          </cell>
        </row>
        <row r="305">
          <cell r="W305">
            <v>61.212436232073536</v>
          </cell>
          <cell r="X305">
            <v>60.356022642441388</v>
          </cell>
          <cell r="Y305">
            <v>4.9268796740200953</v>
          </cell>
          <cell r="Z305">
            <v>0.87652670959553891</v>
          </cell>
          <cell r="AA305">
            <v>0.25361735905687488</v>
          </cell>
        </row>
        <row r="306">
          <cell r="W306">
            <v>60.823609504646569</v>
          </cell>
          <cell r="X306">
            <v>59.972635928741667</v>
          </cell>
          <cell r="Y306">
            <v>4.8955837051288604</v>
          </cell>
          <cell r="Z306">
            <v>0.87095893557814441</v>
          </cell>
          <cell r="AA306">
            <v>0.25200635949843736</v>
          </cell>
        </row>
        <row r="307">
          <cell r="W307">
            <v>60.43478277721961</v>
          </cell>
          <cell r="X307">
            <v>59.589249215041953</v>
          </cell>
          <cell r="Y307">
            <v>4.8642877362376264</v>
          </cell>
          <cell r="Z307">
            <v>0.86539116156074991</v>
          </cell>
          <cell r="AA307">
            <v>0.25039535993999984</v>
          </cell>
        </row>
        <row r="308">
          <cell r="W308">
            <v>60.04595604979265</v>
          </cell>
          <cell r="X308">
            <v>59.205862501342239</v>
          </cell>
          <cell r="Y308">
            <v>4.8329917673463925</v>
          </cell>
          <cell r="Z308">
            <v>0.85982338754335541</v>
          </cell>
          <cell r="AA308">
            <v>0.24878436038156237</v>
          </cell>
        </row>
        <row r="309">
          <cell r="W309">
            <v>59.657129322365684</v>
          </cell>
          <cell r="X309">
            <v>58.822475787642524</v>
          </cell>
          <cell r="Y309">
            <v>4.8016957984551576</v>
          </cell>
          <cell r="Z309">
            <v>0.85425561352596091</v>
          </cell>
          <cell r="AA309">
            <v>0.24717336082312488</v>
          </cell>
        </row>
        <row r="310">
          <cell r="W310">
            <v>59.268302594938717</v>
          </cell>
          <cell r="X310">
            <v>58.439089073942803</v>
          </cell>
          <cell r="Y310">
            <v>4.7703998295639227</v>
          </cell>
          <cell r="Z310">
            <v>0.8486878395085663</v>
          </cell>
          <cell r="AA310">
            <v>0.24556236126468736</v>
          </cell>
        </row>
        <row r="311">
          <cell r="W311">
            <v>58.879475867511751</v>
          </cell>
          <cell r="X311">
            <v>58.055702360243082</v>
          </cell>
          <cell r="Y311">
            <v>4.739103860672687</v>
          </cell>
          <cell r="Z311">
            <v>0.8431200654911718</v>
          </cell>
          <cell r="AA311">
            <v>0.24395136170624987</v>
          </cell>
        </row>
        <row r="312">
          <cell r="W312">
            <v>58.490649140084784</v>
          </cell>
          <cell r="X312">
            <v>57.67231564654336</v>
          </cell>
          <cell r="Y312">
            <v>4.7078078917814521</v>
          </cell>
          <cell r="Z312">
            <v>0.83755229147377719</v>
          </cell>
          <cell r="AA312">
            <v>0.24234036214781235</v>
          </cell>
        </row>
        <row r="313">
          <cell r="W313">
            <v>58.101822412657825</v>
          </cell>
          <cell r="X313">
            <v>57.288928932843646</v>
          </cell>
          <cell r="Y313">
            <v>4.6765119228902181</v>
          </cell>
          <cell r="Z313">
            <v>0.83198451745638269</v>
          </cell>
          <cell r="AA313">
            <v>0.24072936258937488</v>
          </cell>
        </row>
        <row r="314">
          <cell r="W314">
            <v>57.712995685230858</v>
          </cell>
          <cell r="X314">
            <v>56.905542219143925</v>
          </cell>
          <cell r="Y314">
            <v>4.6452159539989832</v>
          </cell>
          <cell r="Z314">
            <v>0.82641674343898819</v>
          </cell>
          <cell r="AA314">
            <v>0.23911836303093736</v>
          </cell>
        </row>
        <row r="315">
          <cell r="W315">
            <v>57.324168957803892</v>
          </cell>
          <cell r="X315">
            <v>56.522155505444204</v>
          </cell>
          <cell r="Y315">
            <v>4.6139199851077484</v>
          </cell>
          <cell r="Z315">
            <v>0.82084896942159358</v>
          </cell>
          <cell r="AA315">
            <v>0.23750736347249984</v>
          </cell>
        </row>
        <row r="316">
          <cell r="W316">
            <v>56.935342230376932</v>
          </cell>
          <cell r="X316">
            <v>56.138768791744489</v>
          </cell>
          <cell r="Y316">
            <v>4.5826240162165144</v>
          </cell>
          <cell r="Z316">
            <v>0.81528119540419919</v>
          </cell>
          <cell r="AA316">
            <v>0.23589636391406238</v>
          </cell>
        </row>
        <row r="317">
          <cell r="W317">
            <v>56.546515502949966</v>
          </cell>
          <cell r="X317">
            <v>55.755382078044768</v>
          </cell>
          <cell r="Y317">
            <v>4.5513280473252786</v>
          </cell>
          <cell r="Z317">
            <v>0.80971342138680458</v>
          </cell>
          <cell r="AA317">
            <v>0.23428536435562486</v>
          </cell>
        </row>
        <row r="318">
          <cell r="W318">
            <v>56.157688775523006</v>
          </cell>
          <cell r="X318">
            <v>55.371995364345054</v>
          </cell>
          <cell r="Y318">
            <v>4.5200320784340446</v>
          </cell>
          <cell r="Z318">
            <v>0.80414564736941008</v>
          </cell>
          <cell r="AA318">
            <v>0.23267436479718739</v>
          </cell>
        </row>
        <row r="319">
          <cell r="W319">
            <v>55.76886204809604</v>
          </cell>
          <cell r="X319">
            <v>54.988608650645332</v>
          </cell>
          <cell r="Y319">
            <v>4.4887361095428098</v>
          </cell>
          <cell r="Z319">
            <v>0.79857787335201558</v>
          </cell>
          <cell r="AA319">
            <v>0.23106336523874987</v>
          </cell>
        </row>
        <row r="320">
          <cell r="W320">
            <v>55.380035320669073</v>
          </cell>
          <cell r="X320">
            <v>54.605221936945611</v>
          </cell>
          <cell r="Y320">
            <v>4.4574401406515749</v>
          </cell>
          <cell r="Z320">
            <v>0.79301009933462097</v>
          </cell>
          <cell r="AA320">
            <v>0.22945236568031238</v>
          </cell>
        </row>
        <row r="321">
          <cell r="W321">
            <v>54.991208593242106</v>
          </cell>
          <cell r="X321">
            <v>54.221835223245897</v>
          </cell>
          <cell r="Y321">
            <v>4.42614417176034</v>
          </cell>
          <cell r="Z321">
            <v>0.78744232531722647</v>
          </cell>
          <cell r="AA321">
            <v>0.22784136612187486</v>
          </cell>
        </row>
        <row r="322">
          <cell r="W322">
            <v>54.670426543114864</v>
          </cell>
          <cell r="X322">
            <v>53.905541184443628</v>
          </cell>
          <cell r="Y322">
            <v>4.4003249974250709</v>
          </cell>
          <cell r="Z322">
            <v>0.78284891175287596</v>
          </cell>
          <cell r="AA322">
            <v>0.22651229148616392</v>
          </cell>
        </row>
        <row r="323">
          <cell r="W323">
            <v>54.349644492987615</v>
          </cell>
          <cell r="X323">
            <v>53.589247145641359</v>
          </cell>
          <cell r="Y323">
            <v>4.3745058230898026</v>
          </cell>
          <cell r="Z323">
            <v>0.77825549818852546</v>
          </cell>
          <cell r="AA323">
            <v>0.22518321685045301</v>
          </cell>
        </row>
        <row r="324">
          <cell r="W324">
            <v>54.02886244286038</v>
          </cell>
          <cell r="X324">
            <v>53.272953106839097</v>
          </cell>
          <cell r="Y324">
            <v>4.3486866487545344</v>
          </cell>
          <cell r="Z324">
            <v>0.77366208462417507</v>
          </cell>
          <cell r="AA324">
            <v>0.22385414221474209</v>
          </cell>
        </row>
        <row r="325">
          <cell r="W325">
            <v>53.708080392733123</v>
          </cell>
          <cell r="X325">
            <v>52.956659068036821</v>
          </cell>
          <cell r="Y325">
            <v>4.3228674744192652</v>
          </cell>
          <cell r="Z325">
            <v>0.76906867105982446</v>
          </cell>
          <cell r="AA325">
            <v>0.22252506757903112</v>
          </cell>
        </row>
        <row r="326">
          <cell r="W326">
            <v>53.387298342605881</v>
          </cell>
          <cell r="X326">
            <v>52.640365029234559</v>
          </cell>
          <cell r="Y326">
            <v>4.297048300083997</v>
          </cell>
          <cell r="Z326">
            <v>0.76447525749547396</v>
          </cell>
          <cell r="AA326">
            <v>0.22119599294332018</v>
          </cell>
        </row>
        <row r="327">
          <cell r="W327">
            <v>53.066516292478632</v>
          </cell>
          <cell r="X327">
            <v>52.32407099043229</v>
          </cell>
          <cell r="Y327">
            <v>4.2712291257487278</v>
          </cell>
          <cell r="Z327">
            <v>0.75988184393112357</v>
          </cell>
          <cell r="AA327">
            <v>0.21986691830760924</v>
          </cell>
        </row>
        <row r="328">
          <cell r="W328">
            <v>52.745734242351382</v>
          </cell>
          <cell r="X328">
            <v>52.007776951630014</v>
          </cell>
          <cell r="Y328">
            <v>4.2454099514134587</v>
          </cell>
          <cell r="Z328">
            <v>0.75528843036677296</v>
          </cell>
          <cell r="AA328">
            <v>0.2185378436718983</v>
          </cell>
        </row>
        <row r="329">
          <cell r="W329">
            <v>52.424952192224147</v>
          </cell>
          <cell r="X329">
            <v>51.691482912827752</v>
          </cell>
          <cell r="Y329">
            <v>4.2195907770781913</v>
          </cell>
          <cell r="Z329">
            <v>0.75069501680242257</v>
          </cell>
          <cell r="AA329">
            <v>0.21720876903618738</v>
          </cell>
        </row>
        <row r="330">
          <cell r="W330">
            <v>52.104170142096898</v>
          </cell>
          <cell r="X330">
            <v>51.37518887402549</v>
          </cell>
          <cell r="Y330">
            <v>4.1937716027429222</v>
          </cell>
          <cell r="Z330">
            <v>0.74610160323807206</v>
          </cell>
          <cell r="AA330">
            <v>0.21587969440047644</v>
          </cell>
        </row>
        <row r="331">
          <cell r="W331">
            <v>51.783388091969655</v>
          </cell>
          <cell r="X331">
            <v>51.058894835223221</v>
          </cell>
          <cell r="Y331">
            <v>4.1679524284076539</v>
          </cell>
          <cell r="Z331">
            <v>0.74150818967372156</v>
          </cell>
          <cell r="AA331">
            <v>0.2145506197647655</v>
          </cell>
        </row>
        <row r="332">
          <cell r="W332">
            <v>51.462606041842399</v>
          </cell>
          <cell r="X332">
            <v>50.742600796420945</v>
          </cell>
          <cell r="Y332">
            <v>4.1421332540723848</v>
          </cell>
          <cell r="Z332">
            <v>0.73691477610937095</v>
          </cell>
          <cell r="AA332">
            <v>0.21322154512905453</v>
          </cell>
        </row>
        <row r="333">
          <cell r="W333">
            <v>51.141823991715157</v>
          </cell>
          <cell r="X333">
            <v>50.426306757618676</v>
          </cell>
          <cell r="Y333">
            <v>4.1163140797371156</v>
          </cell>
          <cell r="Z333">
            <v>0.73232136254502056</v>
          </cell>
          <cell r="AA333">
            <v>0.21189247049334362</v>
          </cell>
        </row>
        <row r="334">
          <cell r="W334">
            <v>50.821041941587914</v>
          </cell>
          <cell r="X334">
            <v>50.110012718816414</v>
          </cell>
          <cell r="Y334">
            <v>4.0904949054018473</v>
          </cell>
          <cell r="Z334">
            <v>0.72772794898067017</v>
          </cell>
          <cell r="AA334">
            <v>0.2105633958576327</v>
          </cell>
        </row>
        <row r="335">
          <cell r="W335">
            <v>50.500259891460672</v>
          </cell>
          <cell r="X335">
            <v>49.793718680014152</v>
          </cell>
          <cell r="Y335">
            <v>4.0646757310665791</v>
          </cell>
          <cell r="Z335">
            <v>0.72313453541631967</v>
          </cell>
          <cell r="AA335">
            <v>0.20923432122192176</v>
          </cell>
        </row>
        <row r="336">
          <cell r="W336">
            <v>50.179477841333416</v>
          </cell>
          <cell r="X336">
            <v>49.477424641211876</v>
          </cell>
          <cell r="Y336">
            <v>4.0388565567313099</v>
          </cell>
          <cell r="Z336">
            <v>0.71854112185196906</v>
          </cell>
          <cell r="AA336">
            <v>0.20790524658621079</v>
          </cell>
        </row>
        <row r="337">
          <cell r="W337">
            <v>49.858695791206173</v>
          </cell>
          <cell r="X337">
            <v>49.161130602409607</v>
          </cell>
          <cell r="Y337">
            <v>4.0130373823960417</v>
          </cell>
          <cell r="Z337">
            <v>0.71394770828761855</v>
          </cell>
          <cell r="AA337">
            <v>0.20657617195049985</v>
          </cell>
        </row>
        <row r="338">
          <cell r="W338">
            <v>49.537913741078938</v>
          </cell>
          <cell r="X338">
            <v>48.844836563607345</v>
          </cell>
          <cell r="Y338">
            <v>3.987218208060773</v>
          </cell>
          <cell r="Z338">
            <v>0.70935429472326816</v>
          </cell>
          <cell r="AA338">
            <v>0.20524709731478896</v>
          </cell>
        </row>
        <row r="339">
          <cell r="W339">
            <v>49.217131690951689</v>
          </cell>
          <cell r="X339">
            <v>48.528542524805076</v>
          </cell>
          <cell r="Y339">
            <v>3.9613990337255047</v>
          </cell>
          <cell r="Z339">
            <v>0.70476088115891766</v>
          </cell>
          <cell r="AA339">
            <v>0.20391802267907802</v>
          </cell>
        </row>
        <row r="340">
          <cell r="W340">
            <v>48.89634964082444</v>
          </cell>
          <cell r="X340">
            <v>48.212248486002807</v>
          </cell>
          <cell r="Y340">
            <v>3.9355798593902356</v>
          </cell>
          <cell r="Z340">
            <v>0.70016746759456716</v>
          </cell>
          <cell r="AA340">
            <v>0.20258894804336705</v>
          </cell>
        </row>
        <row r="341">
          <cell r="W341">
            <v>48.57556759069719</v>
          </cell>
          <cell r="X341">
            <v>47.895954447200538</v>
          </cell>
          <cell r="Y341">
            <v>3.9097606850549669</v>
          </cell>
          <cell r="Z341">
            <v>0.69557405403021666</v>
          </cell>
          <cell r="AA341">
            <v>0.20125987340765611</v>
          </cell>
        </row>
        <row r="342">
          <cell r="W342">
            <v>48.254785540569948</v>
          </cell>
          <cell r="X342">
            <v>47.579660408398269</v>
          </cell>
          <cell r="Y342">
            <v>3.8839415107196982</v>
          </cell>
          <cell r="Z342">
            <v>0.69098064046586616</v>
          </cell>
          <cell r="AA342">
            <v>0.1999307987719452</v>
          </cell>
        </row>
        <row r="343">
          <cell r="W343">
            <v>47.934003490442706</v>
          </cell>
          <cell r="X343">
            <v>47.263366369596007</v>
          </cell>
          <cell r="Y343">
            <v>3.8581223363844299</v>
          </cell>
          <cell r="Z343">
            <v>0.68638722690151577</v>
          </cell>
          <cell r="AA343">
            <v>0.19860172413623428</v>
          </cell>
        </row>
        <row r="344">
          <cell r="W344">
            <v>47.613221440315456</v>
          </cell>
          <cell r="X344">
            <v>46.947072330793738</v>
          </cell>
          <cell r="Y344">
            <v>3.8323031620491608</v>
          </cell>
          <cell r="Z344">
            <v>0.68179381333716516</v>
          </cell>
          <cell r="AA344">
            <v>0.19727264950052331</v>
          </cell>
        </row>
        <row r="345">
          <cell r="W345">
            <v>47.292439390188207</v>
          </cell>
          <cell r="X345">
            <v>46.630778291991469</v>
          </cell>
          <cell r="Y345">
            <v>3.8064839877138921</v>
          </cell>
          <cell r="Z345">
            <v>0.67720039977281465</v>
          </cell>
          <cell r="AA345">
            <v>0.19594357486481237</v>
          </cell>
        </row>
        <row r="346">
          <cell r="W346">
            <v>46.971657340060965</v>
          </cell>
          <cell r="X346">
            <v>46.3144842531892</v>
          </cell>
          <cell r="Y346">
            <v>3.7806648133786234</v>
          </cell>
          <cell r="Z346">
            <v>0.67260698620846426</v>
          </cell>
          <cell r="AA346">
            <v>0.19461450022910143</v>
          </cell>
        </row>
        <row r="347">
          <cell r="W347">
            <v>46.650875289933715</v>
          </cell>
          <cell r="X347">
            <v>45.998190214386923</v>
          </cell>
          <cell r="Y347">
            <v>3.7548456390433542</v>
          </cell>
          <cell r="Z347">
            <v>0.66801357264411365</v>
          </cell>
          <cell r="AA347">
            <v>0.19328542559339049</v>
          </cell>
        </row>
        <row r="348">
          <cell r="W348">
            <v>46.330093239806473</v>
          </cell>
          <cell r="X348">
            <v>45.681896175584662</v>
          </cell>
          <cell r="Y348">
            <v>3.7290264647080864</v>
          </cell>
          <cell r="Z348">
            <v>0.66342015907976326</v>
          </cell>
          <cell r="AA348">
            <v>0.19195635095767957</v>
          </cell>
        </row>
        <row r="349">
          <cell r="W349">
            <v>46.009311189679231</v>
          </cell>
          <cell r="X349">
            <v>45.3656021367824</v>
          </cell>
          <cell r="Y349">
            <v>3.7032072903728177</v>
          </cell>
          <cell r="Z349">
            <v>0.65882674551541276</v>
          </cell>
          <cell r="AA349">
            <v>0.19062727632196863</v>
          </cell>
        </row>
        <row r="350">
          <cell r="W350">
            <v>45.688529139551981</v>
          </cell>
          <cell r="X350">
            <v>45.049308097980131</v>
          </cell>
          <cell r="Y350">
            <v>3.677388116037549</v>
          </cell>
          <cell r="Z350">
            <v>0.65423333195106226</v>
          </cell>
          <cell r="AA350">
            <v>0.18929820168625769</v>
          </cell>
        </row>
        <row r="351">
          <cell r="W351">
            <v>45.367747089424732</v>
          </cell>
          <cell r="X351">
            <v>44.733014059177854</v>
          </cell>
          <cell r="Y351">
            <v>3.6515689417022799</v>
          </cell>
          <cell r="Z351">
            <v>0.64963991838671165</v>
          </cell>
          <cell r="AA351">
            <v>0.18796912705054672</v>
          </cell>
        </row>
        <row r="352">
          <cell r="W352">
            <v>45.10310189806976</v>
          </cell>
          <cell r="X352">
            <v>44.47207147716599</v>
          </cell>
          <cell r="Y352">
            <v>3.6302681228756835</v>
          </cell>
          <cell r="Z352">
            <v>0.64585035219612263</v>
          </cell>
          <cell r="AA352">
            <v>0.18687264047608523</v>
          </cell>
        </row>
        <row r="353">
          <cell r="W353">
            <v>44.83845670671478</v>
          </cell>
          <cell r="X353">
            <v>44.211128895154118</v>
          </cell>
          <cell r="Y353">
            <v>3.6089673040490871</v>
          </cell>
          <cell r="Z353">
            <v>0.6420607860055334</v>
          </cell>
          <cell r="AA353">
            <v>0.18577615390162369</v>
          </cell>
        </row>
        <row r="354">
          <cell r="W354">
            <v>44.5738115153598</v>
          </cell>
          <cell r="X354">
            <v>43.950186313142247</v>
          </cell>
          <cell r="Y354">
            <v>3.5876664852224902</v>
          </cell>
          <cell r="Z354">
            <v>0.63827121981494428</v>
          </cell>
          <cell r="AA354">
            <v>0.18467966732716218</v>
          </cell>
        </row>
        <row r="355">
          <cell r="W355">
            <v>44.309166324004821</v>
          </cell>
          <cell r="X355">
            <v>43.689243731130375</v>
          </cell>
          <cell r="Y355">
            <v>3.5663656663958934</v>
          </cell>
          <cell r="Z355">
            <v>0.63448165362435505</v>
          </cell>
          <cell r="AA355">
            <v>0.18358318075270064</v>
          </cell>
        </row>
        <row r="356">
          <cell r="W356">
            <v>44.044521132649841</v>
          </cell>
          <cell r="X356">
            <v>43.428301149118496</v>
          </cell>
          <cell r="Y356">
            <v>3.5450648475692965</v>
          </cell>
          <cell r="Z356">
            <v>0.63069208743376592</v>
          </cell>
          <cell r="AA356">
            <v>0.18248669417823912</v>
          </cell>
        </row>
        <row r="357">
          <cell r="W357">
            <v>43.779875941294868</v>
          </cell>
          <cell r="X357">
            <v>43.167358567106632</v>
          </cell>
          <cell r="Y357">
            <v>3.5237640287427006</v>
          </cell>
          <cell r="Z357">
            <v>0.6269025212431768</v>
          </cell>
          <cell r="AA357">
            <v>0.18139020760377761</v>
          </cell>
        </row>
        <row r="358">
          <cell r="W358">
            <v>43.515230749939889</v>
          </cell>
          <cell r="X358">
            <v>42.90641598509476</v>
          </cell>
          <cell r="Y358">
            <v>3.5024632099161037</v>
          </cell>
          <cell r="Z358">
            <v>0.62311295505258768</v>
          </cell>
          <cell r="AA358">
            <v>0.1802937210293161</v>
          </cell>
        </row>
        <row r="359">
          <cell r="W359">
            <v>43.250585558584909</v>
          </cell>
          <cell r="X359">
            <v>42.645473403082889</v>
          </cell>
          <cell r="Y359">
            <v>3.4811623910895069</v>
          </cell>
          <cell r="Z359">
            <v>0.61932338886199845</v>
          </cell>
          <cell r="AA359">
            <v>0.17919723445485455</v>
          </cell>
        </row>
        <row r="360">
          <cell r="W360">
            <v>42.985940367229929</v>
          </cell>
          <cell r="X360">
            <v>42.384530821071017</v>
          </cell>
          <cell r="Y360">
            <v>3.45986157226291</v>
          </cell>
          <cell r="Z360">
            <v>0.61553382267140933</v>
          </cell>
          <cell r="AA360">
            <v>0.17810074788039301</v>
          </cell>
        </row>
        <row r="361">
          <cell r="W361">
            <v>42.721295175874957</v>
          </cell>
          <cell r="X361">
            <v>42.123588239059153</v>
          </cell>
          <cell r="Y361">
            <v>3.4385607534363141</v>
          </cell>
          <cell r="Z361">
            <v>0.6117442564808202</v>
          </cell>
          <cell r="AA361">
            <v>0.17700426130593153</v>
          </cell>
        </row>
        <row r="362">
          <cell r="W362">
            <v>42.456649984519977</v>
          </cell>
          <cell r="X362">
            <v>41.862645657047281</v>
          </cell>
          <cell r="Y362">
            <v>3.4172599346097172</v>
          </cell>
          <cell r="Z362">
            <v>0.60795469029023108</v>
          </cell>
          <cell r="AA362">
            <v>0.17590777473146998</v>
          </cell>
        </row>
        <row r="363">
          <cell r="W363">
            <v>42.192004793165005</v>
          </cell>
          <cell r="X363">
            <v>41.60170307503541</v>
          </cell>
          <cell r="Y363">
            <v>3.3959591157831204</v>
          </cell>
          <cell r="Z363">
            <v>0.60416512409964185</v>
          </cell>
          <cell r="AA363">
            <v>0.17481128815700847</v>
          </cell>
        </row>
        <row r="364">
          <cell r="W364">
            <v>41.927359601810025</v>
          </cell>
          <cell r="X364">
            <v>41.340760493023531</v>
          </cell>
          <cell r="Y364">
            <v>3.3746582969565235</v>
          </cell>
          <cell r="Z364">
            <v>0.60037555790905273</v>
          </cell>
          <cell r="AA364">
            <v>0.17371480158254693</v>
          </cell>
        </row>
        <row r="365">
          <cell r="W365">
            <v>41.662714410455045</v>
          </cell>
          <cell r="X365">
            <v>41.079817911011659</v>
          </cell>
          <cell r="Y365">
            <v>3.3533574781299267</v>
          </cell>
          <cell r="Z365">
            <v>0.59658599171846349</v>
          </cell>
          <cell r="AA365">
            <v>0.17261831500808542</v>
          </cell>
        </row>
        <row r="366">
          <cell r="W366">
            <v>41.398069219100073</v>
          </cell>
          <cell r="X366">
            <v>40.818875328999795</v>
          </cell>
          <cell r="Y366">
            <v>3.3320566593033307</v>
          </cell>
          <cell r="Z366">
            <v>0.59279642552787448</v>
          </cell>
          <cell r="AA366">
            <v>0.1715218284336239</v>
          </cell>
        </row>
        <row r="367">
          <cell r="W367">
            <v>41.133424027745093</v>
          </cell>
          <cell r="X367">
            <v>40.557932746987923</v>
          </cell>
          <cell r="Y367">
            <v>3.3107558404767339</v>
          </cell>
          <cell r="Z367">
            <v>0.58900685933728525</v>
          </cell>
          <cell r="AA367">
            <v>0.17042534185916239</v>
          </cell>
        </row>
        <row r="368">
          <cell r="W368">
            <v>40.868778836390113</v>
          </cell>
          <cell r="X368">
            <v>40.296990164976052</v>
          </cell>
          <cell r="Y368">
            <v>3.289455021650137</v>
          </cell>
          <cell r="Z368">
            <v>0.58521729314669613</v>
          </cell>
          <cell r="AA368">
            <v>0.16932885528470085</v>
          </cell>
        </row>
        <row r="369">
          <cell r="W369">
            <v>40.604133645035141</v>
          </cell>
          <cell r="X369">
            <v>40.036047582964187</v>
          </cell>
          <cell r="Y369">
            <v>3.2681542028235411</v>
          </cell>
          <cell r="Z369">
            <v>0.581427726956107</v>
          </cell>
          <cell r="AA369">
            <v>0.16823236871023936</v>
          </cell>
        </row>
        <row r="370">
          <cell r="W370">
            <v>40.339488453680161</v>
          </cell>
          <cell r="X370">
            <v>39.775105000952315</v>
          </cell>
          <cell r="Y370">
            <v>3.2468533839969442</v>
          </cell>
          <cell r="Z370">
            <v>0.57763816076551788</v>
          </cell>
          <cell r="AA370">
            <v>0.16713588213577782</v>
          </cell>
        </row>
        <row r="371">
          <cell r="W371">
            <v>40.074843262325182</v>
          </cell>
          <cell r="X371">
            <v>39.514162418940444</v>
          </cell>
          <cell r="Y371">
            <v>3.2255525651703474</v>
          </cell>
          <cell r="Z371">
            <v>0.57384859457492865</v>
          </cell>
          <cell r="AA371">
            <v>0.16603939556131628</v>
          </cell>
        </row>
        <row r="372">
          <cell r="W372">
            <v>39.810198070970202</v>
          </cell>
          <cell r="X372">
            <v>39.253219836928572</v>
          </cell>
          <cell r="Y372">
            <v>3.2042517463437505</v>
          </cell>
          <cell r="Z372">
            <v>0.57005902838433953</v>
          </cell>
          <cell r="AA372">
            <v>0.16494290898685476</v>
          </cell>
        </row>
        <row r="373">
          <cell r="W373">
            <v>39.545552879615222</v>
          </cell>
          <cell r="X373">
            <v>38.992277254916694</v>
          </cell>
          <cell r="Y373">
            <v>3.1829509275171537</v>
          </cell>
          <cell r="Z373">
            <v>0.56626946219375029</v>
          </cell>
          <cell r="AA373">
            <v>0.16384642241239322</v>
          </cell>
        </row>
        <row r="374">
          <cell r="W374">
            <v>39.280907688260243</v>
          </cell>
          <cell r="X374">
            <v>38.731334672904822</v>
          </cell>
          <cell r="Y374">
            <v>3.1616501086905573</v>
          </cell>
          <cell r="Z374">
            <v>0.56247989600316117</v>
          </cell>
          <cell r="AA374">
            <v>0.16274993583793171</v>
          </cell>
        </row>
        <row r="375">
          <cell r="W375">
            <v>39.01626249690527</v>
          </cell>
          <cell r="X375">
            <v>38.470392090892958</v>
          </cell>
          <cell r="Y375">
            <v>3.1403492898639609</v>
          </cell>
          <cell r="Z375">
            <v>0.55869032981257205</v>
          </cell>
          <cell r="AA375">
            <v>0.16165344926347019</v>
          </cell>
        </row>
        <row r="376">
          <cell r="W376">
            <v>38.751617305550283</v>
          </cell>
          <cell r="X376">
            <v>38.209449508881079</v>
          </cell>
          <cell r="Y376">
            <v>3.1190484710373636</v>
          </cell>
          <cell r="Z376">
            <v>0.55490076362198282</v>
          </cell>
          <cell r="AA376">
            <v>0.16055696268900865</v>
          </cell>
        </row>
        <row r="377">
          <cell r="W377">
            <v>38.486972114195311</v>
          </cell>
          <cell r="X377">
            <v>37.948506926869214</v>
          </cell>
          <cell r="Y377">
            <v>3.0977476522107672</v>
          </cell>
          <cell r="Z377">
            <v>0.5511111974313937</v>
          </cell>
          <cell r="AA377">
            <v>0.15946047611454714</v>
          </cell>
        </row>
        <row r="378">
          <cell r="W378">
            <v>38.222326922840338</v>
          </cell>
          <cell r="X378">
            <v>37.68756434485735</v>
          </cell>
          <cell r="Y378">
            <v>3.0764468333841712</v>
          </cell>
          <cell r="Z378">
            <v>0.54732163124080468</v>
          </cell>
          <cell r="AA378">
            <v>0.15836398954008565</v>
          </cell>
        </row>
        <row r="379">
          <cell r="W379">
            <v>37.957681731485359</v>
          </cell>
          <cell r="X379">
            <v>37.426621762845478</v>
          </cell>
          <cell r="Y379">
            <v>3.0551460145575744</v>
          </cell>
          <cell r="Z379">
            <v>0.54353206505021545</v>
          </cell>
          <cell r="AA379">
            <v>0.15726750296562411</v>
          </cell>
        </row>
        <row r="380">
          <cell r="W380">
            <v>37.693036540130379</v>
          </cell>
          <cell r="X380">
            <v>37.165679180833607</v>
          </cell>
          <cell r="Y380">
            <v>3.0338451957309776</v>
          </cell>
          <cell r="Z380">
            <v>0.53974249885962633</v>
          </cell>
          <cell r="AA380">
            <v>0.15617101639116257</v>
          </cell>
        </row>
        <row r="381">
          <cell r="W381">
            <v>37.428391348775406</v>
          </cell>
          <cell r="X381">
            <v>36.904736598821728</v>
          </cell>
          <cell r="Y381">
            <v>3.0125443769043807</v>
          </cell>
          <cell r="Z381">
            <v>0.5359529326690371</v>
          </cell>
          <cell r="AA381">
            <v>0.15507452981670106</v>
          </cell>
        </row>
        <row r="382">
          <cell r="W382">
            <v>37.210059065907544</v>
          </cell>
          <cell r="X382">
            <v>36.689458968661938</v>
          </cell>
          <cell r="Y382">
            <v>2.9949712013724388</v>
          </cell>
          <cell r="Z382">
            <v>0.53282654056180112</v>
          </cell>
          <cell r="AA382">
            <v>0.1541699283927703</v>
          </cell>
        </row>
        <row r="383">
          <cell r="W383">
            <v>36.991726783039688</v>
          </cell>
          <cell r="X383">
            <v>36.474181338502142</v>
          </cell>
          <cell r="Y383">
            <v>2.9773980258404964</v>
          </cell>
          <cell r="Z383">
            <v>0.52970014845456503</v>
          </cell>
          <cell r="AA383">
            <v>0.15326532696883952</v>
          </cell>
        </row>
        <row r="384">
          <cell r="W384">
            <v>36.773394500171825</v>
          </cell>
          <cell r="X384">
            <v>36.258903708342345</v>
          </cell>
          <cell r="Y384">
            <v>2.959824850308554</v>
          </cell>
          <cell r="Z384">
            <v>0.52657375634732895</v>
          </cell>
          <cell r="AA384">
            <v>0.15236072554490876</v>
          </cell>
        </row>
        <row r="385">
          <cell r="W385">
            <v>36.555062217303977</v>
          </cell>
          <cell r="X385">
            <v>36.043626078182555</v>
          </cell>
          <cell r="Y385">
            <v>2.9422516747766121</v>
          </cell>
          <cell r="Z385">
            <v>0.52344736424009297</v>
          </cell>
          <cell r="AA385">
            <v>0.15145612412097803</v>
          </cell>
        </row>
        <row r="386">
          <cell r="W386">
            <v>36.336729934436121</v>
          </cell>
          <cell r="X386">
            <v>35.828348448022766</v>
          </cell>
          <cell r="Y386">
            <v>2.9246784992446697</v>
          </cell>
          <cell r="Z386">
            <v>0.52032097213285688</v>
          </cell>
          <cell r="AA386">
            <v>0.15055152269704727</v>
          </cell>
        </row>
        <row r="387">
          <cell r="W387">
            <v>36.118397651568259</v>
          </cell>
          <cell r="X387">
            <v>35.613070817862969</v>
          </cell>
          <cell r="Y387">
            <v>2.9071053237127273</v>
          </cell>
          <cell r="Z387">
            <v>0.5171945800256208</v>
          </cell>
          <cell r="AA387">
            <v>0.14964692127311652</v>
          </cell>
        </row>
        <row r="388">
          <cell r="W388">
            <v>35.900065368700403</v>
          </cell>
          <cell r="X388">
            <v>35.397793187703172</v>
          </cell>
          <cell r="Y388">
            <v>2.889532148180785</v>
          </cell>
          <cell r="Z388">
            <v>0.51406818791838471</v>
          </cell>
          <cell r="AA388">
            <v>0.14874231984918573</v>
          </cell>
        </row>
        <row r="389">
          <cell r="W389">
            <v>35.681733085832555</v>
          </cell>
          <cell r="X389">
            <v>35.182515557543383</v>
          </cell>
          <cell r="Y389">
            <v>2.871958972648843</v>
          </cell>
          <cell r="Z389">
            <v>0.51094179581114874</v>
          </cell>
          <cell r="AA389">
            <v>0.147837718425255</v>
          </cell>
        </row>
        <row r="390">
          <cell r="W390">
            <v>35.463400802964692</v>
          </cell>
          <cell r="X390">
            <v>34.967237927383586</v>
          </cell>
          <cell r="Y390">
            <v>2.8543857971169007</v>
          </cell>
          <cell r="Z390">
            <v>0.50781540370391265</v>
          </cell>
          <cell r="AA390">
            <v>0.14693311700132425</v>
          </cell>
        </row>
        <row r="391">
          <cell r="W391">
            <v>35.245068520096837</v>
          </cell>
          <cell r="X391">
            <v>34.751960297223796</v>
          </cell>
          <cell r="Y391">
            <v>2.8368126215849583</v>
          </cell>
          <cell r="Z391">
            <v>0.50468901159667656</v>
          </cell>
          <cell r="AA391">
            <v>0.14602851557739349</v>
          </cell>
        </row>
        <row r="392">
          <cell r="W392">
            <v>35.026736237228974</v>
          </cell>
          <cell r="X392">
            <v>34.536682667063999</v>
          </cell>
          <cell r="Y392">
            <v>2.8192394460530159</v>
          </cell>
          <cell r="Z392">
            <v>0.50156261948944059</v>
          </cell>
          <cell r="AA392">
            <v>0.14512391415346271</v>
          </cell>
        </row>
        <row r="393">
          <cell r="W393">
            <v>34.808403954361125</v>
          </cell>
          <cell r="X393">
            <v>34.32140503690421</v>
          </cell>
          <cell r="Y393">
            <v>2.8016662705210744</v>
          </cell>
          <cell r="Z393">
            <v>0.49843622738220456</v>
          </cell>
          <cell r="AA393">
            <v>0.14421931272953198</v>
          </cell>
        </row>
        <row r="394">
          <cell r="W394">
            <v>34.59007167149327</v>
          </cell>
          <cell r="X394">
            <v>34.106127406744413</v>
          </cell>
          <cell r="Y394">
            <v>2.784093094989132</v>
          </cell>
          <cell r="Z394">
            <v>0.49530983527496847</v>
          </cell>
          <cell r="AA394">
            <v>0.14331471130560122</v>
          </cell>
        </row>
        <row r="395">
          <cell r="W395">
            <v>34.371739388625407</v>
          </cell>
          <cell r="X395">
            <v>33.890849776584623</v>
          </cell>
          <cell r="Y395">
            <v>2.7665199194571897</v>
          </cell>
          <cell r="Z395">
            <v>0.49218344316773244</v>
          </cell>
          <cell r="AA395">
            <v>0.14241010988167047</v>
          </cell>
        </row>
        <row r="396">
          <cell r="W396">
            <v>34.153407105757552</v>
          </cell>
          <cell r="X396">
            <v>33.675572146424827</v>
          </cell>
          <cell r="Y396">
            <v>2.7489467439252473</v>
          </cell>
          <cell r="Z396">
            <v>0.48905705106049635</v>
          </cell>
          <cell r="AA396">
            <v>0.14150550845773968</v>
          </cell>
        </row>
        <row r="397">
          <cell r="W397">
            <v>33.935074822889703</v>
          </cell>
          <cell r="X397">
            <v>33.460294516265037</v>
          </cell>
          <cell r="Y397">
            <v>2.7313735683933054</v>
          </cell>
          <cell r="Z397">
            <v>0.48593065895326037</v>
          </cell>
          <cell r="AA397">
            <v>0.14060090703380895</v>
          </cell>
        </row>
        <row r="398">
          <cell r="W398">
            <v>33.716742540021841</v>
          </cell>
          <cell r="X398">
            <v>33.24501688610524</v>
          </cell>
          <cell r="Y398">
            <v>2.713800392861363</v>
          </cell>
          <cell r="Z398">
            <v>0.48280426684602429</v>
          </cell>
          <cell r="AA398">
            <v>0.1396963056098782</v>
          </cell>
        </row>
        <row r="399">
          <cell r="W399">
            <v>33.498410257153985</v>
          </cell>
          <cell r="X399">
            <v>33.029739255945444</v>
          </cell>
          <cell r="Y399">
            <v>2.6962272173294206</v>
          </cell>
          <cell r="Z399">
            <v>0.4796778747387882</v>
          </cell>
          <cell r="AA399">
            <v>0.13879170418594744</v>
          </cell>
        </row>
        <row r="400">
          <cell r="W400">
            <v>33.280077974286122</v>
          </cell>
          <cell r="X400">
            <v>32.814461625785654</v>
          </cell>
          <cell r="Y400">
            <v>2.6786540417974782</v>
          </cell>
          <cell r="Z400">
            <v>0.47655148263155211</v>
          </cell>
          <cell r="AA400">
            <v>0.13788710276201668</v>
          </cell>
        </row>
        <row r="401">
          <cell r="W401">
            <v>33.061745691418274</v>
          </cell>
          <cell r="X401">
            <v>32.599183995625864</v>
          </cell>
          <cell r="Y401">
            <v>2.6610808662655367</v>
          </cell>
          <cell r="Z401">
            <v>0.47342509052431614</v>
          </cell>
          <cell r="AA401">
            <v>0.13698250133808593</v>
          </cell>
        </row>
        <row r="402">
          <cell r="W402">
            <v>32.843413408550418</v>
          </cell>
          <cell r="X402">
            <v>32.383906365466068</v>
          </cell>
          <cell r="Y402">
            <v>2.6435076907335944</v>
          </cell>
          <cell r="Z402">
            <v>0.47029869841708011</v>
          </cell>
          <cell r="AA402">
            <v>0.13607789991415517</v>
          </cell>
        </row>
        <row r="403">
          <cell r="W403">
            <v>32.625081125682556</v>
          </cell>
          <cell r="X403">
            <v>32.168628735306271</v>
          </cell>
          <cell r="Y403">
            <v>2.625934515201652</v>
          </cell>
          <cell r="Z403">
            <v>0.46717230630984402</v>
          </cell>
          <cell r="AA403">
            <v>0.13517329849022441</v>
          </cell>
        </row>
        <row r="404">
          <cell r="W404">
            <v>32.4067488428147</v>
          </cell>
          <cell r="X404">
            <v>31.953351105146478</v>
          </cell>
          <cell r="Y404">
            <v>2.6083613396697096</v>
          </cell>
          <cell r="Z404">
            <v>0.46404591420260793</v>
          </cell>
          <cell r="AA404">
            <v>0.13426869706629366</v>
          </cell>
        </row>
        <row r="405">
          <cell r="W405">
            <v>32.188416559946852</v>
          </cell>
          <cell r="X405">
            <v>31.738073474986692</v>
          </cell>
          <cell r="Y405">
            <v>2.5907881641377677</v>
          </cell>
          <cell r="Z405">
            <v>0.46091952209537196</v>
          </cell>
          <cell r="AA405">
            <v>0.1333640956423629</v>
          </cell>
        </row>
        <row r="406">
          <cell r="W406">
            <v>31.970084277078989</v>
          </cell>
          <cell r="X406">
            <v>31.522795844826895</v>
          </cell>
          <cell r="Y406">
            <v>2.5732149886058253</v>
          </cell>
          <cell r="Z406">
            <v>0.45779312998813587</v>
          </cell>
          <cell r="AA406">
            <v>0.13245949421843214</v>
          </cell>
        </row>
        <row r="407">
          <cell r="W407">
            <v>31.751751994211133</v>
          </cell>
          <cell r="X407">
            <v>31.307518214667098</v>
          </cell>
          <cell r="Y407">
            <v>2.5556418130738829</v>
          </cell>
          <cell r="Z407">
            <v>0.45466673788089984</v>
          </cell>
          <cell r="AA407">
            <v>0.13155489279450139</v>
          </cell>
        </row>
        <row r="408">
          <cell r="W408">
            <v>31.533419711343274</v>
          </cell>
          <cell r="X408">
            <v>31.092240584507305</v>
          </cell>
          <cell r="Y408">
            <v>2.5380686375419406</v>
          </cell>
          <cell r="Z408">
            <v>0.45154034577366375</v>
          </cell>
          <cell r="AA408">
            <v>0.13065029137057063</v>
          </cell>
        </row>
        <row r="409">
          <cell r="W409">
            <v>31.315087428475415</v>
          </cell>
          <cell r="X409">
            <v>30.876962954347508</v>
          </cell>
          <cell r="Y409">
            <v>2.5204954620099982</v>
          </cell>
          <cell r="Z409">
            <v>0.44841395366642767</v>
          </cell>
          <cell r="AA409">
            <v>0.12974568994663987</v>
          </cell>
        </row>
        <row r="410">
          <cell r="W410">
            <v>31.096755145607563</v>
          </cell>
          <cell r="X410">
            <v>30.661685324187722</v>
          </cell>
          <cell r="Y410">
            <v>2.5029222864780567</v>
          </cell>
          <cell r="Z410">
            <v>0.44528756155919169</v>
          </cell>
          <cell r="AA410">
            <v>0.12884108852270912</v>
          </cell>
        </row>
        <row r="411">
          <cell r="W411">
            <v>30.878422862739708</v>
          </cell>
          <cell r="X411">
            <v>30.446407694027926</v>
          </cell>
          <cell r="Y411">
            <v>2.4853491109461143</v>
          </cell>
          <cell r="Z411">
            <v>0.4421611694519556</v>
          </cell>
          <cell r="AA411">
            <v>0.12793648709877836</v>
          </cell>
        </row>
        <row r="412">
          <cell r="W412">
            <v>30.698298729373722</v>
          </cell>
          <cell r="X412">
            <v>30.268803649146093</v>
          </cell>
          <cell r="Y412">
            <v>2.4708512411322614</v>
          </cell>
          <cell r="Z412">
            <v>0.43958189596348585</v>
          </cell>
          <cell r="AA412">
            <v>0.12719019092403547</v>
          </cell>
        </row>
        <row r="413">
          <cell r="W413">
            <v>30.518174596007743</v>
          </cell>
          <cell r="X413">
            <v>30.091199604264265</v>
          </cell>
          <cell r="Y413">
            <v>2.4563533713184094</v>
          </cell>
          <cell r="Z413">
            <v>0.43700262247501614</v>
          </cell>
          <cell r="AA413">
            <v>0.1264438947492926</v>
          </cell>
        </row>
        <row r="414">
          <cell r="W414">
            <v>30.33805046264176</v>
          </cell>
          <cell r="X414">
            <v>29.913595559382436</v>
          </cell>
          <cell r="Y414">
            <v>2.4418555015045573</v>
          </cell>
          <cell r="Z414">
            <v>0.43442334898654639</v>
          </cell>
          <cell r="AA414">
            <v>0.12569759857454973</v>
          </cell>
        </row>
        <row r="415">
          <cell r="W415">
            <v>30.157926329275778</v>
          </cell>
          <cell r="X415">
            <v>29.735991514500608</v>
          </cell>
          <cell r="Y415">
            <v>2.4273576316907048</v>
          </cell>
          <cell r="Z415">
            <v>0.43184407549807663</v>
          </cell>
          <cell r="AA415">
            <v>0.12495130239980685</v>
          </cell>
        </row>
        <row r="416">
          <cell r="W416">
            <v>29.977802195909796</v>
          </cell>
          <cell r="X416">
            <v>29.558387469618779</v>
          </cell>
          <cell r="Y416">
            <v>2.4128597618768524</v>
          </cell>
          <cell r="Z416">
            <v>0.42926480200960693</v>
          </cell>
          <cell r="AA416">
            <v>0.12420500622506399</v>
          </cell>
        </row>
        <row r="417">
          <cell r="W417">
            <v>29.797678062543817</v>
          </cell>
          <cell r="X417">
            <v>29.380783424736951</v>
          </cell>
          <cell r="Y417">
            <v>2.3983618920630003</v>
          </cell>
          <cell r="Z417">
            <v>0.42668552852113717</v>
          </cell>
          <cell r="AA417">
            <v>0.12345871005032112</v>
          </cell>
        </row>
        <row r="418">
          <cell r="W418">
            <v>29.617553929177834</v>
          </cell>
          <cell r="X418">
            <v>29.203179379855118</v>
          </cell>
          <cell r="Y418">
            <v>2.3838640222491478</v>
          </cell>
          <cell r="Z418">
            <v>0.42410625503266741</v>
          </cell>
          <cell r="AA418">
            <v>0.12271241387557824</v>
          </cell>
        </row>
        <row r="419">
          <cell r="W419">
            <v>29.437429795811852</v>
          </cell>
          <cell r="X419">
            <v>29.02557533497329</v>
          </cell>
          <cell r="Y419">
            <v>2.3693661524352954</v>
          </cell>
          <cell r="Z419">
            <v>0.42152698154419771</v>
          </cell>
          <cell r="AA419">
            <v>0.12196611770083537</v>
          </cell>
        </row>
        <row r="420">
          <cell r="W420">
            <v>29.257305662445869</v>
          </cell>
          <cell r="X420">
            <v>28.847971290091458</v>
          </cell>
          <cell r="Y420">
            <v>2.3548682826214429</v>
          </cell>
          <cell r="Z420">
            <v>0.4189477080557279</v>
          </cell>
          <cell r="AA420">
            <v>0.12121982152609249</v>
          </cell>
        </row>
        <row r="421">
          <cell r="W421">
            <v>29.077181529079887</v>
          </cell>
          <cell r="X421">
            <v>28.670367245209629</v>
          </cell>
          <cell r="Y421">
            <v>2.3403704128075908</v>
          </cell>
          <cell r="Z421">
            <v>0.41636843456725819</v>
          </cell>
          <cell r="AA421">
            <v>0.12047352535134961</v>
          </cell>
        </row>
        <row r="422">
          <cell r="W422">
            <v>28.897057395713908</v>
          </cell>
          <cell r="X422">
            <v>28.492763200327801</v>
          </cell>
          <cell r="Y422">
            <v>2.3258725429937384</v>
          </cell>
          <cell r="Z422">
            <v>0.41378916107878849</v>
          </cell>
          <cell r="AA422">
            <v>0.11972722917660675</v>
          </cell>
        </row>
        <row r="423">
          <cell r="W423">
            <v>28.716933262347926</v>
          </cell>
          <cell r="X423">
            <v>28.315159155445969</v>
          </cell>
          <cell r="Y423">
            <v>2.3113746731798859</v>
          </cell>
          <cell r="Z423">
            <v>0.41120988759031868</v>
          </cell>
          <cell r="AA423">
            <v>0.11898093300186387</v>
          </cell>
        </row>
        <row r="424">
          <cell r="W424">
            <v>28.536809128981943</v>
          </cell>
          <cell r="X424">
            <v>28.13755511056414</v>
          </cell>
          <cell r="Y424">
            <v>2.2968768033660338</v>
          </cell>
          <cell r="Z424">
            <v>0.40863061410184898</v>
          </cell>
          <cell r="AA424">
            <v>0.118234636827121</v>
          </cell>
        </row>
        <row r="425">
          <cell r="W425">
            <v>28.356684995615961</v>
          </cell>
          <cell r="X425">
            <v>27.959951065682308</v>
          </cell>
          <cell r="Y425">
            <v>2.2823789335521814</v>
          </cell>
          <cell r="Z425">
            <v>0.40605134061337922</v>
          </cell>
          <cell r="AA425">
            <v>0.11748834065237812</v>
          </cell>
        </row>
        <row r="426">
          <cell r="W426">
            <v>28.176560862249978</v>
          </cell>
          <cell r="X426">
            <v>27.782347020800479</v>
          </cell>
          <cell r="Y426">
            <v>2.2678810637383289</v>
          </cell>
          <cell r="Z426">
            <v>0.40347206712490946</v>
          </cell>
          <cell r="AA426">
            <v>0.11674204447763524</v>
          </cell>
        </row>
        <row r="427">
          <cell r="W427">
            <v>27.996436728883999</v>
          </cell>
          <cell r="X427">
            <v>27.604742975918651</v>
          </cell>
          <cell r="Y427">
            <v>2.2533831939244768</v>
          </cell>
          <cell r="Z427">
            <v>0.40089279363643976</v>
          </cell>
          <cell r="AA427">
            <v>0.11599574830289237</v>
          </cell>
        </row>
        <row r="428">
          <cell r="W428">
            <v>27.816312595518013</v>
          </cell>
          <cell r="X428">
            <v>27.427138931036819</v>
          </cell>
          <cell r="Y428">
            <v>2.2388853241106244</v>
          </cell>
          <cell r="Z428">
            <v>0.39831352014797</v>
          </cell>
          <cell r="AA428">
            <v>0.11524945212814949</v>
          </cell>
        </row>
        <row r="429">
          <cell r="W429">
            <v>27.636188462152035</v>
          </cell>
          <cell r="X429">
            <v>27.249534886154994</v>
          </cell>
          <cell r="Y429">
            <v>2.2243874542967719</v>
          </cell>
          <cell r="Z429">
            <v>0.39573424665950024</v>
          </cell>
          <cell r="AA429">
            <v>0.11450315595340663</v>
          </cell>
        </row>
        <row r="430">
          <cell r="W430">
            <v>27.456064328786059</v>
          </cell>
          <cell r="X430">
            <v>27.071930841273165</v>
          </cell>
          <cell r="Y430">
            <v>2.2098895844829198</v>
          </cell>
          <cell r="Z430">
            <v>0.3931549731710306</v>
          </cell>
          <cell r="AA430">
            <v>0.11375685977866377</v>
          </cell>
        </row>
        <row r="431">
          <cell r="W431">
            <v>27.275940195420073</v>
          </cell>
          <cell r="X431">
            <v>26.894326796391336</v>
          </cell>
          <cell r="Y431">
            <v>2.1953917146690674</v>
          </cell>
          <cell r="Z431">
            <v>0.39057569968256078</v>
          </cell>
          <cell r="AA431">
            <v>0.11301056360392089</v>
          </cell>
        </row>
        <row r="432">
          <cell r="W432">
            <v>27.095816062054094</v>
          </cell>
          <cell r="X432">
            <v>26.716722751509508</v>
          </cell>
          <cell r="Y432">
            <v>2.1808938448552153</v>
          </cell>
          <cell r="Z432">
            <v>0.38799642619409108</v>
          </cell>
          <cell r="AA432">
            <v>0.11226426742917801</v>
          </cell>
        </row>
        <row r="433">
          <cell r="W433">
            <v>26.915691928688112</v>
          </cell>
          <cell r="X433">
            <v>26.539118706627679</v>
          </cell>
          <cell r="Y433">
            <v>2.1663959750413628</v>
          </cell>
          <cell r="Z433">
            <v>0.38541715270562138</v>
          </cell>
          <cell r="AA433">
            <v>0.11151797125443515</v>
          </cell>
        </row>
        <row r="434">
          <cell r="W434">
            <v>26.73556779532213</v>
          </cell>
          <cell r="X434">
            <v>26.361514661745847</v>
          </cell>
          <cell r="Y434">
            <v>2.1518981052275103</v>
          </cell>
          <cell r="Z434">
            <v>0.38283787921715157</v>
          </cell>
          <cell r="AA434">
            <v>0.11077167507969227</v>
          </cell>
        </row>
        <row r="435">
          <cell r="W435">
            <v>26.555443661956147</v>
          </cell>
          <cell r="X435">
            <v>26.183910616864019</v>
          </cell>
          <cell r="Y435">
            <v>2.1374002354136583</v>
          </cell>
          <cell r="Z435">
            <v>0.38025860572868186</v>
          </cell>
          <cell r="AA435">
            <v>0.1100253789049494</v>
          </cell>
        </row>
        <row r="436">
          <cell r="W436">
            <v>26.375319528590165</v>
          </cell>
          <cell r="X436">
            <v>26.006306571982186</v>
          </cell>
          <cell r="Y436">
            <v>2.1229023655998058</v>
          </cell>
          <cell r="Z436">
            <v>0.37767933224021211</v>
          </cell>
          <cell r="AA436">
            <v>0.10927908273020652</v>
          </cell>
        </row>
        <row r="437">
          <cell r="W437">
            <v>26.195195395224186</v>
          </cell>
          <cell r="X437">
            <v>25.828702527100358</v>
          </cell>
          <cell r="Y437">
            <v>2.1084044957859533</v>
          </cell>
          <cell r="Z437">
            <v>0.37510005875174235</v>
          </cell>
          <cell r="AA437">
            <v>0.10853278655546365</v>
          </cell>
        </row>
        <row r="438">
          <cell r="W438">
            <v>26.015071261858203</v>
          </cell>
          <cell r="X438">
            <v>25.651098482218529</v>
          </cell>
          <cell r="Y438">
            <v>2.0939066259721013</v>
          </cell>
          <cell r="Z438">
            <v>0.37252078526327265</v>
          </cell>
          <cell r="AA438">
            <v>0.10778649038072077</v>
          </cell>
        </row>
        <row r="439">
          <cell r="W439">
            <v>25.834947128492221</v>
          </cell>
          <cell r="X439">
            <v>25.473494437336697</v>
          </cell>
          <cell r="Y439">
            <v>2.0794087561582488</v>
          </cell>
          <cell r="Z439">
            <v>0.36994151177480289</v>
          </cell>
          <cell r="AA439">
            <v>0.10704019420597789</v>
          </cell>
        </row>
        <row r="440">
          <cell r="W440">
            <v>25.654822995126239</v>
          </cell>
          <cell r="X440">
            <v>25.295890392454869</v>
          </cell>
          <cell r="Y440">
            <v>2.0649108863443963</v>
          </cell>
          <cell r="Z440">
            <v>0.36736223828633313</v>
          </cell>
          <cell r="AA440">
            <v>0.10629389803123503</v>
          </cell>
        </row>
        <row r="441">
          <cell r="W441">
            <v>25.474698861760256</v>
          </cell>
          <cell r="X441">
            <v>25.118286347573036</v>
          </cell>
          <cell r="Y441">
            <v>2.0504130165305439</v>
          </cell>
          <cell r="Z441">
            <v>0.36478296479786337</v>
          </cell>
          <cell r="AA441">
            <v>0.10554760185649215</v>
          </cell>
        </row>
        <row r="442">
          <cell r="W442">
            <v>25.326096451733324</v>
          </cell>
          <cell r="X442">
            <v>24.97176301054553</v>
          </cell>
          <cell r="Y442">
            <v>2.0384522739341162</v>
          </cell>
          <cell r="Z442">
            <v>0.36265506416987586</v>
          </cell>
          <cell r="AA442">
            <v>0.10493190751232928</v>
          </cell>
        </row>
        <row r="443">
          <cell r="W443">
            <v>25.177494041706389</v>
          </cell>
          <cell r="X443">
            <v>24.825239673518023</v>
          </cell>
          <cell r="Y443">
            <v>2.0264915313376881</v>
          </cell>
          <cell r="Z443">
            <v>0.36052716354188835</v>
          </cell>
          <cell r="AA443">
            <v>0.10431621316816642</v>
          </cell>
        </row>
        <row r="444">
          <cell r="W444">
            <v>25.02889163167945</v>
          </cell>
          <cell r="X444">
            <v>24.67871633649051</v>
          </cell>
          <cell r="Y444">
            <v>2.0145307887412596</v>
          </cell>
          <cell r="Z444">
            <v>0.35839926291390073</v>
          </cell>
          <cell r="AA444">
            <v>0.10370051882400352</v>
          </cell>
        </row>
        <row r="445">
          <cell r="W445">
            <v>24.880289221652514</v>
          </cell>
          <cell r="X445">
            <v>24.532192999463</v>
          </cell>
          <cell r="Y445">
            <v>2.0025700461448315</v>
          </cell>
          <cell r="Z445">
            <v>0.35627136228591322</v>
          </cell>
          <cell r="AA445">
            <v>0.10308482447984066</v>
          </cell>
        </row>
        <row r="446">
          <cell r="W446">
            <v>24.731686811625586</v>
          </cell>
          <cell r="X446">
            <v>24.385669662435493</v>
          </cell>
          <cell r="Y446">
            <v>1.9906093035484034</v>
          </cell>
          <cell r="Z446">
            <v>0.35414346165792571</v>
          </cell>
          <cell r="AA446">
            <v>0.10246913013567779</v>
          </cell>
        </row>
        <row r="447">
          <cell r="W447">
            <v>24.583084401598651</v>
          </cell>
          <cell r="X447">
            <v>24.239146325407983</v>
          </cell>
          <cell r="Y447">
            <v>1.9786485609519753</v>
          </cell>
          <cell r="Z447">
            <v>0.3520155610299382</v>
          </cell>
          <cell r="AA447">
            <v>0.10185343579151493</v>
          </cell>
        </row>
        <row r="448">
          <cell r="W448">
            <v>24.434481991571712</v>
          </cell>
          <cell r="X448">
            <v>24.092622988380469</v>
          </cell>
          <cell r="Y448">
            <v>1.9666878183555467</v>
          </cell>
          <cell r="Z448">
            <v>0.34988766040195057</v>
          </cell>
          <cell r="AA448">
            <v>0.10123774144735204</v>
          </cell>
        </row>
        <row r="449">
          <cell r="W449">
            <v>24.285879581544776</v>
          </cell>
          <cell r="X449">
            <v>23.946099651352963</v>
          </cell>
          <cell r="Y449">
            <v>1.9547270757591186</v>
          </cell>
          <cell r="Z449">
            <v>0.34775975977396306</v>
          </cell>
          <cell r="AA449">
            <v>0.10062204710318917</v>
          </cell>
        </row>
        <row r="450">
          <cell r="W450">
            <v>24.137277171517844</v>
          </cell>
          <cell r="X450">
            <v>23.799576314325456</v>
          </cell>
          <cell r="Y450">
            <v>1.9427663331626905</v>
          </cell>
          <cell r="Z450">
            <v>0.34563185914597555</v>
          </cell>
          <cell r="AA450">
            <v>0.10000635275902632</v>
          </cell>
        </row>
        <row r="451">
          <cell r="W451">
            <v>23.988674761490909</v>
          </cell>
          <cell r="X451">
            <v>23.653052977297946</v>
          </cell>
          <cell r="Y451">
            <v>1.9308055905662624</v>
          </cell>
          <cell r="Z451">
            <v>0.34350395851798804</v>
          </cell>
          <cell r="AA451">
            <v>9.9390658414863442E-2</v>
          </cell>
        </row>
        <row r="452">
          <cell r="W452">
            <v>23.84007235146397</v>
          </cell>
          <cell r="X452">
            <v>23.506529640270433</v>
          </cell>
          <cell r="Y452">
            <v>1.9188448479698339</v>
          </cell>
          <cell r="Z452">
            <v>0.34137605789000047</v>
          </cell>
          <cell r="AA452">
            <v>9.8774964070700563E-2</v>
          </cell>
        </row>
        <row r="453">
          <cell r="W453">
            <v>23.691469941437035</v>
          </cell>
          <cell r="X453">
            <v>23.360006303242923</v>
          </cell>
          <cell r="Y453">
            <v>1.9068841053734058</v>
          </cell>
          <cell r="Z453">
            <v>0.33924815726201291</v>
          </cell>
          <cell r="AA453">
            <v>9.8159269726537685E-2</v>
          </cell>
        </row>
        <row r="454">
          <cell r="W454">
            <v>23.542867531410106</v>
          </cell>
          <cell r="X454">
            <v>23.213482966215416</v>
          </cell>
          <cell r="Y454">
            <v>1.8949233627769779</v>
          </cell>
          <cell r="Z454">
            <v>0.33712025663402539</v>
          </cell>
          <cell r="AA454">
            <v>9.7543575382374834E-2</v>
          </cell>
        </row>
        <row r="455">
          <cell r="W455">
            <v>23.394265121383171</v>
          </cell>
          <cell r="X455">
            <v>23.066959629187906</v>
          </cell>
          <cell r="Y455">
            <v>1.8829626201805496</v>
          </cell>
          <cell r="Z455">
            <v>0.33499235600603788</v>
          </cell>
          <cell r="AA455">
            <v>9.6927881038211955E-2</v>
          </cell>
        </row>
        <row r="456">
          <cell r="W456">
            <v>23.245662711356236</v>
          </cell>
          <cell r="X456">
            <v>22.920436292160399</v>
          </cell>
          <cell r="Y456">
            <v>1.8710018775841215</v>
          </cell>
          <cell r="Z456">
            <v>0.33286445537805032</v>
          </cell>
          <cell r="AA456">
            <v>9.631218669404909E-2</v>
          </cell>
        </row>
        <row r="457">
          <cell r="W457">
            <v>23.097060301329297</v>
          </cell>
          <cell r="X457">
            <v>22.773912955132886</v>
          </cell>
          <cell r="Y457">
            <v>1.859041134987693</v>
          </cell>
          <cell r="Z457">
            <v>0.33073655475006275</v>
          </cell>
          <cell r="AA457">
            <v>9.5696492349886197E-2</v>
          </cell>
        </row>
        <row r="458">
          <cell r="W458">
            <v>22.948457891302365</v>
          </cell>
          <cell r="X458">
            <v>22.627389618105379</v>
          </cell>
          <cell r="Y458">
            <v>1.8470803923912651</v>
          </cell>
          <cell r="Z458">
            <v>0.32860865412207524</v>
          </cell>
          <cell r="AA458">
            <v>9.5080798005723346E-2</v>
          </cell>
        </row>
        <row r="459">
          <cell r="W459">
            <v>22.799855481275429</v>
          </cell>
          <cell r="X459">
            <v>22.480866281077869</v>
          </cell>
          <cell r="Y459">
            <v>1.835119649794837</v>
          </cell>
          <cell r="Z459">
            <v>0.32648075349408773</v>
          </cell>
          <cell r="AA459">
            <v>9.4465103661560468E-2</v>
          </cell>
        </row>
        <row r="460">
          <cell r="W460">
            <v>22.65125307124849</v>
          </cell>
          <cell r="X460">
            <v>22.334342944050356</v>
          </cell>
          <cell r="Y460">
            <v>1.8231589071984085</v>
          </cell>
          <cell r="Z460">
            <v>0.32435285286610016</v>
          </cell>
          <cell r="AA460">
            <v>9.3849409317397589E-2</v>
          </cell>
        </row>
        <row r="461">
          <cell r="W461">
            <v>22.502650661221555</v>
          </cell>
          <cell r="X461">
            <v>22.187819607022846</v>
          </cell>
          <cell r="Y461">
            <v>1.8111981646019804</v>
          </cell>
          <cell r="Z461">
            <v>0.32222495223811259</v>
          </cell>
          <cell r="AA461">
            <v>9.323371497323471E-2</v>
          </cell>
        </row>
        <row r="462">
          <cell r="W462">
            <v>22.354048251194627</v>
          </cell>
          <cell r="X462">
            <v>22.041296269995343</v>
          </cell>
          <cell r="Y462">
            <v>1.7992374220055525</v>
          </cell>
          <cell r="Z462">
            <v>0.32009705161012514</v>
          </cell>
          <cell r="AA462">
            <v>9.2618020629071859E-2</v>
          </cell>
        </row>
        <row r="463">
          <cell r="W463">
            <v>22.205445841167691</v>
          </cell>
          <cell r="X463">
            <v>21.894772932967832</v>
          </cell>
          <cell r="Y463">
            <v>1.7872766794091242</v>
          </cell>
          <cell r="Z463">
            <v>0.31796915098213757</v>
          </cell>
          <cell r="AA463">
            <v>9.2002326284908981E-2</v>
          </cell>
        </row>
        <row r="464">
          <cell r="W464">
            <v>22.056843431140756</v>
          </cell>
          <cell r="X464">
            <v>21.748249595940322</v>
          </cell>
          <cell r="Y464">
            <v>1.7753159368126961</v>
          </cell>
          <cell r="Z464">
            <v>0.31584125035415006</v>
          </cell>
          <cell r="AA464">
            <v>9.1386631940746116E-2</v>
          </cell>
        </row>
        <row r="465">
          <cell r="W465">
            <v>21.908241021113817</v>
          </cell>
          <cell r="X465">
            <v>21.601726258912809</v>
          </cell>
          <cell r="Y465">
            <v>1.7633551942162675</v>
          </cell>
          <cell r="Z465">
            <v>0.31371334972616244</v>
          </cell>
          <cell r="AA465">
            <v>9.0770937596583223E-2</v>
          </cell>
        </row>
        <row r="466">
          <cell r="W466">
            <v>21.759638611086885</v>
          </cell>
          <cell r="X466">
            <v>21.455202921885302</v>
          </cell>
          <cell r="Y466">
            <v>1.7513944516198396</v>
          </cell>
          <cell r="Z466">
            <v>0.31158544909817498</v>
          </cell>
          <cell r="AA466">
            <v>9.0155243252420372E-2</v>
          </cell>
        </row>
        <row r="467">
          <cell r="W467">
            <v>21.611036201059949</v>
          </cell>
          <cell r="X467">
            <v>21.308679584857792</v>
          </cell>
          <cell r="Y467">
            <v>1.7394337090234115</v>
          </cell>
          <cell r="Z467">
            <v>0.30945754847018742</v>
          </cell>
          <cell r="AA467">
            <v>8.9539548908257507E-2</v>
          </cell>
        </row>
        <row r="468">
          <cell r="W468">
            <v>21.462433791033014</v>
          </cell>
          <cell r="X468">
            <v>21.162156247830286</v>
          </cell>
          <cell r="Y468">
            <v>1.7274729664269832</v>
          </cell>
          <cell r="Z468">
            <v>0.3073296478421999</v>
          </cell>
          <cell r="AA468">
            <v>8.8923854564094629E-2</v>
          </cell>
        </row>
        <row r="469">
          <cell r="W469">
            <v>21.313831381006079</v>
          </cell>
          <cell r="X469">
            <v>21.015632910802772</v>
          </cell>
          <cell r="Y469">
            <v>1.7155122238305549</v>
          </cell>
          <cell r="Z469">
            <v>0.30520174721421228</v>
          </cell>
          <cell r="AA469">
            <v>8.830816021993175E-2</v>
          </cell>
        </row>
        <row r="470">
          <cell r="W470">
            <v>21.165228970979147</v>
          </cell>
          <cell r="X470">
            <v>20.869109573775265</v>
          </cell>
          <cell r="Y470">
            <v>1.703551481234127</v>
          </cell>
          <cell r="Z470">
            <v>0.30307384658622483</v>
          </cell>
          <cell r="AA470">
            <v>8.7692465875768885E-2</v>
          </cell>
        </row>
        <row r="471">
          <cell r="W471">
            <v>21.016626560952211</v>
          </cell>
          <cell r="X471">
            <v>20.722586236747755</v>
          </cell>
          <cell r="Y471">
            <v>1.6915907386376987</v>
          </cell>
          <cell r="Z471">
            <v>0.30094594595823726</v>
          </cell>
          <cell r="AA471">
            <v>8.707677153160602E-2</v>
          </cell>
        </row>
        <row r="472">
          <cell r="W472">
            <v>20.89402957267999</v>
          </cell>
          <cell r="X472">
            <v>20.601704483700061</v>
          </cell>
          <cell r="Y472">
            <v>1.6817231259956456</v>
          </cell>
          <cell r="Z472">
            <v>0.29919042794014755</v>
          </cell>
          <cell r="AA472">
            <v>8.656882369767166E-2</v>
          </cell>
        </row>
        <row r="473">
          <cell r="W473">
            <v>20.771432584407769</v>
          </cell>
          <cell r="X473">
            <v>20.480822730652363</v>
          </cell>
          <cell r="Y473">
            <v>1.6718555133535922</v>
          </cell>
          <cell r="Z473">
            <v>0.29743490992205784</v>
          </cell>
          <cell r="AA473">
            <v>8.6060875863737271E-2</v>
          </cell>
        </row>
        <row r="474">
          <cell r="W474">
            <v>20.648835596135548</v>
          </cell>
          <cell r="X474">
            <v>20.359940977604669</v>
          </cell>
          <cell r="Y474">
            <v>1.6619879007115392</v>
          </cell>
          <cell r="Z474">
            <v>0.29567939190396814</v>
          </cell>
          <cell r="AA474">
            <v>8.555292802980291E-2</v>
          </cell>
        </row>
        <row r="475">
          <cell r="W475">
            <v>20.526238607863323</v>
          </cell>
          <cell r="X475">
            <v>20.239059224556975</v>
          </cell>
          <cell r="Y475">
            <v>1.6521202880694856</v>
          </cell>
          <cell r="Z475">
            <v>0.29392387388587837</v>
          </cell>
          <cell r="AA475">
            <v>8.5044980195868536E-2</v>
          </cell>
        </row>
        <row r="476">
          <cell r="W476">
            <v>20.403641619591106</v>
          </cell>
          <cell r="X476">
            <v>20.118177471509281</v>
          </cell>
          <cell r="Y476">
            <v>1.6422526754274327</v>
          </cell>
          <cell r="Z476">
            <v>0.29216835586778866</v>
          </cell>
          <cell r="AA476">
            <v>8.4537032361934175E-2</v>
          </cell>
        </row>
        <row r="477">
          <cell r="W477">
            <v>20.281044631318881</v>
          </cell>
          <cell r="X477">
            <v>19.997295718461583</v>
          </cell>
          <cell r="Y477">
            <v>1.6323850627853793</v>
          </cell>
          <cell r="Z477">
            <v>0.29041283784969896</v>
          </cell>
          <cell r="AA477">
            <v>8.4029084527999801E-2</v>
          </cell>
        </row>
        <row r="478">
          <cell r="W478">
            <v>20.158447643046664</v>
          </cell>
          <cell r="X478">
            <v>19.876413965413889</v>
          </cell>
          <cell r="Y478">
            <v>1.6225174501433262</v>
          </cell>
          <cell r="Z478">
            <v>0.28865731983160925</v>
          </cell>
          <cell r="AA478">
            <v>8.352113669406544E-2</v>
          </cell>
        </row>
        <row r="479">
          <cell r="W479">
            <v>20.035850654774439</v>
          </cell>
          <cell r="X479">
            <v>19.755532212366191</v>
          </cell>
          <cell r="Y479">
            <v>1.6126498375012728</v>
          </cell>
          <cell r="Z479">
            <v>0.28690180181351949</v>
          </cell>
          <cell r="AA479">
            <v>8.3013188860131065E-2</v>
          </cell>
        </row>
        <row r="480">
          <cell r="W480">
            <v>19.913253666502218</v>
          </cell>
          <cell r="X480">
            <v>19.634650459318497</v>
          </cell>
          <cell r="Y480">
            <v>1.6027822248592196</v>
          </cell>
          <cell r="Z480">
            <v>0.28514628379542983</v>
          </cell>
          <cell r="AA480">
            <v>8.2505241026196705E-2</v>
          </cell>
        </row>
        <row r="481">
          <cell r="W481">
            <v>19.790656678229997</v>
          </cell>
          <cell r="X481">
            <v>19.513768706270803</v>
          </cell>
          <cell r="Y481">
            <v>1.5929146122171662</v>
          </cell>
          <cell r="Z481">
            <v>0.28339076577734007</v>
          </cell>
          <cell r="AA481">
            <v>8.199729319226233E-2</v>
          </cell>
        </row>
        <row r="482">
          <cell r="W482">
            <v>19.668059689957776</v>
          </cell>
          <cell r="X482">
            <v>19.392886953223108</v>
          </cell>
          <cell r="Y482">
            <v>1.5830469995751131</v>
          </cell>
          <cell r="Z482">
            <v>0.28163524775925036</v>
          </cell>
          <cell r="AA482">
            <v>8.1489345358327955E-2</v>
          </cell>
        </row>
        <row r="483">
          <cell r="W483">
            <v>19.545462701685555</v>
          </cell>
          <cell r="X483">
            <v>19.272005200175411</v>
          </cell>
          <cell r="Y483">
            <v>1.5731793869330597</v>
          </cell>
          <cell r="Z483">
            <v>0.2798797297411606</v>
          </cell>
          <cell r="AA483">
            <v>8.0981397524393581E-2</v>
          </cell>
        </row>
        <row r="484">
          <cell r="W484">
            <v>19.422865713413334</v>
          </cell>
          <cell r="X484">
            <v>19.151123447127716</v>
          </cell>
          <cell r="Y484">
            <v>1.5633117742910065</v>
          </cell>
          <cell r="Z484">
            <v>0.27812421172307095</v>
          </cell>
          <cell r="AA484">
            <v>8.047344969045922E-2</v>
          </cell>
        </row>
        <row r="485">
          <cell r="W485">
            <v>19.300268725141109</v>
          </cell>
          <cell r="X485">
            <v>19.030241694080019</v>
          </cell>
          <cell r="Y485">
            <v>1.5534441616489532</v>
          </cell>
          <cell r="Z485">
            <v>0.27636869370498118</v>
          </cell>
          <cell r="AA485">
            <v>7.9965501856524845E-2</v>
          </cell>
        </row>
        <row r="486">
          <cell r="W486">
            <v>19.177671736868895</v>
          </cell>
          <cell r="X486">
            <v>18.909359941032328</v>
          </cell>
          <cell r="Y486">
            <v>1.5435765490069002</v>
          </cell>
          <cell r="Z486">
            <v>0.27461317568689153</v>
          </cell>
          <cell r="AA486">
            <v>7.9457554022590499E-2</v>
          </cell>
        </row>
        <row r="487">
          <cell r="W487">
            <v>19.055074748596667</v>
          </cell>
          <cell r="X487">
            <v>18.78847818798463</v>
          </cell>
          <cell r="Y487">
            <v>1.5337089363648466</v>
          </cell>
          <cell r="Z487">
            <v>0.27285765766880177</v>
          </cell>
          <cell r="AA487">
            <v>7.894960618865611E-2</v>
          </cell>
        </row>
        <row r="488">
          <cell r="W488">
            <v>18.932477760324453</v>
          </cell>
          <cell r="X488">
            <v>18.667596434936939</v>
          </cell>
          <cell r="Y488">
            <v>1.5238413237227937</v>
          </cell>
          <cell r="Z488">
            <v>0.27110213965071212</v>
          </cell>
          <cell r="AA488">
            <v>7.8441658354721763E-2</v>
          </cell>
        </row>
        <row r="489">
          <cell r="W489">
            <v>18.809880772052228</v>
          </cell>
          <cell r="X489">
            <v>18.546714681889242</v>
          </cell>
          <cell r="Y489">
            <v>1.5139737110807403</v>
          </cell>
          <cell r="Z489">
            <v>0.26934662163262235</v>
          </cell>
          <cell r="AA489">
            <v>7.7933710520787389E-2</v>
          </cell>
        </row>
        <row r="490">
          <cell r="W490">
            <v>18.687283783780007</v>
          </cell>
          <cell r="X490">
            <v>18.425832928841547</v>
          </cell>
          <cell r="Y490">
            <v>1.5041060984386874</v>
          </cell>
          <cell r="Z490">
            <v>0.26759110361453264</v>
          </cell>
          <cell r="AA490">
            <v>7.7425762686853014E-2</v>
          </cell>
        </row>
        <row r="491">
          <cell r="W491">
            <v>18.564686795507786</v>
          </cell>
          <cell r="X491">
            <v>18.30495117579385</v>
          </cell>
          <cell r="Y491">
            <v>1.4942384857966338</v>
          </cell>
          <cell r="Z491">
            <v>0.26583558559644294</v>
          </cell>
          <cell r="AA491">
            <v>7.691781485291864E-2</v>
          </cell>
        </row>
        <row r="492">
          <cell r="W492">
            <v>18.442089807235565</v>
          </cell>
          <cell r="X492">
            <v>18.184069422746155</v>
          </cell>
          <cell r="Y492">
            <v>1.4843708731545808</v>
          </cell>
          <cell r="Z492">
            <v>0.26408006757835323</v>
          </cell>
          <cell r="AA492">
            <v>7.6409867018984279E-2</v>
          </cell>
        </row>
        <row r="493">
          <cell r="W493">
            <v>18.319492818963344</v>
          </cell>
          <cell r="X493">
            <v>18.063187669698458</v>
          </cell>
          <cell r="Y493">
            <v>1.4745032605125274</v>
          </cell>
          <cell r="Z493">
            <v>0.26232454956026346</v>
          </cell>
          <cell r="AA493">
            <v>7.5901919185049904E-2</v>
          </cell>
        </row>
        <row r="494">
          <cell r="W494">
            <v>18.196895830691123</v>
          </cell>
          <cell r="X494">
            <v>17.942305916650767</v>
          </cell>
          <cell r="Y494">
            <v>1.4646356478704743</v>
          </cell>
          <cell r="Z494">
            <v>0.26056903154217376</v>
          </cell>
          <cell r="AA494">
            <v>7.5393971351115543E-2</v>
          </cell>
        </row>
        <row r="495">
          <cell r="W495">
            <v>18.074298842418898</v>
          </cell>
          <cell r="X495">
            <v>17.821424163603069</v>
          </cell>
          <cell r="Y495">
            <v>1.4547680352284209</v>
          </cell>
          <cell r="Z495">
            <v>0.25881351352408405</v>
          </cell>
          <cell r="AA495">
            <v>7.4886023517181169E-2</v>
          </cell>
        </row>
        <row r="496">
          <cell r="W496">
            <v>17.95170185414668</v>
          </cell>
          <cell r="X496">
            <v>17.700542410555375</v>
          </cell>
          <cell r="Y496">
            <v>1.4449004225863677</v>
          </cell>
          <cell r="Z496">
            <v>0.25705799550599434</v>
          </cell>
          <cell r="AA496">
            <v>7.4378075683246808E-2</v>
          </cell>
        </row>
        <row r="497">
          <cell r="W497">
            <v>17.829104865874456</v>
          </cell>
          <cell r="X497">
            <v>17.579660657507677</v>
          </cell>
          <cell r="Y497">
            <v>1.4350328099443144</v>
          </cell>
          <cell r="Z497">
            <v>0.25530247748790458</v>
          </cell>
          <cell r="AA497">
            <v>7.3870127849312434E-2</v>
          </cell>
        </row>
        <row r="498">
          <cell r="W498">
            <v>17.706507877602238</v>
          </cell>
          <cell r="X498">
            <v>17.458778904459983</v>
          </cell>
          <cell r="Y498">
            <v>1.4251651973022612</v>
          </cell>
          <cell r="Z498">
            <v>0.25354695946981487</v>
          </cell>
          <cell r="AA498">
            <v>7.3362180015378073E-2</v>
          </cell>
        </row>
        <row r="499">
          <cell r="W499">
            <v>17.583910889330014</v>
          </cell>
          <cell r="X499">
            <v>17.337897151412285</v>
          </cell>
          <cell r="Y499">
            <v>1.4152975846602078</v>
          </cell>
          <cell r="Z499">
            <v>0.25179144145172516</v>
          </cell>
          <cell r="AA499">
            <v>7.2854232181443684E-2</v>
          </cell>
        </row>
        <row r="500">
          <cell r="W500">
            <v>17.461313901057792</v>
          </cell>
          <cell r="X500">
            <v>17.217015398364591</v>
          </cell>
          <cell r="Y500">
            <v>1.4054299720181547</v>
          </cell>
          <cell r="Z500">
            <v>0.25003592343363545</v>
          </cell>
          <cell r="AA500">
            <v>7.2346284347509324E-2</v>
          </cell>
        </row>
        <row r="501">
          <cell r="W501">
            <v>17.338716912785575</v>
          </cell>
          <cell r="X501">
            <v>17.0961336453169</v>
          </cell>
          <cell r="Y501">
            <v>1.3955623593761015</v>
          </cell>
          <cell r="Z501">
            <v>0.24828040541554575</v>
          </cell>
          <cell r="AA501">
            <v>7.1838336513574963E-2</v>
          </cell>
        </row>
        <row r="502">
          <cell r="W502">
            <v>17.237574397460989</v>
          </cell>
          <cell r="X502">
            <v>16.996406199052547</v>
          </cell>
          <cell r="Y502">
            <v>1.3874215789464073</v>
          </cell>
          <cell r="Z502">
            <v>0.2468321030506217</v>
          </cell>
          <cell r="AA502">
            <v>7.1419279550579098E-2</v>
          </cell>
        </row>
        <row r="503">
          <cell r="W503">
            <v>17.13643188213641</v>
          </cell>
          <cell r="X503">
            <v>16.896678752788201</v>
          </cell>
          <cell r="Y503">
            <v>1.3792807985167137</v>
          </cell>
          <cell r="Z503">
            <v>0.24538380068569773</v>
          </cell>
          <cell r="AA503">
            <v>7.1000222587583262E-2</v>
          </cell>
        </row>
        <row r="504">
          <cell r="W504">
            <v>17.035289366811828</v>
          </cell>
          <cell r="X504">
            <v>16.796951306523855</v>
          </cell>
          <cell r="Y504">
            <v>1.3711400180870199</v>
          </cell>
          <cell r="Z504">
            <v>0.24393549832077371</v>
          </cell>
          <cell r="AA504">
            <v>7.0581165624587411E-2</v>
          </cell>
        </row>
        <row r="505">
          <cell r="W505">
            <v>16.934146851487242</v>
          </cell>
          <cell r="X505">
            <v>16.697223860259502</v>
          </cell>
          <cell r="Y505">
            <v>1.3629992376573257</v>
          </cell>
          <cell r="Z505">
            <v>0.24248719595584964</v>
          </cell>
          <cell r="AA505">
            <v>7.0162108661591532E-2</v>
          </cell>
        </row>
        <row r="506">
          <cell r="W506">
            <v>16.833004336162659</v>
          </cell>
          <cell r="X506">
            <v>16.597496413995152</v>
          </cell>
          <cell r="Y506">
            <v>1.3548584572276317</v>
          </cell>
          <cell r="Z506">
            <v>0.24103889359092565</v>
          </cell>
          <cell r="AA506">
            <v>6.9743051698595682E-2</v>
          </cell>
        </row>
        <row r="507">
          <cell r="W507">
            <v>16.73186182083808</v>
          </cell>
          <cell r="X507">
            <v>16.49776896773081</v>
          </cell>
          <cell r="Y507">
            <v>1.3467176767979381</v>
          </cell>
          <cell r="Z507">
            <v>0.23959059122600168</v>
          </cell>
          <cell r="AA507">
            <v>6.9323994735599845E-2</v>
          </cell>
        </row>
        <row r="508">
          <cell r="W508">
            <v>16.630719305513495</v>
          </cell>
          <cell r="X508">
            <v>16.398041521466457</v>
          </cell>
          <cell r="Y508">
            <v>1.3385768963682438</v>
          </cell>
          <cell r="Z508">
            <v>0.23814228886107761</v>
          </cell>
          <cell r="AA508">
            <v>6.890493777260398E-2</v>
          </cell>
        </row>
        <row r="509">
          <cell r="W509">
            <v>16.529576790188912</v>
          </cell>
          <cell r="X509">
            <v>16.298314075202107</v>
          </cell>
          <cell r="Y509">
            <v>1.33043611593855</v>
          </cell>
          <cell r="Z509">
            <v>0.23669398649615359</v>
          </cell>
          <cell r="AA509">
            <v>6.848588080960813E-2</v>
          </cell>
        </row>
        <row r="510">
          <cell r="W510">
            <v>16.42843427486433</v>
          </cell>
          <cell r="X510">
            <v>16.198586628937761</v>
          </cell>
          <cell r="Y510">
            <v>1.322295335508856</v>
          </cell>
          <cell r="Z510">
            <v>0.23524568413122957</v>
          </cell>
          <cell r="AA510">
            <v>6.8066823846612265E-2</v>
          </cell>
        </row>
        <row r="511">
          <cell r="W511">
            <v>16.327291759539747</v>
          </cell>
          <cell r="X511">
            <v>16.098859182673412</v>
          </cell>
          <cell r="Y511">
            <v>1.3141545550791622</v>
          </cell>
          <cell r="Z511">
            <v>0.23379738176630557</v>
          </cell>
          <cell r="AA511">
            <v>6.7647766883616414E-2</v>
          </cell>
        </row>
        <row r="512">
          <cell r="W512">
            <v>16.226149244215165</v>
          </cell>
          <cell r="X512">
            <v>15.999131736409064</v>
          </cell>
          <cell r="Y512">
            <v>1.3060137746494682</v>
          </cell>
          <cell r="Z512">
            <v>0.23234907940138155</v>
          </cell>
          <cell r="AA512">
            <v>6.7228709920620564E-2</v>
          </cell>
        </row>
        <row r="513">
          <cell r="W513">
            <v>16.125006728890583</v>
          </cell>
          <cell r="X513">
            <v>15.899404290144714</v>
          </cell>
          <cell r="Y513">
            <v>1.2978729942197742</v>
          </cell>
          <cell r="Z513">
            <v>0.23090077703645753</v>
          </cell>
          <cell r="AA513">
            <v>6.6809652957624713E-2</v>
          </cell>
        </row>
        <row r="514">
          <cell r="W514">
            <v>16.023864213566</v>
          </cell>
          <cell r="X514">
            <v>15.799676843880366</v>
          </cell>
          <cell r="Y514">
            <v>1.2897322137900804</v>
          </cell>
          <cell r="Z514">
            <v>0.22945247467153351</v>
          </cell>
          <cell r="AA514">
            <v>6.6390595994628862E-2</v>
          </cell>
        </row>
        <row r="515">
          <cell r="W515">
            <v>15.922721698241418</v>
          </cell>
          <cell r="X515">
            <v>15.699949397616017</v>
          </cell>
          <cell r="Y515">
            <v>1.2815914333603864</v>
          </cell>
          <cell r="Z515">
            <v>0.22800417230660949</v>
          </cell>
          <cell r="AA515">
            <v>6.5971539031633011E-2</v>
          </cell>
        </row>
        <row r="516">
          <cell r="W516">
            <v>15.821579182916835</v>
          </cell>
          <cell r="X516">
            <v>15.600221951351669</v>
          </cell>
          <cell r="Y516">
            <v>1.2734506529306926</v>
          </cell>
          <cell r="Z516">
            <v>0.22655586994168547</v>
          </cell>
          <cell r="AA516">
            <v>6.5552482068637147E-2</v>
          </cell>
        </row>
        <row r="517">
          <cell r="W517">
            <v>15.720436667592253</v>
          </cell>
          <cell r="X517">
            <v>15.500494505087321</v>
          </cell>
          <cell r="Y517">
            <v>1.2653098725009986</v>
          </cell>
          <cell r="Z517">
            <v>0.22510756757676148</v>
          </cell>
          <cell r="AA517">
            <v>6.5133425105641296E-2</v>
          </cell>
        </row>
        <row r="518">
          <cell r="W518">
            <v>15.61929415226767</v>
          </cell>
          <cell r="X518">
            <v>15.400767058822971</v>
          </cell>
          <cell r="Y518">
            <v>1.2571690920713048</v>
          </cell>
          <cell r="Z518">
            <v>0.22365926521183746</v>
          </cell>
          <cell r="AA518">
            <v>6.4714368142645445E-2</v>
          </cell>
        </row>
        <row r="519">
          <cell r="W519">
            <v>15.518151636943088</v>
          </cell>
          <cell r="X519">
            <v>15.301039612558624</v>
          </cell>
          <cell r="Y519">
            <v>1.2490283116416108</v>
          </cell>
          <cell r="Z519">
            <v>0.22221096284691344</v>
          </cell>
          <cell r="AA519">
            <v>6.4295311179649595E-2</v>
          </cell>
        </row>
        <row r="520">
          <cell r="W520">
            <v>15.417009121618506</v>
          </cell>
          <cell r="X520">
            <v>15.201312166294276</v>
          </cell>
          <cell r="Y520">
            <v>1.240887531211917</v>
          </cell>
          <cell r="Z520">
            <v>0.22076266048198942</v>
          </cell>
          <cell r="AA520">
            <v>6.3876254216653744E-2</v>
          </cell>
        </row>
        <row r="521">
          <cell r="W521">
            <v>15.315866606293921</v>
          </cell>
          <cell r="X521">
            <v>15.101584720029924</v>
          </cell>
          <cell r="Y521">
            <v>1.232746750782223</v>
          </cell>
          <cell r="Z521">
            <v>0.2193143581170654</v>
          </cell>
          <cell r="AA521">
            <v>6.3457197253657879E-2</v>
          </cell>
        </row>
        <row r="522">
          <cell r="W522">
            <v>15.214724090969341</v>
          </cell>
          <cell r="X522">
            <v>15.001857273765578</v>
          </cell>
          <cell r="Y522">
            <v>1.2246059703525292</v>
          </cell>
          <cell r="Z522">
            <v>0.21786605575214141</v>
          </cell>
          <cell r="AA522">
            <v>6.3038140290662029E-2</v>
          </cell>
        </row>
        <row r="523">
          <cell r="W523">
            <v>15.113581575644758</v>
          </cell>
          <cell r="X523">
            <v>14.902129827501231</v>
          </cell>
          <cell r="Y523">
            <v>1.2164651899228351</v>
          </cell>
          <cell r="Z523">
            <v>0.21641775338721739</v>
          </cell>
          <cell r="AA523">
            <v>6.2619083327666178E-2</v>
          </cell>
        </row>
        <row r="524">
          <cell r="W524">
            <v>15.012439060320174</v>
          </cell>
          <cell r="X524">
            <v>14.802402381236879</v>
          </cell>
          <cell r="Y524">
            <v>1.2083244094931411</v>
          </cell>
          <cell r="Z524">
            <v>0.21496945102229334</v>
          </cell>
          <cell r="AA524">
            <v>6.220002636467032E-2</v>
          </cell>
        </row>
        <row r="525">
          <cell r="W525">
            <v>14.911296544995594</v>
          </cell>
          <cell r="X525">
            <v>14.702674934972533</v>
          </cell>
          <cell r="Y525">
            <v>1.2001836290634473</v>
          </cell>
          <cell r="Z525">
            <v>0.21352114865736935</v>
          </cell>
          <cell r="AA525">
            <v>6.178096940167447E-2</v>
          </cell>
        </row>
        <row r="526">
          <cell r="W526">
            <v>14.810154029671011</v>
          </cell>
          <cell r="X526">
            <v>14.602947488708185</v>
          </cell>
          <cell r="Y526">
            <v>1.1920428486337533</v>
          </cell>
          <cell r="Z526">
            <v>0.21207284629244533</v>
          </cell>
          <cell r="AA526">
            <v>6.1361912438678619E-2</v>
          </cell>
        </row>
        <row r="527">
          <cell r="W527">
            <v>14.709011514346427</v>
          </cell>
          <cell r="X527">
            <v>14.503220042443834</v>
          </cell>
          <cell r="Y527">
            <v>1.1839020682040593</v>
          </cell>
          <cell r="Z527">
            <v>0.21062454392752131</v>
          </cell>
          <cell r="AA527">
            <v>6.0942855475682754E-2</v>
          </cell>
        </row>
        <row r="528">
          <cell r="W528">
            <v>14.607868999021845</v>
          </cell>
          <cell r="X528">
            <v>14.403492596179486</v>
          </cell>
          <cell r="Y528">
            <v>1.1757612877743655</v>
          </cell>
          <cell r="Z528">
            <v>0.20917624156259729</v>
          </cell>
          <cell r="AA528">
            <v>6.0523798512686904E-2</v>
          </cell>
        </row>
        <row r="529">
          <cell r="W529">
            <v>14.50672648369726</v>
          </cell>
          <cell r="X529">
            <v>14.303765149915137</v>
          </cell>
          <cell r="Y529">
            <v>1.1676205073446715</v>
          </cell>
          <cell r="Z529">
            <v>0.20772793919767324</v>
          </cell>
          <cell r="AA529">
            <v>6.0104741549691046E-2</v>
          </cell>
        </row>
        <row r="530">
          <cell r="W530">
            <v>14.40558396837268</v>
          </cell>
          <cell r="X530">
            <v>14.204037703650789</v>
          </cell>
          <cell r="Y530">
            <v>1.1594797269149777</v>
          </cell>
          <cell r="Z530">
            <v>0.20627963683274925</v>
          </cell>
          <cell r="AA530">
            <v>5.9685684586695195E-2</v>
          </cell>
        </row>
        <row r="531">
          <cell r="W531">
            <v>14.304441453048097</v>
          </cell>
          <cell r="X531">
            <v>14.104310257386441</v>
          </cell>
          <cell r="Y531">
            <v>1.1513389464852837</v>
          </cell>
          <cell r="Z531">
            <v>0.20483133446782523</v>
          </cell>
          <cell r="AA531">
            <v>5.9266627623699344E-2</v>
          </cell>
        </row>
        <row r="532">
          <cell r="W532">
            <v>14.220998877905318</v>
          </cell>
          <cell r="X532">
            <v>14.022035114218355</v>
          </cell>
          <cell r="Y532">
            <v>1.1446228026307863</v>
          </cell>
          <cell r="Z532">
            <v>0.20363648501676293</v>
          </cell>
          <cell r="AA532">
            <v>5.892090562922777E-2</v>
          </cell>
        </row>
        <row r="533">
          <cell r="W533">
            <v>14.137556302762537</v>
          </cell>
          <cell r="X533">
            <v>13.939759971050266</v>
          </cell>
          <cell r="Y533">
            <v>1.1379066587762887</v>
          </cell>
          <cell r="Z533">
            <v>0.20244163556570061</v>
          </cell>
          <cell r="AA533">
            <v>5.8575183634756188E-2</v>
          </cell>
        </row>
        <row r="534">
          <cell r="W534">
            <v>14.054113727619757</v>
          </cell>
          <cell r="X534">
            <v>13.857484827882178</v>
          </cell>
          <cell r="Y534">
            <v>1.1311905149217913</v>
          </cell>
          <cell r="Z534">
            <v>0.20124678611463831</v>
          </cell>
          <cell r="AA534">
            <v>5.8229461640284606E-2</v>
          </cell>
        </row>
        <row r="535">
          <cell r="W535">
            <v>13.970671152476976</v>
          </cell>
          <cell r="X535">
            <v>13.77520968471409</v>
          </cell>
          <cell r="Y535">
            <v>1.1244743710672938</v>
          </cell>
          <cell r="Z535">
            <v>0.20005193666357599</v>
          </cell>
          <cell r="AA535">
            <v>5.7883739645813025E-2</v>
          </cell>
        </row>
        <row r="536">
          <cell r="W536">
            <v>13.887228577334197</v>
          </cell>
          <cell r="X536">
            <v>13.692934541546004</v>
          </cell>
          <cell r="Y536">
            <v>1.1177582272127964</v>
          </cell>
          <cell r="Z536">
            <v>0.19885708721251369</v>
          </cell>
          <cell r="AA536">
            <v>5.753801765134145E-2</v>
          </cell>
        </row>
        <row r="537">
          <cell r="W537">
            <v>13.803786002191416</v>
          </cell>
          <cell r="X537">
            <v>13.610659398377916</v>
          </cell>
          <cell r="Y537">
            <v>1.1110420833582988</v>
          </cell>
          <cell r="Z537">
            <v>0.19766223776145136</v>
          </cell>
          <cell r="AA537">
            <v>5.7192295656869868E-2</v>
          </cell>
        </row>
        <row r="538">
          <cell r="W538">
            <v>13.720343427048634</v>
          </cell>
          <cell r="X538">
            <v>13.528384255209829</v>
          </cell>
          <cell r="Y538">
            <v>1.1043259395038014</v>
          </cell>
          <cell r="Z538">
            <v>0.19646738831038907</v>
          </cell>
          <cell r="AA538">
            <v>5.6846573662398293E-2</v>
          </cell>
        </row>
        <row r="539">
          <cell r="W539">
            <v>13.636900851905851</v>
          </cell>
          <cell r="X539">
            <v>13.446109112041739</v>
          </cell>
          <cell r="Y539">
            <v>1.0976097956493036</v>
          </cell>
          <cell r="Z539">
            <v>0.19527253885932672</v>
          </cell>
          <cell r="AA539">
            <v>5.6500851667926698E-2</v>
          </cell>
        </row>
        <row r="540">
          <cell r="W540">
            <v>13.553458276763072</v>
          </cell>
          <cell r="X540">
            <v>13.363833968873651</v>
          </cell>
          <cell r="Y540">
            <v>1.0908936517948062</v>
          </cell>
          <cell r="Z540">
            <v>0.19407768940826439</v>
          </cell>
          <cell r="AA540">
            <v>5.6155129673455123E-2</v>
          </cell>
        </row>
        <row r="541">
          <cell r="W541">
            <v>13.470015701620291</v>
          </cell>
          <cell r="X541">
            <v>13.281558825705563</v>
          </cell>
          <cell r="Y541">
            <v>1.0841775079403086</v>
          </cell>
          <cell r="Z541">
            <v>0.19288283995720207</v>
          </cell>
          <cell r="AA541">
            <v>5.5809407678983541E-2</v>
          </cell>
        </row>
        <row r="542">
          <cell r="W542">
            <v>13.386573126477511</v>
          </cell>
          <cell r="X542">
            <v>13.199283682537477</v>
          </cell>
          <cell r="Y542">
            <v>1.0774613640858113</v>
          </cell>
          <cell r="Z542">
            <v>0.19168799050613977</v>
          </cell>
          <cell r="AA542">
            <v>5.5463685684511967E-2</v>
          </cell>
        </row>
        <row r="543">
          <cell r="W543">
            <v>13.30313055133473</v>
          </cell>
          <cell r="X543">
            <v>13.117008539369388</v>
          </cell>
          <cell r="Y543">
            <v>1.0707452202313137</v>
          </cell>
          <cell r="Z543">
            <v>0.19049314105507745</v>
          </cell>
          <cell r="AA543">
            <v>5.5117963690040385E-2</v>
          </cell>
        </row>
        <row r="544">
          <cell r="W544">
            <v>13.219687976191951</v>
          </cell>
          <cell r="X544">
            <v>13.034733396201302</v>
          </cell>
          <cell r="Y544">
            <v>1.0640290763768163</v>
          </cell>
          <cell r="Z544">
            <v>0.18929829160401515</v>
          </cell>
          <cell r="AA544">
            <v>5.477224169556881E-2</v>
          </cell>
        </row>
        <row r="545">
          <cell r="W545">
            <v>13.136245401049168</v>
          </cell>
          <cell r="X545">
            <v>12.952458253033214</v>
          </cell>
          <cell r="Y545">
            <v>1.0573129325223187</v>
          </cell>
          <cell r="Z545">
            <v>0.18810344215295283</v>
          </cell>
          <cell r="AA545">
            <v>5.4426519701097222E-2</v>
          </cell>
        </row>
        <row r="546">
          <cell r="W546">
            <v>13.052802825906388</v>
          </cell>
          <cell r="X546">
            <v>12.870183109865128</v>
          </cell>
          <cell r="Y546">
            <v>1.0505967886678214</v>
          </cell>
          <cell r="Z546">
            <v>0.18690859270189053</v>
          </cell>
          <cell r="AA546">
            <v>5.4080797706625647E-2</v>
          </cell>
        </row>
        <row r="547">
          <cell r="W547">
            <v>12.969360250763609</v>
          </cell>
          <cell r="X547">
            <v>12.787907966697039</v>
          </cell>
          <cell r="Y547">
            <v>1.043880644813324</v>
          </cell>
          <cell r="Z547">
            <v>0.18571374325082823</v>
          </cell>
          <cell r="AA547">
            <v>5.3735075712154072E-2</v>
          </cell>
        </row>
        <row r="548">
          <cell r="W548">
            <v>12.885917675620828</v>
          </cell>
          <cell r="X548">
            <v>12.705632823528951</v>
          </cell>
          <cell r="Y548">
            <v>1.0371645009588264</v>
          </cell>
          <cell r="Z548">
            <v>0.18451889379976588</v>
          </cell>
          <cell r="AA548">
            <v>5.338935371768249E-2</v>
          </cell>
        </row>
        <row r="549">
          <cell r="W549">
            <v>12.802475100478047</v>
          </cell>
          <cell r="X549">
            <v>12.623357680360863</v>
          </cell>
          <cell r="Y549">
            <v>1.0304483571043288</v>
          </cell>
          <cell r="Z549">
            <v>0.18332404434870356</v>
          </cell>
          <cell r="AA549">
            <v>5.3043631723210909E-2</v>
          </cell>
        </row>
        <row r="550">
          <cell r="W550">
            <v>12.719032525335267</v>
          </cell>
          <cell r="X550">
            <v>12.541082537192777</v>
          </cell>
          <cell r="Y550">
            <v>1.0237322132498314</v>
          </cell>
          <cell r="Z550">
            <v>0.18212919489764126</v>
          </cell>
          <cell r="AA550">
            <v>5.2697909728739334E-2</v>
          </cell>
        </row>
        <row r="551">
          <cell r="W551">
            <v>12.635589950192488</v>
          </cell>
          <cell r="X551">
            <v>12.45880739402469</v>
          </cell>
          <cell r="Y551">
            <v>1.0170160693953341</v>
          </cell>
          <cell r="Z551">
            <v>0.18093434544657896</v>
          </cell>
          <cell r="AA551">
            <v>5.2352187734267752E-2</v>
          </cell>
        </row>
        <row r="552">
          <cell r="W552">
            <v>12.552147375049705</v>
          </cell>
          <cell r="X552">
            <v>12.376532250856602</v>
          </cell>
          <cell r="Y552">
            <v>1.0102999255408365</v>
          </cell>
          <cell r="Z552">
            <v>0.17973949599551664</v>
          </cell>
          <cell r="AA552">
            <v>5.200646573979617E-2</v>
          </cell>
        </row>
        <row r="553">
          <cell r="W553">
            <v>12.468704799906925</v>
          </cell>
          <cell r="X553">
            <v>12.294257107688514</v>
          </cell>
          <cell r="Y553">
            <v>1.0035837816863391</v>
          </cell>
          <cell r="Z553">
            <v>0.17854464654445434</v>
          </cell>
          <cell r="AA553">
            <v>5.1660743745324596E-2</v>
          </cell>
        </row>
        <row r="554">
          <cell r="W554">
            <v>12.385262224764144</v>
          </cell>
          <cell r="X554">
            <v>12.211981964520426</v>
          </cell>
          <cell r="Y554">
            <v>0.9968676378318414</v>
          </cell>
          <cell r="Z554">
            <v>0.17734979709339202</v>
          </cell>
          <cell r="AA554">
            <v>5.1315021750853014E-2</v>
          </cell>
        </row>
        <row r="555">
          <cell r="W555">
            <v>12.301819649621365</v>
          </cell>
          <cell r="X555">
            <v>12.12970682135234</v>
          </cell>
          <cell r="Y555">
            <v>0.99015149397734403</v>
          </cell>
          <cell r="Z555">
            <v>0.17615494764232972</v>
          </cell>
          <cell r="AA555">
            <v>5.0969299756381439E-2</v>
          </cell>
        </row>
        <row r="556">
          <cell r="W556">
            <v>12.218377074478582</v>
          </cell>
          <cell r="X556">
            <v>12.04743167818425</v>
          </cell>
          <cell r="Y556">
            <v>0.98343535012284633</v>
          </cell>
          <cell r="Z556">
            <v>0.17496009819126737</v>
          </cell>
          <cell r="AA556">
            <v>5.0623577761909851E-2</v>
          </cell>
        </row>
        <row r="557">
          <cell r="W557">
            <v>12.134934499335802</v>
          </cell>
          <cell r="X557">
            <v>11.965156535016163</v>
          </cell>
          <cell r="Y557">
            <v>0.97671920626834896</v>
          </cell>
          <cell r="Z557">
            <v>0.17376524874020507</v>
          </cell>
          <cell r="AA557">
            <v>5.0277855767438269E-2</v>
          </cell>
        </row>
        <row r="558">
          <cell r="W558">
            <v>12.051491924193021</v>
          </cell>
          <cell r="X558">
            <v>11.882881391848075</v>
          </cell>
          <cell r="Y558">
            <v>0.97000306241385137</v>
          </cell>
          <cell r="Z558">
            <v>0.17257039928914272</v>
          </cell>
          <cell r="AA558">
            <v>4.9932133772966687E-2</v>
          </cell>
        </row>
        <row r="559">
          <cell r="W559">
            <v>11.968049349050242</v>
          </cell>
          <cell r="X559">
            <v>11.800606248679987</v>
          </cell>
          <cell r="Y559">
            <v>0.963286918559354</v>
          </cell>
          <cell r="Z559">
            <v>0.17137554983808043</v>
          </cell>
          <cell r="AA559">
            <v>4.9586411778495113E-2</v>
          </cell>
        </row>
        <row r="560">
          <cell r="W560">
            <v>11.884606773907461</v>
          </cell>
          <cell r="X560">
            <v>11.718331105511901</v>
          </cell>
          <cell r="Y560">
            <v>0.95657077470485652</v>
          </cell>
          <cell r="Z560">
            <v>0.17018070038701813</v>
          </cell>
          <cell r="AA560">
            <v>4.9240689784023538E-2</v>
          </cell>
        </row>
        <row r="561">
          <cell r="W561">
            <v>11.801164198764679</v>
          </cell>
          <cell r="X561">
            <v>11.636055962343812</v>
          </cell>
          <cell r="Y561">
            <v>0.94985463085035893</v>
          </cell>
          <cell r="Z561">
            <v>0.16898585093595581</v>
          </cell>
          <cell r="AA561">
            <v>4.8894967789551956E-2</v>
          </cell>
        </row>
        <row r="562">
          <cell r="W562">
            <v>11.732324074271888</v>
          </cell>
          <cell r="X562">
            <v>11.568178969230143</v>
          </cell>
          <cell r="Y562">
            <v>0.94431381217039867</v>
          </cell>
          <cell r="Z562">
            <v>0.16800010013882943</v>
          </cell>
          <cell r="AA562">
            <v>4.8609747144112911E-2</v>
          </cell>
        </row>
        <row r="563">
          <cell r="W563">
            <v>11.663483949779092</v>
          </cell>
          <cell r="X563">
            <v>11.500301976116468</v>
          </cell>
          <cell r="Y563">
            <v>0.93877299349043808</v>
          </cell>
          <cell r="Z563">
            <v>0.16701434934170298</v>
          </cell>
          <cell r="AA563">
            <v>4.8324526498673845E-2</v>
          </cell>
        </row>
        <row r="564">
          <cell r="W564">
            <v>11.594643825286299</v>
          </cell>
          <cell r="X564">
            <v>11.432424983002797</v>
          </cell>
          <cell r="Y564">
            <v>0.93323217481047782</v>
          </cell>
          <cell r="Z564">
            <v>0.16602859854457661</v>
          </cell>
          <cell r="AA564">
            <v>4.80393058532348E-2</v>
          </cell>
        </row>
        <row r="565">
          <cell r="W565">
            <v>11.525803700793503</v>
          </cell>
          <cell r="X565">
            <v>11.364547989889124</v>
          </cell>
          <cell r="Y565">
            <v>0.92769135613051723</v>
          </cell>
          <cell r="Z565">
            <v>0.16504284774745018</v>
          </cell>
          <cell r="AA565">
            <v>4.7754085207795741E-2</v>
          </cell>
        </row>
        <row r="566">
          <cell r="W566">
            <v>11.45696357630071</v>
          </cell>
          <cell r="X566">
            <v>11.29667099677545</v>
          </cell>
          <cell r="Y566">
            <v>0.92215053745055675</v>
          </cell>
          <cell r="Z566">
            <v>0.16405709695032375</v>
          </cell>
          <cell r="AA566">
            <v>4.7468864562356688E-2</v>
          </cell>
        </row>
        <row r="567">
          <cell r="W567">
            <v>11.388123451807918</v>
          </cell>
          <cell r="X567">
            <v>11.228794003661781</v>
          </cell>
          <cell r="Y567">
            <v>0.91660971877059649</v>
          </cell>
          <cell r="Z567">
            <v>0.16307134615319738</v>
          </cell>
          <cell r="AA567">
            <v>4.7183643916917643E-2</v>
          </cell>
        </row>
        <row r="568">
          <cell r="W568">
            <v>11.319283327315121</v>
          </cell>
          <cell r="X568">
            <v>11.160917010548106</v>
          </cell>
          <cell r="Y568">
            <v>0.9110689000906359</v>
          </cell>
          <cell r="Z568">
            <v>0.16208559535607095</v>
          </cell>
          <cell r="AA568">
            <v>4.6898423271478577E-2</v>
          </cell>
        </row>
        <row r="569">
          <cell r="W569">
            <v>11.250443202822328</v>
          </cell>
          <cell r="X569">
            <v>11.093040017434436</v>
          </cell>
          <cell r="Y569">
            <v>0.90552808141067564</v>
          </cell>
          <cell r="Z569">
            <v>0.16109984455894455</v>
          </cell>
          <cell r="AA569">
            <v>4.6613202626039532E-2</v>
          </cell>
        </row>
        <row r="570">
          <cell r="W570">
            <v>11.181603078329534</v>
          </cell>
          <cell r="X570">
            <v>11.025163024320761</v>
          </cell>
          <cell r="Y570">
            <v>0.89998726273071505</v>
          </cell>
          <cell r="Z570">
            <v>0.16011409376181812</v>
          </cell>
          <cell r="AA570">
            <v>4.6327981980600473E-2</v>
          </cell>
        </row>
        <row r="571">
          <cell r="W571">
            <v>11.112762953836739</v>
          </cell>
          <cell r="X571">
            <v>10.95728603120709</v>
          </cell>
          <cell r="Y571">
            <v>0.89444644405075469</v>
          </cell>
          <cell r="Z571">
            <v>0.15912834296469169</v>
          </cell>
          <cell r="AA571">
            <v>4.6042761335161421E-2</v>
          </cell>
        </row>
        <row r="572">
          <cell r="W572">
            <v>11.043922829343947</v>
          </cell>
          <cell r="X572">
            <v>10.889409038093419</v>
          </cell>
          <cell r="Y572">
            <v>0.88890562537079432</v>
          </cell>
          <cell r="Z572">
            <v>0.15814259216756532</v>
          </cell>
          <cell r="AA572">
            <v>4.5757540689722376E-2</v>
          </cell>
        </row>
        <row r="573">
          <cell r="W573">
            <v>10.97508270485115</v>
          </cell>
          <cell r="X573">
            <v>10.821532044979744</v>
          </cell>
          <cell r="Y573">
            <v>0.88336480669083373</v>
          </cell>
          <cell r="Z573">
            <v>0.15715684137043889</v>
          </cell>
          <cell r="AA573">
            <v>4.547232004428331E-2</v>
          </cell>
        </row>
        <row r="574">
          <cell r="W574">
            <v>10.906242580358359</v>
          </cell>
          <cell r="X574">
            <v>10.753655051866074</v>
          </cell>
          <cell r="Y574">
            <v>0.87782398801087347</v>
          </cell>
          <cell r="Z574">
            <v>0.15617109057331249</v>
          </cell>
          <cell r="AA574">
            <v>4.5187099398844265E-2</v>
          </cell>
        </row>
        <row r="575">
          <cell r="W575">
            <v>10.837402455865563</v>
          </cell>
          <cell r="X575">
            <v>10.685778058752399</v>
          </cell>
          <cell r="Y575">
            <v>0.87228316933091288</v>
          </cell>
          <cell r="Z575">
            <v>0.15518533977618607</v>
          </cell>
          <cell r="AA575">
            <v>4.4901878753405206E-2</v>
          </cell>
        </row>
        <row r="576">
          <cell r="W576">
            <v>10.76856233137277</v>
          </cell>
          <cell r="X576">
            <v>10.61790106563873</v>
          </cell>
          <cell r="Y576">
            <v>0.86674235065095262</v>
          </cell>
          <cell r="Z576">
            <v>0.15419958897905967</v>
          </cell>
          <cell r="AA576">
            <v>4.461665810796616E-2</v>
          </cell>
        </row>
        <row r="577">
          <cell r="W577">
            <v>10.699722206879976</v>
          </cell>
          <cell r="X577">
            <v>10.550024072525057</v>
          </cell>
          <cell r="Y577">
            <v>0.86120153197099214</v>
          </cell>
          <cell r="Z577">
            <v>0.15321383818193327</v>
          </cell>
          <cell r="AA577">
            <v>4.4331437462527108E-2</v>
          </cell>
        </row>
        <row r="578">
          <cell r="W578">
            <v>10.630882082387181</v>
          </cell>
          <cell r="X578">
            <v>10.482147079411384</v>
          </cell>
          <cell r="Y578">
            <v>0.85566071329103155</v>
          </cell>
          <cell r="Z578">
            <v>0.15222808738480684</v>
          </cell>
          <cell r="AA578">
            <v>4.4046216817088042E-2</v>
          </cell>
        </row>
        <row r="579">
          <cell r="W579">
            <v>10.562041957894388</v>
          </cell>
          <cell r="X579">
            <v>10.414270086297712</v>
          </cell>
          <cell r="Y579">
            <v>0.85011989461107129</v>
          </cell>
          <cell r="Z579">
            <v>0.15124233658768044</v>
          </cell>
          <cell r="AA579">
            <v>4.3760996171648997E-2</v>
          </cell>
        </row>
        <row r="580">
          <cell r="W580">
            <v>10.493201833401592</v>
          </cell>
          <cell r="X580">
            <v>10.346393093184039</v>
          </cell>
          <cell r="Y580">
            <v>0.8445790759311107</v>
          </cell>
          <cell r="Z580">
            <v>0.15025658579055401</v>
          </cell>
          <cell r="AA580">
            <v>4.3475775526209938E-2</v>
          </cell>
        </row>
        <row r="581">
          <cell r="W581">
            <v>10.424361708908801</v>
          </cell>
          <cell r="X581">
            <v>10.278516100070368</v>
          </cell>
          <cell r="Y581">
            <v>0.83903825725115044</v>
          </cell>
          <cell r="Z581">
            <v>0.14927083499342764</v>
          </cell>
          <cell r="AA581">
            <v>4.3190554880770893E-2</v>
          </cell>
        </row>
        <row r="582">
          <cell r="W582">
            <v>10.355521584416007</v>
          </cell>
          <cell r="X582">
            <v>10.210639106956695</v>
          </cell>
          <cell r="Y582">
            <v>0.83349743857118996</v>
          </cell>
          <cell r="Z582">
            <v>0.14828508419630121</v>
          </cell>
          <cell r="AA582">
            <v>4.2905334235331841E-2</v>
          </cell>
        </row>
        <row r="583">
          <cell r="W583">
            <v>10.286681459923212</v>
          </cell>
          <cell r="X583">
            <v>10.142762113843023</v>
          </cell>
          <cell r="Y583">
            <v>0.82795661989122959</v>
          </cell>
          <cell r="Z583">
            <v>0.14729933339917481</v>
          </cell>
          <cell r="AA583">
            <v>4.2620113589892789E-2</v>
          </cell>
        </row>
        <row r="584">
          <cell r="W584">
            <v>10.217841335430418</v>
          </cell>
          <cell r="X584">
            <v>10.07488512072935</v>
          </cell>
          <cell r="Y584">
            <v>0.82241580121126912</v>
          </cell>
          <cell r="Z584">
            <v>0.14631358260204841</v>
          </cell>
          <cell r="AA584">
            <v>4.2334892944453729E-2</v>
          </cell>
        </row>
        <row r="585">
          <cell r="W585">
            <v>10.149001210937627</v>
          </cell>
          <cell r="X585">
            <v>10.007008127615681</v>
          </cell>
          <cell r="Y585">
            <v>0.81687498253130886</v>
          </cell>
          <cell r="Z585">
            <v>0.14532783180492201</v>
          </cell>
          <cell r="AA585">
            <v>4.2049672299014684E-2</v>
          </cell>
        </row>
        <row r="586">
          <cell r="W586">
            <v>10.08016108644483</v>
          </cell>
          <cell r="X586">
            <v>9.9391311345020057</v>
          </cell>
          <cell r="Y586">
            <v>0.81133416385134827</v>
          </cell>
          <cell r="Z586">
            <v>0.14434208100779558</v>
          </cell>
          <cell r="AA586">
            <v>4.1764451653575625E-2</v>
          </cell>
        </row>
        <row r="587">
          <cell r="W587">
            <v>10.011320961952036</v>
          </cell>
          <cell r="X587">
            <v>9.8712541413883343</v>
          </cell>
          <cell r="Y587">
            <v>0.80579334517138779</v>
          </cell>
          <cell r="Z587">
            <v>0.14335633021066915</v>
          </cell>
          <cell r="AA587">
            <v>4.1479231008136573E-2</v>
          </cell>
        </row>
        <row r="588">
          <cell r="W588">
            <v>9.9424808374592413</v>
          </cell>
          <cell r="X588">
            <v>9.8033771482746612</v>
          </cell>
          <cell r="Y588">
            <v>0.80025252649142742</v>
          </cell>
          <cell r="Z588">
            <v>0.14237057941354275</v>
          </cell>
          <cell r="AA588">
            <v>4.1194010362697521E-2</v>
          </cell>
        </row>
        <row r="589">
          <cell r="W589">
            <v>9.8736407129664485</v>
          </cell>
          <cell r="X589">
            <v>9.7355001551609899</v>
          </cell>
          <cell r="Y589">
            <v>0.79471170781146694</v>
          </cell>
          <cell r="Z589">
            <v>0.14138482861641635</v>
          </cell>
          <cell r="AA589">
            <v>4.0908789717258462E-2</v>
          </cell>
        </row>
        <row r="590">
          <cell r="W590">
            <v>9.8048005884736522</v>
          </cell>
          <cell r="X590">
            <v>9.667623162047315</v>
          </cell>
          <cell r="Y590">
            <v>0.78917088913150635</v>
          </cell>
          <cell r="Z590">
            <v>0.14039907781928992</v>
          </cell>
          <cell r="AA590">
            <v>4.0623569071819403E-2</v>
          </cell>
        </row>
        <row r="591">
          <cell r="W591">
            <v>9.7359604639808595</v>
          </cell>
          <cell r="X591">
            <v>9.5997461689336436</v>
          </cell>
          <cell r="Y591">
            <v>0.78363007045154609</v>
          </cell>
          <cell r="Z591">
            <v>0.13941332702216352</v>
          </cell>
          <cell r="AA591">
            <v>4.0338348426380358E-2</v>
          </cell>
        </row>
        <row r="592">
          <cell r="W592">
            <v>9.6791673612743061</v>
          </cell>
          <cell r="X592">
            <v>9.5437476496148648</v>
          </cell>
          <cell r="Y592">
            <v>0.77905889504057879</v>
          </cell>
          <cell r="Z592">
            <v>0.13860008261453424</v>
          </cell>
          <cell r="AA592">
            <v>4.0103041393893139E-2</v>
          </cell>
        </row>
        <row r="593">
          <cell r="W593">
            <v>9.6223742585677492</v>
          </cell>
          <cell r="X593">
            <v>9.4877491302960841</v>
          </cell>
          <cell r="Y593">
            <v>0.77448771962961127</v>
          </cell>
          <cell r="Z593">
            <v>0.13778683820690493</v>
          </cell>
          <cell r="AA593">
            <v>3.9867734361405914E-2</v>
          </cell>
        </row>
        <row r="594">
          <cell r="W594">
            <v>9.5655811558611941</v>
          </cell>
          <cell r="X594">
            <v>9.4317506109773053</v>
          </cell>
          <cell r="Y594">
            <v>0.76991654421864397</v>
          </cell>
          <cell r="Z594">
            <v>0.13697359379927565</v>
          </cell>
          <cell r="AA594">
            <v>3.9632427328918703E-2</v>
          </cell>
        </row>
        <row r="595">
          <cell r="W595">
            <v>9.5087880531546389</v>
          </cell>
          <cell r="X595">
            <v>9.3757520916585264</v>
          </cell>
          <cell r="Y595">
            <v>0.76534536880767667</v>
          </cell>
          <cell r="Z595">
            <v>0.13616034939164637</v>
          </cell>
          <cell r="AA595">
            <v>3.9397120296431484E-2</v>
          </cell>
        </row>
        <row r="596">
          <cell r="W596">
            <v>9.4519949504480838</v>
          </cell>
          <cell r="X596">
            <v>9.3197535723397458</v>
          </cell>
          <cell r="Y596">
            <v>0.76077419339670926</v>
          </cell>
          <cell r="Z596">
            <v>0.13534710498401706</v>
          </cell>
          <cell r="AA596">
            <v>3.9161813263944259E-2</v>
          </cell>
        </row>
        <row r="597">
          <cell r="W597">
            <v>9.3952018477415287</v>
          </cell>
          <cell r="X597">
            <v>9.2637550530209669</v>
          </cell>
          <cell r="Y597">
            <v>0.75620301798574185</v>
          </cell>
          <cell r="Z597">
            <v>0.1345338605763878</v>
          </cell>
          <cell r="AA597">
            <v>3.8926506231457041E-2</v>
          </cell>
        </row>
        <row r="598">
          <cell r="W598">
            <v>9.3384087450349735</v>
          </cell>
          <cell r="X598">
            <v>9.2077565337021863</v>
          </cell>
          <cell r="Y598">
            <v>0.75163184257477456</v>
          </cell>
          <cell r="Z598">
            <v>0.13372061616875852</v>
          </cell>
          <cell r="AA598">
            <v>3.8691199198969822E-2</v>
          </cell>
        </row>
        <row r="599">
          <cell r="W599">
            <v>9.2816156423284202</v>
          </cell>
          <cell r="X599">
            <v>9.1517580143834074</v>
          </cell>
          <cell r="Y599">
            <v>0.74706066716380726</v>
          </cell>
          <cell r="Z599">
            <v>0.13290737176112924</v>
          </cell>
          <cell r="AA599">
            <v>3.8455892166482611E-2</v>
          </cell>
        </row>
        <row r="600">
          <cell r="W600">
            <v>9.224822539621865</v>
          </cell>
          <cell r="X600">
            <v>9.0957594950646286</v>
          </cell>
          <cell r="Y600">
            <v>0.74248949175283996</v>
          </cell>
          <cell r="Z600">
            <v>0.13209412735349996</v>
          </cell>
          <cell r="AA600">
            <v>3.8220585133995393E-2</v>
          </cell>
        </row>
        <row r="601">
          <cell r="W601">
            <v>9.1680294369153081</v>
          </cell>
          <cell r="X601">
            <v>9.0397609757458479</v>
          </cell>
          <cell r="Y601">
            <v>0.73791831634187244</v>
          </cell>
          <cell r="Z601">
            <v>0.13128088294587065</v>
          </cell>
          <cell r="AA601">
            <v>3.7985278101508167E-2</v>
          </cell>
        </row>
        <row r="602">
          <cell r="W602">
            <v>9.1112363342087548</v>
          </cell>
          <cell r="X602">
            <v>8.9837624564270691</v>
          </cell>
          <cell r="Y602">
            <v>0.73334714093090514</v>
          </cell>
          <cell r="Z602">
            <v>0.13046763853824137</v>
          </cell>
          <cell r="AA602">
            <v>3.7749971069020949E-2</v>
          </cell>
        </row>
        <row r="603">
          <cell r="W603">
            <v>9.0544432315021997</v>
          </cell>
          <cell r="X603">
            <v>8.9277639371082902</v>
          </cell>
          <cell r="Y603">
            <v>0.72877596551993784</v>
          </cell>
          <cell r="Z603">
            <v>0.12965439413061208</v>
          </cell>
          <cell r="AA603">
            <v>3.7514664036533731E-2</v>
          </cell>
        </row>
        <row r="604">
          <cell r="W604">
            <v>8.9976501287956427</v>
          </cell>
          <cell r="X604">
            <v>8.8717654177895078</v>
          </cell>
          <cell r="Y604">
            <v>0.72420479010897043</v>
          </cell>
          <cell r="Z604">
            <v>0.12884114972298277</v>
          </cell>
          <cell r="AA604">
            <v>3.7279357004046512E-2</v>
          </cell>
        </row>
        <row r="605">
          <cell r="W605">
            <v>8.9408570260890912</v>
          </cell>
          <cell r="X605">
            <v>8.8157668984707307</v>
          </cell>
          <cell r="Y605">
            <v>0.71963361469800324</v>
          </cell>
          <cell r="Z605">
            <v>0.12802790531535352</v>
          </cell>
          <cell r="AA605">
            <v>3.7044049971559301E-2</v>
          </cell>
        </row>
        <row r="606">
          <cell r="W606">
            <v>8.8840639233825343</v>
          </cell>
          <cell r="X606">
            <v>8.7597683791519501</v>
          </cell>
          <cell r="Y606">
            <v>0.71506243928703572</v>
          </cell>
          <cell r="Z606">
            <v>0.12721466090772421</v>
          </cell>
          <cell r="AA606">
            <v>3.6808742939072076E-2</v>
          </cell>
        </row>
        <row r="607">
          <cell r="W607">
            <v>8.8272708206759791</v>
          </cell>
          <cell r="X607">
            <v>8.7037698598331712</v>
          </cell>
          <cell r="Y607">
            <v>0.71049126387606842</v>
          </cell>
          <cell r="Z607">
            <v>0.12640141650009493</v>
          </cell>
          <cell r="AA607">
            <v>3.6573435906584857E-2</v>
          </cell>
        </row>
        <row r="608">
          <cell r="W608">
            <v>8.7704777179694258</v>
          </cell>
          <cell r="X608">
            <v>8.6477713405143923</v>
          </cell>
          <cell r="Y608">
            <v>0.70592008846510113</v>
          </cell>
          <cell r="Z608">
            <v>0.12558817209246564</v>
          </cell>
          <cell r="AA608">
            <v>3.6338128874097639E-2</v>
          </cell>
        </row>
        <row r="609">
          <cell r="W609">
            <v>8.7136846152628689</v>
          </cell>
          <cell r="X609">
            <v>8.5917728211956117</v>
          </cell>
          <cell r="Y609">
            <v>0.70134891305413372</v>
          </cell>
          <cell r="Z609">
            <v>0.12477492768483635</v>
          </cell>
          <cell r="AA609">
            <v>3.6102821841610414E-2</v>
          </cell>
        </row>
        <row r="610">
          <cell r="W610">
            <v>8.6568915125563137</v>
          </cell>
          <cell r="X610">
            <v>8.5357743018768311</v>
          </cell>
          <cell r="Y610">
            <v>0.69677773764316631</v>
          </cell>
          <cell r="Z610">
            <v>0.12396168327720707</v>
          </cell>
          <cell r="AA610">
            <v>3.5867514809123202E-2</v>
          </cell>
        </row>
        <row r="611">
          <cell r="W611">
            <v>8.6000984098497604</v>
          </cell>
          <cell r="X611">
            <v>8.4797757825580522</v>
          </cell>
          <cell r="Y611">
            <v>0.69220656223219901</v>
          </cell>
          <cell r="Z611">
            <v>0.12314843886957778</v>
          </cell>
          <cell r="AA611">
            <v>3.5632207776635984E-2</v>
          </cell>
        </row>
        <row r="612">
          <cell r="W612">
            <v>8.5433053071432052</v>
          </cell>
          <cell r="X612">
            <v>8.4237772632392733</v>
          </cell>
          <cell r="Y612">
            <v>0.68763538682123171</v>
          </cell>
          <cell r="Z612">
            <v>0.1223351944619485</v>
          </cell>
          <cell r="AA612">
            <v>3.5396900744148765E-2</v>
          </cell>
        </row>
        <row r="613">
          <cell r="W613">
            <v>8.4865122044366501</v>
          </cell>
          <cell r="X613">
            <v>8.3677787439204945</v>
          </cell>
          <cell r="Y613">
            <v>0.68306421141026441</v>
          </cell>
          <cell r="Z613">
            <v>0.12152195005431922</v>
          </cell>
          <cell r="AA613">
            <v>3.5161593711661547E-2</v>
          </cell>
        </row>
        <row r="614">
          <cell r="W614">
            <v>8.429719101730095</v>
          </cell>
          <cell r="X614">
            <v>8.3117802246017138</v>
          </cell>
          <cell r="Y614">
            <v>0.67849303599929689</v>
          </cell>
          <cell r="Z614">
            <v>0.12070870564668991</v>
          </cell>
          <cell r="AA614">
            <v>3.4926286679174322E-2</v>
          </cell>
        </row>
        <row r="615">
          <cell r="W615">
            <v>8.3729259990235398</v>
          </cell>
          <cell r="X615">
            <v>8.255781705282935</v>
          </cell>
          <cell r="Y615">
            <v>0.67392186058832959</v>
          </cell>
          <cell r="Z615">
            <v>0.11989546123906063</v>
          </cell>
          <cell r="AA615">
            <v>3.469097964668711E-2</v>
          </cell>
        </row>
        <row r="616">
          <cell r="W616">
            <v>8.3161328963169847</v>
          </cell>
          <cell r="X616">
            <v>8.1997831859641543</v>
          </cell>
          <cell r="Y616">
            <v>0.66935068517736229</v>
          </cell>
          <cell r="Z616">
            <v>0.11908221683143135</v>
          </cell>
          <cell r="AA616">
            <v>3.4455672614199892E-2</v>
          </cell>
        </row>
        <row r="617">
          <cell r="W617">
            <v>8.2593397936104296</v>
          </cell>
          <cell r="X617">
            <v>8.1437846666453755</v>
          </cell>
          <cell r="Y617">
            <v>0.66477950976639499</v>
          </cell>
          <cell r="Z617">
            <v>0.11826897242380208</v>
          </cell>
          <cell r="AA617">
            <v>3.4220365581712674E-2</v>
          </cell>
        </row>
        <row r="618">
          <cell r="W618">
            <v>8.2025466909038744</v>
          </cell>
          <cell r="X618">
            <v>8.0877861473265948</v>
          </cell>
          <cell r="Y618">
            <v>0.66020833435542758</v>
          </cell>
          <cell r="Z618">
            <v>0.11745572801617277</v>
          </cell>
          <cell r="AA618">
            <v>3.3985058549225448E-2</v>
          </cell>
        </row>
        <row r="619">
          <cell r="W619">
            <v>8.1457535881973193</v>
          </cell>
          <cell r="X619">
            <v>8.031787628007816</v>
          </cell>
          <cell r="Y619">
            <v>0.65563715894446017</v>
          </cell>
          <cell r="Z619">
            <v>0.11664248360854348</v>
          </cell>
          <cell r="AA619">
            <v>3.374975151673823E-2</v>
          </cell>
        </row>
        <row r="620">
          <cell r="W620">
            <v>8.0889604854907642</v>
          </cell>
          <cell r="X620">
            <v>7.9757891086890371</v>
          </cell>
          <cell r="Y620">
            <v>0.65106598353349288</v>
          </cell>
          <cell r="Z620">
            <v>0.1158292392009142</v>
          </cell>
          <cell r="AA620">
            <v>3.3514444484251019E-2</v>
          </cell>
        </row>
        <row r="621">
          <cell r="W621">
            <v>8.0321673827842091</v>
          </cell>
          <cell r="X621">
            <v>7.9197905893702556</v>
          </cell>
          <cell r="Y621">
            <v>0.64649480812252547</v>
          </cell>
          <cell r="Z621">
            <v>0.11501599479328489</v>
          </cell>
          <cell r="AA621">
            <v>3.3279137451763793E-2</v>
          </cell>
        </row>
      </sheetData>
      <sheetData sheetId="28">
        <row r="5">
          <cell r="BC5">
            <v>200000</v>
          </cell>
        </row>
      </sheetData>
      <sheetData sheetId="29">
        <row r="5">
          <cell r="K5">
            <v>12491.935266914652</v>
          </cell>
        </row>
      </sheetData>
      <sheetData sheetId="30">
        <row r="4">
          <cell r="P4">
            <v>2</v>
          </cell>
        </row>
      </sheetData>
      <sheetData sheetId="31">
        <row r="59">
          <cell r="D59">
            <v>300</v>
          </cell>
        </row>
      </sheetData>
      <sheetData sheetId="32">
        <row r="5">
          <cell r="J5" t="str">
            <v>黄金</v>
          </cell>
        </row>
      </sheetData>
      <sheetData sheetId="33">
        <row r="5">
          <cell r="BJ5">
            <v>3000</v>
          </cell>
        </row>
      </sheetData>
      <sheetData sheetId="34">
        <row r="3">
          <cell r="B3">
            <v>1</v>
          </cell>
        </row>
      </sheetData>
      <sheetData sheetId="35">
        <row r="5">
          <cell r="R5">
            <v>100</v>
          </cell>
        </row>
      </sheetData>
      <sheetData sheetId="36"/>
      <sheetData sheetId="37">
        <row r="3">
          <cell r="D3">
            <v>2</v>
          </cell>
        </row>
      </sheetData>
      <sheetData sheetId="38"/>
      <sheetData sheetId="39">
        <row r="12">
          <cell r="H12">
            <v>12</v>
          </cell>
        </row>
      </sheetData>
      <sheetData sheetId="40">
        <row r="4">
          <cell r="V4">
            <v>48</v>
          </cell>
        </row>
      </sheetData>
      <sheetData sheetId="41"/>
      <sheetData sheetId="42">
        <row r="4">
          <cell r="C4">
            <v>0</v>
          </cell>
        </row>
      </sheetData>
      <sheetData sheetId="43"/>
      <sheetData sheetId="44"/>
      <sheetData sheetId="45"/>
      <sheetData sheetId="46"/>
      <sheetData sheetId="47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总纲"/>
      <sheetName val="纲要"/>
      <sheetName val="节奏总纲"/>
      <sheetName val="圣人"/>
      <sheetName val="爵位"/>
      <sheetName val="士兵训练"/>
      <sheetName val="功能-大地图城池-附加属性"/>
      <sheetName val="养成属性buff汇总"/>
      <sheetName val="士兵属性"/>
      <sheetName val="武将属性"/>
      <sheetName val="战法技能效用"/>
      <sheetName val="攻城值"/>
      <sheetName val="带兵数"/>
      <sheetName val="职业属性对比"/>
      <sheetName val="非r将兵属性验证"/>
      <sheetName val="小r将兵属性验证"/>
      <sheetName val="中r将兵属性验证"/>
      <sheetName val="大r将兵属性验证"/>
      <sheetName val="超r将兵属性验证"/>
      <sheetName val="各R部队能量汇总"/>
      <sheetName val="消耗转换战力汇总"/>
      <sheetName val="战力汇总"/>
      <sheetName val="将兵属性对比验证"/>
      <sheetName val="将兵攻城值对比验证"/>
      <sheetName val="各职业士兵属性"/>
      <sheetName val="实力验证"/>
      <sheetName val="实力验证（按等级）"/>
      <sheetName val="索引信息"/>
      <sheetName val="各r兵营医馆情况"/>
      <sheetName val="各职业武将属性"/>
      <sheetName val="各职业羁绊加成值"/>
      <sheetName val="Sheet2"/>
      <sheetName val="Sheet1"/>
      <sheetName val="超r各职业士兵属性"/>
      <sheetName val="功能-大地图城池-城防"/>
      <sheetName val="属性-玩家城防"/>
      <sheetName val="Sheet9"/>
      <sheetName val="属性-城池"/>
      <sheetName val="功能-城池"/>
      <sheetName val="城池"/>
      <sheetName val="养成表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C6">
            <v>0</v>
          </cell>
        </row>
      </sheetData>
      <sheetData sheetId="8">
        <row r="5">
          <cell r="AV5">
            <v>1.2402098837099819E-2</v>
          </cell>
        </row>
      </sheetData>
      <sheetData sheetId="9">
        <row r="5">
          <cell r="BG5">
            <v>1.2402098837099819E-2</v>
          </cell>
        </row>
      </sheetData>
      <sheetData sheetId="10">
        <row r="4">
          <cell r="AB4">
            <v>0.7</v>
          </cell>
        </row>
      </sheetData>
      <sheetData sheetId="11">
        <row r="5">
          <cell r="C5">
            <v>3.5</v>
          </cell>
        </row>
      </sheetData>
      <sheetData sheetId="12">
        <row r="4">
          <cell r="D4">
            <v>1249.1935266914652</v>
          </cell>
        </row>
      </sheetData>
      <sheetData sheetId="13"/>
      <sheetData sheetId="14">
        <row r="7">
          <cell r="M7">
            <v>60</v>
          </cell>
        </row>
        <row r="8">
          <cell r="M8">
            <v>62.983545340380985</v>
          </cell>
        </row>
        <row r="9">
          <cell r="M9">
            <v>65.96709068076197</v>
          </cell>
        </row>
        <row r="10">
          <cell r="M10">
            <v>68.950636021142955</v>
          </cell>
        </row>
        <row r="11">
          <cell r="M11">
            <v>71.93418136152394</v>
          </cell>
        </row>
        <row r="12">
          <cell r="M12">
            <v>74.917726701904925</v>
          </cell>
        </row>
        <row r="13">
          <cell r="M13">
            <v>77.90127204228591</v>
          </cell>
        </row>
        <row r="14">
          <cell r="M14">
            <v>80.884817382666895</v>
          </cell>
        </row>
        <row r="15">
          <cell r="M15">
            <v>83.868362723047881</v>
          </cell>
        </row>
        <row r="16">
          <cell r="M16">
            <v>86.851908063428866</v>
          </cell>
        </row>
        <row r="17">
          <cell r="M17">
            <v>89.835453403809822</v>
          </cell>
        </row>
        <row r="18">
          <cell r="M18">
            <v>91.010526482398845</v>
          </cell>
        </row>
        <row r="19">
          <cell r="M19">
            <v>92.185599560987896</v>
          </cell>
        </row>
        <row r="20">
          <cell r="M20">
            <v>93.360672639576919</v>
          </cell>
        </row>
        <row r="21">
          <cell r="M21">
            <v>94.535745718165941</v>
          </cell>
        </row>
        <row r="22">
          <cell r="M22">
            <v>95.710818796754992</v>
          </cell>
        </row>
        <row r="23">
          <cell r="M23">
            <v>96.885891875344015</v>
          </cell>
        </row>
        <row r="24">
          <cell r="M24">
            <v>98.060964953933038</v>
          </cell>
        </row>
        <row r="25">
          <cell r="M25">
            <v>100.00169977139883</v>
          </cell>
        </row>
        <row r="26">
          <cell r="M26">
            <v>101.28576276622125</v>
          </cell>
        </row>
        <row r="27">
          <cell r="M27">
            <v>102.46049091797484</v>
          </cell>
        </row>
        <row r="28">
          <cell r="M28">
            <v>103.63521906972846</v>
          </cell>
        </row>
        <row r="29">
          <cell r="M29">
            <v>104.80994722148205</v>
          </cell>
        </row>
        <row r="30">
          <cell r="M30">
            <v>105.98467537323563</v>
          </cell>
        </row>
        <row r="31">
          <cell r="M31">
            <v>107.15148312949304</v>
          </cell>
        </row>
        <row r="32">
          <cell r="M32">
            <v>108.31471800678575</v>
          </cell>
        </row>
        <row r="33">
          <cell r="M33">
            <v>109.47795288407845</v>
          </cell>
        </row>
        <row r="34">
          <cell r="M34">
            <v>110.64118776137117</v>
          </cell>
        </row>
        <row r="35">
          <cell r="M35">
            <v>112.05728979472985</v>
          </cell>
        </row>
        <row r="36">
          <cell r="M36">
            <v>113.40944602546161</v>
          </cell>
        </row>
        <row r="37">
          <cell r="M37">
            <v>115.14882447841559</v>
          </cell>
        </row>
        <row r="38">
          <cell r="M38">
            <v>116.88820293136959</v>
          </cell>
        </row>
        <row r="39">
          <cell r="M39">
            <v>118.62823407623004</v>
          </cell>
        </row>
        <row r="40">
          <cell r="M40">
            <v>120.39926987317136</v>
          </cell>
        </row>
        <row r="41">
          <cell r="M41">
            <v>122.20429886200819</v>
          </cell>
        </row>
        <row r="42">
          <cell r="M42">
            <v>124.05743246372948</v>
          </cell>
        </row>
        <row r="43">
          <cell r="M43">
            <v>125.91056606545079</v>
          </cell>
        </row>
        <row r="44">
          <cell r="M44">
            <v>127.71369966717209</v>
          </cell>
        </row>
        <row r="45">
          <cell r="M45">
            <v>129.51683326889344</v>
          </cell>
        </row>
        <row r="46">
          <cell r="M46">
            <v>131.31996687061473</v>
          </cell>
        </row>
        <row r="47">
          <cell r="M47">
            <v>132.67196436023679</v>
          </cell>
        </row>
        <row r="48">
          <cell r="M48">
            <v>134.03443108410255</v>
          </cell>
        </row>
        <row r="49">
          <cell r="M49">
            <v>135.55137250014039</v>
          </cell>
        </row>
        <row r="50">
          <cell r="M50">
            <v>137.07851215531866</v>
          </cell>
        </row>
        <row r="51">
          <cell r="M51">
            <v>138.72404426083</v>
          </cell>
        </row>
        <row r="52">
          <cell r="M52">
            <v>140.36957636634128</v>
          </cell>
        </row>
        <row r="53">
          <cell r="M53">
            <v>142.01510847185261</v>
          </cell>
        </row>
        <row r="54">
          <cell r="M54">
            <v>143.66064057736392</v>
          </cell>
        </row>
        <row r="55">
          <cell r="M55">
            <v>145.30617268287523</v>
          </cell>
        </row>
        <row r="56">
          <cell r="M56">
            <v>147.07461605866894</v>
          </cell>
        </row>
        <row r="57">
          <cell r="M57">
            <v>150.65690627795186</v>
          </cell>
        </row>
        <row r="58">
          <cell r="M58">
            <v>154.30789302319437</v>
          </cell>
        </row>
        <row r="59">
          <cell r="M59">
            <v>157.96062328115704</v>
          </cell>
        </row>
        <row r="60">
          <cell r="M60">
            <v>161.48702357291364</v>
          </cell>
        </row>
        <row r="61">
          <cell r="M61">
            <v>164.84797214655498</v>
          </cell>
        </row>
        <row r="62">
          <cell r="M62">
            <v>168.20892072019637</v>
          </cell>
        </row>
        <row r="63">
          <cell r="M63">
            <v>171.56986929383768</v>
          </cell>
        </row>
        <row r="64">
          <cell r="M64">
            <v>174.93081786747902</v>
          </cell>
        </row>
        <row r="65">
          <cell r="M65">
            <v>178.29176644112042</v>
          </cell>
        </row>
        <row r="66">
          <cell r="M66">
            <v>181.96324482503582</v>
          </cell>
        </row>
        <row r="67">
          <cell r="M67">
            <v>185.17346510814266</v>
          </cell>
        </row>
        <row r="68">
          <cell r="M68">
            <v>188.39154828832594</v>
          </cell>
        </row>
        <row r="69">
          <cell r="M69">
            <v>191.60963146850915</v>
          </cell>
        </row>
        <row r="70">
          <cell r="M70">
            <v>194.82771464869239</v>
          </cell>
        </row>
        <row r="71">
          <cell r="M71">
            <v>198.04579782887566</v>
          </cell>
        </row>
        <row r="72">
          <cell r="M72">
            <v>201.01070410890674</v>
          </cell>
        </row>
        <row r="73">
          <cell r="M73">
            <v>203.95494045448103</v>
          </cell>
        </row>
        <row r="74">
          <cell r="M74">
            <v>206.89917680005536</v>
          </cell>
        </row>
        <row r="75">
          <cell r="M75">
            <v>209.75628858247299</v>
          </cell>
        </row>
        <row r="76">
          <cell r="M76">
            <v>212.50022361706976</v>
          </cell>
        </row>
        <row r="77">
          <cell r="M77">
            <v>214.9410891450554</v>
          </cell>
        </row>
        <row r="78">
          <cell r="M78">
            <v>217.38195467304107</v>
          </cell>
        </row>
        <row r="79">
          <cell r="M79">
            <v>220.02987815649661</v>
          </cell>
        </row>
        <row r="80">
          <cell r="M80">
            <v>222.80249915072332</v>
          </cell>
        </row>
        <row r="81">
          <cell r="M81">
            <v>225.57506425152945</v>
          </cell>
        </row>
        <row r="82">
          <cell r="M82">
            <v>228.31264393996474</v>
          </cell>
        </row>
        <row r="83">
          <cell r="M83">
            <v>231.05022362840009</v>
          </cell>
        </row>
        <row r="84">
          <cell r="M84">
            <v>233.80622934257065</v>
          </cell>
        </row>
        <row r="85">
          <cell r="M85">
            <v>236.73481536132763</v>
          </cell>
        </row>
        <row r="86">
          <cell r="M86">
            <v>239.66340138008468</v>
          </cell>
        </row>
        <row r="87">
          <cell r="M87">
            <v>242.11658730025144</v>
          </cell>
        </row>
        <row r="88">
          <cell r="M88">
            <v>244.63143088373573</v>
          </cell>
        </row>
        <row r="89">
          <cell r="M89">
            <v>247.22676590710654</v>
          </cell>
        </row>
        <row r="90">
          <cell r="M90">
            <v>249.8614762313702</v>
          </cell>
        </row>
        <row r="91">
          <cell r="M91">
            <v>252.03880726209192</v>
          </cell>
        </row>
        <row r="92">
          <cell r="M92">
            <v>255.27198136060127</v>
          </cell>
        </row>
        <row r="93">
          <cell r="M93">
            <v>258.39999701421954</v>
          </cell>
        </row>
        <row r="94">
          <cell r="M94">
            <v>261.46257480990135</v>
          </cell>
        </row>
        <row r="95">
          <cell r="M95">
            <v>264.52515260558317</v>
          </cell>
        </row>
        <row r="96">
          <cell r="M96">
            <v>267.58773040126499</v>
          </cell>
        </row>
        <row r="97">
          <cell r="M97">
            <v>270.26168230319507</v>
          </cell>
        </row>
        <row r="98">
          <cell r="M98">
            <v>272.92052339892513</v>
          </cell>
        </row>
        <row r="99">
          <cell r="M99">
            <v>275.57936449465518</v>
          </cell>
        </row>
        <row r="100">
          <cell r="M100">
            <v>278.15746007528088</v>
          </cell>
        </row>
        <row r="101">
          <cell r="M101">
            <v>280.71068384080093</v>
          </cell>
        </row>
        <row r="102">
          <cell r="M102">
            <v>283.38689104330291</v>
          </cell>
        </row>
        <row r="103">
          <cell r="M103">
            <v>286.0138035714574</v>
          </cell>
        </row>
        <row r="104">
          <cell r="M104">
            <v>288.43354423796563</v>
          </cell>
        </row>
        <row r="105">
          <cell r="M105">
            <v>290.85328490447392</v>
          </cell>
        </row>
        <row r="106">
          <cell r="M106">
            <v>293.27302557098216</v>
          </cell>
        </row>
        <row r="107">
          <cell r="M107">
            <v>295.943354875502</v>
          </cell>
        </row>
        <row r="108">
          <cell r="M108">
            <v>298.69140662539496</v>
          </cell>
        </row>
        <row r="109">
          <cell r="M109">
            <v>301.43945837528804</v>
          </cell>
        </row>
        <row r="110">
          <cell r="M110">
            <v>304.18751012518106</v>
          </cell>
        </row>
        <row r="111">
          <cell r="M111">
            <v>306.64593980813947</v>
          </cell>
        </row>
        <row r="112">
          <cell r="M112">
            <v>309.31769075402224</v>
          </cell>
        </row>
        <row r="113">
          <cell r="M113">
            <v>311.98951119623439</v>
          </cell>
        </row>
        <row r="114">
          <cell r="M114">
            <v>314.45235459448685</v>
          </cell>
        </row>
        <row r="115">
          <cell r="M115">
            <v>316.72058668144763</v>
          </cell>
        </row>
        <row r="116">
          <cell r="M116">
            <v>318.98881876840846</v>
          </cell>
        </row>
        <row r="117">
          <cell r="M117">
            <v>321.60490054442357</v>
          </cell>
        </row>
        <row r="118">
          <cell r="M118">
            <v>324.22098232043868</v>
          </cell>
        </row>
        <row r="119">
          <cell r="M119">
            <v>326.83706409645373</v>
          </cell>
        </row>
        <row r="120">
          <cell r="M120">
            <v>329.45314587246878</v>
          </cell>
        </row>
        <row r="121">
          <cell r="M121">
            <v>332.06922764848389</v>
          </cell>
        </row>
        <row r="122">
          <cell r="M122">
            <v>332.95218587891713</v>
          </cell>
        </row>
        <row r="123">
          <cell r="M123">
            <v>333.83514410935038</v>
          </cell>
        </row>
        <row r="124">
          <cell r="M124">
            <v>334.71818554672279</v>
          </cell>
        </row>
        <row r="125">
          <cell r="M125">
            <v>335.60129269416518</v>
          </cell>
        </row>
        <row r="126">
          <cell r="M126">
            <v>336.48439984160763</v>
          </cell>
        </row>
        <row r="127">
          <cell r="M127">
            <v>336.84037785195028</v>
          </cell>
        </row>
        <row r="128">
          <cell r="M128">
            <v>337.19635586229293</v>
          </cell>
        </row>
        <row r="129">
          <cell r="M129">
            <v>337.55233387263559</v>
          </cell>
        </row>
        <row r="130">
          <cell r="M130">
            <v>337.90831188297824</v>
          </cell>
        </row>
        <row r="131">
          <cell r="M131">
            <v>338.26428989332089</v>
          </cell>
        </row>
        <row r="132">
          <cell r="M132">
            <v>338.6202679036636</v>
          </cell>
        </row>
        <row r="133">
          <cell r="M133">
            <v>338.97624591400626</v>
          </cell>
        </row>
        <row r="134">
          <cell r="M134">
            <v>339.33222392434885</v>
          </cell>
        </row>
        <row r="135">
          <cell r="M135">
            <v>339.68886360275656</v>
          </cell>
        </row>
        <row r="136">
          <cell r="M136">
            <v>340.0455071815519</v>
          </cell>
        </row>
        <row r="137">
          <cell r="M137">
            <v>340.40215076034724</v>
          </cell>
        </row>
        <row r="138">
          <cell r="M138">
            <v>340.75879433914258</v>
          </cell>
        </row>
        <row r="139">
          <cell r="M139">
            <v>341.11543791793792</v>
          </cell>
        </row>
        <row r="140">
          <cell r="M140">
            <v>341.47208149673321</v>
          </cell>
        </row>
        <row r="141">
          <cell r="M141">
            <v>341.82872507552855</v>
          </cell>
        </row>
        <row r="142">
          <cell r="M142">
            <v>342.1853686543239</v>
          </cell>
        </row>
        <row r="143">
          <cell r="M143">
            <v>342.54201223311918</v>
          </cell>
        </row>
        <row r="144">
          <cell r="M144">
            <v>342.89865581191452</v>
          </cell>
        </row>
        <row r="145">
          <cell r="M145">
            <v>343.25533232688457</v>
          </cell>
        </row>
        <row r="146">
          <cell r="M146">
            <v>343.61204650164586</v>
          </cell>
        </row>
        <row r="147">
          <cell r="M147">
            <v>343.9687606764071</v>
          </cell>
        </row>
        <row r="148">
          <cell r="M148">
            <v>344.32547485116839</v>
          </cell>
        </row>
        <row r="149">
          <cell r="M149">
            <v>344.68218902592969</v>
          </cell>
        </row>
        <row r="150">
          <cell r="M150">
            <v>345.03890320069098</v>
          </cell>
        </row>
        <row r="151">
          <cell r="M151">
            <v>345.39561737545228</v>
          </cell>
        </row>
        <row r="152">
          <cell r="M152">
            <v>345.75233155021351</v>
          </cell>
        </row>
        <row r="153">
          <cell r="M153">
            <v>346.10904572497486</v>
          </cell>
        </row>
        <row r="154">
          <cell r="M154">
            <v>346.4657598997361</v>
          </cell>
        </row>
        <row r="155">
          <cell r="M155">
            <v>346.82247407449739</v>
          </cell>
        </row>
        <row r="156">
          <cell r="M156">
            <v>347.2995342875144</v>
          </cell>
        </row>
        <row r="157">
          <cell r="M157">
            <v>347.78388777330298</v>
          </cell>
        </row>
        <row r="158">
          <cell r="M158">
            <v>348.26824125909155</v>
          </cell>
        </row>
        <row r="159">
          <cell r="M159">
            <v>348.75259474488007</v>
          </cell>
        </row>
        <row r="160">
          <cell r="M160">
            <v>349.23694823066865</v>
          </cell>
        </row>
        <row r="161">
          <cell r="M161">
            <v>349.72130171645722</v>
          </cell>
        </row>
        <row r="162">
          <cell r="M162">
            <v>350.13334349123255</v>
          </cell>
        </row>
        <row r="163">
          <cell r="M163">
            <v>350.54445466745835</v>
          </cell>
        </row>
        <row r="164">
          <cell r="M164">
            <v>350.95556584368421</v>
          </cell>
        </row>
        <row r="165">
          <cell r="M165">
            <v>351.36667701991007</v>
          </cell>
        </row>
        <row r="166">
          <cell r="M166">
            <v>351.77778819613593</v>
          </cell>
        </row>
      </sheetData>
      <sheetData sheetId="15">
        <row r="7">
          <cell r="M7">
            <v>60</v>
          </cell>
        </row>
        <row r="8">
          <cell r="M8">
            <v>63.014491843255151</v>
          </cell>
        </row>
        <row r="9">
          <cell r="M9">
            <v>66.028983686510301</v>
          </cell>
        </row>
        <row r="10">
          <cell r="M10">
            <v>69.043475529765445</v>
          </cell>
        </row>
        <row r="11">
          <cell r="M11">
            <v>72.057967373020588</v>
          </cell>
        </row>
        <row r="12">
          <cell r="M12">
            <v>75.072459216275732</v>
          </cell>
        </row>
        <row r="13">
          <cell r="M13">
            <v>78.086951059530875</v>
          </cell>
        </row>
        <row r="14">
          <cell r="M14">
            <v>81.101442902786019</v>
          </cell>
        </row>
        <row r="15">
          <cell r="M15">
            <v>84.115934746041162</v>
          </cell>
        </row>
        <row r="16">
          <cell r="M16">
            <v>87.130426589296306</v>
          </cell>
        </row>
        <row r="17">
          <cell r="M17">
            <v>90.144918432551478</v>
          </cell>
        </row>
        <row r="18">
          <cell r="M18">
            <v>91.303648697760948</v>
          </cell>
        </row>
        <row r="19">
          <cell r="M19">
            <v>92.462378962970448</v>
          </cell>
        </row>
        <row r="20">
          <cell r="M20">
            <v>93.621109228179932</v>
          </cell>
        </row>
        <row r="21">
          <cell r="M21">
            <v>94.779839493389403</v>
          </cell>
        </row>
        <row r="22">
          <cell r="M22">
            <v>95.938569758598888</v>
          </cell>
        </row>
        <row r="23">
          <cell r="M23">
            <v>97.097300023808359</v>
          </cell>
        </row>
        <row r="24">
          <cell r="M24">
            <v>99.002174081264215</v>
          </cell>
        </row>
        <row r="25">
          <cell r="M25">
            <v>100.27282149501274</v>
          </cell>
        </row>
        <row r="26">
          <cell r="M26">
            <v>101.47648330179356</v>
          </cell>
        </row>
        <row r="27">
          <cell r="M27">
            <v>102.74874620189971</v>
          </cell>
        </row>
        <row r="28">
          <cell r="M28">
            <v>104.02100910200588</v>
          </cell>
        </row>
        <row r="29">
          <cell r="M29">
            <v>105.29327200211202</v>
          </cell>
        </row>
        <row r="30">
          <cell r="M30">
            <v>106.55737928230971</v>
          </cell>
        </row>
        <row r="31">
          <cell r="M31">
            <v>107.81716502884754</v>
          </cell>
        </row>
        <row r="32">
          <cell r="M32">
            <v>109.07695077538538</v>
          </cell>
        </row>
        <row r="33">
          <cell r="M33">
            <v>110.3367365219232</v>
          </cell>
        </row>
        <row r="34">
          <cell r="M34">
            <v>111.65843312331546</v>
          </cell>
        </row>
        <row r="35">
          <cell r="M35">
            <v>113.16686260131455</v>
          </cell>
        </row>
        <row r="36">
          <cell r="M36">
            <v>114.6155277695493</v>
          </cell>
        </row>
        <row r="37">
          <cell r="M37">
            <v>116.45141516000629</v>
          </cell>
        </row>
        <row r="38">
          <cell r="M38">
            <v>118.29195214265918</v>
          </cell>
        </row>
        <row r="39">
          <cell r="M39">
            <v>120.15792674338726</v>
          </cell>
        </row>
        <row r="40">
          <cell r="M40">
            <v>122.02390134411539</v>
          </cell>
        </row>
        <row r="41">
          <cell r="M41">
            <v>123.9316302897588</v>
          </cell>
        </row>
        <row r="42">
          <cell r="M42">
            <v>125.85333725686364</v>
          </cell>
        </row>
        <row r="43">
          <cell r="M43">
            <v>127.75635735528161</v>
          </cell>
        </row>
        <row r="44">
          <cell r="M44">
            <v>129.62755927188141</v>
          </cell>
        </row>
        <row r="45">
          <cell r="M45">
            <v>131.49876118848118</v>
          </cell>
        </row>
        <row r="46">
          <cell r="M46">
            <v>133.42135153926554</v>
          </cell>
        </row>
        <row r="47">
          <cell r="M47">
            <v>134.9003724880655</v>
          </cell>
        </row>
        <row r="48">
          <cell r="M48">
            <v>136.52256670674046</v>
          </cell>
        </row>
        <row r="49">
          <cell r="M49">
            <v>138.12523230588687</v>
          </cell>
        </row>
        <row r="50">
          <cell r="M50">
            <v>139.78631076053233</v>
          </cell>
        </row>
        <row r="51">
          <cell r="M51">
            <v>141.5147007311673</v>
          </cell>
        </row>
        <row r="52">
          <cell r="M52">
            <v>143.24309070180229</v>
          </cell>
        </row>
        <row r="53">
          <cell r="M53">
            <v>144.97148067243728</v>
          </cell>
        </row>
        <row r="54">
          <cell r="M54">
            <v>146.69987064307227</v>
          </cell>
        </row>
        <row r="55">
          <cell r="M55">
            <v>148.42826061370727</v>
          </cell>
        </row>
        <row r="56">
          <cell r="M56">
            <v>150.20240151950642</v>
          </cell>
        </row>
        <row r="57">
          <cell r="M57">
            <v>153.7835565857969</v>
          </cell>
        </row>
        <row r="58">
          <cell r="M58">
            <v>157.36471165208735</v>
          </cell>
        </row>
        <row r="59">
          <cell r="M59">
            <v>160.94586671837783</v>
          </cell>
        </row>
        <row r="60">
          <cell r="M60">
            <v>164.38022599613436</v>
          </cell>
        </row>
        <row r="61">
          <cell r="M61">
            <v>167.77147839876795</v>
          </cell>
        </row>
        <row r="62">
          <cell r="M62">
            <v>171.16273080140158</v>
          </cell>
        </row>
        <row r="63">
          <cell r="M63">
            <v>174.55398320403518</v>
          </cell>
        </row>
        <row r="64">
          <cell r="M64">
            <v>177.94523560666883</v>
          </cell>
        </row>
        <row r="65">
          <cell r="M65">
            <v>181.33956451843557</v>
          </cell>
        </row>
        <row r="66">
          <cell r="M66">
            <v>185.44975435040496</v>
          </cell>
        </row>
        <row r="67">
          <cell r="M67">
            <v>188.70695853408841</v>
          </cell>
        </row>
        <row r="68">
          <cell r="M68">
            <v>191.96416271777181</v>
          </cell>
        </row>
        <row r="69">
          <cell r="M69">
            <v>195.22136690145527</v>
          </cell>
        </row>
        <row r="70">
          <cell r="M70">
            <v>198.4785710851387</v>
          </cell>
        </row>
        <row r="71">
          <cell r="M71">
            <v>201.69435531810859</v>
          </cell>
        </row>
        <row r="72">
          <cell r="M72">
            <v>204.76241905668783</v>
          </cell>
        </row>
        <row r="73">
          <cell r="M73">
            <v>207.83048279526705</v>
          </cell>
        </row>
        <row r="74">
          <cell r="M74">
            <v>210.77037680682821</v>
          </cell>
        </row>
        <row r="75">
          <cell r="M75">
            <v>213.59450933629563</v>
          </cell>
        </row>
        <row r="76">
          <cell r="M76">
            <v>216.25697942317362</v>
          </cell>
        </row>
        <row r="77">
          <cell r="M77">
            <v>218.74234641939483</v>
          </cell>
        </row>
        <row r="78">
          <cell r="M78">
            <v>221.22771341561608</v>
          </cell>
        </row>
        <row r="79">
          <cell r="M79">
            <v>223.7678482999581</v>
          </cell>
        </row>
        <row r="80">
          <cell r="M80">
            <v>226.31433627969403</v>
          </cell>
        </row>
        <row r="81">
          <cell r="M81">
            <v>228.91172316908822</v>
          </cell>
        </row>
        <row r="82">
          <cell r="M82">
            <v>231.65400486985234</v>
          </cell>
        </row>
        <row r="83">
          <cell r="M83">
            <v>234.39029296186393</v>
          </cell>
        </row>
        <row r="84">
          <cell r="M84">
            <v>237.31162486734425</v>
          </cell>
        </row>
        <row r="85">
          <cell r="M85">
            <v>240.52212214155762</v>
          </cell>
        </row>
        <row r="86">
          <cell r="M86">
            <v>243.73272767198921</v>
          </cell>
        </row>
        <row r="87">
          <cell r="M87">
            <v>247.29139372950607</v>
          </cell>
        </row>
        <row r="88">
          <cell r="M88">
            <v>250.85005978702287</v>
          </cell>
        </row>
        <row r="89">
          <cell r="M89">
            <v>254.18102444661145</v>
          </cell>
        </row>
        <row r="90">
          <cell r="M90">
            <v>257.50540937179852</v>
          </cell>
        </row>
        <row r="91">
          <cell r="M91">
            <v>260.95275113015168</v>
          </cell>
        </row>
        <row r="92">
          <cell r="M92">
            <v>265.12642073088136</v>
          </cell>
        </row>
        <row r="93">
          <cell r="M93">
            <v>269.30476539031127</v>
          </cell>
        </row>
        <row r="94">
          <cell r="M94">
            <v>273.48464383928518</v>
          </cell>
        </row>
        <row r="95">
          <cell r="M95">
            <v>277.66452228825909</v>
          </cell>
        </row>
        <row r="96">
          <cell r="M96">
            <v>281.844400737233</v>
          </cell>
        </row>
        <row r="97">
          <cell r="M97">
            <v>285.37016622601732</v>
          </cell>
        </row>
        <row r="98">
          <cell r="M98">
            <v>288.84522532685099</v>
          </cell>
        </row>
        <row r="99">
          <cell r="M99">
            <v>292.32028442768467</v>
          </cell>
        </row>
        <row r="100">
          <cell r="M100">
            <v>295.24857605539574</v>
          </cell>
        </row>
        <row r="101">
          <cell r="M101">
            <v>298.07872461661253</v>
          </cell>
        </row>
        <row r="102">
          <cell r="M102">
            <v>301.06248990185748</v>
          </cell>
        </row>
        <row r="103">
          <cell r="M103">
            <v>303.93974906723321</v>
          </cell>
        </row>
        <row r="104">
          <cell r="M104">
            <v>306.44488093878078</v>
          </cell>
        </row>
        <row r="105">
          <cell r="M105">
            <v>308.95001281032842</v>
          </cell>
        </row>
        <row r="106">
          <cell r="M106">
            <v>311.45514468187605</v>
          </cell>
        </row>
        <row r="107">
          <cell r="M107">
            <v>314.16595529866891</v>
          </cell>
        </row>
        <row r="108">
          <cell r="M108">
            <v>316.87676591546182</v>
          </cell>
        </row>
        <row r="109">
          <cell r="M109">
            <v>319.58757653225467</v>
          </cell>
        </row>
        <row r="110">
          <cell r="M110">
            <v>322.29838714904758</v>
          </cell>
        </row>
        <row r="111">
          <cell r="M111">
            <v>325.00919776584044</v>
          </cell>
        </row>
        <row r="112">
          <cell r="M112">
            <v>326.6643628915557</v>
          </cell>
        </row>
        <row r="113">
          <cell r="M113">
            <v>328.31897045843118</v>
          </cell>
        </row>
        <row r="114">
          <cell r="M114">
            <v>329.97357802530667</v>
          </cell>
        </row>
        <row r="115">
          <cell r="M115">
            <v>331.62818559218209</v>
          </cell>
        </row>
        <row r="116">
          <cell r="M116">
            <v>333.28279315905752</v>
          </cell>
        </row>
        <row r="117">
          <cell r="M117">
            <v>333.63895382476068</v>
          </cell>
        </row>
        <row r="118">
          <cell r="M118">
            <v>333.99511449046378</v>
          </cell>
        </row>
        <row r="119">
          <cell r="M119">
            <v>334.35127515616688</v>
          </cell>
        </row>
        <row r="120">
          <cell r="M120">
            <v>334.70743582186998</v>
          </cell>
        </row>
        <row r="121">
          <cell r="M121">
            <v>335.06359648757314</v>
          </cell>
        </row>
        <row r="122">
          <cell r="M122">
            <v>335.41975715327624</v>
          </cell>
        </row>
        <row r="123">
          <cell r="M123">
            <v>335.77666095832006</v>
          </cell>
        </row>
        <row r="124">
          <cell r="M124">
            <v>336.13458948582434</v>
          </cell>
        </row>
        <row r="125">
          <cell r="M125">
            <v>336.49251801332866</v>
          </cell>
        </row>
        <row r="126">
          <cell r="M126">
            <v>336.85044654083299</v>
          </cell>
        </row>
        <row r="127">
          <cell r="M127">
            <v>337.20837506833732</v>
          </cell>
        </row>
        <row r="128">
          <cell r="M128">
            <v>337.56630359584159</v>
          </cell>
        </row>
        <row r="129">
          <cell r="M129">
            <v>337.92423212334592</v>
          </cell>
        </row>
        <row r="130">
          <cell r="M130">
            <v>338.28216065085024</v>
          </cell>
        </row>
        <row r="131">
          <cell r="M131">
            <v>338.64008917835451</v>
          </cell>
        </row>
        <row r="132">
          <cell r="M132">
            <v>338.99801770585884</v>
          </cell>
        </row>
        <row r="133">
          <cell r="M133">
            <v>339.35594623336317</v>
          </cell>
        </row>
        <row r="134">
          <cell r="M134">
            <v>339.71335273256352</v>
          </cell>
        </row>
        <row r="135">
          <cell r="M135">
            <v>340.07068166392509</v>
          </cell>
        </row>
        <row r="136">
          <cell r="M136">
            <v>340.42801059528665</v>
          </cell>
        </row>
        <row r="137">
          <cell r="M137">
            <v>340.78533952664816</v>
          </cell>
        </row>
        <row r="138">
          <cell r="M138">
            <v>341.14266845800967</v>
          </cell>
        </row>
        <row r="139">
          <cell r="M139">
            <v>341.49999738937123</v>
          </cell>
        </row>
        <row r="140">
          <cell r="M140">
            <v>341.8573263207328</v>
          </cell>
        </row>
        <row r="141">
          <cell r="M141">
            <v>342.2146552520943</v>
          </cell>
        </row>
        <row r="142">
          <cell r="M142">
            <v>342.57198418345587</v>
          </cell>
        </row>
        <row r="143">
          <cell r="M143">
            <v>342.92931311481738</v>
          </cell>
        </row>
        <row r="144">
          <cell r="M144">
            <v>343.28666312079571</v>
          </cell>
        </row>
        <row r="145">
          <cell r="M145">
            <v>343.64406537214956</v>
          </cell>
        </row>
        <row r="146">
          <cell r="M146">
            <v>344.00146762350346</v>
          </cell>
        </row>
        <row r="147">
          <cell r="M147">
            <v>344.35886987485731</v>
          </cell>
        </row>
        <row r="148">
          <cell r="M148">
            <v>344.71627212621121</v>
          </cell>
        </row>
        <row r="149">
          <cell r="M149">
            <v>345.07367437756506</v>
          </cell>
        </row>
        <row r="150">
          <cell r="M150">
            <v>345.4310766289189</v>
          </cell>
        </row>
        <row r="151">
          <cell r="M151">
            <v>345.78847888027275</v>
          </cell>
        </row>
        <row r="152">
          <cell r="M152">
            <v>346.14588113162665</v>
          </cell>
        </row>
        <row r="153">
          <cell r="M153">
            <v>346.5032833829805</v>
          </cell>
        </row>
        <row r="154">
          <cell r="M154">
            <v>346.86068563433435</v>
          </cell>
        </row>
        <row r="155">
          <cell r="M155">
            <v>347.32707923533991</v>
          </cell>
        </row>
        <row r="156">
          <cell r="M156">
            <v>347.83835058246518</v>
          </cell>
        </row>
        <row r="157">
          <cell r="M157">
            <v>348.3496219295904</v>
          </cell>
        </row>
        <row r="158">
          <cell r="M158">
            <v>348.86089327671567</v>
          </cell>
        </row>
        <row r="159">
          <cell r="M159">
            <v>349.37216462384094</v>
          </cell>
        </row>
        <row r="160">
          <cell r="M160">
            <v>349.88343597096622</v>
          </cell>
        </row>
        <row r="161">
          <cell r="M161">
            <v>350.29793129159822</v>
          </cell>
        </row>
        <row r="162">
          <cell r="M162">
            <v>350.71275665476981</v>
          </cell>
        </row>
        <row r="163">
          <cell r="M163">
            <v>351.12758201794139</v>
          </cell>
        </row>
        <row r="164">
          <cell r="M164">
            <v>351.54240738111298</v>
          </cell>
        </row>
        <row r="165">
          <cell r="M165">
            <v>351.95723274428462</v>
          </cell>
        </row>
        <row r="166">
          <cell r="M166">
            <v>352.37205810745621</v>
          </cell>
        </row>
      </sheetData>
      <sheetData sheetId="16">
        <row r="7">
          <cell r="M7">
            <v>60</v>
          </cell>
        </row>
        <row r="8">
          <cell r="M8">
            <v>63.078119646893349</v>
          </cell>
        </row>
        <row r="9">
          <cell r="M9">
            <v>66.156239293786697</v>
          </cell>
        </row>
        <row r="10">
          <cell r="M10">
            <v>69.234358940680053</v>
          </cell>
        </row>
        <row r="11">
          <cell r="M11">
            <v>72.312478587573409</v>
          </cell>
        </row>
        <row r="12">
          <cell r="M12">
            <v>75.390598234466765</v>
          </cell>
        </row>
        <row r="13">
          <cell r="M13">
            <v>78.468717881360121</v>
          </cell>
        </row>
        <row r="14">
          <cell r="M14">
            <v>81.546837528253477</v>
          </cell>
        </row>
        <row r="15">
          <cell r="M15">
            <v>84.624957175146832</v>
          </cell>
        </row>
        <row r="16">
          <cell r="M16">
            <v>87.703076822040188</v>
          </cell>
        </row>
        <row r="17">
          <cell r="M17">
            <v>90.781196468933516</v>
          </cell>
        </row>
        <row r="18">
          <cell r="M18">
            <v>91.873808508329802</v>
          </cell>
        </row>
        <row r="19">
          <cell r="M19">
            <v>92.966420547726088</v>
          </cell>
        </row>
        <row r="20">
          <cell r="M20">
            <v>94.059032587122374</v>
          </cell>
        </row>
        <row r="21">
          <cell r="M21">
            <v>95.151644626518646</v>
          </cell>
        </row>
        <row r="22">
          <cell r="M22">
            <v>96.244256665914918</v>
          </cell>
        </row>
        <row r="23">
          <cell r="M23">
            <v>98.069994962158077</v>
          </cell>
        </row>
        <row r="24">
          <cell r="M24">
            <v>99.278614149168746</v>
          </cell>
        </row>
        <row r="25">
          <cell r="M25">
            <v>100.48723333617946</v>
          </cell>
        </row>
        <row r="26">
          <cell r="M26">
            <v>101.69159496549771</v>
          </cell>
        </row>
        <row r="27">
          <cell r="M27">
            <v>103.16779412961509</v>
          </cell>
        </row>
        <row r="28">
          <cell r="M28">
            <v>104.64399329373246</v>
          </cell>
        </row>
        <row r="29">
          <cell r="M29">
            <v>106.10943613846899</v>
          </cell>
        </row>
        <row r="30">
          <cell r="M30">
            <v>107.57089909484134</v>
          </cell>
        </row>
        <row r="31">
          <cell r="M31">
            <v>109.03236205121367</v>
          </cell>
        </row>
        <row r="32">
          <cell r="M32">
            <v>110.49382500758601</v>
          </cell>
        </row>
        <row r="33">
          <cell r="M33">
            <v>111.95528796395834</v>
          </cell>
        </row>
        <row r="34">
          <cell r="M34">
            <v>113.47511630438387</v>
          </cell>
        </row>
        <row r="35">
          <cell r="M35">
            <v>115.14003845632564</v>
          </cell>
        </row>
        <row r="36">
          <cell r="M36">
            <v>116.76924632255313</v>
          </cell>
        </row>
        <row r="37">
          <cell r="M37">
            <v>118.79694001356356</v>
          </cell>
        </row>
        <row r="38">
          <cell r="M38">
            <v>120.84266589904335</v>
          </cell>
        </row>
        <row r="39">
          <cell r="M39">
            <v>122.88839178452317</v>
          </cell>
        </row>
        <row r="40">
          <cell r="M40">
            <v>124.93411767000295</v>
          </cell>
        </row>
        <row r="41">
          <cell r="M41">
            <v>127.01377108802822</v>
          </cell>
        </row>
        <row r="42">
          <cell r="M42">
            <v>129.10149455960797</v>
          </cell>
        </row>
        <row r="43">
          <cell r="M43">
            <v>131.1514629291469</v>
          </cell>
        </row>
        <row r="44">
          <cell r="M44">
            <v>133.18816599256337</v>
          </cell>
        </row>
        <row r="45">
          <cell r="M45">
            <v>135.22486905597984</v>
          </cell>
        </row>
        <row r="46">
          <cell r="M46">
            <v>137.44539337371737</v>
          </cell>
        </row>
        <row r="47">
          <cell r="M47">
            <v>139.31625484498863</v>
          </cell>
        </row>
        <row r="48">
          <cell r="M48">
            <v>141.15854488768846</v>
          </cell>
        </row>
        <row r="49">
          <cell r="M49">
            <v>142.99539275351754</v>
          </cell>
        </row>
        <row r="50">
          <cell r="M50">
            <v>144.74700265790585</v>
          </cell>
        </row>
        <row r="51">
          <cell r="M51">
            <v>146.41836248000811</v>
          </cell>
        </row>
        <row r="52">
          <cell r="M52">
            <v>148.08972230211037</v>
          </cell>
        </row>
        <row r="53">
          <cell r="M53">
            <v>149.76108212421263</v>
          </cell>
        </row>
        <row r="54">
          <cell r="M54">
            <v>151.4324419463149</v>
          </cell>
        </row>
        <row r="55">
          <cell r="M55">
            <v>153.13580244186306</v>
          </cell>
        </row>
        <row r="56">
          <cell r="M56">
            <v>154.6781736611722</v>
          </cell>
        </row>
        <row r="57">
          <cell r="M57">
            <v>158.48871485890834</v>
          </cell>
        </row>
        <row r="58">
          <cell r="M58">
            <v>162.29925605664454</v>
          </cell>
        </row>
        <row r="59">
          <cell r="M59">
            <v>166.10979725438068</v>
          </cell>
        </row>
        <row r="60">
          <cell r="M60">
            <v>170.09387102280124</v>
          </cell>
        </row>
        <row r="61">
          <cell r="M61">
            <v>174.12482280701792</v>
          </cell>
        </row>
        <row r="62">
          <cell r="M62">
            <v>178.1557745912346</v>
          </cell>
        </row>
        <row r="63">
          <cell r="M63">
            <v>182.18672637545126</v>
          </cell>
        </row>
        <row r="64">
          <cell r="M64">
            <v>186.24254156844856</v>
          </cell>
        </row>
        <row r="65">
          <cell r="M65">
            <v>190.35288328522631</v>
          </cell>
        </row>
        <row r="66">
          <cell r="M66">
            <v>195.03749853619655</v>
          </cell>
        </row>
        <row r="67">
          <cell r="M67">
            <v>198.46266086150354</v>
          </cell>
        </row>
        <row r="68">
          <cell r="M68">
            <v>201.88782318681055</v>
          </cell>
        </row>
        <row r="69">
          <cell r="M69">
            <v>205.31298551211759</v>
          </cell>
        </row>
        <row r="70">
          <cell r="M70">
            <v>208.73814783742458</v>
          </cell>
        </row>
        <row r="71">
          <cell r="M71">
            <v>212.11019389022377</v>
          </cell>
        </row>
        <row r="72">
          <cell r="M72">
            <v>215.24165984214727</v>
          </cell>
        </row>
        <row r="73">
          <cell r="M73">
            <v>218.17567143330973</v>
          </cell>
        </row>
        <row r="74">
          <cell r="M74">
            <v>221.07428509493937</v>
          </cell>
        </row>
        <row r="75">
          <cell r="M75">
            <v>223.97289875656901</v>
          </cell>
        </row>
        <row r="76">
          <cell r="M76">
            <v>226.79878252670417</v>
          </cell>
        </row>
        <row r="77">
          <cell r="M77">
            <v>229.33283965701366</v>
          </cell>
        </row>
        <row r="78">
          <cell r="M78">
            <v>231.86689678732313</v>
          </cell>
        </row>
        <row r="79">
          <cell r="M79">
            <v>234.51593959640576</v>
          </cell>
        </row>
        <row r="80">
          <cell r="M80">
            <v>237.19962158491907</v>
          </cell>
        </row>
        <row r="81">
          <cell r="M81">
            <v>239.91836589340906</v>
          </cell>
        </row>
        <row r="82">
          <cell r="M82">
            <v>242.82483453700621</v>
          </cell>
        </row>
        <row r="83">
          <cell r="M83">
            <v>245.73130318060336</v>
          </cell>
        </row>
        <row r="84">
          <cell r="M84">
            <v>248.67210929211868</v>
          </cell>
        </row>
        <row r="85">
          <cell r="M85">
            <v>251.69223811790945</v>
          </cell>
        </row>
        <row r="86">
          <cell r="M86">
            <v>254.71236694370015</v>
          </cell>
        </row>
        <row r="87">
          <cell r="M87">
            <v>258.18564311958801</v>
          </cell>
        </row>
        <row r="88">
          <cell r="M88">
            <v>261.66592099701938</v>
          </cell>
        </row>
        <row r="89">
          <cell r="M89">
            <v>265.26694696943673</v>
          </cell>
        </row>
        <row r="90">
          <cell r="M90">
            <v>268.87099954017731</v>
          </cell>
        </row>
        <row r="91">
          <cell r="M91">
            <v>272.68003922732225</v>
          </cell>
        </row>
        <row r="92">
          <cell r="M92">
            <v>277.739543742563</v>
          </cell>
        </row>
        <row r="93">
          <cell r="M93">
            <v>282.59481548457609</v>
          </cell>
        </row>
        <row r="94">
          <cell r="M94">
            <v>287.32217736586807</v>
          </cell>
        </row>
        <row r="95">
          <cell r="M95">
            <v>292.04953924716</v>
          </cell>
        </row>
        <row r="96">
          <cell r="M96">
            <v>296.77690112845187</v>
          </cell>
        </row>
        <row r="97">
          <cell r="M97">
            <v>300.41477510248251</v>
          </cell>
        </row>
        <row r="98">
          <cell r="M98">
            <v>303.44519682677242</v>
          </cell>
        </row>
        <row r="99">
          <cell r="M99">
            <v>306.47561855106233</v>
          </cell>
        </row>
        <row r="100">
          <cell r="M100">
            <v>309.47812383782338</v>
          </cell>
        </row>
        <row r="101">
          <cell r="M101">
            <v>312.46023493974548</v>
          </cell>
        </row>
        <row r="102">
          <cell r="M102">
            <v>315.53924720211847</v>
          </cell>
        </row>
        <row r="103">
          <cell r="M103">
            <v>318.61825946449153</v>
          </cell>
        </row>
        <row r="104">
          <cell r="M104">
            <v>321.69727172686453</v>
          </cell>
        </row>
        <row r="105">
          <cell r="M105">
            <v>324.77628398923758</v>
          </cell>
        </row>
        <row r="106">
          <cell r="M106">
            <v>327.85529625161064</v>
          </cell>
        </row>
        <row r="107">
          <cell r="M107">
            <v>328.65814639399798</v>
          </cell>
        </row>
        <row r="108">
          <cell r="M108">
            <v>329.46099653638532</v>
          </cell>
        </row>
        <row r="109">
          <cell r="M109">
            <v>330.26384667877267</v>
          </cell>
        </row>
        <row r="110">
          <cell r="M110">
            <v>331.06669682116006</v>
          </cell>
        </row>
        <row r="111">
          <cell r="M111">
            <v>331.86944383460258</v>
          </cell>
        </row>
        <row r="112">
          <cell r="M112">
            <v>332.22603106125968</v>
          </cell>
        </row>
        <row r="113">
          <cell r="M113">
            <v>332.58261828791677</v>
          </cell>
        </row>
        <row r="114">
          <cell r="M114">
            <v>332.93920551457387</v>
          </cell>
        </row>
        <row r="115">
          <cell r="M115">
            <v>333.29579274123103</v>
          </cell>
        </row>
        <row r="116">
          <cell r="M116">
            <v>333.65237996788812</v>
          </cell>
        </row>
        <row r="117">
          <cell r="M117">
            <v>334.00896719454522</v>
          </cell>
        </row>
        <row r="118">
          <cell r="M118">
            <v>334.36555442120232</v>
          </cell>
        </row>
        <row r="119">
          <cell r="M119">
            <v>334.72214164785942</v>
          </cell>
        </row>
        <row r="120">
          <cell r="M120">
            <v>335.07872887451651</v>
          </cell>
        </row>
        <row r="121">
          <cell r="M121">
            <v>335.43531610117361</v>
          </cell>
        </row>
        <row r="122">
          <cell r="M122">
            <v>335.79310740756074</v>
          </cell>
        </row>
        <row r="123">
          <cell r="M123">
            <v>336.15320309178952</v>
          </cell>
        </row>
        <row r="124">
          <cell r="M124">
            <v>336.5132987760183</v>
          </cell>
        </row>
        <row r="125">
          <cell r="M125">
            <v>336.87339446024703</v>
          </cell>
        </row>
        <row r="126">
          <cell r="M126">
            <v>337.23349014447581</v>
          </cell>
        </row>
        <row r="127">
          <cell r="M127">
            <v>337.59358582870453</v>
          </cell>
        </row>
        <row r="128">
          <cell r="M128">
            <v>337.95368151293331</v>
          </cell>
        </row>
        <row r="129">
          <cell r="M129">
            <v>338.3137771971621</v>
          </cell>
        </row>
        <row r="130">
          <cell r="M130">
            <v>338.67387288139082</v>
          </cell>
        </row>
        <row r="131">
          <cell r="M131">
            <v>339.0339685656196</v>
          </cell>
        </row>
        <row r="132">
          <cell r="M132">
            <v>339.39406424984833</v>
          </cell>
        </row>
        <row r="133">
          <cell r="M133">
            <v>339.75230607143681</v>
          </cell>
        </row>
        <row r="134">
          <cell r="M134">
            <v>340.11013655446624</v>
          </cell>
        </row>
        <row r="135">
          <cell r="M135">
            <v>340.46796703749561</v>
          </cell>
        </row>
        <row r="136">
          <cell r="M136">
            <v>340.82579752052504</v>
          </cell>
        </row>
        <row r="137">
          <cell r="M137">
            <v>341.18362800355442</v>
          </cell>
        </row>
        <row r="138">
          <cell r="M138">
            <v>341.54145848658379</v>
          </cell>
        </row>
        <row r="139">
          <cell r="M139">
            <v>341.89928896961317</v>
          </cell>
        </row>
        <row r="140">
          <cell r="M140">
            <v>342.25711945264254</v>
          </cell>
        </row>
        <row r="141">
          <cell r="M141">
            <v>342.61494993567197</v>
          </cell>
        </row>
        <row r="142">
          <cell r="M142">
            <v>342.97278041870135</v>
          </cell>
        </row>
        <row r="143">
          <cell r="M143">
            <v>343.33060070133541</v>
          </cell>
        </row>
        <row r="144">
          <cell r="M144">
            <v>343.68836997696849</v>
          </cell>
        </row>
        <row r="145">
          <cell r="M145">
            <v>344.04613925260168</v>
          </cell>
        </row>
        <row r="146">
          <cell r="M146">
            <v>344.40390852823475</v>
          </cell>
        </row>
        <row r="147">
          <cell r="M147">
            <v>344.76167780386788</v>
          </cell>
        </row>
        <row r="148">
          <cell r="M148">
            <v>345.11944707950101</v>
          </cell>
        </row>
        <row r="149">
          <cell r="M149">
            <v>345.47721635513409</v>
          </cell>
        </row>
        <row r="150">
          <cell r="M150">
            <v>345.83498563076722</v>
          </cell>
        </row>
        <row r="151">
          <cell r="M151">
            <v>346.19275490640035</v>
          </cell>
        </row>
        <row r="152">
          <cell r="M152">
            <v>346.55052418203348</v>
          </cell>
        </row>
        <row r="153">
          <cell r="M153">
            <v>346.90829345766656</v>
          </cell>
        </row>
        <row r="154">
          <cell r="M154">
            <v>347.35297280912641</v>
          </cell>
        </row>
        <row r="155">
          <cell r="M155">
            <v>347.88067989068435</v>
          </cell>
        </row>
        <row r="156">
          <cell r="M156">
            <v>348.40838697224234</v>
          </cell>
        </row>
        <row r="157">
          <cell r="M157">
            <v>348.93609405380028</v>
          </cell>
        </row>
        <row r="158">
          <cell r="M158">
            <v>349.46380113535821</v>
          </cell>
        </row>
        <row r="159">
          <cell r="M159">
            <v>349.99621779305437</v>
          </cell>
        </row>
        <row r="160">
          <cell r="M160">
            <v>350.42658014584032</v>
          </cell>
        </row>
        <row r="161">
          <cell r="M161">
            <v>350.84493456237175</v>
          </cell>
        </row>
        <row r="162">
          <cell r="M162">
            <v>351.26328897890318</v>
          </cell>
        </row>
        <row r="163">
          <cell r="M163">
            <v>351.68164339543461</v>
          </cell>
        </row>
        <row r="164">
          <cell r="M164">
            <v>352.09999781196603</v>
          </cell>
        </row>
        <row r="165">
          <cell r="M165">
            <v>352.51835222849746</v>
          </cell>
        </row>
        <row r="166">
          <cell r="M166">
            <v>352.93670664502889</v>
          </cell>
        </row>
      </sheetData>
      <sheetData sheetId="17">
        <row r="7">
          <cell r="M7">
            <v>60</v>
          </cell>
        </row>
        <row r="8">
          <cell r="M8">
            <v>63.394692082616388</v>
          </cell>
        </row>
        <row r="9">
          <cell r="M9">
            <v>66.789384165232775</v>
          </cell>
        </row>
        <row r="10">
          <cell r="M10">
            <v>70.184076247849163</v>
          </cell>
        </row>
        <row r="11">
          <cell r="M11">
            <v>73.57876833046555</v>
          </cell>
        </row>
        <row r="12">
          <cell r="M12">
            <v>76.973460413081938</v>
          </cell>
        </row>
        <row r="13">
          <cell r="M13">
            <v>80.368152495698325</v>
          </cell>
        </row>
        <row r="14">
          <cell r="M14">
            <v>83.762844578314713</v>
          </cell>
        </row>
        <row r="15">
          <cell r="M15">
            <v>87.1575366609311</v>
          </cell>
        </row>
        <row r="16">
          <cell r="M16">
            <v>90.552228743547488</v>
          </cell>
        </row>
        <row r="17">
          <cell r="M17">
            <v>93.94692082616389</v>
          </cell>
        </row>
        <row r="18">
          <cell r="M18">
            <v>94.857817794518652</v>
          </cell>
        </row>
        <row r="19">
          <cell r="M19">
            <v>95.768714762873415</v>
          </cell>
        </row>
        <row r="20">
          <cell r="M20">
            <v>96.679611731228192</v>
          </cell>
        </row>
        <row r="21">
          <cell r="M21">
            <v>97.590508699582941</v>
          </cell>
        </row>
        <row r="22">
          <cell r="M22">
            <v>99.231892091126468</v>
          </cell>
        </row>
        <row r="23">
          <cell r="M23">
            <v>100.26254762822094</v>
          </cell>
        </row>
        <row r="24">
          <cell r="M24">
            <v>101.29320316531545</v>
          </cell>
        </row>
        <row r="25">
          <cell r="M25">
            <v>102.32385870240994</v>
          </cell>
        </row>
        <row r="26">
          <cell r="M26">
            <v>103.58078676526482</v>
          </cell>
        </row>
        <row r="27">
          <cell r="M27">
            <v>105.2973382502993</v>
          </cell>
        </row>
        <row r="28">
          <cell r="M28">
            <v>106.99984165380593</v>
          </cell>
        </row>
        <row r="29">
          <cell r="M29">
            <v>108.70030078007726</v>
          </cell>
        </row>
        <row r="30">
          <cell r="M30">
            <v>110.40075990634858</v>
          </cell>
        </row>
        <row r="31">
          <cell r="M31">
            <v>112.10121903261995</v>
          </cell>
        </row>
        <row r="32">
          <cell r="M32">
            <v>113.80167815889128</v>
          </cell>
        </row>
        <row r="33">
          <cell r="M33">
            <v>115.5021372851626</v>
          </cell>
        </row>
        <row r="34">
          <cell r="M34">
            <v>117.42409136132483</v>
          </cell>
        </row>
        <row r="35">
          <cell r="M35">
            <v>119.3777596509603</v>
          </cell>
        </row>
        <row r="36">
          <cell r="M36">
            <v>121.34064657733717</v>
          </cell>
        </row>
        <row r="37">
          <cell r="M37">
            <v>123.69867039420207</v>
          </cell>
        </row>
        <row r="38">
          <cell r="M38">
            <v>126.056694211067</v>
          </cell>
        </row>
        <row r="39">
          <cell r="M39">
            <v>128.41471802793188</v>
          </cell>
        </row>
        <row r="40">
          <cell r="M40">
            <v>130.7941767613712</v>
          </cell>
        </row>
        <row r="41">
          <cell r="M41">
            <v>133.21757986932766</v>
          </cell>
        </row>
        <row r="42">
          <cell r="M42">
            <v>135.63531287419133</v>
          </cell>
        </row>
        <row r="43">
          <cell r="M43">
            <v>138.00716959039522</v>
          </cell>
        </row>
        <row r="44">
          <cell r="M44">
            <v>140.37902630659909</v>
          </cell>
        </row>
        <row r="45">
          <cell r="M45">
            <v>142.93970032125276</v>
          </cell>
        </row>
        <row r="46">
          <cell r="M46">
            <v>145.37310296685268</v>
          </cell>
        </row>
        <row r="47">
          <cell r="M47">
            <v>147.18906992696739</v>
          </cell>
        </row>
        <row r="48">
          <cell r="M48">
            <v>148.97960733381748</v>
          </cell>
        </row>
        <row r="49">
          <cell r="M49">
            <v>150.7734718941434</v>
          </cell>
        </row>
        <row r="50">
          <cell r="M50">
            <v>152.67775113267163</v>
          </cell>
        </row>
        <row r="51">
          <cell r="M51">
            <v>154.58203037119986</v>
          </cell>
        </row>
        <row r="52">
          <cell r="M52">
            <v>156.4863096097281</v>
          </cell>
        </row>
        <row r="53">
          <cell r="M53">
            <v>158.39058884825636</v>
          </cell>
        </row>
        <row r="54">
          <cell r="M54">
            <v>160.35221803593342</v>
          </cell>
        </row>
        <row r="55">
          <cell r="M55">
            <v>162.15988363626212</v>
          </cell>
        </row>
        <row r="56">
          <cell r="M56">
            <v>163.54704518185309</v>
          </cell>
        </row>
        <row r="57">
          <cell r="M57">
            <v>169.07741563516777</v>
          </cell>
        </row>
        <row r="58">
          <cell r="M58">
            <v>174.60778608848244</v>
          </cell>
        </row>
        <row r="59">
          <cell r="M59">
            <v>180.22240261832141</v>
          </cell>
        </row>
        <row r="60">
          <cell r="M60">
            <v>186.11904122022841</v>
          </cell>
        </row>
        <row r="61">
          <cell r="M61">
            <v>192.01567982213533</v>
          </cell>
        </row>
        <row r="62">
          <cell r="M62">
            <v>197.91231842404233</v>
          </cell>
        </row>
        <row r="63">
          <cell r="M63">
            <v>203.86807767662521</v>
          </cell>
        </row>
        <row r="64">
          <cell r="M64">
            <v>209.84671754730314</v>
          </cell>
        </row>
        <row r="65">
          <cell r="M65">
            <v>216.00600497140553</v>
          </cell>
        </row>
        <row r="66">
          <cell r="M66">
            <v>222.58972137111746</v>
          </cell>
        </row>
        <row r="67">
          <cell r="M67">
            <v>225.61964552977233</v>
          </cell>
        </row>
        <row r="68">
          <cell r="M68">
            <v>228.64956968842716</v>
          </cell>
        </row>
        <row r="69">
          <cell r="M69">
            <v>231.67949384708194</v>
          </cell>
        </row>
        <row r="70">
          <cell r="M70">
            <v>234.70941800573675</v>
          </cell>
        </row>
        <row r="71">
          <cell r="M71">
            <v>237.60720645290635</v>
          </cell>
        </row>
        <row r="72">
          <cell r="M72">
            <v>240.27809542674575</v>
          </cell>
        </row>
        <row r="73">
          <cell r="M73">
            <v>242.94898440058518</v>
          </cell>
        </row>
        <row r="74">
          <cell r="M74">
            <v>245.6198733744246</v>
          </cell>
        </row>
        <row r="75">
          <cell r="M75">
            <v>248.23534016632502</v>
          </cell>
        </row>
        <row r="76">
          <cell r="M76">
            <v>250.75741302780168</v>
          </cell>
        </row>
        <row r="77">
          <cell r="M77">
            <v>253.39548588927832</v>
          </cell>
        </row>
        <row r="78">
          <cell r="M78">
            <v>256.06455781929435</v>
          </cell>
        </row>
        <row r="79">
          <cell r="M79">
            <v>258.96535270381196</v>
          </cell>
        </row>
        <row r="80">
          <cell r="M80">
            <v>261.86359472509434</v>
          </cell>
        </row>
        <row r="81">
          <cell r="M81">
            <v>264.8390371427044</v>
          </cell>
        </row>
        <row r="82">
          <cell r="M82">
            <v>268.69004613747131</v>
          </cell>
        </row>
        <row r="83">
          <cell r="M83">
            <v>272.54105513223823</v>
          </cell>
        </row>
        <row r="84">
          <cell r="M84">
            <v>276.6338616305469</v>
          </cell>
        </row>
        <row r="85">
          <cell r="M85">
            <v>280.84734210888996</v>
          </cell>
        </row>
        <row r="86">
          <cell r="M86">
            <v>285.03695080377111</v>
          </cell>
        </row>
        <row r="87">
          <cell r="M87">
            <v>290.93197978012125</v>
          </cell>
        </row>
        <row r="88">
          <cell r="M88">
            <v>296.77704833899867</v>
          </cell>
        </row>
        <row r="89">
          <cell r="M89">
            <v>302.00155045367381</v>
          </cell>
        </row>
        <row r="90">
          <cell r="M90">
            <v>306.94918120978843</v>
          </cell>
        </row>
        <row r="91">
          <cell r="M91">
            <v>311.11791827616685</v>
          </cell>
        </row>
        <row r="92">
          <cell r="M92">
            <v>314.2732089456598</v>
          </cell>
        </row>
        <row r="93">
          <cell r="M93">
            <v>317.42849961515276</v>
          </cell>
        </row>
        <row r="94">
          <cell r="M94">
            <v>320.58379028464572</v>
          </cell>
        </row>
        <row r="95">
          <cell r="M95">
            <v>323.73908095413873</v>
          </cell>
        </row>
        <row r="96">
          <cell r="M96">
            <v>326.89437162363163</v>
          </cell>
        </row>
        <row r="97">
          <cell r="M97">
            <v>327.24561534502425</v>
          </cell>
        </row>
        <row r="98">
          <cell r="M98">
            <v>327.59685906641676</v>
          </cell>
        </row>
        <row r="99">
          <cell r="M99">
            <v>327.94810278780926</v>
          </cell>
        </row>
        <row r="100">
          <cell r="M100">
            <v>328.30540255978752</v>
          </cell>
        </row>
        <row r="101">
          <cell r="M101">
            <v>328.66398098919836</v>
          </cell>
        </row>
        <row r="102">
          <cell r="M102">
            <v>329.02255941860926</v>
          </cell>
        </row>
        <row r="103">
          <cell r="M103">
            <v>329.3811378480201</v>
          </cell>
        </row>
        <row r="104">
          <cell r="M104">
            <v>329.73971627743094</v>
          </cell>
        </row>
        <row r="105">
          <cell r="M105">
            <v>330.09829470684184</v>
          </cell>
        </row>
        <row r="106">
          <cell r="M106">
            <v>330.45687313625268</v>
          </cell>
        </row>
        <row r="107">
          <cell r="M107">
            <v>330.81545156566358</v>
          </cell>
        </row>
        <row r="108">
          <cell r="M108">
            <v>331.17402999507442</v>
          </cell>
        </row>
        <row r="109">
          <cell r="M109">
            <v>331.53260842448526</v>
          </cell>
        </row>
        <row r="110">
          <cell r="M110">
            <v>331.89110728987657</v>
          </cell>
        </row>
        <row r="111">
          <cell r="M111">
            <v>332.24900320053234</v>
          </cell>
        </row>
        <row r="112">
          <cell r="M112">
            <v>332.60689911118817</v>
          </cell>
        </row>
        <row r="113">
          <cell r="M113">
            <v>332.964795021844</v>
          </cell>
        </row>
        <row r="114">
          <cell r="M114">
            <v>333.32269093249982</v>
          </cell>
        </row>
        <row r="115">
          <cell r="M115">
            <v>333.6805868431556</v>
          </cell>
        </row>
        <row r="116">
          <cell r="M116">
            <v>334.03848275381142</v>
          </cell>
        </row>
        <row r="117">
          <cell r="M117">
            <v>334.39637866446725</v>
          </cell>
        </row>
        <row r="118">
          <cell r="M118">
            <v>334.75427457512308</v>
          </cell>
        </row>
        <row r="119">
          <cell r="M119">
            <v>335.11217048577885</v>
          </cell>
        </row>
        <row r="120">
          <cell r="M120">
            <v>335.47006639643473</v>
          </cell>
        </row>
        <row r="121">
          <cell r="M121">
            <v>335.82926037309784</v>
          </cell>
        </row>
        <row r="122">
          <cell r="M122">
            <v>336.19068174852555</v>
          </cell>
        </row>
        <row r="123">
          <cell r="M123">
            <v>336.55210312395326</v>
          </cell>
        </row>
        <row r="124">
          <cell r="M124">
            <v>336.91352449938103</v>
          </cell>
        </row>
        <row r="125">
          <cell r="M125">
            <v>337.27494587480874</v>
          </cell>
        </row>
        <row r="126">
          <cell r="M126">
            <v>337.63636725023645</v>
          </cell>
        </row>
        <row r="127">
          <cell r="M127">
            <v>337.99778862566416</v>
          </cell>
        </row>
        <row r="128">
          <cell r="M128">
            <v>338.35921000109187</v>
          </cell>
        </row>
        <row r="129">
          <cell r="M129">
            <v>338.72063137651958</v>
          </cell>
        </row>
        <row r="130">
          <cell r="M130">
            <v>339.08205275194729</v>
          </cell>
        </row>
        <row r="131">
          <cell r="M131">
            <v>339.443474127375</v>
          </cell>
        </row>
        <row r="132">
          <cell r="M132">
            <v>339.80189059698023</v>
          </cell>
        </row>
        <row r="133">
          <cell r="M133">
            <v>340.15964601263005</v>
          </cell>
        </row>
        <row r="134">
          <cell r="M134">
            <v>340.51740142827987</v>
          </cell>
        </row>
        <row r="135">
          <cell r="M135">
            <v>340.87515684392974</v>
          </cell>
        </row>
        <row r="136">
          <cell r="M136">
            <v>341.23291225957956</v>
          </cell>
        </row>
        <row r="137">
          <cell r="M137">
            <v>341.59066767522938</v>
          </cell>
        </row>
        <row r="138">
          <cell r="M138">
            <v>341.9484230908792</v>
          </cell>
        </row>
        <row r="139">
          <cell r="M139">
            <v>342.30617850652902</v>
          </cell>
        </row>
        <row r="140">
          <cell r="M140">
            <v>342.66393392217884</v>
          </cell>
        </row>
        <row r="141">
          <cell r="M141">
            <v>343.02168933782866</v>
          </cell>
        </row>
        <row r="142">
          <cell r="M142">
            <v>343.37953903838354</v>
          </cell>
        </row>
        <row r="143">
          <cell r="M143">
            <v>343.73878679613188</v>
          </cell>
        </row>
        <row r="144">
          <cell r="M144">
            <v>344.09803455388027</v>
          </cell>
        </row>
        <row r="145">
          <cell r="M145">
            <v>344.45728231162866</v>
          </cell>
        </row>
        <row r="146">
          <cell r="M146">
            <v>344.81653006937705</v>
          </cell>
        </row>
        <row r="147">
          <cell r="M147">
            <v>345.17577782712544</v>
          </cell>
        </row>
        <row r="148">
          <cell r="M148">
            <v>345.53502558487384</v>
          </cell>
        </row>
        <row r="149">
          <cell r="M149">
            <v>345.89427334262223</v>
          </cell>
        </row>
        <row r="150">
          <cell r="M150">
            <v>346.25352110037062</v>
          </cell>
        </row>
        <row r="151">
          <cell r="M151">
            <v>346.61276885811901</v>
          </cell>
        </row>
        <row r="152">
          <cell r="M152">
            <v>346.9720166158674</v>
          </cell>
        </row>
        <row r="153">
          <cell r="M153">
            <v>347.40144040495522</v>
          </cell>
        </row>
        <row r="154">
          <cell r="M154">
            <v>347.93955954329323</v>
          </cell>
        </row>
        <row r="155">
          <cell r="M155">
            <v>348.47767868163123</v>
          </cell>
        </row>
        <row r="156">
          <cell r="M156">
            <v>349.01579781996924</v>
          </cell>
        </row>
        <row r="157">
          <cell r="M157">
            <v>349.55391695830724</v>
          </cell>
        </row>
        <row r="158">
          <cell r="M158">
            <v>350.11899882463894</v>
          </cell>
        </row>
        <row r="159">
          <cell r="M159">
            <v>350.55145756799936</v>
          </cell>
        </row>
        <row r="160">
          <cell r="M160">
            <v>350.9733625194242</v>
          </cell>
        </row>
        <row r="161">
          <cell r="M161">
            <v>351.39526747084909</v>
          </cell>
        </row>
        <row r="162">
          <cell r="M162">
            <v>351.81717242227393</v>
          </cell>
        </row>
        <row r="163">
          <cell r="M163">
            <v>352.23907737369876</v>
          </cell>
        </row>
        <row r="164">
          <cell r="M164">
            <v>352.66098232512354</v>
          </cell>
        </row>
        <row r="165">
          <cell r="M165">
            <v>353.08288727654838</v>
          </cell>
        </row>
        <row r="166">
          <cell r="M166">
            <v>353.50479222797321</v>
          </cell>
        </row>
      </sheetData>
      <sheetData sheetId="18">
        <row r="7">
          <cell r="M7">
            <v>60</v>
          </cell>
        </row>
        <row r="8">
          <cell r="M8">
            <v>63.416572207776795</v>
          </cell>
        </row>
        <row r="9">
          <cell r="M9">
            <v>66.833144415553591</v>
          </cell>
        </row>
        <row r="10">
          <cell r="M10">
            <v>70.249716623330386</v>
          </cell>
        </row>
        <row r="11">
          <cell r="M11">
            <v>73.666288831107181</v>
          </cell>
        </row>
        <row r="12">
          <cell r="M12">
            <v>77.082861038883976</v>
          </cell>
        </row>
        <row r="13">
          <cell r="M13">
            <v>80.499433246660772</v>
          </cell>
        </row>
        <row r="14">
          <cell r="M14">
            <v>83.916005454437567</v>
          </cell>
        </row>
        <row r="15">
          <cell r="M15">
            <v>87.332577662214362</v>
          </cell>
        </row>
        <row r="16">
          <cell r="M16">
            <v>90.749149869991157</v>
          </cell>
        </row>
        <row r="17">
          <cell r="M17">
            <v>94.165722077767981</v>
          </cell>
        </row>
        <row r="18">
          <cell r="M18">
            <v>95.234972227791474</v>
          </cell>
        </row>
        <row r="19">
          <cell r="M19">
            <v>96.30422237781498</v>
          </cell>
        </row>
        <row r="20">
          <cell r="M20">
            <v>97.373472527838487</v>
          </cell>
        </row>
        <row r="21">
          <cell r="M21">
            <v>99.164998446486649</v>
          </cell>
        </row>
        <row r="22">
          <cell r="M22">
            <v>100.35893132803839</v>
          </cell>
        </row>
        <row r="23">
          <cell r="M23">
            <v>101.55286420959014</v>
          </cell>
        </row>
        <row r="24">
          <cell r="M24">
            <v>102.7467970911419</v>
          </cell>
        </row>
        <row r="25">
          <cell r="M25">
            <v>103.94072997269366</v>
          </cell>
        </row>
        <row r="26">
          <cell r="M26">
            <v>105.33584070032008</v>
          </cell>
        </row>
        <row r="27">
          <cell r="M27">
            <v>107.08325451509575</v>
          </cell>
        </row>
        <row r="28">
          <cell r="M28">
            <v>108.8306683298714</v>
          </cell>
        </row>
        <row r="29">
          <cell r="M29">
            <v>110.57808214464703</v>
          </cell>
        </row>
        <row r="30">
          <cell r="M30">
            <v>112.32549595942268</v>
          </cell>
        </row>
        <row r="31">
          <cell r="M31">
            <v>114.07290977419834</v>
          </cell>
        </row>
        <row r="32">
          <cell r="M32">
            <v>115.82032358897398</v>
          </cell>
        </row>
        <row r="33">
          <cell r="M33">
            <v>117.56773740374965</v>
          </cell>
        </row>
        <row r="34">
          <cell r="M34">
            <v>119.46739584412062</v>
          </cell>
        </row>
        <row r="35">
          <cell r="M35">
            <v>121.37940944676681</v>
          </cell>
        </row>
        <row r="36">
          <cell r="M36">
            <v>123.29142304941297</v>
          </cell>
        </row>
        <row r="37">
          <cell r="M37">
            <v>125.59065887428139</v>
          </cell>
        </row>
        <row r="38">
          <cell r="M38">
            <v>127.88989469914981</v>
          </cell>
        </row>
        <row r="39">
          <cell r="M39">
            <v>130.1891305240182</v>
          </cell>
        </row>
        <row r="40">
          <cell r="M40">
            <v>132.47853254468095</v>
          </cell>
        </row>
        <row r="41">
          <cell r="M41">
            <v>134.76138965931335</v>
          </cell>
        </row>
        <row r="42">
          <cell r="M42">
            <v>136.99950993184052</v>
          </cell>
        </row>
        <row r="43">
          <cell r="M43">
            <v>139.33366993167931</v>
          </cell>
        </row>
        <row r="44">
          <cell r="M44">
            <v>141.76178651886374</v>
          </cell>
        </row>
        <row r="45">
          <cell r="M45">
            <v>144.18971365366446</v>
          </cell>
        </row>
        <row r="46">
          <cell r="M46">
            <v>146.61306694375429</v>
          </cell>
        </row>
        <row r="47">
          <cell r="M47">
            <v>148.41853573092013</v>
          </cell>
        </row>
        <row r="48">
          <cell r="M48">
            <v>150.22400451808596</v>
          </cell>
        </row>
        <row r="49">
          <cell r="M49">
            <v>152.07215583247921</v>
          </cell>
        </row>
        <row r="50">
          <cell r="M50">
            <v>153.99730429535069</v>
          </cell>
        </row>
        <row r="51">
          <cell r="M51">
            <v>155.92245275822219</v>
          </cell>
        </row>
        <row r="52">
          <cell r="M52">
            <v>157.88094281779942</v>
          </cell>
        </row>
        <row r="53">
          <cell r="M53">
            <v>159.85975722575103</v>
          </cell>
        </row>
        <row r="54">
          <cell r="M54">
            <v>161.83857163370266</v>
          </cell>
        </row>
        <row r="55">
          <cell r="M55">
            <v>163.57559981842246</v>
          </cell>
        </row>
        <row r="56">
          <cell r="M56">
            <v>165.07739152554055</v>
          </cell>
        </row>
        <row r="57">
          <cell r="M57">
            <v>172.10200481152961</v>
          </cell>
        </row>
        <row r="58">
          <cell r="M58">
            <v>179.12661809751867</v>
          </cell>
        </row>
        <row r="59">
          <cell r="M59">
            <v>186.34901111830115</v>
          </cell>
        </row>
        <row r="60">
          <cell r="M60">
            <v>193.82253139086251</v>
          </cell>
        </row>
        <row r="61">
          <cell r="M61">
            <v>201.32010769079747</v>
          </cell>
        </row>
        <row r="62">
          <cell r="M62">
            <v>208.87555824060627</v>
          </cell>
        </row>
        <row r="63">
          <cell r="M63">
            <v>216.43100879041498</v>
          </cell>
        </row>
        <row r="64">
          <cell r="M64">
            <v>223.98645934022369</v>
          </cell>
        </row>
        <row r="65">
          <cell r="M65">
            <v>231.64144891878539</v>
          </cell>
        </row>
        <row r="66">
          <cell r="M66">
            <v>239.42363262654479</v>
          </cell>
        </row>
        <row r="67">
          <cell r="M67">
            <v>242.27241142209982</v>
          </cell>
        </row>
        <row r="68">
          <cell r="M68">
            <v>245.12119021765486</v>
          </cell>
        </row>
        <row r="69">
          <cell r="M69">
            <v>247.96996901320989</v>
          </cell>
        </row>
        <row r="70">
          <cell r="M70">
            <v>250.6387580963943</v>
          </cell>
        </row>
        <row r="71">
          <cell r="M71">
            <v>253.21884683900791</v>
          </cell>
        </row>
        <row r="72">
          <cell r="M72">
            <v>255.78722003886358</v>
          </cell>
        </row>
        <row r="73">
          <cell r="M73">
            <v>258.35559323871922</v>
          </cell>
        </row>
        <row r="74">
          <cell r="M74">
            <v>260.92396643857489</v>
          </cell>
        </row>
        <row r="75">
          <cell r="M75">
            <v>263.43116664995398</v>
          </cell>
        </row>
        <row r="76">
          <cell r="M76">
            <v>265.87252769110205</v>
          </cell>
        </row>
        <row r="77">
          <cell r="M77">
            <v>268.42988873225011</v>
          </cell>
        </row>
        <row r="78">
          <cell r="M78">
            <v>271.05621500607589</v>
          </cell>
        </row>
        <row r="79">
          <cell r="M79">
            <v>273.90602513325109</v>
          </cell>
        </row>
        <row r="80">
          <cell r="M80">
            <v>276.7558352604263</v>
          </cell>
        </row>
        <row r="81">
          <cell r="M81">
            <v>279.83968750029942</v>
          </cell>
        </row>
        <row r="82">
          <cell r="M82">
            <v>283.68124187023392</v>
          </cell>
        </row>
        <row r="83">
          <cell r="M83">
            <v>287.52279624016847</v>
          </cell>
        </row>
        <row r="84">
          <cell r="M84">
            <v>291.56903736272085</v>
          </cell>
        </row>
        <row r="85">
          <cell r="M85">
            <v>295.6779031118279</v>
          </cell>
        </row>
        <row r="86">
          <cell r="M86">
            <v>299.77587224686755</v>
          </cell>
        </row>
        <row r="87">
          <cell r="M87">
            <v>305.60140667005692</v>
          </cell>
        </row>
        <row r="88">
          <cell r="M88">
            <v>311.18483142673671</v>
          </cell>
        </row>
        <row r="89">
          <cell r="M89">
            <v>315.43188206327818</v>
          </cell>
        </row>
        <row r="90">
          <cell r="M90">
            <v>319.58418115080588</v>
          </cell>
        </row>
        <row r="91">
          <cell r="M91">
            <v>323.54665589888521</v>
          </cell>
        </row>
        <row r="92">
          <cell r="M92">
            <v>324.32610266070822</v>
          </cell>
        </row>
        <row r="93">
          <cell r="M93">
            <v>325.10554942253134</v>
          </cell>
        </row>
        <row r="94">
          <cell r="M94">
            <v>325.88499618435446</v>
          </cell>
        </row>
        <row r="95">
          <cell r="M95">
            <v>326.66444294617759</v>
          </cell>
        </row>
        <row r="96">
          <cell r="M96">
            <v>327.44388970800071</v>
          </cell>
        </row>
        <row r="97">
          <cell r="M97">
            <v>327.7943364698238</v>
          </cell>
        </row>
        <row r="98">
          <cell r="M98">
            <v>328.14504975531241</v>
          </cell>
        </row>
        <row r="99">
          <cell r="M99">
            <v>328.50602000261102</v>
          </cell>
        </row>
        <row r="100">
          <cell r="M100">
            <v>328.86699024990963</v>
          </cell>
        </row>
        <row r="101">
          <cell r="M101">
            <v>329.22796049720824</v>
          </cell>
        </row>
        <row r="102">
          <cell r="M102">
            <v>329.58893074450685</v>
          </cell>
        </row>
        <row r="103">
          <cell r="M103">
            <v>329.94990099180541</v>
          </cell>
        </row>
        <row r="104">
          <cell r="M104">
            <v>330.31087123910402</v>
          </cell>
        </row>
        <row r="105">
          <cell r="M105">
            <v>330.67184148640257</v>
          </cell>
        </row>
        <row r="106">
          <cell r="M106">
            <v>331.03281173370118</v>
          </cell>
        </row>
        <row r="107">
          <cell r="M107">
            <v>331.39378198099979</v>
          </cell>
        </row>
        <row r="108">
          <cell r="M108">
            <v>331.7547522282984</v>
          </cell>
        </row>
        <row r="109">
          <cell r="M109">
            <v>332.11588776348685</v>
          </cell>
        </row>
        <row r="110">
          <cell r="M110">
            <v>332.47753129574704</v>
          </cell>
        </row>
        <row r="111">
          <cell r="M111">
            <v>332.83917482800729</v>
          </cell>
        </row>
        <row r="112">
          <cell r="M112">
            <v>333.20081836026753</v>
          </cell>
        </row>
        <row r="113">
          <cell r="M113">
            <v>333.56246189252778</v>
          </cell>
        </row>
        <row r="114">
          <cell r="M114">
            <v>333.92410542478802</v>
          </cell>
        </row>
        <row r="115">
          <cell r="M115">
            <v>334.28574895704821</v>
          </cell>
        </row>
        <row r="116">
          <cell r="M116">
            <v>334.64739248930846</v>
          </cell>
        </row>
        <row r="117">
          <cell r="M117">
            <v>335.0090360215687</v>
          </cell>
        </row>
        <row r="118">
          <cell r="M118">
            <v>335.37067955382895</v>
          </cell>
        </row>
        <row r="119">
          <cell r="M119">
            <v>335.7323230860892</v>
          </cell>
        </row>
        <row r="120">
          <cell r="M120">
            <v>336.09501503351237</v>
          </cell>
        </row>
        <row r="121">
          <cell r="M121">
            <v>336.45873611290068</v>
          </cell>
        </row>
        <row r="122">
          <cell r="M122">
            <v>336.82245719228899</v>
          </cell>
        </row>
        <row r="123">
          <cell r="M123">
            <v>337.18617827167731</v>
          </cell>
        </row>
        <row r="124">
          <cell r="M124">
            <v>337.54989935106562</v>
          </cell>
        </row>
        <row r="125">
          <cell r="M125">
            <v>337.91362043045393</v>
          </cell>
        </row>
        <row r="126">
          <cell r="M126">
            <v>338.27734150984224</v>
          </cell>
        </row>
        <row r="127">
          <cell r="M127">
            <v>338.6410625892305</v>
          </cell>
        </row>
        <row r="128">
          <cell r="M128">
            <v>339.00478366861881</v>
          </cell>
        </row>
        <row r="129">
          <cell r="M129">
            <v>339.36850474800713</v>
          </cell>
        </row>
        <row r="130">
          <cell r="M130">
            <v>339.73222582739544</v>
          </cell>
        </row>
        <row r="131">
          <cell r="M131">
            <v>340.09226704008313</v>
          </cell>
        </row>
        <row r="132">
          <cell r="M132">
            <v>340.45181737147516</v>
          </cell>
        </row>
        <row r="133">
          <cell r="M133">
            <v>340.81136770286724</v>
          </cell>
        </row>
        <row r="134">
          <cell r="M134">
            <v>341.17091803425933</v>
          </cell>
        </row>
        <row r="135">
          <cell r="M135">
            <v>341.53046836565142</v>
          </cell>
        </row>
        <row r="136">
          <cell r="M136">
            <v>341.8900186970435</v>
          </cell>
        </row>
        <row r="137">
          <cell r="M137">
            <v>342.24956902843553</v>
          </cell>
        </row>
        <row r="138">
          <cell r="M138">
            <v>342.60911935982762</v>
          </cell>
        </row>
        <row r="139">
          <cell r="M139">
            <v>342.9686696912197</v>
          </cell>
        </row>
        <row r="140">
          <cell r="M140">
            <v>343.32822002261179</v>
          </cell>
        </row>
        <row r="141">
          <cell r="M141">
            <v>343.68784998566974</v>
          </cell>
        </row>
        <row r="142">
          <cell r="M142">
            <v>344.05151880971039</v>
          </cell>
        </row>
        <row r="143">
          <cell r="M143">
            <v>344.41518763375109</v>
          </cell>
        </row>
        <row r="144">
          <cell r="M144">
            <v>344.77885645779173</v>
          </cell>
        </row>
        <row r="145">
          <cell r="M145">
            <v>345.14252528183238</v>
          </cell>
        </row>
        <row r="146">
          <cell r="M146">
            <v>345.50619410587302</v>
          </cell>
        </row>
        <row r="147">
          <cell r="M147">
            <v>345.86986292991367</v>
          </cell>
        </row>
        <row r="148">
          <cell r="M148">
            <v>346.23353175395437</v>
          </cell>
        </row>
        <row r="149">
          <cell r="M149">
            <v>346.59720057799495</v>
          </cell>
        </row>
        <row r="150">
          <cell r="M150">
            <v>346.96086940203566</v>
          </cell>
        </row>
        <row r="151">
          <cell r="M151">
            <v>347.3245382260763</v>
          </cell>
        </row>
        <row r="152">
          <cell r="M152">
            <v>347.75901898335104</v>
          </cell>
        </row>
        <row r="153">
          <cell r="M153">
            <v>348.30239110598325</v>
          </cell>
        </row>
        <row r="154">
          <cell r="M154">
            <v>348.8457632286154</v>
          </cell>
        </row>
        <row r="155">
          <cell r="M155">
            <v>349.4215240152152</v>
          </cell>
        </row>
        <row r="156">
          <cell r="M156">
            <v>350.0053819678069</v>
          </cell>
        </row>
        <row r="157">
          <cell r="M157">
            <v>350.58923992039854</v>
          </cell>
        </row>
        <row r="158">
          <cell r="M158">
            <v>351.02353692493102</v>
          </cell>
        </row>
        <row r="159">
          <cell r="M159">
            <v>351.4513233520687</v>
          </cell>
        </row>
        <row r="160">
          <cell r="M160">
            <v>351.87910977920643</v>
          </cell>
        </row>
        <row r="161">
          <cell r="M161">
            <v>352.30689620634411</v>
          </cell>
        </row>
        <row r="162">
          <cell r="M162">
            <v>352.73468263348178</v>
          </cell>
        </row>
        <row r="163">
          <cell r="M163">
            <v>353.16246906061951</v>
          </cell>
        </row>
        <row r="164">
          <cell r="M164">
            <v>353.59025548775719</v>
          </cell>
        </row>
        <row r="165">
          <cell r="M165">
            <v>354.01804191489492</v>
          </cell>
        </row>
        <row r="166">
          <cell r="M166">
            <v>354.4458283420326</v>
          </cell>
        </row>
      </sheetData>
      <sheetData sheetId="19">
        <row r="7">
          <cell r="E7">
            <v>364332</v>
          </cell>
          <cell r="F7">
            <v>364332</v>
          </cell>
          <cell r="G7">
            <v>364332</v>
          </cell>
          <cell r="H7">
            <v>364332</v>
          </cell>
          <cell r="I7">
            <v>364332</v>
          </cell>
          <cell r="K7">
            <v>1</v>
          </cell>
          <cell r="L7">
            <v>1</v>
          </cell>
          <cell r="M7">
            <v>1</v>
          </cell>
          <cell r="N7">
            <v>1</v>
          </cell>
          <cell r="O7">
            <v>1</v>
          </cell>
        </row>
        <row r="8">
          <cell r="E8">
            <v>550424</v>
          </cell>
          <cell r="F8">
            <v>554078</v>
          </cell>
          <cell r="G8">
            <v>561911</v>
          </cell>
          <cell r="H8">
            <v>573843</v>
          </cell>
          <cell r="I8">
            <v>581288</v>
          </cell>
          <cell r="K8">
            <v>1</v>
          </cell>
          <cell r="L8">
            <v>1.0066385186692441</v>
          </cell>
          <cell r="M8">
            <v>1.0208693661613593</v>
          </cell>
          <cell r="N8">
            <v>1.0425471999767453</v>
          </cell>
          <cell r="O8">
            <v>1.0560731363457989</v>
          </cell>
        </row>
        <row r="9">
          <cell r="E9">
            <v>804049</v>
          </cell>
          <cell r="F9">
            <v>813733</v>
          </cell>
          <cell r="G9">
            <v>835257</v>
          </cell>
          <cell r="H9">
            <v>868616</v>
          </cell>
          <cell r="I9">
            <v>889322</v>
          </cell>
          <cell r="K9">
            <v>1</v>
          </cell>
          <cell r="L9">
            <v>1.0120440420919621</v>
          </cell>
          <cell r="M9">
            <v>1.0388135548952862</v>
          </cell>
          <cell r="N9">
            <v>1.0803023198834898</v>
          </cell>
          <cell r="O9">
            <v>1.1060544817542215</v>
          </cell>
        </row>
        <row r="10">
          <cell r="E10">
            <v>1142312</v>
          </cell>
          <cell r="F10">
            <v>1161207</v>
          </cell>
          <cell r="G10">
            <v>1204588</v>
          </cell>
          <cell r="H10">
            <v>1272814</v>
          </cell>
          <cell r="I10">
            <v>1314997</v>
          </cell>
          <cell r="K10">
            <v>1</v>
          </cell>
          <cell r="L10">
            <v>1.0165410150641856</v>
          </cell>
          <cell r="M10">
            <v>1.0545175048498134</v>
          </cell>
          <cell r="N10">
            <v>1.1142437442660149</v>
          </cell>
          <cell r="O10">
            <v>1.1511714837977716</v>
          </cell>
        </row>
        <row r="11">
          <cell r="E11">
            <v>1585220</v>
          </cell>
          <cell r="F11">
            <v>1617482</v>
          </cell>
          <cell r="G11">
            <v>1693736</v>
          </cell>
          <cell r="H11">
            <v>1815177</v>
          </cell>
          <cell r="I11">
            <v>1890052</v>
          </cell>
          <cell r="K11">
            <v>1</v>
          </cell>
          <cell r="L11">
            <v>1.0203517492840111</v>
          </cell>
          <cell r="M11">
            <v>1.0684548516925096</v>
          </cell>
          <cell r="N11">
            <v>1.1450631458094145</v>
          </cell>
          <cell r="O11">
            <v>1.1922963374168885</v>
          </cell>
        </row>
        <row r="12">
          <cell r="E12">
            <v>2155983</v>
          </cell>
          <cell r="F12">
            <v>2206927</v>
          </cell>
          <cell r="G12">
            <v>2330533</v>
          </cell>
          <cell r="H12">
            <v>2529553</v>
          </cell>
          <cell r="I12">
            <v>2652013</v>
          </cell>
          <cell r="K12">
            <v>1</v>
          </cell>
          <cell r="L12">
            <v>1.0236291288011083</v>
          </cell>
          <cell r="M12">
            <v>1.0809607496905125</v>
          </cell>
          <cell r="N12">
            <v>1.1732713105808348</v>
          </cell>
          <cell r="O12">
            <v>1.2300713873903459</v>
          </cell>
        </row>
        <row r="13">
          <cell r="E13">
            <v>2881330</v>
          </cell>
          <cell r="F13">
            <v>2957634</v>
          </cell>
          <cell r="G13">
            <v>3147228</v>
          </cell>
          <cell r="H13">
            <v>3455444</v>
          </cell>
          <cell r="I13">
            <v>3644830</v>
          </cell>
          <cell r="K13">
            <v>1</v>
          </cell>
          <cell r="L13">
            <v>1.0264822148105215</v>
          </cell>
          <cell r="M13">
            <v>1.092283077606522</v>
          </cell>
          <cell r="N13">
            <v>1.1992531226898688</v>
          </cell>
          <cell r="O13">
            <v>1.2649817966008754</v>
          </cell>
        </row>
        <row r="14">
          <cell r="E14">
            <v>3791833</v>
          </cell>
          <cell r="F14">
            <v>3901766</v>
          </cell>
          <cell r="G14">
            <v>4180909</v>
          </cell>
          <cell r="H14">
            <v>4638592</v>
          </cell>
          <cell r="I14">
            <v>4919562</v>
          </cell>
          <cell r="K14">
            <v>1</v>
          </cell>
          <cell r="L14">
            <v>1.0289920468543841</v>
          </cell>
          <cell r="M14">
            <v>1.1026089492865323</v>
          </cell>
          <cell r="N14">
            <v>1.2233112586973107</v>
          </cell>
          <cell r="O14">
            <v>1.2974099861465418</v>
          </cell>
        </row>
        <row r="15">
          <cell r="E15">
            <v>4922250</v>
          </cell>
          <cell r="F15">
            <v>5075922</v>
          </cell>
          <cell r="G15">
            <v>5473964</v>
          </cell>
          <cell r="H15">
            <v>6131583</v>
          </cell>
          <cell r="I15">
            <v>6535078</v>
          </cell>
          <cell r="K15">
            <v>1</v>
          </cell>
          <cell r="L15">
            <v>1.0312198689623648</v>
          </cell>
          <cell r="M15">
            <v>1.1120857331504901</v>
          </cell>
          <cell r="N15">
            <v>1.2456870333688861</v>
          </cell>
          <cell r="O15">
            <v>1.3276607242622784</v>
          </cell>
        </row>
        <row r="16">
          <cell r="E16">
            <v>6344749</v>
          </cell>
          <cell r="F16">
            <v>6521516</v>
          </cell>
          <cell r="G16">
            <v>7074538</v>
          </cell>
          <cell r="H16">
            <v>7994486</v>
          </cell>
          <cell r="I16">
            <v>8558804</v>
          </cell>
          <cell r="K16">
            <v>1</v>
          </cell>
          <cell r="L16">
            <v>1.0278603613791499</v>
          </cell>
          <cell r="M16">
            <v>1.1150225170451975</v>
          </cell>
          <cell r="N16">
            <v>1.2600161172648436</v>
          </cell>
          <cell r="O16">
            <v>1.3489586428084075</v>
          </cell>
        </row>
        <row r="17">
          <cell r="E17">
            <v>8049982</v>
          </cell>
          <cell r="F17">
            <v>8285173</v>
          </cell>
          <cell r="G17">
            <v>9037033</v>
          </cell>
          <cell r="H17">
            <v>10295518</v>
          </cell>
          <cell r="I17">
            <v>11067497</v>
          </cell>
          <cell r="K17">
            <v>1</v>
          </cell>
          <cell r="L17">
            <v>1.0292163386203845</v>
          </cell>
          <cell r="M17">
            <v>1.1226153052267696</v>
          </cell>
          <cell r="N17">
            <v>1.2789491951659022</v>
          </cell>
          <cell r="O17">
            <v>1.3748474220190803</v>
          </cell>
        </row>
        <row r="18">
          <cell r="E18">
            <v>9192201</v>
          </cell>
          <cell r="F18">
            <v>9523790</v>
          </cell>
          <cell r="G18">
            <v>10359883</v>
          </cell>
          <cell r="H18">
            <v>11801971</v>
          </cell>
          <cell r="I18">
            <v>12747792</v>
          </cell>
          <cell r="K18">
            <v>1</v>
          </cell>
          <cell r="L18">
            <v>1.0360728622013378</v>
          </cell>
          <cell r="M18">
            <v>1.1270296417582688</v>
          </cell>
          <cell r="N18">
            <v>1.2839113287448785</v>
          </cell>
          <cell r="O18">
            <v>1.3868051840902957</v>
          </cell>
        </row>
        <row r="19">
          <cell r="E19">
            <v>10472035</v>
          </cell>
          <cell r="F19">
            <v>10848738</v>
          </cell>
          <cell r="G19">
            <v>11910935</v>
          </cell>
          <cell r="H19">
            <v>13421016</v>
          </cell>
          <cell r="I19">
            <v>14593213</v>
          </cell>
          <cell r="K19">
            <v>1</v>
          </cell>
          <cell r="L19">
            <v>1.0359722823691861</v>
          </cell>
          <cell r="M19">
            <v>1.1374040480193199</v>
          </cell>
          <cell r="N19">
            <v>1.2816053422281342</v>
          </cell>
          <cell r="O19">
            <v>1.3935412744514319</v>
          </cell>
        </row>
        <row r="20">
          <cell r="E20">
            <v>11864989</v>
          </cell>
          <cell r="F20">
            <v>12292687</v>
          </cell>
          <cell r="G20">
            <v>13447246</v>
          </cell>
          <cell r="H20">
            <v>15127276</v>
          </cell>
          <cell r="I20">
            <v>16473645</v>
          </cell>
          <cell r="K20">
            <v>1</v>
          </cell>
          <cell r="L20">
            <v>1.036047062496223</v>
          </cell>
          <cell r="M20">
            <v>1.1333551173119503</v>
          </cell>
          <cell r="N20">
            <v>1.2749506973837059</v>
          </cell>
          <cell r="O20">
            <v>1.3884248017423362</v>
          </cell>
        </row>
        <row r="21">
          <cell r="E21">
            <v>13383032</v>
          </cell>
          <cell r="F21">
            <v>13849051</v>
          </cell>
          <cell r="G21">
            <v>15176447</v>
          </cell>
          <cell r="H21">
            <v>16987863</v>
          </cell>
          <cell r="I21">
            <v>18924865</v>
          </cell>
          <cell r="K21">
            <v>1</v>
          </cell>
          <cell r="L21">
            <v>1.0348216308531579</v>
          </cell>
          <cell r="M21">
            <v>1.1340066286922126</v>
          </cell>
          <cell r="N21">
            <v>1.2693583188024955</v>
          </cell>
          <cell r="O21">
            <v>1.4140939810948669</v>
          </cell>
        </row>
        <row r="22">
          <cell r="E22">
            <v>15032770</v>
          </cell>
          <cell r="F22">
            <v>15553557</v>
          </cell>
          <cell r="G22">
            <v>17037986</v>
          </cell>
          <cell r="H22">
            <v>19445376</v>
          </cell>
          <cell r="I22">
            <v>21461151</v>
          </cell>
          <cell r="K22">
            <v>1</v>
          </cell>
          <cell r="L22">
            <v>1.0346434489452043</v>
          </cell>
          <cell r="M22">
            <v>1.1333896547342905</v>
          </cell>
          <cell r="N22">
            <v>1.2935324627463867</v>
          </cell>
          <cell r="O22">
            <v>1.4276245163067085</v>
          </cell>
        </row>
        <row r="23">
          <cell r="E23">
            <v>16821708</v>
          </cell>
          <cell r="F23">
            <v>17384974</v>
          </cell>
          <cell r="G23">
            <v>19342295</v>
          </cell>
          <cell r="H23">
            <v>21760942</v>
          </cell>
          <cell r="I23">
            <v>24051610</v>
          </cell>
          <cell r="K23">
            <v>1</v>
          </cell>
          <cell r="L23">
            <v>1.033484471374726</v>
          </cell>
          <cell r="M23">
            <v>1.1498413240795762</v>
          </cell>
          <cell r="N23">
            <v>1.2936226214365389</v>
          </cell>
          <cell r="O23">
            <v>1.4297959517547207</v>
          </cell>
        </row>
        <row r="24">
          <cell r="E24">
            <v>18796301</v>
          </cell>
          <cell r="F24">
            <v>19710486</v>
          </cell>
          <cell r="G24">
            <v>21731275</v>
          </cell>
          <cell r="H24">
            <v>24390961</v>
          </cell>
          <cell r="I24">
            <v>27040425</v>
          </cell>
          <cell r="K24">
            <v>1</v>
          </cell>
          <cell r="L24">
            <v>1.0486364311786665</v>
          </cell>
          <cell r="M24">
            <v>1.15614636092495</v>
          </cell>
          <cell r="N24">
            <v>1.2976468614755636</v>
          </cell>
          <cell r="O24">
            <v>1.4386035316203971</v>
          </cell>
        </row>
        <row r="25">
          <cell r="E25">
            <v>21244938</v>
          </cell>
          <cell r="F25">
            <v>22006915</v>
          </cell>
          <cell r="G25">
            <v>24327526</v>
          </cell>
          <cell r="H25">
            <v>27215971</v>
          </cell>
          <cell r="I25">
            <v>30248809</v>
          </cell>
          <cell r="K25">
            <v>1</v>
          </cell>
          <cell r="L25">
            <v>1.0358662849475013</v>
          </cell>
          <cell r="M25">
            <v>1.1450975286442351</v>
          </cell>
          <cell r="N25">
            <v>1.281056739257135</v>
          </cell>
          <cell r="O25">
            <v>1.4238125336021221</v>
          </cell>
        </row>
        <row r="26">
          <cell r="E26">
            <v>23730469</v>
          </cell>
          <cell r="F26">
            <v>24488811</v>
          </cell>
          <cell r="G26">
            <v>27147427</v>
          </cell>
          <cell r="H26">
            <v>30374359</v>
          </cell>
          <cell r="I26">
            <v>33702682</v>
          </cell>
          <cell r="K26">
            <v>1</v>
          </cell>
          <cell r="L26">
            <v>1.0319564691283598</v>
          </cell>
          <cell r="M26">
            <v>1.1439903273719538</v>
          </cell>
          <cell r="N26">
            <v>1.2799729748282682</v>
          </cell>
          <cell r="O26">
            <v>1.4202282306346325</v>
          </cell>
        </row>
        <row r="27">
          <cell r="E27">
            <v>26396757</v>
          </cell>
          <cell r="F27">
            <v>27306722</v>
          </cell>
          <cell r="G27">
            <v>30414382</v>
          </cell>
          <cell r="H27">
            <v>34083047</v>
          </cell>
          <cell r="I27">
            <v>37739842</v>
          </cell>
          <cell r="K27">
            <v>1</v>
          </cell>
          <cell r="L27">
            <v>1.0344726058583635</v>
          </cell>
          <cell r="M27">
            <v>1.1522014617174374</v>
          </cell>
          <cell r="N27">
            <v>1.2911831176837367</v>
          </cell>
          <cell r="O27">
            <v>1.4297150971992507</v>
          </cell>
        </row>
        <row r="28">
          <cell r="E28">
            <v>29350505</v>
          </cell>
          <cell r="F28">
            <v>30389914</v>
          </cell>
          <cell r="G28">
            <v>33933206</v>
          </cell>
          <cell r="H28">
            <v>38057302</v>
          </cell>
          <cell r="I28">
            <v>42447565</v>
          </cell>
          <cell r="K28">
            <v>1</v>
          </cell>
          <cell r="L28">
            <v>1.0354136666473031</v>
          </cell>
          <cell r="M28">
            <v>1.1561370409129246</v>
          </cell>
          <cell r="N28">
            <v>1.2966489673687045</v>
          </cell>
          <cell r="O28">
            <v>1.4462294601063934</v>
          </cell>
        </row>
        <row r="29">
          <cell r="E29">
            <v>32528833</v>
          </cell>
          <cell r="F29">
            <v>33752352</v>
          </cell>
          <cell r="G29">
            <v>37608312</v>
          </cell>
          <cell r="H29">
            <v>42396427</v>
          </cell>
          <cell r="I29">
            <v>47153464</v>
          </cell>
          <cell r="K29">
            <v>1</v>
          </cell>
          <cell r="L29">
            <v>1.0376133690378626</v>
          </cell>
          <cell r="M29">
            <v>1.1561531272886427</v>
          </cell>
          <cell r="N29">
            <v>1.3033491548866816</v>
          </cell>
          <cell r="O29">
            <v>1.4495897839310743</v>
          </cell>
        </row>
        <row r="30">
          <cell r="E30">
            <v>35918041</v>
          </cell>
          <cell r="F30">
            <v>37299955</v>
          </cell>
          <cell r="G30">
            <v>41720211</v>
          </cell>
          <cell r="H30">
            <v>47124381</v>
          </cell>
          <cell r="I30">
            <v>52496282</v>
          </cell>
          <cell r="K30">
            <v>1</v>
          </cell>
          <cell r="L30">
            <v>1.0384740916131812</v>
          </cell>
          <cell r="M30">
            <v>1.1615391552117222</v>
          </cell>
          <cell r="N30">
            <v>1.3119975279275393</v>
          </cell>
          <cell r="O30">
            <v>1.4615574941851646</v>
          </cell>
        </row>
        <row r="31">
          <cell r="E31">
            <v>39499431</v>
          </cell>
          <cell r="F31">
            <v>41103738</v>
          </cell>
          <cell r="G31">
            <v>46115503</v>
          </cell>
          <cell r="H31">
            <v>52343379</v>
          </cell>
          <cell r="I31">
            <v>58111920</v>
          </cell>
          <cell r="K31">
            <v>1</v>
          </cell>
          <cell r="L31">
            <v>1.0406159521639691</v>
          </cell>
          <cell r="M31">
            <v>1.1674979064888302</v>
          </cell>
          <cell r="N31">
            <v>1.3251679245708627</v>
          </cell>
          <cell r="O31">
            <v>1.4712090409606153</v>
          </cell>
        </row>
        <row r="32">
          <cell r="E32">
            <v>43384921</v>
          </cell>
          <cell r="F32">
            <v>45198649</v>
          </cell>
          <cell r="G32">
            <v>50916193</v>
          </cell>
          <cell r="H32">
            <v>57837619</v>
          </cell>
          <cell r="I32">
            <v>64336885</v>
          </cell>
          <cell r="K32">
            <v>1</v>
          </cell>
          <cell r="L32">
            <v>1.0418054927425131</v>
          </cell>
          <cell r="M32">
            <v>1.1735919260980099</v>
          </cell>
          <cell r="N32">
            <v>1.3331272171729898</v>
          </cell>
          <cell r="O32">
            <v>1.4829319384954049</v>
          </cell>
        </row>
        <row r="33">
          <cell r="E33">
            <v>47557856</v>
          </cell>
          <cell r="F33">
            <v>49637599</v>
          </cell>
          <cell r="G33">
            <v>56058759</v>
          </cell>
          <cell r="H33">
            <v>63902938</v>
          </cell>
          <cell r="I33">
            <v>71004485</v>
          </cell>
          <cell r="K33">
            <v>1</v>
          </cell>
          <cell r="L33">
            <v>1.04373079812513</v>
          </cell>
          <cell r="M33">
            <v>1.1787486593171903</v>
          </cell>
          <cell r="N33">
            <v>1.3436883698037188</v>
          </cell>
          <cell r="O33">
            <v>1.4930127422060406</v>
          </cell>
        </row>
        <row r="34">
          <cell r="E34">
            <v>52064687</v>
          </cell>
          <cell r="F34">
            <v>54464717</v>
          </cell>
          <cell r="G34">
            <v>61654555</v>
          </cell>
          <cell r="H34">
            <v>70675321</v>
          </cell>
          <cell r="I34">
            <v>78677278</v>
          </cell>
          <cell r="K34">
            <v>1</v>
          </cell>
          <cell r="L34">
            <v>1.0460970791968844</v>
          </cell>
          <cell r="M34">
            <v>1.1841914078922628</v>
          </cell>
          <cell r="N34">
            <v>1.3574521440991281</v>
          </cell>
          <cell r="O34">
            <v>1.5111447419245985</v>
          </cell>
        </row>
        <row r="35">
          <cell r="E35">
            <v>57182182</v>
          </cell>
          <cell r="F35">
            <v>59867734</v>
          </cell>
          <cell r="G35">
            <v>68015671</v>
          </cell>
          <cell r="H35">
            <v>78347935</v>
          </cell>
          <cell r="I35">
            <v>86987600</v>
          </cell>
          <cell r="K35">
            <v>1</v>
          </cell>
          <cell r="L35">
            <v>1.0469648395019273</v>
          </cell>
          <cell r="M35">
            <v>1.1894556769449616</v>
          </cell>
          <cell r="N35">
            <v>1.3701459486103555</v>
          </cell>
          <cell r="O35">
            <v>1.5212361081289274</v>
          </cell>
        </row>
        <row r="36">
          <cell r="E36">
            <v>62584983</v>
          </cell>
          <cell r="F36">
            <v>65656761</v>
          </cell>
          <cell r="G36">
            <v>74779588</v>
          </cell>
          <cell r="H36">
            <v>86493505</v>
          </cell>
          <cell r="I36">
            <v>96013412</v>
          </cell>
          <cell r="K36">
            <v>1</v>
          </cell>
          <cell r="L36">
            <v>1.0490817102243202</v>
          </cell>
          <cell r="M36">
            <v>1.1948487387142057</v>
          </cell>
          <cell r="N36">
            <v>1.3820169129070468</v>
          </cell>
          <cell r="O36">
            <v>1.534128594394601</v>
          </cell>
        </row>
        <row r="37">
          <cell r="E37">
            <v>68949482</v>
          </cell>
          <cell r="F37">
            <v>72347762</v>
          </cell>
          <cell r="G37">
            <v>82691520</v>
          </cell>
          <cell r="H37">
            <v>96006427</v>
          </cell>
          <cell r="I37">
            <v>106301106</v>
          </cell>
          <cell r="K37">
            <v>1</v>
          </cell>
          <cell r="L37">
            <v>1.0492865196579721</v>
          </cell>
          <cell r="M37">
            <v>1.1993058918122113</v>
          </cell>
          <cell r="N37">
            <v>1.3924169437560097</v>
          </cell>
          <cell r="O37">
            <v>1.5417245049063604</v>
          </cell>
        </row>
        <row r="38">
          <cell r="E38">
            <v>75758794</v>
          </cell>
          <cell r="F38">
            <v>79694516</v>
          </cell>
          <cell r="G38">
            <v>91221771</v>
          </cell>
          <cell r="H38">
            <v>106353994</v>
          </cell>
          <cell r="I38">
            <v>117660270</v>
          </cell>
          <cell r="K38">
            <v>1</v>
          </cell>
          <cell r="L38">
            <v>1.051950694991264</v>
          </cell>
          <cell r="M38">
            <v>1.2041080141798455</v>
          </cell>
          <cell r="N38">
            <v>1.403850145766576</v>
          </cell>
          <cell r="O38">
            <v>1.5530905890608555</v>
          </cell>
        </row>
        <row r="39">
          <cell r="E39">
            <v>83278541</v>
          </cell>
          <cell r="F39">
            <v>87503827</v>
          </cell>
          <cell r="G39">
            <v>100520846</v>
          </cell>
          <cell r="H39">
            <v>117594449</v>
          </cell>
          <cell r="I39">
            <v>129781870</v>
          </cell>
          <cell r="K39">
            <v>1</v>
          </cell>
          <cell r="L39">
            <v>1.0507367918465333</v>
          </cell>
          <cell r="M39">
            <v>1.2070437929502151</v>
          </cell>
          <cell r="N39">
            <v>1.4120618299496865</v>
          </cell>
          <cell r="O39">
            <v>1.5584071051388857</v>
          </cell>
        </row>
        <row r="40">
          <cell r="E40">
            <v>91319537</v>
          </cell>
          <cell r="F40">
            <v>96183528</v>
          </cell>
          <cell r="G40">
            <v>110592511</v>
          </cell>
          <cell r="H40">
            <v>129977757</v>
          </cell>
          <cell r="I40">
            <v>143224796</v>
          </cell>
          <cell r="K40">
            <v>1</v>
          </cell>
          <cell r="L40">
            <v>1.0532634216049519</v>
          </cell>
          <cell r="M40">
            <v>1.2110498435838544</v>
          </cell>
          <cell r="N40">
            <v>1.4233291283550857</v>
          </cell>
          <cell r="O40">
            <v>1.5683916137244542</v>
          </cell>
        </row>
        <row r="41">
          <cell r="E41">
            <v>100237312</v>
          </cell>
          <cell r="F41">
            <v>105532027</v>
          </cell>
          <cell r="G41">
            <v>121785691</v>
          </cell>
          <cell r="H41">
            <v>143395917</v>
          </cell>
          <cell r="I41">
            <v>157474459</v>
          </cell>
          <cell r="K41">
            <v>1</v>
          </cell>
          <cell r="L41">
            <v>1.0528217975358318</v>
          </cell>
          <cell r="M41">
            <v>1.2149736317749622</v>
          </cell>
          <cell r="N41">
            <v>1.4305642693211884</v>
          </cell>
          <cell r="O41">
            <v>1.5710163796092218</v>
          </cell>
        </row>
        <row r="42">
          <cell r="E42">
            <v>109845418</v>
          </cell>
          <cell r="F42">
            <v>115848128</v>
          </cell>
          <cell r="G42">
            <v>133613329</v>
          </cell>
          <cell r="H42">
            <v>157964374</v>
          </cell>
          <cell r="I42">
            <v>172620795</v>
          </cell>
          <cell r="K42">
            <v>1</v>
          </cell>
          <cell r="L42">
            <v>1.0546468856807483</v>
          </cell>
          <cell r="M42">
            <v>1.2163759893926573</v>
          </cell>
          <cell r="N42">
            <v>1.4380606572046546</v>
          </cell>
          <cell r="O42">
            <v>1.5714883528414449</v>
          </cell>
        </row>
        <row r="43">
          <cell r="E43">
            <v>120260103</v>
          </cell>
          <cell r="F43">
            <v>126801809</v>
          </cell>
          <cell r="G43">
            <v>146543489</v>
          </cell>
          <cell r="H43">
            <v>173289033</v>
          </cell>
          <cell r="I43">
            <v>189465777</v>
          </cell>
          <cell r="K43">
            <v>1</v>
          </cell>
          <cell r="L43">
            <v>1.0543963113020118</v>
          </cell>
          <cell r="M43">
            <v>1.2185544943363302</v>
          </cell>
          <cell r="N43">
            <v>1.4409519755691544</v>
          </cell>
          <cell r="O43">
            <v>1.5754666117324048</v>
          </cell>
        </row>
        <row r="44">
          <cell r="E44">
            <v>131362659</v>
          </cell>
          <cell r="F44">
            <v>138622067</v>
          </cell>
          <cell r="G44">
            <v>160217436</v>
          </cell>
          <cell r="H44">
            <v>190145908</v>
          </cell>
          <cell r="I44">
            <v>207805272</v>
          </cell>
          <cell r="K44">
            <v>1</v>
          </cell>
          <cell r="L44">
            <v>1.0552623405712274</v>
          </cell>
          <cell r="M44">
            <v>1.2196573761497931</v>
          </cell>
          <cell r="N44">
            <v>1.447488269859093</v>
          </cell>
          <cell r="O44">
            <v>1.5819204146895351</v>
          </cell>
        </row>
        <row r="45">
          <cell r="E45">
            <v>143332113</v>
          </cell>
          <cell r="F45">
            <v>151253065</v>
          </cell>
          <cell r="G45">
            <v>175089203</v>
          </cell>
          <cell r="H45">
            <v>208691690</v>
          </cell>
          <cell r="I45">
            <v>227920441</v>
          </cell>
          <cell r="K45">
            <v>1</v>
          </cell>
          <cell r="L45">
            <v>1.0552629263199378</v>
          </cell>
          <cell r="M45">
            <v>1.2215629794001572</v>
          </cell>
          <cell r="N45">
            <v>1.4560009312079283</v>
          </cell>
          <cell r="O45">
            <v>1.5901561501434085</v>
          </cell>
        </row>
        <row r="46">
          <cell r="E46">
            <v>156288740</v>
          </cell>
          <cell r="F46">
            <v>164911674</v>
          </cell>
          <cell r="G46">
            <v>191726452</v>
          </cell>
          <cell r="H46">
            <v>228807208</v>
          </cell>
          <cell r="I46">
            <v>249720924</v>
          </cell>
          <cell r="K46">
            <v>1</v>
          </cell>
          <cell r="L46">
            <v>1.0551730982027241</v>
          </cell>
          <cell r="M46">
            <v>1.2267451385173365</v>
          </cell>
          <cell r="N46">
            <v>1.4640031521144774</v>
          </cell>
          <cell r="O46">
            <v>1.5978177570565864</v>
          </cell>
        </row>
        <row r="47">
          <cell r="E47">
            <v>168902154</v>
          </cell>
          <cell r="F47">
            <v>178639333</v>
          </cell>
          <cell r="G47">
            <v>208628622</v>
          </cell>
          <cell r="H47">
            <v>248290611</v>
          </cell>
          <cell r="I47">
            <v>272171622</v>
          </cell>
          <cell r="K47">
            <v>1</v>
          </cell>
          <cell r="L47">
            <v>1.0576498213279151</v>
          </cell>
          <cell r="M47">
            <v>1.2352040341652482</v>
          </cell>
          <cell r="N47">
            <v>1.470026314762096</v>
          </cell>
          <cell r="O47">
            <v>1.6114159325641282</v>
          </cell>
        </row>
        <row r="48">
          <cell r="E48">
            <v>182691122</v>
          </cell>
          <cell r="F48">
            <v>193670753</v>
          </cell>
          <cell r="G48">
            <v>226894251</v>
          </cell>
          <cell r="H48">
            <v>269978286</v>
          </cell>
          <cell r="I48">
            <v>295933273</v>
          </cell>
          <cell r="K48">
            <v>1</v>
          </cell>
          <cell r="L48">
            <v>1.0600994228936862</v>
          </cell>
          <cell r="M48">
            <v>1.2419555395800788</v>
          </cell>
          <cell r="N48">
            <v>1.4777854722464292</v>
          </cell>
          <cell r="O48">
            <v>1.6198557968241063</v>
          </cell>
        </row>
        <row r="49">
          <cell r="E49">
            <v>197643269</v>
          </cell>
          <cell r="F49">
            <v>209871656</v>
          </cell>
          <cell r="G49">
            <v>246272361</v>
          </cell>
          <cell r="H49">
            <v>293223582</v>
          </cell>
          <cell r="I49">
            <v>321939510</v>
          </cell>
          <cell r="K49">
            <v>1</v>
          </cell>
          <cell r="L49">
            <v>1.061871001536612</v>
          </cell>
          <cell r="M49">
            <v>1.2460447666446965</v>
          </cell>
          <cell r="N49">
            <v>1.4836001422340368</v>
          </cell>
          <cell r="O49">
            <v>1.6288918495878553</v>
          </cell>
        </row>
        <row r="50">
          <cell r="E50">
            <v>213980041</v>
          </cell>
          <cell r="F50">
            <v>227100260</v>
          </cell>
          <cell r="G50">
            <v>267609752</v>
          </cell>
          <cell r="H50">
            <v>318981489</v>
          </cell>
          <cell r="I50">
            <v>349716832</v>
          </cell>
          <cell r="K50">
            <v>1</v>
          </cell>
          <cell r="L50">
            <v>1.0613151532202949</v>
          </cell>
          <cell r="M50">
            <v>1.2506295014683169</v>
          </cell>
          <cell r="N50">
            <v>1.4907067383915493</v>
          </cell>
          <cell r="O50">
            <v>1.6343432329747054</v>
          </cell>
        </row>
        <row r="51">
          <cell r="E51">
            <v>231467261</v>
          </cell>
          <cell r="F51">
            <v>246168191</v>
          </cell>
          <cell r="G51">
            <v>289961179</v>
          </cell>
          <cell r="H51">
            <v>346915969</v>
          </cell>
          <cell r="I51">
            <v>379699335</v>
          </cell>
          <cell r="K51">
            <v>1</v>
          </cell>
          <cell r="L51">
            <v>1.0635119192947118</v>
          </cell>
          <cell r="M51">
            <v>1.2527092503159658</v>
          </cell>
          <cell r="N51">
            <v>1.4987690591802527</v>
          </cell>
          <cell r="O51">
            <v>1.6404019011569848</v>
          </cell>
        </row>
        <row r="52">
          <cell r="E52">
            <v>250823733</v>
          </cell>
          <cell r="F52">
            <v>266835450</v>
          </cell>
          <cell r="G52">
            <v>314651204</v>
          </cell>
          <cell r="H52">
            <v>376467918</v>
          </cell>
          <cell r="I52">
            <v>411450595</v>
          </cell>
          <cell r="K52">
            <v>1</v>
          </cell>
          <cell r="L52">
            <v>1.0638365309713336</v>
          </cell>
          <cell r="M52">
            <v>1.2544714179818064</v>
          </cell>
          <cell r="N52">
            <v>1.5009262221609627</v>
          </cell>
          <cell r="O52">
            <v>1.6403973821727627</v>
          </cell>
        </row>
        <row r="53">
          <cell r="E53">
            <v>271845298</v>
          </cell>
          <cell r="F53">
            <v>289306159</v>
          </cell>
          <cell r="G53">
            <v>341017994</v>
          </cell>
          <cell r="H53">
            <v>408499394</v>
          </cell>
          <cell r="I53">
            <v>445659025</v>
          </cell>
          <cell r="K53">
            <v>1</v>
          </cell>
          <cell r="L53">
            <v>1.0642308736934638</v>
          </cell>
          <cell r="M53">
            <v>1.2544561061343058</v>
          </cell>
          <cell r="N53">
            <v>1.5026906737228172</v>
          </cell>
          <cell r="O53">
            <v>1.6393847099021739</v>
          </cell>
        </row>
        <row r="54">
          <cell r="E54">
            <v>294867386</v>
          </cell>
          <cell r="F54">
            <v>313891292</v>
          </cell>
          <cell r="G54">
            <v>369544485</v>
          </cell>
          <cell r="H54">
            <v>442213310</v>
          </cell>
          <cell r="I54">
            <v>482534350</v>
          </cell>
          <cell r="K54">
            <v>1</v>
          </cell>
          <cell r="L54">
            <v>1.0645168197747037</v>
          </cell>
          <cell r="M54">
            <v>1.2532565571697374</v>
          </cell>
          <cell r="N54">
            <v>1.4997023441581974</v>
          </cell>
          <cell r="O54">
            <v>1.6364453069760656</v>
          </cell>
        </row>
        <row r="55">
          <cell r="E55">
            <v>320049810</v>
          </cell>
          <cell r="F55">
            <v>340425336</v>
          </cell>
          <cell r="G55">
            <v>399922616</v>
          </cell>
          <cell r="H55">
            <v>477950491</v>
          </cell>
          <cell r="I55">
            <v>520543743</v>
          </cell>
          <cell r="K55">
            <v>1</v>
          </cell>
          <cell r="L55">
            <v>1.0636636091113443</v>
          </cell>
          <cell r="M55">
            <v>1.2495636726045862</v>
          </cell>
          <cell r="N55">
            <v>1.4933628331165076</v>
          </cell>
          <cell r="O55">
            <v>1.626446030385083</v>
          </cell>
        </row>
        <row r="56">
          <cell r="E56">
            <v>347482249</v>
          </cell>
          <cell r="F56">
            <v>369426826</v>
          </cell>
          <cell r="G56">
            <v>431442583</v>
          </cell>
          <cell r="H56">
            <v>513726852</v>
          </cell>
          <cell r="I56">
            <v>560773684</v>
          </cell>
          <cell r="K56">
            <v>1</v>
          </cell>
          <cell r="L56">
            <v>1.0631530878574462</v>
          </cell>
          <cell r="M56">
            <v>1.2416248146247033</v>
          </cell>
          <cell r="N56">
            <v>1.4784261742245142</v>
          </cell>
          <cell r="O56">
            <v>1.6138196573028396</v>
          </cell>
        </row>
        <row r="57">
          <cell r="E57">
            <v>386606646</v>
          </cell>
          <cell r="F57">
            <v>409537765</v>
          </cell>
          <cell r="G57">
            <v>478956447</v>
          </cell>
          <cell r="H57">
            <v>580257754</v>
          </cell>
          <cell r="I57">
            <v>643165647</v>
          </cell>
          <cell r="K57">
            <v>1</v>
          </cell>
          <cell r="L57">
            <v>1.0593138251430887</v>
          </cell>
          <cell r="M57">
            <v>1.2388727714732561</v>
          </cell>
          <cell r="N57">
            <v>1.5008995836041576</v>
          </cell>
          <cell r="O57">
            <v>1.6636176683832797</v>
          </cell>
        </row>
        <row r="58">
          <cell r="E58">
            <v>429199783</v>
          </cell>
          <cell r="F58">
            <v>454430296</v>
          </cell>
          <cell r="G58">
            <v>530948038</v>
          </cell>
          <cell r="H58">
            <v>654582391</v>
          </cell>
          <cell r="I58">
            <v>735980442</v>
          </cell>
          <cell r="K58">
            <v>1</v>
          </cell>
          <cell r="L58">
            <v>1.0587850087519732</v>
          </cell>
          <cell r="M58">
            <v>1.2370650196717363</v>
          </cell>
          <cell r="N58">
            <v>1.5251228377252</v>
          </cell>
          <cell r="O58">
            <v>1.7147735650183216</v>
          </cell>
        </row>
        <row r="59">
          <cell r="E59">
            <v>476257143</v>
          </cell>
          <cell r="F59">
            <v>503043965</v>
          </cell>
          <cell r="G59">
            <v>588518427</v>
          </cell>
          <cell r="H59">
            <v>736353337</v>
          </cell>
          <cell r="I59">
            <v>840238566</v>
          </cell>
          <cell r="K59">
            <v>1</v>
          </cell>
          <cell r="L59">
            <v>1.0562444519598524</v>
          </cell>
          <cell r="M59">
            <v>1.2357156961318267</v>
          </cell>
          <cell r="N59">
            <v>1.5461255496592101</v>
          </cell>
          <cell r="O59">
            <v>1.7642539925117722</v>
          </cell>
        </row>
        <row r="60">
          <cell r="E60">
            <v>526504808</v>
          </cell>
          <cell r="F60">
            <v>555546275</v>
          </cell>
          <cell r="G60">
            <v>651091601</v>
          </cell>
          <cell r="H60">
            <v>828700374</v>
          </cell>
          <cell r="I60">
            <v>957359067</v>
          </cell>
          <cell r="K60">
            <v>1</v>
          </cell>
          <cell r="L60">
            <v>1.055158977769487</v>
          </cell>
          <cell r="M60">
            <v>1.2366299245647154</v>
          </cell>
          <cell r="N60">
            <v>1.5739654442054023</v>
          </cell>
          <cell r="O60">
            <v>1.818329201278633</v>
          </cell>
        </row>
        <row r="61">
          <cell r="E61">
            <v>580245049</v>
          </cell>
          <cell r="F61">
            <v>611574356</v>
          </cell>
          <cell r="G61">
            <v>720137701</v>
          </cell>
          <cell r="H61">
            <v>928995441</v>
          </cell>
          <cell r="I61">
            <v>1088279749</v>
          </cell>
          <cell r="K61">
            <v>1</v>
          </cell>
          <cell r="L61">
            <v>1.0539932345032383</v>
          </cell>
          <cell r="M61">
            <v>1.2410923664770468</v>
          </cell>
          <cell r="N61">
            <v>1.601039841013792</v>
          </cell>
          <cell r="O61">
            <v>1.8755519773508658</v>
          </cell>
        </row>
        <row r="62">
          <cell r="E62">
            <v>638455220</v>
          </cell>
          <cell r="F62">
            <v>672420164</v>
          </cell>
          <cell r="G62">
            <v>795004623</v>
          </cell>
          <cell r="H62">
            <v>1040561404</v>
          </cell>
          <cell r="I62">
            <v>1233965524</v>
          </cell>
          <cell r="K62">
            <v>1</v>
          </cell>
          <cell r="L62">
            <v>1.0531986315344088</v>
          </cell>
          <cell r="M62">
            <v>1.2452002867170544</v>
          </cell>
          <cell r="N62">
            <v>1.6298110993594821</v>
          </cell>
          <cell r="O62">
            <v>1.9327362128858465</v>
          </cell>
        </row>
        <row r="63">
          <cell r="E63">
            <v>700940580</v>
          </cell>
          <cell r="F63">
            <v>739049508</v>
          </cell>
          <cell r="G63">
            <v>876946980</v>
          </cell>
          <cell r="H63">
            <v>1163954925</v>
          </cell>
          <cell r="I63">
            <v>1396755885</v>
          </cell>
          <cell r="K63">
            <v>1</v>
          </cell>
          <cell r="L63">
            <v>1.0543682718440983</v>
          </cell>
          <cell r="M63">
            <v>1.2511003143804287</v>
          </cell>
          <cell r="N63">
            <v>1.6605614772653055</v>
          </cell>
          <cell r="O63">
            <v>1.9926880035965389</v>
          </cell>
        </row>
        <row r="64">
          <cell r="E64">
            <v>769206172</v>
          </cell>
          <cell r="F64">
            <v>810100821</v>
          </cell>
          <cell r="G64">
            <v>967208472</v>
          </cell>
          <cell r="H64">
            <v>1301158253</v>
          </cell>
          <cell r="I64">
            <v>1574539547</v>
          </cell>
          <cell r="K64">
            <v>1</v>
          </cell>
          <cell r="L64">
            <v>1.053164743717111</v>
          </cell>
          <cell r="M64">
            <v>1.2574112210841699</v>
          </cell>
          <cell r="N64">
            <v>1.6915598188933929</v>
          </cell>
          <cell r="O64">
            <v>2.0469668657312852</v>
          </cell>
        </row>
        <row r="65">
          <cell r="E65">
            <v>842269980</v>
          </cell>
          <cell r="F65">
            <v>887835262</v>
          </cell>
          <cell r="G65">
            <v>1066328716</v>
          </cell>
          <cell r="H65">
            <v>1454192245</v>
          </cell>
          <cell r="I65">
            <v>1776625481</v>
          </cell>
          <cell r="K65">
            <v>1</v>
          </cell>
          <cell r="L65">
            <v>1.0540981907012761</v>
          </cell>
          <cell r="M65">
            <v>1.266017715602306</v>
          </cell>
          <cell r="N65">
            <v>1.7265155823314515</v>
          </cell>
          <cell r="O65">
            <v>2.1093301710693759</v>
          </cell>
        </row>
        <row r="66">
          <cell r="E66">
            <v>926064217</v>
          </cell>
          <cell r="F66">
            <v>979637711</v>
          </cell>
          <cell r="G66">
            <v>1181939946</v>
          </cell>
          <cell r="H66">
            <v>1628974081</v>
          </cell>
          <cell r="I66">
            <v>2001640673</v>
          </cell>
          <cell r="K66">
            <v>1</v>
          </cell>
          <cell r="L66">
            <v>1.0578507332607583</v>
          </cell>
          <cell r="M66">
            <v>1.276304520035245</v>
          </cell>
          <cell r="N66">
            <v>1.7590292887863521</v>
          </cell>
          <cell r="O66">
            <v>2.1614491049922515</v>
          </cell>
        </row>
        <row r="67">
          <cell r="E67">
            <v>1012426318</v>
          </cell>
          <cell r="F67">
            <v>1071411803</v>
          </cell>
          <cell r="G67">
            <v>1291301610</v>
          </cell>
          <cell r="H67">
            <v>1766783892</v>
          </cell>
          <cell r="I67">
            <v>2161430783</v>
          </cell>
          <cell r="K67">
            <v>1</v>
          </cell>
          <cell r="L67">
            <v>1.0582615089624725</v>
          </cell>
          <cell r="M67">
            <v>1.2754524324801284</v>
          </cell>
          <cell r="N67">
            <v>1.7450987401139448</v>
          </cell>
          <cell r="O67">
            <v>2.1349018141584897</v>
          </cell>
        </row>
        <row r="68">
          <cell r="E68">
            <v>1106069153</v>
          </cell>
          <cell r="F68">
            <v>1169056379</v>
          </cell>
          <cell r="G68">
            <v>1411225595</v>
          </cell>
          <cell r="H68">
            <v>1914403468</v>
          </cell>
          <cell r="I68">
            <v>2332121986</v>
          </cell>
          <cell r="K68">
            <v>1</v>
          </cell>
          <cell r="L68">
            <v>1.0569469149638242</v>
          </cell>
          <cell r="M68">
            <v>1.2758927334446692</v>
          </cell>
          <cell r="N68">
            <v>1.7308171580479832</v>
          </cell>
          <cell r="O68">
            <v>2.1084775573702306</v>
          </cell>
        </row>
        <row r="69">
          <cell r="E69">
            <v>1205624456</v>
          </cell>
          <cell r="F69">
            <v>1275851258</v>
          </cell>
          <cell r="G69">
            <v>1538826169</v>
          </cell>
          <cell r="H69">
            <v>2073976780</v>
          </cell>
          <cell r="I69">
            <v>2512982584</v>
          </cell>
          <cell r="K69">
            <v>1</v>
          </cell>
          <cell r="L69">
            <v>1.0582493177295003</v>
          </cell>
          <cell r="M69">
            <v>1.2763727223197603</v>
          </cell>
          <cell r="N69">
            <v>1.7202510862138649</v>
          </cell>
          <cell r="O69">
            <v>2.0843825550267372</v>
          </cell>
        </row>
        <row r="70">
          <cell r="E70">
            <v>1313625741</v>
          </cell>
          <cell r="F70">
            <v>1389104732</v>
          </cell>
          <cell r="G70">
            <v>1678423324</v>
          </cell>
          <cell r="H70">
            <v>2243664264</v>
          </cell>
          <cell r="I70">
            <v>2698805348</v>
          </cell>
          <cell r="K70">
            <v>1</v>
          </cell>
          <cell r="L70">
            <v>1.0574585200671702</v>
          </cell>
          <cell r="M70">
            <v>1.2777028278406735</v>
          </cell>
          <cell r="N70">
            <v>1.7079935281201224</v>
          </cell>
          <cell r="O70">
            <v>2.0544705114757642</v>
          </cell>
        </row>
        <row r="71">
          <cell r="E71">
            <v>1429406695</v>
          </cell>
          <cell r="F71">
            <v>1510284657</v>
          </cell>
          <cell r="G71">
            <v>1826357336</v>
          </cell>
          <cell r="H71">
            <v>2421912334</v>
          </cell>
          <cell r="I71">
            <v>2893239327</v>
          </cell>
          <cell r="K71">
            <v>1</v>
          </cell>
          <cell r="L71">
            <v>1.0565814909660822</v>
          </cell>
          <cell r="M71">
            <v>1.2777030794584323</v>
          </cell>
          <cell r="N71">
            <v>1.6943479714148113</v>
          </cell>
          <cell r="O71">
            <v>2.0240840742669111</v>
          </cell>
        </row>
        <row r="72">
          <cell r="E72">
            <v>1550273537</v>
          </cell>
          <cell r="F72">
            <v>1637741985</v>
          </cell>
          <cell r="G72">
            <v>1981763574</v>
          </cell>
          <cell r="H72">
            <v>2601155347</v>
          </cell>
          <cell r="I72">
            <v>3103003436</v>
          </cell>
          <cell r="K72">
            <v>1</v>
          </cell>
          <cell r="L72">
            <v>1.0564212997980111</v>
          </cell>
          <cell r="M72">
            <v>1.2783315503372357</v>
          </cell>
          <cell r="N72">
            <v>1.6778686373203571</v>
          </cell>
          <cell r="O72">
            <v>2.0015844700572991</v>
          </cell>
        </row>
        <row r="73">
          <cell r="E73">
            <v>1679422774</v>
          </cell>
          <cell r="F73">
            <v>1774899716</v>
          </cell>
          <cell r="G73">
            <v>2139322000</v>
          </cell>
          <cell r="H73">
            <v>2795198291</v>
          </cell>
          <cell r="I73">
            <v>3327211153</v>
          </cell>
          <cell r="K73">
            <v>1</v>
          </cell>
          <cell r="L73">
            <v>1.0568510463702929</v>
          </cell>
          <cell r="M73">
            <v>1.2738436283703749</v>
          </cell>
          <cell r="N73">
            <v>1.6643803658458665</v>
          </cell>
          <cell r="O73">
            <v>1.9811635310121143</v>
          </cell>
        </row>
        <row r="74">
          <cell r="E74">
            <v>1817591574</v>
          </cell>
          <cell r="F74">
            <v>1918344603</v>
          </cell>
          <cell r="G74">
            <v>2306482655</v>
          </cell>
          <cell r="H74">
            <v>3000762823</v>
          </cell>
          <cell r="I74">
            <v>3565597513</v>
          </cell>
          <cell r="K74">
            <v>1</v>
          </cell>
          <cell r="L74">
            <v>1.0554321611308262</v>
          </cell>
          <cell r="M74">
            <v>1.2689774138444592</v>
          </cell>
          <cell r="N74">
            <v>1.650955509436137</v>
          </cell>
          <cell r="O74">
            <v>1.9617154722791426</v>
          </cell>
        </row>
        <row r="75">
          <cell r="E75">
            <v>1964274054</v>
          </cell>
          <cell r="F75">
            <v>2068850728</v>
          </cell>
          <cell r="G75">
            <v>2487561946</v>
          </cell>
          <cell r="H75">
            <v>3222234645</v>
          </cell>
          <cell r="I75">
            <v>3815610369</v>
          </cell>
          <cell r="K75">
            <v>1</v>
          </cell>
          <cell r="L75">
            <v>1.0532393500728896</v>
          </cell>
          <cell r="M75">
            <v>1.2664026900596632</v>
          </cell>
          <cell r="N75">
            <v>1.6404201024996077</v>
          </cell>
          <cell r="O75">
            <v>1.9425040824776887</v>
          </cell>
        </row>
        <row r="76">
          <cell r="E76">
            <v>2118071735</v>
          </cell>
          <cell r="F76">
            <v>2227984230</v>
          </cell>
          <cell r="G76">
            <v>2680809367</v>
          </cell>
          <cell r="H76">
            <v>3452418198</v>
          </cell>
          <cell r="I76">
            <v>4083922139</v>
          </cell>
          <cell r="K76">
            <v>1</v>
          </cell>
          <cell r="L76">
            <v>1.0518927159943428</v>
          </cell>
          <cell r="M76">
            <v>1.2656839344489907</v>
          </cell>
          <cell r="N76">
            <v>1.629981714476729</v>
          </cell>
          <cell r="O76">
            <v>1.9281321173005503</v>
          </cell>
        </row>
        <row r="77">
          <cell r="E77">
            <v>2276926031</v>
          </cell>
          <cell r="F77">
            <v>2394037986</v>
          </cell>
          <cell r="G77">
            <v>2876837386</v>
          </cell>
          <cell r="H77">
            <v>3702000570</v>
          </cell>
          <cell r="I77">
            <v>4369877403</v>
          </cell>
          <cell r="K77">
            <v>1</v>
          </cell>
          <cell r="L77">
            <v>1.0514342378301003</v>
          </cell>
          <cell r="M77">
            <v>1.2634742397567151</v>
          </cell>
          <cell r="N77">
            <v>1.6258765193062172</v>
          </cell>
          <cell r="O77">
            <v>1.9192004235116937</v>
          </cell>
        </row>
        <row r="78">
          <cell r="E78">
            <v>2445223227</v>
          </cell>
          <cell r="F78">
            <v>2572285198</v>
          </cell>
          <cell r="G78">
            <v>3083735276</v>
          </cell>
          <cell r="H78">
            <v>3962113362</v>
          </cell>
          <cell r="I78">
            <v>4680965185</v>
          </cell>
          <cell r="K78">
            <v>1</v>
          </cell>
          <cell r="L78">
            <v>1.0519633420773162</v>
          </cell>
          <cell r="M78">
            <v>1.2611262816210767</v>
          </cell>
          <cell r="N78">
            <v>1.6203483257686231</v>
          </cell>
          <cell r="O78">
            <v>1.9143304109469756</v>
          </cell>
        </row>
        <row r="79">
          <cell r="E79">
            <v>2631247741</v>
          </cell>
          <cell r="F79">
            <v>2760373243</v>
          </cell>
          <cell r="G79">
            <v>3308045751</v>
          </cell>
          <cell r="H79">
            <v>4248190111</v>
          </cell>
          <cell r="I79">
            <v>5014993437</v>
          </cell>
          <cell r="K79">
            <v>1</v>
          </cell>
          <cell r="L79">
            <v>1.0490738671193789</v>
          </cell>
          <cell r="M79">
            <v>1.2572156165510984</v>
          </cell>
          <cell r="N79">
            <v>1.614515442542664</v>
          </cell>
          <cell r="O79">
            <v>1.9059373843278105</v>
          </cell>
        </row>
        <row r="80">
          <cell r="E80">
            <v>2830114230</v>
          </cell>
          <cell r="F80">
            <v>2963975017</v>
          </cell>
          <cell r="G80">
            <v>3548269663</v>
          </cell>
          <cell r="H80">
            <v>4553735213</v>
          </cell>
          <cell r="I80">
            <v>5374644887</v>
          </cell>
          <cell r="K80">
            <v>1</v>
          </cell>
          <cell r="L80">
            <v>1.0472987222851424</v>
          </cell>
          <cell r="M80">
            <v>1.2537549281182194</v>
          </cell>
          <cell r="N80">
            <v>1.6090287680720223</v>
          </cell>
          <cell r="O80">
            <v>1.8990911497589975</v>
          </cell>
        </row>
        <row r="81">
          <cell r="E81">
            <v>3044893395</v>
          </cell>
          <cell r="F81">
            <v>3179677447</v>
          </cell>
          <cell r="G81">
            <v>3807144176</v>
          </cell>
          <cell r="H81">
            <v>4881166631</v>
          </cell>
          <cell r="I81">
            <v>5760349368</v>
          </cell>
          <cell r="K81">
            <v>1</v>
          </cell>
          <cell r="L81">
            <v>1.0442656062183746</v>
          </cell>
          <cell r="M81">
            <v>1.2503374279873598</v>
          </cell>
          <cell r="N81">
            <v>1.6030665109705753</v>
          </cell>
          <cell r="O81">
            <v>1.8918065826077961</v>
          </cell>
        </row>
        <row r="82">
          <cell r="E82">
            <v>3269238757</v>
          </cell>
          <cell r="F82">
            <v>3415987381</v>
          </cell>
          <cell r="G82">
            <v>4084775987</v>
          </cell>
          <cell r="H82">
            <v>5263771830</v>
          </cell>
          <cell r="I82">
            <v>6212370739</v>
          </cell>
          <cell r="K82">
            <v>1</v>
          </cell>
          <cell r="L82">
            <v>1.0448877047250789</v>
          </cell>
          <cell r="M82">
            <v>1.2494578373187932</v>
          </cell>
          <cell r="N82">
            <v>1.6100909787421807</v>
          </cell>
          <cell r="O82">
            <v>1.9002499360740326</v>
          </cell>
        </row>
        <row r="83">
          <cell r="E83">
            <v>3511131332</v>
          </cell>
          <cell r="F83">
            <v>3663974442</v>
          </cell>
          <cell r="G83">
            <v>4384451909</v>
          </cell>
          <cell r="H83">
            <v>5670605366</v>
          </cell>
          <cell r="I83">
            <v>6681822768</v>
          </cell>
          <cell r="K83">
            <v>1</v>
          </cell>
          <cell r="L83">
            <v>1.0435310148062555</v>
          </cell>
          <cell r="M83">
            <v>1.2487291116229884</v>
          </cell>
          <cell r="N83">
            <v>1.6150365309092345</v>
          </cell>
          <cell r="O83">
            <v>1.903039828531256</v>
          </cell>
        </row>
        <row r="84">
          <cell r="E84">
            <v>3766087532</v>
          </cell>
          <cell r="F84">
            <v>3936764888</v>
          </cell>
          <cell r="G84">
            <v>4700027858</v>
          </cell>
          <cell r="H84">
            <v>6113019184</v>
          </cell>
          <cell r="I84">
            <v>7195501688</v>
          </cell>
          <cell r="K84">
            <v>1</v>
          </cell>
          <cell r="L84">
            <v>1.0453195403850215</v>
          </cell>
          <cell r="M84">
            <v>1.2479868877354601</v>
          </cell>
          <cell r="N84">
            <v>1.6231750144037811</v>
          </cell>
          <cell r="O84">
            <v>1.9106039429144102</v>
          </cell>
        </row>
        <row r="85">
          <cell r="E85">
            <v>4045513914</v>
          </cell>
          <cell r="F85">
            <v>4234697193</v>
          </cell>
          <cell r="G85">
            <v>5041545152</v>
          </cell>
          <cell r="H85">
            <v>6584244491</v>
          </cell>
          <cell r="I85">
            <v>7745727681</v>
          </cell>
          <cell r="K85">
            <v>1</v>
          </cell>
          <cell r="L85">
            <v>1.0467637197700168</v>
          </cell>
          <cell r="M85">
            <v>1.2462063557742593</v>
          </cell>
          <cell r="N85">
            <v>1.627542169170253</v>
          </cell>
          <cell r="O85">
            <v>1.914646160082395</v>
          </cell>
        </row>
        <row r="86">
          <cell r="E86">
            <v>4340556361</v>
          </cell>
          <cell r="F86">
            <v>4554757968</v>
          </cell>
          <cell r="G86">
            <v>5394651604</v>
          </cell>
          <cell r="H86">
            <v>7088983219</v>
          </cell>
          <cell r="I86">
            <v>8313483485</v>
          </cell>
          <cell r="K86">
            <v>1</v>
          </cell>
          <cell r="L86">
            <v>1.0493488827664137</v>
          </cell>
          <cell r="M86">
            <v>1.2428479566516104</v>
          </cell>
          <cell r="N86">
            <v>1.6331969059760816</v>
          </cell>
          <cell r="O86">
            <v>1.9153036600784275</v>
          </cell>
        </row>
        <row r="87">
          <cell r="E87">
            <v>4633566182</v>
          </cell>
          <cell r="F87">
            <v>4903229310</v>
          </cell>
          <cell r="G87">
            <v>5801130315</v>
          </cell>
          <cell r="H87">
            <v>7711938590</v>
          </cell>
          <cell r="I87">
            <v>8995455429</v>
          </cell>
          <cell r="K87">
            <v>1</v>
          </cell>
          <cell r="L87">
            <v>1.0581977503736884</v>
          </cell>
          <cell r="M87">
            <v>1.2519795956590913</v>
          </cell>
          <cell r="N87">
            <v>1.6643635349287864</v>
          </cell>
          <cell r="O87">
            <v>1.9413676368635064</v>
          </cell>
        </row>
        <row r="88">
          <cell r="E88">
            <v>4944978701</v>
          </cell>
          <cell r="F88">
            <v>5278195203</v>
          </cell>
          <cell r="G88">
            <v>6233263764</v>
          </cell>
          <cell r="H88">
            <v>8369420203</v>
          </cell>
          <cell r="I88">
            <v>9705401233</v>
          </cell>
          <cell r="K88">
            <v>1</v>
          </cell>
          <cell r="L88">
            <v>1.0673848204710397</v>
          </cell>
          <cell r="M88">
            <v>1.2605238851159208</v>
          </cell>
          <cell r="N88">
            <v>1.692508847673599</v>
          </cell>
          <cell r="O88">
            <v>1.9626780659413805</v>
          </cell>
        </row>
        <row r="89">
          <cell r="E89">
            <v>5278585062</v>
          </cell>
          <cell r="F89">
            <v>5667649463</v>
          </cell>
          <cell r="G89">
            <v>6694726772</v>
          </cell>
          <cell r="H89">
            <v>9027425601</v>
          </cell>
          <cell r="I89">
            <v>10382509114</v>
          </cell>
          <cell r="K89">
            <v>1</v>
          </cell>
          <cell r="L89">
            <v>1.073706191418764</v>
          </cell>
          <cell r="M89">
            <v>1.2682805512019995</v>
          </cell>
          <cell r="N89">
            <v>1.7101979971844206</v>
          </cell>
          <cell r="O89">
            <v>1.9669113961509559</v>
          </cell>
        </row>
        <row r="90">
          <cell r="E90">
            <v>5633478450</v>
          </cell>
          <cell r="F90">
            <v>6081895822</v>
          </cell>
          <cell r="G90">
            <v>7174692338</v>
          </cell>
          <cell r="H90">
            <v>9717410337</v>
          </cell>
          <cell r="I90">
            <v>11089014140</v>
          </cell>
          <cell r="K90">
            <v>1</v>
          </cell>
          <cell r="L90">
            <v>1.0795986664331698</v>
          </cell>
          <cell r="M90">
            <v>1.2735812165927429</v>
          </cell>
          <cell r="N90">
            <v>1.7249396484333761</v>
          </cell>
          <cell r="O90">
            <v>1.9684133414941882</v>
          </cell>
        </row>
        <row r="91">
          <cell r="E91">
            <v>5980837579</v>
          </cell>
          <cell r="F91">
            <v>6519723121</v>
          </cell>
          <cell r="G91">
            <v>7696037110</v>
          </cell>
          <cell r="H91">
            <v>10396878105</v>
          </cell>
          <cell r="I91">
            <v>11824902966</v>
          </cell>
          <cell r="K91">
            <v>1</v>
          </cell>
          <cell r="L91">
            <v>1.0901020191372763</v>
          </cell>
          <cell r="M91">
            <v>1.2867824963216579</v>
          </cell>
          <cell r="N91">
            <v>1.7383648975029289</v>
          </cell>
          <cell r="O91">
            <v>1.9771315990121121</v>
          </cell>
        </row>
        <row r="92">
          <cell r="E92">
            <v>6396403647</v>
          </cell>
          <cell r="F92">
            <v>7012665151</v>
          </cell>
          <cell r="G92">
            <v>8323677532</v>
          </cell>
          <cell r="H92">
            <v>11054601822</v>
          </cell>
          <cell r="I92">
            <v>12313056770</v>
          </cell>
          <cell r="K92">
            <v>1</v>
          </cell>
          <cell r="L92">
            <v>1.0963449991604322</v>
          </cell>
          <cell r="M92">
            <v>1.3013058573787659</v>
          </cell>
          <cell r="N92">
            <v>1.728252691992751</v>
          </cell>
          <cell r="O92">
            <v>1.9249968340842578</v>
          </cell>
        </row>
        <row r="93">
          <cell r="E93">
            <v>6828447913</v>
          </cell>
          <cell r="F93">
            <v>7541036284</v>
          </cell>
          <cell r="G93">
            <v>8983384377</v>
          </cell>
          <cell r="H93">
            <v>11706894697</v>
          </cell>
          <cell r="I93">
            <v>12826432674</v>
          </cell>
          <cell r="K93">
            <v>1</v>
          </cell>
          <cell r="L93">
            <v>1.1043558331379191</v>
          </cell>
          <cell r="M93">
            <v>1.3155821778910302</v>
          </cell>
          <cell r="N93">
            <v>1.7144298156997599</v>
          </cell>
          <cell r="O93">
            <v>1.8783818574029152</v>
          </cell>
        </row>
        <row r="94">
          <cell r="E94">
            <v>7285073311</v>
          </cell>
          <cell r="F94">
            <v>8101542796</v>
          </cell>
          <cell r="G94">
            <v>9664794089</v>
          </cell>
          <cell r="H94">
            <v>12380976354</v>
          </cell>
          <cell r="I94">
            <v>13363365930</v>
          </cell>
          <cell r="K94">
            <v>1</v>
          </cell>
          <cell r="L94">
            <v>1.1120742990694661</v>
          </cell>
          <cell r="M94">
            <v>1.3266570803627702</v>
          </cell>
          <cell r="N94">
            <v>1.6994992123559702</v>
          </cell>
          <cell r="O94">
            <v>1.834348860954105</v>
          </cell>
        </row>
        <row r="95">
          <cell r="E95">
            <v>7763381028</v>
          </cell>
          <cell r="F95">
            <v>8696055096</v>
          </cell>
          <cell r="G95">
            <v>10361125492</v>
          </cell>
          <cell r="H95">
            <v>13090293970</v>
          </cell>
          <cell r="I95">
            <v>13935861704</v>
          </cell>
          <cell r="K95">
            <v>1</v>
          </cell>
          <cell r="L95">
            <v>1.1201376133202978</v>
          </cell>
          <cell r="M95">
            <v>1.3346150929125824</v>
          </cell>
          <cell r="N95">
            <v>1.6861588942739705</v>
          </cell>
          <cell r="O95">
            <v>1.7950763531685308</v>
          </cell>
        </row>
        <row r="96">
          <cell r="E96">
            <v>8272848252</v>
          </cell>
          <cell r="F96">
            <v>9310580302</v>
          </cell>
          <cell r="G96">
            <v>11107030025</v>
          </cell>
          <cell r="H96">
            <v>13850591080</v>
          </cell>
          <cell r="I96">
            <v>14531865726</v>
          </cell>
          <cell r="K96">
            <v>1</v>
          </cell>
          <cell r="L96">
            <v>1.1254383035188786</v>
          </cell>
          <cell r="M96">
            <v>1.3425883911644123</v>
          </cell>
          <cell r="N96">
            <v>1.6742227897932922</v>
          </cell>
          <cell r="O96">
            <v>1.7565734657935801</v>
          </cell>
        </row>
        <row r="97">
          <cell r="E97">
            <v>8765352405</v>
          </cell>
          <cell r="F97">
            <v>9920815181</v>
          </cell>
          <cell r="G97">
            <v>11833882228</v>
          </cell>
          <cell r="H97">
            <v>14437940678</v>
          </cell>
          <cell r="I97">
            <v>15121343370</v>
          </cell>
          <cell r="K97">
            <v>1</v>
          </cell>
          <cell r="L97">
            <v>1.1318215997044103</v>
          </cell>
          <cell r="M97">
            <v>1.3500748950207211</v>
          </cell>
          <cell r="N97">
            <v>1.6471603206465719</v>
          </cell>
          <cell r="O97">
            <v>1.7251266887312331</v>
          </cell>
        </row>
        <row r="98">
          <cell r="E98">
            <v>9289781503</v>
          </cell>
          <cell r="F98">
            <v>10549780334</v>
          </cell>
          <cell r="G98">
            <v>12578008994</v>
          </cell>
          <cell r="H98">
            <v>15032195106</v>
          </cell>
          <cell r="I98">
            <v>15747427188</v>
          </cell>
          <cell r="K98">
            <v>1</v>
          </cell>
          <cell r="L98">
            <v>1.1356327735580327</v>
          </cell>
          <cell r="M98">
            <v>1.3539617686312768</v>
          </cell>
          <cell r="N98">
            <v>1.6181430210329029</v>
          </cell>
          <cell r="O98">
            <v>1.6951342916853962</v>
          </cell>
        </row>
        <row r="99">
          <cell r="E99">
            <v>9838631201</v>
          </cell>
          <cell r="F99">
            <v>11230432764</v>
          </cell>
          <cell r="G99">
            <v>13353188099</v>
          </cell>
          <cell r="H99">
            <v>15663238955</v>
          </cell>
          <cell r="I99">
            <v>16385710045</v>
          </cell>
          <cell r="K99">
            <v>1</v>
          </cell>
          <cell r="L99">
            <v>1.1414629265561389</v>
          </cell>
          <cell r="M99">
            <v>1.3572201077770636</v>
          </cell>
          <cell r="N99">
            <v>1.5920140347783325</v>
          </cell>
          <cell r="O99">
            <v>1.6654461083300443</v>
          </cell>
        </row>
        <row r="100">
          <cell r="E100">
            <v>10439440062</v>
          </cell>
          <cell r="F100">
            <v>11922716820</v>
          </cell>
          <cell r="G100">
            <v>14174778352</v>
          </cell>
          <cell r="H100">
            <v>16303008901</v>
          </cell>
          <cell r="I100">
            <v>17057098461</v>
          </cell>
          <cell r="K100">
            <v>1</v>
          </cell>
          <cell r="L100">
            <v>1.1420839383329753</v>
          </cell>
          <cell r="M100">
            <v>1.3578102147065136</v>
          </cell>
          <cell r="N100">
            <v>1.5616746496149383</v>
          </cell>
          <cell r="O100">
            <v>1.6339093246091383</v>
          </cell>
        </row>
        <row r="101">
          <cell r="E101">
            <v>11062660654</v>
          </cell>
          <cell r="F101">
            <v>12651812204</v>
          </cell>
          <cell r="G101">
            <v>15032724530</v>
          </cell>
          <cell r="H101">
            <v>16979363214</v>
          </cell>
          <cell r="I101">
            <v>17759996891</v>
          </cell>
          <cell r="K101">
            <v>1</v>
          </cell>
          <cell r="L101">
            <v>1.1436500313715581</v>
          </cell>
          <cell r="M101">
            <v>1.3588706189378157</v>
          </cell>
          <cell r="N101">
            <v>1.5348354021743096</v>
          </cell>
          <cell r="O101">
            <v>1.6054001335183683</v>
          </cell>
        </row>
        <row r="102">
          <cell r="E102">
            <v>11734220834</v>
          </cell>
          <cell r="F102">
            <v>13420365435</v>
          </cell>
          <cell r="G102">
            <v>15915224949</v>
          </cell>
          <cell r="H102">
            <v>17679584812</v>
          </cell>
          <cell r="I102">
            <v>18493490118</v>
          </cell>
          <cell r="K102">
            <v>1</v>
          </cell>
          <cell r="L102">
            <v>1.1436946368108551</v>
          </cell>
          <cell r="M102">
            <v>1.3563086270615861</v>
          </cell>
          <cell r="N102">
            <v>1.506668833159613</v>
          </cell>
          <cell r="O102">
            <v>1.5760305161817785</v>
          </cell>
        </row>
        <row r="103">
          <cell r="E103">
            <v>12431316942</v>
          </cell>
          <cell r="F103">
            <v>14224790402</v>
          </cell>
          <cell r="G103">
            <v>16858137325</v>
          </cell>
          <cell r="H103">
            <v>18422422284</v>
          </cell>
          <cell r="I103">
            <v>19264993900</v>
          </cell>
          <cell r="K103">
            <v>1</v>
          </cell>
          <cell r="L103">
            <v>1.1442705924374461</v>
          </cell>
          <cell r="M103">
            <v>1.3561022861579295</v>
          </cell>
          <cell r="N103">
            <v>1.4819364971508906</v>
          </cell>
          <cell r="O103">
            <v>1.5497146432581077</v>
          </cell>
        </row>
        <row r="104">
          <cell r="E104">
            <v>13149356107</v>
          </cell>
          <cell r="F104">
            <v>15042050502</v>
          </cell>
          <cell r="G104">
            <v>17856924566</v>
          </cell>
          <cell r="H104">
            <v>19199130344</v>
          </cell>
          <cell r="I104">
            <v>20075048742</v>
          </cell>
          <cell r="K104">
            <v>1</v>
          </cell>
          <cell r="L104">
            <v>1.1439381806682103</v>
          </cell>
          <cell r="M104">
            <v>1.3580075268091605</v>
          </cell>
          <cell r="N104">
            <v>1.4600814053381237</v>
          </cell>
          <cell r="O104">
            <v>1.5266944311678607</v>
          </cell>
        </row>
        <row r="105">
          <cell r="E105">
            <v>13900226563</v>
          </cell>
          <cell r="F105">
            <v>15899588905</v>
          </cell>
          <cell r="G105">
            <v>18903230408</v>
          </cell>
          <cell r="H105">
            <v>20001336065</v>
          </cell>
          <cell r="I105">
            <v>20872687453</v>
          </cell>
          <cell r="K105">
            <v>1</v>
          </cell>
          <cell r="L105">
            <v>1.1438366729447387</v>
          </cell>
          <cell r="M105">
            <v>1.3599224676176955</v>
          </cell>
          <cell r="N105">
            <v>1.4389215869502514</v>
          </cell>
          <cell r="O105">
            <v>1.5016077154137535</v>
          </cell>
        </row>
        <row r="106">
          <cell r="E106">
            <v>14689729288</v>
          </cell>
          <cell r="F106">
            <v>16797383989</v>
          </cell>
          <cell r="G106">
            <v>19995897383</v>
          </cell>
          <cell r="H106">
            <v>20802261791</v>
          </cell>
          <cell r="I106">
            <v>21686551004</v>
          </cell>
          <cell r="K106">
            <v>1</v>
          </cell>
          <cell r="L106">
            <v>1.1434781172394877</v>
          </cell>
          <cell r="M106">
            <v>1.3612161933667897</v>
          </cell>
          <cell r="N106">
            <v>1.4161092681260854</v>
          </cell>
          <cell r="O106">
            <v>1.476307056367314</v>
          </cell>
        </row>
        <row r="107">
          <cell r="E107">
            <v>15543750526</v>
          </cell>
          <cell r="F107">
            <v>17762979519</v>
          </cell>
          <cell r="G107">
            <v>20807996596</v>
          </cell>
          <cell r="H107">
            <v>21613273390</v>
          </cell>
          <cell r="I107">
            <v>22534181577</v>
          </cell>
          <cell r="K107">
            <v>1</v>
          </cell>
          <cell r="L107">
            <v>1.142773070713397</v>
          </cell>
          <cell r="M107">
            <v>1.3386728358252087</v>
          </cell>
          <cell r="N107">
            <v>1.3904799458694039</v>
          </cell>
          <cell r="O107">
            <v>1.4497261480945105</v>
          </cell>
        </row>
        <row r="108">
          <cell r="E108">
            <v>16447691016</v>
          </cell>
          <cell r="F108">
            <v>18766816040</v>
          </cell>
          <cell r="G108">
            <v>21624940073</v>
          </cell>
          <cell r="H108">
            <v>22460953840</v>
          </cell>
          <cell r="I108">
            <v>23404932442</v>
          </cell>
          <cell r="K108">
            <v>1</v>
          </cell>
          <cell r="L108">
            <v>1.1410000359165307</v>
          </cell>
          <cell r="M108">
            <v>1.3147705688271789</v>
          </cell>
          <cell r="N108">
            <v>1.3655992089193805</v>
          </cell>
          <cell r="O108">
            <v>1.4229919822321644</v>
          </cell>
        </row>
        <row r="109">
          <cell r="E109">
            <v>17400144183</v>
          </cell>
          <cell r="F109">
            <v>19812522614</v>
          </cell>
          <cell r="G109">
            <v>22484722389</v>
          </cell>
          <cell r="H109">
            <v>23341592197</v>
          </cell>
          <cell r="I109">
            <v>24326856434</v>
          </cell>
          <cell r="K109">
            <v>1</v>
          </cell>
          <cell r="L109">
            <v>1.1386412897289035</v>
          </cell>
          <cell r="M109">
            <v>1.292214716873878</v>
          </cell>
          <cell r="N109">
            <v>1.3414597000756359</v>
          </cell>
          <cell r="O109">
            <v>1.3980836123052027</v>
          </cell>
        </row>
        <row r="110">
          <cell r="E110">
            <v>18394945224</v>
          </cell>
          <cell r="F110">
            <v>20926657516</v>
          </cell>
          <cell r="G110">
            <v>23384723567</v>
          </cell>
          <cell r="H110">
            <v>24281207558</v>
          </cell>
          <cell r="I110">
            <v>25282392704</v>
          </cell>
          <cell r="K110">
            <v>1</v>
          </cell>
          <cell r="L110">
            <v>1.1376308687615366</v>
          </cell>
          <cell r="M110">
            <v>1.2712581245683627</v>
          </cell>
          <cell r="N110">
            <v>1.3199934689840858</v>
          </cell>
          <cell r="O110">
            <v>1.3744206572039097</v>
          </cell>
        </row>
        <row r="111">
          <cell r="E111">
            <v>19408954970</v>
          </cell>
          <cell r="F111">
            <v>22089486807</v>
          </cell>
          <cell r="G111">
            <v>24326283594</v>
          </cell>
          <cell r="H111">
            <v>25236556966</v>
          </cell>
          <cell r="I111">
            <v>26267898074</v>
          </cell>
          <cell r="K111">
            <v>1</v>
          </cell>
          <cell r="L111">
            <v>1.1381079940235443</v>
          </cell>
          <cell r="M111">
            <v>1.253353600521028</v>
          </cell>
          <cell r="N111">
            <v>1.3002532596426546</v>
          </cell>
          <cell r="O111">
            <v>1.3533906444010879</v>
          </cell>
        </row>
        <row r="112">
          <cell r="E112">
            <v>20489270635</v>
          </cell>
          <cell r="F112">
            <v>23169435161</v>
          </cell>
          <cell r="G112">
            <v>25275053989</v>
          </cell>
          <cell r="H112">
            <v>26222433745</v>
          </cell>
          <cell r="I112">
            <v>27257138586</v>
          </cell>
          <cell r="K112">
            <v>1</v>
          </cell>
          <cell r="L112">
            <v>1.1308081958477192</v>
          </cell>
          <cell r="M112">
            <v>1.2335750959248335</v>
          </cell>
          <cell r="N112">
            <v>1.2798129426923839</v>
          </cell>
          <cell r="O112">
            <v>1.3303127803602268</v>
          </cell>
        </row>
        <row r="113">
          <cell r="E113">
            <v>21633350238</v>
          </cell>
          <cell r="F113">
            <v>24272829812</v>
          </cell>
          <cell r="G113">
            <v>26280585201</v>
          </cell>
          <cell r="H113">
            <v>27213479761</v>
          </cell>
          <cell r="I113">
            <v>28281575531</v>
          </cell>
          <cell r="K113">
            <v>1</v>
          </cell>
          <cell r="L113">
            <v>1.122009746292723</v>
          </cell>
          <cell r="M113">
            <v>1.2148180892868323</v>
          </cell>
          <cell r="N113">
            <v>1.2579410706899312</v>
          </cell>
          <cell r="O113">
            <v>1.3073137179336227</v>
          </cell>
        </row>
        <row r="114">
          <cell r="E114">
            <v>22787868687</v>
          </cell>
          <cell r="F114">
            <v>25444992502</v>
          </cell>
          <cell r="G114">
            <v>27268994484</v>
          </cell>
          <cell r="H114">
            <v>28243583217</v>
          </cell>
          <cell r="I114">
            <v>29296035344</v>
          </cell>
          <cell r="K114">
            <v>1</v>
          </cell>
          <cell r="L114">
            <v>1.1166025595239555</v>
          </cell>
          <cell r="M114">
            <v>1.1966452351709569</v>
          </cell>
          <cell r="N114">
            <v>1.2394131107624107</v>
          </cell>
          <cell r="O114">
            <v>1.2855978655306528</v>
          </cell>
        </row>
        <row r="115">
          <cell r="E115">
            <v>23983532052</v>
          </cell>
          <cell r="F115">
            <v>26627360961</v>
          </cell>
          <cell r="G115">
            <v>28311122389</v>
          </cell>
          <cell r="H115">
            <v>29255347013</v>
          </cell>
          <cell r="I115">
            <v>30358030495</v>
          </cell>
          <cell r="K115">
            <v>1</v>
          </cell>
          <cell r="L115">
            <v>1.110235177340342</v>
          </cell>
          <cell r="M115">
            <v>1.1804400756159317</v>
          </cell>
          <cell r="N115">
            <v>1.2198097823777536</v>
          </cell>
          <cell r="O115">
            <v>1.2657864750354162</v>
          </cell>
        </row>
        <row r="116">
          <cell r="E116">
            <v>25213962456</v>
          </cell>
          <cell r="F116">
            <v>27889487725</v>
          </cell>
          <cell r="G116">
            <v>29351691560</v>
          </cell>
          <cell r="H116">
            <v>30336192584</v>
          </cell>
          <cell r="I116">
            <v>31467458900</v>
          </cell>
          <cell r="K116">
            <v>1</v>
          </cell>
          <cell r="L116">
            <v>1.1061128441699302</v>
          </cell>
          <cell r="M116">
            <v>1.1641046745913344</v>
          </cell>
          <cell r="N116">
            <v>1.2031505415675392</v>
          </cell>
          <cell r="O116">
            <v>1.2480172029649348</v>
          </cell>
        </row>
        <row r="117">
          <cell r="E117">
            <v>26573725704</v>
          </cell>
          <cell r="F117">
            <v>28973785570</v>
          </cell>
          <cell r="G117">
            <v>30439063532</v>
          </cell>
          <cell r="H117">
            <v>31451305210</v>
          </cell>
          <cell r="I117">
            <v>32635423776</v>
          </cell>
          <cell r="K117">
            <v>1</v>
          </cell>
          <cell r="L117">
            <v>1.0903170256490882</v>
          </cell>
          <cell r="M117">
            <v>1.145457128257261</v>
          </cell>
          <cell r="N117">
            <v>1.1835489520863762</v>
          </cell>
          <cell r="O117">
            <v>1.2281087017876295</v>
          </cell>
        </row>
        <row r="118">
          <cell r="E118">
            <v>27928458979</v>
          </cell>
          <cell r="F118">
            <v>30045547765</v>
          </cell>
          <cell r="G118">
            <v>31540620414</v>
          </cell>
          <cell r="H118">
            <v>32592389198</v>
          </cell>
          <cell r="I118">
            <v>33773891788</v>
          </cell>
          <cell r="K118">
            <v>1</v>
          </cell>
          <cell r="L118">
            <v>1.0758039957590171</v>
          </cell>
          <cell r="M118">
            <v>1.1293362243049665</v>
          </cell>
          <cell r="N118">
            <v>1.1669956162818331</v>
          </cell>
          <cell r="O118">
            <v>1.2093002271767055</v>
          </cell>
        </row>
        <row r="119">
          <cell r="E119">
            <v>29358768898</v>
          </cell>
          <cell r="F119">
            <v>31140501435</v>
          </cell>
          <cell r="G119">
            <v>32686862466</v>
          </cell>
          <cell r="H119">
            <v>33744660856</v>
          </cell>
          <cell r="I119">
            <v>34944587664</v>
          </cell>
          <cell r="K119">
            <v>1</v>
          </cell>
          <cell r="L119">
            <v>1.0606882578486245</v>
          </cell>
          <cell r="M119">
            <v>1.1133594388634844</v>
          </cell>
          <cell r="N119">
            <v>1.1493895051675269</v>
          </cell>
          <cell r="O119">
            <v>1.190260660636234</v>
          </cell>
        </row>
        <row r="120">
          <cell r="E120">
            <v>30838416005</v>
          </cell>
          <cell r="F120">
            <v>32277086633</v>
          </cell>
          <cell r="G120">
            <v>33841011860</v>
          </cell>
          <cell r="H120">
            <v>34915921700</v>
          </cell>
          <cell r="I120">
            <v>36155189154</v>
          </cell>
          <cell r="K120">
            <v>1</v>
          </cell>
          <cell r="L120">
            <v>1.0466518976774533</v>
          </cell>
          <cell r="M120">
            <v>1.0973654371389625</v>
          </cell>
          <cell r="N120">
            <v>1.1322216320818452</v>
          </cell>
          <cell r="O120">
            <v>1.1724074656797536</v>
          </cell>
        </row>
        <row r="121">
          <cell r="E121">
            <v>32394137003</v>
          </cell>
          <cell r="F121">
            <v>33420427234</v>
          </cell>
          <cell r="G121">
            <v>35015162736</v>
          </cell>
          <cell r="H121">
            <v>36129007756</v>
          </cell>
          <cell r="I121">
            <v>37397676664</v>
          </cell>
          <cell r="K121">
            <v>1</v>
          </cell>
          <cell r="L121">
            <v>1.0316813573673826</v>
          </cell>
          <cell r="M121">
            <v>1.0809104972531687</v>
          </cell>
          <cell r="N121">
            <v>1.1152946520123106</v>
          </cell>
          <cell r="O121">
            <v>1.154458186693988</v>
          </cell>
        </row>
        <row r="122">
          <cell r="E122">
            <v>33691572091</v>
          </cell>
          <cell r="F122">
            <v>34610564352</v>
          </cell>
          <cell r="G122">
            <v>36253979731</v>
          </cell>
          <cell r="H122">
            <v>37397840562</v>
          </cell>
          <cell r="I122">
            <v>38712928121</v>
          </cell>
          <cell r="K122">
            <v>1</v>
          </cell>
          <cell r="L122">
            <v>1.0272766215395894</v>
          </cell>
          <cell r="M122">
            <v>1.0760548552937514</v>
          </cell>
          <cell r="N122">
            <v>1.1100058038547287</v>
          </cell>
          <cell r="O122">
            <v>1.1490389352101902</v>
          </cell>
        </row>
        <row r="123">
          <cell r="E123">
            <v>35040254800</v>
          </cell>
          <cell r="F123">
            <v>35852188195</v>
          </cell>
          <cell r="G123">
            <v>37531107839</v>
          </cell>
          <cell r="H123">
            <v>38725571309</v>
          </cell>
          <cell r="I123">
            <v>40066975355</v>
          </cell>
          <cell r="K123">
            <v>1</v>
          </cell>
          <cell r="L123">
            <v>1.0231714466585442</v>
          </cell>
          <cell r="M123">
            <v>1.0710854716444584</v>
          </cell>
          <cell r="N123">
            <v>1.1051737931140844</v>
          </cell>
          <cell r="O123">
            <v>1.1434555936790733</v>
          </cell>
        </row>
        <row r="124">
          <cell r="E124">
            <v>36431768846</v>
          </cell>
          <cell r="F124">
            <v>37124965935</v>
          </cell>
          <cell r="G124">
            <v>38863013679</v>
          </cell>
          <cell r="H124">
            <v>40080614513</v>
          </cell>
          <cell r="I124">
            <v>41466269147</v>
          </cell>
          <cell r="K124">
            <v>1</v>
          </cell>
          <cell r="L124">
            <v>1.0190272696319029</v>
          </cell>
          <cell r="M124">
            <v>1.066734196829066</v>
          </cell>
          <cell r="N124">
            <v>1.1001555999771508</v>
          </cell>
          <cell r="O124">
            <v>1.1381898398148396</v>
          </cell>
        </row>
        <row r="125">
          <cell r="E125">
            <v>37871563294</v>
          </cell>
          <cell r="F125">
            <v>38445011713</v>
          </cell>
          <cell r="G125">
            <v>40218481458</v>
          </cell>
          <cell r="H125">
            <v>41481828413</v>
          </cell>
          <cell r="I125">
            <v>42859743809</v>
          </cell>
          <cell r="K125">
            <v>1</v>
          </cell>
          <cell r="L125">
            <v>1.0151419262666364</v>
          </cell>
          <cell r="M125">
            <v>1.0619704590956724</v>
          </cell>
          <cell r="N125">
            <v>1.0953291811846588</v>
          </cell>
          <cell r="O125">
            <v>1.1317130871064485</v>
          </cell>
        </row>
        <row r="126">
          <cell r="E126">
            <v>39362859428</v>
          </cell>
          <cell r="F126">
            <v>39792448643</v>
          </cell>
          <cell r="G126">
            <v>41624476911</v>
          </cell>
          <cell r="H126">
            <v>42868312254</v>
          </cell>
          <cell r="I126">
            <v>44322399265</v>
          </cell>
          <cell r="K126">
            <v>1</v>
          </cell>
          <cell r="L126">
            <v>1.0109135672876046</v>
          </cell>
          <cell r="M126">
            <v>1.0574556197355733</v>
          </cell>
          <cell r="N126">
            <v>1.0890548318120015</v>
          </cell>
          <cell r="O126">
            <v>1.1259954157058043</v>
          </cell>
        </row>
        <row r="127">
          <cell r="E127">
            <v>40735991095</v>
          </cell>
          <cell r="F127">
            <v>41183835806</v>
          </cell>
          <cell r="G127">
            <v>43016111758</v>
          </cell>
          <cell r="H127">
            <v>44318759796</v>
          </cell>
          <cell r="I127">
            <v>45802065848</v>
          </cell>
          <cell r="K127">
            <v>1</v>
          </cell>
          <cell r="L127">
            <v>1.0109938336827398</v>
          </cell>
          <cell r="M127">
            <v>1.0559731235624672</v>
          </cell>
          <cell r="N127">
            <v>1.0879509398125276</v>
          </cell>
          <cell r="O127">
            <v>1.1243636061581381</v>
          </cell>
        </row>
        <row r="128">
          <cell r="E128">
            <v>42158777186</v>
          </cell>
          <cell r="F128">
            <v>42585161242</v>
          </cell>
          <cell r="G128">
            <v>44491227659</v>
          </cell>
          <cell r="H128">
            <v>45808086368</v>
          </cell>
          <cell r="I128">
            <v>47368003408</v>
          </cell>
          <cell r="K128">
            <v>1</v>
          </cell>
          <cell r="L128">
            <v>1.0101137671550302</v>
          </cell>
          <cell r="M128">
            <v>1.0553253824870081</v>
          </cell>
          <cell r="N128">
            <v>1.0865610775639825</v>
          </cell>
          <cell r="O128">
            <v>1.1235620805370481</v>
          </cell>
        </row>
        <row r="129">
          <cell r="E129">
            <v>43610509402</v>
          </cell>
          <cell r="F129">
            <v>44068799499</v>
          </cell>
          <cell r="G129">
            <v>46009400984</v>
          </cell>
          <cell r="H129">
            <v>47407015663</v>
          </cell>
          <cell r="I129">
            <v>48978185600</v>
          </cell>
          <cell r="K129">
            <v>1</v>
          </cell>
          <cell r="L129">
            <v>1.0105087077239914</v>
          </cell>
          <cell r="M129">
            <v>1.0550071901221587</v>
          </cell>
          <cell r="N129">
            <v>1.0870548478579773</v>
          </cell>
          <cell r="O129">
            <v>1.123082171513315</v>
          </cell>
        </row>
        <row r="130">
          <cell r="E130">
            <v>45121112233</v>
          </cell>
          <cell r="F130">
            <v>45587104155</v>
          </cell>
          <cell r="G130">
            <v>47605697934</v>
          </cell>
          <cell r="H130">
            <v>49013017732</v>
          </cell>
          <cell r="I130">
            <v>50677728857</v>
          </cell>
          <cell r="K130">
            <v>1</v>
          </cell>
          <cell r="L130">
            <v>1.0103275805701259</v>
          </cell>
          <cell r="M130">
            <v>1.0550648150730393</v>
          </cell>
          <cell r="N130">
            <v>1.0862546445863894</v>
          </cell>
          <cell r="O130">
            <v>1.1231489284950757</v>
          </cell>
        </row>
        <row r="131">
          <cell r="E131">
            <v>46655108551</v>
          </cell>
          <cell r="F131">
            <v>47158659423</v>
          </cell>
          <cell r="G131">
            <v>49212533839</v>
          </cell>
          <cell r="H131">
            <v>50690288956</v>
          </cell>
          <cell r="I131">
            <v>52311627407</v>
          </cell>
          <cell r="K131">
            <v>1</v>
          </cell>
          <cell r="L131">
            <v>1.0107930489851835</v>
          </cell>
          <cell r="M131">
            <v>1.0548155468378004</v>
          </cell>
          <cell r="N131">
            <v>1.0864895727461235</v>
          </cell>
          <cell r="O131">
            <v>1.1212411466113448</v>
          </cell>
        </row>
        <row r="132">
          <cell r="E132">
            <v>48257932214</v>
          </cell>
          <cell r="F132">
            <v>48758438418</v>
          </cell>
          <cell r="G132">
            <v>50891674681</v>
          </cell>
          <cell r="H132">
            <v>52331305230</v>
          </cell>
          <cell r="I132">
            <v>54009528845</v>
          </cell>
          <cell r="K132">
            <v>1</v>
          </cell>
          <cell r="L132">
            <v>1.0103714805222177</v>
          </cell>
          <cell r="M132">
            <v>1.0545763638466865</v>
          </cell>
          <cell r="N132">
            <v>1.0844083620892957</v>
          </cell>
          <cell r="O132">
            <v>1.1191844815375538</v>
          </cell>
        </row>
        <row r="133">
          <cell r="E133">
            <v>49877999523</v>
          </cell>
          <cell r="F133">
            <v>50418728619</v>
          </cell>
          <cell r="G133">
            <v>52541184527</v>
          </cell>
          <cell r="H133">
            <v>54017041530</v>
          </cell>
          <cell r="I133">
            <v>55744406520</v>
          </cell>
          <cell r="K133">
            <v>1</v>
          </cell>
          <cell r="L133">
            <v>1.0108410341467415</v>
          </cell>
          <cell r="M133">
            <v>1.0533939819052274</v>
          </cell>
          <cell r="N133">
            <v>1.0829833202330295</v>
          </cell>
          <cell r="O133">
            <v>1.1176151219596298</v>
          </cell>
        </row>
        <row r="134">
          <cell r="E134">
            <v>51577202190</v>
          </cell>
          <cell r="F134">
            <v>52065959665</v>
          </cell>
          <cell r="G134">
            <v>54240093677</v>
          </cell>
          <cell r="H134">
            <v>55764883280</v>
          </cell>
          <cell r="I134">
            <v>57541554403</v>
          </cell>
          <cell r="K134">
            <v>1</v>
          </cell>
          <cell r="L134">
            <v>1.0094762308587333</v>
          </cell>
          <cell r="M134">
            <v>1.0516292348931693</v>
          </cell>
          <cell r="N134">
            <v>1.0811924825734718</v>
          </cell>
          <cell r="O134">
            <v>1.1156393127147248</v>
          </cell>
        </row>
        <row r="135">
          <cell r="E135">
            <v>53289244171</v>
          </cell>
          <cell r="F135">
            <v>53815339945</v>
          </cell>
          <cell r="G135">
            <v>56045961848</v>
          </cell>
          <cell r="H135">
            <v>57620192298</v>
          </cell>
          <cell r="I135">
            <v>59458528554</v>
          </cell>
          <cell r="K135">
            <v>1</v>
          </cell>
          <cell r="L135">
            <v>1.0098724570442734</v>
          </cell>
          <cell r="M135">
            <v>1.0517312211851599</v>
          </cell>
          <cell r="N135">
            <v>1.0812724630340489</v>
          </cell>
          <cell r="O135">
            <v>1.1157697857977376</v>
          </cell>
        </row>
        <row r="136">
          <cell r="E136">
            <v>55083623595</v>
          </cell>
          <cell r="F136">
            <v>55616022634</v>
          </cell>
          <cell r="G136">
            <v>57915680640</v>
          </cell>
          <cell r="H136">
            <v>59555999903</v>
          </cell>
          <cell r="I136">
            <v>61444701085</v>
          </cell>
          <cell r="K136">
            <v>1</v>
          </cell>
          <cell r="L136">
            <v>1.009665287144405</v>
          </cell>
          <cell r="M136">
            <v>1.0514137752777954</v>
          </cell>
          <cell r="N136">
            <v>1.0811924854632469</v>
          </cell>
          <cell r="O136">
            <v>1.115480374653083</v>
          </cell>
        </row>
        <row r="137">
          <cell r="E137">
            <v>56897992543</v>
          </cell>
          <cell r="F137">
            <v>57471723648</v>
          </cell>
          <cell r="G137">
            <v>59829653579</v>
          </cell>
          <cell r="H137">
            <v>61522660116</v>
          </cell>
          <cell r="I137">
            <v>63442777691</v>
          </cell>
          <cell r="K137">
            <v>1</v>
          </cell>
          <cell r="L137">
            <v>1.0100835034657225</v>
          </cell>
          <cell r="M137">
            <v>1.051524858874141</v>
          </cell>
          <cell r="N137">
            <v>1.0812799778393756</v>
          </cell>
          <cell r="O137">
            <v>1.1150266442713925</v>
          </cell>
        </row>
        <row r="138">
          <cell r="E138">
            <v>58790321904</v>
          </cell>
          <cell r="F138">
            <v>59369141438</v>
          </cell>
          <cell r="G138">
            <v>61812734337</v>
          </cell>
          <cell r="H138">
            <v>63518643173</v>
          </cell>
          <cell r="I138">
            <v>65447877297</v>
          </cell>
          <cell r="K138">
            <v>1</v>
          </cell>
          <cell r="L138">
            <v>1.0098454901292286</v>
          </cell>
          <cell r="M138">
            <v>1.0514100337456114</v>
          </cell>
          <cell r="N138">
            <v>1.0804268647605124</v>
          </cell>
          <cell r="O138">
            <v>1.1132423701280505</v>
          </cell>
        </row>
        <row r="139">
          <cell r="E139">
            <v>60714040496</v>
          </cell>
          <cell r="F139">
            <v>61328729186</v>
          </cell>
          <cell r="G139">
            <v>63808028193</v>
          </cell>
          <cell r="H139">
            <v>65523174531</v>
          </cell>
          <cell r="I139">
            <v>67509207879</v>
          </cell>
          <cell r="K139">
            <v>1</v>
          </cell>
          <cell r="L139">
            <v>1.0101243251969121</v>
          </cell>
          <cell r="M139">
            <v>1.0509600031841702</v>
          </cell>
          <cell r="N139">
            <v>1.0792095863775832</v>
          </cell>
          <cell r="O139">
            <v>1.1119208559912543</v>
          </cell>
        </row>
        <row r="140">
          <cell r="E140">
            <v>62711120881</v>
          </cell>
          <cell r="F140">
            <v>63311513030</v>
          </cell>
          <cell r="G140">
            <v>65815412543</v>
          </cell>
          <cell r="H140">
            <v>67605863114</v>
          </cell>
          <cell r="I140">
            <v>69632382915</v>
          </cell>
          <cell r="K140">
            <v>1</v>
          </cell>
          <cell r="L140">
            <v>1.0095739342650134</v>
          </cell>
          <cell r="M140">
            <v>1.0495014539429246</v>
          </cell>
          <cell r="N140">
            <v>1.0780522204712017</v>
          </cell>
          <cell r="O140">
            <v>1.1103673788120247</v>
          </cell>
        </row>
        <row r="141">
          <cell r="E141">
            <v>64747817156</v>
          </cell>
          <cell r="F141">
            <v>65344655431</v>
          </cell>
          <cell r="G141">
            <v>67944243775</v>
          </cell>
          <cell r="H141">
            <v>69758678418</v>
          </cell>
          <cell r="I141">
            <v>71889310416</v>
          </cell>
          <cell r="K141">
            <v>1</v>
          </cell>
          <cell r="L141">
            <v>1.0092178902890581</v>
          </cell>
          <cell r="M141">
            <v>1.0493673263347041</v>
          </cell>
          <cell r="N141">
            <v>1.0773904276946835</v>
          </cell>
          <cell r="O141">
            <v>1.1102970505213119</v>
          </cell>
        </row>
        <row r="142">
          <cell r="E142">
            <v>66852013033</v>
          </cell>
          <cell r="F142">
            <v>67484197741</v>
          </cell>
          <cell r="G142">
            <v>70148727241</v>
          </cell>
          <cell r="H142">
            <v>72040137914</v>
          </cell>
          <cell r="I142">
            <v>74194454103</v>
          </cell>
          <cell r="K142">
            <v>1</v>
          </cell>
          <cell r="L142">
            <v>1.0094564797575794</v>
          </cell>
          <cell r="M142">
            <v>1.0493136116390789</v>
          </cell>
          <cell r="N142">
            <v>1.0776061130491164</v>
          </cell>
          <cell r="O142">
            <v>1.109831263665547</v>
          </cell>
        </row>
        <row r="143">
          <cell r="E143">
            <v>69006826347</v>
          </cell>
          <cell r="F143">
            <v>69657256128</v>
          </cell>
          <cell r="G143">
            <v>72424074024</v>
          </cell>
          <cell r="H143">
            <v>74354743555</v>
          </cell>
          <cell r="I143">
            <v>76588064182</v>
          </cell>
          <cell r="K143">
            <v>1</v>
          </cell>
          <cell r="L143">
            <v>1.009425586067809</v>
          </cell>
          <cell r="M143">
            <v>1.0495204294690559</v>
          </cell>
          <cell r="N143">
            <v>1.0774983793792814</v>
          </cell>
          <cell r="O143">
            <v>1.1098621431578064</v>
          </cell>
        </row>
        <row r="144">
          <cell r="E144">
            <v>71222849647</v>
          </cell>
          <cell r="F144">
            <v>71908483149</v>
          </cell>
          <cell r="G144">
            <v>74727000923</v>
          </cell>
          <cell r="H144">
            <v>76738061914</v>
          </cell>
          <cell r="I144">
            <v>78932088367</v>
          </cell>
          <cell r="K144">
            <v>1</v>
          </cell>
          <cell r="L144">
            <v>1.0096265946307708</v>
          </cell>
          <cell r="M144">
            <v>1.04919981850442</v>
          </cell>
          <cell r="N144">
            <v>1.0774359955314188</v>
          </cell>
          <cell r="O144">
            <v>1.1082410877718192</v>
          </cell>
        </row>
        <row r="145">
          <cell r="E145">
            <v>73501385875</v>
          </cell>
          <cell r="F145">
            <v>74197679253</v>
          </cell>
          <cell r="G145">
            <v>77116618284</v>
          </cell>
          <cell r="H145">
            <v>79075524888</v>
          </cell>
          <cell r="I145">
            <v>81350181010</v>
          </cell>
          <cell r="K145">
            <v>1</v>
          </cell>
          <cell r="L145">
            <v>1.0094732006711296</v>
          </cell>
          <cell r="M145">
            <v>1.0491859080745529</v>
          </cell>
          <cell r="N145">
            <v>1.0758371960833453</v>
          </cell>
          <cell r="O145">
            <v>1.1067843149018719</v>
          </cell>
        </row>
        <row r="146">
          <cell r="E146">
            <v>75834137571</v>
          </cell>
          <cell r="F146">
            <v>76565916307</v>
          </cell>
          <cell r="G146">
            <v>79468465313</v>
          </cell>
          <cell r="H146">
            <v>81513360204</v>
          </cell>
          <cell r="I146">
            <v>83837010727</v>
          </cell>
          <cell r="K146">
            <v>1</v>
          </cell>
          <cell r="L146">
            <v>1.0096497271471554</v>
          </cell>
          <cell r="M146">
            <v>1.0479246927361354</v>
          </cell>
          <cell r="N146">
            <v>1.0748900536738195</v>
          </cell>
          <cell r="O146">
            <v>1.10553127407175</v>
          </cell>
        </row>
        <row r="147">
          <cell r="E147">
            <v>78242197890</v>
          </cell>
          <cell r="F147">
            <v>78928792683</v>
          </cell>
          <cell r="G147">
            <v>81937172638</v>
          </cell>
          <cell r="H147">
            <v>84027559654</v>
          </cell>
          <cell r="I147">
            <v>86434982279</v>
          </cell>
          <cell r="K147">
            <v>1</v>
          </cell>
          <cell r="L147">
            <v>1.008775249309398</v>
          </cell>
          <cell r="M147">
            <v>1.0472248332440091</v>
          </cell>
          <cell r="N147">
            <v>1.0739417081832694</v>
          </cell>
          <cell r="O147">
            <v>1.1047105604129137</v>
          </cell>
        </row>
        <row r="148">
          <cell r="E148">
            <v>80696682390</v>
          </cell>
          <cell r="F148">
            <v>81443951817</v>
          </cell>
          <cell r="G148">
            <v>84509894802</v>
          </cell>
          <cell r="H148">
            <v>86677150142</v>
          </cell>
          <cell r="I148">
            <v>89136748178</v>
          </cell>
          <cell r="K148">
            <v>1</v>
          </cell>
          <cell r="L148">
            <v>1.0092602248923754</v>
          </cell>
          <cell r="M148">
            <v>1.0472536453676136</v>
          </cell>
          <cell r="N148">
            <v>1.0741104537990411</v>
          </cell>
          <cell r="O148">
            <v>1.1045899972344575</v>
          </cell>
        </row>
        <row r="149">
          <cell r="E149">
            <v>83240260910</v>
          </cell>
          <cell r="F149">
            <v>83987458991</v>
          </cell>
          <cell r="G149">
            <v>87171449343</v>
          </cell>
          <cell r="H149">
            <v>89381547473</v>
          </cell>
          <cell r="I149">
            <v>91933474922</v>
          </cell>
          <cell r="K149">
            <v>1</v>
          </cell>
          <cell r="L149">
            <v>1.008976402438333</v>
          </cell>
          <cell r="M149">
            <v>1.0472270075805077</v>
          </cell>
          <cell r="N149">
            <v>1.0737778389431047</v>
          </cell>
          <cell r="O149">
            <v>1.1044352085993481</v>
          </cell>
        </row>
        <row r="150">
          <cell r="E150">
            <v>85821692273</v>
          </cell>
          <cell r="F150">
            <v>86624594571</v>
          </cell>
          <cell r="G150">
            <v>89868409650</v>
          </cell>
          <cell r="H150">
            <v>92164773431</v>
          </cell>
          <cell r="I150">
            <v>94713359124</v>
          </cell>
          <cell r="K150">
            <v>1</v>
          </cell>
          <cell r="L150">
            <v>1.0093554703564451</v>
          </cell>
          <cell r="M150">
            <v>1.0471526168946581</v>
          </cell>
          <cell r="N150">
            <v>1.0739099986262515</v>
          </cell>
          <cell r="O150">
            <v>1.1036062866567053</v>
          </cell>
        </row>
        <row r="151">
          <cell r="E151">
            <v>88507023087</v>
          </cell>
          <cell r="F151">
            <v>89305900342</v>
          </cell>
          <cell r="G151">
            <v>92674021930</v>
          </cell>
          <cell r="H151">
            <v>94963420573</v>
          </cell>
          <cell r="I151">
            <v>97549005617</v>
          </cell>
          <cell r="K151">
            <v>1</v>
          </cell>
          <cell r="L151">
            <v>1.0090261453513663</v>
          </cell>
          <cell r="M151">
            <v>1.0470809964866172</v>
          </cell>
          <cell r="N151">
            <v>1.0729478549928579</v>
          </cell>
          <cell r="O151">
            <v>1.1021611869276404</v>
          </cell>
        </row>
        <row r="152">
          <cell r="E152">
            <v>91220787417</v>
          </cell>
          <cell r="F152">
            <v>92079185228</v>
          </cell>
          <cell r="G152">
            <v>95449713043</v>
          </cell>
          <cell r="H152">
            <v>97779212166</v>
          </cell>
          <cell r="I152">
            <v>100471053025</v>
          </cell>
          <cell r="K152">
            <v>1</v>
          </cell>
          <cell r="L152">
            <v>1.0094101118320322</v>
          </cell>
          <cell r="M152">
            <v>1.0463592317688313</v>
          </cell>
          <cell r="N152">
            <v>1.0718961646211109</v>
          </cell>
          <cell r="O152">
            <v>1.1014052374456496</v>
          </cell>
        </row>
        <row r="153">
          <cell r="E153">
            <v>94054408309</v>
          </cell>
          <cell r="F153">
            <v>94841796009</v>
          </cell>
          <cell r="G153">
            <v>98297905588</v>
          </cell>
          <cell r="H153">
            <v>100725536036</v>
          </cell>
          <cell r="I153">
            <v>103529935371</v>
          </cell>
          <cell r="K153">
            <v>1</v>
          </cell>
          <cell r="L153">
            <v>1.0083716193015979</v>
          </cell>
          <cell r="M153">
            <v>1.0451174735484881</v>
          </cell>
          <cell r="N153">
            <v>1.070928389715484</v>
          </cell>
          <cell r="O153">
            <v>1.1007451668918031</v>
          </cell>
        </row>
        <row r="154">
          <cell r="E154">
            <v>96907956218</v>
          </cell>
          <cell r="F154">
            <v>97752419035</v>
          </cell>
          <cell r="G154">
            <v>101332495770</v>
          </cell>
          <cell r="H154">
            <v>103868946840</v>
          </cell>
          <cell r="I154">
            <v>106755712265</v>
          </cell>
          <cell r="K154">
            <v>1</v>
          </cell>
          <cell r="L154">
            <v>1.0087140710624454</v>
          </cell>
          <cell r="M154">
            <v>1.04565713409585</v>
          </cell>
          <cell r="N154">
            <v>1.0718309506635435</v>
          </cell>
          <cell r="O154">
            <v>1.1016196856411553</v>
          </cell>
        </row>
        <row r="155">
          <cell r="E155">
            <v>99891357568</v>
          </cell>
          <cell r="F155">
            <v>100789876431</v>
          </cell>
          <cell r="G155">
            <v>104500733586</v>
          </cell>
          <cell r="H155">
            <v>107128870613</v>
          </cell>
          <cell r="I155">
            <v>110046453729</v>
          </cell>
          <cell r="K155">
            <v>1</v>
          </cell>
          <cell r="L155">
            <v>1.00899496097436</v>
          </cell>
          <cell r="M155">
            <v>1.0461438920265171</v>
          </cell>
          <cell r="N155">
            <v>1.0724538460704485</v>
          </cell>
          <cell r="O155">
            <v>1.1016614090371835</v>
          </cell>
        </row>
        <row r="156">
          <cell r="E156">
            <v>102820893296</v>
          </cell>
          <cell r="F156">
            <v>103836821778</v>
          </cell>
          <cell r="G156">
            <v>107766599210</v>
          </cell>
          <cell r="H156">
            <v>110420835287</v>
          </cell>
          <cell r="I156">
            <v>114528745567</v>
          </cell>
          <cell r="K156">
            <v>1</v>
          </cell>
          <cell r="L156">
            <v>1.0098805646346152</v>
          </cell>
          <cell r="M156">
            <v>1.0481002037179579</v>
          </cell>
          <cell r="N156">
            <v>1.0739143742811235</v>
          </cell>
          <cell r="O156">
            <v>1.1138664710614361</v>
          </cell>
        </row>
        <row r="157">
          <cell r="E157">
            <v>105715916386</v>
          </cell>
          <cell r="F157">
            <v>106743278986</v>
          </cell>
          <cell r="G157">
            <v>110796168205</v>
          </cell>
          <cell r="H157">
            <v>115166493502</v>
          </cell>
          <cell r="I157">
            <v>123462468932</v>
          </cell>
          <cell r="K157">
            <v>1</v>
          </cell>
          <cell r="L157">
            <v>1.009718144959826</v>
          </cell>
          <cell r="M157">
            <v>1.0480556948534647</v>
          </cell>
          <cell r="N157">
            <v>1.0893959721400244</v>
          </cell>
          <cell r="O157">
            <v>1.1678702049103193</v>
          </cell>
        </row>
        <row r="158">
          <cell r="E158">
            <v>108634964235</v>
          </cell>
          <cell r="F158">
            <v>109715945275</v>
          </cell>
          <cell r="G158">
            <v>115958608171</v>
          </cell>
          <cell r="H158">
            <v>123611985229</v>
          </cell>
          <cell r="I158">
            <v>131604841706</v>
          </cell>
          <cell r="K158">
            <v>1</v>
          </cell>
          <cell r="L158">
            <v>1.009950581266466</v>
          </cell>
          <cell r="M158">
            <v>1.0674151640548935</v>
          </cell>
          <cell r="N158">
            <v>1.1378655674944724</v>
          </cell>
          <cell r="O158">
            <v>1.2114409263421986</v>
          </cell>
        </row>
        <row r="159">
          <cell r="E159">
            <v>111663672745</v>
          </cell>
          <cell r="F159">
            <v>112908624044</v>
          </cell>
          <cell r="G159">
            <v>124115227250</v>
          </cell>
          <cell r="H159">
            <v>131389962392</v>
          </cell>
          <cell r="I159">
            <v>139521805020</v>
          </cell>
          <cell r="K159">
            <v>1</v>
          </cell>
          <cell r="L159">
            <v>1.0111491165246107</v>
          </cell>
          <cell r="M159">
            <v>1.1115094479601697</v>
          </cell>
          <cell r="N159">
            <v>1.1766580765442654</v>
          </cell>
          <cell r="O159">
            <v>1.2494825003528054</v>
          </cell>
        </row>
        <row r="160">
          <cell r="E160">
            <v>117738928119</v>
          </cell>
          <cell r="F160">
            <v>119165614708</v>
          </cell>
          <cell r="G160">
            <v>131512295071</v>
          </cell>
          <cell r="H160">
            <v>138965963339</v>
          </cell>
          <cell r="I160">
            <v>140185216566</v>
          </cell>
          <cell r="K160">
            <v>1</v>
          </cell>
          <cell r="L160">
            <v>1.0121173736825431</v>
          </cell>
          <cell r="M160">
            <v>1.1169822689236573</v>
          </cell>
          <cell r="N160">
            <v>1.1802890136603386</v>
          </cell>
          <cell r="O160">
            <v>1.1906445795422334</v>
          </cell>
        </row>
        <row r="161">
          <cell r="E161">
            <v>124555332399</v>
          </cell>
          <cell r="F161">
            <v>125349593055</v>
          </cell>
          <cell r="G161">
            <v>138793067933</v>
          </cell>
          <cell r="H161">
            <v>139801298423</v>
          </cell>
          <cell r="I161">
            <v>140527615543</v>
          </cell>
          <cell r="K161">
            <v>1</v>
          </cell>
          <cell r="L161">
            <v>1.0063767695906882</v>
          </cell>
          <cell r="M161">
            <v>1.1143085186300246</v>
          </cell>
          <cell r="N161">
            <v>1.1224031579407707</v>
          </cell>
          <cell r="O161">
            <v>1.1282344387539704</v>
          </cell>
        </row>
        <row r="162">
          <cell r="E162">
            <v>130914638303</v>
          </cell>
          <cell r="F162">
            <v>131348281250</v>
          </cell>
          <cell r="G162">
            <v>139697635800</v>
          </cell>
          <cell r="H162">
            <v>140138542747</v>
          </cell>
          <cell r="I162">
            <v>140870435418</v>
          </cell>
          <cell r="K162">
            <v>1</v>
          </cell>
          <cell r="L162">
            <v>1.0033124099231465</v>
          </cell>
          <cell r="M162">
            <v>1.0670894990113473</v>
          </cell>
          <cell r="N162">
            <v>1.0704573954720893</v>
          </cell>
          <cell r="O162">
            <v>1.0760480053571813</v>
          </cell>
        </row>
        <row r="163">
          <cell r="E163">
            <v>137044798159</v>
          </cell>
          <cell r="F163">
            <v>137501122814</v>
          </cell>
          <cell r="G163">
            <v>140031928737</v>
          </cell>
          <cell r="H163">
            <v>140476196558</v>
          </cell>
          <cell r="I163">
            <v>141213676203</v>
          </cell>
          <cell r="K163">
            <v>1</v>
          </cell>
          <cell r="L163">
            <v>1.0033297480906249</v>
          </cell>
          <cell r="M163">
            <v>1.0217967454301644</v>
          </cell>
          <cell r="N163">
            <v>1.0250385162012416</v>
          </cell>
          <cell r="O163">
            <v>1.0304198196502377</v>
          </cell>
        </row>
        <row r="164">
          <cell r="E164">
            <v>139455638903</v>
          </cell>
          <cell r="F164">
            <v>139922403311</v>
          </cell>
          <cell r="G164">
            <v>140366624354</v>
          </cell>
          <cell r="H164">
            <v>140814259867</v>
          </cell>
          <cell r="I164">
            <v>141557337909</v>
          </cell>
          <cell r="K164">
            <v>1</v>
          </cell>
          <cell r="L164">
            <v>1.0033470457822409</v>
          </cell>
          <cell r="M164">
            <v>1.0065324389760506</v>
          </cell>
          <cell r="N164">
            <v>1.0097423164433315</v>
          </cell>
          <cell r="O164">
            <v>1.0150707351996133</v>
          </cell>
        </row>
        <row r="165">
          <cell r="E165">
            <v>139783881144</v>
          </cell>
          <cell r="F165">
            <v>140254156496</v>
          </cell>
          <cell r="G165">
            <v>140701722661</v>
          </cell>
          <cell r="H165">
            <v>141152732687</v>
          </cell>
          <cell r="I165">
            <v>141901420549</v>
          </cell>
          <cell r="K165">
            <v>1</v>
          </cell>
          <cell r="L165">
            <v>1.0033643031524897</v>
          </cell>
          <cell r="M165">
            <v>1.0065661470370426</v>
          </cell>
          <cell r="N165">
            <v>1.0097926279610869</v>
          </cell>
          <cell r="O165">
            <v>1.0151486665534675</v>
          </cell>
        </row>
        <row r="166">
          <cell r="E166">
            <v>140112512352</v>
          </cell>
          <cell r="F166">
            <v>140586305661</v>
          </cell>
          <cell r="G166">
            <v>141037223670</v>
          </cell>
          <cell r="H166">
            <v>141491615029</v>
          </cell>
          <cell r="I166">
            <v>142245924134</v>
          </cell>
          <cell r="K166">
            <v>1</v>
          </cell>
          <cell r="L166">
            <v>1.0033815203299596</v>
          </cell>
          <cell r="M166">
            <v>1.0065997768684418</v>
          </cell>
          <cell r="N166">
            <v>1.0098428231272831</v>
          </cell>
          <cell r="O166">
            <v>1.0152264187272604</v>
          </cell>
        </row>
      </sheetData>
      <sheetData sheetId="20"/>
      <sheetData sheetId="21"/>
      <sheetData sheetId="22"/>
      <sheetData sheetId="23"/>
      <sheetData sheetId="24"/>
      <sheetData sheetId="25">
        <row r="125">
          <cell r="Z125">
            <v>1.2991436626356212</v>
          </cell>
        </row>
      </sheetData>
      <sheetData sheetId="26"/>
      <sheetData sheetId="27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基础信息"/>
      <sheetName val="其它调用"/>
      <sheetName val="功能-军团城池数"/>
      <sheetName val="资源-军团经验"/>
      <sheetName val="资源-3赛季军团信息"/>
      <sheetName val="功能-国家城池"/>
      <sheetName val="功能-军团县城"/>
      <sheetName val="功能-洛阳占领奖励"/>
      <sheetName val="功能-军略"/>
      <sheetName val="功能-采集效率"/>
      <sheetName val="资源-军团贡献"/>
      <sheetName val="功能-军团捐献"/>
      <sheetName val="功能-军团福利"/>
      <sheetName val="功能-军团目标"/>
      <sheetName val="功能-军团建筑"/>
      <sheetName val="功能-军团帮助"/>
      <sheetName val="功能-军团boss活动"/>
      <sheetName val="功能-军团加入创建奖励"/>
      <sheetName val="功能-军团联赛"/>
      <sheetName val="功能-敌军入侵活动"/>
      <sheetName val="资源-军团币"/>
      <sheetName val="功能-军团技术"/>
      <sheetName val="产出汇总"/>
      <sheetName val="Sheet1"/>
      <sheetName val="功能-军团战"/>
      <sheetName val="功能-县城"/>
      <sheetName val="资源-占领城池奖励"/>
      <sheetName val="功能-行军令"/>
      <sheetName val="功能-占领城池奖励"/>
      <sheetName val="#REF"/>
    </sheetNames>
    <sheetDataSet>
      <sheetData sheetId="0"/>
      <sheetData sheetId="1">
        <row r="4">
          <cell r="D4">
            <v>0</v>
          </cell>
          <cell r="F4">
            <v>0.2</v>
          </cell>
        </row>
        <row r="5">
          <cell r="F5">
            <v>0.2</v>
          </cell>
          <cell r="G5">
            <v>60</v>
          </cell>
        </row>
        <row r="6">
          <cell r="F6">
            <v>0.60000000000000009</v>
          </cell>
          <cell r="G6">
            <v>62</v>
          </cell>
        </row>
        <row r="7">
          <cell r="F7">
            <v>1.2000000000000002</v>
          </cell>
          <cell r="G7">
            <v>64</v>
          </cell>
        </row>
        <row r="8">
          <cell r="F8">
            <v>2.04</v>
          </cell>
          <cell r="G8">
            <v>66</v>
          </cell>
        </row>
        <row r="9">
          <cell r="F9">
            <v>3.16</v>
          </cell>
          <cell r="G9">
            <v>68</v>
          </cell>
        </row>
        <row r="10">
          <cell r="F10">
            <v>4.6000000000000005</v>
          </cell>
          <cell r="G10">
            <v>70</v>
          </cell>
        </row>
        <row r="11">
          <cell r="F11">
            <v>6.4</v>
          </cell>
          <cell r="G11">
            <v>72</v>
          </cell>
        </row>
        <row r="12">
          <cell r="F12">
            <v>8.6000000000000014</v>
          </cell>
          <cell r="G12">
            <v>74</v>
          </cell>
        </row>
        <row r="13">
          <cell r="F13">
            <v>11.240000000000002</v>
          </cell>
          <cell r="G13">
            <v>76</v>
          </cell>
        </row>
        <row r="14">
          <cell r="F14">
            <v>14.360000000000003</v>
          </cell>
          <cell r="G14">
            <v>80</v>
          </cell>
        </row>
        <row r="15">
          <cell r="F15">
            <v>18.000000000000004</v>
          </cell>
          <cell r="G15">
            <v>82</v>
          </cell>
        </row>
        <row r="16">
          <cell r="F16">
            <v>22.200000000000003</v>
          </cell>
          <cell r="G16">
            <v>84</v>
          </cell>
        </row>
        <row r="17">
          <cell r="F17">
            <v>27.000000000000004</v>
          </cell>
          <cell r="G17">
            <v>86</v>
          </cell>
        </row>
        <row r="18">
          <cell r="F18">
            <v>32.440000000000005</v>
          </cell>
          <cell r="G18">
            <v>88</v>
          </cell>
        </row>
        <row r="19">
          <cell r="F19">
            <v>38.56</v>
          </cell>
          <cell r="G19">
            <v>90</v>
          </cell>
        </row>
        <row r="20">
          <cell r="F20">
            <v>45.4</v>
          </cell>
          <cell r="G20">
            <v>92</v>
          </cell>
        </row>
        <row r="21">
          <cell r="F21">
            <v>53</v>
          </cell>
          <cell r="G21">
            <v>94</v>
          </cell>
        </row>
        <row r="22">
          <cell r="F22">
            <v>61.4</v>
          </cell>
          <cell r="G22">
            <v>96</v>
          </cell>
        </row>
        <row r="23">
          <cell r="F23">
            <v>70.64</v>
          </cell>
          <cell r="G23">
            <v>98</v>
          </cell>
        </row>
        <row r="24">
          <cell r="F24">
            <v>80.760000000000005</v>
          </cell>
          <cell r="G24">
            <v>100</v>
          </cell>
        </row>
        <row r="28">
          <cell r="D28">
            <v>2.6222449687830749</v>
          </cell>
          <cell r="E28">
            <v>3.0548263156799691</v>
          </cell>
          <cell r="F28">
            <v>3.7070912504150391</v>
          </cell>
          <cell r="G28">
            <v>4.9367677595581529</v>
          </cell>
          <cell r="H28">
            <v>8.116265411218798</v>
          </cell>
        </row>
        <row r="29">
          <cell r="D29">
            <v>2.6222449687830749</v>
          </cell>
          <cell r="E29">
            <v>3.0548263156799691</v>
          </cell>
          <cell r="F29">
            <v>3.7070912504150391</v>
          </cell>
          <cell r="G29">
            <v>4.9367677595581529</v>
          </cell>
          <cell r="H29">
            <v>8.116265411218798</v>
          </cell>
        </row>
        <row r="30">
          <cell r="D30">
            <v>6.774747750120004</v>
          </cell>
          <cell r="E30">
            <v>7.6806609280366285</v>
          </cell>
          <cell r="F30">
            <v>9.0742448837092802</v>
          </cell>
          <cell r="G30">
            <v>11.28032181882771</v>
          </cell>
          <cell r="H30">
            <v>16.092280740338374</v>
          </cell>
        </row>
        <row r="31">
          <cell r="D31">
            <v>11.366936326600809</v>
          </cell>
          <cell r="E31">
            <v>12.581632373834582</v>
          </cell>
          <cell r="F31">
            <v>14.328692454225996</v>
          </cell>
          <cell r="G31">
            <v>17.194769979801354</v>
          </cell>
          <cell r="H31">
            <v>23.360786327608999</v>
          </cell>
        </row>
        <row r="32">
          <cell r="D32">
            <v>16.039374053968356</v>
          </cell>
          <cell r="E32">
            <v>17.464116647178056</v>
          </cell>
          <cell r="F32">
            <v>19.477937384027719</v>
          </cell>
          <cell r="G32">
            <v>22.769406391764477</v>
          </cell>
          <cell r="H32">
            <v>29.629892776079426</v>
          </cell>
        </row>
        <row r="33">
          <cell r="D33">
            <v>20.557309046916519</v>
          </cell>
          <cell r="E33">
            <v>22.125991673268196</v>
          </cell>
          <cell r="F33">
            <v>24.32801269467188</v>
          </cell>
          <cell r="G33">
            <v>27.978307587376275</v>
          </cell>
          <cell r="H33">
            <v>35.216396380897201</v>
          </cell>
        </row>
        <row r="34">
          <cell r="D34">
            <v>24.849918540943076</v>
          </cell>
          <cell r="E34">
            <v>26.503993823176689</v>
          </cell>
          <cell r="F34">
            <v>28.86417158781855</v>
          </cell>
          <cell r="G34">
            <v>32.61183801402732</v>
          </cell>
          <cell r="H34">
            <v>40.277268685072613</v>
          </cell>
        </row>
        <row r="35">
          <cell r="D35">
            <v>28.871435989877604</v>
          </cell>
          <cell r="E35">
            <v>30.584388024505706</v>
          </cell>
          <cell r="F35">
            <v>33.05817192436205</v>
          </cell>
          <cell r="G35">
            <v>36.96265017981947</v>
          </cell>
          <cell r="H35">
            <v>44.777585180686216</v>
          </cell>
        </row>
        <row r="36">
          <cell r="D36">
            <v>32.622244968783079</v>
          </cell>
          <cell r="E36">
            <v>34.399191094548193</v>
          </cell>
          <cell r="F36">
            <v>36.892848977677872</v>
          </cell>
          <cell r="G36">
            <v>40.952772068276055</v>
          </cell>
          <cell r="H36">
            <v>49.081973484869962</v>
          </cell>
        </row>
        <row r="37">
          <cell r="D37">
            <v>36.131295765987311</v>
          </cell>
          <cell r="E37">
            <v>37.935671041928963</v>
          </cell>
          <cell r="F37">
            <v>40.545247328224029</v>
          </cell>
          <cell r="G37">
            <v>44.586441909072747</v>
          </cell>
          <cell r="H37">
            <v>52.871775054505605</v>
          </cell>
        </row>
        <row r="38">
          <cell r="D38">
            <v>39.402690953083486</v>
          </cell>
          <cell r="E38">
            <v>41.263840031787083</v>
          </cell>
          <cell r="F38">
            <v>43.840862909888635</v>
          </cell>
          <cell r="G38">
            <v>48.090654903003475</v>
          </cell>
          <cell r="H38">
            <v>56.533934008276852</v>
          </cell>
        </row>
        <row r="39">
          <cell r="D39">
            <v>42.470630686057078</v>
          </cell>
          <cell r="E39">
            <v>44.32123076997032</v>
          </cell>
          <cell r="F39">
            <v>47.002405448181747</v>
          </cell>
          <cell r="G39">
            <v>51.307235833425089</v>
          </cell>
          <cell r="H39">
            <v>59.782901351568675</v>
          </cell>
        </row>
        <row r="40">
          <cell r="D40">
            <v>45.352565305146015</v>
          </cell>
          <cell r="E40">
            <v>47.235260506333383</v>
          </cell>
          <cell r="F40">
            <v>49.99643321974709</v>
          </cell>
          <cell r="G40">
            <v>54.28793652417658</v>
          </cell>
          <cell r="H40">
            <v>62.682688810502086</v>
          </cell>
        </row>
        <row r="41">
          <cell r="D41">
            <v>48.071211008105138</v>
          </cell>
          <cell r="E41">
            <v>49.981218513907912</v>
          </cell>
          <cell r="F41">
            <v>52.705993248660157</v>
          </cell>
          <cell r="G41">
            <v>57.175765669822162</v>
          </cell>
          <cell r="H41">
            <v>65.541743280100334</v>
          </cell>
        </row>
        <row r="42">
          <cell r="D42">
            <v>50.62697267778109</v>
          </cell>
          <cell r="E42">
            <v>52.578984885430671</v>
          </cell>
          <cell r="F42">
            <v>55.355145725933269</v>
          </cell>
          <cell r="G42">
            <v>59.83184531087668</v>
          </cell>
          <cell r="H42">
            <v>68.263912144808316</v>
          </cell>
        </row>
        <row r="43">
          <cell r="D43">
            <v>53.057779363693086</v>
          </cell>
          <cell r="E43">
            <v>55.009959862880557</v>
          </cell>
          <cell r="F43">
            <v>57.863914973931202</v>
          </cell>
          <cell r="G43">
            <v>62.251988664622786</v>
          </cell>
          <cell r="H43">
            <v>70.784322378416604</v>
          </cell>
        </row>
        <row r="44">
          <cell r="D44">
            <v>55.352565305146008</v>
          </cell>
          <cell r="E44">
            <v>57.345964174105454</v>
          </cell>
          <cell r="F44">
            <v>60.209356484344852</v>
          </cell>
          <cell r="G44">
            <v>64.523574743889142</v>
          </cell>
          <cell r="H44">
            <v>73.158663051895473</v>
          </cell>
        </row>
        <row r="45">
          <cell r="D45">
            <v>57.540284631526099</v>
          </cell>
          <cell r="E45">
            <v>59.564417547460899</v>
          </cell>
          <cell r="F45">
            <v>62.395461425033538</v>
          </cell>
          <cell r="G45">
            <v>66.819253686739231</v>
          </cell>
          <cell r="H45">
            <v>75.318351032805268</v>
          </cell>
        </row>
        <row r="46">
          <cell r="D46">
            <v>59.626681845677176</v>
          </cell>
          <cell r="E46">
            <v>61.660171244458233</v>
          </cell>
          <cell r="F46">
            <v>64.458559820126382</v>
          </cell>
          <cell r="G46">
            <v>68.967179004022753</v>
          </cell>
          <cell r="H46">
            <v>77.452922026676362</v>
          </cell>
        </row>
        <row r="47">
          <cell r="D47">
            <v>61.618805381989979</v>
          </cell>
          <cell r="E47">
            <v>63.643006199811026</v>
          </cell>
          <cell r="F47">
            <v>66.447584945695539</v>
          </cell>
          <cell r="G47">
            <v>71.005436121168188</v>
          </cell>
          <cell r="H47">
            <v>79.54091524788663</v>
          </cell>
        </row>
        <row r="48">
          <cell r="D48">
            <v>63.524601085339192</v>
          </cell>
          <cell r="E48">
            <v>65.545424062600986</v>
          </cell>
          <cell r="F48">
            <v>68.444574876938063</v>
          </cell>
          <cell r="G48">
            <v>72.963636235896985</v>
          </cell>
          <cell r="H48">
            <v>81.54020412161843</v>
          </cell>
        </row>
      </sheetData>
      <sheetData sheetId="2"/>
      <sheetData sheetId="3">
        <row r="4">
          <cell r="C4">
            <v>1</v>
          </cell>
        </row>
      </sheetData>
      <sheetData sheetId="4">
        <row r="8">
          <cell r="E8">
            <v>400000</v>
          </cell>
        </row>
      </sheetData>
      <sheetData sheetId="5">
        <row r="5">
          <cell r="G5">
            <v>100</v>
          </cell>
        </row>
      </sheetData>
      <sheetData sheetId="6">
        <row r="5">
          <cell r="CD5">
            <v>4.7848975024195397</v>
          </cell>
        </row>
      </sheetData>
      <sheetData sheetId="7">
        <row r="6">
          <cell r="AD6">
            <v>600</v>
          </cell>
        </row>
      </sheetData>
      <sheetData sheetId="8"/>
      <sheetData sheetId="9">
        <row r="3">
          <cell r="S3">
            <v>100</v>
          </cell>
        </row>
      </sheetData>
      <sheetData sheetId="10">
        <row r="4">
          <cell r="K4">
            <v>0</v>
          </cell>
        </row>
      </sheetData>
      <sheetData sheetId="11"/>
      <sheetData sheetId="12">
        <row r="4">
          <cell r="D4">
            <v>5000</v>
          </cell>
        </row>
      </sheetData>
      <sheetData sheetId="13">
        <row r="4">
          <cell r="C4">
            <v>0.12</v>
          </cell>
        </row>
      </sheetData>
      <sheetData sheetId="14">
        <row r="8">
          <cell r="P8">
            <v>2</v>
          </cell>
        </row>
      </sheetData>
      <sheetData sheetId="15">
        <row r="4">
          <cell r="V4">
            <v>120</v>
          </cell>
        </row>
      </sheetData>
      <sheetData sheetId="16"/>
      <sheetData sheetId="17">
        <row r="3">
          <cell r="H3" t="str">
            <v>活动开启对应军团等级</v>
          </cell>
        </row>
        <row r="11">
          <cell r="Q11">
            <v>20</v>
          </cell>
          <cell r="AA11">
            <v>2658288021.7453041</v>
          </cell>
        </row>
        <row r="12">
          <cell r="Q12">
            <v>28.071211008105138</v>
          </cell>
          <cell r="AA12">
            <v>5386391892.6952181</v>
          </cell>
        </row>
        <row r="13">
          <cell r="Q13">
            <v>33.213386604241784</v>
          </cell>
          <cell r="AA13">
            <v>14824820910.115423</v>
          </cell>
        </row>
        <row r="14">
          <cell r="Q14">
            <v>37.004247194324648</v>
          </cell>
          <cell r="AA14">
            <v>21170392075.271721</v>
          </cell>
        </row>
        <row r="15">
          <cell r="Q15">
            <v>40</v>
          </cell>
          <cell r="AA15">
            <v>34371199569.778328</v>
          </cell>
        </row>
        <row r="16">
          <cell r="Q16">
            <v>43.920692243099523</v>
          </cell>
          <cell r="AA16">
            <v>48226980086.772774</v>
          </cell>
        </row>
        <row r="17">
          <cell r="Q17">
            <v>48.071211008105138</v>
          </cell>
          <cell r="AA17">
            <v>84966035151.295792</v>
          </cell>
        </row>
        <row r="18">
          <cell r="Q18">
            <v>53.213386604241784</v>
          </cell>
          <cell r="AA18">
            <v>148981858116.39514</v>
          </cell>
        </row>
        <row r="19">
          <cell r="Q19">
            <v>56.717296680108156</v>
          </cell>
          <cell r="AA19">
            <v>222240185362.08664</v>
          </cell>
        </row>
        <row r="20">
          <cell r="Q20">
            <v>60.435397692903535</v>
          </cell>
          <cell r="AA20">
            <v>325293790659.08075</v>
          </cell>
        </row>
        <row r="21">
          <cell r="Q21">
            <v>63.39021301395622</v>
          </cell>
          <cell r="AA21">
            <v>444752254529.35345</v>
          </cell>
        </row>
        <row r="22">
          <cell r="Q22">
            <v>67.942312709427185</v>
          </cell>
          <cell r="AA22">
            <v>639357677732.95264</v>
          </cell>
        </row>
        <row r="23">
          <cell r="Q23">
            <v>72.375871759353331</v>
          </cell>
          <cell r="AA23">
            <v>888516876461.80688</v>
          </cell>
        </row>
        <row r="24">
          <cell r="Q24">
            <v>76.501855167563733</v>
          </cell>
          <cell r="AA24">
            <v>1193957681442.6216</v>
          </cell>
        </row>
        <row r="25">
          <cell r="Q25">
            <v>82.328492296001457</v>
          </cell>
          <cell r="AA25">
            <v>1811843291725.4473</v>
          </cell>
        </row>
        <row r="26">
          <cell r="Q26">
            <v>89.679179711128825</v>
          </cell>
          <cell r="AA26">
            <v>2961817050614.0615</v>
          </cell>
        </row>
        <row r="31">
          <cell r="U31">
            <v>151.75795573988736</v>
          </cell>
        </row>
        <row r="32">
          <cell r="U32">
            <v>153.15024891405164</v>
          </cell>
        </row>
        <row r="33">
          <cell r="U33">
            <v>156.28635775366101</v>
          </cell>
        </row>
        <row r="34">
          <cell r="U34"/>
        </row>
        <row r="35">
          <cell r="U35"/>
        </row>
        <row r="37">
          <cell r="U37" t="str">
            <v>怪物数量</v>
          </cell>
        </row>
        <row r="38">
          <cell r="U38">
            <v>25</v>
          </cell>
        </row>
        <row r="39">
          <cell r="U39">
            <v>25</v>
          </cell>
        </row>
        <row r="40">
          <cell r="U40">
            <v>25</v>
          </cell>
        </row>
        <row r="41">
          <cell r="U41">
            <v>25</v>
          </cell>
        </row>
        <row r="42">
          <cell r="U42">
            <v>25</v>
          </cell>
        </row>
        <row r="43">
          <cell r="U43">
            <v>25</v>
          </cell>
        </row>
        <row r="44">
          <cell r="U44">
            <v>25</v>
          </cell>
        </row>
        <row r="45">
          <cell r="U45">
            <v>25</v>
          </cell>
        </row>
        <row r="46">
          <cell r="U46">
            <v>25</v>
          </cell>
        </row>
      </sheetData>
      <sheetData sheetId="18">
        <row r="6">
          <cell r="E6">
            <v>0</v>
          </cell>
        </row>
      </sheetData>
      <sheetData sheetId="19">
        <row r="6">
          <cell r="AL6">
            <v>0</v>
          </cell>
        </row>
      </sheetData>
      <sheetData sheetId="20">
        <row r="4">
          <cell r="CI4">
            <v>1</v>
          </cell>
        </row>
      </sheetData>
      <sheetData sheetId="21">
        <row r="5">
          <cell r="E5">
            <v>166.23764863790916</v>
          </cell>
        </row>
      </sheetData>
      <sheetData sheetId="22">
        <row r="3">
          <cell r="AL3" t="str">
            <v>仓库上限</v>
          </cell>
        </row>
      </sheetData>
      <sheetData sheetId="23">
        <row r="6">
          <cell r="E6">
            <v>76.396093375545178</v>
          </cell>
        </row>
      </sheetData>
      <sheetData sheetId="24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活跃活动设计大纲"/>
      <sheetName val="开服活动设计"/>
      <sheetName val="活动产出汇总"/>
      <sheetName val="排名奖励汇总"/>
      <sheetName val="节奏总纲"/>
      <sheetName val="数据引用"/>
      <sheetName val="道具投放节奏"/>
      <sheetName val="活动标准"/>
      <sheetName val="门客投放记录"/>
      <sheetName val="开服排名活动"/>
      <sheetName val="踏青活动"/>
      <sheetName val="端午活动"/>
      <sheetName val="夏日活动"/>
      <sheetName val="小暑活动"/>
      <sheetName val="大暑活动"/>
      <sheetName val="七夕活动"/>
      <sheetName val="夏末活动"/>
      <sheetName val="中秋活动"/>
      <sheetName val="国庆活动"/>
      <sheetName val="双十一新服活动"/>
      <sheetName val="冬至+圣诞"/>
      <sheetName val="限时抽兵法系列活动"/>
      <sheetName val="投壶小游戏"/>
      <sheetName val="活动集结怪"/>
      <sheetName val="限时答题（单日开放）"/>
      <sheetName val="限时答题（周期开放）"/>
      <sheetName val="资源兑换加速令"/>
      <sheetName val="活动副本"/>
      <sheetName val="七日狂欢"/>
      <sheetName val="君临天下"/>
      <sheetName val="招贤纳士"/>
      <sheetName val="义渠入侵"/>
      <sheetName val="采集活动"/>
      <sheetName val="尊王攘夷"/>
      <sheetName val="攻城活动"/>
      <sheetName val="全力冲刺（城建时间+招募时间）"/>
      <sheetName val="全力冲刺（训练时间+圣人时间）"/>
      <sheetName val="全力冲刺（招募时间+治疗时间）"/>
      <sheetName val="造兵数量"/>
      <sheetName val="限时兑换（含礼包）"/>
      <sheetName val="限时兑换（活跃）"/>
      <sheetName val="限时补给"/>
      <sheetName val="限时掉落"/>
      <sheetName val="大地图寻宝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BG4">
            <v>1</v>
          </cell>
          <cell r="BH4">
            <v>1</v>
          </cell>
          <cell r="BI4">
            <v>234.22611594202894</v>
          </cell>
          <cell r="BJ4">
            <v>60</v>
          </cell>
        </row>
        <row r="5">
          <cell r="BG5">
            <v>1</v>
          </cell>
          <cell r="BH5">
            <v>2</v>
          </cell>
          <cell r="BI5">
            <v>214.01395072463765</v>
          </cell>
          <cell r="BJ5">
            <v>55</v>
          </cell>
        </row>
        <row r="6">
          <cell r="BG6">
            <v>2</v>
          </cell>
          <cell r="BH6">
            <v>3</v>
          </cell>
          <cell r="BI6">
            <v>171.98439710144928</v>
          </cell>
          <cell r="BJ6">
            <v>50</v>
          </cell>
        </row>
        <row r="7">
          <cell r="BG7">
            <v>3</v>
          </cell>
          <cell r="BH7">
            <v>5</v>
          </cell>
          <cell r="BI7">
            <v>140.45305217391302</v>
          </cell>
          <cell r="BJ7">
            <v>45</v>
          </cell>
        </row>
        <row r="8">
          <cell r="BG8">
            <v>5</v>
          </cell>
          <cell r="BH8">
            <v>7</v>
          </cell>
          <cell r="BI8">
            <v>118.31632499999998</v>
          </cell>
          <cell r="BJ8">
            <v>40</v>
          </cell>
        </row>
        <row r="9">
          <cell r="BG9">
            <v>7</v>
          </cell>
          <cell r="BH9">
            <v>11</v>
          </cell>
          <cell r="BI9">
            <v>99.502254337606686</v>
          </cell>
          <cell r="BJ9">
            <v>35</v>
          </cell>
        </row>
        <row r="10">
          <cell r="BG10">
            <v>11</v>
          </cell>
          <cell r="BH10">
            <v>16</v>
          </cell>
          <cell r="BI10">
            <v>88.937302359175987</v>
          </cell>
          <cell r="BJ10">
            <v>30</v>
          </cell>
        </row>
        <row r="11">
          <cell r="BG11">
            <v>16</v>
          </cell>
          <cell r="BH11">
            <v>22</v>
          </cell>
          <cell r="BI11">
            <v>79.534158467053274</v>
          </cell>
          <cell r="BJ11">
            <v>30</v>
          </cell>
        </row>
        <row r="12">
          <cell r="BG12">
            <v>22</v>
          </cell>
          <cell r="BH12">
            <v>34</v>
          </cell>
          <cell r="BI12">
            <v>75.898554398119117</v>
          </cell>
          <cell r="BJ12">
            <v>30</v>
          </cell>
        </row>
        <row r="13">
          <cell r="BG13">
            <v>34</v>
          </cell>
          <cell r="BH13">
            <v>46</v>
          </cell>
          <cell r="BI13">
            <v>76.758167747745446</v>
          </cell>
          <cell r="BJ13">
            <v>30</v>
          </cell>
        </row>
        <row r="14">
          <cell r="BG14">
            <v>46</v>
          </cell>
          <cell r="BH14">
            <v>66</v>
          </cell>
          <cell r="BI14">
            <v>77.699295737854541</v>
          </cell>
          <cell r="BJ14">
            <v>30</v>
          </cell>
        </row>
        <row r="15">
          <cell r="BG15">
            <v>66</v>
          </cell>
          <cell r="BH15">
            <v>91</v>
          </cell>
          <cell r="BI15">
            <v>78.786700805925989</v>
          </cell>
          <cell r="BJ15">
            <v>30</v>
          </cell>
        </row>
        <row r="16">
          <cell r="BG16">
            <v>91</v>
          </cell>
          <cell r="BH16">
            <v>131</v>
          </cell>
          <cell r="BI16">
            <v>79.27720888204</v>
          </cell>
          <cell r="BJ16">
            <v>30</v>
          </cell>
        </row>
        <row r="17">
          <cell r="BG17">
            <v>131</v>
          </cell>
          <cell r="BH17">
            <v>186</v>
          </cell>
          <cell r="BI17">
            <v>79.277208882040028</v>
          </cell>
          <cell r="BJ17">
            <v>30</v>
          </cell>
        </row>
        <row r="18">
          <cell r="BG18">
            <v>186</v>
          </cell>
          <cell r="BH18">
            <v>261</v>
          </cell>
          <cell r="BI18">
            <v>79.277208882040014</v>
          </cell>
          <cell r="BJ18">
            <v>30</v>
          </cell>
        </row>
        <row r="19">
          <cell r="BG19">
            <v>261</v>
          </cell>
          <cell r="BH19">
            <v>411</v>
          </cell>
          <cell r="BI19">
            <v>79.277208882040014</v>
          </cell>
          <cell r="BJ19">
            <v>30</v>
          </cell>
        </row>
        <row r="20">
          <cell r="BG20">
            <v>411</v>
          </cell>
          <cell r="BH20">
            <v>561</v>
          </cell>
          <cell r="BI20">
            <v>79.277208882040014</v>
          </cell>
          <cell r="BJ20">
            <v>30</v>
          </cell>
        </row>
        <row r="21">
          <cell r="BG21">
            <v>561</v>
          </cell>
          <cell r="BH21">
            <v>711</v>
          </cell>
          <cell r="BI21">
            <v>79.277208882040014</v>
          </cell>
          <cell r="BJ21">
            <v>30</v>
          </cell>
        </row>
        <row r="22">
          <cell r="BG22">
            <v>711</v>
          </cell>
          <cell r="BH22">
            <v>861</v>
          </cell>
          <cell r="BI22">
            <v>79.277208882040014</v>
          </cell>
          <cell r="BJ22">
            <v>30</v>
          </cell>
        </row>
        <row r="23">
          <cell r="BG23">
            <v>861</v>
          </cell>
          <cell r="BH23">
            <v>1011</v>
          </cell>
          <cell r="BI23">
            <v>79.277208882040014</v>
          </cell>
          <cell r="BJ23">
            <v>30</v>
          </cell>
        </row>
        <row r="24">
          <cell r="BG24">
            <v>1011</v>
          </cell>
          <cell r="BH24">
            <v>1161</v>
          </cell>
          <cell r="BI24">
            <v>79.277208882040014</v>
          </cell>
          <cell r="BJ24">
            <v>30</v>
          </cell>
        </row>
        <row r="25">
          <cell r="BG25">
            <v>1161</v>
          </cell>
          <cell r="BH25">
            <v>1311</v>
          </cell>
          <cell r="BI25">
            <v>79.277208882040014</v>
          </cell>
          <cell r="BJ25">
            <v>30</v>
          </cell>
        </row>
        <row r="26">
          <cell r="BG26">
            <v>1311</v>
          </cell>
          <cell r="BH26">
            <v>1461</v>
          </cell>
          <cell r="BI26">
            <v>79.277208882040014</v>
          </cell>
          <cell r="BJ26">
            <v>30</v>
          </cell>
        </row>
        <row r="27">
          <cell r="BG27">
            <v>1461</v>
          </cell>
          <cell r="BH27">
            <v>1611</v>
          </cell>
          <cell r="BI27">
            <v>79.277208882040014</v>
          </cell>
          <cell r="BJ27">
            <v>30</v>
          </cell>
        </row>
        <row r="28">
          <cell r="BG28">
            <v>1611</v>
          </cell>
          <cell r="BH28">
            <v>1761</v>
          </cell>
          <cell r="BI28">
            <v>79.277208882040014</v>
          </cell>
          <cell r="BJ28">
            <v>30</v>
          </cell>
        </row>
        <row r="29">
          <cell r="BG29">
            <v>1761</v>
          </cell>
          <cell r="BH29">
            <v>1911</v>
          </cell>
          <cell r="BI29">
            <v>79.277208882040014</v>
          </cell>
          <cell r="BJ29">
            <v>30</v>
          </cell>
        </row>
        <row r="30">
          <cell r="BG30">
            <v>1911</v>
          </cell>
          <cell r="BH30">
            <v>2061</v>
          </cell>
          <cell r="BI30">
            <v>79.277208882040014</v>
          </cell>
          <cell r="BJ30">
            <v>30</v>
          </cell>
        </row>
        <row r="31">
          <cell r="BG31">
            <v>2061</v>
          </cell>
          <cell r="BH31">
            <v>2211</v>
          </cell>
          <cell r="BI31">
            <v>79.277208882040014</v>
          </cell>
          <cell r="BJ31">
            <v>30</v>
          </cell>
        </row>
        <row r="32">
          <cell r="BG32">
            <v>2211</v>
          </cell>
          <cell r="BH32">
            <v>2361</v>
          </cell>
          <cell r="BI32">
            <v>79.277208882040014</v>
          </cell>
          <cell r="BJ32">
            <v>30</v>
          </cell>
        </row>
        <row r="33">
          <cell r="BG33">
            <v>2361</v>
          </cell>
          <cell r="BH33">
            <v>2511</v>
          </cell>
          <cell r="BI33">
            <v>79.277208882040014</v>
          </cell>
          <cell r="BJ33">
            <v>30</v>
          </cell>
        </row>
        <row r="37">
          <cell r="BI37" t="e">
            <v>#VALUE!</v>
          </cell>
          <cell r="BJ37">
            <v>20</v>
          </cell>
        </row>
        <row r="38">
          <cell r="BI38" t="e">
            <v>#VALUE!</v>
          </cell>
          <cell r="BJ38">
            <v>20</v>
          </cell>
        </row>
        <row r="39">
          <cell r="BI39" t="e">
            <v>#VALUE!</v>
          </cell>
          <cell r="BJ39">
            <v>20</v>
          </cell>
        </row>
        <row r="40">
          <cell r="BI40" t="e">
            <v>#VALUE!</v>
          </cell>
          <cell r="BJ40">
            <v>20</v>
          </cell>
        </row>
        <row r="41">
          <cell r="BI41" t="e">
            <v>#VALUE!</v>
          </cell>
          <cell r="BJ41">
            <v>20</v>
          </cell>
        </row>
        <row r="42">
          <cell r="BI42" t="e">
            <v>#VALUE!</v>
          </cell>
          <cell r="BJ42">
            <v>20</v>
          </cell>
        </row>
        <row r="43">
          <cell r="BI43" t="e">
            <v>#VALUE!</v>
          </cell>
          <cell r="BJ43">
            <v>20</v>
          </cell>
        </row>
        <row r="44">
          <cell r="BI44" t="e">
            <v>#VALUE!</v>
          </cell>
          <cell r="BJ44">
            <v>20</v>
          </cell>
        </row>
        <row r="45">
          <cell r="BI45" t="e">
            <v>#VALUE!</v>
          </cell>
          <cell r="BJ45">
            <v>20</v>
          </cell>
        </row>
        <row r="46">
          <cell r="BI46" t="e">
            <v>#VALUE!</v>
          </cell>
          <cell r="BJ46">
            <v>20</v>
          </cell>
        </row>
        <row r="47">
          <cell r="BI47" t="e">
            <v>#VALUE!</v>
          </cell>
          <cell r="BJ47">
            <v>20</v>
          </cell>
        </row>
        <row r="48">
          <cell r="BI48" t="e">
            <v>#VALUE!</v>
          </cell>
          <cell r="BJ48">
            <v>20</v>
          </cell>
        </row>
        <row r="49">
          <cell r="BI49" t="e">
            <v>#VALUE!</v>
          </cell>
          <cell r="BJ49">
            <v>20</v>
          </cell>
        </row>
        <row r="50">
          <cell r="BI50" t="e">
            <v>#VALUE!</v>
          </cell>
          <cell r="BJ50">
            <v>20</v>
          </cell>
        </row>
        <row r="51">
          <cell r="BI51" t="e">
            <v>#VALUE!</v>
          </cell>
          <cell r="BJ51">
            <v>20</v>
          </cell>
        </row>
        <row r="52">
          <cell r="BI52" t="e">
            <v>#VALUE!</v>
          </cell>
          <cell r="BJ52">
            <v>20</v>
          </cell>
        </row>
        <row r="53">
          <cell r="BI53" t="e">
            <v>#VALUE!</v>
          </cell>
          <cell r="BJ53">
            <v>20</v>
          </cell>
        </row>
        <row r="54">
          <cell r="BI54" t="e">
            <v>#VALUE!</v>
          </cell>
          <cell r="BJ54">
            <v>20</v>
          </cell>
        </row>
        <row r="55">
          <cell r="BI55" t="e">
            <v>#VALUE!</v>
          </cell>
          <cell r="BJ55">
            <v>20</v>
          </cell>
        </row>
        <row r="56">
          <cell r="BI56" t="e">
            <v>#VALUE!</v>
          </cell>
          <cell r="BJ56">
            <v>20</v>
          </cell>
        </row>
        <row r="57">
          <cell r="BI57" t="e">
            <v>#VALUE!</v>
          </cell>
          <cell r="BJ57">
            <v>20</v>
          </cell>
        </row>
        <row r="58">
          <cell r="BI58" t="e">
            <v>#VALUE!</v>
          </cell>
          <cell r="BJ58">
            <v>20</v>
          </cell>
        </row>
        <row r="59">
          <cell r="BI59" t="e">
            <v>#VALUE!</v>
          </cell>
          <cell r="BJ59">
            <v>20</v>
          </cell>
        </row>
        <row r="60">
          <cell r="BI60" t="e">
            <v>#VALUE!</v>
          </cell>
          <cell r="BJ60">
            <v>20</v>
          </cell>
        </row>
        <row r="61">
          <cell r="BI61" t="e">
            <v>#VALUE!</v>
          </cell>
          <cell r="BJ61">
            <v>20</v>
          </cell>
        </row>
        <row r="62">
          <cell r="BI62" t="e">
            <v>#VALUE!</v>
          </cell>
          <cell r="BJ62">
            <v>20</v>
          </cell>
        </row>
        <row r="63">
          <cell r="BI63" t="e">
            <v>#VALUE!</v>
          </cell>
          <cell r="BJ63">
            <v>20</v>
          </cell>
        </row>
        <row r="64">
          <cell r="BI64" t="e">
            <v>#VALUE!</v>
          </cell>
          <cell r="BJ64">
            <v>20</v>
          </cell>
        </row>
        <row r="65">
          <cell r="BI65" t="e">
            <v>#VALUE!</v>
          </cell>
          <cell r="BJ65">
            <v>20</v>
          </cell>
        </row>
        <row r="66">
          <cell r="BI66" t="e">
            <v>#VALUE!</v>
          </cell>
          <cell r="BJ66">
            <v>20</v>
          </cell>
        </row>
        <row r="71">
          <cell r="BI71">
            <v>1560.3543271221531</v>
          </cell>
          <cell r="BJ71">
            <v>120</v>
          </cell>
        </row>
        <row r="72">
          <cell r="BI72">
            <v>1483.8206252587988</v>
          </cell>
          <cell r="BJ72">
            <v>110</v>
          </cell>
        </row>
        <row r="73">
          <cell r="BI73">
            <v>1291.00235610766</v>
          </cell>
          <cell r="BJ73">
            <v>100</v>
          </cell>
        </row>
        <row r="74">
          <cell r="BI74">
            <v>1172.660661490683</v>
          </cell>
          <cell r="BJ74">
            <v>90</v>
          </cell>
        </row>
        <row r="75">
          <cell r="BI75">
            <v>1101.4668214285709</v>
          </cell>
          <cell r="BJ75">
            <v>80</v>
          </cell>
        </row>
        <row r="76">
          <cell r="BI76">
            <v>950.81918396947265</v>
          </cell>
          <cell r="BJ76">
            <v>70</v>
          </cell>
        </row>
        <row r="77">
          <cell r="BI77">
            <v>878.7730898111954</v>
          </cell>
          <cell r="BJ77">
            <v>60</v>
          </cell>
        </row>
        <row r="78">
          <cell r="BI78">
            <v>799.30699184966397</v>
          </cell>
          <cell r="BJ78">
            <v>60</v>
          </cell>
        </row>
        <row r="79">
          <cell r="BI79">
            <v>665.44721486721869</v>
          </cell>
          <cell r="BJ79">
            <v>60</v>
          </cell>
        </row>
        <row r="80">
          <cell r="BI80">
            <v>560.49603811661814</v>
          </cell>
          <cell r="BJ80">
            <v>60</v>
          </cell>
        </row>
        <row r="81">
          <cell r="BI81">
            <v>440.76631680902057</v>
          </cell>
          <cell r="BJ81">
            <v>60</v>
          </cell>
        </row>
        <row r="82">
          <cell r="BI82">
            <v>402.06890488043484</v>
          </cell>
          <cell r="BJ82">
            <v>60</v>
          </cell>
        </row>
        <row r="83">
          <cell r="BI83">
            <v>329.07538659310683</v>
          </cell>
          <cell r="BJ83">
            <v>60</v>
          </cell>
        </row>
        <row r="84">
          <cell r="BI84">
            <v>247.57098498005752</v>
          </cell>
          <cell r="BJ84">
            <v>60</v>
          </cell>
        </row>
        <row r="85">
          <cell r="BI85">
            <v>189.74071806510847</v>
          </cell>
          <cell r="BJ85">
            <v>60</v>
          </cell>
        </row>
        <row r="86">
          <cell r="BI86">
            <v>189.74071806510847</v>
          </cell>
          <cell r="BJ86">
            <v>60</v>
          </cell>
        </row>
        <row r="87">
          <cell r="BI87">
            <v>189.74071806510847</v>
          </cell>
          <cell r="BJ87">
            <v>60</v>
          </cell>
        </row>
        <row r="88">
          <cell r="BI88">
            <v>189.74071806510847</v>
          </cell>
          <cell r="BJ88">
            <v>60</v>
          </cell>
        </row>
        <row r="89">
          <cell r="BI89">
            <v>189.74071806510847</v>
          </cell>
          <cell r="BJ89">
            <v>60</v>
          </cell>
        </row>
        <row r="90">
          <cell r="BI90">
            <v>189.74071806510847</v>
          </cell>
          <cell r="BJ90">
            <v>60</v>
          </cell>
        </row>
        <row r="91">
          <cell r="BI91">
            <v>189.74071806510847</v>
          </cell>
          <cell r="BJ91">
            <v>60</v>
          </cell>
        </row>
        <row r="92">
          <cell r="BI92">
            <v>189.74071806510847</v>
          </cell>
          <cell r="BJ92">
            <v>60</v>
          </cell>
        </row>
        <row r="93">
          <cell r="BI93">
            <v>189.74071806510847</v>
          </cell>
          <cell r="BJ93">
            <v>60</v>
          </cell>
        </row>
        <row r="94">
          <cell r="BI94">
            <v>189.74071806510847</v>
          </cell>
          <cell r="BJ94">
            <v>60</v>
          </cell>
        </row>
        <row r="95">
          <cell r="BI95">
            <v>189.74071806510847</v>
          </cell>
          <cell r="BJ95">
            <v>60</v>
          </cell>
        </row>
        <row r="96">
          <cell r="BI96">
            <v>189.74071806510847</v>
          </cell>
          <cell r="BJ96">
            <v>60</v>
          </cell>
        </row>
        <row r="97">
          <cell r="BI97">
            <v>189.74071806510847</v>
          </cell>
          <cell r="BJ97">
            <v>60</v>
          </cell>
        </row>
        <row r="98">
          <cell r="BI98">
            <v>189.74071806510847</v>
          </cell>
          <cell r="BJ98">
            <v>60</v>
          </cell>
        </row>
        <row r="99">
          <cell r="BI99">
            <v>189.74071806510847</v>
          </cell>
          <cell r="BJ99">
            <v>60</v>
          </cell>
        </row>
        <row r="100">
          <cell r="BI100">
            <v>189.74071806510847</v>
          </cell>
          <cell r="BJ100">
            <v>60</v>
          </cell>
        </row>
      </sheetData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0DFD4-B343-4C87-9F87-E20D10A43967}">
  <sheetPr codeName="Sheet1"/>
  <dimension ref="B5:BU606"/>
  <sheetViews>
    <sheetView topLeftCell="AQ1" workbookViewId="0">
      <selection activeCell="BG28" sqref="BG28"/>
    </sheetView>
  </sheetViews>
  <sheetFormatPr defaultColWidth="6.625" defaultRowHeight="11.25" x14ac:dyDescent="0.2"/>
  <cols>
    <col min="1" max="26" width="6.625" style="24"/>
    <col min="27" max="40" width="6.625" style="25"/>
    <col min="41" max="16384" width="6.625" style="24"/>
  </cols>
  <sheetData>
    <row r="5" spans="2:73" x14ac:dyDescent="0.2">
      <c r="D5" s="31" t="s">
        <v>70</v>
      </c>
      <c r="E5" s="31"/>
      <c r="F5" s="31"/>
      <c r="G5" s="31"/>
      <c r="H5" s="31"/>
      <c r="L5" s="31" t="s">
        <v>118</v>
      </c>
      <c r="M5" s="31"/>
      <c r="N5" s="31"/>
      <c r="O5" s="31"/>
      <c r="P5" s="31"/>
      <c r="T5" s="31" t="s">
        <v>62</v>
      </c>
      <c r="U5" s="31"/>
      <c r="V5" s="31"/>
      <c r="W5" s="31"/>
      <c r="X5" s="31"/>
      <c r="AB5" s="33" t="s">
        <v>34</v>
      </c>
      <c r="AC5" s="33"/>
      <c r="AD5" s="33"/>
      <c r="AE5" s="33"/>
      <c r="AF5" s="33"/>
      <c r="AJ5" s="33" t="s">
        <v>35</v>
      </c>
      <c r="AK5" s="33"/>
      <c r="AL5" s="33"/>
      <c r="AM5" s="33"/>
      <c r="AN5" s="33"/>
      <c r="AR5" s="31" t="s">
        <v>54</v>
      </c>
      <c r="AS5" s="31"/>
      <c r="AT5" s="31"/>
      <c r="AU5" s="31"/>
      <c r="AV5" s="31"/>
      <c r="BB5" s="32" t="s">
        <v>58</v>
      </c>
      <c r="BC5" s="32"/>
      <c r="BD5" s="32"/>
      <c r="BE5" s="32"/>
      <c r="BF5" s="32"/>
      <c r="BG5" s="32" t="s">
        <v>64</v>
      </c>
      <c r="BH5" s="32"/>
      <c r="BI5" s="32"/>
      <c r="BJ5" s="32"/>
      <c r="BK5" s="32"/>
      <c r="BL5" s="32" t="s">
        <v>60</v>
      </c>
      <c r="BM5" s="32"/>
      <c r="BN5" s="32"/>
      <c r="BO5" s="32"/>
      <c r="BP5" s="32"/>
      <c r="BQ5" s="32" t="s">
        <v>59</v>
      </c>
      <c r="BR5" s="32"/>
      <c r="BS5" s="32"/>
      <c r="BT5" s="32"/>
      <c r="BU5" s="32"/>
    </row>
    <row r="6" spans="2:73" x14ac:dyDescent="0.2">
      <c r="B6" s="26" t="str">
        <f>[1]节奏总纲!N3</f>
        <v>对应玩家等级</v>
      </c>
      <c r="C6" s="26" t="s">
        <v>118</v>
      </c>
      <c r="D6" s="26" t="s">
        <v>36</v>
      </c>
      <c r="E6" s="26" t="s">
        <v>37</v>
      </c>
      <c r="F6" s="26" t="s">
        <v>38</v>
      </c>
      <c r="G6" s="26" t="s">
        <v>39</v>
      </c>
      <c r="H6" s="26" t="s">
        <v>40</v>
      </c>
      <c r="K6" s="26" t="s">
        <v>70</v>
      </c>
      <c r="L6" s="26" t="s">
        <v>36</v>
      </c>
      <c r="M6" s="26" t="s">
        <v>37</v>
      </c>
      <c r="N6" s="26" t="s">
        <v>38</v>
      </c>
      <c r="O6" s="26" t="s">
        <v>39</v>
      </c>
      <c r="P6" s="26" t="s">
        <v>40</v>
      </c>
      <c r="S6" s="26" t="s">
        <v>118</v>
      </c>
      <c r="T6" s="26" t="s">
        <v>36</v>
      </c>
      <c r="U6" s="26" t="s">
        <v>37</v>
      </c>
      <c r="V6" s="26" t="s">
        <v>38</v>
      </c>
      <c r="W6" s="26" t="s">
        <v>39</v>
      </c>
      <c r="X6" s="26" t="s">
        <v>40</v>
      </c>
      <c r="AA6" s="27" t="s">
        <v>118</v>
      </c>
      <c r="AB6" s="27" t="s">
        <v>36</v>
      </c>
      <c r="AC6" s="27" t="s">
        <v>37</v>
      </c>
      <c r="AD6" s="27" t="s">
        <v>38</v>
      </c>
      <c r="AE6" s="27" t="s">
        <v>39</v>
      </c>
      <c r="AF6" s="27" t="s">
        <v>40</v>
      </c>
      <c r="AI6" s="27" t="s">
        <v>80</v>
      </c>
      <c r="AJ6" s="27" t="s">
        <v>36</v>
      </c>
      <c r="AK6" s="27" t="s">
        <v>37</v>
      </c>
      <c r="AL6" s="27" t="s">
        <v>38</v>
      </c>
      <c r="AM6" s="27" t="s">
        <v>39</v>
      </c>
      <c r="AN6" s="27" t="s">
        <v>40</v>
      </c>
      <c r="AQ6" s="26" t="s">
        <v>118</v>
      </c>
      <c r="AR6" s="26" t="s">
        <v>36</v>
      </c>
      <c r="AS6" s="26" t="s">
        <v>37</v>
      </c>
      <c r="AT6" s="26" t="s">
        <v>38</v>
      </c>
      <c r="AU6" s="26" t="s">
        <v>39</v>
      </c>
      <c r="AV6" s="26" t="s">
        <v>40</v>
      </c>
      <c r="AY6" s="26" t="s">
        <v>55</v>
      </c>
      <c r="AZ6" s="26" t="s">
        <v>56</v>
      </c>
      <c r="BA6" s="26" t="s">
        <v>57</v>
      </c>
      <c r="BB6" s="26" t="s">
        <v>36</v>
      </c>
      <c r="BC6" s="26" t="s">
        <v>37</v>
      </c>
      <c r="BD6" s="26" t="s">
        <v>38</v>
      </c>
      <c r="BE6" s="26" t="s">
        <v>39</v>
      </c>
      <c r="BF6" s="26" t="s">
        <v>40</v>
      </c>
      <c r="BG6" s="26" t="s">
        <v>36</v>
      </c>
      <c r="BH6" s="26" t="s">
        <v>37</v>
      </c>
      <c r="BI6" s="26" t="s">
        <v>38</v>
      </c>
      <c r="BJ6" s="26" t="s">
        <v>39</v>
      </c>
      <c r="BK6" s="26" t="s">
        <v>40</v>
      </c>
      <c r="BL6" s="26" t="s">
        <v>36</v>
      </c>
      <c r="BM6" s="26" t="s">
        <v>37</v>
      </c>
      <c r="BN6" s="26" t="s">
        <v>38</v>
      </c>
      <c r="BO6" s="26" t="s">
        <v>39</v>
      </c>
      <c r="BP6" s="26" t="s">
        <v>40</v>
      </c>
      <c r="BQ6" s="26" t="s">
        <v>36</v>
      </c>
      <c r="BR6" s="26" t="s">
        <v>37</v>
      </c>
      <c r="BS6" s="26" t="s">
        <v>38</v>
      </c>
      <c r="BT6" s="26" t="s">
        <v>39</v>
      </c>
      <c r="BU6" s="26" t="s">
        <v>40</v>
      </c>
    </row>
    <row r="7" spans="2:73" x14ac:dyDescent="0.2">
      <c r="B7" s="26">
        <f>[1]节奏总纲!N4</f>
        <v>2</v>
      </c>
      <c r="C7" s="26">
        <v>1</v>
      </c>
      <c r="D7" s="26">
        <f>[1]节奏总纲!P4</f>
        <v>7.1773462536293131E-2</v>
      </c>
      <c r="E7" s="26">
        <f>[1]节奏总纲!Q4</f>
        <v>5.9787294292732177E-2</v>
      </c>
      <c r="F7" s="26">
        <f>[1]节奏总纲!R4</f>
        <v>4.677476553490223E-2</v>
      </c>
      <c r="G7" s="26">
        <f>[1]节奏总纲!S4</f>
        <v>3.2585151991477081E-2</v>
      </c>
      <c r="H7" s="26">
        <f>[1]节奏总纲!T4</f>
        <v>1.7039020006115988E-2</v>
      </c>
      <c r="K7" s="26">
        <v>1</v>
      </c>
      <c r="L7" s="26">
        <f>[1]节奏总纲!AD4</f>
        <v>10</v>
      </c>
      <c r="M7" s="26">
        <f>[1]节奏总纲!AE4</f>
        <v>11.148446722089302</v>
      </c>
      <c r="N7" s="26">
        <f>[1]节奏总纲!AF4</f>
        <v>12.761737853656415</v>
      </c>
      <c r="O7" s="26">
        <f>[1]节奏总纲!AG4</f>
        <v>15.452231935206081</v>
      </c>
      <c r="P7" s="26">
        <f>[1]节奏总纲!AH4</f>
        <v>21.291911942729964</v>
      </c>
      <c r="S7" s="26">
        <v>1</v>
      </c>
      <c r="T7" s="26">
        <f>[2]各R部队能量汇总!E7</f>
        <v>364332</v>
      </c>
      <c r="U7" s="26">
        <f>[2]各R部队能量汇总!F7</f>
        <v>364332</v>
      </c>
      <c r="V7" s="26">
        <f>[2]各R部队能量汇总!G7</f>
        <v>364332</v>
      </c>
      <c r="W7" s="26">
        <f>[2]各R部队能量汇总!H7</f>
        <v>364332</v>
      </c>
      <c r="X7" s="26">
        <f>[2]各R部队能量汇总!I7</f>
        <v>364332</v>
      </c>
      <c r="AA7" s="27">
        <v>1</v>
      </c>
      <c r="AB7" s="28">
        <f>[2]各R部队能量汇总!K7</f>
        <v>1</v>
      </c>
      <c r="AC7" s="28">
        <f>[2]各R部队能量汇总!L7</f>
        <v>1</v>
      </c>
      <c r="AD7" s="28">
        <f>[2]各R部队能量汇总!M7</f>
        <v>1</v>
      </c>
      <c r="AE7" s="28">
        <f>[2]各R部队能量汇总!N7</f>
        <v>1</v>
      </c>
      <c r="AF7" s="28">
        <f>[2]各R部队能量汇总!O7</f>
        <v>1</v>
      </c>
      <c r="AI7" s="27">
        <v>1</v>
      </c>
      <c r="AJ7" s="28">
        <f>[1]服务器生态!W22</f>
        <v>9000</v>
      </c>
      <c r="AK7" s="28">
        <f>[1]服务器生态!X22</f>
        <v>725.99999999999966</v>
      </c>
      <c r="AL7" s="28">
        <f>[1]服务器生态!Y22</f>
        <v>256</v>
      </c>
      <c r="AM7" s="28">
        <f>[1]服务器生态!Z22</f>
        <v>16</v>
      </c>
      <c r="AN7" s="28">
        <f>[1]服务器生态!AA22</f>
        <v>2</v>
      </c>
      <c r="AQ7" s="26">
        <v>1</v>
      </c>
      <c r="AR7" s="29">
        <f>[2]非r将兵属性验证!M7</f>
        <v>60</v>
      </c>
      <c r="AS7" s="29">
        <f>[2]小r将兵属性验证!M7</f>
        <v>60</v>
      </c>
      <c r="AT7" s="29">
        <f>[2]中r将兵属性验证!M7</f>
        <v>60</v>
      </c>
      <c r="AU7" s="29">
        <f>[2]大r将兵属性验证!M7</f>
        <v>60</v>
      </c>
      <c r="AV7" s="29">
        <f>[2]超r将兵属性验证!M7</f>
        <v>60</v>
      </c>
      <c r="AY7" s="26">
        <v>0</v>
      </c>
      <c r="AZ7" s="26">
        <f>[3]基础信息!F4</f>
        <v>0.2</v>
      </c>
      <c r="BA7" s="26">
        <f>[3]基础信息!G4</f>
        <v>0</v>
      </c>
      <c r="BB7" s="30">
        <f>[3]基础信息!D28</f>
        <v>2.6222449687830749</v>
      </c>
      <c r="BC7" s="30">
        <f>[3]基础信息!E28</f>
        <v>3.0548263156799691</v>
      </c>
      <c r="BD7" s="30">
        <f>[3]基础信息!F28</f>
        <v>3.7070912504150391</v>
      </c>
      <c r="BE7" s="30">
        <f>[3]基础信息!G28</f>
        <v>4.9367677595581529</v>
      </c>
      <c r="BF7" s="30">
        <f>[3]基础信息!H28</f>
        <v>8.116265411218798</v>
      </c>
      <c r="BG7" s="30">
        <f t="shared" ref="BG7:BG27" si="0">求节点($S$7:$S$106,T$7:T$106,BB7)</f>
        <v>708240.88020760741</v>
      </c>
      <c r="BH7" s="30">
        <f t="shared" ref="BH7:BH27" si="1">求节点($S$7:$S$106,U$7:U$106,BC7)</f>
        <v>832783.71921458154</v>
      </c>
      <c r="BI7" s="30">
        <f t="shared" ref="BI7:BI27" si="2">求节点($S$7:$S$106,V$7:V$106,BD7)</f>
        <v>1096407.7186070369</v>
      </c>
      <c r="BJ7" s="30">
        <f t="shared" ref="BJ7:BJ27" si="3">求节点($S$7:$S$106,W$7:W$106,BE7)</f>
        <v>1780882.1723772385</v>
      </c>
      <c r="BK7" s="30">
        <f t="shared" ref="BK7:BK27" si="4">求节点($S$7:$S$106,X$7:X$106,BF7)</f>
        <v>5107390.6320705479</v>
      </c>
      <c r="BL7" s="30">
        <f>求节点($AI$7:$AI$106,AJ$7:AJ$106,$AZ7)</f>
        <v>1800</v>
      </c>
      <c r="BM7" s="30">
        <f t="shared" ref="BM7:BP22" si="5">求节点($AI$7:$AI$106,AK$7:AK$106,$AZ7)</f>
        <v>145.19999999999993</v>
      </c>
      <c r="BN7" s="30">
        <f t="shared" si="5"/>
        <v>51.199999999999989</v>
      </c>
      <c r="BO7" s="30">
        <f t="shared" si="5"/>
        <v>3.1999999999999993</v>
      </c>
      <c r="BP7" s="30">
        <f t="shared" si="5"/>
        <v>0.39999999999999991</v>
      </c>
      <c r="BQ7" s="30">
        <f>BL7/SUM($BL7:$BP7)</f>
        <v>0.9</v>
      </c>
      <c r="BR7" s="30">
        <f t="shared" ref="BR7:BU7" si="6">BM7/SUM($BL7:$BP7)</f>
        <v>7.259999999999997E-2</v>
      </c>
      <c r="BS7" s="30">
        <f t="shared" si="6"/>
        <v>2.5599999999999994E-2</v>
      </c>
      <c r="BT7" s="30">
        <f t="shared" si="6"/>
        <v>1.5999999999999996E-3</v>
      </c>
      <c r="BU7" s="30">
        <f t="shared" si="6"/>
        <v>1.9999999999999996E-4</v>
      </c>
    </row>
    <row r="8" spans="2:73" x14ac:dyDescent="0.2">
      <c r="B8" s="26">
        <f>[1]节奏总纲!N5</f>
        <v>4</v>
      </c>
      <c r="C8" s="26">
        <v>2</v>
      </c>
      <c r="D8" s="26">
        <f>[1]节奏总纲!P5</f>
        <v>0.1486983549970351</v>
      </c>
      <c r="E8" s="26">
        <f>[1]节奏总纲!Q5</f>
        <v>0.12505531655250651</v>
      </c>
      <c r="F8" s="26">
        <f>[1]节奏总纲!R5</f>
        <v>9.883979656652922E-2</v>
      </c>
      <c r="G8" s="26">
        <f>[1]节奏总纲!S5</f>
        <v>6.9828747506607683E-2</v>
      </c>
      <c r="H8" s="26">
        <f>[1]节奏总纲!T5</f>
        <v>3.7085369736260552E-2</v>
      </c>
      <c r="K8" s="26">
        <v>2</v>
      </c>
      <c r="L8" s="26">
        <f>[1]节奏总纲!AD5</f>
        <v>15.845161563010114</v>
      </c>
      <c r="M8" s="26">
        <f>[1]节奏总纲!AE5</f>
        <v>17.271997130667014</v>
      </c>
      <c r="N8" s="26">
        <f>[1]节奏总纲!AF5</f>
        <v>19.263096801323076</v>
      </c>
      <c r="O8" s="26">
        <f>[1]节奏总纲!AG5</f>
        <v>22.536681597650272</v>
      </c>
      <c r="P8" s="26">
        <f>[1]节奏总纲!AH5</f>
        <v>29.386000042029625</v>
      </c>
      <c r="S8" s="26">
        <v>2</v>
      </c>
      <c r="T8" s="26">
        <f>[2]各R部队能量汇总!E8</f>
        <v>550424</v>
      </c>
      <c r="U8" s="26">
        <f>[2]各R部队能量汇总!F8</f>
        <v>554078</v>
      </c>
      <c r="V8" s="26">
        <f>[2]各R部队能量汇总!G8</f>
        <v>561911</v>
      </c>
      <c r="W8" s="26">
        <f>[2]各R部队能量汇总!H8</f>
        <v>573843</v>
      </c>
      <c r="X8" s="26">
        <f>[2]各R部队能量汇总!I8</f>
        <v>581288</v>
      </c>
      <c r="AA8" s="27">
        <v>2</v>
      </c>
      <c r="AB8" s="28">
        <f>[2]各R部队能量汇总!K8</f>
        <v>1</v>
      </c>
      <c r="AC8" s="28">
        <f>[2]各R部队能量汇总!L8</f>
        <v>1.0066385186692441</v>
      </c>
      <c r="AD8" s="28">
        <f>[2]各R部队能量汇总!M8</f>
        <v>1.0208693661613593</v>
      </c>
      <c r="AE8" s="28">
        <f>[2]各R部队能量汇总!N8</f>
        <v>1.0425471999767453</v>
      </c>
      <c r="AF8" s="28">
        <f>[2]各R部队能量汇总!O8</f>
        <v>1.0560731363457989</v>
      </c>
      <c r="AI8" s="27">
        <v>2</v>
      </c>
      <c r="AJ8" s="28">
        <f>[1]服务器生态!W23</f>
        <v>3454.304347826087</v>
      </c>
      <c r="AK8" s="28">
        <f>[1]服务器生态!X23</f>
        <v>426.60231884057947</v>
      </c>
      <c r="AL8" s="28">
        <f>[1]服务器生态!Y23</f>
        <v>109.22666666666666</v>
      </c>
      <c r="AM8" s="28">
        <f>[1]服务器生态!Z23</f>
        <v>8.5333333333333332</v>
      </c>
      <c r="AN8" s="28">
        <f>[1]服务器生态!AA23</f>
        <v>1.3333333333333335</v>
      </c>
      <c r="AQ8" s="26">
        <v>2</v>
      </c>
      <c r="AR8" s="29">
        <f>[2]非r将兵属性验证!M8</f>
        <v>62.983545340380985</v>
      </c>
      <c r="AS8" s="29">
        <f>[2]小r将兵属性验证!M8</f>
        <v>63.014491843255151</v>
      </c>
      <c r="AT8" s="29">
        <f>[2]中r将兵属性验证!M8</f>
        <v>63.078119646893349</v>
      </c>
      <c r="AU8" s="29">
        <f>[2]大r将兵属性验证!M8</f>
        <v>63.394692082616388</v>
      </c>
      <c r="AV8" s="29">
        <f>[2]超r将兵属性验证!M8</f>
        <v>63.416572207776795</v>
      </c>
      <c r="AY8" s="26">
        <v>1</v>
      </c>
      <c r="AZ8" s="26">
        <f>[3]基础信息!F5</f>
        <v>0.2</v>
      </c>
      <c r="BA8" s="26">
        <f>[3]基础信息!G5</f>
        <v>60</v>
      </c>
      <c r="BB8" s="30">
        <f>[3]基础信息!D29</f>
        <v>2.6222449687830749</v>
      </c>
      <c r="BC8" s="30">
        <f>[3]基础信息!E29</f>
        <v>3.0548263156799691</v>
      </c>
      <c r="BD8" s="30">
        <f>[3]基础信息!F29</f>
        <v>3.7070912504150391</v>
      </c>
      <c r="BE8" s="30">
        <f>[3]基础信息!G29</f>
        <v>4.9367677595581529</v>
      </c>
      <c r="BF8" s="30">
        <f>[3]基础信息!H29</f>
        <v>8.116265411218798</v>
      </c>
      <c r="BG8" s="30">
        <f t="shared" si="0"/>
        <v>708240.88020760741</v>
      </c>
      <c r="BH8" s="30">
        <f t="shared" si="1"/>
        <v>832783.71921458154</v>
      </c>
      <c r="BI8" s="30">
        <f t="shared" si="2"/>
        <v>1096407.7186070369</v>
      </c>
      <c r="BJ8" s="30">
        <f t="shared" si="3"/>
        <v>1780882.1723772385</v>
      </c>
      <c r="BK8" s="30">
        <f t="shared" si="4"/>
        <v>5107390.6320705479</v>
      </c>
      <c r="BL8" s="30">
        <f t="shared" ref="BL8:BL27" si="7">求节点($AI$7:$AI$106,AJ$7:AJ$106,$AZ8)</f>
        <v>1800</v>
      </c>
      <c r="BM8" s="30">
        <f t="shared" si="5"/>
        <v>145.19999999999993</v>
      </c>
      <c r="BN8" s="30">
        <f t="shared" si="5"/>
        <v>51.199999999999989</v>
      </c>
      <c r="BO8" s="30">
        <f t="shared" si="5"/>
        <v>3.1999999999999993</v>
      </c>
      <c r="BP8" s="30">
        <f t="shared" si="5"/>
        <v>0.39999999999999991</v>
      </c>
      <c r="BQ8" s="30">
        <f t="shared" ref="BQ8:BQ27" si="8">BL8/SUM($BL8:$BP8)</f>
        <v>0.9</v>
      </c>
      <c r="BR8" s="30">
        <f t="shared" ref="BR8:BR27" si="9">BM8/SUM($BL8:$BP8)</f>
        <v>7.259999999999997E-2</v>
      </c>
      <c r="BS8" s="30">
        <f t="shared" ref="BS8:BS27" si="10">BN8/SUM($BL8:$BP8)</f>
        <v>2.5599999999999994E-2</v>
      </c>
      <c r="BT8" s="30">
        <f t="shared" ref="BT8:BT27" si="11">BO8/SUM($BL8:$BP8)</f>
        <v>1.5999999999999996E-3</v>
      </c>
      <c r="BU8" s="30">
        <f t="shared" ref="BU8:BU27" si="12">BP8/SUM($BL8:$BP8)</f>
        <v>1.9999999999999996E-4</v>
      </c>
    </row>
    <row r="9" spans="2:73" x14ac:dyDescent="0.2">
      <c r="B9" s="26">
        <f>[1]节奏总纲!N6</f>
        <v>6</v>
      </c>
      <c r="C9" s="26">
        <v>3</v>
      </c>
      <c r="D9" s="26">
        <f>[1]节奏总纲!P6</f>
        <v>0.23114441334491631</v>
      </c>
      <c r="E9" s="26">
        <f>[1]节奏总纲!Q6</f>
        <v>0.19582554698581309</v>
      </c>
      <c r="F9" s="26">
        <f>[1]节奏总纲!R6</f>
        <v>0.15616116565582547</v>
      </c>
      <c r="G9" s="26">
        <f>[1]节奏总纲!S6</f>
        <v>0.11120357726023924</v>
      </c>
      <c r="H9" s="26">
        <f>[1]节奏总纲!T6</f>
        <v>5.9380999788309005E-2</v>
      </c>
      <c r="K9" s="26">
        <v>3</v>
      </c>
      <c r="L9" s="26">
        <f>[1]节奏总纲!AD6</f>
        <v>20</v>
      </c>
      <c r="M9" s="26">
        <f>[1]节奏总纲!AE6</f>
        <v>21.543844702365945</v>
      </c>
      <c r="N9" s="26">
        <f>[1]节奏总纲!AF6</f>
        <v>23.734615677065324</v>
      </c>
      <c r="O9" s="26">
        <f>[1]节奏总纲!AG6</f>
        <v>27.324610510337703</v>
      </c>
      <c r="P9" s="26">
        <f>[1]节奏总纲!AH6</f>
        <v>34.517938607173015</v>
      </c>
      <c r="S9" s="26">
        <v>3</v>
      </c>
      <c r="T9" s="26">
        <f>[2]各R部队能量汇总!E9</f>
        <v>804049</v>
      </c>
      <c r="U9" s="26">
        <f>[2]各R部队能量汇总!F9</f>
        <v>813733</v>
      </c>
      <c r="V9" s="26">
        <f>[2]各R部队能量汇总!G9</f>
        <v>835257</v>
      </c>
      <c r="W9" s="26">
        <f>[2]各R部队能量汇总!H9</f>
        <v>868616</v>
      </c>
      <c r="X9" s="26">
        <f>[2]各R部队能量汇总!I9</f>
        <v>889322</v>
      </c>
      <c r="AA9" s="27">
        <v>3</v>
      </c>
      <c r="AB9" s="28">
        <f>[2]各R部队能量汇总!K9</f>
        <v>1</v>
      </c>
      <c r="AC9" s="28">
        <f>[2]各R部队能量汇总!L9</f>
        <v>1.0120440420919621</v>
      </c>
      <c r="AD9" s="28">
        <f>[2]各R部队能量汇总!M9</f>
        <v>1.0388135548952862</v>
      </c>
      <c r="AE9" s="28">
        <f>[2]各R部队能量汇总!N9</f>
        <v>1.0803023198834898</v>
      </c>
      <c r="AF9" s="28">
        <f>[2]各R部队能量汇总!O9</f>
        <v>1.1060544817542215</v>
      </c>
      <c r="AI9" s="27">
        <v>3</v>
      </c>
      <c r="AJ9" s="28">
        <f>[1]服务器生态!W24</f>
        <v>2646.8869565217392</v>
      </c>
      <c r="AK9" s="28">
        <f>[1]服务器生态!X24</f>
        <v>450.24371014492726</v>
      </c>
      <c r="AL9" s="28">
        <f>[1]服务器生态!Y24</f>
        <v>92.842666666666659</v>
      </c>
      <c r="AM9" s="28">
        <f>[1]服务器生态!Z24</f>
        <v>8.533333333333335</v>
      </c>
      <c r="AN9" s="28">
        <f>[1]服务器生态!AA24</f>
        <v>1.4933333333333334</v>
      </c>
      <c r="AQ9" s="26">
        <v>3</v>
      </c>
      <c r="AR9" s="29">
        <f>[2]非r将兵属性验证!M9</f>
        <v>65.96709068076197</v>
      </c>
      <c r="AS9" s="29">
        <f>[2]小r将兵属性验证!M9</f>
        <v>66.028983686510301</v>
      </c>
      <c r="AT9" s="29">
        <f>[2]中r将兵属性验证!M9</f>
        <v>66.156239293786697</v>
      </c>
      <c r="AU9" s="29">
        <f>[2]大r将兵属性验证!M9</f>
        <v>66.789384165232775</v>
      </c>
      <c r="AV9" s="29">
        <f>[2]超r将兵属性验证!M9</f>
        <v>66.833144415553591</v>
      </c>
      <c r="AY9" s="26">
        <v>2</v>
      </c>
      <c r="AZ9" s="26">
        <f>[3]基础信息!F6</f>
        <v>0.60000000000000009</v>
      </c>
      <c r="BA9" s="26">
        <f>[3]基础信息!G6</f>
        <v>62</v>
      </c>
      <c r="BB9" s="30">
        <f>[3]基础信息!D30</f>
        <v>6.774747750120004</v>
      </c>
      <c r="BC9" s="30">
        <f>[3]基础信息!E30</f>
        <v>7.6806609280366285</v>
      </c>
      <c r="BD9" s="30">
        <f>[3]基础信息!F30</f>
        <v>9.0742448837092802</v>
      </c>
      <c r="BE9" s="30">
        <f>[3]基础信息!G30</f>
        <v>11.28032181882771</v>
      </c>
      <c r="BF9" s="30">
        <f>[3]基础信息!H30</f>
        <v>16.092280740338374</v>
      </c>
      <c r="BG9" s="30">
        <f t="shared" si="0"/>
        <v>2717943.9563062945</v>
      </c>
      <c r="BH9" s="30">
        <f t="shared" si="1"/>
        <v>3600267.7633090783</v>
      </c>
      <c r="BI9" s="30">
        <f t="shared" si="2"/>
        <v>5592798.4304980971</v>
      </c>
      <c r="BJ9" s="30">
        <f t="shared" si="3"/>
        <v>10717809.644938461</v>
      </c>
      <c r="BK9" s="30">
        <f t="shared" si="4"/>
        <v>21700200.474336203</v>
      </c>
      <c r="BL9" s="30">
        <f t="shared" si="7"/>
        <v>5400.0000000000009</v>
      </c>
      <c r="BM9" s="30">
        <f t="shared" si="5"/>
        <v>435.59999999999985</v>
      </c>
      <c r="BN9" s="30">
        <f t="shared" si="5"/>
        <v>153.60000000000002</v>
      </c>
      <c r="BO9" s="30">
        <f t="shared" si="5"/>
        <v>9.6000000000000014</v>
      </c>
      <c r="BP9" s="30">
        <f t="shared" si="5"/>
        <v>1.2000000000000002</v>
      </c>
      <c r="BQ9" s="30">
        <f t="shared" si="8"/>
        <v>0.9</v>
      </c>
      <c r="BR9" s="30">
        <f t="shared" si="9"/>
        <v>7.259999999999997E-2</v>
      </c>
      <c r="BS9" s="30">
        <f t="shared" si="10"/>
        <v>2.5600000000000001E-2</v>
      </c>
      <c r="BT9" s="30">
        <f t="shared" si="11"/>
        <v>1.6000000000000001E-3</v>
      </c>
      <c r="BU9" s="30">
        <f t="shared" si="12"/>
        <v>2.0000000000000001E-4</v>
      </c>
    </row>
    <row r="10" spans="2:73" x14ac:dyDescent="0.2">
      <c r="B10" s="26">
        <f>[1]节奏总纲!N7</f>
        <v>8</v>
      </c>
      <c r="C10" s="26">
        <v>4</v>
      </c>
      <c r="D10" s="26">
        <f>[1]节奏总纲!P7</f>
        <v>0.3195079107728942</v>
      </c>
      <c r="E10" s="26">
        <f>[1]节奏总纲!Q7</f>
        <v>0.2719651336498875</v>
      </c>
      <c r="F10" s="26">
        <f>[1]节奏总纲!R7</f>
        <v>0.21816000147573214</v>
      </c>
      <c r="G10" s="26">
        <f>[1]节奏总纲!S7</f>
        <v>0.15607961441255883</v>
      </c>
      <c r="H10" s="26">
        <f>[1]节奏总纲!T7</f>
        <v>8.4062531324348461E-2</v>
      </c>
      <c r="K10" s="26">
        <v>4</v>
      </c>
      <c r="L10" s="26">
        <f>[1]节奏总纲!AD7</f>
        <v>23.213386604241784</v>
      </c>
      <c r="M10" s="26">
        <f>[1]节奏总纲!AE7</f>
        <v>24.836966034810484</v>
      </c>
      <c r="N10" s="26">
        <f>[1]节奏总纲!AF7</f>
        <v>27.155717181399513</v>
      </c>
      <c r="O10" s="26">
        <f>[1]节奏总纲!AG7</f>
        <v>30.831257561377125</v>
      </c>
      <c r="P10" s="26">
        <f>[1]节奏总纲!AH7</f>
        <v>38.431365705145346</v>
      </c>
      <c r="S10" s="26">
        <v>4</v>
      </c>
      <c r="T10" s="26">
        <f>[2]各R部队能量汇总!E10</f>
        <v>1142312</v>
      </c>
      <c r="U10" s="26">
        <f>[2]各R部队能量汇总!F10</f>
        <v>1161207</v>
      </c>
      <c r="V10" s="26">
        <f>[2]各R部队能量汇总!G10</f>
        <v>1204588</v>
      </c>
      <c r="W10" s="26">
        <f>[2]各R部队能量汇总!H10</f>
        <v>1272814</v>
      </c>
      <c r="X10" s="26">
        <f>[2]各R部队能量汇总!I10</f>
        <v>1314997</v>
      </c>
      <c r="AA10" s="27">
        <v>4</v>
      </c>
      <c r="AB10" s="28">
        <f>[2]各R部队能量汇总!K10</f>
        <v>1</v>
      </c>
      <c r="AC10" s="28">
        <f>[2]各R部队能量汇总!L10</f>
        <v>1.0165410150641856</v>
      </c>
      <c r="AD10" s="28">
        <f>[2]各R部队能量汇总!M10</f>
        <v>1.0545175048498134</v>
      </c>
      <c r="AE10" s="28">
        <f>[2]各R部队能量汇总!N10</f>
        <v>1.1142437442660149</v>
      </c>
      <c r="AF10" s="28">
        <f>[2]各R部队能量汇总!O10</f>
        <v>1.1511714837977716</v>
      </c>
      <c r="AI10" s="27">
        <v>4</v>
      </c>
      <c r="AJ10" s="28">
        <f>[1]服务器生态!W25</f>
        <v>1897.7478260869568</v>
      </c>
      <c r="AK10" s="28">
        <f>[1]服务器生态!X25</f>
        <v>419.40417391304322</v>
      </c>
      <c r="AL10" s="28">
        <f>[1]服务器生态!Y25</f>
        <v>73.727999999999994</v>
      </c>
      <c r="AM10" s="28">
        <f>[1]服务器生态!Z25</f>
        <v>7.6800000000000015</v>
      </c>
      <c r="AN10" s="28">
        <f>[1]服务器生态!AA25</f>
        <v>1.4400000000000002</v>
      </c>
      <c r="AQ10" s="26">
        <v>4</v>
      </c>
      <c r="AR10" s="29">
        <f>[2]非r将兵属性验证!M10</f>
        <v>68.950636021142955</v>
      </c>
      <c r="AS10" s="29">
        <f>[2]小r将兵属性验证!M10</f>
        <v>69.043475529765445</v>
      </c>
      <c r="AT10" s="29">
        <f>[2]中r将兵属性验证!M10</f>
        <v>69.234358940680053</v>
      </c>
      <c r="AU10" s="29">
        <f>[2]大r将兵属性验证!M10</f>
        <v>70.184076247849163</v>
      </c>
      <c r="AV10" s="29">
        <f>[2]超r将兵属性验证!M10</f>
        <v>70.249716623330386</v>
      </c>
      <c r="AY10" s="26">
        <v>3</v>
      </c>
      <c r="AZ10" s="26">
        <f>[3]基础信息!F7</f>
        <v>1.2000000000000002</v>
      </c>
      <c r="BA10" s="26">
        <f>[3]基础信息!G7</f>
        <v>64</v>
      </c>
      <c r="BB10" s="30">
        <f>[3]基础信息!D31</f>
        <v>11.366936326600809</v>
      </c>
      <c r="BC10" s="30">
        <f>[3]基础信息!E31</f>
        <v>12.581632373834582</v>
      </c>
      <c r="BD10" s="30">
        <f>[3]基础信息!F31</f>
        <v>14.328692454225996</v>
      </c>
      <c r="BE10" s="30">
        <f>[3]基础信息!G31</f>
        <v>17.194769979801354</v>
      </c>
      <c r="BF10" s="30">
        <f>[3]基础信息!H31</f>
        <v>23.360786327608999</v>
      </c>
      <c r="BG10" s="30">
        <f t="shared" si="0"/>
        <v>8469103.6440336499</v>
      </c>
      <c r="BH10" s="30">
        <f t="shared" si="1"/>
        <v>10294422.650447382</v>
      </c>
      <c r="BI10" s="30">
        <f t="shared" si="2"/>
        <v>14015621.320540046</v>
      </c>
      <c r="BJ10" s="30">
        <f t="shared" si="3"/>
        <v>22273190.747507177</v>
      </c>
      <c r="BK10" s="30">
        <f t="shared" si="4"/>
        <v>49081079.685303256</v>
      </c>
      <c r="BL10" s="30">
        <f t="shared" si="7"/>
        <v>7890.8608695652165</v>
      </c>
      <c r="BM10" s="30">
        <f t="shared" si="5"/>
        <v>666.12046376811554</v>
      </c>
      <c r="BN10" s="30">
        <f t="shared" si="5"/>
        <v>226.6453333333333</v>
      </c>
      <c r="BO10" s="30">
        <f t="shared" si="5"/>
        <v>14.506666666666666</v>
      </c>
      <c r="BP10" s="30">
        <f t="shared" si="5"/>
        <v>1.8666666666666667</v>
      </c>
      <c r="BQ10" s="30">
        <f t="shared" si="8"/>
        <v>0.89668873517786574</v>
      </c>
      <c r="BR10" s="30">
        <f t="shared" si="9"/>
        <v>7.5695507246376775E-2</v>
      </c>
      <c r="BS10" s="30">
        <f t="shared" si="10"/>
        <v>2.5755151515151516E-2</v>
      </c>
      <c r="BT10" s="30">
        <f t="shared" si="11"/>
        <v>1.6484848484848488E-3</v>
      </c>
      <c r="BU10" s="30">
        <f t="shared" si="12"/>
        <v>2.1212121212121218E-4</v>
      </c>
    </row>
    <row r="11" spans="2:73" x14ac:dyDescent="0.2">
      <c r="B11" s="26">
        <f>[1]节奏总纲!N8</f>
        <v>10</v>
      </c>
      <c r="C11" s="26">
        <v>5</v>
      </c>
      <c r="D11" s="26">
        <f>[1]节奏总纲!P8</f>
        <v>0.41421356237309515</v>
      </c>
      <c r="E11" s="26">
        <f>[1]节奏总纲!Q8</f>
        <v>0.35241289886702937</v>
      </c>
      <c r="F11" s="26">
        <f>[1]节奏总纲!R8</f>
        <v>0.28315639123824782</v>
      </c>
      <c r="G11" s="26">
        <f>[1]节奏总纲!S8</f>
        <v>0.20296464556281663</v>
      </c>
      <c r="H11" s="26">
        <f>[1]节奏总纲!T8</f>
        <v>0.10951806589144637</v>
      </c>
      <c r="K11" s="26">
        <v>5</v>
      </c>
      <c r="L11" s="26">
        <f>[1]节奏总纲!AD8</f>
        <v>25.845161563010112</v>
      </c>
      <c r="M11" s="26">
        <f>[1]节奏总纲!AE8</f>
        <v>27.525245270311611</v>
      </c>
      <c r="N11" s="26">
        <f>[1]节奏总纲!AF8</f>
        <v>29.892344464157688</v>
      </c>
      <c r="O11" s="26">
        <f>[1]节奏总纲!AG8</f>
        <v>33.672145166817529</v>
      </c>
      <c r="P11" s="26">
        <f>[1]节奏总纲!AH8</f>
        <v>41.359260538726978</v>
      </c>
      <c r="S11" s="26">
        <v>5</v>
      </c>
      <c r="T11" s="26">
        <f>[2]各R部队能量汇总!E11</f>
        <v>1585220</v>
      </c>
      <c r="U11" s="26">
        <f>[2]各R部队能量汇总!F11</f>
        <v>1617482</v>
      </c>
      <c r="V11" s="26">
        <f>[2]各R部队能量汇总!G11</f>
        <v>1693736</v>
      </c>
      <c r="W11" s="26">
        <f>[2]各R部队能量汇总!H11</f>
        <v>1815177</v>
      </c>
      <c r="X11" s="26">
        <f>[2]各R部队能量汇总!I11</f>
        <v>1890052</v>
      </c>
      <c r="AA11" s="27">
        <v>5</v>
      </c>
      <c r="AB11" s="28">
        <f>[2]各R部队能量汇总!K11</f>
        <v>1</v>
      </c>
      <c r="AC11" s="28">
        <f>[2]各R部队能量汇总!L11</f>
        <v>1.0203517492840111</v>
      </c>
      <c r="AD11" s="28">
        <f>[2]各R部队能量汇总!M11</f>
        <v>1.0684548516925096</v>
      </c>
      <c r="AE11" s="28">
        <f>[2]各R部队能量汇总!N11</f>
        <v>1.1450631458094145</v>
      </c>
      <c r="AF11" s="28">
        <f>[2]各R部队能量汇总!O11</f>
        <v>1.1922963374168885</v>
      </c>
      <c r="AI11" s="27">
        <v>5</v>
      </c>
      <c r="AJ11" s="28">
        <f>[1]服务器生态!W26</f>
        <v>1640.6119565217396</v>
      </c>
      <c r="AK11" s="28">
        <f>[1]服务器生态!X26</f>
        <v>454.14504347826056</v>
      </c>
      <c r="AL11" s="28">
        <f>[1]服务器生态!Y26</f>
        <v>70.528000000000006</v>
      </c>
      <c r="AM11" s="28">
        <f>[1]服务器生态!Z26</f>
        <v>8.120000000000001</v>
      </c>
      <c r="AN11" s="28">
        <f>[1]服务器生态!AA26</f>
        <v>1.595</v>
      </c>
      <c r="AQ11" s="26">
        <v>5</v>
      </c>
      <c r="AR11" s="29">
        <f>[2]非r将兵属性验证!M11</f>
        <v>71.93418136152394</v>
      </c>
      <c r="AS11" s="29">
        <f>[2]小r将兵属性验证!M11</f>
        <v>72.057967373020588</v>
      </c>
      <c r="AT11" s="29">
        <f>[2]中r将兵属性验证!M11</f>
        <v>72.312478587573409</v>
      </c>
      <c r="AU11" s="29">
        <f>[2]大r将兵属性验证!M11</f>
        <v>73.57876833046555</v>
      </c>
      <c r="AV11" s="29">
        <f>[2]超r将兵属性验证!M11</f>
        <v>73.666288831107181</v>
      </c>
      <c r="AY11" s="26">
        <v>4</v>
      </c>
      <c r="AZ11" s="26">
        <f>[3]基础信息!F8</f>
        <v>2.04</v>
      </c>
      <c r="BA11" s="26">
        <f>[3]基础信息!G8</f>
        <v>66</v>
      </c>
      <c r="BB11" s="30">
        <f>[3]基础信息!D32</f>
        <v>16.039374053968356</v>
      </c>
      <c r="BC11" s="30">
        <f>[3]基础信息!E32</f>
        <v>17.464116647178056</v>
      </c>
      <c r="BD11" s="30">
        <f>[3]基础信息!F32</f>
        <v>19.477937384027719</v>
      </c>
      <c r="BE11" s="30">
        <f>[3]基础信息!G32</f>
        <v>22.769406391764477</v>
      </c>
      <c r="BF11" s="30">
        <f>[3]基础信息!H32</f>
        <v>29.629892776079426</v>
      </c>
      <c r="BG11" s="30">
        <f t="shared" si="0"/>
        <v>15103207.741358042</v>
      </c>
      <c r="BH11" s="30">
        <f t="shared" si="1"/>
        <v>18464282.832412336</v>
      </c>
      <c r="BI11" s="30">
        <f t="shared" si="2"/>
        <v>25675262.107157148</v>
      </c>
      <c r="BJ11" s="30">
        <f t="shared" si="3"/>
        <v>41395852.509665035</v>
      </c>
      <c r="BK11" s="30">
        <f t="shared" si="4"/>
        <v>92672893.777051002</v>
      </c>
      <c r="BL11" s="30">
        <f t="shared" si="7"/>
        <v>3422.0076521739129</v>
      </c>
      <c r="BM11" s="30">
        <f t="shared" si="5"/>
        <v>427.54797449275338</v>
      </c>
      <c r="BN11" s="30">
        <f t="shared" si="5"/>
        <v>108.57130666666666</v>
      </c>
      <c r="BO11" s="30">
        <f t="shared" si="5"/>
        <v>8.5333333333333332</v>
      </c>
      <c r="BP11" s="30">
        <f t="shared" si="5"/>
        <v>1.3397333333333334</v>
      </c>
      <c r="BQ11" s="30">
        <f t="shared" si="8"/>
        <v>0.86240112201963537</v>
      </c>
      <c r="BR11" s="30">
        <f t="shared" si="9"/>
        <v>0.10774898550724633</v>
      </c>
      <c r="BS11" s="30">
        <f t="shared" si="10"/>
        <v>2.7361720430107529E-2</v>
      </c>
      <c r="BT11" s="30">
        <f t="shared" si="11"/>
        <v>2.1505376344086026E-3</v>
      </c>
      <c r="BU11" s="30">
        <f t="shared" si="12"/>
        <v>3.3763440860215061E-4</v>
      </c>
    </row>
    <row r="12" spans="2:73" x14ac:dyDescent="0.2">
      <c r="B12" s="26">
        <f>[1]节奏总纲!N9</f>
        <v>12</v>
      </c>
      <c r="C12" s="26">
        <v>6</v>
      </c>
      <c r="D12" s="26">
        <f>[1]节奏总纲!P9</f>
        <v>0.51571656651039799</v>
      </c>
      <c r="E12" s="26">
        <f>[1]节奏总纲!Q9</f>
        <v>0.43939051466685908</v>
      </c>
      <c r="F12" s="26">
        <f>[1]节奏总纲!R9</f>
        <v>0.35336899137292471</v>
      </c>
      <c r="G12" s="26">
        <f>[1]节奏总纲!S9</f>
        <v>0.25440298225957936</v>
      </c>
      <c r="H12" s="26">
        <f>[1]节奏总纲!T9</f>
        <v>0.13836675479473978</v>
      </c>
      <c r="K12" s="26">
        <v>6</v>
      </c>
      <c r="L12" s="26">
        <f>[1]节奏总纲!AD9</f>
        <v>28.071211008105138</v>
      </c>
      <c r="M12" s="26">
        <f>[1]节奏总纲!AE9</f>
        <v>29.78183527117605</v>
      </c>
      <c r="N12" s="26">
        <f>[1]节奏总纲!AF9</f>
        <v>32.202183458664891</v>
      </c>
      <c r="O12" s="26">
        <f>[1]节奏总纲!AG9</f>
        <v>36.067019846099676</v>
      </c>
      <c r="P12" s="26">
        <f>[1]节奏总纲!AH9</f>
        <v>43.870275262019007</v>
      </c>
      <c r="S12" s="26">
        <v>6</v>
      </c>
      <c r="T12" s="26">
        <f>[2]各R部队能量汇总!E12</f>
        <v>2155983</v>
      </c>
      <c r="U12" s="26">
        <f>[2]各R部队能量汇总!F12</f>
        <v>2206927</v>
      </c>
      <c r="V12" s="26">
        <f>[2]各R部队能量汇总!G12</f>
        <v>2330533</v>
      </c>
      <c r="W12" s="26">
        <f>[2]各R部队能量汇总!H12</f>
        <v>2529553</v>
      </c>
      <c r="X12" s="26">
        <f>[2]各R部队能量汇总!I12</f>
        <v>2652013</v>
      </c>
      <c r="AA12" s="27">
        <v>6</v>
      </c>
      <c r="AB12" s="28">
        <f>[2]各R部队能量汇总!K12</f>
        <v>1</v>
      </c>
      <c r="AC12" s="28">
        <f>[2]各R部队能量汇总!L12</f>
        <v>1.0236291288011083</v>
      </c>
      <c r="AD12" s="28">
        <f>[2]各R部队能量汇总!M12</f>
        <v>1.0809607496905125</v>
      </c>
      <c r="AE12" s="28">
        <f>[2]各R部队能量汇总!N12</f>
        <v>1.1732713105808348</v>
      </c>
      <c r="AF12" s="28">
        <f>[2]各R部队能量汇总!O12</f>
        <v>1.2300713873903459</v>
      </c>
      <c r="AI12" s="27">
        <v>6</v>
      </c>
      <c r="AJ12" s="28">
        <f>[1]服务器生态!W27</f>
        <v>1399.8668478260872</v>
      </c>
      <c r="AK12" s="28">
        <f>[1]服务器生态!X27</f>
        <v>473.56315217391273</v>
      </c>
      <c r="AL12" s="28">
        <f>[1]服务器生态!Y27</f>
        <v>66.56</v>
      </c>
      <c r="AM12" s="28">
        <f>[1]服务器生态!Z27</f>
        <v>8.3200000000000021</v>
      </c>
      <c r="AN12" s="28">
        <f>[1]服务器生态!AA27</f>
        <v>1.6900000000000002</v>
      </c>
      <c r="AQ12" s="26">
        <v>6</v>
      </c>
      <c r="AR12" s="29">
        <f>[2]非r将兵属性验证!M12</f>
        <v>74.917726701904925</v>
      </c>
      <c r="AS12" s="29">
        <f>[2]小r将兵属性验证!M12</f>
        <v>75.072459216275732</v>
      </c>
      <c r="AT12" s="29">
        <f>[2]中r将兵属性验证!M12</f>
        <v>75.390598234466765</v>
      </c>
      <c r="AU12" s="29">
        <f>[2]大r将兵属性验证!M12</f>
        <v>76.973460413081938</v>
      </c>
      <c r="AV12" s="29">
        <f>[2]超r将兵属性验证!M12</f>
        <v>77.082861038883976</v>
      </c>
      <c r="AY12" s="26">
        <v>5</v>
      </c>
      <c r="AZ12" s="26">
        <f>[3]基础信息!F9</f>
        <v>3.16</v>
      </c>
      <c r="BA12" s="26">
        <f>[3]基础信息!G9</f>
        <v>68</v>
      </c>
      <c r="BB12" s="30">
        <f>[3]基础信息!D33</f>
        <v>20.557309046916519</v>
      </c>
      <c r="BC12" s="30">
        <f>[3]基础信息!E33</f>
        <v>22.125991673268196</v>
      </c>
      <c r="BD12" s="30">
        <f>[3]基础信息!F33</f>
        <v>24.32801269467188</v>
      </c>
      <c r="BE12" s="30">
        <f>[3]基础信息!G33</f>
        <v>27.978307587376275</v>
      </c>
      <c r="BF12" s="30">
        <f>[3]基础信息!H33</f>
        <v>35.216396380897201</v>
      </c>
      <c r="BG12" s="30">
        <f t="shared" si="0"/>
        <v>25216415.42408495</v>
      </c>
      <c r="BH12" s="30">
        <f t="shared" si="1"/>
        <v>30813553.189880565</v>
      </c>
      <c r="BI12" s="30">
        <f t="shared" si="2"/>
        <v>43161922.572789758</v>
      </c>
      <c r="BJ12" s="30">
        <f t="shared" si="3"/>
        <v>70528411.673518091</v>
      </c>
      <c r="BK12" s="30">
        <f t="shared" si="4"/>
        <v>160752071.29425299</v>
      </c>
      <c r="BL12" s="30">
        <f t="shared" si="7"/>
        <v>2527.0246956521737</v>
      </c>
      <c r="BM12" s="30">
        <f t="shared" si="5"/>
        <v>445.30938434782581</v>
      </c>
      <c r="BN12" s="30">
        <f t="shared" si="5"/>
        <v>89.784319999999994</v>
      </c>
      <c r="BO12" s="30">
        <f t="shared" si="5"/>
        <v>8.3968000000000007</v>
      </c>
      <c r="BP12" s="30">
        <f t="shared" si="5"/>
        <v>1.4848000000000001</v>
      </c>
      <c r="BQ12" s="30">
        <f t="shared" si="8"/>
        <v>0.82259918478260863</v>
      </c>
      <c r="BR12" s="30">
        <f t="shared" si="9"/>
        <v>0.14495748188405788</v>
      </c>
      <c r="BS12" s="30">
        <f t="shared" si="10"/>
        <v>2.9226666666666665E-2</v>
      </c>
      <c r="BT12" s="30">
        <f t="shared" si="11"/>
        <v>2.7333333333333337E-3</v>
      </c>
      <c r="BU12" s="30">
        <f t="shared" si="12"/>
        <v>4.8333333333333339E-4</v>
      </c>
    </row>
    <row r="13" spans="2:73" x14ac:dyDescent="0.2">
      <c r="B13" s="26">
        <f>[1]节奏总纲!N10</f>
        <v>14</v>
      </c>
      <c r="C13" s="26">
        <v>7</v>
      </c>
      <c r="D13" s="26">
        <f>[1]节奏总纲!P10</f>
        <v>0.62450479271247095</v>
      </c>
      <c r="E13" s="26">
        <f>[1]节奏总纲!Q10</f>
        <v>0.53413894920697635</v>
      </c>
      <c r="F13" s="26">
        <f>[1]节奏总纲!R10</f>
        <v>0.43072095553379119</v>
      </c>
      <c r="G13" s="26">
        <f>[1]节奏总纲!S10</f>
        <v>0.30950457526830061</v>
      </c>
      <c r="H13" s="26">
        <f>[1]节奏总纲!T10</f>
        <v>0.16699258157131475</v>
      </c>
      <c r="K13" s="26">
        <v>7</v>
      </c>
      <c r="L13" s="26">
        <f>[1]节奏总纲!AD10</f>
        <v>30</v>
      </c>
      <c r="M13" s="26">
        <f>[1]节奏总纲!AE10</f>
        <v>31.718819483847451</v>
      </c>
      <c r="N13" s="26">
        <f>[1]节奏总纲!AF10</f>
        <v>34.192155176139416</v>
      </c>
      <c r="O13" s="26">
        <f>[1]节奏总纲!AG10</f>
        <v>38.19822972207853</v>
      </c>
      <c r="P13" s="26">
        <f>[1]节奏总纲!AH10</f>
        <v>46.093186357957826</v>
      </c>
      <c r="S13" s="26">
        <v>7</v>
      </c>
      <c r="T13" s="26">
        <f>[2]各R部队能量汇总!E13</f>
        <v>2881330</v>
      </c>
      <c r="U13" s="26">
        <f>[2]各R部队能量汇总!F13</f>
        <v>2957634</v>
      </c>
      <c r="V13" s="26">
        <f>[2]各R部队能量汇总!G13</f>
        <v>3147228</v>
      </c>
      <c r="W13" s="26">
        <f>[2]各R部队能量汇总!H13</f>
        <v>3455444</v>
      </c>
      <c r="X13" s="26">
        <f>[2]各R部队能量汇总!I13</f>
        <v>3644830</v>
      </c>
      <c r="AA13" s="27">
        <v>7</v>
      </c>
      <c r="AB13" s="28">
        <f>[2]各R部队能量汇总!K13</f>
        <v>1</v>
      </c>
      <c r="AC13" s="28">
        <f>[2]各R部队能量汇总!L13</f>
        <v>1.0264822148105215</v>
      </c>
      <c r="AD13" s="28">
        <f>[2]各R部队能量汇总!M13</f>
        <v>1.092283077606522</v>
      </c>
      <c r="AE13" s="28">
        <f>[2]各R部队能量汇总!N13</f>
        <v>1.1992531226898688</v>
      </c>
      <c r="AF13" s="28">
        <f>[2]各R部队能量汇总!O13</f>
        <v>1.2649817966008754</v>
      </c>
      <c r="AI13" s="27">
        <v>7</v>
      </c>
      <c r="AJ13" s="28">
        <f>[1]服务器生态!W28</f>
        <v>1175.5125000000003</v>
      </c>
      <c r="AK13" s="28">
        <f>[1]服务器生态!X28</f>
        <v>477.65849999999961</v>
      </c>
      <c r="AL13" s="28">
        <f>[1]服务器生态!Y28</f>
        <v>61.823999999999984</v>
      </c>
      <c r="AM13" s="28">
        <f>[1]服务器生态!Z28</f>
        <v>8.2799999999999994</v>
      </c>
      <c r="AN13" s="28">
        <f>[1]服务器生态!AA28</f>
        <v>1.7249999999999999</v>
      </c>
      <c r="AQ13" s="26">
        <v>7</v>
      </c>
      <c r="AR13" s="29">
        <f>[2]非r将兵属性验证!M13</f>
        <v>77.90127204228591</v>
      </c>
      <c r="AS13" s="29">
        <f>[2]小r将兵属性验证!M13</f>
        <v>78.086951059530875</v>
      </c>
      <c r="AT13" s="29">
        <f>[2]中r将兵属性验证!M13</f>
        <v>78.468717881360121</v>
      </c>
      <c r="AU13" s="29">
        <f>[2]大r将兵属性验证!M13</f>
        <v>80.368152495698325</v>
      </c>
      <c r="AV13" s="29">
        <f>[2]超r将兵属性验证!M13</f>
        <v>80.499433246660772</v>
      </c>
      <c r="AY13" s="26">
        <v>6</v>
      </c>
      <c r="AZ13" s="26">
        <f>[3]基础信息!F10</f>
        <v>4.6000000000000005</v>
      </c>
      <c r="BA13" s="26">
        <f>[3]基础信息!G10</f>
        <v>70</v>
      </c>
      <c r="BB13" s="30">
        <f>[3]基础信息!D34</f>
        <v>24.849918540943076</v>
      </c>
      <c r="BC13" s="30">
        <f>[3]基础信息!E34</f>
        <v>26.503993823176689</v>
      </c>
      <c r="BD13" s="30">
        <f>[3]基础信息!F34</f>
        <v>28.86417158781855</v>
      </c>
      <c r="BE13" s="30">
        <f>[3]基础信息!G34</f>
        <v>32.61183801402732</v>
      </c>
      <c r="BF13" s="30">
        <f>[3]基础信息!H34</f>
        <v>40.277268685072613</v>
      </c>
      <c r="BG13" s="30">
        <f t="shared" si="0"/>
        <v>38961930.763348125</v>
      </c>
      <c r="BH13" s="30">
        <f t="shared" si="1"/>
        <v>47435852.381390162</v>
      </c>
      <c r="BI13" s="30">
        <f t="shared" si="2"/>
        <v>67151650.714017987</v>
      </c>
      <c r="BJ13" s="30">
        <f t="shared" si="3"/>
        <v>113231331.66396347</v>
      </c>
      <c r="BK13" s="30">
        <f t="shared" si="4"/>
        <v>255945799.51342234</v>
      </c>
      <c r="BL13" s="30">
        <f t="shared" si="7"/>
        <v>1743.4663043478263</v>
      </c>
      <c r="BM13" s="30">
        <f t="shared" si="5"/>
        <v>440.24869565217364</v>
      </c>
      <c r="BN13" s="30">
        <f t="shared" si="5"/>
        <v>71.807999999999993</v>
      </c>
      <c r="BO13" s="30">
        <f t="shared" si="5"/>
        <v>7.9440000000000017</v>
      </c>
      <c r="BP13" s="30">
        <f t="shared" si="5"/>
        <v>1.5330000000000001</v>
      </c>
      <c r="BQ13" s="30">
        <f t="shared" si="8"/>
        <v>0.76974229772530967</v>
      </c>
      <c r="BR13" s="30">
        <f t="shared" si="9"/>
        <v>0.19437028505614731</v>
      </c>
      <c r="BS13" s="30">
        <f t="shared" si="10"/>
        <v>3.170331125827814E-2</v>
      </c>
      <c r="BT13" s="30">
        <f t="shared" si="11"/>
        <v>3.5072847682119214E-3</v>
      </c>
      <c r="BU13" s="30">
        <f t="shared" si="12"/>
        <v>6.7682119205298016E-4</v>
      </c>
    </row>
    <row r="14" spans="2:73" x14ac:dyDescent="0.2">
      <c r="B14" s="26">
        <f>[1]节奏总纲!N11</f>
        <v>16</v>
      </c>
      <c r="C14" s="26">
        <v>8</v>
      </c>
      <c r="D14" s="26">
        <f>[1]节奏总纲!P11</f>
        <v>0.74110112659224825</v>
      </c>
      <c r="E14" s="26">
        <f>[1]节奏总纲!Q11</f>
        <v>0.63089938906798093</v>
      </c>
      <c r="F14" s="26">
        <f>[1]节奏总纲!R11</f>
        <v>0.50550507844857251</v>
      </c>
      <c r="G14" s="26">
        <f>[1]节奏总纲!S11</f>
        <v>0.36195379022765406</v>
      </c>
      <c r="H14" s="26">
        <f>[1]节奏总纲!T11</f>
        <v>0.19579891764567198</v>
      </c>
      <c r="K14" s="26">
        <v>8</v>
      </c>
      <c r="L14" s="26">
        <f>[1]节奏总纲!AD11</f>
        <v>31.691928656135214</v>
      </c>
      <c r="M14" s="26">
        <f>[1]节奏总纲!AE11</f>
        <v>33.465251056098396</v>
      </c>
      <c r="N14" s="26">
        <f>[1]节奏总纲!AF11</f>
        <v>35.930751746472978</v>
      </c>
      <c r="O14" s="26">
        <f>[1]节奏总纲!AG11</f>
        <v>39.998279638578282</v>
      </c>
      <c r="P14" s="26">
        <f>[1]节奏总纲!AH11</f>
        <v>48.067140183443534</v>
      </c>
      <c r="S14" s="26">
        <v>8</v>
      </c>
      <c r="T14" s="26">
        <f>[2]各R部队能量汇总!E14</f>
        <v>3791833</v>
      </c>
      <c r="U14" s="26">
        <f>[2]各R部队能量汇总!F14</f>
        <v>3901766</v>
      </c>
      <c r="V14" s="26">
        <f>[2]各R部队能量汇总!G14</f>
        <v>4180909</v>
      </c>
      <c r="W14" s="26">
        <f>[2]各R部队能量汇总!H14</f>
        <v>4638592</v>
      </c>
      <c r="X14" s="26">
        <f>[2]各R部队能量汇总!I14</f>
        <v>4919562</v>
      </c>
      <c r="AA14" s="27">
        <v>8</v>
      </c>
      <c r="AB14" s="28">
        <f>[2]各R部队能量汇总!K14</f>
        <v>1</v>
      </c>
      <c r="AC14" s="28">
        <f>[2]各R部队能量汇总!L14</f>
        <v>1.0289920468543841</v>
      </c>
      <c r="AD14" s="28">
        <f>[2]各R部队能量汇总!M14</f>
        <v>1.1026089492865323</v>
      </c>
      <c r="AE14" s="28">
        <f>[2]各R部队能量汇总!N14</f>
        <v>1.2233112586973107</v>
      </c>
      <c r="AF14" s="28">
        <f>[2]各R部队能量汇总!O14</f>
        <v>1.2974099861465418</v>
      </c>
      <c r="AI14" s="27">
        <v>8</v>
      </c>
      <c r="AJ14" s="28">
        <f>[1]服务器生态!W29</f>
        <v>1005.1159713000645</v>
      </c>
      <c r="AK14" s="28">
        <f>[1]服务器生态!X29</f>
        <v>432.12471441422116</v>
      </c>
      <c r="AL14" s="28">
        <f>[1]服务器生态!Y29</f>
        <v>53.913600000000002</v>
      </c>
      <c r="AM14" s="28">
        <f>[1]服务器生态!Z29</f>
        <v>7.3028571428571434</v>
      </c>
      <c r="AN14" s="28">
        <f>[1]服务器生态!AA29</f>
        <v>1.5428571428571429</v>
      </c>
      <c r="AQ14" s="26">
        <v>8</v>
      </c>
      <c r="AR14" s="29">
        <f>[2]非r将兵属性验证!M14</f>
        <v>80.884817382666895</v>
      </c>
      <c r="AS14" s="29">
        <f>[2]小r将兵属性验证!M14</f>
        <v>81.101442902786019</v>
      </c>
      <c r="AT14" s="29">
        <f>[2]中r将兵属性验证!M14</f>
        <v>81.546837528253477</v>
      </c>
      <c r="AU14" s="29">
        <f>[2]大r将兵属性验证!M14</f>
        <v>83.762844578314713</v>
      </c>
      <c r="AV14" s="29">
        <f>[2]超r将兵属性验证!M14</f>
        <v>83.916005454437567</v>
      </c>
      <c r="AY14" s="26">
        <v>7</v>
      </c>
      <c r="AZ14" s="26">
        <f>[3]基础信息!F11</f>
        <v>6.4</v>
      </c>
      <c r="BA14" s="26">
        <f>[3]基础信息!G11</f>
        <v>72</v>
      </c>
      <c r="BB14" s="30">
        <f>[3]基础信息!D35</f>
        <v>28.871435989877604</v>
      </c>
      <c r="BC14" s="30">
        <f>[3]基础信息!E35</f>
        <v>30.584388024505706</v>
      </c>
      <c r="BD14" s="30">
        <f>[3]基础信息!F35</f>
        <v>33.05817192436205</v>
      </c>
      <c r="BE14" s="30">
        <f>[3]基础信息!G35</f>
        <v>36.96265017981947</v>
      </c>
      <c r="BF14" s="30">
        <f>[3]基础信息!H35</f>
        <v>44.777585180686216</v>
      </c>
      <c r="BG14" s="30">
        <f t="shared" si="0"/>
        <v>56524256.321018688</v>
      </c>
      <c r="BH14" s="30">
        <f t="shared" si="1"/>
        <v>69566901.856355712</v>
      </c>
      <c r="BI14" s="30">
        <f t="shared" si="2"/>
        <v>101106734.1345799</v>
      </c>
      <c r="BJ14" s="30">
        <f t="shared" si="3"/>
        <v>172716659.74202204</v>
      </c>
      <c r="BK14" s="30">
        <f t="shared" si="4"/>
        <v>373030782.01268005</v>
      </c>
      <c r="BL14" s="30">
        <f t="shared" si="7"/>
        <v>1310.1251086956524</v>
      </c>
      <c r="BM14" s="30">
        <f t="shared" si="5"/>
        <v>475.20129130434748</v>
      </c>
      <c r="BN14" s="30">
        <f t="shared" si="5"/>
        <v>64.665599999999998</v>
      </c>
      <c r="BO14" s="30">
        <f t="shared" si="5"/>
        <v>8.3040000000000003</v>
      </c>
      <c r="BP14" s="30">
        <f t="shared" si="5"/>
        <v>1.704</v>
      </c>
      <c r="BQ14" s="30">
        <f t="shared" si="8"/>
        <v>0.70436833800841525</v>
      </c>
      <c r="BR14" s="30">
        <f t="shared" si="9"/>
        <v>0.2554845652173911</v>
      </c>
      <c r="BS14" s="30">
        <f t="shared" si="10"/>
        <v>3.4766451612903225E-2</v>
      </c>
      <c r="BT14" s="30">
        <f t="shared" si="11"/>
        <v>4.4645161290322579E-3</v>
      </c>
      <c r="BU14" s="30">
        <f t="shared" si="12"/>
        <v>9.161290322580645E-4</v>
      </c>
    </row>
    <row r="15" spans="2:73" x14ac:dyDescent="0.2">
      <c r="B15" s="26">
        <f>[1]节奏总纲!N12</f>
        <v>18</v>
      </c>
      <c r="C15" s="26">
        <v>9</v>
      </c>
      <c r="D15" s="26">
        <f>[1]节奏总纲!P12</f>
        <v>0.86606598307361482</v>
      </c>
      <c r="E15" s="26">
        <f>[1]节奏总纲!Q12</f>
        <v>0.73702215159564621</v>
      </c>
      <c r="F15" s="26">
        <f>[1]节奏总纲!R12</f>
        <v>0.59282216541388932</v>
      </c>
      <c r="G15" s="26">
        <f>[1]节奏总纲!S12</f>
        <v>0.42766338244175101</v>
      </c>
      <c r="H15" s="26">
        <f>[1]节奏总纲!T12</f>
        <v>0.23193247026711403</v>
      </c>
      <c r="K15" s="26">
        <v>9</v>
      </c>
      <c r="L15" s="26">
        <f>[1]节奏总纲!AD12</f>
        <v>33.213386604241784</v>
      </c>
      <c r="M15" s="26">
        <f>[1]节奏总纲!AE12</f>
        <v>34.992730785174565</v>
      </c>
      <c r="N15" s="26">
        <f>[1]节奏总纲!AF12</f>
        <v>37.510565846691456</v>
      </c>
      <c r="O15" s="26">
        <f>[1]节奏总纲!AG12</f>
        <v>41.534743419557365</v>
      </c>
      <c r="P15" s="26">
        <f>[1]节奏总纲!AH12</f>
        <v>49.706056771838036</v>
      </c>
      <c r="S15" s="26">
        <v>9</v>
      </c>
      <c r="T15" s="26">
        <f>[2]各R部队能量汇总!E15</f>
        <v>4922250</v>
      </c>
      <c r="U15" s="26">
        <f>[2]各R部队能量汇总!F15</f>
        <v>5075922</v>
      </c>
      <c r="V15" s="26">
        <f>[2]各R部队能量汇总!G15</f>
        <v>5473964</v>
      </c>
      <c r="W15" s="26">
        <f>[2]各R部队能量汇总!H15</f>
        <v>6131583</v>
      </c>
      <c r="X15" s="26">
        <f>[2]各R部队能量汇总!I15</f>
        <v>6535078</v>
      </c>
      <c r="AA15" s="27">
        <v>9</v>
      </c>
      <c r="AB15" s="28">
        <f>[2]各R部队能量汇总!K15</f>
        <v>1</v>
      </c>
      <c r="AC15" s="28">
        <f>[2]各R部队能量汇总!L15</f>
        <v>1.0312198689623648</v>
      </c>
      <c r="AD15" s="28">
        <f>[2]各R部队能量汇总!M15</f>
        <v>1.1120857331504901</v>
      </c>
      <c r="AE15" s="28">
        <f>[2]各R部队能量汇总!N15</f>
        <v>1.2456870333688861</v>
      </c>
      <c r="AF15" s="28">
        <f>[2]各R部队能量汇总!O15</f>
        <v>1.3276607242622784</v>
      </c>
      <c r="AI15" s="27">
        <v>9</v>
      </c>
      <c r="AJ15" s="28">
        <f>[1]服务器生态!W30</f>
        <v>959.81724113453504</v>
      </c>
      <c r="AK15" s="28">
        <f>[1]服务器生态!X30</f>
        <v>436.06866253893429</v>
      </c>
      <c r="AL15" s="28">
        <f>[1]服务器生态!Y30</f>
        <v>52.52242285714285</v>
      </c>
      <c r="AM15" s="28">
        <f>[1]服务器生态!Z30</f>
        <v>7.1941224489795923</v>
      </c>
      <c r="AN15" s="28">
        <f>[1]服务器生态!AA30</f>
        <v>1.5404081632653062</v>
      </c>
      <c r="AQ15" s="26">
        <v>9</v>
      </c>
      <c r="AR15" s="29">
        <f>[2]非r将兵属性验证!M15</f>
        <v>83.868362723047881</v>
      </c>
      <c r="AS15" s="29">
        <f>[2]小r将兵属性验证!M15</f>
        <v>84.115934746041162</v>
      </c>
      <c r="AT15" s="29">
        <f>[2]中r将兵属性验证!M15</f>
        <v>84.624957175146832</v>
      </c>
      <c r="AU15" s="29">
        <f>[2]大r将兵属性验证!M15</f>
        <v>87.1575366609311</v>
      </c>
      <c r="AV15" s="29">
        <f>[2]超r将兵属性验证!M15</f>
        <v>87.332577662214362</v>
      </c>
      <c r="AY15" s="26">
        <v>8</v>
      </c>
      <c r="AZ15" s="26">
        <f>[3]基础信息!F12</f>
        <v>8.6000000000000014</v>
      </c>
      <c r="BA15" s="26">
        <f>[3]基础信息!G12</f>
        <v>74</v>
      </c>
      <c r="BB15" s="30">
        <f>[3]基础信息!D36</f>
        <v>32.622244968783079</v>
      </c>
      <c r="BC15" s="30">
        <f>[3]基础信息!E36</f>
        <v>34.399191094548193</v>
      </c>
      <c r="BD15" s="30">
        <f>[3]基础信息!F36</f>
        <v>36.892848977677872</v>
      </c>
      <c r="BE15" s="30">
        <f>[3]基础信息!G36</f>
        <v>40.952772068276055</v>
      </c>
      <c r="BF15" s="30">
        <f>[3]基础信息!H36</f>
        <v>49.081973484869962</v>
      </c>
      <c r="BG15" s="30">
        <f t="shared" si="0"/>
        <v>80437918.737271652</v>
      </c>
      <c r="BH15" s="30">
        <f t="shared" si="1"/>
        <v>99915365.548192695</v>
      </c>
      <c r="BI15" s="30">
        <f t="shared" si="2"/>
        <v>145158009.13721132</v>
      </c>
      <c r="BJ15" s="30">
        <f t="shared" si="3"/>
        <v>247370450.17336589</v>
      </c>
      <c r="BK15" s="30">
        <f t="shared" si="4"/>
        <v>523841531.45988297</v>
      </c>
      <c r="BL15" s="30">
        <f t="shared" si="7"/>
        <v>977.93673320074674</v>
      </c>
      <c r="BM15" s="30">
        <f t="shared" si="5"/>
        <v>434.49108328904902</v>
      </c>
      <c r="BN15" s="30">
        <f t="shared" si="5"/>
        <v>53.078893714285712</v>
      </c>
      <c r="BO15" s="30">
        <f t="shared" si="5"/>
        <v>7.2376163265306124</v>
      </c>
      <c r="BP15" s="30">
        <f t="shared" si="5"/>
        <v>1.541387755102041</v>
      </c>
      <c r="BQ15" s="30">
        <f t="shared" si="8"/>
        <v>0.66332917949663073</v>
      </c>
      <c r="BR15" s="30">
        <f t="shared" si="9"/>
        <v>0.2947129440914093</v>
      </c>
      <c r="BS15" s="30">
        <f t="shared" si="10"/>
        <v>3.6003125581395352E-2</v>
      </c>
      <c r="BT15" s="30">
        <f t="shared" si="11"/>
        <v>4.909235880398672E-3</v>
      </c>
      <c r="BU15" s="30">
        <f t="shared" si="12"/>
        <v>1.0455149501661133E-3</v>
      </c>
    </row>
    <row r="16" spans="2:73" x14ac:dyDescent="0.2">
      <c r="B16" s="26">
        <f>[1]节奏总纲!N13</f>
        <v>20</v>
      </c>
      <c r="C16" s="26">
        <v>10</v>
      </c>
      <c r="D16" s="26">
        <f>[1]节奏总纲!P13</f>
        <v>1</v>
      </c>
      <c r="E16" s="26">
        <f>[1]节奏总纲!Q13</f>
        <v>0.8548</v>
      </c>
      <c r="F16" s="26">
        <f>[1]节奏总纲!R13</f>
        <v>0.6895</v>
      </c>
      <c r="G16" s="26">
        <f>[1]节奏总纲!S13</f>
        <v>0.49980000000000002</v>
      </c>
      <c r="H16" s="26">
        <f>[1]节奏总纲!T13</f>
        <v>0.2732</v>
      </c>
      <c r="K16" s="26">
        <v>10</v>
      </c>
      <c r="L16" s="26">
        <f>[1]节奏总纲!AD13</f>
        <v>34.585942742481357</v>
      </c>
      <c r="M16" s="26">
        <f>[1]节奏总纲!AE13</f>
        <v>36.36169634498642</v>
      </c>
      <c r="N16" s="26">
        <f>[1]节奏总纲!AF13</f>
        <v>38.977035507933373</v>
      </c>
      <c r="O16" s="26">
        <f>[1]节奏总纲!AG13</f>
        <v>42.970748198558951</v>
      </c>
      <c r="P16" s="26">
        <f>[1]节奏总纲!AH13</f>
        <v>51.212821897464167</v>
      </c>
      <c r="S16" s="26">
        <v>10</v>
      </c>
      <c r="T16" s="26">
        <f>[2]各R部队能量汇总!E16</f>
        <v>6344749</v>
      </c>
      <c r="U16" s="26">
        <f>[2]各R部队能量汇总!F16</f>
        <v>6521516</v>
      </c>
      <c r="V16" s="26">
        <f>[2]各R部队能量汇总!G16</f>
        <v>7074538</v>
      </c>
      <c r="W16" s="26">
        <f>[2]各R部队能量汇总!H16</f>
        <v>7994486</v>
      </c>
      <c r="X16" s="26">
        <f>[2]各R部队能量汇总!I16</f>
        <v>8558804</v>
      </c>
      <c r="AA16" s="27">
        <v>10</v>
      </c>
      <c r="AB16" s="28">
        <f>[2]各R部队能量汇总!K16</f>
        <v>1</v>
      </c>
      <c r="AC16" s="28">
        <f>[2]各R部队能量汇总!L16</f>
        <v>1.0278603613791499</v>
      </c>
      <c r="AD16" s="28">
        <f>[2]各R部队能量汇总!M16</f>
        <v>1.1150225170451975</v>
      </c>
      <c r="AE16" s="28">
        <f>[2]各R部队能量汇总!N16</f>
        <v>1.2600161172648436</v>
      </c>
      <c r="AF16" s="28">
        <f>[2]各R部队能量汇总!O16</f>
        <v>1.3489586428084075</v>
      </c>
      <c r="AI16" s="27">
        <v>10</v>
      </c>
      <c r="AJ16" s="28">
        <f>[1]服务器生态!W31</f>
        <v>915.49387161521304</v>
      </c>
      <c r="AK16" s="28">
        <f>[1]服务器生态!X31</f>
        <v>439.05435369090935</v>
      </c>
      <c r="AL16" s="28">
        <f>[1]服务器生态!Y31</f>
        <v>51.122468571428563</v>
      </c>
      <c r="AM16" s="28">
        <f>[1]服务器生态!Z31</f>
        <v>7.0795102040816325</v>
      </c>
      <c r="AN16" s="28">
        <f>[1]服务器生态!AA31</f>
        <v>1.5355102040816326</v>
      </c>
      <c r="AQ16" s="26">
        <v>10</v>
      </c>
      <c r="AR16" s="29">
        <f>[2]非r将兵属性验证!M16</f>
        <v>86.851908063428866</v>
      </c>
      <c r="AS16" s="29">
        <f>[2]小r将兵属性验证!M16</f>
        <v>87.130426589296306</v>
      </c>
      <c r="AT16" s="29">
        <f>[2]中r将兵属性验证!M16</f>
        <v>87.703076822040188</v>
      </c>
      <c r="AU16" s="29">
        <f>[2]大r将兵属性验证!M16</f>
        <v>90.552228743547488</v>
      </c>
      <c r="AV16" s="29">
        <f>[2]超r将兵属性验证!M16</f>
        <v>90.749149869991157</v>
      </c>
      <c r="AY16" s="26">
        <v>9</v>
      </c>
      <c r="AZ16" s="26">
        <f>[3]基础信息!F13</f>
        <v>11.240000000000002</v>
      </c>
      <c r="BA16" s="26">
        <f>[3]基础信息!G13</f>
        <v>76</v>
      </c>
      <c r="BB16" s="30">
        <f>[3]基础信息!D37</f>
        <v>36.131295765987311</v>
      </c>
      <c r="BC16" s="30">
        <f>[3]基础信息!E37</f>
        <v>37.935671041928963</v>
      </c>
      <c r="BD16" s="30">
        <f>[3]基础信息!F37</f>
        <v>40.545247328224029</v>
      </c>
      <c r="BE16" s="30">
        <f>[3]基础信息!G37</f>
        <v>44.586441909072747</v>
      </c>
      <c r="BF16" s="30">
        <f>[3]基础信息!H37</f>
        <v>52.871775054505605</v>
      </c>
      <c r="BG16" s="30">
        <f t="shared" si="0"/>
        <v>111212822.04459156</v>
      </c>
      <c r="BH16" s="30">
        <f t="shared" si="1"/>
        <v>137861682.11872914</v>
      </c>
      <c r="BI16" s="30">
        <f t="shared" si="2"/>
        <v>200942315.03368834</v>
      </c>
      <c r="BJ16" s="30">
        <f t="shared" si="3"/>
        <v>335363438.78015447</v>
      </c>
      <c r="BK16" s="30">
        <f t="shared" si="4"/>
        <v>826870073.73275208</v>
      </c>
      <c r="BL16" s="30">
        <f t="shared" si="7"/>
        <v>861.97642716764085</v>
      </c>
      <c r="BM16" s="30">
        <f t="shared" si="5"/>
        <v>441.33839039970593</v>
      </c>
      <c r="BN16" s="30">
        <f t="shared" si="5"/>
        <v>49.373535085714281</v>
      </c>
      <c r="BO16" s="30">
        <f t="shared" si="5"/>
        <v>6.9286922448979595</v>
      </c>
      <c r="BP16" s="30">
        <f t="shared" si="5"/>
        <v>1.525812244897959</v>
      </c>
      <c r="BQ16" s="30">
        <f t="shared" si="8"/>
        <v>0.63327403339352284</v>
      </c>
      <c r="BR16" s="30">
        <f t="shared" si="9"/>
        <v>0.32424105088139604</v>
      </c>
      <c r="BS16" s="30">
        <f t="shared" si="10"/>
        <v>3.6273587909319893E-2</v>
      </c>
      <c r="BT16" s="30">
        <f t="shared" si="11"/>
        <v>5.0903490464195757E-3</v>
      </c>
      <c r="BU16" s="30">
        <f t="shared" si="12"/>
        <v>1.1209787693414895E-3</v>
      </c>
    </row>
    <row r="17" spans="2:73" x14ac:dyDescent="0.2">
      <c r="B17" s="26">
        <f>[1]节奏总纲!N14</f>
        <v>21</v>
      </c>
      <c r="C17" s="26">
        <v>11</v>
      </c>
      <c r="D17" s="26">
        <f>[1]节奏总纲!P14</f>
        <v>1.1435469250725863</v>
      </c>
      <c r="E17" s="26">
        <f>[1]节奏总纲!Q14</f>
        <v>0.98036277886472811</v>
      </c>
      <c r="F17" s="26">
        <f>[1]节奏总纲!R14</f>
        <v>0.79453640354043287</v>
      </c>
      <c r="G17" s="26">
        <f>[1]节奏总纲!S14</f>
        <v>0.57577587677404707</v>
      </c>
      <c r="H17" s="26">
        <f>[1]节奏总纲!T14</f>
        <v>0.31767733578516444</v>
      </c>
      <c r="K17" s="26">
        <v>11</v>
      </c>
      <c r="L17" s="26">
        <f>[1]节奏总纲!AD14</f>
        <v>35.845161563010116</v>
      </c>
      <c r="M17" s="26">
        <f>[1]节奏总纲!AE14</f>
        <v>37.6388925299823</v>
      </c>
      <c r="N17" s="26">
        <f>[1]节奏总纲!AF14</f>
        <v>40.259528204263837</v>
      </c>
      <c r="O17" s="26">
        <f>[1]节奏总纲!AG14</f>
        <v>44.288230531994081</v>
      </c>
      <c r="P17" s="26">
        <f>[1]节奏总纲!AH14</f>
        <v>52.559419343629337</v>
      </c>
      <c r="S17" s="26">
        <v>11</v>
      </c>
      <c r="T17" s="26">
        <f>[2]各R部队能量汇总!E17</f>
        <v>8049982</v>
      </c>
      <c r="U17" s="26">
        <f>[2]各R部队能量汇总!F17</f>
        <v>8285173</v>
      </c>
      <c r="V17" s="26">
        <f>[2]各R部队能量汇总!G17</f>
        <v>9037033</v>
      </c>
      <c r="W17" s="26">
        <f>[2]各R部队能量汇总!H17</f>
        <v>10295518</v>
      </c>
      <c r="X17" s="26">
        <f>[2]各R部队能量汇总!I17</f>
        <v>11067497</v>
      </c>
      <c r="AA17" s="27">
        <v>11</v>
      </c>
      <c r="AB17" s="28">
        <f>[2]各R部队能量汇总!K17</f>
        <v>1</v>
      </c>
      <c r="AC17" s="28">
        <f>[2]各R部队能量汇总!L17</f>
        <v>1.0292163386203845</v>
      </c>
      <c r="AD17" s="28">
        <f>[2]各R部队能量汇总!M17</f>
        <v>1.1226153052267696</v>
      </c>
      <c r="AE17" s="28">
        <f>[2]各R部队能量汇总!N17</f>
        <v>1.2789491951659022</v>
      </c>
      <c r="AF17" s="28">
        <f>[2]各R部队能量汇总!O17</f>
        <v>1.3748474220190803</v>
      </c>
      <c r="AI17" s="27">
        <v>11</v>
      </c>
      <c r="AJ17" s="28">
        <f>[1]服务器生态!W32</f>
        <v>872.14586274209864</v>
      </c>
      <c r="AK17" s="28">
        <f>[1]服务器生态!X32</f>
        <v>441.08178787014623</v>
      </c>
      <c r="AL17" s="28">
        <f>[1]服务器生态!Y32</f>
        <v>49.713737142857141</v>
      </c>
      <c r="AM17" s="28">
        <f>[1]服务器生态!Z32</f>
        <v>6.9590204081632665</v>
      </c>
      <c r="AN17" s="28">
        <f>[1]服务器生态!AA32</f>
        <v>1.5281632653061221</v>
      </c>
      <c r="AQ17" s="26">
        <v>11</v>
      </c>
      <c r="AR17" s="29">
        <f>[2]非r将兵属性验证!M17</f>
        <v>89.835453403809822</v>
      </c>
      <c r="AS17" s="29">
        <f>[2]小r将兵属性验证!M17</f>
        <v>90.144918432551478</v>
      </c>
      <c r="AT17" s="29">
        <f>[2]中r将兵属性验证!M17</f>
        <v>90.781196468933516</v>
      </c>
      <c r="AU17" s="29">
        <f>[2]大r将兵属性验证!M17</f>
        <v>93.94692082616389</v>
      </c>
      <c r="AV17" s="29">
        <f>[2]超r将兵属性验证!M17</f>
        <v>94.165722077767981</v>
      </c>
      <c r="AY17" s="26">
        <v>10</v>
      </c>
      <c r="AZ17" s="26">
        <f>[3]基础信息!F14</f>
        <v>14.360000000000003</v>
      </c>
      <c r="BA17" s="26">
        <f>[3]基础信息!G14</f>
        <v>80</v>
      </c>
      <c r="BB17" s="30">
        <f>[3]基础信息!D38</f>
        <v>39.402690953083486</v>
      </c>
      <c r="BC17" s="30">
        <f>[3]基础信息!E38</f>
        <v>41.263840031787083</v>
      </c>
      <c r="BD17" s="30">
        <f>[3]基础信息!F38</f>
        <v>43.840862909888635</v>
      </c>
      <c r="BE17" s="30">
        <f>[3]基础信息!G38</f>
        <v>48.090654903003475</v>
      </c>
      <c r="BF17" s="30">
        <f>[3]基础信息!H38</f>
        <v>56.533934008276852</v>
      </c>
      <c r="BG17" s="30">
        <f t="shared" si="0"/>
        <v>148549629.47537723</v>
      </c>
      <c r="BH17" s="30">
        <f t="shared" si="1"/>
        <v>182605223.330605</v>
      </c>
      <c r="BI17" s="30">
        <f t="shared" si="2"/>
        <v>264214181.68569157</v>
      </c>
      <c r="BJ17" s="30">
        <f t="shared" si="3"/>
        <v>445453060.67717266</v>
      </c>
      <c r="BK17" s="30">
        <f t="shared" si="4"/>
        <v>1320884833.9575655</v>
      </c>
      <c r="BL17" s="30">
        <f t="shared" si="7"/>
        <v>736.91424338557999</v>
      </c>
      <c r="BM17" s="30">
        <f t="shared" si="5"/>
        <v>437.64925342813399</v>
      </c>
      <c r="BN17" s="30">
        <f t="shared" si="5"/>
        <v>44.890601471999986</v>
      </c>
      <c r="BO17" s="30">
        <f t="shared" si="5"/>
        <v>6.4950788571428575</v>
      </c>
      <c r="BP17" s="30">
        <f t="shared" si="5"/>
        <v>1.4793942857142854</v>
      </c>
      <c r="BQ17" s="30">
        <f t="shared" si="8"/>
        <v>0.60037240499290745</v>
      </c>
      <c r="BR17" s="30">
        <f t="shared" si="9"/>
        <v>0.35655781820262317</v>
      </c>
      <c r="BS17" s="30">
        <f t="shared" si="10"/>
        <v>3.6572882949720664E-2</v>
      </c>
      <c r="BT17" s="30">
        <f t="shared" si="11"/>
        <v>5.2916145251396653E-3</v>
      </c>
      <c r="BU17" s="30">
        <f t="shared" si="12"/>
        <v>1.2052793296089385E-3</v>
      </c>
    </row>
    <row r="18" spans="2:73" x14ac:dyDescent="0.2">
      <c r="B18" s="26">
        <f>[1]节奏总纲!N15</f>
        <v>22</v>
      </c>
      <c r="C18" s="26">
        <v>12</v>
      </c>
      <c r="D18" s="26">
        <f>[1]节奏总纲!P15</f>
        <v>1.2973967099940702</v>
      </c>
      <c r="E18" s="26">
        <f>[1]节奏总纲!Q15</f>
        <v>1.1126474184909145</v>
      </c>
      <c r="F18" s="26">
        <f>[1]节奏总纲!R15</f>
        <v>0.9058423829178599</v>
      </c>
      <c r="G18" s="26">
        <f>[1]节奏总纲!S15</f>
        <v>0.66219128078097333</v>
      </c>
      <c r="H18" s="26">
        <f>[1]节奏总纲!T15</f>
        <v>0.36560639287632896</v>
      </c>
      <c r="K18" s="26">
        <v>12</v>
      </c>
      <c r="L18" s="26">
        <f>[1]节奏总纲!AD15</f>
        <v>37.004247194324648</v>
      </c>
      <c r="M18" s="26">
        <f>[1]节奏总纲!AE15</f>
        <v>38.827998824669805</v>
      </c>
      <c r="N18" s="26">
        <f>[1]节奏总纲!AF15</f>
        <v>41.408320762540754</v>
      </c>
      <c r="O18" s="26">
        <f>[1]节奏总纲!AG15</f>
        <v>45.500930067545958</v>
      </c>
      <c r="P18" s="26">
        <f>[1]节奏总纲!AH15</f>
        <v>53.855547243088772</v>
      </c>
      <c r="S18" s="26">
        <v>12</v>
      </c>
      <c r="T18" s="26">
        <f>[2]各R部队能量汇总!E18</f>
        <v>9192201</v>
      </c>
      <c r="U18" s="26">
        <f>[2]各R部队能量汇总!F18</f>
        <v>9523790</v>
      </c>
      <c r="V18" s="26">
        <f>[2]各R部队能量汇总!G18</f>
        <v>10359883</v>
      </c>
      <c r="W18" s="26">
        <f>[2]各R部队能量汇总!H18</f>
        <v>11801971</v>
      </c>
      <c r="X18" s="26">
        <f>[2]各R部队能量汇总!I18</f>
        <v>12747792</v>
      </c>
      <c r="AA18" s="27">
        <v>12</v>
      </c>
      <c r="AB18" s="28">
        <f>[2]各R部队能量汇总!K18</f>
        <v>1</v>
      </c>
      <c r="AC18" s="28">
        <f>[2]各R部队能量汇总!L18</f>
        <v>1.0360728622013378</v>
      </c>
      <c r="AD18" s="28">
        <f>[2]各R部队能量汇总!M18</f>
        <v>1.1270296417582688</v>
      </c>
      <c r="AE18" s="28">
        <f>[2]各R部队能量汇总!N18</f>
        <v>1.2839113287448785</v>
      </c>
      <c r="AF18" s="28">
        <f>[2]各R部队能量汇总!O18</f>
        <v>1.3868051840902957</v>
      </c>
      <c r="AI18" s="27">
        <v>12</v>
      </c>
      <c r="AJ18" s="28">
        <f>[1]服务器生态!W33</f>
        <v>829.77321451519163</v>
      </c>
      <c r="AK18" s="28">
        <f>[1]服务器生态!X33</f>
        <v>442.15096507664504</v>
      </c>
      <c r="AL18" s="28">
        <f>[1]服务器生态!Y33</f>
        <v>48.296228571428571</v>
      </c>
      <c r="AM18" s="28">
        <f>[1]服务器生态!Z33</f>
        <v>6.83265306122449</v>
      </c>
      <c r="AN18" s="28">
        <f>[1]服务器生态!AA33</f>
        <v>1.5183673469387753</v>
      </c>
      <c r="AQ18" s="26">
        <v>12</v>
      </c>
      <c r="AR18" s="29">
        <f>[2]非r将兵属性验证!M18</f>
        <v>91.010526482398845</v>
      </c>
      <c r="AS18" s="29">
        <f>[2]小r将兵属性验证!M18</f>
        <v>91.303648697760948</v>
      </c>
      <c r="AT18" s="29">
        <f>[2]中r将兵属性验证!M18</f>
        <v>91.873808508329802</v>
      </c>
      <c r="AU18" s="29">
        <f>[2]大r将兵属性验证!M18</f>
        <v>94.857817794518652</v>
      </c>
      <c r="AV18" s="29">
        <f>[2]超r将兵属性验证!M18</f>
        <v>95.234972227791474</v>
      </c>
      <c r="AY18" s="26">
        <v>11</v>
      </c>
      <c r="AZ18" s="26">
        <f>[3]基础信息!F15</f>
        <v>18.000000000000004</v>
      </c>
      <c r="BA18" s="26">
        <f>[3]基础信息!G15</f>
        <v>82</v>
      </c>
      <c r="BB18" s="30">
        <f>[3]基础信息!D39</f>
        <v>42.470630686057078</v>
      </c>
      <c r="BC18" s="30">
        <f>[3]基础信息!E39</f>
        <v>44.32123076997032</v>
      </c>
      <c r="BD18" s="30">
        <f>[3]基础信息!F39</f>
        <v>47.002405448181747</v>
      </c>
      <c r="BE18" s="30">
        <f>[3]基础信息!G39</f>
        <v>51.307235833425089</v>
      </c>
      <c r="BF18" s="30">
        <f>[3]基础信息!H39</f>
        <v>59.782901351568675</v>
      </c>
      <c r="BG18" s="30">
        <f t="shared" si="0"/>
        <v>189728061.20063627</v>
      </c>
      <c r="BH18" s="30">
        <f t="shared" si="1"/>
        <v>233225466.15687093</v>
      </c>
      <c r="BI18" s="30">
        <f t="shared" si="2"/>
        <v>341086612.9959076</v>
      </c>
      <c r="BJ18" s="30">
        <f t="shared" si="3"/>
        <v>603092945.79271221</v>
      </c>
      <c r="BK18" s="30">
        <f t="shared" si="4"/>
        <v>1952790178.940285</v>
      </c>
      <c r="BL18" s="30">
        <f t="shared" si="7"/>
        <v>658.7480525078372</v>
      </c>
      <c r="BM18" s="30">
        <f t="shared" si="5"/>
        <v>417.4139154921628</v>
      </c>
      <c r="BN18" s="30">
        <f t="shared" si="5"/>
        <v>41.332031999999998</v>
      </c>
      <c r="BO18" s="30">
        <f t="shared" si="5"/>
        <v>6.0885000000000016</v>
      </c>
      <c r="BP18" s="30">
        <f t="shared" si="5"/>
        <v>1.4174999999999998</v>
      </c>
      <c r="BQ18" s="30">
        <f t="shared" si="8"/>
        <v>0.5855538244514108</v>
      </c>
      <c r="BR18" s="30">
        <f t="shared" si="9"/>
        <v>0.37103459154858914</v>
      </c>
      <c r="BS18" s="30">
        <f t="shared" si="10"/>
        <v>3.6739583999999999E-2</v>
      </c>
      <c r="BT18" s="30">
        <f t="shared" si="11"/>
        <v>5.412000000000001E-3</v>
      </c>
      <c r="BU18" s="30">
        <f t="shared" si="12"/>
        <v>1.2599999999999998E-3</v>
      </c>
    </row>
    <row r="19" spans="2:73" x14ac:dyDescent="0.2">
      <c r="B19" s="26">
        <f>[1]节奏总纲!N16</f>
        <v>23</v>
      </c>
      <c r="C19" s="26">
        <v>13</v>
      </c>
      <c r="D19" s="26">
        <f>[1]节奏总纲!P16</f>
        <v>1.4622888266898326</v>
      </c>
      <c r="E19" s="26">
        <f>[1]节奏总纲!Q16</f>
        <v>1.2628326307293396</v>
      </c>
      <c r="F19" s="26">
        <f>[1]节奏总纲!R16</f>
        <v>1.0294513339896421</v>
      </c>
      <c r="G19" s="26">
        <f>[1]节奏总纲!S16</f>
        <v>0.75556463675063656</v>
      </c>
      <c r="H19" s="26">
        <f>[1]节奏总纲!T16</f>
        <v>0.41865329108129906</v>
      </c>
      <c r="K19" s="26">
        <v>13</v>
      </c>
      <c r="L19" s="26">
        <f>[1]节奏总纲!AD16</f>
        <v>38.071211008105138</v>
      </c>
      <c r="M19" s="26">
        <f>[1]节奏总纲!AE16</f>
        <v>39.935302111946527</v>
      </c>
      <c r="N19" s="26">
        <f>[1]节奏总纲!AF16</f>
        <v>42.470214785133983</v>
      </c>
      <c r="O19" s="26">
        <f>[1]节奏总纲!AG16</f>
        <v>46.631096344914496</v>
      </c>
      <c r="P19" s="26">
        <f>[1]节奏总纲!AH16</f>
        <v>55.062101953238496</v>
      </c>
      <c r="S19" s="26">
        <v>13</v>
      </c>
      <c r="T19" s="26">
        <f>[2]各R部队能量汇总!E19</f>
        <v>10472035</v>
      </c>
      <c r="U19" s="26">
        <f>[2]各R部队能量汇总!F19</f>
        <v>10848738</v>
      </c>
      <c r="V19" s="26">
        <f>[2]各R部队能量汇总!G19</f>
        <v>11910935</v>
      </c>
      <c r="W19" s="26">
        <f>[2]各R部队能量汇总!H19</f>
        <v>13421016</v>
      </c>
      <c r="X19" s="26">
        <f>[2]各R部队能量汇总!I19</f>
        <v>14593213</v>
      </c>
      <c r="AA19" s="27">
        <v>13</v>
      </c>
      <c r="AB19" s="28">
        <f>[2]各R部队能量汇总!K19</f>
        <v>1</v>
      </c>
      <c r="AC19" s="28">
        <f>[2]各R部队能量汇总!L19</f>
        <v>1.0359722823691861</v>
      </c>
      <c r="AD19" s="28">
        <f>[2]各R部队能量汇总!M19</f>
        <v>1.1374040480193199</v>
      </c>
      <c r="AE19" s="28">
        <f>[2]各R部队能量汇总!N19</f>
        <v>1.2816053422281342</v>
      </c>
      <c r="AF19" s="28">
        <f>[2]各R部队能量汇总!O19</f>
        <v>1.3935412744514319</v>
      </c>
      <c r="AI19" s="27">
        <v>13</v>
      </c>
      <c r="AJ19" s="28">
        <f>[1]服务器生态!W34</f>
        <v>788.3759269344921</v>
      </c>
      <c r="AK19" s="28">
        <f>[1]服务器生态!X34</f>
        <v>442.26188531040566</v>
      </c>
      <c r="AL19" s="28">
        <f>[1]服务器生态!Y34</f>
        <v>46.869942857142846</v>
      </c>
      <c r="AM19" s="28">
        <f>[1]服务器生态!Z34</f>
        <v>6.7004081632653056</v>
      </c>
      <c r="AN19" s="28">
        <f>[1]服务器生态!AA34</f>
        <v>1.5061224489795915</v>
      </c>
      <c r="AQ19" s="26">
        <v>13</v>
      </c>
      <c r="AR19" s="29">
        <f>[2]非r将兵属性验证!M19</f>
        <v>92.185599560987896</v>
      </c>
      <c r="AS19" s="29">
        <f>[2]小r将兵属性验证!M19</f>
        <v>92.462378962970448</v>
      </c>
      <c r="AT19" s="29">
        <f>[2]中r将兵属性验证!M19</f>
        <v>92.966420547726088</v>
      </c>
      <c r="AU19" s="29">
        <f>[2]大r将兵属性验证!M19</f>
        <v>95.768714762873415</v>
      </c>
      <c r="AV19" s="29">
        <f>[2]超r将兵属性验证!M19</f>
        <v>96.30422237781498</v>
      </c>
      <c r="AY19" s="26">
        <v>12</v>
      </c>
      <c r="AZ19" s="26">
        <f>[3]基础信息!F16</f>
        <v>22.200000000000003</v>
      </c>
      <c r="BA19" s="26">
        <f>[3]基础信息!G16</f>
        <v>84</v>
      </c>
      <c r="BB19" s="30">
        <f>[3]基础信息!D40</f>
        <v>45.352565305146015</v>
      </c>
      <c r="BC19" s="30">
        <f>[3]基础信息!E40</f>
        <v>47.235260506333383</v>
      </c>
      <c r="BD19" s="30">
        <f>[3]基础信息!F40</f>
        <v>49.99643321974709</v>
      </c>
      <c r="BE19" s="30">
        <f>[3]基础信息!G40</f>
        <v>54.28793652417658</v>
      </c>
      <c r="BF19" s="30">
        <f>[3]基础信息!H40</f>
        <v>62.682688810502086</v>
      </c>
      <c r="BG19" s="30">
        <f t="shared" si="0"/>
        <v>238291681.4572303</v>
      </c>
      <c r="BH19" s="30">
        <f t="shared" si="1"/>
        <v>295090069.83785355</v>
      </c>
      <c r="BI19" s="30">
        <f t="shared" si="2"/>
        <v>431330158.20413202</v>
      </c>
      <c r="BJ19" s="30">
        <f t="shared" si="3"/>
        <v>857578986.98403716</v>
      </c>
      <c r="BK19" s="30">
        <f t="shared" si="4"/>
        <v>2455593492.515316</v>
      </c>
      <c r="BL19" s="30">
        <f t="shared" si="7"/>
        <v>579.87927931034505</v>
      </c>
      <c r="BM19" s="30">
        <f t="shared" si="5"/>
        <v>395.43988612965501</v>
      </c>
      <c r="BN19" s="30">
        <f t="shared" si="5"/>
        <v>37.669954559999994</v>
      </c>
      <c r="BO19" s="30">
        <f t="shared" si="5"/>
        <v>5.661480000000001</v>
      </c>
      <c r="BP19" s="30">
        <f t="shared" si="5"/>
        <v>1.3493999999999999</v>
      </c>
      <c r="BQ19" s="30">
        <f t="shared" si="8"/>
        <v>0.56850909736308342</v>
      </c>
      <c r="BR19" s="30">
        <f t="shared" si="9"/>
        <v>0.38768616287221086</v>
      </c>
      <c r="BS19" s="30">
        <f t="shared" si="10"/>
        <v>3.6931327999999999E-2</v>
      </c>
      <c r="BT19" s="30">
        <f t="shared" si="11"/>
        <v>5.5504705882352956E-3</v>
      </c>
      <c r="BU19" s="30">
        <f t="shared" si="12"/>
        <v>1.3229411764705884E-3</v>
      </c>
    </row>
    <row r="20" spans="2:73" x14ac:dyDescent="0.2">
      <c r="B20" s="26">
        <f>[1]节奏总纲!N17</f>
        <v>24</v>
      </c>
      <c r="C20" s="26">
        <v>14</v>
      </c>
      <c r="D20" s="26">
        <f>[1]节奏总纲!P17</f>
        <v>1.6390158215457884</v>
      </c>
      <c r="E20" s="26">
        <f>[1]节奏总纲!Q17</f>
        <v>1.4136511460832426</v>
      </c>
      <c r="F20" s="26">
        <f>[1]节奏总纲!R17</f>
        <v>1.1545227446968533</v>
      </c>
      <c r="G20" s="26">
        <f>[1]节奏总纲!S17</f>
        <v>0.84605996708193598</v>
      </c>
      <c r="H20" s="26">
        <f>[1]节奏总纲!T17</f>
        <v>0.46810291863347719</v>
      </c>
      <c r="K20" s="26">
        <v>14</v>
      </c>
      <c r="L20" s="26">
        <f>[1]节奏总纲!AD17</f>
        <v>39.066704614192943</v>
      </c>
      <c r="M20" s="26">
        <f>[1]节奏总纲!AE17</f>
        <v>40.935169244165145</v>
      </c>
      <c r="N20" s="26">
        <f>[1]节奏总纲!AF17</f>
        <v>43.484929789964411</v>
      </c>
      <c r="O20" s="26">
        <f>[1]节奏总纲!AG17</f>
        <v>47.711408234944486</v>
      </c>
      <c r="P20" s="26">
        <f>[1]节奏总纲!AH17</f>
        <v>56.165983112651688</v>
      </c>
      <c r="S20" s="26">
        <v>14</v>
      </c>
      <c r="T20" s="26">
        <f>[2]各R部队能量汇总!E20</f>
        <v>11864989</v>
      </c>
      <c r="U20" s="26">
        <f>[2]各R部队能量汇总!F20</f>
        <v>12292687</v>
      </c>
      <c r="V20" s="26">
        <f>[2]各R部队能量汇总!G20</f>
        <v>13447246</v>
      </c>
      <c r="W20" s="26">
        <f>[2]各R部队能量汇总!H20</f>
        <v>15127276</v>
      </c>
      <c r="X20" s="26">
        <f>[2]各R部队能量汇总!I20</f>
        <v>16473645</v>
      </c>
      <c r="AA20" s="27">
        <v>14</v>
      </c>
      <c r="AB20" s="28">
        <f>[2]各R部队能量汇总!K20</f>
        <v>1</v>
      </c>
      <c r="AC20" s="28">
        <f>[2]各R部队能量汇总!L20</f>
        <v>1.036047062496223</v>
      </c>
      <c r="AD20" s="28">
        <f>[2]各R部队能量汇总!M20</f>
        <v>1.1333551173119503</v>
      </c>
      <c r="AE20" s="28">
        <f>[2]各R部队能量汇总!N20</f>
        <v>1.2749506973837059</v>
      </c>
      <c r="AF20" s="28">
        <f>[2]各R部队能量汇总!O20</f>
        <v>1.3884248017423362</v>
      </c>
      <c r="AI20" s="27">
        <v>14</v>
      </c>
      <c r="AJ20" s="28">
        <f>[1]服务器生态!W35</f>
        <v>747.95400000000018</v>
      </c>
      <c r="AK20" s="28">
        <f>[1]服务器生态!X35</f>
        <v>441.41454857142821</v>
      </c>
      <c r="AL20" s="28">
        <f>[1]服务器生态!Y35</f>
        <v>45.434879999999993</v>
      </c>
      <c r="AM20" s="28">
        <f>[1]服务器生态!Z35</f>
        <v>6.5622857142857143</v>
      </c>
      <c r="AN20" s="28">
        <f>[1]服务器生态!AA35</f>
        <v>1.4914285714285711</v>
      </c>
      <c r="AQ20" s="26">
        <v>14</v>
      </c>
      <c r="AR20" s="29">
        <f>[2]非r将兵属性验证!M20</f>
        <v>93.360672639576919</v>
      </c>
      <c r="AS20" s="29">
        <f>[2]小r将兵属性验证!M20</f>
        <v>93.621109228179932</v>
      </c>
      <c r="AT20" s="29">
        <f>[2]中r将兵属性验证!M20</f>
        <v>94.059032587122374</v>
      </c>
      <c r="AU20" s="29">
        <f>[2]大r将兵属性验证!M20</f>
        <v>96.679611731228192</v>
      </c>
      <c r="AV20" s="29">
        <f>[2]超r将兵属性验证!M20</f>
        <v>97.373472527838487</v>
      </c>
      <c r="AY20" s="26">
        <v>13</v>
      </c>
      <c r="AZ20" s="26">
        <f>[3]基础信息!F17</f>
        <v>27.000000000000004</v>
      </c>
      <c r="BA20" s="26">
        <f>[3]基础信息!G17</f>
        <v>86</v>
      </c>
      <c r="BB20" s="30">
        <f>[3]基础信息!D41</f>
        <v>48.071211008105138</v>
      </c>
      <c r="BC20" s="30">
        <f>[3]基础信息!E41</f>
        <v>49.981218513907912</v>
      </c>
      <c r="BD20" s="30">
        <f>[3]基础信息!F41</f>
        <v>52.705993248660157</v>
      </c>
      <c r="BE20" s="30">
        <f>[3]基础信息!G41</f>
        <v>57.175765669822162</v>
      </c>
      <c r="BF20" s="30">
        <f>[3]基础信息!H41</f>
        <v>65.541743280100334</v>
      </c>
      <c r="BG20" s="30">
        <f t="shared" si="0"/>
        <v>296660651.79957104</v>
      </c>
      <c r="BH20" s="30">
        <f t="shared" si="1"/>
        <v>368882134.91891515</v>
      </c>
      <c r="BI20" s="30">
        <f t="shared" si="2"/>
        <v>571592343.95673895</v>
      </c>
      <c r="BJ20" s="30">
        <f t="shared" si="3"/>
        <v>1188070559.8477499</v>
      </c>
      <c r="BK20" s="30">
        <f t="shared" si="4"/>
        <v>3006877623.456984</v>
      </c>
      <c r="BL20" s="30">
        <f t="shared" si="7"/>
        <v>494.09574686520392</v>
      </c>
      <c r="BM20" s="30">
        <f t="shared" si="5"/>
        <v>366.07488993479603</v>
      </c>
      <c r="BN20" s="30">
        <f t="shared" si="5"/>
        <v>33.435763199999997</v>
      </c>
      <c r="BO20" s="30">
        <f t="shared" si="5"/>
        <v>5.1381000000000014</v>
      </c>
      <c r="BP20" s="30">
        <f t="shared" si="5"/>
        <v>1.2555000000000001</v>
      </c>
      <c r="BQ20" s="30">
        <f t="shared" si="8"/>
        <v>0.54899527429467099</v>
      </c>
      <c r="BR20" s="30">
        <f t="shared" si="9"/>
        <v>0.40674987770532894</v>
      </c>
      <c r="BS20" s="30">
        <f t="shared" si="10"/>
        <v>3.7150847999999993E-2</v>
      </c>
      <c r="BT20" s="30">
        <f t="shared" si="11"/>
        <v>5.7090000000000014E-3</v>
      </c>
      <c r="BU20" s="30">
        <f t="shared" si="12"/>
        <v>1.395E-3</v>
      </c>
    </row>
    <row r="21" spans="2:73" x14ac:dyDescent="0.2">
      <c r="B21" s="26">
        <f>[1]节奏总纲!N18</f>
        <v>25</v>
      </c>
      <c r="C21" s="26">
        <v>15</v>
      </c>
      <c r="D21" s="26">
        <f>[1]节奏总纲!P18</f>
        <v>1.8284271247461898</v>
      </c>
      <c r="E21" s="26">
        <f>[1]节奏总纲!Q18</f>
        <v>1.5793953503557587</v>
      </c>
      <c r="F21" s="26">
        <f>[1]节奏总纲!R18</f>
        <v>1.2928808199080308</v>
      </c>
      <c r="G21" s="26">
        <f>[1]节奏总纲!S18</f>
        <v>0.94895367774327255</v>
      </c>
      <c r="H21" s="26">
        <f>[1]节奏总纲!T18</f>
        <v>0.5271355400643265</v>
      </c>
      <c r="K21" s="26">
        <v>15</v>
      </c>
      <c r="L21" s="26">
        <f>[1]节奏总纲!AD18</f>
        <v>40</v>
      </c>
      <c r="M21" s="26">
        <f>[1]节奏总纲!AE18</f>
        <v>41.83669503626701</v>
      </c>
      <c r="N21" s="26">
        <f>[1]节奏总纲!AF18</f>
        <v>44.442238853326032</v>
      </c>
      <c r="O21" s="26">
        <f>[1]节奏总纲!AG18</f>
        <v>48.731413734867289</v>
      </c>
      <c r="P21" s="26">
        <f>[1]节奏总纲!AH18</f>
        <v>57.176846218996921</v>
      </c>
      <c r="S21" s="26">
        <v>15</v>
      </c>
      <c r="T21" s="26">
        <f>[2]各R部队能量汇总!E21</f>
        <v>13383032</v>
      </c>
      <c r="U21" s="26">
        <f>[2]各R部队能量汇总!F21</f>
        <v>13849051</v>
      </c>
      <c r="V21" s="26">
        <f>[2]各R部队能量汇总!G21</f>
        <v>15176447</v>
      </c>
      <c r="W21" s="26">
        <f>[2]各R部队能量汇总!H21</f>
        <v>16987863</v>
      </c>
      <c r="X21" s="26">
        <f>[2]各R部队能量汇总!I21</f>
        <v>18924865</v>
      </c>
      <c r="AA21" s="27">
        <v>15</v>
      </c>
      <c r="AB21" s="28">
        <f>[2]各R部队能量汇总!K21</f>
        <v>1</v>
      </c>
      <c r="AC21" s="28">
        <f>[2]各R部队能量汇总!L21</f>
        <v>1.0348216308531579</v>
      </c>
      <c r="AD21" s="28">
        <f>[2]各R部队能量汇总!M21</f>
        <v>1.1340066286922126</v>
      </c>
      <c r="AE21" s="28">
        <f>[2]各R部队能量汇总!N21</f>
        <v>1.2693583188024955</v>
      </c>
      <c r="AF21" s="28">
        <f>[2]各R部队能量汇总!O21</f>
        <v>1.4140939810948669</v>
      </c>
      <c r="AI21" s="27">
        <v>15</v>
      </c>
      <c r="AJ21" s="28">
        <f>[1]服务器生态!W36</f>
        <v>717.28800940438896</v>
      </c>
      <c r="AK21" s="28">
        <f>[1]服务器生态!X36</f>
        <v>430.95539539561105</v>
      </c>
      <c r="AL21" s="28">
        <f>[1]服务器生态!Y36</f>
        <v>43.922995199999995</v>
      </c>
      <c r="AM21" s="28">
        <f>[1]服务器生态!Z36</f>
        <v>6.3756000000000013</v>
      </c>
      <c r="AN21" s="28">
        <f>[1]服务器生态!AA36</f>
        <v>1.458</v>
      </c>
      <c r="AQ21" s="26">
        <v>15</v>
      </c>
      <c r="AR21" s="29">
        <f>[2]非r将兵属性验证!M21</f>
        <v>94.535745718165941</v>
      </c>
      <c r="AS21" s="29">
        <f>[2]小r将兵属性验证!M21</f>
        <v>94.779839493389403</v>
      </c>
      <c r="AT21" s="29">
        <f>[2]中r将兵属性验证!M21</f>
        <v>95.151644626518646</v>
      </c>
      <c r="AU21" s="29">
        <f>[2]大r将兵属性验证!M21</f>
        <v>97.590508699582941</v>
      </c>
      <c r="AV21" s="29">
        <f>[2]超r将兵属性验证!M21</f>
        <v>99.164998446486649</v>
      </c>
      <c r="AY21" s="26">
        <v>14</v>
      </c>
      <c r="AZ21" s="26">
        <f>[3]基础信息!F18</f>
        <v>32.440000000000005</v>
      </c>
      <c r="BA21" s="26">
        <f>[3]基础信息!G18</f>
        <v>88</v>
      </c>
      <c r="BB21" s="30">
        <f>[3]基础信息!D42</f>
        <v>50.62697267778109</v>
      </c>
      <c r="BC21" s="30">
        <f>[3]基础信息!E42</f>
        <v>52.578984885430671</v>
      </c>
      <c r="BD21" s="30">
        <f>[3]基础信息!F42</f>
        <v>55.355145725933269</v>
      </c>
      <c r="BE21" s="30">
        <f>[3]基础信息!G42</f>
        <v>59.83184531087668</v>
      </c>
      <c r="BF21" s="30">
        <f>[3]基础信息!H42</f>
        <v>68.263912144808316</v>
      </c>
      <c r="BG21" s="30">
        <f t="shared" si="0"/>
        <v>372012176.95366043</v>
      </c>
      <c r="BH21" s="30">
        <f t="shared" si="1"/>
        <v>482576875.57632959</v>
      </c>
      <c r="BI21" s="30">
        <f t="shared" si="2"/>
        <v>746726368.3620795</v>
      </c>
      <c r="BJ21" s="30">
        <f t="shared" si="3"/>
        <v>1599583695.703017</v>
      </c>
      <c r="BK21" s="30">
        <f t="shared" si="4"/>
        <v>3631578942.0566125</v>
      </c>
      <c r="BL21" s="30">
        <f t="shared" si="7"/>
        <v>419.41384188150482</v>
      </c>
      <c r="BM21" s="30">
        <f t="shared" si="5"/>
        <v>330.62132887340823</v>
      </c>
      <c r="BN21" s="30">
        <f t="shared" si="5"/>
        <v>29.322444251983445</v>
      </c>
      <c r="BO21" s="30">
        <f t="shared" si="5"/>
        <v>4.5969185103448291</v>
      </c>
      <c r="BP21" s="30">
        <f t="shared" si="5"/>
        <v>1.1489147586206896</v>
      </c>
      <c r="BQ21" s="30">
        <f t="shared" si="8"/>
        <v>0.5342147494098578</v>
      </c>
      <c r="BR21" s="30">
        <f t="shared" si="9"/>
        <v>0.42111817187846273</v>
      </c>
      <c r="BS21" s="30">
        <f t="shared" si="10"/>
        <v>3.7348510335010542E-2</v>
      </c>
      <c r="BT21" s="30">
        <f t="shared" si="11"/>
        <v>5.8551755446240366E-3</v>
      </c>
      <c r="BU21" s="30">
        <f t="shared" si="12"/>
        <v>1.4633928320449754E-3</v>
      </c>
    </row>
    <row r="22" spans="2:73" x14ac:dyDescent="0.2">
      <c r="B22" s="26">
        <f>[1]节奏总纲!N19</f>
        <v>26</v>
      </c>
      <c r="C22" s="26">
        <v>16</v>
      </c>
      <c r="D22" s="26">
        <f>[1]节奏总纲!P19</f>
        <v>2.031433133020796</v>
      </c>
      <c r="E22" s="26">
        <f>[1]节奏总纲!Q19</f>
        <v>1.7586116632561031</v>
      </c>
      <c r="F22" s="26">
        <f>[1]节奏总纲!R19</f>
        <v>1.4398798046851402</v>
      </c>
      <c r="G22" s="26">
        <f>[1]节奏总纲!S19</f>
        <v>1.0618300986299702</v>
      </c>
      <c r="H22" s="26">
        <f>[1]节奏总纲!T19</f>
        <v>0.59460047803518701</v>
      </c>
      <c r="K22" s="26">
        <v>16</v>
      </c>
      <c r="L22" s="26">
        <f>[1]节奏总纲!AD19</f>
        <v>40.870795385807064</v>
      </c>
      <c r="M22" s="26">
        <f>[1]节奏总纲!AE19</f>
        <v>42.707142308553742</v>
      </c>
      <c r="N22" s="26">
        <f>[1]节奏总纲!AF19</f>
        <v>45.343250058486468</v>
      </c>
      <c r="O22" s="26">
        <f>[1]节奏总纲!AG19</f>
        <v>49.654306534727205</v>
      </c>
      <c r="P22" s="26">
        <f>[1]节奏总纲!AH19</f>
        <v>58.12511610143563</v>
      </c>
      <c r="S22" s="26">
        <v>16</v>
      </c>
      <c r="T22" s="26">
        <f>[2]各R部队能量汇总!E22</f>
        <v>15032770</v>
      </c>
      <c r="U22" s="26">
        <f>[2]各R部队能量汇总!F22</f>
        <v>15553557</v>
      </c>
      <c r="V22" s="26">
        <f>[2]各R部队能量汇总!G22</f>
        <v>17037986</v>
      </c>
      <c r="W22" s="26">
        <f>[2]各R部队能量汇总!H22</f>
        <v>19445376</v>
      </c>
      <c r="X22" s="26">
        <f>[2]各R部队能量汇总!I22</f>
        <v>21461151</v>
      </c>
      <c r="AA22" s="27">
        <v>16</v>
      </c>
      <c r="AB22" s="28">
        <f>[2]各R部队能量汇总!K22</f>
        <v>1</v>
      </c>
      <c r="AC22" s="28">
        <f>[2]各R部队能量汇总!L22</f>
        <v>1.0346434489452043</v>
      </c>
      <c r="AD22" s="28">
        <f>[2]各R部队能量汇总!M22</f>
        <v>1.1333896547342905</v>
      </c>
      <c r="AE22" s="28">
        <f>[2]各R部队能量汇总!N22</f>
        <v>1.2935324627463867</v>
      </c>
      <c r="AF22" s="28">
        <f>[2]各R部队能量汇总!O22</f>
        <v>1.4276245163067085</v>
      </c>
      <c r="AI22" s="27">
        <v>16</v>
      </c>
      <c r="AJ22" s="28">
        <f>[1]服务器生态!W37</f>
        <v>697.57158738244539</v>
      </c>
      <c r="AK22" s="28">
        <f>[1]服务器生态!X37</f>
        <v>426.63998701755457</v>
      </c>
      <c r="AL22" s="28">
        <f>[1]服务器生态!Y37</f>
        <v>43.061625600000006</v>
      </c>
      <c r="AM22" s="28">
        <f>[1]服务器生态!Z37</f>
        <v>6.2815500000000011</v>
      </c>
      <c r="AN22" s="28">
        <f>[1]服务器生态!AA37</f>
        <v>1.4452499999999999</v>
      </c>
      <c r="AQ22" s="26">
        <v>16</v>
      </c>
      <c r="AR22" s="29">
        <f>[2]非r将兵属性验证!M22</f>
        <v>95.710818796754992</v>
      </c>
      <c r="AS22" s="29">
        <f>[2]小r将兵属性验证!M22</f>
        <v>95.938569758598888</v>
      </c>
      <c r="AT22" s="29">
        <f>[2]中r将兵属性验证!M22</f>
        <v>96.244256665914918</v>
      </c>
      <c r="AU22" s="29">
        <f>[2]大r将兵属性验证!M22</f>
        <v>99.231892091126468</v>
      </c>
      <c r="AV22" s="29">
        <f>[2]超r将兵属性验证!M22</f>
        <v>100.35893132803839</v>
      </c>
      <c r="AY22" s="26">
        <v>15</v>
      </c>
      <c r="AZ22" s="26">
        <f>[3]基础信息!F19</f>
        <v>38.56</v>
      </c>
      <c r="BA22" s="26">
        <f>[3]基础信息!G19</f>
        <v>90</v>
      </c>
      <c r="BB22" s="30">
        <f>[3]基础信息!D43</f>
        <v>53.057779363693086</v>
      </c>
      <c r="BC22" s="30">
        <f>[3]基础信息!E43</f>
        <v>55.009959862880557</v>
      </c>
      <c r="BD22" s="30">
        <f>[3]基础信息!F43</f>
        <v>57.863914973931202</v>
      </c>
      <c r="BE22" s="30">
        <f>[3]基础信息!G43</f>
        <v>62.251988664622786</v>
      </c>
      <c r="BF22" s="30">
        <f>[3]基础信息!H43</f>
        <v>70.784322378416604</v>
      </c>
      <c r="BG22" s="30">
        <f t="shared" si="0"/>
        <v>479160421.11076337</v>
      </c>
      <c r="BH22" s="30">
        <f t="shared" si="1"/>
        <v>612180371.90453672</v>
      </c>
      <c r="BI22" s="30">
        <f t="shared" si="2"/>
        <v>954925234.50817132</v>
      </c>
      <c r="BJ22" s="30">
        <f t="shared" si="3"/>
        <v>1954614133.8003151</v>
      </c>
      <c r="BK22" s="30">
        <f t="shared" si="4"/>
        <v>4308203251.7812281</v>
      </c>
      <c r="BL22" s="30">
        <f t="shared" si="7"/>
        <v>380.88968934470228</v>
      </c>
      <c r="BM22" s="30">
        <f t="shared" si="5"/>
        <v>308.42529882133573</v>
      </c>
      <c r="BN22" s="30">
        <f t="shared" si="5"/>
        <v>27.06770190844469</v>
      </c>
      <c r="BO22" s="30">
        <f t="shared" si="5"/>
        <v>4.311741704827587</v>
      </c>
      <c r="BP22" s="30">
        <f t="shared" si="5"/>
        <v>1.0986716689655172</v>
      </c>
      <c r="BQ22" s="30">
        <f t="shared" si="8"/>
        <v>0.52769926385421206</v>
      </c>
      <c r="BR22" s="30">
        <f t="shared" si="9"/>
        <v>0.42730430278132697</v>
      </c>
      <c r="BS22" s="30">
        <f t="shared" si="10"/>
        <v>3.7500638034822092E-2</v>
      </c>
      <c r="BT22" s="30">
        <f t="shared" si="11"/>
        <v>5.9736532314160155E-3</v>
      </c>
      <c r="BU22" s="30">
        <f t="shared" si="12"/>
        <v>1.5221420982228168E-3</v>
      </c>
    </row>
    <row r="23" spans="2:73" x14ac:dyDescent="0.2">
      <c r="B23" s="26">
        <f>[1]节奏总纲!N20</f>
        <v>27</v>
      </c>
      <c r="C23" s="26">
        <v>17</v>
      </c>
      <c r="D23" s="26">
        <f>[1]节奏总纲!P20</f>
        <v>2.2490095854249419</v>
      </c>
      <c r="E23" s="26">
        <f>[1]节奏总纲!Q20</f>
        <v>1.9433691827656923</v>
      </c>
      <c r="F23" s="26">
        <f>[1]节奏总纲!R20</f>
        <v>1.5904995788125189</v>
      </c>
      <c r="G23" s="26">
        <f>[1]节奏总纲!S20</f>
        <v>1.1742079045503622</v>
      </c>
      <c r="H23" s="26">
        <f>[1]节奏总纲!T20</f>
        <v>0.65311238360740309</v>
      </c>
      <c r="K23" s="26">
        <v>17</v>
      </c>
      <c r="L23" s="26">
        <f>[1]节奏总纲!AD20</f>
        <v>41.691928656135218</v>
      </c>
      <c r="M23" s="26">
        <f>[1]节奏总纲!AE20</f>
        <v>43.535389560453282</v>
      </c>
      <c r="N23" s="26">
        <f>[1]节奏总纲!AF20</f>
        <v>46.195785611164197</v>
      </c>
      <c r="O23" s="26">
        <f>[1]节奏总纲!AG20</f>
        <v>50.510850036206186</v>
      </c>
      <c r="P23" s="26">
        <f>[1]节奏总纲!AH20</f>
        <v>58.996855914896834</v>
      </c>
      <c r="S23" s="26">
        <v>17</v>
      </c>
      <c r="T23" s="26">
        <f>[2]各R部队能量汇总!E23</f>
        <v>16821708</v>
      </c>
      <c r="U23" s="26">
        <f>[2]各R部队能量汇总!F23</f>
        <v>17384974</v>
      </c>
      <c r="V23" s="26">
        <f>[2]各R部队能量汇总!G23</f>
        <v>19342295</v>
      </c>
      <c r="W23" s="26">
        <f>[2]各R部队能量汇总!H23</f>
        <v>21760942</v>
      </c>
      <c r="X23" s="26">
        <f>[2]各R部队能量汇总!I23</f>
        <v>24051610</v>
      </c>
      <c r="AA23" s="27">
        <v>17</v>
      </c>
      <c r="AB23" s="28">
        <f>[2]各R部队能量汇总!K23</f>
        <v>1</v>
      </c>
      <c r="AC23" s="28">
        <f>[2]各R部队能量汇总!L23</f>
        <v>1.033484471374726</v>
      </c>
      <c r="AD23" s="28">
        <f>[2]各R部队能量汇总!M23</f>
        <v>1.1498413240795762</v>
      </c>
      <c r="AE23" s="28">
        <f>[2]各R部队能量汇总!N23</f>
        <v>1.2936226214365389</v>
      </c>
      <c r="AF23" s="28">
        <f>[2]各R部队能量汇总!O23</f>
        <v>1.4297959517547207</v>
      </c>
      <c r="AI23" s="27">
        <v>17</v>
      </c>
      <c r="AJ23" s="28">
        <f>[1]服务器生态!W38</f>
        <v>678.05826841692817</v>
      </c>
      <c r="AK23" s="28">
        <f>[1]服务器生态!X38</f>
        <v>422.12616038307186</v>
      </c>
      <c r="AL23" s="28">
        <f>[1]服务器生态!Y38</f>
        <v>42.197971199999998</v>
      </c>
      <c r="AM23" s="28">
        <f>[1]服务器生态!Z38</f>
        <v>6.1858500000000012</v>
      </c>
      <c r="AN23" s="28">
        <f>[1]服务器生态!AA38</f>
        <v>1.4317499999999999</v>
      </c>
      <c r="AQ23" s="26">
        <v>17</v>
      </c>
      <c r="AR23" s="29">
        <f>[2]非r将兵属性验证!M23</f>
        <v>96.885891875344015</v>
      </c>
      <c r="AS23" s="29">
        <f>[2]小r将兵属性验证!M23</f>
        <v>97.097300023808359</v>
      </c>
      <c r="AT23" s="29">
        <f>[2]中r将兵属性验证!M23</f>
        <v>98.069994962158077</v>
      </c>
      <c r="AU23" s="29">
        <f>[2]大r将兵属性验证!M23</f>
        <v>100.26254762822094</v>
      </c>
      <c r="AV23" s="29">
        <f>[2]超r将兵属性验证!M23</f>
        <v>101.55286420959014</v>
      </c>
      <c r="AY23" s="26">
        <v>16</v>
      </c>
      <c r="AZ23" s="26">
        <f>[3]基础信息!F20</f>
        <v>45.4</v>
      </c>
      <c r="BA23" s="26">
        <f>[3]基础信息!G20</f>
        <v>92</v>
      </c>
      <c r="BB23" s="30">
        <f>[3]基础信息!D44</f>
        <v>55.352565305146008</v>
      </c>
      <c r="BC23" s="30">
        <f>[3]基础信息!E44</f>
        <v>57.345964174105454</v>
      </c>
      <c r="BD23" s="30">
        <f>[3]基础信息!F44</f>
        <v>60.209356484344852</v>
      </c>
      <c r="BE23" s="30">
        <f>[3]基础信息!G44</f>
        <v>64.523574743889142</v>
      </c>
      <c r="BF23" s="30">
        <f>[3]基础信息!H44</f>
        <v>73.158663051895473</v>
      </c>
      <c r="BG23" s="30">
        <f t="shared" si="0"/>
        <v>600767935.70121634</v>
      </c>
      <c r="BH23" s="30">
        <f t="shared" si="1"/>
        <v>763630716.82115316</v>
      </c>
      <c r="BI23" s="30">
        <f t="shared" si="2"/>
        <v>1204835519.497143</v>
      </c>
      <c r="BJ23" s="30">
        <f t="shared" si="3"/>
        <v>2336990451.5989838</v>
      </c>
      <c r="BK23" s="30">
        <f t="shared" si="4"/>
        <v>5072056833.6756325</v>
      </c>
      <c r="BL23" s="30">
        <f t="shared" si="7"/>
        <v>338.8095504959249</v>
      </c>
      <c r="BM23" s="30">
        <f t="shared" ref="BM23:BM27" si="13">求节点($AI$7:$AI$106,AK$7:AK$106,$AZ23)</f>
        <v>282.69105401082271</v>
      </c>
      <c r="BN23" s="30">
        <f t="shared" ref="BN23:BN27" si="14">求节点($AI$7:$AI$106,AL$7:AL$106,$AZ23)</f>
        <v>24.524901258769656</v>
      </c>
      <c r="BO23" s="30">
        <f t="shared" ref="BO23:BO27" si="15">求节点($AI$7:$AI$106,AM$7:AM$106,$AZ23)</f>
        <v>3.9752622344827602</v>
      </c>
      <c r="BP23" s="30">
        <f t="shared" ref="BP23:BP27" si="16">求节点($AI$7:$AI$106,AN$7:AN$106,$AZ23)</f>
        <v>1.0337147586206896</v>
      </c>
      <c r="BQ23" s="30">
        <f t="shared" si="8"/>
        <v>0.52041721209649483</v>
      </c>
      <c r="BR23" s="30">
        <f t="shared" si="9"/>
        <v>0.43421825033442046</v>
      </c>
      <c r="BS23" s="30">
        <f t="shared" si="10"/>
        <v>3.7670664009762711E-2</v>
      </c>
      <c r="BT23" s="30">
        <f t="shared" si="11"/>
        <v>6.1060701694915275E-3</v>
      </c>
      <c r="BU23" s="30">
        <f t="shared" si="12"/>
        <v>1.5878033898305084E-3</v>
      </c>
    </row>
    <row r="24" spans="2:73" x14ac:dyDescent="0.2">
      <c r="B24" s="26">
        <f>[1]节奏总纲!N21</f>
        <v>28</v>
      </c>
      <c r="C24" s="26">
        <v>18</v>
      </c>
      <c r="D24" s="26">
        <f>[1]节奏总纲!P21</f>
        <v>2.4822022531844965</v>
      </c>
      <c r="E24" s="26">
        <f>[1]节奏总纲!Q21</f>
        <v>2.1515729130603214</v>
      </c>
      <c r="F24" s="26">
        <f>[1]节奏总纲!R21</f>
        <v>1.7690655458445907</v>
      </c>
      <c r="G24" s="26">
        <f>[1]节奏总纲!S21</f>
        <v>1.3066312660763189</v>
      </c>
      <c r="H24" s="26">
        <f>[1]节奏总纲!T21</f>
        <v>0.72554771860582834</v>
      </c>
      <c r="K24" s="26">
        <v>18</v>
      </c>
      <c r="L24" s="26">
        <f>[1]节奏总纲!AD21</f>
        <v>42.470630686057078</v>
      </c>
      <c r="M24" s="26">
        <f>[1]节奏总纲!AE21</f>
        <v>44.32123076997032</v>
      </c>
      <c r="N24" s="26">
        <f>[1]节奏总纲!AF21</f>
        <v>47.002405448181747</v>
      </c>
      <c r="O24" s="26">
        <f>[1]节奏总纲!AG21</f>
        <v>51.307235833425089</v>
      </c>
      <c r="P24" s="26">
        <f>[1]节奏总纲!AH21</f>
        <v>59.782901351568675</v>
      </c>
      <c r="S24" s="26">
        <v>18</v>
      </c>
      <c r="T24" s="26">
        <f>[2]各R部队能量汇总!E24</f>
        <v>18796301</v>
      </c>
      <c r="U24" s="26">
        <f>[2]各R部队能量汇总!F24</f>
        <v>19710486</v>
      </c>
      <c r="V24" s="26">
        <f>[2]各R部队能量汇总!G24</f>
        <v>21731275</v>
      </c>
      <c r="W24" s="26">
        <f>[2]各R部队能量汇总!H24</f>
        <v>24390961</v>
      </c>
      <c r="X24" s="26">
        <f>[2]各R部队能量汇总!I24</f>
        <v>27040425</v>
      </c>
      <c r="AA24" s="27">
        <v>18</v>
      </c>
      <c r="AB24" s="28">
        <f>[2]各R部队能量汇总!K24</f>
        <v>1</v>
      </c>
      <c r="AC24" s="28">
        <f>[2]各R部队能量汇总!L24</f>
        <v>1.0486364311786665</v>
      </c>
      <c r="AD24" s="28">
        <f>[2]各R部队能量汇总!M24</f>
        <v>1.15614636092495</v>
      </c>
      <c r="AE24" s="28">
        <f>[2]各R部队能量汇总!N24</f>
        <v>1.2976468614755636</v>
      </c>
      <c r="AF24" s="28">
        <f>[2]各R部队能量汇总!O24</f>
        <v>1.4386035316203971</v>
      </c>
      <c r="AI24" s="27">
        <v>18</v>
      </c>
      <c r="AJ24" s="28">
        <f>[1]服务器生态!W39</f>
        <v>658.74805250783731</v>
      </c>
      <c r="AK24" s="28">
        <f>[1]服务器生态!X39</f>
        <v>417.4139154921628</v>
      </c>
      <c r="AL24" s="28">
        <f>[1]服务器生态!Y39</f>
        <v>41.332031999999998</v>
      </c>
      <c r="AM24" s="28">
        <f>[1]服务器生态!Z39</f>
        <v>6.0885000000000016</v>
      </c>
      <c r="AN24" s="28">
        <f>[1]服务器生态!AA39</f>
        <v>1.4174999999999998</v>
      </c>
      <c r="AQ24" s="26">
        <v>18</v>
      </c>
      <c r="AR24" s="29">
        <f>[2]非r将兵属性验证!M24</f>
        <v>98.060964953933038</v>
      </c>
      <c r="AS24" s="29">
        <f>[2]小r将兵属性验证!M24</f>
        <v>99.002174081264215</v>
      </c>
      <c r="AT24" s="29">
        <f>[2]中r将兵属性验证!M24</f>
        <v>99.278614149168746</v>
      </c>
      <c r="AU24" s="29">
        <f>[2]大r将兵属性验证!M24</f>
        <v>101.29320316531545</v>
      </c>
      <c r="AV24" s="29">
        <f>[2]超r将兵属性验证!M24</f>
        <v>102.7467970911419</v>
      </c>
      <c r="AY24" s="26">
        <v>17</v>
      </c>
      <c r="AZ24" s="26">
        <f>[3]基础信息!F21</f>
        <v>53</v>
      </c>
      <c r="BA24" s="26">
        <f>[3]基础信息!G21</f>
        <v>94</v>
      </c>
      <c r="BB24" s="30">
        <f>[3]基础信息!D45</f>
        <v>57.540284631526099</v>
      </c>
      <c r="BC24" s="30">
        <f>[3]基础信息!E45</f>
        <v>59.564417547460899</v>
      </c>
      <c r="BD24" s="30">
        <f>[3]基础信息!F45</f>
        <v>62.395461425033538</v>
      </c>
      <c r="BE24" s="30">
        <f>[3]基础信息!G45</f>
        <v>66.819253686739231</v>
      </c>
      <c r="BF24" s="30">
        <f>[3]基础信息!H45</f>
        <v>75.318351032805268</v>
      </c>
      <c r="BG24" s="30">
        <f t="shared" si="0"/>
        <v>737823430.21963096</v>
      </c>
      <c r="BH24" s="30">
        <f t="shared" si="1"/>
        <v>939650175.11548424</v>
      </c>
      <c r="BI24" s="30">
        <f t="shared" si="2"/>
        <v>1461686699.8291373</v>
      </c>
      <c r="BJ24" s="30">
        <f t="shared" si="3"/>
        <v>2760125744.2577343</v>
      </c>
      <c r="BK24" s="30">
        <f t="shared" si="4"/>
        <v>5904250838.3079033</v>
      </c>
      <c r="BL24" s="30">
        <f t="shared" si="7"/>
        <v>293.25997870532927</v>
      </c>
      <c r="BM24" s="30">
        <f t="shared" si="13"/>
        <v>252.95228032076727</v>
      </c>
      <c r="BN24" s="30">
        <f t="shared" si="14"/>
        <v>21.671405525627588</v>
      </c>
      <c r="BO24" s="30">
        <f t="shared" si="15"/>
        <v>3.5794637241379319</v>
      </c>
      <c r="BP24" s="30">
        <f t="shared" si="16"/>
        <v>0.95066482758620674</v>
      </c>
      <c r="BQ24" s="30">
        <f t="shared" si="8"/>
        <v>0.51232164954545478</v>
      </c>
      <c r="BR24" s="30">
        <f t="shared" si="9"/>
        <v>0.44190458610254524</v>
      </c>
      <c r="BS24" s="30">
        <f t="shared" si="10"/>
        <v>3.7859684352000003E-2</v>
      </c>
      <c r="BT24" s="30">
        <f t="shared" si="11"/>
        <v>6.2532800000000017E-3</v>
      </c>
      <c r="BU24" s="30">
        <f t="shared" si="12"/>
        <v>1.6607999999999998E-3</v>
      </c>
    </row>
    <row r="25" spans="2:73" x14ac:dyDescent="0.2">
      <c r="B25" s="26">
        <f>[1]节奏总纲!N22</f>
        <v>29</v>
      </c>
      <c r="C25" s="26">
        <v>19</v>
      </c>
      <c r="D25" s="26">
        <f>[1]节奏总纲!P22</f>
        <v>2.7321319661472296</v>
      </c>
      <c r="E25" s="26">
        <f>[1]节奏总纲!Q22</f>
        <v>2.3734030389920986</v>
      </c>
      <c r="F25" s="26">
        <f>[1]节奏总纲!R22</f>
        <v>1.9510154370257367</v>
      </c>
      <c r="G25" s="26">
        <f>[1]节奏总纲!S22</f>
        <v>1.4395603329629754</v>
      </c>
      <c r="H25" s="26">
        <f>[1]节奏总纲!T22</f>
        <v>0.80270037165405606</v>
      </c>
      <c r="K25" s="26">
        <v>19</v>
      </c>
      <c r="L25" s="26">
        <f>[1]节奏总纲!AD22</f>
        <v>43.213386604241784</v>
      </c>
      <c r="M25" s="26">
        <f>[1]节奏总纲!AE22</f>
        <v>45.070782602372333</v>
      </c>
      <c r="N25" s="26">
        <f>[1]节奏总纲!AF22</f>
        <v>47.752799438858894</v>
      </c>
      <c r="O25" s="26">
        <f>[1]节奏总纲!AG22</f>
        <v>52.050057424983954</v>
      </c>
      <c r="P25" s="26">
        <f>[1]节奏总纲!AH22</f>
        <v>60.54585273688761</v>
      </c>
      <c r="S25" s="26">
        <v>19</v>
      </c>
      <c r="T25" s="26">
        <f>[2]各R部队能量汇总!E25</f>
        <v>21244938</v>
      </c>
      <c r="U25" s="26">
        <f>[2]各R部队能量汇总!F25</f>
        <v>22006915</v>
      </c>
      <c r="V25" s="26">
        <f>[2]各R部队能量汇总!G25</f>
        <v>24327526</v>
      </c>
      <c r="W25" s="26">
        <f>[2]各R部队能量汇总!H25</f>
        <v>27215971</v>
      </c>
      <c r="X25" s="26">
        <f>[2]各R部队能量汇总!I25</f>
        <v>30248809</v>
      </c>
      <c r="AA25" s="27">
        <v>19</v>
      </c>
      <c r="AB25" s="28">
        <f>[2]各R部队能量汇总!K25</f>
        <v>1</v>
      </c>
      <c r="AC25" s="28">
        <f>[2]各R部队能量汇总!L25</f>
        <v>1.0358662849475013</v>
      </c>
      <c r="AD25" s="28">
        <f>[2]各R部队能量汇总!M25</f>
        <v>1.1450975286442351</v>
      </c>
      <c r="AE25" s="28">
        <f>[2]各R部队能量汇总!N25</f>
        <v>1.281056739257135</v>
      </c>
      <c r="AF25" s="28">
        <f>[2]各R部队能量汇总!O25</f>
        <v>1.4238125336021221</v>
      </c>
      <c r="AI25" s="27">
        <v>19</v>
      </c>
      <c r="AJ25" s="28">
        <f>[1]服务器生态!W40</f>
        <v>639.64093965517259</v>
      </c>
      <c r="AK25" s="28">
        <f>[1]服务器生态!X40</f>
        <v>412.50325234482733</v>
      </c>
      <c r="AL25" s="28">
        <f>[1]服务器生态!Y40</f>
        <v>40.463808000000007</v>
      </c>
      <c r="AM25" s="28">
        <f>[1]服务器生态!Z40</f>
        <v>5.9895000000000014</v>
      </c>
      <c r="AN25" s="28">
        <f>[1]服务器生态!AA40</f>
        <v>1.4024999999999999</v>
      </c>
      <c r="AQ25" s="26">
        <v>19</v>
      </c>
      <c r="AR25" s="29">
        <f>[2]非r将兵属性验证!M25</f>
        <v>100.00169977139883</v>
      </c>
      <c r="AS25" s="29">
        <f>[2]小r将兵属性验证!M25</f>
        <v>100.27282149501274</v>
      </c>
      <c r="AT25" s="29">
        <f>[2]中r将兵属性验证!M25</f>
        <v>100.48723333617946</v>
      </c>
      <c r="AU25" s="29">
        <f>[2]大r将兵属性验证!M25</f>
        <v>102.32385870240994</v>
      </c>
      <c r="AV25" s="29">
        <f>[2]超r将兵属性验证!M25</f>
        <v>103.94072997269366</v>
      </c>
      <c r="AY25" s="26">
        <v>18</v>
      </c>
      <c r="AZ25" s="26">
        <f>[3]基础信息!F22</f>
        <v>61.4</v>
      </c>
      <c r="BA25" s="26">
        <f>[3]基础信息!G22</f>
        <v>96</v>
      </c>
      <c r="BB25" s="30">
        <f>[3]基础信息!D46</f>
        <v>59.626681845677176</v>
      </c>
      <c r="BC25" s="30">
        <f>[3]基础信息!E46</f>
        <v>61.660171244458233</v>
      </c>
      <c r="BD25" s="30">
        <f>[3]基础信息!F46</f>
        <v>64.458559820126382</v>
      </c>
      <c r="BE25" s="30">
        <f>[3]基础信息!G46</f>
        <v>68.967179004022753</v>
      </c>
      <c r="BF25" s="30">
        <f>[3]基础信息!H46</f>
        <v>77.452922026676362</v>
      </c>
      <c r="BG25" s="30">
        <f t="shared" si="0"/>
        <v>894782307.10027075</v>
      </c>
      <c r="BH25" s="30">
        <f t="shared" si="1"/>
        <v>1135873944.2525165</v>
      </c>
      <c r="BI25" s="30">
        <f t="shared" si="2"/>
        <v>1746259917.9332941</v>
      </c>
      <c r="BJ25" s="30">
        <f t="shared" si="3"/>
        <v>3214965719.2210646</v>
      </c>
      <c r="BK25" s="30">
        <f t="shared" si="4"/>
        <v>6914479265.5073242</v>
      </c>
      <c r="BL25" s="30">
        <f t="shared" si="7"/>
        <v>250.67051898525011</v>
      </c>
      <c r="BM25" s="30">
        <f t="shared" si="13"/>
        <v>223.99820458838491</v>
      </c>
      <c r="BN25" s="30">
        <f t="shared" si="14"/>
        <v>18.941344137031681</v>
      </c>
      <c r="BO25" s="30">
        <f t="shared" si="15"/>
        <v>3.1906146360000012</v>
      </c>
      <c r="BP25" s="30">
        <f t="shared" si="16"/>
        <v>0.86598431999999992</v>
      </c>
      <c r="BQ25" s="30">
        <f t="shared" si="8"/>
        <v>0.50369159876473557</v>
      </c>
      <c r="BR25" s="30">
        <f t="shared" si="9"/>
        <v>0.45009686119568293</v>
      </c>
      <c r="BS25" s="30">
        <f t="shared" si="10"/>
        <v>3.8060303021497009E-2</v>
      </c>
      <c r="BT25" s="30">
        <f t="shared" si="11"/>
        <v>6.4111479624916288E-3</v>
      </c>
      <c r="BU25" s="30">
        <f t="shared" si="12"/>
        <v>1.7400890555927659E-3</v>
      </c>
    </row>
    <row r="26" spans="2:73" x14ac:dyDescent="0.2">
      <c r="B26" s="26">
        <f>[1]节奏总纲!N23</f>
        <v>30</v>
      </c>
      <c r="C26" s="26">
        <v>20</v>
      </c>
      <c r="D26" s="26">
        <f>[1]节奏总纲!P23</f>
        <v>3</v>
      </c>
      <c r="E26" s="26">
        <f>[1]节奏总纲!Q23</f>
        <v>2.6036999999999999</v>
      </c>
      <c r="F26" s="26">
        <f>[1]节奏总纲!R23</f>
        <v>2.1372</v>
      </c>
      <c r="G26" s="26">
        <f>[1]节奏总纲!S23</f>
        <v>1.5800999999999998</v>
      </c>
      <c r="H26" s="26">
        <f>[1]节奏总纲!T23</f>
        <v>0.87990000000000002</v>
      </c>
      <c r="K26" s="26">
        <v>20</v>
      </c>
      <c r="L26" s="26">
        <f>[1]节奏总纲!AD23</f>
        <v>43.920692243099523</v>
      </c>
      <c r="M26" s="26">
        <f>[1]节奏总纲!AE23</f>
        <v>45.780025086357675</v>
      </c>
      <c r="N26" s="26">
        <f>[1]节奏总纲!AF23</f>
        <v>48.482447528152484</v>
      </c>
      <c r="O26" s="26">
        <f>[1]节奏总纲!AG23</f>
        <v>52.769987980532711</v>
      </c>
      <c r="P26" s="26">
        <f>[1]节奏总纲!AH23</f>
        <v>61.261422558944936</v>
      </c>
      <c r="S26" s="26">
        <v>20</v>
      </c>
      <c r="T26" s="26">
        <f>[2]各R部队能量汇总!E26</f>
        <v>23730469</v>
      </c>
      <c r="U26" s="26">
        <f>[2]各R部队能量汇总!F26</f>
        <v>24488811</v>
      </c>
      <c r="V26" s="26">
        <f>[2]各R部队能量汇总!G26</f>
        <v>27147427</v>
      </c>
      <c r="W26" s="26">
        <f>[2]各R部队能量汇总!H26</f>
        <v>30374359</v>
      </c>
      <c r="X26" s="26">
        <f>[2]各R部队能量汇总!I26</f>
        <v>33702682</v>
      </c>
      <c r="AA26" s="27">
        <v>20</v>
      </c>
      <c r="AB26" s="28">
        <f>[2]各R部队能量汇总!K26</f>
        <v>1</v>
      </c>
      <c r="AC26" s="28">
        <f>[2]各R部队能量汇总!L26</f>
        <v>1.0319564691283598</v>
      </c>
      <c r="AD26" s="28">
        <f>[2]各R部队能量汇总!M26</f>
        <v>1.1439903273719538</v>
      </c>
      <c r="AE26" s="28">
        <f>[2]各R部队能量汇总!N26</f>
        <v>1.2799729748282682</v>
      </c>
      <c r="AF26" s="28">
        <f>[2]各R部队能量汇总!O26</f>
        <v>1.4202282306346325</v>
      </c>
      <c r="AI26" s="27">
        <v>20</v>
      </c>
      <c r="AJ26" s="28">
        <f>[1]服务器生态!W41</f>
        <v>620.73692985893445</v>
      </c>
      <c r="AK26" s="28">
        <f>[1]服务器生态!X41</f>
        <v>407.39417094106557</v>
      </c>
      <c r="AL26" s="28">
        <f>[1]服务器生态!Y41</f>
        <v>39.593299200000004</v>
      </c>
      <c r="AM26" s="28">
        <f>[1]服务器生态!Z41</f>
        <v>5.8888500000000015</v>
      </c>
      <c r="AN26" s="28">
        <f>[1]服务器生态!AA41</f>
        <v>1.3867499999999999</v>
      </c>
      <c r="AQ26" s="26">
        <v>20</v>
      </c>
      <c r="AR26" s="29">
        <f>[2]非r将兵属性验证!M26</f>
        <v>101.28576276622125</v>
      </c>
      <c r="AS26" s="29">
        <f>[2]小r将兵属性验证!M26</f>
        <v>101.47648330179356</v>
      </c>
      <c r="AT26" s="29">
        <f>[2]中r将兵属性验证!M26</f>
        <v>101.69159496549771</v>
      </c>
      <c r="AU26" s="29">
        <f>[2]大r将兵属性验证!M26</f>
        <v>103.58078676526482</v>
      </c>
      <c r="AV26" s="29">
        <f>[2]超r将兵属性验证!M26</f>
        <v>105.33584070032008</v>
      </c>
      <c r="AY26" s="26">
        <v>19</v>
      </c>
      <c r="AZ26" s="26">
        <f>[3]基础信息!F23</f>
        <v>70.64</v>
      </c>
      <c r="BA26" s="26">
        <f>[3]基础信息!G23</f>
        <v>98</v>
      </c>
      <c r="BB26" s="30">
        <f>[3]基础信息!D47</f>
        <v>61.618805381989979</v>
      </c>
      <c r="BC26" s="30">
        <f>[3]基础信息!E47</f>
        <v>63.643006199811026</v>
      </c>
      <c r="BD26" s="30">
        <f>[3]基础信息!F47</f>
        <v>66.447584945695539</v>
      </c>
      <c r="BE26" s="30">
        <f>[3]基础信息!G47</f>
        <v>71.005436121168188</v>
      </c>
      <c r="BF26" s="30">
        <f>[3]基础信息!H47</f>
        <v>79.54091524788663</v>
      </c>
      <c r="BG26" s="30">
        <f t="shared" si="0"/>
        <v>1070373008.2827996</v>
      </c>
      <c r="BH26" s="30">
        <f t="shared" si="1"/>
        <v>1348673943.9321368</v>
      </c>
      <c r="BI26" s="30">
        <f t="shared" si="2"/>
        <v>2052284353.5450845</v>
      </c>
      <c r="BJ26" s="30">
        <f t="shared" si="3"/>
        <v>3703414574.6547074</v>
      </c>
      <c r="BK26" s="30">
        <f t="shared" si="4"/>
        <v>8052835452.459733</v>
      </c>
      <c r="BL26" s="30">
        <f t="shared" si="7"/>
        <v>239.16405074580007</v>
      </c>
      <c r="BM26" s="30">
        <f t="shared" si="13"/>
        <v>220.62191396002027</v>
      </c>
      <c r="BN26" s="30">
        <f t="shared" si="14"/>
        <v>18.439957349646338</v>
      </c>
      <c r="BO26" s="30">
        <f t="shared" si="15"/>
        <v>3.163056547200001</v>
      </c>
      <c r="BP26" s="30">
        <f t="shared" si="16"/>
        <v>0.87768806399999988</v>
      </c>
      <c r="BQ26" s="30">
        <f t="shared" si="8"/>
        <v>0.49591661061473608</v>
      </c>
      <c r="BR26" s="30">
        <f t="shared" si="9"/>
        <v>0.45746871846838594</v>
      </c>
      <c r="BS26" s="30">
        <f t="shared" si="10"/>
        <v>3.8236018833936278E-2</v>
      </c>
      <c r="BT26" s="30">
        <f t="shared" si="11"/>
        <v>6.5587293624550748E-3</v>
      </c>
      <c r="BU26" s="30">
        <f t="shared" si="12"/>
        <v>1.8199227204865906E-3</v>
      </c>
    </row>
    <row r="27" spans="2:73" x14ac:dyDescent="0.2">
      <c r="B27" s="26">
        <f>[1]节奏总纲!N24</f>
        <v>31</v>
      </c>
      <c r="C27" s="26">
        <v>21</v>
      </c>
      <c r="D27" s="26">
        <f>[1]节奏总纲!P24</f>
        <v>3.2870938501451725</v>
      </c>
      <c r="E27" s="26">
        <f>[1]节奏总纲!Q24</f>
        <v>2.8518826243859516</v>
      </c>
      <c r="F27" s="26">
        <f>[1]节奏总纲!R24</f>
        <v>2.3466562996186386</v>
      </c>
      <c r="G27" s="26">
        <f>[1]节奏总纲!S24</f>
        <v>1.7365716810316947</v>
      </c>
      <c r="H27" s="26">
        <f>[1]节奏总纲!T24</f>
        <v>0.97166494210291288</v>
      </c>
      <c r="K27" s="26">
        <v>21</v>
      </c>
      <c r="L27" s="26">
        <f>[1]节奏总纲!AD24</f>
        <v>44.585942742481357</v>
      </c>
      <c r="M27" s="26">
        <f>[1]节奏总纲!AE24</f>
        <v>46.455967430551723</v>
      </c>
      <c r="N27" s="26">
        <f>[1]节奏总纲!AF24</f>
        <v>49.18886033229559</v>
      </c>
      <c r="O27" s="26">
        <f>[1]节奏总纲!AG24</f>
        <v>53.471660769826336</v>
      </c>
      <c r="P27" s="26">
        <f>[1]节奏总纲!AH24</f>
        <v>61.918453772109508</v>
      </c>
      <c r="S27" s="26">
        <v>21</v>
      </c>
      <c r="T27" s="26">
        <f>[2]各R部队能量汇总!E27</f>
        <v>26396757</v>
      </c>
      <c r="U27" s="26">
        <f>[2]各R部队能量汇总!F27</f>
        <v>27306722</v>
      </c>
      <c r="V27" s="26">
        <f>[2]各R部队能量汇总!G27</f>
        <v>30414382</v>
      </c>
      <c r="W27" s="26">
        <f>[2]各R部队能量汇总!H27</f>
        <v>34083047</v>
      </c>
      <c r="X27" s="26">
        <f>[2]各R部队能量汇总!I27</f>
        <v>37739842</v>
      </c>
      <c r="AA27" s="27">
        <v>21</v>
      </c>
      <c r="AB27" s="28">
        <f>[2]各R部队能量汇总!K27</f>
        <v>1</v>
      </c>
      <c r="AC27" s="28">
        <f>[2]各R部队能量汇总!L27</f>
        <v>1.0344726058583635</v>
      </c>
      <c r="AD27" s="28">
        <f>[2]各R部队能量汇总!M27</f>
        <v>1.1522014617174374</v>
      </c>
      <c r="AE27" s="28">
        <f>[2]各R部队能量汇总!N27</f>
        <v>1.2911831176837367</v>
      </c>
      <c r="AF27" s="28">
        <f>[2]各R部队能量汇总!O27</f>
        <v>1.4297150971992507</v>
      </c>
      <c r="AI27" s="27">
        <v>21</v>
      </c>
      <c r="AJ27" s="28">
        <f>[1]服务器生态!W42</f>
        <v>602.03602311912243</v>
      </c>
      <c r="AK27" s="28">
        <f>[1]服务器生态!X42</f>
        <v>402.08667128087751</v>
      </c>
      <c r="AL27" s="28">
        <f>[1]服务器生态!Y42</f>
        <v>38.720505599999996</v>
      </c>
      <c r="AM27" s="28">
        <f>[1]服务器生态!Z42</f>
        <v>5.786550000000001</v>
      </c>
      <c r="AN27" s="28">
        <f>[1]服务器生态!AA42</f>
        <v>1.37025</v>
      </c>
      <c r="AQ27" s="26">
        <v>21</v>
      </c>
      <c r="AR27" s="29">
        <f>[2]非r将兵属性验证!M27</f>
        <v>102.46049091797484</v>
      </c>
      <c r="AS27" s="29">
        <f>[2]小r将兵属性验证!M27</f>
        <v>102.74874620189971</v>
      </c>
      <c r="AT27" s="29">
        <f>[2]中r将兵属性验证!M27</f>
        <v>103.16779412961509</v>
      </c>
      <c r="AU27" s="29">
        <f>[2]大r将兵属性验证!M27</f>
        <v>105.2973382502993</v>
      </c>
      <c r="AV27" s="29">
        <f>[2]超r将兵属性验证!M27</f>
        <v>107.08325451509575</v>
      </c>
      <c r="AY27" s="26">
        <v>20</v>
      </c>
      <c r="AZ27" s="26">
        <f>[3]基础信息!F24</f>
        <v>80.760000000000005</v>
      </c>
      <c r="BA27" s="26">
        <f>[3]基础信息!G24</f>
        <v>100</v>
      </c>
      <c r="BB27" s="30">
        <f>[3]基础信息!D48</f>
        <v>63.524601085339192</v>
      </c>
      <c r="BC27" s="30">
        <f>[3]基础信息!E48</f>
        <v>65.545424062600986</v>
      </c>
      <c r="BD27" s="30">
        <f>[3]基础信息!F48</f>
        <v>68.444574876938063</v>
      </c>
      <c r="BE27" s="30">
        <f>[3]基础信息!G48</f>
        <v>72.963636235896985</v>
      </c>
      <c r="BF27" s="30">
        <f>[3]基础信息!H48</f>
        <v>81.54020412161843</v>
      </c>
      <c r="BG27" s="30">
        <f t="shared" si="0"/>
        <v>1262282047.3290274</v>
      </c>
      <c r="BH27" s="30">
        <f t="shared" si="1"/>
        <v>1579802950.6460264</v>
      </c>
      <c r="BI27" s="30">
        <f t="shared" si="2"/>
        <v>2386985958.5123568</v>
      </c>
      <c r="BJ27" s="30">
        <f t="shared" si="3"/>
        <v>4237787283.5840063</v>
      </c>
      <c r="BK27" s="30">
        <f t="shared" si="4"/>
        <v>9378971078.4465103</v>
      </c>
      <c r="BL27" s="30">
        <f t="shared" si="7"/>
        <v>226.83644120745001</v>
      </c>
      <c r="BM27" s="30">
        <f t="shared" si="13"/>
        <v>216.66360280397808</v>
      </c>
      <c r="BN27" s="30">
        <f t="shared" si="14"/>
        <v>17.884610891771903</v>
      </c>
      <c r="BO27" s="30">
        <f t="shared" si="15"/>
        <v>3.1276594008000012</v>
      </c>
      <c r="BP27" s="30">
        <f t="shared" si="16"/>
        <v>0.88768569599999991</v>
      </c>
      <c r="BQ27" s="30">
        <f t="shared" si="8"/>
        <v>0.48740103396529871</v>
      </c>
      <c r="BR27" s="30">
        <f t="shared" si="9"/>
        <v>0.4655427649419383</v>
      </c>
      <c r="BS27" s="30">
        <f t="shared" si="10"/>
        <v>3.8428472049359487E-2</v>
      </c>
      <c r="BT27" s="30">
        <f t="shared" si="11"/>
        <v>6.7203682870648936E-3</v>
      </c>
      <c r="BU27" s="30">
        <f t="shared" si="12"/>
        <v>1.9073607563386333E-3</v>
      </c>
    </row>
    <row r="28" spans="2:73" x14ac:dyDescent="0.2">
      <c r="B28" s="26">
        <f>[1]节奏总纲!N25</f>
        <v>32</v>
      </c>
      <c r="C28" s="26">
        <v>22</v>
      </c>
      <c r="D28" s="26">
        <f>[1]节奏总纲!P25</f>
        <v>3.5947934199881395</v>
      </c>
      <c r="E28" s="26">
        <f>[1]节奏总纲!Q25</f>
        <v>3.124234961311692</v>
      </c>
      <c r="F28" s="26">
        <f>[1]节奏总纲!R25</f>
        <v>2.5749505267375046</v>
      </c>
      <c r="G28" s="26">
        <f>[1]节奏总纲!S25</f>
        <v>1.9077568679877055</v>
      </c>
      <c r="H28" s="26">
        <f>[1]节奏总纲!T25</f>
        <v>1.0687320837624739</v>
      </c>
      <c r="K28" s="26">
        <v>22</v>
      </c>
      <c r="L28" s="26">
        <f>[1]节奏总纲!AD25</f>
        <v>45.229416240679988</v>
      </c>
      <c r="M28" s="26">
        <f>[1]节奏总纲!AE25</f>
        <v>47.110426931480873</v>
      </c>
      <c r="N28" s="26">
        <f>[1]节奏总纲!AF25</f>
        <v>49.861837738505173</v>
      </c>
      <c r="O28" s="26">
        <f>[1]节奏总纲!AG25</f>
        <v>54.15637358335789</v>
      </c>
      <c r="P28" s="26">
        <f>[1]节奏总纲!AH25</f>
        <v>62.555781631668886</v>
      </c>
      <c r="S28" s="26">
        <v>22</v>
      </c>
      <c r="T28" s="26">
        <f>[2]各R部队能量汇总!E28</f>
        <v>29350505</v>
      </c>
      <c r="U28" s="26">
        <f>[2]各R部队能量汇总!F28</f>
        <v>30389914</v>
      </c>
      <c r="V28" s="26">
        <f>[2]各R部队能量汇总!G28</f>
        <v>33933206</v>
      </c>
      <c r="W28" s="26">
        <f>[2]各R部队能量汇总!H28</f>
        <v>38057302</v>
      </c>
      <c r="X28" s="26">
        <f>[2]各R部队能量汇总!I28</f>
        <v>42447565</v>
      </c>
      <c r="AA28" s="27">
        <v>22</v>
      </c>
      <c r="AB28" s="28">
        <f>[2]各R部队能量汇总!K28</f>
        <v>1</v>
      </c>
      <c r="AC28" s="28">
        <f>[2]各R部队能量汇总!L28</f>
        <v>1.0354136666473031</v>
      </c>
      <c r="AD28" s="28">
        <f>[2]各R部队能量汇总!M28</f>
        <v>1.1561370409129246</v>
      </c>
      <c r="AE28" s="28">
        <f>[2]各R部队能量汇总!N28</f>
        <v>1.2966489673687045</v>
      </c>
      <c r="AF28" s="28">
        <f>[2]各R部队能量汇总!O28</f>
        <v>1.4462294601063934</v>
      </c>
      <c r="AI28" s="27">
        <v>22</v>
      </c>
      <c r="AJ28" s="28">
        <f>[1]服务器生态!W43</f>
        <v>583.53821943573701</v>
      </c>
      <c r="AK28" s="28">
        <f>[1]服务器生态!X43</f>
        <v>396.58075336426316</v>
      </c>
      <c r="AL28" s="28">
        <f>[1]服务器生态!Y43</f>
        <v>37.845427199999996</v>
      </c>
      <c r="AM28" s="28">
        <f>[1]服务器生态!Z43</f>
        <v>5.6826000000000016</v>
      </c>
      <c r="AN28" s="28">
        <f>[1]服务器生态!AA43</f>
        <v>1.353</v>
      </c>
      <c r="AQ28" s="26">
        <v>22</v>
      </c>
      <c r="AR28" s="29">
        <f>[2]非r将兵属性验证!M28</f>
        <v>103.63521906972846</v>
      </c>
      <c r="AS28" s="29">
        <f>[2]小r将兵属性验证!M28</f>
        <v>104.02100910200588</v>
      </c>
      <c r="AT28" s="29">
        <f>[2]中r将兵属性验证!M28</f>
        <v>104.64399329373246</v>
      </c>
      <c r="AU28" s="29">
        <f>[2]大r将兵属性验证!M28</f>
        <v>106.99984165380593</v>
      </c>
      <c r="AV28" s="29">
        <f>[2]超r将兵属性验证!M28</f>
        <v>108.8306683298714</v>
      </c>
    </row>
    <row r="29" spans="2:73" x14ac:dyDescent="0.2">
      <c r="B29" s="26">
        <f>[1]节奏总纲!N26</f>
        <v>33</v>
      </c>
      <c r="C29" s="26">
        <v>23</v>
      </c>
      <c r="D29" s="26">
        <f>[1]节奏总纲!P26</f>
        <v>3.9245776533796644</v>
      </c>
      <c r="E29" s="26">
        <f>[1]节奏总纲!Q26</f>
        <v>3.4081032341949005</v>
      </c>
      <c r="F29" s="26">
        <f>[1]节奏总纲!R26</f>
        <v>2.8064654799317976</v>
      </c>
      <c r="G29" s="26">
        <f>[1]节奏总纲!S26</f>
        <v>2.0796336985258841</v>
      </c>
      <c r="H29" s="26">
        <f>[1]节奏总纲!T26</f>
        <v>1.1608900698697047</v>
      </c>
      <c r="K29" s="26">
        <v>23</v>
      </c>
      <c r="L29" s="26">
        <f>[1]节奏总纲!AD26</f>
        <v>45.845161563010116</v>
      </c>
      <c r="M29" s="26">
        <f>[1]节奏总纲!AE26</f>
        <v>47.734594805743399</v>
      </c>
      <c r="N29" s="26">
        <f>[1]节奏总纲!AF26</f>
        <v>50.503430607741265</v>
      </c>
      <c r="O29" s="26">
        <f>[1]节奏总纲!AG26</f>
        <v>54.814188287451351</v>
      </c>
      <c r="P29" s="26">
        <f>[1]节奏总纲!AH26</f>
        <v>63.182677965405439</v>
      </c>
      <c r="S29" s="26">
        <v>23</v>
      </c>
      <c r="T29" s="26">
        <f>[2]各R部队能量汇总!E29</f>
        <v>32528833</v>
      </c>
      <c r="U29" s="26">
        <f>[2]各R部队能量汇总!F29</f>
        <v>33752352</v>
      </c>
      <c r="V29" s="26">
        <f>[2]各R部队能量汇总!G29</f>
        <v>37608312</v>
      </c>
      <c r="W29" s="26">
        <f>[2]各R部队能量汇总!H29</f>
        <v>42396427</v>
      </c>
      <c r="X29" s="26">
        <f>[2]各R部队能量汇总!I29</f>
        <v>47153464</v>
      </c>
      <c r="AA29" s="27">
        <v>23</v>
      </c>
      <c r="AB29" s="28">
        <f>[2]各R部队能量汇总!K29</f>
        <v>1</v>
      </c>
      <c r="AC29" s="28">
        <f>[2]各R部队能量汇总!L29</f>
        <v>1.0376133690378626</v>
      </c>
      <c r="AD29" s="28">
        <f>[2]各R部队能量汇总!M29</f>
        <v>1.1561531272886427</v>
      </c>
      <c r="AE29" s="28">
        <f>[2]各R部队能量汇总!N29</f>
        <v>1.3033491548866816</v>
      </c>
      <c r="AF29" s="28">
        <f>[2]各R部队能量汇总!O29</f>
        <v>1.4495897839310743</v>
      </c>
      <c r="AI29" s="27">
        <v>23</v>
      </c>
      <c r="AJ29" s="28">
        <f>[1]服务器生态!W44</f>
        <v>565.24351880877771</v>
      </c>
      <c r="AK29" s="28">
        <f>[1]服务器生态!X44</f>
        <v>390.87641719122234</v>
      </c>
      <c r="AL29" s="28">
        <f>[1]服务器生态!Y44</f>
        <v>36.968064000000005</v>
      </c>
      <c r="AM29" s="28">
        <f>[1]服务器生态!Z44</f>
        <v>5.5770000000000008</v>
      </c>
      <c r="AN29" s="28">
        <f>[1]服务器生态!AA44</f>
        <v>1.3349999999999997</v>
      </c>
      <c r="AQ29" s="26">
        <v>23</v>
      </c>
      <c r="AR29" s="29">
        <f>[2]非r将兵属性验证!M29</f>
        <v>104.80994722148205</v>
      </c>
      <c r="AS29" s="29">
        <f>[2]小r将兵属性验证!M29</f>
        <v>105.29327200211202</v>
      </c>
      <c r="AT29" s="29">
        <f>[2]中r将兵属性验证!M29</f>
        <v>106.10943613846899</v>
      </c>
      <c r="AU29" s="29">
        <f>[2]大r将兵属性验证!M29</f>
        <v>108.70030078007726</v>
      </c>
      <c r="AV29" s="29">
        <f>[2]超r将兵属性验证!M29</f>
        <v>110.57808214464703</v>
      </c>
    </row>
    <row r="30" spans="2:73" x14ac:dyDescent="0.2">
      <c r="B30" s="26">
        <f>[1]节奏总纲!N27</f>
        <v>34</v>
      </c>
      <c r="C30" s="26">
        <v>24</v>
      </c>
      <c r="D30" s="26">
        <f>[1]节奏总纲!P27</f>
        <v>4.2780316430915768</v>
      </c>
      <c r="E30" s="26">
        <f>[1]节奏总纲!Q27</f>
        <v>3.7214597263253628</v>
      </c>
      <c r="F30" s="26">
        <f>[1]节奏总纲!R27</f>
        <v>3.0699155070825155</v>
      </c>
      <c r="G30" s="26">
        <f>[1]节奏总纲!S27</f>
        <v>2.2742016214674821</v>
      </c>
      <c r="H30" s="26">
        <f>[1]节奏总纲!T27</f>
        <v>1.2692919885052709</v>
      </c>
      <c r="K30" s="26">
        <v>24</v>
      </c>
      <c r="L30" s="26">
        <f>[1]节奏总纲!AD27</f>
        <v>46.430041330048923</v>
      </c>
      <c r="M30" s="26">
        <f>[1]节奏总纲!AE27</f>
        <v>48.330142263709867</v>
      </c>
      <c r="N30" s="26">
        <f>[1]节奏总纲!AF27</f>
        <v>51.118578408701396</v>
      </c>
      <c r="O30" s="26">
        <f>[1]节奏总纲!AG27</f>
        <v>55.44072585486321</v>
      </c>
      <c r="P30" s="26">
        <f>[1]节奏总纲!AH27</f>
        <v>63.791742872142052</v>
      </c>
      <c r="S30" s="26">
        <v>24</v>
      </c>
      <c r="T30" s="26">
        <f>[2]各R部队能量汇总!E30</f>
        <v>35918041</v>
      </c>
      <c r="U30" s="26">
        <f>[2]各R部队能量汇总!F30</f>
        <v>37299955</v>
      </c>
      <c r="V30" s="26">
        <f>[2]各R部队能量汇总!G30</f>
        <v>41720211</v>
      </c>
      <c r="W30" s="26">
        <f>[2]各R部队能量汇总!H30</f>
        <v>47124381</v>
      </c>
      <c r="X30" s="26">
        <f>[2]各R部队能量汇总!I30</f>
        <v>52496282</v>
      </c>
      <c r="AA30" s="27">
        <v>24</v>
      </c>
      <c r="AB30" s="28">
        <f>[2]各R部队能量汇总!K30</f>
        <v>1</v>
      </c>
      <c r="AC30" s="28">
        <f>[2]各R部队能量汇总!L30</f>
        <v>1.0384740916131812</v>
      </c>
      <c r="AD30" s="28">
        <f>[2]各R部队能量汇总!M30</f>
        <v>1.1615391552117222</v>
      </c>
      <c r="AE30" s="28">
        <f>[2]各R部队能量汇总!N30</f>
        <v>1.3119975279275393</v>
      </c>
      <c r="AF30" s="28">
        <f>[2]各R部队能量汇总!O30</f>
        <v>1.4615574941851646</v>
      </c>
      <c r="AI30" s="27">
        <v>24</v>
      </c>
      <c r="AJ30" s="28">
        <f>[1]服务器生态!W45</f>
        <v>547.15192123824465</v>
      </c>
      <c r="AK30" s="28">
        <f>[1]服务器生态!X45</f>
        <v>384.97366276175529</v>
      </c>
      <c r="AL30" s="28">
        <f>[1]服务器生态!Y45</f>
        <v>36.088416000000002</v>
      </c>
      <c r="AM30" s="28">
        <f>[1]服务器生态!Z45</f>
        <v>5.4697500000000012</v>
      </c>
      <c r="AN30" s="28">
        <f>[1]服务器生态!AA45</f>
        <v>1.3162499999999999</v>
      </c>
      <c r="AQ30" s="26">
        <v>24</v>
      </c>
      <c r="AR30" s="29">
        <f>[2]非r将兵属性验证!M30</f>
        <v>105.98467537323563</v>
      </c>
      <c r="AS30" s="29">
        <f>[2]小r将兵属性验证!M30</f>
        <v>106.55737928230971</v>
      </c>
      <c r="AT30" s="29">
        <f>[2]中r将兵属性验证!M30</f>
        <v>107.57089909484134</v>
      </c>
      <c r="AU30" s="29">
        <f>[2]大r将兵属性验证!M30</f>
        <v>110.40075990634858</v>
      </c>
      <c r="AV30" s="29">
        <f>[2]超r将兵属性验证!M30</f>
        <v>112.32549595942268</v>
      </c>
    </row>
    <row r="31" spans="2:73" x14ac:dyDescent="0.2">
      <c r="B31" s="26">
        <f>[1]节奏总纲!N28</f>
        <v>35</v>
      </c>
      <c r="C31" s="26">
        <v>25</v>
      </c>
      <c r="D31" s="26">
        <f>[1]节奏总纲!P28</f>
        <v>4.6568542494923806</v>
      </c>
      <c r="E31" s="26">
        <f>[1]节奏总纲!Q28</f>
        <v>4.054257309608067</v>
      </c>
      <c r="F31" s="26">
        <f>[1]节奏总纲!R28</f>
        <v>3.3445527219854276</v>
      </c>
      <c r="G31" s="26">
        <f>[1]节奏总纲!S28</f>
        <v>2.478377831579845</v>
      </c>
      <c r="H31" s="26">
        <f>[1]节奏总纲!T28</f>
        <v>1.3802915995495415</v>
      </c>
      <c r="K31" s="26">
        <v>25</v>
      </c>
      <c r="L31" s="26">
        <f>[1]节奏总纲!AD28</f>
        <v>47.004247194324648</v>
      </c>
      <c r="M31" s="26">
        <f>[1]节奏总纲!AE28</f>
        <v>48.904516930942819</v>
      </c>
      <c r="N31" s="26">
        <f>[1]节奏总纲!AF28</f>
        <v>51.667220029142385</v>
      </c>
      <c r="O31" s="26">
        <f>[1]节奏总纲!AG28</f>
        <v>56.05100027504308</v>
      </c>
      <c r="P31" s="26">
        <f>[1]节奏总纲!AH28</f>
        <v>64.398425477456215</v>
      </c>
      <c r="S31" s="26">
        <v>25</v>
      </c>
      <c r="T31" s="26">
        <f>[2]各R部队能量汇总!E31</f>
        <v>39499431</v>
      </c>
      <c r="U31" s="26">
        <f>[2]各R部队能量汇总!F31</f>
        <v>41103738</v>
      </c>
      <c r="V31" s="26">
        <f>[2]各R部队能量汇总!G31</f>
        <v>46115503</v>
      </c>
      <c r="W31" s="26">
        <f>[2]各R部队能量汇总!H31</f>
        <v>52343379</v>
      </c>
      <c r="X31" s="26">
        <f>[2]各R部队能量汇总!I31</f>
        <v>58111920</v>
      </c>
      <c r="AA31" s="27">
        <v>25</v>
      </c>
      <c r="AB31" s="28">
        <f>[2]各R部队能量汇总!K31</f>
        <v>1</v>
      </c>
      <c r="AC31" s="28">
        <f>[2]各R部队能量汇总!L31</f>
        <v>1.0406159521639691</v>
      </c>
      <c r="AD31" s="28">
        <f>[2]各R部队能量汇总!M31</f>
        <v>1.1674979064888302</v>
      </c>
      <c r="AE31" s="28">
        <f>[2]各R部队能量汇总!N31</f>
        <v>1.3251679245708627</v>
      </c>
      <c r="AF31" s="28">
        <f>[2]各R部队能量汇总!O31</f>
        <v>1.4712090409606153</v>
      </c>
      <c r="AI31" s="27">
        <v>25</v>
      </c>
      <c r="AJ31" s="28">
        <f>[1]服务器生态!W46</f>
        <v>529.26342672413818</v>
      </c>
      <c r="AK31" s="28">
        <f>[1]服务器生态!X46</f>
        <v>378.87249007586189</v>
      </c>
      <c r="AL31" s="28">
        <f>[1]服务器生态!Y46</f>
        <v>35.206483200000001</v>
      </c>
      <c r="AM31" s="28">
        <f>[1]服务器生态!Z46</f>
        <v>5.360850000000001</v>
      </c>
      <c r="AN31" s="28">
        <f>[1]服务器生态!AA46</f>
        <v>1.2967499999999998</v>
      </c>
      <c r="AQ31" s="26">
        <v>25</v>
      </c>
      <c r="AR31" s="29">
        <f>[2]非r将兵属性验证!M31</f>
        <v>107.15148312949304</v>
      </c>
      <c r="AS31" s="29">
        <f>[2]小r将兵属性验证!M31</f>
        <v>107.81716502884754</v>
      </c>
      <c r="AT31" s="29">
        <f>[2]中r将兵属性验证!M31</f>
        <v>109.03236205121367</v>
      </c>
      <c r="AU31" s="29">
        <f>[2]大r将兵属性验证!M31</f>
        <v>112.10121903261995</v>
      </c>
      <c r="AV31" s="29">
        <f>[2]超r将兵属性验证!M31</f>
        <v>114.07290977419834</v>
      </c>
    </row>
    <row r="32" spans="2:73" x14ac:dyDescent="0.2">
      <c r="B32" s="26">
        <f>[1]节奏总纲!N29</f>
        <v>36</v>
      </c>
      <c r="C32" s="26">
        <v>26</v>
      </c>
      <c r="D32" s="26">
        <f>[1]节奏总纲!P29</f>
        <v>5.062866266041592</v>
      </c>
      <c r="E32" s="26">
        <f>[1]节奏总纲!Q29</f>
        <v>4.408743944469018</v>
      </c>
      <c r="F32" s="26">
        <f>[1]节奏总纲!R29</f>
        <v>3.63716312552428</v>
      </c>
      <c r="G32" s="26">
        <f>[1]节奏总纲!S29</f>
        <v>2.6914197070277099</v>
      </c>
      <c r="H32" s="26">
        <f>[1]节奏总纲!T29</f>
        <v>1.4996209880015197</v>
      </c>
      <c r="K32" s="26">
        <v>26</v>
      </c>
      <c r="L32" s="26">
        <f>[1]节奏总纲!AD29</f>
        <v>47.540284631526092</v>
      </c>
      <c r="M32" s="26">
        <f>[1]节奏总纲!AE29</f>
        <v>49.446133440059114</v>
      </c>
      <c r="N32" s="26">
        <f>[1]节奏总纲!AF29</f>
        <v>52.199341027338768</v>
      </c>
      <c r="O32" s="26">
        <f>[1]节奏总纲!AG29</f>
        <v>56.621068614050692</v>
      </c>
      <c r="P32" s="26">
        <f>[1]节奏总纲!AH29</f>
        <v>65.00344105132713</v>
      </c>
      <c r="S32" s="26">
        <v>26</v>
      </c>
      <c r="T32" s="26">
        <f>[2]各R部队能量汇总!E32</f>
        <v>43384921</v>
      </c>
      <c r="U32" s="26">
        <f>[2]各R部队能量汇总!F32</f>
        <v>45198649</v>
      </c>
      <c r="V32" s="26">
        <f>[2]各R部队能量汇总!G32</f>
        <v>50916193</v>
      </c>
      <c r="W32" s="26">
        <f>[2]各R部队能量汇总!H32</f>
        <v>57837619</v>
      </c>
      <c r="X32" s="26">
        <f>[2]各R部队能量汇总!I32</f>
        <v>64336885</v>
      </c>
      <c r="AA32" s="27">
        <v>26</v>
      </c>
      <c r="AB32" s="28">
        <f>[2]各R部队能量汇总!K32</f>
        <v>1</v>
      </c>
      <c r="AC32" s="28">
        <f>[2]各R部队能量汇总!L32</f>
        <v>1.0418054927425131</v>
      </c>
      <c r="AD32" s="28">
        <f>[2]各R部队能量汇总!M32</f>
        <v>1.1735919260980099</v>
      </c>
      <c r="AE32" s="28">
        <f>[2]各R部队能量汇总!N32</f>
        <v>1.3331272171729898</v>
      </c>
      <c r="AF32" s="28">
        <f>[2]各R部队能量汇总!O32</f>
        <v>1.4829319384954049</v>
      </c>
      <c r="AI32" s="27">
        <v>26</v>
      </c>
      <c r="AJ32" s="28">
        <f>[1]服务器生态!W47</f>
        <v>511.57803526645785</v>
      </c>
      <c r="AK32" s="28">
        <f>[1]服务器生态!X47</f>
        <v>372.57289913354214</v>
      </c>
      <c r="AL32" s="28">
        <f>[1]服务器生态!Y47</f>
        <v>34.322265600000001</v>
      </c>
      <c r="AM32" s="28">
        <f>[1]服务器生态!Z47</f>
        <v>5.2503000000000011</v>
      </c>
      <c r="AN32" s="28">
        <f>[1]服务器生态!AA47</f>
        <v>1.2765</v>
      </c>
      <c r="AQ32" s="26">
        <v>26</v>
      </c>
      <c r="AR32" s="29">
        <f>[2]非r将兵属性验证!M32</f>
        <v>108.31471800678575</v>
      </c>
      <c r="AS32" s="29">
        <f>[2]小r将兵属性验证!M32</f>
        <v>109.07695077538538</v>
      </c>
      <c r="AT32" s="29">
        <f>[2]中r将兵属性验证!M32</f>
        <v>110.49382500758601</v>
      </c>
      <c r="AU32" s="29">
        <f>[2]大r将兵属性验证!M32</f>
        <v>113.80167815889128</v>
      </c>
      <c r="AV32" s="29">
        <f>[2]超r将兵属性验证!M32</f>
        <v>115.82032358897398</v>
      </c>
    </row>
    <row r="33" spans="2:48" x14ac:dyDescent="0.2">
      <c r="B33" s="26">
        <f>[1]节奏总纲!N30</f>
        <v>37</v>
      </c>
      <c r="C33" s="26">
        <v>27</v>
      </c>
      <c r="D33" s="26">
        <f>[1]节奏总纲!P30</f>
        <v>5.4980191708498847</v>
      </c>
      <c r="E33" s="26">
        <f>[1]节奏总纲!Q30</f>
        <v>4.7882248958931646</v>
      </c>
      <c r="F33" s="26">
        <f>[1]节奏总纲!R30</f>
        <v>3.9492271704214725</v>
      </c>
      <c r="G33" s="26">
        <f>[1]节奏总纲!S30</f>
        <v>2.9205477835554587</v>
      </c>
      <c r="H33" s="26">
        <f>[1]节奏总纲!T30</f>
        <v>1.6290630803228208</v>
      </c>
      <c r="K33" s="26">
        <v>27</v>
      </c>
      <c r="L33" s="26">
        <f>[1]节奏总纲!AD30</f>
        <v>48.071211008105138</v>
      </c>
      <c r="M33" s="26">
        <f>[1]节奏总纲!AE30</f>
        <v>49.981218513907905</v>
      </c>
      <c r="N33" s="26">
        <f>[1]节奏总纲!AF30</f>
        <v>52.705993248660157</v>
      </c>
      <c r="O33" s="26">
        <f>[1]节奏总纲!AG30</f>
        <v>57.175765669822162</v>
      </c>
      <c r="P33" s="26">
        <f>[1]节奏总纲!AH30</f>
        <v>65.541743280100334</v>
      </c>
      <c r="S33" s="26">
        <v>27</v>
      </c>
      <c r="T33" s="26">
        <f>[2]各R部队能量汇总!E33</f>
        <v>47557856</v>
      </c>
      <c r="U33" s="26">
        <f>[2]各R部队能量汇总!F33</f>
        <v>49637599</v>
      </c>
      <c r="V33" s="26">
        <f>[2]各R部队能量汇总!G33</f>
        <v>56058759</v>
      </c>
      <c r="W33" s="26">
        <f>[2]各R部队能量汇总!H33</f>
        <v>63902938</v>
      </c>
      <c r="X33" s="26">
        <f>[2]各R部队能量汇总!I33</f>
        <v>71004485</v>
      </c>
      <c r="AA33" s="27">
        <v>27</v>
      </c>
      <c r="AB33" s="28">
        <f>[2]各R部队能量汇总!K33</f>
        <v>1</v>
      </c>
      <c r="AC33" s="28">
        <f>[2]各R部队能量汇总!L33</f>
        <v>1.04373079812513</v>
      </c>
      <c r="AD33" s="28">
        <f>[2]各R部队能量汇总!M33</f>
        <v>1.1787486593171903</v>
      </c>
      <c r="AE33" s="28">
        <f>[2]各R部队能量汇总!N33</f>
        <v>1.3436883698037188</v>
      </c>
      <c r="AF33" s="28">
        <f>[2]各R部队能量汇总!O33</f>
        <v>1.4930127422060406</v>
      </c>
      <c r="AI33" s="27">
        <v>27</v>
      </c>
      <c r="AJ33" s="28">
        <f>[1]服务器生态!W48</f>
        <v>494.09574686520398</v>
      </c>
      <c r="AK33" s="28">
        <f>[1]服务器生态!X48</f>
        <v>366.07488993479603</v>
      </c>
      <c r="AL33" s="28">
        <f>[1]服务器生态!Y48</f>
        <v>33.435763199999997</v>
      </c>
      <c r="AM33" s="28">
        <f>[1]服务器生态!Z48</f>
        <v>5.1381000000000014</v>
      </c>
      <c r="AN33" s="28">
        <f>[1]服务器生态!AA48</f>
        <v>1.2555000000000001</v>
      </c>
      <c r="AQ33" s="26">
        <v>27</v>
      </c>
      <c r="AR33" s="29">
        <f>[2]非r将兵属性验证!M33</f>
        <v>109.47795288407845</v>
      </c>
      <c r="AS33" s="29">
        <f>[2]小r将兵属性验证!M33</f>
        <v>110.3367365219232</v>
      </c>
      <c r="AT33" s="29">
        <f>[2]中r将兵属性验证!M33</f>
        <v>111.95528796395834</v>
      </c>
      <c r="AU33" s="29">
        <f>[2]大r将兵属性验证!M33</f>
        <v>115.5021372851626</v>
      </c>
      <c r="AV33" s="29">
        <f>[2]超r将兵属性验证!M33</f>
        <v>117.56773740374965</v>
      </c>
    </row>
    <row r="34" spans="2:48" x14ac:dyDescent="0.2">
      <c r="B34" s="26">
        <f>[1]节奏总纲!N31</f>
        <v>38</v>
      </c>
      <c r="C34" s="26">
        <v>28</v>
      </c>
      <c r="D34" s="26">
        <f>[1]节奏总纲!P31</f>
        <v>5.9644045063689921</v>
      </c>
      <c r="E34" s="26">
        <f>[1]节奏总纲!Q31</f>
        <v>5.1914176823435705</v>
      </c>
      <c r="F34" s="26">
        <f>[1]节奏总纲!R31</f>
        <v>4.2752851501652938</v>
      </c>
      <c r="G34" s="26">
        <f>[1]节奏总纲!S31</f>
        <v>3.1653094715300236</v>
      </c>
      <c r="H34" s="26">
        <f>[1]节奏总纲!T31</f>
        <v>1.7738139001941382</v>
      </c>
      <c r="K34" s="26">
        <v>28</v>
      </c>
      <c r="L34" s="26">
        <f>[1]节奏总纲!AD31</f>
        <v>48.571351621712928</v>
      </c>
      <c r="M34" s="26">
        <f>[1]节奏总纲!AE31</f>
        <v>50.509688493127967</v>
      </c>
      <c r="N34" s="26">
        <f>[1]节奏总纲!AF31</f>
        <v>53.212684955585161</v>
      </c>
      <c r="O34" s="26">
        <f>[1]节奏总纲!AG31</f>
        <v>57.699988965458331</v>
      </c>
      <c r="P34" s="26">
        <f>[1]节奏总纲!AH31</f>
        <v>66.076345334947405</v>
      </c>
      <c r="S34" s="26">
        <v>28</v>
      </c>
      <c r="T34" s="26">
        <f>[2]各R部队能量汇总!E34</f>
        <v>52064687</v>
      </c>
      <c r="U34" s="26">
        <f>[2]各R部队能量汇总!F34</f>
        <v>54464717</v>
      </c>
      <c r="V34" s="26">
        <f>[2]各R部队能量汇总!G34</f>
        <v>61654555</v>
      </c>
      <c r="W34" s="26">
        <f>[2]各R部队能量汇总!H34</f>
        <v>70675321</v>
      </c>
      <c r="X34" s="26">
        <f>[2]各R部队能量汇总!I34</f>
        <v>78677278</v>
      </c>
      <c r="AA34" s="27">
        <v>28</v>
      </c>
      <c r="AB34" s="28">
        <f>[2]各R部队能量汇总!K34</f>
        <v>1</v>
      </c>
      <c r="AC34" s="28">
        <f>[2]各R部队能量汇总!L34</f>
        <v>1.0460970791968844</v>
      </c>
      <c r="AD34" s="28">
        <f>[2]各R部队能量汇总!M34</f>
        <v>1.1841914078922628</v>
      </c>
      <c r="AE34" s="28">
        <f>[2]各R部队能量汇总!N34</f>
        <v>1.3574521440991281</v>
      </c>
      <c r="AF34" s="28">
        <f>[2]各R部队能量汇总!O34</f>
        <v>1.5111447419245985</v>
      </c>
      <c r="AI34" s="27">
        <v>28</v>
      </c>
      <c r="AJ34" s="28">
        <f>[1]服务器生态!W49</f>
        <v>476.81656152037635</v>
      </c>
      <c r="AK34" s="28">
        <f>[1]服务器生态!X49</f>
        <v>359.37846247962364</v>
      </c>
      <c r="AL34" s="28">
        <f>[1]服务器生态!Y49</f>
        <v>32.546976000000001</v>
      </c>
      <c r="AM34" s="28">
        <f>[1]服务器生态!Z49</f>
        <v>5.0242500000000012</v>
      </c>
      <c r="AN34" s="28">
        <f>[1]服务器生态!AA49</f>
        <v>1.2337499999999999</v>
      </c>
      <c r="AQ34" s="26">
        <v>28</v>
      </c>
      <c r="AR34" s="29">
        <f>[2]非r将兵属性验证!M34</f>
        <v>110.64118776137117</v>
      </c>
      <c r="AS34" s="29">
        <f>[2]小r将兵属性验证!M34</f>
        <v>111.65843312331546</v>
      </c>
      <c r="AT34" s="29">
        <f>[2]中r将兵属性验证!M34</f>
        <v>113.47511630438387</v>
      </c>
      <c r="AU34" s="29">
        <f>[2]大r将兵属性验证!M34</f>
        <v>117.42409136132483</v>
      </c>
      <c r="AV34" s="29">
        <f>[2]超r将兵属性验证!M34</f>
        <v>119.46739584412062</v>
      </c>
    </row>
    <row r="35" spans="2:48" x14ac:dyDescent="0.2">
      <c r="B35" s="26">
        <f>[1]节奏总纲!N32</f>
        <v>39</v>
      </c>
      <c r="C35" s="26">
        <v>29</v>
      </c>
      <c r="D35" s="26">
        <f>[1]节奏总纲!P32</f>
        <v>6.4642639322944575</v>
      </c>
      <c r="E35" s="26">
        <f>[1]节奏总纲!Q32</f>
        <v>5.6323131642081607</v>
      </c>
      <c r="F35" s="26">
        <f>[1]节奏总纲!R32</f>
        <v>4.6510378992858623</v>
      </c>
      <c r="G35" s="26">
        <f>[1]节奏总纲!S32</f>
        <v>3.4532097926316991</v>
      </c>
      <c r="H35" s="26">
        <f>[1]节奏总纲!T32</f>
        <v>1.9366934741154194</v>
      </c>
      <c r="K35" s="26">
        <v>29</v>
      </c>
      <c r="L35" s="26">
        <f>[1]节奏总纲!AD32</f>
        <v>49.066704614192936</v>
      </c>
      <c r="M35" s="26">
        <f>[1]节奏总纲!AE32</f>
        <v>51.033341828534468</v>
      </c>
      <c r="N35" s="26">
        <f>[1]节奏总纲!AF32</f>
        <v>53.719431255885922</v>
      </c>
      <c r="O35" s="26">
        <f>[1]节奏总纲!AG32</f>
        <v>58.210135614815364</v>
      </c>
      <c r="P35" s="26">
        <f>[1]节奏总纲!AH32</f>
        <v>66.589764070576265</v>
      </c>
      <c r="S35" s="26">
        <v>29</v>
      </c>
      <c r="T35" s="26">
        <f>[2]各R部队能量汇总!E35</f>
        <v>57182182</v>
      </c>
      <c r="U35" s="26">
        <f>[2]各R部队能量汇总!F35</f>
        <v>59867734</v>
      </c>
      <c r="V35" s="26">
        <f>[2]各R部队能量汇总!G35</f>
        <v>68015671</v>
      </c>
      <c r="W35" s="26">
        <f>[2]各R部队能量汇总!H35</f>
        <v>78347935</v>
      </c>
      <c r="X35" s="26">
        <f>[2]各R部队能量汇总!I35</f>
        <v>86987600</v>
      </c>
      <c r="AA35" s="27">
        <v>29</v>
      </c>
      <c r="AB35" s="28">
        <f>[2]各R部队能量汇总!K35</f>
        <v>1</v>
      </c>
      <c r="AC35" s="28">
        <f>[2]各R部队能量汇总!L35</f>
        <v>1.0469648395019273</v>
      </c>
      <c r="AD35" s="28">
        <f>[2]各R部队能量汇总!M35</f>
        <v>1.1894556769449616</v>
      </c>
      <c r="AE35" s="28">
        <f>[2]各R部队能量汇总!N35</f>
        <v>1.3701459486103555</v>
      </c>
      <c r="AF35" s="28">
        <f>[2]各R部队能量汇总!O35</f>
        <v>1.5212361081289274</v>
      </c>
      <c r="AI35" s="27">
        <v>29</v>
      </c>
      <c r="AJ35" s="28">
        <f>[1]服务器生态!W50</f>
        <v>459.74047923197509</v>
      </c>
      <c r="AK35" s="28">
        <f>[1]服务器生态!X50</f>
        <v>352.48361676802483</v>
      </c>
      <c r="AL35" s="28">
        <f>[1]服务器生态!Y50</f>
        <v>31.655904</v>
      </c>
      <c r="AM35" s="28">
        <f>[1]服务器生态!Z50</f>
        <v>4.9087500000000004</v>
      </c>
      <c r="AN35" s="28">
        <f>[1]服务器生态!AA50</f>
        <v>1.2112499999999997</v>
      </c>
      <c r="AQ35" s="26">
        <v>29</v>
      </c>
      <c r="AR35" s="29">
        <f>[2]非r将兵属性验证!M35</f>
        <v>112.05728979472985</v>
      </c>
      <c r="AS35" s="29">
        <f>[2]小r将兵属性验证!M35</f>
        <v>113.16686260131455</v>
      </c>
      <c r="AT35" s="29">
        <f>[2]中r将兵属性验证!M35</f>
        <v>115.14003845632564</v>
      </c>
      <c r="AU35" s="29">
        <f>[2]大r将兵属性验证!M35</f>
        <v>119.3777596509603</v>
      </c>
      <c r="AV35" s="29">
        <f>[2]超r将兵属性验证!M35</f>
        <v>121.37940944676681</v>
      </c>
    </row>
    <row r="36" spans="2:48" x14ac:dyDescent="0.2">
      <c r="B36" s="26">
        <f>[1]节奏总纲!N33</f>
        <v>40</v>
      </c>
      <c r="C36" s="26">
        <v>30</v>
      </c>
      <c r="D36" s="26">
        <f>[1]节奏总纲!P33</f>
        <v>7</v>
      </c>
      <c r="E36" s="26">
        <f>[1]节奏总纲!Q33</f>
        <v>6.1025999999999998</v>
      </c>
      <c r="F36" s="26">
        <f>[1]节奏总纲!R33</f>
        <v>5.0421000000000005</v>
      </c>
      <c r="G36" s="26">
        <f>[1]节奏总纲!S33</f>
        <v>3.7428999999999997</v>
      </c>
      <c r="H36" s="26">
        <f>[1]节奏总纲!T33</f>
        <v>2.1006999999999998</v>
      </c>
      <c r="K36" s="26">
        <v>30</v>
      </c>
      <c r="L36" s="26">
        <f>[1]节奏总纲!AD33</f>
        <v>49.533352307096472</v>
      </c>
      <c r="M36" s="26">
        <f>[1]节奏总纲!AE33</f>
        <v>51.497823295559343</v>
      </c>
      <c r="N36" s="26">
        <f>[1]节奏总纲!AF33</f>
        <v>54.213705787583436</v>
      </c>
      <c r="O36" s="26">
        <f>[1]节奏总纲!AG33</f>
        <v>58.701446767877648</v>
      </c>
      <c r="P36" s="26">
        <f>[1]节奏总纲!AH33</f>
        <v>67.097551508592701</v>
      </c>
      <c r="S36" s="26">
        <v>30</v>
      </c>
      <c r="T36" s="26">
        <f>[2]各R部队能量汇总!E36</f>
        <v>62584983</v>
      </c>
      <c r="U36" s="26">
        <f>[2]各R部队能量汇总!F36</f>
        <v>65656761</v>
      </c>
      <c r="V36" s="26">
        <f>[2]各R部队能量汇总!G36</f>
        <v>74779588</v>
      </c>
      <c r="W36" s="26">
        <f>[2]各R部队能量汇总!H36</f>
        <v>86493505</v>
      </c>
      <c r="X36" s="26">
        <f>[2]各R部队能量汇总!I36</f>
        <v>96013412</v>
      </c>
      <c r="AA36" s="27">
        <v>30</v>
      </c>
      <c r="AB36" s="28">
        <f>[2]各R部队能量汇总!K36</f>
        <v>1</v>
      </c>
      <c r="AC36" s="28">
        <f>[2]各R部队能量汇总!L36</f>
        <v>1.0490817102243202</v>
      </c>
      <c r="AD36" s="28">
        <f>[2]各R部队能量汇总!M36</f>
        <v>1.1948487387142057</v>
      </c>
      <c r="AE36" s="28">
        <f>[2]各R部队能量汇总!N36</f>
        <v>1.3820169129070468</v>
      </c>
      <c r="AF36" s="28">
        <f>[2]各R部队能量汇总!O36</f>
        <v>1.534128594394601</v>
      </c>
      <c r="AI36" s="27">
        <v>30</v>
      </c>
      <c r="AJ36" s="28">
        <f>[1]服务器生态!W51</f>
        <v>442.86750000000018</v>
      </c>
      <c r="AK36" s="28">
        <f>[1]服务器生态!X51</f>
        <v>345.39035279999985</v>
      </c>
      <c r="AL36" s="28">
        <f>[1]服务器生态!Y51</f>
        <v>30.7625472</v>
      </c>
      <c r="AM36" s="28">
        <f>[1]服务器生态!Z51</f>
        <v>4.7916000000000016</v>
      </c>
      <c r="AN36" s="28">
        <f>[1]服务器生态!AA51</f>
        <v>1.1879999999999999</v>
      </c>
      <c r="AQ36" s="26">
        <v>30</v>
      </c>
      <c r="AR36" s="29">
        <f>[2]非r将兵属性验证!M36</f>
        <v>113.40944602546161</v>
      </c>
      <c r="AS36" s="29">
        <f>[2]小r将兵属性验证!M36</f>
        <v>114.6155277695493</v>
      </c>
      <c r="AT36" s="29">
        <f>[2]中r将兵属性验证!M36</f>
        <v>116.76924632255313</v>
      </c>
      <c r="AU36" s="29">
        <f>[2]大r将兵属性验证!M36</f>
        <v>121.34064657733717</v>
      </c>
      <c r="AV36" s="29">
        <f>[2]超r将兵属性验证!M36</f>
        <v>123.29142304941297</v>
      </c>
    </row>
    <row r="37" spans="2:48" x14ac:dyDescent="0.2">
      <c r="B37" s="26">
        <f>[1]节奏总纲!N34</f>
        <v>41</v>
      </c>
      <c r="C37" s="26">
        <v>31</v>
      </c>
      <c r="D37" s="26">
        <f>[1]节奏总纲!P34</f>
        <v>7.5741877002903433</v>
      </c>
      <c r="E37" s="26">
        <f>[1]节奏总纲!Q34</f>
        <v>6.6115084435834408</v>
      </c>
      <c r="F37" s="26">
        <f>[1]节奏总纲!R34</f>
        <v>5.4632615882194253</v>
      </c>
      <c r="G37" s="26">
        <f>[1]节奏总纲!S34</f>
        <v>4.052190419655334</v>
      </c>
      <c r="H37" s="26">
        <f>[1]节奏总纲!T34</f>
        <v>2.2783156602473356</v>
      </c>
      <c r="K37" s="26">
        <v>31</v>
      </c>
      <c r="L37" s="26">
        <f>[1]节奏总纲!AD34</f>
        <v>50</v>
      </c>
      <c r="M37" s="26">
        <f>[1]节奏总纲!AE34</f>
        <v>51.96230476258421</v>
      </c>
      <c r="N37" s="26">
        <f>[1]节奏总纲!AF34</f>
        <v>54.692509339255828</v>
      </c>
      <c r="O37" s="26">
        <f>[1]节奏总纲!AG34</f>
        <v>59.178112178215827</v>
      </c>
      <c r="P37" s="26">
        <f>[1]节奏总纲!AH34</f>
        <v>67.582949939226467</v>
      </c>
      <c r="S37" s="26">
        <v>31</v>
      </c>
      <c r="T37" s="26">
        <f>[2]各R部队能量汇总!E37</f>
        <v>68949482</v>
      </c>
      <c r="U37" s="26">
        <f>[2]各R部队能量汇总!F37</f>
        <v>72347762</v>
      </c>
      <c r="V37" s="26">
        <f>[2]各R部队能量汇总!G37</f>
        <v>82691520</v>
      </c>
      <c r="W37" s="26">
        <f>[2]各R部队能量汇总!H37</f>
        <v>96006427</v>
      </c>
      <c r="X37" s="26">
        <f>[2]各R部队能量汇总!I37</f>
        <v>106301106</v>
      </c>
      <c r="AA37" s="27">
        <v>31</v>
      </c>
      <c r="AB37" s="28">
        <f>[2]各R部队能量汇总!K37</f>
        <v>1</v>
      </c>
      <c r="AC37" s="28">
        <f>[2]各R部队能量汇总!L37</f>
        <v>1.0492865196579721</v>
      </c>
      <c r="AD37" s="28">
        <f>[2]各R部队能量汇总!M37</f>
        <v>1.1993058918122113</v>
      </c>
      <c r="AE37" s="28">
        <f>[2]各R部队能量汇总!N37</f>
        <v>1.3924169437560097</v>
      </c>
      <c r="AF37" s="28">
        <f>[2]各R部队能量汇总!O37</f>
        <v>1.5417245049063604</v>
      </c>
      <c r="AI37" s="27">
        <v>31</v>
      </c>
      <c r="AJ37" s="28">
        <f>[1]服务器生态!W52</f>
        <v>428.59553563636376</v>
      </c>
      <c r="AK37" s="28">
        <f>[1]服务器生态!X52</f>
        <v>335.7326606644362</v>
      </c>
      <c r="AL37" s="28">
        <f>[1]服务器生态!Y52</f>
        <v>29.850235699199999</v>
      </c>
      <c r="AM37" s="28">
        <f>[1]服务器生态!Z52</f>
        <v>4.6618880000000011</v>
      </c>
      <c r="AN37" s="28">
        <f>[1]服务器生态!AA52</f>
        <v>1.1596799999999998</v>
      </c>
      <c r="AQ37" s="26">
        <v>31</v>
      </c>
      <c r="AR37" s="29">
        <f>[2]非r将兵属性验证!M37</f>
        <v>115.14882447841559</v>
      </c>
      <c r="AS37" s="29">
        <f>[2]小r将兵属性验证!M37</f>
        <v>116.45141516000629</v>
      </c>
      <c r="AT37" s="29">
        <f>[2]中r将兵属性验证!M37</f>
        <v>118.79694001356356</v>
      </c>
      <c r="AU37" s="29">
        <f>[2]大r将兵属性验证!M37</f>
        <v>123.69867039420207</v>
      </c>
      <c r="AV37" s="29">
        <f>[2]超r将兵属性验证!M37</f>
        <v>125.59065887428139</v>
      </c>
    </row>
    <row r="38" spans="2:48" x14ac:dyDescent="0.2">
      <c r="B38" s="26">
        <f>[1]节奏总纲!N35</f>
        <v>42</v>
      </c>
      <c r="C38" s="26">
        <v>32</v>
      </c>
      <c r="D38" s="26">
        <f>[1]节奏总纲!P35</f>
        <v>8.189586839976279</v>
      </c>
      <c r="E38" s="26">
        <f>[1]节奏总纲!Q35</f>
        <v>7.1519661873512845</v>
      </c>
      <c r="F38" s="26">
        <f>[1]节奏总纲!R35</f>
        <v>5.906330028990892</v>
      </c>
      <c r="G38" s="26">
        <f>[1]节奏总纲!S35</f>
        <v>4.3855237528072974</v>
      </c>
      <c r="H38" s="26">
        <f>[1]节奏总纲!T35</f>
        <v>2.46506563883286</v>
      </c>
      <c r="K38" s="26">
        <v>32</v>
      </c>
      <c r="L38" s="26">
        <f>[1]节奏总纲!AD35</f>
        <v>50.435397692903535</v>
      </c>
      <c r="M38" s="26">
        <f>[1]节奏总纲!AE35</f>
        <v>52.391506955233744</v>
      </c>
      <c r="N38" s="26">
        <f>[1]节奏总纲!AF35</f>
        <v>55.159275389027101</v>
      </c>
      <c r="O38" s="26">
        <f>[1]节奏总纲!AG35</f>
        <v>59.632093520341421</v>
      </c>
      <c r="P38" s="26">
        <f>[1]节奏总纲!AH35</f>
        <v>68.063981730538742</v>
      </c>
      <c r="S38" s="26">
        <v>32</v>
      </c>
      <c r="T38" s="26">
        <f>[2]各R部队能量汇总!E38</f>
        <v>75758794</v>
      </c>
      <c r="U38" s="26">
        <f>[2]各R部队能量汇总!F38</f>
        <v>79694516</v>
      </c>
      <c r="V38" s="26">
        <f>[2]各R部队能量汇总!G38</f>
        <v>91221771</v>
      </c>
      <c r="W38" s="26">
        <f>[2]各R部队能量汇总!H38</f>
        <v>106353994</v>
      </c>
      <c r="X38" s="26">
        <f>[2]各R部队能量汇总!I38</f>
        <v>117660270</v>
      </c>
      <c r="AA38" s="27">
        <v>32</v>
      </c>
      <c r="AB38" s="28">
        <f>[2]各R部队能量汇总!K38</f>
        <v>1</v>
      </c>
      <c r="AC38" s="28">
        <f>[2]各R部队能量汇总!L38</f>
        <v>1.051950694991264</v>
      </c>
      <c r="AD38" s="28">
        <f>[2]各R部队能量汇总!M38</f>
        <v>1.2041080141798455</v>
      </c>
      <c r="AE38" s="28">
        <f>[2]各R部队能量汇总!N38</f>
        <v>1.403850145766576</v>
      </c>
      <c r="AF38" s="28">
        <f>[2]各R部队能量汇总!O38</f>
        <v>1.5530905890608555</v>
      </c>
      <c r="AI38" s="27">
        <v>32</v>
      </c>
      <c r="AJ38" s="28">
        <f>[1]服务器生态!W53</f>
        <v>422.21262873667729</v>
      </c>
      <c r="AK38" s="28">
        <f>[1]服务器生态!X53</f>
        <v>332.18951514679861</v>
      </c>
      <c r="AL38" s="28">
        <f>[1]服务器生态!Y53</f>
        <v>29.483871013075863</v>
      </c>
      <c r="AM38" s="28">
        <f>[1]服务器生态!Z53</f>
        <v>4.6168926896551739</v>
      </c>
      <c r="AN38" s="28">
        <f>[1]服务器生态!AA53</f>
        <v>1.1522648275862069</v>
      </c>
      <c r="AQ38" s="26">
        <v>32</v>
      </c>
      <c r="AR38" s="29">
        <f>[2]非r将兵属性验证!M38</f>
        <v>116.88820293136959</v>
      </c>
      <c r="AS38" s="29">
        <f>[2]小r将兵属性验证!M38</f>
        <v>118.29195214265918</v>
      </c>
      <c r="AT38" s="29">
        <f>[2]中r将兵属性验证!M38</f>
        <v>120.84266589904335</v>
      </c>
      <c r="AU38" s="29">
        <f>[2]大r将兵属性验证!M38</f>
        <v>126.056694211067</v>
      </c>
      <c r="AV38" s="29">
        <f>[2]超r将兵属性验证!M38</f>
        <v>127.88989469914981</v>
      </c>
    </row>
    <row r="39" spans="2:48" x14ac:dyDescent="0.2">
      <c r="B39" s="26">
        <f>[1]节奏总纲!N36</f>
        <v>43</v>
      </c>
      <c r="C39" s="26">
        <v>33</v>
      </c>
      <c r="D39" s="26">
        <f>[1]节奏总纲!P36</f>
        <v>8.8491553067593287</v>
      </c>
      <c r="E39" s="26">
        <f>[1]节奏总纲!Q36</f>
        <v>7.7120388498407557</v>
      </c>
      <c r="F39" s="26">
        <f>[1]节奏总纲!R36</f>
        <v>6.3696219898053652</v>
      </c>
      <c r="G39" s="26">
        <f>[1]节奏总纲!S36</f>
        <v>4.736067920177593</v>
      </c>
      <c r="H39" s="26">
        <f>[1]节奏总纲!T36</f>
        <v>2.6627108318038819</v>
      </c>
      <c r="K39" s="26">
        <v>33</v>
      </c>
      <c r="L39" s="26">
        <f>[1]节奏总纲!AD36</f>
        <v>50.870795385807064</v>
      </c>
      <c r="M39" s="26">
        <f>[1]节奏总纲!AE36</f>
        <v>52.81759316022675</v>
      </c>
      <c r="N39" s="26">
        <f>[1]节奏总纲!AF36</f>
        <v>55.604435245632025</v>
      </c>
      <c r="O39" s="26">
        <f>[1]节奏总纲!AG36</f>
        <v>60.078368706270226</v>
      </c>
      <c r="P39" s="26">
        <f>[1]节奏总纲!AH36</f>
        <v>68.518369035696878</v>
      </c>
      <c r="S39" s="26">
        <v>33</v>
      </c>
      <c r="T39" s="26">
        <f>[2]各R部队能量汇总!E39</f>
        <v>83278541</v>
      </c>
      <c r="U39" s="26">
        <f>[2]各R部队能量汇总!F39</f>
        <v>87503827</v>
      </c>
      <c r="V39" s="26">
        <f>[2]各R部队能量汇总!G39</f>
        <v>100520846</v>
      </c>
      <c r="W39" s="26">
        <f>[2]各R部队能量汇总!H39</f>
        <v>117594449</v>
      </c>
      <c r="X39" s="26">
        <f>[2]各R部队能量汇总!I39</f>
        <v>129781870</v>
      </c>
      <c r="AA39" s="27">
        <v>33</v>
      </c>
      <c r="AB39" s="28">
        <f>[2]各R部队能量汇总!K39</f>
        <v>1</v>
      </c>
      <c r="AC39" s="28">
        <f>[2]各R部队能量汇总!L39</f>
        <v>1.0507367918465333</v>
      </c>
      <c r="AD39" s="28">
        <f>[2]各R部队能量汇总!M39</f>
        <v>1.2070437929502151</v>
      </c>
      <c r="AE39" s="28">
        <f>[2]各R部队能量汇总!N39</f>
        <v>1.4120618299496865</v>
      </c>
      <c r="AF39" s="28">
        <f>[2]各R部队能量汇总!O39</f>
        <v>1.5584071051388857</v>
      </c>
      <c r="AI39" s="27">
        <v>33</v>
      </c>
      <c r="AJ39" s="28">
        <f>[1]服务器生态!W54</f>
        <v>415.8517495203763</v>
      </c>
      <c r="AK39" s="28">
        <f>[1]服务器生态!X54</f>
        <v>328.62545543454775</v>
      </c>
      <c r="AL39" s="28">
        <f>[1]服务器生态!Y54</f>
        <v>29.116992010593101</v>
      </c>
      <c r="AM39" s="28">
        <f>[1]服务器生态!Z54</f>
        <v>4.5714968275862082</v>
      </c>
      <c r="AN39" s="28">
        <f>[1]服务器生态!AA54</f>
        <v>1.1446510344827585</v>
      </c>
      <c r="AQ39" s="26">
        <v>33</v>
      </c>
      <c r="AR39" s="29">
        <f>[2]非r将兵属性验证!M39</f>
        <v>118.62823407623004</v>
      </c>
      <c r="AS39" s="29">
        <f>[2]小r将兵属性验证!M39</f>
        <v>120.15792674338726</v>
      </c>
      <c r="AT39" s="29">
        <f>[2]中r将兵属性验证!M39</f>
        <v>122.88839178452317</v>
      </c>
      <c r="AU39" s="29">
        <f>[2]大r将兵属性验证!M39</f>
        <v>128.41471802793188</v>
      </c>
      <c r="AV39" s="29">
        <f>[2]超r将兵属性验证!M39</f>
        <v>130.1891305240182</v>
      </c>
    </row>
    <row r="40" spans="2:48" x14ac:dyDescent="0.2">
      <c r="B40" s="26">
        <f>[1]节奏总纲!N37</f>
        <v>44</v>
      </c>
      <c r="C40" s="26">
        <v>34</v>
      </c>
      <c r="D40" s="26">
        <f>[1]节奏总纲!P37</f>
        <v>9.5560632861831518</v>
      </c>
      <c r="E40" s="26">
        <f>[1]节奏总纲!Q37</f>
        <v>8.3309759728944712</v>
      </c>
      <c r="F40" s="26">
        <f>[1]节奏总纲!R37</f>
        <v>6.8918328419952886</v>
      </c>
      <c r="G40" s="26">
        <f>[1]节奏总纲!S37</f>
        <v>5.1287391656944967</v>
      </c>
      <c r="H40" s="26">
        <f>[1]节奏总纲!T37</f>
        <v>2.8811530807842201</v>
      </c>
      <c r="K40" s="26">
        <v>34</v>
      </c>
      <c r="L40" s="26">
        <f>[1]节奏总纲!AD37</f>
        <v>51.285688244217212</v>
      </c>
      <c r="M40" s="26">
        <f>[1]节奏总纲!AE37</f>
        <v>53.226994578658328</v>
      </c>
      <c r="N40" s="26">
        <f>[1]节奏总纲!AF37</f>
        <v>56.045896281048073</v>
      </c>
      <c r="O40" s="26">
        <f>[1]节奏总纲!AG37</f>
        <v>60.491705764657482</v>
      </c>
      <c r="P40" s="26">
        <f>[1]节奏总纲!AH37</f>
        <v>68.972756340855</v>
      </c>
      <c r="S40" s="26">
        <v>34</v>
      </c>
      <c r="T40" s="26">
        <f>[2]各R部队能量汇总!E40</f>
        <v>91319537</v>
      </c>
      <c r="U40" s="26">
        <f>[2]各R部队能量汇总!F40</f>
        <v>96183528</v>
      </c>
      <c r="V40" s="26">
        <f>[2]各R部队能量汇总!G40</f>
        <v>110592511</v>
      </c>
      <c r="W40" s="26">
        <f>[2]各R部队能量汇总!H40</f>
        <v>129977757</v>
      </c>
      <c r="X40" s="26">
        <f>[2]各R部队能量汇总!I40</f>
        <v>143224796</v>
      </c>
      <c r="AA40" s="27">
        <v>34</v>
      </c>
      <c r="AB40" s="28">
        <f>[2]各R部队能量汇总!K40</f>
        <v>1</v>
      </c>
      <c r="AC40" s="28">
        <f>[2]各R部队能量汇总!L40</f>
        <v>1.0532634216049519</v>
      </c>
      <c r="AD40" s="28">
        <f>[2]各R部队能量汇总!M40</f>
        <v>1.2110498435838544</v>
      </c>
      <c r="AE40" s="28">
        <f>[2]各R部队能量汇总!N40</f>
        <v>1.4233291283550857</v>
      </c>
      <c r="AF40" s="28">
        <f>[2]各R部队能量汇总!O40</f>
        <v>1.5683916137244542</v>
      </c>
      <c r="AI40" s="27">
        <v>34</v>
      </c>
      <c r="AJ40" s="28">
        <f>[1]服务器生态!W55</f>
        <v>409.51289798746103</v>
      </c>
      <c r="AK40" s="28">
        <f>[1]服务器生态!X55</f>
        <v>325.04048152768388</v>
      </c>
      <c r="AL40" s="28">
        <f>[1]服务器生态!Y55</f>
        <v>28.749598691751729</v>
      </c>
      <c r="AM40" s="28">
        <f>[1]服务器生态!Z55</f>
        <v>4.5257004137931052</v>
      </c>
      <c r="AN40" s="28">
        <f>[1]服务器生态!AA55</f>
        <v>1.1368386206896552</v>
      </c>
      <c r="AQ40" s="26">
        <v>34</v>
      </c>
      <c r="AR40" s="29">
        <f>[2]非r将兵属性验证!M40</f>
        <v>120.39926987317136</v>
      </c>
      <c r="AS40" s="29">
        <f>[2]小r将兵属性验证!M40</f>
        <v>122.02390134411539</v>
      </c>
      <c r="AT40" s="29">
        <f>[2]中r将兵属性验证!M40</f>
        <v>124.93411767000295</v>
      </c>
      <c r="AU40" s="29">
        <f>[2]大r将兵属性验证!M40</f>
        <v>130.7941767613712</v>
      </c>
      <c r="AV40" s="29">
        <f>[2]超r将兵属性验证!M40</f>
        <v>132.47853254468095</v>
      </c>
    </row>
    <row r="41" spans="2:48" x14ac:dyDescent="0.2">
      <c r="B41" s="26">
        <f>[1]节奏总纲!N38</f>
        <v>45</v>
      </c>
      <c r="C41" s="26">
        <v>35</v>
      </c>
      <c r="D41" s="26">
        <f>[1]节奏总纲!P38</f>
        <v>10.313708498984759</v>
      </c>
      <c r="E41" s="26">
        <f>[1]节奏总纲!Q38</f>
        <v>9.0048988904635934</v>
      </c>
      <c r="F41" s="26">
        <f>[1]节奏总纲!R38</f>
        <v>7.4547485030661838</v>
      </c>
      <c r="G41" s="26">
        <f>[1]节奏总纲!S38</f>
        <v>5.5405242056546129</v>
      </c>
      <c r="H41" s="26">
        <f>[1]节奏总纲!T38</f>
        <v>3.1106144832938032</v>
      </c>
      <c r="K41" s="26">
        <v>35</v>
      </c>
      <c r="L41" s="26">
        <f>[1]节奏总纲!AD38</f>
        <v>51.691928656135211</v>
      </c>
      <c r="M41" s="26">
        <f>[1]节奏总纲!AE38</f>
        <v>53.623906555539456</v>
      </c>
      <c r="N41" s="26">
        <f>[1]节奏总纲!AF38</f>
        <v>56.457855949816349</v>
      </c>
      <c r="O41" s="26">
        <f>[1]节奏总纲!AG38</f>
        <v>60.905042823044738</v>
      </c>
      <c r="P41" s="26">
        <f>[1]节奏总纲!AH38</f>
        <v>69.385288338144662</v>
      </c>
      <c r="S41" s="26">
        <v>35</v>
      </c>
      <c r="T41" s="26">
        <f>[2]各R部队能量汇总!E41</f>
        <v>100237312</v>
      </c>
      <c r="U41" s="26">
        <f>[2]各R部队能量汇总!F41</f>
        <v>105532027</v>
      </c>
      <c r="V41" s="26">
        <f>[2]各R部队能量汇总!G41</f>
        <v>121785691</v>
      </c>
      <c r="W41" s="26">
        <f>[2]各R部队能量汇总!H41</f>
        <v>143395917</v>
      </c>
      <c r="X41" s="26">
        <f>[2]各R部队能量汇总!I41</f>
        <v>157474459</v>
      </c>
      <c r="AA41" s="27">
        <v>35</v>
      </c>
      <c r="AB41" s="28">
        <f>[2]各R部队能量汇总!K41</f>
        <v>1</v>
      </c>
      <c r="AC41" s="28">
        <f>[2]各R部队能量汇总!L41</f>
        <v>1.0528217975358318</v>
      </c>
      <c r="AD41" s="28">
        <f>[2]各R部队能量汇总!M41</f>
        <v>1.2149736317749622</v>
      </c>
      <c r="AE41" s="28">
        <f>[2]各R部队能量汇总!N41</f>
        <v>1.4305642693211884</v>
      </c>
      <c r="AF41" s="28">
        <f>[2]各R部队能量汇总!O41</f>
        <v>1.5710163796092218</v>
      </c>
      <c r="AI41" s="27">
        <v>35</v>
      </c>
      <c r="AJ41" s="28">
        <f>[1]服务器生态!W56</f>
        <v>403.19607413793119</v>
      </c>
      <c r="AK41" s="28">
        <f>[1]服务器生态!X56</f>
        <v>321.43459342620673</v>
      </c>
      <c r="AL41" s="28">
        <f>[1]服务器生态!Y56</f>
        <v>28.381691056551727</v>
      </c>
      <c r="AM41" s="28">
        <f>[1]服务器生态!Z56</f>
        <v>4.4795034482758638</v>
      </c>
      <c r="AN41" s="28">
        <f>[1]服务器生态!AA56</f>
        <v>1.1288275862068964</v>
      </c>
      <c r="AQ41" s="26">
        <v>35</v>
      </c>
      <c r="AR41" s="29">
        <f>[2]非r将兵属性验证!M41</f>
        <v>122.20429886200819</v>
      </c>
      <c r="AS41" s="29">
        <f>[2]小r将兵属性验证!M41</f>
        <v>123.9316302897588</v>
      </c>
      <c r="AT41" s="29">
        <f>[2]中r将兵属性验证!M41</f>
        <v>127.01377108802822</v>
      </c>
      <c r="AU41" s="29">
        <f>[2]大r将兵属性验证!M41</f>
        <v>133.21757986932766</v>
      </c>
      <c r="AV41" s="29">
        <f>[2]超r将兵属性验证!M41</f>
        <v>134.76138965931335</v>
      </c>
    </row>
    <row r="42" spans="2:48" x14ac:dyDescent="0.2">
      <c r="B42" s="26">
        <f>[1]节奏总纲!N39</f>
        <v>46</v>
      </c>
      <c r="C42" s="26">
        <v>36</v>
      </c>
      <c r="D42" s="26">
        <f>[1]节奏总纲!P39</f>
        <v>11.125732532083184</v>
      </c>
      <c r="E42" s="26">
        <f>[1]节奏总纲!Q39</f>
        <v>9.7261153795471191</v>
      </c>
      <c r="F42" s="26">
        <f>[1]节奏总纲!R39</f>
        <v>8.0405669009365166</v>
      </c>
      <c r="G42" s="26">
        <f>[1]节奏总纲!S39</f>
        <v>5.9700680767158358</v>
      </c>
      <c r="H42" s="26">
        <f>[1]节奏总纲!T39</f>
        <v>3.3388323328781633</v>
      </c>
      <c r="K42" s="26">
        <v>36</v>
      </c>
      <c r="L42" s="26">
        <f>[1]节奏总纲!AD39</f>
        <v>52.091594979242075</v>
      </c>
      <c r="M42" s="26">
        <f>[1]节奏总纲!AE39</f>
        <v>54.020289560649204</v>
      </c>
      <c r="N42" s="26">
        <f>[1]节奏总纲!AF39</f>
        <v>56.869815618584624</v>
      </c>
      <c r="O42" s="26">
        <f>[1]节奏总纲!AG39</f>
        <v>61.294362422865476</v>
      </c>
      <c r="P42" s="26">
        <f>[1]节奏总纲!AH39</f>
        <v>69.795150761037945</v>
      </c>
      <c r="S42" s="26">
        <v>36</v>
      </c>
      <c r="T42" s="26">
        <f>[2]各R部队能量汇总!E42</f>
        <v>109845418</v>
      </c>
      <c r="U42" s="26">
        <f>[2]各R部队能量汇总!F42</f>
        <v>115848128</v>
      </c>
      <c r="V42" s="26">
        <f>[2]各R部队能量汇总!G42</f>
        <v>133613329</v>
      </c>
      <c r="W42" s="26">
        <f>[2]各R部队能量汇总!H42</f>
        <v>157964374</v>
      </c>
      <c r="X42" s="26">
        <f>[2]各R部队能量汇总!I42</f>
        <v>172620795</v>
      </c>
      <c r="AA42" s="27">
        <v>36</v>
      </c>
      <c r="AB42" s="28">
        <f>[2]各R部队能量汇总!K42</f>
        <v>1</v>
      </c>
      <c r="AC42" s="28">
        <f>[2]各R部队能量汇总!L42</f>
        <v>1.0546468856807483</v>
      </c>
      <c r="AD42" s="28">
        <f>[2]各R部队能量汇总!M42</f>
        <v>1.2163759893926573</v>
      </c>
      <c r="AE42" s="28">
        <f>[2]各R部队能量汇总!N42</f>
        <v>1.4380606572046546</v>
      </c>
      <c r="AF42" s="28">
        <f>[2]各R部队能量汇总!O42</f>
        <v>1.5714883528414449</v>
      </c>
      <c r="AI42" s="27">
        <v>36</v>
      </c>
      <c r="AJ42" s="28">
        <f>[1]服务器生态!W57</f>
        <v>396.90127797178707</v>
      </c>
      <c r="AK42" s="28">
        <f>[1]服务器生态!X57</f>
        <v>317.80779113011653</v>
      </c>
      <c r="AL42" s="28">
        <f>[1]服务器生态!Y57</f>
        <v>28.013269104993107</v>
      </c>
      <c r="AM42" s="28">
        <f>[1]服务器生态!Z57</f>
        <v>4.432905931034484</v>
      </c>
      <c r="AN42" s="28">
        <f>[1]服务器生态!AA57</f>
        <v>1.1206179310344826</v>
      </c>
      <c r="AQ42" s="26">
        <v>36</v>
      </c>
      <c r="AR42" s="29">
        <f>[2]非r将兵属性验证!M42</f>
        <v>124.05743246372948</v>
      </c>
      <c r="AS42" s="29">
        <f>[2]小r将兵属性验证!M42</f>
        <v>125.85333725686364</v>
      </c>
      <c r="AT42" s="29">
        <f>[2]中r将兵属性验证!M42</f>
        <v>129.10149455960797</v>
      </c>
      <c r="AU42" s="29">
        <f>[2]大r将兵属性验证!M42</f>
        <v>135.63531287419133</v>
      </c>
      <c r="AV42" s="29">
        <f>[2]超r将兵属性验证!M42</f>
        <v>136.99950993184052</v>
      </c>
    </row>
    <row r="43" spans="2:48" x14ac:dyDescent="0.2">
      <c r="B43" s="26">
        <f>[1]节奏总纲!N40</f>
        <v>47</v>
      </c>
      <c r="C43" s="26">
        <v>37</v>
      </c>
      <c r="D43" s="26">
        <f>[1]节奏总纲!P40</f>
        <v>11.996038341699768</v>
      </c>
      <c r="E43" s="26">
        <f>[1]节奏总纲!Q40</f>
        <v>10.483337906811427</v>
      </c>
      <c r="F43" s="26">
        <f>[1]节奏总纲!R40</f>
        <v>8.6671377018780831</v>
      </c>
      <c r="G43" s="26">
        <f>[1]节奏总纲!S40</f>
        <v>6.4166809089752066</v>
      </c>
      <c r="H43" s="26">
        <f>[1]节奏总纲!T40</f>
        <v>3.6000111063441</v>
      </c>
      <c r="K43" s="26">
        <v>37</v>
      </c>
      <c r="L43" s="26">
        <f>[1]节奏总纲!AD40</f>
        <v>52.470630686057078</v>
      </c>
      <c r="M43" s="26">
        <f>[1]节奏总纲!AE40</f>
        <v>54.407116521581436</v>
      </c>
      <c r="N43" s="26">
        <f>[1]节奏总纲!AF40</f>
        <v>57.263329041432932</v>
      </c>
      <c r="O43" s="26">
        <f>[1]节奏总纲!AG40</f>
        <v>61.676518787205197</v>
      </c>
      <c r="P43" s="26">
        <f>[1]节奏总纲!AH40</f>
        <v>70.190427169053478</v>
      </c>
      <c r="S43" s="26">
        <v>37</v>
      </c>
      <c r="T43" s="26">
        <f>[2]各R部队能量汇总!E43</f>
        <v>120260103</v>
      </c>
      <c r="U43" s="26">
        <f>[2]各R部队能量汇总!F43</f>
        <v>126801809</v>
      </c>
      <c r="V43" s="26">
        <f>[2]各R部队能量汇总!G43</f>
        <v>146543489</v>
      </c>
      <c r="W43" s="26">
        <f>[2]各R部队能量汇总!H43</f>
        <v>173289033</v>
      </c>
      <c r="X43" s="26">
        <f>[2]各R部队能量汇总!I43</f>
        <v>189465777</v>
      </c>
      <c r="AA43" s="27">
        <v>37</v>
      </c>
      <c r="AB43" s="28">
        <f>[2]各R部队能量汇总!K43</f>
        <v>1</v>
      </c>
      <c r="AC43" s="28">
        <f>[2]各R部队能量汇总!L43</f>
        <v>1.0543963113020118</v>
      </c>
      <c r="AD43" s="28">
        <f>[2]各R部队能量汇总!M43</f>
        <v>1.2185544943363302</v>
      </c>
      <c r="AE43" s="28">
        <f>[2]各R部队能量汇总!N43</f>
        <v>1.4409519755691544</v>
      </c>
      <c r="AF43" s="28">
        <f>[2]各R部队能量汇总!O43</f>
        <v>1.5754666117324048</v>
      </c>
      <c r="AI43" s="27">
        <v>37</v>
      </c>
      <c r="AJ43" s="28">
        <f>[1]服务器生态!W58</f>
        <v>390.62850948902832</v>
      </c>
      <c r="AK43" s="28">
        <f>[1]服务器生态!X58</f>
        <v>314.16007463941304</v>
      </c>
      <c r="AL43" s="28">
        <f>[1]服务器生态!Y58</f>
        <v>27.644332837075861</v>
      </c>
      <c r="AM43" s="28">
        <f>[1]服务器生态!Z58</f>
        <v>4.3859078620689669</v>
      </c>
      <c r="AN43" s="28">
        <f>[1]服务器生态!AA58</f>
        <v>1.1122096551724137</v>
      </c>
      <c r="AQ43" s="26">
        <v>37</v>
      </c>
      <c r="AR43" s="29">
        <f>[2]非r将兵属性验证!M43</f>
        <v>125.91056606545079</v>
      </c>
      <c r="AS43" s="29">
        <f>[2]小r将兵属性验证!M43</f>
        <v>127.75635735528161</v>
      </c>
      <c r="AT43" s="29">
        <f>[2]中r将兵属性验证!M43</f>
        <v>131.1514629291469</v>
      </c>
      <c r="AU43" s="29">
        <f>[2]大r将兵属性验证!M43</f>
        <v>138.00716959039522</v>
      </c>
      <c r="AV43" s="29">
        <f>[2]超r将兵属性验证!M43</f>
        <v>139.33366993167931</v>
      </c>
    </row>
    <row r="44" spans="2:48" x14ac:dyDescent="0.2">
      <c r="B44" s="26">
        <f>[1]节奏总纲!N41</f>
        <v>48</v>
      </c>
      <c r="C44" s="26">
        <v>38</v>
      </c>
      <c r="D44" s="26">
        <f>[1]节奏总纲!P41</f>
        <v>12.928809012737984</v>
      </c>
      <c r="E44" s="26">
        <f>[1]节奏总纲!Q41</f>
        <v>11.292021791725356</v>
      </c>
      <c r="F44" s="26">
        <f>[1]节奏总纲!R41</f>
        <v>9.3190855363815395</v>
      </c>
      <c r="G44" s="26">
        <f>[1]节奏总纲!S41</f>
        <v>6.8962267273944402</v>
      </c>
      <c r="H44" s="26">
        <f>[1]节奏总纲!T41</f>
        <v>3.8708854184137524</v>
      </c>
      <c r="K44" s="26">
        <v>38</v>
      </c>
      <c r="L44" s="26">
        <f>[1]节奏总纲!AD41</f>
        <v>52.849666392872081</v>
      </c>
      <c r="M44" s="26">
        <f>[1]节奏总纲!AE41</f>
        <v>54.793943482513676</v>
      </c>
      <c r="N44" s="26">
        <f>[1]节奏总纲!AF41</f>
        <v>57.64832002380362</v>
      </c>
      <c r="O44" s="26">
        <f>[1]节奏总纲!AG41</f>
        <v>62.054222259937362</v>
      </c>
      <c r="P44" s="26">
        <f>[1]节奏总纲!AH41</f>
        <v>70.571129226337533</v>
      </c>
      <c r="S44" s="26">
        <v>38</v>
      </c>
      <c r="T44" s="26">
        <f>[2]各R部队能量汇总!E44</f>
        <v>131362659</v>
      </c>
      <c r="U44" s="26">
        <f>[2]各R部队能量汇总!F44</f>
        <v>138622067</v>
      </c>
      <c r="V44" s="26">
        <f>[2]各R部队能量汇总!G44</f>
        <v>160217436</v>
      </c>
      <c r="W44" s="26">
        <f>[2]各R部队能量汇总!H44</f>
        <v>190145908</v>
      </c>
      <c r="X44" s="26">
        <f>[2]各R部队能量汇总!I44</f>
        <v>207805272</v>
      </c>
      <c r="AA44" s="27">
        <v>38</v>
      </c>
      <c r="AB44" s="28">
        <f>[2]各R部队能量汇总!K44</f>
        <v>1</v>
      </c>
      <c r="AC44" s="28">
        <f>[2]各R部队能量汇总!L44</f>
        <v>1.0552623405712274</v>
      </c>
      <c r="AD44" s="28">
        <f>[2]各R部队能量汇总!M44</f>
        <v>1.2196573761497931</v>
      </c>
      <c r="AE44" s="28">
        <f>[2]各R部队能量汇总!N44</f>
        <v>1.447488269859093</v>
      </c>
      <c r="AF44" s="28">
        <f>[2]各R部队能量汇总!O44</f>
        <v>1.5819204146895351</v>
      </c>
      <c r="AI44" s="27">
        <v>38</v>
      </c>
      <c r="AJ44" s="28">
        <f>[1]服务器生态!W59</f>
        <v>384.37776868965534</v>
      </c>
      <c r="AK44" s="28">
        <f>[1]服务器生态!X59</f>
        <v>310.49144395409644</v>
      </c>
      <c r="AL44" s="28">
        <f>[1]服务器生态!Y59</f>
        <v>27.274882252800001</v>
      </c>
      <c r="AM44" s="28">
        <f>[1]服务器生态!Z59</f>
        <v>4.3385092413793123</v>
      </c>
      <c r="AN44" s="28">
        <f>[1]服务器生态!AA59</f>
        <v>1.1036027586206896</v>
      </c>
      <c r="AQ44" s="26">
        <v>38</v>
      </c>
      <c r="AR44" s="29">
        <f>[2]非r将兵属性验证!M44</f>
        <v>127.71369966717209</v>
      </c>
      <c r="AS44" s="29">
        <f>[2]小r将兵属性验证!M44</f>
        <v>129.62755927188141</v>
      </c>
      <c r="AT44" s="29">
        <f>[2]中r将兵属性验证!M44</f>
        <v>133.18816599256337</v>
      </c>
      <c r="AU44" s="29">
        <f>[2]大r将兵属性验证!M44</f>
        <v>140.37902630659909</v>
      </c>
      <c r="AV44" s="29">
        <f>[2]超r将兵属性验证!M44</f>
        <v>141.76178651886374</v>
      </c>
    </row>
    <row r="45" spans="2:48" x14ac:dyDescent="0.2">
      <c r="B45" s="26">
        <f>[1]节奏总纲!N42</f>
        <v>49</v>
      </c>
      <c r="C45" s="26">
        <v>39</v>
      </c>
      <c r="D45" s="26">
        <f>[1]节奏总纲!P42</f>
        <v>13.928527864588917</v>
      </c>
      <c r="E45" s="26">
        <f>[1]节奏总纲!Q42</f>
        <v>12.147069150707994</v>
      </c>
      <c r="F45" s="26">
        <f>[1]节奏总纲!R42</f>
        <v>10.016004387425889</v>
      </c>
      <c r="G45" s="26">
        <f>[1]节奏总纲!S42</f>
        <v>7.4197267934665154</v>
      </c>
      <c r="H45" s="26">
        <f>[1]节奏总纲!T42</f>
        <v>4.1702012426579218</v>
      </c>
      <c r="K45" s="26">
        <v>39</v>
      </c>
      <c r="L45" s="26">
        <f>[1]节奏总纲!AD42</f>
        <v>53.213386604241784</v>
      </c>
      <c r="M45" s="26">
        <f>[1]节奏总纲!AE42</f>
        <v>55.170390866416149</v>
      </c>
      <c r="N45" s="26">
        <f>[1]节奏总纲!AF42</f>
        <v>58.030740707238266</v>
      </c>
      <c r="O45" s="26">
        <f>[1]节奏总纲!AG42</f>
        <v>62.407376554018477</v>
      </c>
      <c r="P45" s="26">
        <f>[1]节奏总纲!AH42</f>
        <v>70.951831283621587</v>
      </c>
      <c r="S45" s="26">
        <v>39</v>
      </c>
      <c r="T45" s="26">
        <f>[2]各R部队能量汇总!E45</f>
        <v>143332113</v>
      </c>
      <c r="U45" s="26">
        <f>[2]各R部队能量汇总!F45</f>
        <v>151253065</v>
      </c>
      <c r="V45" s="26">
        <f>[2]各R部队能量汇总!G45</f>
        <v>175089203</v>
      </c>
      <c r="W45" s="26">
        <f>[2]各R部队能量汇总!H45</f>
        <v>208691690</v>
      </c>
      <c r="X45" s="26">
        <f>[2]各R部队能量汇总!I45</f>
        <v>227920441</v>
      </c>
      <c r="AA45" s="27">
        <v>39</v>
      </c>
      <c r="AB45" s="28">
        <f>[2]各R部队能量汇总!K45</f>
        <v>1</v>
      </c>
      <c r="AC45" s="28">
        <f>[2]各R部队能量汇总!L45</f>
        <v>1.0552629263199378</v>
      </c>
      <c r="AD45" s="28">
        <f>[2]各R部队能量汇总!M45</f>
        <v>1.2215629794001572</v>
      </c>
      <c r="AE45" s="28">
        <f>[2]各R部队能量汇总!N45</f>
        <v>1.4560009312079283</v>
      </c>
      <c r="AF45" s="28">
        <f>[2]各R部队能量汇总!O45</f>
        <v>1.5901561501434085</v>
      </c>
      <c r="AI45" s="27">
        <v>39</v>
      </c>
      <c r="AJ45" s="28">
        <f>[1]服务器生态!W60</f>
        <v>378.14905557366779</v>
      </c>
      <c r="AK45" s="28">
        <f>[1]服务器生态!X60</f>
        <v>306.80189907416661</v>
      </c>
      <c r="AL45" s="28">
        <f>[1]服务器生态!Y60</f>
        <v>26.904917352165516</v>
      </c>
      <c r="AM45" s="28">
        <f>[1]服务器生态!Z60</f>
        <v>4.2907100689655175</v>
      </c>
      <c r="AN45" s="28">
        <f>[1]服务器生态!AA60</f>
        <v>1.0947972413793101</v>
      </c>
      <c r="AQ45" s="26">
        <v>39</v>
      </c>
      <c r="AR45" s="29">
        <f>[2]非r将兵属性验证!M45</f>
        <v>129.51683326889344</v>
      </c>
      <c r="AS45" s="29">
        <f>[2]小r将兵属性验证!M45</f>
        <v>131.49876118848118</v>
      </c>
      <c r="AT45" s="29">
        <f>[2]中r将兵属性验证!M45</f>
        <v>135.22486905597984</v>
      </c>
      <c r="AU45" s="29">
        <f>[2]大r将兵属性验证!M45</f>
        <v>142.93970032125276</v>
      </c>
      <c r="AV45" s="29">
        <f>[2]超r将兵属性验证!M45</f>
        <v>144.18971365366446</v>
      </c>
    </row>
    <row r="46" spans="2:48" x14ac:dyDescent="0.2">
      <c r="B46" s="26">
        <f>[1]节奏总纲!N43</f>
        <v>50</v>
      </c>
      <c r="C46" s="26">
        <v>40</v>
      </c>
      <c r="D46" s="26">
        <f>[1]节奏总纲!P43</f>
        <v>15</v>
      </c>
      <c r="E46" s="26">
        <f>[1]节奏总纲!Q43</f>
        <v>13.059000000000001</v>
      </c>
      <c r="F46" s="26">
        <f>[1]节奏总纲!R43</f>
        <v>10.782</v>
      </c>
      <c r="G46" s="26">
        <f>[1]节奏总纲!S43</f>
        <v>8.0009999999999994</v>
      </c>
      <c r="H46" s="26">
        <f>[1]节奏总纲!T43</f>
        <v>4.5</v>
      </c>
      <c r="K46" s="26">
        <v>40</v>
      </c>
      <c r="L46" s="26">
        <f>[1]节奏总纲!AD43</f>
        <v>53.567039423670657</v>
      </c>
      <c r="M46" s="26">
        <f>[1]节奏总纲!AE43</f>
        <v>55.535006783542492</v>
      </c>
      <c r="N46" s="26">
        <f>[1]节奏总纲!AF43</f>
        <v>58.38602553461638</v>
      </c>
      <c r="O46" s="26">
        <f>[1]节奏总纲!AG43</f>
        <v>62.760530848099599</v>
      </c>
      <c r="P46" s="26">
        <f>[1]节奏总纲!AH43</f>
        <v>71.315281959371688</v>
      </c>
      <c r="S46" s="26">
        <v>40</v>
      </c>
      <c r="T46" s="26">
        <f>[2]各R部队能量汇总!E46</f>
        <v>156288740</v>
      </c>
      <c r="U46" s="26">
        <f>[2]各R部队能量汇总!F46</f>
        <v>164911674</v>
      </c>
      <c r="V46" s="26">
        <f>[2]各R部队能量汇总!G46</f>
        <v>191726452</v>
      </c>
      <c r="W46" s="26">
        <f>[2]各R部队能量汇总!H46</f>
        <v>228807208</v>
      </c>
      <c r="X46" s="26">
        <f>[2]各R部队能量汇总!I46</f>
        <v>249720924</v>
      </c>
      <c r="AA46" s="27">
        <v>40</v>
      </c>
      <c r="AB46" s="28">
        <f>[2]各R部队能量汇总!K46</f>
        <v>1</v>
      </c>
      <c r="AC46" s="28">
        <f>[2]各R部队能量汇总!L46</f>
        <v>1.0551730982027241</v>
      </c>
      <c r="AD46" s="28">
        <f>[2]各R部队能量汇总!M46</f>
        <v>1.2267451385173365</v>
      </c>
      <c r="AE46" s="28">
        <f>[2]各R部队能量汇总!N46</f>
        <v>1.4640031521144774</v>
      </c>
      <c r="AF46" s="28">
        <f>[2]各R部队能量汇总!O46</f>
        <v>1.5978177570565864</v>
      </c>
      <c r="AI46" s="27">
        <v>40</v>
      </c>
      <c r="AJ46" s="28">
        <f>[1]服务器生态!W61</f>
        <v>371.94237014106602</v>
      </c>
      <c r="AK46" s="28">
        <f>[1]服务器生态!X61</f>
        <v>303.09143999962367</v>
      </c>
      <c r="AL46" s="28">
        <f>[1]服务器生态!Y61</f>
        <v>26.534438135172415</v>
      </c>
      <c r="AM46" s="28">
        <f>[1]服务器生态!Z61</f>
        <v>4.2425103448275872</v>
      </c>
      <c r="AN46" s="28">
        <f>[1]服务器生态!AA61</f>
        <v>1.0857931034482757</v>
      </c>
      <c r="AQ46" s="26">
        <v>40</v>
      </c>
      <c r="AR46" s="29">
        <f>[2]非r将兵属性验证!M46</f>
        <v>131.31996687061473</v>
      </c>
      <c r="AS46" s="29">
        <f>[2]小r将兵属性验证!M46</f>
        <v>133.42135153926554</v>
      </c>
      <c r="AT46" s="29">
        <f>[2]中r将兵属性验证!M46</f>
        <v>137.44539337371737</v>
      </c>
      <c r="AU46" s="29">
        <f>[2]大r将兵属性验证!M46</f>
        <v>145.37310296685268</v>
      </c>
      <c r="AV46" s="29">
        <f>[2]超r将兵属性验证!M46</f>
        <v>146.61306694375429</v>
      </c>
    </row>
    <row r="47" spans="2:48" x14ac:dyDescent="0.2">
      <c r="B47" s="26">
        <f>[1]节奏总纲!N44</f>
        <v>51</v>
      </c>
      <c r="C47" s="26">
        <v>41</v>
      </c>
      <c r="D47" s="26">
        <f>[1]节奏总纲!P44</f>
        <v>16.148375400580683</v>
      </c>
      <c r="E47" s="26">
        <f>[1]节奏总纲!Q44</f>
        <v>14.065234973905774</v>
      </c>
      <c r="F47" s="26">
        <f>[1]节奏总纲!R44</f>
        <v>11.621985775797917</v>
      </c>
      <c r="G47" s="26">
        <f>[1]节奏总纲!S44</f>
        <v>8.6296918140703163</v>
      </c>
      <c r="H47" s="26">
        <f>[1]节奏总纲!T44</f>
        <v>4.8606609955747855</v>
      </c>
      <c r="K47" s="26">
        <v>41</v>
      </c>
      <c r="L47" s="26">
        <f>[1]节奏总纲!AD44</f>
        <v>53.920692243099523</v>
      </c>
      <c r="M47" s="26">
        <f>[1]节奏总纲!AE44</f>
        <v>55.899622700668843</v>
      </c>
      <c r="N47" s="26">
        <f>[1]节奏总纲!AF44</f>
        <v>58.741310361994486</v>
      </c>
      <c r="O47" s="26">
        <f>[1]节奏总纲!AG44</f>
        <v>63.10587219844583</v>
      </c>
      <c r="P47" s="26">
        <f>[1]节奏总纲!AH44</f>
        <v>71.676233707038421</v>
      </c>
      <c r="S47" s="26">
        <v>41</v>
      </c>
      <c r="T47" s="26">
        <f>[2]各R部队能量汇总!E47</f>
        <v>168902154</v>
      </c>
      <c r="U47" s="26">
        <f>[2]各R部队能量汇总!F47</f>
        <v>178639333</v>
      </c>
      <c r="V47" s="26">
        <f>[2]各R部队能量汇总!G47</f>
        <v>208628622</v>
      </c>
      <c r="W47" s="26">
        <f>[2]各R部队能量汇总!H47</f>
        <v>248290611</v>
      </c>
      <c r="X47" s="26">
        <f>[2]各R部队能量汇总!I47</f>
        <v>272171622</v>
      </c>
      <c r="AA47" s="27">
        <v>41</v>
      </c>
      <c r="AB47" s="28">
        <f>[2]各R部队能量汇总!K47</f>
        <v>1</v>
      </c>
      <c r="AC47" s="28">
        <f>[2]各R部队能量汇总!L47</f>
        <v>1.0576498213279151</v>
      </c>
      <c r="AD47" s="28">
        <f>[2]各R部队能量汇总!M47</f>
        <v>1.2352040341652482</v>
      </c>
      <c r="AE47" s="28">
        <f>[2]各R部队能量汇总!N47</f>
        <v>1.470026314762096</v>
      </c>
      <c r="AF47" s="28">
        <f>[2]各R部队能量汇总!O47</f>
        <v>1.6114159325641282</v>
      </c>
      <c r="AI47" s="27">
        <v>41</v>
      </c>
      <c r="AJ47" s="28">
        <f>[1]服务器生态!W62</f>
        <v>365.75771239184962</v>
      </c>
      <c r="AK47" s="28">
        <f>[1]服务器生态!X62</f>
        <v>299.36006673046751</v>
      </c>
      <c r="AL47" s="28">
        <f>[1]服务器生态!Y62</f>
        <v>26.163444601820686</v>
      </c>
      <c r="AM47" s="28">
        <f>[1]服务器生态!Z62</f>
        <v>4.1939100689655175</v>
      </c>
      <c r="AN47" s="28">
        <f>[1]服务器生态!AA62</f>
        <v>1.076590344827586</v>
      </c>
      <c r="AQ47" s="26">
        <v>41</v>
      </c>
      <c r="AR47" s="29">
        <f>[2]非r将兵属性验证!M47</f>
        <v>132.67196436023679</v>
      </c>
      <c r="AS47" s="29">
        <f>[2]小r将兵属性验证!M47</f>
        <v>134.9003724880655</v>
      </c>
      <c r="AT47" s="29">
        <f>[2]中r将兵属性验证!M47</f>
        <v>139.31625484498863</v>
      </c>
      <c r="AU47" s="29">
        <f>[2]大r将兵属性验证!M47</f>
        <v>147.18906992696739</v>
      </c>
      <c r="AV47" s="29">
        <f>[2]超r将兵属性验证!M47</f>
        <v>148.41853573092013</v>
      </c>
    </row>
    <row r="48" spans="2:48" x14ac:dyDescent="0.2">
      <c r="B48" s="26">
        <f>[1]节奏总纲!N45</f>
        <v>52</v>
      </c>
      <c r="C48" s="26">
        <v>42</v>
      </c>
      <c r="D48" s="26">
        <f>[1]节奏总纲!P45</f>
        <v>17.379173679952558</v>
      </c>
      <c r="E48" s="26">
        <f>[1]节奏总纲!Q45</f>
        <v>15.182446126806555</v>
      </c>
      <c r="F48" s="26">
        <f>[1]节奏总纲!R45</f>
        <v>12.547763396925747</v>
      </c>
      <c r="G48" s="26">
        <f>[1]节奏总纲!S45</f>
        <v>9.3221887619265527</v>
      </c>
      <c r="H48" s="26">
        <f>[1]节奏总纲!T45</f>
        <v>5.2485104513456724</v>
      </c>
      <c r="K48" s="26">
        <v>42</v>
      </c>
      <c r="L48" s="26">
        <f>[1]节奏总纲!AD45</f>
        <v>54.255972994404218</v>
      </c>
      <c r="M48" s="26">
        <f>[1]节奏总纲!AE45</f>
        <v>56.238779717153008</v>
      </c>
      <c r="N48" s="26">
        <f>[1]节奏总纲!AF45</f>
        <v>59.09095196730258</v>
      </c>
      <c r="O48" s="26">
        <f>[1]节奏总纲!AG45</f>
        <v>63.434756173851497</v>
      </c>
      <c r="P48" s="26">
        <f>[1]节奏总纲!AH45</f>
        <v>72.034562459436771</v>
      </c>
      <c r="S48" s="26">
        <v>42</v>
      </c>
      <c r="T48" s="26">
        <f>[2]各R部队能量汇总!E48</f>
        <v>182691122</v>
      </c>
      <c r="U48" s="26">
        <f>[2]各R部队能量汇总!F48</f>
        <v>193670753</v>
      </c>
      <c r="V48" s="26">
        <f>[2]各R部队能量汇总!G48</f>
        <v>226894251</v>
      </c>
      <c r="W48" s="26">
        <f>[2]各R部队能量汇总!H48</f>
        <v>269978286</v>
      </c>
      <c r="X48" s="26">
        <f>[2]各R部队能量汇总!I48</f>
        <v>295933273</v>
      </c>
      <c r="AA48" s="27">
        <v>42</v>
      </c>
      <c r="AB48" s="28">
        <f>[2]各R部队能量汇总!K48</f>
        <v>1</v>
      </c>
      <c r="AC48" s="28">
        <f>[2]各R部队能量汇总!L48</f>
        <v>1.0600994228936862</v>
      </c>
      <c r="AD48" s="28">
        <f>[2]各R部队能量汇总!M48</f>
        <v>1.2419555395800788</v>
      </c>
      <c r="AE48" s="28">
        <f>[2]各R部队能量汇总!N48</f>
        <v>1.4777854722464292</v>
      </c>
      <c r="AF48" s="28">
        <f>[2]各R部队能量汇总!O48</f>
        <v>1.6198557968241063</v>
      </c>
      <c r="AI48" s="27">
        <v>42</v>
      </c>
      <c r="AJ48" s="28">
        <f>[1]服务器生态!W63</f>
        <v>359.595082326019</v>
      </c>
      <c r="AK48" s="28">
        <f>[1]服务器生态!X63</f>
        <v>295.60777926669829</v>
      </c>
      <c r="AL48" s="28">
        <f>[1]服务器生态!Y63</f>
        <v>25.791936752110349</v>
      </c>
      <c r="AM48" s="28">
        <f>[1]服务器生态!Z63</f>
        <v>4.1449092413793123</v>
      </c>
      <c r="AN48" s="28">
        <f>[1]服务器生态!AA63</f>
        <v>1.0671889655172413</v>
      </c>
      <c r="AQ48" s="26">
        <v>42</v>
      </c>
      <c r="AR48" s="29">
        <f>[2]非r将兵属性验证!M48</f>
        <v>134.03443108410255</v>
      </c>
      <c r="AS48" s="29">
        <f>[2]小r将兵属性验证!M48</f>
        <v>136.52256670674046</v>
      </c>
      <c r="AT48" s="29">
        <f>[2]中r将兵属性验证!M48</f>
        <v>141.15854488768846</v>
      </c>
      <c r="AU48" s="29">
        <f>[2]大r将兵属性验证!M48</f>
        <v>148.97960733381748</v>
      </c>
      <c r="AV48" s="29">
        <f>[2]超r将兵属性验证!M48</f>
        <v>150.22400451808596</v>
      </c>
    </row>
    <row r="49" spans="2:48" x14ac:dyDescent="0.2">
      <c r="B49" s="26">
        <f>[1]节奏总纲!N46</f>
        <v>53</v>
      </c>
      <c r="C49" s="26">
        <v>43</v>
      </c>
      <c r="D49" s="26">
        <f>[1]节奏总纲!P46</f>
        <v>18.698310613518661</v>
      </c>
      <c r="E49" s="26">
        <f>[1]节奏总纲!Q46</f>
        <v>16.338583814092605</v>
      </c>
      <c r="F49" s="26">
        <f>[1]节奏总纲!R46</f>
        <v>13.509529418267233</v>
      </c>
      <c r="G49" s="26">
        <f>[1]节奏总纲!S46</f>
        <v>10.020424657784652</v>
      </c>
      <c r="H49" s="26">
        <f>[1]节奏总纲!T46</f>
        <v>5.6394104810372276</v>
      </c>
      <c r="K49" s="26">
        <v>43</v>
      </c>
      <c r="L49" s="26">
        <f>[1]节奏总纲!AD46</f>
        <v>54.585942742481357</v>
      </c>
      <c r="M49" s="26">
        <f>[1]节奏总纲!AE46</f>
        <v>56.568265567054013</v>
      </c>
      <c r="N49" s="26">
        <f>[1]节奏总纲!AF46</f>
        <v>59.425480572843689</v>
      </c>
      <c r="O49" s="26">
        <f>[1]节奏总纲!AG46</f>
        <v>63.763640149257171</v>
      </c>
      <c r="P49" s="26">
        <f>[1]节奏总纲!AH46</f>
        <v>72.370053318329937</v>
      </c>
      <c r="S49" s="26">
        <v>43</v>
      </c>
      <c r="T49" s="26">
        <f>[2]各R部队能量汇总!E49</f>
        <v>197643269</v>
      </c>
      <c r="U49" s="26">
        <f>[2]各R部队能量汇总!F49</f>
        <v>209871656</v>
      </c>
      <c r="V49" s="26">
        <f>[2]各R部队能量汇总!G49</f>
        <v>246272361</v>
      </c>
      <c r="W49" s="26">
        <f>[2]各R部队能量汇总!H49</f>
        <v>293223582</v>
      </c>
      <c r="X49" s="26">
        <f>[2]各R部队能量汇总!I49</f>
        <v>321939510</v>
      </c>
      <c r="AA49" s="27">
        <v>43</v>
      </c>
      <c r="AB49" s="28">
        <f>[2]各R部队能量汇总!K49</f>
        <v>1</v>
      </c>
      <c r="AC49" s="28">
        <f>[2]各R部队能量汇总!L49</f>
        <v>1.061871001536612</v>
      </c>
      <c r="AD49" s="28">
        <f>[2]各R部队能量汇总!M49</f>
        <v>1.2460447666446965</v>
      </c>
      <c r="AE49" s="28">
        <f>[2]各R部队能量汇总!N49</f>
        <v>1.4836001422340368</v>
      </c>
      <c r="AF49" s="28">
        <f>[2]各R部队能量汇总!O49</f>
        <v>1.6288918495878553</v>
      </c>
      <c r="AI49" s="27">
        <v>43</v>
      </c>
      <c r="AJ49" s="28">
        <f>[1]服务器生态!W64</f>
        <v>353.45447994357386</v>
      </c>
      <c r="AK49" s="28">
        <f>[1]服务器生态!X64</f>
        <v>291.8345776083159</v>
      </c>
      <c r="AL49" s="28">
        <f>[1]服务器生态!Y64</f>
        <v>25.419914586041383</v>
      </c>
      <c r="AM49" s="28">
        <f>[1]服务器生态!Z64</f>
        <v>4.0955078620689669</v>
      </c>
      <c r="AN49" s="28">
        <f>[1]服务器生态!AA64</f>
        <v>1.0575889655172415</v>
      </c>
      <c r="AQ49" s="26">
        <v>43</v>
      </c>
      <c r="AR49" s="29">
        <f>[2]非r将兵属性验证!M49</f>
        <v>135.55137250014039</v>
      </c>
      <c r="AS49" s="29">
        <f>[2]小r将兵属性验证!M49</f>
        <v>138.12523230588687</v>
      </c>
      <c r="AT49" s="29">
        <f>[2]中r将兵属性验证!M49</f>
        <v>142.99539275351754</v>
      </c>
      <c r="AU49" s="29">
        <f>[2]大r将兵属性验证!M49</f>
        <v>150.7734718941434</v>
      </c>
      <c r="AV49" s="29">
        <f>[2]超r将兵属性验证!M49</f>
        <v>152.07215583247921</v>
      </c>
    </row>
    <row r="50" spans="2:48" x14ac:dyDescent="0.2">
      <c r="B50" s="26">
        <f>[1]节奏总纲!N47</f>
        <v>54</v>
      </c>
      <c r="C50" s="26">
        <v>44</v>
      </c>
      <c r="D50" s="26">
        <f>[1]节奏总纲!P47</f>
        <v>20.112126572366307</v>
      </c>
      <c r="E50" s="26">
        <f>[1]节奏总纲!Q47</f>
        <v>17.573976198933678</v>
      </c>
      <c r="F50" s="26">
        <f>[1]节奏总纲!R47</f>
        <v>14.520955385248474</v>
      </c>
      <c r="G50" s="26">
        <f>[1]节奏总纲!S47</f>
        <v>10.768032566844921</v>
      </c>
      <c r="H50" s="26">
        <f>[1]节奏总纲!T47</f>
        <v>6.0537500982822579</v>
      </c>
      <c r="K50" s="26">
        <v>44</v>
      </c>
      <c r="L50" s="26">
        <f>[1]节奏总纲!AD47</f>
        <v>54.915912490558505</v>
      </c>
      <c r="M50" s="26">
        <f>[1]节奏总纲!AE47</f>
        <v>56.897751416955018</v>
      </c>
      <c r="N50" s="26">
        <f>[1]节奏总纲!AF47</f>
        <v>59.760009178384806</v>
      </c>
      <c r="O50" s="26">
        <f>[1]节奏总纲!AG47</f>
        <v>64.08760696397195</v>
      </c>
      <c r="P50" s="26">
        <f>[1]节奏总纲!AH47</f>
        <v>72.705544177223089</v>
      </c>
      <c r="S50" s="26">
        <v>44</v>
      </c>
      <c r="T50" s="26">
        <f>[2]各R部队能量汇总!E50</f>
        <v>213980041</v>
      </c>
      <c r="U50" s="26">
        <f>[2]各R部队能量汇总!F50</f>
        <v>227100260</v>
      </c>
      <c r="V50" s="26">
        <f>[2]各R部队能量汇总!G50</f>
        <v>267609752</v>
      </c>
      <c r="W50" s="26">
        <f>[2]各R部队能量汇总!H50</f>
        <v>318981489</v>
      </c>
      <c r="X50" s="26">
        <f>[2]各R部队能量汇总!I50</f>
        <v>349716832</v>
      </c>
      <c r="AA50" s="27">
        <v>44</v>
      </c>
      <c r="AB50" s="28">
        <f>[2]各R部队能量汇总!K50</f>
        <v>1</v>
      </c>
      <c r="AC50" s="28">
        <f>[2]各R部队能量汇总!L50</f>
        <v>1.0613151532202949</v>
      </c>
      <c r="AD50" s="28">
        <f>[2]各R部队能量汇总!M50</f>
        <v>1.2506295014683169</v>
      </c>
      <c r="AE50" s="28">
        <f>[2]各R部队能量汇总!N50</f>
        <v>1.4907067383915493</v>
      </c>
      <c r="AF50" s="28">
        <f>[2]各R部队能量汇总!O50</f>
        <v>1.6343432329747054</v>
      </c>
      <c r="AI50" s="27">
        <v>44</v>
      </c>
      <c r="AJ50" s="28">
        <f>[1]服务器生态!W65</f>
        <v>347.33590524451427</v>
      </c>
      <c r="AK50" s="28">
        <f>[1]服务器生态!X65</f>
        <v>288.04046175532022</v>
      </c>
      <c r="AL50" s="28">
        <f>[1]服务器生态!Y65</f>
        <v>25.047378103613795</v>
      </c>
      <c r="AM50" s="28">
        <f>[1]服务器生态!Z65</f>
        <v>4.0457059310344841</v>
      </c>
      <c r="AN50" s="28">
        <f>[1]服务器生态!AA65</f>
        <v>1.047790344827586</v>
      </c>
      <c r="AQ50" s="26">
        <v>44</v>
      </c>
      <c r="AR50" s="29">
        <f>[2]非r将兵属性验证!M50</f>
        <v>137.07851215531866</v>
      </c>
      <c r="AS50" s="29">
        <f>[2]小r将兵属性验证!M50</f>
        <v>139.78631076053233</v>
      </c>
      <c r="AT50" s="29">
        <f>[2]中r将兵属性验证!M50</f>
        <v>144.74700265790585</v>
      </c>
      <c r="AU50" s="29">
        <f>[2]大r将兵属性验证!M50</f>
        <v>152.67775113267163</v>
      </c>
      <c r="AV50" s="29">
        <f>[2]超r将兵属性验证!M50</f>
        <v>153.99730429535069</v>
      </c>
    </row>
    <row r="51" spans="2:48" x14ac:dyDescent="0.2">
      <c r="B51" s="26">
        <f>[1]节奏总纲!N48</f>
        <v>55</v>
      </c>
      <c r="C51" s="26">
        <v>45</v>
      </c>
      <c r="D51" s="26">
        <f>[1]节奏总纲!P48</f>
        <v>21.627416997969519</v>
      </c>
      <c r="E51" s="26">
        <f>[1]节奏总纲!Q48</f>
        <v>18.900199714525563</v>
      </c>
      <c r="F51" s="26">
        <f>[1]节奏总纲!R48</f>
        <v>15.604181364035009</v>
      </c>
      <c r="G51" s="26">
        <f>[1]节奏总纲!S48</f>
        <v>11.572830835613489</v>
      </c>
      <c r="H51" s="26">
        <f>[1]节奏总纲!T48</f>
        <v>6.49903880788984</v>
      </c>
      <c r="K51" s="26">
        <v>45</v>
      </c>
      <c r="L51" s="26">
        <f>[1]节奏总纲!AD48</f>
        <v>55.229416240679981</v>
      </c>
      <c r="M51" s="26">
        <f>[1]节奏总纲!AE48</f>
        <v>57.218966664386244</v>
      </c>
      <c r="N51" s="26">
        <f>[1]节奏总纲!AF48</f>
        <v>60.086674688654931</v>
      </c>
      <c r="O51" s="26">
        <f>[1]节奏总纲!AG48</f>
        <v>64.399012521055653</v>
      </c>
      <c r="P51" s="26">
        <f>[1]节奏总纲!AH48</f>
        <v>73.037155126421851</v>
      </c>
      <c r="S51" s="26">
        <v>45</v>
      </c>
      <c r="T51" s="26">
        <f>[2]各R部队能量汇总!E51</f>
        <v>231467261</v>
      </c>
      <c r="U51" s="26">
        <f>[2]各R部队能量汇总!F51</f>
        <v>246168191</v>
      </c>
      <c r="V51" s="26">
        <f>[2]各R部队能量汇总!G51</f>
        <v>289961179</v>
      </c>
      <c r="W51" s="26">
        <f>[2]各R部队能量汇总!H51</f>
        <v>346915969</v>
      </c>
      <c r="X51" s="26">
        <f>[2]各R部队能量汇总!I51</f>
        <v>379699335</v>
      </c>
      <c r="AA51" s="27">
        <v>45</v>
      </c>
      <c r="AB51" s="28">
        <f>[2]各R部队能量汇总!K51</f>
        <v>1</v>
      </c>
      <c r="AC51" s="28">
        <f>[2]各R部队能量汇总!L51</f>
        <v>1.0635119192947118</v>
      </c>
      <c r="AD51" s="28">
        <f>[2]各R部队能量汇总!M51</f>
        <v>1.2527092503159658</v>
      </c>
      <c r="AE51" s="28">
        <f>[2]各R部队能量汇总!N51</f>
        <v>1.4987690591802527</v>
      </c>
      <c r="AF51" s="28">
        <f>[2]各R部队能量汇总!O51</f>
        <v>1.6404019011569848</v>
      </c>
      <c r="AI51" s="27">
        <v>45</v>
      </c>
      <c r="AJ51" s="28">
        <f>[1]服务器生态!W66</f>
        <v>341.23935822884027</v>
      </c>
      <c r="AK51" s="28">
        <f>[1]服务器生态!X66</f>
        <v>284.22543170771149</v>
      </c>
      <c r="AL51" s="28">
        <f>[1]服务器生态!Y66</f>
        <v>24.674327304827589</v>
      </c>
      <c r="AM51" s="28">
        <f>[1]服务器生态!Z66</f>
        <v>3.9955034482758638</v>
      </c>
      <c r="AN51" s="28">
        <f>[1]服务器生态!AA66</f>
        <v>1.0377931034482759</v>
      </c>
      <c r="AQ51" s="26">
        <v>45</v>
      </c>
      <c r="AR51" s="29">
        <f>[2]非r将兵属性验证!M51</f>
        <v>138.72404426083</v>
      </c>
      <c r="AS51" s="29">
        <f>[2]小r将兵属性验证!M51</f>
        <v>141.5147007311673</v>
      </c>
      <c r="AT51" s="29">
        <f>[2]中r将兵属性验证!M51</f>
        <v>146.41836248000811</v>
      </c>
      <c r="AU51" s="29">
        <f>[2]大r将兵属性验证!M51</f>
        <v>154.58203037119986</v>
      </c>
      <c r="AV51" s="29">
        <f>[2]超r将兵属性验证!M51</f>
        <v>155.92245275822219</v>
      </c>
    </row>
    <row r="52" spans="2:48" x14ac:dyDescent="0.2">
      <c r="B52" s="26">
        <f>[1]节奏总纲!N49</f>
        <v>56</v>
      </c>
      <c r="C52" s="26">
        <v>46</v>
      </c>
      <c r="D52" s="26">
        <f>[1]节奏总纲!P49</f>
        <v>23.251465064166357</v>
      </c>
      <c r="E52" s="26">
        <f>[1]节奏总纲!Q49</f>
        <v>20.310154733549314</v>
      </c>
      <c r="F52" s="26">
        <f>[1]节奏总纲!R49</f>
        <v>16.757330871744692</v>
      </c>
      <c r="G52" s="26">
        <f>[1]节奏总纲!S49</f>
        <v>12.425582930290501</v>
      </c>
      <c r="H52" s="26">
        <f>[1]节奏总纲!T49</f>
        <v>6.9545132006921566</v>
      </c>
      <c r="K52" s="26">
        <v>46</v>
      </c>
      <c r="L52" s="26">
        <f>[1]节奏总纲!AD49</f>
        <v>55.537288901845052</v>
      </c>
      <c r="M52" s="26">
        <f>[1]节奏总纲!AE49</f>
        <v>57.53646043868428</v>
      </c>
      <c r="N52" s="26">
        <f>[1]节奏总纲!AF49</f>
        <v>60.393379177879737</v>
      </c>
      <c r="O52" s="26">
        <f>[1]节奏总纲!AG49</f>
        <v>64.710418078139355</v>
      </c>
      <c r="P52" s="26">
        <f>[1]节奏总纲!AH49</f>
        <v>73.340924940105893</v>
      </c>
      <c r="S52" s="26">
        <v>46</v>
      </c>
      <c r="T52" s="26">
        <f>[2]各R部队能量汇总!E52</f>
        <v>250823733</v>
      </c>
      <c r="U52" s="26">
        <f>[2]各R部队能量汇总!F52</f>
        <v>266835450</v>
      </c>
      <c r="V52" s="26">
        <f>[2]各R部队能量汇总!G52</f>
        <v>314651204</v>
      </c>
      <c r="W52" s="26">
        <f>[2]各R部队能量汇总!H52</f>
        <v>376467918</v>
      </c>
      <c r="X52" s="26">
        <f>[2]各R部队能量汇总!I52</f>
        <v>411450595</v>
      </c>
      <c r="AA52" s="27">
        <v>46</v>
      </c>
      <c r="AB52" s="28">
        <f>[2]各R部队能量汇总!K52</f>
        <v>1</v>
      </c>
      <c r="AC52" s="28">
        <f>[2]各R部队能量汇总!L52</f>
        <v>1.0638365309713336</v>
      </c>
      <c r="AD52" s="28">
        <f>[2]各R部队能量汇总!M52</f>
        <v>1.2544714179818064</v>
      </c>
      <c r="AE52" s="28">
        <f>[2]各R部队能量汇总!N52</f>
        <v>1.5009262221609627</v>
      </c>
      <c r="AF52" s="28">
        <f>[2]各R部队能量汇总!O52</f>
        <v>1.6403973821727627</v>
      </c>
      <c r="AI52" s="27">
        <v>46</v>
      </c>
      <c r="AJ52" s="28">
        <f>[1]服务器生态!W67</f>
        <v>335.16483889655183</v>
      </c>
      <c r="AK52" s="28">
        <f>[1]服务器生态!X67</f>
        <v>280.38948746548954</v>
      </c>
      <c r="AL52" s="28">
        <f>[1]服务器生态!Y67</f>
        <v>24.300762189682757</v>
      </c>
      <c r="AM52" s="28">
        <f>[1]服务器生态!Z67</f>
        <v>3.9449004137931043</v>
      </c>
      <c r="AN52" s="28">
        <f>[1]服务器生态!AA67</f>
        <v>1.0275972413793102</v>
      </c>
      <c r="AQ52" s="26">
        <v>46</v>
      </c>
      <c r="AR52" s="29">
        <f>[2]非r将兵属性验证!M52</f>
        <v>140.36957636634128</v>
      </c>
      <c r="AS52" s="29">
        <f>[2]小r将兵属性验证!M52</f>
        <v>143.24309070180229</v>
      </c>
      <c r="AT52" s="29">
        <f>[2]中r将兵属性验证!M52</f>
        <v>148.08972230211037</v>
      </c>
      <c r="AU52" s="29">
        <f>[2]大r将兵属性验证!M52</f>
        <v>156.4863096097281</v>
      </c>
      <c r="AV52" s="29">
        <f>[2]超r将兵属性验证!M52</f>
        <v>157.88094281779942</v>
      </c>
    </row>
    <row r="53" spans="2:48" x14ac:dyDescent="0.2">
      <c r="B53" s="26">
        <f>[1]节奏总纲!N50</f>
        <v>57</v>
      </c>
      <c r="C53" s="26">
        <v>47</v>
      </c>
      <c r="D53" s="26">
        <f>[1]节奏总纲!P50</f>
        <v>24.992076683399535</v>
      </c>
      <c r="E53" s="26">
        <f>[1]节奏总纲!Q50</f>
        <v>21.823081359944474</v>
      </c>
      <c r="F53" s="26">
        <f>[1]节奏总纲!R50</f>
        <v>17.996794419716004</v>
      </c>
      <c r="G53" s="26">
        <f>[1]节奏总纲!S50</f>
        <v>13.335772118261991</v>
      </c>
      <c r="H53" s="26">
        <f>[1]节奏总纲!T50</f>
        <v>7.4426404363163821</v>
      </c>
      <c r="K53" s="26">
        <v>47</v>
      </c>
      <c r="L53" s="26">
        <f>[1]节奏总纲!AD50</f>
        <v>55.845161563010116</v>
      </c>
      <c r="M53" s="26">
        <f>[1]节奏总纲!AE50</f>
        <v>57.853954212982316</v>
      </c>
      <c r="N53" s="26">
        <f>[1]节奏总纲!AF50</f>
        <v>60.700083667104536</v>
      </c>
      <c r="O53" s="26">
        <f>[1]节奏总纲!AG50</f>
        <v>65.021675833900701</v>
      </c>
      <c r="P53" s="26">
        <f>[1]节奏总纲!AH50</f>
        <v>73.644694753789935</v>
      </c>
      <c r="S53" s="26">
        <v>47</v>
      </c>
      <c r="T53" s="26">
        <f>[2]各R部队能量汇总!E53</f>
        <v>271845298</v>
      </c>
      <c r="U53" s="26">
        <f>[2]各R部队能量汇总!F53</f>
        <v>289306159</v>
      </c>
      <c r="V53" s="26">
        <f>[2]各R部队能量汇总!G53</f>
        <v>341017994</v>
      </c>
      <c r="W53" s="26">
        <f>[2]各R部队能量汇总!H53</f>
        <v>408499394</v>
      </c>
      <c r="X53" s="26">
        <f>[2]各R部队能量汇总!I53</f>
        <v>445659025</v>
      </c>
      <c r="AA53" s="27">
        <v>47</v>
      </c>
      <c r="AB53" s="28">
        <f>[2]各R部队能量汇总!K53</f>
        <v>1</v>
      </c>
      <c r="AC53" s="28">
        <f>[2]各R部队能量汇总!L53</f>
        <v>1.0642308736934638</v>
      </c>
      <c r="AD53" s="28">
        <f>[2]各R部队能量汇总!M53</f>
        <v>1.2544561061343058</v>
      </c>
      <c r="AE53" s="28">
        <f>[2]各R部队能量汇总!N53</f>
        <v>1.5026906737228172</v>
      </c>
      <c r="AF53" s="28">
        <f>[2]各R部队能量汇总!O53</f>
        <v>1.6393847099021739</v>
      </c>
      <c r="AI53" s="27">
        <v>47</v>
      </c>
      <c r="AJ53" s="28">
        <f>[1]服务器生态!W68</f>
        <v>329.11234724764904</v>
      </c>
      <c r="AK53" s="28">
        <f>[1]服务器生态!X68</f>
        <v>276.53262902865441</v>
      </c>
      <c r="AL53" s="28">
        <f>[1]服务器生态!Y68</f>
        <v>23.926682758179311</v>
      </c>
      <c r="AM53" s="28">
        <f>[1]服务器生态!Z68</f>
        <v>3.8938968275862083</v>
      </c>
      <c r="AN53" s="28">
        <f>[1]服务器生态!AA68</f>
        <v>1.0172027586206895</v>
      </c>
      <c r="AQ53" s="26">
        <v>47</v>
      </c>
      <c r="AR53" s="29">
        <f>[2]非r将兵属性验证!M53</f>
        <v>142.01510847185261</v>
      </c>
      <c r="AS53" s="29">
        <f>[2]小r将兵属性验证!M53</f>
        <v>144.97148067243728</v>
      </c>
      <c r="AT53" s="29">
        <f>[2]中r将兵属性验证!M53</f>
        <v>149.76108212421263</v>
      </c>
      <c r="AU53" s="29">
        <f>[2]大r将兵属性验证!M53</f>
        <v>158.39058884825636</v>
      </c>
      <c r="AV53" s="29">
        <f>[2]超r将兵属性验证!M53</f>
        <v>159.85975722575103</v>
      </c>
    </row>
    <row r="54" spans="2:48" x14ac:dyDescent="0.2">
      <c r="B54" s="26">
        <f>[1]节奏总纲!N51</f>
        <v>58</v>
      </c>
      <c r="C54" s="26">
        <v>48</v>
      </c>
      <c r="D54" s="26">
        <f>[1]节奏总纲!P51</f>
        <v>26.857618025475972</v>
      </c>
      <c r="E54" s="26">
        <f>[1]节奏总纲!Q51</f>
        <v>23.425214441820142</v>
      </c>
      <c r="F54" s="26">
        <f>[1]节奏总纲!R51</f>
        <v>19.329427692935056</v>
      </c>
      <c r="G54" s="26">
        <f>[1]节奏总纲!S51</f>
        <v>14.269452456935383</v>
      </c>
      <c r="H54" s="26">
        <f>[1]节奏总纲!T51</f>
        <v>7.9605979827510778</v>
      </c>
      <c r="K54" s="26">
        <v>48</v>
      </c>
      <c r="L54" s="26">
        <f>[1]节奏总纲!AD51</f>
        <v>56.142785979989682</v>
      </c>
      <c r="M54" s="26">
        <f>[1]节奏总纲!AE51</f>
        <v>58.155157256402767</v>
      </c>
      <c r="N54" s="26">
        <f>[1]节奏总纲!AF51</f>
        <v>61.006268532239034</v>
      </c>
      <c r="O54" s="26">
        <f>[1]节奏总纲!AG51</f>
        <v>65.330972386106993</v>
      </c>
      <c r="P54" s="26">
        <f>[1]节奏总纲!AH51</f>
        <v>73.948464567473962</v>
      </c>
      <c r="S54" s="26">
        <v>48</v>
      </c>
      <c r="T54" s="26">
        <f>[2]各R部队能量汇总!E54</f>
        <v>294867386</v>
      </c>
      <c r="U54" s="26">
        <f>[2]各R部队能量汇总!F54</f>
        <v>313891292</v>
      </c>
      <c r="V54" s="26">
        <f>[2]各R部队能量汇总!G54</f>
        <v>369544485</v>
      </c>
      <c r="W54" s="26">
        <f>[2]各R部队能量汇总!H54</f>
        <v>442213310</v>
      </c>
      <c r="X54" s="26">
        <f>[2]各R部队能量汇总!I54</f>
        <v>482534350</v>
      </c>
      <c r="AA54" s="27">
        <v>48</v>
      </c>
      <c r="AB54" s="28">
        <f>[2]各R部队能量汇总!K54</f>
        <v>1</v>
      </c>
      <c r="AC54" s="28">
        <f>[2]各R部队能量汇总!L54</f>
        <v>1.0645168197747037</v>
      </c>
      <c r="AD54" s="28">
        <f>[2]各R部队能量汇总!M54</f>
        <v>1.2532565571697374</v>
      </c>
      <c r="AE54" s="28">
        <f>[2]各R部队能量汇总!N54</f>
        <v>1.4997023441581974</v>
      </c>
      <c r="AF54" s="28">
        <f>[2]各R部队能量汇总!O54</f>
        <v>1.6364453069760656</v>
      </c>
      <c r="AI54" s="27">
        <v>48</v>
      </c>
      <c r="AJ54" s="28">
        <f>[1]服务器生态!W69</f>
        <v>323.08188328213174</v>
      </c>
      <c r="AK54" s="28">
        <f>[1]服务器生态!X69</f>
        <v>272.65485639720612</v>
      </c>
      <c r="AL54" s="28">
        <f>[1]服务器生态!Y69</f>
        <v>23.552089010317239</v>
      </c>
      <c r="AM54" s="28">
        <f>[1]服务器生态!Z69</f>
        <v>3.842492689655173</v>
      </c>
      <c r="AN54" s="28">
        <f>[1]服务器生态!AA69</f>
        <v>1.0066096551724135</v>
      </c>
      <c r="AQ54" s="26">
        <v>48</v>
      </c>
      <c r="AR54" s="29">
        <f>[2]非r将兵属性验证!M54</f>
        <v>143.66064057736392</v>
      </c>
      <c r="AS54" s="29">
        <f>[2]小r将兵属性验证!M54</f>
        <v>146.69987064307227</v>
      </c>
      <c r="AT54" s="29">
        <f>[2]中r将兵属性验证!M54</f>
        <v>151.4324419463149</v>
      </c>
      <c r="AU54" s="29">
        <f>[2]大r将兵属性验证!M54</f>
        <v>160.35221803593342</v>
      </c>
      <c r="AV54" s="29">
        <f>[2]超r将兵属性验证!M54</f>
        <v>161.83857163370266</v>
      </c>
    </row>
    <row r="55" spans="2:48" x14ac:dyDescent="0.2">
      <c r="B55" s="26">
        <f>[1]节奏总纲!N52</f>
        <v>59</v>
      </c>
      <c r="C55" s="26">
        <v>49</v>
      </c>
      <c r="D55" s="26">
        <f>[1]节奏总纲!P52</f>
        <v>28.857055729177837</v>
      </c>
      <c r="E55" s="26">
        <f>[1]节奏总纲!Q52</f>
        <v>25.166238301415991</v>
      </c>
      <c r="F55" s="26">
        <f>[1]节奏总纲!R52</f>
        <v>20.719366013549685</v>
      </c>
      <c r="G55" s="26">
        <f>[1]节奏总纲!S52</f>
        <v>15.268268186307994</v>
      </c>
      <c r="H55" s="26">
        <f>[1]节奏总纲!T52</f>
        <v>8.5474599069824766</v>
      </c>
      <c r="K55" s="26">
        <v>49</v>
      </c>
      <c r="L55" s="26">
        <f>[1]节奏总纲!AD52</f>
        <v>56.430041330048923</v>
      </c>
      <c r="M55" s="26">
        <f>[1]节奏总纲!AE52</f>
        <v>58.442483247955479</v>
      </c>
      <c r="N55" s="26">
        <f>[1]节奏总纲!AF52</f>
        <v>61.289495211956165</v>
      </c>
      <c r="O55" s="26">
        <f>[1]节奏总纲!AG52</f>
        <v>65.640268938313284</v>
      </c>
      <c r="P55" s="26">
        <f>[1]节奏总纲!AH52</f>
        <v>74.231558509323534</v>
      </c>
      <c r="S55" s="26">
        <v>49</v>
      </c>
      <c r="T55" s="26">
        <f>[2]各R部队能量汇总!E55</f>
        <v>320049810</v>
      </c>
      <c r="U55" s="26">
        <f>[2]各R部队能量汇总!F55</f>
        <v>340425336</v>
      </c>
      <c r="V55" s="26">
        <f>[2]各R部队能量汇总!G55</f>
        <v>399922616</v>
      </c>
      <c r="W55" s="26">
        <f>[2]各R部队能量汇总!H55</f>
        <v>477950491</v>
      </c>
      <c r="X55" s="26">
        <f>[2]各R部队能量汇总!I55</f>
        <v>520543743</v>
      </c>
      <c r="AA55" s="27">
        <v>49</v>
      </c>
      <c r="AB55" s="28">
        <f>[2]各R部队能量汇总!K55</f>
        <v>1</v>
      </c>
      <c r="AC55" s="28">
        <f>[2]各R部队能量汇总!L55</f>
        <v>1.0636636091113443</v>
      </c>
      <c r="AD55" s="28">
        <f>[2]各R部队能量汇总!M55</f>
        <v>1.2495636726045862</v>
      </c>
      <c r="AE55" s="28">
        <f>[2]各R部队能量汇总!N55</f>
        <v>1.4933628331165076</v>
      </c>
      <c r="AF55" s="28">
        <f>[2]各R部队能量汇总!O55</f>
        <v>1.626446030385083</v>
      </c>
      <c r="AI55" s="27">
        <v>49</v>
      </c>
      <c r="AJ55" s="28">
        <f>[1]服务器生态!W70</f>
        <v>317.07344700000016</v>
      </c>
      <c r="AK55" s="28">
        <f>[1]服务器生态!X70</f>
        <v>268.75616957114471</v>
      </c>
      <c r="AL55" s="28">
        <f>[1]服务器生态!Y70</f>
        <v>23.176980946096556</v>
      </c>
      <c r="AM55" s="28">
        <f>[1]服务器生态!Z70</f>
        <v>3.7906880000000016</v>
      </c>
      <c r="AN55" s="28">
        <f>[1]服务器生态!AA70</f>
        <v>0.99581793103448268</v>
      </c>
      <c r="AQ55" s="26">
        <v>49</v>
      </c>
      <c r="AR55" s="29">
        <f>[2]非r将兵属性验证!M55</f>
        <v>145.30617268287523</v>
      </c>
      <c r="AS55" s="29">
        <f>[2]小r将兵属性验证!M55</f>
        <v>148.42826061370727</v>
      </c>
      <c r="AT55" s="29">
        <f>[2]中r将兵属性验证!M55</f>
        <v>153.13580244186306</v>
      </c>
      <c r="AU55" s="29">
        <f>[2]大r将兵属性验证!M55</f>
        <v>162.15988363626212</v>
      </c>
      <c r="AV55" s="29">
        <f>[2]超r将兵属性验证!M55</f>
        <v>163.57559981842246</v>
      </c>
    </row>
    <row r="56" spans="2:48" x14ac:dyDescent="0.2">
      <c r="B56" s="26">
        <f>[1]节奏总纲!N53</f>
        <v>60</v>
      </c>
      <c r="C56" s="26">
        <v>50</v>
      </c>
      <c r="D56" s="26">
        <f>[1]节奏总纲!P53</f>
        <v>31</v>
      </c>
      <c r="E56" s="26">
        <f>[1]节奏总纲!Q53</f>
        <v>27.0351</v>
      </c>
      <c r="F56" s="26">
        <f>[1]节奏总纲!R53</f>
        <v>22.205300000000001</v>
      </c>
      <c r="G56" s="26">
        <f>[1]节奏总纲!S53</f>
        <v>16.386599999999998</v>
      </c>
      <c r="H56" s="26">
        <f>[1]节奏总纲!T53</f>
        <v>9.1883999999999997</v>
      </c>
      <c r="K56" s="26">
        <v>50</v>
      </c>
      <c r="L56" s="26">
        <f>[1]节奏总纲!AD53</f>
        <v>56.717296680108156</v>
      </c>
      <c r="M56" s="26">
        <f>[1]节奏总纲!AE53</f>
        <v>58.729809239508185</v>
      </c>
      <c r="N56" s="26">
        <f>[1]节奏总纲!AF53</f>
        <v>61.572721891673297</v>
      </c>
      <c r="O56" s="26">
        <f>[1]节奏总纲!AG53</f>
        <v>65.949565490519575</v>
      </c>
      <c r="P56" s="26">
        <f>[1]节奏总纲!AH53</f>
        <v>74.51042804689898</v>
      </c>
      <c r="S56" s="26">
        <v>50</v>
      </c>
      <c r="T56" s="26">
        <f>[2]各R部队能量汇总!E56</f>
        <v>347482249</v>
      </c>
      <c r="U56" s="26">
        <f>[2]各R部队能量汇总!F56</f>
        <v>369426826</v>
      </c>
      <c r="V56" s="26">
        <f>[2]各R部队能量汇总!G56</f>
        <v>431442583</v>
      </c>
      <c r="W56" s="26">
        <f>[2]各R部队能量汇总!H56</f>
        <v>513726852</v>
      </c>
      <c r="X56" s="26">
        <f>[2]各R部队能量汇总!I56</f>
        <v>560773684</v>
      </c>
      <c r="AA56" s="27">
        <v>50</v>
      </c>
      <c r="AB56" s="28">
        <f>[2]各R部队能量汇总!K56</f>
        <v>1</v>
      </c>
      <c r="AC56" s="28">
        <f>[2]各R部队能量汇总!L56</f>
        <v>1.0631530878574462</v>
      </c>
      <c r="AD56" s="28">
        <f>[2]各R部队能量汇总!M56</f>
        <v>1.2416248146247033</v>
      </c>
      <c r="AE56" s="28">
        <f>[2]各R部队能量汇总!N56</f>
        <v>1.4784261742245142</v>
      </c>
      <c r="AF56" s="28">
        <f>[2]各R部队能量汇总!O56</f>
        <v>1.6138196573028396</v>
      </c>
      <c r="AI56" s="27">
        <v>50</v>
      </c>
      <c r="AJ56" s="28">
        <f>[1]服务器生态!W71</f>
        <v>311.08703840125401</v>
      </c>
      <c r="AK56" s="28">
        <f>[1]服务器生态!X71</f>
        <v>264.83656855047008</v>
      </c>
      <c r="AL56" s="28">
        <f>[1]服务器生态!Y71</f>
        <v>22.801358565517244</v>
      </c>
      <c r="AM56" s="28">
        <f>[1]服务器生态!Z71</f>
        <v>3.7384827586206906</v>
      </c>
      <c r="AN56" s="28">
        <f>[1]服务器生态!AA71</f>
        <v>0.98482758620689637</v>
      </c>
      <c r="AQ56" s="26">
        <v>50</v>
      </c>
      <c r="AR56" s="29">
        <f>[2]非r将兵属性验证!M56</f>
        <v>147.07461605866894</v>
      </c>
      <c r="AS56" s="29">
        <f>[2]小r将兵属性验证!M56</f>
        <v>150.20240151950642</v>
      </c>
      <c r="AT56" s="29">
        <f>[2]中r将兵属性验证!M56</f>
        <v>154.6781736611722</v>
      </c>
      <c r="AU56" s="29">
        <f>[2]大r将兵属性验证!M56</f>
        <v>163.54704518185309</v>
      </c>
      <c r="AV56" s="29">
        <f>[2]超r将兵属性验证!M56</f>
        <v>165.07739152554055</v>
      </c>
    </row>
    <row r="57" spans="2:48" x14ac:dyDescent="0.2">
      <c r="B57" s="26">
        <f>[1]节奏总纲!N54</f>
        <v>61</v>
      </c>
      <c r="C57" s="26">
        <v>51</v>
      </c>
      <c r="D57" s="26">
        <f>[1]节奏总纲!P54</f>
        <v>33.296750801161366</v>
      </c>
      <c r="E57" s="26">
        <f>[1]节奏总纲!Q54</f>
        <v>28.928217096048996</v>
      </c>
      <c r="F57" s="26">
        <f>[1]节奏总纲!R54</f>
        <v>23.783869097269566</v>
      </c>
      <c r="G57" s="26">
        <f>[1]节奏总纲!S54</f>
        <v>17.587343773173433</v>
      </c>
      <c r="H57" s="26">
        <f>[1]节奏总纲!T54</f>
        <v>9.8458492119034169</v>
      </c>
      <c r="K57" s="26">
        <v>51</v>
      </c>
      <c r="L57" s="26">
        <f>[1]节奏总纲!AD54</f>
        <v>57.004247194324648</v>
      </c>
      <c r="M57" s="26">
        <f>[1]节奏总纲!AE54</f>
        <v>59.016342740868758</v>
      </c>
      <c r="N57" s="26">
        <f>[1]节奏总纲!AF54</f>
        <v>61.855948571390428</v>
      </c>
      <c r="O57" s="26">
        <f>[1]节奏总纲!AG54</f>
        <v>66.241691764589476</v>
      </c>
      <c r="P57" s="26">
        <f>[1]节奏总纲!AH54</f>
        <v>74.789297584474426</v>
      </c>
      <c r="S57" s="26">
        <v>51</v>
      </c>
      <c r="T57" s="26">
        <f>[2]各R部队能量汇总!E57</f>
        <v>386606646</v>
      </c>
      <c r="U57" s="26">
        <f>[2]各R部队能量汇总!F57</f>
        <v>409537765</v>
      </c>
      <c r="V57" s="26">
        <f>[2]各R部队能量汇总!G57</f>
        <v>478956447</v>
      </c>
      <c r="W57" s="26">
        <f>[2]各R部队能量汇总!H57</f>
        <v>580257754</v>
      </c>
      <c r="X57" s="26">
        <f>[2]各R部队能量汇总!I57</f>
        <v>643165647</v>
      </c>
      <c r="AA57" s="27">
        <v>51</v>
      </c>
      <c r="AB57" s="28">
        <f>[2]各R部队能量汇总!K57</f>
        <v>1</v>
      </c>
      <c r="AC57" s="28">
        <f>[2]各R部队能量汇总!L57</f>
        <v>1.0593138251430887</v>
      </c>
      <c r="AD57" s="28">
        <f>[2]各R部队能量汇总!M57</f>
        <v>1.2388727714732561</v>
      </c>
      <c r="AE57" s="28">
        <f>[2]各R部队能量汇总!N57</f>
        <v>1.5008995836041576</v>
      </c>
      <c r="AF57" s="28">
        <f>[2]各R部队能量汇总!O57</f>
        <v>1.6636176683832797</v>
      </c>
      <c r="AI57" s="27">
        <v>51</v>
      </c>
      <c r="AJ57" s="28">
        <f>[1]服务器生态!W72</f>
        <v>305.12265748589357</v>
      </c>
      <c r="AK57" s="28">
        <f>[1]服务器生态!X72</f>
        <v>260.89605333518233</v>
      </c>
      <c r="AL57" s="28">
        <f>[1]服务器生态!Y72</f>
        <v>22.425221868579314</v>
      </c>
      <c r="AM57" s="28">
        <f>[1]服务器生态!Z72</f>
        <v>3.6858769655172425</v>
      </c>
      <c r="AN57" s="28">
        <f>[1]服务器生态!AA72</f>
        <v>0.97363862068965512</v>
      </c>
      <c r="AQ57" s="26">
        <v>51</v>
      </c>
      <c r="AR57" s="29">
        <f>[2]非r将兵属性验证!M57</f>
        <v>150.65690627795186</v>
      </c>
      <c r="AS57" s="29">
        <f>[2]小r将兵属性验证!M57</f>
        <v>153.7835565857969</v>
      </c>
      <c r="AT57" s="29">
        <f>[2]中r将兵属性验证!M57</f>
        <v>158.48871485890834</v>
      </c>
      <c r="AU57" s="29">
        <f>[2]大r将兵属性验证!M57</f>
        <v>169.07741563516777</v>
      </c>
      <c r="AV57" s="29">
        <f>[2]超r将兵属性验证!M57</f>
        <v>172.10200481152961</v>
      </c>
    </row>
    <row r="58" spans="2:48" x14ac:dyDescent="0.2">
      <c r="B58" s="26">
        <f>[1]节奏总纲!N55</f>
        <v>62</v>
      </c>
      <c r="C58" s="26">
        <v>52</v>
      </c>
      <c r="D58" s="26">
        <f>[1]节奏总纲!P55</f>
        <v>35.758347359905123</v>
      </c>
      <c r="E58" s="26">
        <f>[1]节奏总纲!Q55</f>
        <v>31.081155525229534</v>
      </c>
      <c r="F58" s="26">
        <f>[1]节奏总纲!R55</f>
        <v>25.606552544428059</v>
      </c>
      <c r="G58" s="26">
        <f>[1]节奏总纲!S55</f>
        <v>18.930469092333773</v>
      </c>
      <c r="H58" s="26">
        <f>[1]节奏总纲!T55</f>
        <v>10.570167479587953</v>
      </c>
      <c r="K58" s="26">
        <v>52</v>
      </c>
      <c r="L58" s="26">
        <f>[1]节奏总纲!AD55</f>
        <v>57.27226591292537</v>
      </c>
      <c r="M58" s="26">
        <f>[1]节奏总纲!AE55</f>
        <v>59.290380144164828</v>
      </c>
      <c r="N58" s="26">
        <f>[1]节奏总纲!AF55</f>
        <v>62.130298748930763</v>
      </c>
      <c r="O58" s="26">
        <f>[1]节奏总纲!AG55</f>
        <v>66.530472725664353</v>
      </c>
      <c r="P58" s="26">
        <f>[1]节奏总纲!AH55</f>
        <v>75.062532510920803</v>
      </c>
      <c r="S58" s="26">
        <v>52</v>
      </c>
      <c r="T58" s="26">
        <f>[2]各R部队能量汇总!E58</f>
        <v>429199783</v>
      </c>
      <c r="U58" s="26">
        <f>[2]各R部队能量汇总!F58</f>
        <v>454430296</v>
      </c>
      <c r="V58" s="26">
        <f>[2]各R部队能量汇总!G58</f>
        <v>530948038</v>
      </c>
      <c r="W58" s="26">
        <f>[2]各R部队能量汇总!H58</f>
        <v>654582391</v>
      </c>
      <c r="X58" s="26">
        <f>[2]各R部队能量汇总!I58</f>
        <v>735980442</v>
      </c>
      <c r="AA58" s="27">
        <v>52</v>
      </c>
      <c r="AB58" s="28">
        <f>[2]各R部队能量汇总!K58</f>
        <v>1</v>
      </c>
      <c r="AC58" s="28">
        <f>[2]各R部队能量汇总!L58</f>
        <v>1.0587850087519732</v>
      </c>
      <c r="AD58" s="28">
        <f>[2]各R部队能量汇总!M58</f>
        <v>1.2370650196717363</v>
      </c>
      <c r="AE58" s="28">
        <f>[2]各R部队能量汇总!N58</f>
        <v>1.5251228377252</v>
      </c>
      <c r="AF58" s="28">
        <f>[2]各R部队能量汇总!O58</f>
        <v>1.7147735650183216</v>
      </c>
      <c r="AI58" s="27">
        <v>52</v>
      </c>
      <c r="AJ58" s="28">
        <f>[1]服务器生态!W73</f>
        <v>299.18030425391862</v>
      </c>
      <c r="AK58" s="28">
        <f>[1]服务器生态!X73</f>
        <v>256.93462392528141</v>
      </c>
      <c r="AL58" s="28">
        <f>[1]服务器生态!Y73</f>
        <v>22.048570855282762</v>
      </c>
      <c r="AM58" s="28">
        <f>[1]服务器生态!Z73</f>
        <v>3.6328706206896562</v>
      </c>
      <c r="AN58" s="28">
        <f>[1]服务器生态!AA73</f>
        <v>0.96225103448275862</v>
      </c>
      <c r="AQ58" s="26">
        <v>52</v>
      </c>
      <c r="AR58" s="29">
        <f>[2]非r将兵属性验证!M58</f>
        <v>154.30789302319437</v>
      </c>
      <c r="AS58" s="29">
        <f>[2]小r将兵属性验证!M58</f>
        <v>157.36471165208735</v>
      </c>
      <c r="AT58" s="29">
        <f>[2]中r将兵属性验证!M58</f>
        <v>162.29925605664454</v>
      </c>
      <c r="AU58" s="29">
        <f>[2]大r将兵属性验证!M58</f>
        <v>174.60778608848244</v>
      </c>
      <c r="AV58" s="29">
        <f>[2]超r将兵属性验证!M58</f>
        <v>179.12661809751867</v>
      </c>
    </row>
    <row r="59" spans="2:48" x14ac:dyDescent="0.2">
      <c r="B59" s="26">
        <f>[1]节奏总纲!N56</f>
        <v>63</v>
      </c>
      <c r="C59" s="26">
        <v>53</v>
      </c>
      <c r="D59" s="26">
        <f>[1]节奏总纲!P56</f>
        <v>38.396621227037308</v>
      </c>
      <c r="E59" s="26">
        <f>[1]节奏总纲!Q56</f>
        <v>33.42809844025868</v>
      </c>
      <c r="F59" s="26">
        <f>[1]节奏总纲!R56</f>
        <v>27.5802930273809</v>
      </c>
      <c r="G59" s="26">
        <f>[1]节奏总纲!S56</f>
        <v>20.319491953348145</v>
      </c>
      <c r="H59" s="26">
        <f>[1]节奏总纲!T56</f>
        <v>11.338522248344118</v>
      </c>
      <c r="K59" s="26">
        <v>53</v>
      </c>
      <c r="L59" s="26">
        <f>[1]节奏总纲!AD56</f>
        <v>57.540284631526099</v>
      </c>
      <c r="M59" s="26">
        <f>[1]节奏总纲!AE56</f>
        <v>59.564417547460899</v>
      </c>
      <c r="N59" s="26">
        <f>[1]节奏总纲!AF56</f>
        <v>62.395461425033538</v>
      </c>
      <c r="O59" s="26">
        <f>[1]节奏总纲!AG56</f>
        <v>66.819253686739231</v>
      </c>
      <c r="P59" s="26">
        <f>[1]节奏总纲!AH56</f>
        <v>75.318351032805268</v>
      </c>
      <c r="S59" s="26">
        <v>53</v>
      </c>
      <c r="T59" s="26">
        <f>[2]各R部队能量汇总!E59</f>
        <v>476257143</v>
      </c>
      <c r="U59" s="26">
        <f>[2]各R部队能量汇总!F59</f>
        <v>503043965</v>
      </c>
      <c r="V59" s="26">
        <f>[2]各R部队能量汇总!G59</f>
        <v>588518427</v>
      </c>
      <c r="W59" s="26">
        <f>[2]各R部队能量汇总!H59</f>
        <v>736353337</v>
      </c>
      <c r="X59" s="26">
        <f>[2]各R部队能量汇总!I59</f>
        <v>840238566</v>
      </c>
      <c r="AA59" s="27">
        <v>53</v>
      </c>
      <c r="AB59" s="28">
        <f>[2]各R部队能量汇总!K59</f>
        <v>1</v>
      </c>
      <c r="AC59" s="28">
        <f>[2]各R部队能量汇总!L59</f>
        <v>1.0562444519598524</v>
      </c>
      <c r="AD59" s="28">
        <f>[2]各R部队能量汇总!M59</f>
        <v>1.2357156961318267</v>
      </c>
      <c r="AE59" s="28">
        <f>[2]各R部队能量汇总!N59</f>
        <v>1.5461255496592101</v>
      </c>
      <c r="AF59" s="28">
        <f>[2]各R部队能量汇总!O59</f>
        <v>1.7642539925117722</v>
      </c>
      <c r="AI59" s="27">
        <v>53</v>
      </c>
      <c r="AJ59" s="28">
        <f>[1]服务器生态!W74</f>
        <v>293.25997870532927</v>
      </c>
      <c r="AK59" s="28">
        <f>[1]服务器生态!X74</f>
        <v>252.95228032076727</v>
      </c>
      <c r="AL59" s="28">
        <f>[1]服务器生态!Y74</f>
        <v>21.671405525627588</v>
      </c>
      <c r="AM59" s="28">
        <f>[1]服务器生态!Z74</f>
        <v>3.5794637241379319</v>
      </c>
      <c r="AN59" s="28">
        <f>[1]服务器生态!AA74</f>
        <v>0.95066482758620674</v>
      </c>
      <c r="AQ59" s="26">
        <v>53</v>
      </c>
      <c r="AR59" s="29">
        <f>[2]非r将兵属性验证!M59</f>
        <v>157.96062328115704</v>
      </c>
      <c r="AS59" s="29">
        <f>[2]小r将兵属性验证!M59</f>
        <v>160.94586671837783</v>
      </c>
      <c r="AT59" s="29">
        <f>[2]中r将兵属性验证!M59</f>
        <v>166.10979725438068</v>
      </c>
      <c r="AU59" s="29">
        <f>[2]大r将兵属性验证!M59</f>
        <v>180.22240261832141</v>
      </c>
      <c r="AV59" s="29">
        <f>[2]超r将兵属性验证!M59</f>
        <v>186.34901111830115</v>
      </c>
    </row>
    <row r="60" spans="2:48" x14ac:dyDescent="0.2">
      <c r="B60" s="26">
        <f>[1]节奏总纲!N57</f>
        <v>64</v>
      </c>
      <c r="C60" s="26">
        <v>54</v>
      </c>
      <c r="D60" s="26">
        <f>[1]节奏总纲!P57</f>
        <v>41.224253144732614</v>
      </c>
      <c r="E60" s="26">
        <f>[1]节奏总纲!Q57</f>
        <v>35.947548742206841</v>
      </c>
      <c r="F60" s="26">
        <f>[1]节奏总纲!R57</f>
        <v>29.553667079458812</v>
      </c>
      <c r="G60" s="26">
        <f>[1]节奏总纲!S57</f>
        <v>21.762283235104348</v>
      </c>
      <c r="H60" s="26">
        <f>[1]节奏总纲!T57</f>
        <v>12.111685573922442</v>
      </c>
      <c r="K60" s="26">
        <v>54</v>
      </c>
      <c r="L60" s="26">
        <f>[1]节奏总纲!AD57</f>
        <v>57.80830335012682</v>
      </c>
      <c r="M60" s="26">
        <f>[1]节奏总纲!AE57</f>
        <v>59.838454950756969</v>
      </c>
      <c r="N60" s="26">
        <f>[1]节奏总纲!AF57</f>
        <v>62.660624101136307</v>
      </c>
      <c r="O60" s="26">
        <f>[1]节奏总纲!AG57</f>
        <v>67.098789255934349</v>
      </c>
      <c r="P60" s="26">
        <f>[1]节奏总纲!AH57</f>
        <v>75.574169554689718</v>
      </c>
      <c r="S60" s="26">
        <v>54</v>
      </c>
      <c r="T60" s="26">
        <f>[2]各R部队能量汇总!E60</f>
        <v>526504808</v>
      </c>
      <c r="U60" s="26">
        <f>[2]各R部队能量汇总!F60</f>
        <v>555546275</v>
      </c>
      <c r="V60" s="26">
        <f>[2]各R部队能量汇总!G60</f>
        <v>651091601</v>
      </c>
      <c r="W60" s="26">
        <f>[2]各R部队能量汇总!H60</f>
        <v>828700374</v>
      </c>
      <c r="X60" s="26">
        <f>[2]各R部队能量汇总!I60</f>
        <v>957359067</v>
      </c>
      <c r="AA60" s="27">
        <v>54</v>
      </c>
      <c r="AB60" s="28">
        <f>[2]各R部队能量汇总!K60</f>
        <v>1</v>
      </c>
      <c r="AC60" s="28">
        <f>[2]各R部队能量汇总!L60</f>
        <v>1.055158977769487</v>
      </c>
      <c r="AD60" s="28">
        <f>[2]各R部队能量汇总!M60</f>
        <v>1.2366299245647154</v>
      </c>
      <c r="AE60" s="28">
        <f>[2]各R部队能量汇总!N60</f>
        <v>1.5739654442054023</v>
      </c>
      <c r="AF60" s="28">
        <f>[2]各R部队能量汇总!O60</f>
        <v>1.818329201278633</v>
      </c>
      <c r="AI60" s="27">
        <v>54</v>
      </c>
      <c r="AJ60" s="28">
        <f>[1]服务器生态!W75</f>
        <v>287.36168084012553</v>
      </c>
      <c r="AK60" s="28">
        <f>[1]服务器生态!X75</f>
        <v>248.94902252164002</v>
      </c>
      <c r="AL60" s="28">
        <f>[1]服务器生态!Y75</f>
        <v>21.293725879613795</v>
      </c>
      <c r="AM60" s="28">
        <f>[1]服务器生态!Z75</f>
        <v>3.5256562758620702</v>
      </c>
      <c r="AN60" s="28">
        <f>[1]服务器生态!AA75</f>
        <v>0.93887999999999994</v>
      </c>
      <c r="AQ60" s="26">
        <v>54</v>
      </c>
      <c r="AR60" s="29">
        <f>[2]非r将兵属性验证!M60</f>
        <v>161.48702357291364</v>
      </c>
      <c r="AS60" s="29">
        <f>[2]小r将兵属性验证!M60</f>
        <v>164.38022599613436</v>
      </c>
      <c r="AT60" s="29">
        <f>[2]中r将兵属性验证!M60</f>
        <v>170.09387102280124</v>
      </c>
      <c r="AU60" s="29">
        <f>[2]大r将兵属性验证!M60</f>
        <v>186.11904122022841</v>
      </c>
      <c r="AV60" s="29">
        <f>[2]超r将兵属性验证!M60</f>
        <v>193.82253139086251</v>
      </c>
    </row>
    <row r="61" spans="2:48" x14ac:dyDescent="0.2">
      <c r="B61" s="26">
        <f>[1]节奏总纲!N58</f>
        <v>65</v>
      </c>
      <c r="C61" s="26">
        <v>55</v>
      </c>
      <c r="D61" s="26">
        <f>[1]节奏总纲!P58</f>
        <v>44.254833995939045</v>
      </c>
      <c r="E61" s="26">
        <f>[1]节奏总纲!Q58</f>
        <v>38.53268396026413</v>
      </c>
      <c r="F61" s="26">
        <f>[1]节奏总纲!R58</f>
        <v>31.642206307096416</v>
      </c>
      <c r="G61" s="26">
        <f>[1]节奏总纲!S58</f>
        <v>23.282468165263531</v>
      </c>
      <c r="H61" s="26">
        <f>[1]节奏总纲!T58</f>
        <v>12.944538943812169</v>
      </c>
      <c r="K61" s="26">
        <v>55</v>
      </c>
      <c r="L61" s="26">
        <f>[1]节奏总纲!AD58</f>
        <v>58.071211008105138</v>
      </c>
      <c r="M61" s="26">
        <f>[1]节奏总纲!AE58</f>
        <v>60.102437883401088</v>
      </c>
      <c r="N61" s="26">
        <f>[1]节奏总纲!AF58</f>
        <v>62.925786777239075</v>
      </c>
      <c r="O61" s="26">
        <f>[1]节奏总纲!AG58</f>
        <v>67.36285691246691</v>
      </c>
      <c r="P61" s="26">
        <f>[1]节奏总纲!AH58</f>
        <v>75.829988076574182</v>
      </c>
      <c r="S61" s="26">
        <v>55</v>
      </c>
      <c r="T61" s="26">
        <f>[2]各R部队能量汇总!E61</f>
        <v>580245049</v>
      </c>
      <c r="U61" s="26">
        <f>[2]各R部队能量汇总!F61</f>
        <v>611574356</v>
      </c>
      <c r="V61" s="26">
        <f>[2]各R部队能量汇总!G61</f>
        <v>720137701</v>
      </c>
      <c r="W61" s="26">
        <f>[2]各R部队能量汇总!H61</f>
        <v>928995441</v>
      </c>
      <c r="X61" s="26">
        <f>[2]各R部队能量汇总!I61</f>
        <v>1088279749</v>
      </c>
      <c r="AA61" s="27">
        <v>55</v>
      </c>
      <c r="AB61" s="28">
        <f>[2]各R部队能量汇总!K61</f>
        <v>1</v>
      </c>
      <c r="AC61" s="28">
        <f>[2]各R部队能量汇总!L61</f>
        <v>1.0539932345032383</v>
      </c>
      <c r="AD61" s="28">
        <f>[2]各R部队能量汇总!M61</f>
        <v>1.2410923664770468</v>
      </c>
      <c r="AE61" s="28">
        <f>[2]各R部队能量汇总!N61</f>
        <v>1.601039841013792</v>
      </c>
      <c r="AF61" s="28">
        <f>[2]各R部队能量汇总!O61</f>
        <v>1.8755519773508658</v>
      </c>
      <c r="AI61" s="27">
        <v>55</v>
      </c>
      <c r="AJ61" s="28">
        <f>[1]服务器生态!W76</f>
        <v>281.48541065830733</v>
      </c>
      <c r="AK61" s="28">
        <f>[1]服务器生态!X76</f>
        <v>244.92485052789957</v>
      </c>
      <c r="AL61" s="28">
        <f>[1]服务器生态!Y76</f>
        <v>20.915531917241378</v>
      </c>
      <c r="AM61" s="28">
        <f>[1]服务器生态!Z76</f>
        <v>3.4714482758620693</v>
      </c>
      <c r="AN61" s="28">
        <f>[1]服务器生态!AA76</f>
        <v>0.92689655172413765</v>
      </c>
      <c r="AQ61" s="26">
        <v>55</v>
      </c>
      <c r="AR61" s="29">
        <f>[2]非r将兵属性验证!M61</f>
        <v>164.84797214655498</v>
      </c>
      <c r="AS61" s="29">
        <f>[2]小r将兵属性验证!M61</f>
        <v>167.77147839876795</v>
      </c>
      <c r="AT61" s="29">
        <f>[2]中r将兵属性验证!M61</f>
        <v>174.12482280701792</v>
      </c>
      <c r="AU61" s="29">
        <f>[2]大r将兵属性验证!M61</f>
        <v>192.01567982213533</v>
      </c>
      <c r="AV61" s="29">
        <f>[2]超r将兵属性验证!M61</f>
        <v>201.32010769079747</v>
      </c>
    </row>
    <row r="62" spans="2:48" x14ac:dyDescent="0.2">
      <c r="B62" s="26">
        <f>[1]节奏总纲!N59</f>
        <v>66</v>
      </c>
      <c r="C62" s="26">
        <v>56</v>
      </c>
      <c r="D62" s="26">
        <f>[1]节奏总纲!P59</f>
        <v>47.502930128332721</v>
      </c>
      <c r="E62" s="26">
        <f>[1]节奏总纲!Q59</f>
        <v>41.275295988508304</v>
      </c>
      <c r="F62" s="26">
        <f>[1]节奏总纲!R59</f>
        <v>33.888590353552566</v>
      </c>
      <c r="G62" s="26">
        <f>[1]节奏总纲!S59</f>
        <v>24.910536559297679</v>
      </c>
      <c r="H62" s="26">
        <f>[1]节奏总纲!T59</f>
        <v>13.837603546383322</v>
      </c>
      <c r="K62" s="26">
        <v>56</v>
      </c>
      <c r="L62" s="26">
        <f>[1]节奏总纲!AD59</f>
        <v>58.321281314909029</v>
      </c>
      <c r="M62" s="26">
        <f>[1]节奏总纲!AE59</f>
        <v>60.351982057337977</v>
      </c>
      <c r="N62" s="26">
        <f>[1]节奏总纲!AF59</f>
        <v>63.17626763611517</v>
      </c>
      <c r="O62" s="26">
        <f>[1]节奏总纲!AG59</f>
        <v>67.626924568999456</v>
      </c>
      <c r="P62" s="26">
        <f>[1]节奏总纲!AH59</f>
        <v>76.086647524934079</v>
      </c>
      <c r="S62" s="26">
        <v>56</v>
      </c>
      <c r="T62" s="26">
        <f>[2]各R部队能量汇总!E62</f>
        <v>638455220</v>
      </c>
      <c r="U62" s="26">
        <f>[2]各R部队能量汇总!F62</f>
        <v>672420164</v>
      </c>
      <c r="V62" s="26">
        <f>[2]各R部队能量汇总!G62</f>
        <v>795004623</v>
      </c>
      <c r="W62" s="26">
        <f>[2]各R部队能量汇总!H62</f>
        <v>1040561404</v>
      </c>
      <c r="X62" s="26">
        <f>[2]各R部队能量汇总!I62</f>
        <v>1233965524</v>
      </c>
      <c r="AA62" s="27">
        <v>56</v>
      </c>
      <c r="AB62" s="28">
        <f>[2]各R部队能量汇总!K62</f>
        <v>1</v>
      </c>
      <c r="AC62" s="28">
        <f>[2]各R部队能量汇总!L62</f>
        <v>1.0531986315344088</v>
      </c>
      <c r="AD62" s="28">
        <f>[2]各R部队能量汇总!M62</f>
        <v>1.2452002867170544</v>
      </c>
      <c r="AE62" s="28">
        <f>[2]各R部队能量汇总!N62</f>
        <v>1.6298110993594821</v>
      </c>
      <c r="AF62" s="28">
        <f>[2]各R部队能量汇总!O62</f>
        <v>1.9327362128858465</v>
      </c>
      <c r="AI62" s="27">
        <v>56</v>
      </c>
      <c r="AJ62" s="28">
        <f>[1]服务器生态!W77</f>
        <v>275.63116815987473</v>
      </c>
      <c r="AK62" s="28">
        <f>[1]服务器生态!X77</f>
        <v>240.87976433954603</v>
      </c>
      <c r="AL62" s="28">
        <f>[1]服务器生态!Y77</f>
        <v>20.536823638510349</v>
      </c>
      <c r="AM62" s="28">
        <f>[1]服务器生态!Z77</f>
        <v>3.4168397241379327</v>
      </c>
      <c r="AN62" s="28">
        <f>[1]服务器生态!AA77</f>
        <v>0.91471448275862066</v>
      </c>
      <c r="AQ62" s="26">
        <v>56</v>
      </c>
      <c r="AR62" s="29">
        <f>[2]非r将兵属性验证!M62</f>
        <v>168.20892072019637</v>
      </c>
      <c r="AS62" s="29">
        <f>[2]小r将兵属性验证!M62</f>
        <v>171.16273080140158</v>
      </c>
      <c r="AT62" s="29">
        <f>[2]中r将兵属性验证!M62</f>
        <v>178.1557745912346</v>
      </c>
      <c r="AU62" s="29">
        <f>[2]大r将兵属性验证!M62</f>
        <v>197.91231842404233</v>
      </c>
      <c r="AV62" s="29">
        <f>[2]超r将兵属性验证!M62</f>
        <v>208.87555824060627</v>
      </c>
    </row>
    <row r="63" spans="2:48" x14ac:dyDescent="0.2">
      <c r="B63" s="26">
        <f>[1]节奏总纲!N60</f>
        <v>67</v>
      </c>
      <c r="C63" s="26">
        <v>57</v>
      </c>
      <c r="D63" s="26">
        <f>[1]节奏总纲!P60</f>
        <v>50.984153366799077</v>
      </c>
      <c r="E63" s="26">
        <f>[1]节奏总纲!Q60</f>
        <v>44.310327691085078</v>
      </c>
      <c r="F63" s="26">
        <f>[1]节奏总纲!R60</f>
        <v>36.316012443170983</v>
      </c>
      <c r="G63" s="26">
        <f>[1]节奏总纲!S60</f>
        <v>26.664712210835919</v>
      </c>
      <c r="H63" s="26">
        <f>[1]节奏总纲!T60</f>
        <v>14.815994968391813</v>
      </c>
      <c r="K63" s="26">
        <v>57</v>
      </c>
      <c r="L63" s="26">
        <f>[1]节奏总纲!AD60</f>
        <v>58.571351621712921</v>
      </c>
      <c r="M63" s="26">
        <f>[1]节奏总纲!AE60</f>
        <v>60.60152623127486</v>
      </c>
      <c r="N63" s="26">
        <f>[1]节奏总纲!AF60</f>
        <v>63.421042351541736</v>
      </c>
      <c r="O63" s="26">
        <f>[1]节奏总纲!AG60</f>
        <v>67.890992225532017</v>
      </c>
      <c r="P63" s="26">
        <f>[1]节奏总纲!AH60</f>
        <v>76.344973133357612</v>
      </c>
      <c r="S63" s="26">
        <v>57</v>
      </c>
      <c r="T63" s="26">
        <f>[2]各R部队能量汇总!E63</f>
        <v>700940580</v>
      </c>
      <c r="U63" s="26">
        <f>[2]各R部队能量汇总!F63</f>
        <v>739049508</v>
      </c>
      <c r="V63" s="26">
        <f>[2]各R部队能量汇总!G63</f>
        <v>876946980</v>
      </c>
      <c r="W63" s="26">
        <f>[2]各R部队能量汇总!H63</f>
        <v>1163954925</v>
      </c>
      <c r="X63" s="26">
        <f>[2]各R部队能量汇总!I63</f>
        <v>1396755885</v>
      </c>
      <c r="AA63" s="27">
        <v>57</v>
      </c>
      <c r="AB63" s="28">
        <f>[2]各R部队能量汇总!K63</f>
        <v>1</v>
      </c>
      <c r="AC63" s="28">
        <f>[2]各R部队能量汇总!L63</f>
        <v>1.0543682718440983</v>
      </c>
      <c r="AD63" s="28">
        <f>[2]各R部队能量汇总!M63</f>
        <v>1.2511003143804287</v>
      </c>
      <c r="AE63" s="28">
        <f>[2]各R部队能量汇总!N63</f>
        <v>1.6605614772653055</v>
      </c>
      <c r="AF63" s="28">
        <f>[2]各R部队能量汇总!O63</f>
        <v>1.9926880035965389</v>
      </c>
      <c r="AI63" s="27">
        <v>57</v>
      </c>
      <c r="AJ63" s="28">
        <f>[1]服务器生态!W78</f>
        <v>269.79895334482774</v>
      </c>
      <c r="AK63" s="28">
        <f>[1]服务器生态!X78</f>
        <v>236.81376395657921</v>
      </c>
      <c r="AL63" s="28">
        <f>[1]服务器生态!Y78</f>
        <v>20.157601043420691</v>
      </c>
      <c r="AM63" s="28">
        <f>[1]服务器生态!Z78</f>
        <v>3.361830620689656</v>
      </c>
      <c r="AN63" s="28">
        <f>[1]服务器生态!AA78</f>
        <v>0.90233379310344808</v>
      </c>
      <c r="AQ63" s="26">
        <v>57</v>
      </c>
      <c r="AR63" s="29">
        <f>[2]非r将兵属性验证!M63</f>
        <v>171.56986929383768</v>
      </c>
      <c r="AS63" s="29">
        <f>[2]小r将兵属性验证!M63</f>
        <v>174.55398320403518</v>
      </c>
      <c r="AT63" s="29">
        <f>[2]中r将兵属性验证!M63</f>
        <v>182.18672637545126</v>
      </c>
      <c r="AU63" s="29">
        <f>[2]大r将兵属性验证!M63</f>
        <v>203.86807767662521</v>
      </c>
      <c r="AV63" s="29">
        <f>[2]超r将兵属性验证!M63</f>
        <v>216.43100879041498</v>
      </c>
    </row>
    <row r="64" spans="2:48" x14ac:dyDescent="0.2">
      <c r="B64" s="26">
        <f>[1]节奏总纲!N61</f>
        <v>68</v>
      </c>
      <c r="C64" s="26">
        <v>58</v>
      </c>
      <c r="D64" s="26">
        <f>[1]节奏总纲!P61</f>
        <v>54.715236050951923</v>
      </c>
      <c r="E64" s="26">
        <f>[1]节奏总纲!Q61</f>
        <v>47.459995750595695</v>
      </c>
      <c r="F64" s="26">
        <f>[1]节奏总纲!R61</f>
        <v>38.913475879437009</v>
      </c>
      <c r="G64" s="26">
        <f>[1]节奏总纲!S61</f>
        <v>28.572296265807093</v>
      </c>
      <c r="H64" s="26">
        <f>[1]节奏总纲!T61</f>
        <v>15.856475407565867</v>
      </c>
      <c r="K64" s="26">
        <v>58</v>
      </c>
      <c r="L64" s="26">
        <f>[1]节奏总纲!AD61</f>
        <v>58.821421928516813</v>
      </c>
      <c r="M64" s="26">
        <f>[1]节奏总纲!AE61</f>
        <v>60.851070405211743</v>
      </c>
      <c r="N64" s="26">
        <f>[1]节奏总纲!AF61</f>
        <v>63.665817066968295</v>
      </c>
      <c r="O64" s="26">
        <f>[1]节奏总纲!AG61</f>
        <v>68.142437172458173</v>
      </c>
      <c r="P64" s="26">
        <f>[1]节奏总纲!AH61</f>
        <v>76.60329874178116</v>
      </c>
      <c r="S64" s="26">
        <v>58</v>
      </c>
      <c r="T64" s="26">
        <f>[2]各R部队能量汇总!E64</f>
        <v>769206172</v>
      </c>
      <c r="U64" s="26">
        <f>[2]各R部队能量汇总!F64</f>
        <v>810100821</v>
      </c>
      <c r="V64" s="26">
        <f>[2]各R部队能量汇总!G64</f>
        <v>967208472</v>
      </c>
      <c r="W64" s="26">
        <f>[2]各R部队能量汇总!H64</f>
        <v>1301158253</v>
      </c>
      <c r="X64" s="26">
        <f>[2]各R部队能量汇总!I64</f>
        <v>1574539547</v>
      </c>
      <c r="AA64" s="27">
        <v>58</v>
      </c>
      <c r="AB64" s="28">
        <f>[2]各R部队能量汇总!K64</f>
        <v>1</v>
      </c>
      <c r="AC64" s="28">
        <f>[2]各R部队能量汇总!L64</f>
        <v>1.053164743717111</v>
      </c>
      <c r="AD64" s="28">
        <f>[2]各R部队能量汇总!M64</f>
        <v>1.2574112210841699</v>
      </c>
      <c r="AE64" s="28">
        <f>[2]各R部队能量汇总!N64</f>
        <v>1.6915598188933929</v>
      </c>
      <c r="AF64" s="28">
        <f>[2]各R部队能量汇总!O64</f>
        <v>2.0469668657312852</v>
      </c>
      <c r="AI64" s="27">
        <v>58</v>
      </c>
      <c r="AJ64" s="28">
        <f>[1]服务器生态!W79</f>
        <v>263.98876621316629</v>
      </c>
      <c r="AK64" s="28">
        <f>[1]服务器生态!X79</f>
        <v>232.7268493789993</v>
      </c>
      <c r="AL64" s="28">
        <f>[1]服务器生态!Y79</f>
        <v>19.777864131972418</v>
      </c>
      <c r="AM64" s="28">
        <f>[1]服务器生态!Z79</f>
        <v>3.3064209655172427</v>
      </c>
      <c r="AN64" s="28">
        <f>[1]服务器生态!AA79</f>
        <v>0.88975448275862057</v>
      </c>
      <c r="AQ64" s="26">
        <v>58</v>
      </c>
      <c r="AR64" s="29">
        <f>[2]非r将兵属性验证!M64</f>
        <v>174.93081786747902</v>
      </c>
      <c r="AS64" s="29">
        <f>[2]小r将兵属性验证!M64</f>
        <v>177.94523560666883</v>
      </c>
      <c r="AT64" s="29">
        <f>[2]中r将兵属性验证!M64</f>
        <v>186.24254156844856</v>
      </c>
      <c r="AU64" s="29">
        <f>[2]大r将兵属性验证!M64</f>
        <v>209.84671754730314</v>
      </c>
      <c r="AV64" s="29">
        <f>[2]超r将兵属性验证!M64</f>
        <v>223.98645934022369</v>
      </c>
    </row>
    <row r="65" spans="2:48" x14ac:dyDescent="0.2">
      <c r="B65" s="26">
        <f>[1]节奏总纲!N62</f>
        <v>69</v>
      </c>
      <c r="C65" s="26">
        <v>59</v>
      </c>
      <c r="D65" s="26">
        <f>[1]节奏总纲!P62</f>
        <v>58.714111458355703</v>
      </c>
      <c r="E65" s="26">
        <f>[1]节奏总纲!Q62</f>
        <v>50.940363101269412</v>
      </c>
      <c r="F65" s="26">
        <f>[1]节奏总纲!R62</f>
        <v>41.728119013453394</v>
      </c>
      <c r="G65" s="26">
        <f>[1]节奏总纲!S62</f>
        <v>30.607666303240826</v>
      </c>
      <c r="H65" s="26">
        <f>[1]节奏总纲!T62</f>
        <v>17.003606678339814</v>
      </c>
      <c r="K65" s="26">
        <v>59</v>
      </c>
      <c r="L65" s="26">
        <f>[1]节奏总纲!AD62</f>
        <v>59.066704614192936</v>
      </c>
      <c r="M65" s="26">
        <f>[1]节奏总纲!AE62</f>
        <v>61.094954819415335</v>
      </c>
      <c r="N65" s="26">
        <f>[1]节奏总纲!AF62</f>
        <v>63.91059178239486</v>
      </c>
      <c r="O65" s="26">
        <f>[1]节奏总纲!AG62</f>
        <v>68.385008299388929</v>
      </c>
      <c r="P65" s="26">
        <f>[1]节奏总纲!AH62</f>
        <v>76.861624350204693</v>
      </c>
      <c r="S65" s="26">
        <v>59</v>
      </c>
      <c r="T65" s="26">
        <f>[2]各R部队能量汇总!E65</f>
        <v>842269980</v>
      </c>
      <c r="U65" s="26">
        <f>[2]各R部队能量汇总!F65</f>
        <v>887835262</v>
      </c>
      <c r="V65" s="26">
        <f>[2]各R部队能量汇总!G65</f>
        <v>1066328716</v>
      </c>
      <c r="W65" s="26">
        <f>[2]各R部队能量汇总!H65</f>
        <v>1454192245</v>
      </c>
      <c r="X65" s="26">
        <f>[2]各R部队能量汇总!I65</f>
        <v>1776625481</v>
      </c>
      <c r="AA65" s="27">
        <v>59</v>
      </c>
      <c r="AB65" s="28">
        <f>[2]各R部队能量汇总!K65</f>
        <v>1</v>
      </c>
      <c r="AC65" s="28">
        <f>[2]各R部队能量汇总!L65</f>
        <v>1.0540981907012761</v>
      </c>
      <c r="AD65" s="28">
        <f>[2]各R部队能量汇总!M65</f>
        <v>1.266017715602306</v>
      </c>
      <c r="AE65" s="28">
        <f>[2]各R部队能量汇总!N65</f>
        <v>1.7265155823314515</v>
      </c>
      <c r="AF65" s="28">
        <f>[2]各R部队能量汇总!O65</f>
        <v>2.1093301710693759</v>
      </c>
      <c r="AI65" s="27">
        <v>59</v>
      </c>
      <c r="AJ65" s="28">
        <f>[1]服务器生态!W80</f>
        <v>258.20060676489038</v>
      </c>
      <c r="AK65" s="28">
        <f>[1]服务器生态!X80</f>
        <v>228.61902060680615</v>
      </c>
      <c r="AL65" s="28">
        <f>[1]服务器生态!Y80</f>
        <v>19.397612904165516</v>
      </c>
      <c r="AM65" s="28">
        <f>[1]服务器生态!Z80</f>
        <v>3.2506107586206903</v>
      </c>
      <c r="AN65" s="28">
        <f>[1]服务器生态!AA80</f>
        <v>0.87697655172413769</v>
      </c>
      <c r="AQ65" s="26">
        <v>59</v>
      </c>
      <c r="AR65" s="29">
        <f>[2]非r将兵属性验证!M65</f>
        <v>178.29176644112042</v>
      </c>
      <c r="AS65" s="29">
        <f>[2]小r将兵属性验证!M65</f>
        <v>181.33956451843557</v>
      </c>
      <c r="AT65" s="29">
        <f>[2]中r将兵属性验证!M65</f>
        <v>190.35288328522631</v>
      </c>
      <c r="AU65" s="29">
        <f>[2]大r将兵属性验证!M65</f>
        <v>216.00600497140553</v>
      </c>
      <c r="AV65" s="29">
        <f>[2]超r将兵属性验证!M65</f>
        <v>231.64144891878539</v>
      </c>
    </row>
    <row r="66" spans="2:48" x14ac:dyDescent="0.2">
      <c r="B66" s="26">
        <f>[1]节奏总纲!N63</f>
        <v>70</v>
      </c>
      <c r="C66" s="26">
        <v>60</v>
      </c>
      <c r="D66" s="26">
        <f>[1]节奏总纲!P63</f>
        <v>63</v>
      </c>
      <c r="E66" s="26">
        <f>[1]节奏总纲!Q63</f>
        <v>54.589500000000001</v>
      </c>
      <c r="F66" s="26">
        <f>[1]节奏总纲!R63</f>
        <v>44.717399999999998</v>
      </c>
      <c r="G66" s="26">
        <f>[1]节奏总纲!S63</f>
        <v>32.810400000000001</v>
      </c>
      <c r="H66" s="26">
        <f>[1]节奏总纲!T63</f>
        <v>18.276300000000003</v>
      </c>
      <c r="K66" s="26">
        <v>60</v>
      </c>
      <c r="L66" s="26">
        <f>[1]节奏总纲!AD63</f>
        <v>59.300028460644697</v>
      </c>
      <c r="M66" s="26">
        <f>[1]节奏总纲!AE63</f>
        <v>61.330461663183208</v>
      </c>
      <c r="N66" s="26">
        <f>[1]节奏总纲!AF63</f>
        <v>64.14304723627319</v>
      </c>
      <c r="O66" s="26">
        <f>[1]节奏总纲!AG63</f>
        <v>68.627579426319684</v>
      </c>
      <c r="P66" s="26">
        <f>[1]节奏总纲!AH63</f>
        <v>77.112805903056142</v>
      </c>
      <c r="S66" s="26">
        <v>60</v>
      </c>
      <c r="T66" s="26">
        <f>[2]各R部队能量汇总!E66</f>
        <v>926064217</v>
      </c>
      <c r="U66" s="26">
        <f>[2]各R部队能量汇总!F66</f>
        <v>979637711</v>
      </c>
      <c r="V66" s="26">
        <f>[2]各R部队能量汇总!G66</f>
        <v>1181939946</v>
      </c>
      <c r="W66" s="26">
        <f>[2]各R部队能量汇总!H66</f>
        <v>1628974081</v>
      </c>
      <c r="X66" s="26">
        <f>[2]各R部队能量汇总!I66</f>
        <v>2001640673</v>
      </c>
      <c r="AA66" s="27">
        <v>60</v>
      </c>
      <c r="AB66" s="28">
        <f>[2]各R部队能量汇总!K66</f>
        <v>1</v>
      </c>
      <c r="AC66" s="28">
        <f>[2]各R部队能量汇总!L66</f>
        <v>1.0578507332607583</v>
      </c>
      <c r="AD66" s="28">
        <f>[2]各R部队能量汇总!M66</f>
        <v>1.276304520035245</v>
      </c>
      <c r="AE66" s="28">
        <f>[2]各R部队能量汇总!N66</f>
        <v>1.7590292887863521</v>
      </c>
      <c r="AF66" s="28">
        <f>[2]各R部队能量汇总!O66</f>
        <v>2.1614491049922515</v>
      </c>
      <c r="AI66" s="27">
        <v>60</v>
      </c>
      <c r="AJ66" s="28">
        <f>[1]服务器生态!W81</f>
        <v>252.43447500000011</v>
      </c>
      <c r="AK66" s="28">
        <f>[1]服务器生态!X81</f>
        <v>224.4902776399999</v>
      </c>
      <c r="AL66" s="28">
        <f>[1]服务器生态!Y81</f>
        <v>19.016847360000003</v>
      </c>
      <c r="AM66" s="28">
        <f>[1]服务器生态!Z81</f>
        <v>3.1944000000000008</v>
      </c>
      <c r="AN66" s="28">
        <f>[1]服务器生态!AA81</f>
        <v>0.86399999999999988</v>
      </c>
      <c r="AQ66" s="26">
        <v>60</v>
      </c>
      <c r="AR66" s="29">
        <f>[2]非r将兵属性验证!M66</f>
        <v>181.96324482503582</v>
      </c>
      <c r="AS66" s="29">
        <f>[2]小r将兵属性验证!M66</f>
        <v>185.44975435040496</v>
      </c>
      <c r="AT66" s="29">
        <f>[2]中r将兵属性验证!M66</f>
        <v>195.03749853619655</v>
      </c>
      <c r="AU66" s="29">
        <f>[2]大r将兵属性验证!M66</f>
        <v>222.58972137111746</v>
      </c>
      <c r="AV66" s="29">
        <f>[2]超r将兵属性验证!M66</f>
        <v>239.42363262654479</v>
      </c>
    </row>
    <row r="67" spans="2:48" x14ac:dyDescent="0.2">
      <c r="B67" s="26">
        <f>[1]节奏总纲!N64</f>
        <v>71</v>
      </c>
      <c r="C67" s="26">
        <v>61</v>
      </c>
      <c r="D67" s="26">
        <f>[1]节奏总纲!P64</f>
        <v>67.593501602322732</v>
      </c>
      <c r="E67" s="26">
        <f>[1]节奏总纲!Q64</f>
        <v>58.596806539053574</v>
      </c>
      <c r="F67" s="26">
        <f>[1]节奏总纲!R64</f>
        <v>47.977867437328676</v>
      </c>
      <c r="G67" s="26">
        <f>[1]节奏总纲!S64</f>
        <v>35.229733035130607</v>
      </c>
      <c r="H67" s="26">
        <f>[1]节奏总纲!T64</f>
        <v>19.602115464673592</v>
      </c>
      <c r="K67" s="26">
        <v>61</v>
      </c>
      <c r="L67" s="26">
        <f>[1]节奏总纲!AD64</f>
        <v>59.533352307096465</v>
      </c>
      <c r="M67" s="26">
        <f>[1]节奏总纲!AE64</f>
        <v>61.56596850695108</v>
      </c>
      <c r="N67" s="26">
        <f>[1]节奏总纲!AF64</f>
        <v>64.368413367596901</v>
      </c>
      <c r="O67" s="26">
        <f>[1]节奏总纲!AG64</f>
        <v>68.870150553250454</v>
      </c>
      <c r="P67" s="26">
        <f>[1]节奏总纲!AH64</f>
        <v>77.355745991356301</v>
      </c>
      <c r="S67" s="26">
        <v>61</v>
      </c>
      <c r="T67" s="26">
        <f>[2]各R部队能量汇总!E67</f>
        <v>1012426318</v>
      </c>
      <c r="U67" s="26">
        <f>[2]各R部队能量汇总!F67</f>
        <v>1071411803</v>
      </c>
      <c r="V67" s="26">
        <f>[2]各R部队能量汇总!G67</f>
        <v>1291301610</v>
      </c>
      <c r="W67" s="26">
        <f>[2]各R部队能量汇总!H67</f>
        <v>1766783892</v>
      </c>
      <c r="X67" s="26">
        <f>[2]各R部队能量汇总!I67</f>
        <v>2161430783</v>
      </c>
      <c r="AA67" s="27">
        <v>61</v>
      </c>
      <c r="AB67" s="28">
        <f>[2]各R部队能量汇总!K67</f>
        <v>1</v>
      </c>
      <c r="AC67" s="28">
        <f>[2]各R部队能量汇总!L67</f>
        <v>1.0582615089624725</v>
      </c>
      <c r="AD67" s="28">
        <f>[2]各R部队能量汇总!M67</f>
        <v>1.2754524324801284</v>
      </c>
      <c r="AE67" s="28">
        <f>[2]各R部队能量汇总!N67</f>
        <v>1.7450987401139448</v>
      </c>
      <c r="AF67" s="28">
        <f>[2]各R部队能量汇总!O67</f>
        <v>2.1349018141584897</v>
      </c>
      <c r="AI67" s="27">
        <v>61</v>
      </c>
      <c r="AJ67" s="28">
        <f>[1]服务器生态!W82</f>
        <v>251.17370503875009</v>
      </c>
      <c r="AK67" s="28">
        <f>[1]服务器生态!X82</f>
        <v>224.13955671684883</v>
      </c>
      <c r="AL67" s="28">
        <f>[1]服务器生态!Y82</f>
        <v>18.962934597734399</v>
      </c>
      <c r="AM67" s="28">
        <f>[1]服务器生态!Z82</f>
        <v>3.191711380000001</v>
      </c>
      <c r="AN67" s="28">
        <f>[1]服务器生态!AA82</f>
        <v>0.86542559999999991</v>
      </c>
      <c r="AQ67" s="26">
        <v>61</v>
      </c>
      <c r="AR67" s="29">
        <f>[2]非r将兵属性验证!M67</f>
        <v>185.17346510814266</v>
      </c>
      <c r="AS67" s="29">
        <f>[2]小r将兵属性验证!M67</f>
        <v>188.70695853408841</v>
      </c>
      <c r="AT67" s="29">
        <f>[2]中r将兵属性验证!M67</f>
        <v>198.46266086150354</v>
      </c>
      <c r="AU67" s="29">
        <f>[2]大r将兵属性验证!M67</f>
        <v>225.61964552977233</v>
      </c>
      <c r="AV67" s="29">
        <f>[2]超r将兵属性验证!M67</f>
        <v>242.27241142209982</v>
      </c>
    </row>
    <row r="68" spans="2:48" x14ac:dyDescent="0.2">
      <c r="B68" s="26">
        <f>[1]节奏总纲!N65</f>
        <v>72</v>
      </c>
      <c r="C68" s="26">
        <v>62</v>
      </c>
      <c r="D68" s="26">
        <f>[1]节奏总纲!P65</f>
        <v>72.516694719810218</v>
      </c>
      <c r="E68" s="26">
        <f>[1]节奏总纲!Q65</f>
        <v>62.842967644187539</v>
      </c>
      <c r="F68" s="26">
        <f>[1]节奏总纲!R65</f>
        <v>51.5086082594812</v>
      </c>
      <c r="G68" s="26">
        <f>[1]节奏总纲!S65</f>
        <v>37.846462974268952</v>
      </c>
      <c r="H68" s="26">
        <f>[1]节奏总纲!T65</f>
        <v>21.124113171880715</v>
      </c>
      <c r="K68" s="26">
        <v>62</v>
      </c>
      <c r="L68" s="26">
        <f>[1]节奏总纲!AD65</f>
        <v>59.766676153548232</v>
      </c>
      <c r="M68" s="26">
        <f>[1]节奏总纲!AE65</f>
        <v>61.801475350718952</v>
      </c>
      <c r="N68" s="26">
        <f>[1]节奏总纲!AF65</f>
        <v>64.593779498920611</v>
      </c>
      <c r="O68" s="26">
        <f>[1]节奏总纲!AG65</f>
        <v>69.105843627521551</v>
      </c>
      <c r="P68" s="26">
        <f>[1]节奏总纲!AH65</f>
        <v>77.59868607965646</v>
      </c>
      <c r="S68" s="26">
        <v>62</v>
      </c>
      <c r="T68" s="26">
        <f>[2]各R部队能量汇总!E68</f>
        <v>1106069153</v>
      </c>
      <c r="U68" s="26">
        <f>[2]各R部队能量汇总!F68</f>
        <v>1169056379</v>
      </c>
      <c r="V68" s="26">
        <f>[2]各R部队能量汇总!G68</f>
        <v>1411225595</v>
      </c>
      <c r="W68" s="26">
        <f>[2]各R部队能量汇总!H68</f>
        <v>1914403468</v>
      </c>
      <c r="X68" s="26">
        <f>[2]各R部队能量汇总!I68</f>
        <v>2332121986</v>
      </c>
      <c r="AA68" s="27">
        <v>62</v>
      </c>
      <c r="AB68" s="28">
        <f>[2]各R部队能量汇总!K68</f>
        <v>1</v>
      </c>
      <c r="AC68" s="28">
        <f>[2]各R部队能量汇总!L68</f>
        <v>1.0569469149638242</v>
      </c>
      <c r="AD68" s="28">
        <f>[2]各R部队能量汇总!M68</f>
        <v>1.2758927334446692</v>
      </c>
      <c r="AE68" s="28">
        <f>[2]各R部队能量汇总!N68</f>
        <v>1.7308171580479832</v>
      </c>
      <c r="AF68" s="28">
        <f>[2]各R部队能量汇总!O68</f>
        <v>2.1084775573702306</v>
      </c>
      <c r="AI68" s="27">
        <v>62</v>
      </c>
      <c r="AJ68" s="28">
        <f>[1]服务器生态!W83</f>
        <v>249.91573990500015</v>
      </c>
      <c r="AK68" s="28">
        <f>[1]服务器生态!X83</f>
        <v>223.78617639568901</v>
      </c>
      <c r="AL68" s="28">
        <f>[1]服务器生态!Y83</f>
        <v>18.908958445977603</v>
      </c>
      <c r="AM68" s="28">
        <f>[1]服务器生态!Z83</f>
        <v>3.1889695200000014</v>
      </c>
      <c r="AN68" s="28">
        <f>[1]服务器生态!AA83</f>
        <v>0.86682239999999999</v>
      </c>
      <c r="AQ68" s="26">
        <v>62</v>
      </c>
      <c r="AR68" s="29">
        <f>[2]非r将兵属性验证!M68</f>
        <v>188.39154828832594</v>
      </c>
      <c r="AS68" s="29">
        <f>[2]小r将兵属性验证!M68</f>
        <v>191.96416271777181</v>
      </c>
      <c r="AT68" s="29">
        <f>[2]中r将兵属性验证!M68</f>
        <v>201.88782318681055</v>
      </c>
      <c r="AU68" s="29">
        <f>[2]大r将兵属性验证!M68</f>
        <v>228.64956968842716</v>
      </c>
      <c r="AV68" s="29">
        <f>[2]超r将兵属性验证!M68</f>
        <v>245.12119021765486</v>
      </c>
    </row>
    <row r="69" spans="2:48" x14ac:dyDescent="0.2">
      <c r="B69" s="26">
        <f>[1]节奏总纲!N66</f>
        <v>73</v>
      </c>
      <c r="C69" s="26">
        <v>63</v>
      </c>
      <c r="D69" s="26">
        <f>[1]节奏总纲!P66</f>
        <v>77.793242454074615</v>
      </c>
      <c r="E69" s="26">
        <f>[1]节奏总纲!Q66</f>
        <v>67.470079180418907</v>
      </c>
      <c r="F69" s="26">
        <f>[1]节奏总纲!R66</f>
        <v>55.27987808786542</v>
      </c>
      <c r="G69" s="26">
        <f>[1]节奏总纲!S66</f>
        <v>40.678086479235617</v>
      </c>
      <c r="H69" s="26">
        <f>[1]节奏总纲!T66</f>
        <v>22.700068148098975</v>
      </c>
      <c r="K69" s="26">
        <v>63</v>
      </c>
      <c r="L69" s="26">
        <f>[1]节奏总纲!AD66</f>
        <v>60</v>
      </c>
      <c r="M69" s="26">
        <f>[1]节奏总纲!AE66</f>
        <v>62.033937447710706</v>
      </c>
      <c r="N69" s="26">
        <f>[1]节奏总纲!AF66</f>
        <v>64.819145630244321</v>
      </c>
      <c r="O69" s="26">
        <f>[1]节奏总纲!AG66</f>
        <v>69.333613546893503</v>
      </c>
      <c r="P69" s="26">
        <f>[1]节奏总纲!AH66</f>
        <v>77.841626167956619</v>
      </c>
      <c r="S69" s="26">
        <v>63</v>
      </c>
      <c r="T69" s="26">
        <f>[2]各R部队能量汇总!E69</f>
        <v>1205624456</v>
      </c>
      <c r="U69" s="26">
        <f>[2]各R部队能量汇总!F69</f>
        <v>1275851258</v>
      </c>
      <c r="V69" s="26">
        <f>[2]各R部队能量汇总!G69</f>
        <v>1538826169</v>
      </c>
      <c r="W69" s="26">
        <f>[2]各R部队能量汇总!H69</f>
        <v>2073976780</v>
      </c>
      <c r="X69" s="26">
        <f>[2]各R部队能量汇总!I69</f>
        <v>2512982584</v>
      </c>
      <c r="AA69" s="27">
        <v>63</v>
      </c>
      <c r="AB69" s="28">
        <f>[2]各R部队能量汇总!K69</f>
        <v>1</v>
      </c>
      <c r="AC69" s="28">
        <f>[2]各R部队能量汇总!L69</f>
        <v>1.0582493177295003</v>
      </c>
      <c r="AD69" s="28">
        <f>[2]各R部队能量汇总!M69</f>
        <v>1.2763727223197603</v>
      </c>
      <c r="AE69" s="28">
        <f>[2]各R部队能量汇总!N69</f>
        <v>1.7202510862138649</v>
      </c>
      <c r="AF69" s="28">
        <f>[2]各R部队能量汇总!O69</f>
        <v>2.0843825550267372</v>
      </c>
      <c r="AI69" s="27">
        <v>63</v>
      </c>
      <c r="AJ69" s="28">
        <f>[1]服务器生态!W84</f>
        <v>248.66057959875008</v>
      </c>
      <c r="AK69" s="28">
        <f>[1]服务器生态!X84</f>
        <v>223.43013667652031</v>
      </c>
      <c r="AL69" s="28">
        <f>[1]服务器生态!Y84</f>
        <v>18.854918904729601</v>
      </c>
      <c r="AM69" s="28">
        <f>[1]服务器生态!Z84</f>
        <v>3.1861744200000008</v>
      </c>
      <c r="AN69" s="28">
        <f>[1]服务器生态!AA84</f>
        <v>0.86819039999999992</v>
      </c>
      <c r="AQ69" s="26">
        <v>63</v>
      </c>
      <c r="AR69" s="29">
        <f>[2]非r将兵属性验证!M69</f>
        <v>191.60963146850915</v>
      </c>
      <c r="AS69" s="29">
        <f>[2]小r将兵属性验证!M69</f>
        <v>195.22136690145527</v>
      </c>
      <c r="AT69" s="29">
        <f>[2]中r将兵属性验证!M69</f>
        <v>205.31298551211759</v>
      </c>
      <c r="AU69" s="29">
        <f>[2]大r将兵属性验证!M69</f>
        <v>231.67949384708194</v>
      </c>
      <c r="AV69" s="29">
        <f>[2]超r将兵属性验证!M69</f>
        <v>247.96996901320989</v>
      </c>
    </row>
    <row r="70" spans="2:48" x14ac:dyDescent="0.2">
      <c r="B70" s="26">
        <f>[1]节奏总纲!N67</f>
        <v>74</v>
      </c>
      <c r="C70" s="26">
        <v>64</v>
      </c>
      <c r="D70" s="26">
        <f>[1]节奏总纲!P67</f>
        <v>83.4485062894652</v>
      </c>
      <c r="E70" s="26">
        <f>[1]节奏总纲!Q67</f>
        <v>72.399924056740005</v>
      </c>
      <c r="F70" s="26">
        <f>[1]节奏总纲!R67</f>
        <v>59.365267374325548</v>
      </c>
      <c r="G70" s="26">
        <f>[1]节奏总纲!S67</f>
        <v>43.718672445050821</v>
      </c>
      <c r="H70" s="26">
        <f>[1]节奏总纲!T67</f>
        <v>24.341929284637001</v>
      </c>
      <c r="K70" s="26">
        <v>64</v>
      </c>
      <c r="L70" s="26">
        <f>[1]节奏总纲!AD67</f>
        <v>60.217698846451768</v>
      </c>
      <c r="M70" s="26">
        <f>[1]节奏总纲!AE67</f>
        <v>62.250054995811666</v>
      </c>
      <c r="N70" s="26">
        <f>[1]节奏总纲!AF67</f>
        <v>65.042129882798193</v>
      </c>
      <c r="O70" s="26">
        <f>[1]节奏总纲!AG67</f>
        <v>69.56138346626544</v>
      </c>
      <c r="P70" s="26">
        <f>[1]节奏总纲!AH67</f>
        <v>78.077870469399883</v>
      </c>
      <c r="S70" s="26">
        <v>64</v>
      </c>
      <c r="T70" s="26">
        <f>[2]各R部队能量汇总!E70</f>
        <v>1313625741</v>
      </c>
      <c r="U70" s="26">
        <f>[2]各R部队能量汇总!F70</f>
        <v>1389104732</v>
      </c>
      <c r="V70" s="26">
        <f>[2]各R部队能量汇总!G70</f>
        <v>1678423324</v>
      </c>
      <c r="W70" s="26">
        <f>[2]各R部队能量汇总!H70</f>
        <v>2243664264</v>
      </c>
      <c r="X70" s="26">
        <f>[2]各R部队能量汇总!I70</f>
        <v>2698805348</v>
      </c>
      <c r="AA70" s="27">
        <v>64</v>
      </c>
      <c r="AB70" s="28">
        <f>[2]各R部队能量汇总!K70</f>
        <v>1</v>
      </c>
      <c r="AC70" s="28">
        <f>[2]各R部队能量汇总!L70</f>
        <v>1.0574585200671702</v>
      </c>
      <c r="AD70" s="28">
        <f>[2]各R部队能量汇总!M70</f>
        <v>1.2777028278406735</v>
      </c>
      <c r="AE70" s="28">
        <f>[2]各R部队能量汇总!N70</f>
        <v>1.7079935281201224</v>
      </c>
      <c r="AF70" s="28">
        <f>[2]各R部队能量汇总!O70</f>
        <v>2.0544705114757642</v>
      </c>
      <c r="AI70" s="27">
        <v>64</v>
      </c>
      <c r="AJ70" s="28">
        <f>[1]服务器生态!W85</f>
        <v>247.40822412000006</v>
      </c>
      <c r="AK70" s="28">
        <f>[1]服务器生态!X85</f>
        <v>223.07143755934285</v>
      </c>
      <c r="AL70" s="28">
        <f>[1]服务器生态!Y85</f>
        <v>18.800815973990403</v>
      </c>
      <c r="AM70" s="28">
        <f>[1]服务器生态!Z85</f>
        <v>3.1833260800000005</v>
      </c>
      <c r="AN70" s="28">
        <f>[1]服务器生态!AA85</f>
        <v>0.8695295999999999</v>
      </c>
      <c r="AQ70" s="26">
        <v>64</v>
      </c>
      <c r="AR70" s="29">
        <f>[2]非r将兵属性验证!M70</f>
        <v>194.82771464869239</v>
      </c>
      <c r="AS70" s="29">
        <f>[2]小r将兵属性验证!M70</f>
        <v>198.4785710851387</v>
      </c>
      <c r="AT70" s="29">
        <f>[2]中r将兵属性验证!M70</f>
        <v>208.73814783742458</v>
      </c>
      <c r="AU70" s="29">
        <f>[2]大r将兵属性验证!M70</f>
        <v>234.70941800573675</v>
      </c>
      <c r="AV70" s="29">
        <f>[2]超r将兵属性验证!M70</f>
        <v>250.6387580963943</v>
      </c>
    </row>
    <row r="71" spans="2:48" x14ac:dyDescent="0.2">
      <c r="B71" s="26">
        <f>[1]节奏总纲!N68</f>
        <v>75</v>
      </c>
      <c r="C71" s="26">
        <v>65</v>
      </c>
      <c r="D71" s="26">
        <f>[1]节奏总纲!P68</f>
        <v>89.509667991878061</v>
      </c>
      <c r="E71" s="26">
        <f>[1]节奏总纲!Q68</f>
        <v>77.64963698295422</v>
      </c>
      <c r="F71" s="26">
        <f>[1]节奏总纲!R68</f>
        <v>63.802491344610679</v>
      </c>
      <c r="G71" s="26">
        <f>[1]节奏总纲!S68</f>
        <v>46.929918928141667</v>
      </c>
      <c r="H71" s="26">
        <f>[1]节奏总纲!T68</f>
        <v>25.993607584841389</v>
      </c>
      <c r="K71" s="26">
        <v>65</v>
      </c>
      <c r="L71" s="26">
        <f>[1]节奏总纲!AD68</f>
        <v>60.435397692903535</v>
      </c>
      <c r="M71" s="26">
        <f>[1]节奏总纲!AE68</f>
        <v>62.466172543912634</v>
      </c>
      <c r="N71" s="26">
        <f>[1]节奏总纲!AF68</f>
        <v>65.255436396961542</v>
      </c>
      <c r="O71" s="26">
        <f>[1]节奏总纲!AG68</f>
        <v>69.789153385637391</v>
      </c>
      <c r="P71" s="26">
        <f>[1]节奏总纲!AH68</f>
        <v>78.301575047908599</v>
      </c>
      <c r="S71" s="26">
        <v>65</v>
      </c>
      <c r="T71" s="26">
        <f>[2]各R部队能量汇总!E71</f>
        <v>1429406695</v>
      </c>
      <c r="U71" s="26">
        <f>[2]各R部队能量汇总!F71</f>
        <v>1510284657</v>
      </c>
      <c r="V71" s="26">
        <f>[2]各R部队能量汇总!G71</f>
        <v>1826357336</v>
      </c>
      <c r="W71" s="26">
        <f>[2]各R部队能量汇总!H71</f>
        <v>2421912334</v>
      </c>
      <c r="X71" s="26">
        <f>[2]各R部队能量汇总!I71</f>
        <v>2893239327</v>
      </c>
      <c r="AA71" s="27">
        <v>65</v>
      </c>
      <c r="AB71" s="28">
        <f>[2]各R部队能量汇总!K71</f>
        <v>1</v>
      </c>
      <c r="AC71" s="28">
        <f>[2]各R部队能量汇总!L71</f>
        <v>1.0565814909660822</v>
      </c>
      <c r="AD71" s="28">
        <f>[2]各R部队能量汇总!M71</f>
        <v>1.2777030794584323</v>
      </c>
      <c r="AE71" s="28">
        <f>[2]各R部队能量汇总!N71</f>
        <v>1.6943479714148113</v>
      </c>
      <c r="AF71" s="28">
        <f>[2]各R部队能量汇总!O71</f>
        <v>2.0240840742669111</v>
      </c>
      <c r="AI71" s="27">
        <v>65</v>
      </c>
      <c r="AJ71" s="28">
        <f>[1]服务器生态!W86</f>
        <v>246.1586734687501</v>
      </c>
      <c r="AK71" s="28">
        <f>[1]服务器生态!X86</f>
        <v>222.7100790441566</v>
      </c>
      <c r="AL71" s="28">
        <f>[1]服务器生态!Y86</f>
        <v>18.746649653760002</v>
      </c>
      <c r="AM71" s="28">
        <f>[1]服务器生态!Z86</f>
        <v>3.1804245000000009</v>
      </c>
      <c r="AN71" s="28">
        <f>[1]服务器生态!AA86</f>
        <v>0.87083999999999984</v>
      </c>
      <c r="AQ71" s="26">
        <v>65</v>
      </c>
      <c r="AR71" s="29">
        <f>[2]非r将兵属性验证!M71</f>
        <v>198.04579782887566</v>
      </c>
      <c r="AS71" s="29">
        <f>[2]小r将兵属性验证!M71</f>
        <v>201.69435531810859</v>
      </c>
      <c r="AT71" s="29">
        <f>[2]中r将兵属性验证!M71</f>
        <v>212.11019389022377</v>
      </c>
      <c r="AU71" s="29">
        <f>[2]大r将兵属性验证!M71</f>
        <v>237.60720645290635</v>
      </c>
      <c r="AV71" s="29">
        <f>[2]超r将兵属性验证!M71</f>
        <v>253.21884683900791</v>
      </c>
    </row>
    <row r="72" spans="2:48" x14ac:dyDescent="0.2">
      <c r="B72" s="26">
        <f>[1]节奏总纲!N69</f>
        <v>76</v>
      </c>
      <c r="C72" s="26">
        <v>66</v>
      </c>
      <c r="D72" s="26">
        <f>[1]节奏总纲!P69</f>
        <v>96.005860256665443</v>
      </c>
      <c r="E72" s="26">
        <f>[1]节奏总纲!Q69</f>
        <v>83.352287874836932</v>
      </c>
      <c r="F72" s="26">
        <f>[1]节奏总纲!R69</f>
        <v>68.490580707105124</v>
      </c>
      <c r="G72" s="26">
        <f>[1]节奏总纲!S69</f>
        <v>50.163061984107692</v>
      </c>
      <c r="H72" s="26">
        <f>[1]节奏总纲!T69</f>
        <v>27.851300060458648</v>
      </c>
      <c r="K72" s="26">
        <v>66</v>
      </c>
      <c r="L72" s="26">
        <f>[1]节奏总纲!AD69</f>
        <v>60.653096539355303</v>
      </c>
      <c r="M72" s="26">
        <f>[1]节奏总纲!AE69</f>
        <v>62.682290092013595</v>
      </c>
      <c r="N72" s="26">
        <f>[1]节奏总纲!AF69</f>
        <v>65.468742911124906</v>
      </c>
      <c r="O72" s="26">
        <f>[1]节奏总纲!AG69</f>
        <v>70.015851474333999</v>
      </c>
      <c r="P72" s="26">
        <f>[1]节奏总纲!AH69</f>
        <v>78.525279626417301</v>
      </c>
      <c r="S72" s="26">
        <v>66</v>
      </c>
      <c r="T72" s="26">
        <f>[2]各R部队能量汇总!E72</f>
        <v>1550273537</v>
      </c>
      <c r="U72" s="26">
        <f>[2]各R部队能量汇总!F72</f>
        <v>1637741985</v>
      </c>
      <c r="V72" s="26">
        <f>[2]各R部队能量汇总!G72</f>
        <v>1981763574</v>
      </c>
      <c r="W72" s="26">
        <f>[2]各R部队能量汇总!H72</f>
        <v>2601155347</v>
      </c>
      <c r="X72" s="26">
        <f>[2]各R部队能量汇总!I72</f>
        <v>3103003436</v>
      </c>
      <c r="AA72" s="27">
        <v>66</v>
      </c>
      <c r="AB72" s="28">
        <f>[2]各R部队能量汇总!K72</f>
        <v>1</v>
      </c>
      <c r="AC72" s="28">
        <f>[2]各R部队能量汇总!L72</f>
        <v>1.0564212997980111</v>
      </c>
      <c r="AD72" s="28">
        <f>[2]各R部队能量汇总!M72</f>
        <v>1.2783315503372357</v>
      </c>
      <c r="AE72" s="28">
        <f>[2]各R部队能量汇总!N72</f>
        <v>1.6778686373203571</v>
      </c>
      <c r="AF72" s="28">
        <f>[2]各R部队能量汇总!O72</f>
        <v>2.0015844700572991</v>
      </c>
      <c r="AI72" s="27">
        <v>66</v>
      </c>
      <c r="AJ72" s="28">
        <f>[1]服务器生态!W87</f>
        <v>244.91192764500008</v>
      </c>
      <c r="AK72" s="28">
        <f>[1]服务器生态!X87</f>
        <v>222.34606113096154</v>
      </c>
      <c r="AL72" s="28">
        <f>[1]服务器生态!Y87</f>
        <v>18.692419944038399</v>
      </c>
      <c r="AM72" s="28">
        <f>[1]服务器生态!Z87</f>
        <v>3.1774696800000006</v>
      </c>
      <c r="AN72" s="28">
        <f>[1]服务器生态!AA87</f>
        <v>0.87212159999999983</v>
      </c>
      <c r="AQ72" s="26">
        <v>66</v>
      </c>
      <c r="AR72" s="29">
        <f>[2]非r将兵属性验证!M72</f>
        <v>201.01070410890674</v>
      </c>
      <c r="AS72" s="29">
        <f>[2]小r将兵属性验证!M72</f>
        <v>204.76241905668783</v>
      </c>
      <c r="AT72" s="29">
        <f>[2]中r将兵属性验证!M72</f>
        <v>215.24165984214727</v>
      </c>
      <c r="AU72" s="29">
        <f>[2]大r将兵属性验证!M72</f>
        <v>240.27809542674575</v>
      </c>
      <c r="AV72" s="29">
        <f>[2]超r将兵属性验证!M72</f>
        <v>255.78722003886358</v>
      </c>
    </row>
    <row r="73" spans="2:48" x14ac:dyDescent="0.2">
      <c r="B73" s="26">
        <f>[1]节奏总纲!N70</f>
        <v>77</v>
      </c>
      <c r="C73" s="26">
        <v>67</v>
      </c>
      <c r="D73" s="26">
        <f>[1]节奏总纲!P70</f>
        <v>102.96830673359811</v>
      </c>
      <c r="E73" s="26">
        <f>[1]节奏总纲!Q70</f>
        <v>89.469161720823394</v>
      </c>
      <c r="F73" s="26">
        <f>[1]节奏总纲!R70</f>
        <v>73.292840732975137</v>
      </c>
      <c r="G73" s="26">
        <f>[1]节奏总纲!S70</f>
        <v>53.625894146857902</v>
      </c>
      <c r="H73" s="26">
        <f>[1]节奏总纲!T70</f>
        <v>29.799027968703292</v>
      </c>
      <c r="K73" s="26">
        <v>67</v>
      </c>
      <c r="L73" s="26">
        <f>[1]节奏总纲!AD70</f>
        <v>60.870795385807064</v>
      </c>
      <c r="M73" s="26">
        <f>[1]节奏总纲!AE70</f>
        <v>62.898407640114556</v>
      </c>
      <c r="N73" s="26">
        <f>[1]节奏总纲!AF70</f>
        <v>65.682049425288255</v>
      </c>
      <c r="O73" s="26">
        <f>[1]节奏总纲!AG70</f>
        <v>70.229195678021767</v>
      </c>
      <c r="P73" s="26">
        <f>[1]节奏总纲!AH70</f>
        <v>78.748984204926018</v>
      </c>
      <c r="S73" s="26">
        <v>67</v>
      </c>
      <c r="T73" s="26">
        <f>[2]各R部队能量汇总!E73</f>
        <v>1679422774</v>
      </c>
      <c r="U73" s="26">
        <f>[2]各R部队能量汇总!F73</f>
        <v>1774899716</v>
      </c>
      <c r="V73" s="26">
        <f>[2]各R部队能量汇总!G73</f>
        <v>2139322000</v>
      </c>
      <c r="W73" s="26">
        <f>[2]各R部队能量汇总!H73</f>
        <v>2795198291</v>
      </c>
      <c r="X73" s="26">
        <f>[2]各R部队能量汇总!I73</f>
        <v>3327211153</v>
      </c>
      <c r="AA73" s="27">
        <v>67</v>
      </c>
      <c r="AB73" s="28">
        <f>[2]各R部队能量汇总!K73</f>
        <v>1</v>
      </c>
      <c r="AC73" s="28">
        <f>[2]各R部队能量汇总!L73</f>
        <v>1.0568510463702929</v>
      </c>
      <c r="AD73" s="28">
        <f>[2]各R部队能量汇总!M73</f>
        <v>1.2738436283703749</v>
      </c>
      <c r="AE73" s="28">
        <f>[2]各R部队能量汇总!N73</f>
        <v>1.6643803658458665</v>
      </c>
      <c r="AF73" s="28">
        <f>[2]各R部队能量汇总!O73</f>
        <v>1.9811635310121143</v>
      </c>
      <c r="AI73" s="27">
        <v>67</v>
      </c>
      <c r="AJ73" s="28">
        <f>[1]服务器生态!W88</f>
        <v>243.66798664875006</v>
      </c>
      <c r="AK73" s="28">
        <f>[1]服务器生态!X88</f>
        <v>221.97938381975766</v>
      </c>
      <c r="AL73" s="28">
        <f>[1]服务器生态!Y88</f>
        <v>18.638126844825603</v>
      </c>
      <c r="AM73" s="28">
        <f>[1]服务器生态!Z88</f>
        <v>3.1744616200000007</v>
      </c>
      <c r="AN73" s="28">
        <f>[1]服务器生态!AA88</f>
        <v>0.87337439999999977</v>
      </c>
      <c r="AQ73" s="26">
        <v>67</v>
      </c>
      <c r="AR73" s="29">
        <f>[2]非r将兵属性验证!M73</f>
        <v>203.95494045448103</v>
      </c>
      <c r="AS73" s="29">
        <f>[2]小r将兵属性验证!M73</f>
        <v>207.83048279526705</v>
      </c>
      <c r="AT73" s="29">
        <f>[2]中r将兵属性验证!M73</f>
        <v>218.17567143330973</v>
      </c>
      <c r="AU73" s="29">
        <f>[2]大r将兵属性验证!M73</f>
        <v>242.94898440058518</v>
      </c>
      <c r="AV73" s="29">
        <f>[2]超r将兵属性验证!M73</f>
        <v>258.35559323871922</v>
      </c>
    </row>
    <row r="74" spans="2:48" x14ac:dyDescent="0.2">
      <c r="B74" s="26">
        <f>[1]节奏总纲!N71</f>
        <v>78</v>
      </c>
      <c r="C74" s="26">
        <v>68</v>
      </c>
      <c r="D74" s="26">
        <f>[1]节奏总纲!P71</f>
        <v>110.43047210190386</v>
      </c>
      <c r="E74" s="26">
        <f>[1]节奏总纲!Q71</f>
        <v>95.831563690032169</v>
      </c>
      <c r="F74" s="26">
        <f>[1]节奏总纲!R71</f>
        <v>78.251032531409081</v>
      </c>
      <c r="G74" s="26">
        <f>[1]节奏总纲!S71</f>
        <v>57.412802445779818</v>
      </c>
      <c r="H74" s="26">
        <f>[1]节奏总纲!T71</f>
        <v>31.859191201399263</v>
      </c>
      <c r="K74" s="26">
        <v>68</v>
      </c>
      <c r="L74" s="26">
        <f>[1]节奏总纲!AD71</f>
        <v>61.082568038258209</v>
      </c>
      <c r="M74" s="26">
        <f>[1]节奏总纲!AE71</f>
        <v>63.107492392331935</v>
      </c>
      <c r="N74" s="26">
        <f>[1]节奏总纲!AF71</f>
        <v>65.895355939451605</v>
      </c>
      <c r="O74" s="26">
        <f>[1]节奏总纲!AG71</f>
        <v>70.442539881709536</v>
      </c>
      <c r="P74" s="26">
        <f>[1]节奏总纲!AH71</f>
        <v>78.972688783434734</v>
      </c>
      <c r="S74" s="26">
        <v>68</v>
      </c>
      <c r="T74" s="26">
        <f>[2]各R部队能量汇总!E74</f>
        <v>1817591574</v>
      </c>
      <c r="U74" s="26">
        <f>[2]各R部队能量汇总!F74</f>
        <v>1918344603</v>
      </c>
      <c r="V74" s="26">
        <f>[2]各R部队能量汇总!G74</f>
        <v>2306482655</v>
      </c>
      <c r="W74" s="26">
        <f>[2]各R部队能量汇总!H74</f>
        <v>3000762823</v>
      </c>
      <c r="X74" s="26">
        <f>[2]各R部队能量汇总!I74</f>
        <v>3565597513</v>
      </c>
      <c r="AA74" s="27">
        <v>68</v>
      </c>
      <c r="AB74" s="28">
        <f>[2]各R部队能量汇总!K74</f>
        <v>1</v>
      </c>
      <c r="AC74" s="28">
        <f>[2]各R部队能量汇总!L74</f>
        <v>1.0554321611308262</v>
      </c>
      <c r="AD74" s="28">
        <f>[2]各R部队能量汇总!M74</f>
        <v>1.2689774138444592</v>
      </c>
      <c r="AE74" s="28">
        <f>[2]各R部队能量汇总!N74</f>
        <v>1.650955509436137</v>
      </c>
      <c r="AF74" s="28">
        <f>[2]各R部队能量汇总!O74</f>
        <v>1.9617154722791426</v>
      </c>
      <c r="AI74" s="27">
        <v>68</v>
      </c>
      <c r="AJ74" s="28">
        <f>[1]服务器生态!W89</f>
        <v>242.42685048000007</v>
      </c>
      <c r="AK74" s="28">
        <f>[1]服务器生态!X89</f>
        <v>221.610047110545</v>
      </c>
      <c r="AL74" s="28">
        <f>[1]服务器生态!Y89</f>
        <v>18.583770356121605</v>
      </c>
      <c r="AM74" s="28">
        <f>[1]服务器生态!Z89</f>
        <v>3.1714003200000014</v>
      </c>
      <c r="AN74" s="28">
        <f>[1]服务器生态!AA89</f>
        <v>0.87459839999999989</v>
      </c>
      <c r="AQ74" s="26">
        <v>68</v>
      </c>
      <c r="AR74" s="29">
        <f>[2]非r将兵属性验证!M74</f>
        <v>206.89917680005536</v>
      </c>
      <c r="AS74" s="29">
        <f>[2]小r将兵属性验证!M74</f>
        <v>210.77037680682821</v>
      </c>
      <c r="AT74" s="29">
        <f>[2]中r将兵属性验证!M74</f>
        <v>221.07428509493937</v>
      </c>
      <c r="AU74" s="29">
        <f>[2]大r将兵属性验证!M74</f>
        <v>245.6198733744246</v>
      </c>
      <c r="AV74" s="29">
        <f>[2]超r将兵属性验证!M74</f>
        <v>260.92396643857489</v>
      </c>
    </row>
    <row r="75" spans="2:48" x14ac:dyDescent="0.2">
      <c r="B75" s="26">
        <f>[1]节奏总纲!N72</f>
        <v>79</v>
      </c>
      <c r="C75" s="26">
        <v>69</v>
      </c>
      <c r="D75" s="26">
        <f>[1]节奏总纲!P72</f>
        <v>118.42822291671132</v>
      </c>
      <c r="E75" s="26">
        <f>[1]节奏总纲!Q72</f>
        <v>102.51146975670532</v>
      </c>
      <c r="F75" s="26">
        <f>[1]节奏总纲!R72</f>
        <v>83.894553114198303</v>
      </c>
      <c r="G75" s="26">
        <f>[1]节奏总纲!S72</f>
        <v>61.535304627523196</v>
      </c>
      <c r="H75" s="26">
        <f>[1]节奏总纲!T72</f>
        <v>34.059956910846175</v>
      </c>
      <c r="K75" s="26">
        <v>69</v>
      </c>
      <c r="L75" s="26">
        <f>[1]节奏总纲!AD72</f>
        <v>61.285688244217212</v>
      </c>
      <c r="M75" s="26">
        <f>[1]节奏总纲!AE72</f>
        <v>63.310338531528565</v>
      </c>
      <c r="N75" s="26">
        <f>[1]节奏总纲!AF72</f>
        <v>66.106079073217742</v>
      </c>
      <c r="O75" s="26">
        <f>[1]节奏总纲!AG72</f>
        <v>70.655884085397304</v>
      </c>
      <c r="P75" s="26">
        <f>[1]节奏总纲!AH72</f>
        <v>79.188599387584361</v>
      </c>
      <c r="S75" s="26">
        <v>69</v>
      </c>
      <c r="T75" s="26">
        <f>[2]各R部队能量汇总!E75</f>
        <v>1964274054</v>
      </c>
      <c r="U75" s="26">
        <f>[2]各R部队能量汇总!F75</f>
        <v>2068850728</v>
      </c>
      <c r="V75" s="26">
        <f>[2]各R部队能量汇总!G75</f>
        <v>2487561946</v>
      </c>
      <c r="W75" s="26">
        <f>[2]各R部队能量汇总!H75</f>
        <v>3222234645</v>
      </c>
      <c r="X75" s="26">
        <f>[2]各R部队能量汇总!I75</f>
        <v>3815610369</v>
      </c>
      <c r="AA75" s="27">
        <v>69</v>
      </c>
      <c r="AB75" s="28">
        <f>[2]各R部队能量汇总!K75</f>
        <v>1</v>
      </c>
      <c r="AC75" s="28">
        <f>[2]各R部队能量汇总!L75</f>
        <v>1.0532393500728896</v>
      </c>
      <c r="AD75" s="28">
        <f>[2]各R部队能量汇总!M75</f>
        <v>1.2664026900596632</v>
      </c>
      <c r="AE75" s="28">
        <f>[2]各R部队能量汇总!N75</f>
        <v>1.6404201024996077</v>
      </c>
      <c r="AF75" s="28">
        <f>[2]各R部队能量汇总!O75</f>
        <v>1.9425040824776887</v>
      </c>
      <c r="AI75" s="27">
        <v>69</v>
      </c>
      <c r="AJ75" s="28">
        <f>[1]服务器生态!W90</f>
        <v>241.18851913875008</v>
      </c>
      <c r="AK75" s="28">
        <f>[1]服务器生态!X90</f>
        <v>221.23805100332353</v>
      </c>
      <c r="AL75" s="28">
        <f>[1]服务器生态!Y90</f>
        <v>18.5293504779264</v>
      </c>
      <c r="AM75" s="28">
        <f>[1]服务器生态!Z90</f>
        <v>3.1682857800000011</v>
      </c>
      <c r="AN75" s="28">
        <f>[1]服务器生态!AA90</f>
        <v>0.87579359999999995</v>
      </c>
      <c r="AQ75" s="26">
        <v>69</v>
      </c>
      <c r="AR75" s="29">
        <f>[2]非r将兵属性验证!M75</f>
        <v>209.75628858247299</v>
      </c>
      <c r="AS75" s="29">
        <f>[2]小r将兵属性验证!M75</f>
        <v>213.59450933629563</v>
      </c>
      <c r="AT75" s="29">
        <f>[2]中r将兵属性验证!M75</f>
        <v>223.97289875656901</v>
      </c>
      <c r="AU75" s="29">
        <f>[2]大r将兵属性验证!M75</f>
        <v>248.23534016632502</v>
      </c>
      <c r="AV75" s="29">
        <f>[2]超r将兵属性验证!M75</f>
        <v>263.43116664995398</v>
      </c>
    </row>
    <row r="76" spans="2:48" x14ac:dyDescent="0.2">
      <c r="B76" s="26">
        <f>[1]节奏总纲!N73</f>
        <v>80</v>
      </c>
      <c r="C76" s="26">
        <v>70</v>
      </c>
      <c r="D76" s="26">
        <f>[1]节奏总纲!P73</f>
        <v>127</v>
      </c>
      <c r="E76" s="26">
        <f>[1]节奏总纲!Q73</f>
        <v>109.9693</v>
      </c>
      <c r="F76" s="26">
        <f>[1]节奏总纲!R73</f>
        <v>90.106499999999997</v>
      </c>
      <c r="G76" s="26">
        <f>[1]节奏总纲!S73</f>
        <v>65.925700000000006</v>
      </c>
      <c r="H76" s="26">
        <f>[1]节奏总纲!T73</f>
        <v>36.4998</v>
      </c>
      <c r="K76" s="26">
        <v>70</v>
      </c>
      <c r="L76" s="26">
        <f>[1]节奏总纲!AD73</f>
        <v>61.488808450176215</v>
      </c>
      <c r="M76" s="26">
        <f>[1]节奏总纲!AE73</f>
        <v>63.513184670725188</v>
      </c>
      <c r="N76" s="26">
        <f>[1]节奏总纲!AF73</f>
        <v>66.314314361313961</v>
      </c>
      <c r="O76" s="26">
        <f>[1]节奏总纲!AG73</f>
        <v>70.869228289085072</v>
      </c>
      <c r="P76" s="26">
        <f>[1]节奏总纲!AH73</f>
        <v>79.403426131671111</v>
      </c>
      <c r="S76" s="26">
        <v>70</v>
      </c>
      <c r="T76" s="26">
        <f>[2]各R部队能量汇总!E76</f>
        <v>2118071735</v>
      </c>
      <c r="U76" s="26">
        <f>[2]各R部队能量汇总!F76</f>
        <v>2227984230</v>
      </c>
      <c r="V76" s="26">
        <f>[2]各R部队能量汇总!G76</f>
        <v>2680809367</v>
      </c>
      <c r="W76" s="26">
        <f>[2]各R部队能量汇总!H76</f>
        <v>3452418198</v>
      </c>
      <c r="X76" s="26">
        <f>[2]各R部队能量汇总!I76</f>
        <v>4083922139</v>
      </c>
      <c r="AA76" s="27">
        <v>70</v>
      </c>
      <c r="AB76" s="28">
        <f>[2]各R部队能量汇总!K76</f>
        <v>1</v>
      </c>
      <c r="AC76" s="28">
        <f>[2]各R部队能量汇总!L76</f>
        <v>1.0518927159943428</v>
      </c>
      <c r="AD76" s="28">
        <f>[2]各R部队能量汇总!M76</f>
        <v>1.2656839344489907</v>
      </c>
      <c r="AE76" s="28">
        <f>[2]各R部队能量汇总!N76</f>
        <v>1.629981714476729</v>
      </c>
      <c r="AF76" s="28">
        <f>[2]各R部队能量汇总!O76</f>
        <v>1.9281321173005503</v>
      </c>
      <c r="AI76" s="27">
        <v>70</v>
      </c>
      <c r="AJ76" s="28">
        <f>[1]服务器生态!W91</f>
        <v>239.95299262500004</v>
      </c>
      <c r="AK76" s="28">
        <f>[1]服务器生态!X91</f>
        <v>220.86339549809324</v>
      </c>
      <c r="AL76" s="28">
        <f>[1]服务器生态!Y91</f>
        <v>18.474867210239999</v>
      </c>
      <c r="AM76" s="28">
        <f>[1]服务器生态!Z91</f>
        <v>3.165118000000001</v>
      </c>
      <c r="AN76" s="28">
        <f>[1]服务器生态!AA91</f>
        <v>0.87695999999999985</v>
      </c>
      <c r="AQ76" s="26">
        <v>70</v>
      </c>
      <c r="AR76" s="29">
        <f>[2]非r将兵属性验证!M76</f>
        <v>212.50022361706976</v>
      </c>
      <c r="AS76" s="29">
        <f>[2]小r将兵属性验证!M76</f>
        <v>216.25697942317362</v>
      </c>
      <c r="AT76" s="29">
        <f>[2]中r将兵属性验证!M76</f>
        <v>226.79878252670417</v>
      </c>
      <c r="AU76" s="29">
        <f>[2]大r将兵属性验证!M76</f>
        <v>250.75741302780168</v>
      </c>
      <c r="AV76" s="29">
        <f>[2]超r将兵属性验证!M76</f>
        <v>265.87252769110205</v>
      </c>
    </row>
    <row r="77" spans="2:48" x14ac:dyDescent="0.2">
      <c r="B77" s="26">
        <f>[1]节奏总纲!N74</f>
        <v>81</v>
      </c>
      <c r="C77" s="26">
        <v>71</v>
      </c>
      <c r="D77" s="26">
        <f>[1]节奏总纲!P74</f>
        <v>136.18700320464549</v>
      </c>
      <c r="E77" s="26">
        <f>[1]节奏总纲!Q74</f>
        <v>118.03327567746625</v>
      </c>
      <c r="F77" s="26">
        <f>[1]节奏总纲!R74</f>
        <v>96.583822672734584</v>
      </c>
      <c r="G77" s="26">
        <f>[1]节奏总纲!S74</f>
        <v>70.612961161608681</v>
      </c>
      <c r="H77" s="26">
        <f>[1]节奏总纲!T74</f>
        <v>39.126526020694648</v>
      </c>
      <c r="K77" s="26">
        <v>71</v>
      </c>
      <c r="L77" s="26">
        <f>[1]节奏总纲!AD74</f>
        <v>61.691928656135218</v>
      </c>
      <c r="M77" s="26">
        <f>[1]节奏总纲!AE74</f>
        <v>63.716030809921811</v>
      </c>
      <c r="N77" s="26">
        <f>[1]节奏总纲!AF74</f>
        <v>66.52254964941018</v>
      </c>
      <c r="O77" s="26">
        <f>[1]节奏总纲!AG74</f>
        <v>71.07781362467729</v>
      </c>
      <c r="P77" s="26">
        <f>[1]节奏总纲!AH74</f>
        <v>79.618252875757847</v>
      </c>
      <c r="S77" s="26">
        <v>71</v>
      </c>
      <c r="T77" s="26">
        <f>[2]各R部队能量汇总!E77</f>
        <v>2276926031</v>
      </c>
      <c r="U77" s="26">
        <f>[2]各R部队能量汇总!F77</f>
        <v>2394037986</v>
      </c>
      <c r="V77" s="26">
        <f>[2]各R部队能量汇总!G77</f>
        <v>2876837386</v>
      </c>
      <c r="W77" s="26">
        <f>[2]各R部队能量汇总!H77</f>
        <v>3702000570</v>
      </c>
      <c r="X77" s="26">
        <f>[2]各R部队能量汇总!I77</f>
        <v>4369877403</v>
      </c>
      <c r="AA77" s="27">
        <v>71</v>
      </c>
      <c r="AB77" s="28">
        <f>[2]各R部队能量汇总!K77</f>
        <v>1</v>
      </c>
      <c r="AC77" s="28">
        <f>[2]各R部队能量汇总!L77</f>
        <v>1.0514342378301003</v>
      </c>
      <c r="AD77" s="28">
        <f>[2]各R部队能量汇总!M77</f>
        <v>1.2634742397567151</v>
      </c>
      <c r="AE77" s="28">
        <f>[2]各R部队能量汇总!N77</f>
        <v>1.6258765193062172</v>
      </c>
      <c r="AF77" s="28">
        <f>[2]各R部队能量汇总!O77</f>
        <v>1.9192004235116937</v>
      </c>
      <c r="AI77" s="27">
        <v>71</v>
      </c>
      <c r="AJ77" s="28">
        <f>[1]服务器生态!W92</f>
        <v>238.72027093875008</v>
      </c>
      <c r="AK77" s="28">
        <f>[1]服务器生态!X92</f>
        <v>220.4860805948542</v>
      </c>
      <c r="AL77" s="28">
        <f>[1]服务器生态!Y92</f>
        <v>18.420320553062403</v>
      </c>
      <c r="AM77" s="28">
        <f>[1]服务器生态!Z92</f>
        <v>3.1618969800000007</v>
      </c>
      <c r="AN77" s="28">
        <f>[1]服务器生态!AA92</f>
        <v>0.87809759999999992</v>
      </c>
      <c r="AQ77" s="26">
        <v>71</v>
      </c>
      <c r="AR77" s="29">
        <f>[2]非r将兵属性验证!M77</f>
        <v>214.9410891450554</v>
      </c>
      <c r="AS77" s="29">
        <f>[2]小r将兵属性验证!M77</f>
        <v>218.74234641939483</v>
      </c>
      <c r="AT77" s="29">
        <f>[2]中r将兵属性验证!M77</f>
        <v>229.33283965701366</v>
      </c>
      <c r="AU77" s="29">
        <f>[2]大r将兵属性验证!M77</f>
        <v>253.39548588927832</v>
      </c>
      <c r="AV77" s="29">
        <f>[2]超r将兵属性验证!M77</f>
        <v>268.42988873225011</v>
      </c>
    </row>
    <row r="78" spans="2:48" x14ac:dyDescent="0.2">
      <c r="B78" s="26">
        <f>[1]节奏总纲!N75</f>
        <v>82</v>
      </c>
      <c r="C78" s="26">
        <v>72</v>
      </c>
      <c r="D78" s="26">
        <f>[1]节奏总纲!P75</f>
        <v>146.03338943962044</v>
      </c>
      <c r="E78" s="26">
        <f>[1]节奏总纲!Q75</f>
        <v>126.581741966263</v>
      </c>
      <c r="F78" s="26">
        <f>[1]节奏总纲!R75</f>
        <v>103.31862302853146</v>
      </c>
      <c r="G78" s="26">
        <f>[1]节奏总纲!S75</f>
        <v>75.586882373947532</v>
      </c>
      <c r="H78" s="26">
        <f>[1]节奏总纲!T75</f>
        <v>41.896979430227098</v>
      </c>
      <c r="K78" s="26">
        <v>72</v>
      </c>
      <c r="L78" s="26">
        <f>[1]节奏总纲!AD75</f>
        <v>61.895048862094221</v>
      </c>
      <c r="M78" s="26">
        <f>[1]节奏总纲!AE75</f>
        <v>63.918876949118435</v>
      </c>
      <c r="N78" s="26">
        <f>[1]节奏总纲!AF75</f>
        <v>66.7307849375064</v>
      </c>
      <c r="O78" s="26">
        <f>[1]节奏总纲!AG75</f>
        <v>71.278862245535876</v>
      </c>
      <c r="P78" s="26">
        <f>[1]节奏总纲!AH75</f>
        <v>79.833079619844597</v>
      </c>
      <c r="S78" s="26">
        <v>72</v>
      </c>
      <c r="T78" s="26">
        <f>[2]各R部队能量汇总!E78</f>
        <v>2445223227</v>
      </c>
      <c r="U78" s="26">
        <f>[2]各R部队能量汇总!F78</f>
        <v>2572285198</v>
      </c>
      <c r="V78" s="26">
        <f>[2]各R部队能量汇总!G78</f>
        <v>3083735276</v>
      </c>
      <c r="W78" s="26">
        <f>[2]各R部队能量汇总!H78</f>
        <v>3962113362</v>
      </c>
      <c r="X78" s="26">
        <f>[2]各R部队能量汇总!I78</f>
        <v>4680965185</v>
      </c>
      <c r="AA78" s="27">
        <v>72</v>
      </c>
      <c r="AB78" s="28">
        <f>[2]各R部队能量汇总!K78</f>
        <v>1</v>
      </c>
      <c r="AC78" s="28">
        <f>[2]各R部队能量汇总!L78</f>
        <v>1.0519633420773162</v>
      </c>
      <c r="AD78" s="28">
        <f>[2]各R部队能量汇总!M78</f>
        <v>1.2611262816210767</v>
      </c>
      <c r="AE78" s="28">
        <f>[2]各R部队能量汇总!N78</f>
        <v>1.6203483257686231</v>
      </c>
      <c r="AF78" s="28">
        <f>[2]各R部队能量汇总!O78</f>
        <v>1.9143304109469756</v>
      </c>
      <c r="AI78" s="27">
        <v>72</v>
      </c>
      <c r="AJ78" s="28">
        <f>[1]服务器生态!W93</f>
        <v>237.49035408000006</v>
      </c>
      <c r="AK78" s="28">
        <f>[1]服务器生态!X93</f>
        <v>220.10610629360633</v>
      </c>
      <c r="AL78" s="28">
        <f>[1]服务器生态!Y93</f>
        <v>18.365710506393601</v>
      </c>
      <c r="AM78" s="28">
        <f>[1]服务器生态!Z93</f>
        <v>3.1586227200000008</v>
      </c>
      <c r="AN78" s="28">
        <f>[1]服务器生态!AA93</f>
        <v>0.87920639999999994</v>
      </c>
      <c r="AQ78" s="26">
        <v>72</v>
      </c>
      <c r="AR78" s="29">
        <f>[2]非r将兵属性验证!M78</f>
        <v>217.38195467304107</v>
      </c>
      <c r="AS78" s="29">
        <f>[2]小r将兵属性验证!M78</f>
        <v>221.22771341561608</v>
      </c>
      <c r="AT78" s="29">
        <f>[2]中r将兵属性验证!M78</f>
        <v>231.86689678732313</v>
      </c>
      <c r="AU78" s="29">
        <f>[2]大r将兵属性验证!M78</f>
        <v>256.06455781929435</v>
      </c>
      <c r="AV78" s="29">
        <f>[2]超r将兵属性验证!M78</f>
        <v>271.05621500607589</v>
      </c>
    </row>
    <row r="79" spans="2:48" x14ac:dyDescent="0.2">
      <c r="B79" s="26">
        <f>[1]节奏总纲!N76</f>
        <v>83</v>
      </c>
      <c r="C79" s="26">
        <v>73</v>
      </c>
      <c r="D79" s="26">
        <f>[1]节奏总纲!P76</f>
        <v>156.58648490814926</v>
      </c>
      <c r="E79" s="26">
        <f>[1]节奏总纲!Q76</f>
        <v>135.41599214856748</v>
      </c>
      <c r="F79" s="26">
        <f>[1]节奏总纲!R76</f>
        <v>110.58137564213501</v>
      </c>
      <c r="G79" s="26">
        <f>[1]节奏总纲!S76</f>
        <v>80.955212697513176</v>
      </c>
      <c r="H79" s="26">
        <f>[1]节奏总纲!T76</f>
        <v>44.877686574675579</v>
      </c>
      <c r="K79" s="26">
        <v>73</v>
      </c>
      <c r="L79" s="26">
        <f>[1]节奏总纲!AD76</f>
        <v>62.091594979242075</v>
      </c>
      <c r="M79" s="26">
        <f>[1]节奏总纲!AE76</f>
        <v>64.114306430026588</v>
      </c>
      <c r="N79" s="26">
        <f>[1]节奏总纲!AF76</f>
        <v>66.939020225602619</v>
      </c>
      <c r="O79" s="26">
        <f>[1]节奏总纲!AG76</f>
        <v>71.479910866394462</v>
      </c>
      <c r="P79" s="26">
        <f>[1]节奏总纲!AH76</f>
        <v>80.043898354812981</v>
      </c>
      <c r="S79" s="26">
        <v>73</v>
      </c>
      <c r="T79" s="26">
        <f>[2]各R部队能量汇总!E79</f>
        <v>2631247741</v>
      </c>
      <c r="U79" s="26">
        <f>[2]各R部队能量汇总!F79</f>
        <v>2760373243</v>
      </c>
      <c r="V79" s="26">
        <f>[2]各R部队能量汇总!G79</f>
        <v>3308045751</v>
      </c>
      <c r="W79" s="26">
        <f>[2]各R部队能量汇总!H79</f>
        <v>4248190111</v>
      </c>
      <c r="X79" s="26">
        <f>[2]各R部队能量汇总!I79</f>
        <v>5014993437</v>
      </c>
      <c r="AA79" s="27">
        <v>73</v>
      </c>
      <c r="AB79" s="28">
        <f>[2]各R部队能量汇总!K79</f>
        <v>1</v>
      </c>
      <c r="AC79" s="28">
        <f>[2]各R部队能量汇总!L79</f>
        <v>1.0490738671193789</v>
      </c>
      <c r="AD79" s="28">
        <f>[2]各R部队能量汇总!M79</f>
        <v>1.2572156165510984</v>
      </c>
      <c r="AE79" s="28">
        <f>[2]各R部队能量汇总!N79</f>
        <v>1.614515442542664</v>
      </c>
      <c r="AF79" s="28">
        <f>[2]各R部队能量汇总!O79</f>
        <v>1.9059373843278105</v>
      </c>
      <c r="AI79" s="27">
        <v>73</v>
      </c>
      <c r="AJ79" s="28">
        <f>[1]服务器生态!W94</f>
        <v>236.26324204875004</v>
      </c>
      <c r="AK79" s="28">
        <f>[1]服务器生态!X94</f>
        <v>219.72347259434966</v>
      </c>
      <c r="AL79" s="28">
        <f>[1]服务器生态!Y94</f>
        <v>18.311037070233599</v>
      </c>
      <c r="AM79" s="28">
        <f>[1]服务器生态!Z94</f>
        <v>3.1552952200000006</v>
      </c>
      <c r="AN79" s="28">
        <f>[1]服务器生态!AA94</f>
        <v>0.8802863999999998</v>
      </c>
      <c r="AQ79" s="26">
        <v>73</v>
      </c>
      <c r="AR79" s="29">
        <f>[2]非r将兵属性验证!M79</f>
        <v>220.02987815649661</v>
      </c>
      <c r="AS79" s="29">
        <f>[2]小r将兵属性验证!M79</f>
        <v>223.7678482999581</v>
      </c>
      <c r="AT79" s="29">
        <f>[2]中r将兵属性验证!M79</f>
        <v>234.51593959640576</v>
      </c>
      <c r="AU79" s="29">
        <f>[2]大r将兵属性验证!M79</f>
        <v>258.96535270381196</v>
      </c>
      <c r="AV79" s="29">
        <f>[2]超r将兵属性验证!M79</f>
        <v>273.90602513325109</v>
      </c>
    </row>
    <row r="80" spans="2:48" x14ac:dyDescent="0.2">
      <c r="B80" s="26">
        <f>[1]节奏总纲!N77</f>
        <v>84</v>
      </c>
      <c r="C80" s="26">
        <v>74</v>
      </c>
      <c r="D80" s="26">
        <f>[1]节奏总纲!P77</f>
        <v>167.89701257893043</v>
      </c>
      <c r="E80" s="26">
        <f>[1]节奏总纲!Q77</f>
        <v>145.16375707574326</v>
      </c>
      <c r="F80" s="26">
        <f>[1]节奏总纲!R77</f>
        <v>118.70318789330381</v>
      </c>
      <c r="G80" s="26">
        <f>[1]节奏总纲!S77</f>
        <v>86.869914308338593</v>
      </c>
      <c r="H80" s="26">
        <f>[1]节奏总纲!T77</f>
        <v>48.169652908895138</v>
      </c>
      <c r="K80" s="26">
        <v>74</v>
      </c>
      <c r="L80" s="26">
        <f>[1]节奏总纲!AD77</f>
        <v>62.281112832649576</v>
      </c>
      <c r="M80" s="26">
        <f>[1]节奏总纲!AE77</f>
        <v>64.304793036447776</v>
      </c>
      <c r="N80" s="26">
        <f>[1]节奏总纲!AF77</f>
        <v>67.14262442756818</v>
      </c>
      <c r="O80" s="26">
        <f>[1]节奏总纲!AG77</f>
        <v>71.680959487253048</v>
      </c>
      <c r="P80" s="26">
        <f>[1]节奏总纲!AH77</f>
        <v>80.24075196383977</v>
      </c>
      <c r="S80" s="26">
        <v>74</v>
      </c>
      <c r="T80" s="26">
        <f>[2]各R部队能量汇总!E80</f>
        <v>2830114230</v>
      </c>
      <c r="U80" s="26">
        <f>[2]各R部队能量汇总!F80</f>
        <v>2963975017</v>
      </c>
      <c r="V80" s="26">
        <f>[2]各R部队能量汇总!G80</f>
        <v>3548269663</v>
      </c>
      <c r="W80" s="26">
        <f>[2]各R部队能量汇总!H80</f>
        <v>4553735213</v>
      </c>
      <c r="X80" s="26">
        <f>[2]各R部队能量汇总!I80</f>
        <v>5374644887</v>
      </c>
      <c r="AA80" s="27">
        <v>74</v>
      </c>
      <c r="AB80" s="28">
        <f>[2]各R部队能量汇总!K80</f>
        <v>1</v>
      </c>
      <c r="AC80" s="28">
        <f>[2]各R部队能量汇总!L80</f>
        <v>1.0472987222851424</v>
      </c>
      <c r="AD80" s="28">
        <f>[2]各R部队能量汇总!M80</f>
        <v>1.2537549281182194</v>
      </c>
      <c r="AE80" s="28">
        <f>[2]各R部队能量汇总!N80</f>
        <v>1.6090287680720223</v>
      </c>
      <c r="AF80" s="28">
        <f>[2]各R部队能量汇总!O80</f>
        <v>1.8990911497589975</v>
      </c>
      <c r="AI80" s="27">
        <v>74</v>
      </c>
      <c r="AJ80" s="28">
        <f>[1]服务器生态!W95</f>
        <v>235.03893484500006</v>
      </c>
      <c r="AK80" s="28">
        <f>[1]服务器生态!X95</f>
        <v>219.33817949708421</v>
      </c>
      <c r="AL80" s="28">
        <f>[1]服务器生态!Y95</f>
        <v>18.256300244582402</v>
      </c>
      <c r="AM80" s="28">
        <f>[1]服务器生态!Z95</f>
        <v>3.1519144800000012</v>
      </c>
      <c r="AN80" s="28">
        <f>[1]服务器生态!AA95</f>
        <v>0.88133759999999994</v>
      </c>
      <c r="AQ80" s="26">
        <v>74</v>
      </c>
      <c r="AR80" s="29">
        <f>[2]非r将兵属性验证!M80</f>
        <v>222.80249915072332</v>
      </c>
      <c r="AS80" s="29">
        <f>[2]小r将兵属性验证!M80</f>
        <v>226.31433627969403</v>
      </c>
      <c r="AT80" s="29">
        <f>[2]中r将兵属性验证!M80</f>
        <v>237.19962158491907</v>
      </c>
      <c r="AU80" s="29">
        <f>[2]大r将兵属性验证!M80</f>
        <v>261.86359472509434</v>
      </c>
      <c r="AV80" s="29">
        <f>[2]超r将兵属性验证!M80</f>
        <v>276.7558352604263</v>
      </c>
    </row>
    <row r="81" spans="2:48" x14ac:dyDescent="0.2">
      <c r="B81" s="26">
        <f>[1]节奏总纲!N78</f>
        <v>85</v>
      </c>
      <c r="C81" s="26">
        <v>75</v>
      </c>
      <c r="D81" s="26">
        <f>[1]节奏总纲!P78</f>
        <v>180.01933598375612</v>
      </c>
      <c r="E81" s="26">
        <f>[1]节奏总纲!Q78</f>
        <v>155.75272949314578</v>
      </c>
      <c r="F81" s="26">
        <f>[1]节奏总纲!R78</f>
        <v>127.38168214210583</v>
      </c>
      <c r="G81" s="26">
        <f>[1]节奏总纲!S78</f>
        <v>93.214012172388934</v>
      </c>
      <c r="H81" s="26">
        <f>[1]节奏总纲!T78</f>
        <v>51.755559095329879</v>
      </c>
      <c r="K81" s="26">
        <v>75</v>
      </c>
      <c r="L81" s="26">
        <f>[1]节奏总纲!AD78</f>
        <v>62.470630686057078</v>
      </c>
      <c r="M81" s="26">
        <f>[1]节奏总纲!AE78</f>
        <v>64.495279642868965</v>
      </c>
      <c r="N81" s="26">
        <f>[1]节奏总纲!AF78</f>
        <v>67.344310856946692</v>
      </c>
      <c r="O81" s="26">
        <f>[1]节奏总纲!AG78</f>
        <v>71.882008108111634</v>
      </c>
      <c r="P81" s="26">
        <f>[1]节奏总纲!AH78</f>
        <v>80.437605572866573</v>
      </c>
      <c r="S81" s="26">
        <v>75</v>
      </c>
      <c r="T81" s="26">
        <f>[2]各R部队能量汇总!E81</f>
        <v>3044893395</v>
      </c>
      <c r="U81" s="26">
        <f>[2]各R部队能量汇总!F81</f>
        <v>3179677447</v>
      </c>
      <c r="V81" s="26">
        <f>[2]各R部队能量汇总!G81</f>
        <v>3807144176</v>
      </c>
      <c r="W81" s="26">
        <f>[2]各R部队能量汇总!H81</f>
        <v>4881166631</v>
      </c>
      <c r="X81" s="26">
        <f>[2]各R部队能量汇总!I81</f>
        <v>5760349368</v>
      </c>
      <c r="AA81" s="27">
        <v>75</v>
      </c>
      <c r="AB81" s="28">
        <f>[2]各R部队能量汇总!K81</f>
        <v>1</v>
      </c>
      <c r="AC81" s="28">
        <f>[2]各R部队能量汇总!L81</f>
        <v>1.0442656062183746</v>
      </c>
      <c r="AD81" s="28">
        <f>[2]各R部队能量汇总!M81</f>
        <v>1.2503374279873598</v>
      </c>
      <c r="AE81" s="28">
        <f>[2]各R部队能量汇总!N81</f>
        <v>1.6030665109705753</v>
      </c>
      <c r="AF81" s="28">
        <f>[2]各R部队能量汇总!O81</f>
        <v>1.8918065826077961</v>
      </c>
      <c r="AI81" s="27">
        <v>75</v>
      </c>
      <c r="AJ81" s="28">
        <f>[1]服务器生态!W96</f>
        <v>233.81743246875004</v>
      </c>
      <c r="AK81" s="28">
        <f>[1]服务器生态!X96</f>
        <v>218.95022700180996</v>
      </c>
      <c r="AL81" s="28">
        <f>[1]服务器生态!Y96</f>
        <v>18.201500029439998</v>
      </c>
      <c r="AM81" s="28">
        <f>[1]服务器生态!Z96</f>
        <v>3.1484805000000007</v>
      </c>
      <c r="AN81" s="28">
        <f>[1]服务器生态!AA96</f>
        <v>0.88235999999999981</v>
      </c>
      <c r="AQ81" s="26">
        <v>75</v>
      </c>
      <c r="AR81" s="29">
        <f>[2]非r将兵属性验证!M81</f>
        <v>225.57506425152945</v>
      </c>
      <c r="AS81" s="29">
        <f>[2]小r将兵属性验证!M81</f>
        <v>228.91172316908822</v>
      </c>
      <c r="AT81" s="29">
        <f>[2]中r将兵属性验证!M81</f>
        <v>239.91836589340906</v>
      </c>
      <c r="AU81" s="29">
        <f>[2]大r将兵属性验证!M81</f>
        <v>264.8390371427044</v>
      </c>
      <c r="AV81" s="29">
        <f>[2]超r将兵属性验证!M81</f>
        <v>279.83968750029942</v>
      </c>
    </row>
    <row r="82" spans="2:48" x14ac:dyDescent="0.2">
      <c r="B82" s="26">
        <f>[1]节奏总纲!N79</f>
        <v>86</v>
      </c>
      <c r="C82" s="26">
        <v>76</v>
      </c>
      <c r="D82" s="26">
        <f>[1]节奏总纲!P79</f>
        <v>193.01172051333091</v>
      </c>
      <c r="E82" s="26">
        <f>[1]节奏总纲!Q79</f>
        <v>166.97443941608256</v>
      </c>
      <c r="F82" s="26">
        <f>[1]节奏总纲!R79</f>
        <v>136.51718991907896</v>
      </c>
      <c r="G82" s="26">
        <f>[1]节奏总纲!S79</f>
        <v>100.0379747420594</v>
      </c>
      <c r="H82" s="26">
        <f>[1]节奏总纲!T79</f>
        <v>55.664580196044632</v>
      </c>
      <c r="K82" s="26">
        <v>76</v>
      </c>
      <c r="L82" s="26">
        <f>[1]节奏总纲!AD79</f>
        <v>62.660148539464579</v>
      </c>
      <c r="M82" s="26">
        <f>[1]节奏总纲!AE79</f>
        <v>64.685766249290154</v>
      </c>
      <c r="N82" s="26">
        <f>[1]节奏总纲!AF79</f>
        <v>67.545997286325218</v>
      </c>
      <c r="O82" s="26">
        <f>[1]节奏总纲!AG79</f>
        <v>72.076954583856178</v>
      </c>
      <c r="P82" s="26">
        <f>[1]节奏总纲!AH79</f>
        <v>80.634459181893376</v>
      </c>
      <c r="S82" s="26">
        <v>76</v>
      </c>
      <c r="T82" s="26">
        <f>[2]各R部队能量汇总!E82</f>
        <v>3269238757</v>
      </c>
      <c r="U82" s="26">
        <f>[2]各R部队能量汇总!F82</f>
        <v>3415987381</v>
      </c>
      <c r="V82" s="26">
        <f>[2]各R部队能量汇总!G82</f>
        <v>4084775987</v>
      </c>
      <c r="W82" s="26">
        <f>[2]各R部队能量汇总!H82</f>
        <v>5263771830</v>
      </c>
      <c r="X82" s="26">
        <f>[2]各R部队能量汇总!I82</f>
        <v>6212370739</v>
      </c>
      <c r="AA82" s="27">
        <v>76</v>
      </c>
      <c r="AB82" s="28">
        <f>[2]各R部队能量汇总!K82</f>
        <v>1</v>
      </c>
      <c r="AC82" s="28">
        <f>[2]各R部队能量汇总!L82</f>
        <v>1.0448877047250789</v>
      </c>
      <c r="AD82" s="28">
        <f>[2]各R部队能量汇总!M82</f>
        <v>1.2494578373187932</v>
      </c>
      <c r="AE82" s="28">
        <f>[2]各R部队能量汇总!N82</f>
        <v>1.6100909787421807</v>
      </c>
      <c r="AF82" s="28">
        <f>[2]各R部队能量汇总!O82</f>
        <v>1.9002499360740326</v>
      </c>
      <c r="AI82" s="27">
        <v>76</v>
      </c>
      <c r="AJ82" s="28">
        <f>[1]服务器生态!W97</f>
        <v>232.59873492000003</v>
      </c>
      <c r="AK82" s="28">
        <f>[1]服务器生态!X97</f>
        <v>218.55961510852688</v>
      </c>
      <c r="AL82" s="28">
        <f>[1]服务器生态!Y97</f>
        <v>18.146636424806402</v>
      </c>
      <c r="AM82" s="28">
        <f>[1]服务器生态!Z97</f>
        <v>3.1449932800000009</v>
      </c>
      <c r="AN82" s="28">
        <f>[1]服务器生态!AA97</f>
        <v>0.88335359999999985</v>
      </c>
      <c r="AQ82" s="26">
        <v>76</v>
      </c>
      <c r="AR82" s="29">
        <f>[2]非r将兵属性验证!M82</f>
        <v>228.31264393996474</v>
      </c>
      <c r="AS82" s="29">
        <f>[2]小r将兵属性验证!M82</f>
        <v>231.65400486985234</v>
      </c>
      <c r="AT82" s="29">
        <f>[2]中r将兵属性验证!M82</f>
        <v>242.82483453700621</v>
      </c>
      <c r="AU82" s="29">
        <f>[2]大r将兵属性验证!M82</f>
        <v>268.69004613747131</v>
      </c>
      <c r="AV82" s="29">
        <f>[2]超r将兵属性验证!M82</f>
        <v>283.68124187023392</v>
      </c>
    </row>
    <row r="83" spans="2:48" x14ac:dyDescent="0.2">
      <c r="B83" s="26">
        <f>[1]节奏总纲!N80</f>
        <v>87</v>
      </c>
      <c r="C83" s="26">
        <v>77</v>
      </c>
      <c r="D83" s="26">
        <f>[1]节奏总纲!P80</f>
        <v>206.93661346719625</v>
      </c>
      <c r="E83" s="26">
        <f>[1]节奏总纲!Q80</f>
        <v>179.12433261720508</v>
      </c>
      <c r="F83" s="26">
        <f>[1]节奏总纲!R80</f>
        <v>146.53181599612165</v>
      </c>
      <c r="G83" s="26">
        <f>[1]节奏总纲!S80</f>
        <v>107.42079605082158</v>
      </c>
      <c r="H83" s="26">
        <f>[1]节奏总纲!T80</f>
        <v>59.535663694512365</v>
      </c>
      <c r="K83" s="26">
        <v>77</v>
      </c>
      <c r="L83" s="26">
        <f>[1]节奏总纲!AD80</f>
        <v>62.849666392872081</v>
      </c>
      <c r="M83" s="26">
        <f>[1]节奏总纲!AE80</f>
        <v>64.876252855711357</v>
      </c>
      <c r="N83" s="26">
        <f>[1]节奏总纲!AF80</f>
        <v>67.747683715703729</v>
      </c>
      <c r="O83" s="26">
        <f>[1]节奏总纲!AG80</f>
        <v>72.263232241847945</v>
      </c>
      <c r="P83" s="26">
        <f>[1]节奏总纲!AH80</f>
        <v>80.83131279092018</v>
      </c>
      <c r="S83" s="26">
        <v>77</v>
      </c>
      <c r="T83" s="26">
        <f>[2]各R部队能量汇总!E83</f>
        <v>3511131332</v>
      </c>
      <c r="U83" s="26">
        <f>[2]各R部队能量汇总!F83</f>
        <v>3663974442</v>
      </c>
      <c r="V83" s="26">
        <f>[2]各R部队能量汇总!G83</f>
        <v>4384451909</v>
      </c>
      <c r="W83" s="26">
        <f>[2]各R部队能量汇总!H83</f>
        <v>5670605366</v>
      </c>
      <c r="X83" s="26">
        <f>[2]各R部队能量汇总!I83</f>
        <v>6681822768</v>
      </c>
      <c r="AA83" s="27">
        <v>77</v>
      </c>
      <c r="AB83" s="28">
        <f>[2]各R部队能量汇总!K83</f>
        <v>1</v>
      </c>
      <c r="AC83" s="28">
        <f>[2]各R部队能量汇总!L83</f>
        <v>1.0435310148062555</v>
      </c>
      <c r="AD83" s="28">
        <f>[2]各R部队能量汇总!M83</f>
        <v>1.2487291116229884</v>
      </c>
      <c r="AE83" s="28">
        <f>[2]各R部队能量汇总!N83</f>
        <v>1.6150365309092345</v>
      </c>
      <c r="AF83" s="28">
        <f>[2]各R部队能量汇总!O83</f>
        <v>1.903039828531256</v>
      </c>
      <c r="AI83" s="27">
        <v>77</v>
      </c>
      <c r="AJ83" s="28">
        <f>[1]服务器生态!W98</f>
        <v>231.38284219875004</v>
      </c>
      <c r="AK83" s="28">
        <f>[1]服务器生态!X98</f>
        <v>218.16634381723503</v>
      </c>
      <c r="AL83" s="28">
        <f>[1]服务器生态!Y98</f>
        <v>18.0917094306816</v>
      </c>
      <c r="AM83" s="28">
        <f>[1]服务器生态!Z98</f>
        <v>3.1414528200000014</v>
      </c>
      <c r="AN83" s="28">
        <f>[1]服务器生态!AA98</f>
        <v>0.88431839999999995</v>
      </c>
      <c r="AQ83" s="26">
        <v>77</v>
      </c>
      <c r="AR83" s="29">
        <f>[2]非r将兵属性验证!M83</f>
        <v>231.05022362840009</v>
      </c>
      <c r="AS83" s="29">
        <f>[2]小r将兵属性验证!M83</f>
        <v>234.39029296186393</v>
      </c>
      <c r="AT83" s="29">
        <f>[2]中r将兵属性验证!M83</f>
        <v>245.73130318060336</v>
      </c>
      <c r="AU83" s="29">
        <f>[2]大r将兵属性验证!M83</f>
        <v>272.54105513223823</v>
      </c>
      <c r="AV83" s="29">
        <f>[2]超r将兵属性验证!M83</f>
        <v>287.52279624016847</v>
      </c>
    </row>
    <row r="84" spans="2:48" x14ac:dyDescent="0.2">
      <c r="B84" s="26">
        <f>[1]节奏总纲!N81</f>
        <v>88</v>
      </c>
      <c r="C84" s="26">
        <v>78</v>
      </c>
      <c r="D84" s="26">
        <f>[1]节奏总纲!P81</f>
        <v>221.86094420380775</v>
      </c>
      <c r="E84" s="26">
        <f>[1]节奏总纲!Q81</f>
        <v>192.04283330281601</v>
      </c>
      <c r="F84" s="26">
        <f>[1]节奏总纲!R81</f>
        <v>157.23285115723854</v>
      </c>
      <c r="G84" s="26">
        <f>[1]节奏总纲!S81</f>
        <v>115.1680161361966</v>
      </c>
      <c r="H84" s="26">
        <f>[1]节奏总纲!T81</f>
        <v>63.651904892072437</v>
      </c>
      <c r="K84" s="26">
        <v>78</v>
      </c>
      <c r="L84" s="26">
        <f>[1]节奏总纲!AD81</f>
        <v>63.036560194527354</v>
      </c>
      <c r="M84" s="26">
        <f>[1]节奏总纲!AE81</f>
        <v>65.061438622789353</v>
      </c>
      <c r="N84" s="26">
        <f>[1]节奏总纲!AF81</f>
        <v>67.949370145082256</v>
      </c>
      <c r="O84" s="26">
        <f>[1]节奏总纲!AG81</f>
        <v>72.449509899839711</v>
      </c>
      <c r="P84" s="26">
        <f>[1]节奏总纲!AH81</f>
        <v>81.026624803116562</v>
      </c>
      <c r="S84" s="26">
        <v>78</v>
      </c>
      <c r="T84" s="26">
        <f>[2]各R部队能量汇总!E84</f>
        <v>3766087532</v>
      </c>
      <c r="U84" s="26">
        <f>[2]各R部队能量汇总!F84</f>
        <v>3936764888</v>
      </c>
      <c r="V84" s="26">
        <f>[2]各R部队能量汇总!G84</f>
        <v>4700027858</v>
      </c>
      <c r="W84" s="26">
        <f>[2]各R部队能量汇总!H84</f>
        <v>6113019184</v>
      </c>
      <c r="X84" s="26">
        <f>[2]各R部队能量汇总!I84</f>
        <v>7195501688</v>
      </c>
      <c r="AA84" s="27">
        <v>78</v>
      </c>
      <c r="AB84" s="28">
        <f>[2]各R部队能量汇总!K84</f>
        <v>1</v>
      </c>
      <c r="AC84" s="28">
        <f>[2]各R部队能量汇总!L84</f>
        <v>1.0453195403850215</v>
      </c>
      <c r="AD84" s="28">
        <f>[2]各R部队能量汇总!M84</f>
        <v>1.2479868877354601</v>
      </c>
      <c r="AE84" s="28">
        <f>[2]各R部队能量汇总!N84</f>
        <v>1.6231750144037811</v>
      </c>
      <c r="AF84" s="28">
        <f>[2]各R部队能量汇总!O84</f>
        <v>1.9106039429144102</v>
      </c>
      <c r="AI84" s="27">
        <v>78</v>
      </c>
      <c r="AJ84" s="28">
        <f>[1]服务器生态!W99</f>
        <v>230.16975430500003</v>
      </c>
      <c r="AK84" s="28">
        <f>[1]服务器生态!X99</f>
        <v>217.77041312793438</v>
      </c>
      <c r="AL84" s="28">
        <f>[1]服务器生态!Y99</f>
        <v>18.036719047065599</v>
      </c>
      <c r="AM84" s="28">
        <f>[1]服务器生态!Z99</f>
        <v>3.1378591200000008</v>
      </c>
      <c r="AN84" s="28">
        <f>[1]服务器生态!AA99</f>
        <v>0.88525439999999977</v>
      </c>
      <c r="AQ84" s="26">
        <v>78</v>
      </c>
      <c r="AR84" s="29">
        <f>[2]非r将兵属性验证!M84</f>
        <v>233.80622934257065</v>
      </c>
      <c r="AS84" s="29">
        <f>[2]小r将兵属性验证!M84</f>
        <v>237.31162486734425</v>
      </c>
      <c r="AT84" s="29">
        <f>[2]中r将兵属性验证!M84</f>
        <v>248.67210929211868</v>
      </c>
      <c r="AU84" s="29">
        <f>[2]大r将兵属性验证!M84</f>
        <v>276.6338616305469</v>
      </c>
      <c r="AV84" s="29">
        <f>[2]超r将兵属性验证!M84</f>
        <v>291.56903736272085</v>
      </c>
    </row>
    <row r="85" spans="2:48" x14ac:dyDescent="0.2">
      <c r="B85" s="26">
        <f>[1]节奏总纲!N82</f>
        <v>89</v>
      </c>
      <c r="C85" s="26">
        <v>79</v>
      </c>
      <c r="D85" s="26">
        <f>[1]节奏总纲!P82</f>
        <v>237.85644583342264</v>
      </c>
      <c r="E85" s="26">
        <f>[1]节奏总纲!Q82</f>
        <v>206.07882467007735</v>
      </c>
      <c r="F85" s="26">
        <f>[1]节奏总纲!R82</f>
        <v>168.73536267423003</v>
      </c>
      <c r="G85" s="26">
        <f>[1]节奏总纲!S82</f>
        <v>123.11449636337954</v>
      </c>
      <c r="H85" s="26">
        <f>[1]节奏总纲!T82</f>
        <v>68.122086086692235</v>
      </c>
      <c r="K85" s="26">
        <v>79</v>
      </c>
      <c r="L85" s="26">
        <f>[1]节奏总纲!AD82</f>
        <v>63.213386604241791</v>
      </c>
      <c r="M85" s="26">
        <f>[1]节奏总纲!AE82</f>
        <v>65.23679566619937</v>
      </c>
      <c r="N85" s="26">
        <f>[1]节奏总纲!AF82</f>
        <v>68.132712808893615</v>
      </c>
      <c r="O85" s="26">
        <f>[1]节奏总纲!AG82</f>
        <v>72.635787557831478</v>
      </c>
      <c r="P85" s="26">
        <f>[1]节奏总纲!AH82</f>
        <v>81.212704266341873</v>
      </c>
      <c r="S85" s="26">
        <v>79</v>
      </c>
      <c r="T85" s="26">
        <f>[2]各R部队能量汇总!E85</f>
        <v>4045513914</v>
      </c>
      <c r="U85" s="26">
        <f>[2]各R部队能量汇总!F85</f>
        <v>4234697193</v>
      </c>
      <c r="V85" s="26">
        <f>[2]各R部队能量汇总!G85</f>
        <v>5041545152</v>
      </c>
      <c r="W85" s="26">
        <f>[2]各R部队能量汇总!H85</f>
        <v>6584244491</v>
      </c>
      <c r="X85" s="26">
        <f>[2]各R部队能量汇总!I85</f>
        <v>7745727681</v>
      </c>
      <c r="AA85" s="27">
        <v>79</v>
      </c>
      <c r="AB85" s="28">
        <f>[2]各R部队能量汇总!K85</f>
        <v>1</v>
      </c>
      <c r="AC85" s="28">
        <f>[2]各R部队能量汇总!L85</f>
        <v>1.0467637197700168</v>
      </c>
      <c r="AD85" s="28">
        <f>[2]各R部队能量汇总!M85</f>
        <v>1.2462063557742593</v>
      </c>
      <c r="AE85" s="28">
        <f>[2]各R部队能量汇总!N85</f>
        <v>1.627542169170253</v>
      </c>
      <c r="AF85" s="28">
        <f>[2]各R部队能量汇总!O85</f>
        <v>1.914646160082395</v>
      </c>
      <c r="AI85" s="27">
        <v>79</v>
      </c>
      <c r="AJ85" s="28">
        <f>[1]服务器生态!W100</f>
        <v>228.95947123875001</v>
      </c>
      <c r="AK85" s="28">
        <f>[1]服务器生态!X100</f>
        <v>217.37182304062489</v>
      </c>
      <c r="AL85" s="28">
        <f>[1]服务器生态!Y100</f>
        <v>17.981665273958399</v>
      </c>
      <c r="AM85" s="28">
        <f>[1]服务器生态!Z100</f>
        <v>3.1342121800000009</v>
      </c>
      <c r="AN85" s="28">
        <f>[1]服务器生态!AA100</f>
        <v>0.88616159999999988</v>
      </c>
      <c r="AQ85" s="26">
        <v>79</v>
      </c>
      <c r="AR85" s="29">
        <f>[2]非r将兵属性验证!M85</f>
        <v>236.73481536132763</v>
      </c>
      <c r="AS85" s="29">
        <f>[2]小r将兵属性验证!M85</f>
        <v>240.52212214155762</v>
      </c>
      <c r="AT85" s="29">
        <f>[2]中r将兵属性验证!M85</f>
        <v>251.69223811790945</v>
      </c>
      <c r="AU85" s="29">
        <f>[2]大r将兵属性验证!M85</f>
        <v>280.84734210888996</v>
      </c>
      <c r="AV85" s="29">
        <f>[2]超r将兵属性验证!M85</f>
        <v>295.6779031118279</v>
      </c>
    </row>
    <row r="86" spans="2:48" x14ac:dyDescent="0.2">
      <c r="B86" s="26">
        <f>[1]节奏总纲!N83</f>
        <v>90</v>
      </c>
      <c r="C86" s="26">
        <v>80</v>
      </c>
      <c r="D86" s="26">
        <f>[1]节奏总纲!P83</f>
        <v>255</v>
      </c>
      <c r="E86" s="26">
        <f>[1]节奏总纲!Q83</f>
        <v>221.08500000000001</v>
      </c>
      <c r="F86" s="26">
        <f>[1]节奏总纲!R83</f>
        <v>180.33600000000001</v>
      </c>
      <c r="G86" s="26">
        <f>[1]节奏总纲!S83</f>
        <v>131.58000000000001</v>
      </c>
      <c r="H86" s="26">
        <f>[1]节奏总纲!T83</f>
        <v>72.777000000000001</v>
      </c>
      <c r="K86" s="26">
        <v>80</v>
      </c>
      <c r="L86" s="26">
        <f>[1]节奏总纲!AD83</f>
        <v>63.39021301395622</v>
      </c>
      <c r="M86" s="26">
        <f>[1]节奏总纲!AE83</f>
        <v>65.412152709609373</v>
      </c>
      <c r="N86" s="26">
        <f>[1]节奏总纲!AF83</f>
        <v>68.309907165737044</v>
      </c>
      <c r="O86" s="26">
        <f>[1]节奏总纲!AG83</f>
        <v>72.822065215823244</v>
      </c>
      <c r="P86" s="26">
        <f>[1]节奏总纲!AH83</f>
        <v>81.398783729567185</v>
      </c>
      <c r="S86" s="26">
        <v>80</v>
      </c>
      <c r="T86" s="26">
        <f>[2]各R部队能量汇总!E86</f>
        <v>4340556361</v>
      </c>
      <c r="U86" s="26">
        <f>[2]各R部队能量汇总!F86</f>
        <v>4554757968</v>
      </c>
      <c r="V86" s="26">
        <f>[2]各R部队能量汇总!G86</f>
        <v>5394651604</v>
      </c>
      <c r="W86" s="26">
        <f>[2]各R部队能量汇总!H86</f>
        <v>7088983219</v>
      </c>
      <c r="X86" s="26">
        <f>[2]各R部队能量汇总!I86</f>
        <v>8313483485</v>
      </c>
      <c r="AA86" s="27">
        <v>80</v>
      </c>
      <c r="AB86" s="28">
        <f>[2]各R部队能量汇总!K86</f>
        <v>1</v>
      </c>
      <c r="AC86" s="28">
        <f>[2]各R部队能量汇总!L86</f>
        <v>1.0493488827664137</v>
      </c>
      <c r="AD86" s="28">
        <f>[2]各R部队能量汇总!M86</f>
        <v>1.2428479566516104</v>
      </c>
      <c r="AE86" s="28">
        <f>[2]各R部队能量汇总!N86</f>
        <v>1.6331969059760816</v>
      </c>
      <c r="AF86" s="28">
        <f>[2]各R部队能量汇总!O86</f>
        <v>1.9153036600784275</v>
      </c>
      <c r="AI86" s="27">
        <v>80</v>
      </c>
      <c r="AJ86" s="28">
        <f>[1]服务器生态!W101</f>
        <v>227.75199300000003</v>
      </c>
      <c r="AK86" s="28">
        <f>[1]服务器生态!X101</f>
        <v>216.97057355530666</v>
      </c>
      <c r="AL86" s="28">
        <f>[1]服务器生态!Y101</f>
        <v>17.926548111360002</v>
      </c>
      <c r="AM86" s="28">
        <f>[1]服务器生态!Z101</f>
        <v>3.1305120000000008</v>
      </c>
      <c r="AN86" s="28">
        <f>[1]服务器生态!AA101</f>
        <v>0.88703999999999994</v>
      </c>
      <c r="AQ86" s="26">
        <v>80</v>
      </c>
      <c r="AR86" s="29">
        <f>[2]非r将兵属性验证!M86</f>
        <v>239.66340138008468</v>
      </c>
      <c r="AS86" s="29">
        <f>[2]小r将兵属性验证!M86</f>
        <v>243.73272767198921</v>
      </c>
      <c r="AT86" s="29">
        <f>[2]中r将兵属性验证!M86</f>
        <v>254.71236694370015</v>
      </c>
      <c r="AU86" s="29">
        <f>[2]大r将兵属性验证!M86</f>
        <v>285.03695080377111</v>
      </c>
      <c r="AV86" s="29">
        <f>[2]超r将兵属性验证!M86</f>
        <v>299.77587224686755</v>
      </c>
    </row>
    <row r="87" spans="2:48" x14ac:dyDescent="0.2">
      <c r="B87" s="26">
        <f>[1]节奏总纲!N84</f>
        <v>91</v>
      </c>
      <c r="C87" s="26">
        <v>81</v>
      </c>
      <c r="D87" s="26">
        <f>[1]节奏总纲!P84</f>
        <v>273.37400640929098</v>
      </c>
      <c r="E87" s="26">
        <f>[1]节奏总纲!Q84</f>
        <v>236.35916594147301</v>
      </c>
      <c r="F87" s="26">
        <f>[1]节奏总纲!R84</f>
        <v>192.67399971726829</v>
      </c>
      <c r="G87" s="26">
        <f>[1]节奏总纲!S84</f>
        <v>140.76027590014394</v>
      </c>
      <c r="H87" s="26">
        <f>[1]节奏总纲!T84</f>
        <v>77.856917025366073</v>
      </c>
      <c r="K87" s="26">
        <v>81</v>
      </c>
      <c r="L87" s="26">
        <f>[1]节奏总纲!AD84</f>
        <v>63.567039423670657</v>
      </c>
      <c r="M87" s="26">
        <f>[1]节奏总纲!AE84</f>
        <v>65.58750975301939</v>
      </c>
      <c r="N87" s="26">
        <f>[1]节奏总纲!AF84</f>
        <v>68.487101522580488</v>
      </c>
      <c r="O87" s="26">
        <f>[1]节奏总纲!AG84</f>
        <v>73.007572199822363</v>
      </c>
      <c r="P87" s="26">
        <f>[1]节奏总纲!AH84</f>
        <v>81.584863192792497</v>
      </c>
      <c r="S87" s="26">
        <v>81</v>
      </c>
      <c r="T87" s="26">
        <f>[2]各R部队能量汇总!E87</f>
        <v>4633566182</v>
      </c>
      <c r="U87" s="26">
        <f>[2]各R部队能量汇总!F87</f>
        <v>4903229310</v>
      </c>
      <c r="V87" s="26">
        <f>[2]各R部队能量汇总!G87</f>
        <v>5801130315</v>
      </c>
      <c r="W87" s="26">
        <f>[2]各R部队能量汇总!H87</f>
        <v>7711938590</v>
      </c>
      <c r="X87" s="26">
        <f>[2]各R部队能量汇总!I87</f>
        <v>8995455429</v>
      </c>
      <c r="AA87" s="27">
        <v>81</v>
      </c>
      <c r="AB87" s="28">
        <f>[2]各R部队能量汇总!K87</f>
        <v>1</v>
      </c>
      <c r="AC87" s="28">
        <f>[2]各R部队能量汇总!L87</f>
        <v>1.0581977503736884</v>
      </c>
      <c r="AD87" s="28">
        <f>[2]各R部队能量汇总!M87</f>
        <v>1.2519795956590913</v>
      </c>
      <c r="AE87" s="28">
        <f>[2]各R部队能量汇总!N87</f>
        <v>1.6643635349287864</v>
      </c>
      <c r="AF87" s="28">
        <f>[2]各R部队能量汇总!O87</f>
        <v>1.9413676368635064</v>
      </c>
      <c r="AI87" s="27">
        <v>81</v>
      </c>
      <c r="AJ87" s="28">
        <f>[1]服务器生态!W102</f>
        <v>226.54731958875001</v>
      </c>
      <c r="AK87" s="28">
        <f>[1]服务器生态!X102</f>
        <v>216.56666467197957</v>
      </c>
      <c r="AL87" s="28">
        <f>[1]服务器生态!Y102</f>
        <v>17.8713675592704</v>
      </c>
      <c r="AM87" s="28">
        <f>[1]服务器生态!Z102</f>
        <v>3.1267585800000011</v>
      </c>
      <c r="AN87" s="28">
        <f>[1]服务器生态!AA102</f>
        <v>0.88788959999999983</v>
      </c>
      <c r="AQ87" s="26">
        <v>81</v>
      </c>
      <c r="AR87" s="29">
        <f>[2]非r将兵属性验证!M87</f>
        <v>242.11658730025144</v>
      </c>
      <c r="AS87" s="29">
        <f>[2]小r将兵属性验证!M87</f>
        <v>247.29139372950607</v>
      </c>
      <c r="AT87" s="29">
        <f>[2]中r将兵属性验证!M87</f>
        <v>258.18564311958801</v>
      </c>
      <c r="AU87" s="29">
        <f>[2]大r将兵属性验证!M87</f>
        <v>290.93197978012125</v>
      </c>
      <c r="AV87" s="29">
        <f>[2]超r将兵属性验证!M87</f>
        <v>305.60140667005692</v>
      </c>
    </row>
    <row r="88" spans="2:48" x14ac:dyDescent="0.2">
      <c r="B88" s="26">
        <f>[1]节奏总纲!N85</f>
        <v>92</v>
      </c>
      <c r="C88" s="26">
        <v>82</v>
      </c>
      <c r="D88" s="26">
        <f>[1]节奏总纲!P85</f>
        <v>293.06677887924064</v>
      </c>
      <c r="E88" s="26">
        <f>[1]节奏总纲!Q85</f>
        <v>253.15108359588808</v>
      </c>
      <c r="F88" s="26">
        <f>[1]节奏总纲!R85</f>
        <v>206.37762568676126</v>
      </c>
      <c r="G88" s="26">
        <f>[1]节奏总纲!S85</f>
        <v>150.81216441125721</v>
      </c>
      <c r="H88" s="26">
        <f>[1]节奏总纲!T85</f>
        <v>83.230965201704336</v>
      </c>
      <c r="K88" s="26">
        <v>82</v>
      </c>
      <c r="L88" s="26">
        <f>[1]节奏总纲!AD85</f>
        <v>63.743865833385094</v>
      </c>
      <c r="M88" s="26">
        <f>[1]节奏总纲!AE85</f>
        <v>65.762866796429392</v>
      </c>
      <c r="N88" s="26">
        <f>[1]节奏总纲!AF85</f>
        <v>68.664295879423918</v>
      </c>
      <c r="O88" s="26">
        <f>[1]节奏总纲!AG85</f>
        <v>73.176642436293761</v>
      </c>
      <c r="P88" s="26">
        <f>[1]节奏总纲!AH85</f>
        <v>81.770942656017823</v>
      </c>
      <c r="S88" s="26">
        <v>82</v>
      </c>
      <c r="T88" s="26">
        <f>[2]各R部队能量汇总!E88</f>
        <v>4944978701</v>
      </c>
      <c r="U88" s="26">
        <f>[2]各R部队能量汇总!F88</f>
        <v>5278195203</v>
      </c>
      <c r="V88" s="26">
        <f>[2]各R部队能量汇总!G88</f>
        <v>6233263764</v>
      </c>
      <c r="W88" s="26">
        <f>[2]各R部队能量汇总!H88</f>
        <v>8369420203</v>
      </c>
      <c r="X88" s="26">
        <f>[2]各R部队能量汇总!I88</f>
        <v>9705401233</v>
      </c>
      <c r="AA88" s="27">
        <v>82</v>
      </c>
      <c r="AB88" s="28">
        <f>[2]各R部队能量汇总!K88</f>
        <v>1</v>
      </c>
      <c r="AC88" s="28">
        <f>[2]各R部队能量汇总!L88</f>
        <v>1.0673848204710397</v>
      </c>
      <c r="AD88" s="28">
        <f>[2]各R部队能量汇总!M88</f>
        <v>1.2605238851159208</v>
      </c>
      <c r="AE88" s="28">
        <f>[2]各R部队能量汇总!N88</f>
        <v>1.692508847673599</v>
      </c>
      <c r="AF88" s="28">
        <f>[2]各R部队能量汇总!O88</f>
        <v>1.9626780659413805</v>
      </c>
      <c r="AI88" s="27">
        <v>82</v>
      </c>
      <c r="AJ88" s="28">
        <f>[1]服务器生态!W103</f>
        <v>225.345451005</v>
      </c>
      <c r="AK88" s="28">
        <f>[1]服务器生态!X103</f>
        <v>216.1600963906437</v>
      </c>
      <c r="AL88" s="28">
        <f>[1]服务器生态!Y103</f>
        <v>17.816123617689598</v>
      </c>
      <c r="AM88" s="28">
        <f>[1]服务器生态!Z103</f>
        <v>3.1229519200000007</v>
      </c>
      <c r="AN88" s="28">
        <f>[1]服务器生态!AA103</f>
        <v>0.88871039999999979</v>
      </c>
      <c r="AQ88" s="26">
        <v>82</v>
      </c>
      <c r="AR88" s="29">
        <f>[2]非r将兵属性验证!M88</f>
        <v>244.63143088373573</v>
      </c>
      <c r="AS88" s="29">
        <f>[2]小r将兵属性验证!M88</f>
        <v>250.85005978702287</v>
      </c>
      <c r="AT88" s="29">
        <f>[2]中r将兵属性验证!M88</f>
        <v>261.66592099701938</v>
      </c>
      <c r="AU88" s="29">
        <f>[2]大r将兵属性验证!M88</f>
        <v>296.77704833899867</v>
      </c>
      <c r="AV88" s="29">
        <f>[2]超r将兵属性验证!M88</f>
        <v>311.18483142673671</v>
      </c>
    </row>
    <row r="89" spans="2:48" x14ac:dyDescent="0.2">
      <c r="B89" s="26">
        <f>[1]节奏总纲!N86</f>
        <v>93</v>
      </c>
      <c r="C89" s="26">
        <v>83</v>
      </c>
      <c r="D89" s="26">
        <f>[1]节奏总纲!P86</f>
        <v>314.1729698162988</v>
      </c>
      <c r="E89" s="26">
        <f>[1]节奏总纲!Q86</f>
        <v>271.53969781222702</v>
      </c>
      <c r="F89" s="26">
        <f>[1]节奏总纲!R86</f>
        <v>221.55477831445393</v>
      </c>
      <c r="G89" s="26">
        <f>[1]节奏总纲!S86</f>
        <v>161.57915837652246</v>
      </c>
      <c r="H89" s="26">
        <f>[1]节奏总纲!T86</f>
        <v>89.193706130847232</v>
      </c>
      <c r="K89" s="26">
        <v>83</v>
      </c>
      <c r="L89" s="26">
        <f>[1]节奏总纲!AD86</f>
        <v>63.920692243099523</v>
      </c>
      <c r="M89" s="26">
        <f>[1]节奏总纲!AE86</f>
        <v>65.938223839839395</v>
      </c>
      <c r="N89" s="26">
        <f>[1]节奏总纲!AF86</f>
        <v>68.841490236267347</v>
      </c>
      <c r="O89" s="26">
        <f>[1]节奏总纲!AG86</f>
        <v>73.34571267276516</v>
      </c>
      <c r="P89" s="26">
        <f>[1]节奏总纲!AH86</f>
        <v>81.957022119243135</v>
      </c>
      <c r="S89" s="26">
        <v>83</v>
      </c>
      <c r="T89" s="26">
        <f>[2]各R部队能量汇总!E89</f>
        <v>5278585062</v>
      </c>
      <c r="U89" s="26">
        <f>[2]各R部队能量汇总!F89</f>
        <v>5667649463</v>
      </c>
      <c r="V89" s="26">
        <f>[2]各R部队能量汇总!G89</f>
        <v>6694726772</v>
      </c>
      <c r="W89" s="26">
        <f>[2]各R部队能量汇总!H89</f>
        <v>9027425601</v>
      </c>
      <c r="X89" s="26">
        <f>[2]各R部队能量汇总!I89</f>
        <v>10382509114</v>
      </c>
      <c r="AA89" s="27">
        <v>83</v>
      </c>
      <c r="AB89" s="28">
        <f>[2]各R部队能量汇总!K89</f>
        <v>1</v>
      </c>
      <c r="AC89" s="28">
        <f>[2]各R部队能量汇总!L89</f>
        <v>1.073706191418764</v>
      </c>
      <c r="AD89" s="28">
        <f>[2]各R部队能量汇总!M89</f>
        <v>1.2682805512019995</v>
      </c>
      <c r="AE89" s="28">
        <f>[2]各R部队能量汇总!N89</f>
        <v>1.7101979971844206</v>
      </c>
      <c r="AF89" s="28">
        <f>[2]各R部队能量汇总!O89</f>
        <v>1.9669113961509559</v>
      </c>
      <c r="AI89" s="27">
        <v>83</v>
      </c>
      <c r="AJ89" s="28">
        <f>[1]服务器生态!W104</f>
        <v>224.14638724875002</v>
      </c>
      <c r="AK89" s="28">
        <f>[1]服务器生态!X104</f>
        <v>215.75086871129903</v>
      </c>
      <c r="AL89" s="28">
        <f>[1]服务器生态!Y104</f>
        <v>17.760816286617601</v>
      </c>
      <c r="AM89" s="28">
        <f>[1]服务器生态!Z104</f>
        <v>3.119092020000001</v>
      </c>
      <c r="AN89" s="28">
        <f>[1]服务器生态!AA104</f>
        <v>0.88950239999999992</v>
      </c>
      <c r="AQ89" s="26">
        <v>83</v>
      </c>
      <c r="AR89" s="29">
        <f>[2]非r将兵属性验证!M89</f>
        <v>247.22676590710654</v>
      </c>
      <c r="AS89" s="29">
        <f>[2]小r将兵属性验证!M89</f>
        <v>254.18102444661145</v>
      </c>
      <c r="AT89" s="29">
        <f>[2]中r将兵属性验证!M89</f>
        <v>265.26694696943673</v>
      </c>
      <c r="AU89" s="29">
        <f>[2]大r将兵属性验证!M89</f>
        <v>302.00155045367381</v>
      </c>
      <c r="AV89" s="29">
        <f>[2]超r将兵属性验证!M89</f>
        <v>315.43188206327818</v>
      </c>
    </row>
    <row r="90" spans="2:48" x14ac:dyDescent="0.2">
      <c r="B90" s="26">
        <f>[1]节奏总纲!N87</f>
        <v>94</v>
      </c>
      <c r="C90" s="26">
        <v>84</v>
      </c>
      <c r="D90" s="26">
        <f>[1]节奏总纲!P87</f>
        <v>336.79402515786086</v>
      </c>
      <c r="E90" s="26">
        <f>[1]节奏总纲!Q87</f>
        <v>291.2594729565181</v>
      </c>
      <c r="F90" s="26">
        <f>[1]节奏总纲!R87</f>
        <v>237.27139072371298</v>
      </c>
      <c r="G90" s="26">
        <f>[1]节奏总纲!S87</f>
        <v>172.97741132107731</v>
      </c>
      <c r="H90" s="26">
        <f>[1]节奏总纲!T87</f>
        <v>95.64950314483248</v>
      </c>
      <c r="K90" s="26">
        <v>84</v>
      </c>
      <c r="L90" s="26">
        <f>[1]节奏总纲!AD87</f>
        <v>64.090988120365651</v>
      </c>
      <c r="M90" s="26">
        <f>[1]节奏总纲!AE87</f>
        <v>66.105889403880397</v>
      </c>
      <c r="N90" s="26">
        <f>[1]节奏总纲!AF87</f>
        <v>69.01697485309198</v>
      </c>
      <c r="O90" s="26">
        <f>[1]节奏总纲!AG87</f>
        <v>73.514782909236544</v>
      </c>
      <c r="P90" s="26">
        <f>[1]节奏总纲!AH87</f>
        <v>82.128973371044353</v>
      </c>
      <c r="S90" s="26">
        <v>84</v>
      </c>
      <c r="T90" s="26">
        <f>[2]各R部队能量汇总!E90</f>
        <v>5633478450</v>
      </c>
      <c r="U90" s="26">
        <f>[2]各R部队能量汇总!F90</f>
        <v>6081895822</v>
      </c>
      <c r="V90" s="26">
        <f>[2]各R部队能量汇总!G90</f>
        <v>7174692338</v>
      </c>
      <c r="W90" s="26">
        <f>[2]各R部队能量汇总!H90</f>
        <v>9717410337</v>
      </c>
      <c r="X90" s="26">
        <f>[2]各R部队能量汇总!I90</f>
        <v>11089014140</v>
      </c>
      <c r="AA90" s="27">
        <v>84</v>
      </c>
      <c r="AB90" s="28">
        <f>[2]各R部队能量汇总!K90</f>
        <v>1</v>
      </c>
      <c r="AC90" s="28">
        <f>[2]各R部队能量汇总!L90</f>
        <v>1.0795986664331698</v>
      </c>
      <c r="AD90" s="28">
        <f>[2]各R部队能量汇总!M90</f>
        <v>1.2735812165927429</v>
      </c>
      <c r="AE90" s="28">
        <f>[2]各R部队能量汇总!N90</f>
        <v>1.7249396484333761</v>
      </c>
      <c r="AF90" s="28">
        <f>[2]各R部队能量汇总!O90</f>
        <v>1.9684133414941882</v>
      </c>
      <c r="AI90" s="27">
        <v>84</v>
      </c>
      <c r="AJ90" s="28">
        <f>[1]服务器生态!W105</f>
        <v>222.95012832</v>
      </c>
      <c r="AK90" s="28">
        <f>[1]服务器生态!X105</f>
        <v>215.33898163394556</v>
      </c>
      <c r="AL90" s="28">
        <f>[1]服务器生态!Y105</f>
        <v>17.705445566054401</v>
      </c>
      <c r="AM90" s="28">
        <f>[1]服务器生态!Z105</f>
        <v>3.1151788800000011</v>
      </c>
      <c r="AN90" s="28">
        <f>[1]服务器生态!AA105</f>
        <v>0.89026559999999988</v>
      </c>
      <c r="AQ90" s="26">
        <v>84</v>
      </c>
      <c r="AR90" s="29">
        <f>[2]非r将兵属性验证!M90</f>
        <v>249.8614762313702</v>
      </c>
      <c r="AS90" s="29">
        <f>[2]小r将兵属性验证!M90</f>
        <v>257.50540937179852</v>
      </c>
      <c r="AT90" s="29">
        <f>[2]中r将兵属性验证!M90</f>
        <v>268.87099954017731</v>
      </c>
      <c r="AU90" s="29">
        <f>[2]大r将兵属性验证!M90</f>
        <v>306.94918120978843</v>
      </c>
      <c r="AV90" s="29">
        <f>[2]超r将兵属性验证!M90</f>
        <v>319.58418115080588</v>
      </c>
    </row>
    <row r="91" spans="2:48" x14ac:dyDescent="0.2">
      <c r="B91" s="26">
        <f>[1]节奏总纲!N88</f>
        <v>95</v>
      </c>
      <c r="C91" s="26">
        <v>85</v>
      </c>
      <c r="D91" s="26">
        <f>[1]节奏总纲!P88</f>
        <v>361.0386719675123</v>
      </c>
      <c r="E91" s="26">
        <f>[1]节奏总纲!Q88</f>
        <v>311.72078937675008</v>
      </c>
      <c r="F91" s="26">
        <f>[1]节奏总纲!R88</f>
        <v>253.91849799475142</v>
      </c>
      <c r="G91" s="26">
        <f>[1]节奏总纲!S88</f>
        <v>185.57387739130132</v>
      </c>
      <c r="H91" s="26">
        <f>[1]节奏总纲!T88</f>
        <v>102.53498283877349</v>
      </c>
      <c r="K91" s="26">
        <v>85</v>
      </c>
      <c r="L91" s="26">
        <f>[1]节奏总纲!AD88</f>
        <v>64.255972994404218</v>
      </c>
      <c r="M91" s="26">
        <f>[1]节奏总纲!AE88</f>
        <v>66.269371604948859</v>
      </c>
      <c r="N91" s="26">
        <f>[1]节奏总纲!AF88</f>
        <v>69.17795498031839</v>
      </c>
      <c r="O91" s="26">
        <f>[1]节奏总纲!AG88</f>
        <v>73.683853145707943</v>
      </c>
      <c r="P91" s="26">
        <f>[1]节奏总纲!AH88</f>
        <v>82.296681479091191</v>
      </c>
      <c r="S91" s="26">
        <v>85</v>
      </c>
      <c r="T91" s="26">
        <f>[2]各R部队能量汇总!E91</f>
        <v>5980837579</v>
      </c>
      <c r="U91" s="26">
        <f>[2]各R部队能量汇总!F91</f>
        <v>6519723121</v>
      </c>
      <c r="V91" s="26">
        <f>[2]各R部队能量汇总!G91</f>
        <v>7696037110</v>
      </c>
      <c r="W91" s="26">
        <f>[2]各R部队能量汇总!H91</f>
        <v>10396878105</v>
      </c>
      <c r="X91" s="26">
        <f>[2]各R部队能量汇总!I91</f>
        <v>11824902966</v>
      </c>
      <c r="AA91" s="27">
        <v>85</v>
      </c>
      <c r="AB91" s="28">
        <f>[2]各R部队能量汇总!K91</f>
        <v>1</v>
      </c>
      <c r="AC91" s="28">
        <f>[2]各R部队能量汇总!L91</f>
        <v>1.0901020191372763</v>
      </c>
      <c r="AD91" s="28">
        <f>[2]各R部队能量汇总!M91</f>
        <v>1.2867824963216579</v>
      </c>
      <c r="AE91" s="28">
        <f>[2]各R部队能量汇总!N91</f>
        <v>1.7383648975029289</v>
      </c>
      <c r="AF91" s="28">
        <f>[2]各R部队能量汇总!O91</f>
        <v>1.9771315990121121</v>
      </c>
      <c r="AI91" s="27">
        <v>85</v>
      </c>
      <c r="AJ91" s="28">
        <f>[1]服务器生态!W106</f>
        <v>221.75667421874999</v>
      </c>
      <c r="AK91" s="28">
        <f>[1]服务器生态!X106</f>
        <v>214.92443515858329</v>
      </c>
      <c r="AL91" s="28">
        <f>[1]服务器生态!Y106</f>
        <v>17.650011456000001</v>
      </c>
      <c r="AM91" s="28">
        <f>[1]服务器生态!Z106</f>
        <v>3.1112125000000006</v>
      </c>
      <c r="AN91" s="28">
        <f>[1]服务器生态!AA106</f>
        <v>0.8909999999999999</v>
      </c>
      <c r="AQ91" s="26">
        <v>85</v>
      </c>
      <c r="AR91" s="29">
        <f>[2]非r将兵属性验证!M91</f>
        <v>252.03880726209192</v>
      </c>
      <c r="AS91" s="29">
        <f>[2]小r将兵属性验证!M91</f>
        <v>260.95275113015168</v>
      </c>
      <c r="AT91" s="29">
        <f>[2]中r将兵属性验证!M91</f>
        <v>272.68003922732225</v>
      </c>
      <c r="AU91" s="29">
        <f>[2]大r将兵属性验证!M91</f>
        <v>311.11791827616685</v>
      </c>
      <c r="AV91" s="29">
        <f>[2]超r将兵属性验证!M91</f>
        <v>323.54665589888521</v>
      </c>
    </row>
    <row r="92" spans="2:48" x14ac:dyDescent="0.2">
      <c r="B92" s="26">
        <f>[1]节奏总纲!N89</f>
        <v>96</v>
      </c>
      <c r="C92" s="26">
        <v>86</v>
      </c>
      <c r="D92" s="26">
        <f>[1]节奏总纲!P89</f>
        <v>387.02344102666189</v>
      </c>
      <c r="E92" s="26">
        <f>[1]节奏总纲!Q89</f>
        <v>334.00122960600919</v>
      </c>
      <c r="F92" s="26">
        <f>[1]节奏总纲!R89</f>
        <v>272.23228841815398</v>
      </c>
      <c r="G92" s="26">
        <f>[1]节奏总纲!S89</f>
        <v>199.39447681693619</v>
      </c>
      <c r="H92" s="26">
        <f>[1]节奏总纲!T89</f>
        <v>108.94709864900531</v>
      </c>
      <c r="K92" s="26">
        <v>86</v>
      </c>
      <c r="L92" s="26">
        <f>[1]节奏总纲!AD89</f>
        <v>64.420957868442798</v>
      </c>
      <c r="M92" s="26">
        <f>[1]节奏总纲!AE89</f>
        <v>66.43285380601732</v>
      </c>
      <c r="N92" s="26">
        <f>[1]节奏总纲!AF89</f>
        <v>69.338935107544785</v>
      </c>
      <c r="O92" s="26">
        <f>[1]节奏总纲!AG89</f>
        <v>73.852923382179341</v>
      </c>
      <c r="P92" s="26">
        <f>[1]节奏总纲!AH89</f>
        <v>82.464389587138029</v>
      </c>
      <c r="S92" s="26">
        <v>86</v>
      </c>
      <c r="T92" s="26">
        <f>[2]各R部队能量汇总!E92</f>
        <v>6396403647</v>
      </c>
      <c r="U92" s="26">
        <f>[2]各R部队能量汇总!F92</f>
        <v>7012665151</v>
      </c>
      <c r="V92" s="26">
        <f>[2]各R部队能量汇总!G92</f>
        <v>8323677532</v>
      </c>
      <c r="W92" s="26">
        <f>[2]各R部队能量汇总!H92</f>
        <v>11054601822</v>
      </c>
      <c r="X92" s="26">
        <f>[2]各R部队能量汇总!I92</f>
        <v>12313056770</v>
      </c>
      <c r="AA92" s="27">
        <v>86</v>
      </c>
      <c r="AB92" s="28">
        <f>[2]各R部队能量汇总!K92</f>
        <v>1</v>
      </c>
      <c r="AC92" s="28">
        <f>[2]各R部队能量汇总!L92</f>
        <v>1.0963449991604322</v>
      </c>
      <c r="AD92" s="28">
        <f>[2]各R部队能量汇总!M92</f>
        <v>1.3013058573787659</v>
      </c>
      <c r="AE92" s="28">
        <f>[2]各R部队能量汇总!N92</f>
        <v>1.728252691992751</v>
      </c>
      <c r="AF92" s="28">
        <f>[2]各R部队能量汇总!O92</f>
        <v>1.9249968340842578</v>
      </c>
      <c r="AI92" s="27">
        <v>86</v>
      </c>
      <c r="AJ92" s="28">
        <f>[1]服务器生态!W107</f>
        <v>220.56602494500001</v>
      </c>
      <c r="AK92" s="28">
        <f>[1]服务器生态!X107</f>
        <v>214.50722928521225</v>
      </c>
      <c r="AL92" s="28">
        <f>[1]服务器生态!Y107</f>
        <v>17.594513956454403</v>
      </c>
      <c r="AM92" s="28">
        <f>[1]服务器生态!Z107</f>
        <v>3.1071928800000013</v>
      </c>
      <c r="AN92" s="28">
        <f>[1]服务器生态!AA107</f>
        <v>0.89170559999999999</v>
      </c>
      <c r="AQ92" s="26">
        <v>86</v>
      </c>
      <c r="AR92" s="29">
        <f>[2]非r将兵属性验证!M92</f>
        <v>255.27198136060127</v>
      </c>
      <c r="AS92" s="29">
        <f>[2]小r将兵属性验证!M92</f>
        <v>265.12642073088136</v>
      </c>
      <c r="AT92" s="29">
        <f>[2]中r将兵属性验证!M92</f>
        <v>277.739543742563</v>
      </c>
      <c r="AU92" s="29">
        <f>[2]大r将兵属性验证!M92</f>
        <v>314.2732089456598</v>
      </c>
      <c r="AV92" s="29">
        <f>[2]超r将兵属性验证!M92</f>
        <v>324.32610266070822</v>
      </c>
    </row>
    <row r="93" spans="2:48" x14ac:dyDescent="0.2">
      <c r="B93" s="26">
        <f>[1]节奏总纲!N90</f>
        <v>97</v>
      </c>
      <c r="C93" s="26">
        <v>87</v>
      </c>
      <c r="D93" s="26">
        <f>[1]节奏总纲!P90</f>
        <v>414.87322693439216</v>
      </c>
      <c r="E93" s="26">
        <f>[1]节奏总纲!Q90</f>
        <v>358.28451878054108</v>
      </c>
      <c r="F93" s="26">
        <f>[1]节奏总纲!R90</f>
        <v>292.4026503433596</v>
      </c>
      <c r="G93" s="26">
        <f>[1]节奏总纲!S90</f>
        <v>212.58104148118252</v>
      </c>
      <c r="H93" s="26">
        <f>[1]节奏总纲!T90</f>
        <v>115.74963031469542</v>
      </c>
      <c r="K93" s="26">
        <v>87</v>
      </c>
      <c r="L93" s="26">
        <f>[1]节奏总纲!AD90</f>
        <v>64.585942742481365</v>
      </c>
      <c r="M93" s="26">
        <f>[1]节奏总纲!AE90</f>
        <v>66.596336007085796</v>
      </c>
      <c r="N93" s="26">
        <f>[1]节奏总纲!AF90</f>
        <v>69.49991523477118</v>
      </c>
      <c r="O93" s="26">
        <f>[1]节奏总纲!AG90</f>
        <v>74.02050499447661</v>
      </c>
      <c r="P93" s="26">
        <f>[1]节奏总纲!AH90</f>
        <v>82.632097695184868</v>
      </c>
      <c r="S93" s="26">
        <v>87</v>
      </c>
      <c r="T93" s="26">
        <f>[2]各R部队能量汇总!E93</f>
        <v>6828447913</v>
      </c>
      <c r="U93" s="26">
        <f>[2]各R部队能量汇总!F93</f>
        <v>7541036284</v>
      </c>
      <c r="V93" s="26">
        <f>[2]各R部队能量汇总!G93</f>
        <v>8983384377</v>
      </c>
      <c r="W93" s="26">
        <f>[2]各R部队能量汇总!H93</f>
        <v>11706894697</v>
      </c>
      <c r="X93" s="26">
        <f>[2]各R部队能量汇总!I93</f>
        <v>12826432674</v>
      </c>
      <c r="AA93" s="27">
        <v>87</v>
      </c>
      <c r="AB93" s="28">
        <f>[2]各R部队能量汇总!K93</f>
        <v>1</v>
      </c>
      <c r="AC93" s="28">
        <f>[2]各R部队能量汇总!L93</f>
        <v>1.1043558331379191</v>
      </c>
      <c r="AD93" s="28">
        <f>[2]各R部队能量汇总!M93</f>
        <v>1.3155821778910302</v>
      </c>
      <c r="AE93" s="28">
        <f>[2]各R部队能量汇总!N93</f>
        <v>1.7144298156997599</v>
      </c>
      <c r="AF93" s="28">
        <f>[2]各R部队能量汇总!O93</f>
        <v>1.8783818574029152</v>
      </c>
      <c r="AI93" s="27">
        <v>87</v>
      </c>
      <c r="AJ93" s="28">
        <f>[1]服务器生态!W108</f>
        <v>219.37818049875</v>
      </c>
      <c r="AK93" s="28">
        <f>[1]服务器生态!X108</f>
        <v>214.08736401383237</v>
      </c>
      <c r="AL93" s="28">
        <f>[1]服务器生态!Y108</f>
        <v>17.538953067417602</v>
      </c>
      <c r="AM93" s="28">
        <f>[1]服务器生态!Z108</f>
        <v>3.1031200200000009</v>
      </c>
      <c r="AN93" s="28">
        <f>[1]服务器生态!AA108</f>
        <v>0.89238239999999991</v>
      </c>
      <c r="AQ93" s="26">
        <v>87</v>
      </c>
      <c r="AR93" s="29">
        <f>[2]非r将兵属性验证!M93</f>
        <v>258.39999701421954</v>
      </c>
      <c r="AS93" s="29">
        <f>[2]小r将兵属性验证!M93</f>
        <v>269.30476539031127</v>
      </c>
      <c r="AT93" s="29">
        <f>[2]中r将兵属性验证!M93</f>
        <v>282.59481548457609</v>
      </c>
      <c r="AU93" s="29">
        <f>[2]大r将兵属性验证!M93</f>
        <v>317.42849961515276</v>
      </c>
      <c r="AV93" s="29">
        <f>[2]超r将兵属性验证!M93</f>
        <v>325.10554942253134</v>
      </c>
    </row>
    <row r="94" spans="2:48" x14ac:dyDescent="0.2">
      <c r="B94" s="26">
        <f>[1]节奏总纲!N91</f>
        <v>98</v>
      </c>
      <c r="C94" s="26">
        <v>88</v>
      </c>
      <c r="D94" s="26">
        <f>[1]节奏总纲!P91</f>
        <v>444.72188840761549</v>
      </c>
      <c r="E94" s="26">
        <f>[1]节奏总纲!Q91</f>
        <v>384.7733778502689</v>
      </c>
      <c r="F94" s="26">
        <f>[1]节奏总纲!R91</f>
        <v>312.90632068359827</v>
      </c>
      <c r="G94" s="26">
        <f>[1]节奏总纲!S91</f>
        <v>226.0076636887502</v>
      </c>
      <c r="H94" s="26">
        <f>[1]节奏总纲!T91</f>
        <v>123.1879630889095</v>
      </c>
      <c r="K94" s="26">
        <v>88</v>
      </c>
      <c r="L94" s="26">
        <f>[1]节奏总纲!AD91</f>
        <v>64.750927616519931</v>
      </c>
      <c r="M94" s="26">
        <f>[1]节奏总纲!AE91</f>
        <v>66.759818208154257</v>
      </c>
      <c r="N94" s="26">
        <f>[1]节奏总纲!AF91</f>
        <v>69.660895361997589</v>
      </c>
      <c r="O94" s="26">
        <f>[1]节奏总纲!AG91</f>
        <v>74.178131818877702</v>
      </c>
      <c r="P94" s="26">
        <f>[1]节奏总纲!AH91</f>
        <v>82.799805803231706</v>
      </c>
      <c r="S94" s="26">
        <v>88</v>
      </c>
      <c r="T94" s="26">
        <f>[2]各R部队能量汇总!E94</f>
        <v>7285073311</v>
      </c>
      <c r="U94" s="26">
        <f>[2]各R部队能量汇总!F94</f>
        <v>8101542796</v>
      </c>
      <c r="V94" s="26">
        <f>[2]各R部队能量汇总!G94</f>
        <v>9664794089</v>
      </c>
      <c r="W94" s="26">
        <f>[2]各R部队能量汇总!H94</f>
        <v>12380976354</v>
      </c>
      <c r="X94" s="26">
        <f>[2]各R部队能量汇总!I94</f>
        <v>13363365930</v>
      </c>
      <c r="AA94" s="27">
        <v>88</v>
      </c>
      <c r="AB94" s="28">
        <f>[2]各R部队能量汇总!K94</f>
        <v>1</v>
      </c>
      <c r="AC94" s="28">
        <f>[2]各R部队能量汇总!L94</f>
        <v>1.1120742990694661</v>
      </c>
      <c r="AD94" s="28">
        <f>[2]各R部队能量汇总!M94</f>
        <v>1.3266570803627702</v>
      </c>
      <c r="AE94" s="28">
        <f>[2]各R部队能量汇总!N94</f>
        <v>1.6994992123559702</v>
      </c>
      <c r="AF94" s="28">
        <f>[2]各R部队能量汇总!O94</f>
        <v>1.834348860954105</v>
      </c>
      <c r="AI94" s="27">
        <v>88</v>
      </c>
      <c r="AJ94" s="28">
        <f>[1]服务器生态!W109</f>
        <v>218.19314087999999</v>
      </c>
      <c r="AK94" s="28">
        <f>[1]服务器生态!X109</f>
        <v>213.66483934444372</v>
      </c>
      <c r="AL94" s="28">
        <f>[1]服务器生态!Y109</f>
        <v>17.483328788889601</v>
      </c>
      <c r="AM94" s="28">
        <f>[1]服务器生态!Z109</f>
        <v>3.0989939200000007</v>
      </c>
      <c r="AN94" s="28">
        <f>[1]服务器生态!AA109</f>
        <v>0.89303039999999978</v>
      </c>
      <c r="AQ94" s="26">
        <v>88</v>
      </c>
      <c r="AR94" s="29">
        <f>[2]非r将兵属性验证!M94</f>
        <v>261.46257480990135</v>
      </c>
      <c r="AS94" s="29">
        <f>[2]小r将兵属性验证!M94</f>
        <v>273.48464383928518</v>
      </c>
      <c r="AT94" s="29">
        <f>[2]中r将兵属性验证!M94</f>
        <v>287.32217736586807</v>
      </c>
      <c r="AU94" s="29">
        <f>[2]大r将兵属性验证!M94</f>
        <v>320.58379028464572</v>
      </c>
      <c r="AV94" s="29">
        <f>[2]超r将兵属性验证!M94</f>
        <v>325.88499618435446</v>
      </c>
    </row>
    <row r="95" spans="2:48" x14ac:dyDescent="0.2">
      <c r="B95" s="26">
        <f>[1]节奏总纲!N92</f>
        <v>99</v>
      </c>
      <c r="C95" s="26">
        <v>89</v>
      </c>
      <c r="D95" s="26">
        <f>[1]节奏总纲!P92</f>
        <v>476.71289166684534</v>
      </c>
      <c r="E95" s="26">
        <f>[1]节奏总纲!Q92</f>
        <v>411.78459582182103</v>
      </c>
      <c r="F95" s="26">
        <f>[1]节奏总纲!R92</f>
        <v>332.60258451595797</v>
      </c>
      <c r="G95" s="26">
        <f>[1]节奏总纲!S92</f>
        <v>240.31096868925673</v>
      </c>
      <c r="H95" s="26">
        <f>[1]节奏总纲!T92</f>
        <v>130.61933231671563</v>
      </c>
      <c r="K95" s="26">
        <v>89</v>
      </c>
      <c r="L95" s="26">
        <f>[1]节奏总纲!AD92</f>
        <v>64.915912490558512</v>
      </c>
      <c r="M95" s="26">
        <f>[1]节奏总纲!AE92</f>
        <v>66.923300409222719</v>
      </c>
      <c r="N95" s="26">
        <f>[1]节奏总纲!AF92</f>
        <v>69.821875489223984</v>
      </c>
      <c r="O95" s="26">
        <f>[1]节奏总纲!AG92</f>
        <v>74.335758643278794</v>
      </c>
      <c r="P95" s="26">
        <f>[1]节奏总纲!AH92</f>
        <v>82.967513911278544</v>
      </c>
      <c r="S95" s="26">
        <v>89</v>
      </c>
      <c r="T95" s="26">
        <f>[2]各R部队能量汇总!E95</f>
        <v>7763381028</v>
      </c>
      <c r="U95" s="26">
        <f>[2]各R部队能量汇总!F95</f>
        <v>8696055096</v>
      </c>
      <c r="V95" s="26">
        <f>[2]各R部队能量汇总!G95</f>
        <v>10361125492</v>
      </c>
      <c r="W95" s="26">
        <f>[2]各R部队能量汇总!H95</f>
        <v>13090293970</v>
      </c>
      <c r="X95" s="26">
        <f>[2]各R部队能量汇总!I95</f>
        <v>13935861704</v>
      </c>
      <c r="AA95" s="27">
        <v>89</v>
      </c>
      <c r="AB95" s="28">
        <f>[2]各R部队能量汇总!K95</f>
        <v>1</v>
      </c>
      <c r="AC95" s="28">
        <f>[2]各R部队能量汇总!L95</f>
        <v>1.1201376133202978</v>
      </c>
      <c r="AD95" s="28">
        <f>[2]各R部队能量汇总!M95</f>
        <v>1.3346150929125824</v>
      </c>
      <c r="AE95" s="28">
        <f>[2]各R部队能量汇总!N95</f>
        <v>1.6861588942739705</v>
      </c>
      <c r="AF95" s="28">
        <f>[2]各R部队能量汇总!O95</f>
        <v>1.7950763531685308</v>
      </c>
      <c r="AI95" s="27">
        <v>89</v>
      </c>
      <c r="AJ95" s="28">
        <f>[1]服务器生态!W110</f>
        <v>217.01090608874998</v>
      </c>
      <c r="AK95" s="28">
        <f>[1]服务器生态!X110</f>
        <v>213.23965527704627</v>
      </c>
      <c r="AL95" s="28">
        <f>[1]服务器生态!Y110</f>
        <v>17.427641120870401</v>
      </c>
      <c r="AM95" s="28">
        <f>[1]服务器生态!Z110</f>
        <v>3.0948145800000009</v>
      </c>
      <c r="AN95" s="28">
        <f>[1]服务器生态!AA110</f>
        <v>0.89364959999999993</v>
      </c>
      <c r="AQ95" s="26">
        <v>89</v>
      </c>
      <c r="AR95" s="29">
        <f>[2]非r将兵属性验证!M95</f>
        <v>264.52515260558317</v>
      </c>
      <c r="AS95" s="29">
        <f>[2]小r将兵属性验证!M95</f>
        <v>277.66452228825909</v>
      </c>
      <c r="AT95" s="29">
        <f>[2]中r将兵属性验证!M95</f>
        <v>292.04953924716</v>
      </c>
      <c r="AU95" s="29">
        <f>[2]大r将兵属性验证!M95</f>
        <v>323.73908095413873</v>
      </c>
      <c r="AV95" s="29">
        <f>[2]超r将兵属性验证!M95</f>
        <v>326.66444294617759</v>
      </c>
    </row>
    <row r="96" spans="2:48" x14ac:dyDescent="0.2">
      <c r="B96" s="26">
        <f>[1]节奏总纲!N93</f>
        <v>100</v>
      </c>
      <c r="C96" s="26">
        <v>90</v>
      </c>
      <c r="D96" s="26">
        <f>[1]节奏总纲!P93</f>
        <v>511</v>
      </c>
      <c r="E96" s="26">
        <f>[1]节奏总纲!Q93</f>
        <v>438.13140000000004</v>
      </c>
      <c r="F96" s="26">
        <f>[1]节奏总纲!R93</f>
        <v>354.12299999999999</v>
      </c>
      <c r="G96" s="26">
        <f>[1]节奏总纲!S93</f>
        <v>254.88680000000002</v>
      </c>
      <c r="H96" s="26">
        <f>[1]节奏总纲!T93</f>
        <v>138.48100000000002</v>
      </c>
      <c r="K96" s="26">
        <v>90</v>
      </c>
      <c r="L96" s="26">
        <f>[1]节奏总纲!AD93</f>
        <v>65.075479910097457</v>
      </c>
      <c r="M96" s="26">
        <f>[1]节奏总纲!AE93</f>
        <v>67.083433628014333</v>
      </c>
      <c r="N96" s="26">
        <f>[1]节奏总纲!AF93</f>
        <v>69.982855616450394</v>
      </c>
      <c r="O96" s="26">
        <f>[1]节奏总纲!AG93</f>
        <v>74.493385467679886</v>
      </c>
      <c r="P96" s="26">
        <f>[1]节奏总纲!AH93</f>
        <v>83.124894550960335</v>
      </c>
      <c r="S96" s="26">
        <v>90</v>
      </c>
      <c r="T96" s="26">
        <f>[2]各R部队能量汇总!E96</f>
        <v>8272848252</v>
      </c>
      <c r="U96" s="26">
        <f>[2]各R部队能量汇总!F96</f>
        <v>9310580302</v>
      </c>
      <c r="V96" s="26">
        <f>[2]各R部队能量汇总!G96</f>
        <v>11107030025</v>
      </c>
      <c r="W96" s="26">
        <f>[2]各R部队能量汇总!H96</f>
        <v>13850591080</v>
      </c>
      <c r="X96" s="26">
        <f>[2]各R部队能量汇总!I96</f>
        <v>14531865726</v>
      </c>
      <c r="AA96" s="27">
        <v>90</v>
      </c>
      <c r="AB96" s="28">
        <f>[2]各R部队能量汇总!K96</f>
        <v>1</v>
      </c>
      <c r="AC96" s="28">
        <f>[2]各R部队能量汇总!L96</f>
        <v>1.1254383035188786</v>
      </c>
      <c r="AD96" s="28">
        <f>[2]各R部队能量汇总!M96</f>
        <v>1.3425883911644123</v>
      </c>
      <c r="AE96" s="28">
        <f>[2]各R部队能量汇总!N96</f>
        <v>1.6742227897932922</v>
      </c>
      <c r="AF96" s="28">
        <f>[2]各R部队能量汇总!O96</f>
        <v>1.7565734657935801</v>
      </c>
      <c r="AI96" s="27">
        <v>90</v>
      </c>
      <c r="AJ96" s="28">
        <f>[1]服务器生态!W111</f>
        <v>215.83147612499999</v>
      </c>
      <c r="AK96" s="28">
        <f>[1]服务器生态!X111</f>
        <v>212.81181181163998</v>
      </c>
      <c r="AL96" s="28">
        <f>[1]服务器生态!Y111</f>
        <v>17.371890063360002</v>
      </c>
      <c r="AM96" s="28">
        <f>[1]服务器生态!Z111</f>
        <v>3.0905820000000008</v>
      </c>
      <c r="AN96" s="28">
        <f>[1]服务器生态!AA111</f>
        <v>0.89423999999999992</v>
      </c>
      <c r="AQ96" s="26">
        <v>90</v>
      </c>
      <c r="AR96" s="29">
        <f>[2]非r将兵属性验证!M96</f>
        <v>267.58773040126499</v>
      </c>
      <c r="AS96" s="29">
        <f>[2]小r将兵属性验证!M96</f>
        <v>281.844400737233</v>
      </c>
      <c r="AT96" s="29">
        <f>[2]中r将兵属性验证!M96</f>
        <v>296.77690112845187</v>
      </c>
      <c r="AU96" s="29">
        <f>[2]大r将兵属性验证!M96</f>
        <v>326.89437162363163</v>
      </c>
      <c r="AV96" s="29">
        <f>[2]超r将兵属性验证!M96</f>
        <v>327.44388970800071</v>
      </c>
    </row>
    <row r="97" spans="2:48" x14ac:dyDescent="0.2">
      <c r="B97" s="26">
        <f>[1]节奏总纲!N94</f>
        <v>101</v>
      </c>
      <c r="C97" s="26">
        <v>91</v>
      </c>
      <c r="D97" s="26">
        <f>[1]节奏总纲!P94</f>
        <v>547.74801281858208</v>
      </c>
      <c r="E97" s="26">
        <f>[1]节奏总纲!Q94</f>
        <v>469.6391461906523</v>
      </c>
      <c r="F97" s="26">
        <f>[1]节奏总纲!R94</f>
        <v>378.43910205635837</v>
      </c>
      <c r="G97" s="26">
        <f>[1]节奏总纲!S94</f>
        <v>272.61418597980827</v>
      </c>
      <c r="H97" s="26">
        <f>[1]节奏总纲!T94</f>
        <v>147.89196346101718</v>
      </c>
      <c r="K97" s="26">
        <v>91</v>
      </c>
      <c r="L97" s="26">
        <f>[1]节奏总纲!AD94</f>
        <v>65.229416240679981</v>
      </c>
      <c r="M97" s="26">
        <f>[1]节奏总纲!AE94</f>
        <v>67.240606973055961</v>
      </c>
      <c r="N97" s="26">
        <f>[1]节奏总纲!AF94</f>
        <v>70.137942795989005</v>
      </c>
      <c r="O97" s="26">
        <f>[1]节奏总纲!AG94</f>
        <v>74.651012292080978</v>
      </c>
      <c r="P97" s="26">
        <f>[1]节奏总纲!AH94</f>
        <v>83.279794092850153</v>
      </c>
      <c r="S97" s="26">
        <v>91</v>
      </c>
      <c r="T97" s="26">
        <f>[2]各R部队能量汇总!E97</f>
        <v>8765352405</v>
      </c>
      <c r="U97" s="26">
        <f>[2]各R部队能量汇总!F97</f>
        <v>9920815181</v>
      </c>
      <c r="V97" s="26">
        <f>[2]各R部队能量汇总!G97</f>
        <v>11833882228</v>
      </c>
      <c r="W97" s="26">
        <f>[2]各R部队能量汇总!H97</f>
        <v>14437940678</v>
      </c>
      <c r="X97" s="26">
        <f>[2]各R部队能量汇总!I97</f>
        <v>15121343370</v>
      </c>
      <c r="AA97" s="27">
        <v>91</v>
      </c>
      <c r="AB97" s="28">
        <f>[2]各R部队能量汇总!K97</f>
        <v>1</v>
      </c>
      <c r="AC97" s="28">
        <f>[2]各R部队能量汇总!L97</f>
        <v>1.1318215997044103</v>
      </c>
      <c r="AD97" s="28">
        <f>[2]各R部队能量汇总!M97</f>
        <v>1.3500748950207211</v>
      </c>
      <c r="AE97" s="28">
        <f>[2]各R部队能量汇总!N97</f>
        <v>1.6471603206465719</v>
      </c>
      <c r="AF97" s="28">
        <f>[2]各R部队能量汇总!O97</f>
        <v>1.7251266887312331</v>
      </c>
      <c r="AI97" s="27">
        <v>91</v>
      </c>
      <c r="AJ97" s="28">
        <f>[1]服务器生态!W112</f>
        <v>214.23272445000001</v>
      </c>
      <c r="AK97" s="28">
        <f>[1]服务器生态!X112</f>
        <v>211.23542802044267</v>
      </c>
      <c r="AL97" s="28">
        <f>[1]服务器生态!Y112</f>
        <v>17.243209396224003</v>
      </c>
      <c r="AM97" s="28">
        <f>[1]服务器生态!Z112</f>
        <v>3.0676888000000009</v>
      </c>
      <c r="AN97" s="28">
        <f>[1]服务器生态!AA112</f>
        <v>0.88761599999999996</v>
      </c>
      <c r="AQ97" s="26">
        <v>91</v>
      </c>
      <c r="AR97" s="29">
        <f>[2]非r将兵属性验证!M97</f>
        <v>270.26168230319507</v>
      </c>
      <c r="AS97" s="29">
        <f>[2]小r将兵属性验证!M97</f>
        <v>285.37016622601732</v>
      </c>
      <c r="AT97" s="29">
        <f>[2]中r将兵属性验证!M97</f>
        <v>300.41477510248251</v>
      </c>
      <c r="AU97" s="29">
        <f>[2]大r将兵属性验证!M97</f>
        <v>327.24561534502425</v>
      </c>
      <c r="AV97" s="29">
        <f>[2]超r将兵属性验证!M97</f>
        <v>327.7943364698238</v>
      </c>
    </row>
    <row r="98" spans="2:48" x14ac:dyDescent="0.2">
      <c r="B98" s="26">
        <f>[1]节奏总纲!N95</f>
        <v>102</v>
      </c>
      <c r="C98" s="26">
        <v>92</v>
      </c>
      <c r="D98" s="26">
        <f>[1]节奏总纲!P95</f>
        <v>587.1335577584814</v>
      </c>
      <c r="E98" s="26">
        <f>[1]节奏总纲!Q95</f>
        <v>502.29275866238083</v>
      </c>
      <c r="F98" s="26">
        <f>[1]节奏总纲!R95</f>
        <v>405.12215485335213</v>
      </c>
      <c r="G98" s="26">
        <f>[1]节奏总纲!S95</f>
        <v>291.57052478286187</v>
      </c>
      <c r="H98" s="26">
        <f>[1]节奏总纲!T95</f>
        <v>157.64536025815227</v>
      </c>
      <c r="K98" s="26">
        <v>92</v>
      </c>
      <c r="L98" s="26">
        <f>[1]节奏总纲!AD95</f>
        <v>65.38335257126252</v>
      </c>
      <c r="M98" s="26">
        <f>[1]节奏总纲!AE95</f>
        <v>67.397780318097588</v>
      </c>
      <c r="N98" s="26">
        <f>[1]节奏总纲!AF95</f>
        <v>70.292327570459079</v>
      </c>
      <c r="O98" s="26">
        <f>[1]节奏总纲!AG95</f>
        <v>74.808639116482055</v>
      </c>
      <c r="P98" s="26">
        <f>[1]节奏总纲!AH95</f>
        <v>83.434693634739986</v>
      </c>
      <c r="S98" s="26">
        <v>92</v>
      </c>
      <c r="T98" s="26">
        <f>[2]各R部队能量汇总!E98</f>
        <v>9289781503</v>
      </c>
      <c r="U98" s="26">
        <f>[2]各R部队能量汇总!F98</f>
        <v>10549780334</v>
      </c>
      <c r="V98" s="26">
        <f>[2]各R部队能量汇总!G98</f>
        <v>12578008994</v>
      </c>
      <c r="W98" s="26">
        <f>[2]各R部队能量汇总!H98</f>
        <v>15032195106</v>
      </c>
      <c r="X98" s="26">
        <f>[2]各R部队能量汇总!I98</f>
        <v>15747427188</v>
      </c>
      <c r="AA98" s="27">
        <v>92</v>
      </c>
      <c r="AB98" s="28">
        <f>[2]各R部队能量汇总!K98</f>
        <v>1</v>
      </c>
      <c r="AC98" s="28">
        <f>[2]各R部队能量汇总!L98</f>
        <v>1.1356327735580327</v>
      </c>
      <c r="AD98" s="28">
        <f>[2]各R部队能量汇总!M98</f>
        <v>1.3539617686312768</v>
      </c>
      <c r="AE98" s="28">
        <f>[2]各R部队能量汇总!N98</f>
        <v>1.6181430210329029</v>
      </c>
      <c r="AF98" s="28">
        <f>[2]各R部队能量汇总!O98</f>
        <v>1.6951342916853962</v>
      </c>
      <c r="AI98" s="27">
        <v>92</v>
      </c>
      <c r="AJ98" s="28">
        <f>[1]服务器生态!W113</f>
        <v>212.63397277499999</v>
      </c>
      <c r="AK98" s="28">
        <f>[1]服务器生态!X113</f>
        <v>209.65904422924532</v>
      </c>
      <c r="AL98" s="28">
        <f>[1]服务器生态!Y113</f>
        <v>17.114528729088001</v>
      </c>
      <c r="AM98" s="28">
        <f>[1]服务器生态!Z113</f>
        <v>3.0447956000000009</v>
      </c>
      <c r="AN98" s="28">
        <f>[1]服务器生态!AA113</f>
        <v>0.88099199999999989</v>
      </c>
      <c r="AQ98" s="26">
        <v>92</v>
      </c>
      <c r="AR98" s="29">
        <f>[2]非r将兵属性验证!M98</f>
        <v>272.92052339892513</v>
      </c>
      <c r="AS98" s="29">
        <f>[2]小r将兵属性验证!M98</f>
        <v>288.84522532685099</v>
      </c>
      <c r="AT98" s="29">
        <f>[2]中r将兵属性验证!M98</f>
        <v>303.44519682677242</v>
      </c>
      <c r="AU98" s="29">
        <f>[2]大r将兵属性验证!M98</f>
        <v>327.59685906641676</v>
      </c>
      <c r="AV98" s="29">
        <f>[2]超r将兵属性验证!M98</f>
        <v>328.14504975531241</v>
      </c>
    </row>
    <row r="99" spans="2:48" x14ac:dyDescent="0.2">
      <c r="B99" s="26">
        <f>[1]节奏总纲!N96</f>
        <v>103</v>
      </c>
      <c r="C99" s="26">
        <v>93</v>
      </c>
      <c r="D99" s="26">
        <f>[1]节奏总纲!P96</f>
        <v>629.34593963259704</v>
      </c>
      <c r="E99" s="26">
        <f>[1]节奏总纲!Q96</f>
        <v>538.34251676172357</v>
      </c>
      <c r="F99" s="26">
        <f>[1]节奏总纲!R96</f>
        <v>433.68228700082267</v>
      </c>
      <c r="G99" s="26">
        <f>[1]节奏总纲!S96</f>
        <v>311.52624011813555</v>
      </c>
      <c r="H99" s="26">
        <f>[1]节奏总纲!T96</f>
        <v>168.35003885171972</v>
      </c>
      <c r="K99" s="26">
        <v>93</v>
      </c>
      <c r="L99" s="26">
        <f>[1]节奏总纲!AD96</f>
        <v>65.537288901845059</v>
      </c>
      <c r="M99" s="26">
        <f>[1]节奏总纲!AE96</f>
        <v>67.554953663139216</v>
      </c>
      <c r="N99" s="26">
        <f>[1]节奏总纲!AF96</f>
        <v>70.446712344929153</v>
      </c>
      <c r="O99" s="26">
        <f>[1]节奏总纲!AG96</f>
        <v>74.966265940883147</v>
      </c>
      <c r="P99" s="26">
        <f>[1]节奏总纲!AH96</f>
        <v>83.589593176629805</v>
      </c>
      <c r="S99" s="26">
        <v>93</v>
      </c>
      <c r="T99" s="26">
        <f>[2]各R部队能量汇总!E99</f>
        <v>9838631201</v>
      </c>
      <c r="U99" s="26">
        <f>[2]各R部队能量汇总!F99</f>
        <v>11230432764</v>
      </c>
      <c r="V99" s="26">
        <f>[2]各R部队能量汇总!G99</f>
        <v>13353188099</v>
      </c>
      <c r="W99" s="26">
        <f>[2]各R部队能量汇总!H99</f>
        <v>15663238955</v>
      </c>
      <c r="X99" s="26">
        <f>[2]各R部队能量汇总!I99</f>
        <v>16385710045</v>
      </c>
      <c r="AA99" s="27">
        <v>93</v>
      </c>
      <c r="AB99" s="28">
        <f>[2]各R部队能量汇总!K99</f>
        <v>1</v>
      </c>
      <c r="AC99" s="28">
        <f>[2]各R部队能量汇总!L99</f>
        <v>1.1414629265561389</v>
      </c>
      <c r="AD99" s="28">
        <f>[2]各R部队能量汇总!M99</f>
        <v>1.3572201077770636</v>
      </c>
      <c r="AE99" s="28">
        <f>[2]各R部队能量汇总!N99</f>
        <v>1.5920140347783325</v>
      </c>
      <c r="AF99" s="28">
        <f>[2]各R部队能量汇总!O99</f>
        <v>1.6654461083300443</v>
      </c>
      <c r="AI99" s="27">
        <v>93</v>
      </c>
      <c r="AJ99" s="28">
        <f>[1]服务器生态!W114</f>
        <v>211.03522109999997</v>
      </c>
      <c r="AK99" s="28">
        <f>[1]服务器生态!X114</f>
        <v>208.08266043804798</v>
      </c>
      <c r="AL99" s="28">
        <f>[1]服务器生态!Y114</f>
        <v>16.985848061952002</v>
      </c>
      <c r="AM99" s="28">
        <f>[1]服务器生态!Z114</f>
        <v>3.021902400000001</v>
      </c>
      <c r="AN99" s="28">
        <f>[1]服务器生态!AA114</f>
        <v>0.87436799999999992</v>
      </c>
      <c r="AQ99" s="26">
        <v>93</v>
      </c>
      <c r="AR99" s="29">
        <f>[2]非r将兵属性验证!M99</f>
        <v>275.57936449465518</v>
      </c>
      <c r="AS99" s="29">
        <f>[2]小r将兵属性验证!M99</f>
        <v>292.32028442768467</v>
      </c>
      <c r="AT99" s="29">
        <f>[2]中r将兵属性验证!M99</f>
        <v>306.47561855106233</v>
      </c>
      <c r="AU99" s="29">
        <f>[2]大r将兵属性验证!M99</f>
        <v>327.94810278780926</v>
      </c>
      <c r="AV99" s="29">
        <f>[2]超r将兵属性验证!M99</f>
        <v>328.50602000261102</v>
      </c>
    </row>
    <row r="100" spans="2:48" x14ac:dyDescent="0.2">
      <c r="B100" s="26">
        <f>[1]节奏总纲!N97</f>
        <v>104</v>
      </c>
      <c r="C100" s="26">
        <v>94</v>
      </c>
      <c r="D100" s="26">
        <f>[1]节奏总纲!P97</f>
        <v>674.58805031572183</v>
      </c>
      <c r="E100" s="26">
        <f>[1]节奏总纲!Q97</f>
        <v>576.30057138472114</v>
      </c>
      <c r="F100" s="26">
        <f>[1]节奏总纲!R97</f>
        <v>464.04911981218504</v>
      </c>
      <c r="G100" s="26">
        <f>[1]节奏总纲!S97</f>
        <v>332.70682641571403</v>
      </c>
      <c r="H100" s="26">
        <f>[1]节奏总纲!T97</f>
        <v>179.6427977990767</v>
      </c>
      <c r="K100" s="26">
        <v>94</v>
      </c>
      <c r="L100" s="26">
        <f>[1]节奏总纲!AD97</f>
        <v>65.691225232427584</v>
      </c>
      <c r="M100" s="26">
        <f>[1]节奏总纲!AE97</f>
        <v>67.712127008180858</v>
      </c>
      <c r="N100" s="26">
        <f>[1]节奏总纲!AF97</f>
        <v>70.601097119399213</v>
      </c>
      <c r="O100" s="26">
        <f>[1]节奏总纲!AG97</f>
        <v>75.115180559621535</v>
      </c>
      <c r="P100" s="26">
        <f>[1]节奏总纲!AH97</f>
        <v>83.744492718519624</v>
      </c>
      <c r="S100" s="26">
        <v>94</v>
      </c>
      <c r="T100" s="26">
        <f>[2]各R部队能量汇总!E100</f>
        <v>10439440062</v>
      </c>
      <c r="U100" s="26">
        <f>[2]各R部队能量汇总!F100</f>
        <v>11922716820</v>
      </c>
      <c r="V100" s="26">
        <f>[2]各R部队能量汇总!G100</f>
        <v>14174778352</v>
      </c>
      <c r="W100" s="26">
        <f>[2]各R部队能量汇总!H100</f>
        <v>16303008901</v>
      </c>
      <c r="X100" s="26">
        <f>[2]各R部队能量汇总!I100</f>
        <v>17057098461</v>
      </c>
      <c r="AA100" s="27">
        <v>94</v>
      </c>
      <c r="AB100" s="28">
        <f>[2]各R部队能量汇总!K100</f>
        <v>1</v>
      </c>
      <c r="AC100" s="28">
        <f>[2]各R部队能量汇总!L100</f>
        <v>1.1420839383329753</v>
      </c>
      <c r="AD100" s="28">
        <f>[2]各R部队能量汇总!M100</f>
        <v>1.3578102147065136</v>
      </c>
      <c r="AE100" s="28">
        <f>[2]各R部队能量汇总!N100</f>
        <v>1.5616746496149383</v>
      </c>
      <c r="AF100" s="28">
        <f>[2]各R部队能量汇总!O100</f>
        <v>1.6339093246091383</v>
      </c>
      <c r="AI100" s="27">
        <v>94</v>
      </c>
      <c r="AJ100" s="28">
        <f>[1]服务器生态!W115</f>
        <v>209.43646942499998</v>
      </c>
      <c r="AK100" s="28">
        <f>[1]服务器生态!X115</f>
        <v>206.50627664685067</v>
      </c>
      <c r="AL100" s="28">
        <f>[1]服务器生态!Y115</f>
        <v>16.857167394816003</v>
      </c>
      <c r="AM100" s="28">
        <f>[1]服务器生态!Z115</f>
        <v>2.999009200000001</v>
      </c>
      <c r="AN100" s="28">
        <f>[1]服务器生态!AA115</f>
        <v>0.86774399999999996</v>
      </c>
      <c r="AQ100" s="26">
        <v>94</v>
      </c>
      <c r="AR100" s="29">
        <f>[2]非r将兵属性验证!M100</f>
        <v>278.15746007528088</v>
      </c>
      <c r="AS100" s="29">
        <f>[2]小r将兵属性验证!M100</f>
        <v>295.24857605539574</v>
      </c>
      <c r="AT100" s="29">
        <f>[2]中r将兵属性验证!M100</f>
        <v>309.47812383782338</v>
      </c>
      <c r="AU100" s="29">
        <f>[2]大r将兵属性验证!M100</f>
        <v>328.30540255978752</v>
      </c>
      <c r="AV100" s="29">
        <f>[2]超r将兵属性验证!M100</f>
        <v>328.86699024990963</v>
      </c>
    </row>
    <row r="101" spans="2:48" x14ac:dyDescent="0.2">
      <c r="B101" s="26">
        <f>[1]节奏总纲!N98</f>
        <v>105</v>
      </c>
      <c r="C101" s="26">
        <v>95</v>
      </c>
      <c r="D101" s="26">
        <f>[1]节奏总纲!P98</f>
        <v>723.0773439350246</v>
      </c>
      <c r="E101" s="26">
        <f>[1]节奏总纲!Q98</f>
        <v>618.15882133005255</v>
      </c>
      <c r="F101" s="26">
        <f>[1]节奏总纲!R98</f>
        <v>495.95875020503337</v>
      </c>
      <c r="G101" s="26">
        <f>[1]节奏总纲!S98</f>
        <v>355.39251454406457</v>
      </c>
      <c r="H101" s="26">
        <f>[1]节奏总纲!T98</f>
        <v>192.84472762747106</v>
      </c>
      <c r="K101" s="26">
        <v>95</v>
      </c>
      <c r="L101" s="26">
        <f>[1]节奏总纲!AD98</f>
        <v>65.845161563010123</v>
      </c>
      <c r="M101" s="26">
        <f>[1]节奏总纲!AE98</f>
        <v>67.869300353222485</v>
      </c>
      <c r="N101" s="26">
        <f>[1]节奏总纲!AF98</f>
        <v>70.755481893869288</v>
      </c>
      <c r="O101" s="26">
        <f>[1]节奏总纲!AG98</f>
        <v>75.261722981240993</v>
      </c>
      <c r="P101" s="26">
        <f>[1]节奏总纲!AH98</f>
        <v>83.899392260409456</v>
      </c>
      <c r="S101" s="26">
        <v>95</v>
      </c>
      <c r="T101" s="26">
        <f>[2]各R部队能量汇总!E101</f>
        <v>11062660654</v>
      </c>
      <c r="U101" s="26">
        <f>[2]各R部队能量汇总!F101</f>
        <v>12651812204</v>
      </c>
      <c r="V101" s="26">
        <f>[2]各R部队能量汇总!G101</f>
        <v>15032724530</v>
      </c>
      <c r="W101" s="26">
        <f>[2]各R部队能量汇总!H101</f>
        <v>16979363214</v>
      </c>
      <c r="X101" s="26">
        <f>[2]各R部队能量汇总!I101</f>
        <v>17759996891</v>
      </c>
      <c r="AA101" s="27">
        <v>95</v>
      </c>
      <c r="AB101" s="28">
        <f>[2]各R部队能量汇总!K101</f>
        <v>1</v>
      </c>
      <c r="AC101" s="28">
        <f>[2]各R部队能量汇总!L101</f>
        <v>1.1436500313715581</v>
      </c>
      <c r="AD101" s="28">
        <f>[2]各R部队能量汇总!M101</f>
        <v>1.3588706189378157</v>
      </c>
      <c r="AE101" s="28">
        <f>[2]各R部队能量汇总!N101</f>
        <v>1.5348354021743096</v>
      </c>
      <c r="AF101" s="28">
        <f>[2]各R部队能量汇总!O101</f>
        <v>1.6054001335183683</v>
      </c>
      <c r="AI101" s="27">
        <v>95</v>
      </c>
      <c r="AJ101" s="28">
        <f>[1]服务器生态!W116</f>
        <v>207.83771775</v>
      </c>
      <c r="AK101" s="28">
        <f>[1]服务器生态!X116</f>
        <v>204.92989285565335</v>
      </c>
      <c r="AL101" s="28">
        <f>[1]服务器生态!Y116</f>
        <v>16.728486727680004</v>
      </c>
      <c r="AM101" s="28">
        <f>[1]服务器生态!Z116</f>
        <v>2.9761160000000011</v>
      </c>
      <c r="AN101" s="28">
        <f>[1]服务器生态!AA116</f>
        <v>0.86112</v>
      </c>
      <c r="AQ101" s="26">
        <v>95</v>
      </c>
      <c r="AR101" s="29">
        <f>[2]非r将兵属性验证!M101</f>
        <v>280.71068384080093</v>
      </c>
      <c r="AS101" s="29">
        <f>[2]小r将兵属性验证!M101</f>
        <v>298.07872461661253</v>
      </c>
      <c r="AT101" s="29">
        <f>[2]中r将兵属性验证!M101</f>
        <v>312.46023493974548</v>
      </c>
      <c r="AU101" s="29">
        <f>[2]大r将兵属性验证!M101</f>
        <v>328.66398098919836</v>
      </c>
      <c r="AV101" s="29">
        <f>[2]超r将兵属性验证!M101</f>
        <v>329.22796049720824</v>
      </c>
    </row>
    <row r="102" spans="2:48" x14ac:dyDescent="0.2">
      <c r="B102" s="26">
        <f>[1]节奏总纲!N99</f>
        <v>106</v>
      </c>
      <c r="C102" s="26">
        <v>96</v>
      </c>
      <c r="D102" s="26">
        <f>[1]节奏总纲!P99</f>
        <v>775.04688205332377</v>
      </c>
      <c r="E102" s="26">
        <f>[1]节奏总纲!Q99</f>
        <v>661.0374857032798</v>
      </c>
      <c r="F102" s="26">
        <f>[1]节奏总纲!R99</f>
        <v>529.97705794806279</v>
      </c>
      <c r="G102" s="26">
        <f>[1]节奏总纲!S99</f>
        <v>380.70302846459265</v>
      </c>
      <c r="H102" s="26">
        <f>[1]节奏总纲!T99</f>
        <v>206.86001282003213</v>
      </c>
      <c r="K102" s="26">
        <v>96</v>
      </c>
      <c r="L102" s="26">
        <f>[1]节奏总纲!AD99</f>
        <v>65.999097893592648</v>
      </c>
      <c r="M102" s="26">
        <f>[1]节奏总纲!AE99</f>
        <v>68.025215371037646</v>
      </c>
      <c r="N102" s="26">
        <f>[1]节奏总纲!AF99</f>
        <v>70.909866668339362</v>
      </c>
      <c r="O102" s="26">
        <f>[1]节奏总纲!AG99</f>
        <v>75.408265402860437</v>
      </c>
      <c r="P102" s="26">
        <f>[1]节奏总纲!AH99</f>
        <v>84.050903767166133</v>
      </c>
      <c r="S102" s="26">
        <v>96</v>
      </c>
      <c r="T102" s="26">
        <f>[2]各R部队能量汇总!E102</f>
        <v>11734220834</v>
      </c>
      <c r="U102" s="26">
        <f>[2]各R部队能量汇总!F102</f>
        <v>13420365435</v>
      </c>
      <c r="V102" s="26">
        <f>[2]各R部队能量汇总!G102</f>
        <v>15915224949</v>
      </c>
      <c r="W102" s="26">
        <f>[2]各R部队能量汇总!H102</f>
        <v>17679584812</v>
      </c>
      <c r="X102" s="26">
        <f>[2]各R部队能量汇总!I102</f>
        <v>18493490118</v>
      </c>
      <c r="AA102" s="27">
        <v>96</v>
      </c>
      <c r="AB102" s="28">
        <f>[2]各R部队能量汇总!K102</f>
        <v>1</v>
      </c>
      <c r="AC102" s="28">
        <f>[2]各R部队能量汇总!L102</f>
        <v>1.1436946368108551</v>
      </c>
      <c r="AD102" s="28">
        <f>[2]各R部队能量汇总!M102</f>
        <v>1.3563086270615861</v>
      </c>
      <c r="AE102" s="28">
        <f>[2]各R部队能量汇总!N102</f>
        <v>1.506668833159613</v>
      </c>
      <c r="AF102" s="28">
        <f>[2]各R部队能量汇总!O102</f>
        <v>1.5760305161817785</v>
      </c>
      <c r="AI102" s="27">
        <v>96</v>
      </c>
      <c r="AJ102" s="28">
        <f>[1]服务器生态!W117</f>
        <v>206.23896607499995</v>
      </c>
      <c r="AK102" s="28">
        <f>[1]服务器生态!X117</f>
        <v>203.35350906445598</v>
      </c>
      <c r="AL102" s="28">
        <f>[1]服务器生态!Y117</f>
        <v>16.599806060543997</v>
      </c>
      <c r="AM102" s="28">
        <f>[1]服务器生态!Z117</f>
        <v>2.9532228000000003</v>
      </c>
      <c r="AN102" s="28">
        <f>[1]服务器生态!AA117</f>
        <v>0.85449599999999981</v>
      </c>
      <c r="AQ102" s="26">
        <v>96</v>
      </c>
      <c r="AR102" s="29">
        <f>[2]非r将兵属性验证!M102</f>
        <v>283.38689104330291</v>
      </c>
      <c r="AS102" s="29">
        <f>[2]小r将兵属性验证!M102</f>
        <v>301.06248990185748</v>
      </c>
      <c r="AT102" s="29">
        <f>[2]中r将兵属性验证!M102</f>
        <v>315.53924720211847</v>
      </c>
      <c r="AU102" s="29">
        <f>[2]大r将兵属性验证!M102</f>
        <v>329.02255941860926</v>
      </c>
      <c r="AV102" s="29">
        <f>[2]超r将兵属性验证!M102</f>
        <v>329.58893074450685</v>
      </c>
    </row>
    <row r="103" spans="2:48" x14ac:dyDescent="0.2">
      <c r="B103" s="26">
        <f>[1]节奏总纲!N100</f>
        <v>107</v>
      </c>
      <c r="C103" s="26">
        <v>97</v>
      </c>
      <c r="D103" s="26">
        <f>[1]节奏总纲!P100</f>
        <v>830.74645386878444</v>
      </c>
      <c r="E103" s="26">
        <f>[1]节奏总纲!Q100</f>
        <v>707.71290405081743</v>
      </c>
      <c r="F103" s="26">
        <f>[1]节奏总纲!R100</f>
        <v>569.31054483627804</v>
      </c>
      <c r="G103" s="26">
        <f>[1]节奏总纲!S100</f>
        <v>409.80722569347137</v>
      </c>
      <c r="H103" s="26">
        <f>[1]节奏总纲!T100</f>
        <v>223.30464679992923</v>
      </c>
      <c r="K103" s="26">
        <v>97</v>
      </c>
      <c r="L103" s="26">
        <f>[1]节奏总纲!AD100</f>
        <v>66.142785979989682</v>
      </c>
      <c r="M103" s="26">
        <f>[1]节奏总纲!AE100</f>
        <v>68.174918074940805</v>
      </c>
      <c r="N103" s="26">
        <f>[1]节奏总纲!AF100</f>
        <v>71.061795050376986</v>
      </c>
      <c r="O103" s="26">
        <f>[1]节奏总纲!AG100</f>
        <v>75.554807824479894</v>
      </c>
      <c r="P103" s="26">
        <f>[1]节奏总纲!AH100</f>
        <v>84.196136930932482</v>
      </c>
      <c r="S103" s="26">
        <v>97</v>
      </c>
      <c r="T103" s="26">
        <f>[2]各R部队能量汇总!E103</f>
        <v>12431316942</v>
      </c>
      <c r="U103" s="26">
        <f>[2]各R部队能量汇总!F103</f>
        <v>14224790402</v>
      </c>
      <c r="V103" s="26">
        <f>[2]各R部队能量汇总!G103</f>
        <v>16858137325</v>
      </c>
      <c r="W103" s="26">
        <f>[2]各R部队能量汇总!H103</f>
        <v>18422422284</v>
      </c>
      <c r="X103" s="26">
        <f>[2]各R部队能量汇总!I103</f>
        <v>19264993900</v>
      </c>
      <c r="AA103" s="27">
        <v>97</v>
      </c>
      <c r="AB103" s="28">
        <f>[2]各R部队能量汇总!K103</f>
        <v>1</v>
      </c>
      <c r="AC103" s="28">
        <f>[2]各R部队能量汇总!L103</f>
        <v>1.1442705924374461</v>
      </c>
      <c r="AD103" s="28">
        <f>[2]各R部队能量汇总!M103</f>
        <v>1.3561022861579295</v>
      </c>
      <c r="AE103" s="28">
        <f>[2]各R部队能量汇总!N103</f>
        <v>1.4819364971508906</v>
      </c>
      <c r="AF103" s="28">
        <f>[2]各R部队能量汇总!O103</f>
        <v>1.5497146432581077</v>
      </c>
      <c r="AI103" s="27">
        <v>97</v>
      </c>
      <c r="AJ103" s="28">
        <f>[1]服务器生态!W118</f>
        <v>204.64021439999996</v>
      </c>
      <c r="AK103" s="28">
        <f>[1]服务器生态!X118</f>
        <v>201.77712527325863</v>
      </c>
      <c r="AL103" s="28">
        <f>[1]服务器生态!Y118</f>
        <v>16.471125393407998</v>
      </c>
      <c r="AM103" s="28">
        <f>[1]服务器生态!Z118</f>
        <v>2.9303296000000008</v>
      </c>
      <c r="AN103" s="28">
        <f>[1]服务器生态!AA118</f>
        <v>0.84787199999999985</v>
      </c>
      <c r="AQ103" s="26">
        <v>97</v>
      </c>
      <c r="AR103" s="29">
        <f>[2]非r将兵属性验证!M103</f>
        <v>286.0138035714574</v>
      </c>
      <c r="AS103" s="29">
        <f>[2]小r将兵属性验证!M103</f>
        <v>303.93974906723321</v>
      </c>
      <c r="AT103" s="29">
        <f>[2]中r将兵属性验证!M103</f>
        <v>318.61825946449153</v>
      </c>
      <c r="AU103" s="29">
        <f>[2]大r将兵属性验证!M103</f>
        <v>329.3811378480201</v>
      </c>
      <c r="AV103" s="29">
        <f>[2]超r将兵属性验证!M103</f>
        <v>329.94990099180541</v>
      </c>
    </row>
    <row r="104" spans="2:48" x14ac:dyDescent="0.2">
      <c r="B104" s="26">
        <f>[1]节奏总纲!N101</f>
        <v>108</v>
      </c>
      <c r="C104" s="26">
        <v>98</v>
      </c>
      <c r="D104" s="26">
        <f>[1]节奏总纲!P101</f>
        <v>890.4437768152311</v>
      </c>
      <c r="E104" s="26">
        <f>[1]节奏总纲!Q101</f>
        <v>760.34994102252585</v>
      </c>
      <c r="F104" s="26">
        <f>[1]节奏总纲!R101</f>
        <v>612.98149595960513</v>
      </c>
      <c r="G104" s="26">
        <f>[1]节奏总纲!S101</f>
        <v>441.9272464333992</v>
      </c>
      <c r="H104" s="26">
        <f>[1]节奏总纲!T101</f>
        <v>240.77599725083846</v>
      </c>
      <c r="K104" s="26">
        <v>98</v>
      </c>
      <c r="L104" s="26">
        <f>[1]节奏总纲!AD101</f>
        <v>66.286413655019302</v>
      </c>
      <c r="M104" s="26">
        <f>[1]节奏总纲!AE101</f>
        <v>68.324620778843951</v>
      </c>
      <c r="N104" s="26">
        <f>[1]节奏总纲!AF101</f>
        <v>71.210277551293188</v>
      </c>
      <c r="O104" s="26">
        <f>[1]节奏总纲!AG101</f>
        <v>75.701350246099338</v>
      </c>
      <c r="P104" s="26">
        <f>[1]节奏总纲!AH101</f>
        <v>84.341370094698831</v>
      </c>
      <c r="S104" s="26">
        <v>98</v>
      </c>
      <c r="T104" s="26">
        <f>[2]各R部队能量汇总!E104</f>
        <v>13149356107</v>
      </c>
      <c r="U104" s="26">
        <f>[2]各R部队能量汇总!F104</f>
        <v>15042050502</v>
      </c>
      <c r="V104" s="26">
        <f>[2]各R部队能量汇总!G104</f>
        <v>17856924566</v>
      </c>
      <c r="W104" s="26">
        <f>[2]各R部队能量汇总!H104</f>
        <v>19199130344</v>
      </c>
      <c r="X104" s="26">
        <f>[2]各R部队能量汇总!I104</f>
        <v>20075048742</v>
      </c>
      <c r="AA104" s="27">
        <v>98</v>
      </c>
      <c r="AB104" s="28">
        <f>[2]各R部队能量汇总!K104</f>
        <v>1</v>
      </c>
      <c r="AC104" s="28">
        <f>[2]各R部队能量汇总!L104</f>
        <v>1.1439381806682103</v>
      </c>
      <c r="AD104" s="28">
        <f>[2]各R部队能量汇总!M104</f>
        <v>1.3580075268091605</v>
      </c>
      <c r="AE104" s="28">
        <f>[2]各R部队能量汇总!N104</f>
        <v>1.4600814053381237</v>
      </c>
      <c r="AF104" s="28">
        <f>[2]各R部队能量汇总!O104</f>
        <v>1.5266944311678607</v>
      </c>
      <c r="AI104" s="27">
        <v>98</v>
      </c>
      <c r="AJ104" s="28">
        <f>[1]服务器生态!W119</f>
        <v>203.04146272499997</v>
      </c>
      <c r="AK104" s="28">
        <f>[1]服务器生态!X119</f>
        <v>200.20074148206132</v>
      </c>
      <c r="AL104" s="28">
        <f>[1]服务器生态!Y119</f>
        <v>16.342444726271999</v>
      </c>
      <c r="AM104" s="28">
        <f>[1]服务器生态!Z119</f>
        <v>2.9074364000000008</v>
      </c>
      <c r="AN104" s="28">
        <f>[1]服务器生态!AA119</f>
        <v>0.84124799999999988</v>
      </c>
      <c r="AQ104" s="26">
        <v>98</v>
      </c>
      <c r="AR104" s="29">
        <f>[2]非r将兵属性验证!M104</f>
        <v>288.43354423796563</v>
      </c>
      <c r="AS104" s="29">
        <f>[2]小r将兵属性验证!M104</f>
        <v>306.44488093878078</v>
      </c>
      <c r="AT104" s="29">
        <f>[2]中r将兵属性验证!M104</f>
        <v>321.69727172686453</v>
      </c>
      <c r="AU104" s="29">
        <f>[2]大r将兵属性验证!M104</f>
        <v>329.73971627743094</v>
      </c>
      <c r="AV104" s="29">
        <f>[2]超r将兵属性验证!M104</f>
        <v>330.31087123910402</v>
      </c>
    </row>
    <row r="105" spans="2:48" x14ac:dyDescent="0.2">
      <c r="B105" s="26">
        <f>[1]节奏总纲!N102</f>
        <v>109</v>
      </c>
      <c r="C105" s="26">
        <v>99</v>
      </c>
      <c r="D105" s="26">
        <f>[1]节奏总纲!P102</f>
        <v>954.42578333369079</v>
      </c>
      <c r="E105" s="26">
        <f>[1]节奏总纲!Q102</f>
        <v>816.51125764197252</v>
      </c>
      <c r="F105" s="26">
        <f>[1]节奏总纲!R102</f>
        <v>658.6492330785801</v>
      </c>
      <c r="G105" s="26">
        <f>[1]节奏总纲!S102</f>
        <v>475.39948267851139</v>
      </c>
      <c r="H105" s="26">
        <f>[1]节奏总纲!T102</f>
        <v>257.59951892176309</v>
      </c>
      <c r="K105" s="26">
        <v>99</v>
      </c>
      <c r="L105" s="26">
        <f>[1]节奏总纲!AD102</f>
        <v>66.430041330048923</v>
      </c>
      <c r="M105" s="26">
        <f>[1]节奏总纲!AE102</f>
        <v>68.474323482747096</v>
      </c>
      <c r="N105" s="26">
        <f>[1]节奏总纲!AF102</f>
        <v>71.358760052209377</v>
      </c>
      <c r="O105" s="26">
        <f>[1]节奏总纲!AG102</f>
        <v>75.847892667718796</v>
      </c>
      <c r="P105" s="26">
        <f>[1]节奏总纲!AH102</f>
        <v>84.48660325846518</v>
      </c>
      <c r="S105" s="26">
        <v>99</v>
      </c>
      <c r="T105" s="26">
        <f>[2]各R部队能量汇总!E105</f>
        <v>13900226563</v>
      </c>
      <c r="U105" s="26">
        <f>[2]各R部队能量汇总!F105</f>
        <v>15899588905</v>
      </c>
      <c r="V105" s="26">
        <f>[2]各R部队能量汇总!G105</f>
        <v>18903230408</v>
      </c>
      <c r="W105" s="26">
        <f>[2]各R部队能量汇总!H105</f>
        <v>20001336065</v>
      </c>
      <c r="X105" s="26">
        <f>[2]各R部队能量汇总!I105</f>
        <v>20872687453</v>
      </c>
      <c r="AA105" s="27">
        <v>99</v>
      </c>
      <c r="AB105" s="28">
        <f>[2]各R部队能量汇总!K105</f>
        <v>1</v>
      </c>
      <c r="AC105" s="28">
        <f>[2]各R部队能量汇总!L105</f>
        <v>1.1438366729447387</v>
      </c>
      <c r="AD105" s="28">
        <f>[2]各R部队能量汇总!M105</f>
        <v>1.3599224676176955</v>
      </c>
      <c r="AE105" s="28">
        <f>[2]各R部队能量汇总!N105</f>
        <v>1.4389215869502514</v>
      </c>
      <c r="AF105" s="28">
        <f>[2]各R部队能量汇总!O105</f>
        <v>1.5016077154137535</v>
      </c>
      <c r="AI105" s="27">
        <v>99</v>
      </c>
      <c r="AJ105" s="28">
        <f>[1]服务器生态!W120</f>
        <v>201.44271104999999</v>
      </c>
      <c r="AK105" s="28">
        <f>[1]服务器生态!X120</f>
        <v>198.624357690864</v>
      </c>
      <c r="AL105" s="28">
        <f>[1]服务器生态!Y120</f>
        <v>16.213764059136</v>
      </c>
      <c r="AM105" s="28">
        <f>[1]服务器生态!Z120</f>
        <v>2.8845432000000009</v>
      </c>
      <c r="AN105" s="28">
        <f>[1]服务器生态!AA120</f>
        <v>0.83462399999999992</v>
      </c>
      <c r="AQ105" s="26">
        <v>99</v>
      </c>
      <c r="AR105" s="29">
        <f>[2]非r将兵属性验证!M105</f>
        <v>290.85328490447392</v>
      </c>
      <c r="AS105" s="29">
        <f>[2]小r将兵属性验证!M105</f>
        <v>308.95001281032842</v>
      </c>
      <c r="AT105" s="29">
        <f>[2]中r将兵属性验证!M105</f>
        <v>324.77628398923758</v>
      </c>
      <c r="AU105" s="29">
        <f>[2]大r将兵属性验证!M105</f>
        <v>330.09829470684184</v>
      </c>
      <c r="AV105" s="29">
        <f>[2]超r将兵属性验证!M105</f>
        <v>330.67184148640257</v>
      </c>
    </row>
    <row r="106" spans="2:48" x14ac:dyDescent="0.2">
      <c r="B106" s="26">
        <f>[1]节奏总纲!N103</f>
        <v>110</v>
      </c>
      <c r="C106" s="26">
        <v>100</v>
      </c>
      <c r="D106" s="26">
        <f>[1]节奏总纲!P103</f>
        <v>1023</v>
      </c>
      <c r="E106" s="26">
        <f>[1]节奏总纲!Q103</f>
        <v>875.38110000000006</v>
      </c>
      <c r="F106" s="26">
        <f>[1]节奏总纲!R103</f>
        <v>706.6884</v>
      </c>
      <c r="G106" s="26">
        <f>[1]节奏总纲!S103</f>
        <v>508.22640000000001</v>
      </c>
      <c r="H106" s="26">
        <f>[1]节奏总纲!T103</f>
        <v>274.77780000000001</v>
      </c>
      <c r="K106" s="26">
        <v>100</v>
      </c>
      <c r="L106" s="26">
        <f>[1]节奏总纲!AD103</f>
        <v>66.573669005078543</v>
      </c>
      <c r="M106" s="26">
        <f>[1]节奏总纲!AE103</f>
        <v>68.624026186650241</v>
      </c>
      <c r="N106" s="26">
        <f>[1]节奏总纲!AF103</f>
        <v>71.507242553125565</v>
      </c>
      <c r="O106" s="26">
        <f>[1]节奏总纲!AG103</f>
        <v>75.994435089338239</v>
      </c>
      <c r="P106" s="26">
        <f>[1]节奏总纲!AH103</f>
        <v>84.63183642223153</v>
      </c>
      <c r="S106" s="26">
        <v>100</v>
      </c>
      <c r="T106" s="26">
        <f>[2]各R部队能量汇总!E106</f>
        <v>14689729288</v>
      </c>
      <c r="U106" s="26">
        <f>[2]各R部队能量汇总!F106</f>
        <v>16797383989</v>
      </c>
      <c r="V106" s="26">
        <f>[2]各R部队能量汇总!G106</f>
        <v>19995897383</v>
      </c>
      <c r="W106" s="26">
        <f>[2]各R部队能量汇总!H106</f>
        <v>20802261791</v>
      </c>
      <c r="X106" s="26">
        <f>[2]各R部队能量汇总!I106</f>
        <v>21686551004</v>
      </c>
      <c r="AA106" s="27">
        <v>100</v>
      </c>
      <c r="AB106" s="28">
        <f>[2]各R部队能量汇总!K106</f>
        <v>1</v>
      </c>
      <c r="AC106" s="28">
        <f>[2]各R部队能量汇总!L106</f>
        <v>1.1434781172394877</v>
      </c>
      <c r="AD106" s="28">
        <f>[2]各R部队能量汇总!M106</f>
        <v>1.3612161933667897</v>
      </c>
      <c r="AE106" s="28">
        <f>[2]各R部队能量汇总!N106</f>
        <v>1.4161092681260854</v>
      </c>
      <c r="AF106" s="28">
        <f>[2]各R部队能量汇总!O106</f>
        <v>1.476307056367314</v>
      </c>
      <c r="AI106" s="27">
        <v>100</v>
      </c>
      <c r="AJ106" s="28">
        <f>[1]服务器生态!W121</f>
        <v>199.84395937499997</v>
      </c>
      <c r="AK106" s="28">
        <f>[1]服务器生态!X121</f>
        <v>197.04797389966663</v>
      </c>
      <c r="AL106" s="28">
        <f>[1]服务器生态!Y121</f>
        <v>16.085083391999998</v>
      </c>
      <c r="AM106" s="28">
        <f>[1]服务器生态!Z121</f>
        <v>2.8616500000000005</v>
      </c>
      <c r="AN106" s="28">
        <f>[1]服务器生态!AA121</f>
        <v>0.82799999999999985</v>
      </c>
      <c r="AQ106" s="26">
        <v>100</v>
      </c>
      <c r="AR106" s="29">
        <f>[2]非r将兵属性验证!M106</f>
        <v>293.27302557098216</v>
      </c>
      <c r="AS106" s="29">
        <f>[2]小r将兵属性验证!M106</f>
        <v>311.45514468187605</v>
      </c>
      <c r="AT106" s="29">
        <f>[2]中r将兵属性验证!M106</f>
        <v>327.85529625161064</v>
      </c>
      <c r="AU106" s="29">
        <f>[2]大r将兵属性验证!M106</f>
        <v>330.45687313625268</v>
      </c>
      <c r="AV106" s="29">
        <f>[2]超r将兵属性验证!M106</f>
        <v>331.03281173370118</v>
      </c>
    </row>
    <row r="107" spans="2:48" x14ac:dyDescent="0.2">
      <c r="B107" s="26">
        <f>[1]节奏总纲!N104</f>
        <v>111</v>
      </c>
      <c r="C107" s="26">
        <v>101</v>
      </c>
      <c r="D107" s="26">
        <f>[1]节奏总纲!P104</f>
        <v>1096.4960256371633</v>
      </c>
      <c r="E107" s="26">
        <f>[1]节奏总纲!Q104</f>
        <v>939.14884595823037</v>
      </c>
      <c r="F107" s="26">
        <f>[1]节奏总纲!R104</f>
        <v>756.25330888195151</v>
      </c>
      <c r="G107" s="26">
        <f>[1]节奏总纲!S104</f>
        <v>541.99798547244984</v>
      </c>
      <c r="H107" s="26">
        <f>[1]节奏总纲!T104</f>
        <v>293.42233646050488</v>
      </c>
      <c r="K107" s="26">
        <v>101</v>
      </c>
      <c r="L107" s="26">
        <f>[1]节奏总纲!AD104</f>
        <v>66.717296680108163</v>
      </c>
      <c r="M107" s="26">
        <f>[1]节奏总纲!AE104</f>
        <v>68.773728890553386</v>
      </c>
      <c r="N107" s="26">
        <f>[1]节奏总纲!AF104</f>
        <v>71.655725054041767</v>
      </c>
      <c r="O107" s="26">
        <f>[1]节奏总纲!AG104</f>
        <v>76.130305911210229</v>
      </c>
      <c r="P107" s="26">
        <f>[1]节奏总纲!AH104</f>
        <v>84.777069585997879</v>
      </c>
      <c r="S107" s="26">
        <v>101</v>
      </c>
      <c r="T107" s="26">
        <f>[2]各R部队能量汇总!E107</f>
        <v>15543750526</v>
      </c>
      <c r="U107" s="26">
        <f>[2]各R部队能量汇总!F107</f>
        <v>17762979519</v>
      </c>
      <c r="V107" s="26">
        <f>[2]各R部队能量汇总!G107</f>
        <v>20807996596</v>
      </c>
      <c r="W107" s="26">
        <f>[2]各R部队能量汇总!H107</f>
        <v>21613273390</v>
      </c>
      <c r="X107" s="26">
        <f>[2]各R部队能量汇总!I107</f>
        <v>22534181577</v>
      </c>
      <c r="AA107" s="27">
        <v>101</v>
      </c>
      <c r="AB107" s="28">
        <f>[2]各R部队能量汇总!K107</f>
        <v>1</v>
      </c>
      <c r="AC107" s="28">
        <f>[2]各R部队能量汇总!L107</f>
        <v>1.142773070713397</v>
      </c>
      <c r="AD107" s="28">
        <f>[2]各R部队能量汇总!M107</f>
        <v>1.3386728358252087</v>
      </c>
      <c r="AE107" s="28">
        <f>[2]各R部队能量汇总!N107</f>
        <v>1.3904799458694039</v>
      </c>
      <c r="AF107" s="28">
        <f>[2]各R部队能量汇总!O107</f>
        <v>1.4497261480945105</v>
      </c>
      <c r="AI107" s="27">
        <v>101</v>
      </c>
      <c r="AJ107" s="28">
        <f>[1]服务器生态!W122</f>
        <v>198.24520769999998</v>
      </c>
      <c r="AK107" s="28">
        <f>[1]服务器生态!X122</f>
        <v>195.47159010846931</v>
      </c>
      <c r="AL107" s="28">
        <f>[1]服务器生态!Y122</f>
        <v>15.956402724864001</v>
      </c>
      <c r="AM107" s="28">
        <f>[1]服务器生态!Z122</f>
        <v>2.8387568000000005</v>
      </c>
      <c r="AN107" s="28">
        <f>[1]服务器生态!AA122</f>
        <v>0.82137599999999988</v>
      </c>
      <c r="AQ107" s="26">
        <v>101</v>
      </c>
      <c r="AR107" s="29">
        <f>[2]非r将兵属性验证!M107</f>
        <v>295.943354875502</v>
      </c>
      <c r="AS107" s="29">
        <f>[2]小r将兵属性验证!M107</f>
        <v>314.16595529866891</v>
      </c>
      <c r="AT107" s="29">
        <f>[2]中r将兵属性验证!M107</f>
        <v>328.65814639399798</v>
      </c>
      <c r="AU107" s="29">
        <f>[2]大r将兵属性验证!M107</f>
        <v>330.81545156566358</v>
      </c>
      <c r="AV107" s="29">
        <f>[2]超r将兵属性验证!M107</f>
        <v>331.39378198099979</v>
      </c>
    </row>
    <row r="108" spans="2:48" x14ac:dyDescent="0.2">
      <c r="B108" s="26">
        <f>[1]节奏总纲!N105</f>
        <v>112</v>
      </c>
      <c r="C108" s="26">
        <v>102</v>
      </c>
      <c r="D108" s="26">
        <f>[1]节奏总纲!P105</f>
        <v>1175.2671155169628</v>
      </c>
      <c r="E108" s="26">
        <f>[1]节奏总纲!Q105</f>
        <v>1004.2657502092447</v>
      </c>
      <c r="F108" s="26">
        <f>[1]节奏总纲!R105</f>
        <v>806.23324124463659</v>
      </c>
      <c r="G108" s="26">
        <f>[1]节奏总纲!S105</f>
        <v>577.99636741124232</v>
      </c>
      <c r="H108" s="26">
        <f>[1]节奏总纲!T105</f>
        <v>313.56126641992563</v>
      </c>
      <c r="K108" s="26">
        <v>102</v>
      </c>
      <c r="L108" s="26">
        <f>[1]节奏总纲!AD105</f>
        <v>66.860924355137783</v>
      </c>
      <c r="M108" s="26">
        <f>[1]节奏总纲!AE105</f>
        <v>68.923431594456531</v>
      </c>
      <c r="N108" s="26">
        <f>[1]节奏总纲!AF105</f>
        <v>71.804207554957955</v>
      </c>
      <c r="O108" s="26">
        <f>[1]节奏总纲!AG105</f>
        <v>76.265755485049056</v>
      </c>
      <c r="P108" s="26">
        <f>[1]节奏总纲!AH105</f>
        <v>84.922302749764228</v>
      </c>
      <c r="S108" s="26">
        <v>102</v>
      </c>
      <c r="T108" s="26">
        <f>[2]各R部队能量汇总!E108</f>
        <v>16447691016</v>
      </c>
      <c r="U108" s="26">
        <f>[2]各R部队能量汇总!F108</f>
        <v>18766816040</v>
      </c>
      <c r="V108" s="26">
        <f>[2]各R部队能量汇总!G108</f>
        <v>21624940073</v>
      </c>
      <c r="W108" s="26">
        <f>[2]各R部队能量汇总!H108</f>
        <v>22460953840</v>
      </c>
      <c r="X108" s="26">
        <f>[2]各R部队能量汇总!I108</f>
        <v>23404932442</v>
      </c>
      <c r="AA108" s="27">
        <v>102</v>
      </c>
      <c r="AB108" s="28">
        <f>[2]各R部队能量汇总!K108</f>
        <v>1</v>
      </c>
      <c r="AC108" s="28">
        <f>[2]各R部队能量汇总!L108</f>
        <v>1.1410000359165307</v>
      </c>
      <c r="AD108" s="28">
        <f>[2]各R部队能量汇总!M108</f>
        <v>1.3147705688271789</v>
      </c>
      <c r="AE108" s="28">
        <f>[2]各R部队能量汇总!N108</f>
        <v>1.3655992089193805</v>
      </c>
      <c r="AF108" s="28">
        <f>[2]各R部队能量汇总!O108</f>
        <v>1.4229919822321644</v>
      </c>
      <c r="AI108" s="27">
        <v>102</v>
      </c>
      <c r="AJ108" s="28">
        <f>[1]服务器生态!W123</f>
        <v>196.64645602499999</v>
      </c>
      <c r="AK108" s="28">
        <f>[1]服务器生态!X123</f>
        <v>193.895206317272</v>
      </c>
      <c r="AL108" s="28">
        <f>[1]服务器生态!Y123</f>
        <v>15.827722057728002</v>
      </c>
      <c r="AM108" s="28">
        <f>[1]服务器生态!Z123</f>
        <v>2.8158636000000006</v>
      </c>
      <c r="AN108" s="28">
        <f>[1]服务器生态!AA123</f>
        <v>0.81475199999999992</v>
      </c>
      <c r="AQ108" s="26">
        <v>102</v>
      </c>
      <c r="AR108" s="29">
        <f>[2]非r将兵属性验证!M108</f>
        <v>298.69140662539496</v>
      </c>
      <c r="AS108" s="29">
        <f>[2]小r将兵属性验证!M108</f>
        <v>316.87676591546182</v>
      </c>
      <c r="AT108" s="29">
        <f>[2]中r将兵属性验证!M108</f>
        <v>329.46099653638532</v>
      </c>
      <c r="AU108" s="29">
        <f>[2]大r将兵属性验证!M108</f>
        <v>331.17402999507442</v>
      </c>
      <c r="AV108" s="29">
        <f>[2]超r将兵属性验证!M108</f>
        <v>331.7547522282984</v>
      </c>
    </row>
    <row r="109" spans="2:48" x14ac:dyDescent="0.2">
      <c r="B109" s="26">
        <f>[1]节奏总纲!N106</f>
        <v>113</v>
      </c>
      <c r="C109" s="26">
        <v>103</v>
      </c>
      <c r="D109" s="26">
        <f>[1]节奏总纲!P106</f>
        <v>1259.6918792651943</v>
      </c>
      <c r="E109" s="26">
        <f>[1]节奏总纲!Q106</f>
        <v>1073.383450321872</v>
      </c>
      <c r="F109" s="26">
        <f>[1]节奏总纲!R106</f>
        <v>861.50327622946634</v>
      </c>
      <c r="G109" s="26">
        <f>[1]节奏总纲!S106</f>
        <v>619.01258947091651</v>
      </c>
      <c r="H109" s="26">
        <f>[1]节奏总纲!T106</f>
        <v>335.8338550121008</v>
      </c>
      <c r="K109" s="26">
        <v>103</v>
      </c>
      <c r="L109" s="26">
        <f>[1]节奏总纲!AD106</f>
        <v>67.004247194324648</v>
      </c>
      <c r="M109" s="26">
        <f>[1]节奏总纲!AE106</f>
        <v>69.0655056802525</v>
      </c>
      <c r="N109" s="26">
        <f>[1]节奏总纲!AF106</f>
        <v>71.952690055874157</v>
      </c>
      <c r="O109" s="26">
        <f>[1]节奏总纲!AG106</f>
        <v>76.401205058887882</v>
      </c>
      <c r="P109" s="26">
        <f>[1]节奏总纲!AH106</f>
        <v>85.072521641060263</v>
      </c>
      <c r="S109" s="26">
        <v>103</v>
      </c>
      <c r="T109" s="26">
        <f>[2]各R部队能量汇总!E109</f>
        <v>17400144183</v>
      </c>
      <c r="U109" s="26">
        <f>[2]各R部队能量汇总!F109</f>
        <v>19812522614</v>
      </c>
      <c r="V109" s="26">
        <f>[2]各R部队能量汇总!G109</f>
        <v>22484722389</v>
      </c>
      <c r="W109" s="26">
        <f>[2]各R部队能量汇总!H109</f>
        <v>23341592197</v>
      </c>
      <c r="X109" s="26">
        <f>[2]各R部队能量汇总!I109</f>
        <v>24326856434</v>
      </c>
      <c r="AA109" s="27">
        <v>103</v>
      </c>
      <c r="AB109" s="28">
        <f>[2]各R部队能量汇总!K109</f>
        <v>1</v>
      </c>
      <c r="AC109" s="28">
        <f>[2]各R部队能量汇总!L109</f>
        <v>1.1386412897289035</v>
      </c>
      <c r="AD109" s="28">
        <f>[2]各R部队能量汇总!M109</f>
        <v>1.292214716873878</v>
      </c>
      <c r="AE109" s="28">
        <f>[2]各R部队能量汇总!N109</f>
        <v>1.3414597000756359</v>
      </c>
      <c r="AF109" s="28">
        <f>[2]各R部队能量汇总!O109</f>
        <v>1.3980836123052027</v>
      </c>
      <c r="AI109" s="27">
        <v>103</v>
      </c>
      <c r="AJ109" s="28">
        <f>[1]服务器生态!W124</f>
        <v>195.04770435</v>
      </c>
      <c r="AK109" s="28">
        <f>[1]服务器生态!X124</f>
        <v>192.31882252607468</v>
      </c>
      <c r="AL109" s="28">
        <f>[1]服务器生态!Y124</f>
        <v>15.699041390592001</v>
      </c>
      <c r="AM109" s="28">
        <f>[1]服务器生态!Z124</f>
        <v>2.7929704000000011</v>
      </c>
      <c r="AN109" s="28">
        <f>[1]服务器生态!AA124</f>
        <v>0.80812799999999996</v>
      </c>
      <c r="AQ109" s="26">
        <v>103</v>
      </c>
      <c r="AR109" s="29">
        <f>[2]非r将兵属性验证!M109</f>
        <v>301.43945837528804</v>
      </c>
      <c r="AS109" s="29">
        <f>[2]小r将兵属性验证!M109</f>
        <v>319.58757653225467</v>
      </c>
      <c r="AT109" s="29">
        <f>[2]中r将兵属性验证!M109</f>
        <v>330.26384667877267</v>
      </c>
      <c r="AU109" s="29">
        <f>[2]大r将兵属性验证!M109</f>
        <v>331.53260842448526</v>
      </c>
      <c r="AV109" s="29">
        <f>[2]超r将兵属性验证!M109</f>
        <v>332.11588776348685</v>
      </c>
    </row>
    <row r="110" spans="2:48" x14ac:dyDescent="0.2">
      <c r="B110" s="26">
        <f>[1]节奏总纲!N107</f>
        <v>114</v>
      </c>
      <c r="C110" s="26">
        <v>104</v>
      </c>
      <c r="D110" s="26">
        <f>[1]节奏总纲!P107</f>
        <v>1350.1761006314437</v>
      </c>
      <c r="E110" s="26">
        <f>[1]节奏总纲!Q107</f>
        <v>1150.7550905681794</v>
      </c>
      <c r="F110" s="26">
        <f>[1]节奏总纲!R107</f>
        <v>925.41069937279144</v>
      </c>
      <c r="G110" s="26">
        <f>[1]节奏总纲!S107</f>
        <v>665.09674717104917</v>
      </c>
      <c r="H110" s="26">
        <f>[1]节奏总纲!T107</f>
        <v>360.49701886859549</v>
      </c>
      <c r="K110" s="26">
        <v>104</v>
      </c>
      <c r="L110" s="26">
        <f>[1]节奏总纲!AD107</f>
        <v>67.138256553625013</v>
      </c>
      <c r="M110" s="26">
        <f>[1]节奏总纲!AE107</f>
        <v>69.199592937186125</v>
      </c>
      <c r="N110" s="26">
        <f>[1]节奏总纲!AF107</f>
        <v>72.093818006439079</v>
      </c>
      <c r="O110" s="26">
        <f>[1]节奏总纲!AG107</f>
        <v>76.536654632726695</v>
      </c>
      <c r="P110" s="26">
        <f>[1]节奏总纲!AH107</f>
        <v>85.228476403824274</v>
      </c>
      <c r="S110" s="26">
        <v>104</v>
      </c>
      <c r="T110" s="26">
        <f>[2]各R部队能量汇总!E110</f>
        <v>18394945224</v>
      </c>
      <c r="U110" s="26">
        <f>[2]各R部队能量汇总!F110</f>
        <v>20926657516</v>
      </c>
      <c r="V110" s="26">
        <f>[2]各R部队能量汇总!G110</f>
        <v>23384723567</v>
      </c>
      <c r="W110" s="26">
        <f>[2]各R部队能量汇总!H110</f>
        <v>24281207558</v>
      </c>
      <c r="X110" s="26">
        <f>[2]各R部队能量汇总!I110</f>
        <v>25282392704</v>
      </c>
      <c r="AA110" s="27">
        <v>104</v>
      </c>
      <c r="AB110" s="28">
        <f>[2]各R部队能量汇总!K110</f>
        <v>1</v>
      </c>
      <c r="AC110" s="28">
        <f>[2]各R部队能量汇总!L110</f>
        <v>1.1376308687615366</v>
      </c>
      <c r="AD110" s="28">
        <f>[2]各R部队能量汇总!M110</f>
        <v>1.2712581245683627</v>
      </c>
      <c r="AE110" s="28">
        <f>[2]各R部队能量汇总!N110</f>
        <v>1.3199934689840858</v>
      </c>
      <c r="AF110" s="28">
        <f>[2]各R部队能量汇总!O110</f>
        <v>1.3744206572039097</v>
      </c>
      <c r="AI110" s="27">
        <v>104</v>
      </c>
      <c r="AJ110" s="28">
        <f>[1]服务器生态!W125</f>
        <v>193.44895267499999</v>
      </c>
      <c r="AK110" s="28">
        <f>[1]服务器生态!X125</f>
        <v>190.74243873487731</v>
      </c>
      <c r="AL110" s="28">
        <f>[1]服务器生态!Y125</f>
        <v>15.570360723456</v>
      </c>
      <c r="AM110" s="28">
        <f>[1]服务器生态!Z125</f>
        <v>2.7700772000000007</v>
      </c>
      <c r="AN110" s="28">
        <f>[1]服务器生态!AA125</f>
        <v>0.80150399999999988</v>
      </c>
      <c r="AQ110" s="26">
        <v>104</v>
      </c>
      <c r="AR110" s="29">
        <f>[2]非r将兵属性验证!M110</f>
        <v>304.18751012518106</v>
      </c>
      <c r="AS110" s="29">
        <f>[2]小r将兵属性验证!M110</f>
        <v>322.29838714904758</v>
      </c>
      <c r="AT110" s="29">
        <f>[2]中r将兵属性验证!M110</f>
        <v>331.06669682116006</v>
      </c>
      <c r="AU110" s="29">
        <f>[2]大r将兵属性验证!M110</f>
        <v>331.89110728987657</v>
      </c>
      <c r="AV110" s="29">
        <f>[2]超r将兵属性验证!M110</f>
        <v>332.47753129574704</v>
      </c>
    </row>
    <row r="111" spans="2:48" x14ac:dyDescent="0.2">
      <c r="B111" s="26">
        <f>[1]节奏总纲!N108</f>
        <v>115</v>
      </c>
      <c r="C111" s="26">
        <v>105</v>
      </c>
      <c r="D111" s="26">
        <f>[1]节奏总纲!P108</f>
        <v>1447.1546878700494</v>
      </c>
      <c r="E111" s="26">
        <f>[1]节奏总纲!Q108</f>
        <v>1234.8570951595132</v>
      </c>
      <c r="F111" s="26">
        <f>[1]节奏总纲!R108</f>
        <v>993.18226228521496</v>
      </c>
      <c r="G111" s="26">
        <f>[1]节奏总纲!S108</f>
        <v>713.59197658872131</v>
      </c>
      <c r="H111" s="26">
        <f>[1]节奏总纲!T108</f>
        <v>386.39030166130323</v>
      </c>
      <c r="K111" s="26">
        <v>105</v>
      </c>
      <c r="L111" s="26">
        <f>[1]节奏总纲!AD108</f>
        <v>67.272265912925377</v>
      </c>
      <c r="M111" s="26">
        <f>[1]节奏总纲!AE108</f>
        <v>69.333680194119751</v>
      </c>
      <c r="N111" s="26">
        <f>[1]节奏总纲!AF108</f>
        <v>72.23150684883845</v>
      </c>
      <c r="O111" s="26">
        <f>[1]节奏总纲!AG108</f>
        <v>76.672104206565521</v>
      </c>
      <c r="P111" s="26">
        <f>[1]节奏总纲!AH108</f>
        <v>85.384431166588271</v>
      </c>
      <c r="S111" s="26">
        <v>105</v>
      </c>
      <c r="T111" s="26">
        <f>[2]各R部队能量汇总!E111</f>
        <v>19408954970</v>
      </c>
      <c r="U111" s="26">
        <f>[2]各R部队能量汇总!F111</f>
        <v>22089486807</v>
      </c>
      <c r="V111" s="26">
        <f>[2]各R部队能量汇总!G111</f>
        <v>24326283594</v>
      </c>
      <c r="W111" s="26">
        <f>[2]各R部队能量汇总!H111</f>
        <v>25236556966</v>
      </c>
      <c r="X111" s="26">
        <f>[2]各R部队能量汇总!I111</f>
        <v>26267898074</v>
      </c>
      <c r="AA111" s="27">
        <v>105</v>
      </c>
      <c r="AB111" s="28">
        <f>[2]各R部队能量汇总!K111</f>
        <v>1</v>
      </c>
      <c r="AC111" s="28">
        <f>[2]各R部队能量汇总!L111</f>
        <v>1.1381079940235443</v>
      </c>
      <c r="AD111" s="28">
        <f>[2]各R部队能量汇总!M111</f>
        <v>1.253353600521028</v>
      </c>
      <c r="AE111" s="28">
        <f>[2]各R部队能量汇总!N111</f>
        <v>1.3002532596426546</v>
      </c>
      <c r="AF111" s="28">
        <f>[2]各R部队能量汇总!O111</f>
        <v>1.3533906444010879</v>
      </c>
      <c r="AI111" s="27">
        <v>105</v>
      </c>
      <c r="AJ111" s="28">
        <f>[1]服务器生态!W126</f>
        <v>191.850201</v>
      </c>
      <c r="AK111" s="28">
        <f>[1]服务器生态!X126</f>
        <v>189.16605494368</v>
      </c>
      <c r="AL111" s="28">
        <f>[1]服务器生态!Y126</f>
        <v>15.441680056320001</v>
      </c>
      <c r="AM111" s="28">
        <f>[1]服务器生态!Z126</f>
        <v>2.7471840000000007</v>
      </c>
      <c r="AN111" s="28">
        <f>[1]服务器生态!AA126</f>
        <v>0.79487999999999992</v>
      </c>
      <c r="AQ111" s="26">
        <v>105</v>
      </c>
      <c r="AR111" s="29">
        <f>[2]非r将兵属性验证!M111</f>
        <v>306.64593980813947</v>
      </c>
      <c r="AS111" s="29">
        <f>[2]小r将兵属性验证!M111</f>
        <v>325.00919776584044</v>
      </c>
      <c r="AT111" s="29">
        <f>[2]中r将兵属性验证!M111</f>
        <v>331.86944383460258</v>
      </c>
      <c r="AU111" s="29">
        <f>[2]大r将兵属性验证!M111</f>
        <v>332.24900320053234</v>
      </c>
      <c r="AV111" s="29">
        <f>[2]超r将兵属性验证!M111</f>
        <v>332.83917482800729</v>
      </c>
    </row>
    <row r="112" spans="2:48" x14ac:dyDescent="0.2">
      <c r="B112" s="26">
        <f>[1]节奏总纲!N109</f>
        <v>116</v>
      </c>
      <c r="C112" s="26">
        <v>106</v>
      </c>
      <c r="D112" s="26">
        <f>[1]节奏总纲!P109</f>
        <v>1551.0937641066464</v>
      </c>
      <c r="E112" s="26">
        <f>[1]节奏总纲!Q109</f>
        <v>1324.4789651706653</v>
      </c>
      <c r="F112" s="26">
        <f>[1]节奏总纲!R109</f>
        <v>1064.6707596828021</v>
      </c>
      <c r="G112" s="26">
        <f>[1]节奏总纲!S109</f>
        <v>764.3790069517554</v>
      </c>
      <c r="H112" s="26">
        <f>[1]节奏总纲!T109</f>
        <v>412.59094125236794</v>
      </c>
      <c r="K112" s="26">
        <v>106</v>
      </c>
      <c r="L112" s="26">
        <f>[1]节奏总纲!AD109</f>
        <v>67.406275272225741</v>
      </c>
      <c r="M112" s="26">
        <f>[1]节奏总纲!AE109</f>
        <v>69.467767451053362</v>
      </c>
      <c r="N112" s="26">
        <f>[1]节奏总纲!AF109</f>
        <v>72.369195691237806</v>
      </c>
      <c r="O112" s="26">
        <f>[1]节奏总纲!AG109</f>
        <v>76.807553780404334</v>
      </c>
      <c r="P112" s="26">
        <f>[1]节奏总纲!AH109</f>
        <v>85.540385929352269</v>
      </c>
      <c r="S112" s="26">
        <v>106</v>
      </c>
      <c r="T112" s="26">
        <f>[2]各R部队能量汇总!E112</f>
        <v>20489270635</v>
      </c>
      <c r="U112" s="26">
        <f>[2]各R部队能量汇总!F112</f>
        <v>23169435161</v>
      </c>
      <c r="V112" s="26">
        <f>[2]各R部队能量汇总!G112</f>
        <v>25275053989</v>
      </c>
      <c r="W112" s="26">
        <f>[2]各R部队能量汇总!H112</f>
        <v>26222433745</v>
      </c>
      <c r="X112" s="26">
        <f>[2]各R部队能量汇总!I112</f>
        <v>27257138586</v>
      </c>
      <c r="AA112" s="27">
        <v>106</v>
      </c>
      <c r="AB112" s="28">
        <f>[2]各R部队能量汇总!K112</f>
        <v>1</v>
      </c>
      <c r="AC112" s="28">
        <f>[2]各R部队能量汇总!L112</f>
        <v>1.1308081958477192</v>
      </c>
      <c r="AD112" s="28">
        <f>[2]各R部队能量汇总!M112</f>
        <v>1.2335750959248335</v>
      </c>
      <c r="AE112" s="28">
        <f>[2]各R部队能量汇总!N112</f>
        <v>1.2798129426923839</v>
      </c>
      <c r="AF112" s="28">
        <f>[2]各R部队能量汇总!O112</f>
        <v>1.3303127803602268</v>
      </c>
      <c r="AI112" s="27">
        <v>106</v>
      </c>
      <c r="AJ112" s="28">
        <f>[1]服务器生态!W127</f>
        <v>190.25144932500001</v>
      </c>
      <c r="AK112" s="28">
        <f>[1]服务器生态!X127</f>
        <v>187.58967115248268</v>
      </c>
      <c r="AL112" s="28">
        <f>[1]服务器生态!Y127</f>
        <v>15.312999389184002</v>
      </c>
      <c r="AM112" s="28">
        <f>[1]服务器生态!Z127</f>
        <v>2.7242908000000008</v>
      </c>
      <c r="AN112" s="28">
        <f>[1]服务器生态!AA127</f>
        <v>0.78825599999999996</v>
      </c>
      <c r="AQ112" s="26">
        <v>106</v>
      </c>
      <c r="AR112" s="29">
        <f>[2]非r将兵属性验证!M112</f>
        <v>309.31769075402224</v>
      </c>
      <c r="AS112" s="29">
        <f>[2]小r将兵属性验证!M112</f>
        <v>326.6643628915557</v>
      </c>
      <c r="AT112" s="29">
        <f>[2]中r将兵属性验证!M112</f>
        <v>332.22603106125968</v>
      </c>
      <c r="AU112" s="29">
        <f>[2]大r将兵属性验证!M112</f>
        <v>332.60689911118817</v>
      </c>
      <c r="AV112" s="29">
        <f>[2]超r将兵属性验证!M112</f>
        <v>333.20081836026753</v>
      </c>
    </row>
    <row r="113" spans="2:48" x14ac:dyDescent="0.2">
      <c r="B113" s="26">
        <f>[1]节奏总纲!N110</f>
        <v>117</v>
      </c>
      <c r="C113" s="26">
        <v>107</v>
      </c>
      <c r="D113" s="26">
        <f>[1]节奏总纲!P110</f>
        <v>1662.4929077375689</v>
      </c>
      <c r="E113" s="26">
        <f>[1]节奏总纲!Q110</f>
        <v>1418.9376967540152</v>
      </c>
      <c r="F113" s="26">
        <f>[1]节奏总纲!R110</f>
        <v>1141.6338797433884</v>
      </c>
      <c r="G113" s="26">
        <f>[1]节奏总纲!S110</f>
        <v>816.11776840837263</v>
      </c>
      <c r="H113" s="26">
        <f>[1]节奏总纲!T110</f>
        <v>440.22812196890823</v>
      </c>
      <c r="K113" s="26">
        <v>107</v>
      </c>
      <c r="L113" s="26">
        <f>[1]节奏总纲!AD110</f>
        <v>67.540284631526106</v>
      </c>
      <c r="M113" s="26">
        <f>[1]节奏总纲!AE110</f>
        <v>69.601854707986988</v>
      </c>
      <c r="N113" s="26">
        <f>[1]节奏总纲!AF110</f>
        <v>72.506884533637162</v>
      </c>
      <c r="O113" s="26">
        <f>[1]节奏总纲!AG110</f>
        <v>76.94300335424316</v>
      </c>
      <c r="P113" s="26">
        <f>[1]节奏总纲!AH110</f>
        <v>85.696340692116266</v>
      </c>
      <c r="S113" s="26">
        <v>107</v>
      </c>
      <c r="T113" s="26">
        <f>[2]各R部队能量汇总!E113</f>
        <v>21633350238</v>
      </c>
      <c r="U113" s="26">
        <f>[2]各R部队能量汇总!F113</f>
        <v>24272829812</v>
      </c>
      <c r="V113" s="26">
        <f>[2]各R部队能量汇总!G113</f>
        <v>26280585201</v>
      </c>
      <c r="W113" s="26">
        <f>[2]各R部队能量汇总!H113</f>
        <v>27213479761</v>
      </c>
      <c r="X113" s="26">
        <f>[2]各R部队能量汇总!I113</f>
        <v>28281575531</v>
      </c>
      <c r="AA113" s="27">
        <v>107</v>
      </c>
      <c r="AB113" s="28">
        <f>[2]各R部队能量汇总!K113</f>
        <v>1</v>
      </c>
      <c r="AC113" s="28">
        <f>[2]各R部队能量汇总!L113</f>
        <v>1.122009746292723</v>
      </c>
      <c r="AD113" s="28">
        <f>[2]各R部队能量汇总!M113</f>
        <v>1.2148180892868323</v>
      </c>
      <c r="AE113" s="28">
        <f>[2]各R部队能量汇总!N113</f>
        <v>1.2579410706899312</v>
      </c>
      <c r="AF113" s="28">
        <f>[2]各R部队能量汇总!O113</f>
        <v>1.3073137179336227</v>
      </c>
      <c r="AI113" s="27">
        <v>107</v>
      </c>
      <c r="AJ113" s="28">
        <f>[1]服务器生态!W128</f>
        <v>188.65269764999996</v>
      </c>
      <c r="AK113" s="28">
        <f>[1]服务器生态!X128</f>
        <v>186.01328736128531</v>
      </c>
      <c r="AL113" s="28">
        <f>[1]服务器生态!Y128</f>
        <v>15.184318722047999</v>
      </c>
      <c r="AM113" s="28">
        <f>[1]服务器生态!Z128</f>
        <v>2.7013976000000008</v>
      </c>
      <c r="AN113" s="28">
        <f>[1]服务器生态!AA128</f>
        <v>0.78163199999999988</v>
      </c>
      <c r="AQ113" s="26">
        <v>107</v>
      </c>
      <c r="AR113" s="29">
        <f>[2]非r将兵属性验证!M113</f>
        <v>311.98951119623439</v>
      </c>
      <c r="AS113" s="29">
        <f>[2]小r将兵属性验证!M113</f>
        <v>328.31897045843118</v>
      </c>
      <c r="AT113" s="29">
        <f>[2]中r将兵属性验证!M113</f>
        <v>332.58261828791677</v>
      </c>
      <c r="AU113" s="29">
        <f>[2]大r将兵属性验证!M113</f>
        <v>332.964795021844</v>
      </c>
      <c r="AV113" s="29">
        <f>[2]超r将兵属性验证!M113</f>
        <v>333.56246189252778</v>
      </c>
    </row>
    <row r="114" spans="2:48" x14ac:dyDescent="0.2">
      <c r="B114" s="26">
        <f>[1]节奏总纲!N111</f>
        <v>118</v>
      </c>
      <c r="C114" s="26">
        <v>108</v>
      </c>
      <c r="D114" s="26">
        <f>[1]节奏总纲!P111</f>
        <v>1781.8875536304624</v>
      </c>
      <c r="E114" s="26">
        <f>[1]节奏总纲!Q111</f>
        <v>1520.8410270235997</v>
      </c>
      <c r="F114" s="26">
        <f>[1]节奏总纲!R111</f>
        <v>1218.0983316617842</v>
      </c>
      <c r="G114" s="26">
        <f>[1]节奏总纲!S111</f>
        <v>871.69939123602228</v>
      </c>
      <c r="H114" s="26">
        <f>[1]节奏总纲!T111</f>
        <v>471.13106917989433</v>
      </c>
      <c r="K114" s="26">
        <v>108</v>
      </c>
      <c r="L114" s="26">
        <f>[1]节奏总纲!AD111</f>
        <v>67.674293990826456</v>
      </c>
      <c r="M114" s="26">
        <f>[1]节奏总纲!AE111</f>
        <v>69.735941964920613</v>
      </c>
      <c r="N114" s="26">
        <f>[1]节奏总纲!AF111</f>
        <v>72.644573376036519</v>
      </c>
      <c r="O114" s="26">
        <f>[1]节奏总纲!AG111</f>
        <v>77.074762810762508</v>
      </c>
      <c r="P114" s="26">
        <f>[1]节奏总纲!AH111</f>
        <v>85.852295454880277</v>
      </c>
      <c r="S114" s="26">
        <v>108</v>
      </c>
      <c r="T114" s="26">
        <f>[2]各R部队能量汇总!E114</f>
        <v>22787868687</v>
      </c>
      <c r="U114" s="26">
        <f>[2]各R部队能量汇总!F114</f>
        <v>25444992502</v>
      </c>
      <c r="V114" s="26">
        <f>[2]各R部队能量汇总!G114</f>
        <v>27268994484</v>
      </c>
      <c r="W114" s="26">
        <f>[2]各R部队能量汇总!H114</f>
        <v>28243583217</v>
      </c>
      <c r="X114" s="26">
        <f>[2]各R部队能量汇总!I114</f>
        <v>29296035344</v>
      </c>
      <c r="AA114" s="27">
        <v>108</v>
      </c>
      <c r="AB114" s="28">
        <f>[2]各R部队能量汇总!K114</f>
        <v>1</v>
      </c>
      <c r="AC114" s="28">
        <f>[2]各R部队能量汇总!L114</f>
        <v>1.1166025595239555</v>
      </c>
      <c r="AD114" s="28">
        <f>[2]各R部队能量汇总!M114</f>
        <v>1.1966452351709569</v>
      </c>
      <c r="AE114" s="28">
        <f>[2]各R部队能量汇总!N114</f>
        <v>1.2394131107624107</v>
      </c>
      <c r="AF114" s="28">
        <f>[2]各R部队能量汇总!O114</f>
        <v>1.2855978655306528</v>
      </c>
      <c r="AI114" s="27">
        <v>108</v>
      </c>
      <c r="AJ114" s="28">
        <f>[1]服务器生态!W129</f>
        <v>187.05394597499998</v>
      </c>
      <c r="AK114" s="28">
        <f>[1]服务器生态!X129</f>
        <v>184.43690357008799</v>
      </c>
      <c r="AL114" s="28">
        <f>[1]服务器生态!Y129</f>
        <v>15.055638054912</v>
      </c>
      <c r="AM114" s="28">
        <f>[1]服务器生态!Z129</f>
        <v>2.6785044000000009</v>
      </c>
      <c r="AN114" s="28">
        <f>[1]服务器生态!AA129</f>
        <v>0.77500799999999992</v>
      </c>
      <c r="AQ114" s="26">
        <v>108</v>
      </c>
      <c r="AR114" s="29">
        <f>[2]非r将兵属性验证!M114</f>
        <v>314.45235459448685</v>
      </c>
      <c r="AS114" s="29">
        <f>[2]小r将兵属性验证!M114</f>
        <v>329.97357802530667</v>
      </c>
      <c r="AT114" s="29">
        <f>[2]中r将兵属性验证!M114</f>
        <v>332.93920551457387</v>
      </c>
      <c r="AU114" s="29">
        <f>[2]大r将兵属性验证!M114</f>
        <v>333.32269093249982</v>
      </c>
      <c r="AV114" s="29">
        <f>[2]超r将兵属性验证!M114</f>
        <v>333.92410542478802</v>
      </c>
    </row>
    <row r="115" spans="2:48" x14ac:dyDescent="0.2">
      <c r="B115" s="26">
        <f>[1]节奏总纲!N112</f>
        <v>119</v>
      </c>
      <c r="C115" s="26">
        <v>109</v>
      </c>
      <c r="D115" s="26">
        <f>[1]节奏总纲!P112</f>
        <v>1909.8515666673818</v>
      </c>
      <c r="E115" s="26">
        <f>[1]节奏总纲!Q112</f>
        <v>1624.7107277639418</v>
      </c>
      <c r="F115" s="26">
        <f>[1]节奏总纲!R112</f>
        <v>1301.5638426838207</v>
      </c>
      <c r="G115" s="26">
        <f>[1]节奏总纲!S112</f>
        <v>931.81657937701561</v>
      </c>
      <c r="H115" s="26">
        <f>[1]节奏总纲!T112</f>
        <v>504.58278391352223</v>
      </c>
      <c r="K115" s="26">
        <v>109</v>
      </c>
      <c r="L115" s="26">
        <f>[1]节奏总纲!AD112</f>
        <v>67.80830335012682</v>
      </c>
      <c r="M115" s="26">
        <f>[1]节奏总纲!AE112</f>
        <v>69.870029221854239</v>
      </c>
      <c r="N115" s="26">
        <f>[1]节奏总纲!AF112</f>
        <v>72.782262218435889</v>
      </c>
      <c r="O115" s="26">
        <f>[1]节奏总纲!AG112</f>
        <v>77.203841369133116</v>
      </c>
      <c r="P115" s="26">
        <f>[1]节奏总纲!AH112</f>
        <v>86.007776715139968</v>
      </c>
      <c r="S115" s="26">
        <v>109</v>
      </c>
      <c r="T115" s="26">
        <f>[2]各R部队能量汇总!E115</f>
        <v>23983532052</v>
      </c>
      <c r="U115" s="26">
        <f>[2]各R部队能量汇总!F115</f>
        <v>26627360961</v>
      </c>
      <c r="V115" s="26">
        <f>[2]各R部队能量汇总!G115</f>
        <v>28311122389</v>
      </c>
      <c r="W115" s="26">
        <f>[2]各R部队能量汇总!H115</f>
        <v>29255347013</v>
      </c>
      <c r="X115" s="26">
        <f>[2]各R部队能量汇总!I115</f>
        <v>30358030495</v>
      </c>
      <c r="AA115" s="27">
        <v>109</v>
      </c>
      <c r="AB115" s="28">
        <f>[2]各R部队能量汇总!K115</f>
        <v>1</v>
      </c>
      <c r="AC115" s="28">
        <f>[2]各R部队能量汇总!L115</f>
        <v>1.110235177340342</v>
      </c>
      <c r="AD115" s="28">
        <f>[2]各R部队能量汇总!M115</f>
        <v>1.1804400756159317</v>
      </c>
      <c r="AE115" s="28">
        <f>[2]各R部队能量汇总!N115</f>
        <v>1.2198097823777536</v>
      </c>
      <c r="AF115" s="28">
        <f>[2]各R部队能量汇总!O115</f>
        <v>1.2657864750354162</v>
      </c>
      <c r="AI115" s="27">
        <v>109</v>
      </c>
      <c r="AJ115" s="28">
        <f>[1]服务器生态!W130</f>
        <v>185.45519429999999</v>
      </c>
      <c r="AK115" s="28">
        <f>[1]服务器生态!X130</f>
        <v>182.86051977889068</v>
      </c>
      <c r="AL115" s="28">
        <f>[1]服务器生态!Y130</f>
        <v>14.926957387776001</v>
      </c>
      <c r="AM115" s="28">
        <f>[1]服务器生态!Z130</f>
        <v>2.6556112000000009</v>
      </c>
      <c r="AN115" s="28">
        <f>[1]服务器生态!AA130</f>
        <v>0.76838399999999996</v>
      </c>
      <c r="AQ115" s="26">
        <v>109</v>
      </c>
      <c r="AR115" s="29">
        <f>[2]非r将兵属性验证!M115</f>
        <v>316.72058668144763</v>
      </c>
      <c r="AS115" s="29">
        <f>[2]小r将兵属性验证!M115</f>
        <v>331.62818559218209</v>
      </c>
      <c r="AT115" s="29">
        <f>[2]中r将兵属性验证!M115</f>
        <v>333.29579274123103</v>
      </c>
      <c r="AU115" s="29">
        <f>[2]大r将兵属性验证!M115</f>
        <v>333.6805868431556</v>
      </c>
      <c r="AV115" s="29">
        <f>[2]超r将兵属性验证!M115</f>
        <v>334.28574895704821</v>
      </c>
    </row>
    <row r="116" spans="2:48" x14ac:dyDescent="0.2">
      <c r="B116" s="26">
        <f>[1]节奏总纲!N113</f>
        <v>120</v>
      </c>
      <c r="C116" s="26">
        <v>110</v>
      </c>
      <c r="D116" s="26">
        <f>[1]节奏总纲!P113</f>
        <v>2047</v>
      </c>
      <c r="E116" s="26">
        <f>[1]节奏总纲!Q113</f>
        <v>1741.3829000000001</v>
      </c>
      <c r="F116" s="26">
        <f>[1]节奏总纲!R113</f>
        <v>1397.2821999999999</v>
      </c>
      <c r="G116" s="26">
        <f>[1]节奏总纲!S113</f>
        <v>1001.3924000000001</v>
      </c>
      <c r="H116" s="26">
        <f>[1]节奏总纲!T113</f>
        <v>542.04559999999992</v>
      </c>
      <c r="K116" s="26">
        <v>110</v>
      </c>
      <c r="L116" s="26">
        <f>[1]节奏总纲!AD113</f>
        <v>67.942312709427185</v>
      </c>
      <c r="M116" s="26">
        <f>[1]节奏总纲!AE113</f>
        <v>70.003807055133578</v>
      </c>
      <c r="N116" s="26">
        <f>[1]节奏总纲!AF113</f>
        <v>72.919951060835245</v>
      </c>
      <c r="O116" s="26">
        <f>[1]节奏总纲!AG113</f>
        <v>77.332919927503724</v>
      </c>
      <c r="P116" s="26">
        <f>[1]节奏总纲!AH113</f>
        <v>86.154780808490045</v>
      </c>
      <c r="S116" s="26">
        <v>110</v>
      </c>
      <c r="T116" s="26">
        <f>[2]各R部队能量汇总!E116</f>
        <v>25213962456</v>
      </c>
      <c r="U116" s="26">
        <f>[2]各R部队能量汇总!F116</f>
        <v>27889487725</v>
      </c>
      <c r="V116" s="26">
        <f>[2]各R部队能量汇总!G116</f>
        <v>29351691560</v>
      </c>
      <c r="W116" s="26">
        <f>[2]各R部队能量汇总!H116</f>
        <v>30336192584</v>
      </c>
      <c r="X116" s="26">
        <f>[2]各R部队能量汇总!I116</f>
        <v>31467458900</v>
      </c>
      <c r="AA116" s="27">
        <v>110</v>
      </c>
      <c r="AB116" s="28">
        <f>[2]各R部队能量汇总!K116</f>
        <v>1</v>
      </c>
      <c r="AC116" s="28">
        <f>[2]各R部队能量汇总!L116</f>
        <v>1.1061128441699302</v>
      </c>
      <c r="AD116" s="28">
        <f>[2]各R部队能量汇总!M116</f>
        <v>1.1641046745913344</v>
      </c>
      <c r="AE116" s="28">
        <f>[2]各R部队能量汇总!N116</f>
        <v>1.2031505415675392</v>
      </c>
      <c r="AF116" s="28">
        <f>[2]各R部队能量汇总!O116</f>
        <v>1.2480172029649348</v>
      </c>
      <c r="AI116" s="27">
        <v>110</v>
      </c>
      <c r="AJ116" s="28">
        <f>[1]服务器生态!W131</f>
        <v>183.856442625</v>
      </c>
      <c r="AK116" s="28">
        <f>[1]服务器生态!X131</f>
        <v>181.28413598769336</v>
      </c>
      <c r="AL116" s="28">
        <f>[1]服务器生态!Y131</f>
        <v>14.798276720640002</v>
      </c>
      <c r="AM116" s="28">
        <f>[1]服务器生态!Z131</f>
        <v>2.632718000000001</v>
      </c>
      <c r="AN116" s="28">
        <f>[1]服务器生态!AA131</f>
        <v>0.76175999999999999</v>
      </c>
      <c r="AQ116" s="26">
        <v>110</v>
      </c>
      <c r="AR116" s="29">
        <f>[2]非r将兵属性验证!M116</f>
        <v>318.98881876840846</v>
      </c>
      <c r="AS116" s="29">
        <f>[2]小r将兵属性验证!M116</f>
        <v>333.28279315905752</v>
      </c>
      <c r="AT116" s="29">
        <f>[2]中r将兵属性验证!M116</f>
        <v>333.65237996788812</v>
      </c>
      <c r="AU116" s="29">
        <f>[2]大r将兵属性验证!M116</f>
        <v>334.03848275381142</v>
      </c>
      <c r="AV116" s="29">
        <f>[2]超r将兵属性验证!M116</f>
        <v>334.64739248930846</v>
      </c>
    </row>
    <row r="117" spans="2:48" x14ac:dyDescent="0.2">
      <c r="B117" s="26">
        <f>[1]节奏总纲!N114</f>
        <v>121</v>
      </c>
      <c r="C117" s="26">
        <v>111</v>
      </c>
      <c r="D117" s="26">
        <f>[1]节奏总纲!P114</f>
        <v>2193.9920512743265</v>
      </c>
      <c r="E117" s="26">
        <f>[1]节奏总纲!Q114</f>
        <v>1869.0618284805987</v>
      </c>
      <c r="F117" s="26">
        <f>[1]节奏总纲!R114</f>
        <v>1500.4711638665117</v>
      </c>
      <c r="G117" s="26">
        <f>[1]节奏总纲!S114</f>
        <v>1076.5918995603122</v>
      </c>
      <c r="H117" s="26">
        <f>[1]节奏总纲!T114</f>
        <v>583.16308722871599</v>
      </c>
      <c r="K117" s="26">
        <v>111</v>
      </c>
      <c r="L117" s="26">
        <f>[1]节奏总纲!AD114</f>
        <v>68.071211008105138</v>
      </c>
      <c r="M117" s="26">
        <f>[1]节奏总纲!AE114</f>
        <v>70.127815365673797</v>
      </c>
      <c r="N117" s="26">
        <f>[1]节奏总纲!AF114</f>
        <v>73.051543220271398</v>
      </c>
      <c r="O117" s="26">
        <f>[1]节奏总纲!AG114</f>
        <v>77.461998485874332</v>
      </c>
      <c r="P117" s="26">
        <f>[1]节奏总纲!AH114</f>
        <v>86.301784901840136</v>
      </c>
      <c r="S117" s="26">
        <v>111</v>
      </c>
      <c r="T117" s="26">
        <f>[2]各R部队能量汇总!E117</f>
        <v>26573725704</v>
      </c>
      <c r="U117" s="26">
        <f>[2]各R部队能量汇总!F117</f>
        <v>28973785570</v>
      </c>
      <c r="V117" s="26">
        <f>[2]各R部队能量汇总!G117</f>
        <v>30439063532</v>
      </c>
      <c r="W117" s="26">
        <f>[2]各R部队能量汇总!H117</f>
        <v>31451305210</v>
      </c>
      <c r="X117" s="26">
        <f>[2]各R部队能量汇总!I117</f>
        <v>32635423776</v>
      </c>
      <c r="AA117" s="27">
        <v>111</v>
      </c>
      <c r="AB117" s="28">
        <f>[2]各R部队能量汇总!K117</f>
        <v>1</v>
      </c>
      <c r="AC117" s="28">
        <f>[2]各R部队能量汇总!L117</f>
        <v>1.0903170256490882</v>
      </c>
      <c r="AD117" s="28">
        <f>[2]各R部队能量汇总!M117</f>
        <v>1.145457128257261</v>
      </c>
      <c r="AE117" s="28">
        <f>[2]各R部队能量汇总!N117</f>
        <v>1.1835489520863762</v>
      </c>
      <c r="AF117" s="28">
        <f>[2]各R部队能量汇总!O117</f>
        <v>1.2281087017876295</v>
      </c>
      <c r="AI117" s="27">
        <v>111</v>
      </c>
      <c r="AJ117" s="28">
        <f>[1]服务器生态!W132</f>
        <v>182.25769094999998</v>
      </c>
      <c r="AK117" s="28">
        <f>[1]服务器生态!X132</f>
        <v>179.70775219649599</v>
      </c>
      <c r="AL117" s="28">
        <f>[1]服务器生态!Y132</f>
        <v>14.669596053504002</v>
      </c>
      <c r="AM117" s="28">
        <f>[1]服务器生态!Z132</f>
        <v>2.6098248000000006</v>
      </c>
      <c r="AN117" s="28">
        <f>[1]服务器生态!AA132</f>
        <v>0.75513599999999992</v>
      </c>
      <c r="AQ117" s="26">
        <v>111</v>
      </c>
      <c r="AR117" s="29">
        <f>[2]非r将兵属性验证!M117</f>
        <v>321.60490054442357</v>
      </c>
      <c r="AS117" s="29">
        <f>[2]小r将兵属性验证!M117</f>
        <v>333.63895382476068</v>
      </c>
      <c r="AT117" s="29">
        <f>[2]中r将兵属性验证!M117</f>
        <v>334.00896719454522</v>
      </c>
      <c r="AU117" s="29">
        <f>[2]大r将兵属性验证!M117</f>
        <v>334.39637866446725</v>
      </c>
      <c r="AV117" s="29">
        <f>[2]超r将兵属性验证!M117</f>
        <v>335.0090360215687</v>
      </c>
    </row>
    <row r="118" spans="2:48" x14ac:dyDescent="0.2">
      <c r="B118" s="26">
        <f>[1]节奏总纲!N115</f>
        <v>122</v>
      </c>
      <c r="C118" s="26">
        <v>112</v>
      </c>
      <c r="D118" s="26">
        <f>[1]节奏总纲!P115</f>
        <v>2351.5342310339256</v>
      </c>
      <c r="E118" s="26">
        <f>[1]节奏总纲!Q115</f>
        <v>2004.6829319564217</v>
      </c>
      <c r="F118" s="26">
        <f>[1]节奏总纲!R115</f>
        <v>1609.3900277196187</v>
      </c>
      <c r="G118" s="26">
        <f>[1]节奏总纲!S115</f>
        <v>1155.3087677069677</v>
      </c>
      <c r="H118" s="26">
        <f>[1]节奏总纲!T115</f>
        <v>623.15657122399034</v>
      </c>
      <c r="K118" s="26">
        <v>112</v>
      </c>
      <c r="L118" s="26">
        <f>[1]节奏总纲!AD115</f>
        <v>68.196246161507091</v>
      </c>
      <c r="M118" s="26">
        <f>[1]节奏总纲!AE115</f>
        <v>70.251823676214016</v>
      </c>
      <c r="N118" s="26">
        <f>[1]节奏总纲!AF115</f>
        <v>73.174668450093861</v>
      </c>
      <c r="O118" s="26">
        <f>[1]节奏总纲!AG115</f>
        <v>77.591077044244926</v>
      </c>
      <c r="P118" s="26">
        <f>[1]节奏总纲!AH115</f>
        <v>86.448788995190213</v>
      </c>
      <c r="S118" s="26">
        <v>112</v>
      </c>
      <c r="T118" s="26">
        <f>[2]各R部队能量汇总!E118</f>
        <v>27928458979</v>
      </c>
      <c r="U118" s="26">
        <f>[2]各R部队能量汇总!F118</f>
        <v>30045547765</v>
      </c>
      <c r="V118" s="26">
        <f>[2]各R部队能量汇总!G118</f>
        <v>31540620414</v>
      </c>
      <c r="W118" s="26">
        <f>[2]各R部队能量汇总!H118</f>
        <v>32592389198</v>
      </c>
      <c r="X118" s="26">
        <f>[2]各R部队能量汇总!I118</f>
        <v>33773891788</v>
      </c>
      <c r="AA118" s="27">
        <v>112</v>
      </c>
      <c r="AB118" s="28">
        <f>[2]各R部队能量汇总!K118</f>
        <v>1</v>
      </c>
      <c r="AC118" s="28">
        <f>[2]各R部队能量汇总!L118</f>
        <v>1.0758039957590171</v>
      </c>
      <c r="AD118" s="28">
        <f>[2]各R部队能量汇总!M118</f>
        <v>1.1293362243049665</v>
      </c>
      <c r="AE118" s="28">
        <f>[2]各R部队能量汇总!N118</f>
        <v>1.1669956162818331</v>
      </c>
      <c r="AF118" s="28">
        <f>[2]各R部队能量汇总!O118</f>
        <v>1.2093002271767055</v>
      </c>
      <c r="AI118" s="27">
        <v>112</v>
      </c>
      <c r="AJ118" s="28">
        <f>[1]服务器生态!W133</f>
        <v>180.65893927499999</v>
      </c>
      <c r="AK118" s="28">
        <f>[1]服务器生态!X133</f>
        <v>178.13136840529867</v>
      </c>
      <c r="AL118" s="28">
        <f>[1]服务器生态!Y133</f>
        <v>14.540915386368001</v>
      </c>
      <c r="AM118" s="28">
        <f>[1]服务器生态!Z133</f>
        <v>2.5869316000000007</v>
      </c>
      <c r="AN118" s="28">
        <f>[1]服务器生态!AA133</f>
        <v>0.74851199999999996</v>
      </c>
      <c r="AQ118" s="26">
        <v>112</v>
      </c>
      <c r="AR118" s="29">
        <f>[2]非r将兵属性验证!M118</f>
        <v>324.22098232043868</v>
      </c>
      <c r="AS118" s="29">
        <f>[2]小r将兵属性验证!M118</f>
        <v>333.99511449046378</v>
      </c>
      <c r="AT118" s="29">
        <f>[2]中r将兵属性验证!M118</f>
        <v>334.36555442120232</v>
      </c>
      <c r="AU118" s="29">
        <f>[2]大r将兵属性验证!M118</f>
        <v>334.75427457512308</v>
      </c>
      <c r="AV118" s="29">
        <f>[2]超r将兵属性验证!M118</f>
        <v>335.37067955382895</v>
      </c>
    </row>
    <row r="119" spans="2:48" x14ac:dyDescent="0.2">
      <c r="B119" s="26">
        <f>[1]节奏总纲!N116</f>
        <v>123</v>
      </c>
      <c r="C119" s="26">
        <v>113</v>
      </c>
      <c r="D119" s="26">
        <f>[1]节奏总纲!P116</f>
        <v>2520.3837585303886</v>
      </c>
      <c r="E119" s="26">
        <f>[1]节奏总纲!Q116</f>
        <v>2149.6353076505684</v>
      </c>
      <c r="F119" s="26">
        <f>[1]节奏总纲!R116</f>
        <v>1726.7149129691693</v>
      </c>
      <c r="G119" s="26">
        <f>[1]节奏总纲!S116</f>
        <v>1235.7441568074496</v>
      </c>
      <c r="H119" s="26">
        <f>[1]节奏总纲!T116</f>
        <v>665.63335062787564</v>
      </c>
      <c r="K119" s="26">
        <v>113</v>
      </c>
      <c r="L119" s="26">
        <f>[1]节奏总纲!AD116</f>
        <v>68.321281314909029</v>
      </c>
      <c r="M119" s="26">
        <f>[1]节奏总纲!AE116</f>
        <v>70.375831986754235</v>
      </c>
      <c r="N119" s="26">
        <f>[1]节奏总纲!AF116</f>
        <v>73.297793679916325</v>
      </c>
      <c r="O119" s="26">
        <f>[1]节奏总纲!AG116</f>
        <v>77.720155602615534</v>
      </c>
      <c r="P119" s="26">
        <f>[1]节奏总纲!AH116</f>
        <v>86.595793088540304</v>
      </c>
      <c r="S119" s="26">
        <v>113</v>
      </c>
      <c r="T119" s="26">
        <f>[2]各R部队能量汇总!E119</f>
        <v>29358768898</v>
      </c>
      <c r="U119" s="26">
        <f>[2]各R部队能量汇总!F119</f>
        <v>31140501435</v>
      </c>
      <c r="V119" s="26">
        <f>[2]各R部队能量汇总!G119</f>
        <v>32686862466</v>
      </c>
      <c r="W119" s="26">
        <f>[2]各R部队能量汇总!H119</f>
        <v>33744660856</v>
      </c>
      <c r="X119" s="26">
        <f>[2]各R部队能量汇总!I119</f>
        <v>34944587664</v>
      </c>
      <c r="AA119" s="27">
        <v>113</v>
      </c>
      <c r="AB119" s="28">
        <f>[2]各R部队能量汇总!K119</f>
        <v>1</v>
      </c>
      <c r="AC119" s="28">
        <f>[2]各R部队能量汇总!L119</f>
        <v>1.0606882578486245</v>
      </c>
      <c r="AD119" s="28">
        <f>[2]各R部队能量汇总!M119</f>
        <v>1.1133594388634844</v>
      </c>
      <c r="AE119" s="28">
        <f>[2]各R部队能量汇总!N119</f>
        <v>1.1493895051675269</v>
      </c>
      <c r="AF119" s="28">
        <f>[2]各R部队能量汇总!O119</f>
        <v>1.190260660636234</v>
      </c>
      <c r="AI119" s="27">
        <v>113</v>
      </c>
      <c r="AJ119" s="28">
        <f>[1]服务器生态!W134</f>
        <v>179.06018760000001</v>
      </c>
      <c r="AK119" s="28">
        <f>[1]服务器生态!X134</f>
        <v>176.55498461410136</v>
      </c>
      <c r="AL119" s="28">
        <f>[1]服务器生态!Y134</f>
        <v>14.412234719232002</v>
      </c>
      <c r="AM119" s="28">
        <f>[1]服务器生态!Z134</f>
        <v>2.5640384000000012</v>
      </c>
      <c r="AN119" s="28">
        <f>[1]服务器生态!AA134</f>
        <v>0.74188799999999999</v>
      </c>
      <c r="AQ119" s="26">
        <v>113</v>
      </c>
      <c r="AR119" s="29">
        <f>[2]非r将兵属性验证!M119</f>
        <v>326.83706409645373</v>
      </c>
      <c r="AS119" s="29">
        <f>[2]小r将兵属性验证!M119</f>
        <v>334.35127515616688</v>
      </c>
      <c r="AT119" s="29">
        <f>[2]中r将兵属性验证!M119</f>
        <v>334.72214164785942</v>
      </c>
      <c r="AU119" s="29">
        <f>[2]大r将兵属性验证!M119</f>
        <v>335.11217048577885</v>
      </c>
      <c r="AV119" s="29">
        <f>[2]超r将兵属性验证!M119</f>
        <v>335.7323230860892</v>
      </c>
    </row>
    <row r="120" spans="2:48" x14ac:dyDescent="0.2">
      <c r="B120" s="26">
        <f>[1]节奏总纲!N117</f>
        <v>124</v>
      </c>
      <c r="C120" s="26">
        <v>114</v>
      </c>
      <c r="D120" s="26">
        <f>[1]节奏总纲!P117</f>
        <v>2701.3522012628878</v>
      </c>
      <c r="E120" s="26">
        <f>[1]节奏总纲!Q117</f>
        <v>2304.5235628973696</v>
      </c>
      <c r="F120" s="26">
        <f>[1]节奏总纲!R117</f>
        <v>1846.3742295631837</v>
      </c>
      <c r="G120" s="26">
        <f>[1]节奏总纲!S117</f>
        <v>1319.3404150967945</v>
      </c>
      <c r="H120" s="26">
        <f>[1]节奏总纲!T117</f>
        <v>710.99589937239205</v>
      </c>
      <c r="K120" s="26">
        <v>114</v>
      </c>
      <c r="L120" s="26">
        <f>[1]节奏总纲!AD117</f>
        <v>68.446316468310982</v>
      </c>
      <c r="M120" s="26">
        <f>[1]节奏总纲!AE117</f>
        <v>70.499840297294455</v>
      </c>
      <c r="N120" s="26">
        <f>[1]节奏总纲!AF117</f>
        <v>73.420918909738774</v>
      </c>
      <c r="O120" s="26">
        <f>[1]节奏总纲!AG117</f>
        <v>77.849234160986143</v>
      </c>
      <c r="P120" s="26">
        <f>[1]节奏总纲!AH117</f>
        <v>86.742797181890381</v>
      </c>
      <c r="S120" s="26">
        <v>114</v>
      </c>
      <c r="T120" s="26">
        <f>[2]各R部队能量汇总!E120</f>
        <v>30838416005</v>
      </c>
      <c r="U120" s="26">
        <f>[2]各R部队能量汇总!F120</f>
        <v>32277086633</v>
      </c>
      <c r="V120" s="26">
        <f>[2]各R部队能量汇总!G120</f>
        <v>33841011860</v>
      </c>
      <c r="W120" s="26">
        <f>[2]各R部队能量汇总!H120</f>
        <v>34915921700</v>
      </c>
      <c r="X120" s="26">
        <f>[2]各R部队能量汇总!I120</f>
        <v>36155189154</v>
      </c>
      <c r="AA120" s="27">
        <v>114</v>
      </c>
      <c r="AB120" s="28">
        <f>[2]各R部队能量汇总!K120</f>
        <v>1</v>
      </c>
      <c r="AC120" s="28">
        <f>[2]各R部队能量汇总!L120</f>
        <v>1.0466518976774533</v>
      </c>
      <c r="AD120" s="28">
        <f>[2]各R部队能量汇总!M120</f>
        <v>1.0973654371389625</v>
      </c>
      <c r="AE120" s="28">
        <f>[2]各R部队能量汇总!N120</f>
        <v>1.1322216320818452</v>
      </c>
      <c r="AF120" s="28">
        <f>[2]各R部队能量汇总!O120</f>
        <v>1.1724074656797536</v>
      </c>
      <c r="AI120" s="27">
        <v>114</v>
      </c>
      <c r="AJ120" s="28">
        <f>[1]服务器生态!W135</f>
        <v>177.46143592500002</v>
      </c>
      <c r="AK120" s="28">
        <f>[1]服务器生态!X135</f>
        <v>174.97860082290401</v>
      </c>
      <c r="AL120" s="28">
        <f>[1]服务器生态!Y135</f>
        <v>14.283554052096003</v>
      </c>
      <c r="AM120" s="28">
        <f>[1]服务器生态!Z135</f>
        <v>2.5411452000000012</v>
      </c>
      <c r="AN120" s="28">
        <f>[1]服务器生态!AA135</f>
        <v>0.73526400000000003</v>
      </c>
      <c r="AQ120" s="26">
        <v>114</v>
      </c>
      <c r="AR120" s="29">
        <f>[2]非r将兵属性验证!M120</f>
        <v>329.45314587246878</v>
      </c>
      <c r="AS120" s="29">
        <f>[2]小r将兵属性验证!M120</f>
        <v>334.70743582186998</v>
      </c>
      <c r="AT120" s="29">
        <f>[2]中r将兵属性验证!M120</f>
        <v>335.07872887451651</v>
      </c>
      <c r="AU120" s="29">
        <f>[2]大r将兵属性验证!M120</f>
        <v>335.47006639643473</v>
      </c>
      <c r="AV120" s="29">
        <f>[2]超r将兵属性验证!M120</f>
        <v>336.09501503351237</v>
      </c>
    </row>
    <row r="121" spans="2:48" x14ac:dyDescent="0.2">
      <c r="B121" s="26">
        <f>[1]节奏总纲!N118</f>
        <v>125</v>
      </c>
      <c r="C121" s="26">
        <v>115</v>
      </c>
      <c r="D121" s="26">
        <f>[1]节奏总纲!P118</f>
        <v>2895.3093757400989</v>
      </c>
      <c r="E121" s="26">
        <f>[1]节奏总纲!Q118</f>
        <v>2463.0396859421021</v>
      </c>
      <c r="F121" s="26">
        <f>[1]节奏总纲!R118</f>
        <v>1969.9684992535633</v>
      </c>
      <c r="G121" s="26">
        <f>[1]节奏总纲!S118</f>
        <v>1407.1203566096881</v>
      </c>
      <c r="H121" s="26">
        <f>[1]节奏总纲!T118</f>
        <v>758.86058738147995</v>
      </c>
      <c r="K121" s="26">
        <v>115</v>
      </c>
      <c r="L121" s="26">
        <f>[1]节奏总纲!AD118</f>
        <v>68.571351621712935</v>
      </c>
      <c r="M121" s="26">
        <f>[1]节奏总纲!AE118</f>
        <v>70.623848607834674</v>
      </c>
      <c r="N121" s="26">
        <f>[1]节奏总纲!AF118</f>
        <v>73.544044139561237</v>
      </c>
      <c r="O121" s="26">
        <f>[1]节奏总纲!AG118</f>
        <v>77.978312719356751</v>
      </c>
      <c r="P121" s="26">
        <f>[1]节奏总纲!AH118</f>
        <v>86.889801275240458</v>
      </c>
      <c r="S121" s="26">
        <v>115</v>
      </c>
      <c r="T121" s="26">
        <f>[2]各R部队能量汇总!E121</f>
        <v>32394137003</v>
      </c>
      <c r="U121" s="26">
        <f>[2]各R部队能量汇总!F121</f>
        <v>33420427234</v>
      </c>
      <c r="V121" s="26">
        <f>[2]各R部队能量汇总!G121</f>
        <v>35015162736</v>
      </c>
      <c r="W121" s="26">
        <f>[2]各R部队能量汇总!H121</f>
        <v>36129007756</v>
      </c>
      <c r="X121" s="26">
        <f>[2]各R部队能量汇总!I121</f>
        <v>37397676664</v>
      </c>
      <c r="AA121" s="27">
        <v>115</v>
      </c>
      <c r="AB121" s="28">
        <f>[2]各R部队能量汇总!K121</f>
        <v>1</v>
      </c>
      <c r="AC121" s="28">
        <f>[2]各R部队能量汇总!L121</f>
        <v>1.0316813573673826</v>
      </c>
      <c r="AD121" s="28">
        <f>[2]各R部队能量汇总!M121</f>
        <v>1.0809104972531687</v>
      </c>
      <c r="AE121" s="28">
        <f>[2]各R部队能量汇总!N121</f>
        <v>1.1152946520123106</v>
      </c>
      <c r="AF121" s="28">
        <f>[2]各R部队能量汇总!O121</f>
        <v>1.154458186693988</v>
      </c>
      <c r="AI121" s="27">
        <v>115</v>
      </c>
      <c r="AJ121" s="28">
        <f>[1]服务器生态!W136</f>
        <v>175.86268425</v>
      </c>
      <c r="AK121" s="28">
        <f>[1]服务器生态!X136</f>
        <v>173.40221703170667</v>
      </c>
      <c r="AL121" s="28">
        <f>[1]服务器生态!Y136</f>
        <v>14.154873384960002</v>
      </c>
      <c r="AM121" s="28">
        <f>[1]服务器生态!Z136</f>
        <v>2.5182520000000008</v>
      </c>
      <c r="AN121" s="28">
        <f>[1]服务器生态!AA136</f>
        <v>0.72863999999999995</v>
      </c>
      <c r="AQ121" s="26">
        <v>115</v>
      </c>
      <c r="AR121" s="29">
        <f>[2]非r将兵属性验证!M121</f>
        <v>332.06922764848389</v>
      </c>
      <c r="AS121" s="29">
        <f>[2]小r将兵属性验证!M121</f>
        <v>335.06359648757314</v>
      </c>
      <c r="AT121" s="29">
        <f>[2]中r将兵属性验证!M121</f>
        <v>335.43531610117361</v>
      </c>
      <c r="AU121" s="29">
        <f>[2]大r将兵属性验证!M121</f>
        <v>335.82926037309784</v>
      </c>
      <c r="AV121" s="29">
        <f>[2]超r将兵属性验证!M121</f>
        <v>336.45873611290068</v>
      </c>
    </row>
    <row r="122" spans="2:48" x14ac:dyDescent="0.2">
      <c r="B122" s="26">
        <f>[1]节奏总纲!N119</f>
        <v>126</v>
      </c>
      <c r="C122" s="26">
        <v>116</v>
      </c>
      <c r="D122" s="26">
        <f>[1]节奏总纲!P119</f>
        <v>3103.1875282132928</v>
      </c>
      <c r="E122" s="26">
        <f>[1]节奏总纲!Q119</f>
        <v>2636.7784427228348</v>
      </c>
      <c r="F122" s="26">
        <f>[1]节奏总纲!R119</f>
        <v>2108.9262441737537</v>
      </c>
      <c r="G122" s="26">
        <f>[1]节奏总纲!S119</f>
        <v>1509.0800949701243</v>
      </c>
      <c r="H122" s="26">
        <f>[1]节奏总纲!T119</f>
        <v>813.34545114470404</v>
      </c>
      <c r="K122" s="26">
        <v>116</v>
      </c>
      <c r="L122" s="26">
        <f>[1]节奏总纲!AD119</f>
        <v>68.696386775114874</v>
      </c>
      <c r="M122" s="26">
        <f>[1]节奏总纲!AE119</f>
        <v>70.747856918374893</v>
      </c>
      <c r="N122" s="26">
        <f>[1]节奏总纲!AF119</f>
        <v>73.667169369383686</v>
      </c>
      <c r="O122" s="26">
        <f>[1]节奏总纲!AG119</f>
        <v>78.10469841238104</v>
      </c>
      <c r="P122" s="26">
        <f>[1]节奏总纲!AH119</f>
        <v>87.033659382136349</v>
      </c>
      <c r="S122" s="26">
        <v>116</v>
      </c>
      <c r="T122" s="26">
        <f>[2]各R部队能量汇总!E122</f>
        <v>33691572091</v>
      </c>
      <c r="U122" s="26">
        <f>[2]各R部队能量汇总!F122</f>
        <v>34610564352</v>
      </c>
      <c r="V122" s="26">
        <f>[2]各R部队能量汇总!G122</f>
        <v>36253979731</v>
      </c>
      <c r="W122" s="26">
        <f>[2]各R部队能量汇总!H122</f>
        <v>37397840562</v>
      </c>
      <c r="X122" s="26">
        <f>[2]各R部队能量汇总!I122</f>
        <v>38712928121</v>
      </c>
      <c r="AA122" s="27">
        <v>116</v>
      </c>
      <c r="AB122" s="28">
        <f>[2]各R部队能量汇总!K122</f>
        <v>1</v>
      </c>
      <c r="AC122" s="28">
        <f>[2]各R部队能量汇总!L122</f>
        <v>1.0272766215395894</v>
      </c>
      <c r="AD122" s="28">
        <f>[2]各R部队能量汇总!M122</f>
        <v>1.0760548552937514</v>
      </c>
      <c r="AE122" s="28">
        <f>[2]各R部队能量汇总!N122</f>
        <v>1.1100058038547287</v>
      </c>
      <c r="AF122" s="28">
        <f>[2]各R部队能量汇总!O122</f>
        <v>1.1490389352101902</v>
      </c>
      <c r="AI122" s="27">
        <v>116</v>
      </c>
      <c r="AJ122" s="28">
        <f>[1]服务器生态!W137</f>
        <v>174.26393257500001</v>
      </c>
      <c r="AK122" s="28">
        <f>[1]服务器生态!X137</f>
        <v>171.82583324050935</v>
      </c>
      <c r="AL122" s="28">
        <f>[1]服务器生态!Y137</f>
        <v>14.026192717824003</v>
      </c>
      <c r="AM122" s="28">
        <f>[1]服务器生态!Z137</f>
        <v>2.4953588000000009</v>
      </c>
      <c r="AN122" s="28">
        <f>[1]服务器生态!AA137</f>
        <v>0.72201599999999999</v>
      </c>
      <c r="AQ122" s="26">
        <v>116</v>
      </c>
      <c r="AR122" s="29">
        <f>[2]非r将兵属性验证!M122</f>
        <v>332.95218587891713</v>
      </c>
      <c r="AS122" s="29">
        <f>[2]小r将兵属性验证!M122</f>
        <v>335.41975715327624</v>
      </c>
      <c r="AT122" s="29">
        <f>[2]中r将兵属性验证!M122</f>
        <v>335.79310740756074</v>
      </c>
      <c r="AU122" s="29">
        <f>[2]大r将兵属性验证!M122</f>
        <v>336.19068174852555</v>
      </c>
      <c r="AV122" s="29">
        <f>[2]超r将兵属性验证!M122</f>
        <v>336.82245719228899</v>
      </c>
    </row>
    <row r="123" spans="2:48" x14ac:dyDescent="0.2">
      <c r="B123" s="26">
        <f>[1]节奏总纲!N120</f>
        <v>127</v>
      </c>
      <c r="C123" s="26">
        <v>117</v>
      </c>
      <c r="D123" s="26">
        <f>[1]节奏总纲!P120</f>
        <v>3325.985815475135</v>
      </c>
      <c r="E123" s="26">
        <f>[1]节奏总纲!Q120</f>
        <v>2826.7553445723174</v>
      </c>
      <c r="F123" s="26">
        <f>[1]节奏总纲!R120</f>
        <v>2262.6681502677343</v>
      </c>
      <c r="G123" s="26">
        <f>[1]节奏总纲!S120</f>
        <v>1618.0920992286531</v>
      </c>
      <c r="H123" s="26">
        <f>[1]节奏总纲!T120</f>
        <v>873.07127656222303</v>
      </c>
      <c r="K123" s="26">
        <v>117</v>
      </c>
      <c r="L123" s="26">
        <f>[1]节奏总纲!AD120</f>
        <v>68.821421928516827</v>
      </c>
      <c r="M123" s="26">
        <f>[1]节奏总纲!AE120</f>
        <v>70.871865228915112</v>
      </c>
      <c r="N123" s="26">
        <f>[1]节奏总纲!AF120</f>
        <v>73.790294599206149</v>
      </c>
      <c r="O123" s="26">
        <f>[1]节奏总纲!AG120</f>
        <v>78.230540290975199</v>
      </c>
      <c r="P123" s="26">
        <f>[1]节奏总纲!AH120</f>
        <v>87.168098110592624</v>
      </c>
      <c r="S123" s="26">
        <v>117</v>
      </c>
      <c r="T123" s="26">
        <f>[2]各R部队能量汇总!E123</f>
        <v>35040254800</v>
      </c>
      <c r="U123" s="26">
        <f>[2]各R部队能量汇总!F123</f>
        <v>35852188195</v>
      </c>
      <c r="V123" s="26">
        <f>[2]各R部队能量汇总!G123</f>
        <v>37531107839</v>
      </c>
      <c r="W123" s="26">
        <f>[2]各R部队能量汇总!H123</f>
        <v>38725571309</v>
      </c>
      <c r="X123" s="26">
        <f>[2]各R部队能量汇总!I123</f>
        <v>40066975355</v>
      </c>
      <c r="AA123" s="27">
        <v>117</v>
      </c>
      <c r="AB123" s="28">
        <f>[2]各R部队能量汇总!K123</f>
        <v>1</v>
      </c>
      <c r="AC123" s="28">
        <f>[2]各R部队能量汇总!L123</f>
        <v>1.0231714466585442</v>
      </c>
      <c r="AD123" s="28">
        <f>[2]各R部队能量汇总!M123</f>
        <v>1.0710854716444584</v>
      </c>
      <c r="AE123" s="28">
        <f>[2]各R部队能量汇总!N123</f>
        <v>1.1051737931140844</v>
      </c>
      <c r="AF123" s="28">
        <f>[2]各R部队能量汇总!O123</f>
        <v>1.1434555936790733</v>
      </c>
      <c r="AI123" s="27">
        <v>117</v>
      </c>
      <c r="AJ123" s="28">
        <f>[1]服务器生态!W138</f>
        <v>172.66518090000002</v>
      </c>
      <c r="AK123" s="28">
        <f>[1]服务器生态!X138</f>
        <v>170.24944944931201</v>
      </c>
      <c r="AL123" s="28">
        <f>[1]服务器生态!Y138</f>
        <v>13.897512050688002</v>
      </c>
      <c r="AM123" s="28">
        <f>[1]服务器生态!Z138</f>
        <v>2.4724656000000009</v>
      </c>
      <c r="AN123" s="28">
        <f>[1]服务器生态!AA138</f>
        <v>0.71539200000000003</v>
      </c>
      <c r="AQ123" s="26">
        <v>117</v>
      </c>
      <c r="AR123" s="29">
        <f>[2]非r将兵属性验证!M123</f>
        <v>333.83514410935038</v>
      </c>
      <c r="AS123" s="29">
        <f>[2]小r将兵属性验证!M123</f>
        <v>335.77666095832006</v>
      </c>
      <c r="AT123" s="29">
        <f>[2]中r将兵属性验证!M123</f>
        <v>336.15320309178952</v>
      </c>
      <c r="AU123" s="29">
        <f>[2]大r将兵属性验证!M123</f>
        <v>336.55210312395326</v>
      </c>
      <c r="AV123" s="29">
        <f>[2]超r将兵属性验证!M123</f>
        <v>337.18617827167731</v>
      </c>
    </row>
    <row r="124" spans="2:48" x14ac:dyDescent="0.2">
      <c r="B124" s="26">
        <f>[1]节奏总纲!N121</f>
        <v>128</v>
      </c>
      <c r="C124" s="26">
        <v>118</v>
      </c>
      <c r="D124" s="26">
        <f>[1]节奏总纲!P121</f>
        <v>3564.7751072609281</v>
      </c>
      <c r="E124" s="26">
        <f>[1]节奏总纲!Q121</f>
        <v>3030.4153186825147</v>
      </c>
      <c r="F124" s="26">
        <f>[1]节奏总纲!R121</f>
        <v>2426.1859380017877</v>
      </c>
      <c r="G124" s="26">
        <f>[1]节奏总纲!S121</f>
        <v>1737.4713872789764</v>
      </c>
      <c r="H124" s="26">
        <f>[1]节奏总纲!T121</f>
        <v>936.10994316671975</v>
      </c>
      <c r="K124" s="26">
        <v>118</v>
      </c>
      <c r="L124" s="26">
        <f>[1]节奏总纲!AD121</f>
        <v>68.946457081918766</v>
      </c>
      <c r="M124" s="26">
        <f>[1]节奏总纲!AE121</f>
        <v>70.995873539455332</v>
      </c>
      <c r="N124" s="26">
        <f>[1]节奏总纲!AF121</f>
        <v>73.913419829028598</v>
      </c>
      <c r="O124" s="26">
        <f>[1]节奏总纲!AG121</f>
        <v>78.356382169569343</v>
      </c>
      <c r="P124" s="26">
        <f>[1]节奏总纲!AH121</f>
        <v>87.302536839048898</v>
      </c>
      <c r="S124" s="26">
        <v>118</v>
      </c>
      <c r="T124" s="26">
        <f>[2]各R部队能量汇总!E124</f>
        <v>36431768846</v>
      </c>
      <c r="U124" s="26">
        <f>[2]各R部队能量汇总!F124</f>
        <v>37124965935</v>
      </c>
      <c r="V124" s="26">
        <f>[2]各R部队能量汇总!G124</f>
        <v>38863013679</v>
      </c>
      <c r="W124" s="26">
        <f>[2]各R部队能量汇总!H124</f>
        <v>40080614513</v>
      </c>
      <c r="X124" s="26">
        <f>[2]各R部队能量汇总!I124</f>
        <v>41466269147</v>
      </c>
      <c r="AA124" s="27">
        <v>118</v>
      </c>
      <c r="AB124" s="28">
        <f>[2]各R部队能量汇总!K124</f>
        <v>1</v>
      </c>
      <c r="AC124" s="28">
        <f>[2]各R部队能量汇总!L124</f>
        <v>1.0190272696319029</v>
      </c>
      <c r="AD124" s="28">
        <f>[2]各R部队能量汇总!M124</f>
        <v>1.066734196829066</v>
      </c>
      <c r="AE124" s="28">
        <f>[2]各R部队能量汇总!N124</f>
        <v>1.1001555999771508</v>
      </c>
      <c r="AF124" s="28">
        <f>[2]各R部队能量汇总!O124</f>
        <v>1.1381898398148396</v>
      </c>
      <c r="AI124" s="27">
        <v>118</v>
      </c>
      <c r="AJ124" s="28">
        <f>[1]服务器生态!W139</f>
        <v>171.06642922500001</v>
      </c>
      <c r="AK124" s="28">
        <f>[1]服务器生态!X139</f>
        <v>168.67306565811467</v>
      </c>
      <c r="AL124" s="28">
        <f>[1]服务器生态!Y139</f>
        <v>13.768831383552001</v>
      </c>
      <c r="AM124" s="28">
        <f>[1]服务器生态!Z139</f>
        <v>2.449572400000001</v>
      </c>
      <c r="AN124" s="28">
        <f>[1]服务器生态!AA139</f>
        <v>0.70876799999999995</v>
      </c>
      <c r="AQ124" s="26">
        <v>118</v>
      </c>
      <c r="AR124" s="29">
        <f>[2]非r将兵属性验证!M124</f>
        <v>334.71818554672279</v>
      </c>
      <c r="AS124" s="29">
        <f>[2]小r将兵属性验证!M124</f>
        <v>336.13458948582434</v>
      </c>
      <c r="AT124" s="29">
        <f>[2]中r将兵属性验证!M124</f>
        <v>336.5132987760183</v>
      </c>
      <c r="AU124" s="29">
        <f>[2]大r将兵属性验证!M124</f>
        <v>336.91352449938103</v>
      </c>
      <c r="AV124" s="29">
        <f>[2]超r将兵属性验证!M124</f>
        <v>337.54989935106562</v>
      </c>
    </row>
    <row r="125" spans="2:48" x14ac:dyDescent="0.2">
      <c r="B125" s="26">
        <f>[1]节奏总纲!N122</f>
        <v>129</v>
      </c>
      <c r="C125" s="26">
        <v>119</v>
      </c>
      <c r="D125" s="26">
        <f>[1]节奏总纲!P122</f>
        <v>3820.7031333347636</v>
      </c>
      <c r="E125" s="26">
        <f>[1]节奏总纲!Q122</f>
        <v>3250.2721555278836</v>
      </c>
      <c r="F125" s="26">
        <f>[1]节奏总纲!R122</f>
        <v>2604.5733259943081</v>
      </c>
      <c r="G125" s="26">
        <f>[1]节奏总纲!S122</f>
        <v>1863.3569181273642</v>
      </c>
      <c r="H125" s="26">
        <f>[1]节奏总纲!T122</f>
        <v>1000.260080307041</v>
      </c>
      <c r="K125" s="26">
        <v>119</v>
      </c>
      <c r="L125" s="26">
        <f>[1]节奏总纲!AD122</f>
        <v>69.066704614192943</v>
      </c>
      <c r="M125" s="26">
        <f>[1]节奏总纲!AE122</f>
        <v>71.113087458015798</v>
      </c>
      <c r="N125" s="26">
        <f>[1]节奏总纲!AF122</f>
        <v>74.034200876118248</v>
      </c>
      <c r="O125" s="26">
        <f>[1]节奏总纲!AG122</f>
        <v>78.482224048163502</v>
      </c>
      <c r="P125" s="26">
        <f>[1]节奏总纲!AH122</f>
        <v>87.436975567505186</v>
      </c>
      <c r="S125" s="26">
        <v>119</v>
      </c>
      <c r="T125" s="26">
        <f>[2]各R部队能量汇总!E125</f>
        <v>37871563294</v>
      </c>
      <c r="U125" s="26">
        <f>[2]各R部队能量汇总!F125</f>
        <v>38445011713</v>
      </c>
      <c r="V125" s="26">
        <f>[2]各R部队能量汇总!G125</f>
        <v>40218481458</v>
      </c>
      <c r="W125" s="26">
        <f>[2]各R部队能量汇总!H125</f>
        <v>41481828413</v>
      </c>
      <c r="X125" s="26">
        <f>[2]各R部队能量汇总!I125</f>
        <v>42859743809</v>
      </c>
      <c r="AA125" s="27">
        <v>119</v>
      </c>
      <c r="AB125" s="28">
        <f>[2]各R部队能量汇总!K125</f>
        <v>1</v>
      </c>
      <c r="AC125" s="28">
        <f>[2]各R部队能量汇总!L125</f>
        <v>1.0151419262666364</v>
      </c>
      <c r="AD125" s="28">
        <f>[2]各R部队能量汇总!M125</f>
        <v>1.0619704590956724</v>
      </c>
      <c r="AE125" s="28">
        <f>[2]各R部队能量汇总!N125</f>
        <v>1.0953291811846588</v>
      </c>
      <c r="AF125" s="28">
        <f>[2]各R部队能量汇总!O125</f>
        <v>1.1317130871064485</v>
      </c>
      <c r="AI125" s="27">
        <v>119</v>
      </c>
      <c r="AJ125" s="28">
        <f>[1]服务器生态!W140</f>
        <v>169.46767755000002</v>
      </c>
      <c r="AK125" s="28">
        <f>[1]服务器生态!X140</f>
        <v>167.09668186691735</v>
      </c>
      <c r="AL125" s="28">
        <f>[1]服务器生态!Y140</f>
        <v>13.640150716416002</v>
      </c>
      <c r="AM125" s="28">
        <f>[1]服务器生态!Z140</f>
        <v>2.426679200000001</v>
      </c>
      <c r="AN125" s="28">
        <f>[1]服务器生态!AA140</f>
        <v>0.70214399999999999</v>
      </c>
      <c r="AQ125" s="26">
        <v>119</v>
      </c>
      <c r="AR125" s="29">
        <f>[2]非r将兵属性验证!M125</f>
        <v>335.60129269416518</v>
      </c>
      <c r="AS125" s="29">
        <f>[2]小r将兵属性验证!M125</f>
        <v>336.49251801332866</v>
      </c>
      <c r="AT125" s="29">
        <f>[2]中r将兵属性验证!M125</f>
        <v>336.87339446024703</v>
      </c>
      <c r="AU125" s="29">
        <f>[2]大r将兵属性验证!M125</f>
        <v>337.27494587480874</v>
      </c>
      <c r="AV125" s="29">
        <f>[2]超r将兵属性验证!M125</f>
        <v>337.91362043045393</v>
      </c>
    </row>
    <row r="126" spans="2:48" x14ac:dyDescent="0.2">
      <c r="B126" s="26">
        <f>[1]节奏总纲!N123</f>
        <v>130</v>
      </c>
      <c r="C126" s="26">
        <v>120</v>
      </c>
      <c r="D126" s="26">
        <f>[1]节奏总纲!P123</f>
        <v>4095</v>
      </c>
      <c r="E126" s="26">
        <f>[1]节奏总纲!Q123</f>
        <v>3486.0735</v>
      </c>
      <c r="F126" s="26">
        <f>[1]节奏总纲!R123</f>
        <v>2791.971</v>
      </c>
      <c r="G126" s="26">
        <f>[1]节奏总纲!S123</f>
        <v>1988.5319999999999</v>
      </c>
      <c r="H126" s="26">
        <f>[1]节奏总纲!T123</f>
        <v>1067.9759999999999</v>
      </c>
      <c r="K126" s="26">
        <v>120</v>
      </c>
      <c r="L126" s="26">
        <f>[1]节奏总纲!AD123</f>
        <v>69.18336653741882</v>
      </c>
      <c r="M126" s="26">
        <f>[1]节奏总纲!AE123</f>
        <v>71.230067506391322</v>
      </c>
      <c r="N126" s="26">
        <f>[1]节奏总纲!AF123</f>
        <v>74.149428238300118</v>
      </c>
      <c r="O126" s="26">
        <f>[1]节奏总纲!AG123</f>
        <v>78.608065926757661</v>
      </c>
      <c r="P126" s="26">
        <f>[1]节奏总纲!AH123</f>
        <v>87.571414295961461</v>
      </c>
      <c r="S126" s="26">
        <v>120</v>
      </c>
      <c r="T126" s="26">
        <f>[2]各R部队能量汇总!E126</f>
        <v>39362859428</v>
      </c>
      <c r="U126" s="26">
        <f>[2]各R部队能量汇总!F126</f>
        <v>39792448643</v>
      </c>
      <c r="V126" s="26">
        <f>[2]各R部队能量汇总!G126</f>
        <v>41624476911</v>
      </c>
      <c r="W126" s="26">
        <f>[2]各R部队能量汇总!H126</f>
        <v>42868312254</v>
      </c>
      <c r="X126" s="26">
        <f>[2]各R部队能量汇总!I126</f>
        <v>44322399265</v>
      </c>
      <c r="AA126" s="27">
        <v>120</v>
      </c>
      <c r="AB126" s="28">
        <f>[2]各R部队能量汇总!K126</f>
        <v>1</v>
      </c>
      <c r="AC126" s="28">
        <f>[2]各R部队能量汇总!L126</f>
        <v>1.0109135672876046</v>
      </c>
      <c r="AD126" s="28">
        <f>[2]各R部队能量汇总!M126</f>
        <v>1.0574556197355733</v>
      </c>
      <c r="AE126" s="28">
        <f>[2]各R部队能量汇总!N126</f>
        <v>1.0890548318120015</v>
      </c>
      <c r="AF126" s="28">
        <f>[2]各R部队能量汇总!O126</f>
        <v>1.1259954157058043</v>
      </c>
      <c r="AI126" s="27">
        <v>120</v>
      </c>
      <c r="AJ126" s="28">
        <f>[1]服务器生态!W141</f>
        <v>167.868925875</v>
      </c>
      <c r="AK126" s="28">
        <f>[1]服务器生态!X141</f>
        <v>165.52029807572004</v>
      </c>
      <c r="AL126" s="28">
        <f>[1]服务器生态!Y141</f>
        <v>13.511470049280003</v>
      </c>
      <c r="AM126" s="28">
        <f>[1]服务器生态!Z141</f>
        <v>2.4037860000000011</v>
      </c>
      <c r="AN126" s="28">
        <f>[1]服务器生态!AA141</f>
        <v>0.69552000000000003</v>
      </c>
      <c r="AQ126" s="26">
        <v>120</v>
      </c>
      <c r="AR126" s="29">
        <f>[2]非r将兵属性验证!M126</f>
        <v>336.48439984160763</v>
      </c>
      <c r="AS126" s="29">
        <f>[2]小r将兵属性验证!M126</f>
        <v>336.85044654083299</v>
      </c>
      <c r="AT126" s="29">
        <f>[2]中r将兵属性验证!M126</f>
        <v>337.23349014447581</v>
      </c>
      <c r="AU126" s="29">
        <f>[2]大r将兵属性验证!M126</f>
        <v>337.63636725023645</v>
      </c>
      <c r="AV126" s="29">
        <f>[2]超r将兵属性验证!M126</f>
        <v>338.27734150984224</v>
      </c>
    </row>
    <row r="127" spans="2:48" x14ac:dyDescent="0.2">
      <c r="B127" s="26">
        <f>[1]节奏总纲!N124</f>
        <v>131</v>
      </c>
      <c r="C127" s="26">
        <v>121</v>
      </c>
      <c r="D127" s="26">
        <f>[1]节奏总纲!P124</f>
        <v>4388.9841025486576</v>
      </c>
      <c r="E127" s="26">
        <f>[1]节奏总纲!Q124</f>
        <v>3731.5142839868686</v>
      </c>
      <c r="F127" s="26">
        <f>[1]节奏总纲!R124</f>
        <v>2978.8035103997736</v>
      </c>
      <c r="G127" s="26">
        <f>[1]节奏总纲!S124</f>
        <v>2122.0738135822758</v>
      </c>
      <c r="H127" s="26">
        <f>[1]节奏总纲!T124</f>
        <v>1143.3303587139253</v>
      </c>
      <c r="K127" s="26">
        <v>121</v>
      </c>
      <c r="L127" s="26">
        <f>[1]节奏总纲!AD124</f>
        <v>69.300028460644711</v>
      </c>
      <c r="M127" s="26">
        <f>[1]节奏总纲!AE124</f>
        <v>71.347047554766846</v>
      </c>
      <c r="N127" s="26">
        <f>[1]节奏总纲!AF124</f>
        <v>74.264655600481987</v>
      </c>
      <c r="O127" s="26">
        <f>[1]节奏总纲!AG124</f>
        <v>78.733907805351805</v>
      </c>
      <c r="P127" s="26">
        <f>[1]节奏总纲!AH124</f>
        <v>87.705853024417735</v>
      </c>
      <c r="S127" s="26">
        <v>121</v>
      </c>
      <c r="T127" s="26">
        <f>[2]各R部队能量汇总!E127</f>
        <v>40735991095</v>
      </c>
      <c r="U127" s="26">
        <f>[2]各R部队能量汇总!F127</f>
        <v>41183835806</v>
      </c>
      <c r="V127" s="26">
        <f>[2]各R部队能量汇总!G127</f>
        <v>43016111758</v>
      </c>
      <c r="W127" s="26">
        <f>[2]各R部队能量汇总!H127</f>
        <v>44318759796</v>
      </c>
      <c r="X127" s="26">
        <f>[2]各R部队能量汇总!I127</f>
        <v>45802065848</v>
      </c>
      <c r="AA127" s="27">
        <v>121</v>
      </c>
      <c r="AB127" s="28">
        <f>[2]各R部队能量汇总!K127</f>
        <v>1</v>
      </c>
      <c r="AC127" s="28">
        <f>[2]各R部队能量汇总!L127</f>
        <v>1.0109938336827398</v>
      </c>
      <c r="AD127" s="28">
        <f>[2]各R部队能量汇总!M127</f>
        <v>1.0559731235624672</v>
      </c>
      <c r="AE127" s="28">
        <f>[2]各R部队能量汇总!N127</f>
        <v>1.0879509398125276</v>
      </c>
      <c r="AF127" s="28">
        <f>[2]各R部队能量汇总!O127</f>
        <v>1.1243636061581381</v>
      </c>
      <c r="AI127" s="27">
        <v>121</v>
      </c>
      <c r="AJ127" s="28">
        <f>[1]服务器生态!W142</f>
        <v>167.06955003749997</v>
      </c>
      <c r="AK127" s="28">
        <f>[1]服务器生态!X142</f>
        <v>164.73210618012132</v>
      </c>
      <c r="AL127" s="28">
        <f>[1]服务器生态!Y142</f>
        <v>13.447129715712</v>
      </c>
      <c r="AM127" s="28">
        <f>[1]服务器生态!Z142</f>
        <v>2.3923394000000004</v>
      </c>
      <c r="AN127" s="28">
        <f>[1]服务器生态!AA142</f>
        <v>0.69220799999999982</v>
      </c>
      <c r="AQ127" s="26">
        <v>121</v>
      </c>
      <c r="AR127" s="29">
        <f>[2]非r将兵属性验证!M127</f>
        <v>336.84037785195028</v>
      </c>
      <c r="AS127" s="29">
        <f>[2]小r将兵属性验证!M127</f>
        <v>337.20837506833732</v>
      </c>
      <c r="AT127" s="29">
        <f>[2]中r将兵属性验证!M127</f>
        <v>337.59358582870453</v>
      </c>
      <c r="AU127" s="29">
        <f>[2]大r将兵属性验证!M127</f>
        <v>337.99778862566416</v>
      </c>
      <c r="AV127" s="29">
        <f>[2]超r将兵属性验证!M127</f>
        <v>338.6410625892305</v>
      </c>
    </row>
    <row r="128" spans="2:48" x14ac:dyDescent="0.2">
      <c r="B128" s="26">
        <f>[1]节奏总纲!N125</f>
        <v>132</v>
      </c>
      <c r="C128" s="26">
        <v>122</v>
      </c>
      <c r="D128" s="26">
        <f>[1]节奏总纲!P125</f>
        <v>4704.0684620678521</v>
      </c>
      <c r="E128" s="26">
        <f>[1]节奏总纲!Q125</f>
        <v>3989.5204626797454</v>
      </c>
      <c r="F128" s="26">
        <f>[1]节奏总纲!R125</f>
        <v>3183.7135351275219</v>
      </c>
      <c r="G128" s="26">
        <f>[1]节奏总纲!S125</f>
        <v>2271.1242534863591</v>
      </c>
      <c r="H128" s="26">
        <f>[1]节奏总纲!T125</f>
        <v>1223.9986138300551</v>
      </c>
      <c r="K128" s="26">
        <v>122</v>
      </c>
      <c r="L128" s="26">
        <f>[1]节奏总纲!AD125</f>
        <v>69.416690383870588</v>
      </c>
      <c r="M128" s="26">
        <f>[1]节奏总纲!AE125</f>
        <v>71.46402760314237</v>
      </c>
      <c r="N128" s="26">
        <f>[1]节奏总纲!AF125</f>
        <v>74.379882962663856</v>
      </c>
      <c r="O128" s="26">
        <f>[1]节奏总纲!AG125</f>
        <v>78.859749683945964</v>
      </c>
      <c r="P128" s="26">
        <f>[1]节奏总纲!AH125</f>
        <v>87.840291752874009</v>
      </c>
      <c r="S128" s="26">
        <v>122</v>
      </c>
      <c r="T128" s="26">
        <f>[2]各R部队能量汇总!E128</f>
        <v>42158777186</v>
      </c>
      <c r="U128" s="26">
        <f>[2]各R部队能量汇总!F128</f>
        <v>42585161242</v>
      </c>
      <c r="V128" s="26">
        <f>[2]各R部队能量汇总!G128</f>
        <v>44491227659</v>
      </c>
      <c r="W128" s="26">
        <f>[2]各R部队能量汇总!H128</f>
        <v>45808086368</v>
      </c>
      <c r="X128" s="26">
        <f>[2]各R部队能量汇总!I128</f>
        <v>47368003408</v>
      </c>
      <c r="AA128" s="27">
        <v>122</v>
      </c>
      <c r="AB128" s="28">
        <f>[2]各R部队能量汇总!K128</f>
        <v>1</v>
      </c>
      <c r="AC128" s="28">
        <f>[2]各R部队能量汇总!L128</f>
        <v>1.0101137671550302</v>
      </c>
      <c r="AD128" s="28">
        <f>[2]各R部队能量汇总!M128</f>
        <v>1.0553253824870081</v>
      </c>
      <c r="AE128" s="28">
        <f>[2]各R部队能量汇总!N128</f>
        <v>1.0865610775639825</v>
      </c>
      <c r="AF128" s="28">
        <f>[2]各R部队能量汇总!O128</f>
        <v>1.1235620805370481</v>
      </c>
      <c r="AI128" s="27">
        <v>122</v>
      </c>
      <c r="AJ128" s="28">
        <f>[1]服务器生态!W143</f>
        <v>166.27017420000001</v>
      </c>
      <c r="AK128" s="28">
        <f>[1]服务器生态!X143</f>
        <v>163.94391428452269</v>
      </c>
      <c r="AL128" s="28">
        <f>[1]服务器生态!Y143</f>
        <v>13.382789382144004</v>
      </c>
      <c r="AM128" s="28">
        <f>[1]服务器生态!Z143</f>
        <v>2.3808928000000011</v>
      </c>
      <c r="AN128" s="28">
        <f>[1]服务器生态!AA143</f>
        <v>0.68889600000000006</v>
      </c>
      <c r="AQ128" s="26">
        <v>122</v>
      </c>
      <c r="AR128" s="29">
        <f>[2]非r将兵属性验证!M128</f>
        <v>337.19635586229293</v>
      </c>
      <c r="AS128" s="29">
        <f>[2]小r将兵属性验证!M128</f>
        <v>337.56630359584159</v>
      </c>
      <c r="AT128" s="29">
        <f>[2]中r将兵属性验证!M128</f>
        <v>337.95368151293331</v>
      </c>
      <c r="AU128" s="29">
        <f>[2]大r将兵属性验证!M128</f>
        <v>338.35921000109187</v>
      </c>
      <c r="AV128" s="29">
        <f>[2]超r将兵属性验证!M128</f>
        <v>339.00478366861881</v>
      </c>
    </row>
    <row r="129" spans="2:48" x14ac:dyDescent="0.2">
      <c r="B129" s="26">
        <f>[1]节奏总纲!N126</f>
        <v>133</v>
      </c>
      <c r="C129" s="26">
        <v>123</v>
      </c>
      <c r="D129" s="26">
        <f>[1]节奏总纲!P126</f>
        <v>5041.7675170607781</v>
      </c>
      <c r="E129" s="26">
        <f>[1]节奏总纲!Q126</f>
        <v>4275.9230312192458</v>
      </c>
      <c r="F129" s="26">
        <f>[1]节奏总纲!R126</f>
        <v>3419.8309068223257</v>
      </c>
      <c r="G129" s="26">
        <f>[1]节奏总纲!S126</f>
        <v>2442.7363620159467</v>
      </c>
      <c r="H129" s="26">
        <f>[1]节奏总纲!T126</f>
        <v>1316.4054987045693</v>
      </c>
      <c r="K129" s="26">
        <v>123</v>
      </c>
      <c r="L129" s="26">
        <f>[1]节奏总纲!AD126</f>
        <v>69.533352307096465</v>
      </c>
      <c r="M129" s="26">
        <f>[1]节奏总纲!AE126</f>
        <v>71.581007651517908</v>
      </c>
      <c r="N129" s="26">
        <f>[1]节奏总纲!AF126</f>
        <v>74.495110324845726</v>
      </c>
      <c r="O129" s="26">
        <f>[1]节奏总纲!AG126</f>
        <v>78.985591562540122</v>
      </c>
      <c r="P129" s="26">
        <f>[1]节奏总纲!AH126</f>
        <v>87.974730481330297</v>
      </c>
      <c r="S129" s="26">
        <v>123</v>
      </c>
      <c r="T129" s="26">
        <f>[2]各R部队能量汇总!E129</f>
        <v>43610509402</v>
      </c>
      <c r="U129" s="26">
        <f>[2]各R部队能量汇总!F129</f>
        <v>44068799499</v>
      </c>
      <c r="V129" s="26">
        <f>[2]各R部队能量汇总!G129</f>
        <v>46009400984</v>
      </c>
      <c r="W129" s="26">
        <f>[2]各R部队能量汇总!H129</f>
        <v>47407015663</v>
      </c>
      <c r="X129" s="26">
        <f>[2]各R部队能量汇总!I129</f>
        <v>48978185600</v>
      </c>
      <c r="AA129" s="27">
        <v>123</v>
      </c>
      <c r="AB129" s="28">
        <f>[2]各R部队能量汇总!K129</f>
        <v>1</v>
      </c>
      <c r="AC129" s="28">
        <f>[2]各R部队能量汇总!L129</f>
        <v>1.0105087077239914</v>
      </c>
      <c r="AD129" s="28">
        <f>[2]各R部队能量汇总!M129</f>
        <v>1.0550071901221587</v>
      </c>
      <c r="AE129" s="28">
        <f>[2]各R部队能量汇总!N129</f>
        <v>1.0870548478579773</v>
      </c>
      <c r="AF129" s="28">
        <f>[2]各R部队能量汇总!O129</f>
        <v>1.123082171513315</v>
      </c>
      <c r="AI129" s="27">
        <v>123</v>
      </c>
      <c r="AJ129" s="28">
        <f>[1]服务器生态!W144</f>
        <v>165.47079836250001</v>
      </c>
      <c r="AK129" s="28">
        <f>[1]服务器生态!X144</f>
        <v>163.15572238892403</v>
      </c>
      <c r="AL129" s="28">
        <f>[1]服务器生态!Y144</f>
        <v>13.318449048576003</v>
      </c>
      <c r="AM129" s="28">
        <f>[1]服务器生态!Z144</f>
        <v>2.3694462000000009</v>
      </c>
      <c r="AN129" s="28">
        <f>[1]服务器生态!AA144</f>
        <v>0.68558399999999997</v>
      </c>
      <c r="AQ129" s="26">
        <v>123</v>
      </c>
      <c r="AR129" s="29">
        <f>[2]非r将兵属性验证!M129</f>
        <v>337.55233387263559</v>
      </c>
      <c r="AS129" s="29">
        <f>[2]小r将兵属性验证!M129</f>
        <v>337.92423212334592</v>
      </c>
      <c r="AT129" s="29">
        <f>[2]中r将兵属性验证!M129</f>
        <v>338.3137771971621</v>
      </c>
      <c r="AU129" s="29">
        <f>[2]大r将兵属性验证!M129</f>
        <v>338.72063137651958</v>
      </c>
      <c r="AV129" s="29">
        <f>[2]超r将兵属性验证!M129</f>
        <v>339.36850474800713</v>
      </c>
    </row>
    <row r="130" spans="2:48" x14ac:dyDescent="0.2">
      <c r="B130" s="26">
        <f>[1]节奏总纲!N127</f>
        <v>134</v>
      </c>
      <c r="C130" s="26">
        <v>124</v>
      </c>
      <c r="D130" s="26">
        <f>[1]节奏总纲!P127</f>
        <v>5403.704402525771</v>
      </c>
      <c r="E130" s="26">
        <f>[1]节奏总纲!Q127</f>
        <v>4591.5276308261473</v>
      </c>
      <c r="F130" s="26">
        <f>[1]节奏总纲!R127</f>
        <v>3671.276771076009</v>
      </c>
      <c r="G130" s="26">
        <f>[1]节奏总纲!S127</f>
        <v>2624.0388578665143</v>
      </c>
      <c r="H130" s="26">
        <f>[1]节奏总纲!T127</f>
        <v>1415.7705534617521</v>
      </c>
      <c r="K130" s="26">
        <v>124</v>
      </c>
      <c r="L130" s="26">
        <f>[1]节奏总纲!AD127</f>
        <v>69.650014230322356</v>
      </c>
      <c r="M130" s="26">
        <f>[1]节奏总纲!AE127</f>
        <v>71.697987699893432</v>
      </c>
      <c r="N130" s="26">
        <f>[1]节奏总纲!AF127</f>
        <v>74.610337687027609</v>
      </c>
      <c r="O130" s="26">
        <f>[1]节奏总纲!AG127</f>
        <v>79.104601412347151</v>
      </c>
      <c r="P130" s="26">
        <f>[1]节奏总纲!AH127</f>
        <v>88.109271506528316</v>
      </c>
      <c r="S130" s="26">
        <v>124</v>
      </c>
      <c r="T130" s="26">
        <f>[2]各R部队能量汇总!E130</f>
        <v>45121112233</v>
      </c>
      <c r="U130" s="26">
        <f>[2]各R部队能量汇总!F130</f>
        <v>45587104155</v>
      </c>
      <c r="V130" s="26">
        <f>[2]各R部队能量汇总!G130</f>
        <v>47605697934</v>
      </c>
      <c r="W130" s="26">
        <f>[2]各R部队能量汇总!H130</f>
        <v>49013017732</v>
      </c>
      <c r="X130" s="26">
        <f>[2]各R部队能量汇总!I130</f>
        <v>50677728857</v>
      </c>
      <c r="AA130" s="27">
        <v>124</v>
      </c>
      <c r="AB130" s="28">
        <f>[2]各R部队能量汇总!K130</f>
        <v>1</v>
      </c>
      <c r="AC130" s="28">
        <f>[2]各R部队能量汇总!L130</f>
        <v>1.0103275805701259</v>
      </c>
      <c r="AD130" s="28">
        <f>[2]各R部队能量汇总!M130</f>
        <v>1.0550648150730393</v>
      </c>
      <c r="AE130" s="28">
        <f>[2]各R部队能量汇总!N130</f>
        <v>1.0862546445863894</v>
      </c>
      <c r="AF130" s="28">
        <f>[2]各R部队能量汇总!O130</f>
        <v>1.1231489284950757</v>
      </c>
      <c r="AI130" s="27">
        <v>124</v>
      </c>
      <c r="AJ130" s="28">
        <f>[1]服务器生态!W145</f>
        <v>164.67142252499997</v>
      </c>
      <c r="AK130" s="28">
        <f>[1]服务器生态!X145</f>
        <v>162.36753049332532</v>
      </c>
      <c r="AL130" s="28">
        <f>[1]服务器生态!Y145</f>
        <v>13.254108715008</v>
      </c>
      <c r="AM130" s="28">
        <f>[1]服务器生态!Z145</f>
        <v>2.3579996000000008</v>
      </c>
      <c r="AN130" s="28">
        <f>[1]服务器生态!AA145</f>
        <v>0.68227199999999988</v>
      </c>
      <c r="AQ130" s="26">
        <v>124</v>
      </c>
      <c r="AR130" s="29">
        <f>[2]非r将兵属性验证!M130</f>
        <v>337.90831188297824</v>
      </c>
      <c r="AS130" s="29">
        <f>[2]小r将兵属性验证!M130</f>
        <v>338.28216065085024</v>
      </c>
      <c r="AT130" s="29">
        <f>[2]中r将兵属性验证!M130</f>
        <v>338.67387288139082</v>
      </c>
      <c r="AU130" s="29">
        <f>[2]大r将兵属性验证!M130</f>
        <v>339.08205275194729</v>
      </c>
      <c r="AV130" s="29">
        <f>[2]超r将兵属性验证!M130</f>
        <v>339.73222582739544</v>
      </c>
    </row>
    <row r="131" spans="2:48" x14ac:dyDescent="0.2">
      <c r="B131" s="26">
        <f>[1]节奏总纲!N128</f>
        <v>135</v>
      </c>
      <c r="C131" s="26">
        <v>125</v>
      </c>
      <c r="D131" s="26">
        <f>[1]节奏总纲!P128</f>
        <v>5791.6187514801986</v>
      </c>
      <c r="E131" s="26">
        <f>[1]节奏总纲!Q128</f>
        <v>4918.821805632133</v>
      </c>
      <c r="F131" s="26">
        <f>[1]节奏总纲!R128</f>
        <v>3940.0382366319791</v>
      </c>
      <c r="G131" s="26">
        <f>[1]节奏总纲!S128</f>
        <v>2816.4641988448207</v>
      </c>
      <c r="H131" s="26">
        <f>[1]节奏总纲!T128</f>
        <v>1509.8750085108877</v>
      </c>
      <c r="K131" s="26">
        <v>125</v>
      </c>
      <c r="L131" s="26">
        <f>[1]节奏总纲!AD128</f>
        <v>69.766676153548232</v>
      </c>
      <c r="M131" s="26">
        <f>[1]节奏总纲!AE128</f>
        <v>71.814967748268955</v>
      </c>
      <c r="N131" s="26">
        <f>[1]节奏总纲!AF128</f>
        <v>74.725565049209479</v>
      </c>
      <c r="O131" s="26">
        <f>[1]节奏总纲!AG128</f>
        <v>79.222727875098187</v>
      </c>
      <c r="P131" s="26">
        <f>[1]节奏总纲!AH128</f>
        <v>88.243836210467165</v>
      </c>
      <c r="S131" s="26">
        <v>125</v>
      </c>
      <c r="T131" s="26">
        <f>[2]各R部队能量汇总!E131</f>
        <v>46655108551</v>
      </c>
      <c r="U131" s="26">
        <f>[2]各R部队能量汇总!F131</f>
        <v>47158659423</v>
      </c>
      <c r="V131" s="26">
        <f>[2]各R部队能量汇总!G131</f>
        <v>49212533839</v>
      </c>
      <c r="W131" s="26">
        <f>[2]各R部队能量汇总!H131</f>
        <v>50690288956</v>
      </c>
      <c r="X131" s="26">
        <f>[2]各R部队能量汇总!I131</f>
        <v>52311627407</v>
      </c>
      <c r="AA131" s="27">
        <v>125</v>
      </c>
      <c r="AB131" s="28">
        <f>[2]各R部队能量汇总!K131</f>
        <v>1</v>
      </c>
      <c r="AC131" s="28">
        <f>[2]各R部队能量汇总!L131</f>
        <v>1.0107930489851835</v>
      </c>
      <c r="AD131" s="28">
        <f>[2]各R部队能量汇总!M131</f>
        <v>1.0548155468378004</v>
      </c>
      <c r="AE131" s="28">
        <f>[2]各R部队能量汇总!N131</f>
        <v>1.0864895727461235</v>
      </c>
      <c r="AF131" s="28">
        <f>[2]各R部队能量汇总!O131</f>
        <v>1.1212411466113448</v>
      </c>
      <c r="AI131" s="27">
        <v>125</v>
      </c>
      <c r="AJ131" s="28">
        <f>[1]服务器生态!W146</f>
        <v>163.87204668750002</v>
      </c>
      <c r="AK131" s="28">
        <f>[1]服务器生态!X146</f>
        <v>161.57933859772669</v>
      </c>
      <c r="AL131" s="28">
        <f>[1]服务器生态!Y146</f>
        <v>13.189768381440004</v>
      </c>
      <c r="AM131" s="28">
        <f>[1]服务器生态!Z146</f>
        <v>2.346553000000001</v>
      </c>
      <c r="AN131" s="28">
        <f>[1]服务器生态!AA146</f>
        <v>0.67896000000000001</v>
      </c>
      <c r="AQ131" s="26">
        <v>125</v>
      </c>
      <c r="AR131" s="29">
        <f>[2]非r将兵属性验证!M131</f>
        <v>338.26428989332089</v>
      </c>
      <c r="AS131" s="29">
        <f>[2]小r将兵属性验证!M131</f>
        <v>338.64008917835451</v>
      </c>
      <c r="AT131" s="29">
        <f>[2]中r将兵属性验证!M131</f>
        <v>339.0339685656196</v>
      </c>
      <c r="AU131" s="29">
        <f>[2]大r将兵属性验证!M131</f>
        <v>339.443474127375</v>
      </c>
      <c r="AV131" s="29">
        <f>[2]超r将兵属性验证!M131</f>
        <v>340.09226704008313</v>
      </c>
    </row>
    <row r="132" spans="2:48" x14ac:dyDescent="0.2">
      <c r="B132" s="26">
        <f>[1]节奏总纲!N129</f>
        <v>136</v>
      </c>
      <c r="C132" s="26">
        <v>126</v>
      </c>
      <c r="D132" s="26">
        <f>[1]节奏总纲!P129</f>
        <v>6207.3750564265865</v>
      </c>
      <c r="E132" s="26">
        <f>[1]节奏总纲!Q129</f>
        <v>5279.3724854908123</v>
      </c>
      <c r="F132" s="26">
        <f>[1]节奏总纲!R129</f>
        <v>4225.9809384152195</v>
      </c>
      <c r="G132" s="26">
        <f>[1]节奏总纲!S129</f>
        <v>3006.8524773330387</v>
      </c>
      <c r="H132" s="26">
        <f>[1]节奏总纲!T129</f>
        <v>1610.1930896370566</v>
      </c>
      <c r="K132" s="26">
        <v>126</v>
      </c>
      <c r="L132" s="26">
        <f>[1]节奏总纲!AD129</f>
        <v>69.883338076774123</v>
      </c>
      <c r="M132" s="26">
        <f>[1]节奏总纲!AE129</f>
        <v>71.931947796644479</v>
      </c>
      <c r="N132" s="26">
        <f>[1]节奏总纲!AF129</f>
        <v>74.840792411391348</v>
      </c>
      <c r="O132" s="26">
        <f>[1]节奏总纲!AG129</f>
        <v>79.340854337849223</v>
      </c>
      <c r="P132" s="26">
        <f>[1]节奏总纲!AH129</f>
        <v>88.378400914406001</v>
      </c>
      <c r="S132" s="26">
        <v>126</v>
      </c>
      <c r="T132" s="26">
        <f>[2]各R部队能量汇总!E132</f>
        <v>48257932214</v>
      </c>
      <c r="U132" s="26">
        <f>[2]各R部队能量汇总!F132</f>
        <v>48758438418</v>
      </c>
      <c r="V132" s="26">
        <f>[2]各R部队能量汇总!G132</f>
        <v>50891674681</v>
      </c>
      <c r="W132" s="26">
        <f>[2]各R部队能量汇总!H132</f>
        <v>52331305230</v>
      </c>
      <c r="X132" s="26">
        <f>[2]各R部队能量汇总!I132</f>
        <v>54009528845</v>
      </c>
      <c r="AA132" s="27">
        <v>126</v>
      </c>
      <c r="AB132" s="28">
        <f>[2]各R部队能量汇总!K132</f>
        <v>1</v>
      </c>
      <c r="AC132" s="28">
        <f>[2]各R部队能量汇总!L132</f>
        <v>1.0103714805222177</v>
      </c>
      <c r="AD132" s="28">
        <f>[2]各R部队能量汇总!M132</f>
        <v>1.0545763638466865</v>
      </c>
      <c r="AE132" s="28">
        <f>[2]各R部队能量汇总!N132</f>
        <v>1.0844083620892957</v>
      </c>
      <c r="AF132" s="28">
        <f>[2]各R部队能量汇总!O132</f>
        <v>1.1191844815375538</v>
      </c>
      <c r="AI132" s="27">
        <v>126</v>
      </c>
      <c r="AJ132" s="28">
        <f>[1]服务器生态!W147</f>
        <v>163.07267084999998</v>
      </c>
      <c r="AK132" s="28">
        <f>[1]服务器生态!X147</f>
        <v>160.791146702128</v>
      </c>
      <c r="AL132" s="28">
        <f>[1]服务器生态!Y147</f>
        <v>13.125428047872001</v>
      </c>
      <c r="AM132" s="28">
        <f>[1]服务器生态!Z147</f>
        <v>2.3351064000000008</v>
      </c>
      <c r="AN132" s="28">
        <f>[1]服务器生态!AA147</f>
        <v>0.67564799999999992</v>
      </c>
      <c r="AQ132" s="26">
        <v>126</v>
      </c>
      <c r="AR132" s="29">
        <f>[2]非r将兵属性验证!M132</f>
        <v>338.6202679036636</v>
      </c>
      <c r="AS132" s="29">
        <f>[2]小r将兵属性验证!M132</f>
        <v>338.99801770585884</v>
      </c>
      <c r="AT132" s="29">
        <f>[2]中r将兵属性验证!M132</f>
        <v>339.39406424984833</v>
      </c>
      <c r="AU132" s="29">
        <f>[2]大r将兵属性验证!M132</f>
        <v>339.80189059698023</v>
      </c>
      <c r="AV132" s="29">
        <f>[2]超r将兵属性验证!M132</f>
        <v>340.45181737147516</v>
      </c>
    </row>
    <row r="133" spans="2:48" x14ac:dyDescent="0.2">
      <c r="B133" s="26">
        <f>[1]节奏总纲!N130</f>
        <v>137</v>
      </c>
      <c r="C133" s="26">
        <v>127</v>
      </c>
      <c r="D133" s="26">
        <f>[1]节奏总纲!P130</f>
        <v>6652.971630950271</v>
      </c>
      <c r="E133" s="26">
        <f>[1]节奏总纲!Q130</f>
        <v>5658.3523721232059</v>
      </c>
      <c r="F133" s="26">
        <f>[1]节奏总纲!R130</f>
        <v>4508.7188742949984</v>
      </c>
      <c r="G133" s="26">
        <f>[1]节奏总纲!S130</f>
        <v>3203.4058403025556</v>
      </c>
      <c r="H133" s="26">
        <f>[1]节奏总纲!T130</f>
        <v>1719.793166600645</v>
      </c>
      <c r="K133" s="26">
        <v>127</v>
      </c>
      <c r="L133" s="26">
        <f>[1]节奏总纲!AD130</f>
        <v>70</v>
      </c>
      <c r="M133" s="26">
        <f>[1]节奏总纲!AE130</f>
        <v>72.047345051940553</v>
      </c>
      <c r="N133" s="26">
        <f>[1]节奏总纲!AF130</f>
        <v>74.956019773573217</v>
      </c>
      <c r="O133" s="26">
        <f>[1]节奏总纲!AG130</f>
        <v>79.458980800600258</v>
      </c>
      <c r="P133" s="26">
        <f>[1]节奏总纲!AH130</f>
        <v>88.51296561834485</v>
      </c>
      <c r="S133" s="26">
        <v>127</v>
      </c>
      <c r="T133" s="26">
        <f>[2]各R部队能量汇总!E133</f>
        <v>49877999523</v>
      </c>
      <c r="U133" s="26">
        <f>[2]各R部队能量汇总!F133</f>
        <v>50418728619</v>
      </c>
      <c r="V133" s="26">
        <f>[2]各R部队能量汇总!G133</f>
        <v>52541184527</v>
      </c>
      <c r="W133" s="26">
        <f>[2]各R部队能量汇总!H133</f>
        <v>54017041530</v>
      </c>
      <c r="X133" s="26">
        <f>[2]各R部队能量汇总!I133</f>
        <v>55744406520</v>
      </c>
      <c r="AA133" s="27">
        <v>127</v>
      </c>
      <c r="AB133" s="28">
        <f>[2]各R部队能量汇总!K133</f>
        <v>1</v>
      </c>
      <c r="AC133" s="28">
        <f>[2]各R部队能量汇总!L133</f>
        <v>1.0108410341467415</v>
      </c>
      <c r="AD133" s="28">
        <f>[2]各R部队能量汇总!M133</f>
        <v>1.0533939819052274</v>
      </c>
      <c r="AE133" s="28">
        <f>[2]各R部队能量汇总!N133</f>
        <v>1.0829833202330295</v>
      </c>
      <c r="AF133" s="28">
        <f>[2]各R部队能量汇总!O133</f>
        <v>1.1176151219596298</v>
      </c>
      <c r="AI133" s="27">
        <v>127</v>
      </c>
      <c r="AJ133" s="28">
        <f>[1]服务器生态!W148</f>
        <v>162.27329501249997</v>
      </c>
      <c r="AK133" s="28">
        <f>[1]服务器生态!X148</f>
        <v>160.00295480652932</v>
      </c>
      <c r="AL133" s="28">
        <f>[1]服务器生态!Y148</f>
        <v>13.061087714304</v>
      </c>
      <c r="AM133" s="28">
        <f>[1]服务器生态!Z148</f>
        <v>2.3236598000000006</v>
      </c>
      <c r="AN133" s="28">
        <f>[1]服务器生态!AA148</f>
        <v>0.67233599999999982</v>
      </c>
      <c r="AQ133" s="26">
        <v>127</v>
      </c>
      <c r="AR133" s="29">
        <f>[2]非r将兵属性验证!M133</f>
        <v>338.97624591400626</v>
      </c>
      <c r="AS133" s="29">
        <f>[2]小r将兵属性验证!M133</f>
        <v>339.35594623336317</v>
      </c>
      <c r="AT133" s="29">
        <f>[2]中r将兵属性验证!M133</f>
        <v>339.75230607143681</v>
      </c>
      <c r="AU133" s="29">
        <f>[2]大r将兵属性验证!M133</f>
        <v>340.15964601263005</v>
      </c>
      <c r="AV133" s="29">
        <f>[2]超r将兵属性验证!M133</f>
        <v>340.81136770286724</v>
      </c>
    </row>
    <row r="134" spans="2:48" x14ac:dyDescent="0.2">
      <c r="B134" s="26">
        <f>[1]节奏总纲!N131</f>
        <v>138</v>
      </c>
      <c r="C134" s="26">
        <v>128</v>
      </c>
      <c r="D134" s="26">
        <f>[1]节奏总纲!P131</f>
        <v>7130.5502145218443</v>
      </c>
      <c r="E134" s="26">
        <f>[1]节奏总纲!Q131</f>
        <v>6036.010756592741</v>
      </c>
      <c r="F134" s="26">
        <f>[1]节奏总纲!R131</f>
        <v>4805.9908445877236</v>
      </c>
      <c r="G134" s="26">
        <f>[1]节奏总纲!S131</f>
        <v>3419.0988278632244</v>
      </c>
      <c r="H134" s="26">
        <f>[1]节奏总纲!T131</f>
        <v>1838.9689003251838</v>
      </c>
      <c r="K134" s="26">
        <v>128</v>
      </c>
      <c r="L134" s="26">
        <f>[1]节奏总纲!AD131</f>
        <v>70.108849423225877</v>
      </c>
      <c r="M134" s="26">
        <f>[1]节奏总纲!AE131</f>
        <v>72.160540850040434</v>
      </c>
      <c r="N134" s="26">
        <f>[1]节奏总纲!AF131</f>
        <v>75.067682921736733</v>
      </c>
      <c r="O134" s="26">
        <f>[1]节奏总纲!AG131</f>
        <v>79.577107263351294</v>
      </c>
      <c r="P134" s="26">
        <f>[1]节奏总纲!AH131</f>
        <v>88.6475303222837</v>
      </c>
      <c r="S134" s="26">
        <v>128</v>
      </c>
      <c r="T134" s="26">
        <f>[2]各R部队能量汇总!E134</f>
        <v>51577202190</v>
      </c>
      <c r="U134" s="26">
        <f>[2]各R部队能量汇总!F134</f>
        <v>52065959665</v>
      </c>
      <c r="V134" s="26">
        <f>[2]各R部队能量汇总!G134</f>
        <v>54240093677</v>
      </c>
      <c r="W134" s="26">
        <f>[2]各R部队能量汇总!H134</f>
        <v>55764883280</v>
      </c>
      <c r="X134" s="26">
        <f>[2]各R部队能量汇总!I134</f>
        <v>57541554403</v>
      </c>
      <c r="AA134" s="27">
        <v>128</v>
      </c>
      <c r="AB134" s="28">
        <f>[2]各R部队能量汇总!K134</f>
        <v>1</v>
      </c>
      <c r="AC134" s="28">
        <f>[2]各R部队能量汇总!L134</f>
        <v>1.0094762308587333</v>
      </c>
      <c r="AD134" s="28">
        <f>[2]各R部队能量汇总!M134</f>
        <v>1.0516292348931693</v>
      </c>
      <c r="AE134" s="28">
        <f>[2]各R部队能量汇总!N134</f>
        <v>1.0811924825734718</v>
      </c>
      <c r="AF134" s="28">
        <f>[2]各R部队能量汇总!O134</f>
        <v>1.1156393127147248</v>
      </c>
      <c r="AI134" s="27">
        <v>128</v>
      </c>
      <c r="AJ134" s="28">
        <f>[1]服务器生态!W149</f>
        <v>161.47391917499999</v>
      </c>
      <c r="AK134" s="28">
        <f>[1]服务器生态!X149</f>
        <v>159.21476291093066</v>
      </c>
      <c r="AL134" s="28">
        <f>[1]服务器生态!Y149</f>
        <v>12.996747380736002</v>
      </c>
      <c r="AM134" s="28">
        <f>[1]服务器生态!Z149</f>
        <v>2.3122132000000009</v>
      </c>
      <c r="AN134" s="28">
        <f>[1]服务器生态!AA149</f>
        <v>0.66902399999999995</v>
      </c>
      <c r="AQ134" s="26">
        <v>128</v>
      </c>
      <c r="AR134" s="29">
        <f>[2]非r将兵属性验证!M134</f>
        <v>339.33222392434885</v>
      </c>
      <c r="AS134" s="29">
        <f>[2]小r将兵属性验证!M134</f>
        <v>339.71335273256352</v>
      </c>
      <c r="AT134" s="29">
        <f>[2]中r将兵属性验证!M134</f>
        <v>340.11013655446624</v>
      </c>
      <c r="AU134" s="29">
        <f>[2]大r将兵属性验证!M134</f>
        <v>340.51740142827987</v>
      </c>
      <c r="AV134" s="29">
        <f>[2]超r将兵属性验证!M134</f>
        <v>341.17091803425933</v>
      </c>
    </row>
    <row r="135" spans="2:48" x14ac:dyDescent="0.2">
      <c r="B135" s="26">
        <f>[1]节奏总纲!N132</f>
        <v>139</v>
      </c>
      <c r="C135" s="26">
        <v>129</v>
      </c>
      <c r="D135" s="26">
        <f>[1]节奏总纲!P132</f>
        <v>7642.4062666695281</v>
      </c>
      <c r="E135" s="26">
        <f>[1]节奏总纲!Q132</f>
        <v>6469.2969047357556</v>
      </c>
      <c r="F135" s="26">
        <f>[1]节奏总纲!R132</f>
        <v>5159.388470628599</v>
      </c>
      <c r="G135" s="26">
        <f>[1]节奏总纲!S132</f>
        <v>3676.7616548947103</v>
      </c>
      <c r="H135" s="26">
        <f>[1]节奏总纲!T132</f>
        <v>1975.5620199340731</v>
      </c>
      <c r="K135" s="26">
        <v>129</v>
      </c>
      <c r="L135" s="26">
        <f>[1]节奏总纲!AD132</f>
        <v>70.217698846451768</v>
      </c>
      <c r="M135" s="26">
        <f>[1]节奏总纲!AE132</f>
        <v>72.273736648140314</v>
      </c>
      <c r="N135" s="26">
        <f>[1]节奏总纲!AF132</f>
        <v>75.177145912126889</v>
      </c>
      <c r="O135" s="26">
        <f>[1]节奏总纲!AG132</f>
        <v>79.69523372610233</v>
      </c>
      <c r="P135" s="26">
        <f>[1]节奏总纲!AH132</f>
        <v>88.782095026222549</v>
      </c>
      <c r="S135" s="26">
        <v>129</v>
      </c>
      <c r="T135" s="26">
        <f>[2]各R部队能量汇总!E135</f>
        <v>53289244171</v>
      </c>
      <c r="U135" s="26">
        <f>[2]各R部队能量汇总!F135</f>
        <v>53815339945</v>
      </c>
      <c r="V135" s="26">
        <f>[2]各R部队能量汇总!G135</f>
        <v>56045961848</v>
      </c>
      <c r="W135" s="26">
        <f>[2]各R部队能量汇总!H135</f>
        <v>57620192298</v>
      </c>
      <c r="X135" s="26">
        <f>[2]各R部队能量汇总!I135</f>
        <v>59458528554</v>
      </c>
      <c r="AA135" s="27">
        <v>129</v>
      </c>
      <c r="AB135" s="28">
        <f>[2]各R部队能量汇总!K135</f>
        <v>1</v>
      </c>
      <c r="AC135" s="28">
        <f>[2]各R部队能量汇总!L135</f>
        <v>1.0098724570442734</v>
      </c>
      <c r="AD135" s="28">
        <f>[2]各R部队能量汇总!M135</f>
        <v>1.0517312211851599</v>
      </c>
      <c r="AE135" s="28">
        <f>[2]各R部队能量汇总!N135</f>
        <v>1.0812724630340489</v>
      </c>
      <c r="AF135" s="28">
        <f>[2]各R部队能量汇总!O135</f>
        <v>1.1157697857977376</v>
      </c>
      <c r="AI135" s="27">
        <v>129</v>
      </c>
      <c r="AJ135" s="28">
        <f>[1]服务器生态!W150</f>
        <v>160.67454333749998</v>
      </c>
      <c r="AK135" s="28">
        <f>[1]服务器生态!X150</f>
        <v>158.426571015332</v>
      </c>
      <c r="AL135" s="28">
        <f>[1]服务器生态!Y150</f>
        <v>12.932407047168001</v>
      </c>
      <c r="AM135" s="28">
        <f>[1]服务器生态!Z150</f>
        <v>2.3007666000000007</v>
      </c>
      <c r="AN135" s="28">
        <f>[1]服务器生态!AA150</f>
        <v>0.66571199999999986</v>
      </c>
      <c r="AQ135" s="26">
        <v>129</v>
      </c>
      <c r="AR135" s="29">
        <f>[2]非r将兵属性验证!M135</f>
        <v>339.68886360275656</v>
      </c>
      <c r="AS135" s="29">
        <f>[2]小r将兵属性验证!M135</f>
        <v>340.07068166392509</v>
      </c>
      <c r="AT135" s="29">
        <f>[2]中r将兵属性验证!M135</f>
        <v>340.46796703749561</v>
      </c>
      <c r="AU135" s="29">
        <f>[2]大r将兵属性验证!M135</f>
        <v>340.87515684392974</v>
      </c>
      <c r="AV135" s="29">
        <f>[2]超r将兵属性验证!M135</f>
        <v>341.53046836565142</v>
      </c>
    </row>
    <row r="136" spans="2:48" x14ac:dyDescent="0.2">
      <c r="B136" s="26">
        <f>[1]节奏总纲!N133</f>
        <v>140</v>
      </c>
      <c r="C136" s="26">
        <v>130</v>
      </c>
      <c r="D136" s="26">
        <f>[1]节奏总纲!P133</f>
        <v>8191</v>
      </c>
      <c r="E136" s="26">
        <f>[1]节奏总纲!Q133</f>
        <v>6941.8725000000004</v>
      </c>
      <c r="F136" s="26">
        <f>[1]节奏总纲!R133</f>
        <v>5542.0306</v>
      </c>
      <c r="G136" s="26">
        <f>[1]节奏总纲!S133</f>
        <v>3951.3384000000001</v>
      </c>
      <c r="H136" s="26">
        <f>[1]节奏总纲!T133</f>
        <v>2124.7454000000002</v>
      </c>
      <c r="K136" s="26">
        <v>130</v>
      </c>
      <c r="L136" s="26">
        <f>[1]节奏总纲!AD133</f>
        <v>70.326548269677644</v>
      </c>
      <c r="M136" s="26">
        <f>[1]节奏总纲!AE133</f>
        <v>72.386932446240195</v>
      </c>
      <c r="N136" s="26">
        <f>[1]节奏总纲!AF133</f>
        <v>75.286608902517045</v>
      </c>
      <c r="O136" s="26">
        <f>[1]节奏总纲!AG133</f>
        <v>79.813360188853366</v>
      </c>
      <c r="P136" s="26">
        <f>[1]节奏总纲!AH133</f>
        <v>88.916659730161399</v>
      </c>
      <c r="S136" s="26">
        <v>130</v>
      </c>
      <c r="T136" s="26">
        <f>[2]各R部队能量汇总!E136</f>
        <v>55083623595</v>
      </c>
      <c r="U136" s="26">
        <f>[2]各R部队能量汇总!F136</f>
        <v>55616022634</v>
      </c>
      <c r="V136" s="26">
        <f>[2]各R部队能量汇总!G136</f>
        <v>57915680640</v>
      </c>
      <c r="W136" s="26">
        <f>[2]各R部队能量汇总!H136</f>
        <v>59555999903</v>
      </c>
      <c r="X136" s="26">
        <f>[2]各R部队能量汇总!I136</f>
        <v>61444701085</v>
      </c>
      <c r="AA136" s="27">
        <v>130</v>
      </c>
      <c r="AB136" s="28">
        <f>[2]各R部队能量汇总!K136</f>
        <v>1</v>
      </c>
      <c r="AC136" s="28">
        <f>[2]各R部队能量汇总!L136</f>
        <v>1.009665287144405</v>
      </c>
      <c r="AD136" s="28">
        <f>[2]各R部队能量汇总!M136</f>
        <v>1.0514137752777954</v>
      </c>
      <c r="AE136" s="28">
        <f>[2]各R部队能量汇总!N136</f>
        <v>1.0811924854632469</v>
      </c>
      <c r="AF136" s="28">
        <f>[2]各R部队能量汇总!O136</f>
        <v>1.115480374653083</v>
      </c>
      <c r="AI136" s="27">
        <v>130</v>
      </c>
      <c r="AJ136" s="28">
        <f>[1]服务器生态!W151</f>
        <v>159.87516749999998</v>
      </c>
      <c r="AK136" s="28">
        <f>[1]服务器生态!X151</f>
        <v>157.63837911973332</v>
      </c>
      <c r="AL136" s="28">
        <f>[1]服务器生态!Y151</f>
        <v>12.868066713599999</v>
      </c>
      <c r="AM136" s="28">
        <f>[1]服务器生态!Z151</f>
        <v>2.2893200000000005</v>
      </c>
      <c r="AN136" s="28">
        <f>[1]服务器生态!AA151</f>
        <v>0.66239999999999988</v>
      </c>
      <c r="AQ136" s="26">
        <v>130</v>
      </c>
      <c r="AR136" s="29">
        <f>[2]非r将兵属性验证!M136</f>
        <v>340.0455071815519</v>
      </c>
      <c r="AS136" s="29">
        <f>[2]小r将兵属性验证!M136</f>
        <v>340.42801059528665</v>
      </c>
      <c r="AT136" s="29">
        <f>[2]中r将兵属性验证!M136</f>
        <v>340.82579752052504</v>
      </c>
      <c r="AU136" s="29">
        <f>[2]大r将兵属性验证!M136</f>
        <v>341.23291225957956</v>
      </c>
      <c r="AV136" s="29">
        <f>[2]超r将兵属性验证!M136</f>
        <v>341.8900186970435</v>
      </c>
    </row>
    <row r="137" spans="2:48" x14ac:dyDescent="0.2">
      <c r="B137" s="26">
        <f>[1]节奏总纲!N134</f>
        <v>141</v>
      </c>
      <c r="C137" s="26">
        <v>131</v>
      </c>
      <c r="D137" s="26">
        <f>[1]节奏总纲!P134</f>
        <v>8778.9682050973151</v>
      </c>
      <c r="E137" s="26">
        <f>[1]节奏总纲!Q134</f>
        <v>7443.6871411020138</v>
      </c>
      <c r="F137" s="26">
        <f>[1]节奏总纲!R134</f>
        <v>5945.117268491902</v>
      </c>
      <c r="G137" s="26">
        <f>[1]节奏总纲!S134</f>
        <v>4244.6311271645518</v>
      </c>
      <c r="H137" s="26">
        <f>[1]节奏总纲!T134</f>
        <v>2275.5085587612239</v>
      </c>
      <c r="K137" s="26">
        <v>131</v>
      </c>
      <c r="L137" s="26">
        <f>[1]节奏总纲!AD134</f>
        <v>70.435397692903535</v>
      </c>
      <c r="M137" s="26">
        <f>[1]节奏总纲!AE134</f>
        <v>72.50012824434009</v>
      </c>
      <c r="N137" s="26">
        <f>[1]节奏总纲!AF134</f>
        <v>75.396071892907202</v>
      </c>
      <c r="O137" s="26">
        <f>[1]节奏总纲!AG134</f>
        <v>79.931486651604402</v>
      </c>
      <c r="P137" s="26">
        <f>[1]节奏总纲!AH134</f>
        <v>89.048420729369383</v>
      </c>
      <c r="S137" s="26">
        <v>131</v>
      </c>
      <c r="T137" s="26">
        <f>[2]各R部队能量汇总!E137</f>
        <v>56897992543</v>
      </c>
      <c r="U137" s="26">
        <f>[2]各R部队能量汇总!F137</f>
        <v>57471723648</v>
      </c>
      <c r="V137" s="26">
        <f>[2]各R部队能量汇总!G137</f>
        <v>59829653579</v>
      </c>
      <c r="W137" s="26">
        <f>[2]各R部队能量汇总!H137</f>
        <v>61522660116</v>
      </c>
      <c r="X137" s="26">
        <f>[2]各R部队能量汇总!I137</f>
        <v>63442777691</v>
      </c>
      <c r="AA137" s="27">
        <v>131</v>
      </c>
      <c r="AB137" s="28">
        <f>[2]各R部队能量汇总!K137</f>
        <v>1</v>
      </c>
      <c r="AC137" s="28">
        <f>[2]各R部队能量汇总!L137</f>
        <v>1.0100835034657225</v>
      </c>
      <c r="AD137" s="28">
        <f>[2]各R部队能量汇总!M137</f>
        <v>1.051524858874141</v>
      </c>
      <c r="AE137" s="28">
        <f>[2]各R部队能量汇总!N137</f>
        <v>1.0812799778393756</v>
      </c>
      <c r="AF137" s="28">
        <f>[2]各R部队能量汇总!O137</f>
        <v>1.1150266442713925</v>
      </c>
      <c r="AI137" s="27">
        <v>131</v>
      </c>
      <c r="AJ137" s="28">
        <f>[1]服务器生态!W152</f>
        <v>159.0757916625</v>
      </c>
      <c r="AK137" s="28">
        <f>[1]服务器生态!X152</f>
        <v>156.85018722413469</v>
      </c>
      <c r="AL137" s="28">
        <f>[1]服务器生态!Y152</f>
        <v>12.803726380032002</v>
      </c>
      <c r="AM137" s="28">
        <f>[1]服务器生态!Z152</f>
        <v>2.2778734000000007</v>
      </c>
      <c r="AN137" s="28">
        <f>[1]服务器生态!AA152</f>
        <v>0.6590879999999999</v>
      </c>
      <c r="AQ137" s="26">
        <v>131</v>
      </c>
      <c r="AR137" s="29">
        <f>[2]非r将兵属性验证!M137</f>
        <v>340.40215076034724</v>
      </c>
      <c r="AS137" s="29">
        <f>[2]小r将兵属性验证!M137</f>
        <v>340.78533952664816</v>
      </c>
      <c r="AT137" s="29">
        <f>[2]中r将兵属性验证!M137</f>
        <v>341.18362800355442</v>
      </c>
      <c r="AU137" s="29">
        <f>[2]大r将兵属性验证!M137</f>
        <v>341.59066767522938</v>
      </c>
      <c r="AV137" s="29">
        <f>[2]超r将兵属性验证!M137</f>
        <v>342.24956902843553</v>
      </c>
    </row>
    <row r="138" spans="2:48" x14ac:dyDescent="0.2">
      <c r="B138" s="26">
        <f>[1]节奏总纲!N135</f>
        <v>142</v>
      </c>
      <c r="C138" s="26">
        <v>132</v>
      </c>
      <c r="D138" s="26">
        <f>[1]节奏总纲!P135</f>
        <v>9409.1369241357042</v>
      </c>
      <c r="E138" s="26">
        <f>[1]节奏总纲!Q135</f>
        <v>7983.6526801291457</v>
      </c>
      <c r="F138" s="26">
        <f>[1]节奏总纲!R135</f>
        <v>6385.9812304109018</v>
      </c>
      <c r="G138" s="26">
        <f>[1]节奏总纲!S135</f>
        <v>4544.6131343575453</v>
      </c>
      <c r="H138" s="26">
        <f>[1]节奏总纲!T135</f>
        <v>2431.3209811966663</v>
      </c>
      <c r="K138" s="26">
        <v>132</v>
      </c>
      <c r="L138" s="26">
        <f>[1]节奏总纲!AD135</f>
        <v>70.544247116129412</v>
      </c>
      <c r="M138" s="26">
        <f>[1]节奏总纲!AE135</f>
        <v>72.61332404243997</v>
      </c>
      <c r="N138" s="26">
        <f>[1]节奏总纲!AF135</f>
        <v>75.505534883297358</v>
      </c>
      <c r="O138" s="26">
        <f>[1]节奏总纲!AG135</f>
        <v>80.045750258986601</v>
      </c>
      <c r="P138" s="26">
        <f>[1]节奏总纲!AH135</f>
        <v>89.175620204122851</v>
      </c>
      <c r="S138" s="26">
        <v>132</v>
      </c>
      <c r="T138" s="26">
        <f>[2]各R部队能量汇总!E138</f>
        <v>58790321904</v>
      </c>
      <c r="U138" s="26">
        <f>[2]各R部队能量汇总!F138</f>
        <v>59369141438</v>
      </c>
      <c r="V138" s="26">
        <f>[2]各R部队能量汇总!G138</f>
        <v>61812734337</v>
      </c>
      <c r="W138" s="26">
        <f>[2]各R部队能量汇总!H138</f>
        <v>63518643173</v>
      </c>
      <c r="X138" s="26">
        <f>[2]各R部队能量汇总!I138</f>
        <v>65447877297</v>
      </c>
      <c r="AA138" s="27">
        <v>132</v>
      </c>
      <c r="AB138" s="28">
        <f>[2]各R部队能量汇总!K138</f>
        <v>1</v>
      </c>
      <c r="AC138" s="28">
        <f>[2]各R部队能量汇总!L138</f>
        <v>1.0098454901292286</v>
      </c>
      <c r="AD138" s="28">
        <f>[2]各R部队能量汇总!M138</f>
        <v>1.0514100337456114</v>
      </c>
      <c r="AE138" s="28">
        <f>[2]各R部队能量汇总!N138</f>
        <v>1.0804268647605124</v>
      </c>
      <c r="AF138" s="28">
        <f>[2]各R部队能量汇总!O138</f>
        <v>1.1132423701280505</v>
      </c>
      <c r="AI138" s="27">
        <v>132</v>
      </c>
      <c r="AJ138" s="28">
        <f>[1]服务器生态!W153</f>
        <v>158.27641582499999</v>
      </c>
      <c r="AK138" s="28">
        <f>[1]服务器生态!X153</f>
        <v>156.061995328536</v>
      </c>
      <c r="AL138" s="28">
        <f>[1]服务器生态!Y153</f>
        <v>12.739386046464</v>
      </c>
      <c r="AM138" s="28">
        <f>[1]服务器生态!Z153</f>
        <v>2.2664268000000005</v>
      </c>
      <c r="AN138" s="28">
        <f>[1]服务器生态!AA153</f>
        <v>0.65577599999999991</v>
      </c>
      <c r="AQ138" s="26">
        <v>132</v>
      </c>
      <c r="AR138" s="29">
        <f>[2]非r将兵属性验证!M138</f>
        <v>340.75879433914258</v>
      </c>
      <c r="AS138" s="29">
        <f>[2]小r将兵属性验证!M138</f>
        <v>341.14266845800967</v>
      </c>
      <c r="AT138" s="29">
        <f>[2]中r将兵属性验证!M138</f>
        <v>341.54145848658379</v>
      </c>
      <c r="AU138" s="29">
        <f>[2]大r将兵属性验证!M138</f>
        <v>341.9484230908792</v>
      </c>
      <c r="AV138" s="29">
        <f>[2]超r将兵属性验证!M138</f>
        <v>342.60911935982762</v>
      </c>
    </row>
    <row r="139" spans="2:48" x14ac:dyDescent="0.2">
      <c r="B139" s="26">
        <f>[1]节奏总纲!N136</f>
        <v>143</v>
      </c>
      <c r="C139" s="26">
        <v>133</v>
      </c>
      <c r="D139" s="26">
        <f>[1]节奏总纲!P136</f>
        <v>10084.535034121556</v>
      </c>
      <c r="E139" s="26">
        <f>[1]节奏总纲!Q136</f>
        <v>8562.7786974726132</v>
      </c>
      <c r="F139" s="26">
        <f>[1]节奏总纲!R136</f>
        <v>6827.2302181002942</v>
      </c>
      <c r="G139" s="26">
        <f>[1]节奏总纲!S136</f>
        <v>4847.6359909022322</v>
      </c>
      <c r="H139" s="26">
        <f>[1]节奏总纲!T136</f>
        <v>2595.759317782889</v>
      </c>
      <c r="K139" s="26">
        <v>133</v>
      </c>
      <c r="L139" s="26">
        <f>[1]节奏总纲!AD136</f>
        <v>70.653096539355303</v>
      </c>
      <c r="M139" s="26">
        <f>[1]节奏总纲!AE136</f>
        <v>72.726519840539851</v>
      </c>
      <c r="N139" s="26">
        <f>[1]节奏总纲!AF136</f>
        <v>75.614997873687514</v>
      </c>
      <c r="O139" s="26">
        <f>[1]节奏总纲!AG136</f>
        <v>80.154679447049915</v>
      </c>
      <c r="P139" s="26">
        <f>[1]节奏总纲!AH136</f>
        <v>89.302819678876304</v>
      </c>
      <c r="S139" s="26">
        <v>133</v>
      </c>
      <c r="T139" s="26">
        <f>[2]各R部队能量汇总!E139</f>
        <v>60714040496</v>
      </c>
      <c r="U139" s="26">
        <f>[2]各R部队能量汇总!F139</f>
        <v>61328729186</v>
      </c>
      <c r="V139" s="26">
        <f>[2]各R部队能量汇总!G139</f>
        <v>63808028193</v>
      </c>
      <c r="W139" s="26">
        <f>[2]各R部队能量汇总!H139</f>
        <v>65523174531</v>
      </c>
      <c r="X139" s="26">
        <f>[2]各R部队能量汇总!I139</f>
        <v>67509207879</v>
      </c>
      <c r="AA139" s="27">
        <v>133</v>
      </c>
      <c r="AB139" s="28">
        <f>[2]各R部队能量汇总!K139</f>
        <v>1</v>
      </c>
      <c r="AC139" s="28">
        <f>[2]各R部队能量汇总!L139</f>
        <v>1.0101243251969121</v>
      </c>
      <c r="AD139" s="28">
        <f>[2]各R部队能量汇总!M139</f>
        <v>1.0509600031841702</v>
      </c>
      <c r="AE139" s="28">
        <f>[2]各R部队能量汇总!N139</f>
        <v>1.0792095863775832</v>
      </c>
      <c r="AF139" s="28">
        <f>[2]各R部队能量汇总!O139</f>
        <v>1.1119208559912543</v>
      </c>
      <c r="AI139" s="27">
        <v>133</v>
      </c>
      <c r="AJ139" s="28">
        <f>[1]服务器生态!W154</f>
        <v>157.47703998749998</v>
      </c>
      <c r="AK139" s="28">
        <f>[1]服务器生态!X154</f>
        <v>155.27380343293731</v>
      </c>
      <c r="AL139" s="28">
        <f>[1]服务器生态!Y154</f>
        <v>12.675045712895999</v>
      </c>
      <c r="AM139" s="28">
        <f>[1]服务器生态!Z154</f>
        <v>2.2549802000000003</v>
      </c>
      <c r="AN139" s="28">
        <f>[1]服务器生态!AA154</f>
        <v>0.65246399999999982</v>
      </c>
      <c r="AQ139" s="26">
        <v>133</v>
      </c>
      <c r="AR139" s="29">
        <f>[2]非r将兵属性验证!M139</f>
        <v>341.11543791793792</v>
      </c>
      <c r="AS139" s="29">
        <f>[2]小r将兵属性验证!M139</f>
        <v>341.49999738937123</v>
      </c>
      <c r="AT139" s="29">
        <f>[2]中r将兵属性验证!M139</f>
        <v>341.89928896961317</v>
      </c>
      <c r="AU139" s="29">
        <f>[2]大r将兵属性验证!M139</f>
        <v>342.30617850652902</v>
      </c>
      <c r="AV139" s="29">
        <f>[2]超r将兵属性验证!M139</f>
        <v>342.9686696912197</v>
      </c>
    </row>
    <row r="140" spans="2:48" x14ac:dyDescent="0.2">
      <c r="B140" s="26">
        <f>[1]节奏总纲!N137</f>
        <v>144</v>
      </c>
      <c r="C140" s="26">
        <v>134</v>
      </c>
      <c r="D140" s="26">
        <f>[1]节奏总纲!P137</f>
        <v>10808.408805051544</v>
      </c>
      <c r="E140" s="26">
        <f>[1]节奏总纲!Q137</f>
        <v>9151.4797352371424</v>
      </c>
      <c r="F140" s="26">
        <f>[1]节奏总纲!R137</f>
        <v>7283.7866937242361</v>
      </c>
      <c r="G140" s="26">
        <f>[1]节奏总纲!S137</f>
        <v>5175.0661358586794</v>
      </c>
      <c r="H140" s="26">
        <f>[1]节奏总纲!T137</f>
        <v>2775.5993811372364</v>
      </c>
      <c r="K140" s="26">
        <v>134</v>
      </c>
      <c r="L140" s="26">
        <f>[1]节奏总纲!AD137</f>
        <v>70.76194596258118</v>
      </c>
      <c r="M140" s="26">
        <f>[1]节奏总纲!AE137</f>
        <v>72.839715638639731</v>
      </c>
      <c r="N140" s="26">
        <f>[1]节奏总纲!AF137</f>
        <v>75.72446086407767</v>
      </c>
      <c r="O140" s="26">
        <f>[1]节奏总纲!AG137</f>
        <v>80.263608635113243</v>
      </c>
      <c r="P140" s="26">
        <f>[1]节奏总纲!AH137</f>
        <v>89.430019153629758</v>
      </c>
      <c r="S140" s="26">
        <v>134</v>
      </c>
      <c r="T140" s="26">
        <f>[2]各R部队能量汇总!E140</f>
        <v>62711120881</v>
      </c>
      <c r="U140" s="26">
        <f>[2]各R部队能量汇总!F140</f>
        <v>63311513030</v>
      </c>
      <c r="V140" s="26">
        <f>[2]各R部队能量汇总!G140</f>
        <v>65815412543</v>
      </c>
      <c r="W140" s="26">
        <f>[2]各R部队能量汇总!H140</f>
        <v>67605863114</v>
      </c>
      <c r="X140" s="26">
        <f>[2]各R部队能量汇总!I140</f>
        <v>69632382915</v>
      </c>
      <c r="AA140" s="27">
        <v>134</v>
      </c>
      <c r="AB140" s="28">
        <f>[2]各R部队能量汇总!K140</f>
        <v>1</v>
      </c>
      <c r="AC140" s="28">
        <f>[2]各R部队能量汇总!L140</f>
        <v>1.0095739342650134</v>
      </c>
      <c r="AD140" s="28">
        <f>[2]各R部队能量汇总!M140</f>
        <v>1.0495014539429246</v>
      </c>
      <c r="AE140" s="28">
        <f>[2]各R部队能量汇总!N140</f>
        <v>1.0780522204712017</v>
      </c>
      <c r="AF140" s="28">
        <f>[2]各R部队能量汇总!O140</f>
        <v>1.1103673788120247</v>
      </c>
      <c r="AI140" s="27">
        <v>134</v>
      </c>
      <c r="AJ140" s="28">
        <f>[1]服务器生态!W155</f>
        <v>156.67766415</v>
      </c>
      <c r="AK140" s="28">
        <f>[1]服务器生态!X155</f>
        <v>154.48561153733868</v>
      </c>
      <c r="AL140" s="28">
        <f>[1]服务器生态!Y155</f>
        <v>12.610705379328001</v>
      </c>
      <c r="AM140" s="28">
        <f>[1]服务器生态!Z155</f>
        <v>2.2435336000000006</v>
      </c>
      <c r="AN140" s="28">
        <f>[1]服务器生态!AA155</f>
        <v>0.64915199999999995</v>
      </c>
      <c r="AQ140" s="26">
        <v>134</v>
      </c>
      <c r="AR140" s="29">
        <f>[2]非r将兵属性验证!M140</f>
        <v>341.47208149673321</v>
      </c>
      <c r="AS140" s="29">
        <f>[2]小r将兵属性验证!M140</f>
        <v>341.8573263207328</v>
      </c>
      <c r="AT140" s="29">
        <f>[2]中r将兵属性验证!M140</f>
        <v>342.25711945264254</v>
      </c>
      <c r="AU140" s="29">
        <f>[2]大r将兵属性验证!M140</f>
        <v>342.66393392217884</v>
      </c>
      <c r="AV140" s="29">
        <f>[2]超r将兵属性验证!M140</f>
        <v>343.32822002261179</v>
      </c>
    </row>
    <row r="141" spans="2:48" x14ac:dyDescent="0.2">
      <c r="B141" s="26">
        <f>[1]节奏总纲!N138</f>
        <v>145</v>
      </c>
      <c r="C141" s="26">
        <v>135</v>
      </c>
      <c r="D141" s="26">
        <f>[1]节奏总纲!P138</f>
        <v>11584.237502960397</v>
      </c>
      <c r="E141" s="26">
        <f>[1]节奏总纲!Q138</f>
        <v>9796.789656253608</v>
      </c>
      <c r="F141" s="26">
        <f>[1]节奏总纲!R138</f>
        <v>7796.1918394923478</v>
      </c>
      <c r="G141" s="26">
        <f>[1]节奏总纲!S138</f>
        <v>5548.8497639180305</v>
      </c>
      <c r="H141" s="26">
        <f>[1]节奏总纲!T138</f>
        <v>2979.465885761414</v>
      </c>
      <c r="K141" s="26">
        <v>135</v>
      </c>
      <c r="L141" s="26">
        <f>[1]节奏总纲!AD138</f>
        <v>70.870795385807057</v>
      </c>
      <c r="M141" s="26">
        <f>[1]节奏总纲!AE138</f>
        <v>72.952911436739612</v>
      </c>
      <c r="N141" s="26">
        <f>[1]节奏总纲!AF138</f>
        <v>75.833923854467812</v>
      </c>
      <c r="O141" s="26">
        <f>[1]节奏总纲!AG138</f>
        <v>80.372537823176572</v>
      </c>
      <c r="P141" s="26">
        <f>[1]节奏总纲!AH138</f>
        <v>89.557218628383211</v>
      </c>
      <c r="S141" s="26">
        <v>135</v>
      </c>
      <c r="T141" s="26">
        <f>[2]各R部队能量汇总!E141</f>
        <v>64747817156</v>
      </c>
      <c r="U141" s="26">
        <f>[2]各R部队能量汇总!F141</f>
        <v>65344655431</v>
      </c>
      <c r="V141" s="26">
        <f>[2]各R部队能量汇总!G141</f>
        <v>67944243775</v>
      </c>
      <c r="W141" s="26">
        <f>[2]各R部队能量汇总!H141</f>
        <v>69758678418</v>
      </c>
      <c r="X141" s="26">
        <f>[2]各R部队能量汇总!I141</f>
        <v>71889310416</v>
      </c>
      <c r="AA141" s="27">
        <v>135</v>
      </c>
      <c r="AB141" s="28">
        <f>[2]各R部队能量汇总!K141</f>
        <v>1</v>
      </c>
      <c r="AC141" s="28">
        <f>[2]各R部队能量汇总!L141</f>
        <v>1.0092178902890581</v>
      </c>
      <c r="AD141" s="28">
        <f>[2]各R部队能量汇总!M141</f>
        <v>1.0493673263347041</v>
      </c>
      <c r="AE141" s="28">
        <f>[2]各R部队能量汇总!N141</f>
        <v>1.0773904276946835</v>
      </c>
      <c r="AF141" s="28">
        <f>[2]各R部队能量汇总!O141</f>
        <v>1.1102970505213119</v>
      </c>
      <c r="AI141" s="27">
        <v>135</v>
      </c>
      <c r="AJ141" s="28">
        <f>[1]服务器生态!W156</f>
        <v>155.87828831249999</v>
      </c>
      <c r="AK141" s="28">
        <f>[1]服务器生态!X156</f>
        <v>153.69741964174</v>
      </c>
      <c r="AL141" s="28">
        <f>[1]服务器生态!Y156</f>
        <v>12.54636504576</v>
      </c>
      <c r="AM141" s="28">
        <f>[1]服务器生态!Z156</f>
        <v>2.2320870000000008</v>
      </c>
      <c r="AN141" s="28">
        <f>[1]服务器生态!AA156</f>
        <v>0.64583999999999986</v>
      </c>
      <c r="AQ141" s="26">
        <v>135</v>
      </c>
      <c r="AR141" s="29">
        <f>[2]非r将兵属性验证!M141</f>
        <v>341.82872507552855</v>
      </c>
      <c r="AS141" s="29">
        <f>[2]小r将兵属性验证!M141</f>
        <v>342.2146552520943</v>
      </c>
      <c r="AT141" s="29">
        <f>[2]中r将兵属性验证!M141</f>
        <v>342.61494993567197</v>
      </c>
      <c r="AU141" s="29">
        <f>[2]大r将兵属性验证!M141</f>
        <v>343.02168933782866</v>
      </c>
      <c r="AV141" s="29">
        <f>[2]超r将兵属性验证!M141</f>
        <v>343.68784998566974</v>
      </c>
    </row>
    <row r="142" spans="2:48" x14ac:dyDescent="0.2">
      <c r="B142" s="26">
        <f>[1]节奏总纲!N139</f>
        <v>146</v>
      </c>
      <c r="C142" s="26">
        <v>136</v>
      </c>
      <c r="D142" s="26">
        <f>[1]节奏总纲!P139</f>
        <v>12415.750112853173</v>
      </c>
      <c r="E142" s="26">
        <f>[1]节奏总纲!Q139</f>
        <v>10507.449320507641</v>
      </c>
      <c r="F142" s="26">
        <f>[1]节奏总纲!R139</f>
        <v>8384.3560512097483</v>
      </c>
      <c r="G142" s="26">
        <f>[1]节奏总纲!S139</f>
        <v>5967.009504237235</v>
      </c>
      <c r="H142" s="26">
        <f>[1]节奏总纲!T139</f>
        <v>3204.5051041274041</v>
      </c>
      <c r="K142" s="26">
        <v>136</v>
      </c>
      <c r="L142" s="26">
        <f>[1]节奏总纲!AD139</f>
        <v>70.979644809032948</v>
      </c>
      <c r="M142" s="26">
        <f>[1]节奏总纲!AE139</f>
        <v>73.059911975288244</v>
      </c>
      <c r="N142" s="26">
        <f>[1]节奏总纲!AF139</f>
        <v>75.943386844857969</v>
      </c>
      <c r="O142" s="26">
        <f>[1]节奏总纲!AG139</f>
        <v>80.4814670112399</v>
      </c>
      <c r="P142" s="26">
        <f>[1]节奏总纲!AH139</f>
        <v>89.684418103136665</v>
      </c>
      <c r="S142" s="26">
        <v>136</v>
      </c>
      <c r="T142" s="26">
        <f>[2]各R部队能量汇总!E142</f>
        <v>66852013033</v>
      </c>
      <c r="U142" s="26">
        <f>[2]各R部队能量汇总!F142</f>
        <v>67484197741</v>
      </c>
      <c r="V142" s="26">
        <f>[2]各R部队能量汇总!G142</f>
        <v>70148727241</v>
      </c>
      <c r="W142" s="26">
        <f>[2]各R部队能量汇总!H142</f>
        <v>72040137914</v>
      </c>
      <c r="X142" s="26">
        <f>[2]各R部队能量汇总!I142</f>
        <v>74194454103</v>
      </c>
      <c r="AA142" s="27">
        <v>136</v>
      </c>
      <c r="AB142" s="28">
        <f>[2]各R部队能量汇总!K142</f>
        <v>1</v>
      </c>
      <c r="AC142" s="28">
        <f>[2]各R部队能量汇总!L142</f>
        <v>1.0094564797575794</v>
      </c>
      <c r="AD142" s="28">
        <f>[2]各R部队能量汇总!M142</f>
        <v>1.0493136116390789</v>
      </c>
      <c r="AE142" s="28">
        <f>[2]各R部队能量汇总!N142</f>
        <v>1.0776061130491164</v>
      </c>
      <c r="AF142" s="28">
        <f>[2]各R部队能量汇总!O142</f>
        <v>1.109831263665547</v>
      </c>
      <c r="AI142" s="27">
        <v>136</v>
      </c>
      <c r="AJ142" s="28">
        <f>[1]服务器生态!W157</f>
        <v>155.07891247499998</v>
      </c>
      <c r="AK142" s="28">
        <f>[1]服务器生态!X157</f>
        <v>152.90922774614131</v>
      </c>
      <c r="AL142" s="28">
        <f>[1]服务器生态!Y157</f>
        <v>12.482024712192</v>
      </c>
      <c r="AM142" s="28">
        <f>[1]服务器生态!Z157</f>
        <v>2.2206404000000006</v>
      </c>
      <c r="AN142" s="28">
        <f>[1]服务器生态!AA157</f>
        <v>0.64252799999999988</v>
      </c>
      <c r="AQ142" s="26">
        <v>136</v>
      </c>
      <c r="AR142" s="29">
        <f>[2]非r将兵属性验证!M142</f>
        <v>342.1853686543239</v>
      </c>
      <c r="AS142" s="29">
        <f>[2]小r将兵属性验证!M142</f>
        <v>342.57198418345587</v>
      </c>
      <c r="AT142" s="29">
        <f>[2]中r将兵属性验证!M142</f>
        <v>342.97278041870135</v>
      </c>
      <c r="AU142" s="29">
        <f>[2]大r将兵属性验证!M142</f>
        <v>343.37953903838354</v>
      </c>
      <c r="AV142" s="29">
        <f>[2]超r将兵属性验证!M142</f>
        <v>344.05151880971039</v>
      </c>
    </row>
    <row r="143" spans="2:48" x14ac:dyDescent="0.2">
      <c r="B143" s="26">
        <f>[1]节奏总纲!N140</f>
        <v>147</v>
      </c>
      <c r="C143" s="26">
        <v>137</v>
      </c>
      <c r="D143" s="26">
        <f>[1]节奏总纲!P140</f>
        <v>13306.943261900544</v>
      </c>
      <c r="E143" s="26">
        <f>[1]节奏总纲!Q140</f>
        <v>11274.973025808331</v>
      </c>
      <c r="F143" s="26">
        <f>[1]节奏总纲!R140</f>
        <v>8995.4936450447676</v>
      </c>
      <c r="G143" s="26">
        <f>[1]节奏总纲!S140</f>
        <v>6407.293180605112</v>
      </c>
      <c r="H143" s="26">
        <f>[1]节奏总纲!T140</f>
        <v>3438.5141388751008</v>
      </c>
      <c r="K143" s="26">
        <v>137</v>
      </c>
      <c r="L143" s="26">
        <f>[1]节奏总纲!AD140</f>
        <v>71.082568038258202</v>
      </c>
      <c r="M143" s="26">
        <f>[1]节奏总纲!AE140</f>
        <v>73.162499594857536</v>
      </c>
      <c r="N143" s="26">
        <f>[1]节奏总纲!AF140</f>
        <v>76.048210495050611</v>
      </c>
      <c r="O143" s="26">
        <f>[1]节奏总纲!AG140</f>
        <v>80.590396199303228</v>
      </c>
      <c r="P143" s="26">
        <f>[1]节奏总纲!AH140</f>
        <v>89.811617577890132</v>
      </c>
      <c r="S143" s="26">
        <v>137</v>
      </c>
      <c r="T143" s="26">
        <f>[2]各R部队能量汇总!E143</f>
        <v>69006826347</v>
      </c>
      <c r="U143" s="26">
        <f>[2]各R部队能量汇总!F143</f>
        <v>69657256128</v>
      </c>
      <c r="V143" s="26">
        <f>[2]各R部队能量汇总!G143</f>
        <v>72424074024</v>
      </c>
      <c r="W143" s="26">
        <f>[2]各R部队能量汇总!H143</f>
        <v>74354743555</v>
      </c>
      <c r="X143" s="26">
        <f>[2]各R部队能量汇总!I143</f>
        <v>76588064182</v>
      </c>
      <c r="AA143" s="27">
        <v>137</v>
      </c>
      <c r="AB143" s="28">
        <f>[2]各R部队能量汇总!K143</f>
        <v>1</v>
      </c>
      <c r="AC143" s="28">
        <f>[2]各R部队能量汇总!L143</f>
        <v>1.009425586067809</v>
      </c>
      <c r="AD143" s="28">
        <f>[2]各R部队能量汇总!M143</f>
        <v>1.0495204294690559</v>
      </c>
      <c r="AE143" s="28">
        <f>[2]各R部队能量汇总!N143</f>
        <v>1.0774983793792814</v>
      </c>
      <c r="AF143" s="28">
        <f>[2]各R部队能量汇总!O143</f>
        <v>1.1098621431578064</v>
      </c>
      <c r="AI143" s="27">
        <v>137</v>
      </c>
      <c r="AJ143" s="28">
        <f>[1]服务器生态!W158</f>
        <v>154.2795366375</v>
      </c>
      <c r="AK143" s="28">
        <f>[1]服务器生态!X158</f>
        <v>152.12103585054268</v>
      </c>
      <c r="AL143" s="28">
        <f>[1]服务器生态!Y158</f>
        <v>12.417684378624001</v>
      </c>
      <c r="AM143" s="28">
        <f>[1]服务器生态!Z158</f>
        <v>2.2091938000000009</v>
      </c>
      <c r="AN143" s="28">
        <f>[1]服务器生态!AA158</f>
        <v>0.63921600000000001</v>
      </c>
      <c r="AQ143" s="26">
        <v>137</v>
      </c>
      <c r="AR143" s="29">
        <f>[2]非r将兵属性验证!M143</f>
        <v>342.54201223311918</v>
      </c>
      <c r="AS143" s="29">
        <f>[2]小r将兵属性验证!M143</f>
        <v>342.92931311481738</v>
      </c>
      <c r="AT143" s="29">
        <f>[2]中r将兵属性验证!M143</f>
        <v>343.33060070133541</v>
      </c>
      <c r="AU143" s="29">
        <f>[2]大r将兵属性验证!M143</f>
        <v>343.73878679613188</v>
      </c>
      <c r="AV143" s="29">
        <f>[2]超r将兵属性验证!M143</f>
        <v>344.41518763375109</v>
      </c>
    </row>
    <row r="144" spans="2:48" x14ac:dyDescent="0.2">
      <c r="B144" s="26">
        <f>[1]节奏总纲!N141</f>
        <v>148</v>
      </c>
      <c r="C144" s="26">
        <v>138</v>
      </c>
      <c r="D144" s="26">
        <f>[1]节奏总纲!P141</f>
        <v>14262.10042904369</v>
      </c>
      <c r="E144" s="26">
        <f>[1]节奏总纲!Q141</f>
        <v>12084.27769352872</v>
      </c>
      <c r="F144" s="26">
        <f>[1]节奏总纲!R141</f>
        <v>9648.3109402480568</v>
      </c>
      <c r="G144" s="26">
        <f>[1]节奏总纲!S141</f>
        <v>6871.4799867132497</v>
      </c>
      <c r="H144" s="26">
        <f>[1]节奏总纲!T141</f>
        <v>3671.064650435846</v>
      </c>
      <c r="K144" s="26">
        <v>138</v>
      </c>
      <c r="L144" s="26">
        <f>[1]节奏总纲!AD141</f>
        <v>71.184128141237707</v>
      </c>
      <c r="M144" s="26">
        <f>[1]节奏总纲!AE141</f>
        <v>73.265087214426828</v>
      </c>
      <c r="N144" s="26">
        <f>[1]节奏总纲!AF141</f>
        <v>76.148064447889894</v>
      </c>
      <c r="O144" s="26">
        <f>[1]节奏总纲!AG141</f>
        <v>80.699325387366557</v>
      </c>
      <c r="P144" s="26">
        <f>[1]节奏总纲!AH141</f>
        <v>89.938817052643586</v>
      </c>
      <c r="S144" s="26">
        <v>138</v>
      </c>
      <c r="T144" s="26">
        <f>[2]各R部队能量汇总!E144</f>
        <v>71222849647</v>
      </c>
      <c r="U144" s="26">
        <f>[2]各R部队能量汇总!F144</f>
        <v>71908483149</v>
      </c>
      <c r="V144" s="26">
        <f>[2]各R部队能量汇总!G144</f>
        <v>74727000923</v>
      </c>
      <c r="W144" s="26">
        <f>[2]各R部队能量汇总!H144</f>
        <v>76738061914</v>
      </c>
      <c r="X144" s="26">
        <f>[2]各R部队能量汇总!I144</f>
        <v>78932088367</v>
      </c>
      <c r="AA144" s="27">
        <v>138</v>
      </c>
      <c r="AB144" s="28">
        <f>[2]各R部队能量汇总!K144</f>
        <v>1</v>
      </c>
      <c r="AC144" s="28">
        <f>[2]各R部队能量汇总!L144</f>
        <v>1.0096265946307708</v>
      </c>
      <c r="AD144" s="28">
        <f>[2]各R部队能量汇总!M144</f>
        <v>1.04919981850442</v>
      </c>
      <c r="AE144" s="28">
        <f>[2]各R部队能量汇总!N144</f>
        <v>1.0774359955314188</v>
      </c>
      <c r="AF144" s="28">
        <f>[2]各R部队能量汇总!O144</f>
        <v>1.1082410877718192</v>
      </c>
      <c r="AI144" s="27">
        <v>138</v>
      </c>
      <c r="AJ144" s="28">
        <f>[1]服务器生态!W159</f>
        <v>153.48016079999999</v>
      </c>
      <c r="AK144" s="28">
        <f>[1]服务器生态!X159</f>
        <v>151.332843954944</v>
      </c>
      <c r="AL144" s="28">
        <f>[1]服务器生态!Y159</f>
        <v>12.353344045056001</v>
      </c>
      <c r="AM144" s="28">
        <f>[1]服务器生态!Z159</f>
        <v>2.1977472000000007</v>
      </c>
      <c r="AN144" s="28">
        <f>[1]服务器生态!AA159</f>
        <v>0.63590399999999991</v>
      </c>
      <c r="AQ144" s="26">
        <v>138</v>
      </c>
      <c r="AR144" s="29">
        <f>[2]非r将兵属性验证!M144</f>
        <v>342.89865581191452</v>
      </c>
      <c r="AS144" s="29">
        <f>[2]小r将兵属性验证!M144</f>
        <v>343.28666312079571</v>
      </c>
      <c r="AT144" s="29">
        <f>[2]中r将兵属性验证!M144</f>
        <v>343.68836997696849</v>
      </c>
      <c r="AU144" s="29">
        <f>[2]大r将兵属性验证!M144</f>
        <v>344.09803455388027</v>
      </c>
      <c r="AV144" s="29">
        <f>[2]超r将兵属性验证!M144</f>
        <v>344.77885645779173</v>
      </c>
    </row>
    <row r="145" spans="2:48" x14ac:dyDescent="0.2">
      <c r="B145" s="26">
        <f>[1]节奏总纲!N142</f>
        <v>149</v>
      </c>
      <c r="C145" s="26">
        <v>139</v>
      </c>
      <c r="D145" s="26">
        <f>[1]节奏总纲!P142</f>
        <v>15285.812533339058</v>
      </c>
      <c r="E145" s="26">
        <f>[1]节奏总纲!Q142</f>
        <v>12957.783284511519</v>
      </c>
      <c r="F145" s="26">
        <f>[1]节奏总纲!R142</f>
        <v>10342.380760057207</v>
      </c>
      <c r="G145" s="26">
        <f>[1]节奏总纲!S142</f>
        <v>7335.6614347494142</v>
      </c>
      <c r="H145" s="26">
        <f>[1]节奏总纲!T142</f>
        <v>3920.8109148014687</v>
      </c>
      <c r="K145" s="26">
        <v>139</v>
      </c>
      <c r="L145" s="26">
        <f>[1]节奏总纲!AD142</f>
        <v>71.285688244217212</v>
      </c>
      <c r="M145" s="26">
        <f>[1]节奏总纲!AE142</f>
        <v>73.367674833996119</v>
      </c>
      <c r="N145" s="26">
        <f>[1]节奏总纲!AF142</f>
        <v>76.247918400729162</v>
      </c>
      <c r="O145" s="26">
        <f>[1]节奏总纲!AG142</f>
        <v>80.808254575429885</v>
      </c>
      <c r="P145" s="26">
        <f>[1]节奏总纲!AH142</f>
        <v>90.055148444912135</v>
      </c>
      <c r="S145" s="26">
        <v>139</v>
      </c>
      <c r="T145" s="26">
        <f>[2]各R部队能量汇总!E145</f>
        <v>73501385875</v>
      </c>
      <c r="U145" s="26">
        <f>[2]各R部队能量汇总!F145</f>
        <v>74197679253</v>
      </c>
      <c r="V145" s="26">
        <f>[2]各R部队能量汇总!G145</f>
        <v>77116618284</v>
      </c>
      <c r="W145" s="26">
        <f>[2]各R部队能量汇总!H145</f>
        <v>79075524888</v>
      </c>
      <c r="X145" s="26">
        <f>[2]各R部队能量汇总!I145</f>
        <v>81350181010</v>
      </c>
      <c r="AA145" s="27">
        <v>139</v>
      </c>
      <c r="AB145" s="28">
        <f>[2]各R部队能量汇总!K145</f>
        <v>1</v>
      </c>
      <c r="AC145" s="28">
        <f>[2]各R部队能量汇总!L145</f>
        <v>1.0094732006711296</v>
      </c>
      <c r="AD145" s="28">
        <f>[2]各R部队能量汇总!M145</f>
        <v>1.0491859080745529</v>
      </c>
      <c r="AE145" s="28">
        <f>[2]各R部队能量汇总!N145</f>
        <v>1.0758371960833453</v>
      </c>
      <c r="AF145" s="28">
        <f>[2]各R部队能量汇总!O145</f>
        <v>1.1067843149018719</v>
      </c>
      <c r="AI145" s="27">
        <v>139</v>
      </c>
      <c r="AJ145" s="28">
        <f>[1]服务器生态!W160</f>
        <v>152.68078496249998</v>
      </c>
      <c r="AK145" s="28">
        <f>[1]服务器生态!X160</f>
        <v>150.54465205934531</v>
      </c>
      <c r="AL145" s="28">
        <f>[1]服务器生态!Y160</f>
        <v>12.289003711488</v>
      </c>
      <c r="AM145" s="28">
        <f>[1]服务器生态!Z160</f>
        <v>2.1863006000000005</v>
      </c>
      <c r="AN145" s="28">
        <f>[1]服务器生态!AA160</f>
        <v>0.63259199999999982</v>
      </c>
      <c r="AQ145" s="26">
        <v>139</v>
      </c>
      <c r="AR145" s="29">
        <f>[2]非r将兵属性验证!M145</f>
        <v>343.25533232688457</v>
      </c>
      <c r="AS145" s="29">
        <f>[2]小r将兵属性验证!M145</f>
        <v>343.64406537214956</v>
      </c>
      <c r="AT145" s="29">
        <f>[2]中r将兵属性验证!M145</f>
        <v>344.04613925260168</v>
      </c>
      <c r="AU145" s="29">
        <f>[2]大r将兵属性验证!M145</f>
        <v>344.45728231162866</v>
      </c>
      <c r="AV145" s="29">
        <f>[2]超r将兵属性验证!M145</f>
        <v>345.14252528183238</v>
      </c>
    </row>
    <row r="146" spans="2:48" x14ac:dyDescent="0.2">
      <c r="B146" s="26">
        <f>[1]节奏总纲!N143</f>
        <v>150</v>
      </c>
      <c r="C146" s="26">
        <v>140</v>
      </c>
      <c r="D146" s="26">
        <f>[1]节奏总纲!P143</f>
        <v>16383</v>
      </c>
      <c r="E146" s="26">
        <f>[1]节奏总纲!Q143</f>
        <v>13881.315900000001</v>
      </c>
      <c r="F146" s="26">
        <f>[1]节奏总纲!R143</f>
        <v>11037.2271</v>
      </c>
      <c r="G146" s="26">
        <f>[1]节奏总纲!S143</f>
        <v>7827.7974000000004</v>
      </c>
      <c r="H146" s="26">
        <f>[1]节奏总纲!T143</f>
        <v>4192.4097000000002</v>
      </c>
      <c r="K146" s="26">
        <v>140</v>
      </c>
      <c r="L146" s="26">
        <f>[1]节奏总纲!AD143</f>
        <v>71.387248347196717</v>
      </c>
      <c r="M146" s="26">
        <f>[1]节奏总纲!AE143</f>
        <v>73.470262453565411</v>
      </c>
      <c r="N146" s="26">
        <f>[1]节奏总纲!AF143</f>
        <v>76.347772353568445</v>
      </c>
      <c r="O146" s="26">
        <f>[1]节奏总纲!AG143</f>
        <v>80.917183763493213</v>
      </c>
      <c r="P146" s="26">
        <f>[1]节奏总纲!AH143</f>
        <v>90.16140749098561</v>
      </c>
      <c r="S146" s="26">
        <v>140</v>
      </c>
      <c r="T146" s="26">
        <f>[2]各R部队能量汇总!E146</f>
        <v>75834137571</v>
      </c>
      <c r="U146" s="26">
        <f>[2]各R部队能量汇总!F146</f>
        <v>76565916307</v>
      </c>
      <c r="V146" s="26">
        <f>[2]各R部队能量汇总!G146</f>
        <v>79468465313</v>
      </c>
      <c r="W146" s="26">
        <f>[2]各R部队能量汇总!H146</f>
        <v>81513360204</v>
      </c>
      <c r="X146" s="26">
        <f>[2]各R部队能量汇总!I146</f>
        <v>83837010727</v>
      </c>
      <c r="AA146" s="27">
        <v>140</v>
      </c>
      <c r="AB146" s="28">
        <f>[2]各R部队能量汇总!K146</f>
        <v>1</v>
      </c>
      <c r="AC146" s="28">
        <f>[2]各R部队能量汇总!L146</f>
        <v>1.0096497271471554</v>
      </c>
      <c r="AD146" s="28">
        <f>[2]各R部队能量汇总!M146</f>
        <v>1.0479246927361354</v>
      </c>
      <c r="AE146" s="28">
        <f>[2]各R部队能量汇总!N146</f>
        <v>1.0748900536738195</v>
      </c>
      <c r="AF146" s="28">
        <f>[2]各R部队能量汇总!O146</f>
        <v>1.10553127407175</v>
      </c>
      <c r="AI146" s="27">
        <v>140</v>
      </c>
      <c r="AJ146" s="28">
        <f>[1]服务器生态!W161</f>
        <v>151.881409125</v>
      </c>
      <c r="AK146" s="28">
        <f>[1]服务器生态!X161</f>
        <v>149.75646016374668</v>
      </c>
      <c r="AL146" s="28">
        <f>[1]服务器生态!Y161</f>
        <v>12.224663377920001</v>
      </c>
      <c r="AM146" s="28">
        <f>[1]服务器生态!Z161</f>
        <v>2.1748540000000007</v>
      </c>
      <c r="AN146" s="28">
        <f>[1]服务器生态!AA161</f>
        <v>0.62927999999999995</v>
      </c>
      <c r="AQ146" s="26">
        <v>140</v>
      </c>
      <c r="AR146" s="29">
        <f>[2]非r将兵属性验证!M146</f>
        <v>343.61204650164586</v>
      </c>
      <c r="AS146" s="29">
        <f>[2]小r将兵属性验证!M146</f>
        <v>344.00146762350346</v>
      </c>
      <c r="AT146" s="29">
        <f>[2]中r将兵属性验证!M146</f>
        <v>344.40390852823475</v>
      </c>
      <c r="AU146" s="29">
        <f>[2]大r将兵属性验证!M146</f>
        <v>344.81653006937705</v>
      </c>
      <c r="AV146" s="29">
        <f>[2]超r将兵属性验证!M146</f>
        <v>345.50619410587302</v>
      </c>
    </row>
    <row r="147" spans="2:48" x14ac:dyDescent="0.2">
      <c r="B147" s="26">
        <f>[1]节奏总纲!N144</f>
        <v>151</v>
      </c>
      <c r="C147" s="26">
        <v>141</v>
      </c>
      <c r="D147" s="26">
        <f>[1]节奏总纲!P144</f>
        <v>17558.936410194601</v>
      </c>
      <c r="E147" s="26">
        <f>[1]节奏总纲!Q144</f>
        <v>14839.057160255457</v>
      </c>
      <c r="F147" s="26">
        <f>[1]节奏总纲!R144</f>
        <v>11789.069905804656</v>
      </c>
      <c r="G147" s="26">
        <f>[1]节奏总纲!S144</f>
        <v>8380.8803485858825</v>
      </c>
      <c r="H147" s="26">
        <f>[1]节奏总纲!T144</f>
        <v>4489.820040086759</v>
      </c>
      <c r="K147" s="26">
        <v>141</v>
      </c>
      <c r="L147" s="26">
        <f>[1]节奏总纲!AD144</f>
        <v>71.488808450176208</v>
      </c>
      <c r="M147" s="26">
        <f>[1]节奏总纲!AE144</f>
        <v>73.572850073134703</v>
      </c>
      <c r="N147" s="26">
        <f>[1]节奏总纲!AF144</f>
        <v>76.447626306407713</v>
      </c>
      <c r="O147" s="26">
        <f>[1]节奏总纲!AG144</f>
        <v>81.023848662825003</v>
      </c>
      <c r="P147" s="26">
        <f>[1]节奏总纲!AH144</f>
        <v>90.267666537059071</v>
      </c>
      <c r="S147" s="26">
        <v>141</v>
      </c>
      <c r="T147" s="26">
        <f>[2]各R部队能量汇总!E147</f>
        <v>78242197890</v>
      </c>
      <c r="U147" s="26">
        <f>[2]各R部队能量汇总!F147</f>
        <v>78928792683</v>
      </c>
      <c r="V147" s="26">
        <f>[2]各R部队能量汇总!G147</f>
        <v>81937172638</v>
      </c>
      <c r="W147" s="26">
        <f>[2]各R部队能量汇总!H147</f>
        <v>84027559654</v>
      </c>
      <c r="X147" s="26">
        <f>[2]各R部队能量汇总!I147</f>
        <v>86434982279</v>
      </c>
      <c r="AA147" s="27">
        <v>141</v>
      </c>
      <c r="AB147" s="28">
        <f>[2]各R部队能量汇总!K147</f>
        <v>1</v>
      </c>
      <c r="AC147" s="28">
        <f>[2]各R部队能量汇总!L147</f>
        <v>1.008775249309398</v>
      </c>
      <c r="AD147" s="28">
        <f>[2]各R部队能量汇总!M147</f>
        <v>1.0472248332440091</v>
      </c>
      <c r="AE147" s="28">
        <f>[2]各R部队能量汇总!N147</f>
        <v>1.0739417081832694</v>
      </c>
      <c r="AF147" s="28">
        <f>[2]各R部队能量汇总!O147</f>
        <v>1.1047105604129137</v>
      </c>
      <c r="AI147" s="27">
        <v>141</v>
      </c>
      <c r="AJ147" s="28">
        <f>[1]服务器生态!W162</f>
        <v>151.0820332875</v>
      </c>
      <c r="AK147" s="28">
        <f>[1]服务器生态!X162</f>
        <v>148.96826826814799</v>
      </c>
      <c r="AL147" s="28">
        <f>[1]服务器生态!Y162</f>
        <v>12.160323044352001</v>
      </c>
      <c r="AM147" s="28">
        <f>[1]服务器生态!Z162</f>
        <v>2.1634074000000005</v>
      </c>
      <c r="AN147" s="28">
        <f>[1]服务器生态!AA162</f>
        <v>0.62596799999999997</v>
      </c>
      <c r="AQ147" s="26">
        <v>141</v>
      </c>
      <c r="AR147" s="29">
        <f>[2]非r将兵属性验证!M147</f>
        <v>343.9687606764071</v>
      </c>
      <c r="AS147" s="29">
        <f>[2]小r将兵属性验证!M147</f>
        <v>344.35886987485731</v>
      </c>
      <c r="AT147" s="29">
        <f>[2]中r将兵属性验证!M147</f>
        <v>344.76167780386788</v>
      </c>
      <c r="AU147" s="29">
        <f>[2]大r将兵属性验证!M147</f>
        <v>345.17577782712544</v>
      </c>
      <c r="AV147" s="29">
        <f>[2]超r将兵属性验证!M147</f>
        <v>345.86986292991367</v>
      </c>
    </row>
    <row r="148" spans="2:48" x14ac:dyDescent="0.2">
      <c r="B148" s="26">
        <f>[1]节奏总纲!N145</f>
        <v>152</v>
      </c>
      <c r="C148" s="26">
        <v>142</v>
      </c>
      <c r="D148" s="26">
        <f>[1]节奏总纲!P145</f>
        <v>18819.273848271412</v>
      </c>
      <c r="E148" s="26">
        <f>[1]节奏总纲!Q145</f>
        <v>15904.16832917417</v>
      </c>
      <c r="F148" s="26">
        <f>[1]节奏总纲!R145</f>
        <v>12667.253227271489</v>
      </c>
      <c r="G148" s="26">
        <f>[1]节奏总纲!S145</f>
        <v>9003.140609013044</v>
      </c>
      <c r="H148" s="26">
        <f>[1]节奏总纲!T145</f>
        <v>4823.3798873119622</v>
      </c>
      <c r="K148" s="26">
        <v>142</v>
      </c>
      <c r="L148" s="26">
        <f>[1]节奏总纲!AD145</f>
        <v>71.590368553155713</v>
      </c>
      <c r="M148" s="26">
        <f>[1]节奏总纲!AE145</f>
        <v>73.675437692703994</v>
      </c>
      <c r="N148" s="26">
        <f>[1]节奏总纲!AF145</f>
        <v>76.547480259246996</v>
      </c>
      <c r="O148" s="26">
        <f>[1]节奏总纲!AG145</f>
        <v>81.123332456233015</v>
      </c>
      <c r="P148" s="26">
        <f>[1]节奏总纲!AH145</f>
        <v>90.373925583132547</v>
      </c>
      <c r="S148" s="26">
        <v>142</v>
      </c>
      <c r="T148" s="26">
        <f>[2]各R部队能量汇总!E148</f>
        <v>80696682390</v>
      </c>
      <c r="U148" s="26">
        <f>[2]各R部队能量汇总!F148</f>
        <v>81443951817</v>
      </c>
      <c r="V148" s="26">
        <f>[2]各R部队能量汇总!G148</f>
        <v>84509894802</v>
      </c>
      <c r="W148" s="26">
        <f>[2]各R部队能量汇总!H148</f>
        <v>86677150142</v>
      </c>
      <c r="X148" s="26">
        <f>[2]各R部队能量汇总!I148</f>
        <v>89136748178</v>
      </c>
      <c r="AA148" s="27">
        <v>142</v>
      </c>
      <c r="AB148" s="28">
        <f>[2]各R部队能量汇总!K148</f>
        <v>1</v>
      </c>
      <c r="AC148" s="28">
        <f>[2]各R部队能量汇总!L148</f>
        <v>1.0092602248923754</v>
      </c>
      <c r="AD148" s="28">
        <f>[2]各R部队能量汇总!M148</f>
        <v>1.0472536453676136</v>
      </c>
      <c r="AE148" s="28">
        <f>[2]各R部队能量汇总!N148</f>
        <v>1.0741104537990411</v>
      </c>
      <c r="AF148" s="28">
        <f>[2]各R部队能量汇总!O148</f>
        <v>1.1045899972344575</v>
      </c>
      <c r="AI148" s="27">
        <v>142</v>
      </c>
      <c r="AJ148" s="28">
        <f>[1]服务器生态!W163</f>
        <v>150.28265744999999</v>
      </c>
      <c r="AK148" s="28">
        <f>[1]服务器生态!X163</f>
        <v>148.18007637254931</v>
      </c>
      <c r="AL148" s="28">
        <f>[1]服务器生态!Y163</f>
        <v>12.095982710784</v>
      </c>
      <c r="AM148" s="28">
        <f>[1]服务器生态!Z163</f>
        <v>2.1519608000000003</v>
      </c>
      <c r="AN148" s="28">
        <f>[1]服务器生态!AA163</f>
        <v>0.62265599999999988</v>
      </c>
      <c r="AQ148" s="26">
        <v>142</v>
      </c>
      <c r="AR148" s="29">
        <f>[2]非r将兵属性验证!M148</f>
        <v>344.32547485116839</v>
      </c>
      <c r="AS148" s="29">
        <f>[2]小r将兵属性验证!M148</f>
        <v>344.71627212621121</v>
      </c>
      <c r="AT148" s="29">
        <f>[2]中r将兵属性验证!M148</f>
        <v>345.11944707950101</v>
      </c>
      <c r="AU148" s="29">
        <f>[2]大r将兵属性验证!M148</f>
        <v>345.53502558487384</v>
      </c>
      <c r="AV148" s="29">
        <f>[2]超r将兵属性验证!M148</f>
        <v>346.23353175395437</v>
      </c>
    </row>
    <row r="149" spans="2:48" x14ac:dyDescent="0.2">
      <c r="B149" s="26">
        <f>[1]节奏总纲!N146</f>
        <v>153</v>
      </c>
      <c r="C149" s="26">
        <v>143</v>
      </c>
      <c r="D149" s="26">
        <f>[1]节奏总纲!P146</f>
        <v>20170.070068243116</v>
      </c>
      <c r="E149" s="26">
        <f>[1]节奏总纲!Q146</f>
        <v>17065.896284740498</v>
      </c>
      <c r="F149" s="26">
        <f>[1]节奏总纲!R146</f>
        <v>13594.62722599586</v>
      </c>
      <c r="G149" s="26">
        <f>[1]节奏总纲!S146</f>
        <v>9669.5315907157492</v>
      </c>
      <c r="H149" s="26">
        <f>[1]节奏总纲!T146</f>
        <v>5185.7250145453054</v>
      </c>
      <c r="K149" s="26">
        <v>143</v>
      </c>
      <c r="L149" s="26">
        <f>[1]节奏总纲!AD146</f>
        <v>71.691928656135218</v>
      </c>
      <c r="M149" s="26">
        <f>[1]节奏总纲!AE146</f>
        <v>73.778025312273286</v>
      </c>
      <c r="N149" s="26">
        <f>[1]节奏总纲!AF146</f>
        <v>76.647334212086264</v>
      </c>
      <c r="O149" s="26">
        <f>[1]节奏总纲!AG146</f>
        <v>81.222816249641028</v>
      </c>
      <c r="P149" s="26">
        <f>[1]节奏总纲!AH146</f>
        <v>90.480184629206022</v>
      </c>
      <c r="S149" s="26">
        <v>143</v>
      </c>
      <c r="T149" s="26">
        <f>[2]各R部队能量汇总!E149</f>
        <v>83240260910</v>
      </c>
      <c r="U149" s="26">
        <f>[2]各R部队能量汇总!F149</f>
        <v>83987458991</v>
      </c>
      <c r="V149" s="26">
        <f>[2]各R部队能量汇总!G149</f>
        <v>87171449343</v>
      </c>
      <c r="W149" s="26">
        <f>[2]各R部队能量汇总!H149</f>
        <v>89381547473</v>
      </c>
      <c r="X149" s="26">
        <f>[2]各R部队能量汇总!I149</f>
        <v>91933474922</v>
      </c>
      <c r="AA149" s="27">
        <v>143</v>
      </c>
      <c r="AB149" s="28">
        <f>[2]各R部队能量汇总!K149</f>
        <v>1</v>
      </c>
      <c r="AC149" s="28">
        <f>[2]各R部队能量汇总!L149</f>
        <v>1.008976402438333</v>
      </c>
      <c r="AD149" s="28">
        <f>[2]各R部队能量汇总!M149</f>
        <v>1.0472270075805077</v>
      </c>
      <c r="AE149" s="28">
        <f>[2]各R部队能量汇总!N149</f>
        <v>1.0737778389431047</v>
      </c>
      <c r="AF149" s="28">
        <f>[2]各R部队能量汇总!O149</f>
        <v>1.1044352085993481</v>
      </c>
      <c r="AI149" s="27">
        <v>143</v>
      </c>
      <c r="AJ149" s="28">
        <f>[1]服务器生态!W164</f>
        <v>149.48328161249998</v>
      </c>
      <c r="AK149" s="28">
        <f>[1]服务器生态!X164</f>
        <v>147.39188447695065</v>
      </c>
      <c r="AL149" s="28">
        <f>[1]服务器生态!Y164</f>
        <v>12.031642377215999</v>
      </c>
      <c r="AM149" s="28">
        <f>[1]服务器生态!Z164</f>
        <v>2.1405142000000001</v>
      </c>
      <c r="AN149" s="28">
        <f>[1]服务器生态!AA164</f>
        <v>0.61934399999999989</v>
      </c>
      <c r="AQ149" s="26">
        <v>143</v>
      </c>
      <c r="AR149" s="29">
        <f>[2]非r将兵属性验证!M149</f>
        <v>344.68218902592969</v>
      </c>
      <c r="AS149" s="29">
        <f>[2]小r将兵属性验证!M149</f>
        <v>345.07367437756506</v>
      </c>
      <c r="AT149" s="29">
        <f>[2]中r将兵属性验证!M149</f>
        <v>345.47721635513409</v>
      </c>
      <c r="AU149" s="29">
        <f>[2]大r将兵属性验证!M149</f>
        <v>345.89427334262223</v>
      </c>
      <c r="AV149" s="29">
        <f>[2]超r将兵属性验证!M149</f>
        <v>346.59720057799495</v>
      </c>
    </row>
    <row r="150" spans="2:48" x14ac:dyDescent="0.2">
      <c r="B150" s="26">
        <f>[1]节奏总纲!N147</f>
        <v>154</v>
      </c>
      <c r="C150" s="26">
        <v>144</v>
      </c>
      <c r="D150" s="26">
        <f>[1]节奏总纲!P147</f>
        <v>21617.817610103088</v>
      </c>
      <c r="E150" s="26">
        <f>[1]节奏总纲!Q147</f>
        <v>18290.835479908223</v>
      </c>
      <c r="F150" s="26">
        <f>[1]节奏总纲!R147</f>
        <v>14585.541541536553</v>
      </c>
      <c r="G150" s="26">
        <f>[1]节奏总纲!S147</f>
        <v>10380.876016371503</v>
      </c>
      <c r="H150" s="26">
        <f>[1]节奏总纲!T147</f>
        <v>5547.1319987524521</v>
      </c>
      <c r="K150" s="26">
        <v>144</v>
      </c>
      <c r="L150" s="26">
        <f>[1]节奏总纲!AD147</f>
        <v>71.793488759114723</v>
      </c>
      <c r="M150" s="26">
        <f>[1]节奏总纲!AE147</f>
        <v>73.880612931842577</v>
      </c>
      <c r="N150" s="26">
        <f>[1]节奏总纲!AF147</f>
        <v>76.747188164925547</v>
      </c>
      <c r="O150" s="26">
        <f>[1]节奏总纲!AG147</f>
        <v>81.322300043049054</v>
      </c>
      <c r="P150" s="26">
        <f>[1]节奏总纲!AH147</f>
        <v>90.586443675279497</v>
      </c>
      <c r="S150" s="26">
        <v>144</v>
      </c>
      <c r="T150" s="26">
        <f>[2]各R部队能量汇总!E150</f>
        <v>85821692273</v>
      </c>
      <c r="U150" s="26">
        <f>[2]各R部队能量汇总!F150</f>
        <v>86624594571</v>
      </c>
      <c r="V150" s="26">
        <f>[2]各R部队能量汇总!G150</f>
        <v>89868409650</v>
      </c>
      <c r="W150" s="26">
        <f>[2]各R部队能量汇总!H150</f>
        <v>92164773431</v>
      </c>
      <c r="X150" s="26">
        <f>[2]各R部队能量汇总!I150</f>
        <v>94713359124</v>
      </c>
      <c r="AA150" s="27">
        <v>144</v>
      </c>
      <c r="AB150" s="28">
        <f>[2]各R部队能量汇总!K150</f>
        <v>1</v>
      </c>
      <c r="AC150" s="28">
        <f>[2]各R部队能量汇总!L150</f>
        <v>1.0093554703564451</v>
      </c>
      <c r="AD150" s="28">
        <f>[2]各R部队能量汇总!M150</f>
        <v>1.0471526168946581</v>
      </c>
      <c r="AE150" s="28">
        <f>[2]各R部队能量汇总!N150</f>
        <v>1.0739099986262515</v>
      </c>
      <c r="AF150" s="28">
        <f>[2]各R部队能量汇总!O150</f>
        <v>1.1036062866567053</v>
      </c>
      <c r="AI150" s="27">
        <v>144</v>
      </c>
      <c r="AJ150" s="28">
        <f>[1]服务器生态!W165</f>
        <v>148.683905775</v>
      </c>
      <c r="AK150" s="28">
        <f>[1]服务器生态!X165</f>
        <v>146.60369258135199</v>
      </c>
      <c r="AL150" s="28">
        <f>[1]服务器生态!Y165</f>
        <v>11.967302043648001</v>
      </c>
      <c r="AM150" s="28">
        <f>[1]服务器生态!Z165</f>
        <v>2.1290676000000004</v>
      </c>
      <c r="AN150" s="28">
        <f>[1]服务器生态!AA165</f>
        <v>0.61603199999999991</v>
      </c>
      <c r="AQ150" s="26">
        <v>144</v>
      </c>
      <c r="AR150" s="29">
        <f>[2]非r将兵属性验证!M150</f>
        <v>345.03890320069098</v>
      </c>
      <c r="AS150" s="29">
        <f>[2]小r将兵属性验证!M150</f>
        <v>345.4310766289189</v>
      </c>
      <c r="AT150" s="29">
        <f>[2]中r将兵属性验证!M150</f>
        <v>345.83498563076722</v>
      </c>
      <c r="AU150" s="29">
        <f>[2]大r将兵属性验证!M150</f>
        <v>346.25352110037062</v>
      </c>
      <c r="AV150" s="29">
        <f>[2]超r将兵属性验证!M150</f>
        <v>346.96086940203566</v>
      </c>
    </row>
    <row r="151" spans="2:48" x14ac:dyDescent="0.2">
      <c r="B151" s="26">
        <f>[1]节奏总纲!N148</f>
        <v>155</v>
      </c>
      <c r="C151" s="26">
        <v>145</v>
      </c>
      <c r="D151" s="26">
        <f>[1]节奏总纲!P148</f>
        <v>23169.475005920798</v>
      </c>
      <c r="E151" s="26">
        <f>[1]节奏总纲!Q148</f>
        <v>19631.496172516694</v>
      </c>
      <c r="F151" s="26">
        <f>[1]节奏总纲!R148</f>
        <v>15650.9803664995</v>
      </c>
      <c r="G151" s="26">
        <f>[1]节奏总纲!S148</f>
        <v>11105.129370337838</v>
      </c>
      <c r="H151" s="26">
        <f>[1]节奏总纲!T148</f>
        <v>5926.7517065145412</v>
      </c>
      <c r="K151" s="26">
        <v>145</v>
      </c>
      <c r="L151" s="26">
        <f>[1]节奏总纲!AD148</f>
        <v>71.895048862094214</v>
      </c>
      <c r="M151" s="26">
        <f>[1]节奏总纲!AE148</f>
        <v>73.983200551411869</v>
      </c>
      <c r="N151" s="26">
        <f>[1]节奏总纲!AF148</f>
        <v>76.847042117764815</v>
      </c>
      <c r="O151" s="26">
        <f>[1]节奏总纲!AG148</f>
        <v>81.421783836457067</v>
      </c>
      <c r="P151" s="26">
        <f>[1]节奏总纲!AH148</f>
        <v>90.692702721352973</v>
      </c>
      <c r="S151" s="26">
        <v>145</v>
      </c>
      <c r="T151" s="26">
        <f>[2]各R部队能量汇总!E151</f>
        <v>88507023087</v>
      </c>
      <c r="U151" s="26">
        <f>[2]各R部队能量汇总!F151</f>
        <v>89305900342</v>
      </c>
      <c r="V151" s="26">
        <f>[2]各R部队能量汇总!G151</f>
        <v>92674021930</v>
      </c>
      <c r="W151" s="26">
        <f>[2]各R部队能量汇总!H151</f>
        <v>94963420573</v>
      </c>
      <c r="X151" s="26">
        <f>[2]各R部队能量汇总!I151</f>
        <v>97549005617</v>
      </c>
      <c r="AA151" s="27">
        <v>145</v>
      </c>
      <c r="AB151" s="28">
        <f>[2]各R部队能量汇总!K151</f>
        <v>1</v>
      </c>
      <c r="AC151" s="28">
        <f>[2]各R部队能量汇总!L151</f>
        <v>1.0090261453513663</v>
      </c>
      <c r="AD151" s="28">
        <f>[2]各R部队能量汇总!M151</f>
        <v>1.0470809964866172</v>
      </c>
      <c r="AE151" s="28">
        <f>[2]各R部队能量汇总!N151</f>
        <v>1.0729478549928579</v>
      </c>
      <c r="AF151" s="28">
        <f>[2]各R部队能量汇总!O151</f>
        <v>1.1021611869276404</v>
      </c>
      <c r="AI151" s="27">
        <v>145</v>
      </c>
      <c r="AJ151" s="28">
        <f>[1]服务器生态!W166</f>
        <v>147.88452993749999</v>
      </c>
      <c r="AK151" s="28">
        <f>[1]服务器生态!X166</f>
        <v>145.81550068575331</v>
      </c>
      <c r="AL151" s="28">
        <f>[1]服务器生态!Y166</f>
        <v>11.90296171008</v>
      </c>
      <c r="AM151" s="28">
        <f>[1]服务器生态!Z166</f>
        <v>2.1176210000000006</v>
      </c>
      <c r="AN151" s="28">
        <f>[1]服务器生态!AA166</f>
        <v>0.61271999999999993</v>
      </c>
      <c r="AQ151" s="26">
        <v>145</v>
      </c>
      <c r="AR151" s="29">
        <f>[2]非r将兵属性验证!M151</f>
        <v>345.39561737545228</v>
      </c>
      <c r="AS151" s="29">
        <f>[2]小r将兵属性验证!M151</f>
        <v>345.78847888027275</v>
      </c>
      <c r="AT151" s="29">
        <f>[2]中r将兵属性验证!M151</f>
        <v>346.19275490640035</v>
      </c>
      <c r="AU151" s="29">
        <f>[2]大r将兵属性验证!M151</f>
        <v>346.61276885811901</v>
      </c>
      <c r="AV151" s="29">
        <f>[2]超r将兵属性验证!M151</f>
        <v>347.3245382260763</v>
      </c>
    </row>
    <row r="152" spans="2:48" x14ac:dyDescent="0.2">
      <c r="B152" s="26">
        <f>[1]节奏总纲!N149</f>
        <v>156</v>
      </c>
      <c r="C152" s="26">
        <v>146</v>
      </c>
      <c r="D152" s="26">
        <f>[1]节奏总纲!P149</f>
        <v>24832.50022570635</v>
      </c>
      <c r="E152" s="26">
        <f>[1]节奏总纲!Q149</f>
        <v>21035.61094119585</v>
      </c>
      <c r="F152" s="26">
        <f>[1]节奏总纲!R149</f>
        <v>16719.722401968087</v>
      </c>
      <c r="G152" s="26">
        <f>[1]节奏总纲!S149</f>
        <v>11847.5858576845</v>
      </c>
      <c r="H152" s="26">
        <f>[1]节奏总纲!T149</f>
        <v>6324.8378074874072</v>
      </c>
      <c r="K152" s="26">
        <v>146</v>
      </c>
      <c r="L152" s="26">
        <f>[1]节奏总纲!AD149</f>
        <v>71.996608965073719</v>
      </c>
      <c r="M152" s="26">
        <f>[1]节奏总纲!AE149</f>
        <v>74.078973000522922</v>
      </c>
      <c r="N152" s="26">
        <f>[1]节奏总纲!AF149</f>
        <v>76.946896070604097</v>
      </c>
      <c r="O152" s="26">
        <f>[1]节奏总纲!AG149</f>
        <v>81.521267629865079</v>
      </c>
      <c r="P152" s="26">
        <f>[1]节奏总纲!AH149</f>
        <v>90.798961767426448</v>
      </c>
      <c r="S152" s="26">
        <v>146</v>
      </c>
      <c r="T152" s="26">
        <f>[2]各R部队能量汇总!E152</f>
        <v>91220787417</v>
      </c>
      <c r="U152" s="26">
        <f>[2]各R部队能量汇总!F152</f>
        <v>92079185228</v>
      </c>
      <c r="V152" s="26">
        <f>[2]各R部队能量汇总!G152</f>
        <v>95449713043</v>
      </c>
      <c r="W152" s="26">
        <f>[2]各R部队能量汇总!H152</f>
        <v>97779212166</v>
      </c>
      <c r="X152" s="26">
        <f>[2]各R部队能量汇总!I152</f>
        <v>100471053025</v>
      </c>
      <c r="AA152" s="27">
        <v>146</v>
      </c>
      <c r="AB152" s="28">
        <f>[2]各R部队能量汇总!K152</f>
        <v>1</v>
      </c>
      <c r="AC152" s="28">
        <f>[2]各R部队能量汇总!L152</f>
        <v>1.0094101118320322</v>
      </c>
      <c r="AD152" s="28">
        <f>[2]各R部队能量汇总!M152</f>
        <v>1.0463592317688313</v>
      </c>
      <c r="AE152" s="28">
        <f>[2]各R部队能量汇总!N152</f>
        <v>1.0718961646211109</v>
      </c>
      <c r="AF152" s="28">
        <f>[2]各R部队能量汇总!O152</f>
        <v>1.1014052374456496</v>
      </c>
      <c r="AI152" s="27">
        <v>146</v>
      </c>
      <c r="AJ152" s="28">
        <f>[1]服务器生态!W167</f>
        <v>147.08515409999998</v>
      </c>
      <c r="AK152" s="28">
        <f>[1]服务器生态!X167</f>
        <v>145.02730879015465</v>
      </c>
      <c r="AL152" s="28">
        <f>[1]服务器生态!Y167</f>
        <v>11.838621376511998</v>
      </c>
      <c r="AM152" s="28">
        <f>[1]服务器生态!Z167</f>
        <v>2.1061744000000004</v>
      </c>
      <c r="AN152" s="28">
        <f>[1]服务器生态!AA167</f>
        <v>0.60940799999999984</v>
      </c>
      <c r="AQ152" s="26">
        <v>146</v>
      </c>
      <c r="AR152" s="29">
        <f>[2]非r将兵属性验证!M152</f>
        <v>345.75233155021351</v>
      </c>
      <c r="AS152" s="29">
        <f>[2]小r将兵属性验证!M152</f>
        <v>346.14588113162665</v>
      </c>
      <c r="AT152" s="29">
        <f>[2]中r将兵属性验证!M152</f>
        <v>346.55052418203348</v>
      </c>
      <c r="AU152" s="29">
        <f>[2]大r将兵属性验证!M152</f>
        <v>346.9720166158674</v>
      </c>
      <c r="AV152" s="29">
        <f>[2]超r将兵属性验证!M152</f>
        <v>347.75901898335104</v>
      </c>
    </row>
    <row r="153" spans="2:48" x14ac:dyDescent="0.2">
      <c r="B153" s="26">
        <f>[1]节奏总纲!N150</f>
        <v>157</v>
      </c>
      <c r="C153" s="26">
        <v>147</v>
      </c>
      <c r="D153" s="26">
        <f>[1]节奏总纲!P150</f>
        <v>26614.886523801088</v>
      </c>
      <c r="E153" s="26">
        <f>[1]节奏总纲!Q150</f>
        <v>22470.948692045258</v>
      </c>
      <c r="F153" s="26">
        <f>[1]节奏总纲!R150</f>
        <v>17837.296948251489</v>
      </c>
      <c r="G153" s="26">
        <f>[1]节奏总纲!S150</f>
        <v>12631.425144195997</v>
      </c>
      <c r="H153" s="26">
        <f>[1]节奏总纲!T150</f>
        <v>6754.8581997407164</v>
      </c>
      <c r="K153" s="26">
        <v>147</v>
      </c>
      <c r="L153" s="26">
        <f>[1]节奏总纲!AD150</f>
        <v>72.091594979242075</v>
      </c>
      <c r="M153" s="26">
        <f>[1]节奏总纲!AE150</f>
        <v>74.173410870467364</v>
      </c>
      <c r="N153" s="26">
        <f>[1]节奏总纲!AF150</f>
        <v>77.043751281705866</v>
      </c>
      <c r="O153" s="26">
        <f>[1]节奏总纲!AG150</f>
        <v>81.620751423273092</v>
      </c>
      <c r="P153" s="26">
        <f>[1]节奏总纲!AH150</f>
        <v>90.905220813499923</v>
      </c>
      <c r="S153" s="26">
        <v>147</v>
      </c>
      <c r="T153" s="26">
        <f>[2]各R部队能量汇总!E153</f>
        <v>94054408309</v>
      </c>
      <c r="U153" s="26">
        <f>[2]各R部队能量汇总!F153</f>
        <v>94841796009</v>
      </c>
      <c r="V153" s="26">
        <f>[2]各R部队能量汇总!G153</f>
        <v>98297905588</v>
      </c>
      <c r="W153" s="26">
        <f>[2]各R部队能量汇总!H153</f>
        <v>100725536036</v>
      </c>
      <c r="X153" s="26">
        <f>[2]各R部队能量汇总!I153</f>
        <v>103529935371</v>
      </c>
      <c r="AA153" s="27">
        <v>147</v>
      </c>
      <c r="AB153" s="28">
        <f>[2]各R部队能量汇总!K153</f>
        <v>1</v>
      </c>
      <c r="AC153" s="28">
        <f>[2]各R部队能量汇总!L153</f>
        <v>1.0083716193015979</v>
      </c>
      <c r="AD153" s="28">
        <f>[2]各R部队能量汇总!M153</f>
        <v>1.0451174735484881</v>
      </c>
      <c r="AE153" s="28">
        <f>[2]各R部队能量汇总!N153</f>
        <v>1.070928389715484</v>
      </c>
      <c r="AF153" s="28">
        <f>[2]各R部队能量汇总!O153</f>
        <v>1.1007451668918031</v>
      </c>
      <c r="AI153" s="27">
        <v>147</v>
      </c>
      <c r="AJ153" s="28">
        <f>[1]服务器生态!W168</f>
        <v>146.2857782625</v>
      </c>
      <c r="AK153" s="28">
        <f>[1]服务器生态!X168</f>
        <v>144.23911689455599</v>
      </c>
      <c r="AL153" s="28">
        <f>[1]服务器生态!Y168</f>
        <v>11.774281042944001</v>
      </c>
      <c r="AM153" s="28">
        <f>[1]服务器生态!Z168</f>
        <v>2.0947278000000007</v>
      </c>
      <c r="AN153" s="28">
        <f>[1]服务器生态!AA168</f>
        <v>0.60609599999999997</v>
      </c>
      <c r="AQ153" s="26">
        <v>147</v>
      </c>
      <c r="AR153" s="29">
        <f>[2]非r将兵属性验证!M153</f>
        <v>346.10904572497486</v>
      </c>
      <c r="AS153" s="29">
        <f>[2]小r将兵属性验证!M153</f>
        <v>346.5032833829805</v>
      </c>
      <c r="AT153" s="29">
        <f>[2]中r将兵属性验证!M153</f>
        <v>346.90829345766656</v>
      </c>
      <c r="AU153" s="29">
        <f>[2]大r将兵属性验证!M153</f>
        <v>347.40144040495522</v>
      </c>
      <c r="AV153" s="29">
        <f>[2]超r将兵属性验证!M153</f>
        <v>348.30239110598325</v>
      </c>
    </row>
    <row r="154" spans="2:48" x14ac:dyDescent="0.2">
      <c r="B154" s="26">
        <f>[1]节奏总纲!N151</f>
        <v>158</v>
      </c>
      <c r="C154" s="26">
        <v>148</v>
      </c>
      <c r="D154" s="26">
        <f>[1]节奏总纲!P151</f>
        <v>28525.200858087381</v>
      </c>
      <c r="E154" s="26">
        <f>[1]节奏总纲!Q151</f>
        <v>24083.827084483179</v>
      </c>
      <c r="F154" s="26">
        <f>[1]节奏总纲!R151</f>
        <v>19128.999695433398</v>
      </c>
      <c r="G154" s="26">
        <f>[1]节奏总纲!S151</f>
        <v>13566.58552810636</v>
      </c>
      <c r="H154" s="26">
        <f>[1]节奏总纲!T151</f>
        <v>7242.5484978683862</v>
      </c>
      <c r="K154" s="26">
        <v>148</v>
      </c>
      <c r="L154" s="26">
        <f>[1]节奏总纲!AD151</f>
        <v>72.186353905945822</v>
      </c>
      <c r="M154" s="26">
        <f>[1]节奏总纲!AE151</f>
        <v>74.267848740411821</v>
      </c>
      <c r="N154" s="26">
        <f>[1]节奏总纲!AF151</f>
        <v>77.137200185007629</v>
      </c>
      <c r="O154" s="26">
        <f>[1]节奏总纲!AG151</f>
        <v>81.720235216681118</v>
      </c>
      <c r="P154" s="26">
        <f>[1]节奏总纲!AH151</f>
        <v>91.011076811620597</v>
      </c>
      <c r="S154" s="26">
        <v>148</v>
      </c>
      <c r="T154" s="26">
        <f>[2]各R部队能量汇总!E154</f>
        <v>96907956218</v>
      </c>
      <c r="U154" s="26">
        <f>[2]各R部队能量汇总!F154</f>
        <v>97752419035</v>
      </c>
      <c r="V154" s="26">
        <f>[2]各R部队能量汇总!G154</f>
        <v>101332495770</v>
      </c>
      <c r="W154" s="26">
        <f>[2]各R部队能量汇总!H154</f>
        <v>103868946840</v>
      </c>
      <c r="X154" s="26">
        <f>[2]各R部队能量汇总!I154</f>
        <v>106755712265</v>
      </c>
      <c r="AA154" s="27">
        <v>148</v>
      </c>
      <c r="AB154" s="28">
        <f>[2]各R部队能量汇总!K154</f>
        <v>1</v>
      </c>
      <c r="AC154" s="28">
        <f>[2]各R部队能量汇总!L154</f>
        <v>1.0087140710624454</v>
      </c>
      <c r="AD154" s="28">
        <f>[2]各R部队能量汇总!M154</f>
        <v>1.04565713409585</v>
      </c>
      <c r="AE154" s="28">
        <f>[2]各R部队能量汇总!N154</f>
        <v>1.0718309506635435</v>
      </c>
      <c r="AF154" s="28">
        <f>[2]各R部队能量汇总!O154</f>
        <v>1.1016196856411553</v>
      </c>
      <c r="AI154" s="27">
        <v>148</v>
      </c>
      <c r="AJ154" s="28">
        <f>[1]服务器生态!W169</f>
        <v>145.48640242499999</v>
      </c>
      <c r="AK154" s="28">
        <f>[1]服务器生态!X169</f>
        <v>143.45092499895733</v>
      </c>
      <c r="AL154" s="28">
        <f>[1]服务器生态!Y169</f>
        <v>11.709940709375999</v>
      </c>
      <c r="AM154" s="28">
        <f>[1]服务器生态!Z169</f>
        <v>2.0832812000000005</v>
      </c>
      <c r="AN154" s="28">
        <f>[1]服务器生态!AA169</f>
        <v>0.60278399999999988</v>
      </c>
      <c r="AQ154" s="26">
        <v>148</v>
      </c>
      <c r="AR154" s="29">
        <f>[2]非r将兵属性验证!M154</f>
        <v>346.4657598997361</v>
      </c>
      <c r="AS154" s="29">
        <f>[2]小r将兵属性验证!M154</f>
        <v>346.86068563433435</v>
      </c>
      <c r="AT154" s="29">
        <f>[2]中r将兵属性验证!M154</f>
        <v>347.35297280912641</v>
      </c>
      <c r="AU154" s="29">
        <f>[2]大r将兵属性验证!M154</f>
        <v>347.93955954329323</v>
      </c>
      <c r="AV154" s="29">
        <f>[2]超r将兵属性验证!M154</f>
        <v>348.8457632286154</v>
      </c>
    </row>
    <row r="155" spans="2:48" x14ac:dyDescent="0.2">
      <c r="B155" s="26">
        <f>[1]节奏总纲!N152</f>
        <v>159</v>
      </c>
      <c r="C155" s="26">
        <v>149</v>
      </c>
      <c r="D155" s="26">
        <f>[1]节奏总纲!P152</f>
        <v>30572.62506667812</v>
      </c>
      <c r="E155" s="26">
        <f>[1]节奏总纲!Q152</f>
        <v>25818.581868809673</v>
      </c>
      <c r="F155" s="26">
        <f>[1]节奏总纲!R152</f>
        <v>20520.345944754354</v>
      </c>
      <c r="G155" s="26">
        <f>[1]节奏总纲!S152</f>
        <v>14549.512269232117</v>
      </c>
      <c r="H155" s="26">
        <f>[1]节奏总纲!T152</f>
        <v>7768.50402944291</v>
      </c>
      <c r="K155" s="26">
        <v>149</v>
      </c>
      <c r="L155" s="26">
        <f>[1]节奏总纲!AD152</f>
        <v>72.281112832649583</v>
      </c>
      <c r="M155" s="26">
        <f>[1]节奏总纲!AE152</f>
        <v>74.362286610356264</v>
      </c>
      <c r="N155" s="26">
        <f>[1]节奏总纲!AF152</f>
        <v>77.230649088309391</v>
      </c>
      <c r="O155" s="26">
        <f>[1]节奏总纲!AG152</f>
        <v>81.819719010089131</v>
      </c>
      <c r="P155" s="26">
        <f>[1]节奏总纲!AH152</f>
        <v>91.113605194377854</v>
      </c>
      <c r="S155" s="26">
        <v>149</v>
      </c>
      <c r="T155" s="26">
        <f>[2]各R部队能量汇总!E155</f>
        <v>99891357568</v>
      </c>
      <c r="U155" s="26">
        <f>[2]各R部队能量汇总!F155</f>
        <v>100789876431</v>
      </c>
      <c r="V155" s="26">
        <f>[2]各R部队能量汇总!G155</f>
        <v>104500733586</v>
      </c>
      <c r="W155" s="26">
        <f>[2]各R部队能量汇总!H155</f>
        <v>107128870613</v>
      </c>
      <c r="X155" s="26">
        <f>[2]各R部队能量汇总!I155</f>
        <v>110046453729</v>
      </c>
      <c r="AA155" s="27">
        <v>149</v>
      </c>
      <c r="AB155" s="28">
        <f>[2]各R部队能量汇总!K155</f>
        <v>1</v>
      </c>
      <c r="AC155" s="28">
        <f>[2]各R部队能量汇总!L155</f>
        <v>1.00899496097436</v>
      </c>
      <c r="AD155" s="28">
        <f>[2]各R部队能量汇总!M155</f>
        <v>1.0461438920265171</v>
      </c>
      <c r="AE155" s="28">
        <f>[2]各R部队能量汇总!N155</f>
        <v>1.0724538460704485</v>
      </c>
      <c r="AF155" s="28">
        <f>[2]各R部队能量汇总!O155</f>
        <v>1.1016614090371835</v>
      </c>
      <c r="AI155" s="27">
        <v>149</v>
      </c>
      <c r="AJ155" s="28">
        <f>[1]服务器生态!W170</f>
        <v>144.68702658749999</v>
      </c>
      <c r="AK155" s="28">
        <f>[1]服务器生态!X170</f>
        <v>142.66273310335865</v>
      </c>
      <c r="AL155" s="28">
        <f>[1]服务器生态!Y170</f>
        <v>11.645600375808</v>
      </c>
      <c r="AM155" s="28">
        <f>[1]服务器生态!Z170</f>
        <v>2.0718346000000003</v>
      </c>
      <c r="AN155" s="28">
        <f>[1]服务器生态!AA170</f>
        <v>0.59947199999999989</v>
      </c>
      <c r="AQ155" s="26">
        <v>149</v>
      </c>
      <c r="AR155" s="29">
        <f>[2]非r将兵属性验证!M155</f>
        <v>346.82247407449739</v>
      </c>
      <c r="AS155" s="29">
        <f>[2]小r将兵属性验证!M155</f>
        <v>347.32707923533991</v>
      </c>
      <c r="AT155" s="29">
        <f>[2]中r将兵属性验证!M155</f>
        <v>347.88067989068435</v>
      </c>
      <c r="AU155" s="29">
        <f>[2]大r将兵属性验证!M155</f>
        <v>348.47767868163123</v>
      </c>
      <c r="AV155" s="29">
        <f>[2]超r将兵属性验证!M155</f>
        <v>349.4215240152152</v>
      </c>
    </row>
    <row r="156" spans="2:48" x14ac:dyDescent="0.2">
      <c r="B156" s="26">
        <f>[1]节奏总纲!N153</f>
        <v>160</v>
      </c>
      <c r="C156" s="26">
        <v>150</v>
      </c>
      <c r="D156" s="26">
        <f>[1]节奏总纲!P153</f>
        <v>32767</v>
      </c>
      <c r="E156" s="26">
        <f>[1]节奏总纲!Q153</f>
        <v>27671.731500000002</v>
      </c>
      <c r="F156" s="26">
        <f>[1]节奏总纲!R153</f>
        <v>21996.487099999998</v>
      </c>
      <c r="G156" s="26">
        <f>[1]节奏总纲!S153</f>
        <v>15603.645400000001</v>
      </c>
      <c r="H156" s="26">
        <f>[1]节奏总纲!T153</f>
        <v>8355.5850000000009</v>
      </c>
      <c r="K156" s="26">
        <v>150</v>
      </c>
      <c r="L156" s="26">
        <f>[1]节奏总纲!AD153</f>
        <v>72.375871759353331</v>
      </c>
      <c r="M156" s="26">
        <f>[1]节奏总纲!AE153</f>
        <v>74.456724480300707</v>
      </c>
      <c r="N156" s="26">
        <f>[1]节奏总纲!AF153</f>
        <v>77.324097991611154</v>
      </c>
      <c r="O156" s="26">
        <f>[1]节奏总纲!AG153</f>
        <v>81.919202803497143</v>
      </c>
      <c r="P156" s="26">
        <f>[1]节奏总纲!AH153</f>
        <v>91.216133577135096</v>
      </c>
      <c r="S156" s="26">
        <v>150</v>
      </c>
      <c r="T156" s="26">
        <f>[2]各R部队能量汇总!E156</f>
        <v>102820893296</v>
      </c>
      <c r="U156" s="26">
        <f>[2]各R部队能量汇总!F156</f>
        <v>103836821778</v>
      </c>
      <c r="V156" s="26">
        <f>[2]各R部队能量汇总!G156</f>
        <v>107766599210</v>
      </c>
      <c r="W156" s="26">
        <f>[2]各R部队能量汇总!H156</f>
        <v>110420835287</v>
      </c>
      <c r="X156" s="26">
        <f>[2]各R部队能量汇总!I156</f>
        <v>114528745567</v>
      </c>
      <c r="AA156" s="27">
        <v>150</v>
      </c>
      <c r="AB156" s="28">
        <f>[2]各R部队能量汇总!K156</f>
        <v>1</v>
      </c>
      <c r="AC156" s="28">
        <f>[2]各R部队能量汇总!L156</f>
        <v>1.0098805646346152</v>
      </c>
      <c r="AD156" s="28">
        <f>[2]各R部队能量汇总!M156</f>
        <v>1.0481002037179579</v>
      </c>
      <c r="AE156" s="28">
        <f>[2]各R部队能量汇总!N156</f>
        <v>1.0739143742811235</v>
      </c>
      <c r="AF156" s="28">
        <f>[2]各R部队能量汇总!O156</f>
        <v>1.1138664710614361</v>
      </c>
      <c r="AI156" s="27">
        <v>150</v>
      </c>
      <c r="AJ156" s="28">
        <f>[1]服务器生态!W171</f>
        <v>143.88765074999998</v>
      </c>
      <c r="AK156" s="28">
        <f>[1]服务器生态!X171</f>
        <v>141.87454120775999</v>
      </c>
      <c r="AL156" s="28">
        <f>[1]服务器生态!Y171</f>
        <v>11.58126004224</v>
      </c>
      <c r="AM156" s="28">
        <f>[1]服务器生态!Z171</f>
        <v>2.0603880000000006</v>
      </c>
      <c r="AN156" s="28">
        <f>[1]服务器生态!AA171</f>
        <v>0.59615999999999991</v>
      </c>
      <c r="AQ156" s="26">
        <v>150</v>
      </c>
      <c r="AR156" s="29">
        <f>[2]非r将兵属性验证!M156</f>
        <v>347.2995342875144</v>
      </c>
      <c r="AS156" s="29">
        <f>[2]小r将兵属性验证!M156</f>
        <v>347.83835058246518</v>
      </c>
      <c r="AT156" s="29">
        <f>[2]中r将兵属性验证!M156</f>
        <v>348.40838697224234</v>
      </c>
      <c r="AU156" s="29">
        <f>[2]大r将兵属性验证!M156</f>
        <v>349.01579781996924</v>
      </c>
      <c r="AV156" s="29">
        <f>[2]超r将兵属性验证!M156</f>
        <v>350.0053819678069</v>
      </c>
    </row>
    <row r="157" spans="2:48" x14ac:dyDescent="0.2">
      <c r="B157" s="26">
        <f>[1]节奏总纲!N154</f>
        <v>161</v>
      </c>
      <c r="C157" s="26">
        <v>151</v>
      </c>
      <c r="D157" s="26">
        <f>[1]节奏总纲!P154</f>
        <v>35118.87282038921</v>
      </c>
      <c r="E157" s="26">
        <f>[1]节奏总纲!Q154</f>
        <v>29671.935645946844</v>
      </c>
      <c r="F157" s="26">
        <f>[1]节奏总纲!R154</f>
        <v>23592.858760737468</v>
      </c>
      <c r="G157" s="26">
        <f>[1]节奏总纲!S154</f>
        <v>16804.380644556237</v>
      </c>
      <c r="H157" s="26">
        <f>[1]节奏总纲!T154</f>
        <v>9095.7880604808051</v>
      </c>
      <c r="K157" s="26">
        <v>151</v>
      </c>
      <c r="L157" s="26">
        <f>[1]节奏总纲!AD154</f>
        <v>72.470630686057078</v>
      </c>
      <c r="M157" s="26">
        <f>[1]节奏总纲!AE154</f>
        <v>74.551162350245164</v>
      </c>
      <c r="N157" s="26">
        <f>[1]节奏总纲!AF154</f>
        <v>77.417546894912917</v>
      </c>
      <c r="O157" s="26">
        <f>[1]节奏总纲!AG154</f>
        <v>82.01744549958407</v>
      </c>
      <c r="P157" s="26">
        <f>[1]节奏总纲!AH154</f>
        <v>91.318661959892353</v>
      </c>
      <c r="S157" s="26">
        <v>151</v>
      </c>
      <c r="T157" s="26">
        <f>[2]各R部队能量汇总!E157</f>
        <v>105715916386</v>
      </c>
      <c r="U157" s="26">
        <f>[2]各R部队能量汇总!F157</f>
        <v>106743278986</v>
      </c>
      <c r="V157" s="26">
        <f>[2]各R部队能量汇总!G157</f>
        <v>110796168205</v>
      </c>
      <c r="W157" s="26">
        <f>[2]各R部队能量汇总!H157</f>
        <v>115166493502</v>
      </c>
      <c r="X157" s="26">
        <f>[2]各R部队能量汇总!I157</f>
        <v>123462468932</v>
      </c>
      <c r="AA157" s="27">
        <v>151</v>
      </c>
      <c r="AB157" s="28">
        <f>[2]各R部队能量汇总!K157</f>
        <v>1</v>
      </c>
      <c r="AC157" s="28">
        <f>[2]各R部队能量汇总!L157</f>
        <v>1.009718144959826</v>
      </c>
      <c r="AD157" s="28">
        <f>[2]各R部队能量汇总!M157</f>
        <v>1.0480556948534647</v>
      </c>
      <c r="AE157" s="28">
        <f>[2]各R部队能量汇总!N157</f>
        <v>1.0893959721400244</v>
      </c>
      <c r="AF157" s="28">
        <f>[2]各R部队能量汇总!O157</f>
        <v>1.1678702049103193</v>
      </c>
      <c r="AI157" s="27">
        <v>151</v>
      </c>
      <c r="AJ157" s="28">
        <f>[1]服务器生态!W172</f>
        <v>143.048306120625</v>
      </c>
      <c r="AK157" s="28">
        <f>[1]服务器生态!X172</f>
        <v>141.04693971738141</v>
      </c>
      <c r="AL157" s="28">
        <f>[1]服务器生态!Y172</f>
        <v>11.513702691993601</v>
      </c>
      <c r="AM157" s="28">
        <f>[1]服务器生态!Z172</f>
        <v>2.0483690700000006</v>
      </c>
      <c r="AN157" s="28">
        <f>[1]服务器生态!AA172</f>
        <v>0.59268239999999994</v>
      </c>
      <c r="AQ157" s="26">
        <v>151</v>
      </c>
      <c r="AR157" s="29">
        <f>[2]非r将兵属性验证!M157</f>
        <v>347.78388777330298</v>
      </c>
      <c r="AS157" s="29">
        <f>[2]小r将兵属性验证!M157</f>
        <v>348.3496219295904</v>
      </c>
      <c r="AT157" s="29">
        <f>[2]中r将兵属性验证!M157</f>
        <v>348.93609405380028</v>
      </c>
      <c r="AU157" s="29">
        <f>[2]大r将兵属性验证!M157</f>
        <v>349.55391695830724</v>
      </c>
      <c r="AV157" s="29">
        <f>[2]超r将兵属性验证!M157</f>
        <v>350.58923992039854</v>
      </c>
    </row>
    <row r="158" spans="2:48" x14ac:dyDescent="0.2">
      <c r="B158" s="26">
        <f>[1]节奏总纲!N155</f>
        <v>162</v>
      </c>
      <c r="C158" s="26">
        <v>152</v>
      </c>
      <c r="D158" s="26">
        <f>[1]节奏总纲!P155</f>
        <v>37639.547696542824</v>
      </c>
      <c r="E158" s="26">
        <f>[1]节奏总纲!Q155</f>
        <v>31794.125939269725</v>
      </c>
      <c r="F158" s="26">
        <f>[1]节奏总纲!R155</f>
        <v>25425.514469014677</v>
      </c>
      <c r="G158" s="26">
        <f>[1]节奏总纲!S155</f>
        <v>18255.180632823271</v>
      </c>
      <c r="H158" s="26">
        <f>[1]节奏总纲!T155</f>
        <v>14114.830386203559</v>
      </c>
      <c r="K158" s="26">
        <v>152</v>
      </c>
      <c r="L158" s="26">
        <f>[1]节奏总纲!AD155</f>
        <v>72.565389612760825</v>
      </c>
      <c r="M158" s="26">
        <f>[1]节奏总纲!AE155</f>
        <v>74.645600220189607</v>
      </c>
      <c r="N158" s="26">
        <f>[1]节奏总纲!AF155</f>
        <v>77.51099579821468</v>
      </c>
      <c r="O158" s="26">
        <f>[1]节奏总纲!AG155</f>
        <v>82.110321933176039</v>
      </c>
      <c r="P158" s="26">
        <f>[1]节奏总纲!AH155</f>
        <v>91.421190342649595</v>
      </c>
      <c r="S158" s="26">
        <v>152</v>
      </c>
      <c r="T158" s="26">
        <f>[2]各R部队能量汇总!E158</f>
        <v>108634964235</v>
      </c>
      <c r="U158" s="26">
        <f>[2]各R部队能量汇总!F158</f>
        <v>109715945275</v>
      </c>
      <c r="V158" s="26">
        <f>[2]各R部队能量汇总!G158</f>
        <v>115958608171</v>
      </c>
      <c r="W158" s="26">
        <f>[2]各R部队能量汇总!H158</f>
        <v>123611985229</v>
      </c>
      <c r="X158" s="26">
        <f>[2]各R部队能量汇总!I158</f>
        <v>131604841706</v>
      </c>
      <c r="AA158" s="27">
        <v>152</v>
      </c>
      <c r="AB158" s="28">
        <f>[2]各R部队能量汇总!K158</f>
        <v>1</v>
      </c>
      <c r="AC158" s="28">
        <f>[2]各R部队能量汇总!L158</f>
        <v>1.009950581266466</v>
      </c>
      <c r="AD158" s="28">
        <f>[2]各R部队能量汇总!M158</f>
        <v>1.0674151640548935</v>
      </c>
      <c r="AE158" s="28">
        <f>[2]各R部队能量汇总!N158</f>
        <v>1.1378655674944724</v>
      </c>
      <c r="AF158" s="28">
        <f>[2]各R部队能量汇总!O158</f>
        <v>1.2114409263421986</v>
      </c>
      <c r="AI158" s="27">
        <v>152</v>
      </c>
      <c r="AJ158" s="28">
        <f>[1]服务器生态!W173</f>
        <v>142.20896149124999</v>
      </c>
      <c r="AK158" s="28">
        <f>[1]服务器生态!X173</f>
        <v>140.21933822700279</v>
      </c>
      <c r="AL158" s="28">
        <f>[1]服务器生态!Y173</f>
        <v>11.446145341747201</v>
      </c>
      <c r="AM158" s="28">
        <f>[1]服务器生态!Z173</f>
        <v>2.0363501400000006</v>
      </c>
      <c r="AN158" s="28">
        <f>[1]服务器生态!AA173</f>
        <v>0.58920479999999997</v>
      </c>
      <c r="AQ158" s="26">
        <v>152</v>
      </c>
      <c r="AR158" s="29">
        <f>[2]非r将兵属性验证!M158</f>
        <v>348.26824125909155</v>
      </c>
      <c r="AS158" s="29">
        <f>[2]小r将兵属性验证!M158</f>
        <v>348.86089327671567</v>
      </c>
      <c r="AT158" s="29">
        <f>[2]中r将兵属性验证!M158</f>
        <v>349.46380113535821</v>
      </c>
      <c r="AU158" s="29">
        <f>[2]大r将兵属性验证!M158</f>
        <v>350.11899882463894</v>
      </c>
      <c r="AV158" s="29">
        <f>[2]超r将兵属性验证!M158</f>
        <v>351.02353692493102</v>
      </c>
    </row>
    <row r="159" spans="2:48" x14ac:dyDescent="0.2">
      <c r="B159" s="26">
        <f>[1]节奏总纲!N156</f>
        <v>163</v>
      </c>
      <c r="C159" s="26">
        <v>153</v>
      </c>
      <c r="D159" s="26">
        <f>[1]节奏总纲!P156</f>
        <v>40341.140136486232</v>
      </c>
      <c r="E159" s="26">
        <f>[1]节奏总纲!Q156</f>
        <v>34330.31025614978</v>
      </c>
      <c r="F159" s="26">
        <f>[1]节奏总纲!R156</f>
        <v>27552.998713220099</v>
      </c>
      <c r="G159" s="26">
        <f>[1]节奏总纲!S156</f>
        <v>24204.684081891737</v>
      </c>
      <c r="H159" s="26">
        <f>[1]节奏总纲!T156</f>
        <v>24204.684081891737</v>
      </c>
      <c r="K159" s="26">
        <v>153</v>
      </c>
      <c r="L159" s="26">
        <f>[1]节奏总纲!AD156</f>
        <v>72.660148539464572</v>
      </c>
      <c r="M159" s="26">
        <f>[1]节奏总纲!AE156</f>
        <v>74.74003809013405</v>
      </c>
      <c r="N159" s="26">
        <f>[1]节奏总纲!AF156</f>
        <v>77.604444701516456</v>
      </c>
      <c r="O159" s="26">
        <f>[1]节奏总纲!AG156</f>
        <v>82.203198366767992</v>
      </c>
      <c r="P159" s="26">
        <f>[1]节奏总纲!AH156</f>
        <v>91.523718725406852</v>
      </c>
      <c r="S159" s="26">
        <v>153</v>
      </c>
      <c r="T159" s="26">
        <f>[2]各R部队能量汇总!E159</f>
        <v>111663672745</v>
      </c>
      <c r="U159" s="26">
        <f>[2]各R部队能量汇总!F159</f>
        <v>112908624044</v>
      </c>
      <c r="V159" s="26">
        <f>[2]各R部队能量汇总!G159</f>
        <v>124115227250</v>
      </c>
      <c r="W159" s="26">
        <f>[2]各R部队能量汇总!H159</f>
        <v>131389962392</v>
      </c>
      <c r="X159" s="26">
        <f>[2]各R部队能量汇总!I159</f>
        <v>139521805020</v>
      </c>
      <c r="AA159" s="27">
        <v>153</v>
      </c>
      <c r="AB159" s="28">
        <f>[2]各R部队能量汇总!K159</f>
        <v>1</v>
      </c>
      <c r="AC159" s="28">
        <f>[2]各R部队能量汇总!L159</f>
        <v>1.0111491165246107</v>
      </c>
      <c r="AD159" s="28">
        <f>[2]各R部队能量汇总!M159</f>
        <v>1.1115094479601697</v>
      </c>
      <c r="AE159" s="28">
        <f>[2]各R部队能量汇总!N159</f>
        <v>1.1766580765442654</v>
      </c>
      <c r="AF159" s="28">
        <f>[2]各R部队能量汇总!O159</f>
        <v>1.2494825003528054</v>
      </c>
      <c r="AI159" s="27">
        <v>153</v>
      </c>
      <c r="AJ159" s="28">
        <f>[1]服务器生态!W174</f>
        <v>141.36961686187499</v>
      </c>
      <c r="AK159" s="28">
        <f>[1]服务器生态!X174</f>
        <v>139.39173673662421</v>
      </c>
      <c r="AL159" s="28">
        <f>[1]服务器生态!Y174</f>
        <v>11.378587991500801</v>
      </c>
      <c r="AM159" s="28">
        <f>[1]服务器生态!Z174</f>
        <v>2.0243312100000006</v>
      </c>
      <c r="AN159" s="28">
        <f>[1]服务器生态!AA174</f>
        <v>0.58572719999999989</v>
      </c>
      <c r="AQ159" s="26">
        <v>153</v>
      </c>
      <c r="AR159" s="29">
        <f>[2]非r将兵属性验证!M159</f>
        <v>348.75259474488007</v>
      </c>
      <c r="AS159" s="29">
        <f>[2]小r将兵属性验证!M159</f>
        <v>349.37216462384094</v>
      </c>
      <c r="AT159" s="29">
        <f>[2]中r将兵属性验证!M159</f>
        <v>349.99621779305437</v>
      </c>
      <c r="AU159" s="29">
        <f>[2]大r将兵属性验证!M159</f>
        <v>350.55145756799936</v>
      </c>
      <c r="AV159" s="29">
        <f>[2]超r将兵属性验证!M159</f>
        <v>351.4513233520687</v>
      </c>
    </row>
    <row r="160" spans="2:48" x14ac:dyDescent="0.2">
      <c r="B160" s="26">
        <f>[1]节奏总纲!N157</f>
        <v>164</v>
      </c>
      <c r="C160" s="26">
        <v>154</v>
      </c>
      <c r="D160" s="26">
        <f>[1]节奏总纲!P157</f>
        <v>43236.635220206183</v>
      </c>
      <c r="E160" s="26">
        <f>[1]节奏总纲!Q157</f>
        <v>36967.323113276288</v>
      </c>
      <c r="F160" s="26">
        <f>[1]节奏总纲!R157</f>
        <v>33940.758647861854</v>
      </c>
      <c r="G160" s="26">
        <f>[1]节奏总纲!S157</f>
        <v>34156.941823962887</v>
      </c>
      <c r="H160" s="26">
        <f>[1]节奏总纲!T157</f>
        <v>34156.941823962887</v>
      </c>
      <c r="K160" s="26">
        <v>154</v>
      </c>
      <c r="L160" s="26">
        <f>[1]节奏总纲!AD157</f>
        <v>72.754907466168333</v>
      </c>
      <c r="M160" s="26">
        <f>[1]节奏总纲!AE157</f>
        <v>74.834475960078507</v>
      </c>
      <c r="N160" s="26">
        <f>[1]节奏总纲!AF157</f>
        <v>77.697893604818219</v>
      </c>
      <c r="O160" s="26">
        <f>[1]节奏总纲!AG157</f>
        <v>82.29607480035996</v>
      </c>
      <c r="P160" s="26">
        <f>[1]节奏总纲!AH157</f>
        <v>91.626247108164094</v>
      </c>
      <c r="S160" s="26">
        <v>154</v>
      </c>
      <c r="T160" s="26">
        <f>[2]各R部队能量汇总!E160</f>
        <v>117738928119</v>
      </c>
      <c r="U160" s="26">
        <f>[2]各R部队能量汇总!F160</f>
        <v>119165614708</v>
      </c>
      <c r="V160" s="26">
        <f>[2]各R部队能量汇总!G160</f>
        <v>131512295071</v>
      </c>
      <c r="W160" s="26">
        <f>[2]各R部队能量汇总!H160</f>
        <v>138965963339</v>
      </c>
      <c r="X160" s="26">
        <f>[2]各R部队能量汇总!I160</f>
        <v>140185216566</v>
      </c>
      <c r="AA160" s="27">
        <v>154</v>
      </c>
      <c r="AB160" s="28">
        <f>[2]各R部队能量汇总!K160</f>
        <v>1</v>
      </c>
      <c r="AC160" s="28">
        <f>[2]各R部队能量汇总!L160</f>
        <v>1.0121173736825431</v>
      </c>
      <c r="AD160" s="28">
        <f>[2]各R部队能量汇总!M160</f>
        <v>1.1169822689236573</v>
      </c>
      <c r="AE160" s="28">
        <f>[2]各R部队能量汇总!N160</f>
        <v>1.1802890136603386</v>
      </c>
      <c r="AF160" s="28">
        <f>[2]各R部队能量汇总!O160</f>
        <v>1.1906445795422334</v>
      </c>
      <c r="AI160" s="27">
        <v>154</v>
      </c>
      <c r="AJ160" s="28">
        <f>[1]服务器生态!W175</f>
        <v>140.53027223249998</v>
      </c>
      <c r="AK160" s="28">
        <f>[1]服务器生态!X175</f>
        <v>138.5641352462456</v>
      </c>
      <c r="AL160" s="28">
        <f>[1]服务器生态!Y175</f>
        <v>11.311030641254401</v>
      </c>
      <c r="AM160" s="28">
        <f>[1]服务器生态!Z175</f>
        <v>2.0123122800000006</v>
      </c>
      <c r="AN160" s="28">
        <f>[1]服务器生态!AA175</f>
        <v>0.58224959999999992</v>
      </c>
      <c r="AQ160" s="26">
        <v>154</v>
      </c>
      <c r="AR160" s="29">
        <f>[2]非r将兵属性验证!M160</f>
        <v>349.23694823066865</v>
      </c>
      <c r="AS160" s="29">
        <f>[2]小r将兵属性验证!M160</f>
        <v>349.88343597096622</v>
      </c>
      <c r="AT160" s="29">
        <f>[2]中r将兵属性验证!M160</f>
        <v>350.42658014584032</v>
      </c>
      <c r="AU160" s="29">
        <f>[2]大r将兵属性验证!M160</f>
        <v>350.9733625194242</v>
      </c>
      <c r="AV160" s="29">
        <f>[2]超r将兵属性验证!M160</f>
        <v>351.87910977920643</v>
      </c>
    </row>
    <row r="161" spans="2:48" x14ac:dyDescent="0.2">
      <c r="B161" s="26">
        <f>[1]节奏总纲!N158</f>
        <v>165</v>
      </c>
      <c r="C161" s="26">
        <v>155</v>
      </c>
      <c r="D161" s="26">
        <f>[1]节奏总纲!P158</f>
        <v>46339.950011841604</v>
      </c>
      <c r="E161" s="26">
        <f>[1]节奏总纲!Q158</f>
        <v>44078.560451263736</v>
      </c>
      <c r="F161" s="26">
        <f>[1]节奏总纲!R158</f>
        <v>44402.940101346627</v>
      </c>
      <c r="G161" s="26">
        <f>[1]节奏总纲!S158</f>
        <v>44402.940101346627</v>
      </c>
      <c r="H161" s="26">
        <f>[1]节奏总纲!T158</f>
        <v>44541.959951382152</v>
      </c>
      <c r="K161" s="26">
        <v>155</v>
      </c>
      <c r="L161" s="26">
        <f>[1]节奏总纲!AD158</f>
        <v>72.849666392872081</v>
      </c>
      <c r="M161" s="26">
        <f>[1]节奏总纲!AE158</f>
        <v>74.92891383002295</v>
      </c>
      <c r="N161" s="26">
        <f>[1]节奏总纲!AF158</f>
        <v>77.791342508119982</v>
      </c>
      <c r="O161" s="26">
        <f>[1]节奏总纲!AG158</f>
        <v>82.388951233951914</v>
      </c>
      <c r="P161" s="26">
        <f>[1]节奏总纲!AH158</f>
        <v>91.72877549092135</v>
      </c>
      <c r="S161" s="26">
        <v>155</v>
      </c>
      <c r="T161" s="26">
        <f>[2]各R部队能量汇总!E161</f>
        <v>124555332399</v>
      </c>
      <c r="U161" s="26">
        <f>[2]各R部队能量汇总!F161</f>
        <v>125349593055</v>
      </c>
      <c r="V161" s="26">
        <f>[2]各R部队能量汇总!G161</f>
        <v>138793067933</v>
      </c>
      <c r="W161" s="26">
        <f>[2]各R部队能量汇总!H161</f>
        <v>139801298423</v>
      </c>
      <c r="X161" s="26">
        <f>[2]各R部队能量汇总!I161</f>
        <v>140527615543</v>
      </c>
      <c r="AA161" s="27">
        <v>155</v>
      </c>
      <c r="AB161" s="28">
        <f>[2]各R部队能量汇总!K161</f>
        <v>1</v>
      </c>
      <c r="AC161" s="28">
        <f>[2]各R部队能量汇总!L161</f>
        <v>1.0063767695906882</v>
      </c>
      <c r="AD161" s="28">
        <f>[2]各R部队能量汇总!M161</f>
        <v>1.1143085186300246</v>
      </c>
      <c r="AE161" s="28">
        <f>[2]各R部队能量汇总!N161</f>
        <v>1.1224031579407707</v>
      </c>
      <c r="AF161" s="28">
        <f>[2]各R部队能量汇总!O161</f>
        <v>1.1282344387539704</v>
      </c>
      <c r="AI161" s="27">
        <v>155</v>
      </c>
      <c r="AJ161" s="28">
        <f>[1]服务器生态!W176</f>
        <v>139.690927603125</v>
      </c>
      <c r="AK161" s="28">
        <f>[1]服务器生态!X176</f>
        <v>137.73653375586699</v>
      </c>
      <c r="AL161" s="28">
        <f>[1]服务器生态!Y176</f>
        <v>11.243473291008</v>
      </c>
      <c r="AM161" s="28">
        <f>[1]服务器生态!Z176</f>
        <v>2.0002933500000006</v>
      </c>
      <c r="AN161" s="28">
        <f>[1]服务器生态!AA176</f>
        <v>0.57877199999999995</v>
      </c>
      <c r="AQ161" s="26">
        <v>155</v>
      </c>
      <c r="AR161" s="29">
        <f>[2]非r将兵属性验证!M161</f>
        <v>349.72130171645722</v>
      </c>
      <c r="AS161" s="29">
        <f>[2]小r将兵属性验证!M161</f>
        <v>350.29793129159822</v>
      </c>
      <c r="AT161" s="29">
        <f>[2]中r将兵属性验证!M161</f>
        <v>350.84493456237175</v>
      </c>
      <c r="AU161" s="29">
        <f>[2]大r将兵属性验证!M161</f>
        <v>351.39526747084909</v>
      </c>
      <c r="AV161" s="29">
        <f>[2]超r将兵属性验证!M161</f>
        <v>352.30689620634411</v>
      </c>
    </row>
    <row r="162" spans="2:48" x14ac:dyDescent="0.2">
      <c r="B162" s="26">
        <f>[1]节奏总纲!N159</f>
        <v>166</v>
      </c>
      <c r="C162" s="26">
        <v>156</v>
      </c>
      <c r="D162" s="26">
        <f>[1]节奏总纲!P159</f>
        <v>49666.000451412707</v>
      </c>
      <c r="E162" s="26">
        <f>[1]节奏总纲!Q159</f>
        <v>49666.000451412707</v>
      </c>
      <c r="F162" s="26">
        <f>[1]节奏总纲!R159</f>
        <v>50162.660455926831</v>
      </c>
      <c r="G162" s="26">
        <f>[1]节奏总纲!S159</f>
        <v>50162.660455926831</v>
      </c>
      <c r="H162" s="26">
        <f>[1]节奏总纲!T159</f>
        <v>50311.658457281068</v>
      </c>
      <c r="K162" s="26">
        <v>156</v>
      </c>
      <c r="L162" s="26">
        <f>[1]节奏总纲!AD159</f>
        <v>72.944425319575828</v>
      </c>
      <c r="M162" s="26">
        <f>[1]节奏总纲!AE159</f>
        <v>75.022035011469043</v>
      </c>
      <c r="N162" s="26">
        <f>[1]节奏总纲!AF159</f>
        <v>77.884791411421745</v>
      </c>
      <c r="O162" s="26">
        <f>[1]节奏总纲!AG159</f>
        <v>82.481827667543882</v>
      </c>
      <c r="P162" s="26">
        <f>[1]节奏总纲!AH159</f>
        <v>91.831303873678593</v>
      </c>
      <c r="S162" s="26">
        <v>156</v>
      </c>
      <c r="T162" s="26">
        <f>[2]各R部队能量汇总!E162</f>
        <v>130914638303</v>
      </c>
      <c r="U162" s="26">
        <f>[2]各R部队能量汇总!F162</f>
        <v>131348281250</v>
      </c>
      <c r="V162" s="26">
        <f>[2]各R部队能量汇总!G162</f>
        <v>139697635800</v>
      </c>
      <c r="W162" s="26">
        <f>[2]各R部队能量汇总!H162</f>
        <v>140138542747</v>
      </c>
      <c r="X162" s="26">
        <f>[2]各R部队能量汇总!I162</f>
        <v>140870435418</v>
      </c>
      <c r="AA162" s="27">
        <v>156</v>
      </c>
      <c r="AB162" s="28">
        <f>[2]各R部队能量汇总!K162</f>
        <v>1</v>
      </c>
      <c r="AC162" s="28">
        <f>[2]各R部队能量汇总!L162</f>
        <v>1.0033124099231465</v>
      </c>
      <c r="AD162" s="28">
        <f>[2]各R部队能量汇总!M162</f>
        <v>1.0670894990113473</v>
      </c>
      <c r="AE162" s="28">
        <f>[2]各R部队能量汇总!N162</f>
        <v>1.0704573954720893</v>
      </c>
      <c r="AF162" s="28">
        <f>[2]各R部队能量汇总!O162</f>
        <v>1.0760480053571813</v>
      </c>
      <c r="AI162" s="27">
        <v>156</v>
      </c>
      <c r="AJ162" s="28">
        <f>[1]服务器生态!W177</f>
        <v>138.85158297375</v>
      </c>
      <c r="AK162" s="28">
        <f>[1]服务器生态!X177</f>
        <v>136.9089322654884</v>
      </c>
      <c r="AL162" s="28">
        <f>[1]服务器生态!Y177</f>
        <v>11.1759159407616</v>
      </c>
      <c r="AM162" s="28">
        <f>[1]服务器生态!Z177</f>
        <v>1.9882744200000007</v>
      </c>
      <c r="AN162" s="28">
        <f>[1]服务器生态!AA177</f>
        <v>0.57529439999999987</v>
      </c>
      <c r="AQ162" s="26">
        <v>156</v>
      </c>
      <c r="AR162" s="29">
        <f>[2]非r将兵属性验证!M162</f>
        <v>350.13334349123255</v>
      </c>
      <c r="AS162" s="29">
        <f>[2]小r将兵属性验证!M162</f>
        <v>350.71275665476981</v>
      </c>
      <c r="AT162" s="29">
        <f>[2]中r将兵属性验证!M162</f>
        <v>351.26328897890318</v>
      </c>
      <c r="AU162" s="29">
        <f>[2]大r将兵属性验证!M162</f>
        <v>351.81717242227393</v>
      </c>
      <c r="AV162" s="29">
        <f>[2]超r将兵属性验证!M162</f>
        <v>352.73468263348178</v>
      </c>
    </row>
    <row r="163" spans="2:48" x14ac:dyDescent="0.2">
      <c r="B163" s="26">
        <f>[1]节奏总纲!N160</f>
        <v>167</v>
      </c>
      <c r="C163" s="26">
        <v>157</v>
      </c>
      <c r="D163" s="26">
        <f>[1]节奏总纲!P160</f>
        <v>53230.773047602182</v>
      </c>
      <c r="E163" s="26">
        <f>[1]节奏总纲!Q160</f>
        <v>53230.773047602182</v>
      </c>
      <c r="F163" s="26">
        <f>[1]节奏总纲!R160</f>
        <v>53763.080778078205</v>
      </c>
      <c r="G163" s="26">
        <f>[1]节奏总纲!S160</f>
        <v>53763.080778078205</v>
      </c>
      <c r="H163" s="26">
        <f>[1]节奏总纲!T160</f>
        <v>53763.080778078205</v>
      </c>
      <c r="K163" s="26">
        <v>157</v>
      </c>
      <c r="L163" s="26">
        <f>[1]节奏总纲!AD160</f>
        <v>73.036560194527354</v>
      </c>
      <c r="M163" s="26">
        <f>[1]节奏总纲!AE160</f>
        <v>75.111147990406067</v>
      </c>
      <c r="N163" s="26">
        <f>[1]节奏总纲!AF160</f>
        <v>77.978240314723507</v>
      </c>
      <c r="O163" s="26">
        <f>[1]节奏总纲!AG160</f>
        <v>82.574704101135836</v>
      </c>
      <c r="P163" s="26">
        <f>[1]节奏总纲!AH160</f>
        <v>91.933832256435849</v>
      </c>
      <c r="S163" s="26">
        <v>157</v>
      </c>
      <c r="T163" s="26">
        <f>[2]各R部队能量汇总!E163</f>
        <v>137044798159</v>
      </c>
      <c r="U163" s="26">
        <f>[2]各R部队能量汇总!F163</f>
        <v>137501122814</v>
      </c>
      <c r="V163" s="26">
        <f>[2]各R部队能量汇总!G163</f>
        <v>140031928737</v>
      </c>
      <c r="W163" s="26">
        <f>[2]各R部队能量汇总!H163</f>
        <v>140476196558</v>
      </c>
      <c r="X163" s="26">
        <f>[2]各R部队能量汇总!I163</f>
        <v>141213676203</v>
      </c>
      <c r="AA163" s="27">
        <v>157</v>
      </c>
      <c r="AB163" s="28">
        <f>[2]各R部队能量汇总!K163</f>
        <v>1</v>
      </c>
      <c r="AC163" s="28">
        <f>[2]各R部队能量汇总!L163</f>
        <v>1.0033297480906249</v>
      </c>
      <c r="AD163" s="28">
        <f>[2]各R部队能量汇总!M163</f>
        <v>1.0217967454301644</v>
      </c>
      <c r="AE163" s="28">
        <f>[2]各R部队能量汇总!N163</f>
        <v>1.0250385162012416</v>
      </c>
      <c r="AF163" s="28">
        <f>[2]各R部队能量汇总!O163</f>
        <v>1.0304198196502377</v>
      </c>
      <c r="AI163" s="27">
        <v>157</v>
      </c>
      <c r="AJ163" s="28">
        <f>[1]服务器生态!W178</f>
        <v>138.01223834437499</v>
      </c>
      <c r="AK163" s="28">
        <f>[1]服务器生态!X178</f>
        <v>136.08133077510979</v>
      </c>
      <c r="AL163" s="28">
        <f>[1]服务器生态!Y178</f>
        <v>11.1083585905152</v>
      </c>
      <c r="AM163" s="28">
        <f>[1]服务器生态!Z178</f>
        <v>1.9762554900000007</v>
      </c>
      <c r="AN163" s="28">
        <f>[1]服务器生态!AA178</f>
        <v>0.5718167999999999</v>
      </c>
      <c r="AQ163" s="26">
        <v>157</v>
      </c>
      <c r="AR163" s="29">
        <f>[2]非r将兵属性验证!M163</f>
        <v>350.54445466745835</v>
      </c>
      <c r="AS163" s="29">
        <f>[2]小r将兵属性验证!M163</f>
        <v>351.12758201794139</v>
      </c>
      <c r="AT163" s="29">
        <f>[2]中r将兵属性验证!M163</f>
        <v>351.68164339543461</v>
      </c>
      <c r="AU163" s="29">
        <f>[2]大r将兵属性验证!M163</f>
        <v>352.23907737369876</v>
      </c>
      <c r="AV163" s="29">
        <f>[2]超r将兵属性验证!M163</f>
        <v>353.16246906061951</v>
      </c>
    </row>
    <row r="164" spans="2:48" x14ac:dyDescent="0.2">
      <c r="B164" s="26">
        <f>[1]节奏总纲!N161</f>
        <v>168</v>
      </c>
      <c r="C164" s="26">
        <v>158</v>
      </c>
      <c r="D164" s="26">
        <f>[1]节奏总纲!P161</f>
        <v>57051.401716174769</v>
      </c>
      <c r="E164" s="26">
        <f>[1]节奏总纲!Q161</f>
        <v>57051.401716174769</v>
      </c>
      <c r="F164" s="26">
        <f>[1]节奏总纲!R161</f>
        <v>57621.915733336515</v>
      </c>
      <c r="G164" s="26">
        <f>[1]节奏总纲!S161</f>
        <v>57621.915733336515</v>
      </c>
      <c r="H164" s="26">
        <f>[1]节奏总纲!T161</f>
        <v>57621.915733336515</v>
      </c>
      <c r="K164" s="26">
        <v>158</v>
      </c>
      <c r="L164" s="26">
        <f>[1]节奏总纲!AD161</f>
        <v>73.124973399384572</v>
      </c>
      <c r="M164" s="26">
        <f>[1]节奏总纲!AE161</f>
        <v>75.200260969343077</v>
      </c>
      <c r="N164" s="26">
        <f>[1]节奏总纲!AF161</f>
        <v>78.066694029528094</v>
      </c>
      <c r="O164" s="26">
        <f>[1]节奏总纲!AG161</f>
        <v>82.667580534727804</v>
      </c>
      <c r="P164" s="26">
        <f>[1]节奏总纲!AH161</f>
        <v>92.033129415212969</v>
      </c>
      <c r="S164" s="26">
        <v>158</v>
      </c>
      <c r="T164" s="26">
        <f>[2]各R部队能量汇总!E164</f>
        <v>139455638903</v>
      </c>
      <c r="U164" s="26">
        <f>[2]各R部队能量汇总!F164</f>
        <v>139922403311</v>
      </c>
      <c r="V164" s="26">
        <f>[2]各R部队能量汇总!G164</f>
        <v>140366624354</v>
      </c>
      <c r="W164" s="26">
        <f>[2]各R部队能量汇总!H164</f>
        <v>140814259867</v>
      </c>
      <c r="X164" s="26">
        <f>[2]各R部队能量汇总!I164</f>
        <v>141557337909</v>
      </c>
      <c r="AA164" s="27">
        <v>158</v>
      </c>
      <c r="AB164" s="28">
        <f>[2]各R部队能量汇总!K164</f>
        <v>1</v>
      </c>
      <c r="AC164" s="28">
        <f>[2]各R部队能量汇总!L164</f>
        <v>1.0033470457822409</v>
      </c>
      <c r="AD164" s="28">
        <f>[2]各R部队能量汇总!M164</f>
        <v>1.0065324389760506</v>
      </c>
      <c r="AE164" s="28">
        <f>[2]各R部队能量汇总!N164</f>
        <v>1.0097423164433315</v>
      </c>
      <c r="AF164" s="28">
        <f>[2]各R部队能量汇总!O164</f>
        <v>1.0150707351996133</v>
      </c>
      <c r="AI164" s="27">
        <v>158</v>
      </c>
      <c r="AJ164" s="28">
        <f>[1]服务器生态!W179</f>
        <v>137.17289371499996</v>
      </c>
      <c r="AK164" s="28">
        <f>[1]服务器生态!X179</f>
        <v>135.25372928473118</v>
      </c>
      <c r="AL164" s="28">
        <f>[1]服务器生态!Y179</f>
        <v>11.040801240268799</v>
      </c>
      <c r="AM164" s="28">
        <f>[1]服务器生态!Z179</f>
        <v>1.9642365600000002</v>
      </c>
      <c r="AN164" s="28">
        <f>[1]服务器生态!AA179</f>
        <v>0.56833919999999982</v>
      </c>
      <c r="AQ164" s="26">
        <v>158</v>
      </c>
      <c r="AR164" s="29">
        <f>[2]非r将兵属性验证!M164</f>
        <v>350.95556584368421</v>
      </c>
      <c r="AS164" s="29">
        <f>[2]小r将兵属性验证!M164</f>
        <v>351.54240738111298</v>
      </c>
      <c r="AT164" s="29">
        <f>[2]中r将兵属性验证!M164</f>
        <v>352.09999781196603</v>
      </c>
      <c r="AU164" s="29">
        <f>[2]大r将兵属性验证!M164</f>
        <v>352.66098232512354</v>
      </c>
      <c r="AV164" s="29">
        <f>[2]超r将兵属性验证!M164</f>
        <v>353.59025548775719</v>
      </c>
    </row>
    <row r="165" spans="2:48" x14ac:dyDescent="0.2">
      <c r="B165" s="26">
        <f>[1]节奏总纲!N162</f>
        <v>169</v>
      </c>
      <c r="C165" s="26">
        <v>159</v>
      </c>
      <c r="D165" s="26">
        <f>[1]节奏总纲!P162</f>
        <v>61146.25013335624</v>
      </c>
      <c r="E165" s="26">
        <f>[1]节奏总纲!Q162</f>
        <v>61146.25013335624</v>
      </c>
      <c r="F165" s="26">
        <f>[1]节奏总纲!R162</f>
        <v>61757.7126346898</v>
      </c>
      <c r="G165" s="26">
        <f>[1]节奏总纲!S162</f>
        <v>61757.7126346898</v>
      </c>
      <c r="H165" s="26">
        <f>[1]节奏总纲!T162</f>
        <v>61757.7126346898</v>
      </c>
      <c r="K165" s="26">
        <v>159</v>
      </c>
      <c r="L165" s="26">
        <f>[1]节奏总纲!AD162</f>
        <v>73.213386604241791</v>
      </c>
      <c r="M165" s="26">
        <f>[1]节奏总纲!AE162</f>
        <v>75.289373948280101</v>
      </c>
      <c r="N165" s="26">
        <f>[1]节奏总纲!AF162</f>
        <v>78.153631564737054</v>
      </c>
      <c r="O165" s="26">
        <f>[1]节奏总纲!AG162</f>
        <v>82.760456968319758</v>
      </c>
      <c r="P165" s="26">
        <f>[1]节奏总纲!AH162</f>
        <v>92.126546512350387</v>
      </c>
      <c r="S165" s="26">
        <v>159</v>
      </c>
      <c r="T165" s="26">
        <f>[2]各R部队能量汇总!E165</f>
        <v>139783881144</v>
      </c>
      <c r="U165" s="26">
        <f>[2]各R部队能量汇总!F165</f>
        <v>140254156496</v>
      </c>
      <c r="V165" s="26">
        <f>[2]各R部队能量汇总!G165</f>
        <v>140701722661</v>
      </c>
      <c r="W165" s="26">
        <f>[2]各R部队能量汇总!H165</f>
        <v>141152732687</v>
      </c>
      <c r="X165" s="26">
        <f>[2]各R部队能量汇总!I165</f>
        <v>141901420549</v>
      </c>
      <c r="AA165" s="27">
        <v>159</v>
      </c>
      <c r="AB165" s="28">
        <f>[2]各R部队能量汇总!K165</f>
        <v>1</v>
      </c>
      <c r="AC165" s="28">
        <f>[2]各R部队能量汇总!L165</f>
        <v>1.0033643031524897</v>
      </c>
      <c r="AD165" s="28">
        <f>[2]各R部队能量汇总!M165</f>
        <v>1.0065661470370426</v>
      </c>
      <c r="AE165" s="28">
        <f>[2]各R部队能量汇总!N165</f>
        <v>1.0097926279610869</v>
      </c>
      <c r="AF165" s="28">
        <f>[2]各R部队能量汇总!O165</f>
        <v>1.0151486665534675</v>
      </c>
      <c r="AI165" s="27">
        <v>159</v>
      </c>
      <c r="AJ165" s="28">
        <f>[1]服务器生态!W180</f>
        <v>136.33354908562498</v>
      </c>
      <c r="AK165" s="28">
        <f>[1]服务器生态!X180</f>
        <v>134.4261277943526</v>
      </c>
      <c r="AL165" s="28">
        <f>[1]服务器生态!Y180</f>
        <v>10.973243890022401</v>
      </c>
      <c r="AM165" s="28">
        <f>[1]服务器生态!Z180</f>
        <v>1.9522176300000005</v>
      </c>
      <c r="AN165" s="28">
        <f>[1]服务器生态!AA180</f>
        <v>0.56486159999999996</v>
      </c>
      <c r="AQ165" s="26">
        <v>159</v>
      </c>
      <c r="AR165" s="29">
        <f>[2]非r将兵属性验证!M165</f>
        <v>351.36667701991007</v>
      </c>
      <c r="AS165" s="29">
        <f>[2]小r将兵属性验证!M165</f>
        <v>351.95723274428462</v>
      </c>
      <c r="AT165" s="29">
        <f>[2]中r将兵属性验证!M165</f>
        <v>352.51835222849746</v>
      </c>
      <c r="AU165" s="29">
        <f>[2]大r将兵属性验证!M165</f>
        <v>353.08288727654838</v>
      </c>
      <c r="AV165" s="29">
        <f>[2]超r将兵属性验证!M165</f>
        <v>354.01804191489492</v>
      </c>
    </row>
    <row r="166" spans="2:48" x14ac:dyDescent="0.2">
      <c r="B166" s="26">
        <f>[1]节奏总纲!N163</f>
        <v>170</v>
      </c>
      <c r="C166" s="26">
        <v>160</v>
      </c>
      <c r="D166" s="26">
        <f>[1]节奏总纲!P163</f>
        <v>65535</v>
      </c>
      <c r="E166" s="26">
        <f>[1]节奏总纲!Q163</f>
        <v>65535</v>
      </c>
      <c r="F166" s="26">
        <f>[1]节奏总纲!R163</f>
        <v>66190.350000000006</v>
      </c>
      <c r="G166" s="26">
        <f>[1]节奏总纲!S163</f>
        <v>66190.350000000006</v>
      </c>
      <c r="H166" s="26">
        <f>[1]节奏总纲!T163</f>
        <v>66190.350000000006</v>
      </c>
      <c r="K166" s="26">
        <v>160</v>
      </c>
      <c r="L166" s="26">
        <f>[1]节奏总纲!AD163</f>
        <v>73.301799809099009</v>
      </c>
      <c r="M166" s="26">
        <f>[1]节奏总纲!AE163</f>
        <v>75.378486927217125</v>
      </c>
      <c r="N166" s="26">
        <f>[1]节奏总纲!AF163</f>
        <v>78.240569099946029</v>
      </c>
      <c r="O166" s="26">
        <f>[1]节奏总纲!AG163</f>
        <v>82.853333401911726</v>
      </c>
      <c r="P166" s="26">
        <f>[1]节奏总纲!AH163</f>
        <v>92.219963609487792</v>
      </c>
      <c r="S166" s="26">
        <v>160</v>
      </c>
      <c r="T166" s="26">
        <f>[2]各R部队能量汇总!E166</f>
        <v>140112512352</v>
      </c>
      <c r="U166" s="26">
        <f>[2]各R部队能量汇总!F166</f>
        <v>140586305661</v>
      </c>
      <c r="V166" s="26">
        <f>[2]各R部队能量汇总!G166</f>
        <v>141037223670</v>
      </c>
      <c r="W166" s="26">
        <f>[2]各R部队能量汇总!H166</f>
        <v>141491615029</v>
      </c>
      <c r="X166" s="26">
        <f>[2]各R部队能量汇总!I166</f>
        <v>142245924134</v>
      </c>
      <c r="AA166" s="27">
        <v>160</v>
      </c>
      <c r="AB166" s="28">
        <f>[2]各R部队能量汇总!K166</f>
        <v>1</v>
      </c>
      <c r="AC166" s="28">
        <f>[2]各R部队能量汇总!L166</f>
        <v>1.0033815203299596</v>
      </c>
      <c r="AD166" s="28">
        <f>[2]各R部队能量汇总!M166</f>
        <v>1.0065997768684418</v>
      </c>
      <c r="AE166" s="28">
        <f>[2]各R部队能量汇总!N166</f>
        <v>1.0098428231272831</v>
      </c>
      <c r="AF166" s="28">
        <f>[2]各R部队能量汇总!O166</f>
        <v>1.0152264187272604</v>
      </c>
      <c r="AI166" s="27">
        <v>160</v>
      </c>
      <c r="AJ166" s="28">
        <f>[1]服务器生态!W181</f>
        <v>135.49420445625</v>
      </c>
      <c r="AK166" s="28">
        <f>[1]服务器生态!X181</f>
        <v>133.59852630397398</v>
      </c>
      <c r="AL166" s="28">
        <f>[1]服务器生态!Y181</f>
        <v>10.905686539776001</v>
      </c>
      <c r="AM166" s="28">
        <f>[1]服务器生态!Z181</f>
        <v>1.9401987000000005</v>
      </c>
      <c r="AN166" s="28">
        <f>[1]服务器生态!AA181</f>
        <v>0.56138399999999988</v>
      </c>
      <c r="AQ166" s="26">
        <v>160</v>
      </c>
      <c r="AR166" s="29">
        <f>[2]非r将兵属性验证!M166</f>
        <v>351.77778819613593</v>
      </c>
      <c r="AS166" s="29">
        <f>[2]小r将兵属性验证!M166</f>
        <v>352.37205810745621</v>
      </c>
      <c r="AT166" s="29">
        <f>[2]中r将兵属性验证!M166</f>
        <v>352.93670664502889</v>
      </c>
      <c r="AU166" s="29">
        <f>[2]大r将兵属性验证!M166</f>
        <v>353.50479222797321</v>
      </c>
      <c r="AV166" s="29">
        <f>[2]超r将兵属性验证!M166</f>
        <v>354.4458283420326</v>
      </c>
    </row>
    <row r="167" spans="2:48" x14ac:dyDescent="0.2">
      <c r="K167" s="26">
        <v>161</v>
      </c>
      <c r="L167" s="26">
        <f>[1]节奏总纲!AD164</f>
        <v>73.390213013956213</v>
      </c>
      <c r="M167" s="26">
        <f>[1]节奏总纲!AE164</f>
        <v>75.467599906154135</v>
      </c>
      <c r="N167" s="26">
        <f>[1]节奏总纲!AF164</f>
        <v>78.32750663515499</v>
      </c>
      <c r="O167" s="26">
        <f>[1]节奏总纲!AG164</f>
        <v>82.94620983550368</v>
      </c>
      <c r="P167" s="26">
        <f>[1]节奏总纲!AH164</f>
        <v>92.313380706625196</v>
      </c>
      <c r="AI167" s="27">
        <v>161</v>
      </c>
      <c r="AJ167" s="28">
        <f>[1]服务器生态!W182</f>
        <v>134.654859826875</v>
      </c>
      <c r="AK167" s="28">
        <f>[1]服务器生态!X182</f>
        <v>132.7709248135954</v>
      </c>
      <c r="AL167" s="28">
        <f>[1]服务器生态!Y182</f>
        <v>10.838129189529601</v>
      </c>
      <c r="AM167" s="28">
        <f>[1]服务器生态!Z182</f>
        <v>1.9281797700000005</v>
      </c>
      <c r="AN167" s="28">
        <f>[1]服务器生态!AA182</f>
        <v>0.55790639999999991</v>
      </c>
    </row>
    <row r="168" spans="2:48" x14ac:dyDescent="0.2">
      <c r="K168" s="26">
        <v>162</v>
      </c>
      <c r="L168" s="26">
        <f>[1]节奏总纲!AD165</f>
        <v>73.478626218813432</v>
      </c>
      <c r="M168" s="26">
        <f>[1]节奏总纲!AE165</f>
        <v>75.556712885091159</v>
      </c>
      <c r="N168" s="26">
        <f>[1]节奏总纲!AF165</f>
        <v>78.414444170363964</v>
      </c>
      <c r="O168" s="26">
        <f>[1]节奏总纲!AG165</f>
        <v>83.036921590135321</v>
      </c>
      <c r="P168" s="26">
        <f>[1]节奏总纲!AH165</f>
        <v>92.406797803762601</v>
      </c>
      <c r="AI168" s="27">
        <v>162</v>
      </c>
      <c r="AJ168" s="28">
        <f>[1]服务器生态!W183</f>
        <v>133.81551519749999</v>
      </c>
      <c r="AK168" s="28">
        <f>[1]服务器生态!X183</f>
        <v>131.94332332321679</v>
      </c>
      <c r="AL168" s="28">
        <f>[1]服务器生态!Y183</f>
        <v>10.7705718392832</v>
      </c>
      <c r="AM168" s="28">
        <f>[1]服务器生态!Z183</f>
        <v>1.9161608400000005</v>
      </c>
      <c r="AN168" s="28">
        <f>[1]服务器生态!AA183</f>
        <v>0.55442879999999994</v>
      </c>
    </row>
    <row r="169" spans="2:48" x14ac:dyDescent="0.2">
      <c r="K169" s="26">
        <v>163</v>
      </c>
      <c r="L169" s="26">
        <f>[1]节奏总纲!AD166</f>
        <v>73.56703942367065</v>
      </c>
      <c r="M169" s="26">
        <f>[1]节奏总纲!AE166</f>
        <v>75.645825864028183</v>
      </c>
      <c r="N169" s="26">
        <f>[1]节奏总纲!AF166</f>
        <v>78.501381705572925</v>
      </c>
      <c r="O169" s="26">
        <f>[1]节奏总纲!AG166</f>
        <v>83.124654333465756</v>
      </c>
      <c r="P169" s="26">
        <f>[1]节奏总纲!AH166</f>
        <v>92.500214900900005</v>
      </c>
      <c r="AI169" s="27">
        <v>163</v>
      </c>
      <c r="AJ169" s="28">
        <f>[1]服务器生态!W184</f>
        <v>132.97617056812499</v>
      </c>
      <c r="AK169" s="28">
        <f>[1]服务器生态!X184</f>
        <v>131.1157218328382</v>
      </c>
      <c r="AL169" s="28">
        <f>[1]服务器生态!Y184</f>
        <v>10.7030144890368</v>
      </c>
      <c r="AM169" s="28">
        <f>[1]服务器生态!Z184</f>
        <v>1.9041419100000005</v>
      </c>
      <c r="AN169" s="28">
        <f>[1]服务器生态!AA184</f>
        <v>0.55095119999999997</v>
      </c>
    </row>
    <row r="170" spans="2:48" x14ac:dyDescent="0.2">
      <c r="K170" s="26">
        <v>164</v>
      </c>
      <c r="L170" s="26">
        <f>[1]节奏总纲!AD167</f>
        <v>73.655452628527868</v>
      </c>
      <c r="M170" s="26">
        <f>[1]节奏总纲!AE167</f>
        <v>75.734938842965192</v>
      </c>
      <c r="N170" s="26">
        <f>[1]节奏总纲!AF167</f>
        <v>78.5883192407819</v>
      </c>
      <c r="O170" s="26">
        <f>[1]节奏总纲!AG167</f>
        <v>83.21238707679619</v>
      </c>
      <c r="P170" s="26">
        <f>[1]节奏总纲!AH167</f>
        <v>92.593631998037409</v>
      </c>
      <c r="AI170" s="27">
        <v>164</v>
      </c>
      <c r="AJ170" s="28">
        <f>[1]服务器生态!W185</f>
        <v>132.13682593874998</v>
      </c>
      <c r="AK170" s="28">
        <f>[1]服务器生态!X185</f>
        <v>130.28812034245959</v>
      </c>
      <c r="AL170" s="28">
        <f>[1]服务器生态!Y185</f>
        <v>10.6354571387904</v>
      </c>
      <c r="AM170" s="28">
        <f>[1]服务器生态!Z185</f>
        <v>1.8921229800000006</v>
      </c>
      <c r="AN170" s="28">
        <f>[1]服务器生态!AA185</f>
        <v>0.54747359999999989</v>
      </c>
    </row>
    <row r="171" spans="2:48" x14ac:dyDescent="0.2">
      <c r="K171" s="26">
        <v>165</v>
      </c>
      <c r="L171" s="26">
        <f>[1]节奏总纲!AD168</f>
        <v>73.743865833385087</v>
      </c>
      <c r="M171" s="26">
        <f>[1]节奏总纲!AE168</f>
        <v>75.824051821902216</v>
      </c>
      <c r="N171" s="26">
        <f>[1]节奏总纲!AF168</f>
        <v>78.67525677599086</v>
      </c>
      <c r="O171" s="26">
        <f>[1]节奏总纲!AG168</f>
        <v>83.300119820126625</v>
      </c>
      <c r="P171" s="26">
        <f>[1]节奏总纲!AH168</f>
        <v>92.687049095174814</v>
      </c>
      <c r="AI171" s="27">
        <v>165</v>
      </c>
      <c r="AJ171" s="28">
        <f>[1]服务器生态!W186</f>
        <v>131.29748130937497</v>
      </c>
      <c r="AK171" s="28">
        <f>[1]服务器生态!X186</f>
        <v>129.46051885208098</v>
      </c>
      <c r="AL171" s="28">
        <f>[1]服务器生态!Y186</f>
        <v>10.567899788543999</v>
      </c>
      <c r="AM171" s="28">
        <f>[1]服务器生态!Z186</f>
        <v>1.8801040500000001</v>
      </c>
      <c r="AN171" s="28">
        <f>[1]服务器生态!AA186</f>
        <v>0.54399599999999981</v>
      </c>
    </row>
    <row r="172" spans="2:48" x14ac:dyDescent="0.2">
      <c r="K172" s="26">
        <v>166</v>
      </c>
      <c r="L172" s="26">
        <f>[1]节奏总纲!AD169</f>
        <v>73.832279038242305</v>
      </c>
      <c r="M172" s="26">
        <f>[1]节奏总纲!AE169</f>
        <v>75.91316480083924</v>
      </c>
      <c r="N172" s="26">
        <f>[1]节奏总纲!AF169</f>
        <v>78.762194311199835</v>
      </c>
      <c r="O172" s="26">
        <f>[1]节奏总纲!AG169</f>
        <v>83.387852563457059</v>
      </c>
      <c r="P172" s="26">
        <f>[1]节奏总纲!AH169</f>
        <v>92.780466192312218</v>
      </c>
      <c r="AI172" s="27">
        <v>166</v>
      </c>
      <c r="AJ172" s="28">
        <f>[1]服务器生态!W187</f>
        <v>130.45813668</v>
      </c>
      <c r="AK172" s="28">
        <f>[1]服务器生态!X187</f>
        <v>128.6329173617024</v>
      </c>
      <c r="AL172" s="28">
        <f>[1]服务器生态!Y187</f>
        <v>10.500342438297601</v>
      </c>
      <c r="AM172" s="28">
        <f>[1]服务器生态!Z187</f>
        <v>1.8680851200000006</v>
      </c>
      <c r="AN172" s="28">
        <f>[1]服务器生态!AA187</f>
        <v>0.54051839999999995</v>
      </c>
    </row>
    <row r="173" spans="2:48" x14ac:dyDescent="0.2">
      <c r="K173" s="26">
        <v>167</v>
      </c>
      <c r="L173" s="26">
        <f>[1]节奏总纲!AD170</f>
        <v>73.920692243099523</v>
      </c>
      <c r="M173" s="26">
        <f>[1]节奏总纲!AE170</f>
        <v>76.002103770254962</v>
      </c>
      <c r="N173" s="26">
        <f>[1]节奏总纲!AF170</f>
        <v>78.849131846408795</v>
      </c>
      <c r="O173" s="26">
        <f>[1]节奏总纲!AG170</f>
        <v>83.475585306787494</v>
      </c>
      <c r="P173" s="26">
        <f>[1]节奏总纲!AH170</f>
        <v>92.873883289449623</v>
      </c>
      <c r="AI173" s="27">
        <v>167</v>
      </c>
      <c r="AJ173" s="28">
        <f>[1]服务器生态!W188</f>
        <v>129.61879205062496</v>
      </c>
      <c r="AK173" s="28">
        <f>[1]服务器生态!X188</f>
        <v>127.80531587132377</v>
      </c>
      <c r="AL173" s="28">
        <f>[1]服务器生态!Y188</f>
        <v>10.432785088051197</v>
      </c>
      <c r="AM173" s="28">
        <f>[1]服务器生态!Z188</f>
        <v>1.8560661900000002</v>
      </c>
      <c r="AN173" s="28">
        <f>[1]服务器生态!AA188</f>
        <v>0.53704079999999976</v>
      </c>
    </row>
    <row r="174" spans="2:48" x14ac:dyDescent="0.2">
      <c r="K174" s="26">
        <v>168</v>
      </c>
      <c r="L174" s="26">
        <f>[1]节奏总纲!AD171</f>
        <v>74.008495683346354</v>
      </c>
      <c r="M174" s="26">
        <f>[1]节奏总纲!AE171</f>
        <v>76.084409020469636</v>
      </c>
      <c r="N174" s="26">
        <f>[1]节奏总纲!AF171</f>
        <v>78.93606938161777</v>
      </c>
      <c r="O174" s="26">
        <f>[1]节奏总纲!AG171</f>
        <v>83.563318050117928</v>
      </c>
      <c r="P174" s="26">
        <f>[1]节奏总纲!AH171</f>
        <v>92.967300386587027</v>
      </c>
      <c r="AI174" s="27">
        <v>168</v>
      </c>
      <c r="AJ174" s="28">
        <f>[1]服务器生态!W189</f>
        <v>128.77944742124998</v>
      </c>
      <c r="AK174" s="28">
        <f>[1]服务器生态!X189</f>
        <v>126.9777143809452</v>
      </c>
      <c r="AL174" s="28">
        <f>[1]服务器生态!Y189</f>
        <v>10.365227737804801</v>
      </c>
      <c r="AM174" s="28">
        <f>[1]服务器生态!Z189</f>
        <v>1.8440472600000006</v>
      </c>
      <c r="AN174" s="28">
        <f>[1]服务器生态!AA189</f>
        <v>0.5335631999999999</v>
      </c>
    </row>
    <row r="175" spans="2:48" x14ac:dyDescent="0.2">
      <c r="K175" s="26">
        <v>169</v>
      </c>
      <c r="L175" s="26">
        <f>[1]节奏总纲!AD172</f>
        <v>74.090988120365651</v>
      </c>
      <c r="M175" s="26">
        <f>[1]节奏总纲!AE172</f>
        <v>76.166714270684309</v>
      </c>
      <c r="N175" s="26">
        <f>[1]节奏总纲!AF172</f>
        <v>79.022812309215297</v>
      </c>
      <c r="O175" s="26">
        <f>[1]节奏总纲!AG172</f>
        <v>83.651050793448363</v>
      </c>
      <c r="P175" s="26">
        <f>[1]节奏总纲!AH172</f>
        <v>93.057555567360481</v>
      </c>
      <c r="AI175" s="27">
        <v>169</v>
      </c>
      <c r="AJ175" s="28">
        <f>[1]服务器生态!W190</f>
        <v>127.94010279187499</v>
      </c>
      <c r="AK175" s="28">
        <f>[1]服务器生态!X190</f>
        <v>126.1501128905666</v>
      </c>
      <c r="AL175" s="28">
        <f>[1]服务器生态!Y190</f>
        <v>10.2976703875584</v>
      </c>
      <c r="AM175" s="28">
        <f>[1]服务器生态!Z190</f>
        <v>1.8320283300000004</v>
      </c>
      <c r="AN175" s="28">
        <f>[1]服务器生态!AA190</f>
        <v>0.53008559999999993</v>
      </c>
    </row>
    <row r="176" spans="2:48" x14ac:dyDescent="0.2">
      <c r="K176" s="26">
        <v>170</v>
      </c>
      <c r="L176" s="26">
        <f>[1]节奏总纲!AD173</f>
        <v>74.173480557384934</v>
      </c>
      <c r="M176" s="26">
        <f>[1]节奏总纲!AE173</f>
        <v>76.249019520898997</v>
      </c>
      <c r="N176" s="26">
        <f>[1]节奏总纲!AF173</f>
        <v>79.109014469658547</v>
      </c>
      <c r="O176" s="26">
        <f>[1]节奏总纲!AG173</f>
        <v>83.738783536778797</v>
      </c>
      <c r="P176" s="26">
        <f>[1]节奏总纲!AH173</f>
        <v>93.146107887007233</v>
      </c>
      <c r="AI176" s="27">
        <v>170</v>
      </c>
      <c r="AJ176" s="28">
        <f>[1]服务器生态!W191</f>
        <v>127.10075816249999</v>
      </c>
      <c r="AK176" s="28">
        <f>[1]服务器生态!X191</f>
        <v>125.32251140018799</v>
      </c>
      <c r="AL176" s="28">
        <f>[1]服务器生态!Y191</f>
        <v>10.230113037312</v>
      </c>
      <c r="AM176" s="28">
        <f>[1]服务器生态!Z191</f>
        <v>1.8200094000000004</v>
      </c>
      <c r="AN176" s="28">
        <f>[1]服务器生态!AA191</f>
        <v>0.52660799999999997</v>
      </c>
    </row>
    <row r="177" spans="11:40" x14ac:dyDescent="0.2">
      <c r="K177" s="26">
        <v>171</v>
      </c>
      <c r="L177" s="26">
        <f>[1]节奏总纲!AD174</f>
        <v>74.255972994404218</v>
      </c>
      <c r="M177" s="26">
        <f>[1]节奏总纲!AE174</f>
        <v>76.331324771113671</v>
      </c>
      <c r="N177" s="26">
        <f>[1]节奏总纲!AF174</f>
        <v>79.195216630101797</v>
      </c>
      <c r="O177" s="26">
        <f>[1]节奏总纲!AG174</f>
        <v>83.826516280109232</v>
      </c>
      <c r="P177" s="26">
        <f>[1]节奏总纲!AH174</f>
        <v>93.23466020665397</v>
      </c>
      <c r="AI177" s="27">
        <v>171</v>
      </c>
      <c r="AJ177" s="28">
        <f>[1]服务器生态!W192</f>
        <v>126.26141353312499</v>
      </c>
      <c r="AK177" s="28">
        <f>[1]服务器生态!X192</f>
        <v>124.49490990980939</v>
      </c>
      <c r="AL177" s="28">
        <f>[1]服务器生态!Y192</f>
        <v>10.1625556870656</v>
      </c>
      <c r="AM177" s="28">
        <f>[1]服务器生态!Z192</f>
        <v>1.8079904700000005</v>
      </c>
      <c r="AN177" s="28">
        <f>[1]服务器生态!AA192</f>
        <v>0.52313039999999988</v>
      </c>
    </row>
    <row r="178" spans="11:40" x14ac:dyDescent="0.2">
      <c r="K178" s="26">
        <v>172</v>
      </c>
      <c r="L178" s="26">
        <f>[1]节奏总纲!AD175</f>
        <v>74.338465431423501</v>
      </c>
      <c r="M178" s="26">
        <f>[1]节奏总纲!AE175</f>
        <v>76.413630021328345</v>
      </c>
      <c r="N178" s="26">
        <f>[1]节奏总纲!AF175</f>
        <v>79.281418790545047</v>
      </c>
      <c r="O178" s="26">
        <f>[1]节奏总纲!AG175</f>
        <v>83.914249023439666</v>
      </c>
      <c r="P178" s="26">
        <f>[1]节奏总纲!AH175</f>
        <v>93.323212526300722</v>
      </c>
      <c r="AI178" s="27">
        <v>172</v>
      </c>
      <c r="AJ178" s="28">
        <f>[1]服务器生态!W193</f>
        <v>125.42206890374999</v>
      </c>
      <c r="AK178" s="28">
        <f>[1]服务器生态!X193</f>
        <v>123.6673084194308</v>
      </c>
      <c r="AL178" s="28">
        <f>[1]服务器生态!Y193</f>
        <v>10.0949983368192</v>
      </c>
      <c r="AM178" s="28">
        <f>[1]服务器生态!Z193</f>
        <v>1.7959715400000005</v>
      </c>
      <c r="AN178" s="28">
        <f>[1]服务器生态!AA193</f>
        <v>0.51965279999999991</v>
      </c>
    </row>
    <row r="179" spans="11:40" x14ac:dyDescent="0.2">
      <c r="K179" s="26">
        <v>173</v>
      </c>
      <c r="L179" s="26">
        <f>[1]节奏总纲!AD176</f>
        <v>74.420957868442784</v>
      </c>
      <c r="M179" s="26">
        <f>[1]节奏总纲!AE176</f>
        <v>76.495935271543019</v>
      </c>
      <c r="N179" s="26">
        <f>[1]节奏总纲!AF176</f>
        <v>79.367620950988297</v>
      </c>
      <c r="O179" s="26">
        <f>[1]节奏总纲!AG176</f>
        <v>84.00179325525086</v>
      </c>
      <c r="P179" s="26">
        <f>[1]节奏总纲!AH176</f>
        <v>93.411764845947459</v>
      </c>
      <c r="AI179" s="27">
        <v>173</v>
      </c>
      <c r="AJ179" s="28">
        <f>[1]服务器生态!W194</f>
        <v>124.582724274375</v>
      </c>
      <c r="AK179" s="28">
        <f>[1]服务器生态!X194</f>
        <v>122.8397069290522</v>
      </c>
      <c r="AL179" s="28">
        <f>[1]服务器生态!Y194</f>
        <v>10.027440986572801</v>
      </c>
      <c r="AM179" s="28">
        <f>[1]服务器生态!Z194</f>
        <v>1.7839526100000005</v>
      </c>
      <c r="AN179" s="28">
        <f>[1]服务器生态!AA194</f>
        <v>0.51617519999999995</v>
      </c>
    </row>
    <row r="180" spans="11:40" x14ac:dyDescent="0.2">
      <c r="K180" s="26">
        <v>174</v>
      </c>
      <c r="L180" s="26">
        <f>[1]节奏总纲!AD177</f>
        <v>74.503450305462081</v>
      </c>
      <c r="M180" s="26">
        <f>[1]节奏总纲!AE177</f>
        <v>76.578240521757706</v>
      </c>
      <c r="N180" s="26">
        <f>[1]节奏总纲!AF177</f>
        <v>79.453823111431561</v>
      </c>
      <c r="O180" s="26">
        <f>[1]节奏总纲!AG177</f>
        <v>84.08118060043364</v>
      </c>
      <c r="P180" s="26">
        <f>[1]节奏总纲!AH177</f>
        <v>93.500317165594211</v>
      </c>
      <c r="AI180" s="27">
        <v>174</v>
      </c>
      <c r="AJ180" s="28">
        <f>[1]服务器生态!W195</f>
        <v>123.74337964499996</v>
      </c>
      <c r="AK180" s="28">
        <f>[1]服务器生态!X195</f>
        <v>122.01210543867357</v>
      </c>
      <c r="AL180" s="28">
        <f>[1]服务器生态!Y195</f>
        <v>9.9598836363263974</v>
      </c>
      <c r="AM180" s="28">
        <f>[1]服务器生态!Z195</f>
        <v>1.7719336800000001</v>
      </c>
      <c r="AN180" s="28">
        <f>[1]服务器生态!AA195</f>
        <v>0.51269759999999986</v>
      </c>
    </row>
    <row r="181" spans="11:40" x14ac:dyDescent="0.2">
      <c r="K181" s="26">
        <v>175</v>
      </c>
      <c r="L181" s="26">
        <f>[1]节奏总纲!AD178</f>
        <v>74.585942742481365</v>
      </c>
      <c r="M181" s="26">
        <f>[1]节奏总纲!AE178</f>
        <v>76.66054577197238</v>
      </c>
      <c r="N181" s="26">
        <f>[1]节奏总纲!AF178</f>
        <v>79.540025271874811</v>
      </c>
      <c r="O181" s="26">
        <f>[1]节奏总纲!AG178</f>
        <v>84.160567945616407</v>
      </c>
      <c r="P181" s="26">
        <f>[1]节奏总纲!AH178</f>
        <v>93.588869485240949</v>
      </c>
      <c r="AI181" s="27">
        <v>175</v>
      </c>
      <c r="AJ181" s="28">
        <f>[1]服务器生态!W196</f>
        <v>122.904035015625</v>
      </c>
      <c r="AK181" s="28">
        <f>[1]服务器生态!X196</f>
        <v>121.184503948295</v>
      </c>
      <c r="AL181" s="28">
        <f>[1]服务器生态!Y196</f>
        <v>9.8923262860800012</v>
      </c>
      <c r="AM181" s="28">
        <f>[1]服务器生态!Z196</f>
        <v>1.7599147500000005</v>
      </c>
      <c r="AN181" s="28">
        <f>[1]服务器生态!AA196</f>
        <v>0.50921999999999989</v>
      </c>
    </row>
    <row r="182" spans="11:40" x14ac:dyDescent="0.2">
      <c r="K182" s="26">
        <v>176</v>
      </c>
      <c r="L182" s="26">
        <f>[1]节奏总纲!AD179</f>
        <v>74.668435179500648</v>
      </c>
      <c r="M182" s="26">
        <f>[1]节奏总纲!AE179</f>
        <v>76.742851022187054</v>
      </c>
      <c r="N182" s="26">
        <f>[1]节奏总纲!AF179</f>
        <v>79.626227432318061</v>
      </c>
      <c r="O182" s="26">
        <f>[1]节奏总纲!AG179</f>
        <v>84.239955290799188</v>
      </c>
      <c r="P182" s="26">
        <f>[1]节奏总纲!AH179</f>
        <v>93.6774218048877</v>
      </c>
      <c r="AI182" s="27">
        <v>176</v>
      </c>
      <c r="AJ182" s="28">
        <f>[1]服务器生态!W197</f>
        <v>122.06469038624998</v>
      </c>
      <c r="AK182" s="28">
        <f>[1]服务器生态!X197</f>
        <v>120.35690245791638</v>
      </c>
      <c r="AL182" s="28">
        <f>[1]服务器生态!Y197</f>
        <v>9.8247689358335997</v>
      </c>
      <c r="AM182" s="28">
        <f>[1]服务器生态!Z197</f>
        <v>1.7478958200000003</v>
      </c>
      <c r="AN182" s="28">
        <f>[1]服务器生态!AA197</f>
        <v>0.50574239999999993</v>
      </c>
    </row>
    <row r="183" spans="11:40" x14ac:dyDescent="0.2">
      <c r="K183" s="26">
        <v>177</v>
      </c>
      <c r="L183" s="26">
        <f>[1]节奏总纲!AD180</f>
        <v>74.750927616519931</v>
      </c>
      <c r="M183" s="26">
        <f>[1]节奏总纲!AE180</f>
        <v>76.825156272401728</v>
      </c>
      <c r="N183" s="26">
        <f>[1]节奏总纲!AF180</f>
        <v>79.71242959276131</v>
      </c>
      <c r="O183" s="26">
        <f>[1]节奏总纲!AG180</f>
        <v>84.319342635981968</v>
      </c>
      <c r="P183" s="26">
        <f>[1]节奏总纲!AH180</f>
        <v>93.765974124534438</v>
      </c>
      <c r="AI183" s="27">
        <v>177</v>
      </c>
      <c r="AJ183" s="28">
        <f>[1]服务器生态!W198</f>
        <v>121.22534575687499</v>
      </c>
      <c r="AK183" s="28">
        <f>[1]服务器生态!X198</f>
        <v>119.52930096753779</v>
      </c>
      <c r="AL183" s="28">
        <f>[1]服务器生态!Y198</f>
        <v>9.7572115855871999</v>
      </c>
      <c r="AM183" s="28">
        <f>[1]服务器生态!Z198</f>
        <v>1.7358768900000006</v>
      </c>
      <c r="AN183" s="28">
        <f>[1]服务器生态!AA198</f>
        <v>0.50226479999999996</v>
      </c>
    </row>
    <row r="184" spans="11:40" x14ac:dyDescent="0.2">
      <c r="K184" s="26">
        <v>178</v>
      </c>
      <c r="L184" s="26">
        <f>[1]节奏总纲!AD181</f>
        <v>74.833420053539214</v>
      </c>
      <c r="M184" s="26">
        <f>[1]节奏总纲!AE181</f>
        <v>76.907461522616416</v>
      </c>
      <c r="N184" s="26">
        <f>[1]节奏总纲!AF181</f>
        <v>79.79863175320456</v>
      </c>
      <c r="O184" s="26">
        <f>[1]节奏总纲!AG181</f>
        <v>84.398729981164735</v>
      </c>
      <c r="P184" s="26">
        <f>[1]节奏总纲!AH181</f>
        <v>93.85452644418119</v>
      </c>
      <c r="AI184" s="27">
        <v>178</v>
      </c>
      <c r="AJ184" s="28">
        <f>[1]服务器生态!W199</f>
        <v>120.38600112749998</v>
      </c>
      <c r="AK184" s="28">
        <f>[1]服务器生态!X199</f>
        <v>118.70169947715918</v>
      </c>
      <c r="AL184" s="28">
        <f>[1]服务器生态!Y199</f>
        <v>9.6896542353408002</v>
      </c>
      <c r="AM184" s="28">
        <f>[1]服务器生态!Z199</f>
        <v>1.7238579600000004</v>
      </c>
      <c r="AN184" s="28">
        <f>[1]服务器生态!AA199</f>
        <v>0.49878719999999988</v>
      </c>
    </row>
    <row r="185" spans="11:40" x14ac:dyDescent="0.2">
      <c r="K185" s="26">
        <v>179</v>
      </c>
      <c r="L185" s="26">
        <f>[1]节奏总纲!AD182</f>
        <v>74.915912490558512</v>
      </c>
      <c r="M185" s="26">
        <f>[1]节奏总纲!AE182</f>
        <v>76.989766772831089</v>
      </c>
      <c r="N185" s="26">
        <f>[1]节奏总纲!AF182</f>
        <v>79.88483391364781</v>
      </c>
      <c r="O185" s="26">
        <f>[1]节奏总纲!AG182</f>
        <v>84.478117326347515</v>
      </c>
      <c r="P185" s="26">
        <f>[1]节奏总纲!AH182</f>
        <v>93.943078763827941</v>
      </c>
      <c r="AI185" s="27">
        <v>179</v>
      </c>
      <c r="AJ185" s="28">
        <f>[1]服务器生态!W200</f>
        <v>119.54665649812497</v>
      </c>
      <c r="AK185" s="28">
        <f>[1]服务器生态!X200</f>
        <v>117.87409798678058</v>
      </c>
      <c r="AL185" s="28">
        <f>[1]服务器生态!Y200</f>
        <v>9.6220968850943986</v>
      </c>
      <c r="AM185" s="28">
        <f>[1]服务器生态!Z200</f>
        <v>1.7118390300000004</v>
      </c>
      <c r="AN185" s="28">
        <f>[1]服务器生态!AA200</f>
        <v>0.49530959999999985</v>
      </c>
    </row>
    <row r="186" spans="11:40" x14ac:dyDescent="0.2">
      <c r="K186" s="26">
        <v>180</v>
      </c>
      <c r="L186" s="26">
        <f>[1]节奏总纲!AD183</f>
        <v>74.998404927577795</v>
      </c>
      <c r="M186" s="26">
        <f>[1]节奏总纲!AE183</f>
        <v>77.06778397927944</v>
      </c>
      <c r="N186" s="26">
        <f>[1]节奏总纲!AF183</f>
        <v>79.97103607409106</v>
      </c>
      <c r="O186" s="26">
        <f>[1]节奏总纲!AG183</f>
        <v>84.557504671530296</v>
      </c>
      <c r="P186" s="26">
        <f>[1]节奏总纲!AH183</f>
        <v>94.027056817114342</v>
      </c>
      <c r="AI186" s="27">
        <v>180</v>
      </c>
      <c r="AJ186" s="28">
        <f>[1]服务器生态!W201</f>
        <v>118.70731186874998</v>
      </c>
      <c r="AK186" s="28">
        <f>[1]服务器生态!X201</f>
        <v>117.04649649640199</v>
      </c>
      <c r="AL186" s="28">
        <f>[1]服务器生态!Y201</f>
        <v>9.5545395348479989</v>
      </c>
      <c r="AM186" s="28">
        <f>[1]服务器生态!Z201</f>
        <v>1.6998201000000004</v>
      </c>
      <c r="AN186" s="28">
        <f>[1]服务器生态!AA201</f>
        <v>0.49183199999999988</v>
      </c>
    </row>
    <row r="187" spans="11:40" x14ac:dyDescent="0.2">
      <c r="K187" s="26">
        <v>181</v>
      </c>
      <c r="L187" s="26">
        <f>[1]节奏总纲!AD184</f>
        <v>75.075479910097457</v>
      </c>
      <c r="M187" s="26">
        <f>[1]节奏总纲!AE184</f>
        <v>77.145192343015793</v>
      </c>
      <c r="N187" s="26">
        <f>[1]节奏总纲!AF184</f>
        <v>80.053817475702374</v>
      </c>
      <c r="O187" s="26">
        <f>[1]节奏总纲!AG184</f>
        <v>84.636892016713063</v>
      </c>
      <c r="P187" s="26">
        <f>[1]节奏总纲!AH184</f>
        <v>94.102803318799971</v>
      </c>
      <c r="AI187" s="27">
        <v>181</v>
      </c>
      <c r="AJ187" s="28">
        <f>[1]服务器生态!W202</f>
        <v>118.01485254951561</v>
      </c>
      <c r="AK187" s="28">
        <f>[1]服务器生态!X202</f>
        <v>116.36372526683964</v>
      </c>
      <c r="AL187" s="28">
        <f>[1]服务器生态!Y202</f>
        <v>9.4988047208947197</v>
      </c>
      <c r="AM187" s="28">
        <f>[1]服务器生态!Z202</f>
        <v>1.6899044827500003</v>
      </c>
      <c r="AN187" s="28">
        <f>[1]服务器生态!AA202</f>
        <v>0.48896297999999988</v>
      </c>
    </row>
    <row r="188" spans="11:40" x14ac:dyDescent="0.2">
      <c r="K188" s="26">
        <v>182</v>
      </c>
      <c r="L188" s="26">
        <f>[1]节奏总纲!AD185</f>
        <v>75.152448075388719</v>
      </c>
      <c r="M188" s="26">
        <f>[1]节奏总纲!AE185</f>
        <v>77.222600706752132</v>
      </c>
      <c r="N188" s="26">
        <f>[1]节奏总纲!AF185</f>
        <v>80.134867890916794</v>
      </c>
      <c r="O188" s="26">
        <f>[1]节奏总纲!AG185</f>
        <v>84.716279361895843</v>
      </c>
      <c r="P188" s="26">
        <f>[1]节奏总纲!AH185</f>
        <v>94.1785498204856</v>
      </c>
      <c r="AI188" s="27">
        <v>182</v>
      </c>
      <c r="AJ188" s="28">
        <f>[1]服务器生态!W203</f>
        <v>117.32239323028124</v>
      </c>
      <c r="AK188" s="28">
        <f>[1]服务器生态!X203</f>
        <v>115.6809540372773</v>
      </c>
      <c r="AL188" s="28">
        <f>[1]服务器生态!Y203</f>
        <v>9.4430699069414405</v>
      </c>
      <c r="AM188" s="28">
        <f>[1]服务器生态!Z203</f>
        <v>1.6799888655000004</v>
      </c>
      <c r="AN188" s="28">
        <f>[1]服务器生态!AA203</f>
        <v>0.48609395999999988</v>
      </c>
    </row>
    <row r="189" spans="11:40" x14ac:dyDescent="0.2">
      <c r="K189" s="26">
        <v>183</v>
      </c>
      <c r="L189" s="26">
        <f>[1]节奏总纲!AD186</f>
        <v>75.229416240679981</v>
      </c>
      <c r="M189" s="26">
        <f>[1]节奏总纲!AE186</f>
        <v>77.300009070488485</v>
      </c>
      <c r="N189" s="26">
        <f>[1]节奏总纲!AF186</f>
        <v>80.215918306131215</v>
      </c>
      <c r="O189" s="26">
        <f>[1]节奏总纲!AG186</f>
        <v>84.795666707078624</v>
      </c>
      <c r="P189" s="26">
        <f>[1]节奏总纲!AH186</f>
        <v>94.254296322171228</v>
      </c>
      <c r="AI189" s="27">
        <v>183</v>
      </c>
      <c r="AJ189" s="28">
        <f>[1]服务器生态!W204</f>
        <v>116.62993391104686</v>
      </c>
      <c r="AK189" s="28">
        <f>[1]服务器生态!X204</f>
        <v>114.99818280771495</v>
      </c>
      <c r="AL189" s="28">
        <f>[1]服务器生态!Y204</f>
        <v>9.3873350929881596</v>
      </c>
      <c r="AM189" s="28">
        <f>[1]服务器生态!Z204</f>
        <v>1.6700732482500005</v>
      </c>
      <c r="AN189" s="28">
        <f>[1]服务器生态!AA204</f>
        <v>0.48322493999999994</v>
      </c>
    </row>
    <row r="190" spans="11:40" x14ac:dyDescent="0.2">
      <c r="K190" s="26">
        <v>184</v>
      </c>
      <c r="L190" s="26">
        <f>[1]节奏总纲!AD187</f>
        <v>75.306384405971258</v>
      </c>
      <c r="M190" s="26">
        <f>[1]节奏总纲!AE187</f>
        <v>77.377417434224824</v>
      </c>
      <c r="N190" s="26">
        <f>[1]节奏总纲!AF187</f>
        <v>80.296968721345635</v>
      </c>
      <c r="O190" s="26">
        <f>[1]节奏总纲!AG187</f>
        <v>84.87505405226139</v>
      </c>
      <c r="P190" s="26">
        <f>[1]节奏总纲!AH187</f>
        <v>94.330042823856857</v>
      </c>
      <c r="AI190" s="27">
        <v>184</v>
      </c>
      <c r="AJ190" s="28">
        <f>[1]服务器生态!W205</f>
        <v>115.93747459181247</v>
      </c>
      <c r="AK190" s="28">
        <f>[1]服务器生态!X205</f>
        <v>114.31541157815261</v>
      </c>
      <c r="AL190" s="28">
        <f>[1]服务器生态!Y205</f>
        <v>9.3316002790348787</v>
      </c>
      <c r="AM190" s="28">
        <f>[1]服务器生态!Z205</f>
        <v>1.6601576310000001</v>
      </c>
      <c r="AN190" s="28">
        <f>[1]服务器生态!AA205</f>
        <v>0.48035591999999988</v>
      </c>
    </row>
    <row r="191" spans="11:40" x14ac:dyDescent="0.2">
      <c r="K191" s="26">
        <v>185</v>
      </c>
      <c r="L191" s="26">
        <f>[1]节奏总纲!AD188</f>
        <v>75.38335257126252</v>
      </c>
      <c r="M191" s="26">
        <f>[1]节奏总纲!AE188</f>
        <v>77.454825797961163</v>
      </c>
      <c r="N191" s="26">
        <f>[1]节奏总纲!AF188</f>
        <v>80.378019136560056</v>
      </c>
      <c r="O191" s="26">
        <f>[1]节奏总纲!AG188</f>
        <v>84.954441397444171</v>
      </c>
      <c r="P191" s="26">
        <f>[1]节奏总纲!AH188</f>
        <v>94.405789325542486</v>
      </c>
      <c r="AI191" s="27">
        <v>185</v>
      </c>
      <c r="AJ191" s="28">
        <f>[1]服务器生态!W206</f>
        <v>115.2450152725781</v>
      </c>
      <c r="AK191" s="28">
        <f>[1]服务器生态!X206</f>
        <v>113.63264034859026</v>
      </c>
      <c r="AL191" s="28">
        <f>[1]服务器生态!Y206</f>
        <v>9.2758654650815995</v>
      </c>
      <c r="AM191" s="28">
        <f>[1]服务器生态!Z206</f>
        <v>1.6502420137500002</v>
      </c>
      <c r="AN191" s="28">
        <f>[1]服务器生态!AA206</f>
        <v>0.47748689999999988</v>
      </c>
    </row>
    <row r="192" spans="11:40" x14ac:dyDescent="0.2">
      <c r="K192" s="26">
        <v>186</v>
      </c>
      <c r="L192" s="26">
        <f>[1]节奏总纲!AD189</f>
        <v>75.460320736553783</v>
      </c>
      <c r="M192" s="26">
        <f>[1]节奏总纲!AE189</f>
        <v>77.532234161697517</v>
      </c>
      <c r="N192" s="26">
        <f>[1]节奏总纲!AF189</f>
        <v>80.459069551774476</v>
      </c>
      <c r="O192" s="26">
        <f>[1]节奏总纲!AG189</f>
        <v>85.030832425973387</v>
      </c>
      <c r="P192" s="26">
        <f>[1]节奏总纲!AH189</f>
        <v>94.4815358272281</v>
      </c>
      <c r="AI192" s="27">
        <v>186</v>
      </c>
      <c r="AJ192" s="28">
        <f>[1]服务器生态!W207</f>
        <v>114.55255595334373</v>
      </c>
      <c r="AK192" s="28">
        <f>[1]服务器生态!X207</f>
        <v>112.94986911902792</v>
      </c>
      <c r="AL192" s="28">
        <f>[1]服务器生态!Y207</f>
        <v>9.2201306511283203</v>
      </c>
      <c r="AM192" s="28">
        <f>[1]服务器生态!Z207</f>
        <v>1.6403263965000003</v>
      </c>
      <c r="AN192" s="28">
        <f>[1]服务器生态!AA207</f>
        <v>0.47461787999999988</v>
      </c>
    </row>
    <row r="193" spans="11:40" x14ac:dyDescent="0.2">
      <c r="K193" s="26">
        <v>187</v>
      </c>
      <c r="L193" s="26">
        <f>[1]节奏总纲!AD190</f>
        <v>75.537288901845045</v>
      </c>
      <c r="M193" s="26">
        <f>[1]节奏总纲!AE190</f>
        <v>77.609642525433856</v>
      </c>
      <c r="N193" s="26">
        <f>[1]节奏总纲!AF190</f>
        <v>80.540119966988897</v>
      </c>
      <c r="O193" s="26">
        <f>[1]节奏总纲!AG190</f>
        <v>85.103188187775231</v>
      </c>
      <c r="P193" s="26">
        <f>[1]节奏总纲!AH190</f>
        <v>94.557282328913729</v>
      </c>
      <c r="AI193" s="27">
        <v>187</v>
      </c>
      <c r="AJ193" s="28">
        <f>[1]服务器生态!W208</f>
        <v>113.86009663410934</v>
      </c>
      <c r="AK193" s="28">
        <f>[1]服务器生态!X208</f>
        <v>112.26709788946556</v>
      </c>
      <c r="AL193" s="28">
        <f>[1]服务器生态!Y208</f>
        <v>9.1643958371750394</v>
      </c>
      <c r="AM193" s="28">
        <f>[1]服务器生态!Z208</f>
        <v>1.6304107792500002</v>
      </c>
      <c r="AN193" s="28">
        <f>[1]服务器生态!AA208</f>
        <v>0.47174885999999983</v>
      </c>
    </row>
    <row r="194" spans="11:40" x14ac:dyDescent="0.2">
      <c r="K194" s="26">
        <v>188</v>
      </c>
      <c r="L194" s="26">
        <f>[1]节奏总纲!AD191</f>
        <v>75.614257067136322</v>
      </c>
      <c r="M194" s="26">
        <f>[1]节奏总纲!AE191</f>
        <v>77.687050889170209</v>
      </c>
      <c r="N194" s="26">
        <f>[1]节奏总纲!AF191</f>
        <v>80.621170382203317</v>
      </c>
      <c r="O194" s="26">
        <f>[1]节奏总纲!AG191</f>
        <v>85.175543949577076</v>
      </c>
      <c r="P194" s="26">
        <f>[1]节奏总纲!AH191</f>
        <v>94.633028830599358</v>
      </c>
      <c r="AI194" s="27">
        <v>188</v>
      </c>
      <c r="AJ194" s="28">
        <f>[1]服务器生态!W209</f>
        <v>113.16763731487498</v>
      </c>
      <c r="AK194" s="28">
        <f>[1]服务器生态!X209</f>
        <v>111.58432665990323</v>
      </c>
      <c r="AL194" s="28">
        <f>[1]服务器生态!Y209</f>
        <v>9.1086610232217602</v>
      </c>
      <c r="AM194" s="28">
        <f>[1]服务器生态!Z209</f>
        <v>1.6204951620000003</v>
      </c>
      <c r="AN194" s="28">
        <f>[1]服务器生态!AA209</f>
        <v>0.46887983999999994</v>
      </c>
    </row>
    <row r="195" spans="11:40" x14ac:dyDescent="0.2">
      <c r="K195" s="26">
        <v>189</v>
      </c>
      <c r="L195" s="26">
        <f>[1]节奏总纲!AD192</f>
        <v>75.691225232427584</v>
      </c>
      <c r="M195" s="26">
        <f>[1]节奏总纲!AE192</f>
        <v>77.764459252906548</v>
      </c>
      <c r="N195" s="26">
        <f>[1]节奏总纲!AF192</f>
        <v>80.702220797417738</v>
      </c>
      <c r="O195" s="26">
        <f>[1]节奏总纲!AG192</f>
        <v>85.247899711378935</v>
      </c>
      <c r="P195" s="26">
        <f>[1]节奏总纲!AH192</f>
        <v>94.708775332284986</v>
      </c>
      <c r="AI195" s="27">
        <v>189</v>
      </c>
      <c r="AJ195" s="28">
        <f>[1]服务器生态!W210</f>
        <v>112.47517799564061</v>
      </c>
      <c r="AK195" s="28">
        <f>[1]服务器生态!X210</f>
        <v>110.90155543034088</v>
      </c>
      <c r="AL195" s="28">
        <f>[1]服务器生态!Y210</f>
        <v>9.0529262092684792</v>
      </c>
      <c r="AM195" s="28">
        <f>[1]服务器生态!Z210</f>
        <v>1.6105795447500002</v>
      </c>
      <c r="AN195" s="28">
        <f>[1]服务器生态!AA210</f>
        <v>0.46601081999999988</v>
      </c>
    </row>
    <row r="196" spans="11:40" x14ac:dyDescent="0.2">
      <c r="K196" s="26">
        <v>190</v>
      </c>
      <c r="L196" s="26">
        <f>[1]节奏总纲!AD193</f>
        <v>75.768193397718846</v>
      </c>
      <c r="M196" s="26">
        <f>[1]节奏总纲!AE193</f>
        <v>77.841867616642901</v>
      </c>
      <c r="N196" s="26">
        <f>[1]节奏总纲!AF193</f>
        <v>80.783271212632158</v>
      </c>
      <c r="O196" s="26">
        <f>[1]节奏总纲!AG193</f>
        <v>85.320255473180779</v>
      </c>
      <c r="P196" s="26">
        <f>[1]节奏总纲!AH193</f>
        <v>94.784521833970615</v>
      </c>
      <c r="AI196" s="27">
        <v>190</v>
      </c>
      <c r="AJ196" s="28">
        <f>[1]服务器生态!W211</f>
        <v>111.78271867640623</v>
      </c>
      <c r="AK196" s="28">
        <f>[1]服务器生态!X211</f>
        <v>110.21878420077853</v>
      </c>
      <c r="AL196" s="28">
        <f>[1]服务器生态!Y211</f>
        <v>8.9971913953152001</v>
      </c>
      <c r="AM196" s="28">
        <f>[1]服务器生态!Z211</f>
        <v>1.6006639275000003</v>
      </c>
      <c r="AN196" s="28">
        <f>[1]服务器生态!AA211</f>
        <v>0.46314179999999988</v>
      </c>
    </row>
    <row r="197" spans="11:40" x14ac:dyDescent="0.2">
      <c r="K197" s="26">
        <v>191</v>
      </c>
      <c r="L197" s="26">
        <f>[1]节奏总纲!AD194</f>
        <v>75.845161563010109</v>
      </c>
      <c r="M197" s="26">
        <f>[1]节奏总纲!AE194</f>
        <v>77.91927598037924</v>
      </c>
      <c r="N197" s="26">
        <f>[1]节奏总纲!AF194</f>
        <v>80.864321627846579</v>
      </c>
      <c r="O197" s="26">
        <f>[1]节奏总纲!AG194</f>
        <v>85.392611234982624</v>
      </c>
      <c r="P197" s="26">
        <f>[1]节奏总纲!AH194</f>
        <v>94.860268335656244</v>
      </c>
      <c r="AI197" s="27">
        <v>191</v>
      </c>
      <c r="AJ197" s="28">
        <f>[1]服务器生态!W212</f>
        <v>111.09025935717186</v>
      </c>
      <c r="AK197" s="28">
        <f>[1]服务器生态!X212</f>
        <v>109.53601297121619</v>
      </c>
      <c r="AL197" s="28">
        <f>[1]服务器生态!Y212</f>
        <v>8.9414565813619191</v>
      </c>
      <c r="AM197" s="28">
        <f>[1]服务器生态!Z212</f>
        <v>1.5907483102500002</v>
      </c>
      <c r="AN197" s="28">
        <f>[1]服务器生态!AA212</f>
        <v>0.46027277999999988</v>
      </c>
    </row>
    <row r="198" spans="11:40" x14ac:dyDescent="0.2">
      <c r="K198" s="26">
        <v>192</v>
      </c>
      <c r="L198" s="26">
        <f>[1]节奏总纲!AD195</f>
        <v>75.922129728301385</v>
      </c>
      <c r="M198" s="26">
        <f>[1]节奏总纲!AE195</f>
        <v>77.996684344115593</v>
      </c>
      <c r="N198" s="26">
        <f>[1]节奏总纲!AF195</f>
        <v>80.945372043060999</v>
      </c>
      <c r="O198" s="26">
        <f>[1]节奏总纲!AG195</f>
        <v>85.464966996784469</v>
      </c>
      <c r="P198" s="26">
        <f>[1]节奏总纲!AH195</f>
        <v>94.936014837341872</v>
      </c>
      <c r="AI198" s="27">
        <v>192</v>
      </c>
      <c r="AJ198" s="28">
        <f>[1]服务器生态!W213</f>
        <v>110.39780003793747</v>
      </c>
      <c r="AK198" s="28">
        <f>[1]服务器生态!X213</f>
        <v>108.85324174165383</v>
      </c>
      <c r="AL198" s="28">
        <f>[1]服务器生态!Y213</f>
        <v>8.8857217674086382</v>
      </c>
      <c r="AM198" s="28">
        <f>[1]服务器生态!Z213</f>
        <v>1.5808326930000001</v>
      </c>
      <c r="AN198" s="28">
        <f>[1]服务器生态!AA213</f>
        <v>0.45740375999999983</v>
      </c>
    </row>
    <row r="199" spans="11:40" x14ac:dyDescent="0.2">
      <c r="K199" s="26">
        <v>193</v>
      </c>
      <c r="L199" s="26">
        <f>[1]节奏总纲!AD196</f>
        <v>75.999097893592648</v>
      </c>
      <c r="M199" s="26">
        <f>[1]节奏总纲!AE196</f>
        <v>78.068193736526268</v>
      </c>
      <c r="N199" s="26">
        <f>[1]节奏总纲!AF196</f>
        <v>81.02378934476593</v>
      </c>
      <c r="O199" s="26">
        <f>[1]节奏总纲!AG196</f>
        <v>85.537322758586328</v>
      </c>
      <c r="P199" s="26">
        <f>[1]节奏总纲!AH196</f>
        <v>95.011078787937279</v>
      </c>
      <c r="AI199" s="27">
        <v>193</v>
      </c>
      <c r="AJ199" s="28">
        <f>[1]服务器生态!W214</f>
        <v>109.70534071870311</v>
      </c>
      <c r="AK199" s="28">
        <f>[1]服务器生态!X214</f>
        <v>108.17047051209151</v>
      </c>
      <c r="AL199" s="28">
        <f>[1]服务器生态!Y214</f>
        <v>8.8299869534553608</v>
      </c>
      <c r="AM199" s="28">
        <f>[1]服务器生态!Z214</f>
        <v>1.5709170757500004</v>
      </c>
      <c r="AN199" s="28">
        <f>[1]服务器生态!AA214</f>
        <v>0.45453473999999994</v>
      </c>
    </row>
    <row r="200" spans="11:40" x14ac:dyDescent="0.2">
      <c r="K200" s="26">
        <v>194</v>
      </c>
      <c r="L200" s="26">
        <f>[1]节奏总纲!AD197</f>
        <v>76.070972142474872</v>
      </c>
      <c r="M200" s="26">
        <f>[1]节奏总纲!AE197</f>
        <v>78.139439149396253</v>
      </c>
      <c r="N200" s="26">
        <f>[1]节奏总纲!AF197</f>
        <v>81.096762731680187</v>
      </c>
      <c r="O200" s="26">
        <f>[1]节奏总纲!AG197</f>
        <v>85.609678520388172</v>
      </c>
      <c r="P200" s="26">
        <f>[1]节奏总纲!AH197</f>
        <v>95.082429458741387</v>
      </c>
      <c r="AI200" s="27">
        <v>194</v>
      </c>
      <c r="AJ200" s="28">
        <f>[1]服务器生态!W215</f>
        <v>109.01288139946872</v>
      </c>
      <c r="AK200" s="28">
        <f>[1]服务器生态!X215</f>
        <v>107.48769928252915</v>
      </c>
      <c r="AL200" s="28">
        <f>[1]服务器生态!Y215</f>
        <v>8.7742521395020798</v>
      </c>
      <c r="AM200" s="28">
        <f>[1]服务器生态!Z215</f>
        <v>1.5610014585000003</v>
      </c>
      <c r="AN200" s="28">
        <f>[1]服务器生态!AA215</f>
        <v>0.45166571999999988</v>
      </c>
    </row>
    <row r="201" spans="11:40" x14ac:dyDescent="0.2">
      <c r="K201" s="26">
        <v>195</v>
      </c>
      <c r="L201" s="26">
        <f>[1]节奏总纲!AD198</f>
        <v>76.142785979989682</v>
      </c>
      <c r="M201" s="26">
        <f>[1]节奏总纲!AE198</f>
        <v>78.210684562266223</v>
      </c>
      <c r="N201" s="26">
        <f>[1]节奏总纲!AF198</f>
        <v>81.169736118594443</v>
      </c>
      <c r="O201" s="26">
        <f>[1]节奏总纲!AG198</f>
        <v>85.682034282190017</v>
      </c>
      <c r="P201" s="26">
        <f>[1]节奏总纲!AH198</f>
        <v>95.153780129545481</v>
      </c>
      <c r="AI201" s="27">
        <v>195</v>
      </c>
      <c r="AJ201" s="28">
        <f>[1]服务器生态!W216</f>
        <v>108.32042208023435</v>
      </c>
      <c r="AK201" s="28">
        <f>[1]服务器生态!X216</f>
        <v>106.80492805296682</v>
      </c>
      <c r="AL201" s="28">
        <f>[1]服务器生态!Y216</f>
        <v>8.7185173255487989</v>
      </c>
      <c r="AM201" s="28">
        <f>[1]服务器生态!Z216</f>
        <v>1.5510858412500002</v>
      </c>
      <c r="AN201" s="28">
        <f>[1]服务器生态!AA216</f>
        <v>0.44879669999999988</v>
      </c>
    </row>
    <row r="202" spans="11:40" x14ac:dyDescent="0.2">
      <c r="K202" s="26">
        <v>196</v>
      </c>
      <c r="L202" s="26">
        <f>[1]节奏总纲!AD199</f>
        <v>76.214599817504492</v>
      </c>
      <c r="M202" s="26">
        <f>[1]节奏总纲!AE199</f>
        <v>78.281929975136208</v>
      </c>
      <c r="N202" s="26">
        <f>[1]节奏总纲!AF199</f>
        <v>81.242709505508685</v>
      </c>
      <c r="O202" s="26">
        <f>[1]节奏总纲!AG199</f>
        <v>85.754390043991862</v>
      </c>
      <c r="P202" s="26">
        <f>[1]节奏总纲!AH199</f>
        <v>95.225130800349589</v>
      </c>
      <c r="AI202" s="27">
        <v>196</v>
      </c>
      <c r="AJ202" s="28">
        <f>[1]服务器生态!W217</f>
        <v>107.62796276099998</v>
      </c>
      <c r="AK202" s="28">
        <f>[1]服务器生态!X217</f>
        <v>106.12215682340447</v>
      </c>
      <c r="AL202" s="28">
        <f>[1]服务器生态!Y217</f>
        <v>8.6627825115955197</v>
      </c>
      <c r="AM202" s="28">
        <f>[1]服务器生态!Z217</f>
        <v>1.5411702240000003</v>
      </c>
      <c r="AN202" s="28">
        <f>[1]服务器生态!AA217</f>
        <v>0.44592767999999988</v>
      </c>
    </row>
    <row r="203" spans="11:40" x14ac:dyDescent="0.2">
      <c r="K203" s="26">
        <v>197</v>
      </c>
      <c r="L203" s="26">
        <f>[1]节奏总纲!AD200</f>
        <v>76.286413655019302</v>
      </c>
      <c r="M203" s="26">
        <f>[1]节奏总纲!AE200</f>
        <v>78.353175388006179</v>
      </c>
      <c r="N203" s="26">
        <f>[1]节奏总纲!AF200</f>
        <v>81.315682892422942</v>
      </c>
      <c r="O203" s="26">
        <f>[1]节奏总纲!AG200</f>
        <v>85.82674580579372</v>
      </c>
      <c r="P203" s="26">
        <f>[1]节奏总纲!AH200</f>
        <v>95.296481471153683</v>
      </c>
      <c r="AI203" s="27">
        <v>197</v>
      </c>
      <c r="AJ203" s="28">
        <f>[1]服务器生态!W218</f>
        <v>106.93550344176559</v>
      </c>
      <c r="AK203" s="28">
        <f>[1]服务器生态!X218</f>
        <v>105.4393855938421</v>
      </c>
      <c r="AL203" s="28">
        <f>[1]服务器生态!Y218</f>
        <v>8.6070476976422388</v>
      </c>
      <c r="AM203" s="28">
        <f>[1]服务器生态!Z218</f>
        <v>1.5312546067500001</v>
      </c>
      <c r="AN203" s="28">
        <f>[1]服务器生态!AA218</f>
        <v>0.44305865999999983</v>
      </c>
    </row>
    <row r="204" spans="11:40" x14ac:dyDescent="0.2">
      <c r="K204" s="26">
        <v>198</v>
      </c>
      <c r="L204" s="26">
        <f>[1]节奏总纲!AD201</f>
        <v>76.358227492534112</v>
      </c>
      <c r="M204" s="26">
        <f>[1]节奏总纲!AE201</f>
        <v>78.424420800876163</v>
      </c>
      <c r="N204" s="26">
        <f>[1]节奏总纲!AF201</f>
        <v>81.388656279337198</v>
      </c>
      <c r="O204" s="26">
        <f>[1]节奏总纲!AG201</f>
        <v>85.899101567595565</v>
      </c>
      <c r="P204" s="26">
        <f>[1]节奏总纲!AH201</f>
        <v>95.367832141957777</v>
      </c>
      <c r="AI204" s="27">
        <v>198</v>
      </c>
      <c r="AJ204" s="28">
        <f>[1]服务器生态!W219</f>
        <v>106.24304412253122</v>
      </c>
      <c r="AK204" s="28">
        <f>[1]服务器生态!X219</f>
        <v>104.75661436427977</v>
      </c>
      <c r="AL204" s="28">
        <f>[1]服务器生态!Y219</f>
        <v>8.5513128836889596</v>
      </c>
      <c r="AM204" s="28">
        <f>[1]服务器生态!Z219</f>
        <v>1.5213389895000002</v>
      </c>
      <c r="AN204" s="28">
        <f>[1]服务器生态!AA219</f>
        <v>0.44018963999999988</v>
      </c>
    </row>
    <row r="205" spans="11:40" x14ac:dyDescent="0.2">
      <c r="K205" s="26">
        <v>199</v>
      </c>
      <c r="L205" s="26">
        <f>[1]节奏总纲!AD202</f>
        <v>76.430041330048923</v>
      </c>
      <c r="M205" s="26">
        <f>[1]节奏总纲!AE202</f>
        <v>78.495666213746148</v>
      </c>
      <c r="N205" s="26">
        <f>[1]节奏总纲!AF202</f>
        <v>81.461629666251454</v>
      </c>
      <c r="O205" s="26">
        <f>[1]节奏总纲!AG202</f>
        <v>85.97145732939741</v>
      </c>
      <c r="P205" s="26">
        <f>[1]节奏总纲!AH202</f>
        <v>95.439182812761885</v>
      </c>
      <c r="AI205" s="27">
        <v>199</v>
      </c>
      <c r="AJ205" s="28">
        <f>[1]服务器生态!W220</f>
        <v>105.55058480329686</v>
      </c>
      <c r="AK205" s="28">
        <f>[1]服务器生态!X220</f>
        <v>104.07384313471742</v>
      </c>
      <c r="AL205" s="28">
        <f>[1]服务器生态!Y220</f>
        <v>8.4955780697356786</v>
      </c>
      <c r="AM205" s="28">
        <f>[1]服务器生态!Z220</f>
        <v>1.5114233722500001</v>
      </c>
      <c r="AN205" s="28">
        <f>[1]服务器生态!AA220</f>
        <v>0.43732061999999988</v>
      </c>
    </row>
    <row r="206" spans="11:40" x14ac:dyDescent="0.2">
      <c r="K206" s="26">
        <v>200</v>
      </c>
      <c r="L206" s="26">
        <f>[1]节奏总纲!AD203</f>
        <v>76.501855167563733</v>
      </c>
      <c r="M206" s="26">
        <f>[1]节奏总纲!AE203</f>
        <v>78.566911626616118</v>
      </c>
      <c r="N206" s="26">
        <f>[1]节奏总纲!AF203</f>
        <v>81.534603053165696</v>
      </c>
      <c r="O206" s="26">
        <f>[1]节奏总纲!AG203</f>
        <v>86.045919706798657</v>
      </c>
      <c r="P206" s="26">
        <f>[1]节奏总纲!AH203</f>
        <v>95.510533483565979</v>
      </c>
      <c r="AI206" s="27">
        <v>200</v>
      </c>
      <c r="AJ206" s="28">
        <f>[1]服务器生态!W221</f>
        <v>104.85812548406248</v>
      </c>
      <c r="AK206" s="28">
        <f>[1]服务器生态!X221</f>
        <v>103.39107190515509</v>
      </c>
      <c r="AL206" s="28">
        <f>[1]服务器生态!Y221</f>
        <v>8.4398432557823995</v>
      </c>
      <c r="AM206" s="28">
        <f>[1]服务器生态!Z221</f>
        <v>1.5015077550000002</v>
      </c>
      <c r="AN206" s="28">
        <f>[1]服务器生态!AA221</f>
        <v>0.43445159999999988</v>
      </c>
    </row>
    <row r="207" spans="11:40" x14ac:dyDescent="0.2">
      <c r="K207" s="26">
        <v>201</v>
      </c>
      <c r="L207" s="26">
        <f>[1]节奏总纲!AD204</f>
        <v>76.573669005078543</v>
      </c>
      <c r="M207" s="26">
        <f>[1]节奏总纲!AE204</f>
        <v>78.638157039486103</v>
      </c>
      <c r="N207" s="26">
        <f>[1]节奏总纲!AF204</f>
        <v>81.607576440079953</v>
      </c>
      <c r="O207" s="26">
        <f>[1]节奏总纲!AG204</f>
        <v>86.121754469336281</v>
      </c>
      <c r="P207" s="26">
        <f>[1]节奏总纲!AH204</f>
        <v>95.581884154370087</v>
      </c>
      <c r="AI207" s="27">
        <v>201</v>
      </c>
      <c r="AJ207" s="28">
        <f>[1]服务器生态!W222</f>
        <v>104.16566616482811</v>
      </c>
      <c r="AK207" s="28">
        <f>[1]服务器生态!X222</f>
        <v>102.70830067559274</v>
      </c>
      <c r="AL207" s="28">
        <f>[1]服务器生态!Y222</f>
        <v>8.3841084418291203</v>
      </c>
      <c r="AM207" s="28">
        <f>[1]服务器生态!Z222</f>
        <v>1.4915921377500003</v>
      </c>
      <c r="AN207" s="28">
        <f>[1]服务器生态!AA222</f>
        <v>0.43158257999999988</v>
      </c>
    </row>
    <row r="208" spans="11:40" x14ac:dyDescent="0.2">
      <c r="K208" s="26">
        <v>202</v>
      </c>
      <c r="L208" s="26">
        <f>[1]节奏总纲!AD205</f>
        <v>76.645482842593353</v>
      </c>
      <c r="M208" s="26">
        <f>[1]节奏总纲!AE205</f>
        <v>78.709402452356088</v>
      </c>
      <c r="N208" s="26">
        <f>[1]节奏总纲!AF205</f>
        <v>81.680549826994209</v>
      </c>
      <c r="O208" s="26">
        <f>[1]节奏总纲!AG205</f>
        <v>86.197589231873891</v>
      </c>
      <c r="P208" s="26">
        <f>[1]节奏总纲!AH205</f>
        <v>95.653234825174181</v>
      </c>
      <c r="AI208" s="27">
        <v>202</v>
      </c>
      <c r="AJ208" s="28">
        <f>[1]服务器生态!W223</f>
        <v>103.47320684559372</v>
      </c>
      <c r="AK208" s="28">
        <f>[1]服务器生态!X223</f>
        <v>102.02552944603039</v>
      </c>
      <c r="AL208" s="28">
        <f>[1]服务器生态!Y223</f>
        <v>8.3283736278758393</v>
      </c>
      <c r="AM208" s="28">
        <f>[1]服务器生态!Z223</f>
        <v>1.4816765205000002</v>
      </c>
      <c r="AN208" s="28">
        <f>[1]服务器生态!AA223</f>
        <v>0.42871355999999983</v>
      </c>
    </row>
    <row r="209" spans="11:40" x14ac:dyDescent="0.2">
      <c r="K209" s="26">
        <v>203</v>
      </c>
      <c r="L209" s="26">
        <f>[1]节奏总纲!AD206</f>
        <v>76.717296680108163</v>
      </c>
      <c r="M209" s="26">
        <f>[1]节奏总纲!AE206</f>
        <v>78.780647865226058</v>
      </c>
      <c r="N209" s="26">
        <f>[1]节奏总纲!AF206</f>
        <v>81.753523213908451</v>
      </c>
      <c r="O209" s="26">
        <f>[1]节奏总纲!AG206</f>
        <v>86.273423994411502</v>
      </c>
      <c r="P209" s="26">
        <f>[1]节奏总纲!AH206</f>
        <v>95.724585495978289</v>
      </c>
      <c r="AI209" s="27">
        <v>203</v>
      </c>
      <c r="AJ209" s="28">
        <f>[1]服务器生态!W224</f>
        <v>102.78074752635935</v>
      </c>
      <c r="AK209" s="28">
        <f>[1]服务器生态!X224</f>
        <v>101.34275821646804</v>
      </c>
      <c r="AL209" s="28">
        <f>[1]服务器生态!Y224</f>
        <v>8.2726388139225584</v>
      </c>
      <c r="AM209" s="28">
        <f>[1]服务器生态!Z224</f>
        <v>1.4717609032500001</v>
      </c>
      <c r="AN209" s="28">
        <f>[1]服务器生态!AA224</f>
        <v>0.42584453999999988</v>
      </c>
    </row>
    <row r="210" spans="11:40" x14ac:dyDescent="0.2">
      <c r="K210" s="26">
        <v>204</v>
      </c>
      <c r="L210" s="26">
        <f>[1]节奏总纲!AD207</f>
        <v>76.789110517622973</v>
      </c>
      <c r="M210" s="26">
        <f>[1]节奏总纲!AE207</f>
        <v>78.851893278096043</v>
      </c>
      <c r="N210" s="26">
        <f>[1]节奏总纲!AF207</f>
        <v>81.826496600822708</v>
      </c>
      <c r="O210" s="26">
        <f>[1]节奏总纲!AG207</f>
        <v>86.349258756949112</v>
      </c>
      <c r="P210" s="26">
        <f>[1]节奏总纲!AH207</f>
        <v>95.795936166782383</v>
      </c>
      <c r="AI210" s="27">
        <v>204</v>
      </c>
      <c r="AJ210" s="28">
        <f>[1]服务器生态!W225</f>
        <v>102.08828820712499</v>
      </c>
      <c r="AK210" s="28">
        <f>[1]服务器生态!X225</f>
        <v>100.65998698690572</v>
      </c>
      <c r="AL210" s="28">
        <f>[1]服务器生态!Y225</f>
        <v>8.216903999969281</v>
      </c>
      <c r="AM210" s="28">
        <f>[1]服务器生态!Z225</f>
        <v>1.4618452860000004</v>
      </c>
      <c r="AN210" s="28">
        <f>[1]服务器生态!AA225</f>
        <v>0.42297551999999994</v>
      </c>
    </row>
    <row r="211" spans="11:40" x14ac:dyDescent="0.2">
      <c r="K211" s="26">
        <v>205</v>
      </c>
      <c r="L211" s="26">
        <f>[1]节奏总纲!AD208</f>
        <v>76.860924355137783</v>
      </c>
      <c r="M211" s="26">
        <f>[1]节奏总纲!AE208</f>
        <v>78.923138690966013</v>
      </c>
      <c r="N211" s="26">
        <f>[1]节奏总纲!AF208</f>
        <v>81.899469987736964</v>
      </c>
      <c r="O211" s="26">
        <f>[1]节奏总纲!AG208</f>
        <v>86.425093519486722</v>
      </c>
      <c r="P211" s="26">
        <f>[1]节奏总纲!AH208</f>
        <v>95.867286837586477</v>
      </c>
      <c r="AI211" s="27">
        <v>205</v>
      </c>
      <c r="AJ211" s="28">
        <f>[1]服务器生态!W226</f>
        <v>101.3958288878906</v>
      </c>
      <c r="AK211" s="28">
        <f>[1]服务器生态!X226</f>
        <v>99.977215757343359</v>
      </c>
      <c r="AL211" s="28">
        <f>[1]服务器生态!Y226</f>
        <v>8.1611691860160001</v>
      </c>
      <c r="AM211" s="28">
        <f>[1]服务器生态!Z226</f>
        <v>1.4519296687500003</v>
      </c>
      <c r="AN211" s="28">
        <f>[1]服务器生态!AA226</f>
        <v>0.42010649999999988</v>
      </c>
    </row>
    <row r="212" spans="11:40" x14ac:dyDescent="0.2">
      <c r="K212" s="26">
        <v>206</v>
      </c>
      <c r="L212" s="26">
        <f>[1]节奏总纲!AD209</f>
        <v>76.932738192652593</v>
      </c>
      <c r="M212" s="26">
        <f>[1]节奏总纲!AE209</f>
        <v>78.994384103835998</v>
      </c>
      <c r="N212" s="26">
        <f>[1]节奏总纲!AF209</f>
        <v>81.972443374651206</v>
      </c>
      <c r="O212" s="26">
        <f>[1]节奏总纲!AG209</f>
        <v>86.500928282024347</v>
      </c>
      <c r="P212" s="26">
        <f>[1]节奏总纲!AH209</f>
        <v>95.938637508390585</v>
      </c>
      <c r="AI212" s="27">
        <v>206</v>
      </c>
      <c r="AJ212" s="28">
        <f>[1]服务器生态!W227</f>
        <v>100.70336956865623</v>
      </c>
      <c r="AK212" s="28">
        <f>[1]服务器生态!X227</f>
        <v>99.29444452778101</v>
      </c>
      <c r="AL212" s="28">
        <f>[1]服务器生态!Y227</f>
        <v>8.1054343720627191</v>
      </c>
      <c r="AM212" s="28">
        <f>[1]服务器生态!Z227</f>
        <v>1.4420140515000002</v>
      </c>
      <c r="AN212" s="28">
        <f>[1]服务器生态!AA227</f>
        <v>0.41723747999999988</v>
      </c>
    </row>
    <row r="213" spans="11:40" x14ac:dyDescent="0.2">
      <c r="K213" s="26">
        <v>207</v>
      </c>
      <c r="L213" s="26">
        <f>[1]节奏总纲!AD210</f>
        <v>77.004247194324648</v>
      </c>
      <c r="M213" s="26">
        <f>[1]节奏总纲!AE210</f>
        <v>79.061386416569832</v>
      </c>
      <c r="N213" s="26">
        <f>[1]节奏总纲!AF210</f>
        <v>82.041007317281839</v>
      </c>
      <c r="O213" s="26">
        <f>[1]节奏总纲!AG210</f>
        <v>86.576763044561957</v>
      </c>
      <c r="P213" s="26">
        <f>[1]节奏总纲!AH210</f>
        <v>96.008512635801992</v>
      </c>
      <c r="AI213" s="27">
        <v>207</v>
      </c>
      <c r="AJ213" s="28">
        <f>[1]服务器生态!W228</f>
        <v>100.01091024942184</v>
      </c>
      <c r="AK213" s="28">
        <f>[1]服务器生态!X228</f>
        <v>98.611673298218662</v>
      </c>
      <c r="AL213" s="28">
        <f>[1]服务器生态!Y228</f>
        <v>8.0496995581094382</v>
      </c>
      <c r="AM213" s="28">
        <f>[1]服务器生态!Z228</f>
        <v>1.4320984342500001</v>
      </c>
      <c r="AN213" s="28">
        <f>[1]服务器生态!AA228</f>
        <v>0.41436845999999983</v>
      </c>
    </row>
    <row r="214" spans="11:40" x14ac:dyDescent="0.2">
      <c r="K214" s="26">
        <v>208</v>
      </c>
      <c r="L214" s="26">
        <f>[1]节奏总纲!AD211</f>
        <v>77.07125187397483</v>
      </c>
      <c r="M214" s="26">
        <f>[1]节奏总纲!AE211</f>
        <v>79.128025648620252</v>
      </c>
      <c r="N214" s="26">
        <f>[1]节奏总纲!AF211</f>
        <v>82.106895829081836</v>
      </c>
      <c r="O214" s="26">
        <f>[1]节奏总纲!AG211</f>
        <v>86.652597807099568</v>
      </c>
      <c r="P214" s="26">
        <f>[1]节奏总纲!AH211</f>
        <v>96.069322745727362</v>
      </c>
      <c r="AI214" s="27">
        <v>208</v>
      </c>
      <c r="AJ214" s="28">
        <f>[1]服务器生态!W229</f>
        <v>99.318450930187481</v>
      </c>
      <c r="AK214" s="28">
        <f>[1]服务器生态!X229</f>
        <v>97.928902068656313</v>
      </c>
      <c r="AL214" s="28">
        <f>[1]服务器生态!Y229</f>
        <v>7.993964744156159</v>
      </c>
      <c r="AM214" s="28">
        <f>[1]服务器生态!Z229</f>
        <v>1.4221828170000002</v>
      </c>
      <c r="AN214" s="28">
        <f>[1]服务器生态!AA229</f>
        <v>0.41149943999999988</v>
      </c>
    </row>
    <row r="215" spans="11:40" x14ac:dyDescent="0.2">
      <c r="K215" s="26">
        <v>209</v>
      </c>
      <c r="L215" s="26">
        <f>[1]节奏总纲!AD212</f>
        <v>77.138256553625013</v>
      </c>
      <c r="M215" s="26">
        <f>[1]节奏总纲!AE212</f>
        <v>79.194664880670672</v>
      </c>
      <c r="N215" s="26">
        <f>[1]节奏总纲!AF212</f>
        <v>82.172784340881819</v>
      </c>
      <c r="O215" s="26">
        <f>[1]节奏总纲!AG212</f>
        <v>86.728432569637178</v>
      </c>
      <c r="P215" s="26">
        <f>[1]节奏总纲!AH212</f>
        <v>96.130132855652732</v>
      </c>
      <c r="AI215" s="27">
        <v>209</v>
      </c>
      <c r="AJ215" s="28">
        <f>[1]服务器生态!W230</f>
        <v>98.625991610953093</v>
      </c>
      <c r="AK215" s="28">
        <f>[1]服务器生态!X230</f>
        <v>97.246130839093965</v>
      </c>
      <c r="AL215" s="28">
        <f>[1]服务器生态!Y230</f>
        <v>7.938229930202878</v>
      </c>
      <c r="AM215" s="28">
        <f>[1]服务器生态!Z230</f>
        <v>1.41226719975</v>
      </c>
      <c r="AN215" s="28">
        <f>[1]服务器生态!AA230</f>
        <v>0.40863041999999983</v>
      </c>
    </row>
    <row r="216" spans="11:40" x14ac:dyDescent="0.2">
      <c r="K216" s="26">
        <v>210</v>
      </c>
      <c r="L216" s="26">
        <f>[1]节奏总纲!AD213</f>
        <v>77.205261233275195</v>
      </c>
      <c r="M216" s="26">
        <f>[1]节奏总纲!AE213</f>
        <v>79.261304112721092</v>
      </c>
      <c r="N216" s="26">
        <f>[1]节奏总纲!AF213</f>
        <v>82.238672852681816</v>
      </c>
      <c r="O216" s="26">
        <f>[1]节奏总纲!AG213</f>
        <v>86.804267332174788</v>
      </c>
      <c r="P216" s="26">
        <f>[1]节奏总纲!AH213</f>
        <v>96.190942965578103</v>
      </c>
      <c r="AI216" s="27">
        <v>210</v>
      </c>
      <c r="AJ216" s="28">
        <f>[1]服务器生态!W231</f>
        <v>97.933532291718734</v>
      </c>
      <c r="AK216" s="28">
        <f>[1]服务器生态!X231</f>
        <v>96.563359609531631</v>
      </c>
      <c r="AL216" s="28">
        <f>[1]服务器生态!Y231</f>
        <v>7.8824951162495989</v>
      </c>
      <c r="AM216" s="28">
        <f>[1]服务器生态!Z231</f>
        <v>1.4023515825000001</v>
      </c>
      <c r="AN216" s="28">
        <f>[1]服务器生态!AA231</f>
        <v>0.40576139999999988</v>
      </c>
    </row>
    <row r="217" spans="11:40" x14ac:dyDescent="0.2">
      <c r="K217" s="26">
        <v>211</v>
      </c>
      <c r="L217" s="26">
        <f>[1]节奏总纲!AD214</f>
        <v>77.272265912925377</v>
      </c>
      <c r="M217" s="26">
        <f>[1]节奏总纲!AE214</f>
        <v>79.327943344771512</v>
      </c>
      <c r="N217" s="26">
        <f>[1]节奏总纲!AF214</f>
        <v>82.304561364481813</v>
      </c>
      <c r="O217" s="26">
        <f>[1]节奏总纲!AG214</f>
        <v>86.880102094712413</v>
      </c>
      <c r="P217" s="26">
        <f>[1]节奏总纲!AH214</f>
        <v>96.251753075503458</v>
      </c>
      <c r="AI217" s="27">
        <v>211</v>
      </c>
      <c r="AJ217" s="28">
        <f>[1]服务器生态!W232</f>
        <v>97.362253353350368</v>
      </c>
      <c r="AK217" s="28">
        <f>[1]服务器生态!X232</f>
        <v>96.00007334514271</v>
      </c>
      <c r="AL217" s="28">
        <f>[1]服务器生态!Y232</f>
        <v>7.8365138947381432</v>
      </c>
      <c r="AM217" s="28">
        <f>[1]服务器生态!Z232</f>
        <v>1.3941711982687504</v>
      </c>
      <c r="AN217" s="28">
        <f>[1]服务器生态!AA232</f>
        <v>0.40339445849999989</v>
      </c>
    </row>
    <row r="218" spans="11:40" x14ac:dyDescent="0.2">
      <c r="K218" s="26">
        <v>212</v>
      </c>
      <c r="L218" s="26">
        <f>[1]节奏总纲!AD215</f>
        <v>77.339270592575559</v>
      </c>
      <c r="M218" s="26">
        <f>[1]节奏总纲!AE215</f>
        <v>79.394582576821932</v>
      </c>
      <c r="N218" s="26">
        <f>[1]节奏总纲!AF215</f>
        <v>82.370449876281796</v>
      </c>
      <c r="O218" s="26">
        <f>[1]节奏总纲!AG215</f>
        <v>86.955936857250023</v>
      </c>
      <c r="P218" s="26">
        <f>[1]节奏总纲!AH215</f>
        <v>96.312563185428829</v>
      </c>
      <c r="AI218" s="27">
        <v>212</v>
      </c>
      <c r="AJ218" s="28">
        <f>[1]服务器生态!W233</f>
        <v>96.790974414982003</v>
      </c>
      <c r="AK218" s="28">
        <f>[1]服务器生态!X233</f>
        <v>95.43678708075376</v>
      </c>
      <c r="AL218" s="28">
        <f>[1]服务器生态!Y233</f>
        <v>7.7905326732266866</v>
      </c>
      <c r="AM218" s="28">
        <f>[1]服务器生态!Z233</f>
        <v>1.3859908140375001</v>
      </c>
      <c r="AN218" s="28">
        <f>[1]服务器生态!AA233</f>
        <v>0.40102751699999983</v>
      </c>
    </row>
    <row r="219" spans="11:40" x14ac:dyDescent="0.2">
      <c r="K219" s="26">
        <v>213</v>
      </c>
      <c r="L219" s="26">
        <f>[1]节奏总纲!AD216</f>
        <v>77.406275272225741</v>
      </c>
      <c r="M219" s="26">
        <f>[1]节奏总纲!AE216</f>
        <v>79.461221808872352</v>
      </c>
      <c r="N219" s="26">
        <f>[1]节奏总纲!AF216</f>
        <v>82.436338388081793</v>
      </c>
      <c r="O219" s="26">
        <f>[1]节奏总纲!AG216</f>
        <v>87.031203567981635</v>
      </c>
      <c r="P219" s="26">
        <f>[1]节奏总纲!AH216</f>
        <v>96.373373295354199</v>
      </c>
      <c r="AI219" s="27">
        <v>213</v>
      </c>
      <c r="AJ219" s="28">
        <f>[1]服务器生态!W234</f>
        <v>96.219695476613651</v>
      </c>
      <c r="AK219" s="28">
        <f>[1]服务器生态!X234</f>
        <v>94.873500816364825</v>
      </c>
      <c r="AL219" s="28">
        <f>[1]服务器生态!Y234</f>
        <v>7.744551451715231</v>
      </c>
      <c r="AM219" s="28">
        <f>[1]服务器生态!Z234</f>
        <v>1.3778104298062501</v>
      </c>
      <c r="AN219" s="28">
        <f>[1]服务器生态!AA234</f>
        <v>0.39866057549999989</v>
      </c>
    </row>
    <row r="220" spans="11:40" x14ac:dyDescent="0.2">
      <c r="K220" s="26">
        <v>214</v>
      </c>
      <c r="L220" s="26">
        <f>[1]节奏总纲!AD217</f>
        <v>77.473279951875909</v>
      </c>
      <c r="M220" s="26">
        <f>[1]节奏总纲!AE217</f>
        <v>79.527861040922772</v>
      </c>
      <c r="N220" s="26">
        <f>[1]节奏总纲!AF217</f>
        <v>82.502226899881776</v>
      </c>
      <c r="O220" s="26">
        <f>[1]节奏总纲!AG217</f>
        <v>87.10568246405397</v>
      </c>
      <c r="P220" s="26">
        <f>[1]节奏总纲!AH217</f>
        <v>96.434183405279569</v>
      </c>
      <c r="AI220" s="27">
        <v>214</v>
      </c>
      <c r="AJ220" s="28">
        <f>[1]服务器生态!W235</f>
        <v>95.648416538245286</v>
      </c>
      <c r="AK220" s="28">
        <f>[1]服务器生态!X235</f>
        <v>94.310214551975889</v>
      </c>
      <c r="AL220" s="28">
        <f>[1]服务器生态!Y235</f>
        <v>7.6985702302037753</v>
      </c>
      <c r="AM220" s="28">
        <f>[1]服务器生态!Z235</f>
        <v>1.3696300455750001</v>
      </c>
      <c r="AN220" s="28">
        <f>[1]服务器生态!AA235</f>
        <v>0.39629363399999989</v>
      </c>
    </row>
    <row r="221" spans="11:40" x14ac:dyDescent="0.2">
      <c r="K221" s="26">
        <v>215</v>
      </c>
      <c r="L221" s="26">
        <f>[1]节奏总纲!AD218</f>
        <v>77.540284631526092</v>
      </c>
      <c r="M221" s="26">
        <f>[1]节奏总纲!AE218</f>
        <v>79.594500272973193</v>
      </c>
      <c r="N221" s="26">
        <f>[1]节奏总纲!AF218</f>
        <v>82.568115411681774</v>
      </c>
      <c r="O221" s="26">
        <f>[1]节奏总纲!AG218</f>
        <v>87.180161360126306</v>
      </c>
      <c r="P221" s="26">
        <f>[1]节奏总纲!AH218</f>
        <v>96.494993515204939</v>
      </c>
      <c r="AI221" s="27">
        <v>215</v>
      </c>
      <c r="AJ221" s="28">
        <f>[1]服务器生态!W236</f>
        <v>95.07713759987692</v>
      </c>
      <c r="AK221" s="28">
        <f>[1]服务器生态!X236</f>
        <v>93.746928287586954</v>
      </c>
      <c r="AL221" s="28">
        <f>[1]服务器生态!Y236</f>
        <v>7.6525890086923187</v>
      </c>
      <c r="AM221" s="28">
        <f>[1]服务器生态!Z236</f>
        <v>1.3614496613437501</v>
      </c>
      <c r="AN221" s="28">
        <f>[1]服务器生态!AA236</f>
        <v>0.39392669249999984</v>
      </c>
    </row>
    <row r="222" spans="11:40" x14ac:dyDescent="0.2">
      <c r="K222" s="26">
        <v>216</v>
      </c>
      <c r="L222" s="26">
        <f>[1]节奏总纲!AD219</f>
        <v>77.607289311176274</v>
      </c>
      <c r="M222" s="26">
        <f>[1]节奏总纲!AE219</f>
        <v>79.661139505023613</v>
      </c>
      <c r="N222" s="26">
        <f>[1]节奏总纲!AF219</f>
        <v>82.634003923481771</v>
      </c>
      <c r="O222" s="26">
        <f>[1]节奏总纲!AG219</f>
        <v>87.254640256198641</v>
      </c>
      <c r="P222" s="26">
        <f>[1]节奏总纲!AH219</f>
        <v>96.555803625130309</v>
      </c>
      <c r="AI222" s="27">
        <v>216</v>
      </c>
      <c r="AJ222" s="28">
        <f>[1]服务器生态!W237</f>
        <v>94.505858661508569</v>
      </c>
      <c r="AK222" s="28">
        <f>[1]服务器生态!X237</f>
        <v>93.183642023198018</v>
      </c>
      <c r="AL222" s="28">
        <f>[1]服务器生态!Y237</f>
        <v>7.6066077871808631</v>
      </c>
      <c r="AM222" s="28">
        <f>[1]服务器生态!Z237</f>
        <v>1.3532692771125001</v>
      </c>
      <c r="AN222" s="28">
        <f>[1]服务器生态!AA237</f>
        <v>0.39155975099999984</v>
      </c>
    </row>
    <row r="223" spans="11:40" x14ac:dyDescent="0.2">
      <c r="K223" s="26">
        <v>217</v>
      </c>
      <c r="L223" s="26">
        <f>[1]节奏总纲!AD220</f>
        <v>77.674293990826456</v>
      </c>
      <c r="M223" s="26">
        <f>[1]节奏总纲!AE220</f>
        <v>79.727778737074033</v>
      </c>
      <c r="N223" s="26">
        <f>[1]节奏总纲!AF220</f>
        <v>82.699892435281754</v>
      </c>
      <c r="O223" s="26">
        <f>[1]节奏总纲!AG220</f>
        <v>87.329119152270991</v>
      </c>
      <c r="P223" s="26">
        <f>[1]节奏总纲!AH220</f>
        <v>96.61661373505568</v>
      </c>
      <c r="AI223" s="27">
        <v>217</v>
      </c>
      <c r="AJ223" s="28">
        <f>[1]服务器生态!W238</f>
        <v>93.934579723140203</v>
      </c>
      <c r="AK223" s="28">
        <f>[1]服务器生态!X238</f>
        <v>92.620355758809083</v>
      </c>
      <c r="AL223" s="28">
        <f>[1]服务器生态!Y238</f>
        <v>7.5606265656694065</v>
      </c>
      <c r="AM223" s="28">
        <f>[1]服务器生态!Z238</f>
        <v>1.3450888928812501</v>
      </c>
      <c r="AN223" s="28">
        <f>[1]服务器生态!AA238</f>
        <v>0.38919280949999985</v>
      </c>
    </row>
    <row r="224" spans="11:40" x14ac:dyDescent="0.2">
      <c r="K224" s="26">
        <v>218</v>
      </c>
      <c r="L224" s="26">
        <f>[1]节奏总纲!AD221</f>
        <v>77.741298670476638</v>
      </c>
      <c r="M224" s="26">
        <f>[1]节奏总纲!AE221</f>
        <v>79.794417969124453</v>
      </c>
      <c r="N224" s="26">
        <f>[1]节奏总纲!AF221</f>
        <v>82.765780947081751</v>
      </c>
      <c r="O224" s="26">
        <f>[1]节奏总纲!AG221</f>
        <v>87.403598048343326</v>
      </c>
      <c r="P224" s="26">
        <f>[1]节奏总纲!AH221</f>
        <v>96.67742384498105</v>
      </c>
      <c r="AI224" s="27">
        <v>218</v>
      </c>
      <c r="AJ224" s="28">
        <f>[1]服务器生态!W239</f>
        <v>93.363300784771852</v>
      </c>
      <c r="AK224" s="28">
        <f>[1]服务器生态!X239</f>
        <v>92.057069494420162</v>
      </c>
      <c r="AL224" s="28">
        <f>[1]服务器生态!Y239</f>
        <v>7.5146453441579508</v>
      </c>
      <c r="AM224" s="28">
        <f>[1]服务器生态!Z239</f>
        <v>1.3369085086500001</v>
      </c>
      <c r="AN224" s="28">
        <f>[1]服务器生态!AA239</f>
        <v>0.38682586799999991</v>
      </c>
    </row>
    <row r="225" spans="11:40" x14ac:dyDescent="0.2">
      <c r="K225" s="26">
        <v>219</v>
      </c>
      <c r="L225" s="26">
        <f>[1]节奏总纲!AD222</f>
        <v>77.80830335012682</v>
      </c>
      <c r="M225" s="26">
        <f>[1]节奏总纲!AE222</f>
        <v>79.861057201174873</v>
      </c>
      <c r="N225" s="26">
        <f>[1]节奏总纲!AF222</f>
        <v>82.831669458881734</v>
      </c>
      <c r="O225" s="26">
        <f>[1]节奏总纲!AG222</f>
        <v>87.478076944415662</v>
      </c>
      <c r="P225" s="26">
        <f>[1]节奏总纲!AH222</f>
        <v>96.73823395490642</v>
      </c>
      <c r="AI225" s="27">
        <v>219</v>
      </c>
      <c r="AJ225" s="28">
        <f>[1]服务器生态!W240</f>
        <v>92.792021846403486</v>
      </c>
      <c r="AK225" s="28">
        <f>[1]服务器生态!X240</f>
        <v>91.493783230031212</v>
      </c>
      <c r="AL225" s="28">
        <f>[1]服务器生态!Y240</f>
        <v>7.4686641226464943</v>
      </c>
      <c r="AM225" s="28">
        <f>[1]服务器生态!Z240</f>
        <v>1.3287281244187501</v>
      </c>
      <c r="AN225" s="28">
        <f>[1]服务器生态!AA240</f>
        <v>0.38445892649999985</v>
      </c>
    </row>
    <row r="226" spans="11:40" x14ac:dyDescent="0.2">
      <c r="K226" s="26">
        <v>220</v>
      </c>
      <c r="L226" s="26">
        <f>[1]节奏总纲!AD223</f>
        <v>77.875308029777003</v>
      </c>
      <c r="M226" s="26">
        <f>[1]节奏总纲!AE223</f>
        <v>79.927696433225293</v>
      </c>
      <c r="N226" s="26">
        <f>[1]节奏总纲!AF223</f>
        <v>82.897557970681731</v>
      </c>
      <c r="O226" s="26">
        <f>[1]节奏总纲!AG223</f>
        <v>87.552555840488012</v>
      </c>
      <c r="P226" s="26">
        <f>[1]节奏总纲!AH223</f>
        <v>96.79904406483179</v>
      </c>
      <c r="AI226" s="27">
        <v>220</v>
      </c>
      <c r="AJ226" s="28">
        <f>[1]服务器生态!W241</f>
        <v>92.220742908035135</v>
      </c>
      <c r="AK226" s="28">
        <f>[1]服务器生态!X241</f>
        <v>90.930496965642277</v>
      </c>
      <c r="AL226" s="28">
        <f>[1]服务器生态!Y241</f>
        <v>7.4226829011350386</v>
      </c>
      <c r="AM226" s="28">
        <f>[1]服务器生态!Z241</f>
        <v>1.3205477401875001</v>
      </c>
      <c r="AN226" s="28">
        <f>[1]服务器生态!AA241</f>
        <v>0.38209198499999986</v>
      </c>
    </row>
    <row r="227" spans="11:40" x14ac:dyDescent="0.2">
      <c r="K227" s="26">
        <v>221</v>
      </c>
      <c r="L227" s="26">
        <f>[1]节奏总纲!AD224</f>
        <v>77.942312709427185</v>
      </c>
      <c r="M227" s="26">
        <f>[1]节奏总纲!AE224</f>
        <v>79.994335665275713</v>
      </c>
      <c r="N227" s="26">
        <f>[1]节奏总纲!AF224</f>
        <v>82.963446482481729</v>
      </c>
      <c r="O227" s="26">
        <f>[1]节奏总纲!AG224</f>
        <v>87.627034736560347</v>
      </c>
      <c r="P227" s="26">
        <f>[1]节奏总纲!AH224</f>
        <v>96.85985417475716</v>
      </c>
      <c r="AI227" s="27">
        <v>221</v>
      </c>
      <c r="AJ227" s="28">
        <f>[1]服务器生态!W242</f>
        <v>91.649463969666769</v>
      </c>
      <c r="AK227" s="28">
        <f>[1]服务器生态!X242</f>
        <v>90.367210701253342</v>
      </c>
      <c r="AL227" s="28">
        <f>[1]服务器生态!Y242</f>
        <v>7.3767016796235829</v>
      </c>
      <c r="AM227" s="28">
        <f>[1]服务器生态!Z242</f>
        <v>1.3123673559562501</v>
      </c>
      <c r="AN227" s="28">
        <f>[1]服务器生态!AA242</f>
        <v>0.37972504349999986</v>
      </c>
    </row>
    <row r="228" spans="11:40" x14ac:dyDescent="0.2">
      <c r="K228" s="26">
        <v>222</v>
      </c>
      <c r="L228" s="26">
        <f>[1]节奏总纲!AD225</f>
        <v>78.008693431404168</v>
      </c>
      <c r="M228" s="26">
        <f>[1]节奏总纲!AE225</f>
        <v>80.05990507131493</v>
      </c>
      <c r="N228" s="26">
        <f>[1]节奏总纲!AF225</f>
        <v>83.028328094754301</v>
      </c>
      <c r="O228" s="26">
        <f>[1]节奏总纲!AG225</f>
        <v>87.701513632632683</v>
      </c>
      <c r="P228" s="26">
        <f>[1]节奏总纲!AH225</f>
        <v>96.920664284682516</v>
      </c>
      <c r="AI228" s="27">
        <v>222</v>
      </c>
      <c r="AJ228" s="28">
        <f>[1]服务器生态!W243</f>
        <v>91.078185031298403</v>
      </c>
      <c r="AK228" s="28">
        <f>[1]服务器生态!X243</f>
        <v>89.803924436864406</v>
      </c>
      <c r="AL228" s="28">
        <f>[1]服务器生态!Y243</f>
        <v>7.3307204581121264</v>
      </c>
      <c r="AM228" s="28">
        <f>[1]服务器生态!Z243</f>
        <v>1.3041869717249999</v>
      </c>
      <c r="AN228" s="28">
        <f>[1]服务器生态!AA243</f>
        <v>0.37735810199999981</v>
      </c>
    </row>
    <row r="229" spans="11:40" x14ac:dyDescent="0.2">
      <c r="K229" s="26">
        <v>223</v>
      </c>
      <c r="L229" s="26">
        <f>[1]节奏总纲!AD226</f>
        <v>78.071211008105138</v>
      </c>
      <c r="M229" s="26">
        <f>[1]节奏总纲!AE226</f>
        <v>80.125375094609936</v>
      </c>
      <c r="N229" s="26">
        <f>[1]节奏总纲!AF226</f>
        <v>83.091955037632331</v>
      </c>
      <c r="O229" s="26">
        <f>[1]节奏总纲!AG226</f>
        <v>87.775992528705018</v>
      </c>
      <c r="P229" s="26">
        <f>[1]节奏总纲!AH226</f>
        <v>96.981474394607886</v>
      </c>
      <c r="AI229" s="27">
        <v>223</v>
      </c>
      <c r="AJ229" s="28">
        <f>[1]服务器生态!W244</f>
        <v>90.506906092930052</v>
      </c>
      <c r="AK229" s="28">
        <f>[1]服务器生态!X244</f>
        <v>89.240638172475471</v>
      </c>
      <c r="AL229" s="28">
        <f>[1]服务器生态!Y244</f>
        <v>7.2847392366006707</v>
      </c>
      <c r="AM229" s="28">
        <f>[1]服务器生态!Z244</f>
        <v>1.2960065874937501</v>
      </c>
      <c r="AN229" s="28">
        <f>[1]服务器生态!AA244</f>
        <v>0.37499116049999986</v>
      </c>
    </row>
    <row r="230" spans="11:40" x14ac:dyDescent="0.2">
      <c r="K230" s="26">
        <v>224</v>
      </c>
      <c r="L230" s="26">
        <f>[1]节奏总纲!AD227</f>
        <v>78.133728584806107</v>
      </c>
      <c r="M230" s="26">
        <f>[1]节奏总纲!AE227</f>
        <v>80.190845117904942</v>
      </c>
      <c r="N230" s="26">
        <f>[1]节奏总纲!AF227</f>
        <v>83.155581980510348</v>
      </c>
      <c r="O230" s="26">
        <f>[1]节奏总纲!AG227</f>
        <v>87.850471424777368</v>
      </c>
      <c r="P230" s="26">
        <f>[1]节奏总纲!AH227</f>
        <v>97.03979962522213</v>
      </c>
      <c r="AI230" s="27">
        <v>224</v>
      </c>
      <c r="AJ230" s="28">
        <f>[1]服务器生态!W245</f>
        <v>89.935627154561686</v>
      </c>
      <c r="AK230" s="28">
        <f>[1]服务器生态!X245</f>
        <v>88.677351908086536</v>
      </c>
      <c r="AL230" s="28">
        <f>[1]服务器生态!Y245</f>
        <v>7.2387580150892141</v>
      </c>
      <c r="AM230" s="28">
        <f>[1]服务器生态!Z245</f>
        <v>1.2878262032625001</v>
      </c>
      <c r="AN230" s="28">
        <f>[1]服务器生态!AA245</f>
        <v>0.37262421899999987</v>
      </c>
    </row>
    <row r="231" spans="11:40" x14ac:dyDescent="0.2">
      <c r="K231" s="26">
        <v>225</v>
      </c>
      <c r="L231" s="26">
        <f>[1]节奏总纲!AD228</f>
        <v>78.196246161507091</v>
      </c>
      <c r="M231" s="26">
        <f>[1]节奏总纲!AE228</f>
        <v>80.256315141199948</v>
      </c>
      <c r="N231" s="26">
        <f>[1]节奏总纲!AF228</f>
        <v>83.219208923388379</v>
      </c>
      <c r="O231" s="26">
        <f>[1]节奏总纲!AG228</f>
        <v>87.924950320849703</v>
      </c>
      <c r="P231" s="26">
        <f>[1]节奏总纲!AH228</f>
        <v>97.097036185315744</v>
      </c>
      <c r="AI231" s="27">
        <v>225</v>
      </c>
      <c r="AJ231" s="28">
        <f>[1]服务器生态!W246</f>
        <v>89.364348216193335</v>
      </c>
      <c r="AK231" s="28">
        <f>[1]服务器生态!X246</f>
        <v>88.114065643697614</v>
      </c>
      <c r="AL231" s="28">
        <f>[1]服务器生态!Y246</f>
        <v>7.1927767935777585</v>
      </c>
      <c r="AM231" s="28">
        <f>[1]服务器生态!Z246</f>
        <v>1.2796458190312501</v>
      </c>
      <c r="AN231" s="28">
        <f>[1]服务器生态!AA246</f>
        <v>0.37025727749999987</v>
      </c>
    </row>
    <row r="232" spans="11:40" x14ac:dyDescent="0.2">
      <c r="K232" s="26">
        <v>226</v>
      </c>
      <c r="L232" s="26">
        <f>[1]节奏总纲!AD229</f>
        <v>78.25876373820806</v>
      </c>
      <c r="M232" s="26">
        <f>[1]节奏总纲!AE229</f>
        <v>80.321785164494941</v>
      </c>
      <c r="N232" s="26">
        <f>[1]节奏总纲!AF229</f>
        <v>83.282835866266396</v>
      </c>
      <c r="O232" s="26">
        <f>[1]节奏总纲!AG229</f>
        <v>87.999429216922039</v>
      </c>
      <c r="P232" s="26">
        <f>[1]节奏总纲!AH229</f>
        <v>97.154272745409358</v>
      </c>
      <c r="AI232" s="27">
        <v>226</v>
      </c>
      <c r="AJ232" s="28">
        <f>[1]服务器生态!W247</f>
        <v>88.793069277824969</v>
      </c>
      <c r="AK232" s="28">
        <f>[1]服务器生态!X247</f>
        <v>87.550779379308665</v>
      </c>
      <c r="AL232" s="28">
        <f>[1]服务器生态!Y247</f>
        <v>7.1467955720663019</v>
      </c>
      <c r="AM232" s="28">
        <f>[1]服务器生态!Z247</f>
        <v>1.2714654347999998</v>
      </c>
      <c r="AN232" s="28">
        <f>[1]服务器生态!AA247</f>
        <v>0.36789033599999982</v>
      </c>
    </row>
    <row r="233" spans="11:40" x14ac:dyDescent="0.2">
      <c r="K233" s="26">
        <v>227</v>
      </c>
      <c r="L233" s="26">
        <f>[1]节奏总纲!AD230</f>
        <v>78.321281314909029</v>
      </c>
      <c r="M233" s="26">
        <f>[1]节奏总纲!AE230</f>
        <v>80.387255187789947</v>
      </c>
      <c r="N233" s="26">
        <f>[1]节奏总纲!AF230</f>
        <v>83.346462809144427</v>
      </c>
      <c r="O233" s="26">
        <f>[1]节奏总纲!AG230</f>
        <v>88.069378113045531</v>
      </c>
      <c r="P233" s="26">
        <f>[1]节奏总纲!AH230</f>
        <v>97.211509305502972</v>
      </c>
      <c r="AI233" s="27">
        <v>227</v>
      </c>
      <c r="AJ233" s="28">
        <f>[1]服务器生态!W248</f>
        <v>88.221790339456604</v>
      </c>
      <c r="AK233" s="28">
        <f>[1]服务器生态!X248</f>
        <v>86.987493114919729</v>
      </c>
      <c r="AL233" s="28">
        <f>[1]服务器生态!Y248</f>
        <v>7.1008143505548462</v>
      </c>
      <c r="AM233" s="28">
        <f>[1]服务器生态!Z248</f>
        <v>1.2632850505687501</v>
      </c>
      <c r="AN233" s="28">
        <f>[1]服务器生态!AA248</f>
        <v>0.36552339449999982</v>
      </c>
    </row>
    <row r="234" spans="11:40" x14ac:dyDescent="0.2">
      <c r="K234" s="26">
        <v>228</v>
      </c>
      <c r="L234" s="26">
        <f>[1]节奏总纲!AD231</f>
        <v>78.383798891610013</v>
      </c>
      <c r="M234" s="26">
        <f>[1]节奏总纲!AE231</f>
        <v>80.452725211084953</v>
      </c>
      <c r="N234" s="26">
        <f>[1]节奏总纲!AF231</f>
        <v>83.410089752022458</v>
      </c>
      <c r="O234" s="26">
        <f>[1]节奏总纲!AG231</f>
        <v>88.139292024548126</v>
      </c>
      <c r="P234" s="26">
        <f>[1]节奏总纲!AH231</f>
        <v>97.268745865596571</v>
      </c>
      <c r="AI234" s="27">
        <v>228</v>
      </c>
      <c r="AJ234" s="28">
        <f>[1]服务器生态!W249</f>
        <v>87.650511401088266</v>
      </c>
      <c r="AK234" s="28">
        <f>[1]服务器生态!X249</f>
        <v>86.424206850530823</v>
      </c>
      <c r="AL234" s="28">
        <f>[1]服务器生态!Y249</f>
        <v>7.0548331290433914</v>
      </c>
      <c r="AM234" s="28">
        <f>[1]服务器生态!Z249</f>
        <v>1.2551046663375003</v>
      </c>
      <c r="AN234" s="28">
        <f>[1]服务器生态!AA249</f>
        <v>0.36315645299999993</v>
      </c>
    </row>
    <row r="235" spans="11:40" x14ac:dyDescent="0.2">
      <c r="K235" s="26">
        <v>229</v>
      </c>
      <c r="L235" s="26">
        <f>[1]节奏总纲!AD232</f>
        <v>78.446316468310982</v>
      </c>
      <c r="M235" s="26">
        <f>[1]节奏总纲!AE232</f>
        <v>80.518195234379959</v>
      </c>
      <c r="N235" s="26">
        <f>[1]节奏总纲!AF232</f>
        <v>83.473716694900475</v>
      </c>
      <c r="O235" s="26">
        <f>[1]节奏总纲!AG232</f>
        <v>88.209205936050708</v>
      </c>
      <c r="P235" s="26">
        <f>[1]节奏总纲!AH232</f>
        <v>97.325982425690185</v>
      </c>
      <c r="AI235" s="27">
        <v>229</v>
      </c>
      <c r="AJ235" s="28">
        <f>[1]服务器生态!W250</f>
        <v>87.079232462719887</v>
      </c>
      <c r="AK235" s="28">
        <f>[1]服务器生态!X250</f>
        <v>85.860920586141859</v>
      </c>
      <c r="AL235" s="28">
        <f>[1]服务器生态!Y250</f>
        <v>7.008851907531934</v>
      </c>
      <c r="AM235" s="28">
        <f>[1]服务器生态!Z250</f>
        <v>1.2469242821062498</v>
      </c>
      <c r="AN235" s="28">
        <f>[1]服务器生态!AA250</f>
        <v>0.36078951149999983</v>
      </c>
    </row>
    <row r="236" spans="11:40" x14ac:dyDescent="0.2">
      <c r="K236" s="26">
        <v>230</v>
      </c>
      <c r="L236" s="26">
        <f>[1]节奏总纲!AD233</f>
        <v>78.508834045011952</v>
      </c>
      <c r="M236" s="26">
        <f>[1]节奏总纲!AE233</f>
        <v>80.583665257674966</v>
      </c>
      <c r="N236" s="26">
        <f>[1]节奏总纲!AF233</f>
        <v>83.537343637778505</v>
      </c>
      <c r="O236" s="26">
        <f>[1]节奏总纲!AG233</f>
        <v>88.279119847553304</v>
      </c>
      <c r="P236" s="26">
        <f>[1]节奏总纲!AH233</f>
        <v>97.383218985783799</v>
      </c>
      <c r="AI236" s="27">
        <v>230</v>
      </c>
      <c r="AJ236" s="28">
        <f>[1]服务器生态!W251</f>
        <v>86.507953524351535</v>
      </c>
      <c r="AK236" s="28">
        <f>[1]服务器生态!X251</f>
        <v>85.297634321752938</v>
      </c>
      <c r="AL236" s="28">
        <f>[1]服务器生态!Y251</f>
        <v>6.9628706860204792</v>
      </c>
      <c r="AM236" s="28">
        <f>[1]服务器生态!Z251</f>
        <v>1.2387438978750001</v>
      </c>
      <c r="AN236" s="28">
        <f>[1]服务器生态!AA251</f>
        <v>0.35842256999999988</v>
      </c>
    </row>
    <row r="237" spans="11:40" x14ac:dyDescent="0.2">
      <c r="K237" s="26">
        <v>231</v>
      </c>
      <c r="L237" s="26">
        <f>[1]节奏总纲!AD234</f>
        <v>78.571351621712921</v>
      </c>
      <c r="M237" s="26">
        <f>[1]节奏总纲!AE234</f>
        <v>80.649135280969972</v>
      </c>
      <c r="N237" s="26">
        <f>[1]节奏总纲!AF234</f>
        <v>83.600970580656536</v>
      </c>
      <c r="O237" s="26">
        <f>[1]节奏总纲!AG234</f>
        <v>88.349033759055899</v>
      </c>
      <c r="P237" s="26">
        <f>[1]节奏总纲!AH234</f>
        <v>97.440455545877413</v>
      </c>
      <c r="AI237" s="27">
        <v>231</v>
      </c>
      <c r="AJ237" s="28">
        <f>[1]服务器生态!W252</f>
        <v>85.936674585983184</v>
      </c>
      <c r="AK237" s="28">
        <f>[1]服务器生态!X252</f>
        <v>84.734348057364002</v>
      </c>
      <c r="AL237" s="28">
        <f>[1]服务器生态!Y252</f>
        <v>6.9168894645090235</v>
      </c>
      <c r="AM237" s="28">
        <f>[1]服务器生态!Z252</f>
        <v>1.2305635136437501</v>
      </c>
      <c r="AN237" s="28">
        <f>[1]服务器生态!AA252</f>
        <v>0.35605562849999989</v>
      </c>
    </row>
    <row r="238" spans="11:40" x14ac:dyDescent="0.2">
      <c r="K238" s="26">
        <v>232</v>
      </c>
      <c r="L238" s="26">
        <f>[1]节奏总纲!AD235</f>
        <v>78.633869198413905</v>
      </c>
      <c r="M238" s="26">
        <f>[1]节奏总纲!AE235</f>
        <v>80.714605304264978</v>
      </c>
      <c r="N238" s="26">
        <f>[1]节奏总纲!AF235</f>
        <v>83.664597523534553</v>
      </c>
      <c r="O238" s="26">
        <f>[1]节奏总纲!AG235</f>
        <v>88.418947670558495</v>
      </c>
      <c r="P238" s="26">
        <f>[1]节奏总纲!AH235</f>
        <v>97.497692105971026</v>
      </c>
      <c r="AI238" s="27">
        <v>232</v>
      </c>
      <c r="AJ238" s="28">
        <f>[1]服务器生态!W253</f>
        <v>85.365395647614818</v>
      </c>
      <c r="AK238" s="28">
        <f>[1]服务器生态!X253</f>
        <v>84.171061792975067</v>
      </c>
      <c r="AL238" s="28">
        <f>[1]服务器生态!Y253</f>
        <v>6.8709082429975661</v>
      </c>
      <c r="AM238" s="28">
        <f>[1]服务器生态!Z253</f>
        <v>1.2223831294125</v>
      </c>
      <c r="AN238" s="28">
        <f>[1]服务器生态!AA253</f>
        <v>0.35368868699999984</v>
      </c>
    </row>
    <row r="239" spans="11:40" x14ac:dyDescent="0.2">
      <c r="K239" s="26">
        <v>233</v>
      </c>
      <c r="L239" s="26">
        <f>[1]节奏总纲!AD236</f>
        <v>78.696386775114874</v>
      </c>
      <c r="M239" s="26">
        <f>[1]节奏总纲!AE236</f>
        <v>80.78007532755997</v>
      </c>
      <c r="N239" s="26">
        <f>[1]节奏总纲!AF236</f>
        <v>83.728224466412584</v>
      </c>
      <c r="O239" s="26">
        <f>[1]节奏总纲!AG236</f>
        <v>88.488861582061077</v>
      </c>
      <c r="P239" s="26">
        <f>[1]节奏总纲!AH236</f>
        <v>97.554928666064626</v>
      </c>
      <c r="AI239" s="27">
        <v>233</v>
      </c>
      <c r="AJ239" s="28">
        <f>[1]服务器生态!W254</f>
        <v>84.794116709246453</v>
      </c>
      <c r="AK239" s="28">
        <f>[1]服务器生态!X254</f>
        <v>83.607775528586131</v>
      </c>
      <c r="AL239" s="28">
        <f>[1]服务器生态!Y254</f>
        <v>6.8249270214861104</v>
      </c>
      <c r="AM239" s="28">
        <f>[1]服务器生态!Z254</f>
        <v>1.21420274518125</v>
      </c>
      <c r="AN239" s="28">
        <f>[1]服务器生态!AA254</f>
        <v>0.35132174549999989</v>
      </c>
    </row>
    <row r="240" spans="11:40" x14ac:dyDescent="0.2">
      <c r="K240" s="26">
        <v>234</v>
      </c>
      <c r="L240" s="26">
        <f>[1]节奏总纲!AD237</f>
        <v>78.758904351815843</v>
      </c>
      <c r="M240" s="26">
        <f>[1]节奏总纲!AE237</f>
        <v>80.845545350854977</v>
      </c>
      <c r="N240" s="26">
        <f>[1]节奏总纲!AF237</f>
        <v>83.791851409290615</v>
      </c>
      <c r="O240" s="26">
        <f>[1]节奏总纲!AG237</f>
        <v>88.558775493563672</v>
      </c>
      <c r="P240" s="26">
        <f>[1]节奏总纲!AH237</f>
        <v>97.61216522615824</v>
      </c>
      <c r="AI240" s="27">
        <v>234</v>
      </c>
      <c r="AJ240" s="28">
        <f>[1]服务器生态!W255</f>
        <v>84.222837770878101</v>
      </c>
      <c r="AK240" s="28">
        <f>[1]服务器生态!X255</f>
        <v>83.044489264197196</v>
      </c>
      <c r="AL240" s="28">
        <f>[1]服务器生态!Y255</f>
        <v>6.7789457999746547</v>
      </c>
      <c r="AM240" s="28">
        <f>[1]服务器生态!Z255</f>
        <v>1.20602236095</v>
      </c>
      <c r="AN240" s="28">
        <f>[1]服务器生态!AA255</f>
        <v>0.3489548039999999</v>
      </c>
    </row>
    <row r="241" spans="11:40" x14ac:dyDescent="0.2">
      <c r="K241" s="26">
        <v>235</v>
      </c>
      <c r="L241" s="26">
        <f>[1]节奏总纲!AD238</f>
        <v>78.821421928516827</v>
      </c>
      <c r="M241" s="26">
        <f>[1]节奏总纲!AE238</f>
        <v>80.911015374149983</v>
      </c>
      <c r="N241" s="26">
        <f>[1]节奏总纲!AF238</f>
        <v>83.855478352168632</v>
      </c>
      <c r="O241" s="26">
        <f>[1]节奏总纲!AG238</f>
        <v>88.628689405066268</v>
      </c>
      <c r="P241" s="26">
        <f>[1]节奏总纲!AH238</f>
        <v>97.669401786251854</v>
      </c>
      <c r="AI241" s="27">
        <v>235</v>
      </c>
      <c r="AJ241" s="28">
        <f>[1]服务器生态!W256</f>
        <v>83.651558832509735</v>
      </c>
      <c r="AK241" s="28">
        <f>[1]服务器生态!X256</f>
        <v>82.481202999808261</v>
      </c>
      <c r="AL241" s="28">
        <f>[1]服务器生态!Y256</f>
        <v>6.7329645784631982</v>
      </c>
      <c r="AM241" s="28">
        <f>[1]服务器生态!Z256</f>
        <v>1.19784197671875</v>
      </c>
      <c r="AN241" s="28">
        <f>[1]服务器生态!AA256</f>
        <v>0.34658786249999984</v>
      </c>
    </row>
    <row r="242" spans="11:40" x14ac:dyDescent="0.2">
      <c r="K242" s="26">
        <v>236</v>
      </c>
      <c r="L242" s="26">
        <f>[1]节奏总纲!AD239</f>
        <v>78.883939505217796</v>
      </c>
      <c r="M242" s="26">
        <f>[1]节奏总纲!AE239</f>
        <v>80.976485397444989</v>
      </c>
      <c r="N242" s="26">
        <f>[1]节奏总纲!AF239</f>
        <v>83.919105295046663</v>
      </c>
      <c r="O242" s="26">
        <f>[1]节奏总纲!AG239</f>
        <v>88.698603316568864</v>
      </c>
      <c r="P242" s="26">
        <f>[1]节奏总纲!AH239</f>
        <v>97.726638346345467</v>
      </c>
      <c r="AI242" s="27">
        <v>236</v>
      </c>
      <c r="AJ242" s="28">
        <f>[1]服务器生态!W257</f>
        <v>83.08027989414137</v>
      </c>
      <c r="AK242" s="28">
        <f>[1]服务器生态!X257</f>
        <v>81.917916735419325</v>
      </c>
      <c r="AL242" s="28">
        <f>[1]服务器生态!Y257</f>
        <v>6.6869833569517425</v>
      </c>
      <c r="AM242" s="28">
        <f>[1]服务器生态!Z257</f>
        <v>1.1896615924875</v>
      </c>
      <c r="AN242" s="28">
        <f>[1]服务器生态!AA257</f>
        <v>0.34422092099999985</v>
      </c>
    </row>
    <row r="243" spans="11:40" x14ac:dyDescent="0.2">
      <c r="K243" s="26">
        <v>237</v>
      </c>
      <c r="L243" s="26">
        <f>[1]节奏总纲!AD240</f>
        <v>78.946457081918766</v>
      </c>
      <c r="M243" s="26">
        <f>[1]节奏总纲!AE240</f>
        <v>81.038163244467697</v>
      </c>
      <c r="N243" s="26">
        <f>[1]节奏总纲!AF240</f>
        <v>83.982732237924694</v>
      </c>
      <c r="O243" s="26">
        <f>[1]节奏总纲!AG240</f>
        <v>88.768517228071445</v>
      </c>
      <c r="P243" s="26">
        <f>[1]节奏总纲!AH240</f>
        <v>97.783874906439081</v>
      </c>
      <c r="AI243" s="27">
        <v>237</v>
      </c>
      <c r="AJ243" s="28">
        <f>[1]服务器生态!W258</f>
        <v>82.509000955773018</v>
      </c>
      <c r="AK243" s="28">
        <f>[1]服务器生态!X258</f>
        <v>81.35463047103039</v>
      </c>
      <c r="AL243" s="28">
        <f>[1]服务器生态!Y258</f>
        <v>6.6410021354402868</v>
      </c>
      <c r="AM243" s="28">
        <f>[1]服务器生态!Z258</f>
        <v>1.18148120825625</v>
      </c>
      <c r="AN243" s="28">
        <f>[1]服务器生态!AA258</f>
        <v>0.34185397949999985</v>
      </c>
    </row>
    <row r="244" spans="11:40" x14ac:dyDescent="0.2">
      <c r="K244" s="26">
        <v>238</v>
      </c>
      <c r="L244" s="26">
        <f>[1]节奏总纲!AD241</f>
        <v>79.008373652580005</v>
      </c>
      <c r="M244" s="26">
        <f>[1]节奏总纲!AE241</f>
        <v>81.097715704203424</v>
      </c>
      <c r="N244" s="26">
        <f>[1]节奏总纲!AF241</f>
        <v>84.043767921022209</v>
      </c>
      <c r="O244" s="26">
        <f>[1]节奏总纲!AG241</f>
        <v>88.838431139574041</v>
      </c>
      <c r="P244" s="26">
        <f>[1]节奏总纲!AH241</f>
        <v>97.841111466532681</v>
      </c>
      <c r="AI244" s="27">
        <v>238</v>
      </c>
      <c r="AJ244" s="28">
        <f>[1]服务器生态!W259</f>
        <v>81.937722017404667</v>
      </c>
      <c r="AK244" s="28">
        <f>[1]服务器生态!X259</f>
        <v>80.791344206641455</v>
      </c>
      <c r="AL244" s="28">
        <f>[1]服务器生态!Y259</f>
        <v>6.5950209139288312</v>
      </c>
      <c r="AM244" s="28">
        <f>[1]服务器生态!Z259</f>
        <v>1.173300824025</v>
      </c>
      <c r="AN244" s="28">
        <f>[1]服务器生态!AA259</f>
        <v>0.33948703799999991</v>
      </c>
    </row>
    <row r="245" spans="11:40" x14ac:dyDescent="0.2">
      <c r="K245" s="26">
        <v>239</v>
      </c>
      <c r="L245" s="26">
        <f>[1]节奏总纲!AD242</f>
        <v>79.066704614192943</v>
      </c>
      <c r="M245" s="26">
        <f>[1]节奏总纲!AE242</f>
        <v>81.157268163939136</v>
      </c>
      <c r="N245" s="26">
        <f>[1]节奏总纲!AF242</f>
        <v>84.103838417578672</v>
      </c>
      <c r="O245" s="26">
        <f>[1]节奏总纲!AG242</f>
        <v>88.908345051076637</v>
      </c>
      <c r="P245" s="26">
        <f>[1]节奏总纲!AH242</f>
        <v>97.898348026626294</v>
      </c>
      <c r="AI245" s="27">
        <v>239</v>
      </c>
      <c r="AJ245" s="28">
        <f>[1]服务器生态!W260</f>
        <v>81.366443079036301</v>
      </c>
      <c r="AK245" s="28">
        <f>[1]服务器生态!X260</f>
        <v>80.228057942252519</v>
      </c>
      <c r="AL245" s="28">
        <f>[1]服务器生态!Y260</f>
        <v>6.5490396924173737</v>
      </c>
      <c r="AM245" s="28">
        <f>[1]服务器生态!Z260</f>
        <v>1.16512043979375</v>
      </c>
      <c r="AN245" s="28">
        <f>[1]服务器生态!AA260</f>
        <v>0.33712009649999986</v>
      </c>
    </row>
    <row r="246" spans="11:40" x14ac:dyDescent="0.2">
      <c r="K246" s="26">
        <v>240</v>
      </c>
      <c r="L246" s="26">
        <f>[1]节奏总纲!AD243</f>
        <v>79.125035575805882</v>
      </c>
      <c r="M246" s="26">
        <f>[1]节奏总纲!AE243</f>
        <v>81.216820623674849</v>
      </c>
      <c r="N246" s="26">
        <f>[1]节奏总纲!AF243</f>
        <v>84.163908914135135</v>
      </c>
      <c r="O246" s="26">
        <f>[1]节奏总纲!AG243</f>
        <v>88.978258962579233</v>
      </c>
      <c r="P246" s="26">
        <f>[1]节奏总纲!AH243</f>
        <v>97.955584586719908</v>
      </c>
      <c r="AI246" s="27">
        <v>240</v>
      </c>
      <c r="AJ246" s="28">
        <f>[1]服务器生态!W261</f>
        <v>80.795164140667936</v>
      </c>
      <c r="AK246" s="28">
        <f>[1]服务器生态!X261</f>
        <v>79.664771677863584</v>
      </c>
      <c r="AL246" s="28">
        <f>[1]服务器生态!Y261</f>
        <v>6.503058470905918</v>
      </c>
      <c r="AM246" s="28">
        <f>[1]服务器生态!Z261</f>
        <v>1.1569400555625</v>
      </c>
      <c r="AN246" s="28">
        <f>[1]服务器生态!AA261</f>
        <v>0.33475315499999986</v>
      </c>
    </row>
    <row r="247" spans="11:40" x14ac:dyDescent="0.2">
      <c r="K247" s="26">
        <v>241</v>
      </c>
      <c r="L247" s="26">
        <f>[1]节奏总纲!AD244</f>
        <v>79.18336653741882</v>
      </c>
      <c r="M247" s="26">
        <f>[1]节奏总纲!AE244</f>
        <v>81.276373083410562</v>
      </c>
      <c r="N247" s="26">
        <f>[1]节奏总纲!AF244</f>
        <v>84.223979410691598</v>
      </c>
      <c r="O247" s="26">
        <f>[1]节奏总纲!AG244</f>
        <v>89.047272179270863</v>
      </c>
      <c r="P247" s="26">
        <f>[1]节奏总纲!AH244</f>
        <v>98.013314854852808</v>
      </c>
      <c r="AI247" s="27">
        <v>241</v>
      </c>
      <c r="AJ247" s="28">
        <f>[1]服务器生态!W262</f>
        <v>80.323859016514049</v>
      </c>
      <c r="AK247" s="28">
        <f>[1]服务器生态!X262</f>
        <v>79.200060509742727</v>
      </c>
      <c r="AL247" s="28">
        <f>[1]服务器生态!Y262</f>
        <v>6.4651239631589679</v>
      </c>
      <c r="AM247" s="28">
        <f>[1]服务器生态!Z262</f>
        <v>1.1501912385717188</v>
      </c>
      <c r="AN247" s="28">
        <f>[1]服务器生态!AA262</f>
        <v>0.33280042826249989</v>
      </c>
    </row>
    <row r="248" spans="11:40" x14ac:dyDescent="0.2">
      <c r="K248" s="26">
        <v>242</v>
      </c>
      <c r="L248" s="26">
        <f>[1]节奏总纲!AD245</f>
        <v>79.241697499031773</v>
      </c>
      <c r="M248" s="26">
        <f>[1]节奏总纲!AE245</f>
        <v>81.335925543146274</v>
      </c>
      <c r="N248" s="26">
        <f>[1]节奏总纲!AF245</f>
        <v>84.284049907248061</v>
      </c>
      <c r="O248" s="26">
        <f>[1]节奏总纲!AG245</f>
        <v>89.11587890081428</v>
      </c>
      <c r="P248" s="26">
        <f>[1]节奏总纲!AH245</f>
        <v>98.072755441643167</v>
      </c>
      <c r="AI248" s="27">
        <v>242</v>
      </c>
      <c r="AJ248" s="28">
        <f>[1]服务器生态!W263</f>
        <v>79.852553892360135</v>
      </c>
      <c r="AK248" s="28">
        <f>[1]服务器生态!X263</f>
        <v>78.735349341621841</v>
      </c>
      <c r="AL248" s="28">
        <f>[1]服务器生态!Y263</f>
        <v>6.4271894554120159</v>
      </c>
      <c r="AM248" s="28">
        <f>[1]服务器生态!Z263</f>
        <v>1.1434424215809373</v>
      </c>
      <c r="AN248" s="28">
        <f>[1]服务器生态!AA263</f>
        <v>0.33084770152499982</v>
      </c>
    </row>
    <row r="249" spans="11:40" x14ac:dyDescent="0.2">
      <c r="K249" s="26">
        <v>243</v>
      </c>
      <c r="L249" s="26">
        <f>[1]节奏总纲!AD246</f>
        <v>79.300028460644711</v>
      </c>
      <c r="M249" s="26">
        <f>[1]节奏总纲!AE246</f>
        <v>81.395478002882001</v>
      </c>
      <c r="N249" s="26">
        <f>[1]节奏总纲!AF246</f>
        <v>84.344120403804524</v>
      </c>
      <c r="O249" s="26">
        <f>[1]节奏总纲!AG246</f>
        <v>89.184485622357698</v>
      </c>
      <c r="P249" s="26">
        <f>[1]节奏总纲!AH246</f>
        <v>98.132196028433526</v>
      </c>
      <c r="AI249" s="27">
        <v>243</v>
      </c>
      <c r="AJ249" s="28">
        <f>[1]服务器生态!W264</f>
        <v>79.381248768206262</v>
      </c>
      <c r="AK249" s="28">
        <f>[1]服务器生态!X264</f>
        <v>78.270638173500984</v>
      </c>
      <c r="AL249" s="28">
        <f>[1]服务器生态!Y264</f>
        <v>6.3892549476650657</v>
      </c>
      <c r="AM249" s="28">
        <f>[1]服务器生态!Z264</f>
        <v>1.1366936045901563</v>
      </c>
      <c r="AN249" s="28">
        <f>[1]服务器生态!AA264</f>
        <v>0.32889497478749991</v>
      </c>
    </row>
    <row r="250" spans="11:40" x14ac:dyDescent="0.2">
      <c r="K250" s="26">
        <v>244</v>
      </c>
      <c r="L250" s="26">
        <f>[1]节奏总纲!AD247</f>
        <v>79.358359422257649</v>
      </c>
      <c r="M250" s="26">
        <f>[1]节奏总纲!AE247</f>
        <v>81.455030462617714</v>
      </c>
      <c r="N250" s="26">
        <f>[1]节奏总纲!AF247</f>
        <v>84.404190900360987</v>
      </c>
      <c r="O250" s="26">
        <f>[1]节奏总纲!AG247</f>
        <v>89.253092343901116</v>
      </c>
      <c r="P250" s="26">
        <f>[1]节奏总纲!AH247</f>
        <v>98.191636615223871</v>
      </c>
      <c r="AI250" s="27">
        <v>244</v>
      </c>
      <c r="AJ250" s="28">
        <f>[1]服务器生态!W265</f>
        <v>78.909943644052362</v>
      </c>
      <c r="AK250" s="28">
        <f>[1]服务器生态!X265</f>
        <v>77.805927005380113</v>
      </c>
      <c r="AL250" s="28">
        <f>[1]服务器生态!Y265</f>
        <v>6.3513204399181138</v>
      </c>
      <c r="AM250" s="28">
        <f>[1]服务器生态!Z265</f>
        <v>1.1299447875993751</v>
      </c>
      <c r="AN250" s="28">
        <f>[1]服务器生态!AA265</f>
        <v>0.32694224804999988</v>
      </c>
    </row>
    <row r="251" spans="11:40" x14ac:dyDescent="0.2">
      <c r="K251" s="26">
        <v>245</v>
      </c>
      <c r="L251" s="26">
        <f>[1]节奏总纲!AD248</f>
        <v>79.416690383870588</v>
      </c>
      <c r="M251" s="26">
        <f>[1]节奏总纲!AE248</f>
        <v>81.514582922353426</v>
      </c>
      <c r="N251" s="26">
        <f>[1]节奏总纲!AF248</f>
        <v>84.46426139691745</v>
      </c>
      <c r="O251" s="26">
        <f>[1]节奏总纲!AG248</f>
        <v>89.321699065444534</v>
      </c>
      <c r="P251" s="26">
        <f>[1]节奏总纲!AH248</f>
        <v>98.25107720201423</v>
      </c>
      <c r="AI251" s="27">
        <v>245</v>
      </c>
      <c r="AJ251" s="28">
        <f>[1]服务器生态!W266</f>
        <v>78.438638519898461</v>
      </c>
      <c r="AK251" s="28">
        <f>[1]服务器生态!X266</f>
        <v>77.341215837259227</v>
      </c>
      <c r="AL251" s="28">
        <f>[1]服务器生态!Y266</f>
        <v>6.3133859321711627</v>
      </c>
      <c r="AM251" s="28">
        <f>[1]服务器生态!Z266</f>
        <v>1.1231959706085937</v>
      </c>
      <c r="AN251" s="28">
        <f>[1]服务器生态!AA266</f>
        <v>0.32498952131249986</v>
      </c>
    </row>
    <row r="252" spans="11:40" x14ac:dyDescent="0.2">
      <c r="K252" s="26">
        <v>246</v>
      </c>
      <c r="L252" s="26">
        <f>[1]节奏总纲!AD249</f>
        <v>79.475021345483526</v>
      </c>
      <c r="M252" s="26">
        <f>[1]节奏总纲!AE249</f>
        <v>81.574135382089139</v>
      </c>
      <c r="N252" s="26">
        <f>[1]节奏总纲!AF249</f>
        <v>84.524331893473914</v>
      </c>
      <c r="O252" s="26">
        <f>[1]节奏总纲!AG249</f>
        <v>89.390305786987952</v>
      </c>
      <c r="P252" s="26">
        <f>[1]节奏总纲!AH249</f>
        <v>98.310517788804589</v>
      </c>
      <c r="AI252" s="27">
        <v>246</v>
      </c>
      <c r="AJ252" s="28">
        <f>[1]服务器生态!W267</f>
        <v>77.967333395744561</v>
      </c>
      <c r="AK252" s="28">
        <f>[1]服务器生态!X267</f>
        <v>76.876504669138356</v>
      </c>
      <c r="AL252" s="28">
        <f>[1]服务器生态!Y267</f>
        <v>6.2754514244242108</v>
      </c>
      <c r="AM252" s="28">
        <f>[1]服务器生态!Z267</f>
        <v>1.1164471536178124</v>
      </c>
      <c r="AN252" s="28">
        <f>[1]服务器生态!AA267</f>
        <v>0.32303679457499984</v>
      </c>
    </row>
    <row r="253" spans="11:40" x14ac:dyDescent="0.2">
      <c r="K253" s="26">
        <v>247</v>
      </c>
      <c r="L253" s="26">
        <f>[1]节奏总纲!AD250</f>
        <v>79.533352307096465</v>
      </c>
      <c r="M253" s="26">
        <f>[1]节奏总纲!AE250</f>
        <v>81.633687841824852</v>
      </c>
      <c r="N253" s="26">
        <f>[1]节奏总纲!AF250</f>
        <v>84.584402390030377</v>
      </c>
      <c r="O253" s="26">
        <f>[1]节奏总纲!AG250</f>
        <v>89.45891250853137</v>
      </c>
      <c r="P253" s="26">
        <f>[1]节奏总纲!AH250</f>
        <v>98.369958375594933</v>
      </c>
      <c r="AI253" s="27">
        <v>247</v>
      </c>
      <c r="AJ253" s="28">
        <f>[1]服务器生态!W268</f>
        <v>77.49602827159066</v>
      </c>
      <c r="AK253" s="28">
        <f>[1]服务器生态!X268</f>
        <v>76.411793501017485</v>
      </c>
      <c r="AL253" s="28">
        <f>[1]服务器生态!Y268</f>
        <v>6.2375169166772597</v>
      </c>
      <c r="AM253" s="28">
        <f>[1]服务器生态!Z268</f>
        <v>1.1096983366270312</v>
      </c>
      <c r="AN253" s="28">
        <f>[1]服务器生态!AA268</f>
        <v>0.32108406783749988</v>
      </c>
    </row>
    <row r="254" spans="11:40" x14ac:dyDescent="0.2">
      <c r="K254" s="26">
        <v>248</v>
      </c>
      <c r="L254" s="26">
        <f>[1]节奏总纲!AD251</f>
        <v>79.591683268709417</v>
      </c>
      <c r="M254" s="26">
        <f>[1]节奏总纲!AE251</f>
        <v>81.693240301560579</v>
      </c>
      <c r="N254" s="26">
        <f>[1]节奏总纲!AF251</f>
        <v>84.64447288658684</v>
      </c>
      <c r="O254" s="26">
        <f>[1]节奏总纲!AG251</f>
        <v>89.527519230074788</v>
      </c>
      <c r="P254" s="26">
        <f>[1]节奏总纲!AH251</f>
        <v>98.429398962385292</v>
      </c>
      <c r="AI254" s="27">
        <v>248</v>
      </c>
      <c r="AJ254" s="28">
        <f>[1]服务器生态!W269</f>
        <v>77.02472314743676</v>
      </c>
      <c r="AK254" s="28">
        <f>[1]服务器生态!X269</f>
        <v>75.947082332896613</v>
      </c>
      <c r="AL254" s="28">
        <f>[1]服务器生态!Y269</f>
        <v>6.1995824089303087</v>
      </c>
      <c r="AM254" s="28">
        <f>[1]服务器生态!Z269</f>
        <v>1.10294951963625</v>
      </c>
      <c r="AN254" s="28">
        <f>[1]服务器生态!AA269</f>
        <v>0.31913134109999985</v>
      </c>
    </row>
    <row r="255" spans="11:40" x14ac:dyDescent="0.2">
      <c r="K255" s="26">
        <v>249</v>
      </c>
      <c r="L255" s="26">
        <f>[1]节奏总纲!AD252</f>
        <v>79.650014230322356</v>
      </c>
      <c r="M255" s="26">
        <f>[1]节奏总纲!AE252</f>
        <v>81.752792761296291</v>
      </c>
      <c r="N255" s="26">
        <f>[1]节奏总纲!AF252</f>
        <v>84.704543383143317</v>
      </c>
      <c r="O255" s="26">
        <f>[1]节奏总纲!AG252</f>
        <v>89.596125951618205</v>
      </c>
      <c r="P255" s="26">
        <f>[1]节奏总纲!AH252</f>
        <v>98.488839549175651</v>
      </c>
      <c r="AI255" s="27">
        <v>249</v>
      </c>
      <c r="AJ255" s="28">
        <f>[1]服务器生态!W270</f>
        <v>76.553418023282873</v>
      </c>
      <c r="AK255" s="28">
        <f>[1]服务器生态!X270</f>
        <v>75.482371164775756</v>
      </c>
      <c r="AL255" s="28">
        <f>[1]服务器生态!Y270</f>
        <v>6.1616479011833585</v>
      </c>
      <c r="AM255" s="28">
        <f>[1]服务器生态!Z270</f>
        <v>1.0962007026454688</v>
      </c>
      <c r="AN255" s="28">
        <f>[1]服务器生态!AA270</f>
        <v>0.31717861436249989</v>
      </c>
    </row>
    <row r="256" spans="11:40" x14ac:dyDescent="0.2">
      <c r="K256" s="26">
        <v>250</v>
      </c>
      <c r="L256" s="26">
        <f>[1]节奏总纲!AD253</f>
        <v>79.708345191935294</v>
      </c>
      <c r="M256" s="26">
        <f>[1]节奏总纲!AE253</f>
        <v>81.812345221032004</v>
      </c>
      <c r="N256" s="26">
        <f>[1]节奏总纲!AF253</f>
        <v>84.76461387969978</v>
      </c>
      <c r="O256" s="26">
        <f>[1]节奏总纲!AG253</f>
        <v>89.664732673161623</v>
      </c>
      <c r="P256" s="26">
        <f>[1]节奏总纲!AH253</f>
        <v>98.548280135965996</v>
      </c>
      <c r="AI256" s="27">
        <v>250</v>
      </c>
      <c r="AJ256" s="28">
        <f>[1]服务器生态!W271</f>
        <v>76.082112899128973</v>
      </c>
      <c r="AK256" s="28">
        <f>[1]服务器生态!X271</f>
        <v>75.017659996654871</v>
      </c>
      <c r="AL256" s="28">
        <f>[1]服务器生态!Y271</f>
        <v>6.1237133934364056</v>
      </c>
      <c r="AM256" s="28">
        <f>[1]服务器生态!Z271</f>
        <v>1.0894518856546873</v>
      </c>
      <c r="AN256" s="28">
        <f>[1]服务器生态!AA271</f>
        <v>0.31522588762499981</v>
      </c>
    </row>
    <row r="257" spans="11:40" x14ac:dyDescent="0.2">
      <c r="K257" s="26">
        <v>251</v>
      </c>
      <c r="L257" s="26">
        <f>[1]节奏总纲!AD254</f>
        <v>79.766676153548232</v>
      </c>
      <c r="M257" s="26">
        <f>[1]节奏总纲!AE254</f>
        <v>81.871897680767717</v>
      </c>
      <c r="N257" s="26">
        <f>[1]节奏总纲!AF254</f>
        <v>84.824684376256243</v>
      </c>
      <c r="O257" s="26">
        <f>[1]节奏总纲!AG254</f>
        <v>89.733339394705041</v>
      </c>
      <c r="P257" s="26">
        <f>[1]节奏总纲!AH254</f>
        <v>98.607720722756355</v>
      </c>
      <c r="AI257" s="27">
        <v>251</v>
      </c>
      <c r="AJ257" s="28">
        <f>[1]服务器生态!W272</f>
        <v>75.610807774975086</v>
      </c>
      <c r="AK257" s="28">
        <f>[1]服务器生态!X272</f>
        <v>74.552948828534014</v>
      </c>
      <c r="AL257" s="28">
        <f>[1]服务器生态!Y272</f>
        <v>6.0857788856894555</v>
      </c>
      <c r="AM257" s="28">
        <f>[1]服务器生态!Z272</f>
        <v>1.0827030686639063</v>
      </c>
      <c r="AN257" s="28">
        <f>[1]服务器生态!AA272</f>
        <v>0.3132731608874999</v>
      </c>
    </row>
    <row r="258" spans="11:40" x14ac:dyDescent="0.2">
      <c r="K258" s="26">
        <v>252</v>
      </c>
      <c r="L258" s="26">
        <f>[1]节奏总纲!AD255</f>
        <v>79.825007115161171</v>
      </c>
      <c r="M258" s="26">
        <f>[1]节奏总纲!AE255</f>
        <v>81.931450140503429</v>
      </c>
      <c r="N258" s="26">
        <f>[1]节奏总纲!AF255</f>
        <v>84.884754872812707</v>
      </c>
      <c r="O258" s="26">
        <f>[1]节奏总纲!AG255</f>
        <v>89.801946116248459</v>
      </c>
      <c r="P258" s="26">
        <f>[1]节奏总纲!AH255</f>
        <v>98.667161309546714</v>
      </c>
      <c r="AI258" s="27">
        <v>252</v>
      </c>
      <c r="AJ258" s="28">
        <f>[1]服务器生态!W273</f>
        <v>75.139502650821186</v>
      </c>
      <c r="AK258" s="28">
        <f>[1]服务器生态!X273</f>
        <v>74.088237660413128</v>
      </c>
      <c r="AL258" s="28">
        <f>[1]服务器生态!Y273</f>
        <v>6.0478443779425044</v>
      </c>
      <c r="AM258" s="28">
        <f>[1]服务器生态!Z273</f>
        <v>1.0759542516731251</v>
      </c>
      <c r="AN258" s="28">
        <f>[1]服务器生态!AA273</f>
        <v>0.31132043414999988</v>
      </c>
    </row>
    <row r="259" spans="11:40" x14ac:dyDescent="0.2">
      <c r="K259" s="26">
        <v>253</v>
      </c>
      <c r="L259" s="26">
        <f>[1]节奏总纲!AD256</f>
        <v>79.883338076774123</v>
      </c>
      <c r="M259" s="26">
        <f>[1]节奏总纲!AE256</f>
        <v>81.991002600239142</v>
      </c>
      <c r="N259" s="26">
        <f>[1]节奏总纲!AF256</f>
        <v>84.94482536936917</v>
      </c>
      <c r="O259" s="26">
        <f>[1]节奏总纲!AG256</f>
        <v>89.870552837791877</v>
      </c>
      <c r="P259" s="26">
        <f>[1]节奏总纲!AH256</f>
        <v>98.726601896337058</v>
      </c>
      <c r="AI259" s="27">
        <v>253</v>
      </c>
      <c r="AJ259" s="28">
        <f>[1]服务器生态!W274</f>
        <v>74.668197526667285</v>
      </c>
      <c r="AK259" s="28">
        <f>[1]服务器生态!X274</f>
        <v>73.623526492292257</v>
      </c>
      <c r="AL259" s="28">
        <f>[1]服务器生态!Y274</f>
        <v>6.0099098701955525</v>
      </c>
      <c r="AM259" s="28">
        <f>[1]服务器生态!Z274</f>
        <v>1.0692054346823436</v>
      </c>
      <c r="AN259" s="28">
        <f>[1]服务器生态!AA274</f>
        <v>0.30936770741249986</v>
      </c>
    </row>
    <row r="260" spans="11:40" x14ac:dyDescent="0.2">
      <c r="K260" s="26">
        <v>254</v>
      </c>
      <c r="L260" s="26">
        <f>[1]节奏总纲!AD257</f>
        <v>79.941669038387062</v>
      </c>
      <c r="M260" s="26">
        <f>[1]节奏总纲!AE257</f>
        <v>82.046165327855846</v>
      </c>
      <c r="N260" s="26">
        <f>[1]节奏总纲!AF257</f>
        <v>85.004450307848032</v>
      </c>
      <c r="O260" s="26">
        <f>[1]节奏总纲!AG257</f>
        <v>89.939159559335295</v>
      </c>
      <c r="P260" s="26">
        <f>[1]节奏总纲!AH257</f>
        <v>98.786042483127417</v>
      </c>
      <c r="AI260" s="27">
        <v>254</v>
      </c>
      <c r="AJ260" s="28">
        <f>[1]服务器生态!W275</f>
        <v>74.196892402513384</v>
      </c>
      <c r="AK260" s="28">
        <f>[1]服务器生态!X275</f>
        <v>73.158815324171385</v>
      </c>
      <c r="AL260" s="28">
        <f>[1]服务器生态!Y275</f>
        <v>5.9719753624486014</v>
      </c>
      <c r="AM260" s="28">
        <f>[1]服务器生态!Z275</f>
        <v>1.0624566176915624</v>
      </c>
      <c r="AN260" s="28">
        <f>[1]服务器生态!AA275</f>
        <v>0.30741498067499984</v>
      </c>
    </row>
    <row r="261" spans="11:40" x14ac:dyDescent="0.2">
      <c r="K261" s="26">
        <v>255</v>
      </c>
      <c r="L261" s="26">
        <f>[1]节奏总纲!AD258</f>
        <v>80</v>
      </c>
      <c r="M261" s="26">
        <f>[1]节奏总纲!AE258</f>
        <v>82.100546804797787</v>
      </c>
      <c r="N261" s="26">
        <f>[1]节奏总纲!AF258</f>
        <v>85.059053968634842</v>
      </c>
      <c r="O261" s="26">
        <f>[1]节奏总纲!AG258</f>
        <v>90.006385600230558</v>
      </c>
      <c r="P261" s="26">
        <f>[1]节奏总纲!AH258</f>
        <v>98.845483069917776</v>
      </c>
      <c r="AI261" s="27">
        <v>255</v>
      </c>
      <c r="AJ261" s="28">
        <f>[1]服务器生态!W276</f>
        <v>73.725587278359484</v>
      </c>
      <c r="AK261" s="28">
        <f>[1]服务器生态!X276</f>
        <v>72.694104156050514</v>
      </c>
      <c r="AL261" s="28">
        <f>[1]服务器生态!Y276</f>
        <v>5.9340408547016503</v>
      </c>
      <c r="AM261" s="28">
        <f>[1]服务器生态!Z276</f>
        <v>1.0557078007007812</v>
      </c>
      <c r="AN261" s="28">
        <f>[1]服务器生态!AA276</f>
        <v>0.30546225393749982</v>
      </c>
    </row>
    <row r="262" spans="11:40" x14ac:dyDescent="0.2">
      <c r="K262" s="26">
        <v>256</v>
      </c>
      <c r="L262" s="26">
        <f>[1]节奏总纲!AD259</f>
        <v>80.054424711612938</v>
      </c>
      <c r="M262" s="26">
        <f>[1]节奏总纲!AE259</f>
        <v>82.154928281739714</v>
      </c>
      <c r="N262" s="26">
        <f>[1]节奏总纲!AF259</f>
        <v>85.113657629421638</v>
      </c>
      <c r="O262" s="26">
        <f>[1]节奏总纲!AG259</f>
        <v>90.062795496260307</v>
      </c>
      <c r="P262" s="26">
        <f>[1]节奏总纲!AH259</f>
        <v>98.904923656708121</v>
      </c>
      <c r="AI262" s="27">
        <v>256</v>
      </c>
      <c r="AJ262" s="28">
        <f>[1]服务器生态!W277</f>
        <v>73.254282154205583</v>
      </c>
      <c r="AK262" s="28">
        <f>[1]服务器生态!X277</f>
        <v>72.229392987929643</v>
      </c>
      <c r="AL262" s="28">
        <f>[1]服务器生态!Y277</f>
        <v>5.8961063469546984</v>
      </c>
      <c r="AM262" s="28">
        <f>[1]服务器生态!Z277</f>
        <v>1.04895898371</v>
      </c>
      <c r="AN262" s="28">
        <f>[1]服务器生态!AA277</f>
        <v>0.30350952719999985</v>
      </c>
    </row>
    <row r="263" spans="11:40" x14ac:dyDescent="0.2">
      <c r="K263" s="26">
        <v>257</v>
      </c>
      <c r="L263" s="26">
        <f>[1]节奏总纲!AD260</f>
        <v>80.108849423225877</v>
      </c>
      <c r="M263" s="26">
        <f>[1]节奏总纲!AE260</f>
        <v>82.209309758681655</v>
      </c>
      <c r="N263" s="26">
        <f>[1]节奏总纲!AF260</f>
        <v>85.168261290208434</v>
      </c>
      <c r="O263" s="26">
        <f>[1]节奏总纲!AG260</f>
        <v>90.119205392290041</v>
      </c>
      <c r="P263" s="26">
        <f>[1]节奏总纲!AH260</f>
        <v>98.96436424349848</v>
      </c>
      <c r="AI263" s="27">
        <v>257</v>
      </c>
      <c r="AJ263" s="28">
        <f>[1]服务器生态!W278</f>
        <v>72.782977030051711</v>
      </c>
      <c r="AK263" s="28">
        <f>[1]服务器生态!X278</f>
        <v>71.764681819808786</v>
      </c>
      <c r="AL263" s="28">
        <f>[1]服务器生态!Y278</f>
        <v>5.8581718392077482</v>
      </c>
      <c r="AM263" s="28">
        <f>[1]服务器生态!Z278</f>
        <v>1.0422101667192187</v>
      </c>
      <c r="AN263" s="28">
        <f>[1]服务器生态!AA278</f>
        <v>0.30155680046249989</v>
      </c>
    </row>
    <row r="264" spans="11:40" x14ac:dyDescent="0.2">
      <c r="K264" s="26">
        <v>258</v>
      </c>
      <c r="L264" s="26">
        <f>[1]节奏总纲!AD261</f>
        <v>80.163274134838829</v>
      </c>
      <c r="M264" s="26">
        <f>[1]节奏总纲!AE261</f>
        <v>82.263691235623583</v>
      </c>
      <c r="N264" s="26">
        <f>[1]节奏总纲!AF261</f>
        <v>85.222864950995231</v>
      </c>
      <c r="O264" s="26">
        <f>[1]节奏总纲!AG261</f>
        <v>90.175615288319776</v>
      </c>
      <c r="P264" s="26">
        <f>[1]节奏总纲!AH261</f>
        <v>99.023313221876677</v>
      </c>
      <c r="AI264" s="27">
        <v>258</v>
      </c>
      <c r="AJ264" s="28">
        <f>[1]服务器生态!W279</f>
        <v>72.311671905897811</v>
      </c>
      <c r="AK264" s="28">
        <f>[1]服务器生态!X279</f>
        <v>71.299970651687914</v>
      </c>
      <c r="AL264" s="28">
        <f>[1]服务器生态!Y279</f>
        <v>5.8202373314607971</v>
      </c>
      <c r="AM264" s="28">
        <f>[1]服务器生态!Z279</f>
        <v>1.0354613497284375</v>
      </c>
      <c r="AN264" s="28">
        <f>[1]服务器生态!AA279</f>
        <v>0.29960407372499986</v>
      </c>
    </row>
    <row r="265" spans="11:40" x14ac:dyDescent="0.2">
      <c r="K265" s="26">
        <v>259</v>
      </c>
      <c r="L265" s="26">
        <f>[1]节奏总纲!AD262</f>
        <v>80.217698846451768</v>
      </c>
      <c r="M265" s="26">
        <f>[1]节奏总纲!AE262</f>
        <v>82.318072712565524</v>
      </c>
      <c r="N265" s="26">
        <f>[1]节奏总纲!AF262</f>
        <v>85.277468611782027</v>
      </c>
      <c r="O265" s="26">
        <f>[1]节奏总纲!AG262</f>
        <v>90.23202518434951</v>
      </c>
      <c r="P265" s="26">
        <f>[1]节奏总纲!AH262</f>
        <v>99.081526263999208</v>
      </c>
      <c r="AI265" s="27">
        <v>259</v>
      </c>
      <c r="AJ265" s="28">
        <f>[1]服务器生态!W280</f>
        <v>71.84036678174391</v>
      </c>
      <c r="AK265" s="28">
        <f>[1]服务器生态!X280</f>
        <v>70.835259483567043</v>
      </c>
      <c r="AL265" s="28">
        <f>[1]服务器生态!Y280</f>
        <v>5.7823028237138452</v>
      </c>
      <c r="AM265" s="28">
        <f>[1]服务器生态!Z280</f>
        <v>1.0287125327376563</v>
      </c>
      <c r="AN265" s="28">
        <f>[1]服务器生态!AA280</f>
        <v>0.29765134698749984</v>
      </c>
    </row>
    <row r="266" spans="11:40" x14ac:dyDescent="0.2">
      <c r="K266" s="26">
        <v>260</v>
      </c>
      <c r="L266" s="26">
        <f>[1]节奏总纲!AD263</f>
        <v>80.272123558064706</v>
      </c>
      <c r="M266" s="26">
        <f>[1]节奏总纲!AE263</f>
        <v>82.372454189507465</v>
      </c>
      <c r="N266" s="26">
        <f>[1]节奏总纲!AF263</f>
        <v>85.332072272568837</v>
      </c>
      <c r="O266" s="26">
        <f>[1]节奏总纲!AG263</f>
        <v>90.288435080379244</v>
      </c>
      <c r="P266" s="26">
        <f>[1]节奏总纲!AH263</f>
        <v>99.139739306121726</v>
      </c>
      <c r="AI266" s="27">
        <v>260</v>
      </c>
      <c r="AJ266" s="28">
        <f>[1]服务器生态!W281</f>
        <v>71.369061657590009</v>
      </c>
      <c r="AK266" s="28">
        <f>[1]服务器生态!X281</f>
        <v>70.370548315446158</v>
      </c>
      <c r="AL266" s="28">
        <f>[1]服务器生态!Y281</f>
        <v>5.7443683159668941</v>
      </c>
      <c r="AM266" s="28">
        <f>[1]服务器生态!Z281</f>
        <v>1.0219637157468748</v>
      </c>
      <c r="AN266" s="28">
        <f>[1]服务器生态!AA281</f>
        <v>0.29569862024999988</v>
      </c>
    </row>
    <row r="267" spans="11:40" x14ac:dyDescent="0.2">
      <c r="K267" s="26">
        <v>261</v>
      </c>
      <c r="L267" s="26">
        <f>[1]节奏总纲!AD264</f>
        <v>80.326548269677644</v>
      </c>
      <c r="M267" s="26">
        <f>[1]节奏总纲!AE264</f>
        <v>82.426835666449392</v>
      </c>
      <c r="N267" s="26">
        <f>[1]节奏总纲!AF264</f>
        <v>85.386675933355633</v>
      </c>
      <c r="O267" s="26">
        <f>[1]节奏总纲!AG264</f>
        <v>90.344844976408993</v>
      </c>
      <c r="P267" s="26">
        <f>[1]节奏总纲!AH264</f>
        <v>99.197952348244257</v>
      </c>
      <c r="AI267" s="27">
        <v>261</v>
      </c>
      <c r="AJ267" s="28">
        <f>[1]服务器生态!W282</f>
        <v>70.897756533436109</v>
      </c>
      <c r="AK267" s="28">
        <f>[1]服务器生态!X282</f>
        <v>69.905837147325286</v>
      </c>
      <c r="AL267" s="28">
        <f>[1]服务器生态!Y282</f>
        <v>5.7064338082199431</v>
      </c>
      <c r="AM267" s="28">
        <f>[1]服务器生态!Z282</f>
        <v>1.0152148987560936</v>
      </c>
      <c r="AN267" s="28">
        <f>[1]服务器生态!AA282</f>
        <v>0.29374589351249986</v>
      </c>
    </row>
    <row r="268" spans="11:40" x14ac:dyDescent="0.2">
      <c r="K268" s="26">
        <v>262</v>
      </c>
      <c r="L268" s="26">
        <f>[1]节奏总纲!AD265</f>
        <v>80.380972981290597</v>
      </c>
      <c r="M268" s="26">
        <f>[1]节奏总纲!AE265</f>
        <v>82.481217143391333</v>
      </c>
      <c r="N268" s="26">
        <f>[1]节奏总纲!AF265</f>
        <v>85.441279594142429</v>
      </c>
      <c r="O268" s="26">
        <f>[1]节奏总纲!AG265</f>
        <v>90.401254872438727</v>
      </c>
      <c r="P268" s="26">
        <f>[1]节奏总纲!AH265</f>
        <v>99.256165390366789</v>
      </c>
      <c r="AI268" s="27">
        <v>262</v>
      </c>
      <c r="AJ268" s="28">
        <f>[1]服务器生态!W283</f>
        <v>70.426451409282208</v>
      </c>
      <c r="AK268" s="28">
        <f>[1]服务器生态!X283</f>
        <v>69.441125979204415</v>
      </c>
      <c r="AL268" s="28">
        <f>[1]服务器生态!Y283</f>
        <v>5.6684993004729911</v>
      </c>
      <c r="AM268" s="28">
        <f>[1]服务器生态!Z283</f>
        <v>1.0084660817653124</v>
      </c>
      <c r="AN268" s="28">
        <f>[1]服务器生态!AA283</f>
        <v>0.29179316677499983</v>
      </c>
    </row>
    <row r="269" spans="11:40" x14ac:dyDescent="0.2">
      <c r="K269" s="26">
        <v>263</v>
      </c>
      <c r="L269" s="26">
        <f>[1]节奏总纲!AD266</f>
        <v>80.435397692903535</v>
      </c>
      <c r="M269" s="26">
        <f>[1]节奏总纲!AE266</f>
        <v>82.535598620333275</v>
      </c>
      <c r="N269" s="26">
        <f>[1]节奏总纲!AF266</f>
        <v>85.495883254929225</v>
      </c>
      <c r="O269" s="26">
        <f>[1]节奏总纲!AG266</f>
        <v>90.457664768468462</v>
      </c>
      <c r="P269" s="26">
        <f>[1]节奏总纲!AH266</f>
        <v>99.314378432489306</v>
      </c>
      <c r="AI269" s="27">
        <v>263</v>
      </c>
      <c r="AJ269" s="28">
        <f>[1]服务器生态!W284</f>
        <v>69.955146285128308</v>
      </c>
      <c r="AK269" s="28">
        <f>[1]服务器生态!X284</f>
        <v>68.976414811083544</v>
      </c>
      <c r="AL269" s="28">
        <f>[1]服务器生态!Y284</f>
        <v>5.63056479272604</v>
      </c>
      <c r="AM269" s="28">
        <f>[1]服务器生态!Z284</f>
        <v>1.0017172647745312</v>
      </c>
      <c r="AN269" s="28">
        <f>[1]服务器生态!AA284</f>
        <v>0.28984044003749981</v>
      </c>
    </row>
    <row r="270" spans="11:40" x14ac:dyDescent="0.2">
      <c r="K270" s="26">
        <v>264</v>
      </c>
      <c r="L270" s="26">
        <f>[1]节奏总纲!AD267</f>
        <v>80.489822404516474</v>
      </c>
      <c r="M270" s="26">
        <f>[1]节奏总纲!AE267</f>
        <v>82.589980097275202</v>
      </c>
      <c r="N270" s="26">
        <f>[1]节奏总纲!AF267</f>
        <v>85.550486915716021</v>
      </c>
      <c r="O270" s="26">
        <f>[1]节奏总纲!AG267</f>
        <v>90.514074664498196</v>
      </c>
      <c r="P270" s="26">
        <f>[1]节奏总纲!AH267</f>
        <v>99.372591474611838</v>
      </c>
      <c r="AI270" s="27">
        <v>264</v>
      </c>
      <c r="AJ270" s="28">
        <f>[1]服务器生态!W285</f>
        <v>69.483841160974421</v>
      </c>
      <c r="AK270" s="28">
        <f>[1]服务器生态!X285</f>
        <v>68.511703642962672</v>
      </c>
      <c r="AL270" s="28">
        <f>[1]服务器生态!Y285</f>
        <v>5.592630284979089</v>
      </c>
      <c r="AM270" s="28">
        <f>[1]服务器生态!Z285</f>
        <v>0.99496844778374982</v>
      </c>
      <c r="AN270" s="28">
        <f>[1]服务器生态!AA285</f>
        <v>0.28788771329999985</v>
      </c>
    </row>
    <row r="271" spans="11:40" x14ac:dyDescent="0.2">
      <c r="K271" s="26">
        <v>265</v>
      </c>
      <c r="L271" s="26">
        <f>[1]节奏总纲!AD268</f>
        <v>80.544247116129412</v>
      </c>
      <c r="M271" s="26">
        <f>[1]节奏总纲!AE268</f>
        <v>82.644361574217143</v>
      </c>
      <c r="N271" s="26">
        <f>[1]节奏总纲!AF268</f>
        <v>85.605090576502832</v>
      </c>
      <c r="O271" s="26">
        <f>[1]节奏总纲!AG268</f>
        <v>90.57048456052793</v>
      </c>
      <c r="P271" s="26">
        <f>[1]节奏总纲!AH268</f>
        <v>99.430804516734369</v>
      </c>
      <c r="AI271" s="27">
        <v>265</v>
      </c>
      <c r="AJ271" s="28">
        <f>[1]服务器生态!W286</f>
        <v>69.012536036820535</v>
      </c>
      <c r="AK271" s="28">
        <f>[1]服务器生态!X286</f>
        <v>68.046992474841815</v>
      </c>
      <c r="AL271" s="28">
        <f>[1]服务器生态!Y286</f>
        <v>5.5546957772321388</v>
      </c>
      <c r="AM271" s="28">
        <f>[1]服务器生态!Z286</f>
        <v>0.98821963079296871</v>
      </c>
      <c r="AN271" s="28">
        <f>[1]服务器生态!AA286</f>
        <v>0.28593498656249988</v>
      </c>
    </row>
    <row r="272" spans="11:40" x14ac:dyDescent="0.2">
      <c r="K272" s="26">
        <v>266</v>
      </c>
      <c r="L272" s="26">
        <f>[1]节奏总纲!AD269</f>
        <v>80.598671827742351</v>
      </c>
      <c r="M272" s="26">
        <f>[1]节奏总纲!AE269</f>
        <v>82.698743051159084</v>
      </c>
      <c r="N272" s="26">
        <f>[1]节奏总纲!AF269</f>
        <v>85.659694237289628</v>
      </c>
      <c r="O272" s="26">
        <f>[1]节奏总纲!AG269</f>
        <v>90.626894456557665</v>
      </c>
      <c r="P272" s="26">
        <f>[1]节奏总纲!AH269</f>
        <v>99.489017558856887</v>
      </c>
      <c r="AI272" s="27">
        <v>266</v>
      </c>
      <c r="AJ272" s="28">
        <f>[1]服务器生态!W287</f>
        <v>68.541230912666634</v>
      </c>
      <c r="AK272" s="28">
        <f>[1]服务器生态!X287</f>
        <v>67.582281306720944</v>
      </c>
      <c r="AL272" s="28">
        <f>[1]服务器生态!Y287</f>
        <v>5.5167612694851869</v>
      </c>
      <c r="AM272" s="28">
        <f>[1]服务器生态!Z287</f>
        <v>0.98147081380218748</v>
      </c>
      <c r="AN272" s="28">
        <f>[1]服务器生态!AA287</f>
        <v>0.28398225982499986</v>
      </c>
    </row>
    <row r="273" spans="11:40" x14ac:dyDescent="0.2">
      <c r="K273" s="26">
        <v>267</v>
      </c>
      <c r="L273" s="26">
        <f>[1]节奏总纲!AD270</f>
        <v>80.653096539355303</v>
      </c>
      <c r="M273" s="26">
        <f>[1]节奏总纲!AE270</f>
        <v>82.753124528101011</v>
      </c>
      <c r="N273" s="26">
        <f>[1]节奏总纲!AF270</f>
        <v>85.714297898076424</v>
      </c>
      <c r="O273" s="26">
        <f>[1]节奏总纲!AG270</f>
        <v>90.683304352587413</v>
      </c>
      <c r="P273" s="26">
        <f>[1]节奏总纲!AH270</f>
        <v>99.547230600979418</v>
      </c>
      <c r="AI273" s="27">
        <v>267</v>
      </c>
      <c r="AJ273" s="28">
        <f>[1]服务器生态!W288</f>
        <v>68.069925788512734</v>
      </c>
      <c r="AK273" s="28">
        <f>[1]服务器生态!X288</f>
        <v>67.117570138600058</v>
      </c>
      <c r="AL273" s="28">
        <f>[1]服务器生态!Y288</f>
        <v>5.4788267617382358</v>
      </c>
      <c r="AM273" s="28">
        <f>[1]服务器生态!Z288</f>
        <v>0.97472199681140614</v>
      </c>
      <c r="AN273" s="28">
        <f>[1]服务器生态!AA288</f>
        <v>0.28202953308749984</v>
      </c>
    </row>
    <row r="274" spans="11:40" x14ac:dyDescent="0.2">
      <c r="K274" s="26">
        <v>268</v>
      </c>
      <c r="L274" s="26">
        <f>[1]节奏总纲!AD271</f>
        <v>80.707521250968242</v>
      </c>
      <c r="M274" s="26">
        <f>[1]节奏总纲!AE271</f>
        <v>82.807506005042953</v>
      </c>
      <c r="N274" s="26">
        <f>[1]节奏总纲!AF271</f>
        <v>85.76890155886322</v>
      </c>
      <c r="O274" s="26">
        <f>[1]节奏总纲!AG271</f>
        <v>90.739714248617148</v>
      </c>
      <c r="P274" s="26">
        <f>[1]节奏总纲!AH271</f>
        <v>99.605443643101935</v>
      </c>
      <c r="AI274" s="27">
        <v>268</v>
      </c>
      <c r="AJ274" s="28">
        <f>[1]服务器生态!W289</f>
        <v>67.598620664358847</v>
      </c>
      <c r="AK274" s="28">
        <f>[1]服务器生态!X289</f>
        <v>66.652858970479201</v>
      </c>
      <c r="AL274" s="28">
        <f>[1]服务器生态!Y289</f>
        <v>5.4408922539912856</v>
      </c>
      <c r="AM274" s="28">
        <f>[1]服务器生态!Z289</f>
        <v>0.96797317982062503</v>
      </c>
      <c r="AN274" s="28">
        <f>[1]服务器生态!AA289</f>
        <v>0.28007680634999993</v>
      </c>
    </row>
    <row r="275" spans="11:40" x14ac:dyDescent="0.2">
      <c r="K275" s="26">
        <v>269</v>
      </c>
      <c r="L275" s="26">
        <f>[1]节奏总纲!AD272</f>
        <v>80.76194596258118</v>
      </c>
      <c r="M275" s="26">
        <f>[1]节奏总纲!AE272</f>
        <v>82.861887481984894</v>
      </c>
      <c r="N275" s="26">
        <f>[1]节奏总纲!AF272</f>
        <v>85.823505219650016</v>
      </c>
      <c r="O275" s="26">
        <f>[1]节奏总纲!AG272</f>
        <v>90.796124144646882</v>
      </c>
      <c r="P275" s="26">
        <f>[1]节奏总纲!AH272</f>
        <v>99.663656685224467</v>
      </c>
      <c r="AI275" s="27">
        <v>269</v>
      </c>
      <c r="AJ275" s="28">
        <f>[1]服务器生态!W290</f>
        <v>67.127315540204947</v>
      </c>
      <c r="AK275" s="28">
        <f>[1]服务器生态!X290</f>
        <v>66.18814780235833</v>
      </c>
      <c r="AL275" s="28">
        <f>[1]服务器生态!Y290</f>
        <v>5.4029577462443346</v>
      </c>
      <c r="AM275" s="28">
        <f>[1]服务器生态!Z290</f>
        <v>0.9612243628298438</v>
      </c>
      <c r="AN275" s="28">
        <f>[1]服务器生态!AA290</f>
        <v>0.27812407961249991</v>
      </c>
    </row>
    <row r="276" spans="11:40" x14ac:dyDescent="0.2">
      <c r="K276" s="26">
        <v>270</v>
      </c>
      <c r="L276" s="26">
        <f>[1]节奏总纲!AD273</f>
        <v>80.816370674194118</v>
      </c>
      <c r="M276" s="26">
        <f>[1]节奏总纲!AE273</f>
        <v>82.916268958926821</v>
      </c>
      <c r="N276" s="26">
        <f>[1]节奏总纲!AF273</f>
        <v>85.878108880436827</v>
      </c>
      <c r="O276" s="26">
        <f>[1]节奏总纲!AG273</f>
        <v>90.852534040676616</v>
      </c>
      <c r="P276" s="26">
        <f>[1]节奏总纲!AH273</f>
        <v>99.721869727346999</v>
      </c>
      <c r="AI276" s="27">
        <v>270</v>
      </c>
      <c r="AJ276" s="28">
        <f>[1]服务器生态!W291</f>
        <v>66.656010416051046</v>
      </c>
      <c r="AK276" s="28">
        <f>[1]服务器生态!X291</f>
        <v>65.723436634237459</v>
      </c>
      <c r="AL276" s="28">
        <f>[1]服务器生态!Y291</f>
        <v>5.3650232384973826</v>
      </c>
      <c r="AM276" s="28">
        <f>[1]服务器生态!Z291</f>
        <v>0.95447554583906247</v>
      </c>
      <c r="AN276" s="28">
        <f>[1]服务器生态!AA291</f>
        <v>0.27617135287499989</v>
      </c>
    </row>
    <row r="277" spans="11:40" x14ac:dyDescent="0.2">
      <c r="K277" s="26">
        <v>271</v>
      </c>
      <c r="L277" s="26">
        <f>[1]节奏总纲!AD274</f>
        <v>80.870795385807057</v>
      </c>
      <c r="M277" s="26">
        <f>[1]节奏总纲!AE274</f>
        <v>82.970650435868762</v>
      </c>
      <c r="N277" s="26">
        <f>[1]节奏总纲!AF274</f>
        <v>85.932712541223623</v>
      </c>
      <c r="O277" s="26">
        <f>[1]节奏总纲!AG274</f>
        <v>90.908943936706351</v>
      </c>
      <c r="P277" s="26">
        <f>[1]节奏总纲!AH274</f>
        <v>99.780082769469516</v>
      </c>
      <c r="AI277" s="27">
        <v>271</v>
      </c>
      <c r="AJ277" s="28">
        <f>[1]服务器生态!W292</f>
        <v>66.267183688624087</v>
      </c>
      <c r="AK277" s="28">
        <f>[1]服务器生态!X292</f>
        <v>65.340049920537737</v>
      </c>
      <c r="AL277" s="28">
        <f>[1]服务器生态!Y292</f>
        <v>5.3337272696061477</v>
      </c>
      <c r="AM277" s="28">
        <f>[1]服务器生态!Z292</f>
        <v>0.94890777182166797</v>
      </c>
      <c r="AN277" s="28">
        <f>[1]服务器生态!AA292</f>
        <v>0.27456035331656237</v>
      </c>
    </row>
    <row r="278" spans="11:40" x14ac:dyDescent="0.2">
      <c r="K278" s="26">
        <v>272</v>
      </c>
      <c r="L278" s="26">
        <f>[1]节奏总纲!AD275</f>
        <v>80.925220097420009</v>
      </c>
      <c r="M278" s="26">
        <f>[1]节奏总纲!AE275</f>
        <v>83.023342162088809</v>
      </c>
      <c r="N278" s="26">
        <f>[1]节奏总纲!AF275</f>
        <v>85.987316202010419</v>
      </c>
      <c r="O278" s="26">
        <f>[1]节奏总纲!AG275</f>
        <v>90.965353832736099</v>
      </c>
      <c r="P278" s="26">
        <f>[1]节奏总纲!AH275</f>
        <v>99.838295811592047</v>
      </c>
      <c r="AI278" s="27">
        <v>272</v>
      </c>
      <c r="AJ278" s="28">
        <f>[1]服务器生态!W293</f>
        <v>65.878356961197113</v>
      </c>
      <c r="AK278" s="28">
        <f>[1]服务器生态!X293</f>
        <v>64.956663206838016</v>
      </c>
      <c r="AL278" s="28">
        <f>[1]服务器生态!Y293</f>
        <v>5.3024313007149129</v>
      </c>
      <c r="AM278" s="28">
        <f>[1]服务器生态!Z293</f>
        <v>0.94333999780427336</v>
      </c>
      <c r="AN278" s="28">
        <f>[1]服务器生态!AA293</f>
        <v>0.27294935375812485</v>
      </c>
    </row>
    <row r="279" spans="11:40" x14ac:dyDescent="0.2">
      <c r="K279" s="26">
        <v>273</v>
      </c>
      <c r="L279" s="26">
        <f>[1]节奏总纲!AD276</f>
        <v>80.979644809032948</v>
      </c>
      <c r="M279" s="26">
        <f>[1]节奏总纲!AE276</f>
        <v>83.07405267945947</v>
      </c>
      <c r="N279" s="26">
        <f>[1]节奏总纲!AF276</f>
        <v>86.038061368689995</v>
      </c>
      <c r="O279" s="26">
        <f>[1]节奏总纲!AG276</f>
        <v>91.020352770869948</v>
      </c>
      <c r="P279" s="26">
        <f>[1]节奏总纲!AH276</f>
        <v>99.896508853714579</v>
      </c>
      <c r="AI279" s="27">
        <v>273</v>
      </c>
      <c r="AJ279" s="28">
        <f>[1]服务器生态!W294</f>
        <v>65.489530233770154</v>
      </c>
      <c r="AK279" s="28">
        <f>[1]服务器生态!X294</f>
        <v>64.573276493138295</v>
      </c>
      <c r="AL279" s="28">
        <f>[1]服务器生态!Y294</f>
        <v>5.271135331823678</v>
      </c>
      <c r="AM279" s="28">
        <f>[1]服务器生态!Z294</f>
        <v>0.93777222378687886</v>
      </c>
      <c r="AN279" s="28">
        <f>[1]服务器生态!AA294</f>
        <v>0.27133835419968738</v>
      </c>
    </row>
    <row r="280" spans="11:40" x14ac:dyDescent="0.2">
      <c r="K280" s="26">
        <v>274</v>
      </c>
      <c r="L280" s="26">
        <f>[1]节奏总纲!AD277</f>
        <v>81.031787986768464</v>
      </c>
      <c r="M280" s="26">
        <f>[1]节奏总纲!AE277</f>
        <v>83.124763196830131</v>
      </c>
      <c r="N280" s="26">
        <f>[1]节奏总纲!AF277</f>
        <v>86.087639061133402</v>
      </c>
      <c r="O280" s="26">
        <f>[1]节奏总纲!AG277</f>
        <v>91.073105573528181</v>
      </c>
      <c r="P280" s="26">
        <f>[1]节奏总纲!AH277</f>
        <v>99.954721895837096</v>
      </c>
      <c r="AI280" s="27">
        <v>274</v>
      </c>
      <c r="AJ280" s="28">
        <f>[1]服务器生态!W295</f>
        <v>65.10070350634318</v>
      </c>
      <c r="AK280" s="28">
        <f>[1]服务器生态!X295</f>
        <v>64.189889779438573</v>
      </c>
      <c r="AL280" s="28">
        <f>[1]服务器生态!Y295</f>
        <v>5.2398393629324431</v>
      </c>
      <c r="AM280" s="28">
        <f>[1]服务器生态!Z295</f>
        <v>0.93220444976948424</v>
      </c>
      <c r="AN280" s="28">
        <f>[1]服务器生态!AA295</f>
        <v>0.26972735464124986</v>
      </c>
    </row>
    <row r="281" spans="11:40" x14ac:dyDescent="0.2">
      <c r="K281" s="26">
        <v>275</v>
      </c>
      <c r="L281" s="26">
        <f>[1]节奏总纲!AD278</f>
        <v>81.082568038258216</v>
      </c>
      <c r="M281" s="26">
        <f>[1]节奏总纲!AE278</f>
        <v>83.175473714200777</v>
      </c>
      <c r="N281" s="26">
        <f>[1]节奏总纲!AF278</f>
        <v>86.137216753576809</v>
      </c>
      <c r="O281" s="26">
        <f>[1]节奏总纲!AG278</f>
        <v>91.125858376186414</v>
      </c>
      <c r="P281" s="26">
        <f>[1]节奏总纲!AH278</f>
        <v>100.01191770041967</v>
      </c>
      <c r="AI281" s="27">
        <v>275</v>
      </c>
      <c r="AJ281" s="28">
        <f>[1]服务器生态!W296</f>
        <v>64.711876778916235</v>
      </c>
      <c r="AK281" s="28">
        <f>[1]服务器生态!X296</f>
        <v>63.806503065738866</v>
      </c>
      <c r="AL281" s="28">
        <f>[1]服务器生态!Y296</f>
        <v>5.2085433940412091</v>
      </c>
      <c r="AM281" s="28">
        <f>[1]服务器生态!Z296</f>
        <v>0.92663667575208986</v>
      </c>
      <c r="AN281" s="28">
        <f>[1]服务器生态!AA296</f>
        <v>0.2681163550828124</v>
      </c>
    </row>
    <row r="282" spans="11:40" x14ac:dyDescent="0.2">
      <c r="K282" s="26">
        <v>276</v>
      </c>
      <c r="L282" s="26">
        <f>[1]节奏总纲!AD279</f>
        <v>81.133348089747955</v>
      </c>
      <c r="M282" s="26">
        <f>[1]节奏总纲!AE279</f>
        <v>83.226184231571438</v>
      </c>
      <c r="N282" s="26">
        <f>[1]节奏总纲!AF279</f>
        <v>86.186794446020215</v>
      </c>
      <c r="O282" s="26">
        <f>[1]节奏总纲!AG279</f>
        <v>91.178611178844633</v>
      </c>
      <c r="P282" s="26">
        <f>[1]节奏总纲!AH279</f>
        <v>100.06555271580974</v>
      </c>
      <c r="AI282" s="27">
        <v>276</v>
      </c>
      <c r="AJ282" s="28">
        <f>[1]服务器生态!W297</f>
        <v>64.323050051489261</v>
      </c>
      <c r="AK282" s="28">
        <f>[1]服务器生态!X297</f>
        <v>63.423116352039152</v>
      </c>
      <c r="AL282" s="28">
        <f>[1]服务器生态!Y297</f>
        <v>5.1772474251499743</v>
      </c>
      <c r="AM282" s="28">
        <f>[1]服务器生态!Z297</f>
        <v>0.92106890173469536</v>
      </c>
      <c r="AN282" s="28">
        <f>[1]服务器生态!AA297</f>
        <v>0.26650535552437488</v>
      </c>
    </row>
    <row r="283" spans="11:40" x14ac:dyDescent="0.2">
      <c r="K283" s="26">
        <v>277</v>
      </c>
      <c r="L283" s="26">
        <f>[1]节奏总纲!AD280</f>
        <v>81.184128141237707</v>
      </c>
      <c r="M283" s="26">
        <f>[1]节奏总纲!AE280</f>
        <v>83.276894748942098</v>
      </c>
      <c r="N283" s="26">
        <f>[1]节奏总纲!AF280</f>
        <v>86.236372138463622</v>
      </c>
      <c r="O283" s="26">
        <f>[1]节奏总纲!AG280</f>
        <v>91.231363981502867</v>
      </c>
      <c r="P283" s="26">
        <f>[1]节奏总纲!AH280</f>
        <v>100.11918773119983</v>
      </c>
      <c r="AI283" s="27">
        <v>277</v>
      </c>
      <c r="AJ283" s="28">
        <f>[1]服务器生态!W298</f>
        <v>63.934223324062302</v>
      </c>
      <c r="AK283" s="28">
        <f>[1]服务器生态!X298</f>
        <v>63.039729638339431</v>
      </c>
      <c r="AL283" s="28">
        <f>[1]服务器生态!Y298</f>
        <v>5.1459514562587394</v>
      </c>
      <c r="AM283" s="28">
        <f>[1]服务器生态!Z298</f>
        <v>0.91550112771730074</v>
      </c>
      <c r="AN283" s="28">
        <f>[1]服务器生态!AA298</f>
        <v>0.26489435596593741</v>
      </c>
    </row>
    <row r="284" spans="11:40" x14ac:dyDescent="0.2">
      <c r="K284" s="26">
        <v>278</v>
      </c>
      <c r="L284" s="26">
        <f>[1]节奏总纲!AD281</f>
        <v>81.23490819272746</v>
      </c>
      <c r="M284" s="26">
        <f>[1]节奏总纲!AE281</f>
        <v>83.327605266312744</v>
      </c>
      <c r="N284" s="26">
        <f>[1]节奏总纲!AF281</f>
        <v>86.285949830907029</v>
      </c>
      <c r="O284" s="26">
        <f>[1]节奏总纲!AG281</f>
        <v>91.2841167841611</v>
      </c>
      <c r="P284" s="26">
        <f>[1]节奏总纲!AH281</f>
        <v>100.1728227465899</v>
      </c>
      <c r="AI284" s="27">
        <v>278</v>
      </c>
      <c r="AJ284" s="28">
        <f>[1]服务器生态!W299</f>
        <v>63.545396596635335</v>
      </c>
      <c r="AK284" s="28">
        <f>[1]服务器生态!X299</f>
        <v>62.656342924639709</v>
      </c>
      <c r="AL284" s="28">
        <f>[1]服务器生态!Y299</f>
        <v>5.1146554873675045</v>
      </c>
      <c r="AM284" s="28">
        <f>[1]服务器生态!Z299</f>
        <v>0.90993335369990624</v>
      </c>
      <c r="AN284" s="28">
        <f>[1]服务器生态!AA299</f>
        <v>0.26328335640749989</v>
      </c>
    </row>
    <row r="285" spans="11:40" x14ac:dyDescent="0.2">
      <c r="K285" s="26">
        <v>279</v>
      </c>
      <c r="L285" s="26">
        <f>[1]节奏总纲!AD282</f>
        <v>81.285688244217212</v>
      </c>
      <c r="M285" s="26">
        <f>[1]节奏总纲!AE282</f>
        <v>83.378315783683405</v>
      </c>
      <c r="N285" s="26">
        <f>[1]节奏总纲!AF282</f>
        <v>86.335527523350422</v>
      </c>
      <c r="O285" s="26">
        <f>[1]节奏总纲!AG282</f>
        <v>91.336869586819319</v>
      </c>
      <c r="P285" s="26">
        <f>[1]节奏总纲!AH282</f>
        <v>100.22645776197997</v>
      </c>
      <c r="AI285" s="27">
        <v>279</v>
      </c>
      <c r="AJ285" s="28">
        <f>[1]服务器生态!W300</f>
        <v>63.156569869208369</v>
      </c>
      <c r="AK285" s="28">
        <f>[1]服务器生态!X300</f>
        <v>62.272956210939988</v>
      </c>
      <c r="AL285" s="28">
        <f>[1]服务器生态!Y300</f>
        <v>5.0833595184762697</v>
      </c>
      <c r="AM285" s="28">
        <f>[1]服务器生态!Z300</f>
        <v>0.90436557968251163</v>
      </c>
      <c r="AN285" s="28">
        <f>[1]服务器生态!AA300</f>
        <v>0.26167235684906237</v>
      </c>
    </row>
    <row r="286" spans="11:40" x14ac:dyDescent="0.2">
      <c r="K286" s="26">
        <v>280</v>
      </c>
      <c r="L286" s="26">
        <f>[1]节奏总纲!AD283</f>
        <v>81.336468295706965</v>
      </c>
      <c r="M286" s="26">
        <f>[1]节奏总纲!AE283</f>
        <v>83.429026301054066</v>
      </c>
      <c r="N286" s="26">
        <f>[1]节奏总纲!AF283</f>
        <v>86.385105215793828</v>
      </c>
      <c r="O286" s="26">
        <f>[1]节奏总纲!AG283</f>
        <v>91.389622389477552</v>
      </c>
      <c r="P286" s="26">
        <f>[1]节奏总纲!AH283</f>
        <v>100.28009277737006</v>
      </c>
      <c r="AI286" s="27">
        <v>280</v>
      </c>
      <c r="AJ286" s="28">
        <f>[1]服务器生态!W301</f>
        <v>62.767743141781402</v>
      </c>
      <c r="AK286" s="28">
        <f>[1]服务器生态!X301</f>
        <v>61.889569497240267</v>
      </c>
      <c r="AL286" s="28">
        <f>[1]服务器生态!Y301</f>
        <v>5.0520635495850348</v>
      </c>
      <c r="AM286" s="28">
        <f>[1]服务器生态!Z301</f>
        <v>0.89879780566511713</v>
      </c>
      <c r="AN286" s="28">
        <f>[1]服务器生态!AA301</f>
        <v>0.26006135729062485</v>
      </c>
    </row>
    <row r="287" spans="11:40" x14ac:dyDescent="0.2">
      <c r="K287" s="26">
        <v>281</v>
      </c>
      <c r="L287" s="26">
        <f>[1]节奏总纲!AD284</f>
        <v>81.387248347196717</v>
      </c>
      <c r="M287" s="26">
        <f>[1]节奏总纲!AE284</f>
        <v>83.479736818424712</v>
      </c>
      <c r="N287" s="26">
        <f>[1]节奏总纲!AF284</f>
        <v>86.434682908237235</v>
      </c>
      <c r="O287" s="26">
        <f>[1]节奏总纲!AG284</f>
        <v>91.442375192135771</v>
      </c>
      <c r="P287" s="26">
        <f>[1]节奏总纲!AH284</f>
        <v>100.33372779276013</v>
      </c>
      <c r="AI287" s="27">
        <v>281</v>
      </c>
      <c r="AJ287" s="28">
        <f>[1]服务器生态!W302</f>
        <v>62.378916414354428</v>
      </c>
      <c r="AK287" s="28">
        <f>[1]服务器生态!X302</f>
        <v>61.506182783540545</v>
      </c>
      <c r="AL287" s="28">
        <f>[1]服务器生态!Y302</f>
        <v>5.0207675806937999</v>
      </c>
      <c r="AM287" s="28">
        <f>[1]服务器生态!Z302</f>
        <v>0.89323003164772252</v>
      </c>
      <c r="AN287" s="28">
        <f>[1]服务器生态!AA302</f>
        <v>0.25845035773218733</v>
      </c>
    </row>
    <row r="288" spans="11:40" x14ac:dyDescent="0.2">
      <c r="K288" s="26">
        <v>282</v>
      </c>
      <c r="L288" s="26">
        <f>[1]节奏总纲!AD285</f>
        <v>81.43802839868647</v>
      </c>
      <c r="M288" s="26">
        <f>[1]节奏总纲!AE285</f>
        <v>83.530447335795373</v>
      </c>
      <c r="N288" s="26">
        <f>[1]节奏总纲!AF285</f>
        <v>86.484260600680642</v>
      </c>
      <c r="O288" s="26">
        <f>[1]节奏总纲!AG285</f>
        <v>91.495127994794004</v>
      </c>
      <c r="P288" s="26">
        <f>[1]节奏总纲!AH285</f>
        <v>100.3873628081502</v>
      </c>
      <c r="AI288" s="27">
        <v>282</v>
      </c>
      <c r="AJ288" s="28">
        <f>[1]服务器生态!W303</f>
        <v>61.990089686927462</v>
      </c>
      <c r="AK288" s="28">
        <f>[1]服务器生态!X303</f>
        <v>61.122796069840824</v>
      </c>
      <c r="AL288" s="28">
        <f>[1]服务器生态!Y303</f>
        <v>4.989471611802565</v>
      </c>
      <c r="AM288" s="28">
        <f>[1]服务器生态!Z303</f>
        <v>0.88766225763032791</v>
      </c>
      <c r="AN288" s="28">
        <f>[1]服务器生态!AA303</f>
        <v>0.25683935817374987</v>
      </c>
    </row>
    <row r="289" spans="11:40" x14ac:dyDescent="0.2">
      <c r="K289" s="26">
        <v>283</v>
      </c>
      <c r="L289" s="26">
        <f>[1]节奏总纲!AD286</f>
        <v>81.488808450176222</v>
      </c>
      <c r="M289" s="26">
        <f>[1]节奏总纲!AE286</f>
        <v>83.581157853166033</v>
      </c>
      <c r="N289" s="26">
        <f>[1]节奏总纲!AF286</f>
        <v>86.533838293124049</v>
      </c>
      <c r="O289" s="26">
        <f>[1]节奏总纲!AG286</f>
        <v>91.547880797452237</v>
      </c>
      <c r="P289" s="26">
        <f>[1]节奏总纲!AH286</f>
        <v>100.44099782354027</v>
      </c>
      <c r="AI289" s="27">
        <v>283</v>
      </c>
      <c r="AJ289" s="28">
        <f>[1]服务器生态!W304</f>
        <v>61.601262959500495</v>
      </c>
      <c r="AK289" s="28">
        <f>[1]服务器生态!X304</f>
        <v>60.739409356141103</v>
      </c>
      <c r="AL289" s="28">
        <f>[1]服务器生态!Y304</f>
        <v>4.9581756429113302</v>
      </c>
      <c r="AM289" s="28">
        <f>[1]服务器生态!Z304</f>
        <v>0.88209448361293341</v>
      </c>
      <c r="AN289" s="28">
        <f>[1]服务器生态!AA304</f>
        <v>0.25522835861531235</v>
      </c>
    </row>
    <row r="290" spans="11:40" x14ac:dyDescent="0.2">
      <c r="K290" s="26">
        <v>284</v>
      </c>
      <c r="L290" s="26">
        <f>[1]节奏总纲!AD287</f>
        <v>81.539588501665975</v>
      </c>
      <c r="M290" s="26">
        <f>[1]节奏总纲!AE287</f>
        <v>83.631868370536679</v>
      </c>
      <c r="N290" s="26">
        <f>[1]节奏总纲!AF287</f>
        <v>86.583415985567456</v>
      </c>
      <c r="O290" s="26">
        <f>[1]节奏总纲!AG287</f>
        <v>91.600633600110456</v>
      </c>
      <c r="P290" s="26">
        <f>[1]节奏总纲!AH287</f>
        <v>100.49463283893036</v>
      </c>
      <c r="AI290" s="27">
        <v>284</v>
      </c>
      <c r="AJ290" s="28">
        <f>[1]服务器生态!W305</f>
        <v>61.212436232073536</v>
      </c>
      <c r="AK290" s="28">
        <f>[1]服务器生态!X305</f>
        <v>60.356022642441388</v>
      </c>
      <c r="AL290" s="28">
        <f>[1]服务器生态!Y305</f>
        <v>4.9268796740200953</v>
      </c>
      <c r="AM290" s="28">
        <f>[1]服务器生态!Z305</f>
        <v>0.87652670959553891</v>
      </c>
      <c r="AN290" s="28">
        <f>[1]服务器生态!AA305</f>
        <v>0.25361735905687488</v>
      </c>
    </row>
    <row r="291" spans="11:40" x14ac:dyDescent="0.2">
      <c r="K291" s="26">
        <v>285</v>
      </c>
      <c r="L291" s="26">
        <f>[1]节奏总纲!AD288</f>
        <v>81.590368553155727</v>
      </c>
      <c r="M291" s="26">
        <f>[1]节奏总纲!AE288</f>
        <v>83.68257888790734</v>
      </c>
      <c r="N291" s="26">
        <f>[1]节奏总纲!AF288</f>
        <v>86.632993678010848</v>
      </c>
      <c r="O291" s="26">
        <f>[1]节奏总纲!AG288</f>
        <v>91.653386402768689</v>
      </c>
      <c r="P291" s="26">
        <f>[1]节奏总纲!AH288</f>
        <v>100.54826785432043</v>
      </c>
      <c r="AI291" s="27">
        <v>285</v>
      </c>
      <c r="AJ291" s="28">
        <f>[1]服务器生态!W306</f>
        <v>60.823609504646569</v>
      </c>
      <c r="AK291" s="28">
        <f>[1]服务器生态!X306</f>
        <v>59.972635928741667</v>
      </c>
      <c r="AL291" s="28">
        <f>[1]服务器生态!Y306</f>
        <v>4.8955837051288604</v>
      </c>
      <c r="AM291" s="28">
        <f>[1]服务器生态!Z306</f>
        <v>0.87095893557814441</v>
      </c>
      <c r="AN291" s="28">
        <f>[1]服务器生态!AA306</f>
        <v>0.25200635949843736</v>
      </c>
    </row>
    <row r="292" spans="11:40" x14ac:dyDescent="0.2">
      <c r="K292" s="26">
        <v>286</v>
      </c>
      <c r="L292" s="26">
        <f>[1]节奏总纲!AD289</f>
        <v>81.64114860464548</v>
      </c>
      <c r="M292" s="26">
        <f>[1]节奏总纲!AE289</f>
        <v>83.733289405278001</v>
      </c>
      <c r="N292" s="26">
        <f>[1]节奏总纲!AF289</f>
        <v>86.682571370454255</v>
      </c>
      <c r="O292" s="26">
        <f>[1]节奏总纲!AG289</f>
        <v>91.706139205426922</v>
      </c>
      <c r="P292" s="26">
        <f>[1]节奏总纲!AH289</f>
        <v>100.6019028697105</v>
      </c>
      <c r="AI292" s="27">
        <v>286</v>
      </c>
      <c r="AJ292" s="28">
        <f>[1]服务器生态!W307</f>
        <v>60.43478277721961</v>
      </c>
      <c r="AK292" s="28">
        <f>[1]服务器生态!X307</f>
        <v>59.589249215041953</v>
      </c>
      <c r="AL292" s="28">
        <f>[1]服务器生态!Y307</f>
        <v>4.8642877362376264</v>
      </c>
      <c r="AM292" s="28">
        <f>[1]服务器生态!Z307</f>
        <v>0.86539116156074991</v>
      </c>
      <c r="AN292" s="28">
        <f>[1]服务器生态!AA307</f>
        <v>0.25039535993999984</v>
      </c>
    </row>
    <row r="293" spans="11:40" x14ac:dyDescent="0.2">
      <c r="K293" s="26">
        <v>287</v>
      </c>
      <c r="L293" s="26">
        <f>[1]节奏总纲!AD290</f>
        <v>81.691928656135218</v>
      </c>
      <c r="M293" s="26">
        <f>[1]节奏总纲!AE290</f>
        <v>83.783999922648647</v>
      </c>
      <c r="N293" s="26">
        <f>[1]节奏总纲!AF290</f>
        <v>86.732149062897662</v>
      </c>
      <c r="O293" s="26">
        <f>[1]节奏总纲!AG290</f>
        <v>91.758892008085141</v>
      </c>
      <c r="P293" s="26">
        <f>[1]节奏总纲!AH290</f>
        <v>100.65553788510059</v>
      </c>
      <c r="AI293" s="27">
        <v>287</v>
      </c>
      <c r="AJ293" s="28">
        <f>[1]服务器生态!W308</f>
        <v>60.04595604979265</v>
      </c>
      <c r="AK293" s="28">
        <f>[1]服务器生态!X308</f>
        <v>59.205862501342239</v>
      </c>
      <c r="AL293" s="28">
        <f>[1]服务器生态!Y308</f>
        <v>4.8329917673463925</v>
      </c>
      <c r="AM293" s="28">
        <f>[1]服务器生态!Z308</f>
        <v>0.85982338754335541</v>
      </c>
      <c r="AN293" s="28">
        <f>[1]服务器生态!AA308</f>
        <v>0.24878436038156237</v>
      </c>
    </row>
    <row r="294" spans="11:40" x14ac:dyDescent="0.2">
      <c r="K294" s="26">
        <v>288</v>
      </c>
      <c r="L294" s="26">
        <f>[1]节奏总纲!AD291</f>
        <v>81.742708707624971</v>
      </c>
      <c r="M294" s="26">
        <f>[1]节奏总纲!AE291</f>
        <v>83.834710440019307</v>
      </c>
      <c r="N294" s="26">
        <f>[1]节奏总纲!AF291</f>
        <v>86.781726755341069</v>
      </c>
      <c r="O294" s="26">
        <f>[1]节奏总纲!AG291</f>
        <v>91.811644810743374</v>
      </c>
      <c r="P294" s="26">
        <f>[1]节奏总纲!AH291</f>
        <v>100.70917290049066</v>
      </c>
      <c r="AI294" s="27">
        <v>288</v>
      </c>
      <c r="AJ294" s="28">
        <f>[1]服务器生态!W309</f>
        <v>59.657129322365684</v>
      </c>
      <c r="AK294" s="28">
        <f>[1]服务器生态!X309</f>
        <v>58.822475787642524</v>
      </c>
      <c r="AL294" s="28">
        <f>[1]服务器生态!Y309</f>
        <v>4.8016957984551576</v>
      </c>
      <c r="AM294" s="28">
        <f>[1]服务器生态!Z309</f>
        <v>0.85425561352596091</v>
      </c>
      <c r="AN294" s="28">
        <f>[1]服务器生态!AA309</f>
        <v>0.24717336082312488</v>
      </c>
    </row>
    <row r="295" spans="11:40" x14ac:dyDescent="0.2">
      <c r="K295" s="26">
        <v>289</v>
      </c>
      <c r="L295" s="26">
        <f>[1]节奏总纲!AD292</f>
        <v>81.793488759114723</v>
      </c>
      <c r="M295" s="26">
        <f>[1]节奏总纲!AE292</f>
        <v>83.885420957389968</v>
      </c>
      <c r="N295" s="26">
        <f>[1]节奏总纲!AF292</f>
        <v>86.831304447784476</v>
      </c>
      <c r="O295" s="26">
        <f>[1]节奏总纲!AG292</f>
        <v>91.864397613401607</v>
      </c>
      <c r="P295" s="26">
        <f>[1]节奏总纲!AH292</f>
        <v>100.76280791588073</v>
      </c>
      <c r="AI295" s="27">
        <v>289</v>
      </c>
      <c r="AJ295" s="28">
        <f>[1]服务器生态!W310</f>
        <v>59.268302594938717</v>
      </c>
      <c r="AK295" s="28">
        <f>[1]服务器生态!X310</f>
        <v>58.439089073942803</v>
      </c>
      <c r="AL295" s="28">
        <f>[1]服务器生态!Y310</f>
        <v>4.7703998295639227</v>
      </c>
      <c r="AM295" s="28">
        <f>[1]服务器生态!Z310</f>
        <v>0.8486878395085663</v>
      </c>
      <c r="AN295" s="28">
        <f>[1]服务器生态!AA310</f>
        <v>0.24556236126468736</v>
      </c>
    </row>
    <row r="296" spans="11:40" x14ac:dyDescent="0.2">
      <c r="K296" s="26">
        <v>290</v>
      </c>
      <c r="L296" s="26">
        <f>[1]节奏总纲!AD293</f>
        <v>81.844268810604476</v>
      </c>
      <c r="M296" s="26">
        <f>[1]节奏总纲!AE293</f>
        <v>83.936131474760614</v>
      </c>
      <c r="N296" s="26">
        <f>[1]节奏总纲!AF293</f>
        <v>86.880882140227882</v>
      </c>
      <c r="O296" s="26">
        <f>[1]节奏总纲!AG293</f>
        <v>91.917150416059826</v>
      </c>
      <c r="P296" s="26">
        <f>[1]节奏总纲!AH293</f>
        <v>100.8164429312708</v>
      </c>
      <c r="AI296" s="27">
        <v>290</v>
      </c>
      <c r="AJ296" s="28">
        <f>[1]服务器生态!W311</f>
        <v>58.879475867511751</v>
      </c>
      <c r="AK296" s="28">
        <f>[1]服务器生态!X311</f>
        <v>58.055702360243082</v>
      </c>
      <c r="AL296" s="28">
        <f>[1]服务器生态!Y311</f>
        <v>4.739103860672687</v>
      </c>
      <c r="AM296" s="28">
        <f>[1]服务器生态!Z311</f>
        <v>0.8431200654911718</v>
      </c>
      <c r="AN296" s="28">
        <f>[1]服务器生态!AA311</f>
        <v>0.24395136170624987</v>
      </c>
    </row>
    <row r="297" spans="11:40" x14ac:dyDescent="0.2">
      <c r="K297" s="26">
        <v>291</v>
      </c>
      <c r="L297" s="26">
        <f>[1]节奏总纲!AD294</f>
        <v>81.895048862094228</v>
      </c>
      <c r="M297" s="26">
        <f>[1]节奏总纲!AE294</f>
        <v>83.986841992131275</v>
      </c>
      <c r="N297" s="26">
        <f>[1]节奏总纲!AF294</f>
        <v>86.930459832671289</v>
      </c>
      <c r="O297" s="26">
        <f>[1]节奏总纲!AG294</f>
        <v>91.969903218718059</v>
      </c>
      <c r="P297" s="26">
        <f>[1]节奏总纲!AH294</f>
        <v>100.87007794666089</v>
      </c>
      <c r="AI297" s="27">
        <v>291</v>
      </c>
      <c r="AJ297" s="28">
        <f>[1]服务器生态!W312</f>
        <v>58.490649140084784</v>
      </c>
      <c r="AK297" s="28">
        <f>[1]服务器生态!X312</f>
        <v>57.67231564654336</v>
      </c>
      <c r="AL297" s="28">
        <f>[1]服务器生态!Y312</f>
        <v>4.7078078917814521</v>
      </c>
      <c r="AM297" s="28">
        <f>[1]服务器生态!Z312</f>
        <v>0.83755229147377719</v>
      </c>
      <c r="AN297" s="28">
        <f>[1]服务器生态!AA312</f>
        <v>0.24234036214781235</v>
      </c>
    </row>
    <row r="298" spans="11:40" x14ac:dyDescent="0.2">
      <c r="K298" s="26">
        <v>292</v>
      </c>
      <c r="L298" s="26">
        <f>[1]节奏总纲!AD295</f>
        <v>81.945828913583981</v>
      </c>
      <c r="M298" s="26">
        <f>[1]节奏总纲!AE295</f>
        <v>84.036191564035917</v>
      </c>
      <c r="N298" s="26">
        <f>[1]节奏总纲!AF295</f>
        <v>86.980037525114682</v>
      </c>
      <c r="O298" s="26">
        <f>[1]节奏总纲!AG295</f>
        <v>92.021521414287719</v>
      </c>
      <c r="P298" s="26">
        <f>[1]节奏总纲!AH295</f>
        <v>100.92371296205096</v>
      </c>
      <c r="AI298" s="27">
        <v>292</v>
      </c>
      <c r="AJ298" s="28">
        <f>[1]服务器生态!W313</f>
        <v>58.101822412657825</v>
      </c>
      <c r="AK298" s="28">
        <f>[1]服务器生态!X313</f>
        <v>57.288928932843646</v>
      </c>
      <c r="AL298" s="28">
        <f>[1]服务器生态!Y313</f>
        <v>4.6765119228902181</v>
      </c>
      <c r="AM298" s="28">
        <f>[1]服务器生态!Z313</f>
        <v>0.83198451745638269</v>
      </c>
      <c r="AN298" s="28">
        <f>[1]服务器生态!AA313</f>
        <v>0.24072936258937488</v>
      </c>
    </row>
    <row r="299" spans="11:40" x14ac:dyDescent="0.2">
      <c r="K299" s="26">
        <v>293</v>
      </c>
      <c r="L299" s="26">
        <f>[1]节奏总纲!AD296</f>
        <v>81.996608965073733</v>
      </c>
      <c r="M299" s="26">
        <f>[1]节奏总纲!AE296</f>
        <v>84.085064274836242</v>
      </c>
      <c r="N299" s="26">
        <f>[1]节奏总纲!AF296</f>
        <v>87.029133791498197</v>
      </c>
      <c r="O299" s="26">
        <f>[1]节奏总纲!AG296</f>
        <v>92.071632371634976</v>
      </c>
      <c r="P299" s="26">
        <f>[1]节奏总纲!AH296</f>
        <v>100.97734797744103</v>
      </c>
      <c r="AI299" s="27">
        <v>293</v>
      </c>
      <c r="AJ299" s="28">
        <f>[1]服务器生态!W314</f>
        <v>57.712995685230858</v>
      </c>
      <c r="AK299" s="28">
        <f>[1]服务器生态!X314</f>
        <v>56.905542219143925</v>
      </c>
      <c r="AL299" s="28">
        <f>[1]服务器生态!Y314</f>
        <v>4.6452159539989832</v>
      </c>
      <c r="AM299" s="28">
        <f>[1]服务器生态!Z314</f>
        <v>0.82641674343898819</v>
      </c>
      <c r="AN299" s="28">
        <f>[1]服务器生态!AA314</f>
        <v>0.23911836303093736</v>
      </c>
    </row>
    <row r="300" spans="11:40" x14ac:dyDescent="0.2">
      <c r="K300" s="26">
        <v>294</v>
      </c>
      <c r="L300" s="26">
        <f>[1]节奏总纲!AD297</f>
        <v>82.044215515890215</v>
      </c>
      <c r="M300" s="26">
        <f>[1]节奏总纲!AE297</f>
        <v>84.133936985636566</v>
      </c>
      <c r="N300" s="26">
        <f>[1]节奏总纲!AF297</f>
        <v>87.077905547159801</v>
      </c>
      <c r="O300" s="26">
        <f>[1]节奏总纲!AG297</f>
        <v>92.121743328982234</v>
      </c>
      <c r="P300" s="26">
        <f>[1]节奏总纲!AH297</f>
        <v>101.02868392415382</v>
      </c>
      <c r="AI300" s="27">
        <v>294</v>
      </c>
      <c r="AJ300" s="28">
        <f>[1]服务器生态!W315</f>
        <v>57.324168957803892</v>
      </c>
      <c r="AK300" s="28">
        <f>[1]服务器生态!X315</f>
        <v>56.522155505444204</v>
      </c>
      <c r="AL300" s="28">
        <f>[1]服务器生态!Y315</f>
        <v>4.6139199851077484</v>
      </c>
      <c r="AM300" s="28">
        <f>[1]服务器生态!Z315</f>
        <v>0.82084896942159358</v>
      </c>
      <c r="AN300" s="28">
        <f>[1]服务器生态!AA315</f>
        <v>0.23750736347249984</v>
      </c>
    </row>
    <row r="301" spans="11:40" x14ac:dyDescent="0.2">
      <c r="K301" s="26">
        <v>295</v>
      </c>
      <c r="L301" s="26">
        <f>[1]节奏总纲!AD298</f>
        <v>82.091594979242089</v>
      </c>
      <c r="M301" s="26">
        <f>[1]节奏总纲!AE298</f>
        <v>84.182809696436891</v>
      </c>
      <c r="N301" s="26">
        <f>[1]节奏总纲!AF298</f>
        <v>87.126677302821392</v>
      </c>
      <c r="O301" s="26">
        <f>[1]节奏总纲!AG298</f>
        <v>92.171854286329506</v>
      </c>
      <c r="P301" s="26">
        <f>[1]节奏总纲!AH298</f>
        <v>101.07833899530283</v>
      </c>
      <c r="AI301" s="27">
        <v>295</v>
      </c>
      <c r="AJ301" s="28">
        <f>[1]服务器生态!W316</f>
        <v>56.935342230376932</v>
      </c>
      <c r="AK301" s="28">
        <f>[1]服务器生态!X316</f>
        <v>56.138768791744489</v>
      </c>
      <c r="AL301" s="28">
        <f>[1]服务器生态!Y316</f>
        <v>4.5826240162165144</v>
      </c>
      <c r="AM301" s="28">
        <f>[1]服务器生态!Z316</f>
        <v>0.81528119540419919</v>
      </c>
      <c r="AN301" s="28">
        <f>[1]服务器生态!AA316</f>
        <v>0.23589636391406238</v>
      </c>
    </row>
    <row r="302" spans="11:40" x14ac:dyDescent="0.2">
      <c r="K302" s="26">
        <v>296</v>
      </c>
      <c r="L302" s="26">
        <f>[1]节奏总纲!AD299</f>
        <v>82.138974442593963</v>
      </c>
      <c r="M302" s="26">
        <f>[1]节奏总纲!AE299</f>
        <v>84.23168240723723</v>
      </c>
      <c r="N302" s="26">
        <f>[1]节奏总纲!AF299</f>
        <v>87.175449058482982</v>
      </c>
      <c r="O302" s="26">
        <f>[1]节奏总纲!AG299</f>
        <v>92.221965243676763</v>
      </c>
      <c r="P302" s="26">
        <f>[1]节奏总纲!AH299</f>
        <v>101.12799406645185</v>
      </c>
      <c r="AI302" s="27">
        <v>296</v>
      </c>
      <c r="AJ302" s="28">
        <f>[1]服务器生态!W317</f>
        <v>56.546515502949966</v>
      </c>
      <c r="AK302" s="28">
        <f>[1]服务器生态!X317</f>
        <v>55.755382078044768</v>
      </c>
      <c r="AL302" s="28">
        <f>[1]服务器生态!Y317</f>
        <v>4.5513280473252786</v>
      </c>
      <c r="AM302" s="28">
        <f>[1]服务器生态!Z317</f>
        <v>0.80971342138680458</v>
      </c>
      <c r="AN302" s="28">
        <f>[1]服务器生态!AA317</f>
        <v>0.23428536435562486</v>
      </c>
    </row>
    <row r="303" spans="11:40" x14ac:dyDescent="0.2">
      <c r="K303" s="26">
        <v>297</v>
      </c>
      <c r="L303" s="26">
        <f>[1]节奏总纲!AD300</f>
        <v>82.186353905945836</v>
      </c>
      <c r="M303" s="26">
        <f>[1]节奏总纲!AE300</f>
        <v>84.280555118037555</v>
      </c>
      <c r="N303" s="26">
        <f>[1]节奏总纲!AF300</f>
        <v>87.224220814144587</v>
      </c>
      <c r="O303" s="26">
        <f>[1]节奏总纲!AG300</f>
        <v>92.272076201024021</v>
      </c>
      <c r="P303" s="26">
        <f>[1]节奏总纲!AH300</f>
        <v>101.17764913760085</v>
      </c>
      <c r="AI303" s="27">
        <v>297</v>
      </c>
      <c r="AJ303" s="28">
        <f>[1]服务器生态!W318</f>
        <v>56.157688775523006</v>
      </c>
      <c r="AK303" s="28">
        <f>[1]服务器生态!X318</f>
        <v>55.371995364345054</v>
      </c>
      <c r="AL303" s="28">
        <f>[1]服务器生态!Y318</f>
        <v>4.5200320784340446</v>
      </c>
      <c r="AM303" s="28">
        <f>[1]服务器生态!Z318</f>
        <v>0.80414564736941008</v>
      </c>
      <c r="AN303" s="28">
        <f>[1]服务器生态!AA318</f>
        <v>0.23267436479718739</v>
      </c>
    </row>
    <row r="304" spans="11:40" x14ac:dyDescent="0.2">
      <c r="K304" s="26">
        <v>298</v>
      </c>
      <c r="L304" s="26">
        <f>[1]节奏总纲!AD301</f>
        <v>82.23373336929771</v>
      </c>
      <c r="M304" s="26">
        <f>[1]节奏总纲!AE301</f>
        <v>84.329427828837879</v>
      </c>
      <c r="N304" s="26">
        <f>[1]节奏总纲!AF301</f>
        <v>87.272992569806178</v>
      </c>
      <c r="O304" s="26">
        <f>[1]节奏总纲!AG301</f>
        <v>92.322187158371293</v>
      </c>
      <c r="P304" s="26">
        <f>[1]节奏总纲!AH301</f>
        <v>101.22730420874987</v>
      </c>
      <c r="AI304" s="27">
        <v>298</v>
      </c>
      <c r="AJ304" s="28">
        <f>[1]服务器生态!W319</f>
        <v>55.76886204809604</v>
      </c>
      <c r="AK304" s="28">
        <f>[1]服务器生态!X319</f>
        <v>54.988608650645332</v>
      </c>
      <c r="AL304" s="28">
        <f>[1]服务器生态!Y319</f>
        <v>4.4887361095428098</v>
      </c>
      <c r="AM304" s="28">
        <f>[1]服务器生态!Z319</f>
        <v>0.79857787335201558</v>
      </c>
      <c r="AN304" s="28">
        <f>[1]服务器生态!AA319</f>
        <v>0.23106336523874987</v>
      </c>
    </row>
    <row r="305" spans="11:40" x14ac:dyDescent="0.2">
      <c r="K305" s="26">
        <v>299</v>
      </c>
      <c r="L305" s="26">
        <f>[1]节奏总纲!AD302</f>
        <v>82.281112832649583</v>
      </c>
      <c r="M305" s="26">
        <f>[1]节奏总纲!AE302</f>
        <v>84.378300539638204</v>
      </c>
      <c r="N305" s="26">
        <f>[1]节奏总纲!AF302</f>
        <v>87.321764325467768</v>
      </c>
      <c r="O305" s="26">
        <f>[1]节奏总纲!AG302</f>
        <v>92.37229811571855</v>
      </c>
      <c r="P305" s="26">
        <f>[1]节奏总纲!AH302</f>
        <v>101.27695927989888</v>
      </c>
      <c r="AI305" s="27">
        <v>299</v>
      </c>
      <c r="AJ305" s="28">
        <f>[1]服务器生态!W320</f>
        <v>55.380035320669073</v>
      </c>
      <c r="AK305" s="28">
        <f>[1]服务器生态!X320</f>
        <v>54.605221936945611</v>
      </c>
      <c r="AL305" s="28">
        <f>[1]服务器生态!Y320</f>
        <v>4.4574401406515749</v>
      </c>
      <c r="AM305" s="28">
        <f>[1]服务器生态!Z320</f>
        <v>0.79301009933462097</v>
      </c>
      <c r="AN305" s="28">
        <f>[1]服务器生态!AA320</f>
        <v>0.22945236568031238</v>
      </c>
    </row>
    <row r="306" spans="11:40" x14ac:dyDescent="0.2">
      <c r="K306" s="26">
        <v>300</v>
      </c>
      <c r="L306" s="26">
        <f>[1]节奏总纲!AD303</f>
        <v>82.328492296001457</v>
      </c>
      <c r="M306" s="26">
        <f>[1]节奏总纲!AE303</f>
        <v>84.427173250438543</v>
      </c>
      <c r="N306" s="26">
        <f>[1]节奏总纲!AF303</f>
        <v>87.370536081129359</v>
      </c>
      <c r="O306" s="26">
        <f>[1]节奏总纲!AG303</f>
        <v>92.422409073065808</v>
      </c>
      <c r="P306" s="26">
        <f>[1]节奏总纲!AH303</f>
        <v>101.32661435104789</v>
      </c>
      <c r="AI306" s="27">
        <v>300</v>
      </c>
      <c r="AJ306" s="28">
        <f>[1]服务器生态!W321</f>
        <v>54.991208593242106</v>
      </c>
      <c r="AK306" s="28">
        <f>[1]服务器生态!X321</f>
        <v>54.221835223245897</v>
      </c>
      <c r="AL306" s="28">
        <f>[1]服务器生态!Y321</f>
        <v>4.42614417176034</v>
      </c>
      <c r="AM306" s="28">
        <f>[1]服务器生态!Z321</f>
        <v>0.78744232531722647</v>
      </c>
      <c r="AN306" s="28">
        <f>[1]服务器生态!AA321</f>
        <v>0.22784136612187486</v>
      </c>
    </row>
    <row r="307" spans="11:40" x14ac:dyDescent="0.2">
      <c r="K307" s="26">
        <v>301</v>
      </c>
      <c r="L307" s="26">
        <f>[1]节奏总纲!AD304</f>
        <v>82.375871759353331</v>
      </c>
      <c r="M307" s="26">
        <f>[1]节奏总纲!AE304</f>
        <v>84.476045961238867</v>
      </c>
      <c r="N307" s="26">
        <f>[1]节奏总纲!AF304</f>
        <v>87.419307836790964</v>
      </c>
      <c r="O307" s="26">
        <f>[1]节奏总纲!AG304</f>
        <v>92.472520030413079</v>
      </c>
      <c r="P307" s="26">
        <f>[1]节奏总纲!AH304</f>
        <v>101.3762694221969</v>
      </c>
      <c r="AI307" s="27">
        <v>301</v>
      </c>
      <c r="AJ307" s="28">
        <f>[1]服务器生态!W322</f>
        <v>54.670426543114864</v>
      </c>
      <c r="AK307" s="28">
        <f>[1]服务器生态!X322</f>
        <v>53.905541184443628</v>
      </c>
      <c r="AL307" s="28">
        <f>[1]服务器生态!Y322</f>
        <v>4.4003249974250709</v>
      </c>
      <c r="AM307" s="28">
        <f>[1]服务器生态!Z322</f>
        <v>0.78284891175287596</v>
      </c>
      <c r="AN307" s="28">
        <f>[1]服务器生态!AA322</f>
        <v>0.22651229148616392</v>
      </c>
    </row>
    <row r="308" spans="11:40" x14ac:dyDescent="0.2">
      <c r="K308" s="26">
        <v>302</v>
      </c>
      <c r="L308" s="26">
        <f>[1]节奏总纲!AD305</f>
        <v>82.423251222705204</v>
      </c>
      <c r="M308" s="26">
        <f>[1]节奏总纲!AE305</f>
        <v>84.524918672039192</v>
      </c>
      <c r="N308" s="26">
        <f>[1]节奏总纲!AF305</f>
        <v>87.468079592452554</v>
      </c>
      <c r="O308" s="26">
        <f>[1]节奏总纲!AG305</f>
        <v>92.522630987760337</v>
      </c>
      <c r="P308" s="26">
        <f>[1]节奏总纲!AH305</f>
        <v>101.42592449334592</v>
      </c>
      <c r="AI308" s="27">
        <v>302</v>
      </c>
      <c r="AJ308" s="28">
        <f>[1]服务器生态!W323</f>
        <v>54.349644492987615</v>
      </c>
      <c r="AK308" s="28">
        <f>[1]服务器生态!X323</f>
        <v>53.589247145641359</v>
      </c>
      <c r="AL308" s="28">
        <f>[1]服务器生态!Y323</f>
        <v>4.3745058230898026</v>
      </c>
      <c r="AM308" s="28">
        <f>[1]服务器生态!Z323</f>
        <v>0.77825549818852546</v>
      </c>
      <c r="AN308" s="28">
        <f>[1]服务器生态!AA323</f>
        <v>0.22518321685045301</v>
      </c>
    </row>
    <row r="309" spans="11:40" x14ac:dyDescent="0.2">
      <c r="K309" s="26">
        <v>303</v>
      </c>
      <c r="L309" s="26">
        <f>[1]节奏总纲!AD306</f>
        <v>82.470630686057078</v>
      </c>
      <c r="M309" s="26">
        <f>[1]节奏总纲!AE306</f>
        <v>84.573791382839516</v>
      </c>
      <c r="N309" s="26">
        <f>[1]节奏总纲!AF306</f>
        <v>87.516851348114145</v>
      </c>
      <c r="O309" s="26">
        <f>[1]节奏总纲!AG306</f>
        <v>92.572741945107595</v>
      </c>
      <c r="P309" s="26">
        <f>[1]节奏总纲!AH306</f>
        <v>101.47557956449492</v>
      </c>
      <c r="AI309" s="27">
        <v>303</v>
      </c>
      <c r="AJ309" s="28">
        <f>[1]服务器生态!W324</f>
        <v>54.02886244286038</v>
      </c>
      <c r="AK309" s="28">
        <f>[1]服务器生态!X324</f>
        <v>53.272953106839097</v>
      </c>
      <c r="AL309" s="28">
        <f>[1]服务器生态!Y324</f>
        <v>4.3486866487545344</v>
      </c>
      <c r="AM309" s="28">
        <f>[1]服务器生态!Z324</f>
        <v>0.77366208462417507</v>
      </c>
      <c r="AN309" s="28">
        <f>[1]服务器生态!AA324</f>
        <v>0.22385414221474209</v>
      </c>
    </row>
    <row r="310" spans="11:40" x14ac:dyDescent="0.2">
      <c r="K310" s="26">
        <v>304</v>
      </c>
      <c r="L310" s="26">
        <f>[1]节奏总纲!AD307</f>
        <v>82.518010149408951</v>
      </c>
      <c r="M310" s="26">
        <f>[1]节奏总纲!AE307</f>
        <v>84.622664093639855</v>
      </c>
      <c r="N310" s="26">
        <f>[1]节奏总纲!AF307</f>
        <v>87.565623103775735</v>
      </c>
      <c r="O310" s="26">
        <f>[1]节奏总纲!AG307</f>
        <v>92.622852902454852</v>
      </c>
      <c r="P310" s="26">
        <f>[1]节奏总纲!AH307</f>
        <v>101.52523463564394</v>
      </c>
      <c r="AI310" s="27">
        <v>304</v>
      </c>
      <c r="AJ310" s="28">
        <f>[1]服务器生态!W325</f>
        <v>53.708080392733123</v>
      </c>
      <c r="AK310" s="28">
        <f>[1]服务器生态!X325</f>
        <v>52.956659068036821</v>
      </c>
      <c r="AL310" s="28">
        <f>[1]服务器生态!Y325</f>
        <v>4.3228674744192652</v>
      </c>
      <c r="AM310" s="28">
        <f>[1]服务器生态!Z325</f>
        <v>0.76906867105982446</v>
      </c>
      <c r="AN310" s="28">
        <f>[1]服务器生态!AA325</f>
        <v>0.22252506757903112</v>
      </c>
    </row>
    <row r="311" spans="11:40" x14ac:dyDescent="0.2">
      <c r="K311" s="26">
        <v>305</v>
      </c>
      <c r="L311" s="26">
        <f>[1]节奏总纲!AD308</f>
        <v>82.565389612760825</v>
      </c>
      <c r="M311" s="26">
        <f>[1]节奏总纲!AE308</f>
        <v>84.67153680444018</v>
      </c>
      <c r="N311" s="26">
        <f>[1]节奏总纲!AF308</f>
        <v>87.61439485943734</v>
      </c>
      <c r="O311" s="26">
        <f>[1]节奏总纲!AG308</f>
        <v>92.672963859802124</v>
      </c>
      <c r="P311" s="26">
        <f>[1]节奏总纲!AH308</f>
        <v>101.57488970679294</v>
      </c>
      <c r="AI311" s="27">
        <v>305</v>
      </c>
      <c r="AJ311" s="28">
        <f>[1]服务器生态!W326</f>
        <v>53.387298342605881</v>
      </c>
      <c r="AK311" s="28">
        <f>[1]服务器生态!X326</f>
        <v>52.640365029234559</v>
      </c>
      <c r="AL311" s="28">
        <f>[1]服务器生态!Y326</f>
        <v>4.297048300083997</v>
      </c>
      <c r="AM311" s="28">
        <f>[1]服务器生态!Z326</f>
        <v>0.76447525749547396</v>
      </c>
      <c r="AN311" s="28">
        <f>[1]服务器生态!AA326</f>
        <v>0.22119599294332018</v>
      </c>
    </row>
    <row r="312" spans="11:40" x14ac:dyDescent="0.2">
      <c r="K312" s="26">
        <v>306</v>
      </c>
      <c r="L312" s="26">
        <f>[1]节奏总纲!AD309</f>
        <v>82.612769076112698</v>
      </c>
      <c r="M312" s="26">
        <f>[1]节奏总纲!AE309</f>
        <v>84.720409515240505</v>
      </c>
      <c r="N312" s="26">
        <f>[1]节奏总纲!AF309</f>
        <v>87.66316661509893</v>
      </c>
      <c r="O312" s="26">
        <f>[1]节奏总纲!AG309</f>
        <v>92.723074817149381</v>
      </c>
      <c r="P312" s="26">
        <f>[1]节奏总纲!AH309</f>
        <v>101.62454477794196</v>
      </c>
      <c r="AI312" s="27">
        <v>306</v>
      </c>
      <c r="AJ312" s="28">
        <f>[1]服务器生态!W327</f>
        <v>53.066516292478632</v>
      </c>
      <c r="AK312" s="28">
        <f>[1]服务器生态!X327</f>
        <v>52.32407099043229</v>
      </c>
      <c r="AL312" s="28">
        <f>[1]服务器生态!Y327</f>
        <v>4.2712291257487278</v>
      </c>
      <c r="AM312" s="28">
        <f>[1]服务器生态!Z327</f>
        <v>0.75988184393112357</v>
      </c>
      <c r="AN312" s="28">
        <f>[1]服务器生态!AA327</f>
        <v>0.21986691830760924</v>
      </c>
    </row>
    <row r="313" spans="11:40" x14ac:dyDescent="0.2">
      <c r="K313" s="26">
        <v>307</v>
      </c>
      <c r="L313" s="26">
        <f>[1]节奏总纲!AD310</f>
        <v>82.660148539464572</v>
      </c>
      <c r="M313" s="26">
        <f>[1]节奏总纲!AE310</f>
        <v>84.769282226040829</v>
      </c>
      <c r="N313" s="26">
        <f>[1]节奏总纲!AF310</f>
        <v>87.711938370760521</v>
      </c>
      <c r="O313" s="26">
        <f>[1]节奏总纲!AG310</f>
        <v>92.773185774496639</v>
      </c>
      <c r="P313" s="26">
        <f>[1]节奏总纲!AH310</f>
        <v>101.67419984909097</v>
      </c>
      <c r="AI313" s="27">
        <v>307</v>
      </c>
      <c r="AJ313" s="28">
        <f>[1]服务器生态!W328</f>
        <v>52.745734242351382</v>
      </c>
      <c r="AK313" s="28">
        <f>[1]服务器生态!X328</f>
        <v>52.007776951630014</v>
      </c>
      <c r="AL313" s="28">
        <f>[1]服务器生态!Y328</f>
        <v>4.2454099514134587</v>
      </c>
      <c r="AM313" s="28">
        <f>[1]服务器生态!Z328</f>
        <v>0.75528843036677296</v>
      </c>
      <c r="AN313" s="28">
        <f>[1]服务器生态!AA328</f>
        <v>0.2185378436718983</v>
      </c>
    </row>
    <row r="314" spans="11:40" x14ac:dyDescent="0.2">
      <c r="K314" s="26">
        <v>308</v>
      </c>
      <c r="L314" s="26">
        <f>[1]节奏总纲!AD311</f>
        <v>82.707528002816446</v>
      </c>
      <c r="M314" s="26">
        <f>[1]节奏总纲!AE311</f>
        <v>84.818154936841154</v>
      </c>
      <c r="N314" s="26">
        <f>[1]节奏总纲!AF311</f>
        <v>87.760710126422126</v>
      </c>
      <c r="O314" s="26">
        <f>[1]节奏总纲!AG311</f>
        <v>92.823296731843911</v>
      </c>
      <c r="P314" s="26">
        <f>[1]节奏总纲!AH311</f>
        <v>101.72385492023999</v>
      </c>
      <c r="AI314" s="27">
        <v>308</v>
      </c>
      <c r="AJ314" s="28">
        <f>[1]服务器生态!W329</f>
        <v>52.424952192224147</v>
      </c>
      <c r="AK314" s="28">
        <f>[1]服务器生态!X329</f>
        <v>51.691482912827752</v>
      </c>
      <c r="AL314" s="28">
        <f>[1]服务器生态!Y329</f>
        <v>4.2195907770781913</v>
      </c>
      <c r="AM314" s="28">
        <f>[1]服务器生态!Z329</f>
        <v>0.75069501680242257</v>
      </c>
      <c r="AN314" s="28">
        <f>[1]服务器生态!AA329</f>
        <v>0.21720876903618738</v>
      </c>
    </row>
    <row r="315" spans="11:40" x14ac:dyDescent="0.2">
      <c r="K315" s="26">
        <v>309</v>
      </c>
      <c r="L315" s="26">
        <f>[1]节奏总纲!AD312</f>
        <v>82.754907466168319</v>
      </c>
      <c r="M315" s="26">
        <f>[1]节奏总纲!AE312</f>
        <v>84.867027647641493</v>
      </c>
      <c r="N315" s="26">
        <f>[1]节奏总纲!AF312</f>
        <v>87.809481882083716</v>
      </c>
      <c r="O315" s="26">
        <f>[1]节奏总纲!AG312</f>
        <v>92.873407689191168</v>
      </c>
      <c r="P315" s="26">
        <f>[1]节奏总纲!AH312</f>
        <v>101.77350999138899</v>
      </c>
      <c r="AI315" s="27">
        <v>309</v>
      </c>
      <c r="AJ315" s="28">
        <f>[1]服务器生态!W330</f>
        <v>52.104170142096898</v>
      </c>
      <c r="AK315" s="28">
        <f>[1]服务器生态!X330</f>
        <v>51.37518887402549</v>
      </c>
      <c r="AL315" s="28">
        <f>[1]服务器生态!Y330</f>
        <v>4.1937716027429222</v>
      </c>
      <c r="AM315" s="28">
        <f>[1]服务器生态!Z330</f>
        <v>0.74610160323807206</v>
      </c>
      <c r="AN315" s="28">
        <f>[1]服务器生态!AA330</f>
        <v>0.21587969440047644</v>
      </c>
    </row>
    <row r="316" spans="11:40" x14ac:dyDescent="0.2">
      <c r="K316" s="26">
        <v>310</v>
      </c>
      <c r="L316" s="26">
        <f>[1]节奏总纲!AD313</f>
        <v>82.802286929520193</v>
      </c>
      <c r="M316" s="26">
        <f>[1]节奏总纲!AE313</f>
        <v>84.915900358441817</v>
      </c>
      <c r="N316" s="26">
        <f>[1]节奏总纲!AF313</f>
        <v>87.858253637745307</v>
      </c>
      <c r="O316" s="26">
        <f>[1]节奏总纲!AG313</f>
        <v>92.923518646538426</v>
      </c>
      <c r="P316" s="26">
        <f>[1]节奏总纲!AH313</f>
        <v>101.82316506253801</v>
      </c>
      <c r="AI316" s="27">
        <v>310</v>
      </c>
      <c r="AJ316" s="28">
        <f>[1]服务器生态!W331</f>
        <v>51.783388091969655</v>
      </c>
      <c r="AK316" s="28">
        <f>[1]服务器生态!X331</f>
        <v>51.058894835223221</v>
      </c>
      <c r="AL316" s="28">
        <f>[1]服务器生态!Y331</f>
        <v>4.1679524284076539</v>
      </c>
      <c r="AM316" s="28">
        <f>[1]服务器生态!Z331</f>
        <v>0.74150818967372156</v>
      </c>
      <c r="AN316" s="28">
        <f>[1]服务器生态!AA331</f>
        <v>0.2145506197647655</v>
      </c>
    </row>
    <row r="317" spans="11:40" x14ac:dyDescent="0.2">
      <c r="K317" s="26">
        <v>311</v>
      </c>
      <c r="L317" s="26">
        <f>[1]节奏总纲!AD314</f>
        <v>82.849666392872066</v>
      </c>
      <c r="M317" s="26">
        <f>[1]节奏总纲!AE314</f>
        <v>84.964773069242142</v>
      </c>
      <c r="N317" s="26">
        <f>[1]节奏总纲!AF314</f>
        <v>87.907025393406897</v>
      </c>
      <c r="O317" s="26">
        <f>[1]节奏总纲!AG314</f>
        <v>92.973629603885698</v>
      </c>
      <c r="P317" s="26">
        <f>[1]节奏总纲!AH314</f>
        <v>101.87282013368701</v>
      </c>
      <c r="AI317" s="27">
        <v>311</v>
      </c>
      <c r="AJ317" s="28">
        <f>[1]服务器生态!W332</f>
        <v>51.462606041842399</v>
      </c>
      <c r="AK317" s="28">
        <f>[1]服务器生态!X332</f>
        <v>50.742600796420945</v>
      </c>
      <c r="AL317" s="28">
        <f>[1]服务器生态!Y332</f>
        <v>4.1421332540723848</v>
      </c>
      <c r="AM317" s="28">
        <f>[1]服务器生态!Z332</f>
        <v>0.73691477610937095</v>
      </c>
      <c r="AN317" s="28">
        <f>[1]服务器生态!AA332</f>
        <v>0.21322154512905453</v>
      </c>
    </row>
    <row r="318" spans="11:40" x14ac:dyDescent="0.2">
      <c r="K318" s="26">
        <v>312</v>
      </c>
      <c r="L318" s="26">
        <f>[1]节奏总纲!AD315</f>
        <v>82.89704585622394</v>
      </c>
      <c r="M318" s="26">
        <f>[1]节奏总纲!AE315</f>
        <v>85.012531647506819</v>
      </c>
      <c r="N318" s="26">
        <f>[1]节奏总纲!AF315</f>
        <v>87.955797149068502</v>
      </c>
      <c r="O318" s="26">
        <f>[1]节奏总纲!AG315</f>
        <v>93.022367647203353</v>
      </c>
      <c r="P318" s="26">
        <f>[1]节奏总纲!AH315</f>
        <v>101.92247520483603</v>
      </c>
      <c r="AI318" s="27">
        <v>312</v>
      </c>
      <c r="AJ318" s="28">
        <f>[1]服务器生态!W333</f>
        <v>51.141823991715157</v>
      </c>
      <c r="AK318" s="28">
        <f>[1]服务器生态!X333</f>
        <v>50.426306757618676</v>
      </c>
      <c r="AL318" s="28">
        <f>[1]服务器生态!Y333</f>
        <v>4.1163140797371156</v>
      </c>
      <c r="AM318" s="28">
        <f>[1]服务器生态!Z333</f>
        <v>0.73232136254502056</v>
      </c>
      <c r="AN318" s="28">
        <f>[1]服务器生态!AA333</f>
        <v>0.21189247049334362</v>
      </c>
    </row>
    <row r="319" spans="11:40" x14ac:dyDescent="0.2">
      <c r="K319" s="26">
        <v>313</v>
      </c>
      <c r="L319" s="26">
        <f>[1]节奏总纲!AD316</f>
        <v>82.944425319575814</v>
      </c>
      <c r="M319" s="26">
        <f>[1]节奏总纲!AE316</f>
        <v>85.057414064088832</v>
      </c>
      <c r="N319" s="26">
        <f>[1]节奏总纲!AF316</f>
        <v>88.004756197276762</v>
      </c>
      <c r="O319" s="26">
        <f>[1]节奏总纲!AG316</f>
        <v>93.069580693431178</v>
      </c>
      <c r="P319" s="26">
        <f>[1]节奏总纲!AH316</f>
        <v>101.97213027598504</v>
      </c>
      <c r="AI319" s="27">
        <v>313</v>
      </c>
      <c r="AJ319" s="28">
        <f>[1]服务器生态!W334</f>
        <v>50.821041941587914</v>
      </c>
      <c r="AK319" s="28">
        <f>[1]服务器生态!X334</f>
        <v>50.110012718816414</v>
      </c>
      <c r="AL319" s="28">
        <f>[1]服务器生态!Y334</f>
        <v>4.0904949054018473</v>
      </c>
      <c r="AM319" s="28">
        <f>[1]服务器生态!Z334</f>
        <v>0.72772794898067017</v>
      </c>
      <c r="AN319" s="28">
        <f>[1]服务器生态!AA334</f>
        <v>0.2105633958576327</v>
      </c>
    </row>
    <row r="320" spans="11:40" x14ac:dyDescent="0.2">
      <c r="K320" s="26">
        <v>314</v>
      </c>
      <c r="L320" s="26">
        <f>[1]节奏总纲!AD317</f>
        <v>82.991804782927687</v>
      </c>
      <c r="M320" s="26">
        <f>[1]节奏总纲!AE317</f>
        <v>85.10229648067083</v>
      </c>
      <c r="N320" s="26">
        <f>[1]节奏总纲!AF317</f>
        <v>88.05552724748766</v>
      </c>
      <c r="O320" s="26">
        <f>[1]节奏总纲!AG317</f>
        <v>93.116793739659002</v>
      </c>
      <c r="P320" s="26">
        <f>[1]节奏总纲!AH317</f>
        <v>102.01969836502204</v>
      </c>
      <c r="AI320" s="27">
        <v>314</v>
      </c>
      <c r="AJ320" s="28">
        <f>[1]服务器生态!W335</f>
        <v>50.500259891460672</v>
      </c>
      <c r="AK320" s="28">
        <f>[1]服务器生态!X335</f>
        <v>49.793718680014152</v>
      </c>
      <c r="AL320" s="28">
        <f>[1]服务器生态!Y335</f>
        <v>4.0646757310665791</v>
      </c>
      <c r="AM320" s="28">
        <f>[1]服务器生态!Z335</f>
        <v>0.72313453541631967</v>
      </c>
      <c r="AN320" s="28">
        <f>[1]服务器生态!AA335</f>
        <v>0.20923432122192176</v>
      </c>
    </row>
    <row r="321" spans="11:40" x14ac:dyDescent="0.2">
      <c r="K321" s="26">
        <v>315</v>
      </c>
      <c r="L321" s="26">
        <f>[1]节奏总纲!AD318</f>
        <v>83.03656019452734</v>
      </c>
      <c r="M321" s="26">
        <f>[1]节奏总纲!AE318</f>
        <v>85.147178897252829</v>
      </c>
      <c r="N321" s="26">
        <f>[1]节奏总纲!AF318</f>
        <v>88.106298297698572</v>
      </c>
      <c r="O321" s="26">
        <f>[1]节奏总纲!AG318</f>
        <v>93.164006785886826</v>
      </c>
      <c r="P321" s="26">
        <f>[1]节奏总纲!AH318</f>
        <v>102.06459660376342</v>
      </c>
      <c r="AI321" s="27">
        <v>315</v>
      </c>
      <c r="AJ321" s="28">
        <f>[1]服务器生态!W336</f>
        <v>50.179477841333416</v>
      </c>
      <c r="AK321" s="28">
        <f>[1]服务器生态!X336</f>
        <v>49.477424641211876</v>
      </c>
      <c r="AL321" s="28">
        <f>[1]服务器生态!Y336</f>
        <v>4.0388565567313099</v>
      </c>
      <c r="AM321" s="28">
        <f>[1]服务器生态!Z336</f>
        <v>0.71854112185196906</v>
      </c>
      <c r="AN321" s="28">
        <f>[1]服务器生态!AA336</f>
        <v>0.20790524658621079</v>
      </c>
    </row>
    <row r="322" spans="11:40" x14ac:dyDescent="0.2">
      <c r="K322" s="26">
        <v>316</v>
      </c>
      <c r="L322" s="26">
        <f>[1]节奏总纲!AD319</f>
        <v>83.080766796955942</v>
      </c>
      <c r="M322" s="26">
        <f>[1]节奏总纲!AE319</f>
        <v>85.192061313834827</v>
      </c>
      <c r="N322" s="26">
        <f>[1]节奏总纲!AF319</f>
        <v>88.15706934790947</v>
      </c>
      <c r="O322" s="26">
        <f>[1]节奏总纲!AG319</f>
        <v>93.211219832114651</v>
      </c>
      <c r="P322" s="26">
        <f>[1]节奏总纲!AH319</f>
        <v>102.1094948425048</v>
      </c>
      <c r="AI322" s="27">
        <v>316</v>
      </c>
      <c r="AJ322" s="28">
        <f>[1]服务器生态!W337</f>
        <v>49.858695791206173</v>
      </c>
      <c r="AK322" s="28">
        <f>[1]服务器生态!X337</f>
        <v>49.161130602409607</v>
      </c>
      <c r="AL322" s="28">
        <f>[1]服务器生态!Y337</f>
        <v>4.0130373823960417</v>
      </c>
      <c r="AM322" s="28">
        <f>[1]服务器生态!Z337</f>
        <v>0.71394770828761855</v>
      </c>
      <c r="AN322" s="28">
        <f>[1]服务器生态!AA337</f>
        <v>0.20657617195049985</v>
      </c>
    </row>
    <row r="323" spans="11:40" x14ac:dyDescent="0.2">
      <c r="K323" s="26">
        <v>317</v>
      </c>
      <c r="L323" s="26">
        <f>[1]节奏总纲!AD320</f>
        <v>83.124973399384558</v>
      </c>
      <c r="M323" s="26">
        <f>[1]节奏总纲!AE320</f>
        <v>85.236943730416826</v>
      </c>
      <c r="N323" s="26">
        <f>[1]节奏总纲!AF320</f>
        <v>88.207840398120382</v>
      </c>
      <c r="O323" s="26">
        <f>[1]节奏总纲!AG320</f>
        <v>93.258432878342475</v>
      </c>
      <c r="P323" s="26">
        <f>[1]节奏总纲!AH320</f>
        <v>102.15439308124618</v>
      </c>
      <c r="AI323" s="27">
        <v>317</v>
      </c>
      <c r="AJ323" s="28">
        <f>[1]服务器生态!W338</f>
        <v>49.537913741078938</v>
      </c>
      <c r="AK323" s="28">
        <f>[1]服务器生态!X338</f>
        <v>48.844836563607345</v>
      </c>
      <c r="AL323" s="28">
        <f>[1]服务器生态!Y338</f>
        <v>3.987218208060773</v>
      </c>
      <c r="AM323" s="28">
        <f>[1]服务器生态!Z338</f>
        <v>0.70935429472326816</v>
      </c>
      <c r="AN323" s="28">
        <f>[1]服务器生态!AA338</f>
        <v>0.20524709731478896</v>
      </c>
    </row>
    <row r="324" spans="11:40" x14ac:dyDescent="0.2">
      <c r="K324" s="26">
        <v>318</v>
      </c>
      <c r="L324" s="26">
        <f>[1]节奏总纲!AD321</f>
        <v>83.16918000181316</v>
      </c>
      <c r="M324" s="26">
        <f>[1]节奏总纲!AE321</f>
        <v>85.281826146998839</v>
      </c>
      <c r="N324" s="26">
        <f>[1]节奏总纲!AF321</f>
        <v>88.258611448331294</v>
      </c>
      <c r="O324" s="26">
        <f>[1]节奏总纲!AG321</f>
        <v>93.3056459245703</v>
      </c>
      <c r="P324" s="26">
        <f>[1]节奏总纲!AH321</f>
        <v>102.19929131998755</v>
      </c>
      <c r="AI324" s="27">
        <v>318</v>
      </c>
      <c r="AJ324" s="28">
        <f>[1]服务器生态!W339</f>
        <v>49.217131690951689</v>
      </c>
      <c r="AK324" s="28">
        <f>[1]服务器生态!X339</f>
        <v>48.528542524805076</v>
      </c>
      <c r="AL324" s="28">
        <f>[1]服务器生态!Y339</f>
        <v>3.9613990337255047</v>
      </c>
      <c r="AM324" s="28">
        <f>[1]服务器生态!Z339</f>
        <v>0.70476088115891766</v>
      </c>
      <c r="AN324" s="28">
        <f>[1]服务器生态!AA339</f>
        <v>0.20391802267907802</v>
      </c>
    </row>
    <row r="325" spans="11:40" x14ac:dyDescent="0.2">
      <c r="K325" s="26">
        <v>319</v>
      </c>
      <c r="L325" s="26">
        <f>[1]节奏总纲!AD322</f>
        <v>83.213386604241776</v>
      </c>
      <c r="M325" s="26">
        <f>[1]节奏总纲!AE322</f>
        <v>85.326708563580837</v>
      </c>
      <c r="N325" s="26">
        <f>[1]节奏总纲!AF322</f>
        <v>88.309382498542192</v>
      </c>
      <c r="O325" s="26">
        <f>[1]节奏总纲!AG322</f>
        <v>93.352858970798124</v>
      </c>
      <c r="P325" s="26">
        <f>[1]节奏总纲!AH322</f>
        <v>102.24418955872893</v>
      </c>
      <c r="AI325" s="27">
        <v>319</v>
      </c>
      <c r="AJ325" s="28">
        <f>[1]服务器生态!W340</f>
        <v>48.89634964082444</v>
      </c>
      <c r="AK325" s="28">
        <f>[1]服务器生态!X340</f>
        <v>48.212248486002807</v>
      </c>
      <c r="AL325" s="28">
        <f>[1]服务器生态!Y340</f>
        <v>3.9355798593902356</v>
      </c>
      <c r="AM325" s="28">
        <f>[1]服务器生态!Z340</f>
        <v>0.70016746759456716</v>
      </c>
      <c r="AN325" s="28">
        <f>[1]服务器生态!AA340</f>
        <v>0.20258894804336705</v>
      </c>
    </row>
    <row r="326" spans="11:40" x14ac:dyDescent="0.2">
      <c r="K326" s="26">
        <v>320</v>
      </c>
      <c r="L326" s="26">
        <f>[1]节奏总纲!AD323</f>
        <v>83.257593206670379</v>
      </c>
      <c r="M326" s="26">
        <f>[1]节奏总纲!AE323</f>
        <v>85.371590980162836</v>
      </c>
      <c r="N326" s="26">
        <f>[1]节奏总纲!AF323</f>
        <v>88.360153548753104</v>
      </c>
      <c r="O326" s="26">
        <f>[1]节奏总纲!AG323</f>
        <v>93.400072017025948</v>
      </c>
      <c r="P326" s="26">
        <f>[1]节奏总纲!AH323</f>
        <v>102.28908779747032</v>
      </c>
      <c r="AI326" s="27">
        <v>320</v>
      </c>
      <c r="AJ326" s="28">
        <f>[1]服务器生态!W341</f>
        <v>48.57556759069719</v>
      </c>
      <c r="AK326" s="28">
        <f>[1]服务器生态!X341</f>
        <v>47.895954447200538</v>
      </c>
      <c r="AL326" s="28">
        <f>[1]服务器生态!Y341</f>
        <v>3.9097606850549669</v>
      </c>
      <c r="AM326" s="28">
        <f>[1]服务器生态!Z341</f>
        <v>0.69557405403021666</v>
      </c>
      <c r="AN326" s="28">
        <f>[1]服务器生态!AA341</f>
        <v>0.20125987340765611</v>
      </c>
    </row>
    <row r="327" spans="11:40" x14ac:dyDescent="0.2">
      <c r="K327" s="26">
        <v>321</v>
      </c>
      <c r="L327" s="26">
        <f>[1]节奏总纲!AD324</f>
        <v>83.301799809098995</v>
      </c>
      <c r="M327" s="26">
        <f>[1]节奏总纲!AE324</f>
        <v>85.416473396744834</v>
      </c>
      <c r="N327" s="26">
        <f>[1]节奏总纲!AF324</f>
        <v>88.410924598964016</v>
      </c>
      <c r="O327" s="26">
        <f>[1]节奏总纲!AG324</f>
        <v>93.447285063253773</v>
      </c>
      <c r="P327" s="26">
        <f>[1]节奏总纲!AH324</f>
        <v>102.3339860362117</v>
      </c>
      <c r="AI327" s="27">
        <v>321</v>
      </c>
      <c r="AJ327" s="28">
        <f>[1]服务器生态!W342</f>
        <v>48.254785540569948</v>
      </c>
      <c r="AK327" s="28">
        <f>[1]服务器生态!X342</f>
        <v>47.579660408398269</v>
      </c>
      <c r="AL327" s="28">
        <f>[1]服务器生态!Y342</f>
        <v>3.8839415107196982</v>
      </c>
      <c r="AM327" s="28">
        <f>[1]服务器生态!Z342</f>
        <v>0.69098064046586616</v>
      </c>
      <c r="AN327" s="28">
        <f>[1]服务器生态!AA342</f>
        <v>0.1999307987719452</v>
      </c>
    </row>
    <row r="328" spans="11:40" x14ac:dyDescent="0.2">
      <c r="K328" s="26">
        <v>322</v>
      </c>
      <c r="L328" s="26">
        <f>[1]节奏总纲!AD325</f>
        <v>83.346006411527597</v>
      </c>
      <c r="M328" s="26">
        <f>[1]节奏总纲!AE325</f>
        <v>85.461355813326847</v>
      </c>
      <c r="N328" s="26">
        <f>[1]节奏总纲!AF325</f>
        <v>88.461695649174914</v>
      </c>
      <c r="O328" s="26">
        <f>[1]节奏总纲!AG325</f>
        <v>93.494498109481597</v>
      </c>
      <c r="P328" s="26">
        <f>[1]节奏总纲!AH325</f>
        <v>102.37888427495307</v>
      </c>
      <c r="AI328" s="27">
        <v>322</v>
      </c>
      <c r="AJ328" s="28">
        <f>[1]服务器生态!W343</f>
        <v>47.934003490442706</v>
      </c>
      <c r="AK328" s="28">
        <f>[1]服务器生态!X343</f>
        <v>47.263366369596007</v>
      </c>
      <c r="AL328" s="28">
        <f>[1]服务器生态!Y343</f>
        <v>3.8581223363844299</v>
      </c>
      <c r="AM328" s="28">
        <f>[1]服务器生态!Z343</f>
        <v>0.68638722690151577</v>
      </c>
      <c r="AN328" s="28">
        <f>[1]服务器生态!AA343</f>
        <v>0.19860172413623428</v>
      </c>
    </row>
    <row r="329" spans="11:40" x14ac:dyDescent="0.2">
      <c r="K329" s="26">
        <v>323</v>
      </c>
      <c r="L329" s="26">
        <f>[1]节奏总纲!AD326</f>
        <v>83.390213013956213</v>
      </c>
      <c r="M329" s="26">
        <f>[1]节奏总纲!AE326</f>
        <v>85.506238229908845</v>
      </c>
      <c r="N329" s="26">
        <f>[1]节奏总纲!AF326</f>
        <v>88.512466699385826</v>
      </c>
      <c r="O329" s="26">
        <f>[1]节奏总纲!AG326</f>
        <v>93.541711155709422</v>
      </c>
      <c r="P329" s="26">
        <f>[1]节奏总纲!AH326</f>
        <v>102.42378251369445</v>
      </c>
      <c r="AI329" s="27">
        <v>323</v>
      </c>
      <c r="AJ329" s="28">
        <f>[1]服务器生态!W344</f>
        <v>47.613221440315456</v>
      </c>
      <c r="AK329" s="28">
        <f>[1]服务器生态!X344</f>
        <v>46.947072330793738</v>
      </c>
      <c r="AL329" s="28">
        <f>[1]服务器生态!Y344</f>
        <v>3.8323031620491608</v>
      </c>
      <c r="AM329" s="28">
        <f>[1]服务器生态!Z344</f>
        <v>0.68179381333716516</v>
      </c>
      <c r="AN329" s="28">
        <f>[1]服务器生态!AA344</f>
        <v>0.19727264950052331</v>
      </c>
    </row>
    <row r="330" spans="11:40" x14ac:dyDescent="0.2">
      <c r="K330" s="26">
        <v>324</v>
      </c>
      <c r="L330" s="26">
        <f>[1]节奏总纲!AD327</f>
        <v>83.434419616384815</v>
      </c>
      <c r="M330" s="26">
        <f>[1]节奏总纲!AE327</f>
        <v>85.551120646490844</v>
      </c>
      <c r="N330" s="26">
        <f>[1]节奏总纲!AF327</f>
        <v>88.563237749596723</v>
      </c>
      <c r="O330" s="26">
        <f>[1]节奏总纲!AG327</f>
        <v>93.588924201937246</v>
      </c>
      <c r="P330" s="26">
        <f>[1]节奏总纲!AH327</f>
        <v>102.46868075243583</v>
      </c>
      <c r="AI330" s="27">
        <v>324</v>
      </c>
      <c r="AJ330" s="28">
        <f>[1]服务器生态!W345</f>
        <v>47.292439390188207</v>
      </c>
      <c r="AK330" s="28">
        <f>[1]服务器生态!X345</f>
        <v>46.630778291991469</v>
      </c>
      <c r="AL330" s="28">
        <f>[1]服务器生态!Y345</f>
        <v>3.8064839877138921</v>
      </c>
      <c r="AM330" s="28">
        <f>[1]服务器生态!Z345</f>
        <v>0.67720039977281465</v>
      </c>
      <c r="AN330" s="28">
        <f>[1]服务器生态!AA345</f>
        <v>0.19594357486481237</v>
      </c>
    </row>
    <row r="331" spans="11:40" x14ac:dyDescent="0.2">
      <c r="K331" s="26">
        <v>325</v>
      </c>
      <c r="L331" s="26">
        <f>[1]节奏总纲!AD328</f>
        <v>83.478626218813432</v>
      </c>
      <c r="M331" s="26">
        <f>[1]节奏总纲!AE328</f>
        <v>85.596003063072843</v>
      </c>
      <c r="N331" s="26">
        <f>[1]节奏总纲!AF328</f>
        <v>88.614008799807635</v>
      </c>
      <c r="O331" s="26">
        <f>[1]节奏总纲!AG328</f>
        <v>93.63613724816507</v>
      </c>
      <c r="P331" s="26">
        <f>[1]节奏总纲!AH328</f>
        <v>102.51357899117721</v>
      </c>
      <c r="AI331" s="27">
        <v>325</v>
      </c>
      <c r="AJ331" s="28">
        <f>[1]服务器生态!W346</f>
        <v>46.971657340060965</v>
      </c>
      <c r="AK331" s="28">
        <f>[1]服务器生态!X346</f>
        <v>46.3144842531892</v>
      </c>
      <c r="AL331" s="28">
        <f>[1]服务器生态!Y346</f>
        <v>3.7806648133786234</v>
      </c>
      <c r="AM331" s="28">
        <f>[1]服务器生态!Z346</f>
        <v>0.67260698620846426</v>
      </c>
      <c r="AN331" s="28">
        <f>[1]服务器生态!AA346</f>
        <v>0.19461450022910143</v>
      </c>
    </row>
    <row r="332" spans="11:40" x14ac:dyDescent="0.2">
      <c r="K332" s="26">
        <v>326</v>
      </c>
      <c r="L332" s="26">
        <f>[1]节奏总纲!AD329</f>
        <v>83.522832821242034</v>
      </c>
      <c r="M332" s="26">
        <f>[1]节奏总纲!AE329</f>
        <v>85.640885479654855</v>
      </c>
      <c r="N332" s="26">
        <f>[1]节奏总纲!AF329</f>
        <v>88.664779850018547</v>
      </c>
      <c r="O332" s="26">
        <f>[1]节奏总纲!AG329</f>
        <v>93.683350294392895</v>
      </c>
      <c r="P332" s="26">
        <f>[1]节奏总纲!AH329</f>
        <v>102.55847722991859</v>
      </c>
      <c r="AI332" s="27">
        <v>326</v>
      </c>
      <c r="AJ332" s="28">
        <f>[1]服务器生态!W347</f>
        <v>46.650875289933715</v>
      </c>
      <c r="AK332" s="28">
        <f>[1]服务器生态!X347</f>
        <v>45.998190214386923</v>
      </c>
      <c r="AL332" s="28">
        <f>[1]服务器生态!Y347</f>
        <v>3.7548456390433542</v>
      </c>
      <c r="AM332" s="28">
        <f>[1]服务器生态!Z347</f>
        <v>0.66801357264411365</v>
      </c>
      <c r="AN332" s="28">
        <f>[1]服务器生态!AA347</f>
        <v>0.19328542559339049</v>
      </c>
    </row>
    <row r="333" spans="11:40" x14ac:dyDescent="0.2">
      <c r="K333" s="26">
        <v>327</v>
      </c>
      <c r="L333" s="26">
        <f>[1]节奏总纲!AD330</f>
        <v>83.56703942367065</v>
      </c>
      <c r="M333" s="26">
        <f>[1]节奏总纲!AE330</f>
        <v>85.685767896236854</v>
      </c>
      <c r="N333" s="26">
        <f>[1]节奏总纲!AF330</f>
        <v>88.715550900229445</v>
      </c>
      <c r="O333" s="26">
        <f>[1]节奏总纲!AG330</f>
        <v>93.730563340620719</v>
      </c>
      <c r="P333" s="26">
        <f>[1]节奏总纲!AH330</f>
        <v>102.60337546865996</v>
      </c>
      <c r="AI333" s="27">
        <v>327</v>
      </c>
      <c r="AJ333" s="28">
        <f>[1]服务器生态!W348</f>
        <v>46.330093239806473</v>
      </c>
      <c r="AK333" s="28">
        <f>[1]服务器生态!X348</f>
        <v>45.681896175584662</v>
      </c>
      <c r="AL333" s="28">
        <f>[1]服务器生态!Y348</f>
        <v>3.7290264647080864</v>
      </c>
      <c r="AM333" s="28">
        <f>[1]服务器生态!Z348</f>
        <v>0.66342015907976326</v>
      </c>
      <c r="AN333" s="28">
        <f>[1]服务器生态!AA348</f>
        <v>0.19195635095767957</v>
      </c>
    </row>
    <row r="334" spans="11:40" x14ac:dyDescent="0.2">
      <c r="K334" s="26">
        <v>328</v>
      </c>
      <c r="L334" s="26">
        <f>[1]节奏总纲!AD331</f>
        <v>83.611246026099252</v>
      </c>
      <c r="M334" s="26">
        <f>[1]节奏总纲!AE331</f>
        <v>85.730650312818852</v>
      </c>
      <c r="N334" s="26">
        <f>[1]节奏总纲!AF331</f>
        <v>88.766321950440357</v>
      </c>
      <c r="O334" s="26">
        <f>[1]节奏总纲!AG331</f>
        <v>93.777776386848544</v>
      </c>
      <c r="P334" s="26">
        <f>[1]节奏总纲!AH331</f>
        <v>102.64827370740134</v>
      </c>
      <c r="AI334" s="27">
        <v>328</v>
      </c>
      <c r="AJ334" s="28">
        <f>[1]服务器生态!W349</f>
        <v>46.009311189679231</v>
      </c>
      <c r="AK334" s="28">
        <f>[1]服务器生态!X349</f>
        <v>45.3656021367824</v>
      </c>
      <c r="AL334" s="28">
        <f>[1]服务器生态!Y349</f>
        <v>3.7032072903728177</v>
      </c>
      <c r="AM334" s="28">
        <f>[1]服务器生态!Z349</f>
        <v>0.65882674551541276</v>
      </c>
      <c r="AN334" s="28">
        <f>[1]服务器生态!AA349</f>
        <v>0.19062727632196863</v>
      </c>
    </row>
    <row r="335" spans="11:40" x14ac:dyDescent="0.2">
      <c r="K335" s="26">
        <v>329</v>
      </c>
      <c r="L335" s="26">
        <f>[1]节奏总纲!AD332</f>
        <v>83.655452628527868</v>
      </c>
      <c r="M335" s="26">
        <f>[1]节奏总纲!AE332</f>
        <v>85.775532729400851</v>
      </c>
      <c r="N335" s="26">
        <f>[1]节奏总纲!AF332</f>
        <v>88.817093000651269</v>
      </c>
      <c r="O335" s="26">
        <f>[1]节奏总纲!AG332</f>
        <v>93.824989433076368</v>
      </c>
      <c r="P335" s="26">
        <f>[1]节奏总纲!AH332</f>
        <v>102.69317194614273</v>
      </c>
      <c r="AI335" s="27">
        <v>329</v>
      </c>
      <c r="AJ335" s="28">
        <f>[1]服务器生态!W350</f>
        <v>45.688529139551981</v>
      </c>
      <c r="AK335" s="28">
        <f>[1]服务器生态!X350</f>
        <v>45.049308097980131</v>
      </c>
      <c r="AL335" s="28">
        <f>[1]服务器生态!Y350</f>
        <v>3.677388116037549</v>
      </c>
      <c r="AM335" s="28">
        <f>[1]服务器生态!Z350</f>
        <v>0.65423333195106226</v>
      </c>
      <c r="AN335" s="28">
        <f>[1]服务器生态!AA350</f>
        <v>0.18929820168625769</v>
      </c>
    </row>
    <row r="336" spans="11:40" x14ac:dyDescent="0.2">
      <c r="K336" s="26">
        <v>330</v>
      </c>
      <c r="L336" s="26">
        <f>[1]节奏总纲!AD333</f>
        <v>83.69965923095647</v>
      </c>
      <c r="M336" s="26">
        <f>[1]节奏总纲!AE333</f>
        <v>85.820415145982849</v>
      </c>
      <c r="N336" s="26">
        <f>[1]节奏总纲!AF333</f>
        <v>88.867864050862167</v>
      </c>
      <c r="O336" s="26">
        <f>[1]节奏总纲!AG333</f>
        <v>93.872202479304192</v>
      </c>
      <c r="P336" s="26">
        <f>[1]节奏总纲!AH333</f>
        <v>102.73807018488411</v>
      </c>
      <c r="AI336" s="27">
        <v>330</v>
      </c>
      <c r="AJ336" s="28">
        <f>[1]服务器生态!W351</f>
        <v>45.367747089424732</v>
      </c>
      <c r="AK336" s="28">
        <f>[1]服务器生态!X351</f>
        <v>44.733014059177854</v>
      </c>
      <c r="AL336" s="28">
        <f>[1]服务器生态!Y351</f>
        <v>3.6515689417022799</v>
      </c>
      <c r="AM336" s="28">
        <f>[1]服务器生态!Z351</f>
        <v>0.64963991838671165</v>
      </c>
      <c r="AN336" s="28">
        <f>[1]服务器生态!AA351</f>
        <v>0.18796912705054672</v>
      </c>
    </row>
    <row r="337" spans="11:40" x14ac:dyDescent="0.2">
      <c r="K337" s="26">
        <v>331</v>
      </c>
      <c r="L337" s="26">
        <f>[1]节奏总纲!AD334</f>
        <v>83.743865833385087</v>
      </c>
      <c r="M337" s="26">
        <f>[1]节奏总纲!AE334</f>
        <v>85.865297562564862</v>
      </c>
      <c r="N337" s="26">
        <f>[1]节奏总纲!AF334</f>
        <v>88.918635101073079</v>
      </c>
      <c r="O337" s="26">
        <f>[1]节奏总纲!AG334</f>
        <v>93.919415525532017</v>
      </c>
      <c r="P337" s="26">
        <f>[1]节奏总纲!AH334</f>
        <v>102.78296842362549</v>
      </c>
      <c r="AI337" s="27">
        <v>331</v>
      </c>
      <c r="AJ337" s="28">
        <f>[1]服务器生态!W352</f>
        <v>45.10310189806976</v>
      </c>
      <c r="AK337" s="28">
        <f>[1]服务器生态!X352</f>
        <v>44.47207147716599</v>
      </c>
      <c r="AL337" s="28">
        <f>[1]服务器生态!Y352</f>
        <v>3.6302681228756835</v>
      </c>
      <c r="AM337" s="28">
        <f>[1]服务器生态!Z352</f>
        <v>0.64585035219612263</v>
      </c>
      <c r="AN337" s="28">
        <f>[1]服务器生态!AA352</f>
        <v>0.18687264047608523</v>
      </c>
    </row>
    <row r="338" spans="11:40" x14ac:dyDescent="0.2">
      <c r="K338" s="26">
        <v>332</v>
      </c>
      <c r="L338" s="26">
        <f>[1]节奏总纲!AD335</f>
        <v>83.788072435813689</v>
      </c>
      <c r="M338" s="26">
        <f>[1]节奏总纲!AE335</f>
        <v>85.910179979146861</v>
      </c>
      <c r="N338" s="26">
        <f>[1]节奏总纲!AF335</f>
        <v>88.969406151283977</v>
      </c>
      <c r="O338" s="26">
        <f>[1]节奏总纲!AG335</f>
        <v>93.966628571759841</v>
      </c>
      <c r="P338" s="26">
        <f>[1]节奏总纲!AH335</f>
        <v>102.82786666236686</v>
      </c>
      <c r="AI338" s="27">
        <v>332</v>
      </c>
      <c r="AJ338" s="28">
        <f>[1]服务器生态!W353</f>
        <v>44.83845670671478</v>
      </c>
      <c r="AK338" s="28">
        <f>[1]服务器生态!X353</f>
        <v>44.211128895154118</v>
      </c>
      <c r="AL338" s="28">
        <f>[1]服务器生态!Y353</f>
        <v>3.6089673040490871</v>
      </c>
      <c r="AM338" s="28">
        <f>[1]服务器生态!Z353</f>
        <v>0.6420607860055334</v>
      </c>
      <c r="AN338" s="28">
        <f>[1]服务器生态!AA353</f>
        <v>0.18577615390162369</v>
      </c>
    </row>
    <row r="339" spans="11:40" x14ac:dyDescent="0.2">
      <c r="K339" s="26">
        <v>333</v>
      </c>
      <c r="L339" s="26">
        <f>[1]节奏总纲!AD336</f>
        <v>83.832279038242305</v>
      </c>
      <c r="M339" s="26">
        <f>[1]节奏总纲!AE336</f>
        <v>85.955062395728859</v>
      </c>
      <c r="N339" s="26">
        <f>[1]节奏总纲!AF336</f>
        <v>89.018466905731287</v>
      </c>
      <c r="O339" s="26">
        <f>[1]节奏总纲!AG336</f>
        <v>94.012923283729691</v>
      </c>
      <c r="P339" s="26">
        <f>[1]节奏总纲!AH336</f>
        <v>102.87276490110824</v>
      </c>
      <c r="AI339" s="27">
        <v>333</v>
      </c>
      <c r="AJ339" s="28">
        <f>[1]服务器生态!W354</f>
        <v>44.5738115153598</v>
      </c>
      <c r="AK339" s="28">
        <f>[1]服务器生态!X354</f>
        <v>43.950186313142247</v>
      </c>
      <c r="AL339" s="28">
        <f>[1]服务器生态!Y354</f>
        <v>3.5876664852224902</v>
      </c>
      <c r="AM339" s="28">
        <f>[1]服务器生态!Z354</f>
        <v>0.63827121981494428</v>
      </c>
      <c r="AN339" s="28">
        <f>[1]服务器生态!AA354</f>
        <v>0.18467966732716218</v>
      </c>
    </row>
    <row r="340" spans="11:40" x14ac:dyDescent="0.2">
      <c r="K340" s="26">
        <v>334</v>
      </c>
      <c r="L340" s="26">
        <f>[1]节奏总纲!AD337</f>
        <v>83.876485640670907</v>
      </c>
      <c r="M340" s="26">
        <f>[1]节奏总纲!AE337</f>
        <v>85.999944812310858</v>
      </c>
      <c r="N340" s="26">
        <f>[1]节奏总纲!AF337</f>
        <v>89.064934410075779</v>
      </c>
      <c r="O340" s="26">
        <f>[1]节奏总纲!AG337</f>
        <v>94.057003939090123</v>
      </c>
      <c r="P340" s="26">
        <f>[1]节奏总纲!AH337</f>
        <v>102.91766313984962</v>
      </c>
      <c r="AI340" s="27">
        <v>334</v>
      </c>
      <c r="AJ340" s="28">
        <f>[1]服务器生态!W355</f>
        <v>44.309166324004821</v>
      </c>
      <c r="AK340" s="28">
        <f>[1]服务器生态!X355</f>
        <v>43.689243731130375</v>
      </c>
      <c r="AL340" s="28">
        <f>[1]服务器生态!Y355</f>
        <v>3.5663656663958934</v>
      </c>
      <c r="AM340" s="28">
        <f>[1]服务器生态!Z355</f>
        <v>0.63448165362435505</v>
      </c>
      <c r="AN340" s="28">
        <f>[1]服务器生态!AA355</f>
        <v>0.18358318075270064</v>
      </c>
    </row>
    <row r="341" spans="11:40" x14ac:dyDescent="0.2">
      <c r="K341" s="26">
        <v>335</v>
      </c>
      <c r="L341" s="26">
        <f>[1]节奏总纲!AD338</f>
        <v>83.920692243099523</v>
      </c>
      <c r="M341" s="26">
        <f>[1]节奏总纲!AE338</f>
        <v>86.041129946887025</v>
      </c>
      <c r="N341" s="26">
        <f>[1]节奏总纲!AF338</f>
        <v>89.11140191442027</v>
      </c>
      <c r="O341" s="26">
        <f>[1]节奏总纲!AG338</f>
        <v>94.101084594450555</v>
      </c>
      <c r="P341" s="26">
        <f>[1]节奏总纲!AH338</f>
        <v>102.962561378591</v>
      </c>
      <c r="AI341" s="27">
        <v>335</v>
      </c>
      <c r="AJ341" s="28">
        <f>[1]服务器生态!W356</f>
        <v>44.044521132649841</v>
      </c>
      <c r="AK341" s="28">
        <f>[1]服务器生态!X356</f>
        <v>43.428301149118496</v>
      </c>
      <c r="AL341" s="28">
        <f>[1]服务器生态!Y356</f>
        <v>3.5450648475692965</v>
      </c>
      <c r="AM341" s="28">
        <f>[1]服务器生态!Z356</f>
        <v>0.63069208743376592</v>
      </c>
      <c r="AN341" s="28">
        <f>[1]服务器生态!AA356</f>
        <v>0.18248669417823912</v>
      </c>
    </row>
    <row r="342" spans="11:40" x14ac:dyDescent="0.2">
      <c r="K342" s="26">
        <v>336</v>
      </c>
      <c r="L342" s="26">
        <f>[1]节奏总纲!AD339</f>
        <v>83.964898845528126</v>
      </c>
      <c r="M342" s="26">
        <f>[1]节奏总纲!AE339</f>
        <v>86.082310529666103</v>
      </c>
      <c r="N342" s="26">
        <f>[1]节奏总纲!AF339</f>
        <v>89.157869418764761</v>
      </c>
      <c r="O342" s="26">
        <f>[1]节奏总纲!AG339</f>
        <v>94.145165249810972</v>
      </c>
      <c r="P342" s="26">
        <f>[1]节奏总纲!AH339</f>
        <v>103.00673656424885</v>
      </c>
      <c r="AI342" s="27">
        <v>336</v>
      </c>
      <c r="AJ342" s="28">
        <f>[1]服务器生态!W357</f>
        <v>43.779875941294868</v>
      </c>
      <c r="AK342" s="28">
        <f>[1]服务器生态!X357</f>
        <v>43.167358567106632</v>
      </c>
      <c r="AL342" s="28">
        <f>[1]服务器生态!Y357</f>
        <v>3.5237640287427006</v>
      </c>
      <c r="AM342" s="28">
        <f>[1]服务器生态!Z357</f>
        <v>0.6269025212431768</v>
      </c>
      <c r="AN342" s="28">
        <f>[1]服务器生态!AA357</f>
        <v>0.18139020760377761</v>
      </c>
    </row>
    <row r="343" spans="11:40" x14ac:dyDescent="0.2">
      <c r="K343" s="26">
        <v>337</v>
      </c>
      <c r="L343" s="26">
        <f>[1]节奏总纲!AD340</f>
        <v>84.008495683346354</v>
      </c>
      <c r="M343" s="26">
        <f>[1]节奏总纲!AE340</f>
        <v>86.12349111244518</v>
      </c>
      <c r="N343" s="26">
        <f>[1]节奏总纲!AF340</f>
        <v>89.204336923109267</v>
      </c>
      <c r="O343" s="26">
        <f>[1]节奏总纲!AG340</f>
        <v>94.189245905171404</v>
      </c>
      <c r="P343" s="26">
        <f>[1]节奏总纲!AH340</f>
        <v>103.04728286259964</v>
      </c>
      <c r="AI343" s="27">
        <v>337</v>
      </c>
      <c r="AJ343" s="28">
        <f>[1]服务器生态!W358</f>
        <v>43.515230749939889</v>
      </c>
      <c r="AK343" s="28">
        <f>[1]服务器生态!X358</f>
        <v>42.90641598509476</v>
      </c>
      <c r="AL343" s="28">
        <f>[1]服务器生态!Y358</f>
        <v>3.5024632099161037</v>
      </c>
      <c r="AM343" s="28">
        <f>[1]服务器生态!Z358</f>
        <v>0.62311295505258768</v>
      </c>
      <c r="AN343" s="28">
        <f>[1]服务器生态!AA358</f>
        <v>0.1802937210293161</v>
      </c>
    </row>
    <row r="344" spans="11:40" x14ac:dyDescent="0.2">
      <c r="K344" s="26">
        <v>338</v>
      </c>
      <c r="L344" s="26">
        <f>[1]节奏总纲!AD341</f>
        <v>84.049741901856009</v>
      </c>
      <c r="M344" s="26">
        <f>[1]节奏总纲!AE341</f>
        <v>86.164671695224243</v>
      </c>
      <c r="N344" s="26">
        <f>[1]节奏总纲!AF341</f>
        <v>89.250804427453758</v>
      </c>
      <c r="O344" s="26">
        <f>[1]节奏总纲!AG341</f>
        <v>94.233326560531836</v>
      </c>
      <c r="P344" s="26">
        <f>[1]节奏总纲!AH341</f>
        <v>103.08782916095045</v>
      </c>
      <c r="AI344" s="27">
        <v>338</v>
      </c>
      <c r="AJ344" s="28">
        <f>[1]服务器生态!W359</f>
        <v>43.250585558584909</v>
      </c>
      <c r="AK344" s="28">
        <f>[1]服务器生态!X359</f>
        <v>42.645473403082889</v>
      </c>
      <c r="AL344" s="28">
        <f>[1]服务器生态!Y359</f>
        <v>3.4811623910895069</v>
      </c>
      <c r="AM344" s="28">
        <f>[1]服务器生态!Z359</f>
        <v>0.61932338886199845</v>
      </c>
      <c r="AN344" s="28">
        <f>[1]服务器生态!AA359</f>
        <v>0.17919723445485455</v>
      </c>
    </row>
    <row r="345" spans="11:40" x14ac:dyDescent="0.2">
      <c r="K345" s="26">
        <v>339</v>
      </c>
      <c r="L345" s="26">
        <f>[1]节奏总纲!AD342</f>
        <v>84.090988120365651</v>
      </c>
      <c r="M345" s="26">
        <f>[1]节奏总纲!AE342</f>
        <v>86.20585227800332</v>
      </c>
      <c r="N345" s="26">
        <f>[1]节奏总纲!AF342</f>
        <v>89.29727193179825</v>
      </c>
      <c r="O345" s="26">
        <f>[1]节奏总纲!AG342</f>
        <v>94.277407215892268</v>
      </c>
      <c r="P345" s="26">
        <f>[1]节奏总纲!AH342</f>
        <v>103.12837545930124</v>
      </c>
      <c r="AI345" s="27">
        <v>339</v>
      </c>
      <c r="AJ345" s="28">
        <f>[1]服务器生态!W360</f>
        <v>42.985940367229929</v>
      </c>
      <c r="AK345" s="28">
        <f>[1]服务器生态!X360</f>
        <v>42.384530821071017</v>
      </c>
      <c r="AL345" s="28">
        <f>[1]服务器生态!Y360</f>
        <v>3.45986157226291</v>
      </c>
      <c r="AM345" s="28">
        <f>[1]服务器生态!Z360</f>
        <v>0.61553382267140933</v>
      </c>
      <c r="AN345" s="28">
        <f>[1]服务器生态!AA360</f>
        <v>0.17810074788039301</v>
      </c>
    </row>
    <row r="346" spans="11:40" x14ac:dyDescent="0.2">
      <c r="K346" s="26">
        <v>340</v>
      </c>
      <c r="L346" s="26">
        <f>[1]节奏总纲!AD343</f>
        <v>84.132234338875293</v>
      </c>
      <c r="M346" s="26">
        <f>[1]节奏总纲!AE343</f>
        <v>86.247032860782397</v>
      </c>
      <c r="N346" s="26">
        <f>[1]节奏总纲!AF343</f>
        <v>89.343739436142741</v>
      </c>
      <c r="O346" s="26">
        <f>[1]节奏总纲!AG343</f>
        <v>94.3214878712527</v>
      </c>
      <c r="P346" s="26">
        <f>[1]节奏总纲!AH343</f>
        <v>103.16892175765203</v>
      </c>
      <c r="AI346" s="27">
        <v>340</v>
      </c>
      <c r="AJ346" s="28">
        <f>[1]服务器生态!W361</f>
        <v>42.721295175874957</v>
      </c>
      <c r="AK346" s="28">
        <f>[1]服务器生态!X361</f>
        <v>42.123588239059153</v>
      </c>
      <c r="AL346" s="28">
        <f>[1]服务器生态!Y361</f>
        <v>3.4385607534363141</v>
      </c>
      <c r="AM346" s="28">
        <f>[1]服务器生态!Z361</f>
        <v>0.6117442564808202</v>
      </c>
      <c r="AN346" s="28">
        <f>[1]服务器生态!AA361</f>
        <v>0.17700426130593153</v>
      </c>
    </row>
    <row r="347" spans="11:40" x14ac:dyDescent="0.2">
      <c r="K347" s="26">
        <v>341</v>
      </c>
      <c r="L347" s="26">
        <f>[1]节奏总纲!AD344</f>
        <v>84.173480557384934</v>
      </c>
      <c r="M347" s="26">
        <f>[1]节奏总纲!AE344</f>
        <v>86.288213443561474</v>
      </c>
      <c r="N347" s="26">
        <f>[1]节奏总纲!AF344</f>
        <v>89.390206940487232</v>
      </c>
      <c r="O347" s="26">
        <f>[1]节奏总纲!AG344</f>
        <v>94.365568526613131</v>
      </c>
      <c r="P347" s="26">
        <f>[1]节奏总纲!AH344</f>
        <v>103.20946805600283</v>
      </c>
      <c r="AI347" s="27">
        <v>341</v>
      </c>
      <c r="AJ347" s="28">
        <f>[1]服务器生态!W362</f>
        <v>42.456649984519977</v>
      </c>
      <c r="AK347" s="28">
        <f>[1]服务器生态!X362</f>
        <v>41.862645657047281</v>
      </c>
      <c r="AL347" s="28">
        <f>[1]服务器生态!Y362</f>
        <v>3.4172599346097172</v>
      </c>
      <c r="AM347" s="28">
        <f>[1]服务器生态!Z362</f>
        <v>0.60795469029023108</v>
      </c>
      <c r="AN347" s="28">
        <f>[1]服务器生态!AA362</f>
        <v>0.17590777473146998</v>
      </c>
    </row>
    <row r="348" spans="11:40" x14ac:dyDescent="0.2">
      <c r="K348" s="26">
        <v>342</v>
      </c>
      <c r="L348" s="26">
        <f>[1]节奏总纲!AD345</f>
        <v>84.214726775894576</v>
      </c>
      <c r="M348" s="26">
        <f>[1]节奏总纲!AE345</f>
        <v>86.329394026340537</v>
      </c>
      <c r="N348" s="26">
        <f>[1]节奏总纲!AF345</f>
        <v>89.436674444831723</v>
      </c>
      <c r="O348" s="26">
        <f>[1]节奏总纲!AG345</f>
        <v>94.409649181973549</v>
      </c>
      <c r="P348" s="26">
        <f>[1]节奏总纲!AH345</f>
        <v>103.25001435435362</v>
      </c>
      <c r="AI348" s="27">
        <v>342</v>
      </c>
      <c r="AJ348" s="28">
        <f>[1]服务器生态!W363</f>
        <v>42.192004793165005</v>
      </c>
      <c r="AK348" s="28">
        <f>[1]服务器生态!X363</f>
        <v>41.60170307503541</v>
      </c>
      <c r="AL348" s="28">
        <f>[1]服务器生态!Y363</f>
        <v>3.3959591157831204</v>
      </c>
      <c r="AM348" s="28">
        <f>[1]服务器生态!Z363</f>
        <v>0.60416512409964185</v>
      </c>
      <c r="AN348" s="28">
        <f>[1]服务器生态!AA363</f>
        <v>0.17481128815700847</v>
      </c>
    </row>
    <row r="349" spans="11:40" x14ac:dyDescent="0.2">
      <c r="K349" s="26">
        <v>343</v>
      </c>
      <c r="L349" s="26">
        <f>[1]节奏总纲!AD346</f>
        <v>84.255972994404218</v>
      </c>
      <c r="M349" s="26">
        <f>[1]节奏总纲!AE346</f>
        <v>86.370574609119615</v>
      </c>
      <c r="N349" s="26">
        <f>[1]节奏总纲!AF346</f>
        <v>89.483141949176215</v>
      </c>
      <c r="O349" s="26">
        <f>[1]节奏总纲!AG346</f>
        <v>94.453729837333981</v>
      </c>
      <c r="P349" s="26">
        <f>[1]节奏总纲!AH346</f>
        <v>103.29056065270443</v>
      </c>
      <c r="AI349" s="27">
        <v>343</v>
      </c>
      <c r="AJ349" s="28">
        <f>[1]服务器生态!W364</f>
        <v>41.927359601810025</v>
      </c>
      <c r="AK349" s="28">
        <f>[1]服务器生态!X364</f>
        <v>41.340760493023531</v>
      </c>
      <c r="AL349" s="28">
        <f>[1]服务器生态!Y364</f>
        <v>3.3746582969565235</v>
      </c>
      <c r="AM349" s="28">
        <f>[1]服务器生态!Z364</f>
        <v>0.60037555790905273</v>
      </c>
      <c r="AN349" s="28">
        <f>[1]服务器生态!AA364</f>
        <v>0.17371480158254693</v>
      </c>
    </row>
    <row r="350" spans="11:40" x14ac:dyDescent="0.2">
      <c r="K350" s="26">
        <v>344</v>
      </c>
      <c r="L350" s="26">
        <f>[1]节奏总纲!AD347</f>
        <v>84.297219212913859</v>
      </c>
      <c r="M350" s="26">
        <f>[1]节奏总纲!AE347</f>
        <v>86.411755191898692</v>
      </c>
      <c r="N350" s="26">
        <f>[1]节奏总纲!AF347</f>
        <v>89.529609453520706</v>
      </c>
      <c r="O350" s="26">
        <f>[1]节奏总纲!AG347</f>
        <v>94.497810492694413</v>
      </c>
      <c r="P350" s="26">
        <f>[1]节奏总纲!AH347</f>
        <v>103.33110695105522</v>
      </c>
      <c r="AI350" s="27">
        <v>344</v>
      </c>
      <c r="AJ350" s="28">
        <f>[1]服务器生态!W365</f>
        <v>41.662714410455045</v>
      </c>
      <c r="AK350" s="28">
        <f>[1]服务器生态!X365</f>
        <v>41.079817911011659</v>
      </c>
      <c r="AL350" s="28">
        <f>[1]服务器生态!Y365</f>
        <v>3.3533574781299267</v>
      </c>
      <c r="AM350" s="28">
        <f>[1]服务器生态!Z365</f>
        <v>0.59658599171846349</v>
      </c>
      <c r="AN350" s="28">
        <f>[1]服务器生态!AA365</f>
        <v>0.17261831500808542</v>
      </c>
    </row>
    <row r="351" spans="11:40" x14ac:dyDescent="0.2">
      <c r="K351" s="26">
        <v>345</v>
      </c>
      <c r="L351" s="26">
        <f>[1]节奏总纲!AD348</f>
        <v>84.338465431423501</v>
      </c>
      <c r="M351" s="26">
        <f>[1]节奏总纲!AE348</f>
        <v>86.452935774677769</v>
      </c>
      <c r="N351" s="26">
        <f>[1]节奏总纲!AF348</f>
        <v>89.576076957865197</v>
      </c>
      <c r="O351" s="26">
        <f>[1]节奏总纲!AG348</f>
        <v>94.541891148054845</v>
      </c>
      <c r="P351" s="26">
        <f>[1]节奏总纲!AH348</f>
        <v>103.37165324940601</v>
      </c>
      <c r="AI351" s="27">
        <v>345</v>
      </c>
      <c r="AJ351" s="28">
        <f>[1]服务器生态!W366</f>
        <v>41.398069219100073</v>
      </c>
      <c r="AK351" s="28">
        <f>[1]服务器生态!X366</f>
        <v>40.818875328999795</v>
      </c>
      <c r="AL351" s="28">
        <f>[1]服务器生态!Y366</f>
        <v>3.3320566593033307</v>
      </c>
      <c r="AM351" s="28">
        <f>[1]服务器生态!Z366</f>
        <v>0.59279642552787448</v>
      </c>
      <c r="AN351" s="28">
        <f>[1]服务器生态!AA366</f>
        <v>0.1715218284336239</v>
      </c>
    </row>
    <row r="352" spans="11:40" x14ac:dyDescent="0.2">
      <c r="K352" s="26">
        <v>346</v>
      </c>
      <c r="L352" s="26">
        <f>[1]节奏总纲!AD349</f>
        <v>84.379711649933142</v>
      </c>
      <c r="M352" s="26">
        <f>[1]节奏总纲!AE349</f>
        <v>86.494116357456846</v>
      </c>
      <c r="N352" s="26">
        <f>[1]节奏总纲!AF349</f>
        <v>89.622544462209689</v>
      </c>
      <c r="O352" s="26">
        <f>[1]节奏总纲!AG349</f>
        <v>94.585971803415276</v>
      </c>
      <c r="P352" s="26">
        <f>[1]节奏总纲!AH349</f>
        <v>103.41219954775681</v>
      </c>
      <c r="AI352" s="27">
        <v>346</v>
      </c>
      <c r="AJ352" s="28">
        <f>[1]服务器生态!W367</f>
        <v>41.133424027745093</v>
      </c>
      <c r="AK352" s="28">
        <f>[1]服务器生态!X367</f>
        <v>40.557932746987923</v>
      </c>
      <c r="AL352" s="28">
        <f>[1]服务器生态!Y367</f>
        <v>3.3107558404767339</v>
      </c>
      <c r="AM352" s="28">
        <f>[1]服务器生态!Z367</f>
        <v>0.58900685933728525</v>
      </c>
      <c r="AN352" s="28">
        <f>[1]服务器生态!AA367</f>
        <v>0.17042534185916239</v>
      </c>
    </row>
    <row r="353" spans="11:40" x14ac:dyDescent="0.2">
      <c r="K353" s="26">
        <v>347</v>
      </c>
      <c r="L353" s="26">
        <f>[1]节奏总纲!AD350</f>
        <v>84.420957868442784</v>
      </c>
      <c r="M353" s="26">
        <f>[1]节奏总纲!AE350</f>
        <v>86.535296940235909</v>
      </c>
      <c r="N353" s="26">
        <f>[1]节奏总纲!AF350</f>
        <v>89.66901196655418</v>
      </c>
      <c r="O353" s="26">
        <f>[1]节奏总纲!AG350</f>
        <v>94.630052458775694</v>
      </c>
      <c r="P353" s="26">
        <f>[1]节奏总纲!AH350</f>
        <v>103.4527458461076</v>
      </c>
      <c r="AI353" s="27">
        <v>347</v>
      </c>
      <c r="AJ353" s="28">
        <f>[1]服务器生态!W368</f>
        <v>40.868778836390113</v>
      </c>
      <c r="AK353" s="28">
        <f>[1]服务器生态!X368</f>
        <v>40.296990164976052</v>
      </c>
      <c r="AL353" s="28">
        <f>[1]服务器生态!Y368</f>
        <v>3.289455021650137</v>
      </c>
      <c r="AM353" s="28">
        <f>[1]服务器生态!Z368</f>
        <v>0.58521729314669613</v>
      </c>
      <c r="AN353" s="28">
        <f>[1]服务器生态!AA368</f>
        <v>0.16932885528470085</v>
      </c>
    </row>
    <row r="354" spans="11:40" x14ac:dyDescent="0.2">
      <c r="K354" s="26">
        <v>348</v>
      </c>
      <c r="L354" s="26">
        <f>[1]节奏总纲!AD351</f>
        <v>84.462204086952426</v>
      </c>
      <c r="M354" s="26">
        <f>[1]节奏总纲!AE351</f>
        <v>86.576477523014987</v>
      </c>
      <c r="N354" s="26">
        <f>[1]节奏总纲!AF351</f>
        <v>89.715479470898671</v>
      </c>
      <c r="O354" s="26">
        <f>[1]节奏总纲!AG351</f>
        <v>94.674133114136126</v>
      </c>
      <c r="P354" s="26">
        <f>[1]节奏总纲!AH351</f>
        <v>103.49329214445841</v>
      </c>
      <c r="AI354" s="27">
        <v>348</v>
      </c>
      <c r="AJ354" s="28">
        <f>[1]服务器生态!W369</f>
        <v>40.604133645035141</v>
      </c>
      <c r="AK354" s="28">
        <f>[1]服务器生态!X369</f>
        <v>40.036047582964187</v>
      </c>
      <c r="AL354" s="28">
        <f>[1]服务器生态!Y369</f>
        <v>3.2681542028235411</v>
      </c>
      <c r="AM354" s="28">
        <f>[1]服务器生态!Z369</f>
        <v>0.581427726956107</v>
      </c>
      <c r="AN354" s="28">
        <f>[1]服务器生态!AA369</f>
        <v>0.16823236871023936</v>
      </c>
    </row>
    <row r="355" spans="11:40" x14ac:dyDescent="0.2">
      <c r="K355" s="26">
        <v>349</v>
      </c>
      <c r="L355" s="26">
        <f>[1]节奏总纲!AD352</f>
        <v>84.503450305462081</v>
      </c>
      <c r="M355" s="26">
        <f>[1]节奏总纲!AE352</f>
        <v>86.617658105794064</v>
      </c>
      <c r="N355" s="26">
        <f>[1]节奏总纲!AF352</f>
        <v>89.761946975243163</v>
      </c>
      <c r="O355" s="26">
        <f>[1]节奏总纲!AG352</f>
        <v>94.718213769496558</v>
      </c>
      <c r="P355" s="26">
        <f>[1]节奏总纲!AH352</f>
        <v>103.5338384428092</v>
      </c>
      <c r="AI355" s="27">
        <v>349</v>
      </c>
      <c r="AJ355" s="28">
        <f>[1]服务器生态!W370</f>
        <v>40.339488453680161</v>
      </c>
      <c r="AK355" s="28">
        <f>[1]服务器生态!X370</f>
        <v>39.775105000952315</v>
      </c>
      <c r="AL355" s="28">
        <f>[1]服务器生态!Y370</f>
        <v>3.2468533839969442</v>
      </c>
      <c r="AM355" s="28">
        <f>[1]服务器生态!Z370</f>
        <v>0.57763816076551788</v>
      </c>
      <c r="AN355" s="28">
        <f>[1]服务器生态!AA370</f>
        <v>0.16713588213577782</v>
      </c>
    </row>
    <row r="356" spans="11:40" x14ac:dyDescent="0.2">
      <c r="K356" s="26">
        <v>350</v>
      </c>
      <c r="L356" s="26">
        <f>[1]节奏总纲!AD353</f>
        <v>84.544696523971723</v>
      </c>
      <c r="M356" s="26">
        <f>[1]节奏总纲!AE353</f>
        <v>86.658838688573141</v>
      </c>
      <c r="N356" s="26">
        <f>[1]节奏总纲!AF353</f>
        <v>89.808414479587654</v>
      </c>
      <c r="O356" s="26">
        <f>[1]节奏总纲!AG353</f>
        <v>94.762294424856989</v>
      </c>
      <c r="P356" s="26">
        <f>[1]节奏总纲!AH353</f>
        <v>103.57438474115999</v>
      </c>
      <c r="AI356" s="27">
        <v>350</v>
      </c>
      <c r="AJ356" s="28">
        <f>[1]服务器生态!W371</f>
        <v>40.074843262325182</v>
      </c>
      <c r="AK356" s="28">
        <f>[1]服务器生态!X371</f>
        <v>39.514162418940444</v>
      </c>
      <c r="AL356" s="28">
        <f>[1]服务器生态!Y371</f>
        <v>3.2255525651703474</v>
      </c>
      <c r="AM356" s="28">
        <f>[1]服务器生态!Z371</f>
        <v>0.57384859457492865</v>
      </c>
      <c r="AN356" s="28">
        <f>[1]服务器生态!AA371</f>
        <v>0.16603939556131628</v>
      </c>
    </row>
    <row r="357" spans="11:40" x14ac:dyDescent="0.2">
      <c r="K357" s="26">
        <v>351</v>
      </c>
      <c r="L357" s="26">
        <f>[1]节奏总纲!AD354</f>
        <v>84.585942742481365</v>
      </c>
      <c r="M357" s="26">
        <f>[1]节奏总纲!AE354</f>
        <v>86.700019271352204</v>
      </c>
      <c r="N357" s="26">
        <f>[1]节奏总纲!AF354</f>
        <v>89.854881983932145</v>
      </c>
      <c r="O357" s="26">
        <f>[1]节奏总纲!AG354</f>
        <v>94.806375080217421</v>
      </c>
      <c r="P357" s="26">
        <f>[1]节奏总纲!AH354</f>
        <v>103.61493103951079</v>
      </c>
      <c r="AI357" s="27">
        <v>351</v>
      </c>
      <c r="AJ357" s="28">
        <f>[1]服务器生态!W372</f>
        <v>39.810198070970202</v>
      </c>
      <c r="AK357" s="28">
        <f>[1]服务器生态!X372</f>
        <v>39.253219836928572</v>
      </c>
      <c r="AL357" s="28">
        <f>[1]服务器生态!Y372</f>
        <v>3.2042517463437505</v>
      </c>
      <c r="AM357" s="28">
        <f>[1]服务器生态!Z372</f>
        <v>0.57005902838433953</v>
      </c>
      <c r="AN357" s="28">
        <f>[1]服务器生态!AA372</f>
        <v>0.16494290898685476</v>
      </c>
    </row>
    <row r="358" spans="11:40" x14ac:dyDescent="0.2">
      <c r="K358" s="26">
        <v>352</v>
      </c>
      <c r="L358" s="26">
        <f>[1]节奏总纲!AD355</f>
        <v>84.627188960991006</v>
      </c>
      <c r="M358" s="26">
        <f>[1]节奏总纲!AE355</f>
        <v>86.741199854131281</v>
      </c>
      <c r="N358" s="26">
        <f>[1]节奏总纲!AF355</f>
        <v>89.901349488276637</v>
      </c>
      <c r="O358" s="26">
        <f>[1]节奏总纲!AG355</f>
        <v>94.850455735577853</v>
      </c>
      <c r="P358" s="26">
        <f>[1]节奏总纲!AH355</f>
        <v>103.65547733786158</v>
      </c>
      <c r="AI358" s="27">
        <v>352</v>
      </c>
      <c r="AJ358" s="28">
        <f>[1]服务器生态!W373</f>
        <v>39.545552879615222</v>
      </c>
      <c r="AK358" s="28">
        <f>[1]服务器生态!X373</f>
        <v>38.992277254916694</v>
      </c>
      <c r="AL358" s="28">
        <f>[1]服务器生态!Y373</f>
        <v>3.1829509275171537</v>
      </c>
      <c r="AM358" s="28">
        <f>[1]服务器生态!Z373</f>
        <v>0.56626946219375029</v>
      </c>
      <c r="AN358" s="28">
        <f>[1]服务器生态!AA373</f>
        <v>0.16384642241239322</v>
      </c>
    </row>
    <row r="359" spans="11:40" x14ac:dyDescent="0.2">
      <c r="K359" s="26">
        <v>353</v>
      </c>
      <c r="L359" s="26">
        <f>[1]节奏总纲!AD356</f>
        <v>84.668435179500648</v>
      </c>
      <c r="M359" s="26">
        <f>[1]节奏总纲!AE356</f>
        <v>86.782380436910358</v>
      </c>
      <c r="N359" s="26">
        <f>[1]节奏总纲!AF356</f>
        <v>89.947816992621142</v>
      </c>
      <c r="O359" s="26">
        <f>[1]节奏总纲!AG356</f>
        <v>94.894536390938271</v>
      </c>
      <c r="P359" s="26">
        <f>[1]节奏总纲!AH356</f>
        <v>103.69602363621237</v>
      </c>
      <c r="AI359" s="27">
        <v>353</v>
      </c>
      <c r="AJ359" s="28">
        <f>[1]服务器生态!W374</f>
        <v>39.280907688260243</v>
      </c>
      <c r="AK359" s="28">
        <f>[1]服务器生态!X374</f>
        <v>38.731334672904822</v>
      </c>
      <c r="AL359" s="28">
        <f>[1]服务器生态!Y374</f>
        <v>3.1616501086905573</v>
      </c>
      <c r="AM359" s="28">
        <f>[1]服务器生态!Z374</f>
        <v>0.56247989600316117</v>
      </c>
      <c r="AN359" s="28">
        <f>[1]服务器生态!AA374</f>
        <v>0.16274993583793171</v>
      </c>
    </row>
    <row r="360" spans="11:40" x14ac:dyDescent="0.2">
      <c r="K360" s="26">
        <v>354</v>
      </c>
      <c r="L360" s="26">
        <f>[1]节奏总纲!AD357</f>
        <v>84.709681398010289</v>
      </c>
      <c r="M360" s="26">
        <f>[1]节奏总纲!AE357</f>
        <v>86.823561019689436</v>
      </c>
      <c r="N360" s="26">
        <f>[1]节奏总纲!AF357</f>
        <v>89.994284496965633</v>
      </c>
      <c r="O360" s="26">
        <f>[1]节奏总纲!AG357</f>
        <v>94.938617046298702</v>
      </c>
      <c r="P360" s="26">
        <f>[1]节奏总纲!AH357</f>
        <v>103.73656993456318</v>
      </c>
      <c r="AI360" s="27">
        <v>354</v>
      </c>
      <c r="AJ360" s="28">
        <f>[1]服务器生态!W375</f>
        <v>39.01626249690527</v>
      </c>
      <c r="AK360" s="28">
        <f>[1]服务器生态!X375</f>
        <v>38.470392090892958</v>
      </c>
      <c r="AL360" s="28">
        <f>[1]服务器生态!Y375</f>
        <v>3.1403492898639609</v>
      </c>
      <c r="AM360" s="28">
        <f>[1]服务器生态!Z375</f>
        <v>0.55869032981257205</v>
      </c>
      <c r="AN360" s="28">
        <f>[1]服务器生态!AA375</f>
        <v>0.16165344926347019</v>
      </c>
    </row>
    <row r="361" spans="11:40" x14ac:dyDescent="0.2">
      <c r="K361" s="26">
        <v>355</v>
      </c>
      <c r="L361" s="26">
        <f>[1]节奏总纲!AD358</f>
        <v>84.750927616519931</v>
      </c>
      <c r="M361" s="26">
        <f>[1]节奏总纲!AE358</f>
        <v>86.864741602468499</v>
      </c>
      <c r="N361" s="26">
        <f>[1]节奏总纲!AF358</f>
        <v>90.036066635925749</v>
      </c>
      <c r="O361" s="26">
        <f>[1]节奏总纲!AG358</f>
        <v>94.982697701659134</v>
      </c>
      <c r="P361" s="26">
        <f>[1]节奏总纲!AH358</f>
        <v>103.77711623291397</v>
      </c>
      <c r="AI361" s="27">
        <v>355</v>
      </c>
      <c r="AJ361" s="28">
        <f>[1]服务器生态!W376</f>
        <v>38.751617305550283</v>
      </c>
      <c r="AK361" s="28">
        <f>[1]服务器生态!X376</f>
        <v>38.209449508881079</v>
      </c>
      <c r="AL361" s="28">
        <f>[1]服务器生态!Y376</f>
        <v>3.1190484710373636</v>
      </c>
      <c r="AM361" s="28">
        <f>[1]服务器生态!Z376</f>
        <v>0.55490076362198282</v>
      </c>
      <c r="AN361" s="28">
        <f>[1]服务器生态!AA376</f>
        <v>0.16055696268900865</v>
      </c>
    </row>
    <row r="362" spans="11:40" x14ac:dyDescent="0.2">
      <c r="K362" s="26">
        <v>356</v>
      </c>
      <c r="L362" s="26">
        <f>[1]节奏总纲!AD359</f>
        <v>84.792173835029573</v>
      </c>
      <c r="M362" s="26">
        <f>[1]节奏总纲!AE359</f>
        <v>86.905922185247576</v>
      </c>
      <c r="N362" s="26">
        <f>[1]节奏总纲!AF359</f>
        <v>90.077191648383845</v>
      </c>
      <c r="O362" s="26">
        <f>[1]节奏总纲!AG359</f>
        <v>95.024001308619916</v>
      </c>
      <c r="P362" s="26">
        <f>[1]节奏总纲!AH359</f>
        <v>103.81766253126477</v>
      </c>
      <c r="AI362" s="27">
        <v>356</v>
      </c>
      <c r="AJ362" s="28">
        <f>[1]服务器生态!W377</f>
        <v>38.486972114195311</v>
      </c>
      <c r="AK362" s="28">
        <f>[1]服务器生态!X377</f>
        <v>37.948506926869214</v>
      </c>
      <c r="AL362" s="28">
        <f>[1]服务器生态!Y377</f>
        <v>3.0977476522107672</v>
      </c>
      <c r="AM362" s="28">
        <f>[1]服务器生态!Z377</f>
        <v>0.5511111974313937</v>
      </c>
      <c r="AN362" s="28">
        <f>[1]服务器生态!AA377</f>
        <v>0.15946047611454714</v>
      </c>
    </row>
    <row r="363" spans="11:40" x14ac:dyDescent="0.2">
      <c r="K363" s="26">
        <v>357</v>
      </c>
      <c r="L363" s="26">
        <f>[1]节奏总纲!AD360</f>
        <v>84.833420053539214</v>
      </c>
      <c r="M363" s="26">
        <f>[1]节奏总纲!AE360</f>
        <v>86.947102768026653</v>
      </c>
      <c r="N363" s="26">
        <f>[1]节奏总纲!AF360</f>
        <v>90.118316660841927</v>
      </c>
      <c r="O363" s="26">
        <f>[1]节奏总纲!AG360</f>
        <v>95.063510581451752</v>
      </c>
      <c r="P363" s="26">
        <f>[1]节奏总纲!AH360</f>
        <v>103.85820882961556</v>
      </c>
      <c r="AI363" s="27">
        <v>357</v>
      </c>
      <c r="AJ363" s="28">
        <f>[1]服务器生态!W378</f>
        <v>38.222326922840338</v>
      </c>
      <c r="AK363" s="28">
        <f>[1]服务器生态!X378</f>
        <v>37.68756434485735</v>
      </c>
      <c r="AL363" s="28">
        <f>[1]服务器生态!Y378</f>
        <v>3.0764468333841712</v>
      </c>
      <c r="AM363" s="28">
        <f>[1]服务器生态!Z378</f>
        <v>0.54732163124080468</v>
      </c>
      <c r="AN363" s="28">
        <f>[1]服务器生态!AA378</f>
        <v>0.15836398954008565</v>
      </c>
    </row>
    <row r="364" spans="11:40" x14ac:dyDescent="0.2">
      <c r="K364" s="26">
        <v>358</v>
      </c>
      <c r="L364" s="26">
        <f>[1]节奏总纲!AD361</f>
        <v>84.874666272048856</v>
      </c>
      <c r="M364" s="26">
        <f>[1]节奏总纲!AE361</f>
        <v>86.98828335080573</v>
      </c>
      <c r="N364" s="26">
        <f>[1]节奏总纲!AF361</f>
        <v>90.159441673300023</v>
      </c>
      <c r="O364" s="26">
        <f>[1]节奏总纲!AG361</f>
        <v>95.103019854283588</v>
      </c>
      <c r="P364" s="26">
        <f>[1]节奏总纲!AH361</f>
        <v>103.89875512796635</v>
      </c>
      <c r="AI364" s="27">
        <v>358</v>
      </c>
      <c r="AJ364" s="28">
        <f>[1]服务器生态!W379</f>
        <v>37.957681731485359</v>
      </c>
      <c r="AK364" s="28">
        <f>[1]服务器生态!X379</f>
        <v>37.426621762845478</v>
      </c>
      <c r="AL364" s="28">
        <f>[1]服务器生态!Y379</f>
        <v>3.0551460145575744</v>
      </c>
      <c r="AM364" s="28">
        <f>[1]服务器生态!Z379</f>
        <v>0.54353206505021545</v>
      </c>
      <c r="AN364" s="28">
        <f>[1]服务器生态!AA379</f>
        <v>0.15726750296562411</v>
      </c>
    </row>
    <row r="365" spans="11:40" x14ac:dyDescent="0.2">
      <c r="K365" s="26">
        <v>359</v>
      </c>
      <c r="L365" s="26">
        <f>[1]节奏总纲!AD362</f>
        <v>84.915912490558497</v>
      </c>
      <c r="M365" s="26">
        <f>[1]节奏总纲!AE362</f>
        <v>87.027010646912942</v>
      </c>
      <c r="N365" s="26">
        <f>[1]节奏总纲!AF362</f>
        <v>90.200566685758119</v>
      </c>
      <c r="O365" s="26">
        <f>[1]节奏总纲!AG362</f>
        <v>95.142529127115409</v>
      </c>
      <c r="P365" s="26">
        <f>[1]节奏总纲!AH362</f>
        <v>103.93930142631716</v>
      </c>
      <c r="AI365" s="27">
        <v>359</v>
      </c>
      <c r="AJ365" s="28">
        <f>[1]服务器生态!W380</f>
        <v>37.693036540130379</v>
      </c>
      <c r="AK365" s="28">
        <f>[1]服务器生态!X380</f>
        <v>37.165679180833607</v>
      </c>
      <c r="AL365" s="28">
        <f>[1]服务器生态!Y380</f>
        <v>3.0338451957309776</v>
      </c>
      <c r="AM365" s="28">
        <f>[1]服务器生态!Z380</f>
        <v>0.53974249885962633</v>
      </c>
      <c r="AN365" s="28">
        <f>[1]服务器生态!AA380</f>
        <v>0.15617101639116257</v>
      </c>
    </row>
    <row r="366" spans="11:40" x14ac:dyDescent="0.2">
      <c r="K366" s="26">
        <v>360</v>
      </c>
      <c r="L366" s="26">
        <f>[1]节奏总纲!AD363</f>
        <v>84.957158709068153</v>
      </c>
      <c r="M366" s="26">
        <f>[1]节奏总纲!AE363</f>
        <v>87.064762367263285</v>
      </c>
      <c r="N366" s="26">
        <f>[1]节奏总纲!AF363</f>
        <v>90.241691698216215</v>
      </c>
      <c r="O366" s="26">
        <f>[1]节奏总纲!AG363</f>
        <v>95.182038399947245</v>
      </c>
      <c r="P366" s="26">
        <f>[1]节奏总纲!AH363</f>
        <v>103.97984772466795</v>
      </c>
      <c r="AI366" s="27">
        <v>360</v>
      </c>
      <c r="AJ366" s="28">
        <f>[1]服务器生态!W381</f>
        <v>37.428391348775406</v>
      </c>
      <c r="AK366" s="28">
        <f>[1]服务器生态!X381</f>
        <v>36.904736598821728</v>
      </c>
      <c r="AL366" s="28">
        <f>[1]服务器生态!Y381</f>
        <v>3.0125443769043807</v>
      </c>
      <c r="AM366" s="28">
        <f>[1]服务器生态!Z381</f>
        <v>0.5359529326690371</v>
      </c>
      <c r="AN366" s="28">
        <f>[1]服务器生态!AA381</f>
        <v>0.15507452981670106</v>
      </c>
    </row>
    <row r="367" spans="11:40" x14ac:dyDescent="0.2">
      <c r="K367" s="26">
        <v>361</v>
      </c>
      <c r="L367" s="26">
        <f>[1]节奏总纲!AD364</f>
        <v>84.998404927577795</v>
      </c>
      <c r="M367" s="26">
        <f>[1]节奏总纲!AE364</f>
        <v>87.102514087613613</v>
      </c>
      <c r="N367" s="26">
        <f>[1]节奏总纲!AF364</f>
        <v>90.293213829934885</v>
      </c>
      <c r="O367" s="26">
        <f>[1]节奏总纲!AG364</f>
        <v>95.215215800730917</v>
      </c>
      <c r="P367" s="26">
        <f>[1]节奏总纲!AH364</f>
        <v>104.01942515885031</v>
      </c>
      <c r="AI367" s="27">
        <v>361</v>
      </c>
      <c r="AJ367" s="28">
        <f>[1]服务器生态!W382</f>
        <v>37.210059065907544</v>
      </c>
      <c r="AK367" s="28">
        <f>[1]服务器生态!X382</f>
        <v>36.689458968661938</v>
      </c>
      <c r="AL367" s="28">
        <f>[1]服务器生态!Y382</f>
        <v>2.9949712013724388</v>
      </c>
      <c r="AM367" s="28">
        <f>[1]服务器生态!Z382</f>
        <v>0.53282654056180112</v>
      </c>
      <c r="AN367" s="28">
        <f>[1]服务器生态!AA382</f>
        <v>0.1541699283927703</v>
      </c>
    </row>
    <row r="368" spans="11:40" x14ac:dyDescent="0.2">
      <c r="K368" s="26">
        <v>362</v>
      </c>
      <c r="L368" s="26">
        <f>[1]节奏总纲!AD365</f>
        <v>85.036995827451818</v>
      </c>
      <c r="M368" s="26">
        <f>[1]节奏总纲!AE365</f>
        <v>87.140265807963956</v>
      </c>
      <c r="N368" s="26">
        <f>[1]节奏总纲!AF365</f>
        <v>90.333742646601067</v>
      </c>
      <c r="O368" s="26">
        <f>[1]节奏总纲!AG365</f>
        <v>95.255683175879639</v>
      </c>
      <c r="P368" s="26">
        <f>[1]节奏总纲!AH365</f>
        <v>104.05804521363463</v>
      </c>
      <c r="AI368" s="27">
        <v>362</v>
      </c>
      <c r="AJ368" s="28">
        <f>[1]服务器生态!W383</f>
        <v>36.991726783039688</v>
      </c>
      <c r="AK368" s="28">
        <f>[1]服务器生态!X383</f>
        <v>36.474181338502142</v>
      </c>
      <c r="AL368" s="28">
        <f>[1]服务器生态!Y383</f>
        <v>2.9773980258404964</v>
      </c>
      <c r="AM368" s="28">
        <f>[1]服务器生态!Z383</f>
        <v>0.52970014845456503</v>
      </c>
      <c r="AN368" s="28">
        <f>[1]服务器生态!AA383</f>
        <v>0.15326532696883952</v>
      </c>
    </row>
    <row r="369" spans="11:40" x14ac:dyDescent="0.2">
      <c r="K369" s="26">
        <v>363</v>
      </c>
      <c r="L369" s="26">
        <f>[1]节奏总纲!AD366</f>
        <v>85.075479910097457</v>
      </c>
      <c r="M369" s="26">
        <f>[1]节奏总纲!AE366</f>
        <v>87.1780175283143</v>
      </c>
      <c r="N369" s="26">
        <f>[1]节奏总纲!AF366</f>
        <v>90.374271463267263</v>
      </c>
      <c r="O369" s="26">
        <f>[1]节奏总纲!AG366</f>
        <v>95.296150551028362</v>
      </c>
      <c r="P369" s="26">
        <f>[1]节奏总纲!AH366</f>
        <v>104.09666526841893</v>
      </c>
      <c r="AI369" s="27">
        <v>363</v>
      </c>
      <c r="AJ369" s="28">
        <f>[1]服务器生态!W384</f>
        <v>36.773394500171825</v>
      </c>
      <c r="AK369" s="28">
        <f>[1]服务器生态!X384</f>
        <v>36.258903708342345</v>
      </c>
      <c r="AL369" s="28">
        <f>[1]服务器生态!Y384</f>
        <v>2.959824850308554</v>
      </c>
      <c r="AM369" s="28">
        <f>[1]服务器生态!Z384</f>
        <v>0.52657375634732895</v>
      </c>
      <c r="AN369" s="28">
        <f>[1]服务器生态!AA384</f>
        <v>0.15236072554490876</v>
      </c>
    </row>
    <row r="370" spans="11:40" x14ac:dyDescent="0.2">
      <c r="K370" s="26">
        <v>364</v>
      </c>
      <c r="L370" s="26">
        <f>[1]节奏总纲!AD367</f>
        <v>85.113963992743081</v>
      </c>
      <c r="M370" s="26">
        <f>[1]节奏总纲!AE367</f>
        <v>87.215769248664643</v>
      </c>
      <c r="N370" s="26">
        <f>[1]节奏总纲!AF367</f>
        <v>90.414800279933445</v>
      </c>
      <c r="O370" s="26">
        <f>[1]节奏总纲!AG367</f>
        <v>95.336617926177098</v>
      </c>
      <c r="P370" s="26">
        <f>[1]节奏总纲!AH367</f>
        <v>104.13528532320325</v>
      </c>
      <c r="AI370" s="27">
        <v>364</v>
      </c>
      <c r="AJ370" s="28">
        <f>[1]服务器生态!W385</f>
        <v>36.555062217303977</v>
      </c>
      <c r="AK370" s="28">
        <f>[1]服务器生态!X385</f>
        <v>36.043626078182555</v>
      </c>
      <c r="AL370" s="28">
        <f>[1]服务器生态!Y385</f>
        <v>2.9422516747766121</v>
      </c>
      <c r="AM370" s="28">
        <f>[1]服务器生态!Z385</f>
        <v>0.52344736424009297</v>
      </c>
      <c r="AN370" s="28">
        <f>[1]服务器生态!AA385</f>
        <v>0.15145612412097803</v>
      </c>
    </row>
    <row r="371" spans="11:40" x14ac:dyDescent="0.2">
      <c r="K371" s="26">
        <v>365</v>
      </c>
      <c r="L371" s="26">
        <f>[1]节奏总纲!AD368</f>
        <v>85.152448075388719</v>
      </c>
      <c r="M371" s="26">
        <f>[1]节奏总纲!AE368</f>
        <v>87.253520969014986</v>
      </c>
      <c r="N371" s="26">
        <f>[1]节奏总纲!AF368</f>
        <v>90.455329096599641</v>
      </c>
      <c r="O371" s="26">
        <f>[1]节奏总纲!AG368</f>
        <v>95.37708530132582</v>
      </c>
      <c r="P371" s="26">
        <f>[1]节奏总纲!AH368</f>
        <v>104.17390537798755</v>
      </c>
      <c r="AI371" s="27">
        <v>365</v>
      </c>
      <c r="AJ371" s="28">
        <f>[1]服务器生态!W386</f>
        <v>36.336729934436121</v>
      </c>
      <c r="AK371" s="28">
        <f>[1]服务器生态!X386</f>
        <v>35.828348448022766</v>
      </c>
      <c r="AL371" s="28">
        <f>[1]服务器生态!Y386</f>
        <v>2.9246784992446697</v>
      </c>
      <c r="AM371" s="28">
        <f>[1]服务器生态!Z386</f>
        <v>0.52032097213285688</v>
      </c>
      <c r="AN371" s="28">
        <f>[1]服务器生态!AA386</f>
        <v>0.15055152269704727</v>
      </c>
    </row>
    <row r="372" spans="11:40" x14ac:dyDescent="0.2">
      <c r="K372" s="26">
        <v>366</v>
      </c>
      <c r="L372" s="26">
        <f>[1]节奏总纲!AD369</f>
        <v>85.190932158034357</v>
      </c>
      <c r="M372" s="26">
        <f>[1]节奏总纲!AE369</f>
        <v>87.291272689365329</v>
      </c>
      <c r="N372" s="26">
        <f>[1]节奏总纲!AF369</f>
        <v>90.495857913265823</v>
      </c>
      <c r="O372" s="26">
        <f>[1]节奏总纲!AG369</f>
        <v>95.417552676474543</v>
      </c>
      <c r="P372" s="26">
        <f>[1]节奏总纲!AH369</f>
        <v>104.21252543277187</v>
      </c>
      <c r="AI372" s="27">
        <v>366</v>
      </c>
      <c r="AJ372" s="28">
        <f>[1]服务器生态!W387</f>
        <v>36.118397651568259</v>
      </c>
      <c r="AK372" s="28">
        <f>[1]服务器生态!X387</f>
        <v>35.613070817862969</v>
      </c>
      <c r="AL372" s="28">
        <f>[1]服务器生态!Y387</f>
        <v>2.9071053237127273</v>
      </c>
      <c r="AM372" s="28">
        <f>[1]服务器生态!Z387</f>
        <v>0.5171945800256208</v>
      </c>
      <c r="AN372" s="28">
        <f>[1]服务器生态!AA387</f>
        <v>0.14964692127311652</v>
      </c>
    </row>
    <row r="373" spans="11:40" x14ac:dyDescent="0.2">
      <c r="K373" s="26">
        <v>367</v>
      </c>
      <c r="L373" s="26">
        <f>[1]节奏总纲!AD370</f>
        <v>85.229416240679981</v>
      </c>
      <c r="M373" s="26">
        <f>[1]节奏总纲!AE370</f>
        <v>87.329024409715672</v>
      </c>
      <c r="N373" s="26">
        <f>[1]节奏总纲!AF370</f>
        <v>90.536386729932019</v>
      </c>
      <c r="O373" s="26">
        <f>[1]节奏总纲!AG370</f>
        <v>95.458020051623265</v>
      </c>
      <c r="P373" s="26">
        <f>[1]节奏总纲!AH370</f>
        <v>104.25114548755617</v>
      </c>
      <c r="AI373" s="27">
        <v>367</v>
      </c>
      <c r="AJ373" s="28">
        <f>[1]服务器生态!W388</f>
        <v>35.900065368700403</v>
      </c>
      <c r="AK373" s="28">
        <f>[1]服务器生态!X388</f>
        <v>35.397793187703172</v>
      </c>
      <c r="AL373" s="28">
        <f>[1]服务器生态!Y388</f>
        <v>2.889532148180785</v>
      </c>
      <c r="AM373" s="28">
        <f>[1]服务器生态!Z388</f>
        <v>0.51406818791838471</v>
      </c>
      <c r="AN373" s="28">
        <f>[1]服务器生态!AA388</f>
        <v>0.14874231984918573</v>
      </c>
    </row>
    <row r="374" spans="11:40" x14ac:dyDescent="0.2">
      <c r="K374" s="26">
        <v>368</v>
      </c>
      <c r="L374" s="26">
        <f>[1]节奏总纲!AD371</f>
        <v>85.26790032332562</v>
      </c>
      <c r="M374" s="26">
        <f>[1]节奏总纲!AE371</f>
        <v>87.366776130066015</v>
      </c>
      <c r="N374" s="26">
        <f>[1]节奏总纲!AF371</f>
        <v>90.576915546598215</v>
      </c>
      <c r="O374" s="26">
        <f>[1]节奏总纲!AG371</f>
        <v>95.498487426771987</v>
      </c>
      <c r="P374" s="26">
        <f>[1]节奏总纲!AH371</f>
        <v>104.28976554234049</v>
      </c>
      <c r="AI374" s="27">
        <v>368</v>
      </c>
      <c r="AJ374" s="28">
        <f>[1]服务器生态!W389</f>
        <v>35.681733085832555</v>
      </c>
      <c r="AK374" s="28">
        <f>[1]服务器生态!X389</f>
        <v>35.182515557543383</v>
      </c>
      <c r="AL374" s="28">
        <f>[1]服务器生态!Y389</f>
        <v>2.871958972648843</v>
      </c>
      <c r="AM374" s="28">
        <f>[1]服务器生态!Z389</f>
        <v>0.51094179581114874</v>
      </c>
      <c r="AN374" s="28">
        <f>[1]服务器生态!AA389</f>
        <v>0.147837718425255</v>
      </c>
    </row>
    <row r="375" spans="11:40" x14ac:dyDescent="0.2">
      <c r="K375" s="26">
        <v>369</v>
      </c>
      <c r="L375" s="26">
        <f>[1]节奏总纲!AD372</f>
        <v>85.306384405971258</v>
      </c>
      <c r="M375" s="26">
        <f>[1]节奏总纲!AE372</f>
        <v>87.404527850416358</v>
      </c>
      <c r="N375" s="26">
        <f>[1]节奏总纲!AF372</f>
        <v>90.617444363264397</v>
      </c>
      <c r="O375" s="26">
        <f>[1]节奏总纲!AG372</f>
        <v>95.53895480192071</v>
      </c>
      <c r="P375" s="26">
        <f>[1]节奏总纲!AH372</f>
        <v>104.32838559712479</v>
      </c>
      <c r="AI375" s="27">
        <v>369</v>
      </c>
      <c r="AJ375" s="28">
        <f>[1]服务器生态!W390</f>
        <v>35.463400802964692</v>
      </c>
      <c r="AK375" s="28">
        <f>[1]服务器生态!X390</f>
        <v>34.967237927383586</v>
      </c>
      <c r="AL375" s="28">
        <f>[1]服务器生态!Y390</f>
        <v>2.8543857971169007</v>
      </c>
      <c r="AM375" s="28">
        <f>[1]服务器生态!Z390</f>
        <v>0.50781540370391265</v>
      </c>
      <c r="AN375" s="28">
        <f>[1]服务器生态!AA390</f>
        <v>0.14693311700132425</v>
      </c>
    </row>
    <row r="376" spans="11:40" x14ac:dyDescent="0.2">
      <c r="K376" s="26">
        <v>370</v>
      </c>
      <c r="L376" s="26">
        <f>[1]节奏总纲!AD373</f>
        <v>85.344868488616882</v>
      </c>
      <c r="M376" s="26">
        <f>[1]节奏总纲!AE373</f>
        <v>87.442279570766701</v>
      </c>
      <c r="N376" s="26">
        <f>[1]节奏总纲!AF373</f>
        <v>90.657973179930593</v>
      </c>
      <c r="O376" s="26">
        <f>[1]节奏总纲!AG373</f>
        <v>95.579422177069432</v>
      </c>
      <c r="P376" s="26">
        <f>[1]节奏总纲!AH373</f>
        <v>104.36700565190911</v>
      </c>
      <c r="AI376" s="27">
        <v>370</v>
      </c>
      <c r="AJ376" s="28">
        <f>[1]服务器生态!W391</f>
        <v>35.245068520096837</v>
      </c>
      <c r="AK376" s="28">
        <f>[1]服务器生态!X391</f>
        <v>34.751960297223796</v>
      </c>
      <c r="AL376" s="28">
        <f>[1]服务器生态!Y391</f>
        <v>2.8368126215849583</v>
      </c>
      <c r="AM376" s="28">
        <f>[1]服务器生态!Z391</f>
        <v>0.50468901159667656</v>
      </c>
      <c r="AN376" s="28">
        <f>[1]服务器生态!AA391</f>
        <v>0.14602851557739349</v>
      </c>
    </row>
    <row r="377" spans="11:40" x14ac:dyDescent="0.2">
      <c r="K377" s="26">
        <v>371</v>
      </c>
      <c r="L377" s="26">
        <f>[1]节奏总纲!AD374</f>
        <v>85.38335257126252</v>
      </c>
      <c r="M377" s="26">
        <f>[1]节奏总纲!AE374</f>
        <v>87.480031291117044</v>
      </c>
      <c r="N377" s="26">
        <f>[1]节奏总纲!AF374</f>
        <v>90.698501996596775</v>
      </c>
      <c r="O377" s="26">
        <f>[1]节奏总纲!AG374</f>
        <v>95.619889552218154</v>
      </c>
      <c r="P377" s="26">
        <f>[1]节奏总纲!AH374</f>
        <v>104.40562570669341</v>
      </c>
      <c r="AI377" s="27">
        <v>371</v>
      </c>
      <c r="AJ377" s="28">
        <f>[1]服务器生态!W392</f>
        <v>35.026736237228974</v>
      </c>
      <c r="AK377" s="28">
        <f>[1]服务器生态!X392</f>
        <v>34.536682667063999</v>
      </c>
      <c r="AL377" s="28">
        <f>[1]服务器生态!Y392</f>
        <v>2.8192394460530159</v>
      </c>
      <c r="AM377" s="28">
        <f>[1]服务器生态!Z392</f>
        <v>0.50156261948944059</v>
      </c>
      <c r="AN377" s="28">
        <f>[1]服务器生态!AA392</f>
        <v>0.14512391415346271</v>
      </c>
    </row>
    <row r="378" spans="11:40" x14ac:dyDescent="0.2">
      <c r="K378" s="26">
        <v>372</v>
      </c>
      <c r="L378" s="26">
        <f>[1]节奏总纲!AD375</f>
        <v>85.421836653908144</v>
      </c>
      <c r="M378" s="26">
        <f>[1]节奏总纲!AE375</f>
        <v>87.517783011467387</v>
      </c>
      <c r="N378" s="26">
        <f>[1]节奏总纲!AF375</f>
        <v>90.739030813262971</v>
      </c>
      <c r="O378" s="26">
        <f>[1]节奏总纲!AG375</f>
        <v>95.660356927366877</v>
      </c>
      <c r="P378" s="26">
        <f>[1]节奏总纲!AH375</f>
        <v>104.44424576147773</v>
      </c>
      <c r="AI378" s="27">
        <v>372</v>
      </c>
      <c r="AJ378" s="28">
        <f>[1]服务器生态!W393</f>
        <v>34.808403954361125</v>
      </c>
      <c r="AK378" s="28">
        <f>[1]服务器生态!X393</f>
        <v>34.32140503690421</v>
      </c>
      <c r="AL378" s="28">
        <f>[1]服务器生态!Y393</f>
        <v>2.8016662705210744</v>
      </c>
      <c r="AM378" s="28">
        <f>[1]服务器生态!Z393</f>
        <v>0.49843622738220456</v>
      </c>
      <c r="AN378" s="28">
        <f>[1]服务器生态!AA393</f>
        <v>0.14421931272953198</v>
      </c>
    </row>
    <row r="379" spans="11:40" x14ac:dyDescent="0.2">
      <c r="K379" s="26">
        <v>373</v>
      </c>
      <c r="L379" s="26">
        <f>[1]节奏总纲!AD376</f>
        <v>85.460320736553783</v>
      </c>
      <c r="M379" s="26">
        <f>[1]节奏总纲!AE376</f>
        <v>87.55553473181773</v>
      </c>
      <c r="N379" s="26">
        <f>[1]节奏总纲!AF376</f>
        <v>90.779559629929153</v>
      </c>
      <c r="O379" s="26">
        <f>[1]节奏总纲!AG376</f>
        <v>95.700824302515599</v>
      </c>
      <c r="P379" s="26">
        <f>[1]节奏总纲!AH376</f>
        <v>104.48286581626203</v>
      </c>
      <c r="AI379" s="27">
        <v>373</v>
      </c>
      <c r="AJ379" s="28">
        <f>[1]服务器生态!W394</f>
        <v>34.59007167149327</v>
      </c>
      <c r="AK379" s="28">
        <f>[1]服务器生态!X394</f>
        <v>34.106127406744413</v>
      </c>
      <c r="AL379" s="28">
        <f>[1]服务器生态!Y394</f>
        <v>2.784093094989132</v>
      </c>
      <c r="AM379" s="28">
        <f>[1]服务器生态!Z394</f>
        <v>0.49530983527496847</v>
      </c>
      <c r="AN379" s="28">
        <f>[1]服务器生态!AA394</f>
        <v>0.14331471130560122</v>
      </c>
    </row>
    <row r="380" spans="11:40" x14ac:dyDescent="0.2">
      <c r="K380" s="26">
        <v>374</v>
      </c>
      <c r="L380" s="26">
        <f>[1]节奏总纲!AD377</f>
        <v>85.498804819199421</v>
      </c>
      <c r="M380" s="26">
        <f>[1]节奏总纲!AE377</f>
        <v>87.593286452168073</v>
      </c>
      <c r="N380" s="26">
        <f>[1]节奏总纲!AF377</f>
        <v>90.820088446595349</v>
      </c>
      <c r="O380" s="26">
        <f>[1]节奏总纲!AG377</f>
        <v>95.741291677664321</v>
      </c>
      <c r="P380" s="26">
        <f>[1]节奏总纲!AH377</f>
        <v>104.52148587104634</v>
      </c>
      <c r="AI380" s="27">
        <v>374</v>
      </c>
      <c r="AJ380" s="28">
        <f>[1]服务器生态!W395</f>
        <v>34.371739388625407</v>
      </c>
      <c r="AK380" s="28">
        <f>[1]服务器生态!X395</f>
        <v>33.890849776584623</v>
      </c>
      <c r="AL380" s="28">
        <f>[1]服务器生态!Y395</f>
        <v>2.7665199194571897</v>
      </c>
      <c r="AM380" s="28">
        <f>[1]服务器生态!Z395</f>
        <v>0.49218344316773244</v>
      </c>
      <c r="AN380" s="28">
        <f>[1]服务器生态!AA395</f>
        <v>0.14241010988167047</v>
      </c>
    </row>
    <row r="381" spans="11:40" x14ac:dyDescent="0.2">
      <c r="K381" s="26">
        <v>375</v>
      </c>
      <c r="L381" s="26">
        <f>[1]节奏总纲!AD378</f>
        <v>85.537288901845045</v>
      </c>
      <c r="M381" s="26">
        <f>[1]节奏总纲!AE378</f>
        <v>87.631038172518416</v>
      </c>
      <c r="N381" s="26">
        <f>[1]节奏总纲!AF378</f>
        <v>90.860617263261531</v>
      </c>
      <c r="O381" s="26">
        <f>[1]节奏总纲!AG378</f>
        <v>95.781759052813044</v>
      </c>
      <c r="P381" s="26">
        <f>[1]节奏总纲!AH378</f>
        <v>104.56010592583065</v>
      </c>
      <c r="AI381" s="27">
        <v>375</v>
      </c>
      <c r="AJ381" s="28">
        <f>[1]服务器生态!W396</f>
        <v>34.153407105757552</v>
      </c>
      <c r="AK381" s="28">
        <f>[1]服务器生态!X396</f>
        <v>33.675572146424827</v>
      </c>
      <c r="AL381" s="28">
        <f>[1]服务器生态!Y396</f>
        <v>2.7489467439252473</v>
      </c>
      <c r="AM381" s="28">
        <f>[1]服务器生态!Z396</f>
        <v>0.48905705106049635</v>
      </c>
      <c r="AN381" s="28">
        <f>[1]服务器生态!AA396</f>
        <v>0.14150550845773968</v>
      </c>
    </row>
    <row r="382" spans="11:40" x14ac:dyDescent="0.2">
      <c r="K382" s="26">
        <v>376</v>
      </c>
      <c r="L382" s="26">
        <f>[1]节奏总纲!AD379</f>
        <v>85.575772984490683</v>
      </c>
      <c r="M382" s="26">
        <f>[1]节奏总纲!AE379</f>
        <v>87.668789892868759</v>
      </c>
      <c r="N382" s="26">
        <f>[1]节奏总纲!AF379</f>
        <v>90.901146079927727</v>
      </c>
      <c r="O382" s="26">
        <f>[1]节奏总纲!AG379</f>
        <v>95.822226427961766</v>
      </c>
      <c r="P382" s="26">
        <f>[1]节奏总纲!AH379</f>
        <v>104.59872598061496</v>
      </c>
      <c r="AI382" s="27">
        <v>376</v>
      </c>
      <c r="AJ382" s="28">
        <f>[1]服务器生态!W397</f>
        <v>33.935074822889703</v>
      </c>
      <c r="AK382" s="28">
        <f>[1]服务器生态!X397</f>
        <v>33.460294516265037</v>
      </c>
      <c r="AL382" s="28">
        <f>[1]服务器生态!Y397</f>
        <v>2.7313735683933054</v>
      </c>
      <c r="AM382" s="28">
        <f>[1]服务器生态!Z397</f>
        <v>0.48593065895326037</v>
      </c>
      <c r="AN382" s="28">
        <f>[1]服务器生态!AA397</f>
        <v>0.14060090703380895</v>
      </c>
    </row>
    <row r="383" spans="11:40" x14ac:dyDescent="0.2">
      <c r="K383" s="26">
        <v>377</v>
      </c>
      <c r="L383" s="26">
        <f>[1]节奏总纲!AD380</f>
        <v>85.614257067136322</v>
      </c>
      <c r="M383" s="26">
        <f>[1]节奏总纲!AE380</f>
        <v>87.706541613219102</v>
      </c>
      <c r="N383" s="26">
        <f>[1]节奏总纲!AF380</f>
        <v>90.941674896593909</v>
      </c>
      <c r="O383" s="26">
        <f>[1]节奏总纲!AG380</f>
        <v>95.862693803110488</v>
      </c>
      <c r="P383" s="26">
        <f>[1]节奏总纲!AH380</f>
        <v>104.63734603539928</v>
      </c>
      <c r="AI383" s="27">
        <v>377</v>
      </c>
      <c r="AJ383" s="28">
        <f>[1]服务器生态!W398</f>
        <v>33.716742540021841</v>
      </c>
      <c r="AK383" s="28">
        <f>[1]服务器生态!X398</f>
        <v>33.24501688610524</v>
      </c>
      <c r="AL383" s="28">
        <f>[1]服务器生态!Y398</f>
        <v>2.713800392861363</v>
      </c>
      <c r="AM383" s="28">
        <f>[1]服务器生态!Z398</f>
        <v>0.48280426684602429</v>
      </c>
      <c r="AN383" s="28">
        <f>[1]服务器生态!AA398</f>
        <v>0.1396963056098782</v>
      </c>
    </row>
    <row r="384" spans="11:40" x14ac:dyDescent="0.2">
      <c r="K384" s="26">
        <v>378</v>
      </c>
      <c r="L384" s="26">
        <f>[1]节奏总纲!AD381</f>
        <v>85.652741149781946</v>
      </c>
      <c r="M384" s="26">
        <f>[1]节奏总纲!AE381</f>
        <v>87.744293333569445</v>
      </c>
      <c r="N384" s="26">
        <f>[1]节奏总纲!AF381</f>
        <v>90.982203713260105</v>
      </c>
      <c r="O384" s="26">
        <f>[1]节奏总纲!AG381</f>
        <v>95.903161178259211</v>
      </c>
      <c r="P384" s="26">
        <f>[1]节奏总纲!AH381</f>
        <v>104.67596609018358</v>
      </c>
      <c r="AI384" s="27">
        <v>378</v>
      </c>
      <c r="AJ384" s="28">
        <f>[1]服务器生态!W399</f>
        <v>33.498410257153985</v>
      </c>
      <c r="AK384" s="28">
        <f>[1]服务器生态!X399</f>
        <v>33.029739255945444</v>
      </c>
      <c r="AL384" s="28">
        <f>[1]服务器生态!Y399</f>
        <v>2.6962272173294206</v>
      </c>
      <c r="AM384" s="28">
        <f>[1]服务器生态!Z399</f>
        <v>0.4796778747387882</v>
      </c>
      <c r="AN384" s="28">
        <f>[1]服务器生态!AA399</f>
        <v>0.13879170418594744</v>
      </c>
    </row>
    <row r="385" spans="11:40" x14ac:dyDescent="0.2">
      <c r="K385" s="26">
        <v>379</v>
      </c>
      <c r="L385" s="26">
        <f>[1]节奏总纲!AD382</f>
        <v>85.691225232427584</v>
      </c>
      <c r="M385" s="26">
        <f>[1]节奏总纲!AE382</f>
        <v>87.782045053919788</v>
      </c>
      <c r="N385" s="26">
        <f>[1]节奏总纲!AF382</f>
        <v>91.021020756054753</v>
      </c>
      <c r="O385" s="26">
        <f>[1]节奏总纲!AG382</f>
        <v>95.943628553407933</v>
      </c>
      <c r="P385" s="26">
        <f>[1]节奏总纲!AH382</f>
        <v>104.7145861449679</v>
      </c>
      <c r="AI385" s="27">
        <v>379</v>
      </c>
      <c r="AJ385" s="28">
        <f>[1]服务器生态!W400</f>
        <v>33.280077974286122</v>
      </c>
      <c r="AK385" s="28">
        <f>[1]服务器生态!X400</f>
        <v>32.814461625785654</v>
      </c>
      <c r="AL385" s="28">
        <f>[1]服务器生态!Y400</f>
        <v>2.6786540417974782</v>
      </c>
      <c r="AM385" s="28">
        <f>[1]服务器生态!Z400</f>
        <v>0.47655148263155211</v>
      </c>
      <c r="AN385" s="28">
        <f>[1]服务器生态!AA400</f>
        <v>0.13788710276201668</v>
      </c>
    </row>
    <row r="386" spans="11:40" x14ac:dyDescent="0.2">
      <c r="K386" s="26">
        <v>380</v>
      </c>
      <c r="L386" s="26">
        <f>[1]节奏总纲!AD383</f>
        <v>85.729709315073208</v>
      </c>
      <c r="M386" s="26">
        <f>[1]节奏总纲!AE383</f>
        <v>87.819796774270131</v>
      </c>
      <c r="N386" s="26">
        <f>[1]节奏总纲!AF383</f>
        <v>91.05849772720974</v>
      </c>
      <c r="O386" s="26">
        <f>[1]节奏总纲!AG383</f>
        <v>95.984095928556656</v>
      </c>
      <c r="P386" s="26">
        <f>[1]节奏总纲!AH383</f>
        <v>104.7532061997522</v>
      </c>
      <c r="AI386" s="27">
        <v>380</v>
      </c>
      <c r="AJ386" s="28">
        <f>[1]服务器生态!W401</f>
        <v>33.061745691418274</v>
      </c>
      <c r="AK386" s="28">
        <f>[1]服务器生态!X401</f>
        <v>32.599183995625864</v>
      </c>
      <c r="AL386" s="28">
        <f>[1]服务器生态!Y401</f>
        <v>2.6610808662655367</v>
      </c>
      <c r="AM386" s="28">
        <f>[1]服务器生态!Z401</f>
        <v>0.47342509052431614</v>
      </c>
      <c r="AN386" s="28">
        <f>[1]服务器生态!AA401</f>
        <v>0.13698250133808593</v>
      </c>
    </row>
    <row r="387" spans="11:40" x14ac:dyDescent="0.2">
      <c r="K387" s="26">
        <v>381</v>
      </c>
      <c r="L387" s="26">
        <f>[1]节奏总纲!AD384</f>
        <v>85.768193397718846</v>
      </c>
      <c r="M387" s="26">
        <f>[1]节奏总纲!AE384</f>
        <v>87.857548494620474</v>
      </c>
      <c r="N387" s="26">
        <f>[1]节奏总纲!AF384</f>
        <v>91.095974698364728</v>
      </c>
      <c r="O387" s="26">
        <f>[1]节奏总纲!AG384</f>
        <v>96.021112985603693</v>
      </c>
      <c r="P387" s="26">
        <f>[1]节奏总纲!AH384</f>
        <v>104.79182625453652</v>
      </c>
      <c r="AI387" s="27">
        <v>381</v>
      </c>
      <c r="AJ387" s="28">
        <f>[1]服务器生态!W402</f>
        <v>32.843413408550418</v>
      </c>
      <c r="AK387" s="28">
        <f>[1]服务器生态!X402</f>
        <v>32.383906365466068</v>
      </c>
      <c r="AL387" s="28">
        <f>[1]服务器生态!Y402</f>
        <v>2.6435076907335944</v>
      </c>
      <c r="AM387" s="28">
        <f>[1]服务器生态!Z402</f>
        <v>0.47029869841708011</v>
      </c>
      <c r="AN387" s="28">
        <f>[1]服务器生态!AA402</f>
        <v>0.13607789991415517</v>
      </c>
    </row>
    <row r="388" spans="11:40" x14ac:dyDescent="0.2">
      <c r="K388" s="26">
        <v>382</v>
      </c>
      <c r="L388" s="26">
        <f>[1]节奏总纲!AD385</f>
        <v>85.806677480364485</v>
      </c>
      <c r="M388" s="26">
        <f>[1]节奏总纲!AE385</f>
        <v>87.895300214970817</v>
      </c>
      <c r="N388" s="26">
        <f>[1]节奏总纲!AF385</f>
        <v>91.133451669519715</v>
      </c>
      <c r="O388" s="26">
        <f>[1]节奏总纲!AG385</f>
        <v>96.055896055470086</v>
      </c>
      <c r="P388" s="26">
        <f>[1]节奏总纲!AH385</f>
        <v>104.83044630932082</v>
      </c>
      <c r="AI388" s="27">
        <v>382</v>
      </c>
      <c r="AJ388" s="28">
        <f>[1]服务器生态!W403</f>
        <v>32.625081125682556</v>
      </c>
      <c r="AK388" s="28">
        <f>[1]服务器生态!X403</f>
        <v>32.168628735306271</v>
      </c>
      <c r="AL388" s="28">
        <f>[1]服务器生态!Y403</f>
        <v>2.625934515201652</v>
      </c>
      <c r="AM388" s="28">
        <f>[1]服务器生态!Z403</f>
        <v>0.46717230630984402</v>
      </c>
      <c r="AN388" s="28">
        <f>[1]服务器生态!AA403</f>
        <v>0.13517329849022441</v>
      </c>
    </row>
    <row r="389" spans="11:40" x14ac:dyDescent="0.2">
      <c r="K389" s="26">
        <v>383</v>
      </c>
      <c r="L389" s="26">
        <f>[1]节奏总纲!AD386</f>
        <v>85.845161563010109</v>
      </c>
      <c r="M389" s="26">
        <f>[1]节奏总纲!AE386</f>
        <v>87.93305193532116</v>
      </c>
      <c r="N389" s="26">
        <f>[1]节奏总纲!AF386</f>
        <v>91.170928640674703</v>
      </c>
      <c r="O389" s="26">
        <f>[1]节奏总纲!AG386</f>
        <v>96.090679125336493</v>
      </c>
      <c r="P389" s="26">
        <f>[1]节奏总纲!AH386</f>
        <v>104.86906636410514</v>
      </c>
      <c r="AI389" s="27">
        <v>383</v>
      </c>
      <c r="AJ389" s="28">
        <f>[1]服务器生态!W404</f>
        <v>32.4067488428147</v>
      </c>
      <c r="AK389" s="28">
        <f>[1]服务器生态!X404</f>
        <v>31.953351105146478</v>
      </c>
      <c r="AL389" s="28">
        <f>[1]服务器生态!Y404</f>
        <v>2.6083613396697096</v>
      </c>
      <c r="AM389" s="28">
        <f>[1]服务器生态!Z404</f>
        <v>0.46404591420260793</v>
      </c>
      <c r="AN389" s="28">
        <f>[1]服务器生态!AA404</f>
        <v>0.13426869706629366</v>
      </c>
    </row>
    <row r="390" spans="11:40" x14ac:dyDescent="0.2">
      <c r="K390" s="26">
        <v>384</v>
      </c>
      <c r="L390" s="26">
        <f>[1]节奏总纲!AD387</f>
        <v>85.883645645655747</v>
      </c>
      <c r="M390" s="26">
        <f>[1]节奏总纲!AE387</f>
        <v>87.970803655671503</v>
      </c>
      <c r="N390" s="26">
        <f>[1]节奏总纲!AF387</f>
        <v>91.208405611829704</v>
      </c>
      <c r="O390" s="26">
        <f>[1]节奏总纲!AG387</f>
        <v>96.1254621952029</v>
      </c>
      <c r="P390" s="26">
        <f>[1]节奏总纲!AH387</f>
        <v>104.90768641888944</v>
      </c>
      <c r="AI390" s="27">
        <v>384</v>
      </c>
      <c r="AJ390" s="28">
        <f>[1]服务器生态!W405</f>
        <v>32.188416559946852</v>
      </c>
      <c r="AK390" s="28">
        <f>[1]服务器生态!X405</f>
        <v>31.738073474986692</v>
      </c>
      <c r="AL390" s="28">
        <f>[1]服务器生态!Y405</f>
        <v>2.5907881641377677</v>
      </c>
      <c r="AM390" s="28">
        <f>[1]服务器生态!Z405</f>
        <v>0.46091952209537196</v>
      </c>
      <c r="AN390" s="28">
        <f>[1]服务器生态!AA405</f>
        <v>0.1333640956423629</v>
      </c>
    </row>
    <row r="391" spans="11:40" x14ac:dyDescent="0.2">
      <c r="K391" s="26">
        <v>385</v>
      </c>
      <c r="L391" s="26">
        <f>[1]节奏总纲!AD388</f>
        <v>85.922129728301385</v>
      </c>
      <c r="M391" s="26">
        <f>[1]节奏总纲!AE388</f>
        <v>88.008389927102499</v>
      </c>
      <c r="N391" s="26">
        <f>[1]节奏总纲!AF388</f>
        <v>91.245882582984692</v>
      </c>
      <c r="O391" s="26">
        <f>[1]节奏总纲!AG388</f>
        <v>96.160245265069307</v>
      </c>
      <c r="P391" s="26">
        <f>[1]节奏总纲!AH388</f>
        <v>104.94630647367376</v>
      </c>
      <c r="AI391" s="27">
        <v>385</v>
      </c>
      <c r="AJ391" s="28">
        <f>[1]服务器生态!W406</f>
        <v>31.970084277078989</v>
      </c>
      <c r="AK391" s="28">
        <f>[1]服务器生态!X406</f>
        <v>31.522795844826895</v>
      </c>
      <c r="AL391" s="28">
        <f>[1]服务器生态!Y406</f>
        <v>2.5732149886058253</v>
      </c>
      <c r="AM391" s="28">
        <f>[1]服务器生态!Z406</f>
        <v>0.45779312998813587</v>
      </c>
      <c r="AN391" s="28">
        <f>[1]服务器生态!AA406</f>
        <v>0.13245949421843214</v>
      </c>
    </row>
    <row r="392" spans="11:40" x14ac:dyDescent="0.2">
      <c r="K392" s="26">
        <v>386</v>
      </c>
      <c r="L392" s="26">
        <f>[1]节奏总纲!AD389</f>
        <v>85.960613810947009</v>
      </c>
      <c r="M392" s="26">
        <f>[1]节奏总纲!AE389</f>
        <v>88.04541158236637</v>
      </c>
      <c r="N392" s="26">
        <f>[1]节奏总纲!AF389</f>
        <v>91.283359554139679</v>
      </c>
      <c r="O392" s="26">
        <f>[1]节奏总纲!AG389</f>
        <v>96.195028334935699</v>
      </c>
      <c r="P392" s="26">
        <f>[1]节奏总纲!AH389</f>
        <v>104.98492652845806</v>
      </c>
      <c r="AI392" s="27">
        <v>386</v>
      </c>
      <c r="AJ392" s="28">
        <f>[1]服务器生态!W407</f>
        <v>31.751751994211133</v>
      </c>
      <c r="AK392" s="28">
        <f>[1]服务器生态!X407</f>
        <v>31.307518214667098</v>
      </c>
      <c r="AL392" s="28">
        <f>[1]服务器生态!Y407</f>
        <v>2.5556418130738829</v>
      </c>
      <c r="AM392" s="28">
        <f>[1]服务器生态!Z407</f>
        <v>0.45466673788089984</v>
      </c>
      <c r="AN392" s="28">
        <f>[1]服务器生态!AA407</f>
        <v>0.13155489279450139</v>
      </c>
    </row>
    <row r="393" spans="11:40" x14ac:dyDescent="0.2">
      <c r="K393" s="26">
        <v>387</v>
      </c>
      <c r="L393" s="26">
        <f>[1]节奏总纲!AD390</f>
        <v>85.999097893592648</v>
      </c>
      <c r="M393" s="26">
        <f>[1]节奏总纲!AE390</f>
        <v>88.082433237630241</v>
      </c>
      <c r="N393" s="26">
        <f>[1]节奏总纲!AF390</f>
        <v>91.320836525294666</v>
      </c>
      <c r="O393" s="26">
        <f>[1]节奏总纲!AG390</f>
        <v>96.229811404802106</v>
      </c>
      <c r="P393" s="26">
        <f>[1]节奏总纲!AH390</f>
        <v>105.02327036088481</v>
      </c>
      <c r="AI393" s="27">
        <v>387</v>
      </c>
      <c r="AJ393" s="28">
        <f>[1]服务器生态!W408</f>
        <v>31.533419711343274</v>
      </c>
      <c r="AK393" s="28">
        <f>[1]服务器生态!X408</f>
        <v>31.092240584507305</v>
      </c>
      <c r="AL393" s="28">
        <f>[1]服务器生态!Y408</f>
        <v>2.5380686375419406</v>
      </c>
      <c r="AM393" s="28">
        <f>[1]服务器生态!Z408</f>
        <v>0.45154034577366375</v>
      </c>
      <c r="AN393" s="28">
        <f>[1]服务器生态!AA408</f>
        <v>0.13065029137057063</v>
      </c>
    </row>
    <row r="394" spans="11:40" x14ac:dyDescent="0.2">
      <c r="K394" s="26">
        <v>388</v>
      </c>
      <c r="L394" s="26">
        <f>[1]节奏总纲!AD391</f>
        <v>86.035065223717467</v>
      </c>
      <c r="M394" s="26">
        <f>[1]节奏总纲!AE391</f>
        <v>88.119454892894112</v>
      </c>
      <c r="N394" s="26">
        <f>[1]节奏总纲!AF391</f>
        <v>91.358313496449654</v>
      </c>
      <c r="O394" s="26">
        <f>[1]节奏总纲!AG391</f>
        <v>96.264594474668513</v>
      </c>
      <c r="P394" s="26">
        <f>[1]节奏总纲!AH391</f>
        <v>105.06143736808798</v>
      </c>
      <c r="AI394" s="27">
        <v>388</v>
      </c>
      <c r="AJ394" s="28">
        <f>[1]服务器生态!W409</f>
        <v>31.315087428475415</v>
      </c>
      <c r="AK394" s="28">
        <f>[1]服务器生态!X409</f>
        <v>30.876962954347508</v>
      </c>
      <c r="AL394" s="28">
        <f>[1]服务器生态!Y409</f>
        <v>2.5204954620099982</v>
      </c>
      <c r="AM394" s="28">
        <f>[1]服务器生态!Z409</f>
        <v>0.44841395366642767</v>
      </c>
      <c r="AN394" s="28">
        <f>[1]服务器生态!AA409</f>
        <v>0.12974568994663987</v>
      </c>
    </row>
    <row r="395" spans="11:40" x14ac:dyDescent="0.2">
      <c r="K395" s="26">
        <v>389</v>
      </c>
      <c r="L395" s="26">
        <f>[1]节奏总纲!AD392</f>
        <v>86.070972142474872</v>
      </c>
      <c r="M395" s="26">
        <f>[1]节奏总纲!AE392</f>
        <v>88.156476548157968</v>
      </c>
      <c r="N395" s="26">
        <f>[1]节奏总纲!AF392</f>
        <v>91.395790467604641</v>
      </c>
      <c r="O395" s="26">
        <f>[1]节奏总纲!AG392</f>
        <v>96.29937754453492</v>
      </c>
      <c r="P395" s="26">
        <f>[1]节奏总纲!AH392</f>
        <v>105.09960437529116</v>
      </c>
      <c r="AI395" s="27">
        <v>389</v>
      </c>
      <c r="AJ395" s="28">
        <f>[1]服务器生态!W410</f>
        <v>31.096755145607563</v>
      </c>
      <c r="AK395" s="28">
        <f>[1]服务器生态!X410</f>
        <v>30.661685324187722</v>
      </c>
      <c r="AL395" s="28">
        <f>[1]服务器生态!Y410</f>
        <v>2.5029222864780567</v>
      </c>
      <c r="AM395" s="28">
        <f>[1]服务器生态!Z410</f>
        <v>0.44528756155919169</v>
      </c>
      <c r="AN395" s="28">
        <f>[1]服务器生态!AA410</f>
        <v>0.12884108852270912</v>
      </c>
    </row>
    <row r="396" spans="11:40" x14ac:dyDescent="0.2">
      <c r="K396" s="26">
        <v>390</v>
      </c>
      <c r="L396" s="26">
        <f>[1]节奏总纲!AD393</f>
        <v>86.106879061232277</v>
      </c>
      <c r="M396" s="26">
        <f>[1]节奏总纲!AE393</f>
        <v>88.193498203421839</v>
      </c>
      <c r="N396" s="26">
        <f>[1]节奏总纲!AF393</f>
        <v>91.433267438759643</v>
      </c>
      <c r="O396" s="26">
        <f>[1]节奏总纲!AG393</f>
        <v>96.334160614401313</v>
      </c>
      <c r="P396" s="26">
        <f>[1]节奏总纲!AH393</f>
        <v>105.13777138249434</v>
      </c>
      <c r="AI396" s="27">
        <v>390</v>
      </c>
      <c r="AJ396" s="28">
        <f>[1]服务器生态!W411</f>
        <v>30.878422862739708</v>
      </c>
      <c r="AK396" s="28">
        <f>[1]服务器生态!X411</f>
        <v>30.446407694027926</v>
      </c>
      <c r="AL396" s="28">
        <f>[1]服务器生态!Y411</f>
        <v>2.4853491109461143</v>
      </c>
      <c r="AM396" s="28">
        <f>[1]服务器生态!Z411</f>
        <v>0.4421611694519556</v>
      </c>
      <c r="AN396" s="28">
        <f>[1]服务器生态!AA411</f>
        <v>0.12793648709877836</v>
      </c>
    </row>
    <row r="397" spans="11:40" x14ac:dyDescent="0.2">
      <c r="K397" s="26">
        <v>391</v>
      </c>
      <c r="L397" s="26">
        <f>[1]节奏总纲!AD394</f>
        <v>86.142785979989682</v>
      </c>
      <c r="M397" s="26">
        <f>[1]节奏总纲!AE394</f>
        <v>88.23051985868571</v>
      </c>
      <c r="N397" s="26">
        <f>[1]节奏总纲!AF394</f>
        <v>91.47074440991463</v>
      </c>
      <c r="O397" s="26">
        <f>[1]节奏总纲!AG394</f>
        <v>96.36894368426772</v>
      </c>
      <c r="P397" s="26">
        <f>[1]节奏总纲!AH394</f>
        <v>105.17593838969751</v>
      </c>
      <c r="AI397" s="27">
        <v>391</v>
      </c>
      <c r="AJ397" s="28">
        <f>[1]服务器生态!W412</f>
        <v>30.698298729373722</v>
      </c>
      <c r="AK397" s="28">
        <f>[1]服务器生态!X412</f>
        <v>30.268803649146093</v>
      </c>
      <c r="AL397" s="28">
        <f>[1]服务器生态!Y412</f>
        <v>2.4708512411322614</v>
      </c>
      <c r="AM397" s="28">
        <f>[1]服务器生态!Z412</f>
        <v>0.43958189596348585</v>
      </c>
      <c r="AN397" s="28">
        <f>[1]服务器生态!AA412</f>
        <v>0.12719019092403547</v>
      </c>
    </row>
    <row r="398" spans="11:40" x14ac:dyDescent="0.2">
      <c r="K398" s="26">
        <v>392</v>
      </c>
      <c r="L398" s="26">
        <f>[1]节奏总纲!AD395</f>
        <v>86.178692898747087</v>
      </c>
      <c r="M398" s="26">
        <f>[1]节奏总纲!AE395</f>
        <v>88.267541513949581</v>
      </c>
      <c r="N398" s="26">
        <f>[1]节奏总纲!AF395</f>
        <v>91.508221381069617</v>
      </c>
      <c r="O398" s="26">
        <f>[1]节奏总纲!AG395</f>
        <v>96.403726754134127</v>
      </c>
      <c r="P398" s="26">
        <f>[1]节奏总纲!AH395</f>
        <v>105.21410539690069</v>
      </c>
      <c r="AI398" s="27">
        <v>392</v>
      </c>
      <c r="AJ398" s="28">
        <f>[1]服务器生态!W413</f>
        <v>30.518174596007743</v>
      </c>
      <c r="AK398" s="28">
        <f>[1]服务器生态!X413</f>
        <v>30.091199604264265</v>
      </c>
      <c r="AL398" s="28">
        <f>[1]服务器生态!Y413</f>
        <v>2.4563533713184094</v>
      </c>
      <c r="AM398" s="28">
        <f>[1]服务器生态!Z413</f>
        <v>0.43700262247501614</v>
      </c>
      <c r="AN398" s="28">
        <f>[1]服务器生态!AA413</f>
        <v>0.1264438947492926</v>
      </c>
    </row>
    <row r="399" spans="11:40" x14ac:dyDescent="0.2">
      <c r="K399" s="26">
        <v>393</v>
      </c>
      <c r="L399" s="26">
        <f>[1]节奏总纲!AD396</f>
        <v>86.214599817504492</v>
      </c>
      <c r="M399" s="26">
        <f>[1]节奏总纲!AE396</f>
        <v>88.304563169213452</v>
      </c>
      <c r="N399" s="26">
        <f>[1]节奏总纲!AF396</f>
        <v>91.545698352224605</v>
      </c>
      <c r="O399" s="26">
        <f>[1]节奏总纲!AG396</f>
        <v>96.438509824000519</v>
      </c>
      <c r="P399" s="26">
        <f>[1]节奏总纲!AH396</f>
        <v>105.25227240410386</v>
      </c>
      <c r="AI399" s="27">
        <v>393</v>
      </c>
      <c r="AJ399" s="28">
        <f>[1]服务器生态!W414</f>
        <v>30.33805046264176</v>
      </c>
      <c r="AK399" s="28">
        <f>[1]服务器生态!X414</f>
        <v>29.913595559382436</v>
      </c>
      <c r="AL399" s="28">
        <f>[1]服务器生态!Y414</f>
        <v>2.4418555015045573</v>
      </c>
      <c r="AM399" s="28">
        <f>[1]服务器生态!Z414</f>
        <v>0.43442334898654639</v>
      </c>
      <c r="AN399" s="28">
        <f>[1]服务器生态!AA414</f>
        <v>0.12569759857454973</v>
      </c>
    </row>
    <row r="400" spans="11:40" x14ac:dyDescent="0.2">
      <c r="K400" s="26">
        <v>394</v>
      </c>
      <c r="L400" s="26">
        <f>[1]节奏总纲!AD397</f>
        <v>86.250506736261897</v>
      </c>
      <c r="M400" s="26">
        <f>[1]节奏总纲!AE397</f>
        <v>88.341584824477309</v>
      </c>
      <c r="N400" s="26">
        <f>[1]节奏总纲!AF397</f>
        <v>91.583175323379592</v>
      </c>
      <c r="O400" s="26">
        <f>[1]节奏总纲!AG397</f>
        <v>96.473292893866926</v>
      </c>
      <c r="P400" s="26">
        <f>[1]节奏总纲!AH397</f>
        <v>105.29043941130703</v>
      </c>
      <c r="AI400" s="27">
        <v>394</v>
      </c>
      <c r="AJ400" s="28">
        <f>[1]服务器生态!W415</f>
        <v>30.157926329275778</v>
      </c>
      <c r="AK400" s="28">
        <f>[1]服务器生态!X415</f>
        <v>29.735991514500608</v>
      </c>
      <c r="AL400" s="28">
        <f>[1]服务器生态!Y415</f>
        <v>2.4273576316907048</v>
      </c>
      <c r="AM400" s="28">
        <f>[1]服务器生态!Z415</f>
        <v>0.43184407549807663</v>
      </c>
      <c r="AN400" s="28">
        <f>[1]服务器生态!AA415</f>
        <v>0.12495130239980685</v>
      </c>
    </row>
    <row r="401" spans="11:40" x14ac:dyDescent="0.2">
      <c r="K401" s="26">
        <v>395</v>
      </c>
      <c r="L401" s="26">
        <f>[1]节奏总纲!AD398</f>
        <v>86.286413655019302</v>
      </c>
      <c r="M401" s="26">
        <f>[1]节奏总纲!AE398</f>
        <v>88.37860647974118</v>
      </c>
      <c r="N401" s="26">
        <f>[1]节奏总纲!AF398</f>
        <v>91.62065229453458</v>
      </c>
      <c r="O401" s="26">
        <f>[1]节奏总纲!AG398</f>
        <v>96.508075963733333</v>
      </c>
      <c r="P401" s="26">
        <f>[1]节奏总纲!AH398</f>
        <v>105.32860641851022</v>
      </c>
      <c r="AI401" s="27">
        <v>395</v>
      </c>
      <c r="AJ401" s="28">
        <f>[1]服务器生态!W416</f>
        <v>29.977802195909796</v>
      </c>
      <c r="AK401" s="28">
        <f>[1]服务器生态!X416</f>
        <v>29.558387469618779</v>
      </c>
      <c r="AL401" s="28">
        <f>[1]服务器生态!Y416</f>
        <v>2.4128597618768524</v>
      </c>
      <c r="AM401" s="28">
        <f>[1]服务器生态!Z416</f>
        <v>0.42926480200960693</v>
      </c>
      <c r="AN401" s="28">
        <f>[1]服务器生态!AA416</f>
        <v>0.12420500622506399</v>
      </c>
    </row>
    <row r="402" spans="11:40" x14ac:dyDescent="0.2">
      <c r="K402" s="26">
        <v>396</v>
      </c>
      <c r="L402" s="26">
        <f>[1]节奏总纲!AD399</f>
        <v>86.322320573776707</v>
      </c>
      <c r="M402" s="26">
        <f>[1]节奏总纲!AE399</f>
        <v>88.415628135005051</v>
      </c>
      <c r="N402" s="26">
        <f>[1]节奏总纲!AF399</f>
        <v>91.658129265689567</v>
      </c>
      <c r="O402" s="26">
        <f>[1]节奏总纲!AG399</f>
        <v>96.54285903359974</v>
      </c>
      <c r="P402" s="26">
        <f>[1]节奏总纲!AH399</f>
        <v>105.36677342571339</v>
      </c>
      <c r="AI402" s="27">
        <v>396</v>
      </c>
      <c r="AJ402" s="28">
        <f>[1]服务器生态!W417</f>
        <v>29.797678062543817</v>
      </c>
      <c r="AK402" s="28">
        <f>[1]服务器生态!X417</f>
        <v>29.380783424736951</v>
      </c>
      <c r="AL402" s="28">
        <f>[1]服务器生态!Y417</f>
        <v>2.3983618920630003</v>
      </c>
      <c r="AM402" s="28">
        <f>[1]服务器生态!Z417</f>
        <v>0.42668552852113717</v>
      </c>
      <c r="AN402" s="28">
        <f>[1]服务器生态!AA417</f>
        <v>0.12345871005032112</v>
      </c>
    </row>
    <row r="403" spans="11:40" x14ac:dyDescent="0.2">
      <c r="K403" s="26">
        <v>397</v>
      </c>
      <c r="L403" s="26">
        <f>[1]节奏总纲!AD400</f>
        <v>86.358227492534112</v>
      </c>
      <c r="M403" s="26">
        <f>[1]节奏总纲!AE400</f>
        <v>88.452649790268921</v>
      </c>
      <c r="N403" s="26">
        <f>[1]节奏总纲!AF400</f>
        <v>91.695606236844569</v>
      </c>
      <c r="O403" s="26">
        <f>[1]节奏总纲!AG400</f>
        <v>96.577642103466133</v>
      </c>
      <c r="P403" s="26">
        <f>[1]节奏总纲!AH400</f>
        <v>105.40494043291658</v>
      </c>
      <c r="AI403" s="27">
        <v>397</v>
      </c>
      <c r="AJ403" s="28">
        <f>[1]服务器生态!W418</f>
        <v>29.617553929177834</v>
      </c>
      <c r="AK403" s="28">
        <f>[1]服务器生态!X418</f>
        <v>29.203179379855118</v>
      </c>
      <c r="AL403" s="28">
        <f>[1]服务器生态!Y418</f>
        <v>2.3838640222491478</v>
      </c>
      <c r="AM403" s="28">
        <f>[1]服务器生态!Z418</f>
        <v>0.42410625503266741</v>
      </c>
      <c r="AN403" s="28">
        <f>[1]服务器生态!AA418</f>
        <v>0.12271241387557824</v>
      </c>
    </row>
    <row r="404" spans="11:40" x14ac:dyDescent="0.2">
      <c r="K404" s="26">
        <v>398</v>
      </c>
      <c r="L404" s="26">
        <f>[1]节奏总纲!AD401</f>
        <v>86.394134411291517</v>
      </c>
      <c r="M404" s="26">
        <f>[1]节奏总纲!AE401</f>
        <v>88.489671445532792</v>
      </c>
      <c r="N404" s="26">
        <f>[1]节奏总纲!AF401</f>
        <v>91.733083207999556</v>
      </c>
      <c r="O404" s="26">
        <f>[1]节奏总纲!AG401</f>
        <v>96.612425173332539</v>
      </c>
      <c r="P404" s="26">
        <f>[1]节奏总纲!AH401</f>
        <v>105.44310744011975</v>
      </c>
      <c r="AI404" s="27">
        <v>398</v>
      </c>
      <c r="AJ404" s="28">
        <f>[1]服务器生态!W419</f>
        <v>29.437429795811852</v>
      </c>
      <c r="AK404" s="28">
        <f>[1]服务器生态!X419</f>
        <v>29.02557533497329</v>
      </c>
      <c r="AL404" s="28">
        <f>[1]服务器生态!Y419</f>
        <v>2.3693661524352954</v>
      </c>
      <c r="AM404" s="28">
        <f>[1]服务器生态!Z419</f>
        <v>0.42152698154419771</v>
      </c>
      <c r="AN404" s="28">
        <f>[1]服务器生态!AA419</f>
        <v>0.12196611770083537</v>
      </c>
    </row>
    <row r="405" spans="11:40" x14ac:dyDescent="0.2">
      <c r="K405" s="26">
        <v>399</v>
      </c>
      <c r="L405" s="26">
        <f>[1]节奏总纲!AD402</f>
        <v>86.430041330048923</v>
      </c>
      <c r="M405" s="26">
        <f>[1]节奏总纲!AE402</f>
        <v>88.526693100796649</v>
      </c>
      <c r="N405" s="26">
        <f>[1]节奏总纲!AF402</f>
        <v>91.770560179154543</v>
      </c>
      <c r="O405" s="26">
        <f>[1]节奏总纲!AG402</f>
        <v>96.647208243198946</v>
      </c>
      <c r="P405" s="26">
        <f>[1]节奏总纲!AH402</f>
        <v>105.48127444732292</v>
      </c>
      <c r="AI405" s="27">
        <v>399</v>
      </c>
      <c r="AJ405" s="28">
        <f>[1]服务器生态!W420</f>
        <v>29.257305662445869</v>
      </c>
      <c r="AK405" s="28">
        <f>[1]服务器生态!X420</f>
        <v>28.847971290091458</v>
      </c>
      <c r="AL405" s="28">
        <f>[1]服务器生态!Y420</f>
        <v>2.3548682826214429</v>
      </c>
      <c r="AM405" s="28">
        <f>[1]服务器生态!Z420</f>
        <v>0.4189477080557279</v>
      </c>
      <c r="AN405" s="28">
        <f>[1]服务器生态!AA420</f>
        <v>0.12121982152609249</v>
      </c>
    </row>
    <row r="406" spans="11:40" x14ac:dyDescent="0.2">
      <c r="K406" s="26">
        <v>400</v>
      </c>
      <c r="L406" s="26">
        <f>[1]节奏总纲!AD403</f>
        <v>86.465948248806328</v>
      </c>
      <c r="M406" s="26">
        <f>[1]节奏总纲!AE403</f>
        <v>88.56371475606052</v>
      </c>
      <c r="N406" s="26">
        <f>[1]节奏总纲!AF403</f>
        <v>91.808037150309531</v>
      </c>
      <c r="O406" s="26">
        <f>[1]节奏总纲!AG403</f>
        <v>96.681991313065353</v>
      </c>
      <c r="P406" s="26">
        <f>[1]节奏总纲!AH403</f>
        <v>105.5194414545261</v>
      </c>
      <c r="AI406" s="27">
        <v>400</v>
      </c>
      <c r="AJ406" s="28">
        <f>[1]服务器生态!W421</f>
        <v>29.077181529079887</v>
      </c>
      <c r="AK406" s="28">
        <f>[1]服务器生态!X421</f>
        <v>28.670367245209629</v>
      </c>
      <c r="AL406" s="28">
        <f>[1]服务器生态!Y421</f>
        <v>2.3403704128075908</v>
      </c>
      <c r="AM406" s="28">
        <f>[1]服务器生态!Z421</f>
        <v>0.41636843456725819</v>
      </c>
      <c r="AN406" s="28">
        <f>[1]服务器生态!AA421</f>
        <v>0.12047352535134961</v>
      </c>
    </row>
    <row r="407" spans="11:40" x14ac:dyDescent="0.2">
      <c r="K407" s="26">
        <v>401</v>
      </c>
      <c r="L407" s="26">
        <f>[1]节奏总纲!AD404</f>
        <v>86.501855167563733</v>
      </c>
      <c r="M407" s="26">
        <f>[1]节奏总纲!AE404</f>
        <v>88.600736411324391</v>
      </c>
      <c r="N407" s="26">
        <f>[1]节奏总纲!AF404</f>
        <v>91.845514121464518</v>
      </c>
      <c r="O407" s="26">
        <f>[1]节奏总纲!AG404</f>
        <v>96.716774382931746</v>
      </c>
      <c r="P407" s="26">
        <f>[1]节奏总纲!AH404</f>
        <v>105.55760846172927</v>
      </c>
      <c r="AI407" s="27">
        <v>401</v>
      </c>
      <c r="AJ407" s="28">
        <f>[1]服务器生态!W422</f>
        <v>28.897057395713908</v>
      </c>
      <c r="AK407" s="28">
        <f>[1]服务器生态!X422</f>
        <v>28.492763200327801</v>
      </c>
      <c r="AL407" s="28">
        <f>[1]服务器生态!Y422</f>
        <v>2.3258725429937384</v>
      </c>
      <c r="AM407" s="28">
        <f>[1]服务器生态!Z422</f>
        <v>0.41378916107878849</v>
      </c>
      <c r="AN407" s="28">
        <f>[1]服务器生态!AA422</f>
        <v>0.11972722917660675</v>
      </c>
    </row>
    <row r="408" spans="11:40" x14ac:dyDescent="0.2">
      <c r="K408" s="26">
        <v>402</v>
      </c>
      <c r="L408" s="26">
        <f>[1]节奏总纲!AD405</f>
        <v>86.537762086321138</v>
      </c>
      <c r="M408" s="26">
        <f>[1]节奏总纲!AE405</f>
        <v>88.637758066588262</v>
      </c>
      <c r="N408" s="26">
        <f>[1]节奏总纲!AF405</f>
        <v>91.882991092619505</v>
      </c>
      <c r="O408" s="26">
        <f>[1]节奏总纲!AG405</f>
        <v>96.751557452798153</v>
      </c>
      <c r="P408" s="26">
        <f>[1]节奏总纲!AH405</f>
        <v>105.59577546893246</v>
      </c>
      <c r="AI408" s="27">
        <v>402</v>
      </c>
      <c r="AJ408" s="28">
        <f>[1]服务器生态!W423</f>
        <v>28.716933262347926</v>
      </c>
      <c r="AK408" s="28">
        <f>[1]服务器生态!X423</f>
        <v>28.315159155445969</v>
      </c>
      <c r="AL408" s="28">
        <f>[1]服务器生态!Y423</f>
        <v>2.3113746731798859</v>
      </c>
      <c r="AM408" s="28">
        <f>[1]服务器生态!Z423</f>
        <v>0.41120988759031868</v>
      </c>
      <c r="AN408" s="28">
        <f>[1]服务器生态!AA423</f>
        <v>0.11898093300186387</v>
      </c>
    </row>
    <row r="409" spans="11:40" x14ac:dyDescent="0.2">
      <c r="K409" s="26">
        <v>403</v>
      </c>
      <c r="L409" s="26">
        <f>[1]节奏总纲!AD406</f>
        <v>86.573669005078543</v>
      </c>
      <c r="M409" s="26">
        <f>[1]节奏总纲!AE406</f>
        <v>88.674779721852133</v>
      </c>
      <c r="N409" s="26">
        <f>[1]节奏总纲!AF406</f>
        <v>91.920468063774507</v>
      </c>
      <c r="O409" s="26">
        <f>[1]节奏总纲!AG406</f>
        <v>96.78634052266456</v>
      </c>
      <c r="P409" s="26">
        <f>[1]节奏总纲!AH406</f>
        <v>105.63394247613563</v>
      </c>
      <c r="AI409" s="27">
        <v>403</v>
      </c>
      <c r="AJ409" s="28">
        <f>[1]服务器生态!W424</f>
        <v>28.536809128981943</v>
      </c>
      <c r="AK409" s="28">
        <f>[1]服务器生态!X424</f>
        <v>28.13755511056414</v>
      </c>
      <c r="AL409" s="28">
        <f>[1]服务器生态!Y424</f>
        <v>2.2968768033660338</v>
      </c>
      <c r="AM409" s="28">
        <f>[1]服务器生态!Z424</f>
        <v>0.40863061410184898</v>
      </c>
      <c r="AN409" s="28">
        <f>[1]服务器生态!AA424</f>
        <v>0.118234636827121</v>
      </c>
    </row>
    <row r="410" spans="11:40" x14ac:dyDescent="0.2">
      <c r="K410" s="26">
        <v>404</v>
      </c>
      <c r="L410" s="26">
        <f>[1]节奏总纲!AD407</f>
        <v>86.609575923835948</v>
      </c>
      <c r="M410" s="26">
        <f>[1]节奏总纲!AE407</f>
        <v>88.711801377115989</v>
      </c>
      <c r="N410" s="26">
        <f>[1]节奏总纲!AF407</f>
        <v>91.957945034929494</v>
      </c>
      <c r="O410" s="26">
        <f>[1]节奏总纲!AG407</f>
        <v>96.821123592530967</v>
      </c>
      <c r="P410" s="26">
        <f>[1]节奏总纲!AH407</f>
        <v>105.6721094833388</v>
      </c>
      <c r="AI410" s="27">
        <v>404</v>
      </c>
      <c r="AJ410" s="28">
        <f>[1]服务器生态!W425</f>
        <v>28.356684995615961</v>
      </c>
      <c r="AK410" s="28">
        <f>[1]服务器生态!X425</f>
        <v>27.959951065682308</v>
      </c>
      <c r="AL410" s="28">
        <f>[1]服务器生态!Y425</f>
        <v>2.2823789335521814</v>
      </c>
      <c r="AM410" s="28">
        <f>[1]服务器生态!Z425</f>
        <v>0.40605134061337922</v>
      </c>
      <c r="AN410" s="28">
        <f>[1]服务器生态!AA425</f>
        <v>0.11748834065237812</v>
      </c>
    </row>
    <row r="411" spans="11:40" x14ac:dyDescent="0.2">
      <c r="K411" s="26">
        <v>405</v>
      </c>
      <c r="L411" s="26">
        <f>[1]节奏总纲!AD408</f>
        <v>86.645482842593353</v>
      </c>
      <c r="M411" s="26">
        <f>[1]节奏总纲!AE408</f>
        <v>88.74882303237986</v>
      </c>
      <c r="N411" s="26">
        <f>[1]节奏总纲!AF408</f>
        <v>91.995422006084482</v>
      </c>
      <c r="O411" s="26">
        <f>[1]节奏总纲!AG408</f>
        <v>96.855906662397359</v>
      </c>
      <c r="P411" s="26">
        <f>[1]节奏总纲!AH408</f>
        <v>105.71027649054199</v>
      </c>
      <c r="AI411" s="27">
        <v>405</v>
      </c>
      <c r="AJ411" s="28">
        <f>[1]服务器生态!W426</f>
        <v>28.176560862249978</v>
      </c>
      <c r="AK411" s="28">
        <f>[1]服务器生态!X426</f>
        <v>27.782347020800479</v>
      </c>
      <c r="AL411" s="28">
        <f>[1]服务器生态!Y426</f>
        <v>2.2678810637383289</v>
      </c>
      <c r="AM411" s="28">
        <f>[1]服务器生态!Z426</f>
        <v>0.40347206712490946</v>
      </c>
      <c r="AN411" s="28">
        <f>[1]服务器生态!AA426</f>
        <v>0.11674204447763524</v>
      </c>
    </row>
    <row r="412" spans="11:40" x14ac:dyDescent="0.2">
      <c r="K412" s="26">
        <v>406</v>
      </c>
      <c r="L412" s="26">
        <f>[1]节奏总纲!AD409</f>
        <v>86.681389761350758</v>
      </c>
      <c r="M412" s="26">
        <f>[1]节奏总纲!AE409</f>
        <v>88.785844687643731</v>
      </c>
      <c r="N412" s="26">
        <f>[1]节奏总纲!AF409</f>
        <v>92.030736732663385</v>
      </c>
      <c r="O412" s="26">
        <f>[1]节奏总纲!AG409</f>
        <v>96.890689732263766</v>
      </c>
      <c r="P412" s="26">
        <f>[1]节奏总纲!AH409</f>
        <v>105.74844349774516</v>
      </c>
      <c r="AI412" s="27">
        <v>406</v>
      </c>
      <c r="AJ412" s="28">
        <f>[1]服务器生态!W427</f>
        <v>27.996436728883999</v>
      </c>
      <c r="AK412" s="28">
        <f>[1]服务器生态!X427</f>
        <v>27.604742975918651</v>
      </c>
      <c r="AL412" s="28">
        <f>[1]服务器生态!Y427</f>
        <v>2.2533831939244768</v>
      </c>
      <c r="AM412" s="28">
        <f>[1]服务器生态!Z427</f>
        <v>0.40089279363643976</v>
      </c>
      <c r="AN412" s="28">
        <f>[1]服务器生态!AA427</f>
        <v>0.11599574830289237</v>
      </c>
    </row>
    <row r="413" spans="11:40" x14ac:dyDescent="0.2">
      <c r="K413" s="26">
        <v>407</v>
      </c>
      <c r="L413" s="26">
        <f>[1]节奏总纲!AD410</f>
        <v>86.717296680108163</v>
      </c>
      <c r="M413" s="26">
        <f>[1]节奏总纲!AE410</f>
        <v>88.822866342907602</v>
      </c>
      <c r="N413" s="26">
        <f>[1]节奏总纲!AF410</f>
        <v>92.06575057625615</v>
      </c>
      <c r="O413" s="26">
        <f>[1]节奏总纲!AG410</f>
        <v>96.925472802130173</v>
      </c>
      <c r="P413" s="26">
        <f>[1]节奏总纲!AH410</f>
        <v>105.78661050494834</v>
      </c>
      <c r="AI413" s="27">
        <v>407</v>
      </c>
      <c r="AJ413" s="28">
        <f>[1]服务器生态!W428</f>
        <v>27.816312595518013</v>
      </c>
      <c r="AK413" s="28">
        <f>[1]服务器生态!X428</f>
        <v>27.427138931036819</v>
      </c>
      <c r="AL413" s="28">
        <f>[1]服务器生态!Y428</f>
        <v>2.2388853241106244</v>
      </c>
      <c r="AM413" s="28">
        <f>[1]服务器生态!Z428</f>
        <v>0.39831352014797</v>
      </c>
      <c r="AN413" s="28">
        <f>[1]服务器生态!AA428</f>
        <v>0.11524945212814949</v>
      </c>
    </row>
    <row r="414" spans="11:40" x14ac:dyDescent="0.2">
      <c r="K414" s="26">
        <v>408</v>
      </c>
      <c r="L414" s="26">
        <f>[1]节奏总纲!AD411</f>
        <v>86.753203598865568</v>
      </c>
      <c r="M414" s="26">
        <f>[1]节奏总纲!AE411</f>
        <v>88.859887998171473</v>
      </c>
      <c r="N414" s="26">
        <f>[1]节奏总纲!AF411</f>
        <v>92.1007644198489</v>
      </c>
      <c r="O414" s="26">
        <f>[1]节奏总纲!AG411</f>
        <v>96.96025587199658</v>
      </c>
      <c r="P414" s="26">
        <f>[1]节奏总纲!AH411</f>
        <v>105.82477751215151</v>
      </c>
      <c r="AI414" s="27">
        <v>408</v>
      </c>
      <c r="AJ414" s="28">
        <f>[1]服务器生态!W429</f>
        <v>27.636188462152035</v>
      </c>
      <c r="AK414" s="28">
        <f>[1]服务器生态!X429</f>
        <v>27.249534886154994</v>
      </c>
      <c r="AL414" s="28">
        <f>[1]服务器生态!Y429</f>
        <v>2.2243874542967719</v>
      </c>
      <c r="AM414" s="28">
        <f>[1]服务器生态!Z429</f>
        <v>0.39573424665950024</v>
      </c>
      <c r="AN414" s="28">
        <f>[1]服务器生态!AA429</f>
        <v>0.11450315595340663</v>
      </c>
    </row>
    <row r="415" spans="11:40" x14ac:dyDescent="0.2">
      <c r="K415" s="26">
        <v>409</v>
      </c>
      <c r="L415" s="26">
        <f>[1]节奏总纲!AD412</f>
        <v>86.789110517622973</v>
      </c>
      <c r="M415" s="26">
        <f>[1]节奏总纲!AE412</f>
        <v>88.89690965343533</v>
      </c>
      <c r="N415" s="26">
        <f>[1]节奏总纲!AF412</f>
        <v>92.135778263441665</v>
      </c>
      <c r="O415" s="26">
        <f>[1]节奏总纲!AG412</f>
        <v>96.995038941862973</v>
      </c>
      <c r="P415" s="26">
        <f>[1]节奏总纲!AH412</f>
        <v>105.86294451935468</v>
      </c>
      <c r="AI415" s="27">
        <v>409</v>
      </c>
      <c r="AJ415" s="28">
        <f>[1]服务器生态!W430</f>
        <v>27.456064328786059</v>
      </c>
      <c r="AK415" s="28">
        <f>[1]服务器生态!X430</f>
        <v>27.071930841273165</v>
      </c>
      <c r="AL415" s="28">
        <f>[1]服务器生态!Y430</f>
        <v>2.2098895844829198</v>
      </c>
      <c r="AM415" s="28">
        <f>[1]服务器生态!Z430</f>
        <v>0.3931549731710306</v>
      </c>
      <c r="AN415" s="28">
        <f>[1]服务器生态!AA430</f>
        <v>0.11375685977866377</v>
      </c>
    </row>
    <row r="416" spans="11:40" x14ac:dyDescent="0.2">
      <c r="K416" s="26">
        <v>410</v>
      </c>
      <c r="L416" s="26">
        <f>[1]节奏总纲!AD413</f>
        <v>86.825017436380378</v>
      </c>
      <c r="M416" s="26">
        <f>[1]节奏总纲!AE413</f>
        <v>88.933931308699201</v>
      </c>
      <c r="N416" s="26">
        <f>[1]节奏总纲!AF413</f>
        <v>92.170792107034416</v>
      </c>
      <c r="O416" s="26">
        <f>[1]节奏总纲!AG413</f>
        <v>97.026732490712917</v>
      </c>
      <c r="P416" s="26">
        <f>[1]节奏总纲!AH413</f>
        <v>105.90111152655787</v>
      </c>
      <c r="AI416" s="27">
        <v>410</v>
      </c>
      <c r="AJ416" s="28">
        <f>[1]服务器生态!W431</f>
        <v>27.275940195420073</v>
      </c>
      <c r="AK416" s="28">
        <f>[1]服务器生态!X431</f>
        <v>26.894326796391336</v>
      </c>
      <c r="AL416" s="28">
        <f>[1]服务器生态!Y431</f>
        <v>2.1953917146690674</v>
      </c>
      <c r="AM416" s="28">
        <f>[1]服务器生态!Z431</f>
        <v>0.39057569968256078</v>
      </c>
      <c r="AN416" s="28">
        <f>[1]服务器生态!AA431</f>
        <v>0.11301056360392089</v>
      </c>
    </row>
    <row r="417" spans="11:40" x14ac:dyDescent="0.2">
      <c r="K417" s="26">
        <v>411</v>
      </c>
      <c r="L417" s="26">
        <f>[1]节奏总纲!AD414</f>
        <v>86.860924355137783</v>
      </c>
      <c r="M417" s="26">
        <f>[1]节奏总纲!AE414</f>
        <v>88.970952963963072</v>
      </c>
      <c r="N417" s="26">
        <f>[1]节奏总纲!AF414</f>
        <v>92.20580595062718</v>
      </c>
      <c r="O417" s="26">
        <f>[1]节奏总纲!AG414</f>
        <v>97.057912080494049</v>
      </c>
      <c r="P417" s="26">
        <f>[1]节奏总纲!AH414</f>
        <v>105.93927853376104</v>
      </c>
      <c r="AI417" s="27">
        <v>411</v>
      </c>
      <c r="AJ417" s="28">
        <f>[1]服务器生态!W432</f>
        <v>27.095816062054094</v>
      </c>
      <c r="AK417" s="28">
        <f>[1]服务器生态!X432</f>
        <v>26.716722751509508</v>
      </c>
      <c r="AL417" s="28">
        <f>[1]服务器生态!Y432</f>
        <v>2.1808938448552153</v>
      </c>
      <c r="AM417" s="28">
        <f>[1]服务器生态!Z432</f>
        <v>0.38799642619409108</v>
      </c>
      <c r="AN417" s="28">
        <f>[1]服务器生态!AA432</f>
        <v>0.11226426742917801</v>
      </c>
    </row>
    <row r="418" spans="11:40" x14ac:dyDescent="0.2">
      <c r="K418" s="26">
        <v>412</v>
      </c>
      <c r="L418" s="26">
        <f>[1]节奏总纲!AD415</f>
        <v>86.896831273895188</v>
      </c>
      <c r="M418" s="26">
        <f>[1]节奏总纲!AE415</f>
        <v>89.008175723200509</v>
      </c>
      <c r="N418" s="26">
        <f>[1]节奏总纲!AF415</f>
        <v>92.240819794219931</v>
      </c>
      <c r="O418" s="26">
        <f>[1]节奏总纲!AG415</f>
        <v>97.089091670275181</v>
      </c>
      <c r="P418" s="26">
        <f>[1]节奏总纲!AH415</f>
        <v>105.97744554096421</v>
      </c>
      <c r="AI418" s="27">
        <v>412</v>
      </c>
      <c r="AJ418" s="28">
        <f>[1]服务器生态!W433</f>
        <v>26.915691928688112</v>
      </c>
      <c r="AK418" s="28">
        <f>[1]服务器生态!X433</f>
        <v>26.539118706627679</v>
      </c>
      <c r="AL418" s="28">
        <f>[1]服务器生态!Y433</f>
        <v>2.1663959750413628</v>
      </c>
      <c r="AM418" s="28">
        <f>[1]服务器生态!Z433</f>
        <v>0.38541715270562138</v>
      </c>
      <c r="AN418" s="28">
        <f>[1]服务器生态!AA433</f>
        <v>0.11151797125443515</v>
      </c>
    </row>
    <row r="419" spans="11:40" x14ac:dyDescent="0.2">
      <c r="K419" s="26">
        <v>413</v>
      </c>
      <c r="L419" s="26">
        <f>[1]节奏总纲!AD416</f>
        <v>86.932738192652593</v>
      </c>
      <c r="M419" s="26">
        <f>[1]节奏总纲!AE416</f>
        <v>89.046130990687118</v>
      </c>
      <c r="N419" s="26">
        <f>[1]节奏总纲!AF416</f>
        <v>92.275833637812681</v>
      </c>
      <c r="O419" s="26">
        <f>[1]节奏总纲!AG416</f>
        <v>97.120271260056313</v>
      </c>
      <c r="P419" s="26">
        <f>[1]节奏总纲!AH416</f>
        <v>106.0149812675207</v>
      </c>
      <c r="AI419" s="27">
        <v>413</v>
      </c>
      <c r="AJ419" s="28">
        <f>[1]服务器生态!W434</f>
        <v>26.73556779532213</v>
      </c>
      <c r="AK419" s="28">
        <f>[1]服务器生态!X434</f>
        <v>26.361514661745847</v>
      </c>
      <c r="AL419" s="28">
        <f>[1]服务器生态!Y434</f>
        <v>2.1518981052275103</v>
      </c>
      <c r="AM419" s="28">
        <f>[1]服务器生态!Z434</f>
        <v>0.38283787921715157</v>
      </c>
      <c r="AN419" s="28">
        <f>[1]服务器生态!AA434</f>
        <v>0.11077167507969227</v>
      </c>
    </row>
    <row r="420" spans="11:40" x14ac:dyDescent="0.2">
      <c r="K420" s="26">
        <v>414</v>
      </c>
      <c r="L420" s="26">
        <f>[1]节奏总纲!AD417</f>
        <v>86.968645111409998</v>
      </c>
      <c r="M420" s="26">
        <f>[1]节奏总纲!AE417</f>
        <v>89.084086258173727</v>
      </c>
      <c r="N420" s="26">
        <f>[1]节奏总纲!AF417</f>
        <v>92.310847481405446</v>
      </c>
      <c r="O420" s="26">
        <f>[1]节奏总纲!AG417</f>
        <v>97.151450849837445</v>
      </c>
      <c r="P420" s="26">
        <f>[1]节奏总纲!AH417</f>
        <v>106.05160502292851</v>
      </c>
      <c r="AI420" s="27">
        <v>414</v>
      </c>
      <c r="AJ420" s="28">
        <f>[1]服务器生态!W435</f>
        <v>26.555443661956147</v>
      </c>
      <c r="AK420" s="28">
        <f>[1]服务器生态!X435</f>
        <v>26.183910616864019</v>
      </c>
      <c r="AL420" s="28">
        <f>[1]服务器生态!Y435</f>
        <v>2.1374002354136583</v>
      </c>
      <c r="AM420" s="28">
        <f>[1]服务器生态!Z435</f>
        <v>0.38025860572868186</v>
      </c>
      <c r="AN420" s="28">
        <f>[1]服务器生态!AA435</f>
        <v>0.1100253789049494</v>
      </c>
    </row>
    <row r="421" spans="11:40" x14ac:dyDescent="0.2">
      <c r="K421" s="26">
        <v>415</v>
      </c>
      <c r="L421" s="26">
        <f>[1]节奏总纲!AD418</f>
        <v>87.004247194324662</v>
      </c>
      <c r="M421" s="26">
        <f>[1]节奏总纲!AE418</f>
        <v>89.122041525660336</v>
      </c>
      <c r="N421" s="26">
        <f>[1]节奏总纲!AF418</f>
        <v>92.345861324998197</v>
      </c>
      <c r="O421" s="26">
        <f>[1]节奏总纲!AG418</f>
        <v>97.182630439618578</v>
      </c>
      <c r="P421" s="26">
        <f>[1]节奏总纲!AH418</f>
        <v>106.08822877833633</v>
      </c>
      <c r="AI421" s="27">
        <v>415</v>
      </c>
      <c r="AJ421" s="28">
        <f>[1]服务器生态!W436</f>
        <v>26.375319528590165</v>
      </c>
      <c r="AK421" s="28">
        <f>[1]服务器生态!X436</f>
        <v>26.006306571982186</v>
      </c>
      <c r="AL421" s="28">
        <f>[1]服务器生态!Y436</f>
        <v>2.1229023655998058</v>
      </c>
      <c r="AM421" s="28">
        <f>[1]服务器生态!Z436</f>
        <v>0.37767933224021211</v>
      </c>
      <c r="AN421" s="28">
        <f>[1]服务器生态!AA436</f>
        <v>0.10927908273020652</v>
      </c>
    </row>
    <row r="422" spans="11:40" x14ac:dyDescent="0.2">
      <c r="K422" s="26">
        <v>416</v>
      </c>
      <c r="L422" s="26">
        <f>[1]节奏总纲!AD419</f>
        <v>87.037749534149754</v>
      </c>
      <c r="M422" s="26">
        <f>[1]节奏总纲!AE419</f>
        <v>89.159996793146931</v>
      </c>
      <c r="N422" s="26">
        <f>[1]节奏总纲!AF419</f>
        <v>92.380875168590961</v>
      </c>
      <c r="O422" s="26">
        <f>[1]节奏总纲!AG419</f>
        <v>97.21381002939971</v>
      </c>
      <c r="P422" s="26">
        <f>[1]节奏总纲!AH419</f>
        <v>106.12485253374413</v>
      </c>
      <c r="AI422" s="27">
        <v>416</v>
      </c>
      <c r="AJ422" s="28">
        <f>[1]服务器生态!W437</f>
        <v>26.195195395224186</v>
      </c>
      <c r="AK422" s="28">
        <f>[1]服务器生态!X437</f>
        <v>25.828702527100358</v>
      </c>
      <c r="AL422" s="28">
        <f>[1]服务器生态!Y437</f>
        <v>2.1084044957859533</v>
      </c>
      <c r="AM422" s="28">
        <f>[1]服务器生态!Z437</f>
        <v>0.37510005875174235</v>
      </c>
      <c r="AN422" s="28">
        <f>[1]服务器生态!AA437</f>
        <v>0.10853278655546365</v>
      </c>
    </row>
    <row r="423" spans="11:40" x14ac:dyDescent="0.2">
      <c r="K423" s="26">
        <v>417</v>
      </c>
      <c r="L423" s="26">
        <f>[1]节奏总纲!AD420</f>
        <v>87.071251873974845</v>
      </c>
      <c r="M423" s="26">
        <f>[1]节奏总纲!AE420</f>
        <v>89.19795206063354</v>
      </c>
      <c r="N423" s="26">
        <f>[1]节奏总纲!AF420</f>
        <v>92.415889012183712</v>
      </c>
      <c r="O423" s="26">
        <f>[1]节奏总纲!AG420</f>
        <v>97.244989619180842</v>
      </c>
      <c r="P423" s="26">
        <f>[1]节奏总纲!AH420</f>
        <v>106.16147628915195</v>
      </c>
      <c r="AI423" s="27">
        <v>417</v>
      </c>
      <c r="AJ423" s="28">
        <f>[1]服务器生态!W438</f>
        <v>26.015071261858203</v>
      </c>
      <c r="AK423" s="28">
        <f>[1]服务器生态!X438</f>
        <v>25.651098482218529</v>
      </c>
      <c r="AL423" s="28">
        <f>[1]服务器生态!Y438</f>
        <v>2.0939066259721013</v>
      </c>
      <c r="AM423" s="28">
        <f>[1]服务器生态!Z438</f>
        <v>0.37252078526327265</v>
      </c>
      <c r="AN423" s="28">
        <f>[1]服务器生态!AA438</f>
        <v>0.10778649038072077</v>
      </c>
    </row>
    <row r="424" spans="11:40" x14ac:dyDescent="0.2">
      <c r="K424" s="26">
        <v>418</v>
      </c>
      <c r="L424" s="26">
        <f>[1]节奏总纲!AD421</f>
        <v>87.104754213799936</v>
      </c>
      <c r="M424" s="26">
        <f>[1]节奏总纲!AE421</f>
        <v>89.235907328120149</v>
      </c>
      <c r="N424" s="26">
        <f>[1]节奏总纲!AF421</f>
        <v>92.450902855776476</v>
      </c>
      <c r="O424" s="26">
        <f>[1]节奏总纲!AG421</f>
        <v>97.276169208961974</v>
      </c>
      <c r="P424" s="26">
        <f>[1]节奏总纲!AH421</f>
        <v>106.19810004455975</v>
      </c>
      <c r="AI424" s="27">
        <v>418</v>
      </c>
      <c r="AJ424" s="28">
        <f>[1]服务器生态!W439</f>
        <v>25.834947128492221</v>
      </c>
      <c r="AK424" s="28">
        <f>[1]服务器生态!X439</f>
        <v>25.473494437336697</v>
      </c>
      <c r="AL424" s="28">
        <f>[1]服务器生态!Y439</f>
        <v>2.0794087561582488</v>
      </c>
      <c r="AM424" s="28">
        <f>[1]服务器生态!Z439</f>
        <v>0.36994151177480289</v>
      </c>
      <c r="AN424" s="28">
        <f>[1]服务器生态!AA439</f>
        <v>0.10704019420597789</v>
      </c>
    </row>
    <row r="425" spans="11:40" x14ac:dyDescent="0.2">
      <c r="K425" s="26">
        <v>419</v>
      </c>
      <c r="L425" s="26">
        <f>[1]节奏总纲!AD422</f>
        <v>87.138256553625027</v>
      </c>
      <c r="M425" s="26">
        <f>[1]节奏总纲!AE422</f>
        <v>89.273862595606758</v>
      </c>
      <c r="N425" s="26">
        <f>[1]节奏总纲!AF422</f>
        <v>92.485916699369227</v>
      </c>
      <c r="O425" s="26">
        <f>[1]节奏总纲!AG422</f>
        <v>97.307348798743106</v>
      </c>
      <c r="P425" s="26">
        <f>[1]节奏总纲!AH422</f>
        <v>106.23472379996757</v>
      </c>
      <c r="AI425" s="27">
        <v>419</v>
      </c>
      <c r="AJ425" s="28">
        <f>[1]服务器生态!W440</f>
        <v>25.654822995126239</v>
      </c>
      <c r="AK425" s="28">
        <f>[1]服务器生态!X440</f>
        <v>25.295890392454869</v>
      </c>
      <c r="AL425" s="28">
        <f>[1]服务器生态!Y440</f>
        <v>2.0649108863443963</v>
      </c>
      <c r="AM425" s="28">
        <f>[1]服务器生态!Z440</f>
        <v>0.36736223828633313</v>
      </c>
      <c r="AN425" s="28">
        <f>[1]服务器生态!AA440</f>
        <v>0.10629389803123503</v>
      </c>
    </row>
    <row r="426" spans="11:40" x14ac:dyDescent="0.2">
      <c r="K426" s="26">
        <v>420</v>
      </c>
      <c r="L426" s="26">
        <f>[1]节奏总纲!AD423</f>
        <v>87.171758893450118</v>
      </c>
      <c r="M426" s="26">
        <f>[1]节奏总纲!AE423</f>
        <v>89.311817863093353</v>
      </c>
      <c r="N426" s="26">
        <f>[1]节奏总纲!AF423</f>
        <v>92.520930542961992</v>
      </c>
      <c r="O426" s="26">
        <f>[1]节奏总纲!AG423</f>
        <v>97.338528388524239</v>
      </c>
      <c r="P426" s="26">
        <f>[1]节奏总纲!AH423</f>
        <v>106.27134755537539</v>
      </c>
      <c r="AI426" s="27">
        <v>420</v>
      </c>
      <c r="AJ426" s="28">
        <f>[1]服务器生态!W441</f>
        <v>25.474698861760256</v>
      </c>
      <c r="AK426" s="28">
        <f>[1]服务器生态!X441</f>
        <v>25.118286347573036</v>
      </c>
      <c r="AL426" s="28">
        <f>[1]服务器生态!Y441</f>
        <v>2.0504130165305439</v>
      </c>
      <c r="AM426" s="28">
        <f>[1]服务器生态!Z441</f>
        <v>0.36478296479786337</v>
      </c>
      <c r="AN426" s="28">
        <f>[1]服务器生态!AA441</f>
        <v>0.10554760185649215</v>
      </c>
    </row>
    <row r="427" spans="11:40" x14ac:dyDescent="0.2">
      <c r="K427" s="26">
        <v>421</v>
      </c>
      <c r="L427" s="26">
        <f>[1]节奏总纲!AD424</f>
        <v>87.205261233275209</v>
      </c>
      <c r="M427" s="26">
        <f>[1]节奏总纲!AE424</f>
        <v>89.349773130579962</v>
      </c>
      <c r="N427" s="26">
        <f>[1]节奏总纲!AF424</f>
        <v>92.555944386554742</v>
      </c>
      <c r="O427" s="26">
        <f>[1]节奏总纲!AG424</f>
        <v>97.369707978305371</v>
      </c>
      <c r="P427" s="26">
        <f>[1]节奏总纲!AH424</f>
        <v>106.30797131078319</v>
      </c>
      <c r="AI427" s="27">
        <v>421</v>
      </c>
      <c r="AJ427" s="28">
        <f>[1]服务器生态!W442</f>
        <v>25.326096451733324</v>
      </c>
      <c r="AK427" s="28">
        <f>[1]服务器生态!X442</f>
        <v>24.97176301054553</v>
      </c>
      <c r="AL427" s="28">
        <f>[1]服务器生态!Y442</f>
        <v>2.0384522739341162</v>
      </c>
      <c r="AM427" s="28">
        <f>[1]服务器生态!Z442</f>
        <v>0.36265506416987586</v>
      </c>
      <c r="AN427" s="28">
        <f>[1]服务器生态!AA442</f>
        <v>0.10493190751232928</v>
      </c>
    </row>
    <row r="428" spans="11:40" x14ac:dyDescent="0.2">
      <c r="K428" s="26">
        <v>422</v>
      </c>
      <c r="L428" s="26">
        <f>[1]节奏总纲!AD425</f>
        <v>87.238763573100286</v>
      </c>
      <c r="M428" s="26">
        <f>[1]节奏总纲!AE425</f>
        <v>89.387728398066571</v>
      </c>
      <c r="N428" s="26">
        <f>[1]节奏总纲!AF425</f>
        <v>92.590958230147493</v>
      </c>
      <c r="O428" s="26">
        <f>[1]节奏总纲!AG425</f>
        <v>97.400887568086503</v>
      </c>
      <c r="P428" s="26">
        <f>[1]节奏总纲!AH425</f>
        <v>106.344595066191</v>
      </c>
      <c r="AI428" s="27">
        <v>422</v>
      </c>
      <c r="AJ428" s="28">
        <f>[1]服务器生态!W443</f>
        <v>25.177494041706389</v>
      </c>
      <c r="AK428" s="28">
        <f>[1]服务器生态!X443</f>
        <v>24.825239673518023</v>
      </c>
      <c r="AL428" s="28">
        <f>[1]服务器生态!Y443</f>
        <v>2.0264915313376881</v>
      </c>
      <c r="AM428" s="28">
        <f>[1]服务器生态!Z443</f>
        <v>0.36052716354188835</v>
      </c>
      <c r="AN428" s="28">
        <f>[1]服务器生态!AA443</f>
        <v>0.10431621316816642</v>
      </c>
    </row>
    <row r="429" spans="11:40" x14ac:dyDescent="0.2">
      <c r="K429" s="26">
        <v>423</v>
      </c>
      <c r="L429" s="26">
        <f>[1]节奏总纲!AD426</f>
        <v>87.272265912925377</v>
      </c>
      <c r="M429" s="26">
        <f>[1]节奏总纲!AE426</f>
        <v>89.42568366555318</v>
      </c>
      <c r="N429" s="26">
        <f>[1]节奏总纲!AF426</f>
        <v>92.625972073740257</v>
      </c>
      <c r="O429" s="26">
        <f>[1]节奏总纲!AG426</f>
        <v>97.432067157867621</v>
      </c>
      <c r="P429" s="26">
        <f>[1]节奏总纲!AH426</f>
        <v>106.38121882159881</v>
      </c>
      <c r="AI429" s="27">
        <v>423</v>
      </c>
      <c r="AJ429" s="28">
        <f>[1]服务器生态!W444</f>
        <v>25.02889163167945</v>
      </c>
      <c r="AK429" s="28">
        <f>[1]服务器生态!X444</f>
        <v>24.67871633649051</v>
      </c>
      <c r="AL429" s="28">
        <f>[1]服务器生态!Y444</f>
        <v>2.0145307887412596</v>
      </c>
      <c r="AM429" s="28">
        <f>[1]服务器生态!Z444</f>
        <v>0.35839926291390073</v>
      </c>
      <c r="AN429" s="28">
        <f>[1]服务器生态!AA444</f>
        <v>0.10370051882400352</v>
      </c>
    </row>
    <row r="430" spans="11:40" x14ac:dyDescent="0.2">
      <c r="K430" s="26">
        <v>424</v>
      </c>
      <c r="L430" s="26">
        <f>[1]节奏总纲!AD427</f>
        <v>87.305768252750468</v>
      </c>
      <c r="M430" s="26">
        <f>[1]节奏总纲!AE427</f>
        <v>89.463638933039775</v>
      </c>
      <c r="N430" s="26">
        <f>[1]节奏总纲!AF427</f>
        <v>92.660985917333008</v>
      </c>
      <c r="O430" s="26">
        <f>[1]节奏总纲!AG427</f>
        <v>97.463246747648753</v>
      </c>
      <c r="P430" s="26">
        <f>[1]节奏总纲!AH427</f>
        <v>106.41784257700662</v>
      </c>
      <c r="AI430" s="27">
        <v>424</v>
      </c>
      <c r="AJ430" s="28">
        <f>[1]服务器生态!W445</f>
        <v>24.880289221652514</v>
      </c>
      <c r="AK430" s="28">
        <f>[1]服务器生态!X445</f>
        <v>24.532192999463</v>
      </c>
      <c r="AL430" s="28">
        <f>[1]服务器生态!Y445</f>
        <v>2.0025700461448315</v>
      </c>
      <c r="AM430" s="28">
        <f>[1]服务器生态!Z445</f>
        <v>0.35627136228591322</v>
      </c>
      <c r="AN430" s="28">
        <f>[1]服务器生态!AA445</f>
        <v>0.10308482447984066</v>
      </c>
    </row>
    <row r="431" spans="11:40" x14ac:dyDescent="0.2">
      <c r="K431" s="26">
        <v>425</v>
      </c>
      <c r="L431" s="26">
        <f>[1]节奏总纲!AD428</f>
        <v>87.339270592575559</v>
      </c>
      <c r="M431" s="26">
        <f>[1]节奏总纲!AE428</f>
        <v>89.501594200526384</v>
      </c>
      <c r="N431" s="26">
        <f>[1]节奏总纲!AF428</f>
        <v>92.695999760925773</v>
      </c>
      <c r="O431" s="26">
        <f>[1]节奏总纲!AG428</f>
        <v>97.494426337429886</v>
      </c>
      <c r="P431" s="26">
        <f>[1]节奏总纲!AH428</f>
        <v>106.45446633241443</v>
      </c>
      <c r="AI431" s="27">
        <v>425</v>
      </c>
      <c r="AJ431" s="28">
        <f>[1]服务器生态!W446</f>
        <v>24.731686811625586</v>
      </c>
      <c r="AK431" s="28">
        <f>[1]服务器生态!X446</f>
        <v>24.385669662435493</v>
      </c>
      <c r="AL431" s="28">
        <f>[1]服务器生态!Y446</f>
        <v>1.9906093035484034</v>
      </c>
      <c r="AM431" s="28">
        <f>[1]服务器生态!Z446</f>
        <v>0.35414346165792571</v>
      </c>
      <c r="AN431" s="28">
        <f>[1]服务器生态!AA446</f>
        <v>0.10246913013567779</v>
      </c>
    </row>
    <row r="432" spans="11:40" x14ac:dyDescent="0.2">
      <c r="K432" s="26">
        <v>426</v>
      </c>
      <c r="L432" s="26">
        <f>[1]节奏总纲!AD429</f>
        <v>87.37277293240065</v>
      </c>
      <c r="M432" s="26">
        <f>[1]节奏总纲!AE429</f>
        <v>89.539549468012993</v>
      </c>
      <c r="N432" s="26">
        <f>[1]节奏总纲!AF429</f>
        <v>92.731013604518523</v>
      </c>
      <c r="O432" s="26">
        <f>[1]节奏总纲!AG429</f>
        <v>97.525605927211018</v>
      </c>
      <c r="P432" s="26">
        <f>[1]节奏总纲!AH429</f>
        <v>106.49109008782224</v>
      </c>
      <c r="AI432" s="27">
        <v>426</v>
      </c>
      <c r="AJ432" s="28">
        <f>[1]服务器生态!W447</f>
        <v>24.583084401598651</v>
      </c>
      <c r="AK432" s="28">
        <f>[1]服务器生态!X447</f>
        <v>24.239146325407983</v>
      </c>
      <c r="AL432" s="28">
        <f>[1]服务器生态!Y447</f>
        <v>1.9786485609519753</v>
      </c>
      <c r="AM432" s="28">
        <f>[1]服务器生态!Z447</f>
        <v>0.3520155610299382</v>
      </c>
      <c r="AN432" s="28">
        <f>[1]服务器生态!AA447</f>
        <v>0.10185343579151493</v>
      </c>
    </row>
    <row r="433" spans="11:40" x14ac:dyDescent="0.2">
      <c r="K433" s="26">
        <v>427</v>
      </c>
      <c r="L433" s="26">
        <f>[1]节奏总纲!AD430</f>
        <v>87.406275272225741</v>
      </c>
      <c r="M433" s="26">
        <f>[1]节奏总纲!AE430</f>
        <v>89.577504735499602</v>
      </c>
      <c r="N433" s="26">
        <f>[1]节奏总纲!AF430</f>
        <v>92.766027448111288</v>
      </c>
      <c r="O433" s="26">
        <f>[1]节奏总纲!AG430</f>
        <v>97.55678551699215</v>
      </c>
      <c r="P433" s="26">
        <f>[1]节奏总纲!AH430</f>
        <v>106.52771384323006</v>
      </c>
      <c r="AI433" s="27">
        <v>427</v>
      </c>
      <c r="AJ433" s="28">
        <f>[1]服务器生态!W448</f>
        <v>24.434481991571712</v>
      </c>
      <c r="AK433" s="28">
        <f>[1]服务器生态!X448</f>
        <v>24.092622988380469</v>
      </c>
      <c r="AL433" s="28">
        <f>[1]服务器生态!Y448</f>
        <v>1.9666878183555467</v>
      </c>
      <c r="AM433" s="28">
        <f>[1]服务器生态!Z448</f>
        <v>0.34988766040195057</v>
      </c>
      <c r="AN433" s="28">
        <f>[1]服务器生态!AA448</f>
        <v>0.10123774144735204</v>
      </c>
    </row>
    <row r="434" spans="11:40" x14ac:dyDescent="0.2">
      <c r="K434" s="26">
        <v>428</v>
      </c>
      <c r="L434" s="26">
        <f>[1]节奏总纲!AD431</f>
        <v>87.439777612050833</v>
      </c>
      <c r="M434" s="26">
        <f>[1]节奏总纲!AE431</f>
        <v>89.615460002986197</v>
      </c>
      <c r="N434" s="26">
        <f>[1]节奏总纲!AF431</f>
        <v>92.801041291704038</v>
      </c>
      <c r="O434" s="26">
        <f>[1]节奏总纲!AG431</f>
        <v>97.587965106773282</v>
      </c>
      <c r="P434" s="26">
        <f>[1]节奏总纲!AH431</f>
        <v>106.56433759863786</v>
      </c>
      <c r="AI434" s="27">
        <v>428</v>
      </c>
      <c r="AJ434" s="28">
        <f>[1]服务器生态!W449</f>
        <v>24.285879581544776</v>
      </c>
      <c r="AK434" s="28">
        <f>[1]服务器生态!X449</f>
        <v>23.946099651352963</v>
      </c>
      <c r="AL434" s="28">
        <f>[1]服务器生态!Y449</f>
        <v>1.9547270757591186</v>
      </c>
      <c r="AM434" s="28">
        <f>[1]服务器生态!Z449</f>
        <v>0.34775975977396306</v>
      </c>
      <c r="AN434" s="28">
        <f>[1]服务器生态!AA449</f>
        <v>0.10062204710318917</v>
      </c>
    </row>
    <row r="435" spans="11:40" x14ac:dyDescent="0.2">
      <c r="K435" s="26">
        <v>429</v>
      </c>
      <c r="L435" s="26">
        <f>[1]节奏总纲!AD432</f>
        <v>87.473279951875924</v>
      </c>
      <c r="M435" s="26">
        <f>[1]节奏总纲!AE432</f>
        <v>89.653415270472806</v>
      </c>
      <c r="N435" s="26">
        <f>[1]节奏总纲!AF432</f>
        <v>92.836055135296803</v>
      </c>
      <c r="O435" s="26">
        <f>[1]节奏总纲!AG432</f>
        <v>97.619144696554415</v>
      </c>
      <c r="P435" s="26">
        <f>[1]节奏总纲!AH432</f>
        <v>106.60096135404568</v>
      </c>
      <c r="AI435" s="27">
        <v>429</v>
      </c>
      <c r="AJ435" s="28">
        <f>[1]服务器生态!W450</f>
        <v>24.137277171517844</v>
      </c>
      <c r="AK435" s="28">
        <f>[1]服务器生态!X450</f>
        <v>23.799576314325456</v>
      </c>
      <c r="AL435" s="28">
        <f>[1]服务器生态!Y450</f>
        <v>1.9427663331626905</v>
      </c>
      <c r="AM435" s="28">
        <f>[1]服务器生态!Z450</f>
        <v>0.34563185914597555</v>
      </c>
      <c r="AN435" s="28">
        <f>[1]服务器生态!AA450</f>
        <v>0.10000635275902632</v>
      </c>
    </row>
    <row r="436" spans="11:40" x14ac:dyDescent="0.2">
      <c r="K436" s="26">
        <v>430</v>
      </c>
      <c r="L436" s="26">
        <f>[1]节奏总纲!AD433</f>
        <v>87.506782291701015</v>
      </c>
      <c r="M436" s="26">
        <f>[1]节奏总纲!AE433</f>
        <v>89.691370537959415</v>
      </c>
      <c r="N436" s="26">
        <f>[1]节奏总纲!AF433</f>
        <v>92.871068978889554</v>
      </c>
      <c r="O436" s="26">
        <f>[1]节奏总纲!AG433</f>
        <v>97.650324286335547</v>
      </c>
      <c r="P436" s="26">
        <f>[1]节奏总纲!AH433</f>
        <v>106.63758510945348</v>
      </c>
      <c r="AI436" s="27">
        <v>430</v>
      </c>
      <c r="AJ436" s="28">
        <f>[1]服务器生态!W451</f>
        <v>23.988674761490909</v>
      </c>
      <c r="AK436" s="28">
        <f>[1]服务器生态!X451</f>
        <v>23.653052977297946</v>
      </c>
      <c r="AL436" s="28">
        <f>[1]服务器生态!Y451</f>
        <v>1.9308055905662624</v>
      </c>
      <c r="AM436" s="28">
        <f>[1]服务器生态!Z451</f>
        <v>0.34350395851798804</v>
      </c>
      <c r="AN436" s="28">
        <f>[1]服务器生态!AA451</f>
        <v>9.9390658414863442E-2</v>
      </c>
    </row>
    <row r="437" spans="11:40" x14ac:dyDescent="0.2">
      <c r="K437" s="26">
        <v>431</v>
      </c>
      <c r="L437" s="26">
        <f>[1]节奏总纲!AD434</f>
        <v>87.540284631526106</v>
      </c>
      <c r="M437" s="26">
        <f>[1]节奏总纲!AE434</f>
        <v>89.729325805446024</v>
      </c>
      <c r="N437" s="26">
        <f>[1]节奏总纲!AF434</f>
        <v>92.906082822482304</v>
      </c>
      <c r="O437" s="26">
        <f>[1]节奏总纲!AG434</f>
        <v>97.681503876116679</v>
      </c>
      <c r="P437" s="26">
        <f>[1]节奏总纲!AH434</f>
        <v>106.6742088648613</v>
      </c>
      <c r="AI437" s="27">
        <v>431</v>
      </c>
      <c r="AJ437" s="28">
        <f>[1]服务器生态!W452</f>
        <v>23.84007235146397</v>
      </c>
      <c r="AK437" s="28">
        <f>[1]服务器生态!X452</f>
        <v>23.506529640270433</v>
      </c>
      <c r="AL437" s="28">
        <f>[1]服务器生态!Y452</f>
        <v>1.9188448479698339</v>
      </c>
      <c r="AM437" s="28">
        <f>[1]服务器生态!Z452</f>
        <v>0.34137605789000047</v>
      </c>
      <c r="AN437" s="28">
        <f>[1]服务器生态!AA452</f>
        <v>9.8774964070700563E-2</v>
      </c>
    </row>
    <row r="438" spans="11:40" x14ac:dyDescent="0.2">
      <c r="K438" s="26">
        <v>432</v>
      </c>
      <c r="L438" s="26">
        <f>[1]节奏总纲!AD435</f>
        <v>87.573786971351197</v>
      </c>
      <c r="M438" s="26">
        <f>[1]节奏总纲!AE435</f>
        <v>89.767281072932619</v>
      </c>
      <c r="N438" s="26">
        <f>[1]节奏总纲!AF435</f>
        <v>92.941096666075069</v>
      </c>
      <c r="O438" s="26">
        <f>[1]节奏总纲!AG435</f>
        <v>97.712683465897811</v>
      </c>
      <c r="P438" s="26">
        <f>[1]节奏总纲!AH435</f>
        <v>106.71083262026912</v>
      </c>
      <c r="AI438" s="27">
        <v>432</v>
      </c>
      <c r="AJ438" s="28">
        <f>[1]服务器生态!W453</f>
        <v>23.691469941437035</v>
      </c>
      <c r="AK438" s="28">
        <f>[1]服务器生态!X453</f>
        <v>23.360006303242923</v>
      </c>
      <c r="AL438" s="28">
        <f>[1]服务器生态!Y453</f>
        <v>1.9068841053734058</v>
      </c>
      <c r="AM438" s="28">
        <f>[1]服务器生态!Z453</f>
        <v>0.33924815726201291</v>
      </c>
      <c r="AN438" s="28">
        <f>[1]服务器生态!AA453</f>
        <v>9.8159269726537685E-2</v>
      </c>
    </row>
    <row r="439" spans="11:40" x14ac:dyDescent="0.2">
      <c r="K439" s="26">
        <v>433</v>
      </c>
      <c r="L439" s="26">
        <f>[1]节奏总纲!AD436</f>
        <v>87.607289311176288</v>
      </c>
      <c r="M439" s="26">
        <f>[1]节奏总纲!AE436</f>
        <v>89.805236340419228</v>
      </c>
      <c r="N439" s="26">
        <f>[1]节奏总纲!AF436</f>
        <v>92.976110509667819</v>
      </c>
      <c r="O439" s="26">
        <f>[1]节奏总纲!AG436</f>
        <v>97.743863055678943</v>
      </c>
      <c r="P439" s="26">
        <f>[1]节奏总纲!AH436</f>
        <v>106.74745637567692</v>
      </c>
      <c r="AI439" s="27">
        <v>433</v>
      </c>
      <c r="AJ439" s="28">
        <f>[1]服务器生态!W454</f>
        <v>23.542867531410106</v>
      </c>
      <c r="AK439" s="28">
        <f>[1]服务器生态!X454</f>
        <v>23.213482966215416</v>
      </c>
      <c r="AL439" s="28">
        <f>[1]服务器生态!Y454</f>
        <v>1.8949233627769779</v>
      </c>
      <c r="AM439" s="28">
        <f>[1]服务器生态!Z454</f>
        <v>0.33712025663402539</v>
      </c>
      <c r="AN439" s="28">
        <f>[1]服务器生态!AA454</f>
        <v>9.7543575382374834E-2</v>
      </c>
    </row>
    <row r="440" spans="11:40" x14ac:dyDescent="0.2">
      <c r="K440" s="26">
        <v>434</v>
      </c>
      <c r="L440" s="26">
        <f>[1]节奏总纲!AD437</f>
        <v>87.640791651001379</v>
      </c>
      <c r="M440" s="26">
        <f>[1]节奏总纲!AE437</f>
        <v>89.843191607905837</v>
      </c>
      <c r="N440" s="26">
        <f>[1]节奏总纲!AF437</f>
        <v>93.010370350941912</v>
      </c>
      <c r="O440" s="26">
        <f>[1]节奏总纲!AG437</f>
        <v>97.775042645460076</v>
      </c>
      <c r="P440" s="26">
        <f>[1]节奏总纲!AH437</f>
        <v>106.78408013108474</v>
      </c>
      <c r="AI440" s="27">
        <v>434</v>
      </c>
      <c r="AJ440" s="28">
        <f>[1]服务器生态!W455</f>
        <v>23.394265121383171</v>
      </c>
      <c r="AK440" s="28">
        <f>[1]服务器生态!X455</f>
        <v>23.066959629187906</v>
      </c>
      <c r="AL440" s="28">
        <f>[1]服务器生态!Y455</f>
        <v>1.8829626201805496</v>
      </c>
      <c r="AM440" s="28">
        <f>[1]服务器生态!Z455</f>
        <v>0.33499235600603788</v>
      </c>
      <c r="AN440" s="28">
        <f>[1]服务器生态!AA455</f>
        <v>9.6927881038211955E-2</v>
      </c>
    </row>
    <row r="441" spans="11:40" x14ac:dyDescent="0.2">
      <c r="K441" s="26">
        <v>435</v>
      </c>
      <c r="L441" s="26">
        <f>[1]节奏总纲!AD438</f>
        <v>87.674293990826456</v>
      </c>
      <c r="M441" s="26">
        <f>[1]节奏总纲!AE438</f>
        <v>89.881146875392446</v>
      </c>
      <c r="N441" s="26">
        <f>[1]节奏总纲!AF438</f>
        <v>93.043010976187844</v>
      </c>
      <c r="O441" s="26">
        <f>[1]节奏总纲!AG438</f>
        <v>97.806222235241208</v>
      </c>
      <c r="P441" s="26">
        <f>[1]节奏总纲!AH438</f>
        <v>106.82070388649254</v>
      </c>
      <c r="AI441" s="27">
        <v>435</v>
      </c>
      <c r="AJ441" s="28">
        <f>[1]服务器生态!W456</f>
        <v>23.245662711356236</v>
      </c>
      <c r="AK441" s="28">
        <f>[1]服务器生态!X456</f>
        <v>22.920436292160399</v>
      </c>
      <c r="AL441" s="28">
        <f>[1]服务器生态!Y456</f>
        <v>1.8710018775841215</v>
      </c>
      <c r="AM441" s="28">
        <f>[1]服务器生态!Z456</f>
        <v>0.33286445537805032</v>
      </c>
      <c r="AN441" s="28">
        <f>[1]服务器生态!AA456</f>
        <v>9.631218669404909E-2</v>
      </c>
    </row>
    <row r="442" spans="11:40" x14ac:dyDescent="0.2">
      <c r="K442" s="26">
        <v>436</v>
      </c>
      <c r="L442" s="26">
        <f>[1]节奏总纲!AD439</f>
        <v>87.707796330651547</v>
      </c>
      <c r="M442" s="26">
        <f>[1]节奏总纲!AE439</f>
        <v>89.919102142879041</v>
      </c>
      <c r="N442" s="26">
        <f>[1]节奏总纲!AF439</f>
        <v>93.07565160143379</v>
      </c>
      <c r="O442" s="26">
        <f>[1]节奏总纲!AG439</f>
        <v>97.83740182502234</v>
      </c>
      <c r="P442" s="26">
        <f>[1]节奏总纲!AH439</f>
        <v>106.85732764190035</v>
      </c>
      <c r="AI442" s="27">
        <v>436</v>
      </c>
      <c r="AJ442" s="28">
        <f>[1]服务器生态!W457</f>
        <v>23.097060301329297</v>
      </c>
      <c r="AK442" s="28">
        <f>[1]服务器生态!X457</f>
        <v>22.773912955132886</v>
      </c>
      <c r="AL442" s="28">
        <f>[1]服务器生态!Y457</f>
        <v>1.859041134987693</v>
      </c>
      <c r="AM442" s="28">
        <f>[1]服务器生态!Z457</f>
        <v>0.33073655475006275</v>
      </c>
      <c r="AN442" s="28">
        <f>[1]服务器生态!AA457</f>
        <v>9.5696492349886197E-2</v>
      </c>
    </row>
    <row r="443" spans="11:40" x14ac:dyDescent="0.2">
      <c r="K443" s="26">
        <v>437</v>
      </c>
      <c r="L443" s="26">
        <f>[1]节奏总纲!AD440</f>
        <v>87.741298670476638</v>
      </c>
      <c r="M443" s="26">
        <f>[1]节奏总纲!AE440</f>
        <v>89.95705741036565</v>
      </c>
      <c r="N443" s="26">
        <f>[1]节奏总纲!AF440</f>
        <v>93.108292226679723</v>
      </c>
      <c r="O443" s="26">
        <f>[1]节奏总纲!AG440</f>
        <v>97.868581414803472</v>
      </c>
      <c r="P443" s="26">
        <f>[1]节奏总纲!AH440</f>
        <v>106.89395139730816</v>
      </c>
      <c r="AI443" s="27">
        <v>437</v>
      </c>
      <c r="AJ443" s="28">
        <f>[1]服务器生态!W458</f>
        <v>22.948457891302365</v>
      </c>
      <c r="AK443" s="28">
        <f>[1]服务器生态!X458</f>
        <v>22.627389618105379</v>
      </c>
      <c r="AL443" s="28">
        <f>[1]服务器生态!Y458</f>
        <v>1.8470803923912651</v>
      </c>
      <c r="AM443" s="28">
        <f>[1]服务器生态!Z458</f>
        <v>0.32860865412207524</v>
      </c>
      <c r="AN443" s="28">
        <f>[1]服务器生态!AA458</f>
        <v>9.5080798005723346E-2</v>
      </c>
    </row>
    <row r="444" spans="11:40" x14ac:dyDescent="0.2">
      <c r="K444" s="26">
        <v>438</v>
      </c>
      <c r="L444" s="26">
        <f>[1]节奏总纲!AD441</f>
        <v>87.774801010301729</v>
      </c>
      <c r="M444" s="26">
        <f>[1]节奏总纲!AE441</f>
        <v>89.995012677852259</v>
      </c>
      <c r="N444" s="26">
        <f>[1]节奏总纲!AF441</f>
        <v>93.140932851925655</v>
      </c>
      <c r="O444" s="26">
        <f>[1]节奏总纲!AG441</f>
        <v>97.899761004584605</v>
      </c>
      <c r="P444" s="26">
        <f>[1]节奏总纲!AH441</f>
        <v>106.93057515271597</v>
      </c>
      <c r="AI444" s="27">
        <v>438</v>
      </c>
      <c r="AJ444" s="28">
        <f>[1]服务器生态!W459</f>
        <v>22.799855481275429</v>
      </c>
      <c r="AK444" s="28">
        <f>[1]服务器生态!X459</f>
        <v>22.480866281077869</v>
      </c>
      <c r="AL444" s="28">
        <f>[1]服务器生态!Y459</f>
        <v>1.835119649794837</v>
      </c>
      <c r="AM444" s="28">
        <f>[1]服务器生态!Z459</f>
        <v>0.32648075349408773</v>
      </c>
      <c r="AN444" s="28">
        <f>[1]服务器生态!AA459</f>
        <v>9.4465103661560468E-2</v>
      </c>
    </row>
    <row r="445" spans="11:40" x14ac:dyDescent="0.2">
      <c r="K445" s="26">
        <v>439</v>
      </c>
      <c r="L445" s="26">
        <f>[1]节奏总纲!AD442</f>
        <v>87.80830335012682</v>
      </c>
      <c r="M445" s="26">
        <f>[1]节奏总纲!AE442</f>
        <v>90.02776086803631</v>
      </c>
      <c r="N445" s="26">
        <f>[1]节奏总纲!AF442</f>
        <v>93.173573477171601</v>
      </c>
      <c r="O445" s="26">
        <f>[1]节奏总纲!AG442</f>
        <v>97.930940594365737</v>
      </c>
      <c r="P445" s="26">
        <f>[1]节奏总纲!AH442</f>
        <v>106.96719890812379</v>
      </c>
      <c r="AI445" s="27">
        <v>439</v>
      </c>
      <c r="AJ445" s="28">
        <f>[1]服务器生态!W460</f>
        <v>22.65125307124849</v>
      </c>
      <c r="AK445" s="28">
        <f>[1]服务器生态!X460</f>
        <v>22.334342944050356</v>
      </c>
      <c r="AL445" s="28">
        <f>[1]服务器生态!Y460</f>
        <v>1.8231589071984085</v>
      </c>
      <c r="AM445" s="28">
        <f>[1]服务器生态!Z460</f>
        <v>0.32435285286610016</v>
      </c>
      <c r="AN445" s="28">
        <f>[1]服务器生态!AA460</f>
        <v>9.3849409317397589E-2</v>
      </c>
    </row>
    <row r="446" spans="11:40" x14ac:dyDescent="0.2">
      <c r="K446" s="26">
        <v>440</v>
      </c>
      <c r="L446" s="26">
        <f>[1]节奏总纲!AD443</f>
        <v>87.841805689951912</v>
      </c>
      <c r="M446" s="26">
        <f>[1]节奏总纲!AE443</f>
        <v>90.059721342404629</v>
      </c>
      <c r="N446" s="26">
        <f>[1]节奏总纲!AF443</f>
        <v>93.206214102417533</v>
      </c>
      <c r="O446" s="26">
        <f>[1]节奏总纲!AG443</f>
        <v>97.962120184146869</v>
      </c>
      <c r="P446" s="26">
        <f>[1]节奏总纲!AH443</f>
        <v>107.00341963994663</v>
      </c>
      <c r="AI446" s="27">
        <v>440</v>
      </c>
      <c r="AJ446" s="28">
        <f>[1]服务器生态!W461</f>
        <v>22.502650661221555</v>
      </c>
      <c r="AK446" s="28">
        <f>[1]服务器生态!X461</f>
        <v>22.187819607022846</v>
      </c>
      <c r="AL446" s="28">
        <f>[1]服务器生态!Y461</f>
        <v>1.8111981646019804</v>
      </c>
      <c r="AM446" s="28">
        <f>[1]服务器生态!Z461</f>
        <v>0.32222495223811259</v>
      </c>
      <c r="AN446" s="28">
        <f>[1]服务器生态!AA461</f>
        <v>9.323371497323471E-2</v>
      </c>
    </row>
    <row r="447" spans="11:40" x14ac:dyDescent="0.2">
      <c r="K447" s="26">
        <v>441</v>
      </c>
      <c r="L447" s="26">
        <f>[1]节奏总纲!AD444</f>
        <v>87.875308029777003</v>
      </c>
      <c r="M447" s="26">
        <f>[1]节奏总纲!AE444</f>
        <v>90.091681816772933</v>
      </c>
      <c r="N447" s="26">
        <f>[1]节奏总纲!AF444</f>
        <v>93.238854727663465</v>
      </c>
      <c r="O447" s="26">
        <f>[1]节奏总纲!AG444</f>
        <v>97.993299773928001</v>
      </c>
      <c r="P447" s="26">
        <f>[1]节奏总纲!AH444</f>
        <v>107.03618215120423</v>
      </c>
      <c r="AI447" s="27">
        <v>441</v>
      </c>
      <c r="AJ447" s="28">
        <f>[1]服务器生态!W462</f>
        <v>22.354048251194627</v>
      </c>
      <c r="AK447" s="28">
        <f>[1]服务器生态!X462</f>
        <v>22.041296269995343</v>
      </c>
      <c r="AL447" s="28">
        <f>[1]服务器生态!Y462</f>
        <v>1.7992374220055525</v>
      </c>
      <c r="AM447" s="28">
        <f>[1]服务器生态!Z462</f>
        <v>0.32009705161012514</v>
      </c>
      <c r="AN447" s="28">
        <f>[1]服务器生态!AA462</f>
        <v>9.2618020629071859E-2</v>
      </c>
    </row>
    <row r="448" spans="11:40" x14ac:dyDescent="0.2">
      <c r="K448" s="26">
        <v>442</v>
      </c>
      <c r="L448" s="26">
        <f>[1]节奏总纲!AD445</f>
        <v>87.908810369602094</v>
      </c>
      <c r="M448" s="26">
        <f>[1]节奏总纲!AE445</f>
        <v>90.123642291141252</v>
      </c>
      <c r="N448" s="26">
        <f>[1]节奏总纲!AF445</f>
        <v>93.271495352909412</v>
      </c>
      <c r="O448" s="26">
        <f>[1]节奏总纲!AG445</f>
        <v>98.022966739076409</v>
      </c>
      <c r="P448" s="26">
        <f>[1]节奏总纲!AH445</f>
        <v>107.06894466246183</v>
      </c>
      <c r="AI448" s="27">
        <v>442</v>
      </c>
      <c r="AJ448" s="28">
        <f>[1]服务器生态!W463</f>
        <v>22.205445841167691</v>
      </c>
      <c r="AK448" s="28">
        <f>[1]服务器生态!X463</f>
        <v>21.894772932967832</v>
      </c>
      <c r="AL448" s="28">
        <f>[1]服务器生态!Y463</f>
        <v>1.7872766794091242</v>
      </c>
      <c r="AM448" s="28">
        <f>[1]服务器生态!Z463</f>
        <v>0.31796915098213757</v>
      </c>
      <c r="AN448" s="28">
        <f>[1]服务器生态!AA463</f>
        <v>9.2002326284908981E-2</v>
      </c>
    </row>
    <row r="449" spans="11:40" x14ac:dyDescent="0.2">
      <c r="K449" s="26">
        <v>443</v>
      </c>
      <c r="L449" s="26">
        <f>[1]节奏总纲!AD446</f>
        <v>87.942312709427185</v>
      </c>
      <c r="M449" s="26">
        <f>[1]节奏总纲!AE446</f>
        <v>90.155602765509556</v>
      </c>
      <c r="N449" s="26">
        <f>[1]节奏总纲!AF446</f>
        <v>93.304135978155344</v>
      </c>
      <c r="O449" s="26">
        <f>[1]节奏总纲!AG446</f>
        <v>98.052219685007586</v>
      </c>
      <c r="P449" s="26">
        <f>[1]节奏总纲!AH446</f>
        <v>107.10170717371945</v>
      </c>
      <c r="AI449" s="27">
        <v>443</v>
      </c>
      <c r="AJ449" s="28">
        <f>[1]服务器生态!W464</f>
        <v>22.056843431140756</v>
      </c>
      <c r="AK449" s="28">
        <f>[1]服务器生态!X464</f>
        <v>21.748249595940322</v>
      </c>
      <c r="AL449" s="28">
        <f>[1]服务器生态!Y464</f>
        <v>1.7753159368126961</v>
      </c>
      <c r="AM449" s="28">
        <f>[1]服务器生态!Z464</f>
        <v>0.31584125035415006</v>
      </c>
      <c r="AN449" s="28">
        <f>[1]服务器生态!AA464</f>
        <v>9.1386631940746116E-2</v>
      </c>
    </row>
    <row r="450" spans="11:40" x14ac:dyDescent="0.2">
      <c r="K450" s="26">
        <v>444</v>
      </c>
      <c r="L450" s="26">
        <f>[1]节奏总纲!AD447</f>
        <v>87.975815049252276</v>
      </c>
      <c r="M450" s="26">
        <f>[1]节奏总纲!AE447</f>
        <v>90.187563239877875</v>
      </c>
      <c r="N450" s="26">
        <f>[1]节奏总纲!AF447</f>
        <v>93.336776603401276</v>
      </c>
      <c r="O450" s="26">
        <f>[1]节奏总纲!AG447</f>
        <v>98.081472630938748</v>
      </c>
      <c r="P450" s="26">
        <f>[1]节奏总纲!AH447</f>
        <v>107.13446968497705</v>
      </c>
      <c r="AI450" s="27">
        <v>444</v>
      </c>
      <c r="AJ450" s="28">
        <f>[1]服务器生态!W465</f>
        <v>21.908241021113817</v>
      </c>
      <c r="AK450" s="28">
        <f>[1]服务器生态!X465</f>
        <v>21.601726258912809</v>
      </c>
      <c r="AL450" s="28">
        <f>[1]服务器生态!Y465</f>
        <v>1.7633551942162675</v>
      </c>
      <c r="AM450" s="28">
        <f>[1]服务器生态!Z465</f>
        <v>0.31371334972616244</v>
      </c>
      <c r="AN450" s="28">
        <f>[1]服务器生态!AA465</f>
        <v>9.0770937596583223E-2</v>
      </c>
    </row>
    <row r="451" spans="11:40" x14ac:dyDescent="0.2">
      <c r="K451" s="26">
        <v>445</v>
      </c>
      <c r="L451" s="26">
        <f>[1]节奏总纲!AD448</f>
        <v>88.008693431404168</v>
      </c>
      <c r="M451" s="26">
        <f>[1]节奏总纲!AE448</f>
        <v>90.219523714246179</v>
      </c>
      <c r="N451" s="26">
        <f>[1]节奏总纲!AF448</f>
        <v>93.369417228647222</v>
      </c>
      <c r="O451" s="26">
        <f>[1]节奏总纲!AG448</f>
        <v>98.110725576869925</v>
      </c>
      <c r="P451" s="26">
        <f>[1]节奏总纲!AH448</f>
        <v>107.16723219623466</v>
      </c>
      <c r="AI451" s="27">
        <v>445</v>
      </c>
      <c r="AJ451" s="28">
        <f>[1]服务器生态!W466</f>
        <v>21.759638611086885</v>
      </c>
      <c r="AK451" s="28">
        <f>[1]服务器生态!X466</f>
        <v>21.455202921885302</v>
      </c>
      <c r="AL451" s="28">
        <f>[1]服务器生态!Y466</f>
        <v>1.7513944516198396</v>
      </c>
      <c r="AM451" s="28">
        <f>[1]服务器生态!Z466</f>
        <v>0.31158544909817498</v>
      </c>
      <c r="AN451" s="28">
        <f>[1]服务器生态!AA466</f>
        <v>9.0155243252420372E-2</v>
      </c>
    </row>
    <row r="452" spans="11:40" x14ac:dyDescent="0.2">
      <c r="K452" s="26">
        <v>446</v>
      </c>
      <c r="L452" s="26">
        <f>[1]节奏总纲!AD449</f>
        <v>88.039952219754653</v>
      </c>
      <c r="M452" s="26">
        <f>[1]节奏总纲!AE449</f>
        <v>90.251484188614498</v>
      </c>
      <c r="N452" s="26">
        <f>[1]节奏总纲!AF449</f>
        <v>93.402057853893155</v>
      </c>
      <c r="O452" s="26">
        <f>[1]节奏总纲!AG449</f>
        <v>98.139978522801101</v>
      </c>
      <c r="P452" s="26">
        <f>[1]节奏总纲!AH449</f>
        <v>107.19999470749227</v>
      </c>
      <c r="AI452" s="27">
        <v>446</v>
      </c>
      <c r="AJ452" s="28">
        <f>[1]服务器生态!W467</f>
        <v>21.611036201059949</v>
      </c>
      <c r="AK452" s="28">
        <f>[1]服务器生态!X467</f>
        <v>21.308679584857792</v>
      </c>
      <c r="AL452" s="28">
        <f>[1]服务器生态!Y467</f>
        <v>1.7394337090234115</v>
      </c>
      <c r="AM452" s="28">
        <f>[1]服务器生态!Z467</f>
        <v>0.30945754847018742</v>
      </c>
      <c r="AN452" s="28">
        <f>[1]服务器生态!AA467</f>
        <v>8.9539548908257507E-2</v>
      </c>
    </row>
    <row r="453" spans="11:40" x14ac:dyDescent="0.2">
      <c r="K453" s="26">
        <v>447</v>
      </c>
      <c r="L453" s="26">
        <f>[1]节奏总纲!AD450</f>
        <v>88.071211008105138</v>
      </c>
      <c r="M453" s="26">
        <f>[1]节奏总纲!AE450</f>
        <v>90.283444662982802</v>
      </c>
      <c r="N453" s="26">
        <f>[1]节奏总纲!AF450</f>
        <v>93.434698479139087</v>
      </c>
      <c r="O453" s="26">
        <f>[1]节奏总纲!AG450</f>
        <v>98.169231468732264</v>
      </c>
      <c r="P453" s="26">
        <f>[1]节奏总纲!AH450</f>
        <v>107.23275721874987</v>
      </c>
      <c r="AI453" s="27">
        <v>447</v>
      </c>
      <c r="AJ453" s="28">
        <f>[1]服务器生态!W468</f>
        <v>21.462433791033014</v>
      </c>
      <c r="AK453" s="28">
        <f>[1]服务器生态!X468</f>
        <v>21.162156247830286</v>
      </c>
      <c r="AL453" s="28">
        <f>[1]服务器生态!Y468</f>
        <v>1.7274729664269832</v>
      </c>
      <c r="AM453" s="28">
        <f>[1]服务器生态!Z468</f>
        <v>0.3073296478421999</v>
      </c>
      <c r="AN453" s="28">
        <f>[1]服务器生态!AA468</f>
        <v>8.8923854564094629E-2</v>
      </c>
    </row>
    <row r="454" spans="11:40" x14ac:dyDescent="0.2">
      <c r="K454" s="26">
        <v>448</v>
      </c>
      <c r="L454" s="26">
        <f>[1]节奏总纲!AD451</f>
        <v>88.102469796455622</v>
      </c>
      <c r="M454" s="26">
        <f>[1]节奏总纲!AE451</f>
        <v>90.315405137351107</v>
      </c>
      <c r="N454" s="26">
        <f>[1]节奏总纲!AF451</f>
        <v>93.467339104385033</v>
      </c>
      <c r="O454" s="26">
        <f>[1]节奏总纲!AG451</f>
        <v>98.19848441466344</v>
      </c>
      <c r="P454" s="26">
        <f>[1]节奏总纲!AH451</f>
        <v>107.26551973000748</v>
      </c>
      <c r="AI454" s="27">
        <v>448</v>
      </c>
      <c r="AJ454" s="28">
        <f>[1]服务器生态!W469</f>
        <v>21.313831381006079</v>
      </c>
      <c r="AK454" s="28">
        <f>[1]服务器生态!X469</f>
        <v>21.015632910802772</v>
      </c>
      <c r="AL454" s="28">
        <f>[1]服务器生态!Y469</f>
        <v>1.7155122238305549</v>
      </c>
      <c r="AM454" s="28">
        <f>[1]服务器生态!Z469</f>
        <v>0.30520174721421228</v>
      </c>
      <c r="AN454" s="28">
        <f>[1]服务器生态!AA469</f>
        <v>8.830816021993175E-2</v>
      </c>
    </row>
    <row r="455" spans="11:40" x14ac:dyDescent="0.2">
      <c r="K455" s="26">
        <v>449</v>
      </c>
      <c r="L455" s="26">
        <f>[1]节奏总纲!AD452</f>
        <v>88.133728584806107</v>
      </c>
      <c r="M455" s="26">
        <f>[1]节奏总纲!AE452</f>
        <v>90.347365611719425</v>
      </c>
      <c r="N455" s="26">
        <f>[1]节奏总纲!AF452</f>
        <v>93.499979729630965</v>
      </c>
      <c r="O455" s="26">
        <f>[1]节奏总纲!AG452</f>
        <v>98.227737360594617</v>
      </c>
      <c r="P455" s="26">
        <f>[1]节奏总纲!AH452</f>
        <v>107.29828224126508</v>
      </c>
      <c r="AI455" s="27">
        <v>449</v>
      </c>
      <c r="AJ455" s="28">
        <f>[1]服务器生态!W470</f>
        <v>21.165228970979147</v>
      </c>
      <c r="AK455" s="28">
        <f>[1]服务器生态!X470</f>
        <v>20.869109573775265</v>
      </c>
      <c r="AL455" s="28">
        <f>[1]服务器生态!Y470</f>
        <v>1.703551481234127</v>
      </c>
      <c r="AM455" s="28">
        <f>[1]服务器生态!Z470</f>
        <v>0.30307384658622483</v>
      </c>
      <c r="AN455" s="28">
        <f>[1]服务器生态!AA470</f>
        <v>8.7692465875768885E-2</v>
      </c>
    </row>
    <row r="456" spans="11:40" x14ac:dyDescent="0.2">
      <c r="K456" s="26">
        <v>450</v>
      </c>
      <c r="L456" s="26">
        <f>[1]节奏总纲!AD453</f>
        <v>88.164987373156592</v>
      </c>
      <c r="M456" s="26">
        <f>[1]节奏总纲!AE453</f>
        <v>90.37932608608773</v>
      </c>
      <c r="N456" s="26">
        <f>[1]节奏总纲!AF453</f>
        <v>93.532620354876897</v>
      </c>
      <c r="O456" s="26">
        <f>[1]节奏总纲!AG453</f>
        <v>98.256990306525779</v>
      </c>
      <c r="P456" s="26">
        <f>[1]节奏总纲!AH453</f>
        <v>107.33104475252269</v>
      </c>
      <c r="AI456" s="27">
        <v>450</v>
      </c>
      <c r="AJ456" s="28">
        <f>[1]服务器生态!W471</f>
        <v>21.016626560952211</v>
      </c>
      <c r="AK456" s="28">
        <f>[1]服务器生态!X471</f>
        <v>20.722586236747755</v>
      </c>
      <c r="AL456" s="28">
        <f>[1]服务器生态!Y471</f>
        <v>1.6915907386376987</v>
      </c>
      <c r="AM456" s="28">
        <f>[1]服务器生态!Z471</f>
        <v>0.30094594595823726</v>
      </c>
      <c r="AN456" s="28">
        <f>[1]服务器生态!AA471</f>
        <v>8.707677153160602E-2</v>
      </c>
    </row>
    <row r="457" spans="11:40" x14ac:dyDescent="0.2">
      <c r="K457" s="26">
        <v>451</v>
      </c>
      <c r="L457" s="26">
        <f>[1]节奏总纲!AD454</f>
        <v>88.196246161507091</v>
      </c>
      <c r="M457" s="26">
        <f>[1]节奏总纲!AE454</f>
        <v>90.411286560456048</v>
      </c>
      <c r="N457" s="26">
        <f>[1]节奏总纲!AF454</f>
        <v>93.565260980122844</v>
      </c>
      <c r="O457" s="26">
        <f>[1]节奏总纲!AG454</f>
        <v>98.286243252456956</v>
      </c>
      <c r="P457" s="26">
        <f>[1]节奏总纲!AH454</f>
        <v>107.3638072637803</v>
      </c>
      <c r="AI457" s="27">
        <v>451</v>
      </c>
      <c r="AJ457" s="28">
        <f>[1]服务器生态!W472</f>
        <v>20.89402957267999</v>
      </c>
      <c r="AK457" s="28">
        <f>[1]服务器生态!X472</f>
        <v>20.601704483700061</v>
      </c>
      <c r="AL457" s="28">
        <f>[1]服务器生态!Y472</f>
        <v>1.6817231259956456</v>
      </c>
      <c r="AM457" s="28">
        <f>[1]服务器生态!Z472</f>
        <v>0.29919042794014755</v>
      </c>
      <c r="AN457" s="28">
        <f>[1]服务器生态!AA472</f>
        <v>8.656882369767166E-2</v>
      </c>
    </row>
    <row r="458" spans="11:40" x14ac:dyDescent="0.2">
      <c r="K458" s="26">
        <v>452</v>
      </c>
      <c r="L458" s="26">
        <f>[1]节奏总纲!AD455</f>
        <v>88.227504949857575</v>
      </c>
      <c r="M458" s="26">
        <f>[1]节奏总纲!AE455</f>
        <v>90.443247034824353</v>
      </c>
      <c r="N458" s="26">
        <f>[1]节奏总纲!AF455</f>
        <v>93.597901605368776</v>
      </c>
      <c r="O458" s="26">
        <f>[1]节奏总纲!AG455</f>
        <v>98.315496198388132</v>
      </c>
      <c r="P458" s="26">
        <f>[1]节奏总纲!AH455</f>
        <v>107.3965697750379</v>
      </c>
      <c r="AI458" s="27">
        <v>452</v>
      </c>
      <c r="AJ458" s="28">
        <f>[1]服务器生态!W473</f>
        <v>20.771432584407769</v>
      </c>
      <c r="AK458" s="28">
        <f>[1]服务器生态!X473</f>
        <v>20.480822730652363</v>
      </c>
      <c r="AL458" s="28">
        <f>[1]服务器生态!Y473</f>
        <v>1.6718555133535922</v>
      </c>
      <c r="AM458" s="28">
        <f>[1]服务器生态!Z473</f>
        <v>0.29743490992205784</v>
      </c>
      <c r="AN458" s="28">
        <f>[1]服务器生态!AA473</f>
        <v>8.6060875863737271E-2</v>
      </c>
    </row>
    <row r="459" spans="11:40" x14ac:dyDescent="0.2">
      <c r="K459" s="26">
        <v>453</v>
      </c>
      <c r="L459" s="26">
        <f>[1]节奏总纲!AD456</f>
        <v>88.25876373820806</v>
      </c>
      <c r="M459" s="26">
        <f>[1]节奏总纲!AE456</f>
        <v>90.475207509192671</v>
      </c>
      <c r="N459" s="26">
        <f>[1]节奏总纲!AF456</f>
        <v>93.630542230614708</v>
      </c>
      <c r="O459" s="26">
        <f>[1]节奏总纲!AG456</f>
        <v>98.344749144319294</v>
      </c>
      <c r="P459" s="26">
        <f>[1]节奏总纲!AH456</f>
        <v>107.42933228629551</v>
      </c>
      <c r="AI459" s="27">
        <v>453</v>
      </c>
      <c r="AJ459" s="28">
        <f>[1]服务器生态!W474</f>
        <v>20.648835596135548</v>
      </c>
      <c r="AK459" s="28">
        <f>[1]服务器生态!X474</f>
        <v>20.359940977604669</v>
      </c>
      <c r="AL459" s="28">
        <f>[1]服务器生态!Y474</f>
        <v>1.6619879007115392</v>
      </c>
      <c r="AM459" s="28">
        <f>[1]服务器生态!Z474</f>
        <v>0.29567939190396814</v>
      </c>
      <c r="AN459" s="28">
        <f>[1]服务器生态!AA474</f>
        <v>8.555292802980291E-2</v>
      </c>
    </row>
    <row r="460" spans="11:40" x14ac:dyDescent="0.2">
      <c r="K460" s="26">
        <v>454</v>
      </c>
      <c r="L460" s="26">
        <f>[1]节奏总纲!AD457</f>
        <v>88.290022526558545</v>
      </c>
      <c r="M460" s="26">
        <f>[1]节奏总纲!AE457</f>
        <v>90.507167983560976</v>
      </c>
      <c r="N460" s="26">
        <f>[1]节奏总纲!AF457</f>
        <v>93.663182855860654</v>
      </c>
      <c r="O460" s="26">
        <f>[1]节奏总纲!AG457</f>
        <v>98.374002090250471</v>
      </c>
      <c r="P460" s="26">
        <f>[1]节奏总纲!AH457</f>
        <v>107.46209479755312</v>
      </c>
      <c r="AI460" s="27">
        <v>454</v>
      </c>
      <c r="AJ460" s="28">
        <f>[1]服务器生态!W475</f>
        <v>20.526238607863323</v>
      </c>
      <c r="AK460" s="28">
        <f>[1]服务器生态!X475</f>
        <v>20.239059224556975</v>
      </c>
      <c r="AL460" s="28">
        <f>[1]服务器生态!Y475</f>
        <v>1.6521202880694856</v>
      </c>
      <c r="AM460" s="28">
        <f>[1]服务器生态!Z475</f>
        <v>0.29392387388587837</v>
      </c>
      <c r="AN460" s="28">
        <f>[1]服务器生态!AA475</f>
        <v>8.5044980195868536E-2</v>
      </c>
    </row>
    <row r="461" spans="11:40" x14ac:dyDescent="0.2">
      <c r="K461" s="26">
        <v>455</v>
      </c>
      <c r="L461" s="26">
        <f>[1]节奏总纲!AD458</f>
        <v>88.321281314909029</v>
      </c>
      <c r="M461" s="26">
        <f>[1]节奏总纲!AE458</f>
        <v>90.539128457929294</v>
      </c>
      <c r="N461" s="26">
        <f>[1]节奏总纲!AF458</f>
        <v>93.695823481106586</v>
      </c>
      <c r="O461" s="26">
        <f>[1]节奏总纲!AG458</f>
        <v>98.403255036181633</v>
      </c>
      <c r="P461" s="26">
        <f>[1]节奏总纲!AH458</f>
        <v>107.49485730881072</v>
      </c>
      <c r="AI461" s="27">
        <v>455</v>
      </c>
      <c r="AJ461" s="28">
        <f>[1]服务器生态!W476</f>
        <v>20.403641619591106</v>
      </c>
      <c r="AK461" s="28">
        <f>[1]服务器生态!X476</f>
        <v>20.118177471509281</v>
      </c>
      <c r="AL461" s="28">
        <f>[1]服务器生态!Y476</f>
        <v>1.6422526754274327</v>
      </c>
      <c r="AM461" s="28">
        <f>[1]服务器生态!Z476</f>
        <v>0.29216835586778866</v>
      </c>
      <c r="AN461" s="28">
        <f>[1]服务器生态!AA476</f>
        <v>8.4537032361934175E-2</v>
      </c>
    </row>
    <row r="462" spans="11:40" x14ac:dyDescent="0.2">
      <c r="K462" s="26">
        <v>456</v>
      </c>
      <c r="L462" s="26">
        <f>[1]节奏总纲!AD459</f>
        <v>88.352540103259514</v>
      </c>
      <c r="M462" s="26">
        <f>[1]节奏总纲!AE459</f>
        <v>90.571088932297599</v>
      </c>
      <c r="N462" s="26">
        <f>[1]节奏总纲!AF459</f>
        <v>93.728464106352519</v>
      </c>
      <c r="O462" s="26">
        <f>[1]节奏总纲!AG459</f>
        <v>98.43250798211281</v>
      </c>
      <c r="P462" s="26">
        <f>[1]节奏总纲!AH459</f>
        <v>107.52761982006834</v>
      </c>
      <c r="AI462" s="27">
        <v>456</v>
      </c>
      <c r="AJ462" s="28">
        <f>[1]服务器生态!W477</f>
        <v>20.281044631318881</v>
      </c>
      <c r="AK462" s="28">
        <f>[1]服务器生态!X477</f>
        <v>19.997295718461583</v>
      </c>
      <c r="AL462" s="28">
        <f>[1]服务器生态!Y477</f>
        <v>1.6323850627853793</v>
      </c>
      <c r="AM462" s="28">
        <f>[1]服务器生态!Z477</f>
        <v>0.29041283784969896</v>
      </c>
      <c r="AN462" s="28">
        <f>[1]服务器生态!AA477</f>
        <v>8.4029084527999801E-2</v>
      </c>
    </row>
    <row r="463" spans="11:40" x14ac:dyDescent="0.2">
      <c r="K463" s="26">
        <v>457</v>
      </c>
      <c r="L463" s="26">
        <f>[1]节奏总纲!AD460</f>
        <v>88.383798891610013</v>
      </c>
      <c r="M463" s="26">
        <f>[1]节奏总纲!AE460</f>
        <v>90.603049406665917</v>
      </c>
      <c r="N463" s="26">
        <f>[1]节奏总纲!AF460</f>
        <v>93.761104731598465</v>
      </c>
      <c r="O463" s="26">
        <f>[1]节奏总纲!AG460</f>
        <v>98.461760928043986</v>
      </c>
      <c r="P463" s="26">
        <f>[1]节奏总纲!AH460</f>
        <v>107.56038233132594</v>
      </c>
      <c r="AI463" s="27">
        <v>457</v>
      </c>
      <c r="AJ463" s="28">
        <f>[1]服务器生态!W478</f>
        <v>20.158447643046664</v>
      </c>
      <c r="AK463" s="28">
        <f>[1]服务器生态!X478</f>
        <v>19.876413965413889</v>
      </c>
      <c r="AL463" s="28">
        <f>[1]服务器生态!Y478</f>
        <v>1.6225174501433262</v>
      </c>
      <c r="AM463" s="28">
        <f>[1]服务器生态!Z478</f>
        <v>0.28865731983160925</v>
      </c>
      <c r="AN463" s="28">
        <f>[1]服务器生态!AA478</f>
        <v>8.352113669406544E-2</v>
      </c>
    </row>
    <row r="464" spans="11:40" x14ac:dyDescent="0.2">
      <c r="K464" s="26">
        <v>458</v>
      </c>
      <c r="L464" s="26">
        <f>[1]节奏总纲!AD461</f>
        <v>88.415057679960498</v>
      </c>
      <c r="M464" s="26">
        <f>[1]节奏总纲!AE461</f>
        <v>90.635009881034222</v>
      </c>
      <c r="N464" s="26">
        <f>[1]节奏总纲!AF461</f>
        <v>93.793745356844397</v>
      </c>
      <c r="O464" s="26">
        <f>[1]节奏总纲!AG461</f>
        <v>98.491013873975149</v>
      </c>
      <c r="P464" s="26">
        <f>[1]节奏总纲!AH461</f>
        <v>107.59314484258354</v>
      </c>
      <c r="AI464" s="27">
        <v>458</v>
      </c>
      <c r="AJ464" s="28">
        <f>[1]服务器生态!W479</f>
        <v>20.035850654774439</v>
      </c>
      <c r="AK464" s="28">
        <f>[1]服务器生态!X479</f>
        <v>19.755532212366191</v>
      </c>
      <c r="AL464" s="28">
        <f>[1]服务器生态!Y479</f>
        <v>1.6126498375012728</v>
      </c>
      <c r="AM464" s="28">
        <f>[1]服务器生态!Z479</f>
        <v>0.28690180181351949</v>
      </c>
      <c r="AN464" s="28">
        <f>[1]服务器生态!AA479</f>
        <v>8.3013188860131065E-2</v>
      </c>
    </row>
    <row r="465" spans="11:40" x14ac:dyDescent="0.2">
      <c r="K465" s="26">
        <v>459</v>
      </c>
      <c r="L465" s="26">
        <f>[1]节奏总纲!AD462</f>
        <v>88.446316468310982</v>
      </c>
      <c r="M465" s="26">
        <f>[1]节奏总纲!AE462</f>
        <v>90.66697035540254</v>
      </c>
      <c r="N465" s="26">
        <f>[1]节奏总纲!AF462</f>
        <v>93.826385982090329</v>
      </c>
      <c r="O465" s="26">
        <f>[1]节奏总纲!AG462</f>
        <v>98.520266819906325</v>
      </c>
      <c r="P465" s="26">
        <f>[1]节奏总纲!AH462</f>
        <v>107.62590735384116</v>
      </c>
      <c r="AI465" s="27">
        <v>459</v>
      </c>
      <c r="AJ465" s="28">
        <f>[1]服务器生态!W480</f>
        <v>19.913253666502218</v>
      </c>
      <c r="AK465" s="28">
        <f>[1]服务器生态!X480</f>
        <v>19.634650459318497</v>
      </c>
      <c r="AL465" s="28">
        <f>[1]服务器生态!Y480</f>
        <v>1.6027822248592196</v>
      </c>
      <c r="AM465" s="28">
        <f>[1]服务器生态!Z480</f>
        <v>0.28514628379542983</v>
      </c>
      <c r="AN465" s="28">
        <f>[1]服务器生态!AA480</f>
        <v>8.2505241026196705E-2</v>
      </c>
    </row>
    <row r="466" spans="11:40" x14ac:dyDescent="0.2">
      <c r="K466" s="26">
        <v>460</v>
      </c>
      <c r="L466" s="26">
        <f>[1]节奏总纲!AD463</f>
        <v>88.477575256661467</v>
      </c>
      <c r="M466" s="26">
        <f>[1]节奏总纲!AE463</f>
        <v>90.698930829770845</v>
      </c>
      <c r="N466" s="26">
        <f>[1]节奏总纲!AF463</f>
        <v>93.859026607336276</v>
      </c>
      <c r="O466" s="26">
        <f>[1]节奏总纲!AG463</f>
        <v>98.549519765837502</v>
      </c>
      <c r="P466" s="26">
        <f>[1]节奏总纲!AH463</f>
        <v>107.65866986509876</v>
      </c>
      <c r="AI466" s="27">
        <v>460</v>
      </c>
      <c r="AJ466" s="28">
        <f>[1]服务器生态!W481</f>
        <v>19.790656678229997</v>
      </c>
      <c r="AK466" s="28">
        <f>[1]服务器生态!X481</f>
        <v>19.513768706270803</v>
      </c>
      <c r="AL466" s="28">
        <f>[1]服务器生态!Y481</f>
        <v>1.5929146122171662</v>
      </c>
      <c r="AM466" s="28">
        <f>[1]服务器生态!Z481</f>
        <v>0.28339076577734007</v>
      </c>
      <c r="AN466" s="28">
        <f>[1]服务器生态!AA481</f>
        <v>8.199729319226233E-2</v>
      </c>
    </row>
    <row r="467" spans="11:40" x14ac:dyDescent="0.2">
      <c r="K467" s="26">
        <v>461</v>
      </c>
      <c r="L467" s="26">
        <f>[1]节奏总纲!AD464</f>
        <v>88.508834045011952</v>
      </c>
      <c r="M467" s="26">
        <f>[1]节奏总纲!AE464</f>
        <v>90.730891304139163</v>
      </c>
      <c r="N467" s="26">
        <f>[1]节奏总纲!AF464</f>
        <v>93.891667232582208</v>
      </c>
      <c r="O467" s="26">
        <f>[1]节奏总纲!AG464</f>
        <v>98.578772711768664</v>
      </c>
      <c r="P467" s="26">
        <f>[1]节奏总纲!AH464</f>
        <v>107.69143237635636</v>
      </c>
      <c r="AI467" s="27">
        <v>461</v>
      </c>
      <c r="AJ467" s="28">
        <f>[1]服务器生态!W482</f>
        <v>19.668059689957776</v>
      </c>
      <c r="AK467" s="28">
        <f>[1]服务器生态!X482</f>
        <v>19.392886953223108</v>
      </c>
      <c r="AL467" s="28">
        <f>[1]服务器生态!Y482</f>
        <v>1.5830469995751131</v>
      </c>
      <c r="AM467" s="28">
        <f>[1]服务器生态!Z482</f>
        <v>0.28163524775925036</v>
      </c>
      <c r="AN467" s="28">
        <f>[1]服务器生态!AA482</f>
        <v>8.1489345358327955E-2</v>
      </c>
    </row>
    <row r="468" spans="11:40" x14ac:dyDescent="0.2">
      <c r="K468" s="26">
        <v>462</v>
      </c>
      <c r="L468" s="26">
        <f>[1]节奏总纲!AD465</f>
        <v>88.540092833362436</v>
      </c>
      <c r="M468" s="26">
        <f>[1]节奏总纲!AE465</f>
        <v>90.762851778507468</v>
      </c>
      <c r="N468" s="26">
        <f>[1]节奏总纲!AF465</f>
        <v>93.92430785782814</v>
      </c>
      <c r="O468" s="26">
        <f>[1]节奏总纲!AG465</f>
        <v>98.608025657699841</v>
      </c>
      <c r="P468" s="26">
        <f>[1]节奏总纲!AH465</f>
        <v>107.72419488761398</v>
      </c>
      <c r="AI468" s="27">
        <v>462</v>
      </c>
      <c r="AJ468" s="28">
        <f>[1]服务器生态!W483</f>
        <v>19.545462701685555</v>
      </c>
      <c r="AK468" s="28">
        <f>[1]服务器生态!X483</f>
        <v>19.272005200175411</v>
      </c>
      <c r="AL468" s="28">
        <f>[1]服务器生态!Y483</f>
        <v>1.5731793869330597</v>
      </c>
      <c r="AM468" s="28">
        <f>[1]服务器生态!Z483</f>
        <v>0.2798797297411606</v>
      </c>
      <c r="AN468" s="28">
        <f>[1]服务器生态!AA483</f>
        <v>8.0981397524393581E-2</v>
      </c>
    </row>
    <row r="469" spans="11:40" x14ac:dyDescent="0.2">
      <c r="K469" s="26">
        <v>463</v>
      </c>
      <c r="L469" s="26">
        <f>[1]节奏总纲!AD466</f>
        <v>88.571351621712921</v>
      </c>
      <c r="M469" s="26">
        <f>[1]节奏总纲!AE466</f>
        <v>90.794812252875786</v>
      </c>
      <c r="N469" s="26">
        <f>[1]节奏总纲!AF466</f>
        <v>93.956948483074086</v>
      </c>
      <c r="O469" s="26">
        <f>[1]节奏总纲!AG466</f>
        <v>98.637278603631017</v>
      </c>
      <c r="P469" s="26">
        <f>[1]节奏总纲!AH466</f>
        <v>107.75695739887158</v>
      </c>
      <c r="AI469" s="27">
        <v>463</v>
      </c>
      <c r="AJ469" s="28">
        <f>[1]服务器生态!W484</f>
        <v>19.422865713413334</v>
      </c>
      <c r="AK469" s="28">
        <f>[1]服务器生态!X484</f>
        <v>19.151123447127716</v>
      </c>
      <c r="AL469" s="28">
        <f>[1]服务器生态!Y484</f>
        <v>1.5633117742910065</v>
      </c>
      <c r="AM469" s="28">
        <f>[1]服务器生态!Z484</f>
        <v>0.27812421172307095</v>
      </c>
      <c r="AN469" s="28">
        <f>[1]服务器生态!AA484</f>
        <v>8.047344969045922E-2</v>
      </c>
    </row>
    <row r="470" spans="11:40" x14ac:dyDescent="0.2">
      <c r="K470" s="26">
        <v>464</v>
      </c>
      <c r="L470" s="26">
        <f>[1]节奏总纲!AD467</f>
        <v>88.60261041006342</v>
      </c>
      <c r="M470" s="26">
        <f>[1]节奏总纲!AE467</f>
        <v>90.826772727244091</v>
      </c>
      <c r="N470" s="26">
        <f>[1]节奏总纲!AF467</f>
        <v>93.989589108320018</v>
      </c>
      <c r="O470" s="26">
        <f>[1]节奏总纲!AG467</f>
        <v>98.66653154956218</v>
      </c>
      <c r="P470" s="26">
        <f>[1]节奏总纲!AH467</f>
        <v>107.78971991012918</v>
      </c>
      <c r="AI470" s="27">
        <v>464</v>
      </c>
      <c r="AJ470" s="28">
        <f>[1]服务器生态!W485</f>
        <v>19.300268725141109</v>
      </c>
      <c r="AK470" s="28">
        <f>[1]服务器生态!X485</f>
        <v>19.030241694080019</v>
      </c>
      <c r="AL470" s="28">
        <f>[1]服务器生态!Y485</f>
        <v>1.5534441616489532</v>
      </c>
      <c r="AM470" s="28">
        <f>[1]服务器生态!Z485</f>
        <v>0.27636869370498118</v>
      </c>
      <c r="AN470" s="28">
        <f>[1]服务器生态!AA485</f>
        <v>7.9965501856524845E-2</v>
      </c>
    </row>
    <row r="471" spans="11:40" x14ac:dyDescent="0.2">
      <c r="K471" s="26">
        <v>465</v>
      </c>
      <c r="L471" s="26">
        <f>[1]节奏总纲!AD468</f>
        <v>88.633869198413905</v>
      </c>
      <c r="M471" s="26">
        <f>[1]节奏总纲!AE468</f>
        <v>90.858733201612409</v>
      </c>
      <c r="N471" s="26">
        <f>[1]节奏总纲!AF468</f>
        <v>94.021329963693105</v>
      </c>
      <c r="O471" s="26">
        <f>[1]节奏总纲!AG468</f>
        <v>98.695784495493356</v>
      </c>
      <c r="P471" s="26">
        <f>[1]节奏总纲!AH468</f>
        <v>107.82248242138679</v>
      </c>
      <c r="AI471" s="27">
        <v>465</v>
      </c>
      <c r="AJ471" s="28">
        <f>[1]服务器生态!W486</f>
        <v>19.177671736868895</v>
      </c>
      <c r="AK471" s="28">
        <f>[1]服务器生态!X486</f>
        <v>18.909359941032328</v>
      </c>
      <c r="AL471" s="28">
        <f>[1]服务器生态!Y486</f>
        <v>1.5435765490069002</v>
      </c>
      <c r="AM471" s="28">
        <f>[1]服务器生态!Z486</f>
        <v>0.27461317568689153</v>
      </c>
      <c r="AN471" s="28">
        <f>[1]服务器生态!AA486</f>
        <v>7.9457554022590499E-2</v>
      </c>
    </row>
    <row r="472" spans="11:40" x14ac:dyDescent="0.2">
      <c r="K472" s="26">
        <v>466</v>
      </c>
      <c r="L472" s="26">
        <f>[1]节奏总纲!AD469</f>
        <v>88.665127986764389</v>
      </c>
      <c r="M472" s="26">
        <f>[1]节奏总纲!AE469</f>
        <v>90.890693675980714</v>
      </c>
      <c r="N472" s="26">
        <f>[1]节奏总纲!AF469</f>
        <v>94.052649428199956</v>
      </c>
      <c r="O472" s="26">
        <f>[1]节奏总纲!AG469</f>
        <v>98.725037441424519</v>
      </c>
      <c r="P472" s="26">
        <f>[1]节奏总纲!AH469</f>
        <v>107.8552449326444</v>
      </c>
      <c r="AI472" s="27">
        <v>466</v>
      </c>
      <c r="AJ472" s="28">
        <f>[1]服务器生态!W487</f>
        <v>19.055074748596667</v>
      </c>
      <c r="AK472" s="28">
        <f>[1]服务器生态!X487</f>
        <v>18.78847818798463</v>
      </c>
      <c r="AL472" s="28">
        <f>[1]服务器生态!Y487</f>
        <v>1.5337089363648466</v>
      </c>
      <c r="AM472" s="28">
        <f>[1]服务器生态!Z487</f>
        <v>0.27285765766880177</v>
      </c>
      <c r="AN472" s="28">
        <f>[1]服务器生态!AA487</f>
        <v>7.894960618865611E-2</v>
      </c>
    </row>
    <row r="473" spans="11:40" x14ac:dyDescent="0.2">
      <c r="K473" s="26">
        <v>467</v>
      </c>
      <c r="L473" s="26">
        <f>[1]节奏总纲!AD470</f>
        <v>88.696386775114874</v>
      </c>
      <c r="M473" s="26">
        <f>[1]节奏总纲!AE470</f>
        <v>90.922654150349018</v>
      </c>
      <c r="N473" s="26">
        <f>[1]节奏总纲!AF470</f>
        <v>94.083968892706821</v>
      </c>
      <c r="O473" s="26">
        <f>[1]节奏总纲!AG470</f>
        <v>98.754290387355695</v>
      </c>
      <c r="P473" s="26">
        <f>[1]节奏总纲!AH470</f>
        <v>107.888007443902</v>
      </c>
      <c r="AI473" s="27">
        <v>467</v>
      </c>
      <c r="AJ473" s="28">
        <f>[1]服务器生态!W488</f>
        <v>18.932477760324453</v>
      </c>
      <c r="AK473" s="28">
        <f>[1]服务器生态!X488</f>
        <v>18.667596434936939</v>
      </c>
      <c r="AL473" s="28">
        <f>[1]服务器生态!Y488</f>
        <v>1.5238413237227937</v>
      </c>
      <c r="AM473" s="28">
        <f>[1]服务器生态!Z488</f>
        <v>0.27110213965071212</v>
      </c>
      <c r="AN473" s="28">
        <f>[1]服务器生态!AA488</f>
        <v>7.8441658354721763E-2</v>
      </c>
    </row>
    <row r="474" spans="11:40" x14ac:dyDescent="0.2">
      <c r="K474" s="26">
        <v>468</v>
      </c>
      <c r="L474" s="26">
        <f>[1]节奏总纲!AD471</f>
        <v>88.727645563465359</v>
      </c>
      <c r="M474" s="26">
        <f>[1]节奏总纲!AE471</f>
        <v>90.954614624717337</v>
      </c>
      <c r="N474" s="26">
        <f>[1]节奏总纲!AF471</f>
        <v>94.115288357213672</v>
      </c>
      <c r="O474" s="26">
        <f>[1]节奏总纲!AG471</f>
        <v>98.783543333286872</v>
      </c>
      <c r="P474" s="26">
        <f>[1]节奏总纲!AH471</f>
        <v>107.92076995515961</v>
      </c>
      <c r="AI474" s="27">
        <v>468</v>
      </c>
      <c r="AJ474" s="28">
        <f>[1]服务器生态!W489</f>
        <v>18.809880772052228</v>
      </c>
      <c r="AK474" s="28">
        <f>[1]服务器生态!X489</f>
        <v>18.546714681889242</v>
      </c>
      <c r="AL474" s="28">
        <f>[1]服务器生态!Y489</f>
        <v>1.5139737110807403</v>
      </c>
      <c r="AM474" s="28">
        <f>[1]服务器生态!Z489</f>
        <v>0.26934662163262235</v>
      </c>
      <c r="AN474" s="28">
        <f>[1]服务器生态!AA489</f>
        <v>7.7933710520787389E-2</v>
      </c>
    </row>
    <row r="475" spans="11:40" x14ac:dyDescent="0.2">
      <c r="K475" s="26">
        <v>469</v>
      </c>
      <c r="L475" s="26">
        <f>[1]节奏总纲!AD472</f>
        <v>88.758904351815843</v>
      </c>
      <c r="M475" s="26">
        <f>[1]节奏总纲!AE472</f>
        <v>90.986575099085641</v>
      </c>
      <c r="N475" s="26">
        <f>[1]节奏总纲!AF472</f>
        <v>94.146607821720536</v>
      </c>
      <c r="O475" s="26">
        <f>[1]节奏总纲!AG472</f>
        <v>98.812796279218034</v>
      </c>
      <c r="P475" s="26">
        <f>[1]节奏总纲!AH472</f>
        <v>107.95353246641722</v>
      </c>
      <c r="AI475" s="27">
        <v>469</v>
      </c>
      <c r="AJ475" s="28">
        <f>[1]服务器生态!W490</f>
        <v>18.687283783780007</v>
      </c>
      <c r="AK475" s="28">
        <f>[1]服务器生态!X490</f>
        <v>18.425832928841547</v>
      </c>
      <c r="AL475" s="28">
        <f>[1]服务器生态!Y490</f>
        <v>1.5041060984386874</v>
      </c>
      <c r="AM475" s="28">
        <f>[1]服务器生态!Z490</f>
        <v>0.26759110361453264</v>
      </c>
      <c r="AN475" s="28">
        <f>[1]服务器生态!AA490</f>
        <v>7.7425762686853014E-2</v>
      </c>
    </row>
    <row r="476" spans="11:40" x14ac:dyDescent="0.2">
      <c r="K476" s="26">
        <v>470</v>
      </c>
      <c r="L476" s="26">
        <f>[1]节奏总纲!AD473</f>
        <v>88.790163140166328</v>
      </c>
      <c r="M476" s="26">
        <f>[1]节奏总纲!AE473</f>
        <v>91.01764238436354</v>
      </c>
      <c r="N476" s="26">
        <f>[1]节奏总纲!AF473</f>
        <v>94.177927286227401</v>
      </c>
      <c r="O476" s="26">
        <f>[1]节奏总纲!AG473</f>
        <v>98.842049225149211</v>
      </c>
      <c r="P476" s="26">
        <f>[1]节奏总纲!AH473</f>
        <v>107.98629497767483</v>
      </c>
      <c r="AI476" s="27">
        <v>470</v>
      </c>
      <c r="AJ476" s="28">
        <f>[1]服务器生态!W491</f>
        <v>18.564686795507786</v>
      </c>
      <c r="AK476" s="28">
        <f>[1]服务器生态!X491</f>
        <v>18.30495117579385</v>
      </c>
      <c r="AL476" s="28">
        <f>[1]服务器生态!Y491</f>
        <v>1.4942384857966338</v>
      </c>
      <c r="AM476" s="28">
        <f>[1]服务器生态!Z491</f>
        <v>0.26583558559644294</v>
      </c>
      <c r="AN476" s="28">
        <f>[1]服务器生态!AA491</f>
        <v>7.691781485291864E-2</v>
      </c>
    </row>
    <row r="477" spans="11:40" x14ac:dyDescent="0.2">
      <c r="K477" s="26">
        <v>471</v>
      </c>
      <c r="L477" s="26">
        <f>[1]节奏总纲!AD474</f>
        <v>88.821421928516827</v>
      </c>
      <c r="M477" s="26">
        <f>[1]节奏总纲!AE474</f>
        <v>91.048062752778236</v>
      </c>
      <c r="N477" s="26">
        <f>[1]节奏总纲!AF474</f>
        <v>94.209246750734252</v>
      </c>
      <c r="O477" s="26">
        <f>[1]节奏总纲!AG474</f>
        <v>98.871302171080387</v>
      </c>
      <c r="P477" s="26">
        <f>[1]节奏总纲!AH474</f>
        <v>108.01782312025433</v>
      </c>
      <c r="AI477" s="27">
        <v>471</v>
      </c>
      <c r="AJ477" s="28">
        <f>[1]服务器生态!W492</f>
        <v>18.442089807235565</v>
      </c>
      <c r="AK477" s="28">
        <f>[1]服务器生态!X492</f>
        <v>18.184069422746155</v>
      </c>
      <c r="AL477" s="28">
        <f>[1]服务器生态!Y492</f>
        <v>1.4843708731545808</v>
      </c>
      <c r="AM477" s="28">
        <f>[1]服务器生态!Z492</f>
        <v>0.26408006757835323</v>
      </c>
      <c r="AN477" s="28">
        <f>[1]服务器生态!AA492</f>
        <v>7.6409867018984279E-2</v>
      </c>
    </row>
    <row r="478" spans="11:40" x14ac:dyDescent="0.2">
      <c r="K478" s="26">
        <v>472</v>
      </c>
      <c r="L478" s="26">
        <f>[1]节奏总纲!AD475</f>
        <v>88.852680716867312</v>
      </c>
      <c r="M478" s="26">
        <f>[1]节奏总纲!AE475</f>
        <v>91.078483121192932</v>
      </c>
      <c r="N478" s="26">
        <f>[1]节奏总纲!AF475</f>
        <v>94.240566215241117</v>
      </c>
      <c r="O478" s="26">
        <f>[1]节奏总纲!AG475</f>
        <v>98.90055511701155</v>
      </c>
      <c r="P478" s="26">
        <f>[1]节奏总纲!AH475</f>
        <v>108.04846357766448</v>
      </c>
      <c r="AI478" s="27">
        <v>472</v>
      </c>
      <c r="AJ478" s="28">
        <f>[1]服务器生态!W493</f>
        <v>18.319492818963344</v>
      </c>
      <c r="AK478" s="28">
        <f>[1]服务器生态!X493</f>
        <v>18.063187669698458</v>
      </c>
      <c r="AL478" s="28">
        <f>[1]服务器生态!Y493</f>
        <v>1.4745032605125274</v>
      </c>
      <c r="AM478" s="28">
        <f>[1]服务器生态!Z493</f>
        <v>0.26232454956026346</v>
      </c>
      <c r="AN478" s="28">
        <f>[1]服务器生态!AA493</f>
        <v>7.5901919185049904E-2</v>
      </c>
    </row>
    <row r="479" spans="11:40" x14ac:dyDescent="0.2">
      <c r="K479" s="26">
        <v>473</v>
      </c>
      <c r="L479" s="26">
        <f>[1]节奏总纲!AD476</f>
        <v>88.883939505217796</v>
      </c>
      <c r="M479" s="26">
        <f>[1]节奏总纲!AE476</f>
        <v>91.108903489607627</v>
      </c>
      <c r="N479" s="26">
        <f>[1]节奏总纲!AF476</f>
        <v>94.271885679747967</v>
      </c>
      <c r="O479" s="26">
        <f>[1]节奏总纲!AG476</f>
        <v>98.929808062942726</v>
      </c>
      <c r="P479" s="26">
        <f>[1]节奏总纲!AH476</f>
        <v>108.07910403507461</v>
      </c>
      <c r="AI479" s="27">
        <v>473</v>
      </c>
      <c r="AJ479" s="28">
        <f>[1]服务器生态!W494</f>
        <v>18.196895830691123</v>
      </c>
      <c r="AK479" s="28">
        <f>[1]服务器生态!X494</f>
        <v>17.942305916650767</v>
      </c>
      <c r="AL479" s="28">
        <f>[1]服务器生态!Y494</f>
        <v>1.4646356478704743</v>
      </c>
      <c r="AM479" s="28">
        <f>[1]服务器生态!Z494</f>
        <v>0.26056903154217376</v>
      </c>
      <c r="AN479" s="28">
        <f>[1]服务器生态!AA494</f>
        <v>7.5393971351115543E-2</v>
      </c>
    </row>
    <row r="480" spans="11:40" x14ac:dyDescent="0.2">
      <c r="K480" s="26">
        <v>474</v>
      </c>
      <c r="L480" s="26">
        <f>[1]节奏总纲!AD477</f>
        <v>88.915198293568281</v>
      </c>
      <c r="M480" s="26">
        <f>[1]节奏总纲!AE477</f>
        <v>91.139323858022323</v>
      </c>
      <c r="N480" s="26">
        <f>[1]节奏总纲!AF477</f>
        <v>94.303205144254832</v>
      </c>
      <c r="O480" s="26">
        <f>[1]节奏总纲!AG477</f>
        <v>98.959061008873888</v>
      </c>
      <c r="P480" s="26">
        <f>[1]节奏总纲!AH477</f>
        <v>108.10974449248475</v>
      </c>
      <c r="AI480" s="27">
        <v>474</v>
      </c>
      <c r="AJ480" s="28">
        <f>[1]服务器生态!W495</f>
        <v>18.074298842418898</v>
      </c>
      <c r="AK480" s="28">
        <f>[1]服务器生态!X495</f>
        <v>17.821424163603069</v>
      </c>
      <c r="AL480" s="28">
        <f>[1]服务器生态!Y495</f>
        <v>1.4547680352284209</v>
      </c>
      <c r="AM480" s="28">
        <f>[1]服务器生态!Z495</f>
        <v>0.25881351352408405</v>
      </c>
      <c r="AN480" s="28">
        <f>[1]服务器生态!AA495</f>
        <v>7.4886023517181169E-2</v>
      </c>
    </row>
    <row r="481" spans="11:40" x14ac:dyDescent="0.2">
      <c r="K481" s="26">
        <v>475</v>
      </c>
      <c r="L481" s="26">
        <f>[1]节奏总纲!AD478</f>
        <v>88.946457081918766</v>
      </c>
      <c r="M481" s="26">
        <f>[1]节奏总纲!AE478</f>
        <v>91.169744226437018</v>
      </c>
      <c r="N481" s="26">
        <f>[1]节奏总纲!AF478</f>
        <v>94.334524608761697</v>
      </c>
      <c r="O481" s="26">
        <f>[1]节奏总纲!AG478</f>
        <v>98.988313954805065</v>
      </c>
      <c r="P481" s="26">
        <f>[1]节奏总纲!AH478</f>
        <v>108.14038494989489</v>
      </c>
      <c r="AI481" s="27">
        <v>475</v>
      </c>
      <c r="AJ481" s="28">
        <f>[1]服务器生态!W496</f>
        <v>17.95170185414668</v>
      </c>
      <c r="AK481" s="28">
        <f>[1]服务器生态!X496</f>
        <v>17.700542410555375</v>
      </c>
      <c r="AL481" s="28">
        <f>[1]服务器生态!Y496</f>
        <v>1.4449004225863677</v>
      </c>
      <c r="AM481" s="28">
        <f>[1]服务器生态!Z496</f>
        <v>0.25705799550599434</v>
      </c>
      <c r="AN481" s="28">
        <f>[1]服务器生态!AA496</f>
        <v>7.4378075683246808E-2</v>
      </c>
    </row>
    <row r="482" spans="11:40" x14ac:dyDescent="0.2">
      <c r="K482" s="26">
        <v>476</v>
      </c>
      <c r="L482" s="26">
        <f>[1]节奏总纲!AD479</f>
        <v>88.97771587026925</v>
      </c>
      <c r="M482" s="26">
        <f>[1]节奏总纲!AE479</f>
        <v>91.200164594851714</v>
      </c>
      <c r="N482" s="26">
        <f>[1]节奏总纲!AF479</f>
        <v>94.365844073268548</v>
      </c>
      <c r="O482" s="26">
        <f>[1]节奏总纲!AG479</f>
        <v>99.018293442409089</v>
      </c>
      <c r="P482" s="26">
        <f>[1]节奏总纲!AH479</f>
        <v>108.17102540730504</v>
      </c>
      <c r="AI482" s="27">
        <v>476</v>
      </c>
      <c r="AJ482" s="28">
        <f>[1]服务器生态!W497</f>
        <v>17.829104865874456</v>
      </c>
      <c r="AK482" s="28">
        <f>[1]服务器生态!X497</f>
        <v>17.579660657507677</v>
      </c>
      <c r="AL482" s="28">
        <f>[1]服务器生态!Y497</f>
        <v>1.4350328099443144</v>
      </c>
      <c r="AM482" s="28">
        <f>[1]服务器生态!Z497</f>
        <v>0.25530247748790458</v>
      </c>
      <c r="AN482" s="28">
        <f>[1]服务器生态!AA497</f>
        <v>7.3870127849312434E-2</v>
      </c>
    </row>
    <row r="483" spans="11:40" x14ac:dyDescent="0.2">
      <c r="K483" s="26">
        <v>477</v>
      </c>
      <c r="L483" s="26">
        <f>[1]节奏总纲!AD480</f>
        <v>89.008373652580005</v>
      </c>
      <c r="M483" s="26">
        <f>[1]节奏总纲!AE480</f>
        <v>91.230584963266409</v>
      </c>
      <c r="N483" s="26">
        <f>[1]节奏总纲!AF480</f>
        <v>94.397163537775413</v>
      </c>
      <c r="O483" s="26">
        <f>[1]节奏总纲!AG480</f>
        <v>99.048756247984358</v>
      </c>
      <c r="P483" s="26">
        <f>[1]节奏总纲!AH480</f>
        <v>108.20166586471517</v>
      </c>
      <c r="AI483" s="27">
        <v>477</v>
      </c>
      <c r="AJ483" s="28">
        <f>[1]服务器生态!W498</f>
        <v>17.706507877602238</v>
      </c>
      <c r="AK483" s="28">
        <f>[1]服务器生态!X498</f>
        <v>17.458778904459983</v>
      </c>
      <c r="AL483" s="28">
        <f>[1]服务器生态!Y498</f>
        <v>1.4251651973022612</v>
      </c>
      <c r="AM483" s="28">
        <f>[1]服务器生态!Z498</f>
        <v>0.25354695946981487</v>
      </c>
      <c r="AN483" s="28">
        <f>[1]服务器生态!AA498</f>
        <v>7.3362180015378073E-2</v>
      </c>
    </row>
    <row r="484" spans="11:40" x14ac:dyDescent="0.2">
      <c r="K484" s="26">
        <v>478</v>
      </c>
      <c r="L484" s="26">
        <f>[1]节奏总纲!AD481</f>
        <v>89.037539133386474</v>
      </c>
      <c r="M484" s="26">
        <f>[1]节奏总纲!AE481</f>
        <v>91.261005331681105</v>
      </c>
      <c r="N484" s="26">
        <f>[1]节奏总纲!AF481</f>
        <v>94.428483002282277</v>
      </c>
      <c r="O484" s="26">
        <f>[1]节奏总纲!AG481</f>
        <v>99.079219053559626</v>
      </c>
      <c r="P484" s="26">
        <f>[1]节奏总纲!AH481</f>
        <v>108.23230632212531</v>
      </c>
      <c r="AI484" s="27">
        <v>478</v>
      </c>
      <c r="AJ484" s="28">
        <f>[1]服务器生态!W499</f>
        <v>17.583910889330014</v>
      </c>
      <c r="AK484" s="28">
        <f>[1]服务器生态!X499</f>
        <v>17.337897151412285</v>
      </c>
      <c r="AL484" s="28">
        <f>[1]服务器生态!Y499</f>
        <v>1.4152975846602078</v>
      </c>
      <c r="AM484" s="28">
        <f>[1]服务器生态!Z499</f>
        <v>0.25179144145172516</v>
      </c>
      <c r="AN484" s="28">
        <f>[1]服务器生态!AA499</f>
        <v>7.2854232181443684E-2</v>
      </c>
    </row>
    <row r="485" spans="11:40" x14ac:dyDescent="0.2">
      <c r="K485" s="26">
        <v>479</v>
      </c>
      <c r="L485" s="26">
        <f>[1]节奏总纲!AD482</f>
        <v>89.066704614192943</v>
      </c>
      <c r="M485" s="26">
        <f>[1]节奏总纲!AE482</f>
        <v>91.2914257000958</v>
      </c>
      <c r="N485" s="26">
        <f>[1]节奏总纲!AF482</f>
        <v>94.459802466789128</v>
      </c>
      <c r="O485" s="26">
        <f>[1]节奏总纲!AG482</f>
        <v>99.109681859134909</v>
      </c>
      <c r="P485" s="26">
        <f>[1]节奏总纲!AH482</f>
        <v>108.26294677953545</v>
      </c>
      <c r="AI485" s="27">
        <v>479</v>
      </c>
      <c r="AJ485" s="28">
        <f>[1]服务器生态!W500</f>
        <v>17.461313901057792</v>
      </c>
      <c r="AK485" s="28">
        <f>[1]服务器生态!X500</f>
        <v>17.217015398364591</v>
      </c>
      <c r="AL485" s="28">
        <f>[1]服务器生态!Y500</f>
        <v>1.4054299720181547</v>
      </c>
      <c r="AM485" s="28">
        <f>[1]服务器生态!Z500</f>
        <v>0.25003592343363545</v>
      </c>
      <c r="AN485" s="28">
        <f>[1]服务器生态!AA500</f>
        <v>7.2346284347509324E-2</v>
      </c>
    </row>
    <row r="486" spans="11:40" x14ac:dyDescent="0.2">
      <c r="K486" s="26">
        <v>480</v>
      </c>
      <c r="L486" s="26">
        <f>[1]节奏总纲!AD483</f>
        <v>89.095870094999412</v>
      </c>
      <c r="M486" s="26">
        <f>[1]节奏总纲!AE483</f>
        <v>91.321846068510496</v>
      </c>
      <c r="N486" s="26">
        <f>[1]节奏总纲!AF483</f>
        <v>94.491121931295993</v>
      </c>
      <c r="O486" s="26">
        <f>[1]节奏总纲!AG483</f>
        <v>99.140144664710178</v>
      </c>
      <c r="P486" s="26">
        <f>[1]节奏总纲!AH483</f>
        <v>108.29358723694558</v>
      </c>
      <c r="AI486" s="27">
        <v>480</v>
      </c>
      <c r="AJ486" s="28">
        <f>[1]服务器生态!W501</f>
        <v>17.338716912785575</v>
      </c>
      <c r="AK486" s="28">
        <f>[1]服务器生态!X501</f>
        <v>17.0961336453169</v>
      </c>
      <c r="AL486" s="28">
        <f>[1]服务器生态!Y501</f>
        <v>1.3955623593761015</v>
      </c>
      <c r="AM486" s="28">
        <f>[1]服务器生态!Z501</f>
        <v>0.24828040541554575</v>
      </c>
      <c r="AN486" s="28">
        <f>[1]服务器生态!AA501</f>
        <v>7.1838336513574963E-2</v>
      </c>
    </row>
    <row r="487" spans="11:40" x14ac:dyDescent="0.2">
      <c r="K487" s="26">
        <v>481</v>
      </c>
      <c r="L487" s="26">
        <f>[1]节奏总纲!AD484</f>
        <v>89.125035575805882</v>
      </c>
      <c r="M487" s="26">
        <f>[1]节奏总纲!AE484</f>
        <v>91.352266436925191</v>
      </c>
      <c r="N487" s="26">
        <f>[1]节奏总纲!AF484</f>
        <v>94.522441395802844</v>
      </c>
      <c r="O487" s="26">
        <f>[1]节奏总纲!AG484</f>
        <v>99.170607470285447</v>
      </c>
      <c r="P487" s="26">
        <f>[1]节奏总纲!AH484</f>
        <v>108.32422769435573</v>
      </c>
      <c r="AI487" s="27">
        <v>481</v>
      </c>
      <c r="AJ487" s="28">
        <f>[1]服务器生态!W502</f>
        <v>17.237574397460989</v>
      </c>
      <c r="AK487" s="28">
        <f>[1]服务器生态!X502</f>
        <v>16.996406199052547</v>
      </c>
      <c r="AL487" s="28">
        <f>[1]服务器生态!Y502</f>
        <v>1.3874215789464073</v>
      </c>
      <c r="AM487" s="28">
        <f>[1]服务器生态!Z502</f>
        <v>0.2468321030506217</v>
      </c>
      <c r="AN487" s="28">
        <f>[1]服务器生态!AA502</f>
        <v>7.1419279550579098E-2</v>
      </c>
    </row>
    <row r="488" spans="11:40" x14ac:dyDescent="0.2">
      <c r="K488" s="26">
        <v>482</v>
      </c>
      <c r="L488" s="26">
        <f>[1]节奏总纲!AD485</f>
        <v>89.154201056612351</v>
      </c>
      <c r="M488" s="26">
        <f>[1]节奏总纲!AE485</f>
        <v>91.382686805339887</v>
      </c>
      <c r="N488" s="26">
        <f>[1]节奏总纲!AF485</f>
        <v>94.553760860309708</v>
      </c>
      <c r="O488" s="26">
        <f>[1]节奏总纲!AG485</f>
        <v>99.201070275860715</v>
      </c>
      <c r="P488" s="26">
        <f>[1]节奏总纲!AH485</f>
        <v>108.35486815176587</v>
      </c>
      <c r="AI488" s="27">
        <v>482</v>
      </c>
      <c r="AJ488" s="28">
        <f>[1]服务器生态!W503</f>
        <v>17.13643188213641</v>
      </c>
      <c r="AK488" s="28">
        <f>[1]服务器生态!X503</f>
        <v>16.896678752788201</v>
      </c>
      <c r="AL488" s="28">
        <f>[1]服务器生态!Y503</f>
        <v>1.3792807985167137</v>
      </c>
      <c r="AM488" s="28">
        <f>[1]服务器生态!Z503</f>
        <v>0.24538380068569773</v>
      </c>
      <c r="AN488" s="28">
        <f>[1]服务器生态!AA503</f>
        <v>7.1000222587583262E-2</v>
      </c>
    </row>
    <row r="489" spans="11:40" x14ac:dyDescent="0.2">
      <c r="K489" s="26">
        <v>483</v>
      </c>
      <c r="L489" s="26">
        <f>[1]节奏总纲!AD486</f>
        <v>89.18336653741882</v>
      </c>
      <c r="M489" s="26">
        <f>[1]节奏总纲!AE486</f>
        <v>91.413107173754582</v>
      </c>
      <c r="N489" s="26">
        <f>[1]节奏总纲!AF486</f>
        <v>94.585080324816573</v>
      </c>
      <c r="O489" s="26">
        <f>[1]节奏总纲!AG486</f>
        <v>99.231533081435984</v>
      </c>
      <c r="P489" s="26">
        <f>[1]节奏总纲!AH486</f>
        <v>108.38550860917601</v>
      </c>
      <c r="AI489" s="27">
        <v>483</v>
      </c>
      <c r="AJ489" s="28">
        <f>[1]服务器生态!W504</f>
        <v>17.035289366811828</v>
      </c>
      <c r="AK489" s="28">
        <f>[1]服务器生态!X504</f>
        <v>16.796951306523855</v>
      </c>
      <c r="AL489" s="28">
        <f>[1]服务器生态!Y504</f>
        <v>1.3711400180870199</v>
      </c>
      <c r="AM489" s="28">
        <f>[1]服务器生态!Z504</f>
        <v>0.24393549832077371</v>
      </c>
      <c r="AN489" s="28">
        <f>[1]服务器生态!AA504</f>
        <v>7.0581165624587411E-2</v>
      </c>
    </row>
    <row r="490" spans="11:40" x14ac:dyDescent="0.2">
      <c r="K490" s="26">
        <v>484</v>
      </c>
      <c r="L490" s="26">
        <f>[1]节奏总纲!AD487</f>
        <v>89.212532018225289</v>
      </c>
      <c r="M490" s="26">
        <f>[1]节奏总纲!AE487</f>
        <v>91.443527542169278</v>
      </c>
      <c r="N490" s="26">
        <f>[1]节奏总纲!AF487</f>
        <v>94.616399789323424</v>
      </c>
      <c r="O490" s="26">
        <f>[1]节奏总纲!AG487</f>
        <v>99.261995887011253</v>
      </c>
      <c r="P490" s="26">
        <f>[1]节奏总纲!AH487</f>
        <v>108.41614906658614</v>
      </c>
      <c r="AI490" s="27">
        <v>484</v>
      </c>
      <c r="AJ490" s="28">
        <f>[1]服务器生态!W505</f>
        <v>16.934146851487242</v>
      </c>
      <c r="AK490" s="28">
        <f>[1]服务器生态!X505</f>
        <v>16.697223860259502</v>
      </c>
      <c r="AL490" s="28">
        <f>[1]服务器生态!Y505</f>
        <v>1.3629992376573257</v>
      </c>
      <c r="AM490" s="28">
        <f>[1]服务器生态!Z505</f>
        <v>0.24248719595584964</v>
      </c>
      <c r="AN490" s="28">
        <f>[1]服务器生态!AA505</f>
        <v>7.0162108661591532E-2</v>
      </c>
    </row>
    <row r="491" spans="11:40" x14ac:dyDescent="0.2">
      <c r="K491" s="26">
        <v>485</v>
      </c>
      <c r="L491" s="26">
        <f>[1]节奏总纲!AD488</f>
        <v>89.241697499031758</v>
      </c>
      <c r="M491" s="26">
        <f>[1]节奏总纲!AE488</f>
        <v>91.473947910583973</v>
      </c>
      <c r="N491" s="26">
        <f>[1]节奏总纲!AF488</f>
        <v>94.647719253830289</v>
      </c>
      <c r="O491" s="26">
        <f>[1]节奏总纲!AG488</f>
        <v>99.292458692586521</v>
      </c>
      <c r="P491" s="26">
        <f>[1]节奏总纲!AH488</f>
        <v>108.44678952399629</v>
      </c>
      <c r="AI491" s="27">
        <v>485</v>
      </c>
      <c r="AJ491" s="28">
        <f>[1]服务器生态!W506</f>
        <v>16.833004336162659</v>
      </c>
      <c r="AK491" s="28">
        <f>[1]服务器生态!X506</f>
        <v>16.597496413995152</v>
      </c>
      <c r="AL491" s="28">
        <f>[1]服务器生态!Y506</f>
        <v>1.3548584572276317</v>
      </c>
      <c r="AM491" s="28">
        <f>[1]服务器生态!Z506</f>
        <v>0.24103889359092565</v>
      </c>
      <c r="AN491" s="28">
        <f>[1]服务器生态!AA506</f>
        <v>6.9743051698595682E-2</v>
      </c>
    </row>
    <row r="492" spans="11:40" x14ac:dyDescent="0.2">
      <c r="K492" s="26">
        <v>486</v>
      </c>
      <c r="L492" s="26">
        <f>[1]节奏总纲!AD489</f>
        <v>89.270862979838242</v>
      </c>
      <c r="M492" s="26">
        <f>[1]节奏总纲!AE489</f>
        <v>91.504368278998669</v>
      </c>
      <c r="N492" s="26">
        <f>[1]节奏总纲!AF489</f>
        <v>94.679038718337139</v>
      </c>
      <c r="O492" s="26">
        <f>[1]节奏总纲!AG489</f>
        <v>99.322921498161804</v>
      </c>
      <c r="P492" s="26">
        <f>[1]节奏总纲!AH489</f>
        <v>108.47742998140643</v>
      </c>
      <c r="AI492" s="27">
        <v>486</v>
      </c>
      <c r="AJ492" s="28">
        <f>[1]服务器生态!W507</f>
        <v>16.73186182083808</v>
      </c>
      <c r="AK492" s="28">
        <f>[1]服务器生态!X507</f>
        <v>16.49776896773081</v>
      </c>
      <c r="AL492" s="28">
        <f>[1]服务器生态!Y507</f>
        <v>1.3467176767979381</v>
      </c>
      <c r="AM492" s="28">
        <f>[1]服务器生态!Z507</f>
        <v>0.23959059122600168</v>
      </c>
      <c r="AN492" s="28">
        <f>[1]服务器生态!AA507</f>
        <v>6.9323994735599845E-2</v>
      </c>
    </row>
    <row r="493" spans="11:40" x14ac:dyDescent="0.2">
      <c r="K493" s="26">
        <v>487</v>
      </c>
      <c r="L493" s="26">
        <f>[1]节奏总纲!AD490</f>
        <v>89.300028460644711</v>
      </c>
      <c r="M493" s="26">
        <f>[1]节奏总纲!AE490</f>
        <v>91.534788647413365</v>
      </c>
      <c r="N493" s="26">
        <f>[1]节奏总纲!AF490</f>
        <v>94.710358182844004</v>
      </c>
      <c r="O493" s="26">
        <f>[1]节奏总纲!AG490</f>
        <v>99.353384303737073</v>
      </c>
      <c r="P493" s="26">
        <f>[1]节奏总纲!AH490</f>
        <v>108.50807043881656</v>
      </c>
      <c r="AI493" s="27">
        <v>487</v>
      </c>
      <c r="AJ493" s="28">
        <f>[1]服务器生态!W508</f>
        <v>16.630719305513495</v>
      </c>
      <c r="AK493" s="28">
        <f>[1]服务器生态!X508</f>
        <v>16.398041521466457</v>
      </c>
      <c r="AL493" s="28">
        <f>[1]服务器生态!Y508</f>
        <v>1.3385768963682438</v>
      </c>
      <c r="AM493" s="28">
        <f>[1]服务器生态!Z508</f>
        <v>0.23814228886107761</v>
      </c>
      <c r="AN493" s="28">
        <f>[1]服务器生态!AA508</f>
        <v>6.890493777260398E-2</v>
      </c>
    </row>
    <row r="494" spans="11:40" x14ac:dyDescent="0.2">
      <c r="K494" s="26">
        <v>488</v>
      </c>
      <c r="L494" s="26">
        <f>[1]节奏总纲!AD491</f>
        <v>89.32919394145118</v>
      </c>
      <c r="M494" s="26">
        <f>[1]节奏总纲!AE491</f>
        <v>91.56520901582806</v>
      </c>
      <c r="N494" s="26">
        <f>[1]节奏总纲!AF491</f>
        <v>94.741677647350869</v>
      </c>
      <c r="O494" s="26">
        <f>[1]节奏总纲!AG491</f>
        <v>99.383847109312342</v>
      </c>
      <c r="P494" s="26">
        <f>[1]节奏总纲!AH491</f>
        <v>108.5387108962267</v>
      </c>
      <c r="AI494" s="27">
        <v>488</v>
      </c>
      <c r="AJ494" s="28">
        <f>[1]服务器生态!W509</f>
        <v>16.529576790188912</v>
      </c>
      <c r="AK494" s="28">
        <f>[1]服务器生态!X509</f>
        <v>16.298314075202107</v>
      </c>
      <c r="AL494" s="28">
        <f>[1]服务器生态!Y509</f>
        <v>1.33043611593855</v>
      </c>
      <c r="AM494" s="28">
        <f>[1]服务器生态!Z509</f>
        <v>0.23669398649615359</v>
      </c>
      <c r="AN494" s="28">
        <f>[1]服务器生态!AA509</f>
        <v>6.848588080960813E-2</v>
      </c>
    </row>
    <row r="495" spans="11:40" x14ac:dyDescent="0.2">
      <c r="K495" s="26">
        <v>489</v>
      </c>
      <c r="L495" s="26">
        <f>[1]节奏总纲!AD492</f>
        <v>89.358359422257649</v>
      </c>
      <c r="M495" s="26">
        <f>[1]节奏总纲!AE492</f>
        <v>91.595629384242756</v>
      </c>
      <c r="N495" s="26">
        <f>[1]节奏总纲!AF492</f>
        <v>94.77299711185772</v>
      </c>
      <c r="O495" s="26">
        <f>[1]节奏总纲!AG492</f>
        <v>99.41430991488761</v>
      </c>
      <c r="P495" s="26">
        <f>[1]节奏总纲!AH492</f>
        <v>108.56935135363685</v>
      </c>
      <c r="AI495" s="27">
        <v>489</v>
      </c>
      <c r="AJ495" s="28">
        <f>[1]服务器生态!W510</f>
        <v>16.42843427486433</v>
      </c>
      <c r="AK495" s="28">
        <f>[1]服务器生态!X510</f>
        <v>16.198586628937761</v>
      </c>
      <c r="AL495" s="28">
        <f>[1]服务器生态!Y510</f>
        <v>1.322295335508856</v>
      </c>
      <c r="AM495" s="28">
        <f>[1]服务器生态!Z510</f>
        <v>0.23524568413122957</v>
      </c>
      <c r="AN495" s="28">
        <f>[1]服务器生态!AA510</f>
        <v>6.8066823846612265E-2</v>
      </c>
    </row>
    <row r="496" spans="11:40" x14ac:dyDescent="0.2">
      <c r="K496" s="26">
        <v>490</v>
      </c>
      <c r="L496" s="26">
        <f>[1]节奏总纲!AD493</f>
        <v>89.387524903064119</v>
      </c>
      <c r="M496" s="26">
        <f>[1]节奏总纲!AE493</f>
        <v>91.626049752657437</v>
      </c>
      <c r="N496" s="26">
        <f>[1]节奏总纲!AF493</f>
        <v>94.804316576364585</v>
      </c>
      <c r="O496" s="26">
        <f>[1]节奏总纲!AG493</f>
        <v>99.444772720462879</v>
      </c>
      <c r="P496" s="26">
        <f>[1]节奏总纲!AH493</f>
        <v>108.59999181104698</v>
      </c>
      <c r="AI496" s="27">
        <v>490</v>
      </c>
      <c r="AJ496" s="28">
        <f>[1]服务器生态!W511</f>
        <v>16.327291759539747</v>
      </c>
      <c r="AK496" s="28">
        <f>[1]服务器生态!X511</f>
        <v>16.098859182673412</v>
      </c>
      <c r="AL496" s="28">
        <f>[1]服务器生态!Y511</f>
        <v>1.3141545550791622</v>
      </c>
      <c r="AM496" s="28">
        <f>[1]服务器生态!Z511</f>
        <v>0.23379738176630557</v>
      </c>
      <c r="AN496" s="28">
        <f>[1]服务器生态!AA511</f>
        <v>6.7647766883616414E-2</v>
      </c>
    </row>
    <row r="497" spans="11:40" x14ac:dyDescent="0.2">
      <c r="K497" s="26">
        <v>491</v>
      </c>
      <c r="L497" s="26">
        <f>[1]节奏总纲!AD494</f>
        <v>89.416690383870588</v>
      </c>
      <c r="M497" s="26">
        <f>[1]节奏总纲!AE494</f>
        <v>91.656470121072132</v>
      </c>
      <c r="N497" s="26">
        <f>[1]节奏总纲!AF494</f>
        <v>94.835636040871435</v>
      </c>
      <c r="O497" s="26">
        <f>[1]节奏总纲!AG494</f>
        <v>99.475235526038148</v>
      </c>
      <c r="P497" s="26">
        <f>[1]节奏总纲!AH494</f>
        <v>108.63063226845712</v>
      </c>
      <c r="AI497" s="27">
        <v>491</v>
      </c>
      <c r="AJ497" s="28">
        <f>[1]服务器生态!W512</f>
        <v>16.226149244215165</v>
      </c>
      <c r="AK497" s="28">
        <f>[1]服务器生态!X512</f>
        <v>15.999131736409064</v>
      </c>
      <c r="AL497" s="28">
        <f>[1]服务器生态!Y512</f>
        <v>1.3060137746494682</v>
      </c>
      <c r="AM497" s="28">
        <f>[1]服务器生态!Z512</f>
        <v>0.23234907940138155</v>
      </c>
      <c r="AN497" s="28">
        <f>[1]服务器生态!AA512</f>
        <v>6.7228709920620564E-2</v>
      </c>
    </row>
    <row r="498" spans="11:40" x14ac:dyDescent="0.2">
      <c r="K498" s="26">
        <v>492</v>
      </c>
      <c r="L498" s="26">
        <f>[1]节奏总纲!AD495</f>
        <v>89.445855864677057</v>
      </c>
      <c r="M498" s="26">
        <f>[1]节奏总纲!AE495</f>
        <v>91.686890489486828</v>
      </c>
      <c r="N498" s="26">
        <f>[1]节奏总纲!AF495</f>
        <v>94.8669555053783</v>
      </c>
      <c r="O498" s="26">
        <f>[1]节奏总纲!AG495</f>
        <v>99.505698331613431</v>
      </c>
      <c r="P498" s="26">
        <f>[1]节奏总纲!AH495</f>
        <v>108.66127272586726</v>
      </c>
      <c r="AI498" s="27">
        <v>492</v>
      </c>
      <c r="AJ498" s="28">
        <f>[1]服务器生态!W513</f>
        <v>16.125006728890583</v>
      </c>
      <c r="AK498" s="28">
        <f>[1]服务器生态!X513</f>
        <v>15.899404290144714</v>
      </c>
      <c r="AL498" s="28">
        <f>[1]服务器生态!Y513</f>
        <v>1.2978729942197742</v>
      </c>
      <c r="AM498" s="28">
        <f>[1]服务器生态!Z513</f>
        <v>0.23090077703645753</v>
      </c>
      <c r="AN498" s="28">
        <f>[1]服务器生态!AA513</f>
        <v>6.6809652957624713E-2</v>
      </c>
    </row>
    <row r="499" spans="11:40" x14ac:dyDescent="0.2">
      <c r="K499" s="26">
        <v>493</v>
      </c>
      <c r="L499" s="26">
        <f>[1]节奏总纲!AD496</f>
        <v>89.475021345483526</v>
      </c>
      <c r="M499" s="26">
        <f>[1]节奏总纲!AE496</f>
        <v>91.717310857901523</v>
      </c>
      <c r="N499" s="26">
        <f>[1]节奏总纲!AF496</f>
        <v>94.898274969885165</v>
      </c>
      <c r="O499" s="26">
        <f>[1]节奏总纲!AG496</f>
        <v>99.536161137188699</v>
      </c>
      <c r="P499" s="26">
        <f>[1]节奏总纲!AH496</f>
        <v>108.69191318327741</v>
      </c>
      <c r="AI499" s="27">
        <v>493</v>
      </c>
      <c r="AJ499" s="28">
        <f>[1]服务器生态!W514</f>
        <v>16.023864213566</v>
      </c>
      <c r="AK499" s="28">
        <f>[1]服务器生态!X514</f>
        <v>15.799676843880366</v>
      </c>
      <c r="AL499" s="28">
        <f>[1]服务器生态!Y514</f>
        <v>1.2897322137900804</v>
      </c>
      <c r="AM499" s="28">
        <f>[1]服务器生态!Z514</f>
        <v>0.22945247467153351</v>
      </c>
      <c r="AN499" s="28">
        <f>[1]服务器生态!AA514</f>
        <v>6.6390595994628862E-2</v>
      </c>
    </row>
    <row r="500" spans="11:40" x14ac:dyDescent="0.2">
      <c r="K500" s="26">
        <v>494</v>
      </c>
      <c r="L500" s="26">
        <f>[1]节奏总纲!AD497</f>
        <v>89.504186826289995</v>
      </c>
      <c r="M500" s="26">
        <f>[1]节奏总纲!AE497</f>
        <v>91.747731226316219</v>
      </c>
      <c r="N500" s="26">
        <f>[1]节奏总纲!AF497</f>
        <v>94.929594434392016</v>
      </c>
      <c r="O500" s="26">
        <f>[1]节奏总纲!AG497</f>
        <v>99.566623942763968</v>
      </c>
      <c r="P500" s="26">
        <f>[1]节奏总纲!AH497</f>
        <v>108.72255364068754</v>
      </c>
      <c r="AI500" s="27">
        <v>494</v>
      </c>
      <c r="AJ500" s="28">
        <f>[1]服务器生态!W515</f>
        <v>15.922721698241418</v>
      </c>
      <c r="AK500" s="28">
        <f>[1]服务器生态!X515</f>
        <v>15.699949397616017</v>
      </c>
      <c r="AL500" s="28">
        <f>[1]服务器生态!Y515</f>
        <v>1.2815914333603864</v>
      </c>
      <c r="AM500" s="28">
        <f>[1]服务器生态!Z515</f>
        <v>0.22800417230660949</v>
      </c>
      <c r="AN500" s="28">
        <f>[1]服务器生态!AA515</f>
        <v>6.5971539031633011E-2</v>
      </c>
    </row>
    <row r="501" spans="11:40" x14ac:dyDescent="0.2">
      <c r="K501" s="26">
        <v>495</v>
      </c>
      <c r="L501" s="26">
        <f>[1]节奏总纲!AD498</f>
        <v>89.533352307096465</v>
      </c>
      <c r="M501" s="26">
        <f>[1]节奏总纲!AE498</f>
        <v>91.778151594730915</v>
      </c>
      <c r="N501" s="26">
        <f>[1]节奏总纲!AF498</f>
        <v>94.96091389889888</v>
      </c>
      <c r="O501" s="26">
        <f>[1]节奏总纲!AG498</f>
        <v>99.597086748339237</v>
      </c>
      <c r="P501" s="26">
        <f>[1]节奏总纲!AH498</f>
        <v>108.75319409809768</v>
      </c>
      <c r="AI501" s="27">
        <v>495</v>
      </c>
      <c r="AJ501" s="28">
        <f>[1]服务器生态!W516</f>
        <v>15.821579182916835</v>
      </c>
      <c r="AK501" s="28">
        <f>[1]服务器生态!X516</f>
        <v>15.600221951351669</v>
      </c>
      <c r="AL501" s="28">
        <f>[1]服务器生态!Y516</f>
        <v>1.2734506529306926</v>
      </c>
      <c r="AM501" s="28">
        <f>[1]服务器生态!Z516</f>
        <v>0.22655586994168547</v>
      </c>
      <c r="AN501" s="28">
        <f>[1]服务器生态!AA516</f>
        <v>6.5552482068637147E-2</v>
      </c>
    </row>
    <row r="502" spans="11:40" x14ac:dyDescent="0.2">
      <c r="K502" s="26">
        <v>496</v>
      </c>
      <c r="L502" s="26">
        <f>[1]节奏总纲!AD499</f>
        <v>89.562517787902948</v>
      </c>
      <c r="M502" s="26">
        <f>[1]节奏总纲!AE499</f>
        <v>91.80857196314561</v>
      </c>
      <c r="N502" s="26">
        <f>[1]节奏总纲!AF499</f>
        <v>94.992233363405731</v>
      </c>
      <c r="O502" s="26">
        <f>[1]节奏总纲!AG499</f>
        <v>99.627549553914506</v>
      </c>
      <c r="P502" s="26">
        <f>[1]节奏总纲!AH499</f>
        <v>108.78383455550782</v>
      </c>
      <c r="AI502" s="27">
        <v>496</v>
      </c>
      <c r="AJ502" s="28">
        <f>[1]服务器生态!W517</f>
        <v>15.720436667592253</v>
      </c>
      <c r="AK502" s="28">
        <f>[1]服务器生态!X517</f>
        <v>15.500494505087321</v>
      </c>
      <c r="AL502" s="28">
        <f>[1]服务器生态!Y517</f>
        <v>1.2653098725009986</v>
      </c>
      <c r="AM502" s="28">
        <f>[1]服务器生态!Z517</f>
        <v>0.22510756757676148</v>
      </c>
      <c r="AN502" s="28">
        <f>[1]服务器生态!AA517</f>
        <v>6.5133425105641296E-2</v>
      </c>
    </row>
    <row r="503" spans="11:40" x14ac:dyDescent="0.2">
      <c r="K503" s="26">
        <v>497</v>
      </c>
      <c r="L503" s="26">
        <f>[1]节奏总纲!AD500</f>
        <v>89.591683268709417</v>
      </c>
      <c r="M503" s="26">
        <f>[1]节奏总纲!AE500</f>
        <v>91.838992331560306</v>
      </c>
      <c r="N503" s="26">
        <f>[1]节奏总纲!AF500</f>
        <v>95.022502694606416</v>
      </c>
      <c r="O503" s="26">
        <f>[1]节奏总纲!AG500</f>
        <v>99.658012359489774</v>
      </c>
      <c r="P503" s="26">
        <f>[1]节奏总纲!AH500</f>
        <v>108.81447501291795</v>
      </c>
      <c r="AI503" s="27">
        <v>497</v>
      </c>
      <c r="AJ503" s="28">
        <f>[1]服务器生态!W518</f>
        <v>15.61929415226767</v>
      </c>
      <c r="AK503" s="28">
        <f>[1]服务器生态!X518</f>
        <v>15.400767058822971</v>
      </c>
      <c r="AL503" s="28">
        <f>[1]服务器生态!Y518</f>
        <v>1.2571690920713048</v>
      </c>
      <c r="AM503" s="28">
        <f>[1]服务器生态!Z518</f>
        <v>0.22365926521183746</v>
      </c>
      <c r="AN503" s="28">
        <f>[1]服务器生态!AA518</f>
        <v>6.4714368142645445E-2</v>
      </c>
    </row>
    <row r="504" spans="11:40" x14ac:dyDescent="0.2">
      <c r="K504" s="26">
        <v>498</v>
      </c>
      <c r="L504" s="26">
        <f>[1]节奏总纲!AD501</f>
        <v>89.620848749515886</v>
      </c>
      <c r="M504" s="26">
        <f>[1]节奏总纲!AE501</f>
        <v>91.869412699975001</v>
      </c>
      <c r="N504" s="26">
        <f>[1]节奏总纲!AF501</f>
        <v>95.052425740265733</v>
      </c>
      <c r="O504" s="26">
        <f>[1]节奏总纲!AG501</f>
        <v>99.688475165065043</v>
      </c>
      <c r="P504" s="26">
        <f>[1]节奏总纲!AH501</f>
        <v>108.8451154703281</v>
      </c>
      <c r="AI504" s="27">
        <v>498</v>
      </c>
      <c r="AJ504" s="28">
        <f>[1]服务器生态!W519</f>
        <v>15.518151636943088</v>
      </c>
      <c r="AK504" s="28">
        <f>[1]服务器生态!X519</f>
        <v>15.301039612558624</v>
      </c>
      <c r="AL504" s="28">
        <f>[1]服务器生态!Y519</f>
        <v>1.2490283116416108</v>
      </c>
      <c r="AM504" s="28">
        <f>[1]服务器生态!Z519</f>
        <v>0.22221096284691344</v>
      </c>
      <c r="AN504" s="28">
        <f>[1]服务器生态!AA519</f>
        <v>6.4295311179649595E-2</v>
      </c>
    </row>
    <row r="505" spans="11:40" x14ac:dyDescent="0.2">
      <c r="K505" s="26">
        <v>499</v>
      </c>
      <c r="L505" s="26">
        <f>[1]节奏总纲!AD502</f>
        <v>89.650014230322356</v>
      </c>
      <c r="M505" s="26">
        <f>[1]节奏总纲!AE502</f>
        <v>91.899833068389697</v>
      </c>
      <c r="N505" s="26">
        <f>[1]节奏总纲!AF502</f>
        <v>95.082348785925035</v>
      </c>
      <c r="O505" s="26">
        <f>[1]节奏总纲!AG502</f>
        <v>99.718937970640326</v>
      </c>
      <c r="P505" s="26">
        <f>[1]节奏总纲!AH502</f>
        <v>108.87575592773824</v>
      </c>
      <c r="AI505" s="27">
        <v>499</v>
      </c>
      <c r="AJ505" s="28">
        <f>[1]服务器生态!W520</f>
        <v>15.417009121618506</v>
      </c>
      <c r="AK505" s="28">
        <f>[1]服务器生态!X520</f>
        <v>15.201312166294276</v>
      </c>
      <c r="AL505" s="28">
        <f>[1]服务器生态!Y520</f>
        <v>1.240887531211917</v>
      </c>
      <c r="AM505" s="28">
        <f>[1]服务器生态!Z520</f>
        <v>0.22076266048198942</v>
      </c>
      <c r="AN505" s="28">
        <f>[1]服务器生态!AA520</f>
        <v>6.3876254216653744E-2</v>
      </c>
    </row>
    <row r="506" spans="11:40" x14ac:dyDescent="0.2">
      <c r="K506" s="26">
        <v>500</v>
      </c>
      <c r="L506" s="26">
        <f>[1]节奏总纲!AD503</f>
        <v>89.679179711128825</v>
      </c>
      <c r="M506" s="26">
        <f>[1]节奏总纲!AE503</f>
        <v>91.930253436804392</v>
      </c>
      <c r="N506" s="26">
        <f>[1]节奏总纲!AF503</f>
        <v>95.112271831584337</v>
      </c>
      <c r="O506" s="26">
        <f>[1]节奏总纲!AG503</f>
        <v>99.749400776215595</v>
      </c>
      <c r="P506" s="26">
        <f>[1]节奏总纲!AH503</f>
        <v>108.90639638514837</v>
      </c>
      <c r="AI506" s="27">
        <v>500</v>
      </c>
      <c r="AJ506" s="28">
        <f>[1]服务器生态!W521</f>
        <v>15.315866606293921</v>
      </c>
      <c r="AK506" s="28">
        <f>[1]服务器生态!X521</f>
        <v>15.101584720029924</v>
      </c>
      <c r="AL506" s="28">
        <f>[1]服务器生态!Y521</f>
        <v>1.232746750782223</v>
      </c>
      <c r="AM506" s="28">
        <f>[1]服务器生态!Z521</f>
        <v>0.2193143581170654</v>
      </c>
      <c r="AN506" s="28">
        <f>[1]服务器生态!AA521</f>
        <v>6.3457197253657879E-2</v>
      </c>
    </row>
    <row r="507" spans="11:40" x14ac:dyDescent="0.2">
      <c r="K507" s="26">
        <v>501</v>
      </c>
      <c r="L507" s="26">
        <f>[1]节奏总纲!AD504</f>
        <v>89.708345191935294</v>
      </c>
      <c r="M507" s="26">
        <f>[1]节奏总纲!AE504</f>
        <v>91.960673805219088</v>
      </c>
      <c r="N507" s="26">
        <f>[1]节奏总纲!AF504</f>
        <v>95.142194877243654</v>
      </c>
      <c r="O507" s="26">
        <f>[1]节奏总纲!AG504</f>
        <v>99.779863581790863</v>
      </c>
      <c r="P507" s="26">
        <f>[1]节奏总纲!AH504</f>
        <v>108.93703684255851</v>
      </c>
      <c r="AI507" s="27">
        <v>501</v>
      </c>
      <c r="AJ507" s="28">
        <f>[1]服务器生态!W522</f>
        <v>15.214724090969341</v>
      </c>
      <c r="AK507" s="28">
        <f>[1]服务器生态!X522</f>
        <v>15.001857273765578</v>
      </c>
      <c r="AL507" s="28">
        <f>[1]服务器生态!Y522</f>
        <v>1.2246059703525292</v>
      </c>
      <c r="AM507" s="28">
        <f>[1]服务器生态!Z522</f>
        <v>0.21786605575214141</v>
      </c>
      <c r="AN507" s="28">
        <f>[1]服务器生态!AA522</f>
        <v>6.3038140290662029E-2</v>
      </c>
    </row>
    <row r="508" spans="11:40" x14ac:dyDescent="0.2">
      <c r="K508" s="26">
        <v>502</v>
      </c>
      <c r="L508" s="26">
        <f>[1]节奏总纲!AD505</f>
        <v>89.737510672741763</v>
      </c>
      <c r="M508" s="26">
        <f>[1]节奏总纲!AE505</f>
        <v>91.991094173633783</v>
      </c>
      <c r="N508" s="26">
        <f>[1]节奏总纲!AF505</f>
        <v>95.172117922902956</v>
      </c>
      <c r="O508" s="26">
        <f>[1]节奏总纲!AG505</f>
        <v>99.810326387366132</v>
      </c>
      <c r="P508" s="26">
        <f>[1]节奏总纲!AH505</f>
        <v>108.96767729996866</v>
      </c>
      <c r="AI508" s="27">
        <v>502</v>
      </c>
      <c r="AJ508" s="28">
        <f>[1]服务器生态!W523</f>
        <v>15.113581575644758</v>
      </c>
      <c r="AK508" s="28">
        <f>[1]服务器生态!X523</f>
        <v>14.902129827501231</v>
      </c>
      <c r="AL508" s="28">
        <f>[1]服务器生态!Y523</f>
        <v>1.2164651899228351</v>
      </c>
      <c r="AM508" s="28">
        <f>[1]服务器生态!Z523</f>
        <v>0.21641775338721739</v>
      </c>
      <c r="AN508" s="28">
        <f>[1]服务器生态!AA523</f>
        <v>6.2619083327666178E-2</v>
      </c>
    </row>
    <row r="509" spans="11:40" x14ac:dyDescent="0.2">
      <c r="K509" s="26">
        <v>503</v>
      </c>
      <c r="L509" s="26">
        <f>[1]节奏总纲!AD506</f>
        <v>89.766676153548232</v>
      </c>
      <c r="M509" s="26">
        <f>[1]节奏总纲!AE506</f>
        <v>92.019721765666318</v>
      </c>
      <c r="N509" s="26">
        <f>[1]节奏总纲!AF506</f>
        <v>95.202040968562258</v>
      </c>
      <c r="O509" s="26">
        <f>[1]节奏总纲!AG506</f>
        <v>99.840789192941401</v>
      </c>
      <c r="P509" s="26">
        <f>[1]节奏总纲!AH506</f>
        <v>108.9983177573788</v>
      </c>
      <c r="AI509" s="27">
        <v>503</v>
      </c>
      <c r="AJ509" s="28">
        <f>[1]服务器生态!W524</f>
        <v>15.012439060320174</v>
      </c>
      <c r="AK509" s="28">
        <f>[1]服务器生态!X524</f>
        <v>14.802402381236879</v>
      </c>
      <c r="AL509" s="28">
        <f>[1]服务器生态!Y524</f>
        <v>1.2083244094931411</v>
      </c>
      <c r="AM509" s="28">
        <f>[1]服务器生态!Z524</f>
        <v>0.21496945102229334</v>
      </c>
      <c r="AN509" s="28">
        <f>[1]服务器生态!AA524</f>
        <v>6.220002636467032E-2</v>
      </c>
    </row>
    <row r="510" spans="11:40" x14ac:dyDescent="0.2">
      <c r="K510" s="26">
        <v>504</v>
      </c>
      <c r="L510" s="26">
        <f>[1]节奏总纲!AD507</f>
        <v>89.795841634354701</v>
      </c>
      <c r="M510" s="26">
        <f>[1]节奏总纲!AE507</f>
        <v>92.047607247774451</v>
      </c>
      <c r="N510" s="26">
        <f>[1]节奏总纲!AF507</f>
        <v>95.231964014221575</v>
      </c>
      <c r="O510" s="26">
        <f>[1]节奏总纲!AG507</f>
        <v>99.871251998516669</v>
      </c>
      <c r="P510" s="26">
        <f>[1]节奏总纲!AH507</f>
        <v>109.02475898254148</v>
      </c>
      <c r="AI510" s="27">
        <v>504</v>
      </c>
      <c r="AJ510" s="28">
        <f>[1]服务器生态!W525</f>
        <v>14.911296544995594</v>
      </c>
      <c r="AK510" s="28">
        <f>[1]服务器生态!X525</f>
        <v>14.702674934972533</v>
      </c>
      <c r="AL510" s="28">
        <f>[1]服务器生态!Y525</f>
        <v>1.2001836290634473</v>
      </c>
      <c r="AM510" s="28">
        <f>[1]服务器生态!Z525</f>
        <v>0.21352114865736935</v>
      </c>
      <c r="AN510" s="28">
        <f>[1]服务器生态!AA525</f>
        <v>6.178096940167447E-2</v>
      </c>
    </row>
    <row r="511" spans="11:40" x14ac:dyDescent="0.2">
      <c r="K511" s="26">
        <v>505</v>
      </c>
      <c r="L511" s="26">
        <f>[1]节奏总纲!AD508</f>
        <v>89.825007115161171</v>
      </c>
      <c r="M511" s="26">
        <f>[1]节奏总纲!AE508</f>
        <v>92.075492729882583</v>
      </c>
      <c r="N511" s="26">
        <f>[1]节奏总纲!AF508</f>
        <v>95.261887059880877</v>
      </c>
      <c r="O511" s="26">
        <f>[1]节奏总纲!AG508</f>
        <v>99.901714804091952</v>
      </c>
      <c r="P511" s="26">
        <f>[1]节奏总纲!AH508</f>
        <v>109.05095626561331</v>
      </c>
      <c r="AI511" s="27">
        <v>505</v>
      </c>
      <c r="AJ511" s="28">
        <f>[1]服务器生态!W526</f>
        <v>14.810154029671011</v>
      </c>
      <c r="AK511" s="28">
        <f>[1]服务器生态!X526</f>
        <v>14.602947488708185</v>
      </c>
      <c r="AL511" s="28">
        <f>[1]服务器生态!Y526</f>
        <v>1.1920428486337533</v>
      </c>
      <c r="AM511" s="28">
        <f>[1]服务器生态!Z526</f>
        <v>0.21207284629244533</v>
      </c>
      <c r="AN511" s="28">
        <f>[1]服务器生态!AA526</f>
        <v>6.1361912438678619E-2</v>
      </c>
    </row>
    <row r="512" spans="11:40" x14ac:dyDescent="0.2">
      <c r="K512" s="26">
        <v>506</v>
      </c>
      <c r="L512" s="26">
        <f>[1]节奏总纲!AD509</f>
        <v>89.854172595967654</v>
      </c>
      <c r="M512" s="26">
        <f>[1]节奏总纲!AE509</f>
        <v>92.103378211990716</v>
      </c>
      <c r="N512" s="26">
        <f>[1]节奏总纲!AF509</f>
        <v>95.291810105540179</v>
      </c>
      <c r="O512" s="26">
        <f>[1]节奏总纲!AG509</f>
        <v>99.932177609667221</v>
      </c>
      <c r="P512" s="26">
        <f>[1]节奏总纲!AH509</f>
        <v>109.07715354868515</v>
      </c>
      <c r="AI512" s="27">
        <v>506</v>
      </c>
      <c r="AJ512" s="28">
        <f>[1]服务器生态!W527</f>
        <v>14.709011514346427</v>
      </c>
      <c r="AK512" s="28">
        <f>[1]服务器生态!X527</f>
        <v>14.503220042443834</v>
      </c>
      <c r="AL512" s="28">
        <f>[1]服务器生态!Y527</f>
        <v>1.1839020682040593</v>
      </c>
      <c r="AM512" s="28">
        <f>[1]服务器生态!Z527</f>
        <v>0.21062454392752131</v>
      </c>
      <c r="AN512" s="28">
        <f>[1]服务器生态!AA527</f>
        <v>6.0942855475682754E-2</v>
      </c>
    </row>
    <row r="513" spans="11:40" x14ac:dyDescent="0.2">
      <c r="K513" s="26">
        <v>507</v>
      </c>
      <c r="L513" s="26">
        <f>[1]节奏总纲!AD510</f>
        <v>89.883338076774123</v>
      </c>
      <c r="M513" s="26">
        <f>[1]节奏总纲!AE510</f>
        <v>92.131263694098863</v>
      </c>
      <c r="N513" s="26">
        <f>[1]节奏总纲!AF510</f>
        <v>95.321733151199481</v>
      </c>
      <c r="O513" s="26">
        <f>[1]节奏总纲!AG510</f>
        <v>99.96264041524249</v>
      </c>
      <c r="P513" s="26">
        <f>[1]节奏总纲!AH510</f>
        <v>109.10335083175698</v>
      </c>
      <c r="AI513" s="27">
        <v>507</v>
      </c>
      <c r="AJ513" s="28">
        <f>[1]服务器生态!W528</f>
        <v>14.607868999021845</v>
      </c>
      <c r="AK513" s="28">
        <f>[1]服务器生态!X528</f>
        <v>14.403492596179486</v>
      </c>
      <c r="AL513" s="28">
        <f>[1]服务器生态!Y528</f>
        <v>1.1757612877743655</v>
      </c>
      <c r="AM513" s="28">
        <f>[1]服务器生态!Z528</f>
        <v>0.20917624156259729</v>
      </c>
      <c r="AN513" s="28">
        <f>[1]服务器生态!AA528</f>
        <v>6.0523798512686904E-2</v>
      </c>
    </row>
    <row r="514" spans="11:40" x14ac:dyDescent="0.2">
      <c r="K514" s="26">
        <v>508</v>
      </c>
      <c r="L514" s="26">
        <f>[1]节奏总纲!AD511</f>
        <v>89.912503557580592</v>
      </c>
      <c r="M514" s="26">
        <f>[1]节奏总纲!AE511</f>
        <v>92.159149176206995</v>
      </c>
      <c r="N514" s="26">
        <f>[1]节奏总纲!AF511</f>
        <v>95.351656196858798</v>
      </c>
      <c r="O514" s="26">
        <f>[1]节奏总纲!AG511</f>
        <v>99.993103220817758</v>
      </c>
      <c r="P514" s="26">
        <f>[1]节奏总纲!AH511</f>
        <v>109.12954811482881</v>
      </c>
      <c r="AI514" s="27">
        <v>508</v>
      </c>
      <c r="AJ514" s="28">
        <f>[1]服务器生态!W529</f>
        <v>14.50672648369726</v>
      </c>
      <c r="AK514" s="28">
        <f>[1]服务器生态!X529</f>
        <v>14.303765149915137</v>
      </c>
      <c r="AL514" s="28">
        <f>[1]服务器生态!Y529</f>
        <v>1.1676205073446715</v>
      </c>
      <c r="AM514" s="28">
        <f>[1]服务器生态!Z529</f>
        <v>0.20772793919767324</v>
      </c>
      <c r="AN514" s="28">
        <f>[1]服务器生态!AA529</f>
        <v>6.0104741549691046E-2</v>
      </c>
    </row>
    <row r="515" spans="11:40" x14ac:dyDescent="0.2">
      <c r="K515" s="26">
        <v>509</v>
      </c>
      <c r="L515" s="26">
        <f>[1]节奏总纲!AD512</f>
        <v>89.941669038387062</v>
      </c>
      <c r="M515" s="26">
        <f>[1]节奏总纲!AE512</f>
        <v>92.187034658315127</v>
      </c>
      <c r="N515" s="26">
        <f>[1]节奏总纲!AF512</f>
        <v>95.3815792425181</v>
      </c>
      <c r="O515" s="26">
        <f>[1]节奏总纲!AG512</f>
        <v>100.02336194033535</v>
      </c>
      <c r="P515" s="26">
        <f>[1]节奏总纲!AH512</f>
        <v>109.15574539790065</v>
      </c>
      <c r="AI515" s="27">
        <v>509</v>
      </c>
      <c r="AJ515" s="28">
        <f>[1]服务器生态!W530</f>
        <v>14.40558396837268</v>
      </c>
      <c r="AK515" s="28">
        <f>[1]服务器生态!X530</f>
        <v>14.204037703650789</v>
      </c>
      <c r="AL515" s="28">
        <f>[1]服务器生态!Y530</f>
        <v>1.1594797269149777</v>
      </c>
      <c r="AM515" s="28">
        <f>[1]服务器生态!Z530</f>
        <v>0.20627963683274925</v>
      </c>
      <c r="AN515" s="28">
        <f>[1]服务器生态!AA530</f>
        <v>5.9685684586695195E-2</v>
      </c>
    </row>
    <row r="516" spans="11:40" x14ac:dyDescent="0.2">
      <c r="K516" s="26">
        <v>510</v>
      </c>
      <c r="L516" s="26">
        <f>[1]节奏总纲!AD513</f>
        <v>89.970834519193531</v>
      </c>
      <c r="M516" s="26">
        <f>[1]节奏总纲!AE513</f>
        <v>92.21492014042326</v>
      </c>
      <c r="N516" s="26">
        <f>[1]节奏总纲!AF513</f>
        <v>95.411502288177402</v>
      </c>
      <c r="O516" s="26">
        <f>[1]节奏总纲!AG513</f>
        <v>100.05356093249581</v>
      </c>
      <c r="P516" s="26">
        <f>[1]节奏总纲!AH513</f>
        <v>109.18194268097248</v>
      </c>
      <c r="AI516" s="27">
        <v>510</v>
      </c>
      <c r="AJ516" s="28">
        <f>[1]服务器生态!W531</f>
        <v>14.304441453048097</v>
      </c>
      <c r="AK516" s="28">
        <f>[1]服务器生态!X531</f>
        <v>14.104310257386441</v>
      </c>
      <c r="AL516" s="28">
        <f>[1]服务器生态!Y531</f>
        <v>1.1513389464852837</v>
      </c>
      <c r="AM516" s="28">
        <f>[1]服务器生态!Z531</f>
        <v>0.20483133446782523</v>
      </c>
      <c r="AN516" s="28">
        <f>[1]服务器生态!AA531</f>
        <v>5.9266627623699344E-2</v>
      </c>
    </row>
    <row r="517" spans="11:40" x14ac:dyDescent="0.2">
      <c r="K517" s="26">
        <v>511</v>
      </c>
      <c r="L517" s="26">
        <f>[1]节奏总纲!AD514</f>
        <v>90</v>
      </c>
      <c r="M517" s="26">
        <f>[1]节奏总纲!AE514</f>
        <v>92.242805622531392</v>
      </c>
      <c r="N517" s="26">
        <f>[1]节奏总纲!AF514</f>
        <v>95.441425333836719</v>
      </c>
      <c r="O517" s="26">
        <f>[1]节奏总纲!AG514</f>
        <v>100.08375992465629</v>
      </c>
      <c r="P517" s="26">
        <f>[1]节奏总纲!AH514</f>
        <v>109.20813996404431</v>
      </c>
      <c r="AI517" s="27">
        <v>511</v>
      </c>
      <c r="AJ517" s="28">
        <f>[1]服务器生态!W532</f>
        <v>14.220998877905318</v>
      </c>
      <c r="AK517" s="28">
        <f>[1]服务器生态!X532</f>
        <v>14.022035114218355</v>
      </c>
      <c r="AL517" s="28">
        <f>[1]服务器生态!Y532</f>
        <v>1.1446228026307863</v>
      </c>
      <c r="AM517" s="28">
        <f>[1]服务器生态!Z532</f>
        <v>0.20363648501676293</v>
      </c>
      <c r="AN517" s="28">
        <f>[1]服务器生态!AA532</f>
        <v>5.892090562922777E-2</v>
      </c>
    </row>
    <row r="518" spans="11:40" x14ac:dyDescent="0.2">
      <c r="K518" s="26">
        <v>512</v>
      </c>
      <c r="L518" s="26">
        <f>[1]节奏总纲!AD515</f>
        <v>90.027212355806469</v>
      </c>
      <c r="M518" s="26">
        <f>[1]节奏总纲!AE515</f>
        <v>92.270691104639539</v>
      </c>
      <c r="N518" s="26">
        <f>[1]节奏总纲!AF515</f>
        <v>95.471348379496021</v>
      </c>
      <c r="O518" s="26">
        <f>[1]节奏总纲!AG515</f>
        <v>100.11395891681677</v>
      </c>
      <c r="P518" s="26">
        <f>[1]节奏总纲!AH515</f>
        <v>109.23433724711614</v>
      </c>
      <c r="AI518" s="27">
        <v>512</v>
      </c>
      <c r="AJ518" s="28">
        <f>[1]服务器生态!W533</f>
        <v>14.137556302762537</v>
      </c>
      <c r="AK518" s="28">
        <f>[1]服务器生态!X533</f>
        <v>13.939759971050266</v>
      </c>
      <c r="AL518" s="28">
        <f>[1]服务器生态!Y533</f>
        <v>1.1379066587762887</v>
      </c>
      <c r="AM518" s="28">
        <f>[1]服务器生态!Z533</f>
        <v>0.20244163556570061</v>
      </c>
      <c r="AN518" s="28">
        <f>[1]服务器生态!AA533</f>
        <v>5.8575183634756188E-2</v>
      </c>
    </row>
    <row r="519" spans="11:40" x14ac:dyDescent="0.2">
      <c r="K519" s="26">
        <v>513</v>
      </c>
      <c r="L519" s="26">
        <f>[1]节奏总纲!AD516</f>
        <v>90.054424711612938</v>
      </c>
      <c r="M519" s="26">
        <f>[1]节奏总纲!AE516</f>
        <v>92.298576586747672</v>
      </c>
      <c r="N519" s="26">
        <f>[1]节奏总纲!AF516</f>
        <v>95.501271425155323</v>
      </c>
      <c r="O519" s="26">
        <f>[1]节奏总纲!AG516</f>
        <v>100.14415790897725</v>
      </c>
      <c r="P519" s="26">
        <f>[1]节奏总纲!AH516</f>
        <v>109.26053453018798</v>
      </c>
      <c r="AI519" s="27">
        <v>513</v>
      </c>
      <c r="AJ519" s="28">
        <f>[1]服务器生态!W534</f>
        <v>14.054113727619757</v>
      </c>
      <c r="AK519" s="28">
        <f>[1]服务器生态!X534</f>
        <v>13.857484827882178</v>
      </c>
      <c r="AL519" s="28">
        <f>[1]服务器生态!Y534</f>
        <v>1.1311905149217913</v>
      </c>
      <c r="AM519" s="28">
        <f>[1]服务器生态!Z534</f>
        <v>0.20124678611463831</v>
      </c>
      <c r="AN519" s="28">
        <f>[1]服务器生态!AA534</f>
        <v>5.8229461640284606E-2</v>
      </c>
    </row>
    <row r="520" spans="11:40" x14ac:dyDescent="0.2">
      <c r="K520" s="26">
        <v>514</v>
      </c>
      <c r="L520" s="26">
        <f>[1]节奏总纲!AD517</f>
        <v>90.081637067419408</v>
      </c>
      <c r="M520" s="26">
        <f>[1]节奏总纲!AE517</f>
        <v>92.326462068855804</v>
      </c>
      <c r="N520" s="26">
        <f>[1]节奏总纲!AF517</f>
        <v>95.53119447081464</v>
      </c>
      <c r="O520" s="26">
        <f>[1]节奏总纲!AG517</f>
        <v>100.17435690113771</v>
      </c>
      <c r="P520" s="26">
        <f>[1]节奏总纲!AH517</f>
        <v>109.28673181325981</v>
      </c>
      <c r="AI520" s="27">
        <v>514</v>
      </c>
      <c r="AJ520" s="28">
        <f>[1]服务器生态!W535</f>
        <v>13.970671152476976</v>
      </c>
      <c r="AK520" s="28">
        <f>[1]服务器生态!X535</f>
        <v>13.77520968471409</v>
      </c>
      <c r="AL520" s="28">
        <f>[1]服务器生态!Y535</f>
        <v>1.1244743710672938</v>
      </c>
      <c r="AM520" s="28">
        <f>[1]服务器生态!Z535</f>
        <v>0.20005193666357599</v>
      </c>
      <c r="AN520" s="28">
        <f>[1]服务器生态!AA535</f>
        <v>5.7883739645813025E-2</v>
      </c>
    </row>
    <row r="521" spans="11:40" x14ac:dyDescent="0.2">
      <c r="K521" s="26">
        <v>515</v>
      </c>
      <c r="L521" s="26">
        <f>[1]节奏总纲!AD518</f>
        <v>90.108849423225877</v>
      </c>
      <c r="M521" s="26">
        <f>[1]节奏总纲!AE518</f>
        <v>92.354347550963936</v>
      </c>
      <c r="N521" s="26">
        <f>[1]节奏总纲!AF518</f>
        <v>95.561117516473942</v>
      </c>
      <c r="O521" s="26">
        <f>[1]节奏总纲!AG518</f>
        <v>100.20455589329819</v>
      </c>
      <c r="P521" s="26">
        <f>[1]节奏总纲!AH518</f>
        <v>109.31292909633164</v>
      </c>
      <c r="AI521" s="27">
        <v>515</v>
      </c>
      <c r="AJ521" s="28">
        <f>[1]服务器生态!W536</f>
        <v>13.887228577334197</v>
      </c>
      <c r="AK521" s="28">
        <f>[1]服务器生态!X536</f>
        <v>13.692934541546004</v>
      </c>
      <c r="AL521" s="28">
        <f>[1]服务器生态!Y536</f>
        <v>1.1177582272127964</v>
      </c>
      <c r="AM521" s="28">
        <f>[1]服务器生态!Z536</f>
        <v>0.19885708721251369</v>
      </c>
      <c r="AN521" s="28">
        <f>[1]服务器生态!AA536</f>
        <v>5.753801765134145E-2</v>
      </c>
    </row>
    <row r="522" spans="11:40" x14ac:dyDescent="0.2">
      <c r="K522" s="26">
        <v>516</v>
      </c>
      <c r="L522" s="26">
        <f>[1]节奏总纲!AD519</f>
        <v>90.13606177903236</v>
      </c>
      <c r="M522" s="26">
        <f>[1]节奏总纲!AE519</f>
        <v>92.382233033072069</v>
      </c>
      <c r="N522" s="26">
        <f>[1]节奏总纲!AF519</f>
        <v>95.591040562133244</v>
      </c>
      <c r="O522" s="26">
        <f>[1]节奏总纲!AG519</f>
        <v>100.23475488545867</v>
      </c>
      <c r="P522" s="26">
        <f>[1]节奏总纲!AH519</f>
        <v>109.33912637940348</v>
      </c>
      <c r="AI522" s="27">
        <v>516</v>
      </c>
      <c r="AJ522" s="28">
        <f>[1]服务器生态!W537</f>
        <v>13.803786002191416</v>
      </c>
      <c r="AK522" s="28">
        <f>[1]服务器生态!X537</f>
        <v>13.610659398377916</v>
      </c>
      <c r="AL522" s="28">
        <f>[1]服务器生态!Y537</f>
        <v>1.1110420833582988</v>
      </c>
      <c r="AM522" s="28">
        <f>[1]服务器生态!Z537</f>
        <v>0.19766223776145136</v>
      </c>
      <c r="AN522" s="28">
        <f>[1]服务器生态!AA537</f>
        <v>5.7192295656869868E-2</v>
      </c>
    </row>
    <row r="523" spans="11:40" x14ac:dyDescent="0.2">
      <c r="K523" s="26">
        <v>517</v>
      </c>
      <c r="L523" s="26">
        <f>[1]节奏总纲!AD520</f>
        <v>90.163274134838829</v>
      </c>
      <c r="M523" s="26">
        <f>[1]节奏总纲!AE520</f>
        <v>92.410118515180216</v>
      </c>
      <c r="N523" s="26">
        <f>[1]节奏总纲!AF520</f>
        <v>95.620963607792561</v>
      </c>
      <c r="O523" s="26">
        <f>[1]节奏总纲!AG520</f>
        <v>100.26495387761915</v>
      </c>
      <c r="P523" s="26">
        <f>[1]节奏总纲!AH520</f>
        <v>109.3653236624753</v>
      </c>
      <c r="AI523" s="27">
        <v>517</v>
      </c>
      <c r="AJ523" s="28">
        <f>[1]服务器生态!W538</f>
        <v>13.720343427048634</v>
      </c>
      <c r="AK523" s="28">
        <f>[1]服务器生态!X538</f>
        <v>13.528384255209829</v>
      </c>
      <c r="AL523" s="28">
        <f>[1]服务器生态!Y538</f>
        <v>1.1043259395038014</v>
      </c>
      <c r="AM523" s="28">
        <f>[1]服务器生态!Z538</f>
        <v>0.19646738831038907</v>
      </c>
      <c r="AN523" s="28">
        <f>[1]服务器生态!AA538</f>
        <v>5.6846573662398293E-2</v>
      </c>
    </row>
    <row r="524" spans="11:40" x14ac:dyDescent="0.2">
      <c r="K524" s="26">
        <v>518</v>
      </c>
      <c r="L524" s="26">
        <f>[1]节奏总纲!AD521</f>
        <v>90.190486490645299</v>
      </c>
      <c r="M524" s="26">
        <f>[1]节奏总纲!AE521</f>
        <v>92.438003997288348</v>
      </c>
      <c r="N524" s="26">
        <f>[1]节奏总纲!AF521</f>
        <v>95.650886653451863</v>
      </c>
      <c r="O524" s="26">
        <f>[1]节奏总纲!AG521</f>
        <v>100.29515286977961</v>
      </c>
      <c r="P524" s="26">
        <f>[1]节奏总纲!AH521</f>
        <v>109.39152094554714</v>
      </c>
      <c r="AI524" s="27">
        <v>518</v>
      </c>
      <c r="AJ524" s="28">
        <f>[1]服务器生态!W539</f>
        <v>13.636900851905851</v>
      </c>
      <c r="AK524" s="28">
        <f>[1]服务器生态!X539</f>
        <v>13.446109112041739</v>
      </c>
      <c r="AL524" s="28">
        <f>[1]服务器生态!Y539</f>
        <v>1.0976097956493036</v>
      </c>
      <c r="AM524" s="28">
        <f>[1]服务器生态!Z539</f>
        <v>0.19527253885932672</v>
      </c>
      <c r="AN524" s="28">
        <f>[1]服务器生态!AA539</f>
        <v>5.6500851667926698E-2</v>
      </c>
    </row>
    <row r="525" spans="11:40" x14ac:dyDescent="0.2">
      <c r="K525" s="26">
        <v>519</v>
      </c>
      <c r="L525" s="26">
        <f>[1]节奏总纲!AD522</f>
        <v>90.217698846451768</v>
      </c>
      <c r="M525" s="26">
        <f>[1]节奏总纲!AE522</f>
        <v>92.465889479396481</v>
      </c>
      <c r="N525" s="26">
        <f>[1]节奏总纲!AF522</f>
        <v>95.680809699111165</v>
      </c>
      <c r="O525" s="26">
        <f>[1]节奏总纲!AG522</f>
        <v>100.32535186194009</v>
      </c>
      <c r="P525" s="26">
        <f>[1]节奏总纲!AH522</f>
        <v>109.41771822861898</v>
      </c>
      <c r="AI525" s="27">
        <v>519</v>
      </c>
      <c r="AJ525" s="28">
        <f>[1]服务器生态!W540</f>
        <v>13.553458276763072</v>
      </c>
      <c r="AK525" s="28">
        <f>[1]服务器生态!X540</f>
        <v>13.363833968873651</v>
      </c>
      <c r="AL525" s="28">
        <f>[1]服务器生态!Y540</f>
        <v>1.0908936517948062</v>
      </c>
      <c r="AM525" s="28">
        <f>[1]服务器生态!Z540</f>
        <v>0.19407768940826439</v>
      </c>
      <c r="AN525" s="28">
        <f>[1]服务器生态!AA540</f>
        <v>5.6155129673455123E-2</v>
      </c>
    </row>
    <row r="526" spans="11:40" x14ac:dyDescent="0.2">
      <c r="K526" s="26">
        <v>520</v>
      </c>
      <c r="L526" s="26">
        <f>[1]节奏总纲!AD523</f>
        <v>90.244911202258237</v>
      </c>
      <c r="M526" s="26">
        <f>[1]节奏总纲!AE523</f>
        <v>92.493774961504613</v>
      </c>
      <c r="N526" s="26">
        <f>[1]节奏总纲!AF523</f>
        <v>95.710732744770482</v>
      </c>
      <c r="O526" s="26">
        <f>[1]节奏总纲!AG523</f>
        <v>100.35555085410057</v>
      </c>
      <c r="P526" s="26">
        <f>[1]节奏总纲!AH523</f>
        <v>109.44391551169082</v>
      </c>
      <c r="AI526" s="27">
        <v>520</v>
      </c>
      <c r="AJ526" s="28">
        <f>[1]服务器生态!W541</f>
        <v>13.470015701620291</v>
      </c>
      <c r="AK526" s="28">
        <f>[1]服务器生态!X541</f>
        <v>13.281558825705563</v>
      </c>
      <c r="AL526" s="28">
        <f>[1]服务器生态!Y541</f>
        <v>1.0841775079403086</v>
      </c>
      <c r="AM526" s="28">
        <f>[1]服务器生态!Z541</f>
        <v>0.19288283995720207</v>
      </c>
      <c r="AN526" s="28">
        <f>[1]服务器生态!AA541</f>
        <v>5.5809407678983541E-2</v>
      </c>
    </row>
    <row r="527" spans="11:40" x14ac:dyDescent="0.2">
      <c r="K527" s="26">
        <v>521</v>
      </c>
      <c r="L527" s="26">
        <f>[1]节奏总纲!AD524</f>
        <v>90.272123558064706</v>
      </c>
      <c r="M527" s="26">
        <f>[1]节奏总纲!AE524</f>
        <v>92.52166044361276</v>
      </c>
      <c r="N527" s="26">
        <f>[1]节奏总纲!AF524</f>
        <v>95.740655790429784</v>
      </c>
      <c r="O527" s="26">
        <f>[1]节奏总纲!AG524</f>
        <v>100.38574984626105</v>
      </c>
      <c r="P527" s="26">
        <f>[1]节奏总纲!AH524</f>
        <v>109.47011279476264</v>
      </c>
      <c r="AI527" s="27">
        <v>521</v>
      </c>
      <c r="AJ527" s="28">
        <f>[1]服务器生态!W542</f>
        <v>13.386573126477511</v>
      </c>
      <c r="AK527" s="28">
        <f>[1]服务器生态!X542</f>
        <v>13.199283682537477</v>
      </c>
      <c r="AL527" s="28">
        <f>[1]服务器生态!Y542</f>
        <v>1.0774613640858113</v>
      </c>
      <c r="AM527" s="28">
        <f>[1]服务器生态!Z542</f>
        <v>0.19168799050613977</v>
      </c>
      <c r="AN527" s="28">
        <f>[1]服务器生态!AA542</f>
        <v>5.5463685684511967E-2</v>
      </c>
    </row>
    <row r="528" spans="11:40" x14ac:dyDescent="0.2">
      <c r="K528" s="26">
        <v>522</v>
      </c>
      <c r="L528" s="26">
        <f>[1]节奏总纲!AD525</f>
        <v>90.299335913871175</v>
      </c>
      <c r="M528" s="26">
        <f>[1]节奏总纲!AE525</f>
        <v>92.549545925720892</v>
      </c>
      <c r="N528" s="26">
        <f>[1]节奏总纲!AF525</f>
        <v>95.770578836089086</v>
      </c>
      <c r="O528" s="26">
        <f>[1]节奏总纲!AG525</f>
        <v>100.41594883842151</v>
      </c>
      <c r="P528" s="26">
        <f>[1]节奏总纲!AH525</f>
        <v>109.49631007783448</v>
      </c>
      <c r="AI528" s="27">
        <v>522</v>
      </c>
      <c r="AJ528" s="28">
        <f>[1]服务器生态!W543</f>
        <v>13.30313055133473</v>
      </c>
      <c r="AK528" s="28">
        <f>[1]服务器生态!X543</f>
        <v>13.117008539369388</v>
      </c>
      <c r="AL528" s="28">
        <f>[1]服务器生态!Y543</f>
        <v>1.0707452202313137</v>
      </c>
      <c r="AM528" s="28">
        <f>[1]服务器生态!Z543</f>
        <v>0.19049314105507745</v>
      </c>
      <c r="AN528" s="28">
        <f>[1]服务器生态!AA543</f>
        <v>5.5117963690040385E-2</v>
      </c>
    </row>
    <row r="529" spans="11:40" x14ac:dyDescent="0.2">
      <c r="K529" s="26">
        <v>523</v>
      </c>
      <c r="L529" s="26">
        <f>[1]节奏总纲!AD526</f>
        <v>90.326548269677644</v>
      </c>
      <c r="M529" s="26">
        <f>[1]节奏总纲!AE526</f>
        <v>92.577431407829025</v>
      </c>
      <c r="N529" s="26">
        <f>[1]节奏总纲!AF526</f>
        <v>95.800501881748403</v>
      </c>
      <c r="O529" s="26">
        <f>[1]节奏总纲!AG526</f>
        <v>100.44614783058199</v>
      </c>
      <c r="P529" s="26">
        <f>[1]节奏总纲!AH526</f>
        <v>109.52250736090632</v>
      </c>
      <c r="AI529" s="27">
        <v>523</v>
      </c>
      <c r="AJ529" s="28">
        <f>[1]服务器生态!W544</f>
        <v>13.219687976191951</v>
      </c>
      <c r="AK529" s="28">
        <f>[1]服务器生态!X544</f>
        <v>13.034733396201302</v>
      </c>
      <c r="AL529" s="28">
        <f>[1]服务器生态!Y544</f>
        <v>1.0640290763768163</v>
      </c>
      <c r="AM529" s="28">
        <f>[1]服务器生态!Z544</f>
        <v>0.18929829160401515</v>
      </c>
      <c r="AN529" s="28">
        <f>[1]服务器生态!AA544</f>
        <v>5.477224169556881E-2</v>
      </c>
    </row>
    <row r="530" spans="11:40" x14ac:dyDescent="0.2">
      <c r="K530" s="26">
        <v>524</v>
      </c>
      <c r="L530" s="26">
        <f>[1]节奏总纲!AD527</f>
        <v>90.353760625484114</v>
      </c>
      <c r="M530" s="26">
        <f>[1]节奏总纲!AE527</f>
        <v>92.605316889937157</v>
      </c>
      <c r="N530" s="26">
        <f>[1]节奏总纲!AF527</f>
        <v>95.830424927407705</v>
      </c>
      <c r="O530" s="26">
        <f>[1]节奏总纲!AG527</f>
        <v>100.47634682274247</v>
      </c>
      <c r="P530" s="26">
        <f>[1]节奏总纲!AH527</f>
        <v>109.54870464397814</v>
      </c>
      <c r="AI530" s="27">
        <v>524</v>
      </c>
      <c r="AJ530" s="28">
        <f>[1]服务器生态!W545</f>
        <v>13.136245401049168</v>
      </c>
      <c r="AK530" s="28">
        <f>[1]服务器生态!X545</f>
        <v>12.952458253033214</v>
      </c>
      <c r="AL530" s="28">
        <f>[1]服务器生态!Y545</f>
        <v>1.0573129325223187</v>
      </c>
      <c r="AM530" s="28">
        <f>[1]服务器生态!Z545</f>
        <v>0.18810344215295283</v>
      </c>
      <c r="AN530" s="28">
        <f>[1]服务器生态!AA545</f>
        <v>5.4426519701097222E-2</v>
      </c>
    </row>
    <row r="531" spans="11:40" x14ac:dyDescent="0.2">
      <c r="K531" s="26">
        <v>525</v>
      </c>
      <c r="L531" s="26">
        <f>[1]节奏总纲!AD528</f>
        <v>90.380972981290583</v>
      </c>
      <c r="M531" s="26">
        <f>[1]节奏总纲!AE528</f>
        <v>92.63320237204529</v>
      </c>
      <c r="N531" s="26">
        <f>[1]节奏总纲!AF528</f>
        <v>95.860347973067007</v>
      </c>
      <c r="O531" s="26">
        <f>[1]节奏总纲!AG528</f>
        <v>100.50654581490295</v>
      </c>
      <c r="P531" s="26">
        <f>[1]节奏总纲!AH528</f>
        <v>109.57490192704998</v>
      </c>
      <c r="AI531" s="27">
        <v>525</v>
      </c>
      <c r="AJ531" s="28">
        <f>[1]服务器生态!W546</f>
        <v>13.052802825906388</v>
      </c>
      <c r="AK531" s="28">
        <f>[1]服务器生态!X546</f>
        <v>12.870183109865128</v>
      </c>
      <c r="AL531" s="28">
        <f>[1]服务器生态!Y546</f>
        <v>1.0505967886678214</v>
      </c>
      <c r="AM531" s="28">
        <f>[1]服务器生态!Z546</f>
        <v>0.18690859270189053</v>
      </c>
      <c r="AN531" s="28">
        <f>[1]服务器生态!AA546</f>
        <v>5.4080797706625647E-2</v>
      </c>
    </row>
    <row r="532" spans="11:40" x14ac:dyDescent="0.2">
      <c r="K532" s="26">
        <v>526</v>
      </c>
      <c r="L532" s="26">
        <f>[1]节奏总纲!AD529</f>
        <v>90.408185337097066</v>
      </c>
      <c r="M532" s="26">
        <f>[1]节奏总纲!AE529</f>
        <v>92.661087854153436</v>
      </c>
      <c r="N532" s="26">
        <f>[1]节奏总纲!AF529</f>
        <v>95.890271018726324</v>
      </c>
      <c r="O532" s="26">
        <f>[1]节奏总纲!AG529</f>
        <v>100.53674480706341</v>
      </c>
      <c r="P532" s="26">
        <f>[1]节奏总纲!AH529</f>
        <v>109.60109921012182</v>
      </c>
      <c r="AI532" s="27">
        <v>526</v>
      </c>
      <c r="AJ532" s="28">
        <f>[1]服务器生态!W547</f>
        <v>12.969360250763609</v>
      </c>
      <c r="AK532" s="28">
        <f>[1]服务器生态!X547</f>
        <v>12.787907966697039</v>
      </c>
      <c r="AL532" s="28">
        <f>[1]服务器生态!Y547</f>
        <v>1.043880644813324</v>
      </c>
      <c r="AM532" s="28">
        <f>[1]服务器生态!Z547</f>
        <v>0.18571374325082823</v>
      </c>
      <c r="AN532" s="28">
        <f>[1]服务器生态!AA547</f>
        <v>5.3735075712154072E-2</v>
      </c>
    </row>
    <row r="533" spans="11:40" x14ac:dyDescent="0.2">
      <c r="K533" s="26">
        <v>527</v>
      </c>
      <c r="L533" s="26">
        <f>[1]节奏总纲!AD530</f>
        <v>90.435397692903535</v>
      </c>
      <c r="M533" s="26">
        <f>[1]节奏总纲!AE530</f>
        <v>92.688973336261569</v>
      </c>
      <c r="N533" s="26">
        <f>[1]节奏总纲!AF530</f>
        <v>95.920194064385626</v>
      </c>
      <c r="O533" s="26">
        <f>[1]节奏总纲!AG530</f>
        <v>100.56694379922389</v>
      </c>
      <c r="P533" s="26">
        <f>[1]节奏总纲!AH530</f>
        <v>109.62729649319364</v>
      </c>
      <c r="AI533" s="27">
        <v>527</v>
      </c>
      <c r="AJ533" s="28">
        <f>[1]服务器生态!W548</f>
        <v>12.885917675620828</v>
      </c>
      <c r="AK533" s="28">
        <f>[1]服务器生态!X548</f>
        <v>12.705632823528951</v>
      </c>
      <c r="AL533" s="28">
        <f>[1]服务器生态!Y548</f>
        <v>1.0371645009588264</v>
      </c>
      <c r="AM533" s="28">
        <f>[1]服务器生态!Z548</f>
        <v>0.18451889379976588</v>
      </c>
      <c r="AN533" s="28">
        <f>[1]服务器生态!AA548</f>
        <v>5.338935371768249E-2</v>
      </c>
    </row>
    <row r="534" spans="11:40" x14ac:dyDescent="0.2">
      <c r="K534" s="26">
        <v>528</v>
      </c>
      <c r="L534" s="26">
        <f>[1]节奏总纲!AD531</f>
        <v>90.462610048710005</v>
      </c>
      <c r="M534" s="26">
        <f>[1]节奏总纲!AE531</f>
        <v>92.716858818369701</v>
      </c>
      <c r="N534" s="26">
        <f>[1]节奏总纲!AF531</f>
        <v>95.950117110044928</v>
      </c>
      <c r="O534" s="26">
        <f>[1]节奏总纲!AG531</f>
        <v>100.59714279138437</v>
      </c>
      <c r="P534" s="26">
        <f>[1]节奏总纲!AH531</f>
        <v>109.65349377626548</v>
      </c>
      <c r="AI534" s="27">
        <v>528</v>
      </c>
      <c r="AJ534" s="28">
        <f>[1]服务器生态!W549</f>
        <v>12.802475100478047</v>
      </c>
      <c r="AK534" s="28">
        <f>[1]服务器生态!X549</f>
        <v>12.623357680360863</v>
      </c>
      <c r="AL534" s="28">
        <f>[1]服务器生态!Y549</f>
        <v>1.0304483571043288</v>
      </c>
      <c r="AM534" s="28">
        <f>[1]服务器生态!Z549</f>
        <v>0.18332404434870356</v>
      </c>
      <c r="AN534" s="28">
        <f>[1]服务器生态!AA549</f>
        <v>5.3043631723210909E-2</v>
      </c>
    </row>
    <row r="535" spans="11:40" x14ac:dyDescent="0.2">
      <c r="K535" s="26">
        <v>529</v>
      </c>
      <c r="L535" s="26">
        <f>[1]节奏总纲!AD532</f>
        <v>90.489822404516474</v>
      </c>
      <c r="M535" s="26">
        <f>[1]节奏总纲!AE532</f>
        <v>92.744744300477834</v>
      </c>
      <c r="N535" s="26">
        <f>[1]节奏总纲!AF532</f>
        <v>95.980040155704245</v>
      </c>
      <c r="O535" s="26">
        <f>[1]节奏总纲!AG532</f>
        <v>100.62734178354485</v>
      </c>
      <c r="P535" s="26">
        <f>[1]节奏总纲!AH532</f>
        <v>109.67969105933732</v>
      </c>
      <c r="AI535" s="27">
        <v>529</v>
      </c>
      <c r="AJ535" s="28">
        <f>[1]服务器生态!W550</f>
        <v>12.719032525335267</v>
      </c>
      <c r="AK535" s="28">
        <f>[1]服务器生态!X550</f>
        <v>12.541082537192777</v>
      </c>
      <c r="AL535" s="28">
        <f>[1]服务器生态!Y550</f>
        <v>1.0237322132498314</v>
      </c>
      <c r="AM535" s="28">
        <f>[1]服务器生态!Z550</f>
        <v>0.18212919489764126</v>
      </c>
      <c r="AN535" s="28">
        <f>[1]服务器生态!AA550</f>
        <v>5.2697909728739334E-2</v>
      </c>
    </row>
    <row r="536" spans="11:40" x14ac:dyDescent="0.2">
      <c r="K536" s="26">
        <v>530</v>
      </c>
      <c r="L536" s="26">
        <f>[1]节奏总纲!AD533</f>
        <v>90.517034760322943</v>
      </c>
      <c r="M536" s="26">
        <f>[1]节奏总纲!AE533</f>
        <v>92.77262978258598</v>
      </c>
      <c r="N536" s="26">
        <f>[1]节奏总纲!AF533</f>
        <v>96.008542076157596</v>
      </c>
      <c r="O536" s="26">
        <f>[1]节奏总纲!AG533</f>
        <v>100.65754077570531</v>
      </c>
      <c r="P536" s="26">
        <f>[1]节奏总纲!AH533</f>
        <v>109.70588834240914</v>
      </c>
      <c r="AI536" s="27">
        <v>530</v>
      </c>
      <c r="AJ536" s="28">
        <f>[1]服务器生态!W551</f>
        <v>12.635589950192488</v>
      </c>
      <c r="AK536" s="28">
        <f>[1]服务器生态!X551</f>
        <v>12.45880739402469</v>
      </c>
      <c r="AL536" s="28">
        <f>[1]服务器生态!Y551</f>
        <v>1.0170160693953341</v>
      </c>
      <c r="AM536" s="28">
        <f>[1]服务器生态!Z551</f>
        <v>0.18093434544657896</v>
      </c>
      <c r="AN536" s="28">
        <f>[1]服务器生态!AA551</f>
        <v>5.2352187734267752E-2</v>
      </c>
    </row>
    <row r="537" spans="11:40" x14ac:dyDescent="0.2">
      <c r="K537" s="26">
        <v>531</v>
      </c>
      <c r="L537" s="26">
        <f>[1]节奏总纲!AD534</f>
        <v>90.544247116129412</v>
      </c>
      <c r="M537" s="26">
        <f>[1]节奏总纲!AE534</f>
        <v>92.800515264694113</v>
      </c>
      <c r="N537" s="26">
        <f>[1]节奏总纲!AF534</f>
        <v>96.034196976180411</v>
      </c>
      <c r="O537" s="26">
        <f>[1]节奏总纲!AG534</f>
        <v>100.68773976786579</v>
      </c>
      <c r="P537" s="26">
        <f>[1]节奏总纲!AH534</f>
        <v>109.73208562548098</v>
      </c>
      <c r="AI537" s="27">
        <v>531</v>
      </c>
      <c r="AJ537" s="28">
        <f>[1]服务器生态!W552</f>
        <v>12.552147375049705</v>
      </c>
      <c r="AK537" s="28">
        <f>[1]服务器生态!X552</f>
        <v>12.376532250856602</v>
      </c>
      <c r="AL537" s="28">
        <f>[1]服务器生态!Y552</f>
        <v>1.0102999255408365</v>
      </c>
      <c r="AM537" s="28">
        <f>[1]服务器生态!Z552</f>
        <v>0.17973949599551664</v>
      </c>
      <c r="AN537" s="28">
        <f>[1]服务器生态!AA552</f>
        <v>5.200646573979617E-2</v>
      </c>
    </row>
    <row r="538" spans="11:40" x14ac:dyDescent="0.2">
      <c r="K538" s="26">
        <v>532</v>
      </c>
      <c r="L538" s="26">
        <f>[1]节奏总纲!AD535</f>
        <v>90.571459471935881</v>
      </c>
      <c r="M538" s="26">
        <f>[1]节奏总纲!AE535</f>
        <v>92.828400746802245</v>
      </c>
      <c r="N538" s="26">
        <f>[1]节奏总纲!AF535</f>
        <v>96.059851876203226</v>
      </c>
      <c r="O538" s="26">
        <f>[1]节奏总纲!AG535</f>
        <v>100.71793876002627</v>
      </c>
      <c r="P538" s="26">
        <f>[1]节奏总纲!AH535</f>
        <v>109.75828290855281</v>
      </c>
      <c r="AI538" s="27">
        <v>532</v>
      </c>
      <c r="AJ538" s="28">
        <f>[1]服务器生态!W553</f>
        <v>12.468704799906925</v>
      </c>
      <c r="AK538" s="28">
        <f>[1]服务器生态!X553</f>
        <v>12.294257107688514</v>
      </c>
      <c r="AL538" s="28">
        <f>[1]服务器生态!Y553</f>
        <v>1.0035837816863391</v>
      </c>
      <c r="AM538" s="28">
        <f>[1]服务器生态!Z553</f>
        <v>0.17854464654445434</v>
      </c>
      <c r="AN538" s="28">
        <f>[1]服务器生态!AA553</f>
        <v>5.1660743745324596E-2</v>
      </c>
    </row>
    <row r="539" spans="11:40" x14ac:dyDescent="0.2">
      <c r="K539" s="26">
        <v>533</v>
      </c>
      <c r="L539" s="26">
        <f>[1]节奏总纲!AD536</f>
        <v>90.598671827742351</v>
      </c>
      <c r="M539" s="26">
        <f>[1]节奏总纲!AE536</f>
        <v>92.856286228910378</v>
      </c>
      <c r="N539" s="26">
        <f>[1]节奏总纲!AF536</f>
        <v>96.08550677622604</v>
      </c>
      <c r="O539" s="26">
        <f>[1]节奏总纲!AG536</f>
        <v>100.74813775218675</v>
      </c>
      <c r="P539" s="26">
        <f>[1]节奏总纲!AH536</f>
        <v>109.78448019162464</v>
      </c>
      <c r="AI539" s="27">
        <v>533</v>
      </c>
      <c r="AJ539" s="28">
        <f>[1]服务器生态!W554</f>
        <v>12.385262224764144</v>
      </c>
      <c r="AK539" s="28">
        <f>[1]服务器生态!X554</f>
        <v>12.211981964520426</v>
      </c>
      <c r="AL539" s="28">
        <f>[1]服务器生态!Y554</f>
        <v>0.9968676378318414</v>
      </c>
      <c r="AM539" s="28">
        <f>[1]服务器生态!Z554</f>
        <v>0.17734979709339202</v>
      </c>
      <c r="AN539" s="28">
        <f>[1]服务器生态!AA554</f>
        <v>5.1315021750853014E-2</v>
      </c>
    </row>
    <row r="540" spans="11:40" x14ac:dyDescent="0.2">
      <c r="K540" s="26">
        <v>534</v>
      </c>
      <c r="L540" s="26">
        <f>[1]节奏总纲!AD537</f>
        <v>90.62588418354882</v>
      </c>
      <c r="M540" s="26">
        <f>[1]节奏总纲!AE537</f>
        <v>92.88417171101851</v>
      </c>
      <c r="N540" s="26">
        <f>[1]节奏总纲!AF537</f>
        <v>96.111161676248855</v>
      </c>
      <c r="O540" s="26">
        <f>[1]节奏总纲!AG537</f>
        <v>100.77833674434721</v>
      </c>
      <c r="P540" s="26">
        <f>[1]节奏总纲!AH537</f>
        <v>109.81067747469648</v>
      </c>
      <c r="AI540" s="27">
        <v>534</v>
      </c>
      <c r="AJ540" s="28">
        <f>[1]服务器生态!W555</f>
        <v>12.301819649621365</v>
      </c>
      <c r="AK540" s="28">
        <f>[1]服务器生态!X555</f>
        <v>12.12970682135234</v>
      </c>
      <c r="AL540" s="28">
        <f>[1]服务器生态!Y555</f>
        <v>0.99015149397734403</v>
      </c>
      <c r="AM540" s="28">
        <f>[1]服务器生态!Z555</f>
        <v>0.17615494764232972</v>
      </c>
      <c r="AN540" s="28">
        <f>[1]服务器生态!AA555</f>
        <v>5.0969299756381439E-2</v>
      </c>
    </row>
    <row r="541" spans="11:40" x14ac:dyDescent="0.2">
      <c r="K541" s="26">
        <v>535</v>
      </c>
      <c r="L541" s="26">
        <f>[1]节奏总纲!AD538</f>
        <v>90.653096539355289</v>
      </c>
      <c r="M541" s="26">
        <f>[1]节奏总纲!AE538</f>
        <v>92.912057193126657</v>
      </c>
      <c r="N541" s="26">
        <f>[1]节奏总纲!AF538</f>
        <v>96.13681657627167</v>
      </c>
      <c r="O541" s="26">
        <f>[1]节奏总纲!AG538</f>
        <v>100.80853573650769</v>
      </c>
      <c r="P541" s="26">
        <f>[1]节奏总纲!AH538</f>
        <v>109.83687475776831</v>
      </c>
      <c r="AI541" s="27">
        <v>535</v>
      </c>
      <c r="AJ541" s="28">
        <f>[1]服务器生态!W556</f>
        <v>12.218377074478582</v>
      </c>
      <c r="AK541" s="28">
        <f>[1]服务器生态!X556</f>
        <v>12.04743167818425</v>
      </c>
      <c r="AL541" s="28">
        <f>[1]服务器生态!Y556</f>
        <v>0.98343535012284633</v>
      </c>
      <c r="AM541" s="28">
        <f>[1]服务器生态!Z556</f>
        <v>0.17496009819126737</v>
      </c>
      <c r="AN541" s="28">
        <f>[1]服务器生态!AA556</f>
        <v>5.0623577761909851E-2</v>
      </c>
    </row>
    <row r="542" spans="11:40" x14ac:dyDescent="0.2">
      <c r="K542" s="26">
        <v>536</v>
      </c>
      <c r="L542" s="26">
        <f>[1]节奏总纲!AD539</f>
        <v>90.680308895161772</v>
      </c>
      <c r="M542" s="26">
        <f>[1]节奏总纲!AE539</f>
        <v>92.939942675234789</v>
      </c>
      <c r="N542" s="26">
        <f>[1]节奏总纲!AF539</f>
        <v>96.162471476294485</v>
      </c>
      <c r="O542" s="26">
        <f>[1]节奏总纲!AG539</f>
        <v>100.83873472866817</v>
      </c>
      <c r="P542" s="26">
        <f>[1]节奏总纲!AH539</f>
        <v>109.86307204084014</v>
      </c>
      <c r="AI542" s="27">
        <v>536</v>
      </c>
      <c r="AJ542" s="28">
        <f>[1]服务器生态!W557</f>
        <v>12.134934499335802</v>
      </c>
      <c r="AK542" s="28">
        <f>[1]服务器生态!X557</f>
        <v>11.965156535016163</v>
      </c>
      <c r="AL542" s="28">
        <f>[1]服务器生态!Y557</f>
        <v>0.97671920626834896</v>
      </c>
      <c r="AM542" s="28">
        <f>[1]服务器生态!Z557</f>
        <v>0.17376524874020507</v>
      </c>
      <c r="AN542" s="28">
        <f>[1]服务器生态!AA557</f>
        <v>5.0277855767438269E-2</v>
      </c>
    </row>
    <row r="543" spans="11:40" x14ac:dyDescent="0.2">
      <c r="K543" s="26">
        <v>537</v>
      </c>
      <c r="L543" s="26">
        <f>[1]节奏总纲!AD540</f>
        <v>90.707521250968242</v>
      </c>
      <c r="M543" s="26">
        <f>[1]节奏总纲!AE540</f>
        <v>92.967828157342922</v>
      </c>
      <c r="N543" s="26">
        <f>[1]节奏总纲!AF540</f>
        <v>96.188126376317285</v>
      </c>
      <c r="O543" s="26">
        <f>[1]节奏总纲!AG540</f>
        <v>100.86893372082865</v>
      </c>
      <c r="P543" s="26">
        <f>[1]节奏总纲!AH540</f>
        <v>109.88926932391198</v>
      </c>
      <c r="AI543" s="27">
        <v>537</v>
      </c>
      <c r="AJ543" s="28">
        <f>[1]服务器生态!W558</f>
        <v>12.051491924193021</v>
      </c>
      <c r="AK543" s="28">
        <f>[1]服务器生态!X558</f>
        <v>11.882881391848075</v>
      </c>
      <c r="AL543" s="28">
        <f>[1]服务器生态!Y558</f>
        <v>0.97000306241385137</v>
      </c>
      <c r="AM543" s="28">
        <f>[1]服务器生态!Z558</f>
        <v>0.17257039928914272</v>
      </c>
      <c r="AN543" s="28">
        <f>[1]服务器生态!AA558</f>
        <v>4.9932133772966687E-2</v>
      </c>
    </row>
    <row r="544" spans="11:40" x14ac:dyDescent="0.2">
      <c r="K544" s="26">
        <v>538</v>
      </c>
      <c r="L544" s="26">
        <f>[1]节奏总纲!AD541</f>
        <v>90.734733606774711</v>
      </c>
      <c r="M544" s="26">
        <f>[1]节奏总纲!AE541</f>
        <v>92.995713639451054</v>
      </c>
      <c r="N544" s="26">
        <f>[1]节奏总纲!AF541</f>
        <v>96.2137812763401</v>
      </c>
      <c r="O544" s="26">
        <f>[1]节奏总纲!AG541</f>
        <v>100.89913271298911</v>
      </c>
      <c r="P544" s="26">
        <f>[1]节奏总纲!AH541</f>
        <v>109.91546660698381</v>
      </c>
      <c r="AI544" s="27">
        <v>538</v>
      </c>
      <c r="AJ544" s="28">
        <f>[1]服务器生态!W559</f>
        <v>11.968049349050242</v>
      </c>
      <c r="AK544" s="28">
        <f>[1]服务器生态!X559</f>
        <v>11.800606248679987</v>
      </c>
      <c r="AL544" s="28">
        <f>[1]服务器生态!Y559</f>
        <v>0.963286918559354</v>
      </c>
      <c r="AM544" s="28">
        <f>[1]服务器生态!Z559</f>
        <v>0.17137554983808043</v>
      </c>
      <c r="AN544" s="28">
        <f>[1]服务器生态!AA559</f>
        <v>4.9586411778495113E-2</v>
      </c>
    </row>
    <row r="545" spans="11:40" x14ac:dyDescent="0.2">
      <c r="K545" s="26">
        <v>539</v>
      </c>
      <c r="L545" s="26">
        <f>[1]节奏总纲!AD542</f>
        <v>90.76194596258118</v>
      </c>
      <c r="M545" s="26">
        <f>[1]节奏总纲!AE542</f>
        <v>93.022029147756101</v>
      </c>
      <c r="N545" s="26">
        <f>[1]节奏总纲!AF542</f>
        <v>96.239436176362915</v>
      </c>
      <c r="O545" s="26">
        <f>[1]节奏总纲!AG542</f>
        <v>100.92933170514959</v>
      </c>
      <c r="P545" s="26">
        <f>[1]节奏总纲!AH542</f>
        <v>109.94166389005564</v>
      </c>
      <c r="AI545" s="27">
        <v>539</v>
      </c>
      <c r="AJ545" s="28">
        <f>[1]服务器生态!W560</f>
        <v>11.884606773907461</v>
      </c>
      <c r="AK545" s="28">
        <f>[1]服务器生态!X560</f>
        <v>11.718331105511901</v>
      </c>
      <c r="AL545" s="28">
        <f>[1]服务器生态!Y560</f>
        <v>0.95657077470485652</v>
      </c>
      <c r="AM545" s="28">
        <f>[1]服务器生态!Z560</f>
        <v>0.17018070038701813</v>
      </c>
      <c r="AN545" s="28">
        <f>[1]服务器生态!AA560</f>
        <v>4.9240689784023538E-2</v>
      </c>
    </row>
    <row r="546" spans="11:40" x14ac:dyDescent="0.2">
      <c r="K546" s="26">
        <v>540</v>
      </c>
      <c r="L546" s="26">
        <f>[1]节奏总纲!AD543</f>
        <v>90.789158318387649</v>
      </c>
      <c r="M546" s="26">
        <f>[1]节奏总纲!AE543</f>
        <v>93.048059498253238</v>
      </c>
      <c r="N546" s="26">
        <f>[1]节奏总纲!AF543</f>
        <v>96.26509107638573</v>
      </c>
      <c r="O546" s="26">
        <f>[1]节奏总纲!AG543</f>
        <v>100.95953069731007</v>
      </c>
      <c r="P546" s="26">
        <f>[1]节奏总纲!AH543</f>
        <v>109.96786117312747</v>
      </c>
      <c r="AI546" s="27">
        <v>540</v>
      </c>
      <c r="AJ546" s="28">
        <f>[1]服务器生态!W561</f>
        <v>11.801164198764679</v>
      </c>
      <c r="AK546" s="28">
        <f>[1]服务器生态!X561</f>
        <v>11.636055962343812</v>
      </c>
      <c r="AL546" s="28">
        <f>[1]服务器生态!Y561</f>
        <v>0.94985463085035893</v>
      </c>
      <c r="AM546" s="28">
        <f>[1]服务器生态!Z561</f>
        <v>0.16898585093595581</v>
      </c>
      <c r="AN546" s="28">
        <f>[1]服务器生态!AA561</f>
        <v>4.8894967789551956E-2</v>
      </c>
    </row>
    <row r="547" spans="11:40" x14ac:dyDescent="0.2">
      <c r="K547" s="26">
        <v>541</v>
      </c>
      <c r="L547" s="26">
        <f>[1]节奏总纲!AD544</f>
        <v>90.816370674194118</v>
      </c>
      <c r="M547" s="26">
        <f>[1]节奏总纲!AE544</f>
        <v>93.074089848750361</v>
      </c>
      <c r="N547" s="26">
        <f>[1]节奏总纲!AF544</f>
        <v>96.290745976408544</v>
      </c>
      <c r="O547" s="26">
        <f>[1]节奏总纲!AG544</f>
        <v>100.98972968947055</v>
      </c>
      <c r="P547" s="26">
        <f>[1]节奏总纲!AH544</f>
        <v>109.99405845619931</v>
      </c>
      <c r="AI547" s="27">
        <v>541</v>
      </c>
      <c r="AJ547" s="28">
        <f>[1]服务器生态!W562</f>
        <v>11.732324074271888</v>
      </c>
      <c r="AK547" s="28">
        <f>[1]服务器生态!X562</f>
        <v>11.568178969230143</v>
      </c>
      <c r="AL547" s="28">
        <f>[1]服务器生态!Y562</f>
        <v>0.94431381217039867</v>
      </c>
      <c r="AM547" s="28">
        <f>[1]服务器生态!Z562</f>
        <v>0.16800010013882943</v>
      </c>
      <c r="AN547" s="28">
        <f>[1]服务器生态!AA562</f>
        <v>4.8609747144112911E-2</v>
      </c>
    </row>
    <row r="548" spans="11:40" x14ac:dyDescent="0.2">
      <c r="K548" s="26">
        <v>542</v>
      </c>
      <c r="L548" s="26">
        <f>[1]节奏总纲!AD545</f>
        <v>90.843583030000588</v>
      </c>
      <c r="M548" s="26">
        <f>[1]节奏总纲!AE545</f>
        <v>93.100120199247499</v>
      </c>
      <c r="N548" s="26">
        <f>[1]节奏总纲!AF545</f>
        <v>96.316400876431359</v>
      </c>
      <c r="O548" s="26">
        <f>[1]节奏总纲!AG545</f>
        <v>101.01847661905111</v>
      </c>
      <c r="P548" s="26">
        <f>[1]节奏总纲!AH545</f>
        <v>110.01824657079369</v>
      </c>
      <c r="AI548" s="27">
        <v>542</v>
      </c>
      <c r="AJ548" s="28">
        <f>[1]服务器生态!W563</f>
        <v>11.663483949779092</v>
      </c>
      <c r="AK548" s="28">
        <f>[1]服务器生态!X563</f>
        <v>11.500301976116468</v>
      </c>
      <c r="AL548" s="28">
        <f>[1]服务器生态!Y563</f>
        <v>0.93877299349043808</v>
      </c>
      <c r="AM548" s="28">
        <f>[1]服务器生态!Z563</f>
        <v>0.16701434934170298</v>
      </c>
      <c r="AN548" s="28">
        <f>[1]服务器生态!AA563</f>
        <v>4.8324526498673845E-2</v>
      </c>
    </row>
    <row r="549" spans="11:40" x14ac:dyDescent="0.2">
      <c r="K549" s="26">
        <v>543</v>
      </c>
      <c r="L549" s="26">
        <f>[1]节奏总纲!AD546</f>
        <v>90.870795385807057</v>
      </c>
      <c r="M549" s="26">
        <f>[1]节奏总纲!AE546</f>
        <v>93.126150549744622</v>
      </c>
      <c r="N549" s="26">
        <f>[1]节奏总纲!AF546</f>
        <v>96.342055776454174</v>
      </c>
      <c r="O549" s="26">
        <f>[1]节奏总纲!AG546</f>
        <v>101.04647522348506</v>
      </c>
      <c r="P549" s="26">
        <f>[1]节奏总纲!AH546</f>
        <v>110.04184534316006</v>
      </c>
      <c r="AI549" s="27">
        <v>543</v>
      </c>
      <c r="AJ549" s="28">
        <f>[1]服务器生态!W564</f>
        <v>11.594643825286299</v>
      </c>
      <c r="AK549" s="28">
        <f>[1]服务器生态!X564</f>
        <v>11.432424983002797</v>
      </c>
      <c r="AL549" s="28">
        <f>[1]服务器生态!Y564</f>
        <v>0.93323217481047782</v>
      </c>
      <c r="AM549" s="28">
        <f>[1]服务器生态!Z564</f>
        <v>0.16602859854457661</v>
      </c>
      <c r="AN549" s="28">
        <f>[1]服务器生态!AA564</f>
        <v>4.80393058532348E-2</v>
      </c>
    </row>
    <row r="550" spans="11:40" x14ac:dyDescent="0.2">
      <c r="K550" s="26">
        <v>544</v>
      </c>
      <c r="L550" s="26">
        <f>[1]节奏总纲!AD547</f>
        <v>90.898007741613526</v>
      </c>
      <c r="M550" s="26">
        <f>[1]节奏总纲!AE547</f>
        <v>93.15218090024176</v>
      </c>
      <c r="N550" s="26">
        <f>[1]节奏总纲!AF547</f>
        <v>96.367710676476989</v>
      </c>
      <c r="O550" s="26">
        <f>[1]节奏总纲!AG547</f>
        <v>101.07447382791901</v>
      </c>
      <c r="P550" s="26">
        <f>[1]节奏总纲!AH547</f>
        <v>110.06544411552645</v>
      </c>
      <c r="AI550" s="27">
        <v>544</v>
      </c>
      <c r="AJ550" s="28">
        <f>[1]服务器生态!W565</f>
        <v>11.525803700793503</v>
      </c>
      <c r="AK550" s="28">
        <f>[1]服务器生态!X565</f>
        <v>11.364547989889124</v>
      </c>
      <c r="AL550" s="28">
        <f>[1]服务器生态!Y565</f>
        <v>0.92769135613051723</v>
      </c>
      <c r="AM550" s="28">
        <f>[1]服务器生态!Z565</f>
        <v>0.16504284774745018</v>
      </c>
      <c r="AN550" s="28">
        <f>[1]服务器生态!AA565</f>
        <v>4.7754085207795741E-2</v>
      </c>
    </row>
    <row r="551" spans="11:40" x14ac:dyDescent="0.2">
      <c r="K551" s="26">
        <v>545</v>
      </c>
      <c r="L551" s="26">
        <f>[1]节奏总纲!AD548</f>
        <v>90.925220097419995</v>
      </c>
      <c r="M551" s="26">
        <f>[1]节奏总纲!AE548</f>
        <v>93.178211250738883</v>
      </c>
      <c r="N551" s="26">
        <f>[1]节奏总纲!AF548</f>
        <v>96.393365576499804</v>
      </c>
      <c r="O551" s="26">
        <f>[1]节奏总纲!AG548</f>
        <v>101.10247243235294</v>
      </c>
      <c r="P551" s="26">
        <f>[1]节奏总纲!AH548</f>
        <v>110.08904288789283</v>
      </c>
      <c r="AI551" s="27">
        <v>545</v>
      </c>
      <c r="AJ551" s="28">
        <f>[1]服务器生态!W566</f>
        <v>11.45696357630071</v>
      </c>
      <c r="AK551" s="28">
        <f>[1]服务器生态!X566</f>
        <v>11.29667099677545</v>
      </c>
      <c r="AL551" s="28">
        <f>[1]服务器生态!Y566</f>
        <v>0.92215053745055675</v>
      </c>
      <c r="AM551" s="28">
        <f>[1]服务器生态!Z566</f>
        <v>0.16405709695032375</v>
      </c>
      <c r="AN551" s="28">
        <f>[1]服务器生态!AA566</f>
        <v>4.7468864562356688E-2</v>
      </c>
    </row>
    <row r="552" spans="11:40" x14ac:dyDescent="0.2">
      <c r="K552" s="26">
        <v>546</v>
      </c>
      <c r="L552" s="26">
        <f>[1]节奏总纲!AD549</f>
        <v>90.952432453226479</v>
      </c>
      <c r="M552" s="26">
        <f>[1]节奏总纲!AE549</f>
        <v>93.204241601236021</v>
      </c>
      <c r="N552" s="26">
        <f>[1]节奏总纲!AF549</f>
        <v>96.419020476522618</v>
      </c>
      <c r="O552" s="26">
        <f>[1]节奏总纲!AG549</f>
        <v>101.13047103678689</v>
      </c>
      <c r="P552" s="26">
        <f>[1]节奏总纲!AH549</f>
        <v>110.11264166025921</v>
      </c>
      <c r="AI552" s="27">
        <v>546</v>
      </c>
      <c r="AJ552" s="28">
        <f>[1]服务器生态!W567</f>
        <v>11.388123451807918</v>
      </c>
      <c r="AK552" s="28">
        <f>[1]服务器生态!X567</f>
        <v>11.228794003661781</v>
      </c>
      <c r="AL552" s="28">
        <f>[1]服务器生态!Y567</f>
        <v>0.91660971877059649</v>
      </c>
      <c r="AM552" s="28">
        <f>[1]服务器生态!Z567</f>
        <v>0.16307134615319738</v>
      </c>
      <c r="AN552" s="28">
        <f>[1]服务器生态!AA567</f>
        <v>4.7183643916917643E-2</v>
      </c>
    </row>
    <row r="553" spans="11:40" x14ac:dyDescent="0.2">
      <c r="K553" s="26">
        <v>547</v>
      </c>
      <c r="L553" s="26">
        <f>[1]节奏总纲!AD550</f>
        <v>90.979644809032948</v>
      </c>
      <c r="M553" s="26">
        <f>[1]节奏总纲!AE550</f>
        <v>93.230271951733144</v>
      </c>
      <c r="N553" s="26">
        <f>[1]节奏总纲!AF550</f>
        <v>96.444675376545433</v>
      </c>
      <c r="O553" s="26">
        <f>[1]节奏总纲!AG550</f>
        <v>101.15846964122082</v>
      </c>
      <c r="P553" s="26">
        <f>[1]节奏总纲!AH550</f>
        <v>110.1362404326256</v>
      </c>
      <c r="AI553" s="27">
        <v>547</v>
      </c>
      <c r="AJ553" s="28">
        <f>[1]服务器生态!W568</f>
        <v>11.319283327315121</v>
      </c>
      <c r="AK553" s="28">
        <f>[1]服务器生态!X568</f>
        <v>11.160917010548106</v>
      </c>
      <c r="AL553" s="28">
        <f>[1]服务器生态!Y568</f>
        <v>0.9110689000906359</v>
      </c>
      <c r="AM553" s="28">
        <f>[1]服务器生态!Z568</f>
        <v>0.16208559535607095</v>
      </c>
      <c r="AN553" s="28">
        <f>[1]服务器生态!AA568</f>
        <v>4.6898423271478577E-2</v>
      </c>
    </row>
    <row r="554" spans="11:40" x14ac:dyDescent="0.2">
      <c r="K554" s="26">
        <v>548</v>
      </c>
      <c r="L554" s="26">
        <f>[1]节奏总纲!AD551</f>
        <v>91.00639796102358</v>
      </c>
      <c r="M554" s="26">
        <f>[1]节奏总纲!AE551</f>
        <v>93.256302302230281</v>
      </c>
      <c r="N554" s="26">
        <f>[1]节奏总纲!AF551</f>
        <v>96.470330276568248</v>
      </c>
      <c r="O554" s="26">
        <f>[1]节奏总纲!AG551</f>
        <v>101.18646824565477</v>
      </c>
      <c r="P554" s="26">
        <f>[1]节奏总纲!AH551</f>
        <v>110.15983920499198</v>
      </c>
      <c r="AI554" s="27">
        <v>548</v>
      </c>
      <c r="AJ554" s="28">
        <f>[1]服务器生态!W569</f>
        <v>11.250443202822328</v>
      </c>
      <c r="AK554" s="28">
        <f>[1]服务器生态!X569</f>
        <v>11.093040017434436</v>
      </c>
      <c r="AL554" s="28">
        <f>[1]服务器生态!Y569</f>
        <v>0.90552808141067564</v>
      </c>
      <c r="AM554" s="28">
        <f>[1]服务器生态!Z569</f>
        <v>0.16109984455894455</v>
      </c>
      <c r="AN554" s="28">
        <f>[1]服务器生态!AA569</f>
        <v>4.6613202626039532E-2</v>
      </c>
    </row>
    <row r="555" spans="11:40" x14ac:dyDescent="0.2">
      <c r="K555" s="26">
        <v>549</v>
      </c>
      <c r="L555" s="26">
        <f>[1]节奏总纲!AD552</f>
        <v>91.03178798676845</v>
      </c>
      <c r="M555" s="26">
        <f>[1]节奏总纲!AE552</f>
        <v>93.282332652727405</v>
      </c>
      <c r="N555" s="26">
        <f>[1]节奏总纲!AF552</f>
        <v>96.495985176591063</v>
      </c>
      <c r="O555" s="26">
        <f>[1]节奏总纲!AG552</f>
        <v>101.2144668500887</v>
      </c>
      <c r="P555" s="26">
        <f>[1]节奏总纲!AH552</f>
        <v>110.18343797735835</v>
      </c>
      <c r="AI555" s="27">
        <v>549</v>
      </c>
      <c r="AJ555" s="28">
        <f>[1]服务器生态!W570</f>
        <v>11.181603078329534</v>
      </c>
      <c r="AK555" s="28">
        <f>[1]服务器生态!X570</f>
        <v>11.025163024320761</v>
      </c>
      <c r="AL555" s="28">
        <f>[1]服务器生态!Y570</f>
        <v>0.89998726273071505</v>
      </c>
      <c r="AM555" s="28">
        <f>[1]服务器生态!Z570</f>
        <v>0.16011409376181812</v>
      </c>
      <c r="AN555" s="28">
        <f>[1]服务器生态!AA570</f>
        <v>4.6327981980600473E-2</v>
      </c>
    </row>
    <row r="556" spans="11:40" x14ac:dyDescent="0.2">
      <c r="K556" s="26">
        <v>550</v>
      </c>
      <c r="L556" s="26">
        <f>[1]节奏总纲!AD553</f>
        <v>91.057178012513333</v>
      </c>
      <c r="M556" s="26">
        <f>[1]节奏总纲!AE553</f>
        <v>93.308363003224542</v>
      </c>
      <c r="N556" s="26">
        <f>[1]节奏总纲!AF553</f>
        <v>96.521640076613878</v>
      </c>
      <c r="O556" s="26">
        <f>[1]节奏总纲!AG553</f>
        <v>101.24246545452264</v>
      </c>
      <c r="P556" s="26">
        <f>[1]节奏总纲!AH553</f>
        <v>110.20703674972474</v>
      </c>
      <c r="AI556" s="27">
        <v>550</v>
      </c>
      <c r="AJ556" s="28">
        <f>[1]服务器生态!W571</f>
        <v>11.112762953836739</v>
      </c>
      <c r="AK556" s="28">
        <f>[1]服务器生态!X571</f>
        <v>10.95728603120709</v>
      </c>
      <c r="AL556" s="28">
        <f>[1]服务器生态!Y571</f>
        <v>0.89444644405075469</v>
      </c>
      <c r="AM556" s="28">
        <f>[1]服务器生态!Z571</f>
        <v>0.15912834296469169</v>
      </c>
      <c r="AN556" s="28">
        <f>[1]服务器生态!AA571</f>
        <v>4.6042761335161421E-2</v>
      </c>
    </row>
    <row r="557" spans="11:40" x14ac:dyDescent="0.2">
      <c r="K557" s="26">
        <v>551</v>
      </c>
      <c r="L557" s="26">
        <f>[1]节奏总纲!AD554</f>
        <v>91.082568038258202</v>
      </c>
      <c r="M557" s="26">
        <f>[1]节奏总纲!AE554</f>
        <v>93.334393353721666</v>
      </c>
      <c r="N557" s="26">
        <f>[1]节奏总纲!AF554</f>
        <v>96.547294976636692</v>
      </c>
      <c r="O557" s="26">
        <f>[1]节奏总纲!AG554</f>
        <v>101.27046405895658</v>
      </c>
      <c r="P557" s="26">
        <f>[1]节奏总纲!AH554</f>
        <v>110.23063552209112</v>
      </c>
      <c r="AI557" s="27">
        <v>551</v>
      </c>
      <c r="AJ557" s="28">
        <f>[1]服务器生态!W572</f>
        <v>11.043922829343947</v>
      </c>
      <c r="AK557" s="28">
        <f>[1]服务器生态!X572</f>
        <v>10.889409038093419</v>
      </c>
      <c r="AL557" s="28">
        <f>[1]服务器生态!Y572</f>
        <v>0.88890562537079432</v>
      </c>
      <c r="AM557" s="28">
        <f>[1]服务器生态!Z572</f>
        <v>0.15814259216756532</v>
      </c>
      <c r="AN557" s="28">
        <f>[1]服务器生态!AA572</f>
        <v>4.5757540689722376E-2</v>
      </c>
    </row>
    <row r="558" spans="11:40" x14ac:dyDescent="0.2">
      <c r="K558" s="26">
        <v>552</v>
      </c>
      <c r="L558" s="26">
        <f>[1]节奏总纲!AD555</f>
        <v>91.107958064003085</v>
      </c>
      <c r="M558" s="26">
        <f>[1]节奏总纲!AE555</f>
        <v>93.360423704218803</v>
      </c>
      <c r="N558" s="26">
        <f>[1]节奏总纲!AF555</f>
        <v>96.572949876659507</v>
      </c>
      <c r="O558" s="26">
        <f>[1]节奏总纲!AG555</f>
        <v>101.29846266339052</v>
      </c>
      <c r="P558" s="26">
        <f>[1]节奏总纲!AH555</f>
        <v>110.2542342944575</v>
      </c>
      <c r="AI558" s="27">
        <v>552</v>
      </c>
      <c r="AJ558" s="28">
        <f>[1]服务器生态!W573</f>
        <v>10.97508270485115</v>
      </c>
      <c r="AK558" s="28">
        <f>[1]服务器生态!X573</f>
        <v>10.821532044979744</v>
      </c>
      <c r="AL558" s="28">
        <f>[1]服务器生态!Y573</f>
        <v>0.88336480669083373</v>
      </c>
      <c r="AM558" s="28">
        <f>[1]服务器生态!Z573</f>
        <v>0.15715684137043889</v>
      </c>
      <c r="AN558" s="28">
        <f>[1]服务器生态!AA573</f>
        <v>4.547232004428331E-2</v>
      </c>
    </row>
    <row r="559" spans="11:40" x14ac:dyDescent="0.2">
      <c r="K559" s="26">
        <v>553</v>
      </c>
      <c r="L559" s="26">
        <f>[1]节奏总纲!AD556</f>
        <v>91.133348089747955</v>
      </c>
      <c r="M559" s="26">
        <f>[1]节奏总纲!AE556</f>
        <v>93.386454054715927</v>
      </c>
      <c r="N559" s="26">
        <f>[1]节奏总纲!AF556</f>
        <v>96.598604776682308</v>
      </c>
      <c r="O559" s="26">
        <f>[1]节奏总纲!AG556</f>
        <v>101.32646126782446</v>
      </c>
      <c r="P559" s="26">
        <f>[1]节奏总纲!AH556</f>
        <v>110.27783306682389</v>
      </c>
      <c r="AI559" s="27">
        <v>553</v>
      </c>
      <c r="AJ559" s="28">
        <f>[1]服务器生态!W574</f>
        <v>10.906242580358359</v>
      </c>
      <c r="AK559" s="28">
        <f>[1]服务器生态!X574</f>
        <v>10.753655051866074</v>
      </c>
      <c r="AL559" s="28">
        <f>[1]服务器生态!Y574</f>
        <v>0.87782398801087347</v>
      </c>
      <c r="AM559" s="28">
        <f>[1]服务器生态!Z574</f>
        <v>0.15617109057331249</v>
      </c>
      <c r="AN559" s="28">
        <f>[1]服务器生态!AA574</f>
        <v>4.5187099398844265E-2</v>
      </c>
    </row>
    <row r="560" spans="11:40" x14ac:dyDescent="0.2">
      <c r="K560" s="26">
        <v>554</v>
      </c>
      <c r="L560" s="26">
        <f>[1]节奏总纲!AD557</f>
        <v>91.158738115492838</v>
      </c>
      <c r="M560" s="26">
        <f>[1]节奏总纲!AE557</f>
        <v>93.412484405213064</v>
      </c>
      <c r="N560" s="26">
        <f>[1]节奏总纲!AF557</f>
        <v>96.624259676705123</v>
      </c>
      <c r="O560" s="26">
        <f>[1]节奏总纲!AG557</f>
        <v>101.3544598722584</v>
      </c>
      <c r="P560" s="26">
        <f>[1]节奏总纲!AH557</f>
        <v>110.30143183919027</v>
      </c>
      <c r="AI560" s="27">
        <v>554</v>
      </c>
      <c r="AJ560" s="28">
        <f>[1]服务器生态!W575</f>
        <v>10.837402455865563</v>
      </c>
      <c r="AK560" s="28">
        <f>[1]服务器生态!X575</f>
        <v>10.685778058752399</v>
      </c>
      <c r="AL560" s="28">
        <f>[1]服务器生态!Y575</f>
        <v>0.87228316933091288</v>
      </c>
      <c r="AM560" s="28">
        <f>[1]服务器生态!Z575</f>
        <v>0.15518533977618607</v>
      </c>
      <c r="AN560" s="28">
        <f>[1]服务器生态!AA575</f>
        <v>4.4901878753405206E-2</v>
      </c>
    </row>
    <row r="561" spans="11:40" x14ac:dyDescent="0.2">
      <c r="K561" s="26">
        <v>555</v>
      </c>
      <c r="L561" s="26">
        <f>[1]节奏总纲!AD558</f>
        <v>91.184128141237707</v>
      </c>
      <c r="M561" s="26">
        <f>[1]节奏总纲!AE558</f>
        <v>93.438514755710202</v>
      </c>
      <c r="N561" s="26">
        <f>[1]节奏总纲!AF558</f>
        <v>96.649914576727937</v>
      </c>
      <c r="O561" s="26">
        <f>[1]节奏总纲!AG558</f>
        <v>101.38245847669234</v>
      </c>
      <c r="P561" s="26">
        <f>[1]节奏总纲!AH558</f>
        <v>110.32503061155664</v>
      </c>
      <c r="AI561" s="27">
        <v>555</v>
      </c>
      <c r="AJ561" s="28">
        <f>[1]服务器生态!W576</f>
        <v>10.76856233137277</v>
      </c>
      <c r="AK561" s="28">
        <f>[1]服务器生态!X576</f>
        <v>10.61790106563873</v>
      </c>
      <c r="AL561" s="28">
        <f>[1]服务器生态!Y576</f>
        <v>0.86674235065095262</v>
      </c>
      <c r="AM561" s="28">
        <f>[1]服务器生态!Z576</f>
        <v>0.15419958897905967</v>
      </c>
      <c r="AN561" s="28">
        <f>[1]服务器生态!AA576</f>
        <v>4.461665810796616E-2</v>
      </c>
    </row>
    <row r="562" spans="11:40" x14ac:dyDescent="0.2">
      <c r="K562" s="26">
        <v>556</v>
      </c>
      <c r="L562" s="26">
        <f>[1]节奏总纲!AD559</f>
        <v>91.209518166982591</v>
      </c>
      <c r="M562" s="26">
        <f>[1]节奏总纲!AE559</f>
        <v>93.464545106207325</v>
      </c>
      <c r="N562" s="26">
        <f>[1]节奏总纲!AF559</f>
        <v>96.675569476750752</v>
      </c>
      <c r="O562" s="26">
        <f>[1]节奏总纲!AG559</f>
        <v>101.41045708112628</v>
      </c>
      <c r="P562" s="26">
        <f>[1]节奏总纲!AH559</f>
        <v>110.34862938392303</v>
      </c>
      <c r="AI562" s="27">
        <v>556</v>
      </c>
      <c r="AJ562" s="28">
        <f>[1]服务器生态!W577</f>
        <v>10.699722206879976</v>
      </c>
      <c r="AK562" s="28">
        <f>[1]服务器生态!X577</f>
        <v>10.550024072525057</v>
      </c>
      <c r="AL562" s="28">
        <f>[1]服务器生态!Y577</f>
        <v>0.86120153197099214</v>
      </c>
      <c r="AM562" s="28">
        <f>[1]服务器生态!Z577</f>
        <v>0.15321383818193327</v>
      </c>
      <c r="AN562" s="28">
        <f>[1]服务器生态!AA577</f>
        <v>4.4331437462527108E-2</v>
      </c>
    </row>
    <row r="563" spans="11:40" x14ac:dyDescent="0.2">
      <c r="K563" s="26">
        <v>557</v>
      </c>
      <c r="L563" s="26">
        <f>[1]节奏总纲!AD560</f>
        <v>91.23490819272746</v>
      </c>
      <c r="M563" s="26">
        <f>[1]节奏总纲!AE560</f>
        <v>93.490575456704462</v>
      </c>
      <c r="N563" s="26">
        <f>[1]节奏总纲!AF560</f>
        <v>96.701224376773567</v>
      </c>
      <c r="O563" s="26">
        <f>[1]节奏总纲!AG560</f>
        <v>101.43845568556021</v>
      </c>
      <c r="P563" s="26">
        <f>[1]节奏总纲!AH560</f>
        <v>110.37222815628941</v>
      </c>
      <c r="AI563" s="27">
        <v>557</v>
      </c>
      <c r="AJ563" s="28">
        <f>[1]服务器生态!W578</f>
        <v>10.630882082387181</v>
      </c>
      <c r="AK563" s="28">
        <f>[1]服务器生态!X578</f>
        <v>10.482147079411384</v>
      </c>
      <c r="AL563" s="28">
        <f>[1]服务器生态!Y578</f>
        <v>0.85566071329103155</v>
      </c>
      <c r="AM563" s="28">
        <f>[1]服务器生态!Z578</f>
        <v>0.15222808738480684</v>
      </c>
      <c r="AN563" s="28">
        <f>[1]服务器生态!AA578</f>
        <v>4.4046216817088042E-2</v>
      </c>
    </row>
    <row r="564" spans="11:40" x14ac:dyDescent="0.2">
      <c r="K564" s="26">
        <v>558</v>
      </c>
      <c r="L564" s="26">
        <f>[1]节奏总纲!AD561</f>
        <v>91.260298218472343</v>
      </c>
      <c r="M564" s="26">
        <f>[1]节奏总纲!AE561</f>
        <v>93.516605807201586</v>
      </c>
      <c r="N564" s="26">
        <f>[1]节奏总纲!AF561</f>
        <v>96.726879276796382</v>
      </c>
      <c r="O564" s="26">
        <f>[1]节奏总纲!AG561</f>
        <v>101.46645428999416</v>
      </c>
      <c r="P564" s="26">
        <f>[1]节奏总纲!AH561</f>
        <v>110.39582692865579</v>
      </c>
      <c r="AI564" s="27">
        <v>558</v>
      </c>
      <c r="AJ564" s="28">
        <f>[1]服务器生态!W579</f>
        <v>10.562041957894388</v>
      </c>
      <c r="AK564" s="28">
        <f>[1]服务器生态!X579</f>
        <v>10.414270086297712</v>
      </c>
      <c r="AL564" s="28">
        <f>[1]服务器生态!Y579</f>
        <v>0.85011989461107129</v>
      </c>
      <c r="AM564" s="28">
        <f>[1]服务器生态!Z579</f>
        <v>0.15124233658768044</v>
      </c>
      <c r="AN564" s="28">
        <f>[1]服务器生态!AA579</f>
        <v>4.3760996171648997E-2</v>
      </c>
    </row>
    <row r="565" spans="11:40" x14ac:dyDescent="0.2">
      <c r="K565" s="26">
        <v>559</v>
      </c>
      <c r="L565" s="26">
        <f>[1]节奏总纲!AD562</f>
        <v>91.285688244217212</v>
      </c>
      <c r="M565" s="26">
        <f>[1]节奏总纲!AE562</f>
        <v>93.542636157698723</v>
      </c>
      <c r="N565" s="26">
        <f>[1]节奏总纲!AF562</f>
        <v>96.752534176819196</v>
      </c>
      <c r="O565" s="26">
        <f>[1]节奏总纲!AG562</f>
        <v>101.49445289442811</v>
      </c>
      <c r="P565" s="26">
        <f>[1]节奏总纲!AH562</f>
        <v>110.41942570102218</v>
      </c>
      <c r="AI565" s="27">
        <v>559</v>
      </c>
      <c r="AJ565" s="28">
        <f>[1]服务器生态!W580</f>
        <v>10.493201833401592</v>
      </c>
      <c r="AK565" s="28">
        <f>[1]服务器生态!X580</f>
        <v>10.346393093184039</v>
      </c>
      <c r="AL565" s="28">
        <f>[1]服务器生态!Y580</f>
        <v>0.8445790759311107</v>
      </c>
      <c r="AM565" s="28">
        <f>[1]服务器生态!Z580</f>
        <v>0.15025658579055401</v>
      </c>
      <c r="AN565" s="28">
        <f>[1]服务器生态!AA580</f>
        <v>4.3475775526209938E-2</v>
      </c>
    </row>
    <row r="566" spans="11:40" x14ac:dyDescent="0.2">
      <c r="K566" s="26">
        <v>560</v>
      </c>
      <c r="L566" s="26">
        <f>[1]节奏总纲!AD563</f>
        <v>91.311078269962081</v>
      </c>
      <c r="M566" s="26">
        <f>[1]节奏总纲!AE563</f>
        <v>93.568666508195847</v>
      </c>
      <c r="N566" s="26">
        <f>[1]节奏总纲!AF563</f>
        <v>96.778189076842011</v>
      </c>
      <c r="O566" s="26">
        <f>[1]节奏总纲!AG563</f>
        <v>101.52245149886204</v>
      </c>
      <c r="P566" s="26">
        <f>[1]节奏总纲!AH563</f>
        <v>110.44302447338856</v>
      </c>
      <c r="AI566" s="27">
        <v>560</v>
      </c>
      <c r="AJ566" s="28">
        <f>[1]服务器生态!W581</f>
        <v>10.424361708908801</v>
      </c>
      <c r="AK566" s="28">
        <f>[1]服务器生态!X581</f>
        <v>10.278516100070368</v>
      </c>
      <c r="AL566" s="28">
        <f>[1]服务器生态!Y581</f>
        <v>0.83903825725115044</v>
      </c>
      <c r="AM566" s="28">
        <f>[1]服务器生态!Z581</f>
        <v>0.14927083499342764</v>
      </c>
      <c r="AN566" s="28">
        <f>[1]服务器生态!AA581</f>
        <v>4.3190554880770893E-2</v>
      </c>
    </row>
    <row r="567" spans="11:40" x14ac:dyDescent="0.2">
      <c r="K567" s="26">
        <v>561</v>
      </c>
      <c r="L567" s="26">
        <f>[1]节奏总纲!AD564</f>
        <v>91.336468295706965</v>
      </c>
      <c r="M567" s="26">
        <f>[1]节奏总纲!AE564</f>
        <v>93.594696858692984</v>
      </c>
      <c r="N567" s="26">
        <f>[1]节奏总纲!AF564</f>
        <v>96.803843976864826</v>
      </c>
      <c r="O567" s="26">
        <f>[1]节奏总纲!AG564</f>
        <v>101.55045010329599</v>
      </c>
      <c r="P567" s="26">
        <f>[1]节奏总纲!AH564</f>
        <v>110.46662324575493</v>
      </c>
      <c r="AI567" s="27">
        <v>561</v>
      </c>
      <c r="AJ567" s="28">
        <f>[1]服务器生态!W582</f>
        <v>10.355521584416007</v>
      </c>
      <c r="AK567" s="28">
        <f>[1]服务器生态!X582</f>
        <v>10.210639106956695</v>
      </c>
      <c r="AL567" s="28">
        <f>[1]服务器生态!Y582</f>
        <v>0.83349743857118996</v>
      </c>
      <c r="AM567" s="28">
        <f>[1]服务器生态!Z582</f>
        <v>0.14828508419630121</v>
      </c>
      <c r="AN567" s="28">
        <f>[1]服务器生态!AA582</f>
        <v>4.2905334235331841E-2</v>
      </c>
    </row>
    <row r="568" spans="11:40" x14ac:dyDescent="0.2">
      <c r="K568" s="26">
        <v>562</v>
      </c>
      <c r="L568" s="26">
        <f>[1]节奏总纲!AD565</f>
        <v>91.361858321451834</v>
      </c>
      <c r="M568" s="26">
        <f>[1]节奏总纲!AE565</f>
        <v>93.620727209190107</v>
      </c>
      <c r="N568" s="26">
        <f>[1]节奏总纲!AF565</f>
        <v>96.829498876887641</v>
      </c>
      <c r="O568" s="26">
        <f>[1]节奏总纲!AG565</f>
        <v>101.57844870772992</v>
      </c>
      <c r="P568" s="26">
        <f>[1]节奏总纲!AH565</f>
        <v>110.49022201812132</v>
      </c>
      <c r="AI568" s="27">
        <v>562</v>
      </c>
      <c r="AJ568" s="28">
        <f>[1]服务器生态!W583</f>
        <v>10.286681459923212</v>
      </c>
      <c r="AK568" s="28">
        <f>[1]服务器生态!X583</f>
        <v>10.142762113843023</v>
      </c>
      <c r="AL568" s="28">
        <f>[1]服务器生态!Y583</f>
        <v>0.82795661989122959</v>
      </c>
      <c r="AM568" s="28">
        <f>[1]服务器生态!Z583</f>
        <v>0.14729933339917481</v>
      </c>
      <c r="AN568" s="28">
        <f>[1]服务器生态!AA583</f>
        <v>4.2620113589892789E-2</v>
      </c>
    </row>
    <row r="569" spans="11:40" x14ac:dyDescent="0.2">
      <c r="K569" s="26">
        <v>563</v>
      </c>
      <c r="L569" s="26">
        <f>[1]节奏总纲!AD566</f>
        <v>91.387248347196717</v>
      </c>
      <c r="M569" s="26">
        <f>[1]节奏总纲!AE566</f>
        <v>93.646757559687245</v>
      </c>
      <c r="N569" s="26">
        <f>[1]节奏总纲!AF566</f>
        <v>96.855153776910456</v>
      </c>
      <c r="O569" s="26">
        <f>[1]节奏总纲!AG566</f>
        <v>101.60644731216387</v>
      </c>
      <c r="P569" s="26">
        <f>[1]节奏总纲!AH566</f>
        <v>110.5138207904877</v>
      </c>
      <c r="AI569" s="27">
        <v>563</v>
      </c>
      <c r="AJ569" s="28">
        <f>[1]服务器生态!W584</f>
        <v>10.217841335430418</v>
      </c>
      <c r="AK569" s="28">
        <f>[1]服务器生态!X584</f>
        <v>10.07488512072935</v>
      </c>
      <c r="AL569" s="28">
        <f>[1]服务器生态!Y584</f>
        <v>0.82241580121126912</v>
      </c>
      <c r="AM569" s="28">
        <f>[1]服务器生态!Z584</f>
        <v>0.14631358260204841</v>
      </c>
      <c r="AN569" s="28">
        <f>[1]服务器生态!AA584</f>
        <v>4.2334892944453729E-2</v>
      </c>
    </row>
    <row r="570" spans="11:40" x14ac:dyDescent="0.2">
      <c r="K570" s="26">
        <v>564</v>
      </c>
      <c r="L570" s="26">
        <f>[1]节奏总纲!AD567</f>
        <v>91.412638372941586</v>
      </c>
      <c r="M570" s="26">
        <f>[1]节奏总纲!AE567</f>
        <v>93.672787910184368</v>
      </c>
      <c r="N570" s="26">
        <f>[1]节奏总纲!AF567</f>
        <v>96.88080867693327</v>
      </c>
      <c r="O570" s="26">
        <f>[1]节奏总纲!AG567</f>
        <v>101.6344459165978</v>
      </c>
      <c r="P570" s="26">
        <f>[1]节奏总纲!AH567</f>
        <v>110.53741956285408</v>
      </c>
      <c r="AI570" s="27">
        <v>564</v>
      </c>
      <c r="AJ570" s="28">
        <f>[1]服务器生态!W585</f>
        <v>10.149001210937627</v>
      </c>
      <c r="AK570" s="28">
        <f>[1]服务器生态!X585</f>
        <v>10.007008127615681</v>
      </c>
      <c r="AL570" s="28">
        <f>[1]服务器生态!Y585</f>
        <v>0.81687498253130886</v>
      </c>
      <c r="AM570" s="28">
        <f>[1]服务器生态!Z585</f>
        <v>0.14532783180492201</v>
      </c>
      <c r="AN570" s="28">
        <f>[1]服务器生态!AA585</f>
        <v>4.2049672299014684E-2</v>
      </c>
    </row>
    <row r="571" spans="11:40" x14ac:dyDescent="0.2">
      <c r="K571" s="26">
        <v>565</v>
      </c>
      <c r="L571" s="26">
        <f>[1]节奏总纲!AD568</f>
        <v>91.43802839868647</v>
      </c>
      <c r="M571" s="26">
        <f>[1]节奏总纲!AE568</f>
        <v>93.698818260681506</v>
      </c>
      <c r="N571" s="26">
        <f>[1]节奏总纲!AF568</f>
        <v>96.906463576956085</v>
      </c>
      <c r="O571" s="26">
        <f>[1]节奏总纲!AG568</f>
        <v>101.66244452103174</v>
      </c>
      <c r="P571" s="26">
        <f>[1]节奏总纲!AH568</f>
        <v>110.56101833522047</v>
      </c>
      <c r="AI571" s="27">
        <v>565</v>
      </c>
      <c r="AJ571" s="28">
        <f>[1]服务器生态!W586</f>
        <v>10.08016108644483</v>
      </c>
      <c r="AK571" s="28">
        <f>[1]服务器生态!X586</f>
        <v>9.9391311345020057</v>
      </c>
      <c r="AL571" s="28">
        <f>[1]服务器生态!Y586</f>
        <v>0.81133416385134827</v>
      </c>
      <c r="AM571" s="28">
        <f>[1]服务器生态!Z586</f>
        <v>0.14434208100779558</v>
      </c>
      <c r="AN571" s="28">
        <f>[1]服务器生态!AA586</f>
        <v>4.1764451653575625E-2</v>
      </c>
    </row>
    <row r="572" spans="11:40" x14ac:dyDescent="0.2">
      <c r="K572" s="26">
        <v>566</v>
      </c>
      <c r="L572" s="26">
        <f>[1]节奏总纲!AD569</f>
        <v>91.463418424431339</v>
      </c>
      <c r="M572" s="26">
        <f>[1]节奏总纲!AE569</f>
        <v>93.724848611178629</v>
      </c>
      <c r="N572" s="26">
        <f>[1]节奏总纲!AF569</f>
        <v>96.9321184769789</v>
      </c>
      <c r="O572" s="26">
        <f>[1]节奏总纲!AG569</f>
        <v>101.69044312546568</v>
      </c>
      <c r="P572" s="26">
        <f>[1]节奏总纲!AH569</f>
        <v>110.58461710758685</v>
      </c>
      <c r="AI572" s="27">
        <v>566</v>
      </c>
      <c r="AJ572" s="28">
        <f>[1]服务器生态!W587</f>
        <v>10.011320961952036</v>
      </c>
      <c r="AK572" s="28">
        <f>[1]服务器生态!X587</f>
        <v>9.8712541413883343</v>
      </c>
      <c r="AL572" s="28">
        <f>[1]服务器生态!Y587</f>
        <v>0.80579334517138779</v>
      </c>
      <c r="AM572" s="28">
        <f>[1]服务器生态!Z587</f>
        <v>0.14335633021066915</v>
      </c>
      <c r="AN572" s="28">
        <f>[1]服务器生态!AA587</f>
        <v>4.1479231008136573E-2</v>
      </c>
    </row>
    <row r="573" spans="11:40" x14ac:dyDescent="0.2">
      <c r="K573" s="26">
        <v>567</v>
      </c>
      <c r="L573" s="26">
        <f>[1]节奏总纲!AD570</f>
        <v>91.488808450176222</v>
      </c>
      <c r="M573" s="26">
        <f>[1]节奏总纲!AE570</f>
        <v>93.750878961675767</v>
      </c>
      <c r="N573" s="26">
        <f>[1]节奏总纲!AF570</f>
        <v>96.957773377001715</v>
      </c>
      <c r="O573" s="26">
        <f>[1]节奏总纲!AG570</f>
        <v>101.71844172989962</v>
      </c>
      <c r="P573" s="26">
        <f>[1]节奏总纲!AH570</f>
        <v>110.60821587995322</v>
      </c>
      <c r="AI573" s="27">
        <v>567</v>
      </c>
      <c r="AJ573" s="28">
        <f>[1]服务器生态!W588</f>
        <v>9.9424808374592413</v>
      </c>
      <c r="AK573" s="28">
        <f>[1]服务器生态!X588</f>
        <v>9.8033771482746612</v>
      </c>
      <c r="AL573" s="28">
        <f>[1]服务器生态!Y588</f>
        <v>0.80025252649142742</v>
      </c>
      <c r="AM573" s="28">
        <f>[1]服务器生态!Z588</f>
        <v>0.14237057941354275</v>
      </c>
      <c r="AN573" s="28">
        <f>[1]服务器生态!AA588</f>
        <v>4.1194010362697521E-2</v>
      </c>
    </row>
    <row r="574" spans="11:40" x14ac:dyDescent="0.2">
      <c r="K574" s="26">
        <v>568</v>
      </c>
      <c r="L574" s="26">
        <f>[1]节奏总纲!AD571</f>
        <v>91.514198475921091</v>
      </c>
      <c r="M574" s="26">
        <f>[1]节奏总纲!AE571</f>
        <v>93.77690931217289</v>
      </c>
      <c r="N574" s="26">
        <f>[1]节奏总纲!AF571</f>
        <v>96.983428277024515</v>
      </c>
      <c r="O574" s="26">
        <f>[1]节奏总纲!AG571</f>
        <v>101.74644033433356</v>
      </c>
      <c r="P574" s="26">
        <f>[1]节奏总纲!AH571</f>
        <v>110.6318146523196</v>
      </c>
      <c r="AI574" s="27">
        <v>568</v>
      </c>
      <c r="AJ574" s="28">
        <f>[1]服务器生态!W589</f>
        <v>9.8736407129664485</v>
      </c>
      <c r="AK574" s="28">
        <f>[1]服务器生态!X589</f>
        <v>9.7355001551609899</v>
      </c>
      <c r="AL574" s="28">
        <f>[1]服务器生态!Y589</f>
        <v>0.79471170781146694</v>
      </c>
      <c r="AM574" s="28">
        <f>[1]服务器生态!Z589</f>
        <v>0.14138482861641635</v>
      </c>
      <c r="AN574" s="28">
        <f>[1]服务器生态!AA589</f>
        <v>4.0908789717258462E-2</v>
      </c>
    </row>
    <row r="575" spans="11:40" x14ac:dyDescent="0.2">
      <c r="K575" s="26">
        <v>569</v>
      </c>
      <c r="L575" s="26">
        <f>[1]节奏总纲!AD572</f>
        <v>91.539588501665975</v>
      </c>
      <c r="M575" s="26">
        <f>[1]节奏总纲!AE572</f>
        <v>93.802939662670028</v>
      </c>
      <c r="N575" s="26">
        <f>[1]节奏总纲!AF572</f>
        <v>97.008116148780459</v>
      </c>
      <c r="O575" s="26">
        <f>[1]节奏总纲!AG572</f>
        <v>101.7744389387675</v>
      </c>
      <c r="P575" s="26">
        <f>[1]节奏总纲!AH572</f>
        <v>110.65541342468599</v>
      </c>
      <c r="AI575" s="27">
        <v>569</v>
      </c>
      <c r="AJ575" s="28">
        <f>[1]服务器生态!W590</f>
        <v>9.8048005884736522</v>
      </c>
      <c r="AK575" s="28">
        <f>[1]服务器生态!X590</f>
        <v>9.667623162047315</v>
      </c>
      <c r="AL575" s="28">
        <f>[1]服务器生态!Y590</f>
        <v>0.78917088913150635</v>
      </c>
      <c r="AM575" s="28">
        <f>[1]服务器生态!Z590</f>
        <v>0.14039907781928992</v>
      </c>
      <c r="AN575" s="28">
        <f>[1]服务器生态!AA590</f>
        <v>4.0623569071819403E-2</v>
      </c>
    </row>
    <row r="576" spans="11:40" x14ac:dyDescent="0.2">
      <c r="K576" s="26">
        <v>570</v>
      </c>
      <c r="L576" s="26">
        <f>[1]节奏总纲!AD573</f>
        <v>91.564978527410844</v>
      </c>
      <c r="M576" s="26">
        <f>[1]节奏总纲!AE573</f>
        <v>93.828970013167151</v>
      </c>
      <c r="N576" s="26">
        <f>[1]节奏总纲!AF573</f>
        <v>97.031039734266869</v>
      </c>
      <c r="O576" s="26">
        <f>[1]节奏总纲!AG573</f>
        <v>101.80243754320144</v>
      </c>
      <c r="P576" s="26">
        <f>[1]节奏总纲!AH573</f>
        <v>110.67901219705237</v>
      </c>
      <c r="AI576" s="27">
        <v>570</v>
      </c>
      <c r="AJ576" s="28">
        <f>[1]服务器生态!W591</f>
        <v>9.7359604639808595</v>
      </c>
      <c r="AK576" s="28">
        <f>[1]服务器生态!X591</f>
        <v>9.5997461689336436</v>
      </c>
      <c r="AL576" s="28">
        <f>[1]服务器生态!Y591</f>
        <v>0.78363007045154609</v>
      </c>
      <c r="AM576" s="28">
        <f>[1]服务器生态!Z591</f>
        <v>0.13941332702216352</v>
      </c>
      <c r="AN576" s="28">
        <f>[1]服务器生态!AA591</f>
        <v>4.0338348426380358E-2</v>
      </c>
    </row>
    <row r="577" spans="11:40" x14ac:dyDescent="0.2">
      <c r="K577" s="26">
        <v>571</v>
      </c>
      <c r="L577" s="26">
        <f>[1]节奏总纲!AD574</f>
        <v>91.590368553155713</v>
      </c>
      <c r="M577" s="26">
        <f>[1]节奏总纲!AE574</f>
        <v>93.855000363664288</v>
      </c>
      <c r="N577" s="26">
        <f>[1]节奏总纲!AF574</f>
        <v>97.053963319753294</v>
      </c>
      <c r="O577" s="26">
        <f>[1]节奏总纲!AG574</f>
        <v>101.83043614763538</v>
      </c>
      <c r="P577" s="26">
        <f>[1]节奏总纲!AH574</f>
        <v>110.70261096941876</v>
      </c>
      <c r="AI577" s="27">
        <v>571</v>
      </c>
      <c r="AJ577" s="28">
        <f>[1]服务器生态!W592</f>
        <v>9.6791673612743061</v>
      </c>
      <c r="AK577" s="28">
        <f>[1]服务器生态!X592</f>
        <v>9.5437476496148648</v>
      </c>
      <c r="AL577" s="28">
        <f>[1]服务器生态!Y592</f>
        <v>0.77905889504057879</v>
      </c>
      <c r="AM577" s="28">
        <f>[1]服务器生态!Z592</f>
        <v>0.13860008261453424</v>
      </c>
      <c r="AN577" s="28">
        <f>[1]服务器生态!AA592</f>
        <v>4.0103041393893139E-2</v>
      </c>
    </row>
    <row r="578" spans="11:40" x14ac:dyDescent="0.2">
      <c r="K578" s="26">
        <v>572</v>
      </c>
      <c r="L578" s="26">
        <f>[1]节奏总纲!AD575</f>
        <v>91.615758578900596</v>
      </c>
      <c r="M578" s="26">
        <f>[1]节奏总纲!AE575</f>
        <v>93.881030714161426</v>
      </c>
      <c r="N578" s="26">
        <f>[1]节奏总纲!AF575</f>
        <v>97.076886905239704</v>
      </c>
      <c r="O578" s="26">
        <f>[1]节奏总纲!AG575</f>
        <v>101.85843475206931</v>
      </c>
      <c r="P578" s="26">
        <f>[1]节奏总纲!AH575</f>
        <v>110.72620974178514</v>
      </c>
      <c r="AI578" s="27">
        <v>572</v>
      </c>
      <c r="AJ578" s="28">
        <f>[1]服务器生态!W593</f>
        <v>9.6223742585677492</v>
      </c>
      <c r="AK578" s="28">
        <f>[1]服务器生态!X593</f>
        <v>9.4877491302960841</v>
      </c>
      <c r="AL578" s="28">
        <f>[1]服务器生态!Y593</f>
        <v>0.77448771962961127</v>
      </c>
      <c r="AM578" s="28">
        <f>[1]服务器生态!Z593</f>
        <v>0.13778683820690493</v>
      </c>
      <c r="AN578" s="28">
        <f>[1]服务器生态!AA593</f>
        <v>3.9867734361405914E-2</v>
      </c>
    </row>
    <row r="579" spans="11:40" x14ac:dyDescent="0.2">
      <c r="K579" s="26">
        <v>573</v>
      </c>
      <c r="L579" s="26">
        <f>[1]节奏总纲!AD576</f>
        <v>91.641148604645466</v>
      </c>
      <c r="M579" s="26">
        <f>[1]节奏总纲!AE576</f>
        <v>93.907061064658549</v>
      </c>
      <c r="N579" s="26">
        <f>[1]节奏总纲!AF576</f>
        <v>97.099810490726114</v>
      </c>
      <c r="O579" s="26">
        <f>[1]节奏总纲!AG576</f>
        <v>101.88643335650326</v>
      </c>
      <c r="P579" s="26">
        <f>[1]节奏总纲!AH576</f>
        <v>110.74980851415151</v>
      </c>
      <c r="AI579" s="27">
        <v>573</v>
      </c>
      <c r="AJ579" s="28">
        <f>[1]服务器生态!W594</f>
        <v>9.5655811558611941</v>
      </c>
      <c r="AK579" s="28">
        <f>[1]服务器生态!X594</f>
        <v>9.4317506109773053</v>
      </c>
      <c r="AL579" s="28">
        <f>[1]服务器生态!Y594</f>
        <v>0.76991654421864397</v>
      </c>
      <c r="AM579" s="28">
        <f>[1]服务器生态!Z594</f>
        <v>0.13697359379927565</v>
      </c>
      <c r="AN579" s="28">
        <f>[1]服务器生态!AA594</f>
        <v>3.9632427328918703E-2</v>
      </c>
    </row>
    <row r="580" spans="11:40" x14ac:dyDescent="0.2">
      <c r="K580" s="26">
        <v>574</v>
      </c>
      <c r="L580" s="26">
        <f>[1]节奏总纲!AD577</f>
        <v>91.666538630390349</v>
      </c>
      <c r="M580" s="26">
        <f>[1]节奏总纲!AE577</f>
        <v>93.933091415155687</v>
      </c>
      <c r="N580" s="26">
        <f>[1]节奏总纲!AF577</f>
        <v>97.122734076212538</v>
      </c>
      <c r="O580" s="26">
        <f>[1]节奏总纲!AG577</f>
        <v>101.91443196093721</v>
      </c>
      <c r="P580" s="26">
        <f>[1]节奏总纲!AH577</f>
        <v>110.77340728651789</v>
      </c>
      <c r="AI580" s="27">
        <v>574</v>
      </c>
      <c r="AJ580" s="28">
        <f>[1]服务器生态!W595</f>
        <v>9.5087880531546389</v>
      </c>
      <c r="AK580" s="28">
        <f>[1]服务器生态!X595</f>
        <v>9.3757520916585264</v>
      </c>
      <c r="AL580" s="28">
        <f>[1]服务器生态!Y595</f>
        <v>0.76534536880767667</v>
      </c>
      <c r="AM580" s="28">
        <f>[1]服务器生态!Z595</f>
        <v>0.13616034939164637</v>
      </c>
      <c r="AN580" s="28">
        <f>[1]服务器生态!AA595</f>
        <v>3.9397120296431484E-2</v>
      </c>
    </row>
    <row r="581" spans="11:40" x14ac:dyDescent="0.2">
      <c r="K581" s="26">
        <v>575</v>
      </c>
      <c r="L581" s="26">
        <f>[1]节奏总纲!AD578</f>
        <v>91.691928656135218</v>
      </c>
      <c r="M581" s="26">
        <f>[1]节奏总纲!AE578</f>
        <v>93.95912176565281</v>
      </c>
      <c r="N581" s="26">
        <f>[1]节奏总纲!AF578</f>
        <v>97.145657661698948</v>
      </c>
      <c r="O581" s="26">
        <f>[1]节奏总纲!AG578</f>
        <v>101.94243056537114</v>
      </c>
      <c r="P581" s="26">
        <f>[1]节奏总纲!AH578</f>
        <v>110.79700605888428</v>
      </c>
      <c r="AI581" s="27">
        <v>575</v>
      </c>
      <c r="AJ581" s="28">
        <f>[1]服务器生态!W596</f>
        <v>9.4519949504480838</v>
      </c>
      <c r="AK581" s="28">
        <f>[1]服务器生态!X596</f>
        <v>9.3197535723397458</v>
      </c>
      <c r="AL581" s="28">
        <f>[1]服务器生态!Y596</f>
        <v>0.76077419339670926</v>
      </c>
      <c r="AM581" s="28">
        <f>[1]服务器生态!Z596</f>
        <v>0.13534710498401706</v>
      </c>
      <c r="AN581" s="28">
        <f>[1]服务器生态!AA596</f>
        <v>3.9161813263944259E-2</v>
      </c>
    </row>
    <row r="582" spans="11:40" x14ac:dyDescent="0.2">
      <c r="K582" s="26">
        <v>576</v>
      </c>
      <c r="L582" s="26">
        <f>[1]节奏总纲!AD579</f>
        <v>91.717318681880101</v>
      </c>
      <c r="M582" s="26">
        <f>[1]节奏总纲!AE579</f>
        <v>93.985152116149948</v>
      </c>
      <c r="N582" s="26">
        <f>[1]节奏总纲!AF579</f>
        <v>97.168581247185372</v>
      </c>
      <c r="O582" s="26">
        <f>[1]节奏总纲!AG579</f>
        <v>101.97042916980509</v>
      </c>
      <c r="P582" s="26">
        <f>[1]节奏总纲!AH579</f>
        <v>110.82060483125066</v>
      </c>
      <c r="AI582" s="27">
        <v>576</v>
      </c>
      <c r="AJ582" s="28">
        <f>[1]服务器生态!W597</f>
        <v>9.3952018477415287</v>
      </c>
      <c r="AK582" s="28">
        <f>[1]服务器生态!X597</f>
        <v>9.2637550530209669</v>
      </c>
      <c r="AL582" s="28">
        <f>[1]服务器生态!Y597</f>
        <v>0.75620301798574185</v>
      </c>
      <c r="AM582" s="28">
        <f>[1]服务器生态!Z597</f>
        <v>0.1345338605763878</v>
      </c>
      <c r="AN582" s="28">
        <f>[1]服务器生态!AA597</f>
        <v>3.8926506231457041E-2</v>
      </c>
    </row>
    <row r="583" spans="11:40" x14ac:dyDescent="0.2">
      <c r="K583" s="26">
        <v>577</v>
      </c>
      <c r="L583" s="26">
        <f>[1]节奏总纲!AD580</f>
        <v>91.742708707624971</v>
      </c>
      <c r="M583" s="26">
        <f>[1]节奏总纲!AE580</f>
        <v>94.010258298630532</v>
      </c>
      <c r="N583" s="26">
        <f>[1]节奏总纲!AF580</f>
        <v>97.191504832671782</v>
      </c>
      <c r="O583" s="26">
        <f>[1]节奏总纲!AG580</f>
        <v>101.99842777423902</v>
      </c>
      <c r="P583" s="26">
        <f>[1]节奏总纲!AH580</f>
        <v>110.84420360361705</v>
      </c>
      <c r="AI583" s="27">
        <v>577</v>
      </c>
      <c r="AJ583" s="28">
        <f>[1]服务器生态!W598</f>
        <v>9.3384087450349735</v>
      </c>
      <c r="AK583" s="28">
        <f>[1]服务器生态!X598</f>
        <v>9.2077565337021863</v>
      </c>
      <c r="AL583" s="28">
        <f>[1]服务器生态!Y598</f>
        <v>0.75163184257477456</v>
      </c>
      <c r="AM583" s="28">
        <f>[1]服务器生态!Z598</f>
        <v>0.13372061616875852</v>
      </c>
      <c r="AN583" s="28">
        <f>[1]服务器生态!AA598</f>
        <v>3.8691199198969822E-2</v>
      </c>
    </row>
    <row r="584" spans="11:40" x14ac:dyDescent="0.2">
      <c r="K584" s="26">
        <v>578</v>
      </c>
      <c r="L584" s="26">
        <f>[1]节奏总纲!AD581</f>
        <v>91.768098733369854</v>
      </c>
      <c r="M584" s="26">
        <f>[1]节奏总纲!AE581</f>
        <v>94.034137386964503</v>
      </c>
      <c r="N584" s="26">
        <f>[1]节奏总纲!AF581</f>
        <v>97.214428418158207</v>
      </c>
      <c r="O584" s="26">
        <f>[1]节奏总纲!AG581</f>
        <v>102.0230494909565</v>
      </c>
      <c r="P584" s="26">
        <f>[1]节奏总纲!AH581</f>
        <v>110.86780237598343</v>
      </c>
      <c r="AI584" s="27">
        <v>578</v>
      </c>
      <c r="AJ584" s="28">
        <f>[1]服务器生态!W599</f>
        <v>9.2816156423284202</v>
      </c>
      <c r="AK584" s="28">
        <f>[1]服务器生态!X599</f>
        <v>9.1517580143834074</v>
      </c>
      <c r="AL584" s="28">
        <f>[1]服务器生态!Y599</f>
        <v>0.74706066716380726</v>
      </c>
      <c r="AM584" s="28">
        <f>[1]服务器生态!Z599</f>
        <v>0.13290737176112924</v>
      </c>
      <c r="AN584" s="28">
        <f>[1]服务器生态!AA599</f>
        <v>3.8455892166482611E-2</v>
      </c>
    </row>
    <row r="585" spans="11:40" x14ac:dyDescent="0.2">
      <c r="K585" s="26">
        <v>579</v>
      </c>
      <c r="L585" s="26">
        <f>[1]节奏总纲!AD582</f>
        <v>91.793488759114723</v>
      </c>
      <c r="M585" s="26">
        <f>[1]节奏总纲!AE582</f>
        <v>94.058016475298473</v>
      </c>
      <c r="N585" s="26">
        <f>[1]节奏总纲!AF582</f>
        <v>97.237352003644617</v>
      </c>
      <c r="O585" s="26">
        <f>[1]节奏总纲!AG582</f>
        <v>102.04747030122647</v>
      </c>
      <c r="P585" s="26">
        <f>[1]节奏总纲!AH582</f>
        <v>110.8914011483498</v>
      </c>
      <c r="AI585" s="27">
        <v>579</v>
      </c>
      <c r="AJ585" s="28">
        <f>[1]服务器生态!W600</f>
        <v>9.224822539621865</v>
      </c>
      <c r="AK585" s="28">
        <f>[1]服务器生态!X600</f>
        <v>9.0957594950646286</v>
      </c>
      <c r="AL585" s="28">
        <f>[1]服务器生态!Y600</f>
        <v>0.74248949175283996</v>
      </c>
      <c r="AM585" s="28">
        <f>[1]服务器生态!Z600</f>
        <v>0.13209412735349996</v>
      </c>
      <c r="AN585" s="28">
        <f>[1]服务器生态!AA600</f>
        <v>3.8220585133995393E-2</v>
      </c>
    </row>
    <row r="586" spans="11:40" x14ac:dyDescent="0.2">
      <c r="K586" s="26">
        <v>580</v>
      </c>
      <c r="L586" s="26">
        <f>[1]节奏总纲!AD583</f>
        <v>91.818878784859606</v>
      </c>
      <c r="M586" s="26">
        <f>[1]节奏总纲!AE583</f>
        <v>94.081895563632429</v>
      </c>
      <c r="N586" s="26">
        <f>[1]节奏总纲!AF583</f>
        <v>97.260275589131041</v>
      </c>
      <c r="O586" s="26">
        <f>[1]节奏总纲!AG583</f>
        <v>102.07189111149643</v>
      </c>
      <c r="P586" s="26">
        <f>[1]节奏总纲!AH583</f>
        <v>110.91499992071618</v>
      </c>
      <c r="AI586" s="27">
        <v>580</v>
      </c>
      <c r="AJ586" s="28">
        <f>[1]服务器生态!W601</f>
        <v>9.1680294369153081</v>
      </c>
      <c r="AK586" s="28">
        <f>[1]服务器生态!X601</f>
        <v>9.0397609757458479</v>
      </c>
      <c r="AL586" s="28">
        <f>[1]服务器生态!Y601</f>
        <v>0.73791831634187244</v>
      </c>
      <c r="AM586" s="28">
        <f>[1]服务器生态!Z601</f>
        <v>0.13128088294587065</v>
      </c>
      <c r="AN586" s="28">
        <f>[1]服务器生态!AA601</f>
        <v>3.7985278101508167E-2</v>
      </c>
    </row>
    <row r="587" spans="11:40" x14ac:dyDescent="0.2">
      <c r="K587" s="26">
        <v>581</v>
      </c>
      <c r="L587" s="26">
        <f>[1]节奏总纲!AD584</f>
        <v>91.844268810604476</v>
      </c>
      <c r="M587" s="26">
        <f>[1]节奏总纲!AE584</f>
        <v>94.105774651966399</v>
      </c>
      <c r="N587" s="26">
        <f>[1]节奏总纲!AF584</f>
        <v>97.283199174617451</v>
      </c>
      <c r="O587" s="26">
        <f>[1]节奏总纲!AG584</f>
        <v>102.09631192176639</v>
      </c>
      <c r="P587" s="26">
        <f>[1]节奏总纲!AH584</f>
        <v>110.93859869308257</v>
      </c>
      <c r="AI587" s="27">
        <v>581</v>
      </c>
      <c r="AJ587" s="28">
        <f>[1]服务器生态!W602</f>
        <v>9.1112363342087548</v>
      </c>
      <c r="AK587" s="28">
        <f>[1]服务器生态!X602</f>
        <v>8.9837624564270691</v>
      </c>
      <c r="AL587" s="28">
        <f>[1]服务器生态!Y602</f>
        <v>0.73334714093090514</v>
      </c>
      <c r="AM587" s="28">
        <f>[1]服务器生态!Z602</f>
        <v>0.13046763853824137</v>
      </c>
      <c r="AN587" s="28">
        <f>[1]服务器生态!AA602</f>
        <v>3.7749971069020949E-2</v>
      </c>
    </row>
    <row r="588" spans="11:40" x14ac:dyDescent="0.2">
      <c r="K588" s="26">
        <v>582</v>
      </c>
      <c r="L588" s="26">
        <f>[1]节奏总纲!AD585</f>
        <v>91.869658836349345</v>
      </c>
      <c r="M588" s="26">
        <f>[1]节奏总纲!AE585</f>
        <v>94.129653740300355</v>
      </c>
      <c r="N588" s="26">
        <f>[1]节奏总纲!AF585</f>
        <v>97.306122760103861</v>
      </c>
      <c r="O588" s="26">
        <f>[1]节奏总纲!AG585</f>
        <v>102.12073273203636</v>
      </c>
      <c r="P588" s="26">
        <f>[1]节奏总纲!AH585</f>
        <v>110.96219746544895</v>
      </c>
      <c r="AI588" s="27">
        <v>582</v>
      </c>
      <c r="AJ588" s="28">
        <f>[1]服务器生态!W603</f>
        <v>9.0544432315021997</v>
      </c>
      <c r="AK588" s="28">
        <f>[1]服务器生态!X603</f>
        <v>8.9277639371082902</v>
      </c>
      <c r="AL588" s="28">
        <f>[1]服务器生态!Y603</f>
        <v>0.72877596551993784</v>
      </c>
      <c r="AM588" s="28">
        <f>[1]服务器生态!Z603</f>
        <v>0.12965439413061208</v>
      </c>
      <c r="AN588" s="28">
        <f>[1]服务器生态!AA603</f>
        <v>3.7514664036533731E-2</v>
      </c>
    </row>
    <row r="589" spans="11:40" x14ac:dyDescent="0.2">
      <c r="K589" s="26">
        <v>583</v>
      </c>
      <c r="L589" s="26">
        <f>[1]节奏总纲!AD586</f>
        <v>91.895048862094228</v>
      </c>
      <c r="M589" s="26">
        <f>[1]节奏总纲!AE586</f>
        <v>94.153532828634326</v>
      </c>
      <c r="N589" s="26">
        <f>[1]节奏总纲!AF586</f>
        <v>97.329046345590285</v>
      </c>
      <c r="O589" s="26">
        <f>[1]节奏总纲!AG586</f>
        <v>102.14515354230632</v>
      </c>
      <c r="P589" s="26">
        <f>[1]节奏总纲!AH586</f>
        <v>110.98579623781534</v>
      </c>
      <c r="AI589" s="27">
        <v>583</v>
      </c>
      <c r="AJ589" s="28">
        <f>[1]服务器生态!W604</f>
        <v>8.9976501287956427</v>
      </c>
      <c r="AK589" s="28">
        <f>[1]服务器生态!X604</f>
        <v>8.8717654177895078</v>
      </c>
      <c r="AL589" s="28">
        <f>[1]服务器生态!Y604</f>
        <v>0.72420479010897043</v>
      </c>
      <c r="AM589" s="28">
        <f>[1]服务器生态!Z604</f>
        <v>0.12884114972298277</v>
      </c>
      <c r="AN589" s="28">
        <f>[1]服务器生态!AA604</f>
        <v>3.7279357004046512E-2</v>
      </c>
    </row>
    <row r="590" spans="11:40" x14ac:dyDescent="0.2">
      <c r="K590" s="26">
        <v>584</v>
      </c>
      <c r="L590" s="26">
        <f>[1]节奏总纲!AD587</f>
        <v>91.920438887839097</v>
      </c>
      <c r="M590" s="26">
        <f>[1]节奏总纲!AE587</f>
        <v>94.177411916968296</v>
      </c>
      <c r="N590" s="26">
        <f>[1]节奏总纲!AF587</f>
        <v>97.351969931076695</v>
      </c>
      <c r="O590" s="26">
        <f>[1]节奏总纲!AG587</f>
        <v>102.16957435257629</v>
      </c>
      <c r="P590" s="26">
        <f>[1]节奏总纲!AH587</f>
        <v>111.01006491026641</v>
      </c>
      <c r="AI590" s="27">
        <v>584</v>
      </c>
      <c r="AJ590" s="28">
        <f>[1]服务器生态!W605</f>
        <v>8.9408570260890912</v>
      </c>
      <c r="AK590" s="28">
        <f>[1]服务器生态!X605</f>
        <v>8.8157668984707307</v>
      </c>
      <c r="AL590" s="28">
        <f>[1]服务器生态!Y605</f>
        <v>0.71963361469800324</v>
      </c>
      <c r="AM590" s="28">
        <f>[1]服务器生态!Z605</f>
        <v>0.12802790531535352</v>
      </c>
      <c r="AN590" s="28">
        <f>[1]服务器生态!AA605</f>
        <v>3.7044049971559301E-2</v>
      </c>
    </row>
    <row r="591" spans="11:40" x14ac:dyDescent="0.2">
      <c r="K591" s="26">
        <v>585</v>
      </c>
      <c r="L591" s="26">
        <f>[1]节奏总纲!AD588</f>
        <v>91.945828913583981</v>
      </c>
      <c r="M591" s="26">
        <f>[1]节奏总纲!AE588</f>
        <v>94.201291005302252</v>
      </c>
      <c r="N591" s="26">
        <f>[1]节奏总纲!AF588</f>
        <v>97.37489351656312</v>
      </c>
      <c r="O591" s="26">
        <f>[1]节奏总纲!AG588</f>
        <v>102.19399516284625</v>
      </c>
      <c r="P591" s="26">
        <f>[1]节奏总纲!AH588</f>
        <v>111.03534636517395</v>
      </c>
      <c r="AI591" s="27">
        <v>585</v>
      </c>
      <c r="AJ591" s="28">
        <f>[1]服务器生态!W606</f>
        <v>8.8840639233825343</v>
      </c>
      <c r="AK591" s="28">
        <f>[1]服务器生态!X606</f>
        <v>8.7597683791519501</v>
      </c>
      <c r="AL591" s="28">
        <f>[1]服务器生态!Y606</f>
        <v>0.71506243928703572</v>
      </c>
      <c r="AM591" s="28">
        <f>[1]服务器生态!Z606</f>
        <v>0.12721466090772421</v>
      </c>
      <c r="AN591" s="28">
        <f>[1]服务器生态!AA606</f>
        <v>3.6808742939072076E-2</v>
      </c>
    </row>
    <row r="592" spans="11:40" x14ac:dyDescent="0.2">
      <c r="K592" s="26">
        <v>586</v>
      </c>
      <c r="L592" s="26">
        <f>[1]节奏总纲!AD589</f>
        <v>91.97121893932885</v>
      </c>
      <c r="M592" s="26">
        <f>[1]节奏总纲!AE589</f>
        <v>94.225170093636223</v>
      </c>
      <c r="N592" s="26">
        <f>[1]节奏总纲!AF589</f>
        <v>97.39781710204953</v>
      </c>
      <c r="O592" s="26">
        <f>[1]节奏总纲!AG589</f>
        <v>102.21841597311622</v>
      </c>
      <c r="P592" s="26">
        <f>[1]节奏总纲!AH589</f>
        <v>111.06062782008151</v>
      </c>
      <c r="AI592" s="27">
        <v>586</v>
      </c>
      <c r="AJ592" s="28">
        <f>[1]服务器生态!W607</f>
        <v>8.8272708206759791</v>
      </c>
      <c r="AK592" s="28">
        <f>[1]服务器生态!X607</f>
        <v>8.7037698598331712</v>
      </c>
      <c r="AL592" s="28">
        <f>[1]服务器生态!Y607</f>
        <v>0.71049126387606842</v>
      </c>
      <c r="AM592" s="28">
        <f>[1]服务器生态!Z607</f>
        <v>0.12640141650009493</v>
      </c>
      <c r="AN592" s="28">
        <f>[1]服务器生态!AA607</f>
        <v>3.6573435906584857E-2</v>
      </c>
    </row>
    <row r="593" spans="11:40" x14ac:dyDescent="0.2">
      <c r="K593" s="26">
        <v>587</v>
      </c>
      <c r="L593" s="26">
        <f>[1]节奏总纲!AD590</f>
        <v>91.996608965073733</v>
      </c>
      <c r="M593" s="26">
        <f>[1]节奏总纲!AE590</f>
        <v>94.249049181970193</v>
      </c>
      <c r="N593" s="26">
        <f>[1]节奏总纲!AF590</f>
        <v>97.420740687535954</v>
      </c>
      <c r="O593" s="26">
        <f>[1]节奏总纲!AG590</f>
        <v>102.24283678338618</v>
      </c>
      <c r="P593" s="26">
        <f>[1]节奏总纲!AH590</f>
        <v>111.08590927498906</v>
      </c>
      <c r="AI593" s="27">
        <v>587</v>
      </c>
      <c r="AJ593" s="28">
        <f>[1]服务器生态!W608</f>
        <v>8.7704777179694258</v>
      </c>
      <c r="AK593" s="28">
        <f>[1]服务器生态!X608</f>
        <v>8.6477713405143923</v>
      </c>
      <c r="AL593" s="28">
        <f>[1]服务器生态!Y608</f>
        <v>0.70592008846510113</v>
      </c>
      <c r="AM593" s="28">
        <f>[1]服务器生态!Z608</f>
        <v>0.12558817209246564</v>
      </c>
      <c r="AN593" s="28">
        <f>[1]服务器生态!AA608</f>
        <v>3.6338128874097639E-2</v>
      </c>
    </row>
    <row r="594" spans="11:40" x14ac:dyDescent="0.2">
      <c r="K594" s="26">
        <v>588</v>
      </c>
      <c r="L594" s="26">
        <f>[1]节奏总纲!AD591</f>
        <v>92.020525784214271</v>
      </c>
      <c r="M594" s="26">
        <f>[1]节奏总纲!AE591</f>
        <v>94.272928270304149</v>
      </c>
      <c r="N594" s="26">
        <f>[1]节奏总纲!AF591</f>
        <v>97.443664273022364</v>
      </c>
      <c r="O594" s="26">
        <f>[1]节奏总纲!AG591</f>
        <v>102.26725759365615</v>
      </c>
      <c r="P594" s="26">
        <f>[1]节奏总纲!AH591</f>
        <v>111.11119072989661</v>
      </c>
      <c r="AI594" s="27">
        <v>588</v>
      </c>
      <c r="AJ594" s="28">
        <f>[1]服务器生态!W609</f>
        <v>8.7136846152628689</v>
      </c>
      <c r="AK594" s="28">
        <f>[1]服务器生态!X609</f>
        <v>8.5917728211956117</v>
      </c>
      <c r="AL594" s="28">
        <f>[1]服务器生态!Y609</f>
        <v>0.70134891305413372</v>
      </c>
      <c r="AM594" s="28">
        <f>[1]服务器生态!Z609</f>
        <v>0.12477492768483635</v>
      </c>
      <c r="AN594" s="28">
        <f>[1]服务器生态!AA609</f>
        <v>3.6102821841610414E-2</v>
      </c>
    </row>
    <row r="595" spans="11:40" x14ac:dyDescent="0.2">
      <c r="K595" s="26">
        <v>589</v>
      </c>
      <c r="L595" s="26">
        <f>[1]节奏总纲!AD592</f>
        <v>92.044215515890215</v>
      </c>
      <c r="M595" s="26">
        <f>[1]节奏总纲!AE592</f>
        <v>94.296807358638119</v>
      </c>
      <c r="N595" s="26">
        <f>[1]节奏总纲!AF592</f>
        <v>97.466587858508788</v>
      </c>
      <c r="O595" s="26">
        <f>[1]节奏总纲!AG592</f>
        <v>102.29167840392611</v>
      </c>
      <c r="P595" s="26">
        <f>[1]节奏总纲!AH592</f>
        <v>111.13647218480416</v>
      </c>
      <c r="AI595" s="27">
        <v>589</v>
      </c>
      <c r="AJ595" s="28">
        <f>[1]服务器生态!W610</f>
        <v>8.6568915125563137</v>
      </c>
      <c r="AK595" s="28">
        <f>[1]服务器生态!X610</f>
        <v>8.5357743018768311</v>
      </c>
      <c r="AL595" s="28">
        <f>[1]服务器生态!Y610</f>
        <v>0.69677773764316631</v>
      </c>
      <c r="AM595" s="28">
        <f>[1]服务器生态!Z610</f>
        <v>0.12396168327720707</v>
      </c>
      <c r="AN595" s="28">
        <f>[1]服务器生态!AA610</f>
        <v>3.5867514809123202E-2</v>
      </c>
    </row>
    <row r="596" spans="11:40" x14ac:dyDescent="0.2">
      <c r="K596" s="26">
        <v>590</v>
      </c>
      <c r="L596" s="26">
        <f>[1]节奏总纲!AD593</f>
        <v>92.067905247566145</v>
      </c>
      <c r="M596" s="26">
        <f>[1]节奏总纲!AE593</f>
        <v>94.32068644697209</v>
      </c>
      <c r="N596" s="26">
        <f>[1]节奏总纲!AF593</f>
        <v>97.489511443995198</v>
      </c>
      <c r="O596" s="26">
        <f>[1]节奏总纲!AG593</f>
        <v>102.31609921419609</v>
      </c>
      <c r="P596" s="26">
        <f>[1]节奏总纲!AH593</f>
        <v>111.1617536397117</v>
      </c>
      <c r="AI596" s="27">
        <v>590</v>
      </c>
      <c r="AJ596" s="28">
        <f>[1]服务器生态!W611</f>
        <v>8.6000984098497604</v>
      </c>
      <c r="AK596" s="28">
        <f>[1]服务器生态!X611</f>
        <v>8.4797757825580522</v>
      </c>
      <c r="AL596" s="28">
        <f>[1]服务器生态!Y611</f>
        <v>0.69220656223219901</v>
      </c>
      <c r="AM596" s="28">
        <f>[1]服务器生态!Z611</f>
        <v>0.12314843886957778</v>
      </c>
      <c r="AN596" s="28">
        <f>[1]服务器生态!AA611</f>
        <v>3.5632207776635984E-2</v>
      </c>
    </row>
    <row r="597" spans="11:40" x14ac:dyDescent="0.2">
      <c r="K597" s="26">
        <v>591</v>
      </c>
      <c r="L597" s="26">
        <f>[1]节奏总纲!AD594</f>
        <v>92.091594979242089</v>
      </c>
      <c r="M597" s="26">
        <f>[1]节奏总纲!AE594</f>
        <v>94.344565535306046</v>
      </c>
      <c r="N597" s="26">
        <f>[1]节奏总纲!AF594</f>
        <v>97.512435029481608</v>
      </c>
      <c r="O597" s="26">
        <f>[1]节奏总纲!AG594</f>
        <v>102.34052002446604</v>
      </c>
      <c r="P597" s="26">
        <f>[1]节奏总纲!AH594</f>
        <v>111.18703509461926</v>
      </c>
      <c r="AI597" s="27">
        <v>591</v>
      </c>
      <c r="AJ597" s="28">
        <f>[1]服务器生态!W612</f>
        <v>8.5433053071432052</v>
      </c>
      <c r="AK597" s="28">
        <f>[1]服务器生态!X612</f>
        <v>8.4237772632392733</v>
      </c>
      <c r="AL597" s="28">
        <f>[1]服务器生态!Y612</f>
        <v>0.68763538682123171</v>
      </c>
      <c r="AM597" s="28">
        <f>[1]服务器生态!Z612</f>
        <v>0.1223351944619485</v>
      </c>
      <c r="AN597" s="28">
        <f>[1]服务器生态!AA612</f>
        <v>3.5396900744148765E-2</v>
      </c>
    </row>
    <row r="598" spans="11:40" x14ac:dyDescent="0.2">
      <c r="K598" s="26">
        <v>592</v>
      </c>
      <c r="L598" s="26">
        <f>[1]节奏总纲!AD595</f>
        <v>92.115284710918019</v>
      </c>
      <c r="M598" s="26">
        <f>[1]节奏总纲!AE595</f>
        <v>94.368444623640016</v>
      </c>
      <c r="N598" s="26">
        <f>[1]节奏总纲!AF595</f>
        <v>97.535358614968032</v>
      </c>
      <c r="O598" s="26">
        <f>[1]节奏总纲!AG595</f>
        <v>102.364940834736</v>
      </c>
      <c r="P598" s="26">
        <f>[1]节奏总纲!AH595</f>
        <v>111.2123165495268</v>
      </c>
      <c r="AI598" s="27">
        <v>592</v>
      </c>
      <c r="AJ598" s="28">
        <f>[1]服务器生态!W613</f>
        <v>8.4865122044366501</v>
      </c>
      <c r="AK598" s="28">
        <f>[1]服务器生态!X613</f>
        <v>8.3677787439204945</v>
      </c>
      <c r="AL598" s="28">
        <f>[1]服务器生态!Y613</f>
        <v>0.68306421141026441</v>
      </c>
      <c r="AM598" s="28">
        <f>[1]服务器生态!Z613</f>
        <v>0.12152195005431922</v>
      </c>
      <c r="AN598" s="28">
        <f>[1]服务器生态!AA613</f>
        <v>3.5161593711661547E-2</v>
      </c>
    </row>
    <row r="599" spans="11:40" x14ac:dyDescent="0.2">
      <c r="K599" s="26">
        <v>593</v>
      </c>
      <c r="L599" s="26">
        <f>[1]节奏总纲!AD596</f>
        <v>92.138974442593963</v>
      </c>
      <c r="M599" s="26">
        <f>[1]节奏总纲!AE596</f>
        <v>94.392323711973987</v>
      </c>
      <c r="N599" s="26">
        <f>[1]节奏总纲!AF596</f>
        <v>97.558282200454443</v>
      </c>
      <c r="O599" s="26">
        <f>[1]节奏总纲!AG596</f>
        <v>102.38936164500598</v>
      </c>
      <c r="P599" s="26">
        <f>[1]节奏总纲!AH596</f>
        <v>111.23759800443436</v>
      </c>
      <c r="AI599" s="27">
        <v>593</v>
      </c>
      <c r="AJ599" s="28">
        <f>[1]服务器生态!W614</f>
        <v>8.429719101730095</v>
      </c>
      <c r="AK599" s="28">
        <f>[1]服务器生态!X614</f>
        <v>8.3117802246017138</v>
      </c>
      <c r="AL599" s="28">
        <f>[1]服务器生态!Y614</f>
        <v>0.67849303599929689</v>
      </c>
      <c r="AM599" s="28">
        <f>[1]服务器生态!Z614</f>
        <v>0.12070870564668991</v>
      </c>
      <c r="AN599" s="28">
        <f>[1]服务器生态!AA614</f>
        <v>3.4926286679174322E-2</v>
      </c>
    </row>
    <row r="600" spans="11:40" x14ac:dyDescent="0.2">
      <c r="K600" s="26">
        <v>594</v>
      </c>
      <c r="L600" s="26">
        <f>[1]节奏总纲!AD597</f>
        <v>92.162664174269892</v>
      </c>
      <c r="M600" s="26">
        <f>[1]节奏总纲!AE597</f>
        <v>94.416202800307943</v>
      </c>
      <c r="N600" s="26">
        <f>[1]节奏总纲!AF597</f>
        <v>97.581205785940867</v>
      </c>
      <c r="O600" s="26">
        <f>[1]节奏总纲!AG597</f>
        <v>102.41378245527594</v>
      </c>
      <c r="P600" s="26">
        <f>[1]节奏总纲!AH597</f>
        <v>111.2628794593419</v>
      </c>
      <c r="AI600" s="27">
        <v>594</v>
      </c>
      <c r="AJ600" s="28">
        <f>[1]服务器生态!W615</f>
        <v>8.3729259990235398</v>
      </c>
      <c r="AK600" s="28">
        <f>[1]服务器生态!X615</f>
        <v>8.255781705282935</v>
      </c>
      <c r="AL600" s="28">
        <f>[1]服务器生态!Y615</f>
        <v>0.67392186058832959</v>
      </c>
      <c r="AM600" s="28">
        <f>[1]服务器生态!Z615</f>
        <v>0.11989546123906063</v>
      </c>
      <c r="AN600" s="28">
        <f>[1]服务器生态!AA615</f>
        <v>3.469097964668711E-2</v>
      </c>
    </row>
    <row r="601" spans="11:40" x14ac:dyDescent="0.2">
      <c r="K601" s="26">
        <v>595</v>
      </c>
      <c r="L601" s="26">
        <f>[1]节奏总纲!AD598</f>
        <v>92.186353905945836</v>
      </c>
      <c r="M601" s="26">
        <f>[1]节奏总纲!AE598</f>
        <v>94.440081888641913</v>
      </c>
      <c r="N601" s="26">
        <f>[1]节奏总纲!AF598</f>
        <v>97.604129371427277</v>
      </c>
      <c r="O601" s="26">
        <f>[1]节奏总纲!AG598</f>
        <v>102.43820326554591</v>
      </c>
      <c r="P601" s="26">
        <f>[1]节奏总纲!AH598</f>
        <v>111.28816091424946</v>
      </c>
      <c r="AI601" s="27">
        <v>595</v>
      </c>
      <c r="AJ601" s="28">
        <f>[1]服务器生态!W616</f>
        <v>8.3161328963169847</v>
      </c>
      <c r="AK601" s="28">
        <f>[1]服务器生态!X616</f>
        <v>8.1997831859641543</v>
      </c>
      <c r="AL601" s="28">
        <f>[1]服务器生态!Y616</f>
        <v>0.66935068517736229</v>
      </c>
      <c r="AM601" s="28">
        <f>[1]服务器生态!Z616</f>
        <v>0.11908221683143135</v>
      </c>
      <c r="AN601" s="28">
        <f>[1]服务器生态!AA616</f>
        <v>3.4455672614199892E-2</v>
      </c>
    </row>
    <row r="602" spans="11:40" x14ac:dyDescent="0.2">
      <c r="K602" s="26">
        <v>596</v>
      </c>
      <c r="L602" s="26">
        <f>[1]节奏总纲!AD599</f>
        <v>92.210043637621766</v>
      </c>
      <c r="M602" s="26">
        <f>[1]节奏总纲!AE599</f>
        <v>94.463960976975883</v>
      </c>
      <c r="N602" s="26">
        <f>[1]节奏总纲!AF599</f>
        <v>97.627052956913701</v>
      </c>
      <c r="O602" s="26">
        <f>[1]节奏总纲!AG599</f>
        <v>102.46262407581587</v>
      </c>
      <c r="P602" s="26">
        <f>[1]节奏总纲!AH599</f>
        <v>111.31344236915702</v>
      </c>
      <c r="AI602" s="27">
        <v>596</v>
      </c>
      <c r="AJ602" s="28">
        <f>[1]服务器生态!W617</f>
        <v>8.2593397936104296</v>
      </c>
      <c r="AK602" s="28">
        <f>[1]服务器生态!X617</f>
        <v>8.1437846666453755</v>
      </c>
      <c r="AL602" s="28">
        <f>[1]服务器生态!Y617</f>
        <v>0.66477950976639499</v>
      </c>
      <c r="AM602" s="28">
        <f>[1]服务器生态!Z617</f>
        <v>0.11826897242380208</v>
      </c>
      <c r="AN602" s="28">
        <f>[1]服务器生态!AA617</f>
        <v>3.4220365581712674E-2</v>
      </c>
    </row>
    <row r="603" spans="11:40" x14ac:dyDescent="0.2">
      <c r="K603" s="26">
        <v>597</v>
      </c>
      <c r="L603" s="26">
        <f>[1]节奏总纲!AD600</f>
        <v>92.23373336929771</v>
      </c>
      <c r="M603" s="26">
        <f>[1]节奏总纲!AE600</f>
        <v>94.48784006530984</v>
      </c>
      <c r="N603" s="26">
        <f>[1]节奏总纲!AF600</f>
        <v>97.649976542400111</v>
      </c>
      <c r="O603" s="26">
        <f>[1]节奏总纲!AG600</f>
        <v>102.48704488608584</v>
      </c>
      <c r="P603" s="26">
        <f>[1]节奏总纲!AH600</f>
        <v>111.33872382406456</v>
      </c>
      <c r="AI603" s="27">
        <v>597</v>
      </c>
      <c r="AJ603" s="28">
        <f>[1]服务器生态!W618</f>
        <v>8.2025466909038744</v>
      </c>
      <c r="AK603" s="28">
        <f>[1]服务器生态!X618</f>
        <v>8.0877861473265948</v>
      </c>
      <c r="AL603" s="28">
        <f>[1]服务器生态!Y618</f>
        <v>0.66020833435542758</v>
      </c>
      <c r="AM603" s="28">
        <f>[1]服务器生态!Z618</f>
        <v>0.11745572801617277</v>
      </c>
      <c r="AN603" s="28">
        <f>[1]服务器生态!AA618</f>
        <v>3.3985058549225448E-2</v>
      </c>
    </row>
    <row r="604" spans="11:40" x14ac:dyDescent="0.2">
      <c r="K604" s="26">
        <v>598</v>
      </c>
      <c r="L604" s="26">
        <f>[1]节奏总纲!AD601</f>
        <v>92.257423100973654</v>
      </c>
      <c r="M604" s="26">
        <f>[1]节奏总纲!AE601</f>
        <v>94.51171915364381</v>
      </c>
      <c r="N604" s="26">
        <f>[1]节奏总纲!AF601</f>
        <v>97.672900127886535</v>
      </c>
      <c r="O604" s="26">
        <f>[1]节奏总纲!AG601</f>
        <v>102.5114656963558</v>
      </c>
      <c r="P604" s="26">
        <f>[1]节奏总纲!AH601</f>
        <v>111.36400527897212</v>
      </c>
      <c r="AI604" s="27">
        <v>598</v>
      </c>
      <c r="AJ604" s="28">
        <f>[1]服务器生态!W619</f>
        <v>8.1457535881973193</v>
      </c>
      <c r="AK604" s="28">
        <f>[1]服务器生态!X619</f>
        <v>8.031787628007816</v>
      </c>
      <c r="AL604" s="28">
        <f>[1]服务器生态!Y619</f>
        <v>0.65563715894446017</v>
      </c>
      <c r="AM604" s="28">
        <f>[1]服务器生态!Z619</f>
        <v>0.11664248360854348</v>
      </c>
      <c r="AN604" s="28">
        <f>[1]服务器生态!AA619</f>
        <v>3.374975151673823E-2</v>
      </c>
    </row>
    <row r="605" spans="11:40" x14ac:dyDescent="0.2">
      <c r="K605" s="26">
        <v>599</v>
      </c>
      <c r="L605" s="26">
        <f>[1]节奏总纲!AD602</f>
        <v>92.281112832649583</v>
      </c>
      <c r="M605" s="26">
        <f>[1]节奏总纲!AE602</f>
        <v>94.535598241977766</v>
      </c>
      <c r="N605" s="26">
        <f>[1]节奏总纲!AF602</f>
        <v>97.695823713372945</v>
      </c>
      <c r="O605" s="26">
        <f>[1]节奏总纲!AG602</f>
        <v>102.53588650662577</v>
      </c>
      <c r="P605" s="26">
        <f>[1]节奏总纲!AH602</f>
        <v>111.38928673387966</v>
      </c>
      <c r="AI605" s="27">
        <v>599</v>
      </c>
      <c r="AJ605" s="28">
        <f>[1]服务器生态!W620</f>
        <v>8.0889604854907642</v>
      </c>
      <c r="AK605" s="28">
        <f>[1]服务器生态!X620</f>
        <v>7.9757891086890371</v>
      </c>
      <c r="AL605" s="28">
        <f>[1]服务器生态!Y620</f>
        <v>0.65106598353349288</v>
      </c>
      <c r="AM605" s="28">
        <f>[1]服务器生态!Z620</f>
        <v>0.1158292392009142</v>
      </c>
      <c r="AN605" s="28">
        <f>[1]服务器生态!AA620</f>
        <v>3.3514444484251019E-2</v>
      </c>
    </row>
    <row r="606" spans="11:40" x14ac:dyDescent="0.2">
      <c r="K606" s="26">
        <v>600</v>
      </c>
      <c r="L606" s="26">
        <f>[1]节奏总纲!AD603</f>
        <v>92.304802564325527</v>
      </c>
      <c r="M606" s="26">
        <f>[1]节奏总纲!AE603</f>
        <v>94.559477330311736</v>
      </c>
      <c r="N606" s="26">
        <f>[1]节奏总纲!AF603</f>
        <v>97.718747298859356</v>
      </c>
      <c r="O606" s="26">
        <f>[1]节奏总纲!AG603</f>
        <v>102.56030731689573</v>
      </c>
      <c r="P606" s="26">
        <f>[1]节奏总纲!AH603</f>
        <v>111.41456818878721</v>
      </c>
      <c r="AI606" s="27">
        <v>600</v>
      </c>
      <c r="AJ606" s="28">
        <f>[1]服务器生态!W621</f>
        <v>8.0321673827842091</v>
      </c>
      <c r="AK606" s="28">
        <f>[1]服务器生态!X621</f>
        <v>7.9197905893702556</v>
      </c>
      <c r="AL606" s="28">
        <f>[1]服务器生态!Y621</f>
        <v>0.64649480812252547</v>
      </c>
      <c r="AM606" s="28">
        <f>[1]服务器生态!Z621</f>
        <v>0.11501599479328489</v>
      </c>
      <c r="AN606" s="28">
        <f>[1]服务器生态!AA621</f>
        <v>3.3279137451763793E-2</v>
      </c>
    </row>
  </sheetData>
  <mergeCells count="10">
    <mergeCell ref="D5:H5"/>
    <mergeCell ref="L5:P5"/>
    <mergeCell ref="BL5:BP5"/>
    <mergeCell ref="T5:X5"/>
    <mergeCell ref="BQ5:BU5"/>
    <mergeCell ref="BG5:BK5"/>
    <mergeCell ref="AB5:AF5"/>
    <mergeCell ref="AJ5:AN5"/>
    <mergeCell ref="AR5:AV5"/>
    <mergeCell ref="BB5:BF5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4C18C-AF82-4866-B938-EE483F5A8212}">
  <sheetPr codeName="Sheet3"/>
  <dimension ref="A3:M40"/>
  <sheetViews>
    <sheetView workbookViewId="0">
      <selection activeCell="M11" sqref="M11"/>
    </sheetView>
  </sheetViews>
  <sheetFormatPr defaultRowHeight="12" x14ac:dyDescent="0.2"/>
  <cols>
    <col min="1" max="1" width="31.375" style="2" bestFit="1" customWidth="1"/>
    <col min="2" max="4" width="13.875" style="2" bestFit="1" customWidth="1"/>
    <col min="5" max="6" width="17.25" style="2" bestFit="1" customWidth="1"/>
    <col min="7" max="7" width="23" style="2" bestFit="1" customWidth="1"/>
    <col min="8" max="8" width="13.875" style="2" bestFit="1" customWidth="1"/>
    <col min="9" max="9" width="13.875" style="2" customWidth="1"/>
    <col min="10" max="10" width="17.75" style="2" bestFit="1" customWidth="1"/>
    <col min="11" max="16384" width="9" style="2"/>
  </cols>
  <sheetData>
    <row r="3" spans="1:13" x14ac:dyDescent="0.2">
      <c r="A3" s="2" t="s">
        <v>41</v>
      </c>
    </row>
    <row r="4" spans="1:13" x14ac:dyDescent="0.2">
      <c r="A4" s="2" t="s">
        <v>42</v>
      </c>
      <c r="B4" s="2">
        <v>0.5</v>
      </c>
    </row>
    <row r="5" spans="1:13" x14ac:dyDescent="0.2">
      <c r="A5" s="2" t="s">
        <v>44</v>
      </c>
      <c r="B5" s="2">
        <v>0.5</v>
      </c>
    </row>
    <row r="6" spans="1:13" x14ac:dyDescent="0.2">
      <c r="A6" s="2" t="s">
        <v>45</v>
      </c>
      <c r="B6" s="2">
        <v>1</v>
      </c>
    </row>
    <row r="7" spans="1:13" x14ac:dyDescent="0.2">
      <c r="A7" s="2" t="s">
        <v>46</v>
      </c>
      <c r="B7" s="2">
        <v>1000000</v>
      </c>
    </row>
    <row r="9" spans="1:13" x14ac:dyDescent="0.2">
      <c r="B9" s="34"/>
      <c r="C9" s="34"/>
    </row>
    <row r="10" spans="1:13" s="9" customFormat="1" x14ac:dyDescent="0.2">
      <c r="A10" s="9" t="s">
        <v>86</v>
      </c>
      <c r="B10" s="9" t="s">
        <v>90</v>
      </c>
      <c r="C10" s="9" t="s">
        <v>89</v>
      </c>
      <c r="D10" s="9" t="s">
        <v>87</v>
      </c>
      <c r="E10" s="9" t="s">
        <v>91</v>
      </c>
      <c r="F10" s="9" t="s">
        <v>92</v>
      </c>
      <c r="G10" s="9" t="s">
        <v>47</v>
      </c>
      <c r="H10" s="9" t="s">
        <v>48</v>
      </c>
      <c r="I10" s="9" t="s">
        <v>49</v>
      </c>
      <c r="J10" s="9" t="s">
        <v>50</v>
      </c>
      <c r="K10" s="9" t="s">
        <v>51</v>
      </c>
      <c r="L10" s="9" t="s">
        <v>52</v>
      </c>
      <c r="M10" s="9" t="s">
        <v>53</v>
      </c>
    </row>
    <row r="11" spans="1:13" s="9" customFormat="1" x14ac:dyDescent="0.2">
      <c r="A11" s="9">
        <v>10</v>
      </c>
      <c r="B11" s="9">
        <v>1</v>
      </c>
      <c r="C11" s="5">
        <f>A11*B11</f>
        <v>10</v>
      </c>
      <c r="D11" s="9">
        <v>10</v>
      </c>
      <c r="E11" s="9">
        <v>1</v>
      </c>
      <c r="F11" s="5">
        <f>C11/D11/E11</f>
        <v>1</v>
      </c>
      <c r="G11" s="5">
        <f>J11/I11</f>
        <v>1</v>
      </c>
      <c r="H11" s="5">
        <f>I11</f>
        <v>1</v>
      </c>
      <c r="I11" s="7">
        <f>SQRT(F11/J11)</f>
        <v>1</v>
      </c>
      <c r="J11" s="9">
        <v>1</v>
      </c>
      <c r="K11" s="5">
        <f>H11*I11</f>
        <v>1</v>
      </c>
      <c r="L11" s="5">
        <f>J11</f>
        <v>1</v>
      </c>
      <c r="M11" s="5">
        <f>(1/4*G11*H11*I11*I11+1/2*J11*H11*I11+1/4*G11*K11*I11+1/2*J11*K11)/1.5</f>
        <v>1</v>
      </c>
    </row>
    <row r="12" spans="1:13" x14ac:dyDescent="0.2">
      <c r="A12" s="9">
        <v>10</v>
      </c>
      <c r="B12" s="9">
        <v>2</v>
      </c>
      <c r="C12" s="5">
        <f t="shared" ref="C12:C30" si="0">A12*B12</f>
        <v>20</v>
      </c>
      <c r="D12" s="9">
        <v>10</v>
      </c>
      <c r="E12" s="9">
        <v>1</v>
      </c>
      <c r="F12" s="5">
        <f t="shared" ref="F12:F30" si="1">C12/D12/E12</f>
        <v>2</v>
      </c>
      <c r="G12" s="5">
        <f t="shared" ref="G12:G30" si="2">J12/I12</f>
        <v>0.76079727917494555</v>
      </c>
      <c r="H12" s="5">
        <f t="shared" ref="H12:H30" si="3">I12</f>
        <v>1.3801311186847085</v>
      </c>
      <c r="I12" s="7">
        <f t="shared" ref="I12:I30" si="4">SQRT(F12/J12)</f>
        <v>1.3801311186847085</v>
      </c>
      <c r="J12" s="9">
        <v>1.05</v>
      </c>
      <c r="K12" s="5">
        <f t="shared" ref="K12:K30" si="5">H12*I12</f>
        <v>1.9047619047619049</v>
      </c>
      <c r="L12" s="5">
        <f t="shared" ref="L12:L30" si="6">J12</f>
        <v>1.05</v>
      </c>
      <c r="M12" s="5">
        <f t="shared" ref="M12:M30" si="7">(1/4*G12*H12*I12*I12+1/2*J12*H12*I12+1/4*G12*K12*I12+1/2*J12*K12)/1.5</f>
        <v>2</v>
      </c>
    </row>
    <row r="13" spans="1:13" x14ac:dyDescent="0.2">
      <c r="A13" s="9">
        <v>10</v>
      </c>
      <c r="B13" s="9">
        <v>3</v>
      </c>
      <c r="C13" s="5">
        <f t="shared" si="0"/>
        <v>30</v>
      </c>
      <c r="D13" s="9">
        <v>10</v>
      </c>
      <c r="E13" s="9">
        <v>1</v>
      </c>
      <c r="F13" s="5">
        <f t="shared" si="1"/>
        <v>3</v>
      </c>
      <c r="G13" s="5">
        <f t="shared" si="2"/>
        <v>0.66608307790144816</v>
      </c>
      <c r="H13" s="5">
        <f t="shared" si="3"/>
        <v>1.6514456476895409</v>
      </c>
      <c r="I13" s="7">
        <f t="shared" si="4"/>
        <v>1.6514456476895409</v>
      </c>
      <c r="J13" s="9">
        <v>1.1000000000000001</v>
      </c>
      <c r="K13" s="5">
        <f t="shared" si="5"/>
        <v>2.7272727272727275</v>
      </c>
      <c r="L13" s="5">
        <f t="shared" si="6"/>
        <v>1.1000000000000001</v>
      </c>
      <c r="M13" s="5">
        <f t="shared" si="7"/>
        <v>3.0000000000000004</v>
      </c>
    </row>
    <row r="14" spans="1:13" x14ac:dyDescent="0.2">
      <c r="A14" s="9">
        <v>10</v>
      </c>
      <c r="B14" s="9">
        <v>4</v>
      </c>
      <c r="C14" s="5">
        <f t="shared" si="0"/>
        <v>40</v>
      </c>
      <c r="D14" s="9">
        <v>10</v>
      </c>
      <c r="E14" s="9">
        <v>1</v>
      </c>
      <c r="F14" s="5">
        <f t="shared" si="1"/>
        <v>4</v>
      </c>
      <c r="G14" s="5">
        <f t="shared" si="2"/>
        <v>0.61661880444890738</v>
      </c>
      <c r="H14" s="5">
        <f t="shared" si="3"/>
        <v>1.8650096164806276</v>
      </c>
      <c r="I14" s="7">
        <f t="shared" si="4"/>
        <v>1.8650096164806276</v>
      </c>
      <c r="J14" s="9">
        <v>1.1499999999999999</v>
      </c>
      <c r="K14" s="5">
        <f t="shared" si="5"/>
        <v>3.4782608695652177</v>
      </c>
      <c r="L14" s="5">
        <f t="shared" si="6"/>
        <v>1.1499999999999999</v>
      </c>
      <c r="M14" s="5">
        <f t="shared" si="7"/>
        <v>4</v>
      </c>
    </row>
    <row r="15" spans="1:13" x14ac:dyDescent="0.2">
      <c r="A15" s="9">
        <v>10</v>
      </c>
      <c r="B15" s="9">
        <v>5</v>
      </c>
      <c r="C15" s="5">
        <f t="shared" si="0"/>
        <v>50</v>
      </c>
      <c r="D15" s="9">
        <v>10</v>
      </c>
      <c r="E15" s="9">
        <v>1</v>
      </c>
      <c r="F15" s="5">
        <f t="shared" si="1"/>
        <v>5</v>
      </c>
      <c r="G15" s="5">
        <f t="shared" si="2"/>
        <v>0.58787753826796274</v>
      </c>
      <c r="H15" s="5">
        <f t="shared" si="3"/>
        <v>2.0412414523193152</v>
      </c>
      <c r="I15" s="7">
        <f t="shared" si="4"/>
        <v>2.0412414523193152</v>
      </c>
      <c r="J15" s="9">
        <v>1.2</v>
      </c>
      <c r="K15" s="5">
        <f t="shared" si="5"/>
        <v>4.166666666666667</v>
      </c>
      <c r="L15" s="5">
        <f t="shared" si="6"/>
        <v>1.2</v>
      </c>
      <c r="M15" s="5">
        <f t="shared" si="7"/>
        <v>5.0000000000000009</v>
      </c>
    </row>
    <row r="16" spans="1:13" x14ac:dyDescent="0.2">
      <c r="A16" s="9">
        <v>10</v>
      </c>
      <c r="B16" s="9">
        <v>6</v>
      </c>
      <c r="C16" s="5">
        <f t="shared" si="0"/>
        <v>60</v>
      </c>
      <c r="D16" s="9">
        <v>10</v>
      </c>
      <c r="E16" s="9">
        <v>1</v>
      </c>
      <c r="F16" s="5">
        <f t="shared" si="1"/>
        <v>6</v>
      </c>
      <c r="G16" s="5">
        <f t="shared" si="2"/>
        <v>0.53665631459994945</v>
      </c>
      <c r="H16" s="5">
        <f t="shared" si="3"/>
        <v>2.2360679774997898</v>
      </c>
      <c r="I16" s="7">
        <f t="shared" si="4"/>
        <v>2.2360679774997898</v>
      </c>
      <c r="J16" s="9">
        <v>1.2</v>
      </c>
      <c r="K16" s="5">
        <f t="shared" si="5"/>
        <v>5.0000000000000009</v>
      </c>
      <c r="L16" s="5">
        <f t="shared" si="6"/>
        <v>1.2</v>
      </c>
      <c r="M16" s="5">
        <f t="shared" si="7"/>
        <v>6</v>
      </c>
    </row>
    <row r="17" spans="1:13" x14ac:dyDescent="0.2">
      <c r="A17" s="9">
        <v>10</v>
      </c>
      <c r="B17" s="9">
        <v>7</v>
      </c>
      <c r="C17" s="5">
        <f t="shared" si="0"/>
        <v>70</v>
      </c>
      <c r="D17" s="9">
        <v>10</v>
      </c>
      <c r="E17" s="9">
        <v>1</v>
      </c>
      <c r="F17" s="5">
        <f t="shared" si="1"/>
        <v>7</v>
      </c>
      <c r="G17" s="5">
        <f t="shared" si="2"/>
        <v>0.49684720272649502</v>
      </c>
      <c r="H17" s="5">
        <f t="shared" si="3"/>
        <v>2.4152294576982398</v>
      </c>
      <c r="I17" s="7">
        <f t="shared" si="4"/>
        <v>2.4152294576982398</v>
      </c>
      <c r="J17" s="9">
        <v>1.2</v>
      </c>
      <c r="K17" s="5">
        <f t="shared" si="5"/>
        <v>5.8333333333333339</v>
      </c>
      <c r="L17" s="5">
        <f t="shared" si="6"/>
        <v>1.2</v>
      </c>
      <c r="M17" s="5">
        <f t="shared" si="7"/>
        <v>7.0000000000000009</v>
      </c>
    </row>
    <row r="18" spans="1:13" x14ac:dyDescent="0.2">
      <c r="A18" s="9">
        <v>10</v>
      </c>
      <c r="B18" s="9">
        <v>8</v>
      </c>
      <c r="C18" s="5">
        <f t="shared" si="0"/>
        <v>80</v>
      </c>
      <c r="D18" s="9">
        <v>10</v>
      </c>
      <c r="E18" s="9">
        <v>1</v>
      </c>
      <c r="F18" s="5">
        <f t="shared" si="1"/>
        <v>8</v>
      </c>
      <c r="G18" s="5">
        <f t="shared" si="2"/>
        <v>0.46475800154489</v>
      </c>
      <c r="H18" s="5">
        <f t="shared" si="3"/>
        <v>2.5819888974716112</v>
      </c>
      <c r="I18" s="7">
        <f t="shared" si="4"/>
        <v>2.5819888974716112</v>
      </c>
      <c r="J18" s="9">
        <v>1.2</v>
      </c>
      <c r="K18" s="5">
        <f t="shared" si="5"/>
        <v>6.6666666666666661</v>
      </c>
      <c r="L18" s="5">
        <f t="shared" si="6"/>
        <v>1.2</v>
      </c>
      <c r="M18" s="5">
        <f t="shared" si="7"/>
        <v>7.9999999999999991</v>
      </c>
    </row>
    <row r="19" spans="1:13" x14ac:dyDescent="0.2">
      <c r="A19" s="9">
        <v>10</v>
      </c>
      <c r="B19" s="9">
        <v>9</v>
      </c>
      <c r="C19" s="5">
        <f t="shared" si="0"/>
        <v>90</v>
      </c>
      <c r="D19" s="9">
        <v>10</v>
      </c>
      <c r="E19" s="9">
        <v>1</v>
      </c>
      <c r="F19" s="5">
        <f t="shared" si="1"/>
        <v>9</v>
      </c>
      <c r="G19" s="5">
        <f t="shared" si="2"/>
        <v>0.43817804600413285</v>
      </c>
      <c r="H19" s="5">
        <f t="shared" si="3"/>
        <v>2.7386127875258306</v>
      </c>
      <c r="I19" s="7">
        <f t="shared" si="4"/>
        <v>2.7386127875258306</v>
      </c>
      <c r="J19" s="9">
        <v>1.2</v>
      </c>
      <c r="K19" s="5">
        <f t="shared" si="5"/>
        <v>7.5</v>
      </c>
      <c r="L19" s="5">
        <f t="shared" si="6"/>
        <v>1.2</v>
      </c>
      <c r="M19" s="5">
        <f t="shared" si="7"/>
        <v>9</v>
      </c>
    </row>
    <row r="20" spans="1:13" x14ac:dyDescent="0.2">
      <c r="A20" s="9">
        <v>10</v>
      </c>
      <c r="B20" s="9">
        <v>10</v>
      </c>
      <c r="C20" s="5">
        <f t="shared" si="0"/>
        <v>100</v>
      </c>
      <c r="D20" s="9">
        <v>10</v>
      </c>
      <c r="E20" s="9">
        <v>1</v>
      </c>
      <c r="F20" s="5">
        <f t="shared" si="1"/>
        <v>10</v>
      </c>
      <c r="G20" s="5">
        <f t="shared" si="2"/>
        <v>0.4156921938165305</v>
      </c>
      <c r="H20" s="5">
        <f t="shared" si="3"/>
        <v>2.8867513459481291</v>
      </c>
      <c r="I20" s="7">
        <f t="shared" si="4"/>
        <v>2.8867513459481291</v>
      </c>
      <c r="J20" s="9">
        <v>1.2</v>
      </c>
      <c r="K20" s="5">
        <f t="shared" si="5"/>
        <v>8.3333333333333357</v>
      </c>
      <c r="L20" s="5">
        <f t="shared" si="6"/>
        <v>1.2</v>
      </c>
      <c r="M20" s="5">
        <f t="shared" si="7"/>
        <v>10.000000000000002</v>
      </c>
    </row>
    <row r="21" spans="1:13" x14ac:dyDescent="0.2">
      <c r="A21" s="9">
        <v>10</v>
      </c>
      <c r="B21" s="9">
        <v>11</v>
      </c>
      <c r="C21" s="5">
        <f t="shared" si="0"/>
        <v>110</v>
      </c>
      <c r="D21" s="9">
        <v>10</v>
      </c>
      <c r="E21" s="9">
        <v>1</v>
      </c>
      <c r="F21" s="5">
        <f t="shared" si="1"/>
        <v>11</v>
      </c>
      <c r="G21" s="5">
        <f t="shared" si="2"/>
        <v>0.39634695544548981</v>
      </c>
      <c r="H21" s="5">
        <f t="shared" si="3"/>
        <v>3.0276503540974917</v>
      </c>
      <c r="I21" s="7">
        <f t="shared" si="4"/>
        <v>3.0276503540974917</v>
      </c>
      <c r="J21" s="9">
        <v>1.2</v>
      </c>
      <c r="K21" s="5">
        <f t="shared" si="5"/>
        <v>9.1666666666666679</v>
      </c>
      <c r="L21" s="5">
        <f t="shared" si="6"/>
        <v>1.2</v>
      </c>
      <c r="M21" s="5">
        <f t="shared" si="7"/>
        <v>11</v>
      </c>
    </row>
    <row r="22" spans="1:13" x14ac:dyDescent="0.2">
      <c r="A22" s="9">
        <v>10</v>
      </c>
      <c r="B22" s="9">
        <v>12</v>
      </c>
      <c r="C22" s="5">
        <f t="shared" si="0"/>
        <v>120</v>
      </c>
      <c r="D22" s="9">
        <v>10</v>
      </c>
      <c r="E22" s="9">
        <v>1</v>
      </c>
      <c r="F22" s="5">
        <f t="shared" si="1"/>
        <v>12</v>
      </c>
      <c r="G22" s="5">
        <f t="shared" si="2"/>
        <v>0.3794733192202055</v>
      </c>
      <c r="H22" s="5">
        <f t="shared" si="3"/>
        <v>3.1622776601683795</v>
      </c>
      <c r="I22" s="7">
        <f t="shared" si="4"/>
        <v>3.1622776601683795</v>
      </c>
      <c r="J22" s="9">
        <v>1.2</v>
      </c>
      <c r="K22" s="5">
        <f t="shared" si="5"/>
        <v>10.000000000000002</v>
      </c>
      <c r="L22" s="5">
        <f t="shared" si="6"/>
        <v>1.2</v>
      </c>
      <c r="M22" s="5">
        <f t="shared" si="7"/>
        <v>12</v>
      </c>
    </row>
    <row r="23" spans="1:13" x14ac:dyDescent="0.2">
      <c r="A23" s="9">
        <v>10</v>
      </c>
      <c r="B23" s="9">
        <v>13</v>
      </c>
      <c r="C23" s="5">
        <f t="shared" si="0"/>
        <v>130</v>
      </c>
      <c r="D23" s="9">
        <v>10</v>
      </c>
      <c r="E23" s="9">
        <v>1</v>
      </c>
      <c r="F23" s="5">
        <f t="shared" si="1"/>
        <v>13</v>
      </c>
      <c r="G23" s="5">
        <f t="shared" si="2"/>
        <v>0.36458617215011996</v>
      </c>
      <c r="H23" s="5">
        <f t="shared" si="3"/>
        <v>3.2914029430219167</v>
      </c>
      <c r="I23" s="7">
        <f t="shared" si="4"/>
        <v>3.2914029430219167</v>
      </c>
      <c r="J23" s="9">
        <v>1.2</v>
      </c>
      <c r="K23" s="5">
        <f t="shared" si="5"/>
        <v>10.833333333333334</v>
      </c>
      <c r="L23" s="5">
        <f t="shared" si="6"/>
        <v>1.2</v>
      </c>
      <c r="M23" s="5">
        <f t="shared" si="7"/>
        <v>13</v>
      </c>
    </row>
    <row r="24" spans="1:13" x14ac:dyDescent="0.2">
      <c r="A24" s="9">
        <v>10</v>
      </c>
      <c r="B24" s="9">
        <v>14</v>
      </c>
      <c r="C24" s="5">
        <f t="shared" si="0"/>
        <v>140</v>
      </c>
      <c r="D24" s="9">
        <v>10</v>
      </c>
      <c r="E24" s="9">
        <v>1</v>
      </c>
      <c r="F24" s="5">
        <f t="shared" si="1"/>
        <v>14</v>
      </c>
      <c r="G24" s="5">
        <f t="shared" si="2"/>
        <v>0.35132402626147191</v>
      </c>
      <c r="H24" s="5">
        <f t="shared" si="3"/>
        <v>3.4156502553198664</v>
      </c>
      <c r="I24" s="7">
        <f t="shared" si="4"/>
        <v>3.4156502553198664</v>
      </c>
      <c r="J24" s="9">
        <v>1.2</v>
      </c>
      <c r="K24" s="5">
        <f t="shared" si="5"/>
        <v>11.66666666666667</v>
      </c>
      <c r="L24" s="5">
        <f t="shared" si="6"/>
        <v>1.2</v>
      </c>
      <c r="M24" s="5">
        <f t="shared" si="7"/>
        <v>14.000000000000002</v>
      </c>
    </row>
    <row r="25" spans="1:13" x14ac:dyDescent="0.2">
      <c r="A25" s="9">
        <v>10</v>
      </c>
      <c r="B25" s="9">
        <v>15</v>
      </c>
      <c r="C25" s="5">
        <f t="shared" si="0"/>
        <v>150</v>
      </c>
      <c r="D25" s="9">
        <v>10</v>
      </c>
      <c r="E25" s="9">
        <v>1</v>
      </c>
      <c r="F25" s="5">
        <f t="shared" si="1"/>
        <v>15</v>
      </c>
      <c r="G25" s="5">
        <f t="shared" si="2"/>
        <v>0.33941125496954277</v>
      </c>
      <c r="H25" s="5">
        <f t="shared" si="3"/>
        <v>3.5355339059327378</v>
      </c>
      <c r="I25" s="7">
        <f t="shared" si="4"/>
        <v>3.5355339059327378</v>
      </c>
      <c r="J25" s="9">
        <v>1.2</v>
      </c>
      <c r="K25" s="5">
        <f t="shared" si="5"/>
        <v>12.500000000000002</v>
      </c>
      <c r="L25" s="5">
        <f t="shared" si="6"/>
        <v>1.2</v>
      </c>
      <c r="M25" s="5">
        <f t="shared" si="7"/>
        <v>15</v>
      </c>
    </row>
    <row r="26" spans="1:13" x14ac:dyDescent="0.2">
      <c r="A26" s="9">
        <v>10</v>
      </c>
      <c r="B26" s="9">
        <v>16</v>
      </c>
      <c r="C26" s="5">
        <f t="shared" si="0"/>
        <v>160</v>
      </c>
      <c r="D26" s="9">
        <v>10</v>
      </c>
      <c r="E26" s="9">
        <v>1</v>
      </c>
      <c r="F26" s="5">
        <f t="shared" si="1"/>
        <v>16</v>
      </c>
      <c r="G26" s="5">
        <f t="shared" si="2"/>
        <v>0.32863353450309962</v>
      </c>
      <c r="H26" s="5">
        <f t="shared" si="3"/>
        <v>3.6514837167011076</v>
      </c>
      <c r="I26" s="7">
        <f t="shared" si="4"/>
        <v>3.6514837167011076</v>
      </c>
      <c r="J26" s="9">
        <v>1.2</v>
      </c>
      <c r="K26" s="5">
        <f t="shared" si="5"/>
        <v>13.333333333333334</v>
      </c>
      <c r="L26" s="5">
        <f t="shared" si="6"/>
        <v>1.2</v>
      </c>
      <c r="M26" s="5">
        <f t="shared" si="7"/>
        <v>16</v>
      </c>
    </row>
    <row r="27" spans="1:13" x14ac:dyDescent="0.2">
      <c r="A27" s="9">
        <v>10</v>
      </c>
      <c r="B27" s="9">
        <v>17</v>
      </c>
      <c r="C27" s="5">
        <f t="shared" si="0"/>
        <v>170</v>
      </c>
      <c r="D27" s="9">
        <v>10</v>
      </c>
      <c r="E27" s="9">
        <v>1</v>
      </c>
      <c r="F27" s="5">
        <f t="shared" si="1"/>
        <v>17</v>
      </c>
      <c r="G27" s="5">
        <f t="shared" si="2"/>
        <v>0.3188213587944343</v>
      </c>
      <c r="H27" s="5">
        <f t="shared" si="3"/>
        <v>3.7638632635454052</v>
      </c>
      <c r="I27" s="7">
        <f t="shared" si="4"/>
        <v>3.7638632635454052</v>
      </c>
      <c r="J27" s="9">
        <v>1.2</v>
      </c>
      <c r="K27" s="5">
        <f t="shared" si="5"/>
        <v>14.166666666666668</v>
      </c>
      <c r="L27" s="5">
        <f t="shared" si="6"/>
        <v>1.2</v>
      </c>
      <c r="M27" s="5">
        <f t="shared" si="7"/>
        <v>17.000000000000004</v>
      </c>
    </row>
    <row r="28" spans="1:13" x14ac:dyDescent="0.2">
      <c r="A28" s="9">
        <v>10</v>
      </c>
      <c r="B28" s="9">
        <v>18</v>
      </c>
      <c r="C28" s="5">
        <f t="shared" si="0"/>
        <v>180</v>
      </c>
      <c r="D28" s="9">
        <v>10</v>
      </c>
      <c r="E28" s="9">
        <v>1</v>
      </c>
      <c r="F28" s="5">
        <f t="shared" si="1"/>
        <v>18</v>
      </c>
      <c r="G28" s="5">
        <f t="shared" si="2"/>
        <v>0.30983866769659335</v>
      </c>
      <c r="H28" s="5">
        <f t="shared" si="3"/>
        <v>3.872983346207417</v>
      </c>
      <c r="I28" s="7">
        <f t="shared" si="4"/>
        <v>3.872983346207417</v>
      </c>
      <c r="J28" s="9">
        <v>1.2</v>
      </c>
      <c r="K28" s="5">
        <f t="shared" si="5"/>
        <v>15.000000000000002</v>
      </c>
      <c r="L28" s="5">
        <f t="shared" si="6"/>
        <v>1.2</v>
      </c>
      <c r="M28" s="5">
        <f t="shared" si="7"/>
        <v>18</v>
      </c>
    </row>
    <row r="29" spans="1:13" x14ac:dyDescent="0.2">
      <c r="A29" s="9">
        <v>10</v>
      </c>
      <c r="B29" s="9">
        <v>19</v>
      </c>
      <c r="C29" s="5">
        <f t="shared" si="0"/>
        <v>190</v>
      </c>
      <c r="D29" s="9">
        <v>10</v>
      </c>
      <c r="E29" s="9">
        <v>1</v>
      </c>
      <c r="F29" s="5">
        <f t="shared" si="1"/>
        <v>19</v>
      </c>
      <c r="G29" s="5">
        <f t="shared" si="2"/>
        <v>0.30157481397002073</v>
      </c>
      <c r="H29" s="5">
        <f t="shared" si="3"/>
        <v>3.9791121287711073</v>
      </c>
      <c r="I29" s="7">
        <f t="shared" si="4"/>
        <v>3.9791121287711073</v>
      </c>
      <c r="J29" s="9">
        <v>1.2</v>
      </c>
      <c r="K29" s="5">
        <f t="shared" si="5"/>
        <v>15.833333333333334</v>
      </c>
      <c r="L29" s="5">
        <f t="shared" si="6"/>
        <v>1.2</v>
      </c>
      <c r="M29" s="5">
        <f t="shared" si="7"/>
        <v>19</v>
      </c>
    </row>
    <row r="30" spans="1:13" x14ac:dyDescent="0.2">
      <c r="A30" s="9">
        <v>10</v>
      </c>
      <c r="B30" s="9">
        <v>20</v>
      </c>
      <c r="C30" s="5">
        <f t="shared" si="0"/>
        <v>200</v>
      </c>
      <c r="D30" s="9">
        <v>10</v>
      </c>
      <c r="E30" s="9">
        <v>1</v>
      </c>
      <c r="F30" s="5">
        <f t="shared" si="1"/>
        <v>20</v>
      </c>
      <c r="G30" s="5">
        <f t="shared" si="2"/>
        <v>0.29393876913398137</v>
      </c>
      <c r="H30" s="5">
        <f t="shared" si="3"/>
        <v>4.0824829046386304</v>
      </c>
      <c r="I30" s="7">
        <f t="shared" si="4"/>
        <v>4.0824829046386304</v>
      </c>
      <c r="J30" s="9">
        <v>1.2</v>
      </c>
      <c r="K30" s="5">
        <f t="shared" si="5"/>
        <v>16.666666666666668</v>
      </c>
      <c r="L30" s="5">
        <f t="shared" si="6"/>
        <v>1.2</v>
      </c>
      <c r="M30" s="5">
        <f t="shared" si="7"/>
        <v>20.000000000000004</v>
      </c>
    </row>
    <row r="34" spans="1:1" x14ac:dyDescent="0.2">
      <c r="A34" s="8"/>
    </row>
    <row r="40" spans="1:1" x14ac:dyDescent="0.2">
      <c r="A40" s="3"/>
    </row>
  </sheetData>
  <mergeCells count="1">
    <mergeCell ref="B9:C9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AD95C-6749-4D0E-8A0D-4BFD09E15A10}">
  <dimension ref="A3:O67"/>
  <sheetViews>
    <sheetView topLeftCell="D17" workbookViewId="0">
      <selection activeCell="J38" sqref="J38"/>
    </sheetView>
  </sheetViews>
  <sheetFormatPr defaultRowHeight="12" x14ac:dyDescent="0.2"/>
  <cols>
    <col min="1" max="1" width="14.375" style="2" bestFit="1" customWidth="1"/>
    <col min="2" max="5" width="13.875" style="2" bestFit="1" customWidth="1"/>
    <col min="6" max="6" width="35.625" style="2" bestFit="1" customWidth="1"/>
    <col min="7" max="11" width="17.75" style="2" bestFit="1" customWidth="1"/>
    <col min="12" max="12" width="23.5" style="2" bestFit="1" customWidth="1"/>
    <col min="13" max="13" width="17.75" style="2" bestFit="1" customWidth="1"/>
    <col min="14" max="14" width="17.125" style="2" bestFit="1" customWidth="1"/>
    <col min="15" max="15" width="21.375" style="2" bestFit="1" customWidth="1"/>
    <col min="16" max="16384" width="9" style="2"/>
  </cols>
  <sheetData>
    <row r="3" spans="1:12" x14ac:dyDescent="0.2">
      <c r="A3" s="2" t="s">
        <v>119</v>
      </c>
      <c r="B3" s="2" t="s">
        <v>93</v>
      </c>
      <c r="C3" s="2" t="s">
        <v>94</v>
      </c>
    </row>
    <row r="4" spans="1:12" s="10" customFormat="1" x14ac:dyDescent="0.2">
      <c r="A4" s="6">
        <v>1</v>
      </c>
      <c r="B4" s="10">
        <v>0.8</v>
      </c>
      <c r="C4" s="10">
        <v>1.2</v>
      </c>
    </row>
    <row r="5" spans="1:12" s="10" customFormat="1" x14ac:dyDescent="0.2"/>
    <row r="6" spans="1:12" x14ac:dyDescent="0.2">
      <c r="A6" s="2" t="s">
        <v>88</v>
      </c>
      <c r="B6" s="34"/>
      <c r="C6" s="34"/>
    </row>
    <row r="7" spans="1:12" x14ac:dyDescent="0.2">
      <c r="A7" s="9" t="s">
        <v>86</v>
      </c>
      <c r="B7" s="9" t="s">
        <v>90</v>
      </c>
      <c r="C7" s="9" t="s">
        <v>89</v>
      </c>
      <c r="D7" s="9" t="s">
        <v>87</v>
      </c>
      <c r="E7" s="9" t="s">
        <v>91</v>
      </c>
      <c r="F7" s="2" t="s">
        <v>92</v>
      </c>
      <c r="G7" s="2" t="s">
        <v>47</v>
      </c>
      <c r="H7" s="2" t="s">
        <v>48</v>
      </c>
      <c r="I7" s="2" t="s">
        <v>49</v>
      </c>
      <c r="J7" s="2" t="s">
        <v>50</v>
      </c>
      <c r="K7" s="2" t="s">
        <v>51</v>
      </c>
      <c r="L7" s="2" t="s">
        <v>53</v>
      </c>
    </row>
    <row r="8" spans="1:12" s="9" customFormat="1" x14ac:dyDescent="0.2">
      <c r="A8" s="9">
        <v>10</v>
      </c>
      <c r="B8" s="9">
        <v>1</v>
      </c>
      <c r="C8" s="5">
        <f>A8*B8</f>
        <v>10</v>
      </c>
      <c r="D8" s="9">
        <v>5</v>
      </c>
      <c r="E8" s="9">
        <v>1</v>
      </c>
      <c r="F8" s="5">
        <f>C8/D8/E8</f>
        <v>2</v>
      </c>
      <c r="G8" s="5">
        <f>$B$4</f>
        <v>0.8</v>
      </c>
      <c r="H8" s="12">
        <v>2</v>
      </c>
      <c r="I8" s="21">
        <f>$A$4</f>
        <v>1</v>
      </c>
      <c r="J8" s="5">
        <f>$C$4</f>
        <v>1.2</v>
      </c>
      <c r="K8" s="5">
        <f>H8*I8</f>
        <v>2</v>
      </c>
      <c r="L8" s="5">
        <f>(1/4*G8*H8*I8*I8+1/2*J8*H8*I8+1/4*G8*K8*I8+1/2*J8*K8)/1.5</f>
        <v>2.1333333333333333</v>
      </c>
    </row>
    <row r="10" spans="1:12" s="16" customFormat="1" x14ac:dyDescent="0.2">
      <c r="A10" s="16" t="s">
        <v>113</v>
      </c>
    </row>
    <row r="11" spans="1:12" x14ac:dyDescent="0.2">
      <c r="A11" s="2" t="s">
        <v>110</v>
      </c>
      <c r="B11" s="2" t="s">
        <v>111</v>
      </c>
      <c r="C11" s="2" t="s">
        <v>112</v>
      </c>
    </row>
    <row r="12" spans="1:12" s="16" customFormat="1" x14ac:dyDescent="0.2">
      <c r="A12" s="16">
        <v>1</v>
      </c>
      <c r="B12" s="13">
        <f>'[3]功能-军团boss活动'!Q11</f>
        <v>20</v>
      </c>
      <c r="C12" s="13">
        <f>'[3]功能-军团boss活动'!AA11</f>
        <v>2658288021.7453041</v>
      </c>
    </row>
    <row r="13" spans="1:12" s="16" customFormat="1" x14ac:dyDescent="0.2">
      <c r="A13" s="16">
        <v>2</v>
      </c>
      <c r="B13" s="13">
        <f>'[3]功能-军团boss活动'!Q12</f>
        <v>28.071211008105138</v>
      </c>
      <c r="C13" s="13">
        <f>'[3]功能-军团boss活动'!AA12</f>
        <v>5386391892.6952181</v>
      </c>
    </row>
    <row r="14" spans="1:12" s="16" customFormat="1" x14ac:dyDescent="0.2">
      <c r="A14" s="16">
        <v>3</v>
      </c>
      <c r="B14" s="13">
        <f>'[3]功能-军团boss活动'!Q13</f>
        <v>33.213386604241784</v>
      </c>
      <c r="C14" s="13">
        <f>'[3]功能-军团boss活动'!AA13</f>
        <v>14824820910.115423</v>
      </c>
    </row>
    <row r="15" spans="1:12" s="16" customFormat="1" x14ac:dyDescent="0.2">
      <c r="A15" s="16">
        <v>4</v>
      </c>
      <c r="B15" s="13">
        <f>'[3]功能-军团boss活动'!Q14</f>
        <v>37.004247194324648</v>
      </c>
      <c r="C15" s="13">
        <f>'[3]功能-军团boss活动'!AA14</f>
        <v>21170392075.271721</v>
      </c>
    </row>
    <row r="16" spans="1:12" s="16" customFormat="1" x14ac:dyDescent="0.2">
      <c r="A16" s="16">
        <v>5</v>
      </c>
      <c r="B16" s="13">
        <f>'[3]功能-军团boss活动'!Q15</f>
        <v>40</v>
      </c>
      <c r="C16" s="13">
        <f>'[3]功能-军团boss活动'!AA15</f>
        <v>34371199569.778328</v>
      </c>
    </row>
    <row r="17" spans="1:15" s="16" customFormat="1" x14ac:dyDescent="0.2">
      <c r="A17" s="16">
        <v>6</v>
      </c>
      <c r="B17" s="13">
        <f>'[3]功能-军团boss活动'!Q16</f>
        <v>43.920692243099523</v>
      </c>
      <c r="C17" s="13">
        <f>'[3]功能-军团boss活动'!AA16</f>
        <v>48226980086.772774</v>
      </c>
    </row>
    <row r="18" spans="1:15" s="16" customFormat="1" x14ac:dyDescent="0.2">
      <c r="A18" s="16">
        <v>7</v>
      </c>
      <c r="B18" s="13">
        <f>'[3]功能-军团boss活动'!Q17</f>
        <v>48.071211008105138</v>
      </c>
      <c r="C18" s="13">
        <f>'[3]功能-军团boss活动'!AA17</f>
        <v>84966035151.295792</v>
      </c>
    </row>
    <row r="19" spans="1:15" s="16" customFormat="1" x14ac:dyDescent="0.2">
      <c r="A19" s="16">
        <v>8</v>
      </c>
      <c r="B19" s="13">
        <f>'[3]功能-军团boss活动'!Q18</f>
        <v>53.213386604241784</v>
      </c>
      <c r="C19" s="13">
        <f>'[3]功能-军团boss活动'!AA18</f>
        <v>148981858116.39514</v>
      </c>
    </row>
    <row r="20" spans="1:15" s="16" customFormat="1" x14ac:dyDescent="0.2">
      <c r="A20" s="16">
        <v>9</v>
      </c>
      <c r="B20" s="13">
        <f>'[3]功能-军团boss活动'!Q19</f>
        <v>56.717296680108156</v>
      </c>
      <c r="C20" s="13">
        <f>'[3]功能-军团boss活动'!AA19</f>
        <v>222240185362.08664</v>
      </c>
    </row>
    <row r="21" spans="1:15" s="16" customFormat="1" x14ac:dyDescent="0.2">
      <c r="A21" s="16">
        <v>10</v>
      </c>
      <c r="B21" s="13">
        <f>'[3]功能-军团boss活动'!Q20</f>
        <v>60.435397692903535</v>
      </c>
      <c r="C21" s="13">
        <f>'[3]功能-军团boss活动'!AA20</f>
        <v>325293790659.08075</v>
      </c>
    </row>
    <row r="22" spans="1:15" s="16" customFormat="1" x14ac:dyDescent="0.2">
      <c r="A22" s="16">
        <v>11</v>
      </c>
      <c r="B22" s="13">
        <f>'[3]功能-军团boss活动'!Q21</f>
        <v>63.39021301395622</v>
      </c>
      <c r="C22" s="13">
        <f>'[3]功能-军团boss活动'!AA21</f>
        <v>444752254529.35345</v>
      </c>
    </row>
    <row r="23" spans="1:15" s="16" customFormat="1" x14ac:dyDescent="0.2">
      <c r="A23" s="16">
        <v>12</v>
      </c>
      <c r="B23" s="13">
        <f>'[3]功能-军团boss活动'!Q22</f>
        <v>67.942312709427185</v>
      </c>
      <c r="C23" s="13">
        <f>'[3]功能-军团boss活动'!AA22</f>
        <v>639357677732.95264</v>
      </c>
    </row>
    <row r="24" spans="1:15" s="16" customFormat="1" x14ac:dyDescent="0.2">
      <c r="A24" s="16">
        <v>13</v>
      </c>
      <c r="B24" s="13">
        <f>'[3]功能-军团boss活动'!Q23</f>
        <v>72.375871759353331</v>
      </c>
      <c r="C24" s="13">
        <f>'[3]功能-军团boss活动'!AA23</f>
        <v>888516876461.80688</v>
      </c>
    </row>
    <row r="25" spans="1:15" s="16" customFormat="1" x14ac:dyDescent="0.2">
      <c r="A25" s="16">
        <v>14</v>
      </c>
      <c r="B25" s="13">
        <f>'[3]功能-军团boss活动'!Q24</f>
        <v>76.501855167563733</v>
      </c>
      <c r="C25" s="13">
        <f>'[3]功能-军团boss活动'!AA24</f>
        <v>1193957681442.6216</v>
      </c>
    </row>
    <row r="26" spans="1:15" s="16" customFormat="1" x14ac:dyDescent="0.2">
      <c r="A26" s="16">
        <v>15</v>
      </c>
      <c r="B26" s="13">
        <f>'[3]功能-军团boss活动'!Q25</f>
        <v>82.328492296001457</v>
      </c>
      <c r="C26" s="13">
        <f>'[3]功能-军团boss活动'!AA25</f>
        <v>1811843291725.4473</v>
      </c>
      <c r="K26" s="19"/>
    </row>
    <row r="27" spans="1:15" s="16" customFormat="1" x14ac:dyDescent="0.2">
      <c r="A27" s="16">
        <v>16</v>
      </c>
      <c r="B27" s="13">
        <f>'[3]功能-军团boss活动'!Q26</f>
        <v>89.679179711128825</v>
      </c>
      <c r="C27" s="13">
        <f>'[3]功能-军团boss活动'!AA26</f>
        <v>2961817050614.0615</v>
      </c>
    </row>
    <row r="28" spans="1:15" s="16" customFormat="1" x14ac:dyDescent="0.2"/>
    <row r="29" spans="1:15" s="16" customFormat="1" x14ac:dyDescent="0.2"/>
    <row r="30" spans="1:15" x14ac:dyDescent="0.2">
      <c r="C30" s="3"/>
      <c r="D30" s="3"/>
      <c r="E30" s="3"/>
      <c r="K30" s="19" t="s">
        <v>117</v>
      </c>
    </row>
    <row r="31" spans="1:15" x14ac:dyDescent="0.2">
      <c r="A31" s="2" t="s">
        <v>55</v>
      </c>
      <c r="B31" s="2" t="s">
        <v>61</v>
      </c>
      <c r="C31" s="2" t="s">
        <v>63</v>
      </c>
      <c r="D31" s="2" t="s">
        <v>65</v>
      </c>
      <c r="E31" s="2" t="s">
        <v>66</v>
      </c>
      <c r="F31" s="2" t="s">
        <v>67</v>
      </c>
      <c r="G31" s="2" t="s">
        <v>95</v>
      </c>
      <c r="H31" s="2" t="s">
        <v>43</v>
      </c>
      <c r="I31" s="10" t="s">
        <v>47</v>
      </c>
      <c r="J31" s="10" t="s">
        <v>48</v>
      </c>
      <c r="K31" s="10" t="s">
        <v>49</v>
      </c>
      <c r="L31" s="10" t="s">
        <v>50</v>
      </c>
      <c r="M31" s="10" t="s">
        <v>51</v>
      </c>
      <c r="N31" s="10" t="s">
        <v>53</v>
      </c>
      <c r="O31" s="2" t="s">
        <v>109</v>
      </c>
    </row>
    <row r="32" spans="1:15" x14ac:dyDescent="0.2">
      <c r="A32" s="2">
        <v>1</v>
      </c>
      <c r="B32" s="5">
        <f>其他调用!BA8</f>
        <v>60</v>
      </c>
      <c r="C32" s="7">
        <f>B12</f>
        <v>20</v>
      </c>
      <c r="D32" s="7">
        <f>C12</f>
        <v>2658288021.7453041</v>
      </c>
      <c r="E32" s="22">
        <f>'[3]功能-军团boss活动'!U31</f>
        <v>151.75795573988736</v>
      </c>
      <c r="F32" s="5">
        <f>D32/E32</f>
        <v>17516630.405206572</v>
      </c>
      <c r="G32" s="7">
        <f>求节点(其他调用!$S$7:$S$106,其他调用!$T$7:$T$106,C32)</f>
        <v>23730469</v>
      </c>
      <c r="H32" s="7">
        <f>F32/G32</f>
        <v>0.73814935580104091</v>
      </c>
      <c r="I32" s="5">
        <f>$B$4</f>
        <v>0.8</v>
      </c>
      <c r="J32" s="12">
        <v>6.72</v>
      </c>
      <c r="K32" s="21">
        <f>$A$4</f>
        <v>1</v>
      </c>
      <c r="L32" s="5">
        <f>$C$4</f>
        <v>1.2</v>
      </c>
      <c r="M32" s="5">
        <f>J32*K32/4</f>
        <v>1.68</v>
      </c>
      <c r="N32" s="5">
        <f>(1/4*I32*J32*K32*K32+1/2*L32*J32*K32+1/4*I32*M32*K32+1/2*L32*M32)/1.5</f>
        <v>4.4800000000000004</v>
      </c>
      <c r="O32" s="17">
        <f>H32-N32</f>
        <v>-3.7418506441989594</v>
      </c>
    </row>
    <row r="33" spans="1:15" x14ac:dyDescent="0.2">
      <c r="A33" s="2">
        <v>2</v>
      </c>
      <c r="B33" s="5">
        <f>其他调用!BA9</f>
        <v>62</v>
      </c>
      <c r="C33" s="7">
        <f t="shared" ref="C33:D47" si="0">B13</f>
        <v>28.071211008105138</v>
      </c>
      <c r="D33" s="7">
        <f t="shared" si="0"/>
        <v>5386391892.6952181</v>
      </c>
      <c r="E33" s="22">
        <f>'[3]功能-军团boss活动'!U32</f>
        <v>153.15024891405164</v>
      </c>
      <c r="F33" s="5">
        <f t="shared" ref="F33:F47" si="1">D33/E33</f>
        <v>35170637.533328965</v>
      </c>
      <c r="G33" s="7">
        <f>求节点(其他调用!$S$7:$S$106,其他调用!$T$7:$T$106,C33)</f>
        <v>52429108.977923006</v>
      </c>
      <c r="H33" s="7">
        <f t="shared" ref="H33:H47" si="2">F33/G33</f>
        <v>0.67082272079311356</v>
      </c>
      <c r="I33" s="5">
        <f t="shared" ref="I33:I47" si="3">$B$4</f>
        <v>0.8</v>
      </c>
      <c r="J33" s="12">
        <v>6.16</v>
      </c>
      <c r="K33" s="21">
        <f t="shared" ref="K33:K47" si="4">$A$4</f>
        <v>1</v>
      </c>
      <c r="L33" s="5">
        <f t="shared" ref="L33:L47" si="5">$C$4</f>
        <v>1.2</v>
      </c>
      <c r="M33" s="5">
        <f t="shared" ref="M33:M47" si="6">J33*K33/4</f>
        <v>1.54</v>
      </c>
      <c r="N33" s="5">
        <f t="shared" ref="N33:N47" si="7">(1/4*I33*J33*K33*K33+1/2*L33*J33*K33+1/4*I33*M33*K33+1/2*L33*M33)/1.5</f>
        <v>4.1066666666666665</v>
      </c>
      <c r="O33" s="17">
        <f t="shared" ref="O33:O47" si="8">H33-N33</f>
        <v>-3.435843945873553</v>
      </c>
    </row>
    <row r="34" spans="1:15" x14ac:dyDescent="0.2">
      <c r="A34" s="2">
        <v>3</v>
      </c>
      <c r="B34" s="5">
        <f>其他调用!BA10</f>
        <v>64</v>
      </c>
      <c r="C34" s="7">
        <f t="shared" si="0"/>
        <v>33.213386604241784</v>
      </c>
      <c r="D34" s="7">
        <f t="shared" si="0"/>
        <v>14824820910.115423</v>
      </c>
      <c r="E34" s="22">
        <f>'[3]功能-军团boss活动'!U33</f>
        <v>156.28635775366101</v>
      </c>
      <c r="F34" s="5">
        <f t="shared" si="1"/>
        <v>94856781.635940015</v>
      </c>
      <c r="G34" s="7">
        <f>求节点(其他调用!$S$7:$S$106,其他调用!$T$7:$T$106,C34)</f>
        <v>84994381.831161767</v>
      </c>
      <c r="H34" s="7">
        <f t="shared" si="2"/>
        <v>1.1160359025184694</v>
      </c>
      <c r="I34" s="5">
        <f t="shared" si="3"/>
        <v>0.8</v>
      </c>
      <c r="J34" s="12">
        <v>10.46</v>
      </c>
      <c r="K34" s="21">
        <f t="shared" si="4"/>
        <v>1</v>
      </c>
      <c r="L34" s="5">
        <f t="shared" si="5"/>
        <v>1.2</v>
      </c>
      <c r="M34" s="5">
        <f t="shared" si="6"/>
        <v>2.6150000000000002</v>
      </c>
      <c r="N34" s="5">
        <f t="shared" si="7"/>
        <v>6.9733333333333336</v>
      </c>
      <c r="O34" s="17">
        <f t="shared" si="8"/>
        <v>-5.8572974308148638</v>
      </c>
    </row>
    <row r="35" spans="1:15" x14ac:dyDescent="0.2">
      <c r="A35" s="2">
        <v>4</v>
      </c>
      <c r="B35" s="5">
        <f>其他调用!BA11</f>
        <v>66</v>
      </c>
      <c r="C35" s="7">
        <f t="shared" si="0"/>
        <v>37.004247194324648</v>
      </c>
      <c r="D35" s="7">
        <f t="shared" si="0"/>
        <v>21170392075.271721</v>
      </c>
      <c r="E35" s="22">
        <f>'[3]功能-军团boss活动'!U34</f>
        <v>0</v>
      </c>
      <c r="F35" s="5" t="e">
        <f t="shared" si="1"/>
        <v>#DIV/0!</v>
      </c>
      <c r="G35" s="7">
        <f>求节点(其他调用!$S$7:$S$106,其他调用!$T$7:$T$106,C35)</f>
        <v>120307257.71283229</v>
      </c>
      <c r="H35" s="7" t="e">
        <f t="shared" si="2"/>
        <v>#DIV/0!</v>
      </c>
      <c r="I35" s="5">
        <f t="shared" si="3"/>
        <v>0.8</v>
      </c>
      <c r="J35" s="12">
        <v>10.55</v>
      </c>
      <c r="K35" s="21">
        <f t="shared" si="4"/>
        <v>1</v>
      </c>
      <c r="L35" s="5">
        <f t="shared" si="5"/>
        <v>1.2</v>
      </c>
      <c r="M35" s="5">
        <f t="shared" si="6"/>
        <v>2.6375000000000002</v>
      </c>
      <c r="N35" s="5">
        <f t="shared" si="7"/>
        <v>7.0333333333333341</v>
      </c>
      <c r="O35" s="17" t="e">
        <f t="shared" si="8"/>
        <v>#DIV/0!</v>
      </c>
    </row>
    <row r="36" spans="1:15" x14ac:dyDescent="0.2">
      <c r="A36" s="2">
        <v>5</v>
      </c>
      <c r="B36" s="5">
        <f>其他调用!BA12</f>
        <v>68</v>
      </c>
      <c r="C36" s="7">
        <f t="shared" si="0"/>
        <v>40</v>
      </c>
      <c r="D36" s="7">
        <f t="shared" si="0"/>
        <v>34371199569.778328</v>
      </c>
      <c r="E36" s="22">
        <f>'[3]功能-军团boss活动'!U35</f>
        <v>0</v>
      </c>
      <c r="F36" s="5" t="e">
        <f t="shared" si="1"/>
        <v>#DIV/0!</v>
      </c>
      <c r="G36" s="7">
        <f>求节点(其他调用!$S$7:$S$106,其他调用!$T$7:$T$106,C36)</f>
        <v>156288740</v>
      </c>
      <c r="H36" s="7" t="e">
        <f t="shared" si="2"/>
        <v>#DIV/0!</v>
      </c>
      <c r="I36" s="5">
        <f t="shared" si="3"/>
        <v>0.8</v>
      </c>
      <c r="J36" s="12">
        <v>13.25</v>
      </c>
      <c r="K36" s="21">
        <f t="shared" si="4"/>
        <v>1</v>
      </c>
      <c r="L36" s="5">
        <f t="shared" si="5"/>
        <v>1.2</v>
      </c>
      <c r="M36" s="5">
        <f t="shared" si="6"/>
        <v>3.3125</v>
      </c>
      <c r="N36" s="5">
        <f t="shared" si="7"/>
        <v>8.8333333333333339</v>
      </c>
      <c r="O36" s="17" t="e">
        <f t="shared" si="8"/>
        <v>#DIV/0!</v>
      </c>
    </row>
    <row r="37" spans="1:15" x14ac:dyDescent="0.2">
      <c r="A37" s="2">
        <v>6</v>
      </c>
      <c r="B37" s="5">
        <f>其他调用!BA13</f>
        <v>70</v>
      </c>
      <c r="C37" s="7">
        <f t="shared" si="0"/>
        <v>43.920692243099523</v>
      </c>
      <c r="D37" s="7">
        <f t="shared" si="0"/>
        <v>48226980086.772774</v>
      </c>
      <c r="E37" s="22">
        <f>'[3]功能-军团boss活动'!U36</f>
        <v>0</v>
      </c>
      <c r="F37" s="5" t="e">
        <f t="shared" si="1"/>
        <v>#DIV/0!</v>
      </c>
      <c r="G37" s="7">
        <f>求节点(其他调用!$S$7:$S$106,其他调用!$T$7:$T$106,C37)</f>
        <v>212684408.25768548</v>
      </c>
      <c r="H37" s="7" t="e">
        <f t="shared" si="2"/>
        <v>#DIV/0!</v>
      </c>
      <c r="I37" s="5">
        <f t="shared" si="3"/>
        <v>0.8</v>
      </c>
      <c r="J37" s="12">
        <v>13.68</v>
      </c>
      <c r="K37" s="21">
        <f t="shared" si="4"/>
        <v>1</v>
      </c>
      <c r="L37" s="5">
        <f t="shared" si="5"/>
        <v>1.2</v>
      </c>
      <c r="M37" s="5">
        <f t="shared" si="6"/>
        <v>3.42</v>
      </c>
      <c r="N37" s="5">
        <f t="shared" si="7"/>
        <v>9.1199999999999992</v>
      </c>
      <c r="O37" s="17" t="e">
        <f t="shared" si="8"/>
        <v>#DIV/0!</v>
      </c>
    </row>
    <row r="38" spans="1:15" x14ac:dyDescent="0.2">
      <c r="A38" s="2">
        <v>7</v>
      </c>
      <c r="B38" s="5">
        <f>其他调用!BA14</f>
        <v>72</v>
      </c>
      <c r="C38" s="7">
        <f t="shared" si="0"/>
        <v>48.071211008105138</v>
      </c>
      <c r="D38" s="7">
        <f t="shared" si="0"/>
        <v>84966035151.295792</v>
      </c>
      <c r="E38" s="22" t="str">
        <f>'[3]功能-军团boss活动'!U37</f>
        <v>怪物数量</v>
      </c>
      <c r="F38" s="5" t="e">
        <f t="shared" si="1"/>
        <v>#VALUE!</v>
      </c>
      <c r="G38" s="7">
        <f>求节点(其他调用!$S$7:$S$106,其他调用!$T$7:$T$106,C38)</f>
        <v>296660651.79957104</v>
      </c>
      <c r="H38" s="7" t="e">
        <f t="shared" si="2"/>
        <v>#VALUE!</v>
      </c>
      <c r="I38" s="5">
        <f t="shared" si="3"/>
        <v>0.8</v>
      </c>
      <c r="J38" s="12">
        <v>16.850000000000001</v>
      </c>
      <c r="K38" s="21">
        <f t="shared" si="4"/>
        <v>1</v>
      </c>
      <c r="L38" s="5">
        <f t="shared" si="5"/>
        <v>1.2</v>
      </c>
      <c r="M38" s="5">
        <f t="shared" si="6"/>
        <v>4.2125000000000004</v>
      </c>
      <c r="N38" s="5">
        <f t="shared" si="7"/>
        <v>11.233333333333334</v>
      </c>
      <c r="O38" s="17" t="e">
        <f t="shared" si="8"/>
        <v>#VALUE!</v>
      </c>
    </row>
    <row r="39" spans="1:15" x14ac:dyDescent="0.2">
      <c r="A39" s="2">
        <v>8</v>
      </c>
      <c r="B39" s="5">
        <f>其他调用!BA15</f>
        <v>74</v>
      </c>
      <c r="C39" s="7">
        <f t="shared" si="0"/>
        <v>53.213386604241784</v>
      </c>
      <c r="D39" s="7">
        <f t="shared" si="0"/>
        <v>148981858116.39514</v>
      </c>
      <c r="E39" s="22">
        <f>'[3]功能-军团boss活动'!U38</f>
        <v>25</v>
      </c>
      <c r="F39" s="5">
        <f t="shared" si="1"/>
        <v>5959274324.6558056</v>
      </c>
      <c r="G39" s="7">
        <f>求节点(其他调用!$S$7:$S$106,其他调用!$T$7:$T$106,C39)</f>
        <v>486979321.6054287</v>
      </c>
      <c r="H39" s="7">
        <f t="shared" si="2"/>
        <v>12.237222527251912</v>
      </c>
      <c r="I39" s="5">
        <f t="shared" si="3"/>
        <v>0.8</v>
      </c>
      <c r="J39" s="12">
        <v>17.739999999999998</v>
      </c>
      <c r="K39" s="21">
        <f t="shared" si="4"/>
        <v>1</v>
      </c>
      <c r="L39" s="5">
        <f t="shared" si="5"/>
        <v>1.2</v>
      </c>
      <c r="M39" s="5">
        <f t="shared" si="6"/>
        <v>4.4349999999999996</v>
      </c>
      <c r="N39" s="5">
        <f t="shared" si="7"/>
        <v>11.826666666666666</v>
      </c>
      <c r="O39" s="17">
        <f t="shared" si="8"/>
        <v>0.41055586058524618</v>
      </c>
    </row>
    <row r="40" spans="1:15" x14ac:dyDescent="0.2">
      <c r="A40" s="2">
        <v>9</v>
      </c>
      <c r="B40" s="5">
        <f>其他调用!BA16</f>
        <v>76</v>
      </c>
      <c r="C40" s="7">
        <f t="shared" si="0"/>
        <v>56.717296680108156</v>
      </c>
      <c r="D40" s="7">
        <f t="shared" si="0"/>
        <v>222240185362.08664</v>
      </c>
      <c r="E40" s="22">
        <f>'[3]功能-军团boss活动'!U39</f>
        <v>25</v>
      </c>
      <c r="F40" s="5">
        <f t="shared" si="1"/>
        <v>8889607414.4834652</v>
      </c>
      <c r="G40" s="7">
        <f>求节点(其他调用!$S$7:$S$106,其他调用!$T$7:$T$106,C40)</f>
        <v>683275761.28336298</v>
      </c>
      <c r="H40" s="7">
        <f t="shared" si="2"/>
        <v>13.010277721233015</v>
      </c>
      <c r="I40" s="5">
        <f t="shared" si="3"/>
        <v>0.8</v>
      </c>
      <c r="J40" s="12">
        <v>18.84</v>
      </c>
      <c r="K40" s="21">
        <f t="shared" si="4"/>
        <v>1</v>
      </c>
      <c r="L40" s="5">
        <f t="shared" si="5"/>
        <v>1.2</v>
      </c>
      <c r="M40" s="5">
        <f t="shared" si="6"/>
        <v>4.71</v>
      </c>
      <c r="N40" s="5">
        <f t="shared" si="7"/>
        <v>12.56</v>
      </c>
      <c r="O40" s="17">
        <f t="shared" si="8"/>
        <v>0.45027772123301446</v>
      </c>
    </row>
    <row r="41" spans="1:15" x14ac:dyDescent="0.2">
      <c r="A41" s="2">
        <v>10</v>
      </c>
      <c r="B41" s="5">
        <f>其他调用!BA17</f>
        <v>80</v>
      </c>
      <c r="C41" s="7">
        <f t="shared" si="0"/>
        <v>60.435397692903535</v>
      </c>
      <c r="D41" s="7">
        <f t="shared" si="0"/>
        <v>325293790659.08075</v>
      </c>
      <c r="E41" s="22">
        <f>'[3]功能-军团boss活动'!U40</f>
        <v>25</v>
      </c>
      <c r="F41" s="5">
        <f t="shared" si="1"/>
        <v>13011751626.36323</v>
      </c>
      <c r="G41" s="7">
        <f>求节点(其他调用!$S$7:$S$106,其他调用!$T$7:$T$106,C41)</f>
        <v>963666076.52970207</v>
      </c>
      <c r="H41" s="7">
        <f t="shared" si="2"/>
        <v>13.502344788581112</v>
      </c>
      <c r="I41" s="5">
        <f t="shared" si="3"/>
        <v>0.8</v>
      </c>
      <c r="J41" s="12">
        <v>19.78</v>
      </c>
      <c r="K41" s="21">
        <f t="shared" si="4"/>
        <v>1</v>
      </c>
      <c r="L41" s="5">
        <f t="shared" si="5"/>
        <v>1.2</v>
      </c>
      <c r="M41" s="5">
        <f t="shared" si="6"/>
        <v>4.9450000000000003</v>
      </c>
      <c r="N41" s="5">
        <f t="shared" si="7"/>
        <v>13.186666666666667</v>
      </c>
      <c r="O41" s="17">
        <f t="shared" si="8"/>
        <v>0.31567812191444489</v>
      </c>
    </row>
    <row r="42" spans="1:15" x14ac:dyDescent="0.2">
      <c r="A42" s="2">
        <v>11</v>
      </c>
      <c r="B42" s="5">
        <f>其他调用!BA18</f>
        <v>82</v>
      </c>
      <c r="C42" s="7">
        <f t="shared" si="0"/>
        <v>63.39021301395622</v>
      </c>
      <c r="D42" s="7">
        <f t="shared" si="0"/>
        <v>444752254529.35345</v>
      </c>
      <c r="E42" s="22">
        <f>'[3]功能-军团boss活动'!U41</f>
        <v>25</v>
      </c>
      <c r="F42" s="5">
        <f t="shared" si="1"/>
        <v>17790090181.174137</v>
      </c>
      <c r="G42" s="7">
        <f>求节点(其他调用!$S$7:$S$106,其他调用!$T$7:$T$106,C42)</f>
        <v>1247767962.9309947</v>
      </c>
      <c r="H42" s="7">
        <f t="shared" si="2"/>
        <v>14.257530814772155</v>
      </c>
      <c r="I42" s="5">
        <f t="shared" si="3"/>
        <v>0.8</v>
      </c>
      <c r="J42" s="12">
        <v>20.86</v>
      </c>
      <c r="K42" s="21">
        <f t="shared" si="4"/>
        <v>1</v>
      </c>
      <c r="L42" s="5">
        <f t="shared" si="5"/>
        <v>1.2</v>
      </c>
      <c r="M42" s="5">
        <f t="shared" si="6"/>
        <v>5.2149999999999999</v>
      </c>
      <c r="N42" s="5">
        <f t="shared" si="7"/>
        <v>13.906666666666666</v>
      </c>
      <c r="O42" s="17">
        <f t="shared" si="8"/>
        <v>0.35086414810548838</v>
      </c>
    </row>
    <row r="43" spans="1:15" x14ac:dyDescent="0.2">
      <c r="A43" s="2">
        <v>12</v>
      </c>
      <c r="B43" s="5">
        <f>其他调用!BA19</f>
        <v>84</v>
      </c>
      <c r="C43" s="7">
        <f t="shared" si="0"/>
        <v>67.942312709427185</v>
      </c>
      <c r="D43" s="7">
        <f t="shared" si="0"/>
        <v>639357677732.95264</v>
      </c>
      <c r="E43" s="22">
        <f>'[3]功能-军团boss活动'!U42</f>
        <v>25</v>
      </c>
      <c r="F43" s="5">
        <f t="shared" si="1"/>
        <v>25574307109.318104</v>
      </c>
      <c r="G43" s="7">
        <f>求节点(其他调用!$S$7:$S$106,其他调用!$T$7:$T$106,C43)</f>
        <v>1809620990.2863028</v>
      </c>
      <c r="H43" s="7">
        <f t="shared" si="2"/>
        <v>14.132410734952822</v>
      </c>
      <c r="I43" s="5">
        <f t="shared" si="3"/>
        <v>0.8</v>
      </c>
      <c r="J43" s="12">
        <v>20.88</v>
      </c>
      <c r="K43" s="21">
        <f t="shared" si="4"/>
        <v>1</v>
      </c>
      <c r="L43" s="5">
        <f t="shared" si="5"/>
        <v>1.2</v>
      </c>
      <c r="M43" s="5">
        <f t="shared" si="6"/>
        <v>5.22</v>
      </c>
      <c r="N43" s="5">
        <f t="shared" si="7"/>
        <v>13.920000000000002</v>
      </c>
      <c r="O43" s="17">
        <f t="shared" si="8"/>
        <v>0.21241073495282059</v>
      </c>
    </row>
    <row r="44" spans="1:15" x14ac:dyDescent="0.2">
      <c r="A44" s="2">
        <v>13</v>
      </c>
      <c r="B44" s="5">
        <f>其他调用!BA20</f>
        <v>86</v>
      </c>
      <c r="C44" s="7">
        <f t="shared" si="0"/>
        <v>72.375871759353331</v>
      </c>
      <c r="D44" s="7">
        <f t="shared" si="0"/>
        <v>888516876461.80688</v>
      </c>
      <c r="E44" s="22">
        <f>'[3]功能-军团boss活动'!U43</f>
        <v>25</v>
      </c>
      <c r="F44" s="5">
        <f t="shared" si="1"/>
        <v>35540675058.472275</v>
      </c>
      <c r="G44" s="7">
        <f>求节点(其他调用!$S$7:$S$106,其他调用!$T$7:$T$106,C44)</f>
        <v>2515144588.3600283</v>
      </c>
      <c r="H44" s="7">
        <f t="shared" si="2"/>
        <v>14.130668758747651</v>
      </c>
      <c r="I44" s="5">
        <f t="shared" si="3"/>
        <v>0.8</v>
      </c>
      <c r="J44" s="12">
        <v>20.96</v>
      </c>
      <c r="K44" s="21">
        <f t="shared" si="4"/>
        <v>1</v>
      </c>
      <c r="L44" s="5">
        <f t="shared" si="5"/>
        <v>1.2</v>
      </c>
      <c r="M44" s="5">
        <f t="shared" si="6"/>
        <v>5.24</v>
      </c>
      <c r="N44" s="5">
        <f t="shared" si="7"/>
        <v>13.973333333333334</v>
      </c>
      <c r="O44" s="17">
        <f t="shared" si="8"/>
        <v>0.15733542541431689</v>
      </c>
    </row>
    <row r="45" spans="1:15" x14ac:dyDescent="0.2">
      <c r="A45" s="2">
        <v>14</v>
      </c>
      <c r="B45" s="5">
        <f>其他调用!BA21</f>
        <v>88</v>
      </c>
      <c r="C45" s="7">
        <f t="shared" si="0"/>
        <v>76.501855167563733</v>
      </c>
      <c r="D45" s="7">
        <f t="shared" si="0"/>
        <v>1193957681442.6216</v>
      </c>
      <c r="E45" s="22">
        <f>'[3]功能-军团boss活动'!U44</f>
        <v>25</v>
      </c>
      <c r="F45" s="5">
        <f t="shared" si="1"/>
        <v>47758307257.704865</v>
      </c>
      <c r="G45" s="7">
        <f>求节点(其他调用!$S$7:$S$106,其他调用!$T$7:$T$106,C45)</f>
        <v>3390633795.759048</v>
      </c>
      <c r="H45" s="7">
        <f t="shared" si="2"/>
        <v>14.085362836128223</v>
      </c>
      <c r="I45" s="5">
        <f t="shared" si="3"/>
        <v>0.8</v>
      </c>
      <c r="J45" s="12">
        <v>20.84</v>
      </c>
      <c r="K45" s="21">
        <f t="shared" si="4"/>
        <v>1</v>
      </c>
      <c r="L45" s="5">
        <f t="shared" si="5"/>
        <v>1.2</v>
      </c>
      <c r="M45" s="5">
        <f t="shared" si="6"/>
        <v>5.21</v>
      </c>
      <c r="N45" s="5">
        <f t="shared" si="7"/>
        <v>13.893333333333336</v>
      </c>
      <c r="O45" s="17">
        <f t="shared" si="8"/>
        <v>0.1920295027948864</v>
      </c>
    </row>
    <row r="46" spans="1:15" x14ac:dyDescent="0.2">
      <c r="A46" s="2">
        <v>15</v>
      </c>
      <c r="B46" s="5">
        <f>其他调用!BA22</f>
        <v>90</v>
      </c>
      <c r="C46" s="7">
        <f t="shared" si="0"/>
        <v>82.328492296001457</v>
      </c>
      <c r="D46" s="7">
        <f t="shared" si="0"/>
        <v>1811843291725.4473</v>
      </c>
      <c r="E46" s="22">
        <f>'[3]功能-军团boss活动'!U45</f>
        <v>25</v>
      </c>
      <c r="F46" s="5">
        <f t="shared" si="1"/>
        <v>72473731669.017883</v>
      </c>
      <c r="G46" s="7">
        <f>求节点(其他调用!$S$7:$S$106,其他调用!$T$7:$T$106,C46)</f>
        <v>5054565820.4855804</v>
      </c>
      <c r="H46" s="7">
        <f t="shared" si="2"/>
        <v>14.338270435670278</v>
      </c>
      <c r="I46" s="5">
        <f t="shared" si="3"/>
        <v>0.8</v>
      </c>
      <c r="J46" s="12">
        <v>20.37</v>
      </c>
      <c r="K46" s="21">
        <f t="shared" si="4"/>
        <v>1</v>
      </c>
      <c r="L46" s="5">
        <f t="shared" si="5"/>
        <v>1.2</v>
      </c>
      <c r="M46" s="5">
        <f t="shared" si="6"/>
        <v>5.0925000000000002</v>
      </c>
      <c r="N46" s="5">
        <f t="shared" si="7"/>
        <v>13.579999999999998</v>
      </c>
      <c r="O46" s="17">
        <f t="shared" si="8"/>
        <v>0.75827043567027985</v>
      </c>
    </row>
    <row r="47" spans="1:15" x14ac:dyDescent="0.2">
      <c r="A47" s="2">
        <v>16</v>
      </c>
      <c r="B47" s="5">
        <f>其他调用!BA23</f>
        <v>92</v>
      </c>
      <c r="C47" s="7">
        <f t="shared" si="0"/>
        <v>89.679179711128825</v>
      </c>
      <c r="D47" s="7">
        <f t="shared" si="0"/>
        <v>2961817050614.0615</v>
      </c>
      <c r="E47" s="22">
        <f>'[3]功能-军团boss活动'!U46</f>
        <v>25</v>
      </c>
      <c r="F47" s="5">
        <f t="shared" si="1"/>
        <v>118472682024.56245</v>
      </c>
      <c r="G47" s="7">
        <f>求节点(其他调用!$S$7:$S$106,其他调用!$T$7:$T$106,C47)</f>
        <v>8109400830.0259247</v>
      </c>
      <c r="H47" s="7">
        <f t="shared" si="2"/>
        <v>14.609301538765314</v>
      </c>
      <c r="I47" s="5">
        <f t="shared" si="3"/>
        <v>0.8</v>
      </c>
      <c r="J47" s="12">
        <v>19.079999999999998</v>
      </c>
      <c r="K47" s="21">
        <f t="shared" si="4"/>
        <v>1</v>
      </c>
      <c r="L47" s="5">
        <f t="shared" si="5"/>
        <v>1.2</v>
      </c>
      <c r="M47" s="5">
        <f t="shared" si="6"/>
        <v>4.7699999999999996</v>
      </c>
      <c r="N47" s="5">
        <f t="shared" si="7"/>
        <v>12.719999999999999</v>
      </c>
      <c r="O47" s="17">
        <f t="shared" si="8"/>
        <v>1.8893015387653147</v>
      </c>
    </row>
    <row r="50" spans="7:10" x14ac:dyDescent="0.2">
      <c r="G50" s="1"/>
    </row>
    <row r="52" spans="7:10" x14ac:dyDescent="0.2">
      <c r="J52" s="20"/>
    </row>
    <row r="53" spans="7:10" x14ac:dyDescent="0.2">
      <c r="J53" s="20"/>
    </row>
    <row r="54" spans="7:10" x14ac:dyDescent="0.2">
      <c r="J54" s="20"/>
    </row>
    <row r="55" spans="7:10" x14ac:dyDescent="0.2">
      <c r="J55" s="20"/>
    </row>
    <row r="56" spans="7:10" x14ac:dyDescent="0.2">
      <c r="J56" s="20"/>
    </row>
    <row r="57" spans="7:10" x14ac:dyDescent="0.2">
      <c r="J57" s="20"/>
    </row>
    <row r="58" spans="7:10" x14ac:dyDescent="0.2">
      <c r="J58" s="20"/>
    </row>
    <row r="59" spans="7:10" x14ac:dyDescent="0.2">
      <c r="J59" s="20"/>
    </row>
    <row r="60" spans="7:10" x14ac:dyDescent="0.2">
      <c r="J60" s="20"/>
    </row>
    <row r="61" spans="7:10" x14ac:dyDescent="0.2">
      <c r="J61" s="20"/>
    </row>
    <row r="62" spans="7:10" x14ac:dyDescent="0.2">
      <c r="J62" s="20"/>
    </row>
    <row r="63" spans="7:10" x14ac:dyDescent="0.2">
      <c r="J63" s="20"/>
    </row>
    <row r="64" spans="7:10" x14ac:dyDescent="0.2">
      <c r="J64" s="20"/>
    </row>
    <row r="65" spans="10:10" x14ac:dyDescent="0.2">
      <c r="J65" s="20"/>
    </row>
    <row r="66" spans="10:10" x14ac:dyDescent="0.2">
      <c r="J66" s="20"/>
    </row>
    <row r="67" spans="10:10" x14ac:dyDescent="0.2">
      <c r="J67" s="20"/>
    </row>
  </sheetData>
  <mergeCells count="1">
    <mergeCell ref="B6:C6"/>
  </mergeCells>
  <phoneticPr fontId="1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6F1D1-2AE2-4C54-B152-15620A25D8F5}">
  <dimension ref="A3:W109"/>
  <sheetViews>
    <sheetView tabSelected="1" topLeftCell="A43" workbookViewId="0">
      <selection activeCell="J60" sqref="J60"/>
    </sheetView>
  </sheetViews>
  <sheetFormatPr defaultRowHeight="12" x14ac:dyDescent="0.2"/>
  <cols>
    <col min="1" max="1" width="14.625" style="4" bestFit="1" customWidth="1"/>
    <col min="2" max="2" width="16.125" style="4" bestFit="1" customWidth="1"/>
    <col min="3" max="3" width="13.875" style="4" bestFit="1" customWidth="1"/>
    <col min="4" max="4" width="12.25" style="4" bestFit="1" customWidth="1"/>
    <col min="5" max="5" width="11.375" style="4" bestFit="1" customWidth="1"/>
    <col min="6" max="6" width="35.625" style="4" bestFit="1" customWidth="1"/>
    <col min="7" max="11" width="17.75" style="4" bestFit="1" customWidth="1"/>
    <col min="12" max="12" width="23.5" style="4" bestFit="1" customWidth="1"/>
    <col min="13" max="13" width="13.875" style="14" bestFit="1" customWidth="1"/>
    <col min="14" max="17" width="9.875" style="14" bestFit="1" customWidth="1"/>
    <col min="18" max="16384" width="9" style="4"/>
  </cols>
  <sheetData>
    <row r="3" spans="1:23" s="11" customFormat="1" x14ac:dyDescent="0.2">
      <c r="A3" s="20" t="s">
        <v>119</v>
      </c>
      <c r="B3" s="11" t="s">
        <v>93</v>
      </c>
      <c r="C3" s="11" t="s">
        <v>94</v>
      </c>
    </row>
    <row r="4" spans="1:23" s="11" customFormat="1" x14ac:dyDescent="0.2">
      <c r="A4" s="6">
        <v>1</v>
      </c>
      <c r="B4" s="11">
        <v>0.8</v>
      </c>
      <c r="C4" s="11">
        <v>1.2</v>
      </c>
    </row>
    <row r="6" spans="1:23" x14ac:dyDescent="0.2">
      <c r="A6" s="4" t="s">
        <v>88</v>
      </c>
      <c r="B6" s="34"/>
      <c r="C6" s="34"/>
    </row>
    <row r="7" spans="1:23" x14ac:dyDescent="0.2">
      <c r="A7" s="9" t="s">
        <v>86</v>
      </c>
      <c r="B7" s="9" t="s">
        <v>90</v>
      </c>
      <c r="C7" s="9" t="s">
        <v>89</v>
      </c>
      <c r="D7" s="9" t="s">
        <v>87</v>
      </c>
      <c r="E7" s="9" t="s">
        <v>91</v>
      </c>
      <c r="F7" s="4" t="s">
        <v>92</v>
      </c>
      <c r="G7" s="4" t="s">
        <v>47</v>
      </c>
      <c r="H7" s="4" t="s">
        <v>48</v>
      </c>
      <c r="I7" s="4" t="s">
        <v>49</v>
      </c>
      <c r="J7" s="4" t="s">
        <v>50</v>
      </c>
      <c r="K7" s="4" t="s">
        <v>51</v>
      </c>
      <c r="L7" s="4" t="s">
        <v>52</v>
      </c>
      <c r="M7" s="14" t="s">
        <v>53</v>
      </c>
    </row>
    <row r="8" spans="1:23" x14ac:dyDescent="0.2">
      <c r="A8" s="9">
        <v>10</v>
      </c>
      <c r="B8" s="9">
        <v>1</v>
      </c>
      <c r="C8" s="5">
        <f>A8*B8</f>
        <v>10</v>
      </c>
      <c r="D8" s="9">
        <v>5</v>
      </c>
      <c r="E8" s="9">
        <v>1</v>
      </c>
      <c r="F8" s="5">
        <f>C8/D8/E8</f>
        <v>2</v>
      </c>
      <c r="G8" s="5">
        <f>L8/I8</f>
        <v>0.92951600308978</v>
      </c>
      <c r="H8" s="5">
        <f>I8</f>
        <v>1.2909944487358056</v>
      </c>
      <c r="I8" s="7">
        <f>SQRT(F8/J8)</f>
        <v>1.2909944487358056</v>
      </c>
      <c r="J8" s="9">
        <v>1.2</v>
      </c>
      <c r="K8" s="5">
        <f>H8*I8</f>
        <v>1.6666666666666665</v>
      </c>
      <c r="L8" s="5">
        <f>J8</f>
        <v>1.2</v>
      </c>
      <c r="M8" s="7">
        <f>(1/4*G8*H8*I8*I8+1/2*J8*H8*I8+1/4*G8*K8*I8+1/2*J8*K8)/1.5</f>
        <v>1.9999999999999998</v>
      </c>
    </row>
    <row r="10" spans="1:23" x14ac:dyDescent="0.2">
      <c r="A10" s="4" t="s">
        <v>108</v>
      </c>
      <c r="C10" s="3"/>
      <c r="D10" s="3"/>
      <c r="E10" s="3"/>
    </row>
    <row r="11" spans="1:23" x14ac:dyDescent="0.2">
      <c r="A11" s="4" t="s">
        <v>69</v>
      </c>
      <c r="B11" s="11" t="s">
        <v>99</v>
      </c>
      <c r="C11" s="4" t="s">
        <v>114</v>
      </c>
      <c r="D11" s="4" t="s">
        <v>96</v>
      </c>
      <c r="E11" s="18" t="s">
        <v>115</v>
      </c>
      <c r="F11" s="18" t="s">
        <v>96</v>
      </c>
      <c r="G11" s="11" t="s">
        <v>97</v>
      </c>
      <c r="H11" s="11" t="s">
        <v>98</v>
      </c>
      <c r="I11" s="4" t="s">
        <v>63</v>
      </c>
      <c r="J11" s="4" t="s">
        <v>71</v>
      </c>
      <c r="K11" s="4" t="s">
        <v>72</v>
      </c>
      <c r="L11" s="4" t="s">
        <v>73</v>
      </c>
      <c r="M11" s="4" t="s">
        <v>74</v>
      </c>
      <c r="N11" s="14" t="s">
        <v>75</v>
      </c>
      <c r="O11" s="14" t="s">
        <v>76</v>
      </c>
      <c r="P11" s="14" t="s">
        <v>77</v>
      </c>
      <c r="Q11" s="14" t="s">
        <v>78</v>
      </c>
      <c r="R11" s="14" t="s">
        <v>79</v>
      </c>
      <c r="S11" s="4" t="s">
        <v>81</v>
      </c>
      <c r="T11" s="4" t="s">
        <v>82</v>
      </c>
      <c r="U11" s="4" t="s">
        <v>83</v>
      </c>
      <c r="V11" s="4" t="s">
        <v>84</v>
      </c>
      <c r="W11" s="4" t="s">
        <v>85</v>
      </c>
    </row>
    <row r="12" spans="1:23" x14ac:dyDescent="0.2">
      <c r="A12" s="4">
        <v>1</v>
      </c>
      <c r="B12" s="13">
        <f>AVERAGE([4]义渠入侵!$BG4:$BH4)</f>
        <v>1</v>
      </c>
      <c r="C12" s="13">
        <f>[4]义渠入侵!BI4</f>
        <v>234.22611594202894</v>
      </c>
      <c r="D12" s="13">
        <f>[4]义渠入侵!BJ4</f>
        <v>60</v>
      </c>
      <c r="E12" s="13" t="e">
        <f>[4]义渠入侵!BI37</f>
        <v>#VALUE!</v>
      </c>
      <c r="F12" s="13">
        <f>[4]义渠入侵!BJ37</f>
        <v>20</v>
      </c>
      <c r="G12" s="13">
        <f>[4]义渠入侵!BI71</f>
        <v>1560.3543271221531</v>
      </c>
      <c r="H12" s="13">
        <f>[4]义渠入侵!BJ71</f>
        <v>120</v>
      </c>
      <c r="I12" s="7">
        <f>求节点(其他调用!D$7:D$116,其他调用!$C$7:$C$116,$B12)</f>
        <v>10</v>
      </c>
      <c r="J12" s="7">
        <f>求节点(其他调用!E$7:E$116,其他调用!$C$7:$C$116,$B12)</f>
        <v>11.148446722089302</v>
      </c>
      <c r="K12" s="7">
        <f>求节点(其他调用!F$7:F$116,其他调用!$C$7:$C$116,$B12)</f>
        <v>12.761737853656415</v>
      </c>
      <c r="L12" s="7">
        <f>求节点(其他调用!G$7:G$116,其他调用!$C$7:$C$116,$B12)</f>
        <v>15.452231935206081</v>
      </c>
      <c r="M12" s="7">
        <f>求节点(其他调用!H$7:H$116,其他调用!$C$7:$C$116,$B12)</f>
        <v>21.291911942729964</v>
      </c>
      <c r="N12" s="15">
        <f>求节点(其他调用!$S$7:$S$106,其他调用!T$7:T$106,I12)</f>
        <v>6344749</v>
      </c>
      <c r="O12" s="15">
        <f>求节点(其他调用!$S$7:$S$106,其他调用!U$7:U$106,J12)</f>
        <v>8469041.6335740853</v>
      </c>
      <c r="P12" s="15">
        <f>求节点(其他调用!$S$7:$S$106,其他调用!V$7:V$106,K12)</f>
        <v>11541378.02138949</v>
      </c>
      <c r="Q12" s="15">
        <f>求节点(其他调用!$S$7:$S$106,其他调用!W$7:W$106,L12)</f>
        <v>18099228.8597841</v>
      </c>
      <c r="R12" s="15">
        <f>求节点(其他调用!$S$7:$S$106,其他调用!X$7:X$106,M12)</f>
        <v>39114082.566764534</v>
      </c>
      <c r="S12" s="5">
        <f>求节点(其他调用!$AI$7:$AI$606,其他调用!AJ$7:AJ$606,$B12)</f>
        <v>9000</v>
      </c>
      <c r="T12" s="5">
        <f>求节点(其他调用!$AI$7:$AI$606,其他调用!AK$7:AK$606,$B12)</f>
        <v>725.99999999999966</v>
      </c>
      <c r="U12" s="5">
        <f>求节点(其他调用!$AI$7:$AI$606,其他调用!AL$7:AL$606,$B12)</f>
        <v>256</v>
      </c>
      <c r="V12" s="5">
        <f>求节点(其他调用!$AI$7:$AI$606,其他调用!AM$7:AM$606,$B12)</f>
        <v>16</v>
      </c>
      <c r="W12" s="5">
        <f>求节点(其他调用!$AI$7:$AI$606,其他调用!AN$7:AN$606,$B12)</f>
        <v>2</v>
      </c>
    </row>
    <row r="13" spans="1:23" x14ac:dyDescent="0.2">
      <c r="A13" s="4">
        <v>2</v>
      </c>
      <c r="B13" s="13">
        <f>AVERAGE([4]义渠入侵!$BG5:$BH5)</f>
        <v>1.5</v>
      </c>
      <c r="C13" s="13">
        <f>[4]义渠入侵!BI5</f>
        <v>214.01395072463765</v>
      </c>
      <c r="D13" s="13">
        <f>[4]义渠入侵!BJ5</f>
        <v>55</v>
      </c>
      <c r="E13" s="13" t="e">
        <f>[4]义渠入侵!BI38</f>
        <v>#VALUE!</v>
      </c>
      <c r="F13" s="13">
        <f>[4]义渠入侵!BJ38</f>
        <v>20</v>
      </c>
      <c r="G13" s="13">
        <f>[4]义渠入侵!BI72</f>
        <v>1483.8206252587988</v>
      </c>
      <c r="H13" s="13">
        <f>[4]义渠入侵!BJ72</f>
        <v>110</v>
      </c>
      <c r="I13" s="7">
        <f>求节点(其他调用!D$7:D$116,其他调用!$C$7:$C$116,$B13)</f>
        <v>13.213386604241782</v>
      </c>
      <c r="J13" s="7">
        <f>求节点(其他调用!E$7:E$116,其他调用!$C$7:$C$116,$B13)</f>
        <v>14.520976611494559</v>
      </c>
      <c r="K13" s="7">
        <f>求节点(其他调用!F$7:F$116,其他调用!$C$7:$C$116,$B13)</f>
        <v>16.399152074574328</v>
      </c>
      <c r="L13" s="7">
        <f>求节点(其他调用!G$7:G$116,其他调用!$C$7:$C$116,$B13)</f>
        <v>19.43005414991557</v>
      </c>
      <c r="M13" s="7">
        <f>求节点(其他调用!H$7:H$116,其他调用!$C$7:$C$116,$B13)</f>
        <v>26.002928042893029</v>
      </c>
      <c r="N13" s="15">
        <f>求节点(其他调用!$S$7:$S$106,其他调用!T$7:T$106,I13)</f>
        <v>10769272.723925008</v>
      </c>
      <c r="O13" s="15">
        <f>求节点(其他调用!$S$7:$S$106,其他调用!U$7:U$106,J13)</f>
        <v>13103516.242972119</v>
      </c>
      <c r="P13" s="15">
        <f>求节点(其他调用!$S$7:$S$106,其他调用!V$7:V$106,K13)</f>
        <v>17957755.717810296</v>
      </c>
      <c r="Q13" s="15">
        <f>求节点(其他调用!$S$7:$S$106,其他调用!W$7:W$106,L13)</f>
        <v>28574248.866443537</v>
      </c>
      <c r="R13" s="15">
        <f>求节点(其他调用!$S$7:$S$106,其他调用!X$7:X$106,M13)</f>
        <v>64356408.018793561</v>
      </c>
      <c r="S13" s="5">
        <f>求节点(其他调用!$AI$7:$AI$606,其他调用!AJ$7:AJ$606,$B13)</f>
        <v>6227.152173913044</v>
      </c>
      <c r="T13" s="5">
        <f>求节点(其他调用!$AI$7:$AI$606,其他调用!AK$7:AK$606,$B13)</f>
        <v>576.30115942028954</v>
      </c>
      <c r="U13" s="5">
        <f>求节点(其他调用!$AI$7:$AI$606,其他调用!AL$7:AL$606,$B13)</f>
        <v>182.61333333333334</v>
      </c>
      <c r="V13" s="5">
        <f>求节点(其他调用!$AI$7:$AI$606,其他调用!AM$7:AM$606,$B13)</f>
        <v>12.266666666666666</v>
      </c>
      <c r="W13" s="5">
        <f>求节点(其他调用!$AI$7:$AI$606,其他调用!AN$7:AN$606,$B13)</f>
        <v>1.6666666666666667</v>
      </c>
    </row>
    <row r="14" spans="1:23" x14ac:dyDescent="0.2">
      <c r="A14" s="4">
        <v>3</v>
      </c>
      <c r="B14" s="13">
        <f>AVERAGE([4]义渠入侵!$BG6:$BH6)</f>
        <v>2.5</v>
      </c>
      <c r="C14" s="13">
        <f>[4]义渠入侵!BI6</f>
        <v>171.98439710144928</v>
      </c>
      <c r="D14" s="13">
        <f>[4]义渠入侵!BJ6</f>
        <v>50</v>
      </c>
      <c r="E14" s="13" t="e">
        <f>[4]义渠入侵!BI39</f>
        <v>#VALUE!</v>
      </c>
      <c r="F14" s="13">
        <f>[4]义渠入侵!BJ39</f>
        <v>20</v>
      </c>
      <c r="G14" s="13">
        <f>[4]义渠入侵!BI73</f>
        <v>1291.00235610766</v>
      </c>
      <c r="H14" s="13">
        <f>[4]义渠入侵!BJ73</f>
        <v>100</v>
      </c>
      <c r="I14" s="7">
        <f>求节点(其他调用!D$7:D$116,其他调用!$C$7:$C$116,$B14)</f>
        <v>18.071211008105134</v>
      </c>
      <c r="J14" s="7">
        <f>求节点(其他调用!E$7:E$116,其他调用!$C$7:$C$116,$B14)</f>
        <v>19.549711817532661</v>
      </c>
      <c r="K14" s="7">
        <f>求节点(其他调用!F$7:F$116,其他调用!$C$7:$C$116,$B14)</f>
        <v>21.671693289473851</v>
      </c>
      <c r="L14" s="7">
        <f>求节点(其他调用!G$7:G$116,其他调用!$C$7:$C$116,$B14)</f>
        <v>25.101492574521792</v>
      </c>
      <c r="M14" s="7">
        <f>求节点(其他调用!H$7:H$116,其他调用!$C$7:$C$116,$B14)</f>
        <v>32.176752900700507</v>
      </c>
      <c r="N14" s="15">
        <f>求节点(其他调用!$S$7:$S$106,其他调用!T$7:T$106,I14)</f>
        <v>18970670.90925353</v>
      </c>
      <c r="O14" s="15">
        <f>求节点(其他调用!$S$7:$S$106,其他调用!U$7:U$106,J14)</f>
        <v>23371242.561087038</v>
      </c>
      <c r="P14" s="15">
        <f>求节点(其他调用!$S$7:$S$106,其他调用!V$7:V$106,K14)</f>
        <v>32777952.467639532</v>
      </c>
      <c r="Q14" s="15">
        <f>求节点(其他调用!$S$7:$S$106,其他调用!W$7:W$106,L14)</f>
        <v>52901003.562640615</v>
      </c>
      <c r="R14" s="15">
        <f>求节点(其他调用!$S$7:$S$106,其他调用!X$7:X$106,M14)</f>
        <v>119802797.96113126</v>
      </c>
      <c r="S14" s="5">
        <f>求节点(其他调用!$AI$7:$AI$606,其他调用!AJ$7:AJ$606,$B14)</f>
        <v>3050.5956521739131</v>
      </c>
      <c r="T14" s="5">
        <f>求节点(其他调用!$AI$7:$AI$606,其他调用!AK$7:AK$606,$B14)</f>
        <v>438.4230144927534</v>
      </c>
      <c r="U14" s="5">
        <f>求节点(其他调用!$AI$7:$AI$606,其他调用!AL$7:AL$606,$B14)</f>
        <v>101.03466666666665</v>
      </c>
      <c r="V14" s="5">
        <f>求节点(其他调用!$AI$7:$AI$606,其他调用!AM$7:AM$606,$B14)</f>
        <v>8.533333333333335</v>
      </c>
      <c r="W14" s="5">
        <f>求节点(其他调用!$AI$7:$AI$606,其他调用!AN$7:AN$606,$B14)</f>
        <v>1.4133333333333336</v>
      </c>
    </row>
    <row r="15" spans="1:23" x14ac:dyDescent="0.2">
      <c r="A15" s="4">
        <v>4</v>
      </c>
      <c r="B15" s="13">
        <f>AVERAGE([4]义渠入侵!$BG7:$BH7)</f>
        <v>4</v>
      </c>
      <c r="C15" s="13">
        <f>[4]义渠入侵!BI7</f>
        <v>140.45305217391302</v>
      </c>
      <c r="D15" s="13">
        <f>[4]义渠入侵!BJ7</f>
        <v>45</v>
      </c>
      <c r="E15" s="13" t="e">
        <f>[4]义渠入侵!BI40</f>
        <v>#VALUE!</v>
      </c>
      <c r="F15" s="13">
        <f>[4]义渠入侵!BJ40</f>
        <v>20</v>
      </c>
      <c r="G15" s="13">
        <f>[4]义渠入侵!BI74</f>
        <v>1172.660661490683</v>
      </c>
      <c r="H15" s="13">
        <f>[4]义渠入侵!BJ74</f>
        <v>90</v>
      </c>
      <c r="I15" s="7">
        <f>求节点(其他调用!D$7:D$116,其他调用!$C$7:$C$116,$B15)</f>
        <v>23.213386604241784</v>
      </c>
      <c r="J15" s="7">
        <f>求节点(其他调用!E$7:E$116,其他调用!$C$7:$C$116,$B15)</f>
        <v>24.836966034810484</v>
      </c>
      <c r="K15" s="7">
        <f>求节点(其他调用!F$7:F$116,其他调用!$C$7:$C$116,$B15)</f>
        <v>27.155717181399513</v>
      </c>
      <c r="L15" s="7">
        <f>求节点(其他调用!G$7:G$116,其他调用!$C$7:$C$116,$B15)</f>
        <v>30.831257561377125</v>
      </c>
      <c r="M15" s="7">
        <f>求节点(其他调用!H$7:H$116,其他调用!$C$7:$C$116,$B15)</f>
        <v>38.431365705145346</v>
      </c>
      <c r="N15" s="15">
        <f>求节点(其他调用!$S$7:$S$106,其他调用!T$7:T$106,I15)</f>
        <v>33252044.586189087</v>
      </c>
      <c r="O15" s="15">
        <f>求节点(其他调用!$S$7:$S$106,其他调用!U$7:U$106,J15)</f>
        <v>40483592.174789526</v>
      </c>
      <c r="P15" s="15">
        <f>求节点(其他调用!$S$7:$S$106,其他调用!V$7:V$106,K15)</f>
        <v>56930120.580806673</v>
      </c>
      <c r="Q15" s="15">
        <f>求节点(其他调用!$S$7:$S$106,其他调用!W$7:W$106,L15)</f>
        <v>94401193.343290806</v>
      </c>
      <c r="R15" s="15">
        <f>求节点(其他调用!$S$7:$S$106,其他调用!X$7:X$106,M15)</f>
        <v>216482266.0598028</v>
      </c>
      <c r="S15" s="5">
        <f>求节点(其他调用!$AI$7:$AI$606,其他调用!AJ$7:AJ$606,$B15)</f>
        <v>1897.7478260869568</v>
      </c>
      <c r="T15" s="5">
        <f>求节点(其他调用!$AI$7:$AI$606,其他调用!AK$7:AK$606,$B15)</f>
        <v>419.40417391304322</v>
      </c>
      <c r="U15" s="5">
        <f>求节点(其他调用!$AI$7:$AI$606,其他调用!AL$7:AL$606,$B15)</f>
        <v>73.727999999999994</v>
      </c>
      <c r="V15" s="5">
        <f>求节点(其他调用!$AI$7:$AI$606,其他调用!AM$7:AM$606,$B15)</f>
        <v>7.6800000000000015</v>
      </c>
      <c r="W15" s="5">
        <f>求节点(其他调用!$AI$7:$AI$606,其他调用!AN$7:AN$606,$B15)</f>
        <v>1.4400000000000002</v>
      </c>
    </row>
    <row r="16" spans="1:23" x14ac:dyDescent="0.2">
      <c r="A16" s="4">
        <v>5</v>
      </c>
      <c r="B16" s="13">
        <f>AVERAGE([4]义渠入侵!$BG8:$BH8)</f>
        <v>6</v>
      </c>
      <c r="C16" s="13">
        <f>[4]义渠入侵!BI8</f>
        <v>118.31632499999998</v>
      </c>
      <c r="D16" s="13">
        <f>[4]义渠入侵!BJ8</f>
        <v>40</v>
      </c>
      <c r="E16" s="13" t="e">
        <f>[4]义渠入侵!BI41</f>
        <v>#VALUE!</v>
      </c>
      <c r="F16" s="13">
        <f>[4]义渠入侵!BJ41</f>
        <v>20</v>
      </c>
      <c r="G16" s="13">
        <f>[4]义渠入侵!BI75</f>
        <v>1101.4668214285709</v>
      </c>
      <c r="H16" s="13">
        <f>[4]义渠入侵!BJ75</f>
        <v>80</v>
      </c>
      <c r="I16" s="7">
        <f>求节点(其他调用!D$7:D$116,其他调用!$C$7:$C$116,$B16)</f>
        <v>28.071211008105138</v>
      </c>
      <c r="J16" s="7">
        <f>求节点(其他调用!E$7:E$116,其他调用!$C$7:$C$116,$B16)</f>
        <v>29.78183527117605</v>
      </c>
      <c r="K16" s="7">
        <f>求节点(其他调用!F$7:F$116,其他调用!$C$7:$C$116,$B16)</f>
        <v>32.202183458664891</v>
      </c>
      <c r="L16" s="7">
        <f>求节点(其他调用!G$7:G$116,其他调用!$C$7:$C$116,$B16)</f>
        <v>36.067019846099676</v>
      </c>
      <c r="M16" s="7">
        <f>求节点(其他调用!H$7:H$116,其他调用!$C$7:$C$116,$B16)</f>
        <v>43.870275262019007</v>
      </c>
      <c r="N16" s="15">
        <f>求节点(其他调用!$S$7:$S$106,其他调用!T$7:T$106,I16)</f>
        <v>52429108.977923006</v>
      </c>
      <c r="O16" s="15">
        <f>求节点(其他调用!$S$7:$S$106,其他调用!U$7:U$106,J16)</f>
        <v>64393799.494390473</v>
      </c>
      <c r="P16" s="15">
        <f>求节点(其他调用!$S$7:$S$106,其他调用!V$7:V$106,K16)</f>
        <v>93101890.145884216</v>
      </c>
      <c r="Q16" s="15">
        <f>求节点(其他调用!$S$7:$S$106,其他调用!W$7:W$106,L16)</f>
        <v>158991430.28771001</v>
      </c>
      <c r="R16" s="15">
        <f>求节点(其他调用!$S$7:$S$106,其他调用!X$7:X$106,M16)</f>
        <v>346113426.18173635</v>
      </c>
      <c r="S16" s="5">
        <f>求节点(其他调用!$AI$7:$AI$606,其他调用!AJ$7:AJ$606,$B16)</f>
        <v>1399.8668478260872</v>
      </c>
      <c r="T16" s="5">
        <f>求节点(其他调用!$AI$7:$AI$606,其他调用!AK$7:AK$606,$B16)</f>
        <v>473.56315217391273</v>
      </c>
      <c r="U16" s="5">
        <f>求节点(其他调用!$AI$7:$AI$606,其他调用!AL$7:AL$606,$B16)</f>
        <v>66.56</v>
      </c>
      <c r="V16" s="5">
        <f>求节点(其他调用!$AI$7:$AI$606,其他调用!AM$7:AM$606,$B16)</f>
        <v>8.3200000000000021</v>
      </c>
      <c r="W16" s="5">
        <f>求节点(其他调用!$AI$7:$AI$606,其他调用!AN$7:AN$606,$B16)</f>
        <v>1.6900000000000002</v>
      </c>
    </row>
    <row r="17" spans="1:23" x14ac:dyDescent="0.2">
      <c r="A17" s="4">
        <v>6</v>
      </c>
      <c r="B17" s="13">
        <f>AVERAGE([4]义渠入侵!$BG9:$BH9)</f>
        <v>9</v>
      </c>
      <c r="C17" s="13">
        <f>[4]义渠入侵!BI9</f>
        <v>99.502254337606686</v>
      </c>
      <c r="D17" s="13">
        <f>[4]义渠入侵!BJ9</f>
        <v>35</v>
      </c>
      <c r="E17" s="13" t="e">
        <f>[4]义渠入侵!BI42</f>
        <v>#VALUE!</v>
      </c>
      <c r="F17" s="13">
        <f>[4]义渠入侵!BJ42</f>
        <v>20</v>
      </c>
      <c r="G17" s="13">
        <f>[4]义渠入侵!BI76</f>
        <v>950.81918396947265</v>
      </c>
      <c r="H17" s="13">
        <f>[4]义渠入侵!BJ76</f>
        <v>70</v>
      </c>
      <c r="I17" s="7">
        <f>求节点(其他调用!D$7:D$116,其他调用!$C$7:$C$116,$B17)</f>
        <v>33.213386604241784</v>
      </c>
      <c r="J17" s="7">
        <f>求节点(其他调用!E$7:E$116,其他调用!$C$7:$C$116,$B17)</f>
        <v>34.992730785174565</v>
      </c>
      <c r="K17" s="7">
        <f>求节点(其他调用!F$7:F$116,其他调用!$C$7:$C$116,$B17)</f>
        <v>37.510565846691456</v>
      </c>
      <c r="L17" s="7">
        <f>求节点(其他调用!G$7:G$116,其他调用!$C$7:$C$116,$B17)</f>
        <v>41.534743419557365</v>
      </c>
      <c r="M17" s="7">
        <f>求节点(其他调用!H$7:H$116,其他调用!$C$7:$C$116,$B17)</f>
        <v>49.706056771838036</v>
      </c>
      <c r="N17" s="15">
        <f>求节点(其他调用!$S$7:$S$106,其他调用!T$7:T$106,I17)</f>
        <v>84994381.831161767</v>
      </c>
      <c r="O17" s="15">
        <f>求节点(其他调用!$S$7:$S$106,其他调用!U$7:U$106,J17)</f>
        <v>105464070.75247364</v>
      </c>
      <c r="P17" s="15">
        <f>求节点(其他调用!$S$7:$S$106,其他调用!V$7:V$106,K17)</f>
        <v>153524939.32766908</v>
      </c>
      <c r="Q17" s="15">
        <f>求节点(其他调用!$S$7:$S$106,其他调用!W$7:W$106,L17)</f>
        <v>259887952.49174878</v>
      </c>
      <c r="R17" s="15">
        <f>求节点(其他调用!$S$7:$S$106,其他调用!X$7:X$106,M17)</f>
        <v>548948365.27369463</v>
      </c>
      <c r="S17" s="5">
        <f>求节点(其他调用!$AI$7:$AI$606,其他调用!AJ$7:AJ$606,$B17)</f>
        <v>959.81724113453504</v>
      </c>
      <c r="T17" s="5">
        <f>求节点(其他调用!$AI$7:$AI$606,其他调用!AK$7:AK$606,$B17)</f>
        <v>436.06866253893429</v>
      </c>
      <c r="U17" s="5">
        <f>求节点(其他调用!$AI$7:$AI$606,其他调用!AL$7:AL$606,$B17)</f>
        <v>52.52242285714285</v>
      </c>
      <c r="V17" s="5">
        <f>求节点(其他调用!$AI$7:$AI$606,其他调用!AM$7:AM$606,$B17)</f>
        <v>7.1941224489795923</v>
      </c>
      <c r="W17" s="5">
        <f>求节点(其他调用!$AI$7:$AI$606,其他调用!AN$7:AN$606,$B17)</f>
        <v>1.5404081632653062</v>
      </c>
    </row>
    <row r="18" spans="1:23" x14ac:dyDescent="0.2">
      <c r="A18" s="4">
        <v>7</v>
      </c>
      <c r="B18" s="13">
        <f>AVERAGE([4]义渠入侵!$BG10:$BH10)</f>
        <v>13.5</v>
      </c>
      <c r="C18" s="13">
        <f>[4]义渠入侵!BI10</f>
        <v>88.937302359175987</v>
      </c>
      <c r="D18" s="13">
        <f>[4]义渠入侵!BJ10</f>
        <v>30</v>
      </c>
      <c r="E18" s="13" t="e">
        <f>[4]义渠入侵!BI43</f>
        <v>#VALUE!</v>
      </c>
      <c r="F18" s="13">
        <f>[4]义渠入侵!BJ43</f>
        <v>20</v>
      </c>
      <c r="G18" s="13">
        <f>[4]义渠入侵!BI77</f>
        <v>878.7730898111954</v>
      </c>
      <c r="H18" s="13">
        <f>[4]义渠入侵!BJ77</f>
        <v>60</v>
      </c>
      <c r="I18" s="7">
        <f>求节点(其他调用!D$7:D$116,其他调用!$C$7:$C$116,$B18)</f>
        <v>38.571351621712928</v>
      </c>
      <c r="J18" s="7">
        <f>求节点(其他调用!E$7:E$116,其他调用!$C$7:$C$116,$B18)</f>
        <v>40.438267414109276</v>
      </c>
      <c r="K18" s="7">
        <f>求节点(其他调用!F$7:F$116,其他调用!$C$7:$C$116,$B18)</f>
        <v>42.990091749910292</v>
      </c>
      <c r="L18" s="7">
        <f>求节点(其他调用!G$7:G$116,其他调用!$C$7:$C$116,$B18)</f>
        <v>47.175893049189995</v>
      </c>
      <c r="M18" s="7">
        <f>求节点(其他调用!H$7:H$116,其他调用!$C$7:$C$116,$B18)</f>
        <v>55.621971864732572</v>
      </c>
      <c r="N18" s="15">
        <f>求节点(其他调用!$S$7:$S$106,其他调用!T$7:T$106,I18)</f>
        <v>138201425.95391831</v>
      </c>
      <c r="O18" s="15">
        <f>求节点(其他调用!$S$7:$S$106,其他调用!U$7:U$106,J18)</f>
        <v>170928059.61170393</v>
      </c>
      <c r="P18" s="15">
        <f>求节点(其他调用!$S$7:$S$106,其他调用!V$7:V$106,K18)</f>
        <v>246080357.83985412</v>
      </c>
      <c r="Q18" s="15">
        <f>求节点(其他调用!$S$7:$S$106,其他调用!W$7:W$106,L18)</f>
        <v>414429437.48537534</v>
      </c>
      <c r="R18" s="15">
        <f>求节点(其他调用!$S$7:$S$106,其他调用!X$7:X$106,M18)</f>
        <v>1178892202.1417599</v>
      </c>
      <c r="S18" s="5">
        <f>求节点(其他调用!$AI$7:$AI$606,其他调用!AJ$7:AJ$606,$B18)</f>
        <v>768.16496346724614</v>
      </c>
      <c r="T18" s="5">
        <f>求节点(其他调用!$AI$7:$AI$606,其他调用!AK$7:AK$606,$B18)</f>
        <v>441.83821694091694</v>
      </c>
      <c r="U18" s="5">
        <f>求节点(其他调用!$AI$7:$AI$606,其他调用!AL$7:AL$606,$B18)</f>
        <v>46.152411428571419</v>
      </c>
      <c r="V18" s="5">
        <f>求节点(其他调用!$AI$7:$AI$606,其他调用!AM$7:AM$606,$B18)</f>
        <v>6.6313469387755095</v>
      </c>
      <c r="W18" s="5">
        <f>求节点(其他调用!$AI$7:$AI$606,其他调用!AN$7:AN$606,$B18)</f>
        <v>1.4987755102040814</v>
      </c>
    </row>
    <row r="19" spans="1:23" x14ac:dyDescent="0.2">
      <c r="A19" s="11">
        <v>8</v>
      </c>
      <c r="B19" s="13">
        <f>AVERAGE([4]义渠入侵!$BG11:$BH11)</f>
        <v>19</v>
      </c>
      <c r="C19" s="13">
        <f>[4]义渠入侵!BI11</f>
        <v>79.534158467053274</v>
      </c>
      <c r="D19" s="13">
        <f>[4]义渠入侵!BJ11</f>
        <v>30</v>
      </c>
      <c r="E19" s="13" t="e">
        <f>[4]义渠入侵!BI44</f>
        <v>#VALUE!</v>
      </c>
      <c r="F19" s="13">
        <f>[4]义渠入侵!BJ44</f>
        <v>20</v>
      </c>
      <c r="G19" s="13">
        <f>[4]义渠入侵!BI78</f>
        <v>799.30699184966397</v>
      </c>
      <c r="H19" s="13">
        <f>[4]义渠入侵!BJ78</f>
        <v>60</v>
      </c>
      <c r="I19" s="7">
        <f>求节点(其他调用!D$7:D$116,其他调用!$C$7:$C$116,$B19)</f>
        <v>43.213386604241784</v>
      </c>
      <c r="J19" s="7">
        <f>求节点(其他调用!E$7:E$116,其他调用!$C$7:$C$116,$B19)</f>
        <v>45.070782602372333</v>
      </c>
      <c r="K19" s="7">
        <f>求节点(其他调用!F$7:F$116,其他调用!$C$7:$C$116,$B19)</f>
        <v>47.752799438858894</v>
      </c>
      <c r="L19" s="7">
        <f>求节点(其他调用!G$7:G$116,其他调用!$C$7:$C$116,$B19)</f>
        <v>52.050057424983954</v>
      </c>
      <c r="M19" s="7">
        <f>求节点(其他调用!H$7:H$116,其他调用!$C$7:$C$116,$B19)</f>
        <v>60.54585273688761</v>
      </c>
      <c r="N19" s="15">
        <f>求节点(其他调用!$S$7:$S$106,其他调用!T$7:T$106,I19)</f>
        <v>201129317.30135226</v>
      </c>
      <c r="O19" s="15">
        <f>求节点(其他调用!$S$7:$S$106,其他调用!U$7:U$106,J19)</f>
        <v>247631073.37592301</v>
      </c>
      <c r="P19" s="15">
        <f>求节点(其他调用!$S$7:$S$106,其他调用!V$7:V$106,K19)</f>
        <v>362492720.41741329</v>
      </c>
      <c r="Q19" s="15">
        <f>求节点(其他调用!$S$7:$S$106,其他调用!W$7:W$106,L19)</f>
        <v>658675633.99526203</v>
      </c>
      <c r="R19" s="15">
        <f>求节点(其他调用!$S$7:$S$106,其他调用!X$7:X$106,M19)</f>
        <v>2088862541.8710723</v>
      </c>
      <c r="S19" s="5">
        <f>求节点(其他调用!$AI$7:$AI$606,其他调用!AJ$7:AJ$606,$B19)</f>
        <v>639.64093965517259</v>
      </c>
      <c r="T19" s="5">
        <f>求节点(其他调用!$AI$7:$AI$606,其他调用!AK$7:AK$606,$B19)</f>
        <v>412.50325234482733</v>
      </c>
      <c r="U19" s="5">
        <f>求节点(其他调用!$AI$7:$AI$606,其他调用!AL$7:AL$606,$B19)</f>
        <v>40.463808000000007</v>
      </c>
      <c r="V19" s="5">
        <f>求节点(其他调用!$AI$7:$AI$606,其他调用!AM$7:AM$606,$B19)</f>
        <v>5.9895000000000014</v>
      </c>
      <c r="W19" s="5">
        <f>求节点(其他调用!$AI$7:$AI$606,其他调用!AN$7:AN$606,$B19)</f>
        <v>1.4024999999999999</v>
      </c>
    </row>
    <row r="20" spans="1:23" x14ac:dyDescent="0.2">
      <c r="A20" s="11">
        <v>9</v>
      </c>
      <c r="B20" s="13">
        <f>AVERAGE([4]义渠入侵!$BG12:$BH12)</f>
        <v>28</v>
      </c>
      <c r="C20" s="13">
        <f>[4]义渠入侵!BI12</f>
        <v>75.898554398119117</v>
      </c>
      <c r="D20" s="13">
        <f>[4]义渠入侵!BJ12</f>
        <v>30</v>
      </c>
      <c r="E20" s="13" t="e">
        <f>[4]义渠入侵!BI45</f>
        <v>#VALUE!</v>
      </c>
      <c r="F20" s="13">
        <f>[4]义渠入侵!BJ45</f>
        <v>20</v>
      </c>
      <c r="G20" s="13">
        <f>[4]义渠入侵!BI79</f>
        <v>665.44721486721869</v>
      </c>
      <c r="H20" s="13">
        <f>[4]义渠入侵!BJ79</f>
        <v>60</v>
      </c>
      <c r="I20" s="7">
        <f>求节点(其他调用!D$7:D$116,其他调用!$C$7:$C$116,$B20)</f>
        <v>48.571351621712928</v>
      </c>
      <c r="J20" s="7">
        <f>求节点(其他调用!E$7:E$116,其他调用!$C$7:$C$116,$B20)</f>
        <v>50.509688493127967</v>
      </c>
      <c r="K20" s="7">
        <f>求节点(其他调用!F$7:F$116,其他调用!$C$7:$C$116,$B20)</f>
        <v>53.212684955585161</v>
      </c>
      <c r="L20" s="7">
        <f>求节点(其他调用!G$7:G$116,其他调用!$C$7:$C$116,$B20)</f>
        <v>57.699988965458331</v>
      </c>
      <c r="M20" s="7">
        <f>求节点(其他调用!H$7:H$116,其他调用!$C$7:$C$116,$B20)</f>
        <v>66.076345334947405</v>
      </c>
      <c r="N20" s="15">
        <f>求节点(其他调用!$S$7:$S$106,其他调用!T$7:T$106,I20)</f>
        <v>309255404.79106259</v>
      </c>
      <c r="O20" s="15">
        <f>求节点(其他调用!$S$7:$S$106,其他调用!U$7:U$106,J20)</f>
        <v>389870910.05685782</v>
      </c>
      <c r="P20" s="15">
        <f>求节点(其他调用!$S$7:$S$106,其他调用!V$7:V$106,K20)</f>
        <v>601826799.73301256</v>
      </c>
      <c r="Q20" s="15">
        <f>求节点(其他调用!$S$7:$S$106,其他调用!W$7:W$106,L20)</f>
        <v>1259995740.6241601</v>
      </c>
      <c r="R20" s="15">
        <f>求节点(其他调用!$S$7:$S$106,其他调用!X$7:X$106,M20)</f>
        <v>3120120649.2521582</v>
      </c>
      <c r="S20" s="5">
        <f>求节点(其他调用!$AI$7:$AI$606,其他调用!AJ$7:AJ$606,$B20)</f>
        <v>476.81656152037635</v>
      </c>
      <c r="T20" s="5">
        <f>求节点(其他调用!$AI$7:$AI$606,其他调用!AK$7:AK$606,$B20)</f>
        <v>359.37846247962364</v>
      </c>
      <c r="U20" s="5">
        <f>求节点(其他调用!$AI$7:$AI$606,其他调用!AL$7:AL$606,$B20)</f>
        <v>32.546976000000001</v>
      </c>
      <c r="V20" s="5">
        <f>求节点(其他调用!$AI$7:$AI$606,其他调用!AM$7:AM$606,$B20)</f>
        <v>5.0242500000000012</v>
      </c>
      <c r="W20" s="5">
        <f>求节点(其他调用!$AI$7:$AI$606,其他调用!AN$7:AN$606,$B20)</f>
        <v>1.2337499999999999</v>
      </c>
    </row>
    <row r="21" spans="1:23" x14ac:dyDescent="0.2">
      <c r="A21" s="11">
        <v>10</v>
      </c>
      <c r="B21" s="13">
        <f>AVERAGE([4]义渠入侵!$BG13:$BH13)</f>
        <v>40</v>
      </c>
      <c r="C21" s="13">
        <f>[4]义渠入侵!BI13</f>
        <v>76.758167747745446</v>
      </c>
      <c r="D21" s="13">
        <f>[4]义渠入侵!BJ13</f>
        <v>30</v>
      </c>
      <c r="E21" s="13" t="e">
        <f>[4]义渠入侵!BI46</f>
        <v>#VALUE!</v>
      </c>
      <c r="F21" s="13">
        <f>[4]义渠入侵!BJ46</f>
        <v>20</v>
      </c>
      <c r="G21" s="13">
        <f>[4]义渠入侵!BI80</f>
        <v>560.49603811661814</v>
      </c>
      <c r="H21" s="13">
        <f>[4]义渠入侵!BJ80</f>
        <v>60</v>
      </c>
      <c r="I21" s="7">
        <f>求节点(其他调用!D$7:D$116,其他调用!$C$7:$C$116,$B21)</f>
        <v>53.567039423670657</v>
      </c>
      <c r="J21" s="7">
        <f>求节点(其他调用!E$7:E$116,其他调用!$C$7:$C$116,$B21)</f>
        <v>55.535006783542492</v>
      </c>
      <c r="K21" s="7">
        <f>求节点(其他调用!F$7:F$116,其他调用!$C$7:$C$116,$B21)</f>
        <v>58.38602553461638</v>
      </c>
      <c r="L21" s="7">
        <f>求节点(其他调用!G$7:G$116,其他调用!$C$7:$C$116,$B21)</f>
        <v>62.760530848099599</v>
      </c>
      <c r="M21" s="7">
        <f>求节点(其他调用!H$7:H$116,其他调用!$C$7:$C$116,$B21)</f>
        <v>71.315281959371688</v>
      </c>
      <c r="N21" s="15">
        <f>求节点(其他调用!$S$7:$S$106,其他调用!T$7:T$106,I21)</f>
        <v>504749550.00239623</v>
      </c>
      <c r="O21" s="15">
        <f>求节点(其他调用!$S$7:$S$106,其他调用!U$7:U$106,J21)</f>
        <v>644127276.03012407</v>
      </c>
      <c r="P21" s="15">
        <f>求节点(其他调用!$S$7:$S$106,其他调用!V$7:V$106,K21)</f>
        <v>1005471417.181406</v>
      </c>
      <c r="Q21" s="15">
        <f>求节点(其他调用!$S$7:$S$106,其他调用!W$7:W$106,L21)</f>
        <v>2035763894.3094218</v>
      </c>
      <c r="R21" s="15">
        <f>求节点(其他调用!$S$7:$S$106,其他调用!X$7:X$106,M21)</f>
        <v>4467957768.4455528</v>
      </c>
      <c r="S21" s="5">
        <f>求节点(其他调用!$AI$7:$AI$606,其他调用!AJ$7:AJ$606,$B21)</f>
        <v>371.94237014106602</v>
      </c>
      <c r="T21" s="5">
        <f>求节点(其他调用!$AI$7:$AI$606,其他调用!AK$7:AK$606,$B21)</f>
        <v>303.09143999962367</v>
      </c>
      <c r="U21" s="5">
        <f>求节点(其他调用!$AI$7:$AI$606,其他调用!AL$7:AL$606,$B21)</f>
        <v>26.534438135172415</v>
      </c>
      <c r="V21" s="5">
        <f>求节点(其他调用!$AI$7:$AI$606,其他调用!AM$7:AM$606,$B21)</f>
        <v>4.2425103448275872</v>
      </c>
      <c r="W21" s="5">
        <f>求节点(其他调用!$AI$7:$AI$606,其他调用!AN$7:AN$606,$B21)</f>
        <v>1.0857931034482757</v>
      </c>
    </row>
    <row r="22" spans="1:23" x14ac:dyDescent="0.2">
      <c r="A22" s="18">
        <v>11</v>
      </c>
      <c r="B22" s="13">
        <f>AVERAGE([4]义渠入侵!$BG14:$BH14)</f>
        <v>56</v>
      </c>
      <c r="C22" s="13">
        <f>[4]义渠入侵!BI14</f>
        <v>77.699295737854541</v>
      </c>
      <c r="D22" s="13">
        <f>[4]义渠入侵!BJ14</f>
        <v>30</v>
      </c>
      <c r="E22" s="13" t="e">
        <f>[4]义渠入侵!BI47</f>
        <v>#VALUE!</v>
      </c>
      <c r="F22" s="13">
        <f>[4]义渠入侵!BJ47</f>
        <v>20</v>
      </c>
      <c r="G22" s="13">
        <f>[4]义渠入侵!BI81</f>
        <v>440.76631680902057</v>
      </c>
      <c r="H22" s="13">
        <f>[4]义渠入侵!BJ81</f>
        <v>60</v>
      </c>
      <c r="I22" s="7">
        <f>求节点(其他调用!D$7:D$116,其他调用!$C$7:$C$116,$B22)</f>
        <v>58.321281314909029</v>
      </c>
      <c r="J22" s="7">
        <f>求节点(其他调用!E$7:E$116,其他调用!$C$7:$C$116,$B22)</f>
        <v>60.351982057337977</v>
      </c>
      <c r="K22" s="7">
        <f>求节点(其他调用!F$7:F$116,其他调用!$C$7:$C$116,$B22)</f>
        <v>63.17626763611517</v>
      </c>
      <c r="L22" s="7">
        <f>求节点(其他调用!G$7:G$116,其他调用!$C$7:$C$116,$B22)</f>
        <v>67.626924568999456</v>
      </c>
      <c r="M22" s="7">
        <f>求节点(其他调用!H$7:H$116,其他调用!$C$7:$C$116,$B22)</f>
        <v>76.086647524934079</v>
      </c>
      <c r="N22" s="15">
        <f>求节点(其他调用!$S$7:$S$106,其他调用!T$7:T$106,I22)</f>
        <v>792680208.30650091</v>
      </c>
      <c r="O22" s="15">
        <f>求节点(其他调用!$S$7:$S$106,其他调用!U$7:U$106,J22)</f>
        <v>1011940544.7124848</v>
      </c>
      <c r="P22" s="15">
        <f>求节点(其他调用!$S$7:$S$106,其他调用!V$7:V$106,K22)</f>
        <v>1563432629.5202529</v>
      </c>
      <c r="Q22" s="15">
        <f>求节点(其他调用!$S$7:$S$106,其他调用!W$7:W$106,L22)</f>
        <v>2924071746.6256747</v>
      </c>
      <c r="R22" s="15">
        <f>求节点(其他调用!$S$7:$S$106,其他调用!X$7:X$106,M22)</f>
        <v>6253047595.3881321</v>
      </c>
      <c r="S22" s="5">
        <f>求节点(其他调用!$AI$7:$AI$606,其他调用!AJ$7:AJ$606,$B22)</f>
        <v>275.63116815987473</v>
      </c>
      <c r="T22" s="5">
        <f>求节点(其他调用!$AI$7:$AI$606,其他调用!AK$7:AK$606,$B22)</f>
        <v>240.87976433954603</v>
      </c>
      <c r="U22" s="5">
        <f>求节点(其他调用!$AI$7:$AI$606,其他调用!AL$7:AL$606,$B22)</f>
        <v>20.536823638510349</v>
      </c>
      <c r="V22" s="5">
        <f>求节点(其他调用!$AI$7:$AI$606,其他调用!AM$7:AM$606,$B22)</f>
        <v>3.4168397241379327</v>
      </c>
      <c r="W22" s="5">
        <f>求节点(其他调用!$AI$7:$AI$606,其他调用!AN$7:AN$606,$B22)</f>
        <v>0.91471448275862066</v>
      </c>
    </row>
    <row r="23" spans="1:23" s="18" customFormat="1" x14ac:dyDescent="0.2">
      <c r="A23" s="18">
        <v>12</v>
      </c>
      <c r="B23" s="13">
        <f>AVERAGE([4]义渠入侵!$BG15:$BH15)</f>
        <v>78.5</v>
      </c>
      <c r="C23" s="13">
        <f>[4]义渠入侵!BI15</f>
        <v>78.786700805925989</v>
      </c>
      <c r="D23" s="13">
        <f>[4]义渠入侵!BJ15</f>
        <v>30</v>
      </c>
      <c r="E23" s="13" t="e">
        <f>[4]义渠入侵!BI48</f>
        <v>#VALUE!</v>
      </c>
      <c r="F23" s="13">
        <f>[4]义渠入侵!BJ48</f>
        <v>20</v>
      </c>
      <c r="G23" s="13">
        <f>[4]义渠入侵!BI82</f>
        <v>402.06890488043484</v>
      </c>
      <c r="H23" s="13">
        <f>[4]义渠入侵!BJ82</f>
        <v>60</v>
      </c>
      <c r="I23" s="7">
        <f>求节点(其他调用!D$7:D$116,其他调用!$C$7:$C$116,$B23)</f>
        <v>63.124973399384572</v>
      </c>
      <c r="J23" s="7">
        <f>求节点(其他调用!E$7:E$116,其他调用!$C$7:$C$116,$B23)</f>
        <v>65.149117144494369</v>
      </c>
      <c r="K23" s="7">
        <f>求节点(其他调用!F$7:F$116,其他调用!$C$7:$C$116,$B23)</f>
        <v>68.044115630471907</v>
      </c>
      <c r="L23" s="7">
        <f>求节点(其他调用!G$7:G$116,其他调用!$C$7:$C$116,$B23)</f>
        <v>72.542648728835587</v>
      </c>
      <c r="M23" s="7">
        <f>求节点(其他调用!H$7:H$116,其他调用!$C$7:$C$116,$B23)</f>
        <v>81.119664534729225</v>
      </c>
      <c r="N23" s="15">
        <f>求节点(其他调用!$S$7:$S$106,其他调用!T$7:T$106,I23)</f>
        <v>1219121743.7243521</v>
      </c>
      <c r="O23" s="15">
        <f>求节点(其他调用!$S$7:$S$106,其他调用!U$7:U$106,J23)</f>
        <v>1529290729.7962422</v>
      </c>
      <c r="P23" s="15">
        <f>求节点(其他调用!$S$7:$S$106,其他调用!V$7:V$106,K23)</f>
        <v>2314471082.0878711</v>
      </c>
      <c r="Q23" s="15">
        <f>求节点(其他调用!$S$7:$S$106,其他调用!W$7:W$106,L23)</f>
        <v>4117352546.1942673</v>
      </c>
      <c r="R23" s="15">
        <f>求节点(其他调用!$S$7:$S$106,其他调用!X$7:X$106,M23)</f>
        <v>9080410763.3186245</v>
      </c>
      <c r="S23" s="5">
        <f>求节点(其他调用!$AI$7:$AI$606,其他调用!AJ$7:AJ$606,$B23)</f>
        <v>229.56461277187503</v>
      </c>
      <c r="T23" s="5">
        <f>求节点(其他调用!$AI$7:$AI$606,其他调用!AK$7:AK$606,$B23)</f>
        <v>217.57111808427965</v>
      </c>
      <c r="U23" s="5">
        <f>求节点(其他调用!$AI$7:$AI$606,其他调用!AL$7:AL$606,$B23)</f>
        <v>18.009192160512001</v>
      </c>
      <c r="V23" s="5">
        <f>求节点(其他调用!$AI$7:$AI$606,其他调用!AM$7:AM$606,$B23)</f>
        <v>3.1360356500000011</v>
      </c>
      <c r="W23" s="5">
        <f>求节点(其他调用!$AI$7:$AI$606,其他调用!AN$7:AN$606,$B23)</f>
        <v>0.88570799999999983</v>
      </c>
    </row>
    <row r="24" spans="1:23" s="18" customFormat="1" x14ac:dyDescent="0.2">
      <c r="A24" s="18">
        <v>13</v>
      </c>
      <c r="B24" s="13">
        <f>AVERAGE([4]义渠入侵!$BG16:$BH16)</f>
        <v>111</v>
      </c>
      <c r="C24" s="13">
        <f>[4]义渠入侵!BI16</f>
        <v>79.27720888204</v>
      </c>
      <c r="D24" s="13">
        <f>[4]义渠入侵!BJ16</f>
        <v>30</v>
      </c>
      <c r="E24" s="13" t="e">
        <f>[4]义渠入侵!BI49</f>
        <v>#VALUE!</v>
      </c>
      <c r="F24" s="13">
        <f>[4]义渠入侵!BJ49</f>
        <v>20</v>
      </c>
      <c r="G24" s="13">
        <f>[4]义渠入侵!BI83</f>
        <v>329.07538659310683</v>
      </c>
      <c r="H24" s="13">
        <f>[4]义渠入侵!BJ83</f>
        <v>60</v>
      </c>
      <c r="I24" s="7">
        <f>求节点(其他调用!D$7:D$116,其他调用!$C$7:$C$116,$B24)</f>
        <v>68.071211008105138</v>
      </c>
      <c r="J24" s="7">
        <f>求节点(其他调用!E$7:E$116,其他调用!$C$7:$C$116,$B24)</f>
        <v>70.127815365673797</v>
      </c>
      <c r="K24" s="7">
        <f>求节点(其他调用!F$7:F$116,其他调用!$C$7:$C$116,$B24)</f>
        <v>73.051543220271398</v>
      </c>
      <c r="L24" s="7">
        <f>求节点(其他调用!G$7:G$116,其他调用!$C$7:$C$116,$B24)</f>
        <v>77.461998485874332</v>
      </c>
      <c r="M24" s="7">
        <f>求节点(其他调用!H$7:H$116,其他调用!$C$7:$C$116,$B24)</f>
        <v>86.301784901840136</v>
      </c>
      <c r="N24" s="15">
        <f>求节点(其他调用!$S$7:$S$106,其他调用!T$7:T$106,I24)</f>
        <v>1828036981.2721617</v>
      </c>
      <c r="O24" s="15">
        <f>求节点(其他调用!$S$7:$S$106,其他调用!U$7:U$106,J24)</f>
        <v>2249208451.5446477</v>
      </c>
      <c r="P24" s="15">
        <f>求节点(其他调用!$S$7:$S$106,其他调用!V$7:V$106,K24)</f>
        <v>3320427665.010673</v>
      </c>
      <c r="Q24" s="15">
        <f>求节点(其他调用!$S$7:$S$106,其他调用!W$7:W$106,L24)</f>
        <v>5874999880.0458822</v>
      </c>
      <c r="R24" s="15">
        <f>求节点(其他调用!$S$7:$S$106,其他调用!X$7:X$106,M24)</f>
        <v>12467985866.795731</v>
      </c>
      <c r="S24" s="5">
        <f>求节点(其他调用!$AI$7:$AI$606,其他调用!AJ$7:AJ$606,$B24)</f>
        <v>182.25769094999998</v>
      </c>
      <c r="T24" s="5">
        <f>求节点(其他调用!$AI$7:$AI$606,其他调用!AK$7:AK$606,$B24)</f>
        <v>179.70775219649599</v>
      </c>
      <c r="U24" s="5">
        <f>求节点(其他调用!$AI$7:$AI$606,其他调用!AL$7:AL$606,$B24)</f>
        <v>14.669596053504002</v>
      </c>
      <c r="V24" s="5">
        <f>求节点(其他调用!$AI$7:$AI$606,其他调用!AM$7:AM$606,$B24)</f>
        <v>2.6098248000000006</v>
      </c>
      <c r="W24" s="5">
        <f>求节点(其他调用!$AI$7:$AI$606,其他调用!AN$7:AN$606,$B24)</f>
        <v>0.75513599999999992</v>
      </c>
    </row>
    <row r="25" spans="1:23" s="18" customFormat="1" x14ac:dyDescent="0.2">
      <c r="A25" s="18">
        <v>14</v>
      </c>
      <c r="B25" s="13">
        <f>AVERAGE([4]义渠入侵!$BG17:$BH17)</f>
        <v>158.5</v>
      </c>
      <c r="C25" s="13">
        <f>[4]义渠入侵!BI17</f>
        <v>79.277208882040028</v>
      </c>
      <c r="D25" s="13">
        <f>[4]义渠入侵!BJ17</f>
        <v>30</v>
      </c>
      <c r="E25" s="13" t="e">
        <f>[4]义渠入侵!BI50</f>
        <v>#VALUE!</v>
      </c>
      <c r="F25" s="13">
        <f>[4]义渠入侵!BJ50</f>
        <v>20</v>
      </c>
      <c r="G25" s="13">
        <f>[4]义渠入侵!BI84</f>
        <v>247.57098498005752</v>
      </c>
      <c r="H25" s="13">
        <f>[4]义渠入侵!BJ84</f>
        <v>60</v>
      </c>
      <c r="I25" s="7">
        <f>求节点(其他调用!D$7:D$116,其他调用!$C$7:$C$116,$B25)</f>
        <v>73.169180001813174</v>
      </c>
      <c r="J25" s="7">
        <f>求节点(其他调用!E$7:E$116,其他调用!$C$7:$C$116,$B25)</f>
        <v>75.244817458811596</v>
      </c>
      <c r="K25" s="7">
        <f>求节点(其他调用!F$7:F$116,其他调用!$C$7:$C$116,$B25)</f>
        <v>78.110162797132574</v>
      </c>
      <c r="L25" s="7">
        <f>求节点(其他调用!G$7:G$116,其他调用!$C$7:$C$116,$B25)</f>
        <v>82.714018751523781</v>
      </c>
      <c r="M25" s="7">
        <f>求节点(其他调用!H$7:H$116,其他调用!$C$7:$C$116,$B25)</f>
        <v>92.079837963781671</v>
      </c>
      <c r="N25" s="15">
        <f>求节点(其他调用!$S$7:$S$106,其他调用!T$7:T$106,I25)</f>
        <v>2664891973.9695997</v>
      </c>
      <c r="O25" s="15">
        <f>求节点(其他调用!$S$7:$S$106,其他调用!U$7:U$106,J25)</f>
        <v>3237530244.5338159</v>
      </c>
      <c r="P25" s="15">
        <f>求节点(其他调用!$S$7:$S$106,其他调用!V$7:V$106,K25)</f>
        <v>4737650358.3761873</v>
      </c>
      <c r="Q25" s="15">
        <f>求节点(其他调用!$S$7:$S$106,其他调用!W$7:W$106,L25)</f>
        <v>8839248395.7758694</v>
      </c>
      <c r="R25" s="15">
        <f>求节点(其他调用!$S$7:$S$106,其他调用!X$7:X$106,M25)</f>
        <v>15798386391.619627</v>
      </c>
      <c r="S25" s="5">
        <f>求节点(其他调用!$AI$7:$AI$606,其他调用!AJ$7:AJ$606,$B25)</f>
        <v>136.75322140031247</v>
      </c>
      <c r="T25" s="5">
        <f>求节点(其他调用!$AI$7:$AI$606,其他调用!AK$7:AK$606,$B25)</f>
        <v>134.83992853954189</v>
      </c>
      <c r="U25" s="5">
        <f>求节点(其他调用!$AI$7:$AI$606,其他调用!AL$7:AL$606,$B25)</f>
        <v>11.007022565145601</v>
      </c>
      <c r="V25" s="5">
        <f>求节点(其他调用!$AI$7:$AI$606,其他调用!AM$7:AM$606,$B25)</f>
        <v>1.9582270950000003</v>
      </c>
      <c r="W25" s="5">
        <f>求节点(其他调用!$AI$7:$AI$606,其他调用!AN$7:AN$606,$B25)</f>
        <v>0.56660039999999989</v>
      </c>
    </row>
    <row r="26" spans="1:23" s="18" customFormat="1" x14ac:dyDescent="0.2">
      <c r="A26" s="18">
        <v>15</v>
      </c>
      <c r="B26" s="13">
        <f>AVERAGE([4]义渠入侵!$BG18:$BH18)</f>
        <v>223.5</v>
      </c>
      <c r="C26" s="13">
        <f>[4]义渠入侵!BI18</f>
        <v>79.277208882040014</v>
      </c>
      <c r="D26" s="13">
        <f>[4]义渠入侵!BJ18</f>
        <v>30</v>
      </c>
      <c r="E26" s="13" t="e">
        <f>[4]义渠入侵!BI51</f>
        <v>#VALUE!</v>
      </c>
      <c r="F26" s="13">
        <f>[4]义渠入侵!BJ51</f>
        <v>20</v>
      </c>
      <c r="G26" s="13">
        <f>[4]义渠入侵!BI85</f>
        <v>189.74071806510847</v>
      </c>
      <c r="H26" s="13">
        <f>[4]义渠入侵!BJ85</f>
        <v>60</v>
      </c>
      <c r="I26" s="7">
        <f>求节点(其他调用!D$7:D$116,其他调用!$C$7:$C$116,$B26)</f>
        <v>78.102469796455622</v>
      </c>
      <c r="J26" s="7">
        <f>求节点(其他调用!E$7:E$116,其他调用!$C$7:$C$116,$B26)</f>
        <v>80.158110106257439</v>
      </c>
      <c r="K26" s="7">
        <f>求节点(其他调用!F$7:F$116,其他调用!$C$7:$C$116,$B26)</f>
        <v>83.12376850907134</v>
      </c>
      <c r="L26" s="7">
        <f>求节点(其他调用!G$7:G$116,其他调用!$C$7:$C$116,$B26)</f>
        <v>87.813231976741193</v>
      </c>
      <c r="M26" s="7">
        <f>求节点(其他调用!H$7:H$116,其他调用!$C$7:$C$116,$B26)</f>
        <v>97.011181345175331</v>
      </c>
      <c r="N26" s="15">
        <f>求节点(其他调用!$S$7:$S$106,其他调用!T$7:T$106,I26)</f>
        <v>3794720296.4878712</v>
      </c>
      <c r="O26" s="15">
        <f>求节点(其他调用!$S$7:$S$106,其他调用!U$7:U$106,J26)</f>
        <v>4609854808.9112921</v>
      </c>
      <c r="P26" s="15">
        <f>求节点(其他调用!$S$7:$S$106,其他调用!V$7:V$106,K26)</f>
        <v>6754131394.5094013</v>
      </c>
      <c r="Q26" s="15">
        <f>求节点(其他调用!$S$7:$S$106,其他调用!W$7:W$106,L26)</f>
        <v>12255079455.407089</v>
      </c>
      <c r="R26" s="15">
        <f>求节点(其他调用!$S$7:$S$106,其他调用!X$7:X$106,M26)</f>
        <v>19274051402.799351</v>
      </c>
      <c r="S26" s="5">
        <f>求节点(其他调用!$AI$7:$AI$606,其他调用!AJ$7:AJ$606,$B26)</f>
        <v>90.221266623745862</v>
      </c>
      <c r="T26" s="5">
        <f>求节点(其他调用!$AI$7:$AI$606,其他调用!AK$7:AK$606,$B26)</f>
        <v>88.958995040280996</v>
      </c>
      <c r="U26" s="5">
        <f>求节点(其他调用!$AI$7:$AI$606,其他调用!AL$7:AL$606,$B26)</f>
        <v>7.2617486258449429</v>
      </c>
      <c r="V26" s="5">
        <f>求节点(其他调用!$AI$7:$AI$606,其他调用!AM$7:AM$606,$B26)</f>
        <v>1.291916395378125</v>
      </c>
      <c r="W26" s="5">
        <f>求节点(其他调用!$AI$7:$AI$606,其他调用!AN$7:AN$606,$B26)</f>
        <v>0.37380768974999989</v>
      </c>
    </row>
    <row r="27" spans="1:23" s="18" customFormat="1" x14ac:dyDescent="0.2">
      <c r="A27" s="18">
        <v>16</v>
      </c>
      <c r="B27" s="13">
        <f>AVERAGE([4]义渠入侵!$BG19:$BH19)</f>
        <v>336</v>
      </c>
      <c r="C27" s="13">
        <f>[4]义渠入侵!BI19</f>
        <v>79.277208882040014</v>
      </c>
      <c r="D27" s="13">
        <f>[4]义渠入侵!BJ19</f>
        <v>30</v>
      </c>
      <c r="E27" s="13" t="e">
        <f>[4]义渠入侵!BI52</f>
        <v>#VALUE!</v>
      </c>
      <c r="F27" s="13">
        <f>[4]义渠入侵!BJ52</f>
        <v>20</v>
      </c>
      <c r="G27" s="13">
        <f>[4]义渠入侵!BI86</f>
        <v>189.74071806510847</v>
      </c>
      <c r="H27" s="13">
        <f>[4]义渠入侵!BJ86</f>
        <v>60</v>
      </c>
      <c r="I27" s="7">
        <f>求节点(其他调用!D$7:D$116,其他调用!$C$7:$C$116,$B27)</f>
        <v>83.964898845528126</v>
      </c>
      <c r="J27" s="7">
        <f>求节点(其他调用!E$7:E$116,其他调用!$C$7:$C$116,$B27)</f>
        <v>86.082310529666103</v>
      </c>
      <c r="K27" s="7">
        <f>求节点(其他调用!F$7:F$116,其他调用!$C$7:$C$116,$B27)</f>
        <v>89.157869418764761</v>
      </c>
      <c r="L27" s="7">
        <f>求节点(其他调用!G$7:G$116,其他调用!$C$7:$C$116,$B27)</f>
        <v>94.145165249810972</v>
      </c>
      <c r="M27" s="7">
        <f>求节点(其他调用!H$7:H$116,其他调用!$C$7:$C$116,$B27)</f>
        <v>103.00673656424885</v>
      </c>
      <c r="N27" s="15">
        <f>求节点(其他调用!$S$7:$S$106,其他调用!T$7:T$106,I27)</f>
        <v>5621021282.366765</v>
      </c>
      <c r="O27" s="15">
        <f>求节点(其他调用!$S$7:$S$106,其他调用!U$7:U$106,J27)</f>
        <v>7056155658.8175087</v>
      </c>
      <c r="P27" s="15">
        <f>求节点(其他调用!$S$7:$S$106,其他调用!V$7:V$106,K27)</f>
        <v>10478881007.078711</v>
      </c>
      <c r="Q27" s="15">
        <f>求节点(其他调用!$S$7:$S$106,其他调用!W$7:W$106,L27)</f>
        <v>16401192043.807373</v>
      </c>
      <c r="R27" s="15">
        <f>求节点(其他调用!$S$7:$S$106,其他调用!X$7:X$106,M27)</f>
        <v>21686551004</v>
      </c>
      <c r="S27" s="5">
        <f>求节点(其他调用!$AI$7:$AI$606,其他调用!AJ$7:AJ$606,$B27)</f>
        <v>43.779875941294868</v>
      </c>
      <c r="T27" s="5">
        <f>求节点(其他调用!$AI$7:$AI$606,其他调用!AK$7:AK$606,$B27)</f>
        <v>43.167358567106632</v>
      </c>
      <c r="U27" s="5">
        <f>求节点(其他调用!$AI$7:$AI$606,其他调用!AL$7:AL$606,$B27)</f>
        <v>3.5237640287427006</v>
      </c>
      <c r="V27" s="5">
        <f>求节点(其他调用!$AI$7:$AI$606,其他调用!AM$7:AM$606,$B27)</f>
        <v>0.6269025212431768</v>
      </c>
      <c r="W27" s="5">
        <f>求节点(其他调用!$AI$7:$AI$606,其他调用!AN$7:AN$606,$B27)</f>
        <v>0.18139020760377761</v>
      </c>
    </row>
    <row r="28" spans="1:23" s="23" customFormat="1" x14ac:dyDescent="0.2">
      <c r="A28" s="23">
        <v>17</v>
      </c>
      <c r="B28" s="13">
        <f>AVERAGE([4]义渠入侵!$BG20:$BH20)</f>
        <v>486</v>
      </c>
      <c r="C28" s="13">
        <f>[4]义渠入侵!BI20</f>
        <v>79.277208882040014</v>
      </c>
      <c r="D28" s="13">
        <f>[4]义渠入侵!BJ20</f>
        <v>30</v>
      </c>
      <c r="E28" s="13" t="e">
        <f>[4]义渠入侵!BI53</f>
        <v>#VALUE!</v>
      </c>
      <c r="F28" s="13">
        <f>[4]义渠入侵!BJ53</f>
        <v>20</v>
      </c>
      <c r="G28" s="13">
        <f>[4]义渠入侵!BI87</f>
        <v>189.74071806510847</v>
      </c>
      <c r="H28" s="13">
        <f>[4]义渠入侵!BJ87</f>
        <v>60</v>
      </c>
      <c r="I28" s="7">
        <f>求节点(其他调用!D$7:D$116,其他调用!$C$7:$C$116,$B28)</f>
        <v>89.270862979838242</v>
      </c>
      <c r="J28" s="7">
        <f>求节点(其他调用!E$7:E$116,其他调用!$C$7:$C$116,$B28)</f>
        <v>91.501042689335307</v>
      </c>
      <c r="K28" s="7">
        <f>求节点(其他调用!F$7:F$116,其他调用!$C$7:$C$116,$B28)</f>
        <v>94.687907691739809</v>
      </c>
      <c r="L28" s="7">
        <f>求节点(其他调用!G$7:G$116,其他调用!$C$7:$C$116,$B28)</f>
        <v>99.322921498161804</v>
      </c>
      <c r="M28" s="7">
        <f>求节点(其他调用!H$7:H$116,其他调用!$C$7:$C$116,$B28)</f>
        <v>108.44448934646564</v>
      </c>
      <c r="N28" s="15">
        <f>求节点(其他调用!$S$7:$S$106,其他调用!T$7:T$106,I28)</f>
        <v>7901376838.4225569</v>
      </c>
      <c r="O28" s="15">
        <f>求节点(其他调用!$S$7:$S$106,其他调用!U$7:U$106,J28)</f>
        <v>10235953572.757313</v>
      </c>
      <c r="P28" s="15">
        <f>求节点(其他调用!$S$7:$S$106,其他调用!V$7:V$106,K28)</f>
        <v>14764966126.944971</v>
      </c>
      <c r="Q28" s="15">
        <f>求节点(其他调用!$S$7:$S$106,其他调用!W$7:W$106,L28)</f>
        <v>20259972200.356251</v>
      </c>
      <c r="R28" s="15">
        <f>求节点(其他调用!$S$7:$S$106,其他调用!X$7:X$106,M28)</f>
        <v>21686551004</v>
      </c>
      <c r="S28" s="5">
        <f>求节点(其他调用!$AI$7:$AI$606,其他调用!AJ$7:AJ$606,$B28)</f>
        <v>16.73186182083808</v>
      </c>
      <c r="T28" s="5">
        <f>求节点(其他调用!$AI$7:$AI$606,其他调用!AK$7:AK$606,$B28)</f>
        <v>16.49776896773081</v>
      </c>
      <c r="U28" s="5">
        <f>求节点(其他调用!$AI$7:$AI$606,其他调用!AL$7:AL$606,$B28)</f>
        <v>1.3467176767979381</v>
      </c>
      <c r="V28" s="5">
        <f>求节点(其他调用!$AI$7:$AI$606,其他调用!AM$7:AM$606,$B28)</f>
        <v>0.23959059122600168</v>
      </c>
      <c r="W28" s="5">
        <f>求节点(其他调用!$AI$7:$AI$606,其他调用!AN$7:AN$606,$B28)</f>
        <v>6.9323994735599845E-2</v>
      </c>
    </row>
    <row r="29" spans="1:23" s="23" customFormat="1" x14ac:dyDescent="0.2">
      <c r="A29" s="23">
        <v>18</v>
      </c>
      <c r="B29" s="13">
        <f>AVERAGE([4]义渠入侵!$BG21:$BH21)</f>
        <v>636</v>
      </c>
      <c r="C29" s="13">
        <f>[4]义渠入侵!BI21</f>
        <v>79.277208882040014</v>
      </c>
      <c r="D29" s="13">
        <f>[4]义渠入侵!BJ21</f>
        <v>30</v>
      </c>
      <c r="E29" s="13" t="e">
        <f>[4]义渠入侵!BI54</f>
        <v>#VALUE!</v>
      </c>
      <c r="F29" s="13">
        <f>[4]义渠入侵!BJ54</f>
        <v>20</v>
      </c>
      <c r="G29" s="13">
        <f>[4]义渠入侵!BI88</f>
        <v>189.74071806510847</v>
      </c>
      <c r="H29" s="13">
        <f>[4]义渠入侵!BJ88</f>
        <v>60</v>
      </c>
      <c r="I29" s="7">
        <f>求节点(其他调用!D$7:D$116,其他调用!$C$7:$C$116,$B29)</f>
        <v>93.147076700598873</v>
      </c>
      <c r="J29" s="7">
        <f>求节点(其他调用!E$7:E$116,其他调用!$C$7:$C$116,$B29)</f>
        <v>95.416085223985831</v>
      </c>
      <c r="K29" s="7">
        <f>求节点(其他调用!F$7:F$116,其他调用!$C$7:$C$116,$B29)</f>
        <v>98.504043017949982</v>
      </c>
      <c r="L29" s="7">
        <f>求节点(其他调用!G$7:G$116,其他调用!$C$7:$C$116,$B29)</f>
        <v>103.36861714256817</v>
      </c>
      <c r="M29" s="7">
        <f>求节点(其他调用!H$7:H$116,其他调用!$C$7:$C$116,$B29)</f>
        <v>110</v>
      </c>
      <c r="N29" s="15">
        <f>求节点(其他调用!$S$7:$S$106,其他调用!T$7:T$106,I29)</f>
        <v>9926996185.9664478</v>
      </c>
      <c r="O29" s="15">
        <f>求节点(其他调用!$S$7:$S$106,其他调用!U$7:U$106,J29)</f>
        <v>12971595847.265669</v>
      </c>
      <c r="P29" s="15">
        <f>求节点(其他调用!$S$7:$S$106,其他调用!V$7:V$106,K29)</f>
        <v>18384307720.300377</v>
      </c>
      <c r="Q29" s="15">
        <f>求节点(其他调用!$S$7:$S$106,其他调用!W$7:W$106,L29)</f>
        <v>20802261791</v>
      </c>
      <c r="R29" s="15">
        <f>求节点(其他调用!$S$7:$S$106,其他调用!X$7:X$106,M29)</f>
        <v>21686551004</v>
      </c>
      <c r="S29" s="5">
        <f>求节点(其他调用!$AI$7:$AI$606,其他调用!AJ$7:AJ$606,$B29)</f>
        <v>8.0321673827842091</v>
      </c>
      <c r="T29" s="5">
        <f>求节点(其他调用!$AI$7:$AI$606,其他调用!AK$7:AK$606,$B29)</f>
        <v>7.9197905893702556</v>
      </c>
      <c r="U29" s="5">
        <f>求节点(其他调用!$AI$7:$AI$606,其他调用!AL$7:AL$606,$B29)</f>
        <v>0.64649480812252547</v>
      </c>
      <c r="V29" s="5">
        <f>求节点(其他调用!$AI$7:$AI$606,其他调用!AM$7:AM$606,$B29)</f>
        <v>0.11501599479328489</v>
      </c>
      <c r="W29" s="5">
        <f>求节点(其他调用!$AI$7:$AI$606,其他调用!AN$7:AN$606,$B29)</f>
        <v>3.3279137451763793E-2</v>
      </c>
    </row>
    <row r="30" spans="1:23" s="23" customFormat="1" x14ac:dyDescent="0.2">
      <c r="A30" s="23">
        <v>19</v>
      </c>
      <c r="B30" s="13">
        <f>AVERAGE([4]义渠入侵!$BG22:$BH22)</f>
        <v>786</v>
      </c>
      <c r="C30" s="13">
        <f>[4]义渠入侵!BI22</f>
        <v>79.277208882040014</v>
      </c>
      <c r="D30" s="13">
        <f>[4]义渠入侵!BJ22</f>
        <v>30</v>
      </c>
      <c r="E30" s="13" t="e">
        <f>[4]义渠入侵!BI55</f>
        <v>#VALUE!</v>
      </c>
      <c r="F30" s="13">
        <f>[4]义渠入侵!BJ55</f>
        <v>20</v>
      </c>
      <c r="G30" s="13">
        <f>[4]义渠入侵!BI89</f>
        <v>189.74071806510847</v>
      </c>
      <c r="H30" s="13">
        <f>[4]义渠入侵!BJ89</f>
        <v>60</v>
      </c>
      <c r="I30" s="7">
        <f>求节点(其他调用!D$7:D$116,其他调用!$C$7:$C$116,$B30)</f>
        <v>96.19664635812579</v>
      </c>
      <c r="J30" s="7">
        <f>求节点(其他调用!E$7:E$116,其他调用!$C$7:$C$116,$B30)</f>
        <v>98.456721111993886</v>
      </c>
      <c r="K30" s="7">
        <f>求节点(其他调用!F$7:F$116,其他调用!$C$7:$C$116,$B30)</f>
        <v>101.59517269655726</v>
      </c>
      <c r="L30" s="7">
        <f>求节点(其他调用!G$7:G$116,其他调用!$C$7:$C$116,$B30)</f>
        <v>106.4178877197587</v>
      </c>
      <c r="M30" s="7">
        <f>求节点(其他调用!H$7:H$116,其他调用!$C$7:$C$116,$B30)</f>
        <v>110</v>
      </c>
      <c r="N30" s="15">
        <f>求节点(其他调用!$S$7:$S$106,其他调用!T$7:T$106,I30)</f>
        <v>11871302244.901863</v>
      </c>
      <c r="O30" s="15">
        <f>求节点(其他调用!$S$7:$S$106,其他调用!U$7:U$106,J30)</f>
        <v>15433706394.995621</v>
      </c>
      <c r="P30" s="15">
        <f>求节点(其他调用!$S$7:$S$106,其他调用!V$7:V$106,K30)</f>
        <v>19995897383</v>
      </c>
      <c r="Q30" s="15">
        <f>求节点(其他调用!$S$7:$S$106,其他调用!W$7:W$106,L30)</f>
        <v>20802261791</v>
      </c>
      <c r="R30" s="15">
        <f>求节点(其他调用!$S$7:$S$106,其他调用!X$7:X$106,M30)</f>
        <v>21686551004</v>
      </c>
      <c r="S30" s="5">
        <f>求节点(其他调用!$AI$7:$AI$606,其他调用!AJ$7:AJ$606,$B30)</f>
        <v>8.0321673827842091</v>
      </c>
      <c r="T30" s="5">
        <f>求节点(其他调用!$AI$7:$AI$606,其他调用!AK$7:AK$606,$B30)</f>
        <v>7.9197905893702556</v>
      </c>
      <c r="U30" s="5">
        <f>求节点(其他调用!$AI$7:$AI$606,其他调用!AL$7:AL$606,$B30)</f>
        <v>0.64649480812252547</v>
      </c>
      <c r="V30" s="5">
        <f>求节点(其他调用!$AI$7:$AI$606,其他调用!AM$7:AM$606,$B30)</f>
        <v>0.11501599479328489</v>
      </c>
      <c r="W30" s="5">
        <f>求节点(其他调用!$AI$7:$AI$606,其他调用!AN$7:AN$606,$B30)</f>
        <v>3.3279137451763793E-2</v>
      </c>
    </row>
    <row r="31" spans="1:23" s="23" customFormat="1" x14ac:dyDescent="0.2">
      <c r="A31" s="23">
        <v>20</v>
      </c>
      <c r="B31" s="13">
        <f>AVERAGE([4]义渠入侵!$BG23:$BH23)</f>
        <v>936</v>
      </c>
      <c r="C31" s="13">
        <f>[4]义渠入侵!BI23</f>
        <v>79.277208882040014</v>
      </c>
      <c r="D31" s="13">
        <f>[4]义渠入侵!BJ23</f>
        <v>30</v>
      </c>
      <c r="E31" s="13" t="e">
        <f>[4]义渠入侵!BI56</f>
        <v>#VALUE!</v>
      </c>
      <c r="F31" s="13">
        <f>[4]义渠入侵!BJ56</f>
        <v>20</v>
      </c>
      <c r="G31" s="13">
        <f>[4]义渠入侵!BI90</f>
        <v>189.74071806510847</v>
      </c>
      <c r="H31" s="13">
        <f>[4]义渠入侵!BJ90</f>
        <v>60</v>
      </c>
      <c r="I31" s="7">
        <f>求节点(其他调用!D$7:D$116,其他调用!$C$7:$C$116,$B31)</f>
        <v>98.712016169290109</v>
      </c>
      <c r="J31" s="7">
        <f>求节点(其他调用!E$7:E$116,其他调用!$C$7:$C$116,$B31)</f>
        <v>100.95062008369729</v>
      </c>
      <c r="K31" s="7">
        <f>求节点(其他调用!F$7:F$116,其他调用!$C$7:$C$116,$B31)</f>
        <v>104.15624991031846</v>
      </c>
      <c r="L31" s="7">
        <f>求节点(其他调用!G$7:G$116,其他调用!$C$7:$C$116,$B31)</f>
        <v>109.06012750673331</v>
      </c>
      <c r="M31" s="7">
        <f>求节点(其他调用!H$7:H$116,其他调用!$C$7:$C$116,$B31)</f>
        <v>110</v>
      </c>
      <c r="N31" s="15">
        <f>求节点(其他调用!$S$7:$S$106,其他调用!T$7:T$106,I31)</f>
        <v>13683988012.714237</v>
      </c>
      <c r="O31" s="15">
        <f>求节点(其他调用!$S$7:$S$106,其他调用!U$7:U$106,J31)</f>
        <v>16797383989</v>
      </c>
      <c r="P31" s="15">
        <f>求节点(其他调用!$S$7:$S$106,其他调用!V$7:V$106,K31)</f>
        <v>19995897383</v>
      </c>
      <c r="Q31" s="15">
        <f>求节点(其他调用!$S$7:$S$106,其他调用!W$7:W$106,L31)</f>
        <v>20802261791</v>
      </c>
      <c r="R31" s="15">
        <f>求节点(其他调用!$S$7:$S$106,其他调用!X$7:X$106,M31)</f>
        <v>21686551004</v>
      </c>
      <c r="S31" s="5">
        <f>求节点(其他调用!$AI$7:$AI$606,其他调用!AJ$7:AJ$606,$B31)</f>
        <v>8.0321673827842091</v>
      </c>
      <c r="T31" s="5">
        <f>求节点(其他调用!$AI$7:$AI$606,其他调用!AK$7:AK$606,$B31)</f>
        <v>7.9197905893702556</v>
      </c>
      <c r="U31" s="5">
        <f>求节点(其他调用!$AI$7:$AI$606,其他调用!AL$7:AL$606,$B31)</f>
        <v>0.64649480812252547</v>
      </c>
      <c r="V31" s="5">
        <f>求节点(其他调用!$AI$7:$AI$606,其他调用!AM$7:AM$606,$B31)</f>
        <v>0.11501599479328489</v>
      </c>
      <c r="W31" s="5">
        <f>求节点(其他调用!$AI$7:$AI$606,其他调用!AN$7:AN$606,$B31)</f>
        <v>3.3279137451763793E-2</v>
      </c>
    </row>
    <row r="32" spans="1:23" s="23" customFormat="1" x14ac:dyDescent="0.2">
      <c r="A32" s="23">
        <v>21</v>
      </c>
      <c r="B32" s="13">
        <f>AVERAGE([4]义渠入侵!$BG24:$BH24)</f>
        <v>1086</v>
      </c>
      <c r="C32" s="13">
        <f>[4]义渠入侵!BI24</f>
        <v>79.277208882040014</v>
      </c>
      <c r="D32" s="13">
        <f>[4]义渠入侵!BJ24</f>
        <v>30</v>
      </c>
      <c r="E32" s="13" t="e">
        <f>[4]义渠入侵!BI57</f>
        <v>#VALUE!</v>
      </c>
      <c r="F32" s="13">
        <f>[4]义渠入侵!BJ57</f>
        <v>20</v>
      </c>
      <c r="G32" s="13">
        <f>[4]义渠入侵!BI91</f>
        <v>189.74071806510847</v>
      </c>
      <c r="H32" s="13">
        <f>[4]义渠入侵!BJ91</f>
        <v>60</v>
      </c>
      <c r="I32" s="7">
        <f>求节点(其他调用!D$7:D$116,其他调用!$C$7:$C$116,$B32)</f>
        <v>100.85718920790383</v>
      </c>
      <c r="J32" s="7">
        <f>求节点(其他调用!E$7:E$116,其他调用!$C$7:$C$116,$B32)</f>
        <v>103.16306426538152</v>
      </c>
      <c r="K32" s="7">
        <f>求节点(其他调用!F$7:F$116,其他调用!$C$7:$C$116,$B32)</f>
        <v>106.27713585806302</v>
      </c>
      <c r="L32" s="7">
        <f>求节点(其他调用!G$7:G$116,其他调用!$C$7:$C$116,$B32)</f>
        <v>110</v>
      </c>
      <c r="M32" s="7">
        <f>求节点(其他调用!H$7:H$116,其他调用!$C$7:$C$116,$B32)</f>
        <v>110</v>
      </c>
      <c r="N32" s="15">
        <f>求节点(其他调用!$S$7:$S$106,其他调用!T$7:T$106,I32)</f>
        <v>14689729288</v>
      </c>
      <c r="O32" s="15">
        <f>求节点(其他调用!$S$7:$S$106,其他调用!U$7:U$106,J32)</f>
        <v>16797383989</v>
      </c>
      <c r="P32" s="15">
        <f>求节点(其他调用!$S$7:$S$106,其他调用!V$7:V$106,K32)</f>
        <v>19995897383</v>
      </c>
      <c r="Q32" s="15">
        <f>求节点(其他调用!$S$7:$S$106,其他调用!W$7:W$106,L32)</f>
        <v>20802261791</v>
      </c>
      <c r="R32" s="15">
        <f>求节点(其他调用!$S$7:$S$106,其他调用!X$7:X$106,M32)</f>
        <v>21686551004</v>
      </c>
      <c r="S32" s="5">
        <f>求节点(其他调用!$AI$7:$AI$606,其他调用!AJ$7:AJ$606,$B32)</f>
        <v>8.0321673827842091</v>
      </c>
      <c r="T32" s="5">
        <f>求节点(其他调用!$AI$7:$AI$606,其他调用!AK$7:AK$606,$B32)</f>
        <v>7.9197905893702556</v>
      </c>
      <c r="U32" s="5">
        <f>求节点(其他调用!$AI$7:$AI$606,其他调用!AL$7:AL$606,$B32)</f>
        <v>0.64649480812252547</v>
      </c>
      <c r="V32" s="5">
        <f>求节点(其他调用!$AI$7:$AI$606,其他调用!AM$7:AM$606,$B32)</f>
        <v>0.11501599479328489</v>
      </c>
      <c r="W32" s="5">
        <f>求节点(其他调用!$AI$7:$AI$606,其他调用!AN$7:AN$606,$B32)</f>
        <v>3.3279137451763793E-2</v>
      </c>
    </row>
    <row r="33" spans="1:23" s="23" customFormat="1" x14ac:dyDescent="0.2">
      <c r="A33" s="23">
        <v>22</v>
      </c>
      <c r="B33" s="13">
        <f>AVERAGE([4]义渠入侵!$BG25:$BH25)</f>
        <v>1236</v>
      </c>
      <c r="C33" s="13">
        <f>[4]义渠入侵!BI25</f>
        <v>79.277208882040014</v>
      </c>
      <c r="D33" s="13">
        <f>[4]义渠入侵!BJ25</f>
        <v>30</v>
      </c>
      <c r="E33" s="13" t="e">
        <f>[4]义渠入侵!BI58</f>
        <v>#VALUE!</v>
      </c>
      <c r="F33" s="13">
        <f>[4]义渠入侵!BJ58</f>
        <v>20</v>
      </c>
      <c r="G33" s="13">
        <f>[4]义渠入侵!BI92</f>
        <v>189.74071806510847</v>
      </c>
      <c r="H33" s="13">
        <f>[4]义渠入侵!BJ92</f>
        <v>60</v>
      </c>
      <c r="I33" s="7">
        <f>求节点(其他调用!D$7:D$116,其他调用!$C$7:$C$116,$B33)</f>
        <v>102.71937286865442</v>
      </c>
      <c r="J33" s="7">
        <f>求节点(其他调用!E$7:E$116,其他调用!$C$7:$C$116,$B33)</f>
        <v>105.01275252168188</v>
      </c>
      <c r="K33" s="7">
        <f>求节点(其他调用!F$7:F$116,其他调用!$C$7:$C$116,$B33)</f>
        <v>108.21447982668542</v>
      </c>
      <c r="L33" s="7">
        <f>求节点(其他调用!G$7:G$116,其他调用!$C$7:$C$116,$B33)</f>
        <v>110</v>
      </c>
      <c r="M33" s="7">
        <f>求节点(其他调用!H$7:H$116,其他调用!$C$7:$C$116,$B33)</f>
        <v>110</v>
      </c>
      <c r="N33" s="15">
        <f>求节点(其他调用!$S$7:$S$106,其他调用!T$7:T$106,I33)</f>
        <v>14689729288</v>
      </c>
      <c r="O33" s="15">
        <f>求节点(其他调用!$S$7:$S$106,其他调用!U$7:U$106,J33)</f>
        <v>16797383989</v>
      </c>
      <c r="P33" s="15">
        <f>求节点(其他调用!$S$7:$S$106,其他调用!V$7:V$106,K33)</f>
        <v>19995897383</v>
      </c>
      <c r="Q33" s="15">
        <f>求节点(其他调用!$S$7:$S$106,其他调用!W$7:W$106,L33)</f>
        <v>20802261791</v>
      </c>
      <c r="R33" s="15">
        <f>求节点(其他调用!$S$7:$S$106,其他调用!X$7:X$106,M33)</f>
        <v>21686551004</v>
      </c>
      <c r="S33" s="5">
        <f>求节点(其他调用!$AI$7:$AI$606,其他调用!AJ$7:AJ$606,$B33)</f>
        <v>8.0321673827842091</v>
      </c>
      <c r="T33" s="5">
        <f>求节点(其他调用!$AI$7:$AI$606,其他调用!AK$7:AK$606,$B33)</f>
        <v>7.9197905893702556</v>
      </c>
      <c r="U33" s="5">
        <f>求节点(其他调用!$AI$7:$AI$606,其他调用!AL$7:AL$606,$B33)</f>
        <v>0.64649480812252547</v>
      </c>
      <c r="V33" s="5">
        <f>求节点(其他调用!$AI$7:$AI$606,其他调用!AM$7:AM$606,$B33)</f>
        <v>0.11501599479328489</v>
      </c>
      <c r="W33" s="5">
        <f>求节点(其他调用!$AI$7:$AI$606,其他调用!AN$7:AN$606,$B33)</f>
        <v>3.3279137451763793E-2</v>
      </c>
    </row>
    <row r="34" spans="1:23" s="23" customFormat="1" x14ac:dyDescent="0.2">
      <c r="A34" s="23">
        <v>23</v>
      </c>
      <c r="B34" s="13">
        <f>AVERAGE([4]义渠入侵!$BG26:$BH26)</f>
        <v>1386</v>
      </c>
      <c r="C34" s="13">
        <f>[4]义渠入侵!BI26</f>
        <v>79.277208882040014</v>
      </c>
      <c r="D34" s="13">
        <f>[4]义渠入侵!BJ26</f>
        <v>30</v>
      </c>
      <c r="E34" s="13" t="e">
        <f>[4]义渠入侵!BI59</f>
        <v>#VALUE!</v>
      </c>
      <c r="F34" s="13">
        <f>[4]义渠入侵!BJ59</f>
        <v>20</v>
      </c>
      <c r="G34" s="13">
        <f>[4]义渠入侵!BI93</f>
        <v>189.74071806510847</v>
      </c>
      <c r="H34" s="13">
        <f>[4]义渠入侵!BJ93</f>
        <v>60</v>
      </c>
      <c r="I34" s="7">
        <f>求节点(其他调用!D$7:D$116,其他调用!$C$7:$C$116,$B34)</f>
        <v>104.36940009530574</v>
      </c>
      <c r="J34" s="7">
        <f>求节点(其他调用!E$7:E$116,其他调用!$C$7:$C$116,$B34)</f>
        <v>106.65130066641906</v>
      </c>
      <c r="K34" s="7">
        <f>求节点(其他调用!F$7:F$116,其他调用!$C$7:$C$116,$B34)</f>
        <v>109.88213128268873</v>
      </c>
      <c r="L34" s="7">
        <f>求节点(其他调用!G$7:G$116,其他调用!$C$7:$C$116,$B34)</f>
        <v>110</v>
      </c>
      <c r="M34" s="7">
        <f>求节点(其他调用!H$7:H$116,其他调用!$C$7:$C$116,$B34)</f>
        <v>110</v>
      </c>
      <c r="N34" s="15">
        <f>求节点(其他调用!$S$7:$S$106,其他调用!T$7:T$106,I34)</f>
        <v>14689729288</v>
      </c>
      <c r="O34" s="15">
        <f>求节点(其他调用!$S$7:$S$106,其他调用!U$7:U$106,J34)</f>
        <v>16797383989</v>
      </c>
      <c r="P34" s="15">
        <f>求节点(其他调用!$S$7:$S$106,其他调用!V$7:V$106,K34)</f>
        <v>19995897383</v>
      </c>
      <c r="Q34" s="15">
        <f>求节点(其他调用!$S$7:$S$106,其他调用!W$7:W$106,L34)</f>
        <v>20802261791</v>
      </c>
      <c r="R34" s="15">
        <f>求节点(其他调用!$S$7:$S$106,其他调用!X$7:X$106,M34)</f>
        <v>21686551004</v>
      </c>
      <c r="S34" s="5">
        <f>求节点(其他调用!$AI$7:$AI$606,其他调用!AJ$7:AJ$606,$B34)</f>
        <v>8.0321673827842091</v>
      </c>
      <c r="T34" s="5">
        <f>求节点(其他调用!$AI$7:$AI$606,其他调用!AK$7:AK$606,$B34)</f>
        <v>7.9197905893702556</v>
      </c>
      <c r="U34" s="5">
        <f>求节点(其他调用!$AI$7:$AI$606,其他调用!AL$7:AL$606,$B34)</f>
        <v>0.64649480812252547</v>
      </c>
      <c r="V34" s="5">
        <f>求节点(其他调用!$AI$7:$AI$606,其他调用!AM$7:AM$606,$B34)</f>
        <v>0.11501599479328489</v>
      </c>
      <c r="W34" s="5">
        <f>求节点(其他调用!$AI$7:$AI$606,其他调用!AN$7:AN$606,$B34)</f>
        <v>3.3279137451763793E-2</v>
      </c>
    </row>
    <row r="35" spans="1:23" s="23" customFormat="1" x14ac:dyDescent="0.2">
      <c r="A35" s="23">
        <v>24</v>
      </c>
      <c r="B35" s="13">
        <f>AVERAGE([4]义渠入侵!$BG27:$BH27)</f>
        <v>1536</v>
      </c>
      <c r="C35" s="13">
        <f>[4]义渠入侵!BI27</f>
        <v>79.277208882040014</v>
      </c>
      <c r="D35" s="13">
        <f>[4]义渠入侵!BJ27</f>
        <v>30</v>
      </c>
      <c r="E35" s="13" t="e">
        <f>[4]义渠入侵!BI60</f>
        <v>#VALUE!</v>
      </c>
      <c r="F35" s="13">
        <f>[4]义渠入侵!BJ60</f>
        <v>20</v>
      </c>
      <c r="G35" s="13">
        <f>[4]义渠入侵!BI94</f>
        <v>189.74071806510847</v>
      </c>
      <c r="H35" s="13">
        <f>[4]义渠入侵!BJ94</f>
        <v>60</v>
      </c>
      <c r="I35" s="7">
        <f>求节点(其他调用!D$7:D$116,其他调用!$C$7:$C$116,$B35)</f>
        <v>105.85478258367154</v>
      </c>
      <c r="J35" s="7">
        <f>求节点(其他调用!E$7:E$116,其他调用!$C$7:$C$116,$B35)</f>
        <v>108.14594220324457</v>
      </c>
      <c r="K35" s="7">
        <f>求节点(其他调用!F$7:F$116,其他调用!$C$7:$C$116,$B35)</f>
        <v>110</v>
      </c>
      <c r="L35" s="7">
        <f>求节点(其他调用!G$7:G$116,其他调用!$C$7:$C$116,$B35)</f>
        <v>110</v>
      </c>
      <c r="M35" s="7">
        <f>求节点(其他调用!H$7:H$116,其他调用!$C$7:$C$116,$B35)</f>
        <v>110</v>
      </c>
      <c r="N35" s="15">
        <f>求节点(其他调用!$S$7:$S$106,其他调用!T$7:T$106,I35)</f>
        <v>14689729288</v>
      </c>
      <c r="O35" s="15">
        <f>求节点(其他调用!$S$7:$S$106,其他调用!U$7:U$106,J35)</f>
        <v>16797383989</v>
      </c>
      <c r="P35" s="15">
        <f>求节点(其他调用!$S$7:$S$106,其他调用!V$7:V$106,K35)</f>
        <v>19995897383</v>
      </c>
      <c r="Q35" s="15">
        <f>求节点(其他调用!$S$7:$S$106,其他调用!W$7:W$106,L35)</f>
        <v>20802261791</v>
      </c>
      <c r="R35" s="15">
        <f>求节点(其他调用!$S$7:$S$106,其他调用!X$7:X$106,M35)</f>
        <v>21686551004</v>
      </c>
      <c r="S35" s="5">
        <f>求节点(其他调用!$AI$7:$AI$606,其他调用!AJ$7:AJ$606,$B35)</f>
        <v>8.0321673827842091</v>
      </c>
      <c r="T35" s="5">
        <f>求节点(其他调用!$AI$7:$AI$606,其他调用!AK$7:AK$606,$B35)</f>
        <v>7.9197905893702556</v>
      </c>
      <c r="U35" s="5">
        <f>求节点(其他调用!$AI$7:$AI$606,其他调用!AL$7:AL$606,$B35)</f>
        <v>0.64649480812252547</v>
      </c>
      <c r="V35" s="5">
        <f>求节点(其他调用!$AI$7:$AI$606,其他调用!AM$7:AM$606,$B35)</f>
        <v>0.11501599479328489</v>
      </c>
      <c r="W35" s="5">
        <f>求节点(其他调用!$AI$7:$AI$606,其他调用!AN$7:AN$606,$B35)</f>
        <v>3.3279137451763793E-2</v>
      </c>
    </row>
    <row r="36" spans="1:23" s="23" customFormat="1" x14ac:dyDescent="0.2">
      <c r="A36" s="23">
        <v>25</v>
      </c>
      <c r="B36" s="13">
        <f>AVERAGE([4]义渠入侵!$BG28:$BH28)</f>
        <v>1686</v>
      </c>
      <c r="C36" s="13">
        <f>[4]义渠入侵!BI28</f>
        <v>79.277208882040014</v>
      </c>
      <c r="D36" s="13">
        <f>[4]义渠入侵!BJ28</f>
        <v>30</v>
      </c>
      <c r="E36" s="13" t="e">
        <f>[4]义渠入侵!BI61</f>
        <v>#VALUE!</v>
      </c>
      <c r="F36" s="13">
        <f>[4]义渠入侵!BJ61</f>
        <v>20</v>
      </c>
      <c r="G36" s="13">
        <f>[4]义渠入侵!BI95</f>
        <v>189.74071806510847</v>
      </c>
      <c r="H36" s="13">
        <f>[4]义渠入侵!BJ95</f>
        <v>60</v>
      </c>
      <c r="I36" s="7">
        <f>求节点(其他调用!D$7:D$116,其他调用!$C$7:$C$116,$B36)</f>
        <v>107.19688564831893</v>
      </c>
      <c r="J36" s="7">
        <f>求节点(其他调用!E$7:E$116,其他调用!$C$7:$C$116,$B36)</f>
        <v>109.52531182938854</v>
      </c>
      <c r="K36" s="7">
        <f>求节点(其他调用!F$7:F$116,其他调用!$C$7:$C$116,$B36)</f>
        <v>110</v>
      </c>
      <c r="L36" s="7">
        <f>求节点(其他调用!G$7:G$116,其他调用!$C$7:$C$116,$B36)</f>
        <v>110</v>
      </c>
      <c r="M36" s="7">
        <f>求节点(其他调用!H$7:H$116,其他调用!$C$7:$C$116,$B36)</f>
        <v>110</v>
      </c>
      <c r="N36" s="15">
        <f>求节点(其他调用!$S$7:$S$106,其他调用!T$7:T$106,I36)</f>
        <v>14689729288</v>
      </c>
      <c r="O36" s="15">
        <f>求节点(其他调用!$S$7:$S$106,其他调用!U$7:U$106,J36)</f>
        <v>16797383989</v>
      </c>
      <c r="P36" s="15">
        <f>求节点(其他调用!$S$7:$S$106,其他调用!V$7:V$106,K36)</f>
        <v>19995897383</v>
      </c>
      <c r="Q36" s="15">
        <f>求节点(其他调用!$S$7:$S$106,其他调用!W$7:W$106,L36)</f>
        <v>20802261791</v>
      </c>
      <c r="R36" s="15">
        <f>求节点(其他调用!$S$7:$S$106,其他调用!X$7:X$106,M36)</f>
        <v>21686551004</v>
      </c>
      <c r="S36" s="5">
        <f>求节点(其他调用!$AI$7:$AI$606,其他调用!AJ$7:AJ$606,$B36)</f>
        <v>8.0321673827842091</v>
      </c>
      <c r="T36" s="5">
        <f>求节点(其他调用!$AI$7:$AI$606,其他调用!AK$7:AK$606,$B36)</f>
        <v>7.9197905893702556</v>
      </c>
      <c r="U36" s="5">
        <f>求节点(其他调用!$AI$7:$AI$606,其他调用!AL$7:AL$606,$B36)</f>
        <v>0.64649480812252547</v>
      </c>
      <c r="V36" s="5">
        <f>求节点(其他调用!$AI$7:$AI$606,其他调用!AM$7:AM$606,$B36)</f>
        <v>0.11501599479328489</v>
      </c>
      <c r="W36" s="5">
        <f>求节点(其他调用!$AI$7:$AI$606,其他调用!AN$7:AN$606,$B36)</f>
        <v>3.3279137451763793E-2</v>
      </c>
    </row>
    <row r="37" spans="1:23" s="23" customFormat="1" x14ac:dyDescent="0.2">
      <c r="A37" s="23">
        <v>26</v>
      </c>
      <c r="B37" s="13">
        <f>AVERAGE([4]义渠入侵!$BG29:$BH29)</f>
        <v>1836</v>
      </c>
      <c r="C37" s="13">
        <f>[4]义渠入侵!BI29</f>
        <v>79.277208882040014</v>
      </c>
      <c r="D37" s="13">
        <f>[4]义渠入侵!BJ29</f>
        <v>30</v>
      </c>
      <c r="E37" s="13" t="e">
        <f>[4]义渠入侵!BI62</f>
        <v>#VALUE!</v>
      </c>
      <c r="F37" s="13">
        <f>[4]义渠入侵!BJ62</f>
        <v>20</v>
      </c>
      <c r="G37" s="13">
        <f>[4]义渠入侵!BI96</f>
        <v>189.74071806510847</v>
      </c>
      <c r="H37" s="13">
        <f>[4]义渠入侵!BJ96</f>
        <v>60</v>
      </c>
      <c r="I37" s="7">
        <f>求节点(其他调用!D$7:D$116,其他调用!$C$7:$C$116,$B37)</f>
        <v>108.42287237704811</v>
      </c>
      <c r="J37" s="7">
        <f>求节点(其他调用!E$7:E$116,其他调用!$C$7:$C$116,$B37)</f>
        <v>110</v>
      </c>
      <c r="K37" s="7">
        <f>求节点(其他调用!F$7:F$116,其他调用!$C$7:$C$116,$B37)</f>
        <v>110</v>
      </c>
      <c r="L37" s="7">
        <f>求节点(其他调用!G$7:G$116,其他调用!$C$7:$C$116,$B37)</f>
        <v>110</v>
      </c>
      <c r="M37" s="7">
        <f>求节点(其他调用!H$7:H$116,其他调用!$C$7:$C$116,$B37)</f>
        <v>110</v>
      </c>
      <c r="N37" s="15">
        <f>求节点(其他调用!$S$7:$S$106,其他调用!T$7:T$106,I37)</f>
        <v>14689729288</v>
      </c>
      <c r="O37" s="15">
        <f>求节点(其他调用!$S$7:$S$106,其他调用!U$7:U$106,J37)</f>
        <v>16797383989</v>
      </c>
      <c r="P37" s="15">
        <f>求节点(其他调用!$S$7:$S$106,其他调用!V$7:V$106,K37)</f>
        <v>19995897383</v>
      </c>
      <c r="Q37" s="15">
        <f>求节点(其他调用!$S$7:$S$106,其他调用!W$7:W$106,L37)</f>
        <v>20802261791</v>
      </c>
      <c r="R37" s="15">
        <f>求节点(其他调用!$S$7:$S$106,其他调用!X$7:X$106,M37)</f>
        <v>21686551004</v>
      </c>
      <c r="S37" s="5">
        <f>求节点(其他调用!$AI$7:$AI$606,其他调用!AJ$7:AJ$606,$B37)</f>
        <v>8.0321673827842091</v>
      </c>
      <c r="T37" s="5">
        <f>求节点(其他调用!$AI$7:$AI$606,其他调用!AK$7:AK$606,$B37)</f>
        <v>7.9197905893702556</v>
      </c>
      <c r="U37" s="5">
        <f>求节点(其他调用!$AI$7:$AI$606,其他调用!AL$7:AL$606,$B37)</f>
        <v>0.64649480812252547</v>
      </c>
      <c r="V37" s="5">
        <f>求节点(其他调用!$AI$7:$AI$606,其他调用!AM$7:AM$606,$B37)</f>
        <v>0.11501599479328489</v>
      </c>
      <c r="W37" s="5">
        <f>求节点(其他调用!$AI$7:$AI$606,其他调用!AN$7:AN$606,$B37)</f>
        <v>3.3279137451763793E-2</v>
      </c>
    </row>
    <row r="38" spans="1:23" s="23" customFormat="1" x14ac:dyDescent="0.2">
      <c r="A38" s="23">
        <v>27</v>
      </c>
      <c r="B38" s="13">
        <f>AVERAGE([4]义渠入侵!$BG30:$BH30)</f>
        <v>1986</v>
      </c>
      <c r="C38" s="13">
        <f>[4]义渠入侵!BI30</f>
        <v>79.277208882040014</v>
      </c>
      <c r="D38" s="13">
        <f>[4]义渠入侵!BJ30</f>
        <v>30</v>
      </c>
      <c r="E38" s="13" t="e">
        <f>[4]义渠入侵!BI63</f>
        <v>#VALUE!</v>
      </c>
      <c r="F38" s="13">
        <f>[4]义渠入侵!BJ63</f>
        <v>20</v>
      </c>
      <c r="G38" s="13">
        <f>[4]义渠入侵!BI97</f>
        <v>189.74071806510847</v>
      </c>
      <c r="H38" s="13">
        <f>[4]义渠入侵!BJ97</f>
        <v>60</v>
      </c>
      <c r="I38" s="7">
        <f>求节点(其他调用!D$7:D$116,其他调用!$C$7:$C$116,$B38)</f>
        <v>109.55522641770132</v>
      </c>
      <c r="J38" s="7">
        <f>求节点(其他调用!E$7:E$116,其他调用!$C$7:$C$116,$B38)</f>
        <v>110</v>
      </c>
      <c r="K38" s="7">
        <f>求节点(其他调用!F$7:F$116,其他调用!$C$7:$C$116,$B38)</f>
        <v>110</v>
      </c>
      <c r="L38" s="7">
        <f>求节点(其他调用!G$7:G$116,其他调用!$C$7:$C$116,$B38)</f>
        <v>110</v>
      </c>
      <c r="M38" s="7">
        <f>求节点(其他调用!H$7:H$116,其他调用!$C$7:$C$116,$B38)</f>
        <v>110</v>
      </c>
      <c r="N38" s="15">
        <f>求节点(其他调用!$S$7:$S$106,其他调用!T$7:T$106,I38)</f>
        <v>14689729288</v>
      </c>
      <c r="O38" s="15">
        <f>求节点(其他调用!$S$7:$S$106,其他调用!U$7:U$106,J38)</f>
        <v>16797383989</v>
      </c>
      <c r="P38" s="15">
        <f>求节点(其他调用!$S$7:$S$106,其他调用!V$7:V$106,K38)</f>
        <v>19995897383</v>
      </c>
      <c r="Q38" s="15">
        <f>求节点(其他调用!$S$7:$S$106,其他调用!W$7:W$106,L38)</f>
        <v>20802261791</v>
      </c>
      <c r="R38" s="15">
        <f>求节点(其他调用!$S$7:$S$106,其他调用!X$7:X$106,M38)</f>
        <v>21686551004</v>
      </c>
      <c r="S38" s="5">
        <f>求节点(其他调用!$AI$7:$AI$606,其他调用!AJ$7:AJ$606,$B38)</f>
        <v>8.0321673827842091</v>
      </c>
      <c r="T38" s="5">
        <f>求节点(其他调用!$AI$7:$AI$606,其他调用!AK$7:AK$606,$B38)</f>
        <v>7.9197905893702556</v>
      </c>
      <c r="U38" s="5">
        <f>求节点(其他调用!$AI$7:$AI$606,其他调用!AL$7:AL$606,$B38)</f>
        <v>0.64649480812252547</v>
      </c>
      <c r="V38" s="5">
        <f>求节点(其他调用!$AI$7:$AI$606,其他调用!AM$7:AM$606,$B38)</f>
        <v>0.11501599479328489</v>
      </c>
      <c r="W38" s="5">
        <f>求节点(其他调用!$AI$7:$AI$606,其他调用!AN$7:AN$606,$B38)</f>
        <v>3.3279137451763793E-2</v>
      </c>
    </row>
    <row r="39" spans="1:23" s="23" customFormat="1" x14ac:dyDescent="0.2">
      <c r="A39" s="23">
        <v>28</v>
      </c>
      <c r="B39" s="13">
        <f>AVERAGE([4]义渠入侵!$BG31:$BH31)</f>
        <v>2136</v>
      </c>
      <c r="C39" s="13">
        <f>[4]义渠入侵!BI31</f>
        <v>79.277208882040014</v>
      </c>
      <c r="D39" s="13">
        <f>[4]义渠入侵!BJ31</f>
        <v>30</v>
      </c>
      <c r="E39" s="13" t="e">
        <f>[4]义渠入侵!BI64</f>
        <v>#VALUE!</v>
      </c>
      <c r="F39" s="13">
        <f>[4]义渠入侵!BJ64</f>
        <v>20</v>
      </c>
      <c r="G39" s="13">
        <f>[4]义渠入侵!BI98</f>
        <v>189.74071806510847</v>
      </c>
      <c r="H39" s="13">
        <f>[4]义渠入侵!BJ98</f>
        <v>60</v>
      </c>
      <c r="I39" s="7">
        <f>求节点(其他调用!D$7:D$116,其他调用!$C$7:$C$116,$B39)</f>
        <v>110</v>
      </c>
      <c r="J39" s="7">
        <f>求节点(其他调用!E$7:E$116,其他调用!$C$7:$C$116,$B39)</f>
        <v>110</v>
      </c>
      <c r="K39" s="7">
        <f>求节点(其他调用!F$7:F$116,其他调用!$C$7:$C$116,$B39)</f>
        <v>110</v>
      </c>
      <c r="L39" s="7">
        <f>求节点(其他调用!G$7:G$116,其他调用!$C$7:$C$116,$B39)</f>
        <v>110</v>
      </c>
      <c r="M39" s="7">
        <f>求节点(其他调用!H$7:H$116,其他调用!$C$7:$C$116,$B39)</f>
        <v>110</v>
      </c>
      <c r="N39" s="15">
        <f>求节点(其他调用!$S$7:$S$106,其他调用!T$7:T$106,I39)</f>
        <v>14689729288</v>
      </c>
      <c r="O39" s="15">
        <f>求节点(其他调用!$S$7:$S$106,其他调用!U$7:U$106,J39)</f>
        <v>16797383989</v>
      </c>
      <c r="P39" s="15">
        <f>求节点(其他调用!$S$7:$S$106,其他调用!V$7:V$106,K39)</f>
        <v>19995897383</v>
      </c>
      <c r="Q39" s="15">
        <f>求节点(其他调用!$S$7:$S$106,其他调用!W$7:W$106,L39)</f>
        <v>20802261791</v>
      </c>
      <c r="R39" s="15">
        <f>求节点(其他调用!$S$7:$S$106,其他调用!X$7:X$106,M39)</f>
        <v>21686551004</v>
      </c>
      <c r="S39" s="5">
        <f>求节点(其他调用!$AI$7:$AI$606,其他调用!AJ$7:AJ$606,$B39)</f>
        <v>8.0321673827842091</v>
      </c>
      <c r="T39" s="5">
        <f>求节点(其他调用!$AI$7:$AI$606,其他调用!AK$7:AK$606,$B39)</f>
        <v>7.9197905893702556</v>
      </c>
      <c r="U39" s="5">
        <f>求节点(其他调用!$AI$7:$AI$606,其他调用!AL$7:AL$606,$B39)</f>
        <v>0.64649480812252547</v>
      </c>
      <c r="V39" s="5">
        <f>求节点(其他调用!$AI$7:$AI$606,其他调用!AM$7:AM$606,$B39)</f>
        <v>0.11501599479328489</v>
      </c>
      <c r="W39" s="5">
        <f>求节点(其他调用!$AI$7:$AI$606,其他调用!AN$7:AN$606,$B39)</f>
        <v>3.3279137451763793E-2</v>
      </c>
    </row>
    <row r="40" spans="1:23" s="23" customFormat="1" x14ac:dyDescent="0.2">
      <c r="A40" s="23">
        <v>29</v>
      </c>
      <c r="B40" s="13">
        <f>AVERAGE([4]义渠入侵!$BG32:$BH32)</f>
        <v>2286</v>
      </c>
      <c r="C40" s="13">
        <f>[4]义渠入侵!BI32</f>
        <v>79.277208882040014</v>
      </c>
      <c r="D40" s="13">
        <f>[4]义渠入侵!BJ32</f>
        <v>30</v>
      </c>
      <c r="E40" s="13" t="e">
        <f>[4]义渠入侵!BI65</f>
        <v>#VALUE!</v>
      </c>
      <c r="F40" s="13">
        <f>[4]义渠入侵!BJ65</f>
        <v>20</v>
      </c>
      <c r="G40" s="13">
        <f>[4]义渠入侵!BI99</f>
        <v>189.74071806510847</v>
      </c>
      <c r="H40" s="13">
        <f>[4]义渠入侵!BJ99</f>
        <v>60</v>
      </c>
      <c r="I40" s="7">
        <f>求节点(其他调用!D$7:D$116,其他调用!$C$7:$C$116,$B40)</f>
        <v>110</v>
      </c>
      <c r="J40" s="7">
        <f>求节点(其他调用!E$7:E$116,其他调用!$C$7:$C$116,$B40)</f>
        <v>110</v>
      </c>
      <c r="K40" s="7">
        <f>求节点(其他调用!F$7:F$116,其他调用!$C$7:$C$116,$B40)</f>
        <v>110</v>
      </c>
      <c r="L40" s="7">
        <f>求节点(其他调用!G$7:G$116,其他调用!$C$7:$C$116,$B40)</f>
        <v>110</v>
      </c>
      <c r="M40" s="7">
        <f>求节点(其他调用!H$7:H$116,其他调用!$C$7:$C$116,$B40)</f>
        <v>110</v>
      </c>
      <c r="N40" s="15">
        <f>求节点(其他调用!$S$7:$S$106,其他调用!T$7:T$106,I40)</f>
        <v>14689729288</v>
      </c>
      <c r="O40" s="15">
        <f>求节点(其他调用!$S$7:$S$106,其他调用!U$7:U$106,J40)</f>
        <v>16797383989</v>
      </c>
      <c r="P40" s="15">
        <f>求节点(其他调用!$S$7:$S$106,其他调用!V$7:V$106,K40)</f>
        <v>19995897383</v>
      </c>
      <c r="Q40" s="15">
        <f>求节点(其他调用!$S$7:$S$106,其他调用!W$7:W$106,L40)</f>
        <v>20802261791</v>
      </c>
      <c r="R40" s="15">
        <f>求节点(其他调用!$S$7:$S$106,其他调用!X$7:X$106,M40)</f>
        <v>21686551004</v>
      </c>
      <c r="S40" s="5">
        <f>求节点(其他调用!$AI$7:$AI$606,其他调用!AJ$7:AJ$606,$B40)</f>
        <v>8.0321673827842091</v>
      </c>
      <c r="T40" s="5">
        <f>求节点(其他调用!$AI$7:$AI$606,其他调用!AK$7:AK$606,$B40)</f>
        <v>7.9197905893702556</v>
      </c>
      <c r="U40" s="5">
        <f>求节点(其他调用!$AI$7:$AI$606,其他调用!AL$7:AL$606,$B40)</f>
        <v>0.64649480812252547</v>
      </c>
      <c r="V40" s="5">
        <f>求节点(其他调用!$AI$7:$AI$606,其他调用!AM$7:AM$606,$B40)</f>
        <v>0.11501599479328489</v>
      </c>
      <c r="W40" s="5">
        <f>求节点(其他调用!$AI$7:$AI$606,其他调用!AN$7:AN$606,$B40)</f>
        <v>3.3279137451763793E-2</v>
      </c>
    </row>
    <row r="41" spans="1:23" s="23" customFormat="1" x14ac:dyDescent="0.2">
      <c r="A41" s="23">
        <v>30</v>
      </c>
      <c r="B41" s="13">
        <f>AVERAGE([4]义渠入侵!$BG33:$BH33)</f>
        <v>2436</v>
      </c>
      <c r="C41" s="13">
        <f>[4]义渠入侵!BI33</f>
        <v>79.277208882040014</v>
      </c>
      <c r="D41" s="13">
        <f>[4]义渠入侵!BJ33</f>
        <v>30</v>
      </c>
      <c r="E41" s="13" t="e">
        <f>[4]义渠入侵!BI66</f>
        <v>#VALUE!</v>
      </c>
      <c r="F41" s="13">
        <f>[4]义渠入侵!BJ66</f>
        <v>20</v>
      </c>
      <c r="G41" s="13">
        <f>[4]义渠入侵!BI100</f>
        <v>189.74071806510847</v>
      </c>
      <c r="H41" s="13">
        <f>[4]义渠入侵!BJ100</f>
        <v>60</v>
      </c>
      <c r="I41" s="7">
        <f>求节点(其他调用!D$7:D$116,其他调用!$C$7:$C$116,$B41)</f>
        <v>110</v>
      </c>
      <c r="J41" s="7">
        <f>求节点(其他调用!E$7:E$116,其他调用!$C$7:$C$116,$B41)</f>
        <v>110</v>
      </c>
      <c r="K41" s="7">
        <f>求节点(其他调用!F$7:F$116,其他调用!$C$7:$C$116,$B41)</f>
        <v>110</v>
      </c>
      <c r="L41" s="7">
        <f>求节点(其他调用!G$7:G$116,其他调用!$C$7:$C$116,$B41)</f>
        <v>110</v>
      </c>
      <c r="M41" s="7">
        <f>求节点(其他调用!H$7:H$116,其他调用!$C$7:$C$116,$B41)</f>
        <v>110</v>
      </c>
      <c r="N41" s="15">
        <f>求节点(其他调用!$S$7:$S$106,其他调用!T$7:T$106,I41)</f>
        <v>14689729288</v>
      </c>
      <c r="O41" s="15">
        <f>求节点(其他调用!$S$7:$S$106,其他调用!U$7:U$106,J41)</f>
        <v>16797383989</v>
      </c>
      <c r="P41" s="15">
        <f>求节点(其他调用!$S$7:$S$106,其他调用!V$7:V$106,K41)</f>
        <v>19995897383</v>
      </c>
      <c r="Q41" s="15">
        <f>求节点(其他调用!$S$7:$S$106,其他调用!W$7:W$106,L41)</f>
        <v>20802261791</v>
      </c>
      <c r="R41" s="15">
        <f>求节点(其他调用!$S$7:$S$106,其他调用!X$7:X$106,M41)</f>
        <v>21686551004</v>
      </c>
      <c r="S41" s="5">
        <f>求节点(其他调用!$AI$7:$AI$606,其他调用!AJ$7:AJ$606,$B41)</f>
        <v>8.0321673827842091</v>
      </c>
      <c r="T41" s="5">
        <f>求节点(其他调用!$AI$7:$AI$606,其他调用!AK$7:AK$606,$B41)</f>
        <v>7.9197905893702556</v>
      </c>
      <c r="U41" s="5">
        <f>求节点(其他调用!$AI$7:$AI$606,其他调用!AL$7:AL$606,$B41)</f>
        <v>0.64649480812252547</v>
      </c>
      <c r="V41" s="5">
        <f>求节点(其他调用!$AI$7:$AI$606,其他调用!AM$7:AM$606,$B41)</f>
        <v>0.11501599479328489</v>
      </c>
      <c r="W41" s="5">
        <f>求节点(其他调用!$AI$7:$AI$606,其他调用!AN$7:AN$606,$B41)</f>
        <v>3.3279137451763793E-2</v>
      </c>
    </row>
    <row r="42" spans="1:23" s="18" customFormat="1" x14ac:dyDescent="0.2">
      <c r="M42" s="14"/>
      <c r="N42" s="14"/>
      <c r="O42" s="14"/>
      <c r="P42" s="14"/>
      <c r="Q42" s="14"/>
    </row>
    <row r="43" spans="1:23" s="18" customFormat="1" x14ac:dyDescent="0.2">
      <c r="M43" s="14"/>
      <c r="N43" s="14"/>
      <c r="O43" s="14"/>
      <c r="P43" s="14"/>
      <c r="Q43" s="14"/>
    </row>
    <row r="44" spans="1:23" s="11" customFormat="1" x14ac:dyDescent="0.2">
      <c r="H44" s="19" t="s">
        <v>117</v>
      </c>
      <c r="M44" s="14"/>
      <c r="N44" s="14"/>
      <c r="O44" s="14"/>
      <c r="P44" s="14"/>
      <c r="Q44" s="14"/>
    </row>
    <row r="45" spans="1:23" x14ac:dyDescent="0.2">
      <c r="A45" s="4" t="s">
        <v>69</v>
      </c>
      <c r="B45" s="4" t="s">
        <v>116</v>
      </c>
      <c r="C45" s="4" t="s">
        <v>100</v>
      </c>
      <c r="D45" s="4" t="s">
        <v>68</v>
      </c>
      <c r="E45" s="4" t="s">
        <v>101</v>
      </c>
      <c r="F45" s="4" t="s">
        <v>103</v>
      </c>
      <c r="G45" s="4" t="s">
        <v>104</v>
      </c>
      <c r="H45" s="4" t="s">
        <v>105</v>
      </c>
      <c r="I45" s="4" t="s">
        <v>106</v>
      </c>
      <c r="J45" s="4" t="s">
        <v>107</v>
      </c>
      <c r="K45" s="11" t="s">
        <v>53</v>
      </c>
      <c r="L45" s="18" t="s">
        <v>109</v>
      </c>
    </row>
    <row r="46" spans="1:23" x14ac:dyDescent="0.2">
      <c r="A46" s="5">
        <f t="shared" ref="A46:A61" si="0">A12</f>
        <v>1</v>
      </c>
      <c r="B46" s="7">
        <f t="shared" ref="B46:B61" si="1">SUMPRODUCT(N12:R12,S12:W12)/SUM(S12:W12)*C12</f>
        <v>1559329304.4335263</v>
      </c>
      <c r="C46" s="5">
        <f t="shared" ref="C46:C61" si="2">B46/D12</f>
        <v>25988821.74055877</v>
      </c>
      <c r="D46" s="7">
        <f>求节点(其他调用!$S$7:$S$106,其他调用!$T$7:$T$106,I12)</f>
        <v>6344749</v>
      </c>
      <c r="E46" s="7">
        <f>C46/D46</f>
        <v>4.0961150300128137</v>
      </c>
      <c r="F46" s="5">
        <f>$B$4</f>
        <v>0.8</v>
      </c>
      <c r="G46" s="12">
        <v>6.15</v>
      </c>
      <c r="H46" s="21">
        <f>$A$4</f>
        <v>1</v>
      </c>
      <c r="I46" s="5">
        <f>$C$4</f>
        <v>1.2</v>
      </c>
      <c r="J46" s="5">
        <f>G46*H46/4</f>
        <v>1.5375000000000001</v>
      </c>
      <c r="K46" s="5">
        <f>(1/4*F46*G46*H46*H46+1/2*I46*G46*H46+1/4*F46*J46*H46+1/2*I46*J46)/1.5</f>
        <v>4.1000000000000005</v>
      </c>
      <c r="L46" s="17">
        <f>E46-K46</f>
        <v>-3.8849699871867927E-3</v>
      </c>
    </row>
    <row r="47" spans="1:23" x14ac:dyDescent="0.2">
      <c r="A47" s="5">
        <f t="shared" si="0"/>
        <v>2</v>
      </c>
      <c r="B47" s="7">
        <f t="shared" si="1"/>
        <v>2395444965.810442</v>
      </c>
      <c r="C47" s="5">
        <f t="shared" si="2"/>
        <v>43553544.832917124</v>
      </c>
      <c r="D47" s="7">
        <f>求节点(其他调用!$S$7:$S$106,其他调用!$T$7:$T$106,I13)</f>
        <v>10769272.723925008</v>
      </c>
      <c r="E47" s="7">
        <f t="shared" ref="E47:E52" si="3">C47/D47</f>
        <v>4.044241978955422</v>
      </c>
      <c r="F47" s="5">
        <f t="shared" ref="F47:F75" si="4">$B$4</f>
        <v>0.8</v>
      </c>
      <c r="G47" s="12">
        <v>6.06</v>
      </c>
      <c r="H47" s="21">
        <f t="shared" ref="H47:H75" si="5">$A$4</f>
        <v>1</v>
      </c>
      <c r="I47" s="5">
        <f t="shared" ref="I47:I75" si="6">$C$4</f>
        <v>1.2</v>
      </c>
      <c r="J47" s="5">
        <f t="shared" ref="J47:J61" si="7">G47*H47/4</f>
        <v>1.5149999999999999</v>
      </c>
      <c r="K47" s="5">
        <f t="shared" ref="K47:K55" si="8">(1/4*F47*G47*H47*H47+1/2*I47*G47*H47+1/4*F47*J47*H47+1/2*I47*J47)/1.5</f>
        <v>4.04</v>
      </c>
      <c r="L47" s="17">
        <f t="shared" ref="L47:L61" si="9">E47-K47</f>
        <v>4.2419789554219989E-3</v>
      </c>
    </row>
    <row r="48" spans="1:23" x14ac:dyDescent="0.2">
      <c r="A48" s="5">
        <f t="shared" si="0"/>
        <v>3</v>
      </c>
      <c r="B48" s="7">
        <f t="shared" si="1"/>
        <v>3442114331.2061996</v>
      </c>
      <c r="C48" s="5">
        <f t="shared" si="2"/>
        <v>68842286.624123991</v>
      </c>
      <c r="D48" s="7">
        <f>求节点(其他调用!$S$7:$S$106,其他调用!$T$7:$T$106,I14)</f>
        <v>18970670.90925353</v>
      </c>
      <c r="E48" s="7">
        <f t="shared" si="3"/>
        <v>3.6288799143389303</v>
      </c>
      <c r="F48" s="5">
        <f t="shared" si="4"/>
        <v>0.8</v>
      </c>
      <c r="G48" s="12">
        <v>5.45</v>
      </c>
      <c r="H48" s="21">
        <f t="shared" si="5"/>
        <v>1</v>
      </c>
      <c r="I48" s="5">
        <f t="shared" si="6"/>
        <v>1.2</v>
      </c>
      <c r="J48" s="5">
        <f t="shared" si="7"/>
        <v>1.3625</v>
      </c>
      <c r="K48" s="5">
        <f t="shared" si="8"/>
        <v>3.6333333333333333</v>
      </c>
      <c r="L48" s="17">
        <f t="shared" si="9"/>
        <v>-4.4534189944029912E-3</v>
      </c>
    </row>
    <row r="49" spans="1:17" x14ac:dyDescent="0.2">
      <c r="A49" s="5">
        <f t="shared" si="0"/>
        <v>4</v>
      </c>
      <c r="B49" s="7">
        <f t="shared" si="1"/>
        <v>4992934091.2809124</v>
      </c>
      <c r="C49" s="5">
        <f t="shared" si="2"/>
        <v>110954090.91735362</v>
      </c>
      <c r="D49" s="7">
        <f>求节点(其他调用!$S$7:$S$106,其他调用!$T$7:$T$106,I15)</f>
        <v>33252044.586189087</v>
      </c>
      <c r="E49" s="7">
        <f t="shared" si="3"/>
        <v>3.3367599586173209</v>
      </c>
      <c r="F49" s="5">
        <f t="shared" si="4"/>
        <v>0.8</v>
      </c>
      <c r="G49" s="12">
        <v>5</v>
      </c>
      <c r="H49" s="21">
        <f t="shared" si="5"/>
        <v>1</v>
      </c>
      <c r="I49" s="5">
        <f t="shared" si="6"/>
        <v>1.2</v>
      </c>
      <c r="J49" s="5">
        <f t="shared" si="7"/>
        <v>1.25</v>
      </c>
      <c r="K49" s="5">
        <f t="shared" si="8"/>
        <v>3.3333333333333335</v>
      </c>
      <c r="L49" s="17">
        <f t="shared" si="9"/>
        <v>3.4266252839874056E-3</v>
      </c>
    </row>
    <row r="50" spans="1:17" x14ac:dyDescent="0.2">
      <c r="A50" s="5">
        <f t="shared" si="0"/>
        <v>5</v>
      </c>
      <c r="B50" s="7">
        <f t="shared" si="1"/>
        <v>6795173781.0778637</v>
      </c>
      <c r="C50" s="5">
        <f t="shared" si="2"/>
        <v>169879344.5269466</v>
      </c>
      <c r="D50" s="7">
        <f>求节点(其他调用!$S$7:$S$106,其他调用!$T$7:$T$106,I16)</f>
        <v>52429108.977923006</v>
      </c>
      <c r="E50" s="7">
        <f t="shared" si="3"/>
        <v>3.2401722600031189</v>
      </c>
      <c r="F50" s="5">
        <f t="shared" si="4"/>
        <v>0.8</v>
      </c>
      <c r="G50" s="12">
        <v>4.8499999999999996</v>
      </c>
      <c r="H50" s="21">
        <f t="shared" si="5"/>
        <v>1</v>
      </c>
      <c r="I50" s="5">
        <f t="shared" si="6"/>
        <v>1.2</v>
      </c>
      <c r="J50" s="5">
        <f t="shared" si="7"/>
        <v>1.2124999999999999</v>
      </c>
      <c r="K50" s="5">
        <f t="shared" si="8"/>
        <v>3.2333333333333329</v>
      </c>
      <c r="L50" s="17">
        <f t="shared" si="9"/>
        <v>6.8389266697859163E-3</v>
      </c>
    </row>
    <row r="51" spans="1:17" x14ac:dyDescent="0.2">
      <c r="A51" s="5">
        <f t="shared" si="0"/>
        <v>6</v>
      </c>
      <c r="B51" s="7">
        <f t="shared" si="1"/>
        <v>9447172765.1701851</v>
      </c>
      <c r="C51" s="5">
        <f t="shared" si="2"/>
        <v>269919221.86200529</v>
      </c>
      <c r="D51" s="7">
        <f>求节点(其他调用!$S$7:$S$106,其他调用!$T$7:$T$106,I17)</f>
        <v>84994381.831161767</v>
      </c>
      <c r="E51" s="7">
        <f t="shared" si="3"/>
        <v>3.1757301605909665</v>
      </c>
      <c r="F51" s="5">
        <f t="shared" si="4"/>
        <v>0.8</v>
      </c>
      <c r="G51" s="12">
        <v>4.75</v>
      </c>
      <c r="H51" s="21">
        <f t="shared" si="5"/>
        <v>1</v>
      </c>
      <c r="I51" s="5">
        <f t="shared" si="6"/>
        <v>1.2</v>
      </c>
      <c r="J51" s="5">
        <f t="shared" si="7"/>
        <v>1.1875</v>
      </c>
      <c r="K51" s="5">
        <f t="shared" si="8"/>
        <v>3.1666666666666674</v>
      </c>
      <c r="L51" s="17">
        <f t="shared" si="9"/>
        <v>9.0634939242990598E-3</v>
      </c>
    </row>
    <row r="52" spans="1:17" x14ac:dyDescent="0.2">
      <c r="A52" s="5">
        <f t="shared" si="0"/>
        <v>7</v>
      </c>
      <c r="B52" s="7">
        <f t="shared" si="1"/>
        <v>13897278060.606993</v>
      </c>
      <c r="C52" s="5">
        <f t="shared" si="2"/>
        <v>463242602.02023309</v>
      </c>
      <c r="D52" s="7">
        <f>求节点(其他调用!$S$7:$S$106,其他调用!$T$7:$T$106,I18)</f>
        <v>138201425.95391831</v>
      </c>
      <c r="E52" s="7">
        <f t="shared" si="3"/>
        <v>3.3519379327872931</v>
      </c>
      <c r="F52" s="5">
        <f t="shared" si="4"/>
        <v>0.8</v>
      </c>
      <c r="G52" s="12">
        <v>5.0199999999999996</v>
      </c>
      <c r="H52" s="21">
        <f t="shared" si="5"/>
        <v>1</v>
      </c>
      <c r="I52" s="5">
        <f t="shared" si="6"/>
        <v>1.2</v>
      </c>
      <c r="J52" s="5">
        <f t="shared" si="7"/>
        <v>1.2549999999999999</v>
      </c>
      <c r="K52" s="5">
        <f t="shared" si="8"/>
        <v>3.3466666666666671</v>
      </c>
      <c r="L52" s="17">
        <f t="shared" si="9"/>
        <v>5.2712661206260059E-3</v>
      </c>
    </row>
    <row r="53" spans="1:17" x14ac:dyDescent="0.2">
      <c r="A53" s="5">
        <f t="shared" si="0"/>
        <v>8</v>
      </c>
      <c r="B53" s="7">
        <f t="shared" si="1"/>
        <v>18245264069.233036</v>
      </c>
      <c r="C53" s="5">
        <f t="shared" si="2"/>
        <v>608175468.97443449</v>
      </c>
      <c r="D53" s="7">
        <f>求节点(其他调用!$S$7:$S$106,其他调用!$T$7:$T$106,I19)</f>
        <v>201129317.30135226</v>
      </c>
      <c r="E53" s="7">
        <f t="shared" ref="E53:E54" si="10">C53/D53</f>
        <v>3.0238031786445361</v>
      </c>
      <c r="F53" s="5">
        <f t="shared" si="4"/>
        <v>0.8</v>
      </c>
      <c r="G53" s="12">
        <v>4.54</v>
      </c>
      <c r="H53" s="21">
        <f t="shared" si="5"/>
        <v>1</v>
      </c>
      <c r="I53" s="5">
        <f t="shared" si="6"/>
        <v>1.2</v>
      </c>
      <c r="J53" s="5">
        <f t="shared" si="7"/>
        <v>1.135</v>
      </c>
      <c r="K53" s="5">
        <f t="shared" si="8"/>
        <v>3.026666666666666</v>
      </c>
      <c r="L53" s="17">
        <f t="shared" si="9"/>
        <v>-2.8634880221298786E-3</v>
      </c>
    </row>
    <row r="54" spans="1:17" x14ac:dyDescent="0.2">
      <c r="A54" s="5">
        <f t="shared" si="0"/>
        <v>9</v>
      </c>
      <c r="B54" s="7">
        <f t="shared" si="1"/>
        <v>27526187865.779091</v>
      </c>
      <c r="C54" s="5">
        <f t="shared" si="2"/>
        <v>917539595.52596974</v>
      </c>
      <c r="D54" s="7">
        <f>求节点(其他调用!$S$7:$S$106,其他调用!$T$7:$T$106,I20)</f>
        <v>309255404.79106259</v>
      </c>
      <c r="E54" s="7">
        <f t="shared" si="10"/>
        <v>2.966931479001548</v>
      </c>
      <c r="F54" s="5">
        <f t="shared" si="4"/>
        <v>0.8</v>
      </c>
      <c r="G54" s="12">
        <v>4.45</v>
      </c>
      <c r="H54" s="21">
        <f t="shared" si="5"/>
        <v>1</v>
      </c>
      <c r="I54" s="5">
        <f t="shared" si="6"/>
        <v>1.2</v>
      </c>
      <c r="J54" s="5">
        <f t="shared" si="7"/>
        <v>1.1125</v>
      </c>
      <c r="K54" s="5">
        <f t="shared" si="8"/>
        <v>2.9666666666666668</v>
      </c>
      <c r="L54" s="17">
        <f t="shared" si="9"/>
        <v>2.648123348811815E-4</v>
      </c>
    </row>
    <row r="55" spans="1:17" x14ac:dyDescent="0.2">
      <c r="A55" s="5">
        <f t="shared" si="0"/>
        <v>10</v>
      </c>
      <c r="B55" s="7">
        <f t="shared" si="1"/>
        <v>45945981784.957291</v>
      </c>
      <c r="C55" s="5">
        <f t="shared" si="2"/>
        <v>1531532726.1652429</v>
      </c>
      <c r="D55" s="7">
        <f>求节点(其他调用!$S$7:$S$106,其他调用!$T$7:$T$106,I21)</f>
        <v>504749550.00239623</v>
      </c>
      <c r="E55" s="7">
        <f t="shared" ref="E55:E56" si="11">C55/D55</f>
        <v>3.034242875814297</v>
      </c>
      <c r="F55" s="5">
        <f t="shared" si="4"/>
        <v>0.8</v>
      </c>
      <c r="G55" s="12">
        <v>4.55</v>
      </c>
      <c r="H55" s="21">
        <f t="shared" si="5"/>
        <v>1</v>
      </c>
      <c r="I55" s="5">
        <f t="shared" si="6"/>
        <v>1.2</v>
      </c>
      <c r="J55" s="5">
        <f t="shared" si="7"/>
        <v>1.1375</v>
      </c>
      <c r="K55" s="5">
        <f t="shared" si="8"/>
        <v>3.0333333333333332</v>
      </c>
      <c r="L55" s="17">
        <f t="shared" si="9"/>
        <v>9.0954248096375423E-4</v>
      </c>
    </row>
    <row r="56" spans="1:17" s="18" customFormat="1" x14ac:dyDescent="0.2">
      <c r="A56" s="5">
        <f t="shared" si="0"/>
        <v>11</v>
      </c>
      <c r="B56" s="7">
        <f t="shared" si="1"/>
        <v>73204625758.417007</v>
      </c>
      <c r="C56" s="5">
        <f t="shared" si="2"/>
        <v>2440154191.9472337</v>
      </c>
      <c r="D56" s="7">
        <f>求节点(其他调用!$S$7:$S$106,其他调用!$T$7:$T$106,I22)</f>
        <v>792680208.30650091</v>
      </c>
      <c r="E56" s="7">
        <f t="shared" si="11"/>
        <v>3.0783589225224026</v>
      </c>
      <c r="F56" s="5">
        <f t="shared" si="4"/>
        <v>0.8</v>
      </c>
      <c r="G56" s="12">
        <v>4.62</v>
      </c>
      <c r="H56" s="21">
        <f t="shared" si="5"/>
        <v>1</v>
      </c>
      <c r="I56" s="5">
        <f t="shared" si="6"/>
        <v>1.2</v>
      </c>
      <c r="J56" s="5">
        <f t="shared" si="7"/>
        <v>1.155</v>
      </c>
      <c r="K56" s="5">
        <f t="shared" ref="K56:K61" si="12">(1/4*F56*G56*H56*H56+1/2*I56*G56*H56+1/4*F56*J56*H56+1/2*I56*J56)/1.5</f>
        <v>3.0799999999999996</v>
      </c>
      <c r="L56" s="17">
        <f t="shared" si="9"/>
        <v>-1.6410774775970083E-3</v>
      </c>
      <c r="M56" s="14"/>
      <c r="N56" s="14"/>
      <c r="O56" s="14"/>
      <c r="P56" s="14"/>
      <c r="Q56" s="14"/>
    </row>
    <row r="57" spans="1:17" s="18" customFormat="1" x14ac:dyDescent="0.2">
      <c r="A57" s="5">
        <f t="shared" si="0"/>
        <v>12</v>
      </c>
      <c r="B57" s="7">
        <f t="shared" si="1"/>
        <v>113391255526.38115</v>
      </c>
      <c r="C57" s="5">
        <f t="shared" si="2"/>
        <v>3779708517.5460382</v>
      </c>
      <c r="D57" s="7">
        <f>求节点(其他调用!$S$7:$S$106,其他调用!$T$7:$T$106,I23)</f>
        <v>1219121743.7243521</v>
      </c>
      <c r="E57" s="7">
        <f t="shared" ref="E57:E61" si="13">C57/D57</f>
        <v>3.1003536250606354</v>
      </c>
      <c r="F57" s="5">
        <f t="shared" si="4"/>
        <v>0.8</v>
      </c>
      <c r="G57" s="12">
        <v>4.6500000000000004</v>
      </c>
      <c r="H57" s="21">
        <f t="shared" si="5"/>
        <v>1</v>
      </c>
      <c r="I57" s="5">
        <f t="shared" si="6"/>
        <v>1.2</v>
      </c>
      <c r="J57" s="5">
        <f t="shared" si="7"/>
        <v>1.1625000000000001</v>
      </c>
      <c r="K57" s="5">
        <f t="shared" si="12"/>
        <v>3.1</v>
      </c>
      <c r="L57" s="17">
        <f t="shared" si="9"/>
        <v>3.5362506063529864E-4</v>
      </c>
      <c r="M57" s="14"/>
      <c r="N57" s="14"/>
      <c r="O57" s="14"/>
      <c r="P57" s="14"/>
      <c r="Q57" s="14"/>
    </row>
    <row r="58" spans="1:17" s="18" customFormat="1" x14ac:dyDescent="0.2">
      <c r="A58" s="5">
        <f t="shared" si="0"/>
        <v>13</v>
      </c>
      <c r="B58" s="7">
        <f t="shared" si="1"/>
        <v>169159011251.64703</v>
      </c>
      <c r="C58" s="5">
        <f t="shared" si="2"/>
        <v>5638633708.3882341</v>
      </c>
      <c r="D58" s="7">
        <f>求节点(其他调用!$S$7:$S$106,其他调用!$T$7:$T$106,I24)</f>
        <v>1828036981.2721617</v>
      </c>
      <c r="E58" s="7">
        <f t="shared" si="13"/>
        <v>3.0845293427620999</v>
      </c>
      <c r="F58" s="5">
        <f t="shared" si="4"/>
        <v>0.8</v>
      </c>
      <c r="G58" s="12">
        <v>4.62</v>
      </c>
      <c r="H58" s="21">
        <f t="shared" si="5"/>
        <v>1</v>
      </c>
      <c r="I58" s="5">
        <f t="shared" si="6"/>
        <v>1.2</v>
      </c>
      <c r="J58" s="5">
        <f t="shared" si="7"/>
        <v>1.155</v>
      </c>
      <c r="K58" s="5">
        <f t="shared" si="12"/>
        <v>3.0799999999999996</v>
      </c>
      <c r="L58" s="17">
        <f t="shared" si="9"/>
        <v>4.5293427621002635E-3</v>
      </c>
      <c r="M58" s="14"/>
      <c r="N58" s="14"/>
      <c r="O58" s="14"/>
      <c r="P58" s="14"/>
      <c r="Q58" s="14"/>
    </row>
    <row r="59" spans="1:17" s="18" customFormat="1" x14ac:dyDescent="0.2">
      <c r="A59" s="5">
        <f t="shared" si="0"/>
        <v>14</v>
      </c>
      <c r="B59" s="7">
        <f t="shared" si="1"/>
        <v>244508557150.75204</v>
      </c>
      <c r="C59" s="5">
        <f t="shared" si="2"/>
        <v>8150285238.3584013</v>
      </c>
      <c r="D59" s="7">
        <f>求节点(其他调用!$S$7:$S$106,其他调用!$T$7:$T$106,I25)</f>
        <v>2664891973.9695997</v>
      </c>
      <c r="E59" s="7">
        <f t="shared" si="13"/>
        <v>3.0583923543504121</v>
      </c>
      <c r="F59" s="5">
        <f t="shared" si="4"/>
        <v>0.8</v>
      </c>
      <c r="G59" s="12">
        <v>4.5999999999999996</v>
      </c>
      <c r="H59" s="21">
        <f t="shared" si="5"/>
        <v>1</v>
      </c>
      <c r="I59" s="5">
        <f t="shared" si="6"/>
        <v>1.2</v>
      </c>
      <c r="J59" s="5">
        <f t="shared" si="7"/>
        <v>1.1499999999999999</v>
      </c>
      <c r="K59" s="5">
        <f t="shared" si="12"/>
        <v>3.0666666666666664</v>
      </c>
      <c r="L59" s="17">
        <f t="shared" si="9"/>
        <v>-8.2743123162543064E-3</v>
      </c>
      <c r="M59" s="14"/>
      <c r="N59" s="14"/>
      <c r="O59" s="14"/>
      <c r="P59" s="14"/>
      <c r="Q59" s="14"/>
    </row>
    <row r="60" spans="1:17" s="18" customFormat="1" x14ac:dyDescent="0.2">
      <c r="A60" s="5">
        <f t="shared" si="0"/>
        <v>15</v>
      </c>
      <c r="B60" s="7">
        <f t="shared" si="1"/>
        <v>347497484622.50946</v>
      </c>
      <c r="C60" s="5">
        <f t="shared" si="2"/>
        <v>11583249487.416983</v>
      </c>
      <c r="D60" s="7">
        <f>求节点(其他调用!$S$7:$S$106,其他调用!$T$7:$T$106,I26)</f>
        <v>3794720296.4878712</v>
      </c>
      <c r="E60" s="7">
        <f t="shared" si="13"/>
        <v>3.0524646304334029</v>
      </c>
      <c r="F60" s="5">
        <f t="shared" si="4"/>
        <v>0.8</v>
      </c>
      <c r="G60" s="12">
        <v>4.58</v>
      </c>
      <c r="H60" s="21">
        <f t="shared" si="5"/>
        <v>1</v>
      </c>
      <c r="I60" s="5">
        <f t="shared" si="6"/>
        <v>1.2</v>
      </c>
      <c r="J60" s="5">
        <f t="shared" si="7"/>
        <v>1.145</v>
      </c>
      <c r="K60" s="5">
        <f t="shared" si="12"/>
        <v>3.0533333333333332</v>
      </c>
      <c r="L60" s="17">
        <f t="shared" si="9"/>
        <v>-8.6870289993035144E-4</v>
      </c>
      <c r="M60" s="14"/>
      <c r="N60" s="14"/>
      <c r="O60" s="14"/>
      <c r="P60" s="14"/>
      <c r="Q60" s="14"/>
    </row>
    <row r="61" spans="1:17" s="18" customFormat="1" x14ac:dyDescent="0.2">
      <c r="A61" s="5">
        <f t="shared" si="0"/>
        <v>16</v>
      </c>
      <c r="B61" s="7">
        <f t="shared" si="1"/>
        <v>522691686283.00494</v>
      </c>
      <c r="C61" s="5">
        <f t="shared" si="2"/>
        <v>17423056209.433498</v>
      </c>
      <c r="D61" s="7">
        <f>求节点(其他调用!$S$7:$S$106,其他调用!$T$7:$T$106,I27)</f>
        <v>5621021282.366765</v>
      </c>
      <c r="E61" s="7">
        <f t="shared" si="13"/>
        <v>3.0996246650212673</v>
      </c>
      <c r="F61" s="5">
        <f t="shared" si="4"/>
        <v>0.8</v>
      </c>
      <c r="G61" s="12">
        <v>4.6500000000000004</v>
      </c>
      <c r="H61" s="21">
        <f t="shared" si="5"/>
        <v>1</v>
      </c>
      <c r="I61" s="5">
        <f t="shared" si="6"/>
        <v>1.2</v>
      </c>
      <c r="J61" s="5">
        <f t="shared" si="7"/>
        <v>1.1625000000000001</v>
      </c>
      <c r="K61" s="5">
        <f t="shared" si="12"/>
        <v>3.1</v>
      </c>
      <c r="L61" s="17">
        <f t="shared" si="9"/>
        <v>-3.7533497873276644E-4</v>
      </c>
      <c r="M61" s="14"/>
      <c r="N61" s="14"/>
      <c r="O61" s="14"/>
      <c r="P61" s="14"/>
      <c r="Q61" s="14"/>
    </row>
    <row r="62" spans="1:17" s="23" customFormat="1" x14ac:dyDescent="0.2">
      <c r="A62" s="5">
        <f t="shared" ref="A62:A75" si="14">A28</f>
        <v>17</v>
      </c>
      <c r="B62" s="7">
        <f t="shared" ref="B62:B75" si="15">SUMPRODUCT(N28:R28,S28:W28)/SUM(S28:W28)*C28</f>
        <v>743831820228.323</v>
      </c>
      <c r="C62" s="5">
        <f t="shared" ref="C62:C75" si="16">B62/D28</f>
        <v>24794394007.610767</v>
      </c>
      <c r="D62" s="7">
        <f>求节点(其他调用!$S$7:$S$106,其他调用!$T$7:$T$106,I28)</f>
        <v>7901376838.4225569</v>
      </c>
      <c r="E62" s="7">
        <f t="shared" ref="E62:E75" si="17">C62/D62</f>
        <v>3.1379839886944008</v>
      </c>
      <c r="F62" s="5">
        <f t="shared" si="4"/>
        <v>0.8</v>
      </c>
      <c r="G62" s="12">
        <v>4.7</v>
      </c>
      <c r="H62" s="21">
        <f t="shared" si="5"/>
        <v>1</v>
      </c>
      <c r="I62" s="5">
        <f t="shared" si="6"/>
        <v>1.2</v>
      </c>
      <c r="J62" s="5">
        <f t="shared" ref="J62:J75" si="18">G62*H62/4</f>
        <v>1.175</v>
      </c>
      <c r="K62" s="5">
        <f t="shared" ref="K62:K75" si="19">(1/4*F62*G62*H62*H62+1/2*I62*G62*H62+1/4*F62*J62*H62+1/2*I62*J62)/1.5</f>
        <v>3.1333333333333329</v>
      </c>
      <c r="L62" s="17">
        <f t="shared" ref="L62:L75" si="20">E62-K62</f>
        <v>4.6506553610679013E-3</v>
      </c>
      <c r="M62" s="14"/>
      <c r="N62" s="14"/>
      <c r="O62" s="14"/>
      <c r="P62" s="14"/>
      <c r="Q62" s="14"/>
    </row>
    <row r="63" spans="1:17" s="23" customFormat="1" x14ac:dyDescent="0.2">
      <c r="A63" s="5">
        <f t="shared" si="14"/>
        <v>18</v>
      </c>
      <c r="B63" s="7">
        <f t="shared" si="15"/>
        <v>934787748907.83264</v>
      </c>
      <c r="C63" s="5">
        <f t="shared" si="16"/>
        <v>31159591630.261089</v>
      </c>
      <c r="D63" s="7">
        <f>求节点(其他调用!$S$7:$S$106,其他调用!$T$7:$T$106,I29)</f>
        <v>9926996185.9664478</v>
      </c>
      <c r="E63" s="7">
        <f t="shared" si="17"/>
        <v>3.1388741414357186</v>
      </c>
      <c r="F63" s="5">
        <f t="shared" si="4"/>
        <v>0.8</v>
      </c>
      <c r="G63" s="12">
        <v>4.7</v>
      </c>
      <c r="H63" s="21">
        <f t="shared" si="5"/>
        <v>1</v>
      </c>
      <c r="I63" s="5">
        <f t="shared" si="6"/>
        <v>1.2</v>
      </c>
      <c r="J63" s="5">
        <f t="shared" si="18"/>
        <v>1.175</v>
      </c>
      <c r="K63" s="5">
        <f t="shared" si="19"/>
        <v>3.1333333333333329</v>
      </c>
      <c r="L63" s="17">
        <f t="shared" si="20"/>
        <v>5.5408081023857747E-3</v>
      </c>
      <c r="M63" s="14"/>
      <c r="N63" s="14"/>
      <c r="O63" s="14"/>
      <c r="P63" s="14"/>
      <c r="Q63" s="14"/>
    </row>
    <row r="64" spans="1:17" s="23" customFormat="1" x14ac:dyDescent="0.2">
      <c r="A64" s="5">
        <f t="shared" si="14"/>
        <v>19</v>
      </c>
      <c r="B64" s="7">
        <f t="shared" si="15"/>
        <v>1105956934387.1917</v>
      </c>
      <c r="C64" s="5">
        <f t="shared" si="16"/>
        <v>36865231146.239723</v>
      </c>
      <c r="D64" s="7">
        <f>求节点(其他调用!$S$7:$S$106,其他调用!$T$7:$T$106,I30)</f>
        <v>11871302244.901863</v>
      </c>
      <c r="E64" s="7">
        <f t="shared" si="17"/>
        <v>3.1054075101214371</v>
      </c>
      <c r="F64" s="5">
        <f t="shared" si="4"/>
        <v>0.8</v>
      </c>
      <c r="G64" s="12">
        <v>4.6500000000000004</v>
      </c>
      <c r="H64" s="21">
        <f t="shared" si="5"/>
        <v>1</v>
      </c>
      <c r="I64" s="5">
        <f t="shared" si="6"/>
        <v>1.2</v>
      </c>
      <c r="J64" s="5">
        <f t="shared" si="18"/>
        <v>1.1625000000000001</v>
      </c>
      <c r="K64" s="5">
        <f t="shared" si="19"/>
        <v>3.1</v>
      </c>
      <c r="L64" s="17">
        <f t="shared" si="20"/>
        <v>5.4075101214370314E-3</v>
      </c>
      <c r="M64" s="14"/>
      <c r="N64" s="14"/>
      <c r="O64" s="14"/>
      <c r="P64" s="14"/>
      <c r="Q64" s="14"/>
    </row>
    <row r="65" spans="1:17" s="23" customFormat="1" x14ac:dyDescent="0.2">
      <c r="A65" s="5">
        <f t="shared" si="14"/>
        <v>20</v>
      </c>
      <c r="B65" s="7">
        <f t="shared" si="15"/>
        <v>1226007529522.1816</v>
      </c>
      <c r="C65" s="5">
        <f t="shared" si="16"/>
        <v>40866917650.739388</v>
      </c>
      <c r="D65" s="7">
        <f>求节点(其他调用!$S$7:$S$106,其他调用!$T$7:$T$106,I31)</f>
        <v>13683988012.714237</v>
      </c>
      <c r="E65" s="7">
        <f t="shared" si="17"/>
        <v>2.9864771594924382</v>
      </c>
      <c r="F65" s="5">
        <f t="shared" si="4"/>
        <v>0.8</v>
      </c>
      <c r="G65" s="12">
        <v>4.4800000000000004</v>
      </c>
      <c r="H65" s="21">
        <f t="shared" si="5"/>
        <v>1</v>
      </c>
      <c r="I65" s="5">
        <f t="shared" si="6"/>
        <v>1.2</v>
      </c>
      <c r="J65" s="5">
        <f t="shared" si="18"/>
        <v>1.1200000000000001</v>
      </c>
      <c r="K65" s="5">
        <f t="shared" si="19"/>
        <v>2.9866666666666668</v>
      </c>
      <c r="L65" s="17">
        <f t="shared" si="20"/>
        <v>-1.8950717422860919E-4</v>
      </c>
      <c r="M65" s="14"/>
      <c r="N65" s="14"/>
      <c r="O65" s="14"/>
      <c r="P65" s="14"/>
      <c r="Q65" s="14"/>
    </row>
    <row r="66" spans="1:17" s="23" customFormat="1" x14ac:dyDescent="0.2">
      <c r="A66" s="5">
        <f t="shared" si="14"/>
        <v>21</v>
      </c>
      <c r="B66" s="7">
        <f t="shared" si="15"/>
        <v>1264249203310.0745</v>
      </c>
      <c r="C66" s="5">
        <f t="shared" si="16"/>
        <v>42141640110.335815</v>
      </c>
      <c r="D66" s="7">
        <f>求节点(其他调用!$S$7:$S$106,其他调用!$T$7:$T$106,I32)</f>
        <v>14689729288</v>
      </c>
      <c r="E66" s="7">
        <f t="shared" si="17"/>
        <v>2.8687826224790411</v>
      </c>
      <c r="F66" s="5">
        <f t="shared" si="4"/>
        <v>0.8</v>
      </c>
      <c r="G66" s="12">
        <v>4.3</v>
      </c>
      <c r="H66" s="21">
        <f t="shared" si="5"/>
        <v>1</v>
      </c>
      <c r="I66" s="5">
        <f t="shared" si="6"/>
        <v>1.2</v>
      </c>
      <c r="J66" s="5">
        <f t="shared" si="18"/>
        <v>1.075</v>
      </c>
      <c r="K66" s="5">
        <f t="shared" si="19"/>
        <v>2.8666666666666658</v>
      </c>
      <c r="L66" s="17">
        <f t="shared" si="20"/>
        <v>2.1159558123753364E-3</v>
      </c>
      <c r="M66" s="14"/>
      <c r="N66" s="14"/>
      <c r="O66" s="14"/>
      <c r="P66" s="14"/>
      <c r="Q66" s="14"/>
    </row>
    <row r="67" spans="1:17" s="23" customFormat="1" x14ac:dyDescent="0.2">
      <c r="A67" s="5">
        <f t="shared" si="14"/>
        <v>22</v>
      </c>
      <c r="B67" s="7">
        <f t="shared" si="15"/>
        <v>1264249203310.0745</v>
      </c>
      <c r="C67" s="5">
        <f t="shared" si="16"/>
        <v>42141640110.335815</v>
      </c>
      <c r="D67" s="7">
        <f>求节点(其他调用!$S$7:$S$106,其他调用!$T$7:$T$106,I33)</f>
        <v>14689729288</v>
      </c>
      <c r="E67" s="7">
        <f t="shared" si="17"/>
        <v>2.8687826224790411</v>
      </c>
      <c r="F67" s="5">
        <f t="shared" si="4"/>
        <v>0.8</v>
      </c>
      <c r="G67" s="12">
        <v>4.3</v>
      </c>
      <c r="H67" s="21">
        <f t="shared" si="5"/>
        <v>1</v>
      </c>
      <c r="I67" s="5">
        <f t="shared" si="6"/>
        <v>1.2</v>
      </c>
      <c r="J67" s="5">
        <f t="shared" si="18"/>
        <v>1.075</v>
      </c>
      <c r="K67" s="5">
        <f t="shared" si="19"/>
        <v>2.8666666666666658</v>
      </c>
      <c r="L67" s="17">
        <f t="shared" si="20"/>
        <v>2.1159558123753364E-3</v>
      </c>
      <c r="M67" s="14"/>
      <c r="N67" s="14"/>
      <c r="O67" s="14"/>
      <c r="P67" s="14"/>
      <c r="Q67" s="14"/>
    </row>
    <row r="68" spans="1:17" s="23" customFormat="1" x14ac:dyDescent="0.2">
      <c r="A68" s="5">
        <f t="shared" si="14"/>
        <v>23</v>
      </c>
      <c r="B68" s="7">
        <f t="shared" si="15"/>
        <v>1264249203310.0745</v>
      </c>
      <c r="C68" s="5">
        <f t="shared" si="16"/>
        <v>42141640110.335815</v>
      </c>
      <c r="D68" s="7">
        <f>求节点(其他调用!$S$7:$S$106,其他调用!$T$7:$T$106,I34)</f>
        <v>14689729288</v>
      </c>
      <c r="E68" s="7">
        <f t="shared" si="17"/>
        <v>2.8687826224790411</v>
      </c>
      <c r="F68" s="5">
        <f t="shared" si="4"/>
        <v>0.8</v>
      </c>
      <c r="G68" s="12">
        <v>4.3</v>
      </c>
      <c r="H68" s="21">
        <f t="shared" si="5"/>
        <v>1</v>
      </c>
      <c r="I68" s="5">
        <f t="shared" si="6"/>
        <v>1.2</v>
      </c>
      <c r="J68" s="5">
        <f t="shared" si="18"/>
        <v>1.075</v>
      </c>
      <c r="K68" s="5">
        <f t="shared" si="19"/>
        <v>2.8666666666666658</v>
      </c>
      <c r="L68" s="17">
        <f t="shared" si="20"/>
        <v>2.1159558123753364E-3</v>
      </c>
      <c r="M68" s="14"/>
      <c r="N68" s="14"/>
      <c r="O68" s="14"/>
      <c r="P68" s="14"/>
      <c r="Q68" s="14"/>
    </row>
    <row r="69" spans="1:17" s="23" customFormat="1" x14ac:dyDescent="0.2">
      <c r="A69" s="5">
        <f t="shared" si="14"/>
        <v>24</v>
      </c>
      <c r="B69" s="7">
        <f t="shared" si="15"/>
        <v>1264249203310.0745</v>
      </c>
      <c r="C69" s="5">
        <f t="shared" si="16"/>
        <v>42141640110.335815</v>
      </c>
      <c r="D69" s="7">
        <f>求节点(其他调用!$S$7:$S$106,其他调用!$T$7:$T$106,I35)</f>
        <v>14689729288</v>
      </c>
      <c r="E69" s="7">
        <f t="shared" si="17"/>
        <v>2.8687826224790411</v>
      </c>
      <c r="F69" s="5">
        <f t="shared" si="4"/>
        <v>0.8</v>
      </c>
      <c r="G69" s="12">
        <v>4.3</v>
      </c>
      <c r="H69" s="21">
        <f t="shared" si="5"/>
        <v>1</v>
      </c>
      <c r="I69" s="5">
        <f t="shared" si="6"/>
        <v>1.2</v>
      </c>
      <c r="J69" s="5">
        <f t="shared" si="18"/>
        <v>1.075</v>
      </c>
      <c r="K69" s="5">
        <f t="shared" si="19"/>
        <v>2.8666666666666658</v>
      </c>
      <c r="L69" s="17">
        <f t="shared" si="20"/>
        <v>2.1159558123753364E-3</v>
      </c>
      <c r="M69" s="14"/>
      <c r="N69" s="14"/>
      <c r="O69" s="14"/>
      <c r="P69" s="14"/>
      <c r="Q69" s="14"/>
    </row>
    <row r="70" spans="1:17" s="23" customFormat="1" x14ac:dyDescent="0.2">
      <c r="A70" s="5">
        <f t="shared" si="14"/>
        <v>25</v>
      </c>
      <c r="B70" s="7">
        <f t="shared" si="15"/>
        <v>1264249203310.0745</v>
      </c>
      <c r="C70" s="5">
        <f t="shared" si="16"/>
        <v>42141640110.335815</v>
      </c>
      <c r="D70" s="7">
        <f>求节点(其他调用!$S$7:$S$106,其他调用!$T$7:$T$106,I36)</f>
        <v>14689729288</v>
      </c>
      <c r="E70" s="7">
        <f t="shared" si="17"/>
        <v>2.8687826224790411</v>
      </c>
      <c r="F70" s="5">
        <f t="shared" si="4"/>
        <v>0.8</v>
      </c>
      <c r="G70" s="12">
        <v>4.3</v>
      </c>
      <c r="H70" s="21">
        <f t="shared" si="5"/>
        <v>1</v>
      </c>
      <c r="I70" s="5">
        <f t="shared" si="6"/>
        <v>1.2</v>
      </c>
      <c r="J70" s="5">
        <f t="shared" si="18"/>
        <v>1.075</v>
      </c>
      <c r="K70" s="5">
        <f t="shared" si="19"/>
        <v>2.8666666666666658</v>
      </c>
      <c r="L70" s="17">
        <f t="shared" si="20"/>
        <v>2.1159558123753364E-3</v>
      </c>
      <c r="M70" s="14"/>
      <c r="N70" s="14"/>
      <c r="O70" s="14"/>
      <c r="P70" s="14"/>
      <c r="Q70" s="14"/>
    </row>
    <row r="71" spans="1:17" s="23" customFormat="1" x14ac:dyDescent="0.2">
      <c r="A71" s="5">
        <f t="shared" si="14"/>
        <v>26</v>
      </c>
      <c r="B71" s="7">
        <f t="shared" si="15"/>
        <v>1264249203310.0745</v>
      </c>
      <c r="C71" s="5">
        <f t="shared" si="16"/>
        <v>42141640110.335815</v>
      </c>
      <c r="D71" s="7">
        <f>求节点(其他调用!$S$7:$S$106,其他调用!$T$7:$T$106,I37)</f>
        <v>14689729288</v>
      </c>
      <c r="E71" s="7">
        <f t="shared" si="17"/>
        <v>2.8687826224790411</v>
      </c>
      <c r="F71" s="5">
        <f t="shared" si="4"/>
        <v>0.8</v>
      </c>
      <c r="G71" s="12">
        <v>4.3</v>
      </c>
      <c r="H71" s="21">
        <f t="shared" si="5"/>
        <v>1</v>
      </c>
      <c r="I71" s="5">
        <f t="shared" si="6"/>
        <v>1.2</v>
      </c>
      <c r="J71" s="5">
        <f t="shared" si="18"/>
        <v>1.075</v>
      </c>
      <c r="K71" s="5">
        <f t="shared" si="19"/>
        <v>2.8666666666666658</v>
      </c>
      <c r="L71" s="17">
        <f t="shared" si="20"/>
        <v>2.1159558123753364E-3</v>
      </c>
      <c r="M71" s="14"/>
      <c r="N71" s="14"/>
      <c r="O71" s="14"/>
      <c r="P71" s="14"/>
      <c r="Q71" s="14"/>
    </row>
    <row r="72" spans="1:17" s="23" customFormat="1" x14ac:dyDescent="0.2">
      <c r="A72" s="5">
        <f t="shared" si="14"/>
        <v>27</v>
      </c>
      <c r="B72" s="7">
        <f t="shared" si="15"/>
        <v>1264249203310.0745</v>
      </c>
      <c r="C72" s="5">
        <f t="shared" si="16"/>
        <v>42141640110.335815</v>
      </c>
      <c r="D72" s="7">
        <f>求节点(其他调用!$S$7:$S$106,其他调用!$T$7:$T$106,I38)</f>
        <v>14689729288</v>
      </c>
      <c r="E72" s="7">
        <f t="shared" si="17"/>
        <v>2.8687826224790411</v>
      </c>
      <c r="F72" s="5">
        <f t="shared" si="4"/>
        <v>0.8</v>
      </c>
      <c r="G72" s="12">
        <v>4.3</v>
      </c>
      <c r="H72" s="21">
        <f t="shared" si="5"/>
        <v>1</v>
      </c>
      <c r="I72" s="5">
        <f t="shared" si="6"/>
        <v>1.2</v>
      </c>
      <c r="J72" s="5">
        <f t="shared" si="18"/>
        <v>1.075</v>
      </c>
      <c r="K72" s="5">
        <f t="shared" si="19"/>
        <v>2.8666666666666658</v>
      </c>
      <c r="L72" s="17">
        <f t="shared" si="20"/>
        <v>2.1159558123753364E-3</v>
      </c>
      <c r="M72" s="14"/>
      <c r="N72" s="14"/>
      <c r="O72" s="14"/>
      <c r="P72" s="14"/>
      <c r="Q72" s="14"/>
    </row>
    <row r="73" spans="1:17" s="23" customFormat="1" x14ac:dyDescent="0.2">
      <c r="A73" s="5">
        <f t="shared" si="14"/>
        <v>28</v>
      </c>
      <c r="B73" s="7">
        <f t="shared" si="15"/>
        <v>1264249203310.0745</v>
      </c>
      <c r="C73" s="5">
        <f t="shared" si="16"/>
        <v>42141640110.335815</v>
      </c>
      <c r="D73" s="7">
        <f>求节点(其他调用!$S$7:$S$106,其他调用!$T$7:$T$106,I39)</f>
        <v>14689729288</v>
      </c>
      <c r="E73" s="7">
        <f t="shared" si="17"/>
        <v>2.8687826224790411</v>
      </c>
      <c r="F73" s="5">
        <f t="shared" si="4"/>
        <v>0.8</v>
      </c>
      <c r="G73" s="12">
        <v>4.3</v>
      </c>
      <c r="H73" s="21">
        <f t="shared" si="5"/>
        <v>1</v>
      </c>
      <c r="I73" s="5">
        <f t="shared" si="6"/>
        <v>1.2</v>
      </c>
      <c r="J73" s="5">
        <f t="shared" si="18"/>
        <v>1.075</v>
      </c>
      <c r="K73" s="5">
        <f t="shared" si="19"/>
        <v>2.8666666666666658</v>
      </c>
      <c r="L73" s="17">
        <f t="shared" si="20"/>
        <v>2.1159558123753364E-3</v>
      </c>
      <c r="M73" s="14"/>
      <c r="N73" s="14"/>
      <c r="O73" s="14"/>
      <c r="P73" s="14"/>
      <c r="Q73" s="14"/>
    </row>
    <row r="74" spans="1:17" s="23" customFormat="1" x14ac:dyDescent="0.2">
      <c r="A74" s="5">
        <f t="shared" si="14"/>
        <v>29</v>
      </c>
      <c r="B74" s="7">
        <f t="shared" si="15"/>
        <v>1264249203310.0745</v>
      </c>
      <c r="C74" s="5">
        <f t="shared" si="16"/>
        <v>42141640110.335815</v>
      </c>
      <c r="D74" s="7">
        <f>求节点(其他调用!$S$7:$S$106,其他调用!$T$7:$T$106,I40)</f>
        <v>14689729288</v>
      </c>
      <c r="E74" s="7">
        <f t="shared" si="17"/>
        <v>2.8687826224790411</v>
      </c>
      <c r="F74" s="5">
        <f t="shared" si="4"/>
        <v>0.8</v>
      </c>
      <c r="G74" s="12">
        <v>4.3</v>
      </c>
      <c r="H74" s="21">
        <f t="shared" si="5"/>
        <v>1</v>
      </c>
      <c r="I74" s="5">
        <f t="shared" si="6"/>
        <v>1.2</v>
      </c>
      <c r="J74" s="5">
        <f t="shared" si="18"/>
        <v>1.075</v>
      </c>
      <c r="K74" s="5">
        <f t="shared" si="19"/>
        <v>2.8666666666666658</v>
      </c>
      <c r="L74" s="17">
        <f t="shared" si="20"/>
        <v>2.1159558123753364E-3</v>
      </c>
      <c r="M74" s="14"/>
      <c r="N74" s="14"/>
      <c r="O74" s="14"/>
      <c r="P74" s="14"/>
      <c r="Q74" s="14"/>
    </row>
    <row r="75" spans="1:17" s="23" customFormat="1" x14ac:dyDescent="0.2">
      <c r="A75" s="5">
        <f t="shared" si="14"/>
        <v>30</v>
      </c>
      <c r="B75" s="7">
        <f t="shared" si="15"/>
        <v>1264249203310.0745</v>
      </c>
      <c r="C75" s="5">
        <f t="shared" si="16"/>
        <v>42141640110.335815</v>
      </c>
      <c r="D75" s="7">
        <f>求节点(其他调用!$S$7:$S$106,其他调用!$T$7:$T$106,I41)</f>
        <v>14689729288</v>
      </c>
      <c r="E75" s="7">
        <f t="shared" si="17"/>
        <v>2.8687826224790411</v>
      </c>
      <c r="F75" s="5">
        <f t="shared" si="4"/>
        <v>0.8</v>
      </c>
      <c r="G75" s="12">
        <v>4.3</v>
      </c>
      <c r="H75" s="21">
        <f t="shared" si="5"/>
        <v>1</v>
      </c>
      <c r="I75" s="5">
        <f t="shared" si="6"/>
        <v>1.2</v>
      </c>
      <c r="J75" s="5">
        <f t="shared" si="18"/>
        <v>1.075</v>
      </c>
      <c r="K75" s="5">
        <f t="shared" si="19"/>
        <v>2.8666666666666658</v>
      </c>
      <c r="L75" s="17">
        <f t="shared" si="20"/>
        <v>2.1159558123753364E-3</v>
      </c>
      <c r="M75" s="14"/>
      <c r="N75" s="14"/>
      <c r="O75" s="14"/>
      <c r="P75" s="14"/>
      <c r="Q75" s="14"/>
    </row>
    <row r="77" spans="1:17" s="18" customFormat="1" x14ac:dyDescent="0.2">
      <c r="M77" s="14"/>
      <c r="N77" s="14"/>
      <c r="O77" s="14"/>
      <c r="P77" s="14"/>
      <c r="Q77" s="14"/>
    </row>
    <row r="78" spans="1:17" s="11" customFormat="1" x14ac:dyDescent="0.2">
      <c r="M78" s="14"/>
      <c r="N78" s="14"/>
      <c r="O78" s="14"/>
      <c r="P78" s="14"/>
      <c r="Q78" s="14"/>
    </row>
    <row r="79" spans="1:17" x14ac:dyDescent="0.2">
      <c r="A79" s="11" t="s">
        <v>69</v>
      </c>
      <c r="B79" s="11" t="s">
        <v>102</v>
      </c>
      <c r="C79" s="11" t="s">
        <v>67</v>
      </c>
      <c r="D79" s="11" t="s">
        <v>68</v>
      </c>
      <c r="E79" s="11" t="s">
        <v>43</v>
      </c>
      <c r="F79" s="11" t="s">
        <v>47</v>
      </c>
      <c r="G79" s="11" t="s">
        <v>48</v>
      </c>
      <c r="H79" s="11" t="s">
        <v>49</v>
      </c>
      <c r="I79" s="11" t="s">
        <v>50</v>
      </c>
      <c r="J79" s="11" t="s">
        <v>51</v>
      </c>
      <c r="K79" s="11" t="s">
        <v>53</v>
      </c>
      <c r="L79" s="18" t="s">
        <v>109</v>
      </c>
    </row>
    <row r="80" spans="1:17" x14ac:dyDescent="0.2">
      <c r="A80" s="5">
        <f t="shared" ref="A80:A109" si="21">A12</f>
        <v>1</v>
      </c>
      <c r="B80" s="5">
        <f t="shared" ref="B80:B95" si="22">SUMPRODUCT(N12:R12,S12:W12)/SUM(S12:W12)*G12</f>
        <v>10387852002.734934</v>
      </c>
      <c r="C80" s="5">
        <f t="shared" ref="C80:C95" si="23">B80/H12</f>
        <v>86565433.356124446</v>
      </c>
      <c r="D80" s="5">
        <f>求节点(其他调用!$S$7:$S$106,其他调用!$V$7:$V$106,K12)</f>
        <v>11541378.02138949</v>
      </c>
      <c r="E80" s="7">
        <f>C80/D80</f>
        <v>7.5004417319746244</v>
      </c>
      <c r="F80" s="5">
        <f>$B$4</f>
        <v>0.8</v>
      </c>
      <c r="G80" s="12">
        <v>7.03</v>
      </c>
      <c r="H80" s="21">
        <f>$A$4</f>
        <v>1</v>
      </c>
      <c r="I80" s="5">
        <f>$C$4</f>
        <v>1.2</v>
      </c>
      <c r="J80" s="5">
        <f>G80*H80</f>
        <v>7.03</v>
      </c>
      <c r="K80" s="5">
        <f>(1/4*F80*G80*H80*H80+1/2*I80*G80*H80+1/4*F80*J80*H80+1/2*I80*J80)/1.5</f>
        <v>7.4986666666666677</v>
      </c>
      <c r="L80" s="17">
        <f>E80-K80</f>
        <v>1.7750653079566803E-3</v>
      </c>
    </row>
    <row r="81" spans="1:12" x14ac:dyDescent="0.2">
      <c r="A81" s="5">
        <f t="shared" si="21"/>
        <v>2</v>
      </c>
      <c r="B81" s="5">
        <f t="shared" si="22"/>
        <v>16608312845.526579</v>
      </c>
      <c r="C81" s="5">
        <f t="shared" si="23"/>
        <v>150984662.23205981</v>
      </c>
      <c r="D81" s="5">
        <f>求节点(其他调用!$S$7:$S$106,其他调用!$V$7:$V$106,K13)</f>
        <v>17957755.717810296</v>
      </c>
      <c r="E81" s="7">
        <f t="shared" ref="E81:E89" si="24">C81/D81</f>
        <v>8.4077690221788099</v>
      </c>
      <c r="F81" s="5">
        <f t="shared" ref="F81:F109" si="25">$B$4</f>
        <v>0.8</v>
      </c>
      <c r="G81" s="12">
        <v>7.88</v>
      </c>
      <c r="H81" s="21">
        <f t="shared" ref="H81:H109" si="26">$A$4</f>
        <v>1</v>
      </c>
      <c r="I81" s="5">
        <f t="shared" ref="I81:I109" si="27">$C$4</f>
        <v>1.2</v>
      </c>
      <c r="J81" s="5">
        <f t="shared" ref="J81:J89" si="28">G81*H81</f>
        <v>7.88</v>
      </c>
      <c r="K81" s="5">
        <f t="shared" ref="K81:K89" si="29">(1/4*F81*G81*H81*H81+1/2*I81*G81*H81+1/4*F81*J81*H81+1/2*I81*J81)/1.5</f>
        <v>8.4053333333333331</v>
      </c>
      <c r="L81" s="17">
        <f t="shared" ref="L81:L95" si="30">E81-K81</f>
        <v>2.4356888454768466E-3</v>
      </c>
    </row>
    <row r="82" spans="1:12" x14ac:dyDescent="0.2">
      <c r="A82" s="5">
        <f t="shared" si="21"/>
        <v>3</v>
      </c>
      <c r="B82" s="5">
        <f t="shared" si="22"/>
        <v>25838260833.381725</v>
      </c>
      <c r="C82" s="5">
        <f t="shared" si="23"/>
        <v>258382608.33381724</v>
      </c>
      <c r="D82" s="5">
        <f>求节点(其他调用!$S$7:$S$106,其他调用!$V$7:$V$106,K14)</f>
        <v>32777952.467639532</v>
      </c>
      <c r="E82" s="7">
        <f t="shared" si="24"/>
        <v>7.8828172256613316</v>
      </c>
      <c r="F82" s="5">
        <f t="shared" si="25"/>
        <v>0.8</v>
      </c>
      <c r="G82" s="12">
        <v>7.39</v>
      </c>
      <c r="H82" s="21">
        <f t="shared" si="26"/>
        <v>1</v>
      </c>
      <c r="I82" s="5">
        <f t="shared" si="27"/>
        <v>1.2</v>
      </c>
      <c r="J82" s="5">
        <f t="shared" si="28"/>
        <v>7.39</v>
      </c>
      <c r="K82" s="5">
        <f t="shared" si="29"/>
        <v>7.8826666666666654</v>
      </c>
      <c r="L82" s="17">
        <f t="shared" si="30"/>
        <v>1.5055899466620559E-4</v>
      </c>
    </row>
    <row r="83" spans="1:12" x14ac:dyDescent="0.2">
      <c r="A83" s="5">
        <f t="shared" si="21"/>
        <v>4</v>
      </c>
      <c r="B83" s="5">
        <f t="shared" si="22"/>
        <v>41686651187.978493</v>
      </c>
      <c r="C83" s="5">
        <f t="shared" si="23"/>
        <v>463185013.19976103</v>
      </c>
      <c r="D83" s="5">
        <f>求节点(其他调用!$S$7:$S$106,其他调用!$V$7:$V$106,K15)</f>
        <v>56930120.580806673</v>
      </c>
      <c r="E83" s="7">
        <f t="shared" si="24"/>
        <v>8.1360272642021858</v>
      </c>
      <c r="F83" s="5">
        <f t="shared" si="25"/>
        <v>0.8</v>
      </c>
      <c r="G83" s="12">
        <v>7.62</v>
      </c>
      <c r="H83" s="21">
        <f t="shared" si="26"/>
        <v>1</v>
      </c>
      <c r="I83" s="5">
        <f t="shared" si="27"/>
        <v>1.2</v>
      </c>
      <c r="J83" s="5">
        <f t="shared" si="28"/>
        <v>7.62</v>
      </c>
      <c r="K83" s="5">
        <f t="shared" si="29"/>
        <v>8.1280000000000001</v>
      </c>
      <c r="L83" s="17">
        <f t="shared" si="30"/>
        <v>8.027264202185691E-3</v>
      </c>
    </row>
    <row r="84" spans="1:12" x14ac:dyDescent="0.2">
      <c r="A84" s="5">
        <f t="shared" si="21"/>
        <v>5</v>
      </c>
      <c r="B84" s="5">
        <f t="shared" si="22"/>
        <v>63259727393.481834</v>
      </c>
      <c r="C84" s="5">
        <f t="shared" si="23"/>
        <v>790746592.41852295</v>
      </c>
      <c r="D84" s="5">
        <f>求节点(其他调用!$S$7:$S$106,其他调用!$V$7:$V$106,K16)</f>
        <v>93101890.145884216</v>
      </c>
      <c r="E84" s="7">
        <f t="shared" si="24"/>
        <v>8.4933462809345528</v>
      </c>
      <c r="F84" s="5">
        <f t="shared" si="25"/>
        <v>0.8</v>
      </c>
      <c r="G84" s="12">
        <v>7.96</v>
      </c>
      <c r="H84" s="21">
        <f t="shared" si="26"/>
        <v>1</v>
      </c>
      <c r="I84" s="5">
        <f t="shared" si="27"/>
        <v>1.2</v>
      </c>
      <c r="J84" s="5">
        <f t="shared" si="28"/>
        <v>7.96</v>
      </c>
      <c r="K84" s="5">
        <f t="shared" si="29"/>
        <v>8.4906666666666677</v>
      </c>
      <c r="L84" s="17">
        <f t="shared" si="30"/>
        <v>2.6796142678850998E-3</v>
      </c>
    </row>
    <row r="85" spans="1:12" x14ac:dyDescent="0.2">
      <c r="A85" s="5">
        <f t="shared" si="21"/>
        <v>6</v>
      </c>
      <c r="B85" s="5">
        <f t="shared" si="22"/>
        <v>90274870244.852356</v>
      </c>
      <c r="C85" s="5">
        <f t="shared" si="23"/>
        <v>1289641003.4978907</v>
      </c>
      <c r="D85" s="5">
        <f>求节点(其他调用!$S$7:$S$106,其他调用!$V$7:$V$106,K17)</f>
        <v>153524939.32766908</v>
      </c>
      <c r="E85" s="7">
        <f t="shared" si="24"/>
        <v>8.4002052640151401</v>
      </c>
      <c r="F85" s="5">
        <f t="shared" si="25"/>
        <v>0.8</v>
      </c>
      <c r="G85" s="12">
        <v>7.88</v>
      </c>
      <c r="H85" s="21">
        <f t="shared" si="26"/>
        <v>1</v>
      </c>
      <c r="I85" s="5">
        <f t="shared" si="27"/>
        <v>1.2</v>
      </c>
      <c r="J85" s="5">
        <f t="shared" si="28"/>
        <v>7.88</v>
      </c>
      <c r="K85" s="5">
        <f t="shared" si="29"/>
        <v>8.4053333333333331</v>
      </c>
      <c r="L85" s="17">
        <f t="shared" si="30"/>
        <v>-5.1280693181929848E-3</v>
      </c>
    </row>
    <row r="86" spans="1:12" x14ac:dyDescent="0.2">
      <c r="A86" s="5">
        <f t="shared" si="21"/>
        <v>7</v>
      </c>
      <c r="B86" s="5">
        <f t="shared" si="22"/>
        <v>137316442677.38383</v>
      </c>
      <c r="C86" s="5">
        <f t="shared" si="23"/>
        <v>2288607377.9563971</v>
      </c>
      <c r="D86" s="5">
        <f>求节点(其他调用!$S$7:$S$106,其他调用!$V$7:$V$106,K18)</f>
        <v>246080357.83985412</v>
      </c>
      <c r="E86" s="7">
        <f t="shared" si="24"/>
        <v>9.3002440261639769</v>
      </c>
      <c r="F86" s="5">
        <f t="shared" si="25"/>
        <v>0.8</v>
      </c>
      <c r="G86" s="12">
        <v>8.7200000000000006</v>
      </c>
      <c r="H86" s="21">
        <f t="shared" si="26"/>
        <v>1</v>
      </c>
      <c r="I86" s="5">
        <f t="shared" si="27"/>
        <v>1.2</v>
      </c>
      <c r="J86" s="5">
        <f t="shared" si="28"/>
        <v>8.7200000000000006</v>
      </c>
      <c r="K86" s="5">
        <f t="shared" si="29"/>
        <v>9.3013333333333339</v>
      </c>
      <c r="L86" s="17">
        <f t="shared" si="30"/>
        <v>-1.0893071693569567E-3</v>
      </c>
    </row>
    <row r="87" spans="1:12" x14ac:dyDescent="0.2">
      <c r="A87" s="5">
        <f t="shared" si="21"/>
        <v>8</v>
      </c>
      <c r="B87" s="5">
        <f t="shared" si="22"/>
        <v>183362311486.86392</v>
      </c>
      <c r="C87" s="5">
        <f t="shared" si="23"/>
        <v>3056038524.7810655</v>
      </c>
      <c r="D87" s="5">
        <f>求节点(其他调用!$S$7:$S$106,其他调用!$V$7:$V$106,K19)</f>
        <v>362492720.41741329</v>
      </c>
      <c r="E87" s="7">
        <f t="shared" si="24"/>
        <v>8.4306204032511669</v>
      </c>
      <c r="F87" s="5">
        <f t="shared" si="25"/>
        <v>0.8</v>
      </c>
      <c r="G87" s="12">
        <v>7.9</v>
      </c>
      <c r="H87" s="21">
        <f t="shared" si="26"/>
        <v>1</v>
      </c>
      <c r="I87" s="5">
        <f t="shared" si="27"/>
        <v>1.2</v>
      </c>
      <c r="J87" s="5">
        <f t="shared" si="28"/>
        <v>7.9</v>
      </c>
      <c r="K87" s="5">
        <f t="shared" si="29"/>
        <v>8.4266666666666676</v>
      </c>
      <c r="L87" s="17">
        <f t="shared" si="30"/>
        <v>3.9537365844992678E-3</v>
      </c>
    </row>
    <row r="88" spans="1:12" x14ac:dyDescent="0.2">
      <c r="A88" s="5">
        <f t="shared" si="21"/>
        <v>9</v>
      </c>
      <c r="B88" s="5">
        <f t="shared" si="22"/>
        <v>241338259950.42212</v>
      </c>
      <c r="C88" s="5">
        <f t="shared" si="23"/>
        <v>4022304332.5070353</v>
      </c>
      <c r="D88" s="5">
        <f>求节点(其他调用!$S$7:$S$106,其他调用!$V$7:$V$106,K20)</f>
        <v>601826799.73301256</v>
      </c>
      <c r="E88" s="7">
        <f t="shared" si="24"/>
        <v>6.6834915532034191</v>
      </c>
      <c r="F88" s="5">
        <f t="shared" si="25"/>
        <v>0.8</v>
      </c>
      <c r="G88" s="12">
        <v>6.26</v>
      </c>
      <c r="H88" s="21">
        <f t="shared" si="26"/>
        <v>1</v>
      </c>
      <c r="I88" s="5">
        <f t="shared" si="27"/>
        <v>1.2</v>
      </c>
      <c r="J88" s="5">
        <f t="shared" si="28"/>
        <v>6.26</v>
      </c>
      <c r="K88" s="5">
        <f t="shared" si="29"/>
        <v>6.6773333333333333</v>
      </c>
      <c r="L88" s="17">
        <f t="shared" si="30"/>
        <v>6.1582198700858015E-3</v>
      </c>
    </row>
    <row r="89" spans="1:12" x14ac:dyDescent="0.2">
      <c r="A89" s="5">
        <f t="shared" si="21"/>
        <v>10</v>
      </c>
      <c r="B89" s="5">
        <f t="shared" si="22"/>
        <v>335502286121.24829</v>
      </c>
      <c r="C89" s="5">
        <f t="shared" si="23"/>
        <v>5591704768.6874714</v>
      </c>
      <c r="D89" s="5">
        <f>求节点(其他调用!$S$7:$S$106,其他调用!$V$7:$V$106,K21)</f>
        <v>1005471417.181406</v>
      </c>
      <c r="E89" s="7">
        <f t="shared" si="24"/>
        <v>5.5612767037798569</v>
      </c>
      <c r="F89" s="5">
        <f t="shared" si="25"/>
        <v>0.8</v>
      </c>
      <c r="G89" s="12">
        <v>5.2</v>
      </c>
      <c r="H89" s="21">
        <f t="shared" si="26"/>
        <v>1</v>
      </c>
      <c r="I89" s="5">
        <f t="shared" si="27"/>
        <v>1.2</v>
      </c>
      <c r="J89" s="5">
        <f t="shared" si="28"/>
        <v>5.2</v>
      </c>
      <c r="K89" s="5">
        <f t="shared" si="29"/>
        <v>5.5466666666666669</v>
      </c>
      <c r="L89" s="17">
        <f t="shared" si="30"/>
        <v>1.4610037113190089E-2</v>
      </c>
    </row>
    <row r="90" spans="1:12" x14ac:dyDescent="0.2">
      <c r="A90" s="5">
        <f t="shared" si="21"/>
        <v>11</v>
      </c>
      <c r="B90" s="5">
        <f t="shared" si="22"/>
        <v>415269314380.67578</v>
      </c>
      <c r="C90" s="5">
        <f t="shared" si="23"/>
        <v>6921155239.6779299</v>
      </c>
      <c r="D90" s="5">
        <f>求节点(其他调用!$S$7:$S$106,其他调用!$V$7:$V$106,K22)</f>
        <v>1563432629.5202529</v>
      </c>
      <c r="E90" s="7">
        <f t="shared" ref="E90:E95" si="31">C90/D90</f>
        <v>4.4268970142971371</v>
      </c>
      <c r="F90" s="5">
        <f t="shared" si="25"/>
        <v>0.8</v>
      </c>
      <c r="G90" s="12">
        <v>4.1500000000000004</v>
      </c>
      <c r="H90" s="21">
        <f t="shared" si="26"/>
        <v>1</v>
      </c>
      <c r="I90" s="5">
        <f t="shared" si="27"/>
        <v>1.2</v>
      </c>
      <c r="J90" s="5">
        <f t="shared" ref="J90:J95" si="32">G90*H90</f>
        <v>4.1500000000000004</v>
      </c>
      <c r="K90" s="5">
        <f t="shared" ref="K90:K95" si="33">(1/4*F90*G90*H90*H90+1/2*I90*G90*H90+1/4*F90*J90*H90+1/2*I90*J90)/1.5</f>
        <v>4.4266666666666667</v>
      </c>
      <c r="L90" s="17">
        <f t="shared" si="30"/>
        <v>2.3034763047036222E-4</v>
      </c>
    </row>
    <row r="91" spans="1:12" x14ac:dyDescent="0.2">
      <c r="A91" s="5">
        <f t="shared" si="21"/>
        <v>12</v>
      </c>
      <c r="B91" s="5">
        <f t="shared" si="22"/>
        <v>578664894787.42664</v>
      </c>
      <c r="C91" s="5">
        <f t="shared" si="23"/>
        <v>9644414913.1237774</v>
      </c>
      <c r="D91" s="5">
        <f>求节点(其他调用!$S$7:$S$106,其他调用!$V$7:$V$106,K23)</f>
        <v>2314471082.0878711</v>
      </c>
      <c r="E91" s="7">
        <f t="shared" si="31"/>
        <v>4.1670060117681862</v>
      </c>
      <c r="F91" s="5">
        <f t="shared" si="25"/>
        <v>0.8</v>
      </c>
      <c r="G91" s="12">
        <v>3.9</v>
      </c>
      <c r="H91" s="21">
        <f t="shared" si="26"/>
        <v>1</v>
      </c>
      <c r="I91" s="5">
        <f t="shared" si="27"/>
        <v>1.2</v>
      </c>
      <c r="J91" s="5">
        <f t="shared" si="32"/>
        <v>3.9</v>
      </c>
      <c r="K91" s="5">
        <f t="shared" si="33"/>
        <v>4.16</v>
      </c>
      <c r="L91" s="17">
        <f t="shared" si="30"/>
        <v>7.006011768186049E-3</v>
      </c>
    </row>
    <row r="92" spans="1:12" x14ac:dyDescent="0.2">
      <c r="A92" s="5">
        <f t="shared" si="21"/>
        <v>13</v>
      </c>
      <c r="B92" s="5">
        <f t="shared" si="22"/>
        <v>702169864559.32642</v>
      </c>
      <c r="C92" s="5">
        <f t="shared" si="23"/>
        <v>11702831075.988773</v>
      </c>
      <c r="D92" s="5">
        <f>求节点(其他调用!$S$7:$S$106,其他调用!$V$7:$V$106,K24)</f>
        <v>3320427665.010673</v>
      </c>
      <c r="E92" s="7">
        <f t="shared" si="31"/>
        <v>3.5244951122737849</v>
      </c>
      <c r="F92" s="5">
        <f t="shared" si="25"/>
        <v>0.8</v>
      </c>
      <c r="G92" s="12">
        <v>3.3</v>
      </c>
      <c r="H92" s="21">
        <f t="shared" si="26"/>
        <v>1</v>
      </c>
      <c r="I92" s="5">
        <f t="shared" si="27"/>
        <v>1.2</v>
      </c>
      <c r="J92" s="5">
        <f t="shared" si="32"/>
        <v>3.3</v>
      </c>
      <c r="K92" s="5">
        <f t="shared" si="33"/>
        <v>3.5199999999999996</v>
      </c>
      <c r="L92" s="17">
        <f t="shared" si="30"/>
        <v>4.4951122737852955E-3</v>
      </c>
    </row>
    <row r="93" spans="1:12" x14ac:dyDescent="0.2">
      <c r="A93" s="5">
        <f t="shared" si="21"/>
        <v>14</v>
      </c>
      <c r="B93" s="5">
        <f t="shared" si="22"/>
        <v>763564020271.37915</v>
      </c>
      <c r="C93" s="5">
        <f t="shared" si="23"/>
        <v>12726067004.522985</v>
      </c>
      <c r="D93" s="5">
        <f>求节点(其他调用!$S$7:$S$106,其他调用!$V$7:$V$106,K25)</f>
        <v>4737650358.3761873</v>
      </c>
      <c r="E93" s="7">
        <f t="shared" si="31"/>
        <v>2.6861558033769297</v>
      </c>
      <c r="F93" s="5">
        <f t="shared" si="25"/>
        <v>0.8</v>
      </c>
      <c r="G93" s="12">
        <v>2.52</v>
      </c>
      <c r="H93" s="21">
        <f t="shared" si="26"/>
        <v>1</v>
      </c>
      <c r="I93" s="5">
        <f t="shared" si="27"/>
        <v>1.2</v>
      </c>
      <c r="J93" s="5">
        <f t="shared" si="32"/>
        <v>2.52</v>
      </c>
      <c r="K93" s="5">
        <f t="shared" si="33"/>
        <v>2.6880000000000002</v>
      </c>
      <c r="L93" s="17">
        <f t="shared" si="30"/>
        <v>-1.8441966230704487E-3</v>
      </c>
    </row>
    <row r="94" spans="1:12" x14ac:dyDescent="0.2">
      <c r="A94" s="5">
        <f t="shared" si="21"/>
        <v>15</v>
      </c>
      <c r="B94" s="5">
        <f t="shared" si="22"/>
        <v>831694546110.98401</v>
      </c>
      <c r="C94" s="5">
        <f t="shared" si="23"/>
        <v>13861575768.516399</v>
      </c>
      <c r="D94" s="5">
        <f>求节点(其他调用!$S$7:$S$106,其他调用!$V$7:$V$106,K26)</f>
        <v>6754131394.5094013</v>
      </c>
      <c r="E94" s="7">
        <f t="shared" si="31"/>
        <v>2.052310646456303</v>
      </c>
      <c r="F94" s="5">
        <f t="shared" si="25"/>
        <v>0.8</v>
      </c>
      <c r="G94" s="12">
        <v>1.92</v>
      </c>
      <c r="H94" s="21">
        <f t="shared" si="26"/>
        <v>1</v>
      </c>
      <c r="I94" s="5">
        <f t="shared" si="27"/>
        <v>1.2</v>
      </c>
      <c r="J94" s="5">
        <f t="shared" si="32"/>
        <v>1.92</v>
      </c>
      <c r="K94" s="5">
        <f t="shared" si="33"/>
        <v>2.048</v>
      </c>
      <c r="L94" s="17">
        <f t="shared" si="30"/>
        <v>4.3106464563029689E-3</v>
      </c>
    </row>
    <row r="95" spans="1:12" x14ac:dyDescent="0.2">
      <c r="A95" s="5">
        <f t="shared" si="21"/>
        <v>16</v>
      </c>
      <c r="B95" s="5">
        <f t="shared" si="22"/>
        <v>1251001356891.46</v>
      </c>
      <c r="C95" s="5">
        <f t="shared" si="23"/>
        <v>20850022614.857666</v>
      </c>
      <c r="D95" s="5">
        <f>求节点(其他调用!$S$7:$S$106,其他调用!$V$7:$V$106,K27)</f>
        <v>10478881007.078711</v>
      </c>
      <c r="E95" s="7">
        <f t="shared" si="31"/>
        <v>1.989718425161334</v>
      </c>
      <c r="F95" s="5">
        <f t="shared" si="25"/>
        <v>0.8</v>
      </c>
      <c r="G95" s="12">
        <v>1.86</v>
      </c>
      <c r="H95" s="21">
        <f t="shared" si="26"/>
        <v>1</v>
      </c>
      <c r="I95" s="5">
        <f t="shared" si="27"/>
        <v>1.2</v>
      </c>
      <c r="J95" s="5">
        <f t="shared" si="32"/>
        <v>1.86</v>
      </c>
      <c r="K95" s="5">
        <f t="shared" si="33"/>
        <v>1.9840000000000002</v>
      </c>
      <c r="L95" s="17">
        <f t="shared" si="30"/>
        <v>5.7184251613338066E-3</v>
      </c>
    </row>
    <row r="96" spans="1:12" x14ac:dyDescent="0.2">
      <c r="A96" s="5">
        <f t="shared" si="21"/>
        <v>17</v>
      </c>
      <c r="B96" s="5">
        <f t="shared" ref="B96:B107" si="34">SUMPRODUCT(N28:R28,S28:W28)/SUM(S28:W28)*G28</f>
        <v>1780274377467.0449</v>
      </c>
      <c r="C96" s="5">
        <f t="shared" ref="C96:C107" si="35">B96/H28</f>
        <v>29671239624.450748</v>
      </c>
      <c r="D96" s="5">
        <f>求节点(其他调用!$S$7:$S$106,其他调用!$V$7:$V$106,K28)</f>
        <v>14764966126.944971</v>
      </c>
      <c r="E96" s="7">
        <f t="shared" ref="E96:E107" si="36">C96/D96</f>
        <v>2.0095704500332672</v>
      </c>
      <c r="F96" s="5">
        <f t="shared" si="25"/>
        <v>0.8</v>
      </c>
      <c r="G96" s="12">
        <v>1.88</v>
      </c>
      <c r="H96" s="21">
        <f t="shared" si="26"/>
        <v>1</v>
      </c>
      <c r="I96" s="5">
        <f t="shared" si="27"/>
        <v>1.2</v>
      </c>
      <c r="J96" s="5">
        <f t="shared" ref="J96:J107" si="37">G96*H96</f>
        <v>1.88</v>
      </c>
      <c r="K96" s="5">
        <f t="shared" ref="K96:K107" si="38">(1/4*F96*G96*H96*H96+1/2*I96*G96*H96+1/4*F96*J96*H96+1/2*I96*J96)/1.5</f>
        <v>2.0053333333333332</v>
      </c>
      <c r="L96" s="17">
        <f t="shared" ref="L96:L107" si="39">E96-K96</f>
        <v>4.2371166999339849E-3</v>
      </c>
    </row>
    <row r="97" spans="1:12" x14ac:dyDescent="0.2">
      <c r="A97" s="5">
        <f t="shared" si="21"/>
        <v>18</v>
      </c>
      <c r="B97" s="5">
        <f t="shared" si="34"/>
        <v>2237305036560.3931</v>
      </c>
      <c r="C97" s="5">
        <f t="shared" si="35"/>
        <v>37288417276.006554</v>
      </c>
      <c r="D97" s="5">
        <f>求节点(其他调用!$S$7:$S$106,其他调用!$V$7:$V$106,K29)</f>
        <v>18384307720.300377</v>
      </c>
      <c r="E97" s="7">
        <f t="shared" si="36"/>
        <v>2.0282742131666902</v>
      </c>
      <c r="F97" s="5">
        <f t="shared" si="25"/>
        <v>0.8</v>
      </c>
      <c r="G97" s="12">
        <v>1.9</v>
      </c>
      <c r="H97" s="21">
        <f t="shared" si="26"/>
        <v>1</v>
      </c>
      <c r="I97" s="5">
        <f t="shared" si="27"/>
        <v>1.2</v>
      </c>
      <c r="J97" s="5">
        <f t="shared" si="37"/>
        <v>1.9</v>
      </c>
      <c r="K97" s="5">
        <f t="shared" si="38"/>
        <v>2.0266666666666668</v>
      </c>
      <c r="L97" s="17">
        <f t="shared" si="39"/>
        <v>1.6075465000233713E-3</v>
      </c>
    </row>
    <row r="98" spans="1:12" x14ac:dyDescent="0.2">
      <c r="A98" s="5">
        <f t="shared" si="21"/>
        <v>19</v>
      </c>
      <c r="B98" s="5">
        <f t="shared" si="34"/>
        <v>2646978442340.8413</v>
      </c>
      <c r="C98" s="5">
        <f t="shared" si="35"/>
        <v>44116307372.347359</v>
      </c>
      <c r="D98" s="5">
        <f>求节点(其他调用!$S$7:$S$106,其他调用!$V$7:$V$106,K30)</f>
        <v>19995897383</v>
      </c>
      <c r="E98" s="7">
        <f t="shared" si="36"/>
        <v>2.2062679422356863</v>
      </c>
      <c r="F98" s="5">
        <f t="shared" si="25"/>
        <v>0.8</v>
      </c>
      <c r="G98" s="12">
        <v>2.0699999999999998</v>
      </c>
      <c r="H98" s="21">
        <f t="shared" si="26"/>
        <v>1</v>
      </c>
      <c r="I98" s="5">
        <f t="shared" si="27"/>
        <v>1.2</v>
      </c>
      <c r="J98" s="5">
        <f t="shared" si="37"/>
        <v>2.0699999999999998</v>
      </c>
      <c r="K98" s="5">
        <f t="shared" si="38"/>
        <v>2.2079999999999997</v>
      </c>
      <c r="L98" s="17">
        <f t="shared" si="39"/>
        <v>-1.7320577643133994E-3</v>
      </c>
    </row>
    <row r="99" spans="1:12" x14ac:dyDescent="0.2">
      <c r="A99" s="5">
        <f t="shared" si="21"/>
        <v>20</v>
      </c>
      <c r="B99" s="5">
        <f t="shared" si="34"/>
        <v>2934305486850.5659</v>
      </c>
      <c r="C99" s="5">
        <f t="shared" si="35"/>
        <v>48905091447.50943</v>
      </c>
      <c r="D99" s="5">
        <f>求节点(其他调用!$S$7:$S$106,其他调用!$V$7:$V$106,K31)</f>
        <v>19995897383</v>
      </c>
      <c r="E99" s="7">
        <f t="shared" si="36"/>
        <v>2.4457562724385298</v>
      </c>
      <c r="F99" s="5">
        <f t="shared" si="25"/>
        <v>0.8</v>
      </c>
      <c r="G99" s="12">
        <v>2.2999999999999998</v>
      </c>
      <c r="H99" s="21">
        <f t="shared" si="26"/>
        <v>1</v>
      </c>
      <c r="I99" s="5">
        <f t="shared" si="27"/>
        <v>1.2</v>
      </c>
      <c r="J99" s="5">
        <f t="shared" si="37"/>
        <v>2.2999999999999998</v>
      </c>
      <c r="K99" s="5">
        <f t="shared" si="38"/>
        <v>2.4533333333333331</v>
      </c>
      <c r="L99" s="17">
        <f t="shared" si="39"/>
        <v>-7.5770608948033669E-3</v>
      </c>
    </row>
    <row r="100" spans="1:12" x14ac:dyDescent="0.2">
      <c r="A100" s="5">
        <f t="shared" si="21"/>
        <v>21</v>
      </c>
      <c r="B100" s="5">
        <f t="shared" si="34"/>
        <v>3025832455910.7773</v>
      </c>
      <c r="C100" s="5">
        <f t="shared" si="35"/>
        <v>50430540931.846291</v>
      </c>
      <c r="D100" s="5">
        <f>求节点(其他调用!$S$7:$S$106,其他调用!$V$7:$V$106,K32)</f>
        <v>19995897383</v>
      </c>
      <c r="E100" s="7">
        <f t="shared" si="36"/>
        <v>2.522044395702943</v>
      </c>
      <c r="F100" s="5">
        <f t="shared" si="25"/>
        <v>0.8</v>
      </c>
      <c r="G100" s="12">
        <v>2.36</v>
      </c>
      <c r="H100" s="21">
        <f t="shared" si="26"/>
        <v>1</v>
      </c>
      <c r="I100" s="5">
        <f t="shared" si="27"/>
        <v>1.2</v>
      </c>
      <c r="J100" s="5">
        <f t="shared" si="37"/>
        <v>2.36</v>
      </c>
      <c r="K100" s="5">
        <f t="shared" si="38"/>
        <v>2.5173333333333332</v>
      </c>
      <c r="L100" s="17">
        <f t="shared" si="39"/>
        <v>4.7110623696098308E-3</v>
      </c>
    </row>
    <row r="101" spans="1:12" x14ac:dyDescent="0.2">
      <c r="A101" s="5">
        <f t="shared" si="21"/>
        <v>22</v>
      </c>
      <c r="B101" s="5">
        <f t="shared" si="34"/>
        <v>3025832455910.7773</v>
      </c>
      <c r="C101" s="5">
        <f t="shared" si="35"/>
        <v>50430540931.846291</v>
      </c>
      <c r="D101" s="5">
        <f>求节点(其他调用!$S$7:$S$106,其他调用!$V$7:$V$106,K33)</f>
        <v>19995897383</v>
      </c>
      <c r="E101" s="7">
        <f t="shared" si="36"/>
        <v>2.522044395702943</v>
      </c>
      <c r="F101" s="5">
        <f t="shared" si="25"/>
        <v>0.8</v>
      </c>
      <c r="G101" s="12">
        <v>2.36</v>
      </c>
      <c r="H101" s="21">
        <f t="shared" si="26"/>
        <v>1</v>
      </c>
      <c r="I101" s="5">
        <f t="shared" si="27"/>
        <v>1.2</v>
      </c>
      <c r="J101" s="5">
        <f t="shared" si="37"/>
        <v>2.36</v>
      </c>
      <c r="K101" s="5">
        <f t="shared" si="38"/>
        <v>2.5173333333333332</v>
      </c>
      <c r="L101" s="17">
        <f t="shared" si="39"/>
        <v>4.7110623696098308E-3</v>
      </c>
    </row>
    <row r="102" spans="1:12" x14ac:dyDescent="0.2">
      <c r="A102" s="5">
        <f t="shared" si="21"/>
        <v>23</v>
      </c>
      <c r="B102" s="5">
        <f t="shared" si="34"/>
        <v>3025832455910.7773</v>
      </c>
      <c r="C102" s="5">
        <f t="shared" si="35"/>
        <v>50430540931.846291</v>
      </c>
      <c r="D102" s="5">
        <f>求节点(其他调用!$S$7:$S$106,其他调用!$V$7:$V$106,K34)</f>
        <v>19995897383</v>
      </c>
      <c r="E102" s="7">
        <f t="shared" si="36"/>
        <v>2.522044395702943</v>
      </c>
      <c r="F102" s="5">
        <f t="shared" si="25"/>
        <v>0.8</v>
      </c>
      <c r="G102" s="12">
        <v>2.36</v>
      </c>
      <c r="H102" s="21">
        <f t="shared" si="26"/>
        <v>1</v>
      </c>
      <c r="I102" s="5">
        <f t="shared" si="27"/>
        <v>1.2</v>
      </c>
      <c r="J102" s="5">
        <f t="shared" si="37"/>
        <v>2.36</v>
      </c>
      <c r="K102" s="5">
        <f t="shared" si="38"/>
        <v>2.5173333333333332</v>
      </c>
      <c r="L102" s="17">
        <f t="shared" si="39"/>
        <v>4.7110623696098308E-3</v>
      </c>
    </row>
    <row r="103" spans="1:12" x14ac:dyDescent="0.2">
      <c r="A103" s="5">
        <f t="shared" si="21"/>
        <v>24</v>
      </c>
      <c r="B103" s="5">
        <f t="shared" si="34"/>
        <v>3025832455910.7773</v>
      </c>
      <c r="C103" s="5">
        <f t="shared" si="35"/>
        <v>50430540931.846291</v>
      </c>
      <c r="D103" s="5">
        <f>求节点(其他调用!$S$7:$S$106,其他调用!$V$7:$V$106,K35)</f>
        <v>19995897383</v>
      </c>
      <c r="E103" s="7">
        <f t="shared" si="36"/>
        <v>2.522044395702943</v>
      </c>
      <c r="F103" s="5">
        <f t="shared" si="25"/>
        <v>0.8</v>
      </c>
      <c r="G103" s="12">
        <v>2.36</v>
      </c>
      <c r="H103" s="21">
        <f t="shared" si="26"/>
        <v>1</v>
      </c>
      <c r="I103" s="5">
        <f t="shared" si="27"/>
        <v>1.2</v>
      </c>
      <c r="J103" s="5">
        <f t="shared" si="37"/>
        <v>2.36</v>
      </c>
      <c r="K103" s="5">
        <f t="shared" si="38"/>
        <v>2.5173333333333332</v>
      </c>
      <c r="L103" s="17">
        <f t="shared" si="39"/>
        <v>4.7110623696098308E-3</v>
      </c>
    </row>
    <row r="104" spans="1:12" x14ac:dyDescent="0.2">
      <c r="A104" s="5">
        <f t="shared" si="21"/>
        <v>25</v>
      </c>
      <c r="B104" s="5">
        <f t="shared" si="34"/>
        <v>3025832455910.7773</v>
      </c>
      <c r="C104" s="5">
        <f t="shared" si="35"/>
        <v>50430540931.846291</v>
      </c>
      <c r="D104" s="5">
        <f>求节点(其他调用!$S$7:$S$106,其他调用!$V$7:$V$106,K36)</f>
        <v>19995897383</v>
      </c>
      <c r="E104" s="7">
        <f t="shared" si="36"/>
        <v>2.522044395702943</v>
      </c>
      <c r="F104" s="5">
        <f t="shared" si="25"/>
        <v>0.8</v>
      </c>
      <c r="G104" s="12">
        <v>2.36</v>
      </c>
      <c r="H104" s="21">
        <f t="shared" si="26"/>
        <v>1</v>
      </c>
      <c r="I104" s="5">
        <f t="shared" si="27"/>
        <v>1.2</v>
      </c>
      <c r="J104" s="5">
        <f t="shared" si="37"/>
        <v>2.36</v>
      </c>
      <c r="K104" s="5">
        <f t="shared" si="38"/>
        <v>2.5173333333333332</v>
      </c>
      <c r="L104" s="17">
        <f t="shared" si="39"/>
        <v>4.7110623696098308E-3</v>
      </c>
    </row>
    <row r="105" spans="1:12" x14ac:dyDescent="0.2">
      <c r="A105" s="5">
        <f t="shared" si="21"/>
        <v>26</v>
      </c>
      <c r="B105" s="5">
        <f t="shared" si="34"/>
        <v>3025832455910.7773</v>
      </c>
      <c r="C105" s="5">
        <f t="shared" si="35"/>
        <v>50430540931.846291</v>
      </c>
      <c r="D105" s="5">
        <f>求节点(其他调用!$S$7:$S$106,其他调用!$V$7:$V$106,K37)</f>
        <v>19995897383</v>
      </c>
      <c r="E105" s="7">
        <f t="shared" si="36"/>
        <v>2.522044395702943</v>
      </c>
      <c r="F105" s="5">
        <f t="shared" si="25"/>
        <v>0.8</v>
      </c>
      <c r="G105" s="12">
        <v>2.36</v>
      </c>
      <c r="H105" s="21">
        <f t="shared" si="26"/>
        <v>1</v>
      </c>
      <c r="I105" s="5">
        <f t="shared" si="27"/>
        <v>1.2</v>
      </c>
      <c r="J105" s="5">
        <f t="shared" si="37"/>
        <v>2.36</v>
      </c>
      <c r="K105" s="5">
        <f t="shared" si="38"/>
        <v>2.5173333333333332</v>
      </c>
      <c r="L105" s="17">
        <f t="shared" si="39"/>
        <v>4.7110623696098308E-3</v>
      </c>
    </row>
    <row r="106" spans="1:12" x14ac:dyDescent="0.2">
      <c r="A106" s="5">
        <f t="shared" si="21"/>
        <v>27</v>
      </c>
      <c r="B106" s="5">
        <f t="shared" si="34"/>
        <v>3025832455910.7773</v>
      </c>
      <c r="C106" s="5">
        <f t="shared" si="35"/>
        <v>50430540931.846291</v>
      </c>
      <c r="D106" s="5">
        <f>求节点(其他调用!$S$7:$S$106,其他调用!$V$7:$V$106,K38)</f>
        <v>19995897383</v>
      </c>
      <c r="E106" s="7">
        <f t="shared" si="36"/>
        <v>2.522044395702943</v>
      </c>
      <c r="F106" s="5">
        <f t="shared" si="25"/>
        <v>0.8</v>
      </c>
      <c r="G106" s="12">
        <v>2.36</v>
      </c>
      <c r="H106" s="21">
        <f t="shared" si="26"/>
        <v>1</v>
      </c>
      <c r="I106" s="5">
        <f t="shared" si="27"/>
        <v>1.2</v>
      </c>
      <c r="J106" s="5">
        <f t="shared" si="37"/>
        <v>2.36</v>
      </c>
      <c r="K106" s="5">
        <f t="shared" si="38"/>
        <v>2.5173333333333332</v>
      </c>
      <c r="L106" s="17">
        <f t="shared" si="39"/>
        <v>4.7110623696098308E-3</v>
      </c>
    </row>
    <row r="107" spans="1:12" x14ac:dyDescent="0.2">
      <c r="A107" s="5">
        <f t="shared" si="21"/>
        <v>28</v>
      </c>
      <c r="B107" s="5">
        <f t="shared" si="34"/>
        <v>3025832455910.7773</v>
      </c>
      <c r="C107" s="5">
        <f t="shared" si="35"/>
        <v>50430540931.846291</v>
      </c>
      <c r="D107" s="5">
        <f>求节点(其他调用!$S$7:$S$106,其他调用!$V$7:$V$106,K39)</f>
        <v>19995897383</v>
      </c>
      <c r="E107" s="7">
        <f t="shared" si="36"/>
        <v>2.522044395702943</v>
      </c>
      <c r="F107" s="5">
        <f t="shared" si="25"/>
        <v>0.8</v>
      </c>
      <c r="G107" s="12">
        <v>2.36</v>
      </c>
      <c r="H107" s="21">
        <f t="shared" si="26"/>
        <v>1</v>
      </c>
      <c r="I107" s="5">
        <f t="shared" si="27"/>
        <v>1.2</v>
      </c>
      <c r="J107" s="5">
        <f t="shared" si="37"/>
        <v>2.36</v>
      </c>
      <c r="K107" s="5">
        <f t="shared" si="38"/>
        <v>2.5173333333333332</v>
      </c>
      <c r="L107" s="17">
        <f t="shared" si="39"/>
        <v>4.7110623696098308E-3</v>
      </c>
    </row>
    <row r="108" spans="1:12" x14ac:dyDescent="0.2">
      <c r="A108" s="5">
        <f t="shared" si="21"/>
        <v>29</v>
      </c>
      <c r="B108" s="5">
        <f t="shared" ref="B108:B109" si="40">SUMPRODUCT(N40:R40,S40:W40)/SUM(S40:W40)*G40</f>
        <v>3025832455910.7773</v>
      </c>
      <c r="C108" s="5">
        <f t="shared" ref="C108:C109" si="41">B108/H40</f>
        <v>50430540931.846291</v>
      </c>
      <c r="D108" s="5">
        <f>求节点(其他调用!$S$7:$S$106,其他调用!$V$7:$V$106,K40)</f>
        <v>19995897383</v>
      </c>
      <c r="E108" s="7">
        <f t="shared" ref="E108:E109" si="42">C108/D108</f>
        <v>2.522044395702943</v>
      </c>
      <c r="F108" s="5">
        <f t="shared" si="25"/>
        <v>0.8</v>
      </c>
      <c r="G108" s="12">
        <v>2.36</v>
      </c>
      <c r="H108" s="21">
        <f t="shared" si="26"/>
        <v>1</v>
      </c>
      <c r="I108" s="5">
        <f t="shared" si="27"/>
        <v>1.2</v>
      </c>
      <c r="J108" s="5">
        <f t="shared" ref="J108:J109" si="43">G108*H108</f>
        <v>2.36</v>
      </c>
      <c r="K108" s="5">
        <f t="shared" ref="K108:K109" si="44">(1/4*F108*G108*H108*H108+1/2*I108*G108*H108+1/4*F108*J108*H108+1/2*I108*J108)/1.5</f>
        <v>2.5173333333333332</v>
      </c>
      <c r="L108" s="17">
        <f t="shared" ref="L108:L109" si="45">E108-K108</f>
        <v>4.7110623696098308E-3</v>
      </c>
    </row>
    <row r="109" spans="1:12" x14ac:dyDescent="0.2">
      <c r="A109" s="5">
        <f t="shared" si="21"/>
        <v>30</v>
      </c>
      <c r="B109" s="5">
        <f t="shared" si="40"/>
        <v>3025832455910.7773</v>
      </c>
      <c r="C109" s="5">
        <f t="shared" si="41"/>
        <v>50430540931.846291</v>
      </c>
      <c r="D109" s="5">
        <f>求节点(其他调用!$S$7:$S$106,其他调用!$V$7:$V$106,K41)</f>
        <v>19995897383</v>
      </c>
      <c r="E109" s="7">
        <f t="shared" si="42"/>
        <v>2.522044395702943</v>
      </c>
      <c r="F109" s="5">
        <f t="shared" si="25"/>
        <v>0.8</v>
      </c>
      <c r="G109" s="12">
        <v>2.36</v>
      </c>
      <c r="H109" s="21">
        <f t="shared" si="26"/>
        <v>1</v>
      </c>
      <c r="I109" s="5">
        <f t="shared" si="27"/>
        <v>1.2</v>
      </c>
      <c r="J109" s="5">
        <f t="shared" si="43"/>
        <v>2.36</v>
      </c>
      <c r="K109" s="5">
        <f t="shared" si="44"/>
        <v>2.5173333333333332</v>
      </c>
      <c r="L109" s="17">
        <f t="shared" si="45"/>
        <v>4.7110623696098308E-3</v>
      </c>
    </row>
  </sheetData>
  <mergeCells count="1">
    <mergeCell ref="B6:C6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C3:D41"/>
  <sheetViews>
    <sheetView workbookViewId="0">
      <selection activeCell="C35" sqref="C35"/>
    </sheetView>
  </sheetViews>
  <sheetFormatPr defaultRowHeight="12" x14ac:dyDescent="0.2"/>
  <cols>
    <col min="1" max="16384" width="9" style="1"/>
  </cols>
  <sheetData>
    <row r="3" spans="3:4" x14ac:dyDescent="0.2">
      <c r="C3" s="1" t="s">
        <v>14</v>
      </c>
    </row>
    <row r="5" spans="3:4" x14ac:dyDescent="0.2">
      <c r="C5" s="1" t="s">
        <v>0</v>
      </c>
      <c r="D5" s="1" t="s">
        <v>1</v>
      </c>
    </row>
    <row r="6" spans="3:4" x14ac:dyDescent="0.2">
      <c r="C6" s="1" t="s">
        <v>2</v>
      </c>
      <c r="D6" s="1" t="s">
        <v>3</v>
      </c>
    </row>
    <row r="7" spans="3:4" x14ac:dyDescent="0.2">
      <c r="C7" s="1" t="s">
        <v>4</v>
      </c>
      <c r="D7" s="1" t="s">
        <v>5</v>
      </c>
    </row>
    <row r="8" spans="3:4" x14ac:dyDescent="0.2">
      <c r="C8" s="1" t="s">
        <v>6</v>
      </c>
      <c r="D8" s="1" t="s">
        <v>7</v>
      </c>
    </row>
    <row r="9" spans="3:4" x14ac:dyDescent="0.2">
      <c r="C9" s="1" t="s">
        <v>8</v>
      </c>
      <c r="D9" s="1" t="s">
        <v>9</v>
      </c>
    </row>
    <row r="10" spans="3:4" x14ac:dyDescent="0.2">
      <c r="C10" s="1" t="s">
        <v>10</v>
      </c>
      <c r="D10" s="1" t="s">
        <v>11</v>
      </c>
    </row>
    <row r="11" spans="3:4" x14ac:dyDescent="0.2">
      <c r="C11" s="1" t="s">
        <v>12</v>
      </c>
      <c r="D11" s="1" t="s">
        <v>13</v>
      </c>
    </row>
    <row r="12" spans="3:4" x14ac:dyDescent="0.2">
      <c r="C12" s="1" t="s">
        <v>15</v>
      </c>
      <c r="D12" s="1" t="s">
        <v>16</v>
      </c>
    </row>
    <row r="14" spans="3:4" x14ac:dyDescent="0.2">
      <c r="C14" s="1" t="s">
        <v>17</v>
      </c>
    </row>
    <row r="16" spans="3:4" ht="13.5" x14ac:dyDescent="0.2">
      <c r="C16" s="1" t="s">
        <v>20</v>
      </c>
    </row>
    <row r="17" spans="3:3" ht="13.5" x14ac:dyDescent="0.2">
      <c r="C17" s="1" t="s">
        <v>21</v>
      </c>
    </row>
    <row r="19" spans="3:3" ht="13.5" x14ac:dyDescent="0.2">
      <c r="C19" s="1" t="s">
        <v>22</v>
      </c>
    </row>
    <row r="20" spans="3:3" ht="13.5" x14ac:dyDescent="0.2">
      <c r="C20" s="1" t="s">
        <v>23</v>
      </c>
    </row>
    <row r="22" spans="3:3" x14ac:dyDescent="0.2">
      <c r="C22" s="1" t="s">
        <v>18</v>
      </c>
    </row>
    <row r="24" spans="3:3" ht="13.5" x14ac:dyDescent="0.2">
      <c r="C24" s="1" t="s">
        <v>24</v>
      </c>
    </row>
    <row r="25" spans="3:3" ht="13.5" x14ac:dyDescent="0.2">
      <c r="C25" s="1" t="s">
        <v>25</v>
      </c>
    </row>
    <row r="27" spans="3:3" x14ac:dyDescent="0.2">
      <c r="C27" s="1" t="s">
        <v>19</v>
      </c>
    </row>
    <row r="29" spans="3:3" x14ac:dyDescent="0.2">
      <c r="C29" s="1" t="s">
        <v>26</v>
      </c>
    </row>
    <row r="31" spans="3:3" ht="13.5" x14ac:dyDescent="0.2">
      <c r="C31" s="1" t="s">
        <v>27</v>
      </c>
    </row>
    <row r="32" spans="3:3" ht="13.5" x14ac:dyDescent="0.2">
      <c r="C32" s="1" t="s">
        <v>28</v>
      </c>
    </row>
    <row r="34" spans="3:3" x14ac:dyDescent="0.2">
      <c r="C34" s="1" t="s">
        <v>29</v>
      </c>
    </row>
    <row r="35" spans="3:3" x14ac:dyDescent="0.2">
      <c r="C35" s="1" t="s">
        <v>30</v>
      </c>
    </row>
    <row r="37" spans="3:3" x14ac:dyDescent="0.2">
      <c r="C37" s="1" t="s">
        <v>31</v>
      </c>
    </row>
    <row r="39" spans="3:3" ht="13.5" x14ac:dyDescent="0.2">
      <c r="C39" s="1" t="s">
        <v>32</v>
      </c>
    </row>
    <row r="41" spans="3:3" x14ac:dyDescent="0.2">
      <c r="C41" s="1" t="s">
        <v>33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其他调用</vt:lpstr>
      <vt:lpstr>BOSS通用模板</vt:lpstr>
      <vt:lpstr>军团BOSS模板</vt:lpstr>
      <vt:lpstr>入侵BOSS模板</vt:lpstr>
      <vt:lpstr>BOSS战模型设计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2015-06-05T18:19:34Z</dcterms:created>
  <dcterms:modified xsi:type="dcterms:W3CDTF">2021-12-14T06:56:44Z</dcterms:modified>
</cp:coreProperties>
</file>