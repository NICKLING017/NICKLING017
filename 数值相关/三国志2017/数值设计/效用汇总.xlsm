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B69757D8-5862-4986-9994-3B53CBFF828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节奏总纲" sheetId="5" r:id="rId1"/>
    <sheet name="各个效果比例关系" sheetId="1" r:id="rId2"/>
    <sheet name="效果" sheetId="2" r:id="rId3"/>
    <sheet name="buff规划" sheetId="6" r:id="rId4"/>
    <sheet name="辅助计算" sheetId="4" r:id="rId5"/>
    <sheet name="城建效果" sheetId="3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7" i="2" l="1"/>
  <c r="D52" i="2"/>
  <c r="D54" i="2" l="1"/>
  <c r="D50" i="2"/>
  <c r="D48" i="2"/>
  <c r="D42" i="6" l="1"/>
  <c r="D19" i="6" l="1"/>
  <c r="D17" i="6" l="1"/>
  <c r="D39" i="6" l="1"/>
  <c r="D59" i="6"/>
  <c r="D65" i="6"/>
  <c r="D64" i="6"/>
  <c r="D63" i="6"/>
  <c r="D62" i="6"/>
  <c r="G13" i="6" l="1"/>
  <c r="D38" i="6" l="1"/>
  <c r="D36" i="6"/>
  <c r="D34" i="6" l="1"/>
  <c r="D32" i="6"/>
  <c r="D33" i="6" s="1"/>
  <c r="D29" i="6"/>
  <c r="D20" i="6"/>
  <c r="G8" i="6" l="1"/>
  <c r="G10" i="6"/>
  <c r="G34" i="6" s="1"/>
  <c r="G11" i="6"/>
  <c r="G32" i="6" s="1"/>
  <c r="G33" i="6" s="1"/>
  <c r="G12" i="6"/>
  <c r="G39" i="6" l="1"/>
  <c r="G9" i="6"/>
  <c r="G36" i="6" s="1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3" i="5"/>
  <c r="AX363" i="5" l="1"/>
  <c r="AW363" i="5"/>
  <c r="AV363" i="5"/>
  <c r="AU363" i="5"/>
  <c r="AT363" i="5"/>
  <c r="AQ363" i="5"/>
  <c r="AP363" i="5"/>
  <c r="AO363" i="5"/>
  <c r="AN363" i="5"/>
  <c r="AM363" i="5"/>
  <c r="AX362" i="5"/>
  <c r="AW362" i="5"/>
  <c r="AV362" i="5"/>
  <c r="AU362" i="5"/>
  <c r="AT362" i="5"/>
  <c r="AQ362" i="5"/>
  <c r="AP362" i="5"/>
  <c r="AO362" i="5"/>
  <c r="AN362" i="5"/>
  <c r="AM362" i="5"/>
  <c r="AX361" i="5"/>
  <c r="AW361" i="5"/>
  <c r="AV361" i="5"/>
  <c r="AU361" i="5"/>
  <c r="AT361" i="5"/>
  <c r="AQ361" i="5"/>
  <c r="AP361" i="5"/>
  <c r="AO361" i="5"/>
  <c r="AN361" i="5"/>
  <c r="AM361" i="5"/>
  <c r="AX360" i="5"/>
  <c r="AW360" i="5"/>
  <c r="AV360" i="5"/>
  <c r="AU360" i="5"/>
  <c r="AT360" i="5"/>
  <c r="AQ360" i="5"/>
  <c r="AP360" i="5"/>
  <c r="AO360" i="5"/>
  <c r="AN360" i="5"/>
  <c r="AM360" i="5"/>
  <c r="AX359" i="5"/>
  <c r="AW359" i="5"/>
  <c r="AV359" i="5"/>
  <c r="AU359" i="5"/>
  <c r="AT359" i="5"/>
  <c r="AQ359" i="5"/>
  <c r="AP359" i="5"/>
  <c r="AO359" i="5"/>
  <c r="AN359" i="5"/>
  <c r="AM359" i="5"/>
  <c r="AX358" i="5"/>
  <c r="AW358" i="5"/>
  <c r="AV358" i="5"/>
  <c r="AU358" i="5"/>
  <c r="AT358" i="5"/>
  <c r="AQ358" i="5"/>
  <c r="AP358" i="5"/>
  <c r="AO358" i="5"/>
  <c r="AN358" i="5"/>
  <c r="AM358" i="5"/>
  <c r="AX357" i="5"/>
  <c r="AW357" i="5"/>
  <c r="AV357" i="5"/>
  <c r="AU357" i="5"/>
  <c r="AT357" i="5"/>
  <c r="AQ357" i="5"/>
  <c r="AP357" i="5"/>
  <c r="AO357" i="5"/>
  <c r="AN357" i="5"/>
  <c r="AM357" i="5"/>
  <c r="AX356" i="5"/>
  <c r="AW356" i="5"/>
  <c r="AV356" i="5"/>
  <c r="AU356" i="5"/>
  <c r="AT356" i="5"/>
  <c r="AQ356" i="5"/>
  <c r="AP356" i="5"/>
  <c r="AO356" i="5"/>
  <c r="AN356" i="5"/>
  <c r="AM356" i="5"/>
  <c r="AX355" i="5"/>
  <c r="AW355" i="5"/>
  <c r="AV355" i="5"/>
  <c r="AU355" i="5"/>
  <c r="AT355" i="5"/>
  <c r="AQ355" i="5"/>
  <c r="AP355" i="5"/>
  <c r="AO355" i="5"/>
  <c r="AN355" i="5"/>
  <c r="AM355" i="5"/>
  <c r="AX354" i="5"/>
  <c r="AW354" i="5"/>
  <c r="AV354" i="5"/>
  <c r="AU354" i="5"/>
  <c r="AT354" i="5"/>
  <c r="AQ354" i="5"/>
  <c r="AP354" i="5"/>
  <c r="AO354" i="5"/>
  <c r="AN354" i="5"/>
  <c r="AM354" i="5"/>
  <c r="AX353" i="5"/>
  <c r="AW353" i="5"/>
  <c r="AV353" i="5"/>
  <c r="AU353" i="5"/>
  <c r="AT353" i="5"/>
  <c r="AQ353" i="5"/>
  <c r="AP353" i="5"/>
  <c r="AO353" i="5"/>
  <c r="AN353" i="5"/>
  <c r="AM353" i="5"/>
  <c r="AX352" i="5"/>
  <c r="AW352" i="5"/>
  <c r="AV352" i="5"/>
  <c r="AU352" i="5"/>
  <c r="AT352" i="5"/>
  <c r="AQ352" i="5"/>
  <c r="AP352" i="5"/>
  <c r="AO352" i="5"/>
  <c r="AN352" i="5"/>
  <c r="AM352" i="5"/>
  <c r="AX351" i="5"/>
  <c r="AW351" i="5"/>
  <c r="AV351" i="5"/>
  <c r="AU351" i="5"/>
  <c r="AT351" i="5"/>
  <c r="AQ351" i="5"/>
  <c r="AP351" i="5"/>
  <c r="AO351" i="5"/>
  <c r="AN351" i="5"/>
  <c r="AM351" i="5"/>
  <c r="AX350" i="5"/>
  <c r="AW350" i="5"/>
  <c r="AV350" i="5"/>
  <c r="AU350" i="5"/>
  <c r="AT350" i="5"/>
  <c r="AQ350" i="5"/>
  <c r="AP350" i="5"/>
  <c r="AO350" i="5"/>
  <c r="AN350" i="5"/>
  <c r="AM350" i="5"/>
  <c r="AX349" i="5"/>
  <c r="AW349" i="5"/>
  <c r="AV349" i="5"/>
  <c r="AU349" i="5"/>
  <c r="AT349" i="5"/>
  <c r="AQ349" i="5"/>
  <c r="AP349" i="5"/>
  <c r="AO349" i="5"/>
  <c r="AN349" i="5"/>
  <c r="AM349" i="5"/>
  <c r="AX348" i="5"/>
  <c r="AW348" i="5"/>
  <c r="AV348" i="5"/>
  <c r="AU348" i="5"/>
  <c r="AT348" i="5"/>
  <c r="AQ348" i="5"/>
  <c r="AP348" i="5"/>
  <c r="AO348" i="5"/>
  <c r="AN348" i="5"/>
  <c r="AM348" i="5"/>
  <c r="AX347" i="5"/>
  <c r="AW347" i="5"/>
  <c r="AV347" i="5"/>
  <c r="AU347" i="5"/>
  <c r="AT347" i="5"/>
  <c r="AQ347" i="5"/>
  <c r="AP347" i="5"/>
  <c r="AO347" i="5"/>
  <c r="AN347" i="5"/>
  <c r="AM347" i="5"/>
  <c r="AX346" i="5"/>
  <c r="AW346" i="5"/>
  <c r="AV346" i="5"/>
  <c r="AU346" i="5"/>
  <c r="AT346" i="5"/>
  <c r="AQ346" i="5"/>
  <c r="AP346" i="5"/>
  <c r="AO346" i="5"/>
  <c r="AN346" i="5"/>
  <c r="AM346" i="5"/>
  <c r="AX345" i="5"/>
  <c r="AW345" i="5"/>
  <c r="AV345" i="5"/>
  <c r="AU345" i="5"/>
  <c r="AT345" i="5"/>
  <c r="AQ345" i="5"/>
  <c r="AP345" i="5"/>
  <c r="AO345" i="5"/>
  <c r="AN345" i="5"/>
  <c r="AM345" i="5"/>
  <c r="AX344" i="5"/>
  <c r="AW344" i="5"/>
  <c r="AV344" i="5"/>
  <c r="AU344" i="5"/>
  <c r="AT344" i="5"/>
  <c r="AQ344" i="5"/>
  <c r="AP344" i="5"/>
  <c r="AO344" i="5"/>
  <c r="AN344" i="5"/>
  <c r="AM344" i="5"/>
  <c r="AX343" i="5"/>
  <c r="AW343" i="5"/>
  <c r="AV343" i="5"/>
  <c r="AU343" i="5"/>
  <c r="AT343" i="5"/>
  <c r="AQ343" i="5"/>
  <c r="AP343" i="5"/>
  <c r="AO343" i="5"/>
  <c r="AN343" i="5"/>
  <c r="AM343" i="5"/>
  <c r="AX342" i="5"/>
  <c r="AW342" i="5"/>
  <c r="AV342" i="5"/>
  <c r="AU342" i="5"/>
  <c r="AT342" i="5"/>
  <c r="AQ342" i="5"/>
  <c r="AP342" i="5"/>
  <c r="AO342" i="5"/>
  <c r="AN342" i="5"/>
  <c r="AM342" i="5"/>
  <c r="AX341" i="5"/>
  <c r="AW341" i="5"/>
  <c r="AV341" i="5"/>
  <c r="AU341" i="5"/>
  <c r="AT341" i="5"/>
  <c r="AQ341" i="5"/>
  <c r="AP341" i="5"/>
  <c r="AO341" i="5"/>
  <c r="AN341" i="5"/>
  <c r="AM341" i="5"/>
  <c r="AX340" i="5"/>
  <c r="AW340" i="5"/>
  <c r="AV340" i="5"/>
  <c r="AU340" i="5"/>
  <c r="AT340" i="5"/>
  <c r="AQ340" i="5"/>
  <c r="AP340" i="5"/>
  <c r="AO340" i="5"/>
  <c r="AN340" i="5"/>
  <c r="AM340" i="5"/>
  <c r="AX339" i="5"/>
  <c r="AW339" i="5"/>
  <c r="AV339" i="5"/>
  <c r="AU339" i="5"/>
  <c r="AT339" i="5"/>
  <c r="AQ339" i="5"/>
  <c r="AP339" i="5"/>
  <c r="AO339" i="5"/>
  <c r="AN339" i="5"/>
  <c r="AM339" i="5"/>
  <c r="AX338" i="5"/>
  <c r="AW338" i="5"/>
  <c r="AV338" i="5"/>
  <c r="AU338" i="5"/>
  <c r="AT338" i="5"/>
  <c r="AQ338" i="5"/>
  <c r="AP338" i="5"/>
  <c r="AO338" i="5"/>
  <c r="AN338" i="5"/>
  <c r="AM338" i="5"/>
  <c r="AX337" i="5"/>
  <c r="AW337" i="5"/>
  <c r="AV337" i="5"/>
  <c r="AU337" i="5"/>
  <c r="AT337" i="5"/>
  <c r="AQ337" i="5"/>
  <c r="AP337" i="5"/>
  <c r="AO337" i="5"/>
  <c r="AN337" i="5"/>
  <c r="AM337" i="5"/>
  <c r="AX336" i="5"/>
  <c r="AW336" i="5"/>
  <c r="AV336" i="5"/>
  <c r="AU336" i="5"/>
  <c r="AT336" i="5"/>
  <c r="AQ336" i="5"/>
  <c r="AP336" i="5"/>
  <c r="AO336" i="5"/>
  <c r="AN336" i="5"/>
  <c r="AM336" i="5"/>
  <c r="AX335" i="5"/>
  <c r="AW335" i="5"/>
  <c r="AV335" i="5"/>
  <c r="AU335" i="5"/>
  <c r="AT335" i="5"/>
  <c r="AQ335" i="5"/>
  <c r="AP335" i="5"/>
  <c r="AO335" i="5"/>
  <c r="AN335" i="5"/>
  <c r="AM335" i="5"/>
  <c r="AX334" i="5"/>
  <c r="AW334" i="5"/>
  <c r="AV334" i="5"/>
  <c r="AU334" i="5"/>
  <c r="AT334" i="5"/>
  <c r="AQ334" i="5"/>
  <c r="AP334" i="5"/>
  <c r="AO334" i="5"/>
  <c r="AN334" i="5"/>
  <c r="AM334" i="5"/>
  <c r="AX333" i="5"/>
  <c r="AW333" i="5"/>
  <c r="AV333" i="5"/>
  <c r="AU333" i="5"/>
  <c r="AT333" i="5"/>
  <c r="AQ333" i="5"/>
  <c r="AP333" i="5"/>
  <c r="AO333" i="5"/>
  <c r="AN333" i="5"/>
  <c r="AM333" i="5"/>
  <c r="AX332" i="5"/>
  <c r="AW332" i="5"/>
  <c r="AV332" i="5"/>
  <c r="AU332" i="5"/>
  <c r="AT332" i="5"/>
  <c r="AQ332" i="5"/>
  <c r="AP332" i="5"/>
  <c r="AO332" i="5"/>
  <c r="AN332" i="5"/>
  <c r="AM332" i="5"/>
  <c r="AX331" i="5"/>
  <c r="AW331" i="5"/>
  <c r="AV331" i="5"/>
  <c r="AU331" i="5"/>
  <c r="AT331" i="5"/>
  <c r="AQ331" i="5"/>
  <c r="AP331" i="5"/>
  <c r="AO331" i="5"/>
  <c r="AN331" i="5"/>
  <c r="AM331" i="5"/>
  <c r="AX330" i="5"/>
  <c r="AW330" i="5"/>
  <c r="AV330" i="5"/>
  <c r="AU330" i="5"/>
  <c r="AT330" i="5"/>
  <c r="AQ330" i="5"/>
  <c r="AP330" i="5"/>
  <c r="AO330" i="5"/>
  <c r="AN330" i="5"/>
  <c r="AM330" i="5"/>
  <c r="AX329" i="5"/>
  <c r="AW329" i="5"/>
  <c r="AV329" i="5"/>
  <c r="AU329" i="5"/>
  <c r="AT329" i="5"/>
  <c r="AQ329" i="5"/>
  <c r="AP329" i="5"/>
  <c r="AO329" i="5"/>
  <c r="AN329" i="5"/>
  <c r="AM329" i="5"/>
  <c r="AX328" i="5"/>
  <c r="AW328" i="5"/>
  <c r="AV328" i="5"/>
  <c r="AU328" i="5"/>
  <c r="AT328" i="5"/>
  <c r="AQ328" i="5"/>
  <c r="AP328" i="5"/>
  <c r="AO328" i="5"/>
  <c r="AN328" i="5"/>
  <c r="AM328" i="5"/>
  <c r="AX327" i="5"/>
  <c r="AW327" i="5"/>
  <c r="AV327" i="5"/>
  <c r="AU327" i="5"/>
  <c r="AT327" i="5"/>
  <c r="AQ327" i="5"/>
  <c r="AP327" i="5"/>
  <c r="AO327" i="5"/>
  <c r="AN327" i="5"/>
  <c r="AM327" i="5"/>
  <c r="AX326" i="5"/>
  <c r="AW326" i="5"/>
  <c r="AV326" i="5"/>
  <c r="AU326" i="5"/>
  <c r="AT326" i="5"/>
  <c r="AQ326" i="5"/>
  <c r="AP326" i="5"/>
  <c r="AO326" i="5"/>
  <c r="AN326" i="5"/>
  <c r="AM326" i="5"/>
  <c r="AX325" i="5"/>
  <c r="AW325" i="5"/>
  <c r="AV325" i="5"/>
  <c r="AU325" i="5"/>
  <c r="AT325" i="5"/>
  <c r="AQ325" i="5"/>
  <c r="AP325" i="5"/>
  <c r="AO325" i="5"/>
  <c r="AN325" i="5"/>
  <c r="AM325" i="5"/>
  <c r="AX324" i="5"/>
  <c r="AW324" i="5"/>
  <c r="AV324" i="5"/>
  <c r="AU324" i="5"/>
  <c r="AT324" i="5"/>
  <c r="AQ324" i="5"/>
  <c r="AP324" i="5"/>
  <c r="AO324" i="5"/>
  <c r="AN324" i="5"/>
  <c r="AM324" i="5"/>
  <c r="AX323" i="5"/>
  <c r="AW323" i="5"/>
  <c r="AV323" i="5"/>
  <c r="AU323" i="5"/>
  <c r="AT323" i="5"/>
  <c r="AQ323" i="5"/>
  <c r="AP323" i="5"/>
  <c r="AO323" i="5"/>
  <c r="AN323" i="5"/>
  <c r="AM323" i="5"/>
  <c r="AX322" i="5"/>
  <c r="AW322" i="5"/>
  <c r="AV322" i="5"/>
  <c r="AU322" i="5"/>
  <c r="AT322" i="5"/>
  <c r="AQ322" i="5"/>
  <c r="AP322" i="5"/>
  <c r="AO322" i="5"/>
  <c r="AN322" i="5"/>
  <c r="AM322" i="5"/>
  <c r="AX321" i="5"/>
  <c r="AW321" i="5"/>
  <c r="AV321" i="5"/>
  <c r="AU321" i="5"/>
  <c r="AT321" i="5"/>
  <c r="AQ321" i="5"/>
  <c r="AP321" i="5"/>
  <c r="AO321" i="5"/>
  <c r="AN321" i="5"/>
  <c r="AM321" i="5"/>
  <c r="AX320" i="5"/>
  <c r="AW320" i="5"/>
  <c r="AV320" i="5"/>
  <c r="AU320" i="5"/>
  <c r="AT320" i="5"/>
  <c r="AQ320" i="5"/>
  <c r="AP320" i="5"/>
  <c r="AO320" i="5"/>
  <c r="AN320" i="5"/>
  <c r="AM320" i="5"/>
  <c r="AX319" i="5"/>
  <c r="AW319" i="5"/>
  <c r="AV319" i="5"/>
  <c r="AU319" i="5"/>
  <c r="AT319" i="5"/>
  <c r="AQ319" i="5"/>
  <c r="AP319" i="5"/>
  <c r="AO319" i="5"/>
  <c r="AN319" i="5"/>
  <c r="AM319" i="5"/>
  <c r="AX318" i="5"/>
  <c r="AW318" i="5"/>
  <c r="AV318" i="5"/>
  <c r="AU318" i="5"/>
  <c r="AT318" i="5"/>
  <c r="AQ318" i="5"/>
  <c r="AP318" i="5"/>
  <c r="AO318" i="5"/>
  <c r="AN318" i="5"/>
  <c r="AM318" i="5"/>
  <c r="AX317" i="5"/>
  <c r="AW317" i="5"/>
  <c r="AV317" i="5"/>
  <c r="AU317" i="5"/>
  <c r="AT317" i="5"/>
  <c r="AQ317" i="5"/>
  <c r="AP317" i="5"/>
  <c r="AO317" i="5"/>
  <c r="AN317" i="5"/>
  <c r="AM317" i="5"/>
  <c r="AX316" i="5"/>
  <c r="AW316" i="5"/>
  <c r="AV316" i="5"/>
  <c r="AU316" i="5"/>
  <c r="AT316" i="5"/>
  <c r="AQ316" i="5"/>
  <c r="AP316" i="5"/>
  <c r="AO316" i="5"/>
  <c r="AN316" i="5"/>
  <c r="AM316" i="5"/>
  <c r="AX315" i="5"/>
  <c r="AW315" i="5"/>
  <c r="AV315" i="5"/>
  <c r="AU315" i="5"/>
  <c r="AT315" i="5"/>
  <c r="AQ315" i="5"/>
  <c r="AP315" i="5"/>
  <c r="AO315" i="5"/>
  <c r="AN315" i="5"/>
  <c r="AM315" i="5"/>
  <c r="AX314" i="5"/>
  <c r="AW314" i="5"/>
  <c r="AV314" i="5"/>
  <c r="AU314" i="5"/>
  <c r="AT314" i="5"/>
  <c r="AQ314" i="5"/>
  <c r="AP314" i="5"/>
  <c r="AO314" i="5"/>
  <c r="AN314" i="5"/>
  <c r="AM314" i="5"/>
  <c r="AX313" i="5"/>
  <c r="AW313" i="5"/>
  <c r="AV313" i="5"/>
  <c r="AU313" i="5"/>
  <c r="AT313" i="5"/>
  <c r="AQ313" i="5"/>
  <c r="AP313" i="5"/>
  <c r="AO313" i="5"/>
  <c r="AN313" i="5"/>
  <c r="AM313" i="5"/>
  <c r="AX312" i="5"/>
  <c r="AW312" i="5"/>
  <c r="AV312" i="5"/>
  <c r="AU312" i="5"/>
  <c r="AT312" i="5"/>
  <c r="AQ312" i="5"/>
  <c r="AP312" i="5"/>
  <c r="AO312" i="5"/>
  <c r="AN312" i="5"/>
  <c r="AM312" i="5"/>
  <c r="AX311" i="5"/>
  <c r="AW311" i="5"/>
  <c r="AV311" i="5"/>
  <c r="AU311" i="5"/>
  <c r="AT311" i="5"/>
  <c r="AQ311" i="5"/>
  <c r="AP311" i="5"/>
  <c r="AO311" i="5"/>
  <c r="AN311" i="5"/>
  <c r="AM311" i="5"/>
  <c r="AX310" i="5"/>
  <c r="AW310" i="5"/>
  <c r="AV310" i="5"/>
  <c r="AU310" i="5"/>
  <c r="AT310" i="5"/>
  <c r="AQ310" i="5"/>
  <c r="AP310" i="5"/>
  <c r="AO310" i="5"/>
  <c r="AN310" i="5"/>
  <c r="AM310" i="5"/>
  <c r="AX309" i="5"/>
  <c r="AW309" i="5"/>
  <c r="AV309" i="5"/>
  <c r="AU309" i="5"/>
  <c r="AT309" i="5"/>
  <c r="AQ309" i="5"/>
  <c r="AP309" i="5"/>
  <c r="AO309" i="5"/>
  <c r="AN309" i="5"/>
  <c r="AM309" i="5"/>
  <c r="AX308" i="5"/>
  <c r="AW308" i="5"/>
  <c r="AV308" i="5"/>
  <c r="AU308" i="5"/>
  <c r="AT308" i="5"/>
  <c r="AQ308" i="5"/>
  <c r="AP308" i="5"/>
  <c r="AO308" i="5"/>
  <c r="AN308" i="5"/>
  <c r="AM308" i="5"/>
  <c r="AX307" i="5"/>
  <c r="AW307" i="5"/>
  <c r="AV307" i="5"/>
  <c r="AU307" i="5"/>
  <c r="AT307" i="5"/>
  <c r="AQ307" i="5"/>
  <c r="AP307" i="5"/>
  <c r="AO307" i="5"/>
  <c r="AN307" i="5"/>
  <c r="AM307" i="5"/>
  <c r="AX306" i="5"/>
  <c r="AW306" i="5"/>
  <c r="AV306" i="5"/>
  <c r="AU306" i="5"/>
  <c r="AT306" i="5"/>
  <c r="AQ306" i="5"/>
  <c r="AP306" i="5"/>
  <c r="AO306" i="5"/>
  <c r="AN306" i="5"/>
  <c r="AM306" i="5"/>
  <c r="AX305" i="5"/>
  <c r="AW305" i="5"/>
  <c r="AV305" i="5"/>
  <c r="AU305" i="5"/>
  <c r="AT305" i="5"/>
  <c r="AQ305" i="5"/>
  <c r="AP305" i="5"/>
  <c r="AO305" i="5"/>
  <c r="AN305" i="5"/>
  <c r="AM305" i="5"/>
  <c r="AX304" i="5"/>
  <c r="AW304" i="5"/>
  <c r="AV304" i="5"/>
  <c r="AU304" i="5"/>
  <c r="AT304" i="5"/>
  <c r="AQ304" i="5"/>
  <c r="AP304" i="5"/>
  <c r="AO304" i="5"/>
  <c r="AN304" i="5"/>
  <c r="AM304" i="5"/>
  <c r="AX303" i="5"/>
  <c r="AW303" i="5"/>
  <c r="AV303" i="5"/>
  <c r="AU303" i="5"/>
  <c r="AT303" i="5"/>
  <c r="AQ303" i="5"/>
  <c r="AP303" i="5"/>
  <c r="AO303" i="5"/>
  <c r="AN303" i="5"/>
  <c r="AM303" i="5"/>
  <c r="AX302" i="5"/>
  <c r="AW302" i="5"/>
  <c r="AV302" i="5"/>
  <c r="AU302" i="5"/>
  <c r="AT302" i="5"/>
  <c r="AQ302" i="5"/>
  <c r="AP302" i="5"/>
  <c r="AO302" i="5"/>
  <c r="AN302" i="5"/>
  <c r="AM302" i="5"/>
  <c r="AX301" i="5"/>
  <c r="AW301" i="5"/>
  <c r="AV301" i="5"/>
  <c r="AU301" i="5"/>
  <c r="AT301" i="5"/>
  <c r="AQ301" i="5"/>
  <c r="AP301" i="5"/>
  <c r="AO301" i="5"/>
  <c r="AN301" i="5"/>
  <c r="AM301" i="5"/>
  <c r="AX300" i="5"/>
  <c r="AW300" i="5"/>
  <c r="AV300" i="5"/>
  <c r="AU300" i="5"/>
  <c r="AT300" i="5"/>
  <c r="AQ300" i="5"/>
  <c r="AP300" i="5"/>
  <c r="AO300" i="5"/>
  <c r="AN300" i="5"/>
  <c r="AM300" i="5"/>
  <c r="AX299" i="5"/>
  <c r="AW299" i="5"/>
  <c r="AV299" i="5"/>
  <c r="AU299" i="5"/>
  <c r="AT299" i="5"/>
  <c r="AQ299" i="5"/>
  <c r="AP299" i="5"/>
  <c r="AO299" i="5"/>
  <c r="AN299" i="5"/>
  <c r="AM299" i="5"/>
  <c r="AX298" i="5"/>
  <c r="AW298" i="5"/>
  <c r="AV298" i="5"/>
  <c r="AU298" i="5"/>
  <c r="AT298" i="5"/>
  <c r="AQ298" i="5"/>
  <c r="AP298" i="5"/>
  <c r="AO298" i="5"/>
  <c r="AN298" i="5"/>
  <c r="AM298" i="5"/>
  <c r="AX297" i="5"/>
  <c r="AW297" i="5"/>
  <c r="AV297" i="5"/>
  <c r="AU297" i="5"/>
  <c r="AT297" i="5"/>
  <c r="AQ297" i="5"/>
  <c r="AP297" i="5"/>
  <c r="AO297" i="5"/>
  <c r="AN297" i="5"/>
  <c r="AM297" i="5"/>
  <c r="AX296" i="5"/>
  <c r="AW296" i="5"/>
  <c r="AV296" i="5"/>
  <c r="AU296" i="5"/>
  <c r="AT296" i="5"/>
  <c r="AQ296" i="5"/>
  <c r="AP296" i="5"/>
  <c r="AO296" i="5"/>
  <c r="AN296" i="5"/>
  <c r="AM296" i="5"/>
  <c r="AX295" i="5"/>
  <c r="AW295" i="5"/>
  <c r="AV295" i="5"/>
  <c r="AU295" i="5"/>
  <c r="AT295" i="5"/>
  <c r="AQ295" i="5"/>
  <c r="AP295" i="5"/>
  <c r="AO295" i="5"/>
  <c r="AN295" i="5"/>
  <c r="AM295" i="5"/>
  <c r="AX294" i="5"/>
  <c r="AW294" i="5"/>
  <c r="AV294" i="5"/>
  <c r="AU294" i="5"/>
  <c r="AT294" i="5"/>
  <c r="AQ294" i="5"/>
  <c r="AP294" i="5"/>
  <c r="AO294" i="5"/>
  <c r="AN294" i="5"/>
  <c r="AM294" i="5"/>
  <c r="AX293" i="5"/>
  <c r="AW293" i="5"/>
  <c r="AV293" i="5"/>
  <c r="AU293" i="5"/>
  <c r="AT293" i="5"/>
  <c r="AQ293" i="5"/>
  <c r="AP293" i="5"/>
  <c r="AO293" i="5"/>
  <c r="AN293" i="5"/>
  <c r="AM293" i="5"/>
  <c r="AX292" i="5"/>
  <c r="AW292" i="5"/>
  <c r="AV292" i="5"/>
  <c r="AU292" i="5"/>
  <c r="AT292" i="5"/>
  <c r="AQ292" i="5"/>
  <c r="AP292" i="5"/>
  <c r="AO292" i="5"/>
  <c r="AN292" i="5"/>
  <c r="AM292" i="5"/>
  <c r="AX291" i="5"/>
  <c r="AW291" i="5"/>
  <c r="AV291" i="5"/>
  <c r="AU291" i="5"/>
  <c r="AT291" i="5"/>
  <c r="AQ291" i="5"/>
  <c r="AP291" i="5"/>
  <c r="AO291" i="5"/>
  <c r="AN291" i="5"/>
  <c r="AM291" i="5"/>
  <c r="AX290" i="5"/>
  <c r="AW290" i="5"/>
  <c r="AV290" i="5"/>
  <c r="AU290" i="5"/>
  <c r="AT290" i="5"/>
  <c r="AQ290" i="5"/>
  <c r="AP290" i="5"/>
  <c r="AO290" i="5"/>
  <c r="AN290" i="5"/>
  <c r="AM290" i="5"/>
  <c r="AX289" i="5"/>
  <c r="AW289" i="5"/>
  <c r="AV289" i="5"/>
  <c r="AU289" i="5"/>
  <c r="AT289" i="5"/>
  <c r="AQ289" i="5"/>
  <c r="AP289" i="5"/>
  <c r="AO289" i="5"/>
  <c r="AN289" i="5"/>
  <c r="AM289" i="5"/>
  <c r="AX288" i="5"/>
  <c r="AW288" i="5"/>
  <c r="AV288" i="5"/>
  <c r="AU288" i="5"/>
  <c r="AT288" i="5"/>
  <c r="AQ288" i="5"/>
  <c r="AP288" i="5"/>
  <c r="AO288" i="5"/>
  <c r="AN288" i="5"/>
  <c r="AM288" i="5"/>
  <c r="AX287" i="5"/>
  <c r="AW287" i="5"/>
  <c r="AV287" i="5"/>
  <c r="AU287" i="5"/>
  <c r="AT287" i="5"/>
  <c r="AQ287" i="5"/>
  <c r="AP287" i="5"/>
  <c r="AO287" i="5"/>
  <c r="AN287" i="5"/>
  <c r="AM287" i="5"/>
  <c r="AX286" i="5"/>
  <c r="AW286" i="5"/>
  <c r="AV286" i="5"/>
  <c r="AU286" i="5"/>
  <c r="AT286" i="5"/>
  <c r="AQ286" i="5"/>
  <c r="AP286" i="5"/>
  <c r="AO286" i="5"/>
  <c r="AN286" i="5"/>
  <c r="AM286" i="5"/>
  <c r="AX285" i="5"/>
  <c r="AW285" i="5"/>
  <c r="AV285" i="5"/>
  <c r="AU285" i="5"/>
  <c r="AT285" i="5"/>
  <c r="AQ285" i="5"/>
  <c r="AP285" i="5"/>
  <c r="AO285" i="5"/>
  <c r="AN285" i="5"/>
  <c r="AM285" i="5"/>
  <c r="AX284" i="5"/>
  <c r="AW284" i="5"/>
  <c r="AV284" i="5"/>
  <c r="AU284" i="5"/>
  <c r="AT284" i="5"/>
  <c r="AQ284" i="5"/>
  <c r="AP284" i="5"/>
  <c r="AO284" i="5"/>
  <c r="AN284" i="5"/>
  <c r="AM284" i="5"/>
  <c r="AX283" i="5"/>
  <c r="AW283" i="5"/>
  <c r="AV283" i="5"/>
  <c r="AU283" i="5"/>
  <c r="AT283" i="5"/>
  <c r="AQ283" i="5"/>
  <c r="AP283" i="5"/>
  <c r="AO283" i="5"/>
  <c r="AN283" i="5"/>
  <c r="AM283" i="5"/>
  <c r="AX282" i="5"/>
  <c r="AW282" i="5"/>
  <c r="AV282" i="5"/>
  <c r="AU282" i="5"/>
  <c r="AT282" i="5"/>
  <c r="AQ282" i="5"/>
  <c r="AP282" i="5"/>
  <c r="AO282" i="5"/>
  <c r="AN282" i="5"/>
  <c r="AM282" i="5"/>
  <c r="AX281" i="5"/>
  <c r="AW281" i="5"/>
  <c r="AV281" i="5"/>
  <c r="AU281" i="5"/>
  <c r="AT281" i="5"/>
  <c r="AQ281" i="5"/>
  <c r="AP281" i="5"/>
  <c r="AO281" i="5"/>
  <c r="AN281" i="5"/>
  <c r="AM281" i="5"/>
  <c r="AX280" i="5"/>
  <c r="AW280" i="5"/>
  <c r="AV280" i="5"/>
  <c r="AU280" i="5"/>
  <c r="AT280" i="5"/>
  <c r="AQ280" i="5"/>
  <c r="AP280" i="5"/>
  <c r="AO280" i="5"/>
  <c r="AN280" i="5"/>
  <c r="AM280" i="5"/>
  <c r="AX279" i="5"/>
  <c r="AW279" i="5"/>
  <c r="AV279" i="5"/>
  <c r="AU279" i="5"/>
  <c r="AT279" i="5"/>
  <c r="AQ279" i="5"/>
  <c r="AP279" i="5"/>
  <c r="AO279" i="5"/>
  <c r="AN279" i="5"/>
  <c r="AM279" i="5"/>
  <c r="AX278" i="5"/>
  <c r="AW278" i="5"/>
  <c r="AV278" i="5"/>
  <c r="AU278" i="5"/>
  <c r="AT278" i="5"/>
  <c r="AQ278" i="5"/>
  <c r="AP278" i="5"/>
  <c r="AO278" i="5"/>
  <c r="AN278" i="5"/>
  <c r="AM278" i="5"/>
  <c r="AX277" i="5"/>
  <c r="AW277" i="5"/>
  <c r="AV277" i="5"/>
  <c r="AU277" i="5"/>
  <c r="AT277" i="5"/>
  <c r="AQ277" i="5"/>
  <c r="AP277" i="5"/>
  <c r="AO277" i="5"/>
  <c r="AN277" i="5"/>
  <c r="AM277" i="5"/>
  <c r="AX276" i="5"/>
  <c r="AW276" i="5"/>
  <c r="AV276" i="5"/>
  <c r="AU276" i="5"/>
  <c r="AT276" i="5"/>
  <c r="AQ276" i="5"/>
  <c r="AP276" i="5"/>
  <c r="AO276" i="5"/>
  <c r="AN276" i="5"/>
  <c r="AM276" i="5"/>
  <c r="AX275" i="5"/>
  <c r="AW275" i="5"/>
  <c r="AV275" i="5"/>
  <c r="AU275" i="5"/>
  <c r="AT275" i="5"/>
  <c r="AQ275" i="5"/>
  <c r="AP275" i="5"/>
  <c r="AO275" i="5"/>
  <c r="AN275" i="5"/>
  <c r="AM275" i="5"/>
  <c r="AX274" i="5"/>
  <c r="AW274" i="5"/>
  <c r="AV274" i="5"/>
  <c r="AU274" i="5"/>
  <c r="AT274" i="5"/>
  <c r="AQ274" i="5"/>
  <c r="AP274" i="5"/>
  <c r="AO274" i="5"/>
  <c r="AN274" i="5"/>
  <c r="AM274" i="5"/>
  <c r="AX273" i="5"/>
  <c r="AW273" i="5"/>
  <c r="AV273" i="5"/>
  <c r="AU273" i="5"/>
  <c r="AT273" i="5"/>
  <c r="AQ273" i="5"/>
  <c r="AP273" i="5"/>
  <c r="AO273" i="5"/>
  <c r="AN273" i="5"/>
  <c r="AM273" i="5"/>
  <c r="AX272" i="5"/>
  <c r="AW272" i="5"/>
  <c r="AV272" i="5"/>
  <c r="AU272" i="5"/>
  <c r="AT272" i="5"/>
  <c r="AQ272" i="5"/>
  <c r="AP272" i="5"/>
  <c r="AO272" i="5"/>
  <c r="AN272" i="5"/>
  <c r="AM272" i="5"/>
  <c r="AX271" i="5"/>
  <c r="AW271" i="5"/>
  <c r="AV271" i="5"/>
  <c r="AU271" i="5"/>
  <c r="AT271" i="5"/>
  <c r="AQ271" i="5"/>
  <c r="AP271" i="5"/>
  <c r="AO271" i="5"/>
  <c r="AN271" i="5"/>
  <c r="AM271" i="5"/>
  <c r="AX270" i="5"/>
  <c r="AW270" i="5"/>
  <c r="AV270" i="5"/>
  <c r="AU270" i="5"/>
  <c r="AT270" i="5"/>
  <c r="AQ270" i="5"/>
  <c r="AP270" i="5"/>
  <c r="AO270" i="5"/>
  <c r="AN270" i="5"/>
  <c r="AM270" i="5"/>
  <c r="AX269" i="5"/>
  <c r="AW269" i="5"/>
  <c r="AV269" i="5"/>
  <c r="AU269" i="5"/>
  <c r="AT269" i="5"/>
  <c r="AQ269" i="5"/>
  <c r="AP269" i="5"/>
  <c r="AO269" i="5"/>
  <c r="AN269" i="5"/>
  <c r="AM269" i="5"/>
  <c r="AX268" i="5"/>
  <c r="AW268" i="5"/>
  <c r="AV268" i="5"/>
  <c r="AU268" i="5"/>
  <c r="AT268" i="5"/>
  <c r="AQ268" i="5"/>
  <c r="AP268" i="5"/>
  <c r="AO268" i="5"/>
  <c r="AN268" i="5"/>
  <c r="AM268" i="5"/>
  <c r="AX267" i="5"/>
  <c r="AW267" i="5"/>
  <c r="AV267" i="5"/>
  <c r="AU267" i="5"/>
  <c r="AT267" i="5"/>
  <c r="AQ267" i="5"/>
  <c r="AP267" i="5"/>
  <c r="AO267" i="5"/>
  <c r="AN267" i="5"/>
  <c r="AM267" i="5"/>
  <c r="AX266" i="5"/>
  <c r="AW266" i="5"/>
  <c r="AV266" i="5"/>
  <c r="AU266" i="5"/>
  <c r="AT266" i="5"/>
  <c r="AQ266" i="5"/>
  <c r="AP266" i="5"/>
  <c r="AO266" i="5"/>
  <c r="AN266" i="5"/>
  <c r="AM266" i="5"/>
  <c r="AX265" i="5"/>
  <c r="AW265" i="5"/>
  <c r="AV265" i="5"/>
  <c r="AU265" i="5"/>
  <c r="AT265" i="5"/>
  <c r="AQ265" i="5"/>
  <c r="AP265" i="5"/>
  <c r="AO265" i="5"/>
  <c r="AN265" i="5"/>
  <c r="AM265" i="5"/>
  <c r="AX264" i="5"/>
  <c r="AW264" i="5"/>
  <c r="AV264" i="5"/>
  <c r="AU264" i="5"/>
  <c r="AT264" i="5"/>
  <c r="AQ264" i="5"/>
  <c r="AP264" i="5"/>
  <c r="AO264" i="5"/>
  <c r="AN264" i="5"/>
  <c r="AM264" i="5"/>
  <c r="AX263" i="5"/>
  <c r="AW263" i="5"/>
  <c r="AV263" i="5"/>
  <c r="AU263" i="5"/>
  <c r="AT263" i="5"/>
  <c r="AQ263" i="5"/>
  <c r="AP263" i="5"/>
  <c r="AO263" i="5"/>
  <c r="AN263" i="5"/>
  <c r="AM263" i="5"/>
  <c r="AX262" i="5"/>
  <c r="AW262" i="5"/>
  <c r="AV262" i="5"/>
  <c r="AU262" i="5"/>
  <c r="AT262" i="5"/>
  <c r="AQ262" i="5"/>
  <c r="AP262" i="5"/>
  <c r="AO262" i="5"/>
  <c r="AN262" i="5"/>
  <c r="AM262" i="5"/>
  <c r="AX261" i="5"/>
  <c r="AW261" i="5"/>
  <c r="AV261" i="5"/>
  <c r="AU261" i="5"/>
  <c r="AT261" i="5"/>
  <c r="AQ261" i="5"/>
  <c r="AP261" i="5"/>
  <c r="AO261" i="5"/>
  <c r="AN261" i="5"/>
  <c r="AM261" i="5"/>
  <c r="AX260" i="5"/>
  <c r="AW260" i="5"/>
  <c r="AV260" i="5"/>
  <c r="AU260" i="5"/>
  <c r="AT260" i="5"/>
  <c r="AQ260" i="5"/>
  <c r="AP260" i="5"/>
  <c r="AO260" i="5"/>
  <c r="AN260" i="5"/>
  <c r="AM260" i="5"/>
  <c r="AX259" i="5"/>
  <c r="AW259" i="5"/>
  <c r="AV259" i="5"/>
  <c r="AU259" i="5"/>
  <c r="AT259" i="5"/>
  <c r="AQ259" i="5"/>
  <c r="AP259" i="5"/>
  <c r="AO259" i="5"/>
  <c r="AN259" i="5"/>
  <c r="AM259" i="5"/>
  <c r="AX258" i="5"/>
  <c r="AW258" i="5"/>
  <c r="AV258" i="5"/>
  <c r="AU258" i="5"/>
  <c r="AT258" i="5"/>
  <c r="AQ258" i="5"/>
  <c r="AP258" i="5"/>
  <c r="AO258" i="5"/>
  <c r="AN258" i="5"/>
  <c r="AM258" i="5"/>
  <c r="AX257" i="5"/>
  <c r="AW257" i="5"/>
  <c r="AV257" i="5"/>
  <c r="AU257" i="5"/>
  <c r="AT257" i="5"/>
  <c r="AQ257" i="5"/>
  <c r="AP257" i="5"/>
  <c r="AO257" i="5"/>
  <c r="AN257" i="5"/>
  <c r="AM257" i="5"/>
  <c r="AX256" i="5"/>
  <c r="AW256" i="5"/>
  <c r="AV256" i="5"/>
  <c r="AU256" i="5"/>
  <c r="AT256" i="5"/>
  <c r="AQ256" i="5"/>
  <c r="AP256" i="5"/>
  <c r="AO256" i="5"/>
  <c r="AN256" i="5"/>
  <c r="AM256" i="5"/>
  <c r="AX255" i="5"/>
  <c r="AW255" i="5"/>
  <c r="AV255" i="5"/>
  <c r="AU255" i="5"/>
  <c r="AT255" i="5"/>
  <c r="AQ255" i="5"/>
  <c r="AP255" i="5"/>
  <c r="AO255" i="5"/>
  <c r="AN255" i="5"/>
  <c r="AM255" i="5"/>
  <c r="AX254" i="5"/>
  <c r="AW254" i="5"/>
  <c r="AV254" i="5"/>
  <c r="AU254" i="5"/>
  <c r="AT254" i="5"/>
  <c r="AQ254" i="5"/>
  <c r="AP254" i="5"/>
  <c r="AO254" i="5"/>
  <c r="AN254" i="5"/>
  <c r="AM254" i="5"/>
  <c r="AX253" i="5"/>
  <c r="AW253" i="5"/>
  <c r="AV253" i="5"/>
  <c r="AU253" i="5"/>
  <c r="AT253" i="5"/>
  <c r="AQ253" i="5"/>
  <c r="AP253" i="5"/>
  <c r="AO253" i="5"/>
  <c r="AN253" i="5"/>
  <c r="AM253" i="5"/>
  <c r="AX252" i="5"/>
  <c r="AW252" i="5"/>
  <c r="AV252" i="5"/>
  <c r="AU252" i="5"/>
  <c r="AT252" i="5"/>
  <c r="AQ252" i="5"/>
  <c r="AP252" i="5"/>
  <c r="AO252" i="5"/>
  <c r="AN252" i="5"/>
  <c r="AM252" i="5"/>
  <c r="AX251" i="5"/>
  <c r="AW251" i="5"/>
  <c r="AV251" i="5"/>
  <c r="AU251" i="5"/>
  <c r="AT251" i="5"/>
  <c r="AQ251" i="5"/>
  <c r="AP251" i="5"/>
  <c r="AO251" i="5"/>
  <c r="AN251" i="5"/>
  <c r="AM251" i="5"/>
  <c r="AX250" i="5"/>
  <c r="AW250" i="5"/>
  <c r="AV250" i="5"/>
  <c r="AU250" i="5"/>
  <c r="AT250" i="5"/>
  <c r="AQ250" i="5"/>
  <c r="AP250" i="5"/>
  <c r="AO250" i="5"/>
  <c r="AN250" i="5"/>
  <c r="AM250" i="5"/>
  <c r="AX249" i="5"/>
  <c r="AW249" i="5"/>
  <c r="AV249" i="5"/>
  <c r="AU249" i="5"/>
  <c r="AT249" i="5"/>
  <c r="AQ249" i="5"/>
  <c r="AP249" i="5"/>
  <c r="AO249" i="5"/>
  <c r="AN249" i="5"/>
  <c r="AM249" i="5"/>
  <c r="AX248" i="5"/>
  <c r="AW248" i="5"/>
  <c r="AV248" i="5"/>
  <c r="AU248" i="5"/>
  <c r="AT248" i="5"/>
  <c r="AQ248" i="5"/>
  <c r="AP248" i="5"/>
  <c r="AO248" i="5"/>
  <c r="AN248" i="5"/>
  <c r="AM248" i="5"/>
  <c r="AX247" i="5"/>
  <c r="AW247" i="5"/>
  <c r="AV247" i="5"/>
  <c r="AU247" i="5"/>
  <c r="AT247" i="5"/>
  <c r="AQ247" i="5"/>
  <c r="AP247" i="5"/>
  <c r="AO247" i="5"/>
  <c r="AN247" i="5"/>
  <c r="AM247" i="5"/>
  <c r="AX246" i="5"/>
  <c r="AW246" i="5"/>
  <c r="AV246" i="5"/>
  <c r="AU246" i="5"/>
  <c r="AT246" i="5"/>
  <c r="AQ246" i="5"/>
  <c r="AP246" i="5"/>
  <c r="AO246" i="5"/>
  <c r="AN246" i="5"/>
  <c r="AM246" i="5"/>
  <c r="AX245" i="5"/>
  <c r="AW245" i="5"/>
  <c r="AV245" i="5"/>
  <c r="AU245" i="5"/>
  <c r="AT245" i="5"/>
  <c r="AQ245" i="5"/>
  <c r="AP245" i="5"/>
  <c r="AO245" i="5"/>
  <c r="AN245" i="5"/>
  <c r="AM245" i="5"/>
  <c r="AX244" i="5"/>
  <c r="AW244" i="5"/>
  <c r="AV244" i="5"/>
  <c r="AU244" i="5"/>
  <c r="AT244" i="5"/>
  <c r="AQ244" i="5"/>
  <c r="AP244" i="5"/>
  <c r="AO244" i="5"/>
  <c r="AN244" i="5"/>
  <c r="AM244" i="5"/>
  <c r="AX243" i="5"/>
  <c r="AW243" i="5"/>
  <c r="AV243" i="5"/>
  <c r="AU243" i="5"/>
  <c r="AT243" i="5"/>
  <c r="AQ243" i="5"/>
  <c r="AP243" i="5"/>
  <c r="AO243" i="5"/>
  <c r="AN243" i="5"/>
  <c r="AM243" i="5"/>
  <c r="AX242" i="5"/>
  <c r="AW242" i="5"/>
  <c r="AV242" i="5"/>
  <c r="AU242" i="5"/>
  <c r="AT242" i="5"/>
  <c r="AQ242" i="5"/>
  <c r="AP242" i="5"/>
  <c r="AO242" i="5"/>
  <c r="AN242" i="5"/>
  <c r="AM242" i="5"/>
  <c r="AX241" i="5"/>
  <c r="AW241" i="5"/>
  <c r="AV241" i="5"/>
  <c r="AU241" i="5"/>
  <c r="AT241" i="5"/>
  <c r="AQ241" i="5"/>
  <c r="AP241" i="5"/>
  <c r="AO241" i="5"/>
  <c r="AN241" i="5"/>
  <c r="AM241" i="5"/>
  <c r="AX240" i="5"/>
  <c r="AW240" i="5"/>
  <c r="AV240" i="5"/>
  <c r="AU240" i="5"/>
  <c r="AT240" i="5"/>
  <c r="AQ240" i="5"/>
  <c r="AP240" i="5"/>
  <c r="AO240" i="5"/>
  <c r="AN240" i="5"/>
  <c r="AM240" i="5"/>
  <c r="AX239" i="5"/>
  <c r="AW239" i="5"/>
  <c r="AV239" i="5"/>
  <c r="AU239" i="5"/>
  <c r="AT239" i="5"/>
  <c r="AQ239" i="5"/>
  <c r="AP239" i="5"/>
  <c r="AO239" i="5"/>
  <c r="AN239" i="5"/>
  <c r="AM239" i="5"/>
  <c r="AX238" i="5"/>
  <c r="AW238" i="5"/>
  <c r="AV238" i="5"/>
  <c r="AU238" i="5"/>
  <c r="AT238" i="5"/>
  <c r="AQ238" i="5"/>
  <c r="AP238" i="5"/>
  <c r="AO238" i="5"/>
  <c r="AN238" i="5"/>
  <c r="AM238" i="5"/>
  <c r="AX237" i="5"/>
  <c r="AW237" i="5"/>
  <c r="AV237" i="5"/>
  <c r="AU237" i="5"/>
  <c r="AT237" i="5"/>
  <c r="AQ237" i="5"/>
  <c r="AP237" i="5"/>
  <c r="AO237" i="5"/>
  <c r="AN237" i="5"/>
  <c r="AM237" i="5"/>
  <c r="AX236" i="5"/>
  <c r="AW236" i="5"/>
  <c r="AV236" i="5"/>
  <c r="AU236" i="5"/>
  <c r="AT236" i="5"/>
  <c r="AQ236" i="5"/>
  <c r="AP236" i="5"/>
  <c r="AO236" i="5"/>
  <c r="AN236" i="5"/>
  <c r="AM236" i="5"/>
  <c r="AX235" i="5"/>
  <c r="AW235" i="5"/>
  <c r="AV235" i="5"/>
  <c r="AU235" i="5"/>
  <c r="AT235" i="5"/>
  <c r="AQ235" i="5"/>
  <c r="AP235" i="5"/>
  <c r="AO235" i="5"/>
  <c r="AN235" i="5"/>
  <c r="AM235" i="5"/>
  <c r="AX234" i="5"/>
  <c r="AW234" i="5"/>
  <c r="AV234" i="5"/>
  <c r="AU234" i="5"/>
  <c r="AT234" i="5"/>
  <c r="AQ234" i="5"/>
  <c r="AP234" i="5"/>
  <c r="AO234" i="5"/>
  <c r="AN234" i="5"/>
  <c r="AM234" i="5"/>
  <c r="AX233" i="5"/>
  <c r="AW233" i="5"/>
  <c r="AV233" i="5"/>
  <c r="AU233" i="5"/>
  <c r="AT233" i="5"/>
  <c r="AQ233" i="5"/>
  <c r="AP233" i="5"/>
  <c r="AO233" i="5"/>
  <c r="AN233" i="5"/>
  <c r="AM233" i="5"/>
  <c r="AX232" i="5"/>
  <c r="AW232" i="5"/>
  <c r="AV232" i="5"/>
  <c r="AU232" i="5"/>
  <c r="AT232" i="5"/>
  <c r="AQ232" i="5"/>
  <c r="AP232" i="5"/>
  <c r="AO232" i="5"/>
  <c r="AN232" i="5"/>
  <c r="AM232" i="5"/>
  <c r="AX231" i="5"/>
  <c r="AW231" i="5"/>
  <c r="AV231" i="5"/>
  <c r="AU231" i="5"/>
  <c r="AT231" i="5"/>
  <c r="AQ231" i="5"/>
  <c r="AP231" i="5"/>
  <c r="AO231" i="5"/>
  <c r="AN231" i="5"/>
  <c r="AM231" i="5"/>
  <c r="AX230" i="5"/>
  <c r="AW230" i="5"/>
  <c r="AV230" i="5"/>
  <c r="AU230" i="5"/>
  <c r="AT230" i="5"/>
  <c r="AQ230" i="5"/>
  <c r="AP230" i="5"/>
  <c r="AO230" i="5"/>
  <c r="AN230" i="5"/>
  <c r="AM230" i="5"/>
  <c r="AX229" i="5"/>
  <c r="AW229" i="5"/>
  <c r="AV229" i="5"/>
  <c r="AU229" i="5"/>
  <c r="AT229" i="5"/>
  <c r="AQ229" i="5"/>
  <c r="AP229" i="5"/>
  <c r="AO229" i="5"/>
  <c r="AN229" i="5"/>
  <c r="AM229" i="5"/>
  <c r="AX228" i="5"/>
  <c r="AW228" i="5"/>
  <c r="AV228" i="5"/>
  <c r="AU228" i="5"/>
  <c r="AT228" i="5"/>
  <c r="AQ228" i="5"/>
  <c r="AP228" i="5"/>
  <c r="AO228" i="5"/>
  <c r="AN228" i="5"/>
  <c r="AM228" i="5"/>
  <c r="AX227" i="5"/>
  <c r="AW227" i="5"/>
  <c r="AV227" i="5"/>
  <c r="AU227" i="5"/>
  <c r="AT227" i="5"/>
  <c r="AQ227" i="5"/>
  <c r="AP227" i="5"/>
  <c r="AO227" i="5"/>
  <c r="AN227" i="5"/>
  <c r="AM227" i="5"/>
  <c r="AX226" i="5"/>
  <c r="AW226" i="5"/>
  <c r="AV226" i="5"/>
  <c r="AU226" i="5"/>
  <c r="AT226" i="5"/>
  <c r="AQ226" i="5"/>
  <c r="AP226" i="5"/>
  <c r="AO226" i="5"/>
  <c r="AN226" i="5"/>
  <c r="AM226" i="5"/>
  <c r="AX225" i="5"/>
  <c r="AW225" i="5"/>
  <c r="AV225" i="5"/>
  <c r="AU225" i="5"/>
  <c r="AT225" i="5"/>
  <c r="AQ225" i="5"/>
  <c r="AP225" i="5"/>
  <c r="AO225" i="5"/>
  <c r="AN225" i="5"/>
  <c r="AM225" i="5"/>
  <c r="AX224" i="5"/>
  <c r="AW224" i="5"/>
  <c r="AV224" i="5"/>
  <c r="AU224" i="5"/>
  <c r="AT224" i="5"/>
  <c r="AQ224" i="5"/>
  <c r="AP224" i="5"/>
  <c r="AO224" i="5"/>
  <c r="AN224" i="5"/>
  <c r="AM224" i="5"/>
  <c r="AX223" i="5"/>
  <c r="AW223" i="5"/>
  <c r="AV223" i="5"/>
  <c r="AU223" i="5"/>
  <c r="AT223" i="5"/>
  <c r="AQ223" i="5"/>
  <c r="AP223" i="5"/>
  <c r="AO223" i="5"/>
  <c r="AN223" i="5"/>
  <c r="AM223" i="5"/>
  <c r="AX222" i="5"/>
  <c r="AW222" i="5"/>
  <c r="AV222" i="5"/>
  <c r="AU222" i="5"/>
  <c r="AT222" i="5"/>
  <c r="AQ222" i="5"/>
  <c r="AP222" i="5"/>
  <c r="AO222" i="5"/>
  <c r="AN222" i="5"/>
  <c r="AM222" i="5"/>
  <c r="AX221" i="5"/>
  <c r="AW221" i="5"/>
  <c r="AV221" i="5"/>
  <c r="AU221" i="5"/>
  <c r="AT221" i="5"/>
  <c r="AQ221" i="5"/>
  <c r="AP221" i="5"/>
  <c r="AO221" i="5"/>
  <c r="AN221" i="5"/>
  <c r="AM221" i="5"/>
  <c r="AX220" i="5"/>
  <c r="AW220" i="5"/>
  <c r="AV220" i="5"/>
  <c r="AU220" i="5"/>
  <c r="AT220" i="5"/>
  <c r="AQ220" i="5"/>
  <c r="AP220" i="5"/>
  <c r="AO220" i="5"/>
  <c r="AN220" i="5"/>
  <c r="AM220" i="5"/>
  <c r="AX219" i="5"/>
  <c r="AW219" i="5"/>
  <c r="AV219" i="5"/>
  <c r="AU219" i="5"/>
  <c r="AT219" i="5"/>
  <c r="AQ219" i="5"/>
  <c r="AP219" i="5"/>
  <c r="AO219" i="5"/>
  <c r="AN219" i="5"/>
  <c r="AM219" i="5"/>
  <c r="AX218" i="5"/>
  <c r="AW218" i="5"/>
  <c r="AV218" i="5"/>
  <c r="AU218" i="5"/>
  <c r="AT218" i="5"/>
  <c r="AQ218" i="5"/>
  <c r="AP218" i="5"/>
  <c r="AO218" i="5"/>
  <c r="AN218" i="5"/>
  <c r="AM218" i="5"/>
  <c r="AX217" i="5"/>
  <c r="AW217" i="5"/>
  <c r="AV217" i="5"/>
  <c r="AU217" i="5"/>
  <c r="AT217" i="5"/>
  <c r="AQ217" i="5"/>
  <c r="AP217" i="5"/>
  <c r="AO217" i="5"/>
  <c r="AN217" i="5"/>
  <c r="AM217" i="5"/>
  <c r="AX216" i="5"/>
  <c r="AW216" i="5"/>
  <c r="AV216" i="5"/>
  <c r="AU216" i="5"/>
  <c r="AT216" i="5"/>
  <c r="AQ216" i="5"/>
  <c r="AP216" i="5"/>
  <c r="AO216" i="5"/>
  <c r="AN216" i="5"/>
  <c r="AM216" i="5"/>
  <c r="AX215" i="5"/>
  <c r="AW215" i="5"/>
  <c r="AV215" i="5"/>
  <c r="AU215" i="5"/>
  <c r="AT215" i="5"/>
  <c r="AQ215" i="5"/>
  <c r="AP215" i="5"/>
  <c r="AO215" i="5"/>
  <c r="AN215" i="5"/>
  <c r="AM215" i="5"/>
  <c r="AX214" i="5"/>
  <c r="AW214" i="5"/>
  <c r="AV214" i="5"/>
  <c r="AU214" i="5"/>
  <c r="AT214" i="5"/>
  <c r="AQ214" i="5"/>
  <c r="AP214" i="5"/>
  <c r="AO214" i="5"/>
  <c r="AN214" i="5"/>
  <c r="AM214" i="5"/>
  <c r="AX213" i="5"/>
  <c r="AW213" i="5"/>
  <c r="AV213" i="5"/>
  <c r="AU213" i="5"/>
  <c r="AT213" i="5"/>
  <c r="AQ213" i="5"/>
  <c r="AP213" i="5"/>
  <c r="AO213" i="5"/>
  <c r="AN213" i="5"/>
  <c r="AM213" i="5"/>
  <c r="AX212" i="5"/>
  <c r="AW212" i="5"/>
  <c r="AV212" i="5"/>
  <c r="AU212" i="5"/>
  <c r="AT212" i="5"/>
  <c r="AQ212" i="5"/>
  <c r="AP212" i="5"/>
  <c r="AO212" i="5"/>
  <c r="AN212" i="5"/>
  <c r="AM212" i="5"/>
  <c r="AX211" i="5"/>
  <c r="AW211" i="5"/>
  <c r="AV211" i="5"/>
  <c r="AU211" i="5"/>
  <c r="AT211" i="5"/>
  <c r="AQ211" i="5"/>
  <c r="AP211" i="5"/>
  <c r="AO211" i="5"/>
  <c r="AN211" i="5"/>
  <c r="AM211" i="5"/>
  <c r="AX210" i="5"/>
  <c r="AW210" i="5"/>
  <c r="AV210" i="5"/>
  <c r="AU210" i="5"/>
  <c r="AT210" i="5"/>
  <c r="AQ210" i="5"/>
  <c r="AP210" i="5"/>
  <c r="AO210" i="5"/>
  <c r="AN210" i="5"/>
  <c r="AM210" i="5"/>
  <c r="AX209" i="5"/>
  <c r="AW209" i="5"/>
  <c r="AV209" i="5"/>
  <c r="AU209" i="5"/>
  <c r="AT209" i="5"/>
  <c r="AQ209" i="5"/>
  <c r="AP209" i="5"/>
  <c r="AO209" i="5"/>
  <c r="AN209" i="5"/>
  <c r="AM209" i="5"/>
  <c r="AX208" i="5"/>
  <c r="AW208" i="5"/>
  <c r="AV208" i="5"/>
  <c r="AU208" i="5"/>
  <c r="AT208" i="5"/>
  <c r="AQ208" i="5"/>
  <c r="AP208" i="5"/>
  <c r="AO208" i="5"/>
  <c r="AN208" i="5"/>
  <c r="AM208" i="5"/>
  <c r="AX207" i="5"/>
  <c r="AW207" i="5"/>
  <c r="AV207" i="5"/>
  <c r="AU207" i="5"/>
  <c r="AT207" i="5"/>
  <c r="AQ207" i="5"/>
  <c r="AP207" i="5"/>
  <c r="AO207" i="5"/>
  <c r="AN207" i="5"/>
  <c r="AM207" i="5"/>
  <c r="AX206" i="5"/>
  <c r="AW206" i="5"/>
  <c r="AV206" i="5"/>
  <c r="AU206" i="5"/>
  <c r="AT206" i="5"/>
  <c r="AQ206" i="5"/>
  <c r="AP206" i="5"/>
  <c r="AO206" i="5"/>
  <c r="AN206" i="5"/>
  <c r="AM206" i="5"/>
  <c r="AX205" i="5"/>
  <c r="AW205" i="5"/>
  <c r="AV205" i="5"/>
  <c r="AU205" i="5"/>
  <c r="AT205" i="5"/>
  <c r="AQ205" i="5"/>
  <c r="AP205" i="5"/>
  <c r="AO205" i="5"/>
  <c r="AN205" i="5"/>
  <c r="AM205" i="5"/>
  <c r="AX204" i="5"/>
  <c r="AW204" i="5"/>
  <c r="AV204" i="5"/>
  <c r="AU204" i="5"/>
  <c r="AT204" i="5"/>
  <c r="AQ204" i="5"/>
  <c r="AP204" i="5"/>
  <c r="AO204" i="5"/>
  <c r="AN204" i="5"/>
  <c r="AM204" i="5"/>
  <c r="AX203" i="5"/>
  <c r="AW203" i="5"/>
  <c r="AV203" i="5"/>
  <c r="AU203" i="5"/>
  <c r="AT203" i="5"/>
  <c r="AQ203" i="5"/>
  <c r="AP203" i="5"/>
  <c r="AO203" i="5"/>
  <c r="AN203" i="5"/>
  <c r="AM203" i="5"/>
  <c r="AX202" i="5"/>
  <c r="AW202" i="5"/>
  <c r="AV202" i="5"/>
  <c r="AU202" i="5"/>
  <c r="AT202" i="5"/>
  <c r="AQ202" i="5"/>
  <c r="AP202" i="5"/>
  <c r="AO202" i="5"/>
  <c r="AN202" i="5"/>
  <c r="AM202" i="5"/>
  <c r="AX201" i="5"/>
  <c r="AW201" i="5"/>
  <c r="AV201" i="5"/>
  <c r="AU201" i="5"/>
  <c r="AT201" i="5"/>
  <c r="AQ201" i="5"/>
  <c r="AP201" i="5"/>
  <c r="AO201" i="5"/>
  <c r="AN201" i="5"/>
  <c r="AM201" i="5"/>
  <c r="AX200" i="5"/>
  <c r="AW200" i="5"/>
  <c r="AV200" i="5"/>
  <c r="AU200" i="5"/>
  <c r="AT200" i="5"/>
  <c r="AQ200" i="5"/>
  <c r="AP200" i="5"/>
  <c r="AO200" i="5"/>
  <c r="AN200" i="5"/>
  <c r="AM200" i="5"/>
  <c r="AX199" i="5"/>
  <c r="AW199" i="5"/>
  <c r="AV199" i="5"/>
  <c r="AU199" i="5"/>
  <c r="AT199" i="5"/>
  <c r="AQ199" i="5"/>
  <c r="AP199" i="5"/>
  <c r="AO199" i="5"/>
  <c r="AN199" i="5"/>
  <c r="AM199" i="5"/>
  <c r="AX198" i="5"/>
  <c r="AW198" i="5"/>
  <c r="AV198" i="5"/>
  <c r="AU198" i="5"/>
  <c r="AT198" i="5"/>
  <c r="AQ198" i="5"/>
  <c r="AP198" i="5"/>
  <c r="AO198" i="5"/>
  <c r="AN198" i="5"/>
  <c r="AM198" i="5"/>
  <c r="AX197" i="5"/>
  <c r="AW197" i="5"/>
  <c r="AV197" i="5"/>
  <c r="AU197" i="5"/>
  <c r="AT197" i="5"/>
  <c r="AQ197" i="5"/>
  <c r="AP197" i="5"/>
  <c r="AO197" i="5"/>
  <c r="AN197" i="5"/>
  <c r="AM197" i="5"/>
  <c r="AX196" i="5"/>
  <c r="AW196" i="5"/>
  <c r="AV196" i="5"/>
  <c r="AU196" i="5"/>
  <c r="AT196" i="5"/>
  <c r="AQ196" i="5"/>
  <c r="AP196" i="5"/>
  <c r="AO196" i="5"/>
  <c r="AN196" i="5"/>
  <c r="AM196" i="5"/>
  <c r="AX195" i="5"/>
  <c r="AW195" i="5"/>
  <c r="AV195" i="5"/>
  <c r="AU195" i="5"/>
  <c r="AT195" i="5"/>
  <c r="AQ195" i="5"/>
  <c r="AP195" i="5"/>
  <c r="AO195" i="5"/>
  <c r="AN195" i="5"/>
  <c r="AM195" i="5"/>
  <c r="AX194" i="5"/>
  <c r="AW194" i="5"/>
  <c r="AV194" i="5"/>
  <c r="AU194" i="5"/>
  <c r="AT194" i="5"/>
  <c r="AQ194" i="5"/>
  <c r="AP194" i="5"/>
  <c r="AO194" i="5"/>
  <c r="AN194" i="5"/>
  <c r="AM194" i="5"/>
  <c r="AX193" i="5"/>
  <c r="AW193" i="5"/>
  <c r="AV193" i="5"/>
  <c r="AU193" i="5"/>
  <c r="AT193" i="5"/>
  <c r="AQ193" i="5"/>
  <c r="AP193" i="5"/>
  <c r="AO193" i="5"/>
  <c r="AN193" i="5"/>
  <c r="AM193" i="5"/>
  <c r="AX192" i="5"/>
  <c r="AW192" i="5"/>
  <c r="AV192" i="5"/>
  <c r="AU192" i="5"/>
  <c r="AT192" i="5"/>
  <c r="AQ192" i="5"/>
  <c r="AP192" i="5"/>
  <c r="AO192" i="5"/>
  <c r="AN192" i="5"/>
  <c r="AM192" i="5"/>
  <c r="AX191" i="5"/>
  <c r="AW191" i="5"/>
  <c r="AV191" i="5"/>
  <c r="AU191" i="5"/>
  <c r="AT191" i="5"/>
  <c r="AQ191" i="5"/>
  <c r="AP191" i="5"/>
  <c r="AO191" i="5"/>
  <c r="AN191" i="5"/>
  <c r="AM191" i="5"/>
  <c r="AX190" i="5"/>
  <c r="AW190" i="5"/>
  <c r="AV190" i="5"/>
  <c r="AU190" i="5"/>
  <c r="AT190" i="5"/>
  <c r="AQ190" i="5"/>
  <c r="AP190" i="5"/>
  <c r="AO190" i="5"/>
  <c r="AN190" i="5"/>
  <c r="AM190" i="5"/>
  <c r="AX189" i="5"/>
  <c r="AW189" i="5"/>
  <c r="AV189" i="5"/>
  <c r="AU189" i="5"/>
  <c r="AT189" i="5"/>
  <c r="AQ189" i="5"/>
  <c r="AP189" i="5"/>
  <c r="AO189" i="5"/>
  <c r="AN189" i="5"/>
  <c r="AM189" i="5"/>
  <c r="AX188" i="5"/>
  <c r="AW188" i="5"/>
  <c r="AV188" i="5"/>
  <c r="AU188" i="5"/>
  <c r="AT188" i="5"/>
  <c r="AQ188" i="5"/>
  <c r="AP188" i="5"/>
  <c r="AO188" i="5"/>
  <c r="AN188" i="5"/>
  <c r="AM188" i="5"/>
  <c r="AX187" i="5"/>
  <c r="AW187" i="5"/>
  <c r="AV187" i="5"/>
  <c r="AU187" i="5"/>
  <c r="AT187" i="5"/>
  <c r="AQ187" i="5"/>
  <c r="AP187" i="5"/>
  <c r="AO187" i="5"/>
  <c r="AN187" i="5"/>
  <c r="AM187" i="5"/>
  <c r="AX186" i="5"/>
  <c r="AW186" i="5"/>
  <c r="AV186" i="5"/>
  <c r="AU186" i="5"/>
  <c r="AT186" i="5"/>
  <c r="AQ186" i="5"/>
  <c r="AP186" i="5"/>
  <c r="AO186" i="5"/>
  <c r="AN186" i="5"/>
  <c r="AM186" i="5"/>
  <c r="AX185" i="5"/>
  <c r="AW185" i="5"/>
  <c r="AV185" i="5"/>
  <c r="AU185" i="5"/>
  <c r="AT185" i="5"/>
  <c r="AQ185" i="5"/>
  <c r="AP185" i="5"/>
  <c r="AO185" i="5"/>
  <c r="AN185" i="5"/>
  <c r="AM185" i="5"/>
  <c r="AX184" i="5"/>
  <c r="AW184" i="5"/>
  <c r="AV184" i="5"/>
  <c r="AU184" i="5"/>
  <c r="AT184" i="5"/>
  <c r="AQ184" i="5"/>
  <c r="AP184" i="5"/>
  <c r="AO184" i="5"/>
  <c r="AN184" i="5"/>
  <c r="AM184" i="5"/>
  <c r="AX183" i="5"/>
  <c r="AW183" i="5"/>
  <c r="AV183" i="5"/>
  <c r="AU183" i="5"/>
  <c r="AT183" i="5"/>
  <c r="AQ183" i="5"/>
  <c r="AP183" i="5"/>
  <c r="AO183" i="5"/>
  <c r="AN183" i="5"/>
  <c r="AM183" i="5"/>
  <c r="AX182" i="5"/>
  <c r="AW182" i="5"/>
  <c r="AV182" i="5"/>
  <c r="AU182" i="5"/>
  <c r="AT182" i="5"/>
  <c r="AQ182" i="5"/>
  <c r="AP182" i="5"/>
  <c r="AO182" i="5"/>
  <c r="AN182" i="5"/>
  <c r="AM182" i="5"/>
  <c r="AX181" i="5"/>
  <c r="AW181" i="5"/>
  <c r="AV181" i="5"/>
  <c r="AU181" i="5"/>
  <c r="AT181" i="5"/>
  <c r="AQ181" i="5"/>
  <c r="AP181" i="5"/>
  <c r="AO181" i="5"/>
  <c r="AN181" i="5"/>
  <c r="AM181" i="5"/>
  <c r="AX180" i="5"/>
  <c r="AW180" i="5"/>
  <c r="AV180" i="5"/>
  <c r="AU180" i="5"/>
  <c r="AT180" i="5"/>
  <c r="AQ180" i="5"/>
  <c r="AP180" i="5"/>
  <c r="AO180" i="5"/>
  <c r="AN180" i="5"/>
  <c r="AM180" i="5"/>
  <c r="AX179" i="5"/>
  <c r="AW179" i="5"/>
  <c r="AV179" i="5"/>
  <c r="AU179" i="5"/>
  <c r="AT179" i="5"/>
  <c r="AQ179" i="5"/>
  <c r="AP179" i="5"/>
  <c r="AO179" i="5"/>
  <c r="AN179" i="5"/>
  <c r="AM179" i="5"/>
  <c r="AX178" i="5"/>
  <c r="AW178" i="5"/>
  <c r="AV178" i="5"/>
  <c r="AU178" i="5"/>
  <c r="AT178" i="5"/>
  <c r="AQ178" i="5"/>
  <c r="AP178" i="5"/>
  <c r="AO178" i="5"/>
  <c r="AN178" i="5"/>
  <c r="AM178" i="5"/>
  <c r="AX177" i="5"/>
  <c r="AW177" i="5"/>
  <c r="AV177" i="5"/>
  <c r="AU177" i="5"/>
  <c r="AT177" i="5"/>
  <c r="AQ177" i="5"/>
  <c r="AP177" i="5"/>
  <c r="AO177" i="5"/>
  <c r="AN177" i="5"/>
  <c r="AM177" i="5"/>
  <c r="AX176" i="5"/>
  <c r="AW176" i="5"/>
  <c r="AV176" i="5"/>
  <c r="AU176" i="5"/>
  <c r="AT176" i="5"/>
  <c r="AQ176" i="5"/>
  <c r="AP176" i="5"/>
  <c r="AO176" i="5"/>
  <c r="AN176" i="5"/>
  <c r="AM176" i="5"/>
  <c r="AX175" i="5"/>
  <c r="AW175" i="5"/>
  <c r="AV175" i="5"/>
  <c r="AU175" i="5"/>
  <c r="AT175" i="5"/>
  <c r="AQ175" i="5"/>
  <c r="AP175" i="5"/>
  <c r="AO175" i="5"/>
  <c r="AN175" i="5"/>
  <c r="AM175" i="5"/>
  <c r="AX174" i="5"/>
  <c r="AW174" i="5"/>
  <c r="AV174" i="5"/>
  <c r="AU174" i="5"/>
  <c r="AT174" i="5"/>
  <c r="AQ174" i="5"/>
  <c r="AP174" i="5"/>
  <c r="AO174" i="5"/>
  <c r="AN174" i="5"/>
  <c r="AM174" i="5"/>
  <c r="AX173" i="5"/>
  <c r="AW173" i="5"/>
  <c r="AV173" i="5"/>
  <c r="AU173" i="5"/>
  <c r="AT173" i="5"/>
  <c r="AQ173" i="5"/>
  <c r="AP173" i="5"/>
  <c r="AO173" i="5"/>
  <c r="AN173" i="5"/>
  <c r="AM173" i="5"/>
  <c r="AX172" i="5"/>
  <c r="AW172" i="5"/>
  <c r="AV172" i="5"/>
  <c r="AU172" i="5"/>
  <c r="AT172" i="5"/>
  <c r="AQ172" i="5"/>
  <c r="AP172" i="5"/>
  <c r="AO172" i="5"/>
  <c r="AN172" i="5"/>
  <c r="AM172" i="5"/>
  <c r="AX171" i="5"/>
  <c r="AW171" i="5"/>
  <c r="AV171" i="5"/>
  <c r="AU171" i="5"/>
  <c r="AT171" i="5"/>
  <c r="AQ171" i="5"/>
  <c r="AP171" i="5"/>
  <c r="AO171" i="5"/>
  <c r="AN171" i="5"/>
  <c r="AM171" i="5"/>
  <c r="AX170" i="5"/>
  <c r="AW170" i="5"/>
  <c r="AV170" i="5"/>
  <c r="AU170" i="5"/>
  <c r="AT170" i="5"/>
  <c r="AQ170" i="5"/>
  <c r="AP170" i="5"/>
  <c r="AO170" i="5"/>
  <c r="AN170" i="5"/>
  <c r="AM170" i="5"/>
  <c r="AX169" i="5"/>
  <c r="AW169" i="5"/>
  <c r="AV169" i="5"/>
  <c r="AU169" i="5"/>
  <c r="AT169" i="5"/>
  <c r="AQ169" i="5"/>
  <c r="AP169" i="5"/>
  <c r="AO169" i="5"/>
  <c r="AN169" i="5"/>
  <c r="AM169" i="5"/>
  <c r="AX168" i="5"/>
  <c r="AW168" i="5"/>
  <c r="AV168" i="5"/>
  <c r="AU168" i="5"/>
  <c r="AT168" i="5"/>
  <c r="AQ168" i="5"/>
  <c r="AP168" i="5"/>
  <c r="AO168" i="5"/>
  <c r="AN168" i="5"/>
  <c r="AM168" i="5"/>
  <c r="AX167" i="5"/>
  <c r="AW167" i="5"/>
  <c r="AV167" i="5"/>
  <c r="AU167" i="5"/>
  <c r="AT167" i="5"/>
  <c r="AQ167" i="5"/>
  <c r="AP167" i="5"/>
  <c r="AO167" i="5"/>
  <c r="AN167" i="5"/>
  <c r="AM167" i="5"/>
  <c r="AX166" i="5"/>
  <c r="AW166" i="5"/>
  <c r="AV166" i="5"/>
  <c r="AU166" i="5"/>
  <c r="AT166" i="5"/>
  <c r="AQ166" i="5"/>
  <c r="AP166" i="5"/>
  <c r="AO166" i="5"/>
  <c r="AN166" i="5"/>
  <c r="AM166" i="5"/>
  <c r="AX165" i="5"/>
  <c r="AW165" i="5"/>
  <c r="AV165" i="5"/>
  <c r="AU165" i="5"/>
  <c r="AT165" i="5"/>
  <c r="AQ165" i="5"/>
  <c r="AP165" i="5"/>
  <c r="AO165" i="5"/>
  <c r="AN165" i="5"/>
  <c r="AM165" i="5"/>
  <c r="AX164" i="5"/>
  <c r="AW164" i="5"/>
  <c r="AV164" i="5"/>
  <c r="AU164" i="5"/>
  <c r="AT164" i="5"/>
  <c r="AQ164" i="5"/>
  <c r="AP164" i="5"/>
  <c r="AO164" i="5"/>
  <c r="AN164" i="5"/>
  <c r="AM164" i="5"/>
  <c r="AX163" i="5"/>
  <c r="AW163" i="5"/>
  <c r="AV163" i="5"/>
  <c r="AU163" i="5"/>
  <c r="AT163" i="5"/>
  <c r="AQ163" i="5"/>
  <c r="AP163" i="5"/>
  <c r="AO163" i="5"/>
  <c r="AN163" i="5"/>
  <c r="AM163" i="5"/>
  <c r="AX162" i="5"/>
  <c r="AW162" i="5"/>
  <c r="AV162" i="5"/>
  <c r="AU162" i="5"/>
  <c r="AT162" i="5"/>
  <c r="AQ162" i="5"/>
  <c r="AP162" i="5"/>
  <c r="AO162" i="5"/>
  <c r="AN162" i="5"/>
  <c r="AM162" i="5"/>
  <c r="AX161" i="5"/>
  <c r="AW161" i="5"/>
  <c r="AV161" i="5"/>
  <c r="AU161" i="5"/>
  <c r="AT161" i="5"/>
  <c r="AQ161" i="5"/>
  <c r="AP161" i="5"/>
  <c r="AO161" i="5"/>
  <c r="AN161" i="5"/>
  <c r="AM161" i="5"/>
  <c r="AX160" i="5"/>
  <c r="AW160" i="5"/>
  <c r="AV160" i="5"/>
  <c r="AU160" i="5"/>
  <c r="AT160" i="5"/>
  <c r="AQ160" i="5"/>
  <c r="AP160" i="5"/>
  <c r="AO160" i="5"/>
  <c r="AN160" i="5"/>
  <c r="AM160" i="5"/>
  <c r="AX159" i="5"/>
  <c r="AW159" i="5"/>
  <c r="AV159" i="5"/>
  <c r="AU159" i="5"/>
  <c r="AT159" i="5"/>
  <c r="AQ159" i="5"/>
  <c r="AP159" i="5"/>
  <c r="AO159" i="5"/>
  <c r="AN159" i="5"/>
  <c r="AM159" i="5"/>
  <c r="AX158" i="5"/>
  <c r="AW158" i="5"/>
  <c r="AV158" i="5"/>
  <c r="AU158" i="5"/>
  <c r="AT158" i="5"/>
  <c r="AQ158" i="5"/>
  <c r="AP158" i="5"/>
  <c r="AO158" i="5"/>
  <c r="AN158" i="5"/>
  <c r="AM158" i="5"/>
  <c r="AX157" i="5"/>
  <c r="AW157" i="5"/>
  <c r="AV157" i="5"/>
  <c r="AU157" i="5"/>
  <c r="AT157" i="5"/>
  <c r="AQ157" i="5"/>
  <c r="AP157" i="5"/>
  <c r="AO157" i="5"/>
  <c r="AN157" i="5"/>
  <c r="AM157" i="5"/>
  <c r="AX156" i="5"/>
  <c r="AW156" i="5"/>
  <c r="AV156" i="5"/>
  <c r="AU156" i="5"/>
  <c r="AT156" i="5"/>
  <c r="AQ156" i="5"/>
  <c r="AP156" i="5"/>
  <c r="AO156" i="5"/>
  <c r="AN156" i="5"/>
  <c r="AM156" i="5"/>
  <c r="AX155" i="5"/>
  <c r="AW155" i="5"/>
  <c r="AV155" i="5"/>
  <c r="AU155" i="5"/>
  <c r="AT155" i="5"/>
  <c r="AQ155" i="5"/>
  <c r="AP155" i="5"/>
  <c r="AO155" i="5"/>
  <c r="AN155" i="5"/>
  <c r="AM155" i="5"/>
  <c r="AX154" i="5"/>
  <c r="AW154" i="5"/>
  <c r="AV154" i="5"/>
  <c r="AU154" i="5"/>
  <c r="AT154" i="5"/>
  <c r="AQ154" i="5"/>
  <c r="AP154" i="5"/>
  <c r="AO154" i="5"/>
  <c r="AN154" i="5"/>
  <c r="AM154" i="5"/>
  <c r="AX153" i="5"/>
  <c r="AW153" i="5"/>
  <c r="AV153" i="5"/>
  <c r="AU153" i="5"/>
  <c r="AT153" i="5"/>
  <c r="AQ153" i="5"/>
  <c r="AP153" i="5"/>
  <c r="AO153" i="5"/>
  <c r="AN153" i="5"/>
  <c r="AM153" i="5"/>
  <c r="AX152" i="5"/>
  <c r="AW152" i="5"/>
  <c r="AV152" i="5"/>
  <c r="AU152" i="5"/>
  <c r="AT152" i="5"/>
  <c r="AQ152" i="5"/>
  <c r="AP152" i="5"/>
  <c r="AO152" i="5"/>
  <c r="AN152" i="5"/>
  <c r="AM152" i="5"/>
  <c r="G152" i="5"/>
  <c r="AX151" i="5"/>
  <c r="AW151" i="5"/>
  <c r="AV151" i="5"/>
  <c r="AU151" i="5"/>
  <c r="AT151" i="5"/>
  <c r="AQ151" i="5"/>
  <c r="AP151" i="5"/>
  <c r="AO151" i="5"/>
  <c r="AN151" i="5"/>
  <c r="AM151" i="5"/>
  <c r="G151" i="5"/>
  <c r="AX150" i="5"/>
  <c r="AW150" i="5"/>
  <c r="AV150" i="5"/>
  <c r="AU150" i="5"/>
  <c r="AT150" i="5"/>
  <c r="AQ150" i="5"/>
  <c r="AP150" i="5"/>
  <c r="AO150" i="5"/>
  <c r="AN150" i="5"/>
  <c r="AM150" i="5"/>
  <c r="G150" i="5"/>
  <c r="AX149" i="5"/>
  <c r="AW149" i="5"/>
  <c r="AV149" i="5"/>
  <c r="AU149" i="5"/>
  <c r="AT149" i="5"/>
  <c r="AQ149" i="5"/>
  <c r="AP149" i="5"/>
  <c r="AO149" i="5"/>
  <c r="AN149" i="5"/>
  <c r="AM149" i="5"/>
  <c r="G149" i="5"/>
  <c r="AX148" i="5"/>
  <c r="AW148" i="5"/>
  <c r="AV148" i="5"/>
  <c r="AU148" i="5"/>
  <c r="AT148" i="5"/>
  <c r="AQ148" i="5"/>
  <c r="AP148" i="5"/>
  <c r="AO148" i="5"/>
  <c r="AN148" i="5"/>
  <c r="AM148" i="5"/>
  <c r="G148" i="5"/>
  <c r="AX147" i="5"/>
  <c r="AW147" i="5"/>
  <c r="AV147" i="5"/>
  <c r="AU147" i="5"/>
  <c r="AT147" i="5"/>
  <c r="AQ147" i="5"/>
  <c r="AP147" i="5"/>
  <c r="AO147" i="5"/>
  <c r="AN147" i="5"/>
  <c r="AM147" i="5"/>
  <c r="G147" i="5"/>
  <c r="AX146" i="5"/>
  <c r="AW146" i="5"/>
  <c r="AV146" i="5"/>
  <c r="AU146" i="5"/>
  <c r="AT146" i="5"/>
  <c r="AQ146" i="5"/>
  <c r="AP146" i="5"/>
  <c r="AO146" i="5"/>
  <c r="AN146" i="5"/>
  <c r="AM146" i="5"/>
  <c r="G146" i="5"/>
  <c r="AX145" i="5"/>
  <c r="AW145" i="5"/>
  <c r="AV145" i="5"/>
  <c r="AU145" i="5"/>
  <c r="AT145" i="5"/>
  <c r="AQ145" i="5"/>
  <c r="AP145" i="5"/>
  <c r="AO145" i="5"/>
  <c r="AN145" i="5"/>
  <c r="AM145" i="5"/>
  <c r="G145" i="5"/>
  <c r="AX144" i="5"/>
  <c r="AW144" i="5"/>
  <c r="AV144" i="5"/>
  <c r="AU144" i="5"/>
  <c r="AT144" i="5"/>
  <c r="AQ144" i="5"/>
  <c r="AP144" i="5"/>
  <c r="AO144" i="5"/>
  <c r="AN144" i="5"/>
  <c r="AM144" i="5"/>
  <c r="G144" i="5"/>
  <c r="AX143" i="5"/>
  <c r="AW143" i="5"/>
  <c r="AV143" i="5"/>
  <c r="AU143" i="5"/>
  <c r="AT143" i="5"/>
  <c r="AQ143" i="5"/>
  <c r="AP143" i="5"/>
  <c r="AO143" i="5"/>
  <c r="AN143" i="5"/>
  <c r="AM143" i="5"/>
  <c r="G143" i="5"/>
  <c r="AX142" i="5"/>
  <c r="AW142" i="5"/>
  <c r="AV142" i="5"/>
  <c r="AU142" i="5"/>
  <c r="AT142" i="5"/>
  <c r="AQ142" i="5"/>
  <c r="AP142" i="5"/>
  <c r="AO142" i="5"/>
  <c r="AN142" i="5"/>
  <c r="AM142" i="5"/>
  <c r="G142" i="5"/>
  <c r="AX141" i="5"/>
  <c r="AW141" i="5"/>
  <c r="AV141" i="5"/>
  <c r="AU141" i="5"/>
  <c r="AT141" i="5"/>
  <c r="AQ141" i="5"/>
  <c r="AP141" i="5"/>
  <c r="AO141" i="5"/>
  <c r="AN141" i="5"/>
  <c r="AM141" i="5"/>
  <c r="G141" i="5"/>
  <c r="AX140" i="5"/>
  <c r="AW140" i="5"/>
  <c r="AV140" i="5"/>
  <c r="AU140" i="5"/>
  <c r="AT140" i="5"/>
  <c r="AQ140" i="5"/>
  <c r="AP140" i="5"/>
  <c r="AO140" i="5"/>
  <c r="AN140" i="5"/>
  <c r="AM140" i="5"/>
  <c r="G140" i="5"/>
  <c r="AX139" i="5"/>
  <c r="AW139" i="5"/>
  <c r="AV139" i="5"/>
  <c r="AU139" i="5"/>
  <c r="AT139" i="5"/>
  <c r="AQ139" i="5"/>
  <c r="AP139" i="5"/>
  <c r="AO139" i="5"/>
  <c r="AN139" i="5"/>
  <c r="AM139" i="5"/>
  <c r="G139" i="5"/>
  <c r="AX138" i="5"/>
  <c r="AW138" i="5"/>
  <c r="AV138" i="5"/>
  <c r="AU138" i="5"/>
  <c r="AT138" i="5"/>
  <c r="AQ138" i="5"/>
  <c r="AP138" i="5"/>
  <c r="AO138" i="5"/>
  <c r="AN138" i="5"/>
  <c r="AM138" i="5"/>
  <c r="G138" i="5"/>
  <c r="AX137" i="5"/>
  <c r="AW137" i="5"/>
  <c r="AV137" i="5"/>
  <c r="AU137" i="5"/>
  <c r="AT137" i="5"/>
  <c r="AQ137" i="5"/>
  <c r="AP137" i="5"/>
  <c r="AO137" i="5"/>
  <c r="AN137" i="5"/>
  <c r="AM137" i="5"/>
  <c r="G137" i="5"/>
  <c r="AX136" i="5"/>
  <c r="AW136" i="5"/>
  <c r="AV136" i="5"/>
  <c r="AU136" i="5"/>
  <c r="AT136" i="5"/>
  <c r="AQ136" i="5"/>
  <c r="AP136" i="5"/>
  <c r="AO136" i="5"/>
  <c r="AN136" i="5"/>
  <c r="AM136" i="5"/>
  <c r="G136" i="5"/>
  <c r="AX135" i="5"/>
  <c r="AW135" i="5"/>
  <c r="AV135" i="5"/>
  <c r="AU135" i="5"/>
  <c r="AT135" i="5"/>
  <c r="AQ135" i="5"/>
  <c r="AP135" i="5"/>
  <c r="AO135" i="5"/>
  <c r="AN135" i="5"/>
  <c r="AM135" i="5"/>
  <c r="G135" i="5"/>
  <c r="AX134" i="5"/>
  <c r="AW134" i="5"/>
  <c r="AV134" i="5"/>
  <c r="AU134" i="5"/>
  <c r="AT134" i="5"/>
  <c r="AQ134" i="5"/>
  <c r="AP134" i="5"/>
  <c r="AO134" i="5"/>
  <c r="AN134" i="5"/>
  <c r="AM134" i="5"/>
  <c r="G134" i="5"/>
  <c r="AX133" i="5"/>
  <c r="AW133" i="5"/>
  <c r="AV133" i="5"/>
  <c r="AU133" i="5"/>
  <c r="AT133" i="5"/>
  <c r="AQ133" i="5"/>
  <c r="AP133" i="5"/>
  <c r="AO133" i="5"/>
  <c r="AN133" i="5"/>
  <c r="AM133" i="5"/>
  <c r="G133" i="5"/>
  <c r="AX132" i="5"/>
  <c r="AW132" i="5"/>
  <c r="AV132" i="5"/>
  <c r="AU132" i="5"/>
  <c r="AT132" i="5"/>
  <c r="AQ132" i="5"/>
  <c r="AP132" i="5"/>
  <c r="AO132" i="5"/>
  <c r="AN132" i="5"/>
  <c r="AM132" i="5"/>
  <c r="G132" i="5"/>
  <c r="AX131" i="5"/>
  <c r="AW131" i="5"/>
  <c r="AV131" i="5"/>
  <c r="AU131" i="5"/>
  <c r="AT131" i="5"/>
  <c r="AQ131" i="5"/>
  <c r="AP131" i="5"/>
  <c r="AO131" i="5"/>
  <c r="AN131" i="5"/>
  <c r="AM131" i="5"/>
  <c r="G131" i="5"/>
  <c r="AX130" i="5"/>
  <c r="AW130" i="5"/>
  <c r="AV130" i="5"/>
  <c r="AU130" i="5"/>
  <c r="AT130" i="5"/>
  <c r="AQ130" i="5"/>
  <c r="AP130" i="5"/>
  <c r="AO130" i="5"/>
  <c r="AN130" i="5"/>
  <c r="AM130" i="5"/>
  <c r="G130" i="5"/>
  <c r="AX129" i="5"/>
  <c r="AW129" i="5"/>
  <c r="AV129" i="5"/>
  <c r="AU129" i="5"/>
  <c r="AT129" i="5"/>
  <c r="AQ129" i="5"/>
  <c r="AP129" i="5"/>
  <c r="AO129" i="5"/>
  <c r="AN129" i="5"/>
  <c r="AM129" i="5"/>
  <c r="G129" i="5"/>
  <c r="AX128" i="5"/>
  <c r="AW128" i="5"/>
  <c r="AV128" i="5"/>
  <c r="AU128" i="5"/>
  <c r="AT128" i="5"/>
  <c r="AQ128" i="5"/>
  <c r="AP128" i="5"/>
  <c r="AO128" i="5"/>
  <c r="AN128" i="5"/>
  <c r="AM128" i="5"/>
  <c r="G128" i="5"/>
  <c r="AX127" i="5"/>
  <c r="AW127" i="5"/>
  <c r="AV127" i="5"/>
  <c r="AU127" i="5"/>
  <c r="AT127" i="5"/>
  <c r="AQ127" i="5"/>
  <c r="AP127" i="5"/>
  <c r="AO127" i="5"/>
  <c r="AN127" i="5"/>
  <c r="AM127" i="5"/>
  <c r="G127" i="5"/>
  <c r="AX126" i="5"/>
  <c r="AW126" i="5"/>
  <c r="AV126" i="5"/>
  <c r="AU126" i="5"/>
  <c r="AT126" i="5"/>
  <c r="AQ126" i="5"/>
  <c r="AP126" i="5"/>
  <c r="AO126" i="5"/>
  <c r="AN126" i="5"/>
  <c r="AM126" i="5"/>
  <c r="G126" i="5"/>
  <c r="AX125" i="5"/>
  <c r="AW125" i="5"/>
  <c r="AV125" i="5"/>
  <c r="AU125" i="5"/>
  <c r="AT125" i="5"/>
  <c r="AQ125" i="5"/>
  <c r="AP125" i="5"/>
  <c r="AO125" i="5"/>
  <c r="AN125" i="5"/>
  <c r="AM125" i="5"/>
  <c r="G125" i="5"/>
  <c r="AX124" i="5"/>
  <c r="AW124" i="5"/>
  <c r="AV124" i="5"/>
  <c r="AU124" i="5"/>
  <c r="AT124" i="5"/>
  <c r="AQ124" i="5"/>
  <c r="AP124" i="5"/>
  <c r="AO124" i="5"/>
  <c r="AN124" i="5"/>
  <c r="AM124" i="5"/>
  <c r="G124" i="5"/>
  <c r="AX123" i="5"/>
  <c r="AW123" i="5"/>
  <c r="AV123" i="5"/>
  <c r="AU123" i="5"/>
  <c r="AT123" i="5"/>
  <c r="AQ123" i="5"/>
  <c r="AP123" i="5"/>
  <c r="AO123" i="5"/>
  <c r="AN123" i="5"/>
  <c r="AM123" i="5"/>
  <c r="G123" i="5"/>
  <c r="AX122" i="5"/>
  <c r="AW122" i="5"/>
  <c r="AV122" i="5"/>
  <c r="AU122" i="5"/>
  <c r="AT122" i="5"/>
  <c r="AQ122" i="5"/>
  <c r="AP122" i="5"/>
  <c r="AO122" i="5"/>
  <c r="AN122" i="5"/>
  <c r="AM122" i="5"/>
  <c r="G122" i="5"/>
  <c r="AX121" i="5"/>
  <c r="AW121" i="5"/>
  <c r="AV121" i="5"/>
  <c r="AU121" i="5"/>
  <c r="AT121" i="5"/>
  <c r="AQ121" i="5"/>
  <c r="AP121" i="5"/>
  <c r="AO121" i="5"/>
  <c r="AN121" i="5"/>
  <c r="AM121" i="5"/>
  <c r="G121" i="5"/>
  <c r="AX120" i="5"/>
  <c r="AW120" i="5"/>
  <c r="AV120" i="5"/>
  <c r="AU120" i="5"/>
  <c r="AT120" i="5"/>
  <c r="AQ120" i="5"/>
  <c r="AP120" i="5"/>
  <c r="AO120" i="5"/>
  <c r="AN120" i="5"/>
  <c r="AM120" i="5"/>
  <c r="G120" i="5"/>
  <c r="AX119" i="5"/>
  <c r="AW119" i="5"/>
  <c r="AV119" i="5"/>
  <c r="AU119" i="5"/>
  <c r="AT119" i="5"/>
  <c r="AQ119" i="5"/>
  <c r="AP119" i="5"/>
  <c r="AO119" i="5"/>
  <c r="AN119" i="5"/>
  <c r="AM119" i="5"/>
  <c r="G119" i="5"/>
  <c r="AX118" i="5"/>
  <c r="AW118" i="5"/>
  <c r="AV118" i="5"/>
  <c r="AU118" i="5"/>
  <c r="AT118" i="5"/>
  <c r="AQ118" i="5"/>
  <c r="AP118" i="5"/>
  <c r="AO118" i="5"/>
  <c r="AN118" i="5"/>
  <c r="AM118" i="5"/>
  <c r="G118" i="5"/>
  <c r="AX117" i="5"/>
  <c r="AW117" i="5"/>
  <c r="AV117" i="5"/>
  <c r="AU117" i="5"/>
  <c r="AT117" i="5"/>
  <c r="AQ117" i="5"/>
  <c r="AP117" i="5"/>
  <c r="AO117" i="5"/>
  <c r="AN117" i="5"/>
  <c r="AM117" i="5"/>
  <c r="G117" i="5"/>
  <c r="AX116" i="5"/>
  <c r="AW116" i="5"/>
  <c r="AV116" i="5"/>
  <c r="AU116" i="5"/>
  <c r="AT116" i="5"/>
  <c r="AQ116" i="5"/>
  <c r="AP116" i="5"/>
  <c r="AO116" i="5"/>
  <c r="AN116" i="5"/>
  <c r="AM116" i="5"/>
  <c r="G116" i="5"/>
  <c r="AX115" i="5"/>
  <c r="AW115" i="5"/>
  <c r="AV115" i="5"/>
  <c r="AU115" i="5"/>
  <c r="AT115" i="5"/>
  <c r="AQ115" i="5"/>
  <c r="AP115" i="5"/>
  <c r="AO115" i="5"/>
  <c r="AN115" i="5"/>
  <c r="AM115" i="5"/>
  <c r="G115" i="5"/>
  <c r="AX114" i="5"/>
  <c r="AW114" i="5"/>
  <c r="AV114" i="5"/>
  <c r="AU114" i="5"/>
  <c r="AT114" i="5"/>
  <c r="AQ114" i="5"/>
  <c r="AP114" i="5"/>
  <c r="AO114" i="5"/>
  <c r="AN114" i="5"/>
  <c r="AM114" i="5"/>
  <c r="G114" i="5"/>
  <c r="AX113" i="5"/>
  <c r="AW113" i="5"/>
  <c r="AV113" i="5"/>
  <c r="AU113" i="5"/>
  <c r="AT113" i="5"/>
  <c r="AQ113" i="5"/>
  <c r="AP113" i="5"/>
  <c r="AO113" i="5"/>
  <c r="AN113" i="5"/>
  <c r="AM113" i="5"/>
  <c r="AA113" i="5"/>
  <c r="Z113" i="5"/>
  <c r="Y113" i="5"/>
  <c r="X113" i="5"/>
  <c r="W113" i="5"/>
  <c r="T113" i="5"/>
  <c r="S113" i="5"/>
  <c r="R113" i="5"/>
  <c r="Q113" i="5"/>
  <c r="P113" i="5"/>
  <c r="G113" i="5"/>
  <c r="AX112" i="5"/>
  <c r="AW112" i="5"/>
  <c r="AV112" i="5"/>
  <c r="AU112" i="5"/>
  <c r="AT112" i="5"/>
  <c r="AQ112" i="5"/>
  <c r="AP112" i="5"/>
  <c r="AO112" i="5"/>
  <c r="AN112" i="5"/>
  <c r="AM112" i="5"/>
  <c r="AA112" i="5"/>
  <c r="Z112" i="5"/>
  <c r="Y112" i="5"/>
  <c r="X112" i="5"/>
  <c r="W112" i="5"/>
  <c r="T112" i="5"/>
  <c r="S112" i="5"/>
  <c r="R112" i="5"/>
  <c r="Q112" i="5"/>
  <c r="P112" i="5"/>
  <c r="G112" i="5"/>
  <c r="AX111" i="5"/>
  <c r="AW111" i="5"/>
  <c r="AV111" i="5"/>
  <c r="AU111" i="5"/>
  <c r="AT111" i="5"/>
  <c r="AQ111" i="5"/>
  <c r="AP111" i="5"/>
  <c r="AO111" i="5"/>
  <c r="AN111" i="5"/>
  <c r="AM111" i="5"/>
  <c r="AA111" i="5"/>
  <c r="Z111" i="5"/>
  <c r="Y111" i="5"/>
  <c r="X111" i="5"/>
  <c r="W111" i="5"/>
  <c r="T111" i="5"/>
  <c r="S111" i="5"/>
  <c r="R111" i="5"/>
  <c r="Q111" i="5"/>
  <c r="P111" i="5"/>
  <c r="G111" i="5"/>
  <c r="AX110" i="5"/>
  <c r="AW110" i="5"/>
  <c r="AV110" i="5"/>
  <c r="AU110" i="5"/>
  <c r="AT110" i="5"/>
  <c r="AQ110" i="5"/>
  <c r="AP110" i="5"/>
  <c r="AO110" i="5"/>
  <c r="AN110" i="5"/>
  <c r="AM110" i="5"/>
  <c r="AA110" i="5"/>
  <c r="Z110" i="5"/>
  <c r="Y110" i="5"/>
  <c r="X110" i="5"/>
  <c r="W110" i="5"/>
  <c r="T110" i="5"/>
  <c r="S110" i="5"/>
  <c r="R110" i="5"/>
  <c r="Q110" i="5"/>
  <c r="P110" i="5"/>
  <c r="G110" i="5"/>
  <c r="AX109" i="5"/>
  <c r="AW109" i="5"/>
  <c r="AV109" i="5"/>
  <c r="AU109" i="5"/>
  <c r="AT109" i="5"/>
  <c r="AQ109" i="5"/>
  <c r="AP109" i="5"/>
  <c r="AO109" i="5"/>
  <c r="AN109" i="5"/>
  <c r="AM109" i="5"/>
  <c r="AA109" i="5"/>
  <c r="Z109" i="5"/>
  <c r="Y109" i="5"/>
  <c r="X109" i="5"/>
  <c r="W109" i="5"/>
  <c r="T109" i="5"/>
  <c r="S109" i="5"/>
  <c r="R109" i="5"/>
  <c r="Q109" i="5"/>
  <c r="P109" i="5"/>
  <c r="G109" i="5"/>
  <c r="AX108" i="5"/>
  <c r="AW108" i="5"/>
  <c r="AV108" i="5"/>
  <c r="AU108" i="5"/>
  <c r="AT108" i="5"/>
  <c r="AQ108" i="5"/>
  <c r="AP108" i="5"/>
  <c r="AO108" i="5"/>
  <c r="AN108" i="5"/>
  <c r="AM108" i="5"/>
  <c r="AA108" i="5"/>
  <c r="Z108" i="5"/>
  <c r="Y108" i="5"/>
  <c r="X108" i="5"/>
  <c r="W108" i="5"/>
  <c r="T108" i="5"/>
  <c r="S108" i="5"/>
  <c r="R108" i="5"/>
  <c r="Q108" i="5"/>
  <c r="P108" i="5"/>
  <c r="G108" i="5"/>
  <c r="AX107" i="5"/>
  <c r="AW107" i="5"/>
  <c r="AV107" i="5"/>
  <c r="AU107" i="5"/>
  <c r="AT107" i="5"/>
  <c r="AQ107" i="5"/>
  <c r="AP107" i="5"/>
  <c r="AO107" i="5"/>
  <c r="AN107" i="5"/>
  <c r="AM107" i="5"/>
  <c r="AA107" i="5"/>
  <c r="Z107" i="5"/>
  <c r="Y107" i="5"/>
  <c r="X107" i="5"/>
  <c r="W107" i="5"/>
  <c r="T107" i="5"/>
  <c r="S107" i="5"/>
  <c r="R107" i="5"/>
  <c r="Q107" i="5"/>
  <c r="P107" i="5"/>
  <c r="G107" i="5"/>
  <c r="AX106" i="5"/>
  <c r="AW106" i="5"/>
  <c r="AV106" i="5"/>
  <c r="AU106" i="5"/>
  <c r="AT106" i="5"/>
  <c r="AQ106" i="5"/>
  <c r="AP106" i="5"/>
  <c r="AO106" i="5"/>
  <c r="AN106" i="5"/>
  <c r="AM106" i="5"/>
  <c r="AA106" i="5"/>
  <c r="Z106" i="5"/>
  <c r="Y106" i="5"/>
  <c r="X106" i="5"/>
  <c r="W106" i="5"/>
  <c r="T106" i="5"/>
  <c r="S106" i="5"/>
  <c r="R106" i="5"/>
  <c r="Q106" i="5"/>
  <c r="P106" i="5"/>
  <c r="G106" i="5"/>
  <c r="AX105" i="5"/>
  <c r="AW105" i="5"/>
  <c r="AV105" i="5"/>
  <c r="AU105" i="5"/>
  <c r="AT105" i="5"/>
  <c r="AQ105" i="5"/>
  <c r="AP105" i="5"/>
  <c r="AO105" i="5"/>
  <c r="AN105" i="5"/>
  <c r="AM105" i="5"/>
  <c r="AA105" i="5"/>
  <c r="Z105" i="5"/>
  <c r="Y105" i="5"/>
  <c r="X105" i="5"/>
  <c r="W105" i="5"/>
  <c r="T105" i="5"/>
  <c r="S105" i="5"/>
  <c r="R105" i="5"/>
  <c r="Q105" i="5"/>
  <c r="P105" i="5"/>
  <c r="G105" i="5"/>
  <c r="AX104" i="5"/>
  <c r="AW104" i="5"/>
  <c r="AV104" i="5"/>
  <c r="AU104" i="5"/>
  <c r="AT104" i="5"/>
  <c r="AQ104" i="5"/>
  <c r="AP104" i="5"/>
  <c r="AO104" i="5"/>
  <c r="AN104" i="5"/>
  <c r="AM104" i="5"/>
  <c r="AA104" i="5"/>
  <c r="Z104" i="5"/>
  <c r="Y104" i="5"/>
  <c r="X104" i="5"/>
  <c r="W104" i="5"/>
  <c r="T104" i="5"/>
  <c r="S104" i="5"/>
  <c r="R104" i="5"/>
  <c r="Q104" i="5"/>
  <c r="P104" i="5"/>
  <c r="G104" i="5"/>
  <c r="AX103" i="5"/>
  <c r="AW103" i="5"/>
  <c r="AV103" i="5"/>
  <c r="AU103" i="5"/>
  <c r="AT103" i="5"/>
  <c r="AQ103" i="5"/>
  <c r="AP103" i="5"/>
  <c r="AO103" i="5"/>
  <c r="AN103" i="5"/>
  <c r="AM103" i="5"/>
  <c r="AA103" i="5"/>
  <c r="Z103" i="5"/>
  <c r="Y103" i="5"/>
  <c r="X103" i="5"/>
  <c r="W103" i="5"/>
  <c r="T103" i="5"/>
  <c r="S103" i="5"/>
  <c r="R103" i="5"/>
  <c r="Q103" i="5"/>
  <c r="P103" i="5"/>
  <c r="G103" i="5"/>
  <c r="AX102" i="5"/>
  <c r="AW102" i="5"/>
  <c r="AV102" i="5"/>
  <c r="AU102" i="5"/>
  <c r="AT102" i="5"/>
  <c r="AQ102" i="5"/>
  <c r="AP102" i="5"/>
  <c r="AO102" i="5"/>
  <c r="AN102" i="5"/>
  <c r="AM102" i="5"/>
  <c r="AA102" i="5"/>
  <c r="Z102" i="5"/>
  <c r="Y102" i="5"/>
  <c r="X102" i="5"/>
  <c r="W102" i="5"/>
  <c r="T102" i="5"/>
  <c r="S102" i="5"/>
  <c r="R102" i="5"/>
  <c r="Q102" i="5"/>
  <c r="P102" i="5"/>
  <c r="G102" i="5"/>
  <c r="AX101" i="5"/>
  <c r="AW101" i="5"/>
  <c r="AV101" i="5"/>
  <c r="AU101" i="5"/>
  <c r="AT101" i="5"/>
  <c r="AQ101" i="5"/>
  <c r="AP101" i="5"/>
  <c r="AO101" i="5"/>
  <c r="AN101" i="5"/>
  <c r="AM101" i="5"/>
  <c r="AA101" i="5"/>
  <c r="Z101" i="5"/>
  <c r="Y101" i="5"/>
  <c r="X101" i="5"/>
  <c r="W101" i="5"/>
  <c r="T101" i="5"/>
  <c r="S101" i="5"/>
  <c r="R101" i="5"/>
  <c r="Q101" i="5"/>
  <c r="P101" i="5"/>
  <c r="G101" i="5"/>
  <c r="AX100" i="5"/>
  <c r="AW100" i="5"/>
  <c r="AV100" i="5"/>
  <c r="AU100" i="5"/>
  <c r="AT100" i="5"/>
  <c r="AQ100" i="5"/>
  <c r="AP100" i="5"/>
  <c r="AO100" i="5"/>
  <c r="AN100" i="5"/>
  <c r="AM100" i="5"/>
  <c r="AA100" i="5"/>
  <c r="Z100" i="5"/>
  <c r="Y100" i="5"/>
  <c r="X100" i="5"/>
  <c r="W100" i="5"/>
  <c r="T100" i="5"/>
  <c r="S100" i="5"/>
  <c r="R100" i="5"/>
  <c r="Q100" i="5"/>
  <c r="P100" i="5"/>
  <c r="G100" i="5"/>
  <c r="AX99" i="5"/>
  <c r="AW99" i="5"/>
  <c r="AV99" i="5"/>
  <c r="AU99" i="5"/>
  <c r="AT99" i="5"/>
  <c r="AQ99" i="5"/>
  <c r="AP99" i="5"/>
  <c r="AO99" i="5"/>
  <c r="AN99" i="5"/>
  <c r="AM99" i="5"/>
  <c r="AA99" i="5"/>
  <c r="Z99" i="5"/>
  <c r="Y99" i="5"/>
  <c r="X99" i="5"/>
  <c r="W99" i="5"/>
  <c r="T99" i="5"/>
  <c r="S99" i="5"/>
  <c r="R99" i="5"/>
  <c r="Q99" i="5"/>
  <c r="P99" i="5"/>
  <c r="G99" i="5"/>
  <c r="AX98" i="5"/>
  <c r="AW98" i="5"/>
  <c r="AV98" i="5"/>
  <c r="AU98" i="5"/>
  <c r="AT98" i="5"/>
  <c r="AQ98" i="5"/>
  <c r="AP98" i="5"/>
  <c r="AO98" i="5"/>
  <c r="AN98" i="5"/>
  <c r="AM98" i="5"/>
  <c r="AA98" i="5"/>
  <c r="Z98" i="5"/>
  <c r="Y98" i="5"/>
  <c r="X98" i="5"/>
  <c r="W98" i="5"/>
  <c r="T98" i="5"/>
  <c r="S98" i="5"/>
  <c r="R98" i="5"/>
  <c r="Q98" i="5"/>
  <c r="P98" i="5"/>
  <c r="G98" i="5"/>
  <c r="AX97" i="5"/>
  <c r="AW97" i="5"/>
  <c r="AV97" i="5"/>
  <c r="AU97" i="5"/>
  <c r="AT97" i="5"/>
  <c r="AQ97" i="5"/>
  <c r="AP97" i="5"/>
  <c r="AO97" i="5"/>
  <c r="AN97" i="5"/>
  <c r="AM97" i="5"/>
  <c r="AA97" i="5"/>
  <c r="Z97" i="5"/>
  <c r="Y97" i="5"/>
  <c r="X97" i="5"/>
  <c r="W97" i="5"/>
  <c r="T97" i="5"/>
  <c r="S97" i="5"/>
  <c r="R97" i="5"/>
  <c r="Q97" i="5"/>
  <c r="P97" i="5"/>
  <c r="G97" i="5"/>
  <c r="AX96" i="5"/>
  <c r="AW96" i="5"/>
  <c r="AV96" i="5"/>
  <c r="AU96" i="5"/>
  <c r="AT96" i="5"/>
  <c r="AQ96" i="5"/>
  <c r="AP96" i="5"/>
  <c r="AO96" i="5"/>
  <c r="AN96" i="5"/>
  <c r="AM96" i="5"/>
  <c r="AA96" i="5"/>
  <c r="Z96" i="5"/>
  <c r="Y96" i="5"/>
  <c r="X96" i="5"/>
  <c r="W96" i="5"/>
  <c r="T96" i="5"/>
  <c r="S96" i="5"/>
  <c r="R96" i="5"/>
  <c r="Q96" i="5"/>
  <c r="P96" i="5"/>
  <c r="G96" i="5"/>
  <c r="AX95" i="5"/>
  <c r="AW95" i="5"/>
  <c r="AV95" i="5"/>
  <c r="AU95" i="5"/>
  <c r="AT95" i="5"/>
  <c r="AQ95" i="5"/>
  <c r="AP95" i="5"/>
  <c r="AO95" i="5"/>
  <c r="AN95" i="5"/>
  <c r="AM95" i="5"/>
  <c r="AA95" i="5"/>
  <c r="Z95" i="5"/>
  <c r="Y95" i="5"/>
  <c r="X95" i="5"/>
  <c r="W95" i="5"/>
  <c r="T95" i="5"/>
  <c r="S95" i="5"/>
  <c r="R95" i="5"/>
  <c r="Q95" i="5"/>
  <c r="P95" i="5"/>
  <c r="G95" i="5"/>
  <c r="AX94" i="5"/>
  <c r="AW94" i="5"/>
  <c r="AV94" i="5"/>
  <c r="AU94" i="5"/>
  <c r="AT94" i="5"/>
  <c r="AQ94" i="5"/>
  <c r="AP94" i="5"/>
  <c r="AO94" i="5"/>
  <c r="AN94" i="5"/>
  <c r="AM94" i="5"/>
  <c r="AA94" i="5"/>
  <c r="Z94" i="5"/>
  <c r="Y94" i="5"/>
  <c r="X94" i="5"/>
  <c r="W94" i="5"/>
  <c r="T94" i="5"/>
  <c r="S94" i="5"/>
  <c r="R94" i="5"/>
  <c r="Q94" i="5"/>
  <c r="P94" i="5"/>
  <c r="G94" i="5"/>
  <c r="AX93" i="5"/>
  <c r="AW93" i="5"/>
  <c r="AV93" i="5"/>
  <c r="AU93" i="5"/>
  <c r="AT93" i="5"/>
  <c r="AQ93" i="5"/>
  <c r="AP93" i="5"/>
  <c r="AO93" i="5"/>
  <c r="AN93" i="5"/>
  <c r="AM93" i="5"/>
  <c r="AA93" i="5"/>
  <c r="Z93" i="5"/>
  <c r="Y93" i="5"/>
  <c r="X93" i="5"/>
  <c r="W93" i="5"/>
  <c r="T93" i="5"/>
  <c r="S93" i="5"/>
  <c r="R93" i="5"/>
  <c r="Q93" i="5"/>
  <c r="P93" i="5"/>
  <c r="G93" i="5"/>
  <c r="AX92" i="5"/>
  <c r="AW92" i="5"/>
  <c r="AV92" i="5"/>
  <c r="AU92" i="5"/>
  <c r="AT92" i="5"/>
  <c r="AQ92" i="5"/>
  <c r="AP92" i="5"/>
  <c r="AO92" i="5"/>
  <c r="AN92" i="5"/>
  <c r="AM92" i="5"/>
  <c r="AA92" i="5"/>
  <c r="Z92" i="5"/>
  <c r="Y92" i="5"/>
  <c r="X92" i="5"/>
  <c r="W92" i="5"/>
  <c r="T92" i="5"/>
  <c r="S92" i="5"/>
  <c r="R92" i="5"/>
  <c r="Q92" i="5"/>
  <c r="P92" i="5"/>
  <c r="G92" i="5"/>
  <c r="AX91" i="5"/>
  <c r="AW91" i="5"/>
  <c r="AV91" i="5"/>
  <c r="AU91" i="5"/>
  <c r="AT91" i="5"/>
  <c r="AQ91" i="5"/>
  <c r="AP91" i="5"/>
  <c r="AO91" i="5"/>
  <c r="AN91" i="5"/>
  <c r="AM91" i="5"/>
  <c r="AA91" i="5"/>
  <c r="Z91" i="5"/>
  <c r="Y91" i="5"/>
  <c r="X91" i="5"/>
  <c r="W91" i="5"/>
  <c r="T91" i="5"/>
  <c r="S91" i="5"/>
  <c r="R91" i="5"/>
  <c r="Q91" i="5"/>
  <c r="P91" i="5"/>
  <c r="G91" i="5"/>
  <c r="AX90" i="5"/>
  <c r="AW90" i="5"/>
  <c r="AV90" i="5"/>
  <c r="AU90" i="5"/>
  <c r="AT90" i="5"/>
  <c r="AQ90" i="5"/>
  <c r="AP90" i="5"/>
  <c r="AO90" i="5"/>
  <c r="AN90" i="5"/>
  <c r="AM90" i="5"/>
  <c r="AA90" i="5"/>
  <c r="Z90" i="5"/>
  <c r="Y90" i="5"/>
  <c r="X90" i="5"/>
  <c r="W90" i="5"/>
  <c r="T90" i="5"/>
  <c r="S90" i="5"/>
  <c r="R90" i="5"/>
  <c r="Q90" i="5"/>
  <c r="P90" i="5"/>
  <c r="G90" i="5"/>
  <c r="AX89" i="5"/>
  <c r="AW89" i="5"/>
  <c r="AV89" i="5"/>
  <c r="AU89" i="5"/>
  <c r="AT89" i="5"/>
  <c r="AQ89" i="5"/>
  <c r="AP89" i="5"/>
  <c r="AO89" i="5"/>
  <c r="AN89" i="5"/>
  <c r="AM89" i="5"/>
  <c r="AA89" i="5"/>
  <c r="Z89" i="5"/>
  <c r="Y89" i="5"/>
  <c r="X89" i="5"/>
  <c r="W89" i="5"/>
  <c r="T89" i="5"/>
  <c r="S89" i="5"/>
  <c r="R89" i="5"/>
  <c r="Q89" i="5"/>
  <c r="P89" i="5"/>
  <c r="G89" i="5"/>
  <c r="AX88" i="5"/>
  <c r="AW88" i="5"/>
  <c r="AV88" i="5"/>
  <c r="AU88" i="5"/>
  <c r="AT88" i="5"/>
  <c r="AQ88" i="5"/>
  <c r="AP88" i="5"/>
  <c r="AO88" i="5"/>
  <c r="AN88" i="5"/>
  <c r="AM88" i="5"/>
  <c r="AA88" i="5"/>
  <c r="Z88" i="5"/>
  <c r="Y88" i="5"/>
  <c r="X88" i="5"/>
  <c r="W88" i="5"/>
  <c r="T88" i="5"/>
  <c r="S88" i="5"/>
  <c r="R88" i="5"/>
  <c r="Q88" i="5"/>
  <c r="P88" i="5"/>
  <c r="G88" i="5"/>
  <c r="AX87" i="5"/>
  <c r="AW87" i="5"/>
  <c r="AV87" i="5"/>
  <c r="AU87" i="5"/>
  <c r="AT87" i="5"/>
  <c r="AQ87" i="5"/>
  <c r="AP87" i="5"/>
  <c r="AO87" i="5"/>
  <c r="AN87" i="5"/>
  <c r="AM87" i="5"/>
  <c r="AA87" i="5"/>
  <c r="Z87" i="5"/>
  <c r="Y87" i="5"/>
  <c r="X87" i="5"/>
  <c r="W87" i="5"/>
  <c r="T87" i="5"/>
  <c r="S87" i="5"/>
  <c r="R87" i="5"/>
  <c r="Q87" i="5"/>
  <c r="P87" i="5"/>
  <c r="G87" i="5"/>
  <c r="AX86" i="5"/>
  <c r="AW86" i="5"/>
  <c r="AV86" i="5"/>
  <c r="AU86" i="5"/>
  <c r="AT86" i="5"/>
  <c r="AQ86" i="5"/>
  <c r="AP86" i="5"/>
  <c r="AO86" i="5"/>
  <c r="AN86" i="5"/>
  <c r="AM86" i="5"/>
  <c r="AA86" i="5"/>
  <c r="Z86" i="5"/>
  <c r="Y86" i="5"/>
  <c r="X86" i="5"/>
  <c r="W86" i="5"/>
  <c r="T86" i="5"/>
  <c r="S86" i="5"/>
  <c r="R86" i="5"/>
  <c r="Q86" i="5"/>
  <c r="P86" i="5"/>
  <c r="G86" i="5"/>
  <c r="AX85" i="5"/>
  <c r="AW85" i="5"/>
  <c r="AV85" i="5"/>
  <c r="AU85" i="5"/>
  <c r="AT85" i="5"/>
  <c r="AQ85" i="5"/>
  <c r="AP85" i="5"/>
  <c r="AO85" i="5"/>
  <c r="AN85" i="5"/>
  <c r="AM85" i="5"/>
  <c r="AA85" i="5"/>
  <c r="Z85" i="5"/>
  <c r="Y85" i="5"/>
  <c r="X85" i="5"/>
  <c r="W85" i="5"/>
  <c r="T85" i="5"/>
  <c r="S85" i="5"/>
  <c r="R85" i="5"/>
  <c r="Q85" i="5"/>
  <c r="P85" i="5"/>
  <c r="G85" i="5"/>
  <c r="AX84" i="5"/>
  <c r="AW84" i="5"/>
  <c r="AV84" i="5"/>
  <c r="AU84" i="5"/>
  <c r="AT84" i="5"/>
  <c r="AQ84" i="5"/>
  <c r="AP84" i="5"/>
  <c r="AO84" i="5"/>
  <c r="AN84" i="5"/>
  <c r="AM84" i="5"/>
  <c r="AA84" i="5"/>
  <c r="Z84" i="5"/>
  <c r="Y84" i="5"/>
  <c r="X84" i="5"/>
  <c r="W84" i="5"/>
  <c r="T84" i="5"/>
  <c r="S84" i="5"/>
  <c r="R84" i="5"/>
  <c r="Q84" i="5"/>
  <c r="P84" i="5"/>
  <c r="G84" i="5"/>
  <c r="AX83" i="5"/>
  <c r="AW83" i="5"/>
  <c r="AV83" i="5"/>
  <c r="AU83" i="5"/>
  <c r="AT83" i="5"/>
  <c r="AQ83" i="5"/>
  <c r="AP83" i="5"/>
  <c r="AO83" i="5"/>
  <c r="AN83" i="5"/>
  <c r="AM83" i="5"/>
  <c r="AA83" i="5"/>
  <c r="Z83" i="5"/>
  <c r="Y83" i="5"/>
  <c r="X83" i="5"/>
  <c r="W83" i="5"/>
  <c r="T83" i="5"/>
  <c r="S83" i="5"/>
  <c r="R83" i="5"/>
  <c r="D33" i="2" s="1"/>
  <c r="Q83" i="5"/>
  <c r="P83" i="5"/>
  <c r="G83" i="5"/>
  <c r="AX82" i="5"/>
  <c r="AW82" i="5"/>
  <c r="AV82" i="5"/>
  <c r="AU82" i="5"/>
  <c r="AT82" i="5"/>
  <c r="AQ82" i="5"/>
  <c r="AP82" i="5"/>
  <c r="AO82" i="5"/>
  <c r="AN82" i="5"/>
  <c r="AM82" i="5"/>
  <c r="AA82" i="5"/>
  <c r="Z82" i="5"/>
  <c r="Y82" i="5"/>
  <c r="X82" i="5"/>
  <c r="W82" i="5"/>
  <c r="T82" i="5"/>
  <c r="S82" i="5"/>
  <c r="R82" i="5"/>
  <c r="Q82" i="5"/>
  <c r="P82" i="5"/>
  <c r="G82" i="5"/>
  <c r="AX81" i="5"/>
  <c r="AW81" i="5"/>
  <c r="AV81" i="5"/>
  <c r="AU81" i="5"/>
  <c r="AT81" i="5"/>
  <c r="AQ81" i="5"/>
  <c r="AP81" i="5"/>
  <c r="AO81" i="5"/>
  <c r="AN81" i="5"/>
  <c r="AM81" i="5"/>
  <c r="AA81" i="5"/>
  <c r="Z81" i="5"/>
  <c r="Y81" i="5"/>
  <c r="X81" i="5"/>
  <c r="W81" i="5"/>
  <c r="T81" i="5"/>
  <c r="S81" i="5"/>
  <c r="R81" i="5"/>
  <c r="Q81" i="5"/>
  <c r="P81" i="5"/>
  <c r="G81" i="5"/>
  <c r="AX80" i="5"/>
  <c r="AW80" i="5"/>
  <c r="AV80" i="5"/>
  <c r="AU80" i="5"/>
  <c r="AT80" i="5"/>
  <c r="AQ80" i="5"/>
  <c r="AP80" i="5"/>
  <c r="AO80" i="5"/>
  <c r="AN80" i="5"/>
  <c r="AM80" i="5"/>
  <c r="AA80" i="5"/>
  <c r="Z80" i="5"/>
  <c r="Y80" i="5"/>
  <c r="X80" i="5"/>
  <c r="W80" i="5"/>
  <c r="T80" i="5"/>
  <c r="S80" i="5"/>
  <c r="R80" i="5"/>
  <c r="Q80" i="5"/>
  <c r="P80" i="5"/>
  <c r="G80" i="5"/>
  <c r="AX79" i="5"/>
  <c r="AW79" i="5"/>
  <c r="AV79" i="5"/>
  <c r="AU79" i="5"/>
  <c r="AT79" i="5"/>
  <c r="AQ79" i="5"/>
  <c r="AP79" i="5"/>
  <c r="AO79" i="5"/>
  <c r="AN79" i="5"/>
  <c r="AM79" i="5"/>
  <c r="AA79" i="5"/>
  <c r="Z79" i="5"/>
  <c r="Y79" i="5"/>
  <c r="X79" i="5"/>
  <c r="W79" i="5"/>
  <c r="T79" i="5"/>
  <c r="S79" i="5"/>
  <c r="R79" i="5"/>
  <c r="Q79" i="5"/>
  <c r="P79" i="5"/>
  <c r="G79" i="5"/>
  <c r="AX78" i="5"/>
  <c r="AW78" i="5"/>
  <c r="AV78" i="5"/>
  <c r="AU78" i="5"/>
  <c r="AT78" i="5"/>
  <c r="AQ78" i="5"/>
  <c r="AP78" i="5"/>
  <c r="AO78" i="5"/>
  <c r="AN78" i="5"/>
  <c r="AM78" i="5"/>
  <c r="AA78" i="5"/>
  <c r="Z78" i="5"/>
  <c r="Y78" i="5"/>
  <c r="X78" i="5"/>
  <c r="W78" i="5"/>
  <c r="T78" i="5"/>
  <c r="S78" i="5"/>
  <c r="R78" i="5"/>
  <c r="Q78" i="5"/>
  <c r="P78" i="5"/>
  <c r="G78" i="5"/>
  <c r="AX77" i="5"/>
  <c r="AW77" i="5"/>
  <c r="AV77" i="5"/>
  <c r="AU77" i="5"/>
  <c r="AT77" i="5"/>
  <c r="AQ77" i="5"/>
  <c r="AP77" i="5"/>
  <c r="AO77" i="5"/>
  <c r="AN77" i="5"/>
  <c r="AM77" i="5"/>
  <c r="AA77" i="5"/>
  <c r="Z77" i="5"/>
  <c r="Y77" i="5"/>
  <c r="X77" i="5"/>
  <c r="W77" i="5"/>
  <c r="T77" i="5"/>
  <c r="S77" i="5"/>
  <c r="R77" i="5"/>
  <c r="Q77" i="5"/>
  <c r="P77" i="5"/>
  <c r="G77" i="5"/>
  <c r="AX76" i="5"/>
  <c r="AW76" i="5"/>
  <c r="AV76" i="5"/>
  <c r="AU76" i="5"/>
  <c r="AT76" i="5"/>
  <c r="AQ76" i="5"/>
  <c r="AP76" i="5"/>
  <c r="AO76" i="5"/>
  <c r="AN76" i="5"/>
  <c r="AM76" i="5"/>
  <c r="AA76" i="5"/>
  <c r="Z76" i="5"/>
  <c r="Y76" i="5"/>
  <c r="X76" i="5"/>
  <c r="W76" i="5"/>
  <c r="T76" i="5"/>
  <c r="S76" i="5"/>
  <c r="R76" i="5"/>
  <c r="Q76" i="5"/>
  <c r="P76" i="5"/>
  <c r="G76" i="5"/>
  <c r="AX75" i="5"/>
  <c r="AW75" i="5"/>
  <c r="AV75" i="5"/>
  <c r="AU75" i="5"/>
  <c r="AT75" i="5"/>
  <c r="AQ75" i="5"/>
  <c r="AP75" i="5"/>
  <c r="AO75" i="5"/>
  <c r="AN75" i="5"/>
  <c r="AM75" i="5"/>
  <c r="AA75" i="5"/>
  <c r="Z75" i="5"/>
  <c r="Y75" i="5"/>
  <c r="X75" i="5"/>
  <c r="W75" i="5"/>
  <c r="T75" i="5"/>
  <c r="S75" i="5"/>
  <c r="R75" i="5"/>
  <c r="Q75" i="5"/>
  <c r="P75" i="5"/>
  <c r="G75" i="5"/>
  <c r="AX74" i="5"/>
  <c r="AW74" i="5"/>
  <c r="AV74" i="5"/>
  <c r="AU74" i="5"/>
  <c r="AT74" i="5"/>
  <c r="AQ74" i="5"/>
  <c r="AP74" i="5"/>
  <c r="AO74" i="5"/>
  <c r="AN74" i="5"/>
  <c r="AM74" i="5"/>
  <c r="AA74" i="5"/>
  <c r="Z74" i="5"/>
  <c r="Y74" i="5"/>
  <c r="X74" i="5"/>
  <c r="W74" i="5"/>
  <c r="T74" i="5"/>
  <c r="S74" i="5"/>
  <c r="R74" i="5"/>
  <c r="Q74" i="5"/>
  <c r="P74" i="5"/>
  <c r="G74" i="5"/>
  <c r="AX73" i="5"/>
  <c r="AW73" i="5"/>
  <c r="AV73" i="5"/>
  <c r="AU73" i="5"/>
  <c r="AT73" i="5"/>
  <c r="AQ73" i="5"/>
  <c r="AP73" i="5"/>
  <c r="AO73" i="5"/>
  <c r="AN73" i="5"/>
  <c r="AM73" i="5"/>
  <c r="AA73" i="5"/>
  <c r="Z73" i="5"/>
  <c r="Y73" i="5"/>
  <c r="X73" i="5"/>
  <c r="W73" i="5"/>
  <c r="T73" i="5"/>
  <c r="S73" i="5"/>
  <c r="R73" i="5"/>
  <c r="Q73" i="5"/>
  <c r="P73" i="5"/>
  <c r="G73" i="5"/>
  <c r="AX72" i="5"/>
  <c r="AW72" i="5"/>
  <c r="AV72" i="5"/>
  <c r="AU72" i="5"/>
  <c r="AT72" i="5"/>
  <c r="AQ72" i="5"/>
  <c r="AP72" i="5"/>
  <c r="AO72" i="5"/>
  <c r="AN72" i="5"/>
  <c r="AM72" i="5"/>
  <c r="AA72" i="5"/>
  <c r="Z72" i="5"/>
  <c r="Y72" i="5"/>
  <c r="X72" i="5"/>
  <c r="W72" i="5"/>
  <c r="T72" i="5"/>
  <c r="S72" i="5"/>
  <c r="R72" i="5"/>
  <c r="Q72" i="5"/>
  <c r="P72" i="5"/>
  <c r="G72" i="5"/>
  <c r="AX71" i="5"/>
  <c r="AW71" i="5"/>
  <c r="AV71" i="5"/>
  <c r="AU71" i="5"/>
  <c r="AT71" i="5"/>
  <c r="AQ71" i="5"/>
  <c r="AP71" i="5"/>
  <c r="AO71" i="5"/>
  <c r="AN71" i="5"/>
  <c r="AM71" i="5"/>
  <c r="AA71" i="5"/>
  <c r="Z71" i="5"/>
  <c r="Y71" i="5"/>
  <c r="X71" i="5"/>
  <c r="W71" i="5"/>
  <c r="T71" i="5"/>
  <c r="S71" i="5"/>
  <c r="R71" i="5"/>
  <c r="Q71" i="5"/>
  <c r="P71" i="5"/>
  <c r="G71" i="5"/>
  <c r="AX70" i="5"/>
  <c r="AW70" i="5"/>
  <c r="AV70" i="5"/>
  <c r="AU70" i="5"/>
  <c r="AT70" i="5"/>
  <c r="AQ70" i="5"/>
  <c r="AP70" i="5"/>
  <c r="AO70" i="5"/>
  <c r="AN70" i="5"/>
  <c r="AM70" i="5"/>
  <c r="AA70" i="5"/>
  <c r="Z70" i="5"/>
  <c r="Y70" i="5"/>
  <c r="X70" i="5"/>
  <c r="W70" i="5"/>
  <c r="T70" i="5"/>
  <c r="S70" i="5"/>
  <c r="R70" i="5"/>
  <c r="Q70" i="5"/>
  <c r="P70" i="5"/>
  <c r="G70" i="5"/>
  <c r="AX69" i="5"/>
  <c r="AW69" i="5"/>
  <c r="AV69" i="5"/>
  <c r="AU69" i="5"/>
  <c r="AT69" i="5"/>
  <c r="AQ69" i="5"/>
  <c r="AP69" i="5"/>
  <c r="AO69" i="5"/>
  <c r="AN69" i="5"/>
  <c r="AM69" i="5"/>
  <c r="AA69" i="5"/>
  <c r="Z69" i="5"/>
  <c r="Y69" i="5"/>
  <c r="X69" i="5"/>
  <c r="W69" i="5"/>
  <c r="T69" i="5"/>
  <c r="S69" i="5"/>
  <c r="R69" i="5"/>
  <c r="Q69" i="5"/>
  <c r="P69" i="5"/>
  <c r="G69" i="5"/>
  <c r="AX68" i="5"/>
  <c r="AW68" i="5"/>
  <c r="AV68" i="5"/>
  <c r="AU68" i="5"/>
  <c r="AT68" i="5"/>
  <c r="AQ68" i="5"/>
  <c r="AP68" i="5"/>
  <c r="AO68" i="5"/>
  <c r="AN68" i="5"/>
  <c r="AM68" i="5"/>
  <c r="AA68" i="5"/>
  <c r="Z68" i="5"/>
  <c r="Y68" i="5"/>
  <c r="X68" i="5"/>
  <c r="W68" i="5"/>
  <c r="T68" i="5"/>
  <c r="S68" i="5"/>
  <c r="R68" i="5"/>
  <c r="Q68" i="5"/>
  <c r="P68" i="5"/>
  <c r="G68" i="5"/>
  <c r="AX67" i="5"/>
  <c r="AW67" i="5"/>
  <c r="AV67" i="5"/>
  <c r="AU67" i="5"/>
  <c r="AT67" i="5"/>
  <c r="AQ67" i="5"/>
  <c r="AP67" i="5"/>
  <c r="AO67" i="5"/>
  <c r="AN67" i="5"/>
  <c r="AM67" i="5"/>
  <c r="AA67" i="5"/>
  <c r="Z67" i="5"/>
  <c r="Y67" i="5"/>
  <c r="X67" i="5"/>
  <c r="W67" i="5"/>
  <c r="T67" i="5"/>
  <c r="S67" i="5"/>
  <c r="R67" i="5"/>
  <c r="Q67" i="5"/>
  <c r="P67" i="5"/>
  <c r="G67" i="5"/>
  <c r="AX66" i="5"/>
  <c r="AW66" i="5"/>
  <c r="AV66" i="5"/>
  <c r="AU66" i="5"/>
  <c r="AT66" i="5"/>
  <c r="AQ66" i="5"/>
  <c r="AP66" i="5"/>
  <c r="AO66" i="5"/>
  <c r="AN66" i="5"/>
  <c r="AM66" i="5"/>
  <c r="AA66" i="5"/>
  <c r="Z66" i="5"/>
  <c r="Y66" i="5"/>
  <c r="X66" i="5"/>
  <c r="W66" i="5"/>
  <c r="T66" i="5"/>
  <c r="S66" i="5"/>
  <c r="R66" i="5"/>
  <c r="Q66" i="5"/>
  <c r="P66" i="5"/>
  <c r="G66" i="5"/>
  <c r="AX65" i="5"/>
  <c r="AW65" i="5"/>
  <c r="AV65" i="5"/>
  <c r="AU65" i="5"/>
  <c r="AT65" i="5"/>
  <c r="AQ65" i="5"/>
  <c r="AP65" i="5"/>
  <c r="AO65" i="5"/>
  <c r="AN65" i="5"/>
  <c r="AM65" i="5"/>
  <c r="AA65" i="5"/>
  <c r="Z65" i="5"/>
  <c r="Y65" i="5"/>
  <c r="X65" i="5"/>
  <c r="W65" i="5"/>
  <c r="T65" i="5"/>
  <c r="S65" i="5"/>
  <c r="R65" i="5"/>
  <c r="Q65" i="5"/>
  <c r="P65" i="5"/>
  <c r="G65" i="5"/>
  <c r="AX64" i="5"/>
  <c r="AW64" i="5"/>
  <c r="AV64" i="5"/>
  <c r="AU64" i="5"/>
  <c r="AT64" i="5"/>
  <c r="AQ64" i="5"/>
  <c r="AP64" i="5"/>
  <c r="AO64" i="5"/>
  <c r="AN64" i="5"/>
  <c r="AM64" i="5"/>
  <c r="AA64" i="5"/>
  <c r="Z64" i="5"/>
  <c r="Y64" i="5"/>
  <c r="X64" i="5"/>
  <c r="W64" i="5"/>
  <c r="T64" i="5"/>
  <c r="S64" i="5"/>
  <c r="R64" i="5"/>
  <c r="Q64" i="5"/>
  <c r="P64" i="5"/>
  <c r="G64" i="5"/>
  <c r="AX63" i="5"/>
  <c r="AW63" i="5"/>
  <c r="AV63" i="5"/>
  <c r="AU63" i="5"/>
  <c r="AT63" i="5"/>
  <c r="AQ63" i="5"/>
  <c r="AP63" i="5"/>
  <c r="AO63" i="5"/>
  <c r="AN63" i="5"/>
  <c r="AM63" i="5"/>
  <c r="AA63" i="5"/>
  <c r="Z63" i="5"/>
  <c r="Y63" i="5"/>
  <c r="X63" i="5"/>
  <c r="W63" i="5"/>
  <c r="T63" i="5"/>
  <c r="S63" i="5"/>
  <c r="R63" i="5"/>
  <c r="Q63" i="5"/>
  <c r="P63" i="5"/>
  <c r="G63" i="5"/>
  <c r="AX62" i="5"/>
  <c r="AW62" i="5"/>
  <c r="AV62" i="5"/>
  <c r="AU62" i="5"/>
  <c r="AT62" i="5"/>
  <c r="AQ62" i="5"/>
  <c r="AP62" i="5"/>
  <c r="AO62" i="5"/>
  <c r="AN62" i="5"/>
  <c r="AM62" i="5"/>
  <c r="AA62" i="5"/>
  <c r="Z62" i="5"/>
  <c r="Y62" i="5"/>
  <c r="X62" i="5"/>
  <c r="W62" i="5"/>
  <c r="T62" i="5"/>
  <c r="S62" i="5"/>
  <c r="R62" i="5"/>
  <c r="Q62" i="5"/>
  <c r="P62" i="5"/>
  <c r="G62" i="5"/>
  <c r="AX61" i="5"/>
  <c r="AW61" i="5"/>
  <c r="AV61" i="5"/>
  <c r="AU61" i="5"/>
  <c r="AT61" i="5"/>
  <c r="AQ61" i="5"/>
  <c r="AP61" i="5"/>
  <c r="AO61" i="5"/>
  <c r="AN61" i="5"/>
  <c r="AM61" i="5"/>
  <c r="AA61" i="5"/>
  <c r="Z61" i="5"/>
  <c r="Y61" i="5"/>
  <c r="X61" i="5"/>
  <c r="W61" i="5"/>
  <c r="T61" i="5"/>
  <c r="S61" i="5"/>
  <c r="R61" i="5"/>
  <c r="Q61" i="5"/>
  <c r="P61" i="5"/>
  <c r="G61" i="5"/>
  <c r="AX60" i="5"/>
  <c r="AW60" i="5"/>
  <c r="AV60" i="5"/>
  <c r="AU60" i="5"/>
  <c r="AT60" i="5"/>
  <c r="AQ60" i="5"/>
  <c r="AP60" i="5"/>
  <c r="AO60" i="5"/>
  <c r="AN60" i="5"/>
  <c r="AM60" i="5"/>
  <c r="AA60" i="5"/>
  <c r="Z60" i="5"/>
  <c r="Y60" i="5"/>
  <c r="X60" i="5"/>
  <c r="W60" i="5"/>
  <c r="T60" i="5"/>
  <c r="S60" i="5"/>
  <c r="R60" i="5"/>
  <c r="Q60" i="5"/>
  <c r="P60" i="5"/>
  <c r="G60" i="5"/>
  <c r="AX59" i="5"/>
  <c r="AW59" i="5"/>
  <c r="AV59" i="5"/>
  <c r="AU59" i="5"/>
  <c r="AT59" i="5"/>
  <c r="AQ59" i="5"/>
  <c r="AP59" i="5"/>
  <c r="AO59" i="5"/>
  <c r="AN59" i="5"/>
  <c r="AM59" i="5"/>
  <c r="AA59" i="5"/>
  <c r="Z59" i="5"/>
  <c r="Y59" i="5"/>
  <c r="X59" i="5"/>
  <c r="W59" i="5"/>
  <c r="T59" i="5"/>
  <c r="S59" i="5"/>
  <c r="R59" i="5"/>
  <c r="Q59" i="5"/>
  <c r="P59" i="5"/>
  <c r="G59" i="5"/>
  <c r="AX58" i="5"/>
  <c r="AW58" i="5"/>
  <c r="AV58" i="5"/>
  <c r="AU58" i="5"/>
  <c r="AT58" i="5"/>
  <c r="AQ58" i="5"/>
  <c r="AP58" i="5"/>
  <c r="AO58" i="5"/>
  <c r="AN58" i="5"/>
  <c r="AM58" i="5"/>
  <c r="AA58" i="5"/>
  <c r="Z58" i="5"/>
  <c r="Y58" i="5"/>
  <c r="X58" i="5"/>
  <c r="W58" i="5"/>
  <c r="T58" i="5"/>
  <c r="S58" i="5"/>
  <c r="R58" i="5"/>
  <c r="Q58" i="5"/>
  <c r="P58" i="5"/>
  <c r="G58" i="5"/>
  <c r="AX57" i="5"/>
  <c r="AW57" i="5"/>
  <c r="AV57" i="5"/>
  <c r="AU57" i="5"/>
  <c r="AT57" i="5"/>
  <c r="AQ57" i="5"/>
  <c r="AP57" i="5"/>
  <c r="AO57" i="5"/>
  <c r="AN57" i="5"/>
  <c r="AM57" i="5"/>
  <c r="AA57" i="5"/>
  <c r="Z57" i="5"/>
  <c r="Y57" i="5"/>
  <c r="X57" i="5"/>
  <c r="W57" i="5"/>
  <c r="T57" i="5"/>
  <c r="S57" i="5"/>
  <c r="R57" i="5"/>
  <c r="Q57" i="5"/>
  <c r="P57" i="5"/>
  <c r="G57" i="5"/>
  <c r="AX56" i="5"/>
  <c r="AW56" i="5"/>
  <c r="AV56" i="5"/>
  <c r="AU56" i="5"/>
  <c r="AT56" i="5"/>
  <c r="AQ56" i="5"/>
  <c r="AP56" i="5"/>
  <c r="AO56" i="5"/>
  <c r="AN56" i="5"/>
  <c r="AM56" i="5"/>
  <c r="AA56" i="5"/>
  <c r="Z56" i="5"/>
  <c r="Y56" i="5"/>
  <c r="X56" i="5"/>
  <c r="W56" i="5"/>
  <c r="T56" i="5"/>
  <c r="S56" i="5"/>
  <c r="R56" i="5"/>
  <c r="Q56" i="5"/>
  <c r="P56" i="5"/>
  <c r="G56" i="5"/>
  <c r="AX55" i="5"/>
  <c r="AW55" i="5"/>
  <c r="AV55" i="5"/>
  <c r="AU55" i="5"/>
  <c r="AT55" i="5"/>
  <c r="AQ55" i="5"/>
  <c r="AP55" i="5"/>
  <c r="AO55" i="5"/>
  <c r="AN55" i="5"/>
  <c r="AM55" i="5"/>
  <c r="AA55" i="5"/>
  <c r="Z55" i="5"/>
  <c r="Y55" i="5"/>
  <c r="X55" i="5"/>
  <c r="W55" i="5"/>
  <c r="T55" i="5"/>
  <c r="S55" i="5"/>
  <c r="R55" i="5"/>
  <c r="Q55" i="5"/>
  <c r="P55" i="5"/>
  <c r="G55" i="5"/>
  <c r="AX54" i="5"/>
  <c r="AW54" i="5"/>
  <c r="AV54" i="5"/>
  <c r="AU54" i="5"/>
  <c r="AT54" i="5"/>
  <c r="AQ54" i="5"/>
  <c r="AP54" i="5"/>
  <c r="AO54" i="5"/>
  <c r="AN54" i="5"/>
  <c r="AM54" i="5"/>
  <c r="AA54" i="5"/>
  <c r="Z54" i="5"/>
  <c r="Y54" i="5"/>
  <c r="X54" i="5"/>
  <c r="W54" i="5"/>
  <c r="T54" i="5"/>
  <c r="S54" i="5"/>
  <c r="R54" i="5"/>
  <c r="Q54" i="5"/>
  <c r="P54" i="5"/>
  <c r="G54" i="5"/>
  <c r="BV53" i="5"/>
  <c r="BU53" i="5"/>
  <c r="BT53" i="5"/>
  <c r="BS53" i="5"/>
  <c r="AX53" i="5"/>
  <c r="AW53" i="5"/>
  <c r="AV53" i="5"/>
  <c r="AU53" i="5"/>
  <c r="AT53" i="5"/>
  <c r="AQ53" i="5"/>
  <c r="AP53" i="5"/>
  <c r="AO53" i="5"/>
  <c r="AN53" i="5"/>
  <c r="AM53" i="5"/>
  <c r="AA53" i="5"/>
  <c r="Z53" i="5"/>
  <c r="Y53" i="5"/>
  <c r="X53" i="5"/>
  <c r="W53" i="5"/>
  <c r="T53" i="5"/>
  <c r="S53" i="5"/>
  <c r="R53" i="5"/>
  <c r="Q53" i="5"/>
  <c r="P53" i="5"/>
  <c r="G53" i="5"/>
  <c r="BV52" i="5"/>
  <c r="BU52" i="5"/>
  <c r="BT52" i="5"/>
  <c r="BS52" i="5"/>
  <c r="AX52" i="5"/>
  <c r="AW52" i="5"/>
  <c r="AV52" i="5"/>
  <c r="AU52" i="5"/>
  <c r="AT52" i="5"/>
  <c r="AQ52" i="5"/>
  <c r="AP52" i="5"/>
  <c r="AO52" i="5"/>
  <c r="AN52" i="5"/>
  <c r="AM52" i="5"/>
  <c r="AA52" i="5"/>
  <c r="Z52" i="5"/>
  <c r="Y52" i="5"/>
  <c r="X52" i="5"/>
  <c r="W52" i="5"/>
  <c r="T52" i="5"/>
  <c r="S52" i="5"/>
  <c r="R52" i="5"/>
  <c r="Q52" i="5"/>
  <c r="P52" i="5"/>
  <c r="J52" i="5"/>
  <c r="G52" i="5"/>
  <c r="BV51" i="5"/>
  <c r="BU51" i="5"/>
  <c r="BT51" i="5"/>
  <c r="BS51" i="5"/>
  <c r="AX51" i="5"/>
  <c r="AW51" i="5"/>
  <c r="AV51" i="5"/>
  <c r="AU51" i="5"/>
  <c r="AT51" i="5"/>
  <c r="AQ51" i="5"/>
  <c r="AP51" i="5"/>
  <c r="AO51" i="5"/>
  <c r="AN51" i="5"/>
  <c r="AM51" i="5"/>
  <c r="AA51" i="5"/>
  <c r="Z51" i="5"/>
  <c r="Y51" i="5"/>
  <c r="X51" i="5"/>
  <c r="W51" i="5"/>
  <c r="T51" i="5"/>
  <c r="S51" i="5"/>
  <c r="R51" i="5"/>
  <c r="Q51" i="5"/>
  <c r="P51" i="5"/>
  <c r="J51" i="5"/>
  <c r="G51" i="5"/>
  <c r="BV50" i="5"/>
  <c r="BU50" i="5"/>
  <c r="BT50" i="5"/>
  <c r="BS50" i="5"/>
  <c r="AX50" i="5"/>
  <c r="AW50" i="5"/>
  <c r="AV50" i="5"/>
  <c r="AU50" i="5"/>
  <c r="AT50" i="5"/>
  <c r="AQ50" i="5"/>
  <c r="AP50" i="5"/>
  <c r="AO50" i="5"/>
  <c r="AN50" i="5"/>
  <c r="AM50" i="5"/>
  <c r="AA50" i="5"/>
  <c r="Z50" i="5"/>
  <c r="Y50" i="5"/>
  <c r="X50" i="5"/>
  <c r="W50" i="5"/>
  <c r="T50" i="5"/>
  <c r="S50" i="5"/>
  <c r="R50" i="5"/>
  <c r="Q50" i="5"/>
  <c r="P50" i="5"/>
  <c r="J50" i="5"/>
  <c r="G50" i="5"/>
  <c r="BV49" i="5"/>
  <c r="BU49" i="5"/>
  <c r="BT49" i="5"/>
  <c r="BS49" i="5"/>
  <c r="AX49" i="5"/>
  <c r="AW49" i="5"/>
  <c r="AV49" i="5"/>
  <c r="AU49" i="5"/>
  <c r="AT49" i="5"/>
  <c r="AQ49" i="5"/>
  <c r="AP49" i="5"/>
  <c r="AO49" i="5"/>
  <c r="AN49" i="5"/>
  <c r="AM49" i="5"/>
  <c r="AA49" i="5"/>
  <c r="Z49" i="5"/>
  <c r="Y49" i="5"/>
  <c r="X49" i="5"/>
  <c r="W49" i="5"/>
  <c r="T49" i="5"/>
  <c r="S49" i="5"/>
  <c r="R49" i="5"/>
  <c r="Q49" i="5"/>
  <c r="P49" i="5"/>
  <c r="J49" i="5"/>
  <c r="G49" i="5"/>
  <c r="BV48" i="5"/>
  <c r="BU48" i="5"/>
  <c r="BT48" i="5"/>
  <c r="BS48" i="5"/>
  <c r="AX48" i="5"/>
  <c r="AW48" i="5"/>
  <c r="AV48" i="5"/>
  <c r="AU48" i="5"/>
  <c r="AT48" i="5"/>
  <c r="AQ48" i="5"/>
  <c r="AP48" i="5"/>
  <c r="AO48" i="5"/>
  <c r="AN48" i="5"/>
  <c r="AM48" i="5"/>
  <c r="AA48" i="5"/>
  <c r="Z48" i="5"/>
  <c r="Y48" i="5"/>
  <c r="X48" i="5"/>
  <c r="W48" i="5"/>
  <c r="T48" i="5"/>
  <c r="S48" i="5"/>
  <c r="R48" i="5"/>
  <c r="Q48" i="5"/>
  <c r="P48" i="5"/>
  <c r="J48" i="5"/>
  <c r="G48" i="5"/>
  <c r="BV47" i="5"/>
  <c r="BU47" i="5"/>
  <c r="BT47" i="5"/>
  <c r="BS47" i="5"/>
  <c r="AX47" i="5"/>
  <c r="AW47" i="5"/>
  <c r="AV47" i="5"/>
  <c r="AU47" i="5"/>
  <c r="AT47" i="5"/>
  <c r="AQ47" i="5"/>
  <c r="AP47" i="5"/>
  <c r="AO47" i="5"/>
  <c r="AN47" i="5"/>
  <c r="AM47" i="5"/>
  <c r="AA47" i="5"/>
  <c r="Z47" i="5"/>
  <c r="Y47" i="5"/>
  <c r="X47" i="5"/>
  <c r="W47" i="5"/>
  <c r="T47" i="5"/>
  <c r="S47" i="5"/>
  <c r="R47" i="5"/>
  <c r="Q47" i="5"/>
  <c r="P47" i="5"/>
  <c r="J47" i="5"/>
  <c r="G47" i="5"/>
  <c r="BV46" i="5"/>
  <c r="BU46" i="5"/>
  <c r="BT46" i="5"/>
  <c r="BS46" i="5"/>
  <c r="AX46" i="5"/>
  <c r="AW46" i="5"/>
  <c r="AV46" i="5"/>
  <c r="AU46" i="5"/>
  <c r="AT46" i="5"/>
  <c r="AQ46" i="5"/>
  <c r="AP46" i="5"/>
  <c r="AO46" i="5"/>
  <c r="AN46" i="5"/>
  <c r="AM46" i="5"/>
  <c r="AA46" i="5"/>
  <c r="Z46" i="5"/>
  <c r="Y46" i="5"/>
  <c r="X46" i="5"/>
  <c r="W46" i="5"/>
  <c r="T46" i="5"/>
  <c r="S46" i="5"/>
  <c r="R46" i="5"/>
  <c r="Q46" i="5"/>
  <c r="P46" i="5"/>
  <c r="J46" i="5"/>
  <c r="G46" i="5"/>
  <c r="BV45" i="5"/>
  <c r="BU45" i="5"/>
  <c r="BT45" i="5"/>
  <c r="BS45" i="5"/>
  <c r="AX45" i="5"/>
  <c r="AW45" i="5"/>
  <c r="AV45" i="5"/>
  <c r="AU45" i="5"/>
  <c r="AT45" i="5"/>
  <c r="AQ45" i="5"/>
  <c r="AP45" i="5"/>
  <c r="AO45" i="5"/>
  <c r="AN45" i="5"/>
  <c r="AM45" i="5"/>
  <c r="AA45" i="5"/>
  <c r="Z45" i="5"/>
  <c r="Y45" i="5"/>
  <c r="X45" i="5"/>
  <c r="W45" i="5"/>
  <c r="T45" i="5"/>
  <c r="S45" i="5"/>
  <c r="R45" i="5"/>
  <c r="Q45" i="5"/>
  <c r="P45" i="5"/>
  <c r="J45" i="5"/>
  <c r="G45" i="5"/>
  <c r="BV44" i="5"/>
  <c r="BU44" i="5"/>
  <c r="BT44" i="5"/>
  <c r="BS44" i="5"/>
  <c r="AX44" i="5"/>
  <c r="AW44" i="5"/>
  <c r="AV44" i="5"/>
  <c r="AU44" i="5"/>
  <c r="AT44" i="5"/>
  <c r="AQ44" i="5"/>
  <c r="AP44" i="5"/>
  <c r="AO44" i="5"/>
  <c r="AN44" i="5"/>
  <c r="AM44" i="5"/>
  <c r="AA44" i="5"/>
  <c r="Z44" i="5"/>
  <c r="Y44" i="5"/>
  <c r="X44" i="5"/>
  <c r="W44" i="5"/>
  <c r="T44" i="5"/>
  <c r="S44" i="5"/>
  <c r="R44" i="5"/>
  <c r="Q44" i="5"/>
  <c r="P44" i="5"/>
  <c r="J44" i="5"/>
  <c r="G44" i="5"/>
  <c r="BV43" i="5"/>
  <c r="BU43" i="5"/>
  <c r="BT43" i="5"/>
  <c r="BS43" i="5"/>
  <c r="AX43" i="5"/>
  <c r="AW43" i="5"/>
  <c r="AV43" i="5"/>
  <c r="AU43" i="5"/>
  <c r="AT43" i="5"/>
  <c r="AQ43" i="5"/>
  <c r="AP43" i="5"/>
  <c r="AO43" i="5"/>
  <c r="AN43" i="5"/>
  <c r="AM43" i="5"/>
  <c r="AA43" i="5"/>
  <c r="Z43" i="5"/>
  <c r="Y43" i="5"/>
  <c r="X43" i="5"/>
  <c r="W43" i="5"/>
  <c r="T43" i="5"/>
  <c r="S43" i="5"/>
  <c r="R43" i="5"/>
  <c r="Q43" i="5"/>
  <c r="P43" i="5"/>
  <c r="J43" i="5"/>
  <c r="G43" i="5"/>
  <c r="BV42" i="5"/>
  <c r="BU42" i="5"/>
  <c r="BT42" i="5"/>
  <c r="BS42" i="5"/>
  <c r="AX42" i="5"/>
  <c r="AW42" i="5"/>
  <c r="AV42" i="5"/>
  <c r="AU42" i="5"/>
  <c r="AT42" i="5"/>
  <c r="AQ42" i="5"/>
  <c r="AP42" i="5"/>
  <c r="AO42" i="5"/>
  <c r="AN42" i="5"/>
  <c r="AM42" i="5"/>
  <c r="AA42" i="5"/>
  <c r="Z42" i="5"/>
  <c r="Y42" i="5"/>
  <c r="X42" i="5"/>
  <c r="W42" i="5"/>
  <c r="T42" i="5"/>
  <c r="S42" i="5"/>
  <c r="R42" i="5"/>
  <c r="Q42" i="5"/>
  <c r="P42" i="5"/>
  <c r="J42" i="5"/>
  <c r="G42" i="5"/>
  <c r="BV41" i="5"/>
  <c r="BU41" i="5"/>
  <c r="BT41" i="5"/>
  <c r="BS41" i="5"/>
  <c r="AX41" i="5"/>
  <c r="AW41" i="5"/>
  <c r="AV41" i="5"/>
  <c r="AU41" i="5"/>
  <c r="AT41" i="5"/>
  <c r="AQ41" i="5"/>
  <c r="AP41" i="5"/>
  <c r="AO41" i="5"/>
  <c r="AN41" i="5"/>
  <c r="AM41" i="5"/>
  <c r="AA41" i="5"/>
  <c r="Z41" i="5"/>
  <c r="Y41" i="5"/>
  <c r="X41" i="5"/>
  <c r="W41" i="5"/>
  <c r="T41" i="5"/>
  <c r="S41" i="5"/>
  <c r="R41" i="5"/>
  <c r="Q41" i="5"/>
  <c r="P41" i="5"/>
  <c r="J41" i="5"/>
  <c r="G41" i="5"/>
  <c r="BV40" i="5"/>
  <c r="BU40" i="5"/>
  <c r="BT40" i="5"/>
  <c r="BS40" i="5"/>
  <c r="AX40" i="5"/>
  <c r="AW40" i="5"/>
  <c r="AV40" i="5"/>
  <c r="AU40" i="5"/>
  <c r="AT40" i="5"/>
  <c r="AQ40" i="5"/>
  <c r="AP40" i="5"/>
  <c r="AO40" i="5"/>
  <c r="AN40" i="5"/>
  <c r="AM40" i="5"/>
  <c r="AA40" i="5"/>
  <c r="Z40" i="5"/>
  <c r="Y40" i="5"/>
  <c r="X40" i="5"/>
  <c r="W40" i="5"/>
  <c r="T40" i="5"/>
  <c r="S40" i="5"/>
  <c r="R40" i="5"/>
  <c r="Q40" i="5"/>
  <c r="P40" i="5"/>
  <c r="J40" i="5"/>
  <c r="G40" i="5"/>
  <c r="BV39" i="5"/>
  <c r="BU39" i="5"/>
  <c r="BT39" i="5"/>
  <c r="BS39" i="5"/>
  <c r="AX39" i="5"/>
  <c r="AW39" i="5"/>
  <c r="AV39" i="5"/>
  <c r="AU39" i="5"/>
  <c r="AT39" i="5"/>
  <c r="AQ39" i="5"/>
  <c r="AP39" i="5"/>
  <c r="AO39" i="5"/>
  <c r="AN39" i="5"/>
  <c r="AM39" i="5"/>
  <c r="AA39" i="5"/>
  <c r="Z39" i="5"/>
  <c r="Y39" i="5"/>
  <c r="X39" i="5"/>
  <c r="W39" i="5"/>
  <c r="T39" i="5"/>
  <c r="S39" i="5"/>
  <c r="R39" i="5"/>
  <c r="Q39" i="5"/>
  <c r="P39" i="5"/>
  <c r="J39" i="5"/>
  <c r="G39" i="5"/>
  <c r="BV38" i="5"/>
  <c r="BU38" i="5"/>
  <c r="BT38" i="5"/>
  <c r="BS38" i="5"/>
  <c r="AX38" i="5"/>
  <c r="AW38" i="5"/>
  <c r="AV38" i="5"/>
  <c r="AU38" i="5"/>
  <c r="AT38" i="5"/>
  <c r="AQ38" i="5"/>
  <c r="AP38" i="5"/>
  <c r="AO38" i="5"/>
  <c r="AN38" i="5"/>
  <c r="AM38" i="5"/>
  <c r="AA38" i="5"/>
  <c r="Z38" i="5"/>
  <c r="Y38" i="5"/>
  <c r="X38" i="5"/>
  <c r="W38" i="5"/>
  <c r="T38" i="5"/>
  <c r="S38" i="5"/>
  <c r="R38" i="5"/>
  <c r="Q38" i="5"/>
  <c r="P38" i="5"/>
  <c r="J38" i="5"/>
  <c r="G38" i="5"/>
  <c r="BV37" i="5"/>
  <c r="BU37" i="5"/>
  <c r="BT37" i="5"/>
  <c r="BS37" i="5"/>
  <c r="AX37" i="5"/>
  <c r="AW37" i="5"/>
  <c r="AV37" i="5"/>
  <c r="AU37" i="5"/>
  <c r="AT37" i="5"/>
  <c r="AQ37" i="5"/>
  <c r="AP37" i="5"/>
  <c r="AO37" i="5"/>
  <c r="AN37" i="5"/>
  <c r="AM37" i="5"/>
  <c r="AA37" i="5"/>
  <c r="Z37" i="5"/>
  <c r="Y37" i="5"/>
  <c r="X37" i="5"/>
  <c r="W37" i="5"/>
  <c r="T37" i="5"/>
  <c r="S37" i="5"/>
  <c r="R37" i="5"/>
  <c r="Q37" i="5"/>
  <c r="P37" i="5"/>
  <c r="J37" i="5"/>
  <c r="G37" i="5"/>
  <c r="BV36" i="5"/>
  <c r="BU36" i="5"/>
  <c r="BT36" i="5"/>
  <c r="BS36" i="5"/>
  <c r="AX36" i="5"/>
  <c r="AW36" i="5"/>
  <c r="AV36" i="5"/>
  <c r="AU36" i="5"/>
  <c r="AT36" i="5"/>
  <c r="AQ36" i="5"/>
  <c r="AP36" i="5"/>
  <c r="AO36" i="5"/>
  <c r="AN36" i="5"/>
  <c r="AM36" i="5"/>
  <c r="AA36" i="5"/>
  <c r="Z36" i="5"/>
  <c r="Y36" i="5"/>
  <c r="X36" i="5"/>
  <c r="W36" i="5"/>
  <c r="T36" i="5"/>
  <c r="S36" i="5"/>
  <c r="R36" i="5"/>
  <c r="Q36" i="5"/>
  <c r="P36" i="5"/>
  <c r="J36" i="5"/>
  <c r="G36" i="5"/>
  <c r="BV35" i="5"/>
  <c r="BU35" i="5"/>
  <c r="BT35" i="5"/>
  <c r="BS35" i="5"/>
  <c r="AX35" i="5"/>
  <c r="AW35" i="5"/>
  <c r="AV35" i="5"/>
  <c r="AU35" i="5"/>
  <c r="AT35" i="5"/>
  <c r="AQ35" i="5"/>
  <c r="AP35" i="5"/>
  <c r="AO35" i="5"/>
  <c r="AN35" i="5"/>
  <c r="AM35" i="5"/>
  <c r="AA35" i="5"/>
  <c r="Z35" i="5"/>
  <c r="Y35" i="5"/>
  <c r="X35" i="5"/>
  <c r="W35" i="5"/>
  <c r="T35" i="5"/>
  <c r="S35" i="5"/>
  <c r="R35" i="5"/>
  <c r="Q35" i="5"/>
  <c r="P35" i="5"/>
  <c r="J35" i="5"/>
  <c r="G35" i="5"/>
  <c r="D35" i="5"/>
  <c r="BV34" i="5"/>
  <c r="BU34" i="5"/>
  <c r="BT34" i="5"/>
  <c r="BS34" i="5"/>
  <c r="AX34" i="5"/>
  <c r="AW34" i="5"/>
  <c r="AV34" i="5"/>
  <c r="AU34" i="5"/>
  <c r="AT34" i="5"/>
  <c r="AQ34" i="5"/>
  <c r="AP34" i="5"/>
  <c r="AO34" i="5"/>
  <c r="AN34" i="5"/>
  <c r="AM34" i="5"/>
  <c r="AA34" i="5"/>
  <c r="Z34" i="5"/>
  <c r="Y34" i="5"/>
  <c r="X34" i="5"/>
  <c r="W34" i="5"/>
  <c r="T34" i="5"/>
  <c r="S34" i="5"/>
  <c r="R34" i="5"/>
  <c r="Q34" i="5"/>
  <c r="P34" i="5"/>
  <c r="J34" i="5"/>
  <c r="G34" i="5"/>
  <c r="D34" i="5"/>
  <c r="BV33" i="5"/>
  <c r="BU33" i="5"/>
  <c r="BT33" i="5"/>
  <c r="BS33" i="5"/>
  <c r="AX33" i="5"/>
  <c r="AW33" i="5"/>
  <c r="AV33" i="5"/>
  <c r="AU33" i="5"/>
  <c r="AT33" i="5"/>
  <c r="AQ33" i="5"/>
  <c r="AP33" i="5"/>
  <c r="AO33" i="5"/>
  <c r="AN33" i="5"/>
  <c r="AM33" i="5"/>
  <c r="AA33" i="5"/>
  <c r="Z33" i="5"/>
  <c r="Y33" i="5"/>
  <c r="X33" i="5"/>
  <c r="W33" i="5"/>
  <c r="T33" i="5"/>
  <c r="S33" i="5"/>
  <c r="R33" i="5"/>
  <c r="Q33" i="5"/>
  <c r="P33" i="5"/>
  <c r="J33" i="5"/>
  <c r="G33" i="5"/>
  <c r="D33" i="5"/>
  <c r="BV32" i="5"/>
  <c r="BU32" i="5"/>
  <c r="BT32" i="5"/>
  <c r="BS32" i="5"/>
  <c r="AX32" i="5"/>
  <c r="AW32" i="5"/>
  <c r="AV32" i="5"/>
  <c r="AU32" i="5"/>
  <c r="AT32" i="5"/>
  <c r="AQ32" i="5"/>
  <c r="AP32" i="5"/>
  <c r="AO32" i="5"/>
  <c r="AN32" i="5"/>
  <c r="AM32" i="5"/>
  <c r="AA32" i="5"/>
  <c r="Z32" i="5"/>
  <c r="Y32" i="5"/>
  <c r="X32" i="5"/>
  <c r="W32" i="5"/>
  <c r="T32" i="5"/>
  <c r="S32" i="5"/>
  <c r="R32" i="5"/>
  <c r="Q32" i="5"/>
  <c r="P32" i="5"/>
  <c r="J32" i="5"/>
  <c r="G32" i="5"/>
  <c r="D32" i="5"/>
  <c r="BV31" i="5"/>
  <c r="BU31" i="5"/>
  <c r="BT31" i="5"/>
  <c r="BS31" i="5"/>
  <c r="AX31" i="5"/>
  <c r="AW31" i="5"/>
  <c r="AV31" i="5"/>
  <c r="AU31" i="5"/>
  <c r="AT31" i="5"/>
  <c r="AQ31" i="5"/>
  <c r="AP31" i="5"/>
  <c r="AO31" i="5"/>
  <c r="AN31" i="5"/>
  <c r="AM31" i="5"/>
  <c r="AA31" i="5"/>
  <c r="Z31" i="5"/>
  <c r="Y31" i="5"/>
  <c r="X31" i="5"/>
  <c r="W31" i="5"/>
  <c r="T31" i="5"/>
  <c r="S31" i="5"/>
  <c r="R31" i="5"/>
  <c r="Q31" i="5"/>
  <c r="P31" i="5"/>
  <c r="J31" i="5"/>
  <c r="G31" i="5"/>
  <c r="D31" i="5"/>
  <c r="BV30" i="5"/>
  <c r="BU30" i="5"/>
  <c r="BT30" i="5"/>
  <c r="BS30" i="5"/>
  <c r="AX30" i="5"/>
  <c r="AW30" i="5"/>
  <c r="AV30" i="5"/>
  <c r="AU30" i="5"/>
  <c r="AT30" i="5"/>
  <c r="AQ30" i="5"/>
  <c r="AP30" i="5"/>
  <c r="AO30" i="5"/>
  <c r="AN30" i="5"/>
  <c r="AM30" i="5"/>
  <c r="AA30" i="5"/>
  <c r="Z30" i="5"/>
  <c r="Y30" i="5"/>
  <c r="X30" i="5"/>
  <c r="W30" i="5"/>
  <c r="T30" i="5"/>
  <c r="S30" i="5"/>
  <c r="R30" i="5"/>
  <c r="Q30" i="5"/>
  <c r="P30" i="5"/>
  <c r="J30" i="5"/>
  <c r="G30" i="5"/>
  <c r="D30" i="5"/>
  <c r="BV29" i="5"/>
  <c r="BU29" i="5"/>
  <c r="BT29" i="5"/>
  <c r="BS29" i="5"/>
  <c r="AX29" i="5"/>
  <c r="AW29" i="5"/>
  <c r="AV29" i="5"/>
  <c r="AU29" i="5"/>
  <c r="AT29" i="5"/>
  <c r="AQ29" i="5"/>
  <c r="AP29" i="5"/>
  <c r="AO29" i="5"/>
  <c r="AN29" i="5"/>
  <c r="AM29" i="5"/>
  <c r="AA29" i="5"/>
  <c r="Z29" i="5"/>
  <c r="Y29" i="5"/>
  <c r="X29" i="5"/>
  <c r="W29" i="5"/>
  <c r="T29" i="5"/>
  <c r="S29" i="5"/>
  <c r="R29" i="5"/>
  <c r="Q29" i="5"/>
  <c r="P29" i="5"/>
  <c r="J29" i="5"/>
  <c r="G29" i="5"/>
  <c r="D29" i="5"/>
  <c r="BV28" i="5"/>
  <c r="BU28" i="5"/>
  <c r="BT28" i="5"/>
  <c r="BS28" i="5"/>
  <c r="AX28" i="5"/>
  <c r="AW28" i="5"/>
  <c r="AV28" i="5"/>
  <c r="AU28" i="5"/>
  <c r="AT28" i="5"/>
  <c r="AQ28" i="5"/>
  <c r="AP28" i="5"/>
  <c r="AO28" i="5"/>
  <c r="AN28" i="5"/>
  <c r="AM28" i="5"/>
  <c r="AA28" i="5"/>
  <c r="Z28" i="5"/>
  <c r="Y28" i="5"/>
  <c r="X28" i="5"/>
  <c r="W28" i="5"/>
  <c r="T28" i="5"/>
  <c r="S28" i="5"/>
  <c r="R28" i="5"/>
  <c r="Q28" i="5"/>
  <c r="P28" i="5"/>
  <c r="J28" i="5"/>
  <c r="G28" i="5"/>
  <c r="D28" i="5"/>
  <c r="BV27" i="5"/>
  <c r="BU27" i="5"/>
  <c r="BT27" i="5"/>
  <c r="BS27" i="5"/>
  <c r="AX27" i="5"/>
  <c r="AW27" i="5"/>
  <c r="AV27" i="5"/>
  <c r="AU27" i="5"/>
  <c r="AT27" i="5"/>
  <c r="AQ27" i="5"/>
  <c r="AP27" i="5"/>
  <c r="AO27" i="5"/>
  <c r="AN27" i="5"/>
  <c r="AM27" i="5"/>
  <c r="AA27" i="5"/>
  <c r="Z27" i="5"/>
  <c r="Y27" i="5"/>
  <c r="X27" i="5"/>
  <c r="W27" i="5"/>
  <c r="T27" i="5"/>
  <c r="S27" i="5"/>
  <c r="R27" i="5"/>
  <c r="Q27" i="5"/>
  <c r="P27" i="5"/>
  <c r="J27" i="5"/>
  <c r="G27" i="5"/>
  <c r="D27" i="5"/>
  <c r="BV26" i="5"/>
  <c r="BU26" i="5"/>
  <c r="BT26" i="5"/>
  <c r="BS26" i="5"/>
  <c r="AX26" i="5"/>
  <c r="AW26" i="5"/>
  <c r="AV26" i="5"/>
  <c r="AU26" i="5"/>
  <c r="AT26" i="5"/>
  <c r="AQ26" i="5"/>
  <c r="AP26" i="5"/>
  <c r="AO26" i="5"/>
  <c r="AN26" i="5"/>
  <c r="AM26" i="5"/>
  <c r="AA26" i="5"/>
  <c r="Z26" i="5"/>
  <c r="Y26" i="5"/>
  <c r="X26" i="5"/>
  <c r="W26" i="5"/>
  <c r="T26" i="5"/>
  <c r="S26" i="5"/>
  <c r="R26" i="5"/>
  <c r="Q26" i="5"/>
  <c r="P26" i="5"/>
  <c r="J26" i="5"/>
  <c r="G26" i="5"/>
  <c r="D26" i="5"/>
  <c r="BV25" i="5"/>
  <c r="BU25" i="5"/>
  <c r="BT25" i="5"/>
  <c r="BS25" i="5"/>
  <c r="AX25" i="5"/>
  <c r="AW25" i="5"/>
  <c r="AV25" i="5"/>
  <c r="AU25" i="5"/>
  <c r="AT25" i="5"/>
  <c r="AQ25" i="5"/>
  <c r="AP25" i="5"/>
  <c r="AO25" i="5"/>
  <c r="AN25" i="5"/>
  <c r="AM25" i="5"/>
  <c r="AA25" i="5"/>
  <c r="Z25" i="5"/>
  <c r="Y25" i="5"/>
  <c r="X25" i="5"/>
  <c r="W25" i="5"/>
  <c r="T25" i="5"/>
  <c r="S25" i="5"/>
  <c r="R25" i="5"/>
  <c r="Q25" i="5"/>
  <c r="P25" i="5"/>
  <c r="J25" i="5"/>
  <c r="G25" i="5"/>
  <c r="D25" i="5"/>
  <c r="BV24" i="5"/>
  <c r="BU24" i="5"/>
  <c r="BT24" i="5"/>
  <c r="BS24" i="5"/>
  <c r="AX24" i="5"/>
  <c r="AW24" i="5"/>
  <c r="AV24" i="5"/>
  <c r="AU24" i="5"/>
  <c r="AT24" i="5"/>
  <c r="AQ24" i="5"/>
  <c r="AP24" i="5"/>
  <c r="AO24" i="5"/>
  <c r="AN24" i="5"/>
  <c r="AM24" i="5"/>
  <c r="AA24" i="5"/>
  <c r="Z24" i="5"/>
  <c r="Y24" i="5"/>
  <c r="X24" i="5"/>
  <c r="W24" i="5"/>
  <c r="T24" i="5"/>
  <c r="S24" i="5"/>
  <c r="R24" i="5"/>
  <c r="Q24" i="5"/>
  <c r="P24" i="5"/>
  <c r="J24" i="5"/>
  <c r="G24" i="5"/>
  <c r="D24" i="5"/>
  <c r="C24" i="5" s="1"/>
  <c r="C25" i="5" s="1"/>
  <c r="C26" i="5" s="1"/>
  <c r="C27" i="5" s="1"/>
  <c r="C28" i="5" s="1"/>
  <c r="BV23" i="5"/>
  <c r="BU23" i="5"/>
  <c r="BT23" i="5"/>
  <c r="BS23" i="5"/>
  <c r="AX23" i="5"/>
  <c r="AW23" i="5"/>
  <c r="AV23" i="5"/>
  <c r="AU23" i="5"/>
  <c r="AT23" i="5"/>
  <c r="AQ23" i="5"/>
  <c r="AP23" i="5"/>
  <c r="AO23" i="5"/>
  <c r="AN23" i="5"/>
  <c r="AM23" i="5"/>
  <c r="AA23" i="5"/>
  <c r="Z23" i="5"/>
  <c r="Y23" i="5"/>
  <c r="X23" i="5"/>
  <c r="W23" i="5"/>
  <c r="T23" i="5"/>
  <c r="S23" i="5"/>
  <c r="R23" i="5"/>
  <c r="Q23" i="5"/>
  <c r="P23" i="5"/>
  <c r="J23" i="5"/>
  <c r="G23" i="5"/>
  <c r="BV22" i="5"/>
  <c r="BU22" i="5"/>
  <c r="BT22" i="5"/>
  <c r="BS22" i="5"/>
  <c r="AX22" i="5"/>
  <c r="AW22" i="5"/>
  <c r="AV22" i="5"/>
  <c r="AU22" i="5"/>
  <c r="AT22" i="5"/>
  <c r="AQ22" i="5"/>
  <c r="AP22" i="5"/>
  <c r="AO22" i="5"/>
  <c r="AN22" i="5"/>
  <c r="AM22" i="5"/>
  <c r="AA22" i="5"/>
  <c r="Z22" i="5"/>
  <c r="Y22" i="5"/>
  <c r="X22" i="5"/>
  <c r="W22" i="5"/>
  <c r="T22" i="5"/>
  <c r="S22" i="5"/>
  <c r="R22" i="5"/>
  <c r="Q22" i="5"/>
  <c r="P22" i="5"/>
  <c r="J22" i="5"/>
  <c r="G22" i="5"/>
  <c r="BV21" i="5"/>
  <c r="BU21" i="5"/>
  <c r="BT21" i="5"/>
  <c r="BS21" i="5"/>
  <c r="AX21" i="5"/>
  <c r="AW21" i="5"/>
  <c r="AV21" i="5"/>
  <c r="AU21" i="5"/>
  <c r="AT21" i="5"/>
  <c r="AQ21" i="5"/>
  <c r="AP21" i="5"/>
  <c r="AO21" i="5"/>
  <c r="AN21" i="5"/>
  <c r="AM21" i="5"/>
  <c r="AA21" i="5"/>
  <c r="Z21" i="5"/>
  <c r="Y21" i="5"/>
  <c r="X21" i="5"/>
  <c r="W21" i="5"/>
  <c r="T21" i="5"/>
  <c r="S21" i="5"/>
  <c r="R21" i="5"/>
  <c r="Q21" i="5"/>
  <c r="P21" i="5"/>
  <c r="J21" i="5"/>
  <c r="G21" i="5"/>
  <c r="BV20" i="5"/>
  <c r="BU20" i="5"/>
  <c r="BT20" i="5"/>
  <c r="BS20" i="5"/>
  <c r="AX20" i="5"/>
  <c r="AW20" i="5"/>
  <c r="AV20" i="5"/>
  <c r="AU20" i="5"/>
  <c r="AT20" i="5"/>
  <c r="AQ20" i="5"/>
  <c r="AP20" i="5"/>
  <c r="AO20" i="5"/>
  <c r="AN20" i="5"/>
  <c r="AM20" i="5"/>
  <c r="AA20" i="5"/>
  <c r="Z20" i="5"/>
  <c r="Y20" i="5"/>
  <c r="X20" i="5"/>
  <c r="W20" i="5"/>
  <c r="T20" i="5"/>
  <c r="S20" i="5"/>
  <c r="R20" i="5"/>
  <c r="Q20" i="5"/>
  <c r="P20" i="5"/>
  <c r="J20" i="5"/>
  <c r="G20" i="5"/>
  <c r="BV19" i="5"/>
  <c r="BU19" i="5"/>
  <c r="BT19" i="5"/>
  <c r="BS19" i="5"/>
  <c r="AX19" i="5"/>
  <c r="AW19" i="5"/>
  <c r="AV19" i="5"/>
  <c r="AU19" i="5"/>
  <c r="AT19" i="5"/>
  <c r="AQ19" i="5"/>
  <c r="AP19" i="5"/>
  <c r="AO19" i="5"/>
  <c r="AN19" i="5"/>
  <c r="AM19" i="5"/>
  <c r="AA19" i="5"/>
  <c r="Z19" i="5"/>
  <c r="Y19" i="5"/>
  <c r="X19" i="5"/>
  <c r="W19" i="5"/>
  <c r="T19" i="5"/>
  <c r="S19" i="5"/>
  <c r="R19" i="5"/>
  <c r="Q19" i="5"/>
  <c r="P19" i="5"/>
  <c r="J19" i="5"/>
  <c r="G19" i="5"/>
  <c r="BV18" i="5"/>
  <c r="BU18" i="5"/>
  <c r="BT18" i="5"/>
  <c r="BS18" i="5"/>
  <c r="AX18" i="5"/>
  <c r="AW18" i="5"/>
  <c r="AV18" i="5"/>
  <c r="AU18" i="5"/>
  <c r="AT18" i="5"/>
  <c r="AQ18" i="5"/>
  <c r="AP18" i="5"/>
  <c r="AO18" i="5"/>
  <c r="AN18" i="5"/>
  <c r="AM18" i="5"/>
  <c r="AA18" i="5"/>
  <c r="Z18" i="5"/>
  <c r="Y18" i="5"/>
  <c r="X18" i="5"/>
  <c r="W18" i="5"/>
  <c r="T18" i="5"/>
  <c r="S18" i="5"/>
  <c r="R18" i="5"/>
  <c r="Q18" i="5"/>
  <c r="P18" i="5"/>
  <c r="J18" i="5"/>
  <c r="G18" i="5"/>
  <c r="BV17" i="5"/>
  <c r="BU17" i="5"/>
  <c r="BT17" i="5"/>
  <c r="BS17" i="5"/>
  <c r="AX17" i="5"/>
  <c r="AW17" i="5"/>
  <c r="AV17" i="5"/>
  <c r="AU17" i="5"/>
  <c r="AT17" i="5"/>
  <c r="AQ17" i="5"/>
  <c r="AP17" i="5"/>
  <c r="AO17" i="5"/>
  <c r="AN17" i="5"/>
  <c r="AM17" i="5"/>
  <c r="AA17" i="5"/>
  <c r="Z17" i="5"/>
  <c r="Y17" i="5"/>
  <c r="X17" i="5"/>
  <c r="W17" i="5"/>
  <c r="T17" i="5"/>
  <c r="S17" i="5"/>
  <c r="R17" i="5"/>
  <c r="Q17" i="5"/>
  <c r="P17" i="5"/>
  <c r="J17" i="5"/>
  <c r="G17" i="5"/>
  <c r="D17" i="5"/>
  <c r="BV16" i="5"/>
  <c r="BU16" i="5"/>
  <c r="BT16" i="5"/>
  <c r="BS16" i="5"/>
  <c r="AX16" i="5"/>
  <c r="AW16" i="5"/>
  <c r="AV16" i="5"/>
  <c r="AU16" i="5"/>
  <c r="AT16" i="5"/>
  <c r="AQ16" i="5"/>
  <c r="AP16" i="5"/>
  <c r="AO16" i="5"/>
  <c r="AN16" i="5"/>
  <c r="AM16" i="5"/>
  <c r="AA16" i="5"/>
  <c r="Z16" i="5"/>
  <c r="Y16" i="5"/>
  <c r="X16" i="5"/>
  <c r="W16" i="5"/>
  <c r="T16" i="5"/>
  <c r="S16" i="5"/>
  <c r="R16" i="5"/>
  <c r="Q16" i="5"/>
  <c r="P16" i="5"/>
  <c r="J16" i="5"/>
  <c r="G16" i="5"/>
  <c r="D16" i="5"/>
  <c r="BV15" i="5"/>
  <c r="BU15" i="5"/>
  <c r="BT15" i="5"/>
  <c r="BS15" i="5"/>
  <c r="AX15" i="5"/>
  <c r="AW15" i="5"/>
  <c r="AV15" i="5"/>
  <c r="AU15" i="5"/>
  <c r="AT15" i="5"/>
  <c r="AQ15" i="5"/>
  <c r="AP15" i="5"/>
  <c r="AO15" i="5"/>
  <c r="AN15" i="5"/>
  <c r="AM15" i="5"/>
  <c r="AA15" i="5"/>
  <c r="Z15" i="5"/>
  <c r="Y15" i="5"/>
  <c r="X15" i="5"/>
  <c r="W15" i="5"/>
  <c r="T15" i="5"/>
  <c r="S15" i="5"/>
  <c r="R15" i="5"/>
  <c r="Q15" i="5"/>
  <c r="P15" i="5"/>
  <c r="J15" i="5"/>
  <c r="G15" i="5"/>
  <c r="D15" i="5"/>
  <c r="BV14" i="5"/>
  <c r="BU14" i="5"/>
  <c r="BT14" i="5"/>
  <c r="BS14" i="5"/>
  <c r="AX14" i="5"/>
  <c r="AW14" i="5"/>
  <c r="AV14" i="5"/>
  <c r="AU14" i="5"/>
  <c r="AT14" i="5"/>
  <c r="AQ14" i="5"/>
  <c r="AP14" i="5"/>
  <c r="AO14" i="5"/>
  <c r="AN14" i="5"/>
  <c r="AM14" i="5"/>
  <c r="AA14" i="5"/>
  <c r="Z14" i="5"/>
  <c r="Y14" i="5"/>
  <c r="X14" i="5"/>
  <c r="W14" i="5"/>
  <c r="T14" i="5"/>
  <c r="S14" i="5"/>
  <c r="R14" i="5"/>
  <c r="Q14" i="5"/>
  <c r="P14" i="5"/>
  <c r="J14" i="5"/>
  <c r="G14" i="5"/>
  <c r="D14" i="5"/>
  <c r="BV13" i="5"/>
  <c r="BU13" i="5"/>
  <c r="BT13" i="5"/>
  <c r="BS13" i="5"/>
  <c r="AX13" i="5"/>
  <c r="AW13" i="5"/>
  <c r="AV13" i="5"/>
  <c r="AU13" i="5"/>
  <c r="AT13" i="5"/>
  <c r="AQ13" i="5"/>
  <c r="AP13" i="5"/>
  <c r="AO13" i="5"/>
  <c r="AN13" i="5"/>
  <c r="AM13" i="5"/>
  <c r="AA13" i="5"/>
  <c r="Z13" i="5"/>
  <c r="Y13" i="5"/>
  <c r="X13" i="5"/>
  <c r="W13" i="5"/>
  <c r="T13" i="5"/>
  <c r="S13" i="5"/>
  <c r="R13" i="5"/>
  <c r="Q13" i="5"/>
  <c r="P13" i="5"/>
  <c r="J13" i="5"/>
  <c r="G13" i="5"/>
  <c r="D13" i="5"/>
  <c r="BV12" i="5"/>
  <c r="BU12" i="5"/>
  <c r="BT12" i="5"/>
  <c r="BS12" i="5"/>
  <c r="AX12" i="5"/>
  <c r="AW12" i="5"/>
  <c r="AV12" i="5"/>
  <c r="AU12" i="5"/>
  <c r="AT12" i="5"/>
  <c r="AQ12" i="5"/>
  <c r="AP12" i="5"/>
  <c r="AO12" i="5"/>
  <c r="AN12" i="5"/>
  <c r="AM12" i="5"/>
  <c r="AA12" i="5"/>
  <c r="Z12" i="5"/>
  <c r="Y12" i="5"/>
  <c r="X12" i="5"/>
  <c r="W12" i="5"/>
  <c r="T12" i="5"/>
  <c r="S12" i="5"/>
  <c r="R12" i="5"/>
  <c r="Q12" i="5"/>
  <c r="P12" i="5"/>
  <c r="J12" i="5"/>
  <c r="G12" i="5"/>
  <c r="D12" i="5"/>
  <c r="BV11" i="5"/>
  <c r="BU11" i="5"/>
  <c r="BT11" i="5"/>
  <c r="BS11" i="5"/>
  <c r="AX11" i="5"/>
  <c r="AW11" i="5"/>
  <c r="AV11" i="5"/>
  <c r="AU11" i="5"/>
  <c r="AT11" i="5"/>
  <c r="AQ11" i="5"/>
  <c r="AP11" i="5"/>
  <c r="AO11" i="5"/>
  <c r="AN11" i="5"/>
  <c r="AM11" i="5"/>
  <c r="AA11" i="5"/>
  <c r="Z11" i="5"/>
  <c r="Y11" i="5"/>
  <c r="X11" i="5"/>
  <c r="W11" i="5"/>
  <c r="T11" i="5"/>
  <c r="S11" i="5"/>
  <c r="R11" i="5"/>
  <c r="Q11" i="5"/>
  <c r="P11" i="5"/>
  <c r="J11" i="5"/>
  <c r="G11" i="5"/>
  <c r="D11" i="5"/>
  <c r="BV10" i="5"/>
  <c r="BU10" i="5"/>
  <c r="BT10" i="5"/>
  <c r="BS10" i="5"/>
  <c r="AX10" i="5"/>
  <c r="AW10" i="5"/>
  <c r="AV10" i="5"/>
  <c r="AU10" i="5"/>
  <c r="AT10" i="5"/>
  <c r="AQ10" i="5"/>
  <c r="AP10" i="5"/>
  <c r="AO10" i="5"/>
  <c r="AN10" i="5"/>
  <c r="AM10" i="5"/>
  <c r="AA10" i="5"/>
  <c r="Z10" i="5"/>
  <c r="Y10" i="5"/>
  <c r="X10" i="5"/>
  <c r="W10" i="5"/>
  <c r="T10" i="5"/>
  <c r="S10" i="5"/>
  <c r="R10" i="5"/>
  <c r="Q10" i="5"/>
  <c r="P10" i="5"/>
  <c r="J10" i="5"/>
  <c r="G10" i="5"/>
  <c r="D10" i="5"/>
  <c r="BV9" i="5"/>
  <c r="BU9" i="5"/>
  <c r="BT9" i="5"/>
  <c r="BS9" i="5"/>
  <c r="AX9" i="5"/>
  <c r="AW9" i="5"/>
  <c r="AV9" i="5"/>
  <c r="AU9" i="5"/>
  <c r="AT9" i="5"/>
  <c r="AQ9" i="5"/>
  <c r="AP9" i="5"/>
  <c r="AO9" i="5"/>
  <c r="AN9" i="5"/>
  <c r="AM9" i="5"/>
  <c r="AA9" i="5"/>
  <c r="Z9" i="5"/>
  <c r="Y9" i="5"/>
  <c r="X9" i="5"/>
  <c r="W9" i="5"/>
  <c r="T9" i="5"/>
  <c r="S9" i="5"/>
  <c r="R9" i="5"/>
  <c r="Q9" i="5"/>
  <c r="P9" i="5"/>
  <c r="J9" i="5"/>
  <c r="G9" i="5"/>
  <c r="D9" i="5"/>
  <c r="BV8" i="5"/>
  <c r="BU8" i="5"/>
  <c r="BT8" i="5"/>
  <c r="BS8" i="5"/>
  <c r="AX8" i="5"/>
  <c r="AW8" i="5"/>
  <c r="AV8" i="5"/>
  <c r="AU8" i="5"/>
  <c r="AT8" i="5"/>
  <c r="AQ8" i="5"/>
  <c r="AP8" i="5"/>
  <c r="AO8" i="5"/>
  <c r="AN8" i="5"/>
  <c r="AM8" i="5"/>
  <c r="AA8" i="5"/>
  <c r="Z8" i="5"/>
  <c r="Y8" i="5"/>
  <c r="X8" i="5"/>
  <c r="W8" i="5"/>
  <c r="T8" i="5"/>
  <c r="S8" i="5"/>
  <c r="R8" i="5"/>
  <c r="Q8" i="5"/>
  <c r="P8" i="5"/>
  <c r="J8" i="5"/>
  <c r="G8" i="5"/>
  <c r="D8" i="5"/>
  <c r="C8" i="5" s="1"/>
  <c r="BV7" i="5"/>
  <c r="BU7" i="5"/>
  <c r="BT7" i="5"/>
  <c r="BS7" i="5"/>
  <c r="AX7" i="5"/>
  <c r="AW7" i="5"/>
  <c r="AV7" i="5"/>
  <c r="AU7" i="5"/>
  <c r="AT7" i="5"/>
  <c r="AQ7" i="5"/>
  <c r="AP7" i="5"/>
  <c r="AO7" i="5"/>
  <c r="AN7" i="5"/>
  <c r="AM7" i="5"/>
  <c r="AA7" i="5"/>
  <c r="Z7" i="5"/>
  <c r="Y7" i="5"/>
  <c r="X7" i="5"/>
  <c r="W7" i="5"/>
  <c r="T7" i="5"/>
  <c r="S7" i="5"/>
  <c r="R7" i="5"/>
  <c r="Q7" i="5"/>
  <c r="P7" i="5"/>
  <c r="J7" i="5"/>
  <c r="G7" i="5"/>
  <c r="BV6" i="5"/>
  <c r="BU6" i="5"/>
  <c r="BT6" i="5"/>
  <c r="BS6" i="5"/>
  <c r="AX6" i="5"/>
  <c r="AW6" i="5"/>
  <c r="AV6" i="5"/>
  <c r="AU6" i="5"/>
  <c r="AT6" i="5"/>
  <c r="AQ6" i="5"/>
  <c r="AP6" i="5"/>
  <c r="AO6" i="5"/>
  <c r="AN6" i="5"/>
  <c r="AM6" i="5"/>
  <c r="AA6" i="5"/>
  <c r="Z6" i="5"/>
  <c r="Y6" i="5"/>
  <c r="X6" i="5"/>
  <c r="W6" i="5"/>
  <c r="T6" i="5"/>
  <c r="S6" i="5"/>
  <c r="R6" i="5"/>
  <c r="Q6" i="5"/>
  <c r="P6" i="5"/>
  <c r="J6" i="5"/>
  <c r="G6" i="5"/>
  <c r="BV5" i="5"/>
  <c r="BU5" i="5"/>
  <c r="BT5" i="5"/>
  <c r="BS5" i="5"/>
  <c r="AX5" i="5"/>
  <c r="AW5" i="5"/>
  <c r="AV5" i="5"/>
  <c r="AU5" i="5"/>
  <c r="AT5" i="5"/>
  <c r="AQ5" i="5"/>
  <c r="AP5" i="5"/>
  <c r="AO5" i="5"/>
  <c r="AN5" i="5"/>
  <c r="AM5" i="5"/>
  <c r="AA5" i="5"/>
  <c r="Z5" i="5"/>
  <c r="Y5" i="5"/>
  <c r="X5" i="5"/>
  <c r="W5" i="5"/>
  <c r="T5" i="5"/>
  <c r="S5" i="5"/>
  <c r="R5" i="5"/>
  <c r="Q5" i="5"/>
  <c r="P5" i="5"/>
  <c r="J5" i="5"/>
  <c r="G5" i="5"/>
  <c r="BV4" i="5"/>
  <c r="BU4" i="5"/>
  <c r="BT4" i="5"/>
  <c r="BS4" i="5"/>
  <c r="AX4" i="5"/>
  <c r="AW4" i="5"/>
  <c r="AV4" i="5"/>
  <c r="AU4" i="5"/>
  <c r="AT4" i="5"/>
  <c r="AQ4" i="5"/>
  <c r="AP4" i="5"/>
  <c r="AO4" i="5"/>
  <c r="AN4" i="5"/>
  <c r="AM4" i="5"/>
  <c r="AA4" i="5"/>
  <c r="Z4" i="5"/>
  <c r="Y4" i="5"/>
  <c r="X4" i="5"/>
  <c r="W4" i="5"/>
  <c r="T4" i="5"/>
  <c r="S4" i="5"/>
  <c r="R4" i="5"/>
  <c r="Q4" i="5"/>
  <c r="P4" i="5"/>
  <c r="J4" i="5"/>
  <c r="G4" i="5"/>
  <c r="J3" i="5"/>
  <c r="G3" i="5"/>
  <c r="BN20" i="5"/>
  <c r="BJ18" i="5"/>
  <c r="BN17" i="5"/>
  <c r="BN15" i="5"/>
  <c r="BK11" i="5"/>
  <c r="BM20" i="5"/>
  <c r="BM23" i="5"/>
  <c r="BN6" i="5"/>
  <c r="BJ8" i="5"/>
  <c r="BN12" i="5"/>
  <c r="BL7" i="5"/>
  <c r="BN5" i="5"/>
  <c r="BJ15" i="5"/>
  <c r="BK19" i="5"/>
  <c r="BJ7" i="5"/>
  <c r="BN11" i="5"/>
  <c r="BK17" i="5"/>
  <c r="BM12" i="5"/>
  <c r="BL23" i="5"/>
  <c r="BM16" i="5"/>
  <c r="BL14" i="5"/>
  <c r="BK14" i="5"/>
  <c r="BN16" i="5"/>
  <c r="BK12" i="5"/>
  <c r="BM19" i="5"/>
  <c r="BL6" i="5"/>
  <c r="BN22" i="5"/>
  <c r="BJ21" i="5"/>
  <c r="BN7" i="5"/>
  <c r="BK21" i="5"/>
  <c r="BK22" i="5"/>
  <c r="BM7" i="5"/>
  <c r="BL17" i="5"/>
  <c r="BJ5" i="5"/>
  <c r="BJ20" i="5"/>
  <c r="BL5" i="5"/>
  <c r="BJ11" i="5"/>
  <c r="BJ23" i="5"/>
  <c r="BK7" i="5"/>
  <c r="BK10" i="5"/>
  <c r="BM6" i="5"/>
  <c r="BN8" i="5"/>
  <c r="BL21" i="5"/>
  <c r="BK8" i="5"/>
  <c r="BM17" i="5"/>
  <c r="BL18" i="5"/>
  <c r="BM15" i="5"/>
  <c r="BN21" i="5"/>
  <c r="BK15" i="5"/>
  <c r="BM11" i="5"/>
  <c r="BL20" i="5"/>
  <c r="BL16" i="5"/>
  <c r="BM22" i="5"/>
  <c r="BK16" i="5"/>
  <c r="BL19" i="5"/>
  <c r="BL13" i="5"/>
  <c r="BJ13" i="5"/>
  <c r="BJ19" i="5"/>
  <c r="BJ4" i="5"/>
  <c r="BN9" i="5"/>
  <c r="BK6" i="5"/>
  <c r="BN13" i="5"/>
  <c r="BJ9" i="5"/>
  <c r="BN10" i="5"/>
  <c r="BJ10" i="5"/>
  <c r="BJ6" i="5"/>
  <c r="BK5" i="5"/>
  <c r="BK13" i="5"/>
  <c r="BM5" i="5"/>
  <c r="BN4" i="5"/>
  <c r="BL15" i="5"/>
  <c r="BM18" i="5"/>
  <c r="BL10" i="5"/>
  <c r="BN19" i="5"/>
  <c r="BJ17" i="5"/>
  <c r="BL9" i="5"/>
  <c r="BJ22" i="5"/>
  <c r="BN23" i="5"/>
  <c r="BK4" i="5"/>
  <c r="BM14" i="5"/>
  <c r="BJ14" i="5"/>
  <c r="BM13" i="5"/>
  <c r="BM9" i="5"/>
  <c r="BM21" i="5"/>
  <c r="BL11" i="5"/>
  <c r="BL4" i="5"/>
  <c r="BJ12" i="5"/>
  <c r="BK9" i="5"/>
  <c r="BM8" i="5"/>
  <c r="BM4" i="5"/>
  <c r="BK18" i="5"/>
  <c r="BL12" i="5"/>
  <c r="BL8" i="5"/>
  <c r="BJ16" i="5"/>
  <c r="BM10" i="5"/>
  <c r="BL22" i="5"/>
  <c r="BN18" i="5"/>
  <c r="BK20" i="5"/>
  <c r="BN14" i="5"/>
  <c r="BK23" i="5"/>
  <c r="C9" i="5" l="1"/>
  <c r="C10" i="5" s="1"/>
  <c r="C11" i="5" s="1"/>
  <c r="C29" i="5"/>
  <c r="H47" i="6"/>
  <c r="L47" i="6" s="1"/>
  <c r="C12" i="5"/>
  <c r="C13" i="5" s="1"/>
  <c r="C14" i="5" s="1"/>
  <c r="C15" i="5" s="1"/>
  <c r="C16" i="5" s="1"/>
  <c r="C17" i="5" s="1"/>
  <c r="C30" i="5"/>
  <c r="C31" i="5" s="1"/>
  <c r="C32" i="5" s="1"/>
  <c r="C33" i="5" s="1"/>
  <c r="C34" i="5" s="1"/>
  <c r="C35" i="5" s="1"/>
  <c r="BW36" i="5"/>
  <c r="BW44" i="5"/>
  <c r="BW31" i="5"/>
  <c r="BW4" i="5"/>
  <c r="BW11" i="5"/>
  <c r="BW52" i="5"/>
  <c r="BW24" i="5"/>
  <c r="BW32" i="5"/>
  <c r="BW37" i="5"/>
  <c r="BW43" i="5"/>
  <c r="BW53" i="5"/>
  <c r="BW30" i="5"/>
  <c r="BW39" i="5"/>
  <c r="BW45" i="5"/>
  <c r="BW34" i="5"/>
  <c r="BW13" i="5"/>
  <c r="BW22" i="5"/>
  <c r="BW25" i="5"/>
  <c r="BW8" i="5"/>
  <c r="BW28" i="5"/>
  <c r="BW29" i="5"/>
  <c r="BW18" i="5"/>
  <c r="BW51" i="5"/>
  <c r="BW6" i="5"/>
  <c r="BW10" i="5"/>
  <c r="BW16" i="5"/>
  <c r="BW41" i="5"/>
  <c r="BW5" i="5"/>
  <c r="BW7" i="5"/>
  <c r="BW15" i="5"/>
  <c r="BW27" i="5"/>
  <c r="BW38" i="5"/>
  <c r="BW40" i="5"/>
  <c r="BW42" i="5"/>
  <c r="BW47" i="5"/>
  <c r="BW49" i="5"/>
  <c r="BW12" i="5"/>
  <c r="BW20" i="5"/>
  <c r="BW33" i="5"/>
  <c r="BW46" i="5"/>
  <c r="BW48" i="5"/>
  <c r="BW9" i="5"/>
  <c r="BW17" i="5"/>
  <c r="BW19" i="5"/>
  <c r="BW21" i="5"/>
  <c r="BW23" i="5"/>
  <c r="BW50" i="5"/>
  <c r="BW14" i="5"/>
  <c r="BW26" i="5"/>
  <c r="BW35" i="5"/>
  <c r="J55" i="1" l="1"/>
  <c r="J5" i="1" l="1"/>
  <c r="J6" i="1"/>
  <c r="J7" i="1"/>
  <c r="J12" i="1" l="1"/>
  <c r="J13" i="1"/>
  <c r="J14" i="1"/>
  <c r="J9" i="1"/>
  <c r="W5" i="4" l="1"/>
  <c r="AB5" i="4" s="1"/>
  <c r="W15" i="4"/>
  <c r="AB15" i="4" s="1"/>
  <c r="V55" i="4"/>
  <c r="AA55" i="4" s="1"/>
  <c r="W100" i="4"/>
  <c r="AB100" i="4" s="1"/>
  <c r="V35" i="4"/>
  <c r="AA35" i="4" s="1"/>
  <c r="V36" i="4"/>
  <c r="AA36" i="4" s="1"/>
  <c r="W103" i="4"/>
  <c r="AB103" i="4" s="1"/>
  <c r="V52" i="4"/>
  <c r="AA52" i="4" s="1"/>
  <c r="V71" i="4"/>
  <c r="AA71" i="4" s="1"/>
  <c r="V88" i="4"/>
  <c r="AA88" i="4" s="1"/>
  <c r="W31" i="4"/>
  <c r="AB31" i="4" s="1"/>
  <c r="V68" i="4"/>
  <c r="AA68" i="4" s="1"/>
  <c r="V5" i="4"/>
  <c r="AA5" i="4" s="1"/>
  <c r="V70" i="4"/>
  <c r="AA70" i="4" s="1"/>
  <c r="W38" i="4"/>
  <c r="AB38" i="4" s="1"/>
  <c r="V92" i="4"/>
  <c r="AA92" i="4" s="1"/>
  <c r="W30" i="4"/>
  <c r="AB30" i="4" s="1"/>
  <c r="V89" i="4"/>
  <c r="AA89" i="4" s="1"/>
  <c r="V51" i="4"/>
  <c r="AA51" i="4" s="1"/>
  <c r="W66" i="4"/>
  <c r="AB66" i="4" s="1"/>
  <c r="W22" i="4"/>
  <c r="AB22" i="4" s="1"/>
  <c r="W84" i="4"/>
  <c r="AB84" i="4" s="1"/>
  <c r="W41" i="4"/>
  <c r="AB41" i="4" s="1"/>
  <c r="W9" i="4"/>
  <c r="AB9" i="4" s="1"/>
  <c r="V20" i="4"/>
  <c r="AA20" i="4" s="1"/>
  <c r="S83" i="4"/>
  <c r="X83" i="4" s="1"/>
  <c r="S92" i="4"/>
  <c r="X92" i="4" s="1"/>
  <c r="S5" i="4"/>
  <c r="X5" i="4" s="1"/>
  <c r="S18" i="4"/>
  <c r="X18" i="4" s="1"/>
  <c r="S58" i="4"/>
  <c r="X58" i="4" s="1"/>
  <c r="S43" i="4"/>
  <c r="X43" i="4" s="1"/>
  <c r="S21" i="4"/>
  <c r="X21" i="4" s="1"/>
  <c r="S69" i="4"/>
  <c r="X69" i="4" s="1"/>
  <c r="S99" i="4"/>
  <c r="X99" i="4" s="1"/>
  <c r="S86" i="4"/>
  <c r="X86" i="4" s="1"/>
  <c r="S93" i="4"/>
  <c r="X93" i="4" s="1"/>
  <c r="S72" i="4"/>
  <c r="X72" i="4" s="1"/>
  <c r="S53" i="4"/>
  <c r="X53" i="4" s="1"/>
  <c r="S80" i="4"/>
  <c r="X80" i="4" s="1"/>
  <c r="S8" i="4"/>
  <c r="X8" i="4" s="1"/>
  <c r="S23" i="4"/>
  <c r="X23" i="4" s="1"/>
  <c r="S24" i="4"/>
  <c r="X24" i="4" s="1"/>
  <c r="S17" i="4"/>
  <c r="X17" i="4" s="1"/>
  <c r="S56" i="4"/>
  <c r="X56" i="4" s="1"/>
  <c r="S40" i="4"/>
  <c r="X40" i="4" s="1"/>
  <c r="S96" i="4"/>
  <c r="X96" i="4" s="1"/>
  <c r="S71" i="4"/>
  <c r="X71" i="4" s="1"/>
  <c r="V56" i="4" l="1"/>
  <c r="AA56" i="4" s="1"/>
  <c r="S33" i="4"/>
  <c r="X33" i="4" s="1"/>
  <c r="W60" i="4"/>
  <c r="AB60" i="4" s="1"/>
  <c r="W7" i="4"/>
  <c r="AB7" i="4" s="1"/>
  <c r="S66" i="4"/>
  <c r="X66" i="4" s="1"/>
  <c r="V58" i="4"/>
  <c r="AA58" i="4" s="1"/>
  <c r="W8" i="4"/>
  <c r="AB8" i="4" s="1"/>
  <c r="W50" i="4"/>
  <c r="AB50" i="4" s="1"/>
  <c r="S55" i="4"/>
  <c r="X55" i="4" s="1"/>
  <c r="S36" i="4"/>
  <c r="X36" i="4" s="1"/>
  <c r="W65" i="4"/>
  <c r="AB65" i="4" s="1"/>
  <c r="W85" i="4"/>
  <c r="AB85" i="4" s="1"/>
  <c r="W69" i="4"/>
  <c r="AB69" i="4" s="1"/>
  <c r="V50" i="4"/>
  <c r="AA50" i="4" s="1"/>
  <c r="W56" i="4"/>
  <c r="AB56" i="4" s="1"/>
  <c r="W18" i="4"/>
  <c r="AB18" i="4" s="1"/>
  <c r="V62" i="4"/>
  <c r="AA62" i="4" s="1"/>
  <c r="V103" i="4"/>
  <c r="AA103" i="4" s="1"/>
  <c r="S64" i="4"/>
  <c r="X64" i="4" s="1"/>
  <c r="S37" i="4"/>
  <c r="X37" i="4" s="1"/>
  <c r="V82" i="4"/>
  <c r="AA82" i="4" s="1"/>
  <c r="V78" i="4"/>
  <c r="AA78" i="4" s="1"/>
  <c r="W32" i="4"/>
  <c r="AB32" i="4" s="1"/>
  <c r="W49" i="4"/>
  <c r="AB49" i="4" s="1"/>
  <c r="W13" i="4"/>
  <c r="AB13" i="4" s="1"/>
  <c r="S87" i="4"/>
  <c r="X87" i="4" s="1"/>
  <c r="S19" i="4"/>
  <c r="X19" i="4" s="1"/>
  <c r="W28" i="4"/>
  <c r="AB28" i="4" s="1"/>
  <c r="W99" i="4"/>
  <c r="AB99" i="4" s="1"/>
  <c r="W80" i="4"/>
  <c r="AB80" i="4" s="1"/>
  <c r="W83" i="4"/>
  <c r="AB83" i="4" s="1"/>
  <c r="W10" i="4"/>
  <c r="AB10" i="4" s="1"/>
  <c r="V66" i="4"/>
  <c r="AA66" i="4" s="1"/>
  <c r="S51" i="4"/>
  <c r="X51" i="4" s="1"/>
  <c r="W63" i="4"/>
  <c r="AB63" i="4" s="1"/>
  <c r="V7" i="4"/>
  <c r="AA7" i="4" s="1"/>
  <c r="W16" i="4"/>
  <c r="AB16" i="4" s="1"/>
  <c r="V53" i="4"/>
  <c r="AA53" i="4" s="1"/>
  <c r="S102" i="4"/>
  <c r="X102" i="4" s="1"/>
  <c r="W102" i="4"/>
  <c r="AB102" i="4" s="1"/>
  <c r="S81" i="4"/>
  <c r="X81" i="4" s="1"/>
  <c r="W71" i="4"/>
  <c r="AB71" i="4" s="1"/>
  <c r="S32" i="4"/>
  <c r="X32" i="4" s="1"/>
  <c r="W23" i="4"/>
  <c r="AB23" i="4" s="1"/>
  <c r="W34" i="4"/>
  <c r="AB34" i="4" s="1"/>
  <c r="W45" i="4"/>
  <c r="AB45" i="4" s="1"/>
  <c r="V14" i="4"/>
  <c r="AA14" i="4" s="1"/>
  <c r="V94" i="4"/>
  <c r="AA94" i="4" s="1"/>
  <c r="W20" i="4"/>
  <c r="AB20" i="4" s="1"/>
  <c r="W27" i="4"/>
  <c r="AB27" i="4" s="1"/>
  <c r="W24" i="4"/>
  <c r="AB24" i="4" s="1"/>
  <c r="W48" i="4"/>
  <c r="AB48" i="4" s="1"/>
  <c r="W94" i="4"/>
  <c r="AB94" i="4" s="1"/>
  <c r="W72" i="4"/>
  <c r="AB72" i="4" s="1"/>
  <c r="W79" i="4"/>
  <c r="AB79" i="4" s="1"/>
  <c r="W92" i="4"/>
  <c r="AB92" i="4" s="1"/>
  <c r="W59" i="4"/>
  <c r="AB59" i="4" s="1"/>
  <c r="W88" i="4"/>
  <c r="AB88" i="4" s="1"/>
  <c r="S44" i="4"/>
  <c r="X44" i="4" s="1"/>
  <c r="W75" i="4"/>
  <c r="AB75" i="4" s="1"/>
  <c r="S31" i="4"/>
  <c r="X31" i="4" s="1"/>
  <c r="W42" i="4"/>
  <c r="AB42" i="4" s="1"/>
  <c r="W47" i="4"/>
  <c r="AB47" i="4" s="1"/>
  <c r="V79" i="4"/>
  <c r="AA79" i="4" s="1"/>
  <c r="W12" i="4"/>
  <c r="AB12" i="4" s="1"/>
  <c r="W36" i="4"/>
  <c r="AB36" i="4" s="1"/>
  <c r="S41" i="4"/>
  <c r="X41" i="4" s="1"/>
  <c r="S57" i="4"/>
  <c r="X57" i="4" s="1"/>
  <c r="S74" i="4"/>
  <c r="X74" i="4" s="1"/>
  <c r="W39" i="4"/>
  <c r="AB39" i="4" s="1"/>
  <c r="S15" i="4"/>
  <c r="X15" i="4" s="1"/>
  <c r="V28" i="4"/>
  <c r="AA28" i="4" s="1"/>
  <c r="S34" i="4"/>
  <c r="X34" i="4" s="1"/>
  <c r="W33" i="4"/>
  <c r="AB33" i="4" s="1"/>
  <c r="V77" i="4"/>
  <c r="AA77" i="4" s="1"/>
  <c r="W58" i="4"/>
  <c r="AB58" i="4" s="1"/>
  <c r="V57" i="4"/>
  <c r="AA57" i="4" s="1"/>
  <c r="W55" i="4"/>
  <c r="AB55" i="4" s="1"/>
  <c r="V46" i="4"/>
  <c r="AA46" i="4" s="1"/>
  <c r="V45" i="4"/>
  <c r="AA45" i="4" s="1"/>
  <c r="V6" i="4"/>
  <c r="AA6" i="4" s="1"/>
  <c r="W21" i="4"/>
  <c r="AB21" i="4" s="1"/>
  <c r="V44" i="4"/>
  <c r="AA44" i="4" s="1"/>
  <c r="V67" i="4"/>
  <c r="AA67" i="4" s="1"/>
  <c r="V17" i="4"/>
  <c r="AA17" i="4" s="1"/>
  <c r="W61" i="4"/>
  <c r="AB61" i="4" s="1"/>
  <c r="V40" i="4"/>
  <c r="AA40" i="4" s="1"/>
  <c r="V54" i="4"/>
  <c r="AA54" i="4" s="1"/>
  <c r="V84" i="4"/>
  <c r="AA84" i="4" s="1"/>
  <c r="V99" i="4"/>
  <c r="AA99" i="4" s="1"/>
  <c r="V87" i="4"/>
  <c r="AA87" i="4" s="1"/>
  <c r="V60" i="4"/>
  <c r="AA60" i="4" s="1"/>
  <c r="W46" i="4"/>
  <c r="AB46" i="4" s="1"/>
  <c r="V34" i="4"/>
  <c r="AA34" i="4" s="1"/>
  <c r="V19" i="4"/>
  <c r="AA19" i="4" s="1"/>
  <c r="W52" i="4"/>
  <c r="AB52" i="4" s="1"/>
  <c r="V96" i="4"/>
  <c r="AA96" i="4" s="1"/>
  <c r="W6" i="4"/>
  <c r="AB6" i="4" s="1"/>
  <c r="V91" i="4"/>
  <c r="AA91" i="4" s="1"/>
  <c r="V61" i="4"/>
  <c r="AA61" i="4" s="1"/>
  <c r="V39" i="4"/>
  <c r="AA39" i="4" s="1"/>
  <c r="W53" i="4"/>
  <c r="AB53" i="4" s="1"/>
  <c r="V101" i="4"/>
  <c r="AA101" i="4" s="1"/>
  <c r="V83" i="4"/>
  <c r="AA83" i="4" s="1"/>
  <c r="V98" i="4"/>
  <c r="AA98" i="4" s="1"/>
  <c r="W17" i="4"/>
  <c r="AB17" i="4" s="1"/>
  <c r="V81" i="4"/>
  <c r="AA81" i="4" s="1"/>
  <c r="W19" i="4"/>
  <c r="AB19" i="4" s="1"/>
  <c r="V10" i="4"/>
  <c r="AA10" i="4" s="1"/>
  <c r="V102" i="4"/>
  <c r="AA102" i="4" s="1"/>
  <c r="V104" i="4"/>
  <c r="AA104" i="4" s="1"/>
  <c r="V69" i="4"/>
  <c r="AA69" i="4" s="1"/>
  <c r="W54" i="4"/>
  <c r="AB54" i="4" s="1"/>
  <c r="V75" i="4"/>
  <c r="AA75" i="4" s="1"/>
  <c r="W35" i="4"/>
  <c r="AB35" i="4" s="1"/>
  <c r="V74" i="4"/>
  <c r="AA74" i="4" s="1"/>
  <c r="V42" i="4"/>
  <c r="AA42" i="4" s="1"/>
  <c r="W11" i="4"/>
  <c r="AB11" i="4" s="1"/>
  <c r="V27" i="4"/>
  <c r="AA27" i="4" s="1"/>
  <c r="W14" i="4"/>
  <c r="AB14" i="4" s="1"/>
  <c r="W40" i="4"/>
  <c r="AB40" i="4" s="1"/>
  <c r="V31" i="4"/>
  <c r="AA31" i="4" s="1"/>
  <c r="V25" i="4"/>
  <c r="AA25" i="4" s="1"/>
  <c r="V43" i="4"/>
  <c r="AA43" i="4" s="1"/>
  <c r="V29" i="4"/>
  <c r="AA29" i="4" s="1"/>
  <c r="W26" i="4"/>
  <c r="AB26" i="4" s="1"/>
  <c r="W29" i="4"/>
  <c r="AB29" i="4" s="1"/>
  <c r="W44" i="4"/>
  <c r="AB44" i="4" s="1"/>
  <c r="V12" i="4"/>
  <c r="AA12" i="4" s="1"/>
  <c r="V72" i="4"/>
  <c r="AA72" i="4" s="1"/>
  <c r="W57" i="4"/>
  <c r="AB57" i="4" s="1"/>
  <c r="V8" i="4"/>
  <c r="AA8" i="4" s="1"/>
  <c r="V15" i="4"/>
  <c r="AA15" i="4" s="1"/>
  <c r="V59" i="4"/>
  <c r="AA59" i="4" s="1"/>
  <c r="V73" i="4"/>
  <c r="AA73" i="4" s="1"/>
  <c r="V63" i="4"/>
  <c r="AA63" i="4" s="1"/>
  <c r="V37" i="4"/>
  <c r="AA37" i="4" s="1"/>
  <c r="V24" i="4"/>
  <c r="AA24" i="4" s="1"/>
  <c r="V95" i="4"/>
  <c r="AA95" i="4" s="1"/>
  <c r="V76" i="4"/>
  <c r="AA76" i="4" s="1"/>
  <c r="W43" i="4"/>
  <c r="AB43" i="4" s="1"/>
  <c r="V65" i="4"/>
  <c r="AA65" i="4" s="1"/>
  <c r="V47" i="4"/>
  <c r="AA47" i="4" s="1"/>
  <c r="W37" i="4"/>
  <c r="AB37" i="4" s="1"/>
  <c r="V48" i="4"/>
  <c r="AA48" i="4" s="1"/>
  <c r="V85" i="4"/>
  <c r="AA85" i="4" s="1"/>
  <c r="V93" i="4"/>
  <c r="AA93" i="4" s="1"/>
  <c r="V23" i="4"/>
  <c r="AA23" i="4" s="1"/>
  <c r="V33" i="4"/>
  <c r="AA33" i="4" s="1"/>
  <c r="W51" i="4"/>
  <c r="AB51" i="4" s="1"/>
  <c r="V18" i="4"/>
  <c r="AA18" i="4" s="1"/>
  <c r="V49" i="4"/>
  <c r="AA49" i="4" s="1"/>
  <c r="V86" i="4"/>
  <c r="AA86" i="4" s="1"/>
  <c r="V38" i="4"/>
  <c r="AA38" i="4" s="1"/>
  <c r="V21" i="4"/>
  <c r="AA21" i="4" s="1"/>
  <c r="V97" i="4"/>
  <c r="AA97" i="4" s="1"/>
  <c r="V32" i="4"/>
  <c r="AA32" i="4" s="1"/>
  <c r="S95" i="4"/>
  <c r="X95" i="4" s="1"/>
  <c r="S59" i="4"/>
  <c r="X59" i="4" s="1"/>
  <c r="S77" i="4"/>
  <c r="X77" i="4" s="1"/>
  <c r="S68" i="4"/>
  <c r="X68" i="4" s="1"/>
  <c r="S38" i="4"/>
  <c r="X38" i="4" s="1"/>
  <c r="S39" i="4"/>
  <c r="X39" i="4" s="1"/>
  <c r="S63" i="4"/>
  <c r="X63" i="4" s="1"/>
  <c r="S89" i="4"/>
  <c r="X89" i="4" s="1"/>
  <c r="S48" i="4"/>
  <c r="X48" i="4" s="1"/>
  <c r="S47" i="4"/>
  <c r="X47" i="4" s="1"/>
  <c r="S100" i="4"/>
  <c r="X100" i="4" s="1"/>
  <c r="S29" i="4"/>
  <c r="X29" i="4" s="1"/>
  <c r="S13" i="4"/>
  <c r="X13" i="4" s="1"/>
  <c r="S22" i="4"/>
  <c r="X22" i="4" s="1"/>
  <c r="S7" i="4"/>
  <c r="X7" i="4" s="1"/>
  <c r="S70" i="4"/>
  <c r="X70" i="4" s="1"/>
  <c r="S50" i="4"/>
  <c r="X50" i="4" s="1"/>
  <c r="S76" i="4"/>
  <c r="X76" i="4" s="1"/>
  <c r="S52" i="4"/>
  <c r="X52" i="4" s="1"/>
  <c r="S73" i="4"/>
  <c r="X73" i="4" s="1"/>
  <c r="S104" i="4"/>
  <c r="X104" i="4" s="1"/>
  <c r="S88" i="4"/>
  <c r="X88" i="4" s="1"/>
  <c r="S101" i="4"/>
  <c r="X101" i="4" s="1"/>
  <c r="S94" i="4"/>
  <c r="X94" i="4" s="1"/>
  <c r="S28" i="4"/>
  <c r="X28" i="4" s="1"/>
  <c r="S98" i="4"/>
  <c r="X98" i="4" s="1"/>
  <c r="S65" i="4"/>
  <c r="X65" i="4" s="1"/>
  <c r="S61" i="4"/>
  <c r="X61" i="4" s="1"/>
  <c r="S60" i="4"/>
  <c r="X60" i="4" s="1"/>
  <c r="S49" i="4"/>
  <c r="X49" i="4" s="1"/>
  <c r="S85" i="4"/>
  <c r="X85" i="4" s="1"/>
  <c r="S12" i="4"/>
  <c r="X12" i="4" s="1"/>
  <c r="S75" i="4"/>
  <c r="X75" i="4" s="1"/>
  <c r="S20" i="4"/>
  <c r="X20" i="4" s="1"/>
  <c r="S84" i="4"/>
  <c r="X84" i="4" s="1"/>
  <c r="S103" i="4"/>
  <c r="X103" i="4" s="1"/>
  <c r="V80" i="4"/>
  <c r="AA80" i="4" s="1"/>
  <c r="S82" i="4"/>
  <c r="X82" i="4" s="1"/>
  <c r="S16" i="4"/>
  <c r="X16" i="4" s="1"/>
  <c r="S10" i="4"/>
  <c r="X10" i="4" s="1"/>
  <c r="S27" i="4"/>
  <c r="X27" i="4" s="1"/>
  <c r="S30" i="4"/>
  <c r="X30" i="4" s="1"/>
  <c r="S35" i="4"/>
  <c r="X35" i="4" s="1"/>
  <c r="S25" i="4"/>
  <c r="X25" i="4" s="1"/>
  <c r="S6" i="4"/>
  <c r="X6" i="4" s="1"/>
  <c r="S42" i="4"/>
  <c r="X42" i="4" s="1"/>
  <c r="S91" i="4"/>
  <c r="X91" i="4" s="1"/>
  <c r="V64" i="4"/>
  <c r="AA64" i="4" s="1"/>
  <c r="V100" i="4"/>
  <c r="AA100" i="4" s="1"/>
  <c r="S97" i="4"/>
  <c r="X97" i="4" s="1"/>
  <c r="S9" i="4"/>
  <c r="X9" i="4" s="1"/>
  <c r="S46" i="4"/>
  <c r="X46" i="4" s="1"/>
  <c r="V41" i="4"/>
  <c r="AA41" i="4" s="1"/>
  <c r="V26" i="4"/>
  <c r="AA26" i="4" s="1"/>
  <c r="S67" i="4"/>
  <c r="X67" i="4" s="1"/>
  <c r="S90" i="4"/>
  <c r="X90" i="4" s="1"/>
  <c r="S26" i="4"/>
  <c r="X26" i="4" s="1"/>
  <c r="V90" i="4"/>
  <c r="AA90" i="4" s="1"/>
  <c r="V11" i="4"/>
  <c r="AA11" i="4" s="1"/>
  <c r="W73" i="4"/>
  <c r="AB73" i="4" s="1"/>
  <c r="W70" i="4"/>
  <c r="AB70" i="4" s="1"/>
  <c r="W97" i="4"/>
  <c r="AB97" i="4" s="1"/>
  <c r="V9" i="4"/>
  <c r="AA9" i="4" s="1"/>
  <c r="W104" i="4"/>
  <c r="AB104" i="4" s="1"/>
  <c r="W90" i="4"/>
  <c r="AB90" i="4" s="1"/>
  <c r="W91" i="4"/>
  <c r="AB91" i="4" s="1"/>
  <c r="W93" i="4"/>
  <c r="AB93" i="4" s="1"/>
  <c r="W98" i="4"/>
  <c r="AB98" i="4" s="1"/>
  <c r="W77" i="4"/>
  <c r="AB77" i="4" s="1"/>
  <c r="W78" i="4"/>
  <c r="AB78" i="4" s="1"/>
  <c r="W81" i="4"/>
  <c r="AB81" i="4" s="1"/>
  <c r="W64" i="4"/>
  <c r="AB64" i="4" s="1"/>
  <c r="W68" i="4"/>
  <c r="AB68" i="4" s="1"/>
  <c r="W76" i="4"/>
  <c r="AB76" i="4" s="1"/>
  <c r="S79" i="4"/>
  <c r="X79" i="4" s="1"/>
  <c r="W87" i="4"/>
  <c r="AB87" i="4" s="1"/>
  <c r="W101" i="4"/>
  <c r="AB101" i="4" s="1"/>
  <c r="W96" i="4"/>
  <c r="AB96" i="4" s="1"/>
  <c r="V22" i="4"/>
  <c r="AA22" i="4" s="1"/>
  <c r="W86" i="4"/>
  <c r="AB86" i="4" s="1"/>
  <c r="V16" i="4"/>
  <c r="AA16" i="4" s="1"/>
  <c r="W89" i="4"/>
  <c r="AB89" i="4" s="1"/>
  <c r="S62" i="4"/>
  <c r="X62" i="4" s="1"/>
  <c r="W67" i="4"/>
  <c r="AB67" i="4" s="1"/>
  <c r="W82" i="4"/>
  <c r="AB82" i="4" s="1"/>
  <c r="W74" i="4"/>
  <c r="AB74" i="4" s="1"/>
  <c r="W95" i="4"/>
  <c r="AB95" i="4" s="1"/>
  <c r="S11" i="4"/>
  <c r="X11" i="4" s="1"/>
  <c r="S14" i="4"/>
  <c r="X14" i="4" s="1"/>
  <c r="S54" i="4"/>
  <c r="X54" i="4" s="1"/>
  <c r="S78" i="4"/>
  <c r="X78" i="4" s="1"/>
  <c r="S45" i="4"/>
  <c r="X45" i="4" s="1"/>
  <c r="V13" i="4"/>
  <c r="AA13" i="4" s="1"/>
  <c r="W62" i="4"/>
  <c r="AB62" i="4" s="1"/>
  <c r="W25" i="4"/>
  <c r="AB25" i="4" s="1"/>
  <c r="V30" i="4"/>
  <c r="AA30" i="4" s="1"/>
  <c r="BD79" i="5" l="1"/>
  <c r="AD40" i="5"/>
  <c r="BB177" i="5"/>
  <c r="BD341" i="5"/>
  <c r="AH162" i="5"/>
  <c r="AH231" i="5"/>
  <c r="BD4" i="5"/>
  <c r="BD196" i="5"/>
  <c r="AH310" i="5"/>
  <c r="AH158" i="5"/>
  <c r="AG51" i="5"/>
  <c r="BA288" i="5"/>
  <c r="AG84" i="5"/>
  <c r="AG279" i="5"/>
  <c r="AG172" i="5"/>
  <c r="AH36" i="5"/>
  <c r="AG169" i="5"/>
  <c r="AD148" i="5"/>
  <c r="BE194" i="5"/>
  <c r="AD124" i="5"/>
  <c r="AD257" i="5"/>
  <c r="AH4" i="5"/>
  <c r="BC148" i="5"/>
  <c r="BD181" i="5"/>
  <c r="AH181" i="5"/>
  <c r="AG275" i="5"/>
  <c r="BA83" i="5"/>
  <c r="BE217" i="5"/>
  <c r="BE44" i="5"/>
  <c r="BA225" i="5"/>
  <c r="BD332" i="5"/>
  <c r="BA137" i="5"/>
  <c r="BB171" i="5"/>
  <c r="AD312" i="5"/>
  <c r="AH120" i="5"/>
  <c r="BB50" i="5"/>
  <c r="BA8" i="5"/>
  <c r="AD243" i="5"/>
  <c r="BA152" i="5"/>
  <c r="BE127" i="5"/>
  <c r="BE225" i="5"/>
  <c r="BB130" i="5"/>
  <c r="BB303" i="5"/>
  <c r="BE178" i="5"/>
  <c r="BB55" i="5"/>
  <c r="BE261" i="5"/>
  <c r="BA48" i="5"/>
  <c r="BD160" i="5"/>
  <c r="AD53" i="5"/>
  <c r="AG36" i="5"/>
  <c r="AG163" i="5"/>
  <c r="BB75" i="5"/>
  <c r="AH234" i="5"/>
  <c r="AG144" i="5"/>
  <c r="BE293" i="5"/>
  <c r="AH48" i="5"/>
  <c r="BD313" i="5"/>
  <c r="AD219" i="5"/>
  <c r="BA79" i="5"/>
  <c r="BB64" i="5"/>
  <c r="BD203" i="5"/>
  <c r="BE350" i="5"/>
  <c r="AH165" i="5"/>
  <c r="BB10" i="5"/>
  <c r="AG334" i="5"/>
  <c r="AH143" i="5"/>
  <c r="AD86" i="5"/>
  <c r="AD71" i="5"/>
  <c r="AH315" i="5"/>
  <c r="AG100" i="5"/>
  <c r="BC17" i="5"/>
  <c r="BA6" i="5"/>
  <c r="BB40" i="5"/>
  <c r="BA58" i="5"/>
  <c r="AH347" i="5"/>
  <c r="AH313" i="5"/>
  <c r="AH226" i="5"/>
  <c r="AD316" i="5"/>
  <c r="BB290" i="5"/>
  <c r="BE28" i="5"/>
  <c r="AD337" i="5"/>
  <c r="BE260" i="5"/>
  <c r="BC321" i="5"/>
  <c r="BD310" i="5"/>
  <c r="AD168" i="5"/>
  <c r="AD292" i="5"/>
  <c r="AD341" i="5"/>
  <c r="BA252" i="5"/>
  <c r="BD159" i="5"/>
  <c r="BB315" i="5"/>
  <c r="AD244" i="5"/>
  <c r="BC82" i="5"/>
  <c r="BE125" i="5"/>
  <c r="BC288" i="5"/>
  <c r="AD302" i="5"/>
  <c r="BB298" i="5"/>
  <c r="AD308" i="5"/>
  <c r="AH229" i="5"/>
  <c r="BD324" i="5"/>
  <c r="BD284" i="5"/>
  <c r="BA230" i="5"/>
  <c r="AH301" i="5"/>
  <c r="AD207" i="5"/>
  <c r="AH319" i="5"/>
  <c r="BB24" i="5"/>
  <c r="BC187" i="5"/>
  <c r="AG208" i="5"/>
  <c r="BC223" i="5"/>
  <c r="AD183" i="5"/>
  <c r="AH209" i="5"/>
  <c r="BC101" i="5"/>
  <c r="AH255" i="5"/>
  <c r="BC74" i="5"/>
  <c r="AD320" i="5"/>
  <c r="AH97" i="5"/>
  <c r="BC13" i="5"/>
  <c r="BC179" i="5"/>
  <c r="AH151" i="5"/>
  <c r="AD264" i="5"/>
  <c r="BB260" i="5"/>
  <c r="BD222" i="5"/>
  <c r="AH323" i="5"/>
  <c r="BA243" i="5"/>
  <c r="BC190" i="5"/>
  <c r="BC12" i="5"/>
  <c r="AH329" i="5"/>
  <c r="AH66" i="5"/>
  <c r="AH334" i="5"/>
  <c r="AG177" i="5"/>
  <c r="BA304" i="5"/>
  <c r="BC15" i="5"/>
  <c r="BD37" i="5"/>
  <c r="AD7" i="5"/>
  <c r="BB68" i="5"/>
  <c r="BD121" i="5"/>
  <c r="AD75" i="5"/>
  <c r="BC199" i="5"/>
  <c r="BA15" i="5"/>
  <c r="BD83" i="5"/>
  <c r="AD59" i="5"/>
  <c r="BC201" i="5"/>
  <c r="BD267" i="5"/>
  <c r="BC258" i="5"/>
  <c r="AD237" i="5"/>
  <c r="BB46" i="5"/>
  <c r="BA261" i="5"/>
  <c r="BD303" i="5"/>
  <c r="BB80" i="5"/>
  <c r="BE60" i="5"/>
  <c r="AH12" i="5"/>
  <c r="BE109" i="5"/>
  <c r="BA56" i="5"/>
  <c r="BB283" i="5"/>
  <c r="AG225" i="5"/>
  <c r="AH199" i="5"/>
  <c r="BA316" i="5"/>
  <c r="AD151" i="5"/>
  <c r="AD128" i="5"/>
  <c r="BB207" i="5"/>
  <c r="BD42" i="5"/>
  <c r="AD358" i="5"/>
  <c r="BC124" i="5"/>
  <c r="AH293" i="5"/>
  <c r="BC282" i="5"/>
  <c r="AG350" i="5"/>
  <c r="AH96" i="5"/>
  <c r="AG250" i="5"/>
  <c r="AH42" i="5"/>
  <c r="BB155" i="5"/>
  <c r="BA51" i="5"/>
  <c r="AG182" i="5"/>
  <c r="BA292" i="5"/>
  <c r="AH127" i="5"/>
  <c r="AH27" i="5"/>
  <c r="BE297" i="5"/>
  <c r="AD220" i="5"/>
  <c r="BD120" i="5"/>
  <c r="BA143" i="5"/>
  <c r="BB246" i="5"/>
  <c r="AD325" i="5"/>
  <c r="BA95" i="5"/>
  <c r="AG326" i="5"/>
  <c r="BC353" i="5"/>
  <c r="BD345" i="5"/>
  <c r="BC280" i="5"/>
  <c r="BA319" i="5"/>
  <c r="BE80" i="5"/>
  <c r="BC203" i="5"/>
  <c r="BB318" i="5"/>
  <c r="BD360" i="5"/>
  <c r="BA130" i="5"/>
  <c r="BE198" i="5"/>
  <c r="AG342" i="5"/>
  <c r="BB100" i="5"/>
  <c r="BD174" i="5"/>
  <c r="BE197" i="5"/>
  <c r="AH361" i="5"/>
  <c r="BE72" i="5"/>
  <c r="AG217" i="5"/>
  <c r="AG339" i="5"/>
  <c r="BC120" i="5"/>
  <c r="BC237" i="5"/>
  <c r="AH251" i="5"/>
  <c r="BB185" i="5"/>
  <c r="BE310" i="5"/>
  <c r="BD205" i="5"/>
  <c r="AH94" i="5"/>
  <c r="AD315" i="5"/>
  <c r="BC178" i="5"/>
  <c r="BB11" i="5"/>
  <c r="BB88" i="5"/>
  <c r="BC221" i="5"/>
  <c r="AG21" i="5"/>
  <c r="BB163" i="5"/>
  <c r="BC160" i="5"/>
  <c r="AD356" i="5"/>
  <c r="AG361" i="5"/>
  <c r="AG254" i="5"/>
  <c r="BA166" i="5"/>
  <c r="BB284" i="5"/>
  <c r="BC163" i="5"/>
  <c r="BB245" i="5"/>
  <c r="BC312" i="5"/>
  <c r="BC85" i="5"/>
  <c r="AD19" i="5"/>
  <c r="AD261" i="5"/>
  <c r="BC235" i="5"/>
  <c r="BB21" i="5"/>
  <c r="BD334" i="5"/>
  <c r="AH154" i="5"/>
  <c r="BE107" i="5"/>
  <c r="AD240" i="5"/>
  <c r="BE176" i="5"/>
  <c r="AD141" i="5"/>
  <c r="BE216" i="5"/>
  <c r="BE105" i="5"/>
  <c r="BA167" i="5"/>
  <c r="BE193" i="5"/>
  <c r="AD197" i="5"/>
  <c r="AD103" i="5"/>
  <c r="BA233" i="5"/>
  <c r="AH218" i="5"/>
  <c r="BC249" i="5"/>
  <c r="BE106" i="5"/>
  <c r="BB361" i="5"/>
  <c r="BC7" i="5"/>
  <c r="BE15" i="5"/>
  <c r="AG24" i="5"/>
  <c r="BE307" i="5"/>
  <c r="BC140" i="5"/>
  <c r="BB104" i="5"/>
  <c r="BA117" i="5"/>
  <c r="BD52" i="5"/>
  <c r="AH22" i="5"/>
  <c r="AH225" i="5"/>
  <c r="BD100" i="5"/>
  <c r="BA109" i="5"/>
  <c r="AG293" i="5"/>
  <c r="BB247" i="5"/>
  <c r="AG102" i="5"/>
  <c r="AH160" i="5"/>
  <c r="AG142" i="5"/>
  <c r="AG304" i="5"/>
  <c r="BE41" i="5"/>
  <c r="BA223" i="5"/>
  <c r="AH123" i="5"/>
  <c r="BB97" i="5"/>
  <c r="AG137" i="5"/>
  <c r="AD25" i="5"/>
  <c r="BE152" i="5"/>
  <c r="BC48" i="5"/>
  <c r="BC122" i="5"/>
  <c r="BE98" i="5"/>
  <c r="BB150" i="5"/>
  <c r="BA189" i="5"/>
  <c r="BD27" i="5"/>
  <c r="BA18" i="5"/>
  <c r="AH84" i="5"/>
  <c r="BA169" i="5"/>
  <c r="BD184" i="5"/>
  <c r="BD243" i="5"/>
  <c r="BE78" i="5"/>
  <c r="BB13" i="5"/>
  <c r="BC168" i="5"/>
  <c r="BD290" i="5"/>
  <c r="AG332" i="5"/>
  <c r="BC323" i="5"/>
  <c r="BA102" i="5"/>
  <c r="BC267" i="5"/>
  <c r="BC266" i="5"/>
  <c r="AG242" i="5"/>
  <c r="AH298" i="5"/>
  <c r="BE162" i="5"/>
  <c r="BC229" i="5"/>
  <c r="BA62" i="5"/>
  <c r="AH16" i="5"/>
  <c r="AG33" i="5"/>
  <c r="AG6" i="5"/>
  <c r="BA42" i="5"/>
  <c r="BC204" i="5"/>
  <c r="BE34" i="5"/>
  <c r="AH105" i="5"/>
  <c r="AG112" i="5"/>
  <c r="AH117" i="5"/>
  <c r="AH153" i="5"/>
  <c r="AG97" i="5"/>
  <c r="AD289" i="5"/>
  <c r="BE76" i="5"/>
  <c r="BB325" i="5"/>
  <c r="AD284" i="5"/>
  <c r="BA283" i="5"/>
  <c r="BC8" i="5"/>
  <c r="AH362" i="5"/>
  <c r="BA323" i="5"/>
  <c r="AH33" i="5"/>
  <c r="AD39" i="5"/>
  <c r="AG67" i="5"/>
  <c r="BC19" i="5"/>
  <c r="AH87" i="5"/>
  <c r="BC165" i="5"/>
  <c r="BE65" i="5"/>
  <c r="BE96" i="5"/>
  <c r="AD266" i="5"/>
  <c r="BB233" i="5"/>
  <c r="AD326" i="5"/>
  <c r="BD344" i="5"/>
  <c r="BD164" i="5"/>
  <c r="AG78" i="5"/>
  <c r="BA271" i="5"/>
  <c r="BD265" i="5"/>
  <c r="BC63" i="5"/>
  <c r="BB8" i="5"/>
  <c r="AD294" i="5"/>
  <c r="BD352" i="5"/>
  <c r="BC173" i="5"/>
  <c r="AG211" i="5"/>
  <c r="BA5" i="5"/>
  <c r="BC227" i="5"/>
  <c r="AH348" i="5"/>
  <c r="BD141" i="5"/>
  <c r="BE149" i="5"/>
  <c r="BA177" i="5"/>
  <c r="AG148" i="5"/>
  <c r="AG74" i="5"/>
  <c r="AG180" i="5"/>
  <c r="BE14" i="5"/>
  <c r="AD267" i="5"/>
  <c r="AD225" i="5"/>
  <c r="BE151" i="5"/>
  <c r="BC268" i="5"/>
  <c r="AD335" i="5"/>
  <c r="AG206" i="5"/>
  <c r="AD321" i="5"/>
  <c r="BB265" i="5"/>
  <c r="AH131" i="5"/>
  <c r="AG41" i="5"/>
  <c r="BE161" i="5"/>
  <c r="BB227" i="5"/>
  <c r="BD257" i="5"/>
  <c r="AG237" i="5"/>
  <c r="AD115" i="5"/>
  <c r="BD92" i="5"/>
  <c r="BD252" i="5"/>
  <c r="BA307" i="5"/>
  <c r="BC226" i="5"/>
  <c r="BC99" i="5"/>
  <c r="AG124" i="5"/>
  <c r="BD176" i="5"/>
  <c r="AH292" i="5"/>
  <c r="AG72" i="5"/>
  <c r="AH233" i="5"/>
  <c r="BB300" i="5"/>
  <c r="BA214" i="5"/>
  <c r="BA99" i="5"/>
  <c r="BD148" i="5"/>
  <c r="BC137" i="5"/>
  <c r="AD276" i="5"/>
  <c r="AD303" i="5"/>
  <c r="BB359" i="5"/>
  <c r="BA277" i="5"/>
  <c r="BD219" i="5"/>
  <c r="BC309" i="5"/>
  <c r="BC62" i="5"/>
  <c r="BC319" i="5"/>
  <c r="BC356" i="5"/>
  <c r="BC219" i="5"/>
  <c r="BA68" i="5"/>
  <c r="BE146" i="5"/>
  <c r="AG79" i="5"/>
  <c r="AH191" i="5"/>
  <c r="AD349" i="5"/>
  <c r="BB353" i="5"/>
  <c r="AH357" i="5"/>
  <c r="BC130" i="5"/>
  <c r="AH224" i="5"/>
  <c r="AG56" i="5"/>
  <c r="AG70" i="5"/>
  <c r="BD127" i="5"/>
  <c r="BC102" i="5"/>
  <c r="BE224" i="5"/>
  <c r="BA291" i="5"/>
  <c r="BC172" i="5"/>
  <c r="AG360" i="5"/>
  <c r="AH152" i="5"/>
  <c r="AG159" i="5"/>
  <c r="BD175" i="5"/>
  <c r="BE140" i="5"/>
  <c r="BA125" i="5"/>
  <c r="AG58" i="5"/>
  <c r="BD91" i="5"/>
  <c r="AG322" i="5"/>
  <c r="BD296" i="5"/>
  <c r="AH45" i="5"/>
  <c r="AH81" i="5"/>
  <c r="AH167" i="5"/>
  <c r="AG194" i="5"/>
  <c r="BD119" i="5"/>
  <c r="BA287" i="5"/>
  <c r="BB354" i="5"/>
  <c r="BC300" i="5"/>
  <c r="AH60" i="5"/>
  <c r="AH335" i="5"/>
  <c r="BE148" i="5"/>
  <c r="BC307" i="5"/>
  <c r="AG290" i="5"/>
  <c r="BE170" i="5"/>
  <c r="BC265" i="5"/>
  <c r="BD295" i="5"/>
  <c r="BA182" i="5"/>
  <c r="AH116" i="5"/>
  <c r="BB131" i="5"/>
  <c r="BD138" i="5"/>
  <c r="BB238" i="5"/>
  <c r="BA327" i="5"/>
  <c r="BE335" i="5"/>
  <c r="AD122" i="5"/>
  <c r="AH32" i="5"/>
  <c r="BE296" i="5"/>
  <c r="BD253" i="5"/>
  <c r="BB251" i="5"/>
  <c r="BD271" i="5"/>
  <c r="BA348" i="5"/>
  <c r="AD295" i="5"/>
  <c r="BE129" i="5"/>
  <c r="BB25" i="5"/>
  <c r="BE309" i="5"/>
  <c r="AH55" i="5"/>
  <c r="AG215" i="5"/>
  <c r="BB154" i="5"/>
  <c r="AG302" i="5"/>
  <c r="BD269" i="5"/>
  <c r="AG121" i="5"/>
  <c r="BA256" i="5"/>
  <c r="BC285" i="5"/>
  <c r="AG222" i="5"/>
  <c r="AG158" i="5"/>
  <c r="AD291" i="5"/>
  <c r="AG139" i="5"/>
  <c r="AD175" i="5"/>
  <c r="BD211" i="5"/>
  <c r="BC98" i="5"/>
  <c r="AG240" i="5"/>
  <c r="BB319" i="5"/>
  <c r="AH296" i="5"/>
  <c r="BD130" i="5"/>
  <c r="BE355" i="5"/>
  <c r="AH44" i="5"/>
  <c r="BB342" i="5"/>
  <c r="AG34" i="5"/>
  <c r="BB53" i="5"/>
  <c r="AH18" i="5"/>
  <c r="AG249" i="5"/>
  <c r="AG50" i="5"/>
  <c r="AG186" i="5"/>
  <c r="BB52" i="5"/>
  <c r="BA19" i="5"/>
  <c r="BE11" i="5"/>
  <c r="BD93" i="5"/>
  <c r="BD278" i="5"/>
  <c r="BA114" i="5"/>
  <c r="BB31" i="5"/>
  <c r="BE283" i="5"/>
  <c r="BC23" i="5"/>
  <c r="BE276" i="5"/>
  <c r="BC193" i="5"/>
  <c r="AD136" i="5"/>
  <c r="AD169" i="5"/>
  <c r="AD288" i="5"/>
  <c r="BB191" i="5"/>
  <c r="AD184" i="5"/>
  <c r="BC57" i="5"/>
  <c r="BC188" i="5"/>
  <c r="BD305" i="5"/>
  <c r="BB223" i="5"/>
  <c r="BD7" i="5"/>
  <c r="BA268" i="5"/>
  <c r="BD25" i="5"/>
  <c r="BB108" i="5"/>
  <c r="BD216" i="5"/>
  <c r="BA147" i="5"/>
  <c r="BC200" i="5"/>
  <c r="BE255" i="5"/>
  <c r="AD87" i="5"/>
  <c r="BD18" i="5"/>
  <c r="AG18" i="5"/>
  <c r="AD287" i="5"/>
  <c r="AD296" i="5"/>
  <c r="BD312" i="5"/>
  <c r="AH354" i="5"/>
  <c r="AH37" i="5"/>
  <c r="BC228" i="5"/>
  <c r="BD258" i="5"/>
  <c r="BB170" i="5"/>
  <c r="AG274" i="5"/>
  <c r="AG335" i="5"/>
  <c r="BA352" i="5"/>
  <c r="AD245" i="5"/>
  <c r="AH115" i="5"/>
  <c r="BC345" i="5"/>
  <c r="AH14" i="5"/>
  <c r="BC340" i="5"/>
  <c r="AD161" i="5"/>
  <c r="AD61" i="5"/>
  <c r="AG147" i="5"/>
  <c r="BE258" i="5"/>
  <c r="BA41" i="5"/>
  <c r="BD182" i="5"/>
  <c r="BC191" i="5"/>
  <c r="BE334" i="5"/>
  <c r="AG310" i="5"/>
  <c r="BC162" i="5"/>
  <c r="BC41" i="5"/>
  <c r="BD61" i="5"/>
  <c r="BC166" i="5"/>
  <c r="BB268" i="5"/>
  <c r="BD20" i="5"/>
  <c r="BA247" i="5"/>
  <c r="BC337" i="5"/>
  <c r="BA168" i="5"/>
  <c r="AD272" i="5"/>
  <c r="BB271" i="5"/>
  <c r="BD350" i="5"/>
  <c r="AD12" i="5"/>
  <c r="BA149" i="5"/>
  <c r="BC217" i="5"/>
  <c r="BA250" i="5"/>
  <c r="BD238" i="5"/>
  <c r="BE179" i="5"/>
  <c r="AH133" i="5"/>
  <c r="BC38" i="5"/>
  <c r="BA240" i="5"/>
  <c r="BB69" i="5"/>
  <c r="BD62" i="5"/>
  <c r="AD120" i="5"/>
  <c r="BA124" i="5"/>
  <c r="BB35" i="5"/>
  <c r="BB93" i="5"/>
  <c r="BD264" i="5"/>
  <c r="AD91" i="5"/>
  <c r="AH57" i="5"/>
  <c r="BA158" i="5"/>
  <c r="BA73" i="5"/>
  <c r="BB192" i="5"/>
  <c r="AH342" i="5"/>
  <c r="AH240" i="5"/>
  <c r="AH54" i="5"/>
  <c r="AD204" i="5"/>
  <c r="BD197" i="5"/>
  <c r="AG287" i="5"/>
  <c r="BA201" i="5"/>
  <c r="AG45" i="5"/>
  <c r="BD39" i="5"/>
  <c r="AH67" i="5"/>
  <c r="BB327" i="5"/>
  <c r="BD261" i="5"/>
  <c r="AH180" i="5"/>
  <c r="BC143" i="5"/>
  <c r="BD288" i="5"/>
  <c r="AH219" i="5"/>
  <c r="AH11" i="5"/>
  <c r="AG136" i="5"/>
  <c r="AG152" i="5"/>
  <c r="BE83" i="5"/>
  <c r="AD13" i="5"/>
  <c r="BA313" i="5"/>
  <c r="BC182" i="5"/>
  <c r="BE18" i="5"/>
  <c r="BD116" i="5"/>
  <c r="AD192" i="5"/>
  <c r="BA107" i="5"/>
  <c r="BD346" i="5"/>
  <c r="BE84" i="5"/>
  <c r="BD268" i="5"/>
  <c r="BB267" i="5"/>
  <c r="BC242" i="5"/>
  <c r="BB333" i="5"/>
  <c r="BD36" i="5"/>
  <c r="AG89" i="5"/>
  <c r="BD172" i="5"/>
  <c r="BC348" i="5"/>
  <c r="AD4" i="5"/>
  <c r="BA11" i="5"/>
  <c r="BE74" i="5"/>
  <c r="BB126" i="5"/>
  <c r="BA54" i="5"/>
  <c r="BA100" i="5"/>
  <c r="BB92" i="5"/>
  <c r="AD100" i="5"/>
  <c r="BE93" i="5"/>
  <c r="AD265" i="5"/>
  <c r="BD13" i="5"/>
  <c r="BD38" i="5"/>
  <c r="BE155" i="5"/>
  <c r="AG146" i="5"/>
  <c r="BA163" i="5"/>
  <c r="AG246" i="5"/>
  <c r="BE220" i="5"/>
  <c r="AH259" i="5"/>
  <c r="AG189" i="5"/>
  <c r="AG204" i="5"/>
  <c r="BD171" i="5"/>
  <c r="AG81" i="5"/>
  <c r="AD178" i="5"/>
  <c r="BD249" i="5"/>
  <c r="BD44" i="5"/>
  <c r="AH31" i="5"/>
  <c r="AG309" i="5"/>
  <c r="AG325" i="5"/>
  <c r="AG145" i="5"/>
  <c r="BB26" i="5"/>
  <c r="AG193" i="5"/>
  <c r="BC167" i="5"/>
  <c r="BB123" i="5"/>
  <c r="BC136" i="5"/>
  <c r="BC293" i="5"/>
  <c r="BA185" i="5"/>
  <c r="AD330" i="5"/>
  <c r="BD5" i="5"/>
  <c r="BC279" i="5"/>
  <c r="BE168" i="5"/>
  <c r="BC53" i="5"/>
  <c r="AD114" i="5"/>
  <c r="AG160" i="5"/>
  <c r="BA293" i="5"/>
  <c r="BE240" i="5"/>
  <c r="AD260" i="5"/>
  <c r="BB30" i="5"/>
  <c r="BD351" i="5"/>
  <c r="BC125" i="5"/>
  <c r="BC87" i="5"/>
  <c r="BE180" i="5"/>
  <c r="BD244" i="5"/>
  <c r="BA40" i="5"/>
  <c r="AD152" i="5"/>
  <c r="BA345" i="5"/>
  <c r="AD239" i="5"/>
  <c r="BA349" i="5"/>
  <c r="BC30" i="5"/>
  <c r="AG294" i="5"/>
  <c r="AH189" i="5"/>
  <c r="BC183" i="5"/>
  <c r="AG212" i="5"/>
  <c r="AG153" i="5"/>
  <c r="AG187" i="5"/>
  <c r="BB237" i="5"/>
  <c r="BA13" i="5"/>
  <c r="BB255" i="5"/>
  <c r="AH75" i="5"/>
  <c r="BB59" i="5"/>
  <c r="BD113" i="5"/>
  <c r="BA53" i="5"/>
  <c r="AD355" i="5"/>
  <c r="AD132" i="5"/>
  <c r="AH243" i="5"/>
  <c r="AH363" i="5"/>
  <c r="BA232" i="5"/>
  <c r="AD60" i="5"/>
  <c r="BA286" i="5"/>
  <c r="AH235" i="5"/>
  <c r="BA63" i="5"/>
  <c r="BD234" i="5"/>
  <c r="BC328" i="5"/>
  <c r="AD318" i="5"/>
  <c r="AD241" i="5"/>
  <c r="AG200" i="5"/>
  <c r="AD191" i="5"/>
  <c r="BB362" i="5"/>
  <c r="BD180" i="5"/>
  <c r="BC61" i="5"/>
  <c r="BB211" i="5"/>
  <c r="BD272" i="5"/>
  <c r="BA350" i="5"/>
  <c r="AD179" i="5"/>
  <c r="BE19" i="5"/>
  <c r="AH34" i="5"/>
  <c r="BC284" i="5"/>
  <c r="AD290" i="5"/>
  <c r="BE32" i="5"/>
  <c r="AD317" i="5"/>
  <c r="BC255" i="5"/>
  <c r="BE85" i="5"/>
  <c r="AD347" i="5"/>
  <c r="AH263" i="5"/>
  <c r="AH59" i="5"/>
  <c r="BE252" i="5"/>
  <c r="BC114" i="5"/>
  <c r="BB324" i="5"/>
  <c r="BA308" i="5"/>
  <c r="BE58" i="5"/>
  <c r="BE117" i="5"/>
  <c r="AD153" i="5"/>
  <c r="BA237" i="5"/>
  <c r="BB76" i="5"/>
  <c r="BE45" i="5"/>
  <c r="BC352" i="5"/>
  <c r="AG331" i="5"/>
  <c r="BD132" i="5"/>
  <c r="BC75" i="5"/>
  <c r="BE187" i="5"/>
  <c r="BA359" i="5"/>
  <c r="AG226" i="5"/>
  <c r="AG83" i="5"/>
  <c r="AG122" i="5"/>
  <c r="AH76" i="5"/>
  <c r="BD33" i="5"/>
  <c r="AG359" i="5"/>
  <c r="BC37" i="5"/>
  <c r="BA111" i="5"/>
  <c r="AH237" i="5"/>
  <c r="BA342" i="5"/>
  <c r="BE134" i="5"/>
  <c r="BA71" i="5"/>
  <c r="AH38" i="5"/>
  <c r="BA315" i="5"/>
  <c r="AH349" i="5"/>
  <c r="AD234" i="5"/>
  <c r="BD68" i="5"/>
  <c r="BD292" i="5"/>
  <c r="AG238" i="5"/>
  <c r="BA32" i="5"/>
  <c r="AD250" i="5"/>
  <c r="AG357" i="5"/>
  <c r="AH350" i="5"/>
  <c r="AH88" i="5"/>
  <c r="BC69" i="5"/>
  <c r="BD137" i="5"/>
  <c r="AD67" i="5"/>
  <c r="AD157" i="5"/>
  <c r="BC104" i="5"/>
  <c r="BD335" i="5"/>
  <c r="BA196" i="5"/>
  <c r="BD64" i="5"/>
  <c r="BE165" i="5"/>
  <c r="AD104" i="5"/>
  <c r="BD361" i="5"/>
  <c r="BE228" i="5"/>
  <c r="BB199" i="5"/>
  <c r="AH140" i="5"/>
  <c r="BB330" i="5"/>
  <c r="BC230" i="5"/>
  <c r="BC138" i="5"/>
  <c r="BE205" i="5"/>
  <c r="BB81" i="5"/>
  <c r="BB287" i="5"/>
  <c r="BC214" i="5"/>
  <c r="BE94" i="5"/>
  <c r="AH145" i="5"/>
  <c r="BB317" i="5"/>
  <c r="AG77" i="5"/>
  <c r="AD55" i="5"/>
  <c r="BC156" i="5"/>
  <c r="BD241" i="5"/>
  <c r="AH304" i="5"/>
  <c r="AD193" i="5"/>
  <c r="AH228" i="5"/>
  <c r="BD286" i="5"/>
  <c r="BE38" i="5"/>
  <c r="AD35" i="5"/>
  <c r="AH253" i="5"/>
  <c r="BD218" i="5"/>
  <c r="BD237" i="5"/>
  <c r="AD360" i="5"/>
  <c r="BB293" i="5"/>
  <c r="BB256" i="5"/>
  <c r="AG345" i="5"/>
  <c r="AD68" i="5"/>
  <c r="BD282" i="5"/>
  <c r="BE167" i="5"/>
  <c r="BC216" i="5"/>
  <c r="AG223" i="5"/>
  <c r="AD229" i="5"/>
  <c r="BB203" i="5"/>
  <c r="AD279" i="5"/>
  <c r="BC296" i="5"/>
  <c r="BD59" i="5"/>
  <c r="AH176" i="5"/>
  <c r="BB38" i="5"/>
  <c r="AH15" i="5"/>
  <c r="BA285" i="5"/>
  <c r="BD107" i="5"/>
  <c r="BE89" i="5"/>
  <c r="BE243" i="5"/>
  <c r="BC103" i="5"/>
  <c r="AG140" i="5"/>
  <c r="BA70" i="5"/>
  <c r="BA151" i="5"/>
  <c r="BB37" i="5"/>
  <c r="BB51" i="5"/>
  <c r="BA74" i="5"/>
  <c r="BC106" i="5"/>
  <c r="BD77" i="5"/>
  <c r="BB329" i="5"/>
  <c r="AD214" i="5"/>
  <c r="BE345" i="5"/>
  <c r="BD47" i="5"/>
  <c r="BB189" i="5"/>
  <c r="BE29" i="5"/>
  <c r="AG311" i="5"/>
  <c r="BE230" i="5"/>
  <c r="AD209" i="5"/>
  <c r="BE218" i="5"/>
  <c r="BB202" i="5"/>
  <c r="BD156" i="5"/>
  <c r="BB231" i="5"/>
  <c r="BD163" i="5"/>
  <c r="BC299" i="5"/>
  <c r="AG46" i="5"/>
  <c r="BE4" i="5"/>
  <c r="AG273" i="5"/>
  <c r="BE304" i="5"/>
  <c r="BA204" i="5"/>
  <c r="BC145" i="5"/>
  <c r="BB221" i="5"/>
  <c r="BB161" i="5"/>
  <c r="AD188" i="5"/>
  <c r="AG125" i="5"/>
  <c r="BE87" i="5"/>
  <c r="AH351" i="5"/>
  <c r="BC261" i="5"/>
  <c r="BB195" i="5"/>
  <c r="BD150" i="5"/>
  <c r="AG281" i="5"/>
  <c r="AG227" i="5"/>
  <c r="AH193" i="5"/>
  <c r="BB328" i="5"/>
  <c r="AG229" i="5"/>
  <c r="BE49" i="5"/>
  <c r="BB244" i="5"/>
  <c r="AD46" i="5"/>
  <c r="AD278" i="5"/>
  <c r="AH302" i="5"/>
  <c r="BC233" i="5"/>
  <c r="BC76" i="5"/>
  <c r="BB183" i="5"/>
  <c r="AH119" i="5"/>
  <c r="AH68" i="5"/>
  <c r="BA112" i="5"/>
  <c r="BD140" i="5"/>
  <c r="AD110" i="5"/>
  <c r="BC116" i="5"/>
  <c r="BD9" i="5"/>
  <c r="AD84" i="5"/>
  <c r="AD135" i="5"/>
  <c r="BB73" i="5"/>
  <c r="AD171" i="5"/>
  <c r="BA81" i="5"/>
  <c r="AD48" i="5"/>
  <c r="BD355" i="5"/>
  <c r="BA255" i="5"/>
  <c r="AD331" i="5"/>
  <c r="BB285" i="5"/>
  <c r="BB105" i="5"/>
  <c r="BB107" i="5"/>
  <c r="BD233" i="5"/>
  <c r="AD57" i="5"/>
  <c r="AG60" i="5"/>
  <c r="AD44" i="5"/>
  <c r="AD285" i="5"/>
  <c r="BA309" i="5"/>
  <c r="BB301" i="5"/>
  <c r="AH188" i="5"/>
  <c r="AH249" i="5"/>
  <c r="AH285" i="5"/>
  <c r="AG363" i="5"/>
  <c r="AG232" i="5"/>
  <c r="BE35" i="5"/>
  <c r="BD49" i="5"/>
  <c r="BC39" i="5"/>
  <c r="BA273" i="5"/>
  <c r="AH353" i="5"/>
  <c r="BC64" i="5"/>
  <c r="AH8" i="5"/>
  <c r="AD11" i="5"/>
  <c r="BE99" i="5"/>
  <c r="AG301" i="5"/>
  <c r="BD151" i="5"/>
  <c r="BD56" i="5"/>
  <c r="AG305" i="5"/>
  <c r="AD235" i="5"/>
  <c r="AG35" i="5"/>
  <c r="AD85" i="5"/>
  <c r="AG303" i="5"/>
  <c r="AG8" i="5"/>
  <c r="AH346" i="5"/>
  <c r="BD339" i="5"/>
  <c r="BB118" i="5"/>
  <c r="BE166" i="5"/>
  <c r="BB188" i="5"/>
  <c r="BE341" i="5"/>
  <c r="BB49" i="5"/>
  <c r="AD198" i="5"/>
  <c r="BB87" i="5"/>
  <c r="BB140" i="5"/>
  <c r="BA86" i="5"/>
  <c r="BE177" i="5"/>
  <c r="BE147" i="5"/>
  <c r="BC358" i="5"/>
  <c r="BC152" i="5"/>
  <c r="AH106" i="5"/>
  <c r="BC149" i="5"/>
  <c r="BD24" i="5"/>
  <c r="AD251" i="5"/>
  <c r="BC247" i="5"/>
  <c r="BB89" i="5"/>
  <c r="BD129" i="5"/>
  <c r="AH183" i="5"/>
  <c r="BB32" i="5"/>
  <c r="BC89" i="5"/>
  <c r="AG276" i="5"/>
  <c r="BB257" i="5"/>
  <c r="AD348" i="5"/>
  <c r="AG344" i="5"/>
  <c r="BA347" i="5"/>
  <c r="AH269" i="5"/>
  <c r="BA38" i="5"/>
  <c r="BD10" i="5"/>
  <c r="BA257" i="5"/>
  <c r="BA332" i="5"/>
  <c r="BD340" i="5"/>
  <c r="AG362" i="5"/>
  <c r="BA222" i="5"/>
  <c r="AG202" i="5"/>
  <c r="BB16" i="5"/>
  <c r="BA186" i="5"/>
  <c r="BC349" i="5"/>
  <c r="AH271" i="5"/>
  <c r="BC273" i="5"/>
  <c r="BD330" i="5"/>
  <c r="BB314" i="5"/>
  <c r="BC9" i="5"/>
  <c r="AG277" i="5"/>
  <c r="BC294" i="5"/>
  <c r="BC144" i="5"/>
  <c r="AG155" i="5"/>
  <c r="BA126" i="5"/>
  <c r="AG53" i="5"/>
  <c r="BE133" i="5"/>
  <c r="BD248" i="5"/>
  <c r="AD293" i="5"/>
  <c r="BC347" i="5"/>
  <c r="BD256" i="5"/>
  <c r="AD270" i="5"/>
  <c r="BE347" i="5"/>
  <c r="BB110" i="5"/>
  <c r="BA326" i="5"/>
  <c r="BD60" i="5"/>
  <c r="AD362" i="5"/>
  <c r="BC108" i="5"/>
  <c r="AH107" i="5"/>
  <c r="AD232" i="5"/>
  <c r="BC246" i="5"/>
  <c r="BC236" i="5"/>
  <c r="BC88" i="5"/>
  <c r="BC115" i="5"/>
  <c r="BE269" i="5"/>
  <c r="BA134" i="5"/>
  <c r="AD228" i="5"/>
  <c r="BE114" i="5"/>
  <c r="BE191" i="5"/>
  <c r="BE263" i="5"/>
  <c r="AD215" i="5"/>
  <c r="AD221" i="5"/>
  <c r="BD166" i="5"/>
  <c r="BE135" i="5"/>
  <c r="BA94" i="5"/>
  <c r="BB345" i="5"/>
  <c r="BB9" i="5"/>
  <c r="AD262" i="5"/>
  <c r="BB338" i="5"/>
  <c r="BA227" i="5"/>
  <c r="BB316" i="5"/>
  <c r="BC264" i="5"/>
  <c r="AG257" i="5"/>
  <c r="AG210" i="5"/>
  <c r="BC202" i="5"/>
  <c r="AG233" i="5"/>
  <c r="BE321" i="5"/>
  <c r="BB78" i="5"/>
  <c r="BB127" i="5"/>
  <c r="BD134" i="5"/>
  <c r="AG320" i="5"/>
  <c r="BE27" i="5"/>
  <c r="BC110" i="5"/>
  <c r="AD344" i="5"/>
  <c r="BC336" i="5"/>
  <c r="AH282" i="5"/>
  <c r="BA296" i="5"/>
  <c r="AG108" i="5"/>
  <c r="AD322" i="5"/>
  <c r="AD185" i="5"/>
  <c r="BC281" i="5"/>
  <c r="AG75" i="5"/>
  <c r="BB196" i="5"/>
  <c r="BE286" i="5"/>
  <c r="AH204" i="5"/>
  <c r="AD95" i="5"/>
  <c r="BE71" i="5"/>
  <c r="BD231" i="5"/>
  <c r="BA340" i="5"/>
  <c r="AD304" i="5"/>
  <c r="BA202" i="5"/>
  <c r="AD37" i="5"/>
  <c r="BB312" i="5"/>
  <c r="BA245" i="5"/>
  <c r="AD275" i="5"/>
  <c r="BE208" i="5"/>
  <c r="BB65" i="5"/>
  <c r="BA314" i="5"/>
  <c r="BE229" i="5"/>
  <c r="BA295" i="5"/>
  <c r="AD182" i="5"/>
  <c r="BD363" i="5"/>
  <c r="BA198" i="5"/>
  <c r="AD301" i="5"/>
  <c r="BE363" i="5"/>
  <c r="BA156" i="5"/>
  <c r="AD172" i="5"/>
  <c r="AD203" i="5"/>
  <c r="BA239" i="5"/>
  <c r="AD162" i="5"/>
  <c r="AD51" i="5"/>
  <c r="BC51" i="5"/>
  <c r="BD169" i="5"/>
  <c r="BE90" i="5"/>
  <c r="AD70" i="5"/>
  <c r="BE30" i="5"/>
  <c r="BA180" i="5"/>
  <c r="BD321" i="5"/>
  <c r="AH258" i="5"/>
  <c r="AG179" i="5"/>
  <c r="AH21" i="5"/>
  <c r="AH195" i="5"/>
  <c r="AH268" i="5"/>
  <c r="BB166" i="5"/>
  <c r="BB61" i="5"/>
  <c r="BE295" i="5"/>
  <c r="BC26" i="5"/>
  <c r="AG48" i="5"/>
  <c r="AD186" i="5"/>
  <c r="AG101" i="5"/>
  <c r="BB356" i="5"/>
  <c r="BE131" i="5"/>
  <c r="BA351" i="5"/>
  <c r="BB304" i="5"/>
  <c r="BE278" i="5"/>
  <c r="AH276" i="5"/>
  <c r="BC305" i="5"/>
  <c r="BB101" i="5"/>
  <c r="AH166" i="5"/>
  <c r="AG298" i="5"/>
  <c r="AD277" i="5"/>
  <c r="BD123" i="5"/>
  <c r="BD262" i="5"/>
  <c r="BC18" i="5"/>
  <c r="BE315" i="5"/>
  <c r="BA334" i="5"/>
  <c r="BA242" i="5"/>
  <c r="BA90" i="5"/>
  <c r="BE163" i="5"/>
  <c r="BC209" i="5"/>
  <c r="AH125" i="5"/>
  <c r="BA87" i="5"/>
  <c r="BE312" i="5"/>
  <c r="BA226" i="5"/>
  <c r="BA35" i="5"/>
  <c r="BC316" i="5"/>
  <c r="AD52" i="5"/>
  <c r="BB158" i="5"/>
  <c r="BC208" i="5"/>
  <c r="BD167" i="5"/>
  <c r="BE213" i="5"/>
  <c r="AH321" i="5"/>
  <c r="BC54" i="5"/>
  <c r="BE237" i="5"/>
  <c r="BA339" i="5"/>
  <c r="BD125" i="5"/>
  <c r="AH56" i="5"/>
  <c r="AH245" i="5"/>
  <c r="BC31" i="5"/>
  <c r="BA235" i="5"/>
  <c r="AD268" i="5"/>
  <c r="BA216" i="5"/>
  <c r="BD185" i="5"/>
  <c r="AD339" i="5"/>
  <c r="BE303" i="5"/>
  <c r="BC277" i="5"/>
  <c r="AD6" i="5"/>
  <c r="AH141" i="5"/>
  <c r="AD76" i="5"/>
  <c r="AH223" i="5"/>
  <c r="AG196" i="5"/>
  <c r="AG47" i="5"/>
  <c r="BC79" i="5"/>
  <c r="AG110" i="5"/>
  <c r="BC272" i="5"/>
  <c r="AH312" i="5"/>
  <c r="AG340" i="5"/>
  <c r="BD94" i="5"/>
  <c r="BA155" i="5"/>
  <c r="BC360" i="5"/>
  <c r="AG88" i="5"/>
  <c r="AH210" i="5"/>
  <c r="BE211" i="5"/>
  <c r="AH64" i="5"/>
  <c r="AG73" i="5"/>
  <c r="AG59" i="5"/>
  <c r="BE270" i="5"/>
  <c r="BA43" i="5"/>
  <c r="AD143" i="5"/>
  <c r="BC71" i="5"/>
  <c r="BB294" i="5"/>
  <c r="BD236" i="5"/>
  <c r="BE305" i="5"/>
  <c r="BB216" i="5"/>
  <c r="BC72" i="5"/>
  <c r="BB72" i="5"/>
  <c r="BC238" i="5"/>
  <c r="BB240" i="5"/>
  <c r="AG26" i="5"/>
  <c r="BD147" i="5"/>
  <c r="BB262" i="5"/>
  <c r="AH267" i="5"/>
  <c r="AG354" i="5"/>
  <c r="BC361" i="5"/>
  <c r="BB164" i="5"/>
  <c r="AH74" i="5"/>
  <c r="BD273" i="5"/>
  <c r="BD274" i="5"/>
  <c r="BB120" i="5"/>
  <c r="BD325" i="5"/>
  <c r="BB106" i="5"/>
  <c r="AG185" i="5"/>
  <c r="AH130" i="5"/>
  <c r="BD279" i="5"/>
  <c r="BD358" i="5"/>
  <c r="BD71" i="5"/>
  <c r="BA274" i="5"/>
  <c r="BA241" i="5"/>
  <c r="AG12" i="5"/>
  <c r="BD215" i="5"/>
  <c r="AG313" i="5"/>
  <c r="AG39" i="5"/>
  <c r="BA244" i="5"/>
  <c r="BC290" i="5"/>
  <c r="AH138" i="5"/>
  <c r="BD11" i="5"/>
  <c r="BA55" i="5"/>
  <c r="AD222" i="5"/>
  <c r="BB311" i="5"/>
  <c r="AG195" i="5"/>
  <c r="BA344" i="5"/>
  <c r="AH126" i="5"/>
  <c r="AH295" i="5"/>
  <c r="BC25" i="5"/>
  <c r="AG118" i="5"/>
  <c r="AG255" i="5"/>
  <c r="AH5" i="5"/>
  <c r="AD199" i="5"/>
  <c r="BC107" i="5"/>
  <c r="AD146" i="5"/>
  <c r="BC303" i="5"/>
  <c r="BE209" i="5"/>
  <c r="AG188" i="5"/>
  <c r="BD187" i="5"/>
  <c r="BD35" i="5"/>
  <c r="BB83" i="5"/>
  <c r="BD276" i="5"/>
  <c r="BC241" i="5"/>
  <c r="BE173" i="5"/>
  <c r="BA128" i="5"/>
  <c r="AD17" i="5"/>
  <c r="BD202" i="5"/>
  <c r="BB248" i="5"/>
  <c r="BB42" i="5"/>
  <c r="BE132" i="5"/>
  <c r="BD343" i="5"/>
  <c r="BB128" i="5"/>
  <c r="AD90" i="5"/>
  <c r="BA219" i="5"/>
  <c r="BC6" i="5"/>
  <c r="BB341" i="5"/>
  <c r="AG201" i="5"/>
  <c r="BE268" i="5"/>
  <c r="AD30" i="5"/>
  <c r="BC207" i="5"/>
  <c r="AH156" i="5"/>
  <c r="BC346" i="5"/>
  <c r="BD323" i="5"/>
  <c r="BA105" i="5"/>
  <c r="BA215" i="5"/>
  <c r="AG317" i="5"/>
  <c r="AG259" i="5"/>
  <c r="AG266" i="5"/>
  <c r="BD354" i="5"/>
  <c r="AG252" i="5"/>
  <c r="BD309" i="5"/>
  <c r="BC274" i="5"/>
  <c r="BB201" i="5"/>
  <c r="BC47" i="5"/>
  <c r="BE348" i="5"/>
  <c r="BB74" i="5"/>
  <c r="AD113" i="5"/>
  <c r="AH134" i="5"/>
  <c r="AG168" i="5"/>
  <c r="AD18" i="5"/>
  <c r="AH40" i="5"/>
  <c r="AH80" i="5"/>
  <c r="BD21" i="5"/>
  <c r="AG143" i="5"/>
  <c r="AH77" i="5"/>
  <c r="BC212" i="5"/>
  <c r="BA46" i="5"/>
  <c r="BB67" i="5"/>
  <c r="BC49" i="5"/>
  <c r="BB239" i="5"/>
  <c r="BB77" i="5"/>
  <c r="BB340" i="5"/>
  <c r="BD67" i="5"/>
  <c r="BC36" i="5"/>
  <c r="BB232" i="5"/>
  <c r="BB22" i="5"/>
  <c r="BB102" i="5"/>
  <c r="AD249" i="5"/>
  <c r="BC252" i="5"/>
  <c r="BB278" i="5"/>
  <c r="BC177" i="5"/>
  <c r="BE361" i="5"/>
  <c r="BE288" i="5"/>
  <c r="AD116" i="5"/>
  <c r="AD256" i="5"/>
  <c r="AH262" i="5"/>
  <c r="BB181" i="5"/>
  <c r="AD352" i="5"/>
  <c r="AH332" i="5"/>
  <c r="BB282" i="5"/>
  <c r="BA194" i="5"/>
  <c r="BD200" i="5"/>
  <c r="AG296" i="5"/>
  <c r="AD332" i="5"/>
  <c r="BE185" i="5"/>
  <c r="AD336" i="5"/>
  <c r="AG130" i="5"/>
  <c r="BE36" i="5"/>
  <c r="BA199" i="5"/>
  <c r="AD354" i="5"/>
  <c r="BB165" i="5"/>
  <c r="BA138" i="5"/>
  <c r="AD58" i="5"/>
  <c r="BE103" i="5"/>
  <c r="BA165" i="5"/>
  <c r="BC231" i="5"/>
  <c r="BE21" i="5"/>
  <c r="BE352" i="5"/>
  <c r="BE189" i="5"/>
  <c r="BA131" i="5"/>
  <c r="AH93" i="5"/>
  <c r="BD22" i="5"/>
  <c r="AG103" i="5"/>
  <c r="BC311" i="5"/>
  <c r="AG106" i="5"/>
  <c r="BE100" i="5"/>
  <c r="BC302" i="5"/>
  <c r="BA98" i="5"/>
  <c r="AH148" i="5"/>
  <c r="BD250" i="5"/>
  <c r="AD255" i="5"/>
  <c r="AG14" i="5"/>
  <c r="BD289" i="5"/>
  <c r="BE124" i="5"/>
  <c r="BE66" i="5"/>
  <c r="BD173" i="5"/>
  <c r="BE200" i="5"/>
  <c r="BD308" i="5"/>
  <c r="BC91" i="5"/>
  <c r="BD359" i="5"/>
  <c r="BE311" i="5"/>
  <c r="AD29" i="5"/>
  <c r="BD189" i="5"/>
  <c r="AD217" i="5"/>
  <c r="AH95" i="5"/>
  <c r="AG291" i="5"/>
  <c r="BA333" i="5"/>
  <c r="BB320" i="5"/>
  <c r="AD99" i="5"/>
  <c r="BE203" i="5"/>
  <c r="BC33" i="5"/>
  <c r="AH260" i="5"/>
  <c r="AG55" i="5"/>
  <c r="BA66" i="5"/>
  <c r="AG299" i="5"/>
  <c r="BD78" i="5"/>
  <c r="BE137" i="5"/>
  <c r="BA174" i="5"/>
  <c r="AH326" i="5"/>
  <c r="BE57" i="5"/>
  <c r="BD247" i="5"/>
  <c r="BB263" i="5"/>
  <c r="BA276" i="5"/>
  <c r="BA190" i="5"/>
  <c r="BA17" i="5"/>
  <c r="AG351" i="5"/>
  <c r="AH300" i="5"/>
  <c r="AD77" i="5"/>
  <c r="BD331" i="5"/>
  <c r="AD259" i="5"/>
  <c r="AG347" i="5"/>
  <c r="BC313" i="5"/>
  <c r="BB213" i="5"/>
  <c r="BC286" i="5"/>
  <c r="AG297" i="5"/>
  <c r="BB133" i="5"/>
  <c r="BE233" i="5"/>
  <c r="BC363" i="5"/>
  <c r="AH49" i="5"/>
  <c r="BB288" i="5"/>
  <c r="BD178" i="5"/>
  <c r="AG203" i="5"/>
  <c r="BA338" i="5"/>
  <c r="AD233" i="5"/>
  <c r="AD305" i="5"/>
  <c r="AD334" i="5"/>
  <c r="AD150" i="5"/>
  <c r="BD168" i="5"/>
  <c r="BE306" i="5"/>
  <c r="BC350" i="5"/>
  <c r="AG123" i="5"/>
  <c r="BE325" i="5"/>
  <c r="BC232" i="5"/>
  <c r="BC158" i="5"/>
  <c r="BB143" i="5"/>
  <c r="BA59" i="5"/>
  <c r="BD29" i="5"/>
  <c r="AG197" i="5"/>
  <c r="BD143" i="5"/>
  <c r="BE265" i="5"/>
  <c r="BB270" i="5"/>
  <c r="BC126" i="5"/>
  <c r="AG348" i="5"/>
  <c r="BC245" i="5"/>
  <c r="BA331" i="5"/>
  <c r="AH333" i="5"/>
  <c r="AD97" i="5"/>
  <c r="BA173" i="5"/>
  <c r="AH257" i="5"/>
  <c r="AG29" i="5"/>
  <c r="AH164" i="5"/>
  <c r="AG65" i="5"/>
  <c r="BB355" i="5"/>
  <c r="BC157" i="5"/>
  <c r="BA224" i="5"/>
  <c r="BA146" i="5"/>
  <c r="AG63" i="5"/>
  <c r="AH206" i="5"/>
  <c r="AH288" i="5"/>
  <c r="AG49" i="5"/>
  <c r="AG323" i="5"/>
  <c r="BD230" i="5"/>
  <c r="BC151" i="5"/>
  <c r="BA362" i="5"/>
  <c r="BE56" i="5"/>
  <c r="BB259" i="5"/>
  <c r="AH71" i="5"/>
  <c r="AD32" i="5"/>
  <c r="BD136" i="5"/>
  <c r="AD24" i="5"/>
  <c r="BE153" i="5"/>
  <c r="BB289" i="5"/>
  <c r="BD96" i="5"/>
  <c r="BB322" i="5"/>
  <c r="BC262" i="5"/>
  <c r="BE285" i="5"/>
  <c r="BE254" i="5"/>
  <c r="BB234" i="5"/>
  <c r="BE53" i="5"/>
  <c r="BB344" i="5"/>
  <c r="BE319" i="5"/>
  <c r="BA89" i="5"/>
  <c r="BE184" i="5"/>
  <c r="BD348" i="5"/>
  <c r="AH290" i="5"/>
  <c r="BB121" i="5"/>
  <c r="BE317" i="5"/>
  <c r="BE271" i="5"/>
  <c r="BA141" i="5"/>
  <c r="AG333" i="5"/>
  <c r="BE313" i="5"/>
  <c r="BA123" i="5"/>
  <c r="AD82" i="5"/>
  <c r="BB151" i="5"/>
  <c r="BA205" i="5"/>
  <c r="BC16" i="5"/>
  <c r="BA210" i="5"/>
  <c r="AG95" i="5"/>
  <c r="BC287" i="5"/>
  <c r="BE42" i="5"/>
  <c r="AD41" i="5"/>
  <c r="BC184" i="5"/>
  <c r="AH207" i="5"/>
  <c r="AG69" i="5"/>
  <c r="AG68" i="5"/>
  <c r="AD252" i="5"/>
  <c r="BC315" i="5"/>
  <c r="BC243" i="5"/>
  <c r="BB334" i="5"/>
  <c r="BD73" i="5"/>
  <c r="BB23" i="5"/>
  <c r="AG7" i="5"/>
  <c r="BA148" i="5"/>
  <c r="AH73" i="5"/>
  <c r="AG248" i="5"/>
  <c r="BE26" i="5"/>
  <c r="AH169" i="5"/>
  <c r="AG330" i="5"/>
  <c r="BD158" i="5"/>
  <c r="AG245" i="5"/>
  <c r="AH51" i="5"/>
  <c r="BE257" i="5"/>
  <c r="BE351" i="5"/>
  <c r="BB305" i="5"/>
  <c r="AG230" i="5"/>
  <c r="BA246" i="5"/>
  <c r="BA358" i="5"/>
  <c r="BC127" i="5"/>
  <c r="BA144" i="5"/>
  <c r="AG251" i="5"/>
  <c r="AD350" i="5"/>
  <c r="AH359" i="5"/>
  <c r="BB98" i="5"/>
  <c r="BC343" i="5"/>
  <c r="BB321" i="5"/>
  <c r="BC220" i="5"/>
  <c r="BC248" i="5"/>
  <c r="BB112" i="5"/>
  <c r="BD97" i="5"/>
  <c r="BE318" i="5"/>
  <c r="BA217" i="5"/>
  <c r="BD51" i="5"/>
  <c r="AG271" i="5"/>
  <c r="BA317" i="5"/>
  <c r="BA78" i="5"/>
  <c r="AH247" i="5"/>
  <c r="BB99" i="5"/>
  <c r="AD165" i="5"/>
  <c r="BA122" i="5"/>
  <c r="BB162" i="5"/>
  <c r="AH286" i="5"/>
  <c r="AD300" i="5"/>
  <c r="AD102" i="5"/>
  <c r="AG353" i="5"/>
  <c r="BE37" i="5"/>
  <c r="BD139" i="5"/>
  <c r="AH168" i="5"/>
  <c r="BA267" i="5"/>
  <c r="AH187" i="5"/>
  <c r="BC34" i="5"/>
  <c r="AH306" i="5"/>
  <c r="AG129" i="5"/>
  <c r="BE323" i="5"/>
  <c r="BC222" i="5"/>
  <c r="AG27" i="5"/>
  <c r="AG4" i="5"/>
  <c r="BA208" i="5"/>
  <c r="BA280" i="5"/>
  <c r="BC205" i="5"/>
  <c r="BD85" i="5"/>
  <c r="AD9" i="5"/>
  <c r="AD16" i="5"/>
  <c r="BA231" i="5"/>
  <c r="BE256" i="5"/>
  <c r="BB125" i="5"/>
  <c r="BD194" i="5"/>
  <c r="BD50" i="5"/>
  <c r="AD314" i="5"/>
  <c r="BD54" i="5"/>
  <c r="BE322" i="5"/>
  <c r="BD131" i="5"/>
  <c r="BB224" i="5"/>
  <c r="AD10" i="5"/>
  <c r="BD66" i="5"/>
  <c r="BA175" i="5"/>
  <c r="BA236" i="5"/>
  <c r="BC14" i="5"/>
  <c r="BE23" i="5"/>
  <c r="BB323" i="5"/>
  <c r="BA4" i="5"/>
  <c r="BC175" i="5"/>
  <c r="BE360" i="5"/>
  <c r="BC170" i="5"/>
  <c r="BB96" i="5"/>
  <c r="BE22" i="5"/>
  <c r="BE329" i="5"/>
  <c r="AH239" i="5"/>
  <c r="BB91" i="5"/>
  <c r="BE12" i="5"/>
  <c r="AH89" i="5"/>
  <c r="BE159" i="5"/>
  <c r="BD217" i="5"/>
  <c r="AH70" i="5"/>
  <c r="AH216" i="5"/>
  <c r="AH13" i="5"/>
  <c r="BD297" i="5"/>
  <c r="AD280" i="5"/>
  <c r="BD270" i="5"/>
  <c r="AH114" i="5"/>
  <c r="AD42" i="5"/>
  <c r="BA297" i="5"/>
  <c r="BA206" i="5"/>
  <c r="AG268" i="5"/>
  <c r="AG38" i="5"/>
  <c r="AD131" i="5"/>
  <c r="AD127" i="5"/>
  <c r="AH330" i="5"/>
  <c r="BB145" i="5"/>
  <c r="BD300" i="5"/>
  <c r="AH41" i="5"/>
  <c r="BE308" i="5"/>
  <c r="BA329" i="5"/>
  <c r="AG113" i="5"/>
  <c r="AG13" i="5"/>
  <c r="BC189" i="5"/>
  <c r="BC105" i="5"/>
  <c r="AD8" i="5"/>
  <c r="BC355" i="5"/>
  <c r="AG316" i="5"/>
  <c r="BB218" i="5"/>
  <c r="BA121" i="5"/>
  <c r="BC22" i="5"/>
  <c r="AH109" i="5"/>
  <c r="BB190" i="5"/>
  <c r="BE70" i="5"/>
  <c r="BA203" i="5"/>
  <c r="AD107" i="5"/>
  <c r="BB172" i="5"/>
  <c r="BD347" i="5"/>
  <c r="BB20" i="5"/>
  <c r="BC80" i="5"/>
  <c r="BD235" i="5"/>
  <c r="BE202" i="5"/>
  <c r="BE154" i="5"/>
  <c r="AH39" i="5"/>
  <c r="AD92" i="5"/>
  <c r="BD260" i="5"/>
  <c r="BB167" i="5"/>
  <c r="AG94" i="5"/>
  <c r="AH79" i="5"/>
  <c r="BB174" i="5"/>
  <c r="BE8" i="5"/>
  <c r="BC118" i="5"/>
  <c r="BA65" i="5"/>
  <c r="BC35" i="5"/>
  <c r="AG278" i="5"/>
  <c r="BC354" i="5"/>
  <c r="BE242" i="5"/>
  <c r="AH311" i="5"/>
  <c r="BD227" i="5"/>
  <c r="AH200" i="5"/>
  <c r="BB115" i="5"/>
  <c r="BA234" i="5"/>
  <c r="BB27" i="5"/>
  <c r="AH196" i="5"/>
  <c r="BB147" i="5"/>
  <c r="AH238" i="5"/>
  <c r="AD23" i="5"/>
  <c r="BD43" i="5"/>
  <c r="BC58" i="5"/>
  <c r="AD298" i="5"/>
  <c r="AH29" i="5"/>
  <c r="BC84" i="5"/>
  <c r="BD146" i="5"/>
  <c r="AH136" i="5"/>
  <c r="BC326" i="5"/>
  <c r="BE279" i="5"/>
  <c r="BB62" i="5"/>
  <c r="BB295" i="5"/>
  <c r="AD258" i="5"/>
  <c r="BC46" i="5"/>
  <c r="BA76" i="5"/>
  <c r="BD74" i="5"/>
  <c r="BD115" i="5"/>
  <c r="BE108" i="5"/>
  <c r="BB281" i="5"/>
  <c r="BA52" i="5"/>
  <c r="BA29" i="5"/>
  <c r="BE5" i="5"/>
  <c r="BD161" i="5"/>
  <c r="AD72" i="5"/>
  <c r="BD357" i="5"/>
  <c r="BB180" i="5"/>
  <c r="BD104" i="5"/>
  <c r="BB168" i="5"/>
  <c r="BE226" i="5"/>
  <c r="BE223" i="5"/>
  <c r="AH201" i="5"/>
  <c r="BB352" i="5"/>
  <c r="BB152" i="5"/>
  <c r="AH355" i="5"/>
  <c r="AG286" i="5"/>
  <c r="AG42" i="5"/>
  <c r="BB157" i="5"/>
  <c r="AG157" i="5"/>
  <c r="BB179" i="5"/>
  <c r="BC260" i="5"/>
  <c r="AH150" i="5"/>
  <c r="BA300" i="5"/>
  <c r="AD311" i="5"/>
  <c r="AH25" i="5"/>
  <c r="AD108" i="5"/>
  <c r="BD154" i="5"/>
  <c r="AH129" i="5"/>
  <c r="AG61" i="5"/>
  <c r="AH72" i="5"/>
  <c r="AH318" i="5"/>
  <c r="BC289" i="5"/>
  <c r="AG71" i="5"/>
  <c r="BD118" i="5"/>
  <c r="AH340" i="5"/>
  <c r="AH356" i="5"/>
  <c r="AD309" i="5"/>
  <c r="BE272" i="5"/>
  <c r="AD359" i="5"/>
  <c r="BB275" i="5"/>
  <c r="BC259" i="5"/>
  <c r="AD224" i="5"/>
  <c r="BD133" i="5"/>
  <c r="BE145" i="5"/>
  <c r="BB144" i="5"/>
  <c r="AD227" i="5"/>
  <c r="BD126" i="5"/>
  <c r="BE186" i="5"/>
  <c r="BD145" i="5"/>
  <c r="BB39" i="5"/>
  <c r="BD193" i="5"/>
  <c r="BA212" i="5"/>
  <c r="BD266" i="5"/>
  <c r="BB169" i="5"/>
  <c r="BA129" i="5"/>
  <c r="AD33" i="5"/>
  <c r="BA116" i="5"/>
  <c r="AG235" i="5"/>
  <c r="BC194" i="5"/>
  <c r="BE91" i="5"/>
  <c r="BD251" i="5"/>
  <c r="BD90" i="5"/>
  <c r="BA187" i="5"/>
  <c r="BA64" i="5"/>
  <c r="AG135" i="5"/>
  <c r="BA361" i="5"/>
  <c r="AD174" i="5"/>
  <c r="BA325" i="5"/>
  <c r="AD43" i="5"/>
  <c r="BA260" i="5"/>
  <c r="AH246" i="5"/>
  <c r="BB153" i="5"/>
  <c r="AG115" i="5"/>
  <c r="BE292" i="5"/>
  <c r="BB209" i="5"/>
  <c r="AH317" i="5"/>
  <c r="AH297" i="5"/>
  <c r="BD15" i="5"/>
  <c r="AG171" i="5"/>
  <c r="BB273" i="5"/>
  <c r="BB194" i="5"/>
  <c r="BA254" i="5"/>
  <c r="AH122" i="5"/>
  <c r="AG132" i="5"/>
  <c r="BA312" i="5"/>
  <c r="AH341" i="5"/>
  <c r="AH322" i="5"/>
  <c r="BA218" i="5"/>
  <c r="BE289" i="5"/>
  <c r="AG37" i="5"/>
  <c r="BA270" i="5"/>
  <c r="BC77" i="5"/>
  <c r="AG31" i="5"/>
  <c r="BA162" i="5"/>
  <c r="BD57" i="5"/>
  <c r="BA142" i="5"/>
  <c r="AD247" i="5"/>
  <c r="BA229" i="5"/>
  <c r="BA93" i="5"/>
  <c r="BA253" i="5"/>
  <c r="BC4" i="5"/>
  <c r="BA118" i="5"/>
  <c r="BB235" i="5"/>
  <c r="BA341" i="5"/>
  <c r="BE122" i="5"/>
  <c r="BC176" i="5"/>
  <c r="BC24" i="5"/>
  <c r="BE239" i="5"/>
  <c r="AG54" i="5"/>
  <c r="BB156" i="5"/>
  <c r="BB230" i="5"/>
  <c r="BB217" i="5"/>
  <c r="BC129" i="5"/>
  <c r="BB250" i="5"/>
  <c r="BB95" i="5"/>
  <c r="BD239" i="5"/>
  <c r="AD340" i="5"/>
  <c r="BA211" i="5"/>
  <c r="AH314" i="5"/>
  <c r="BB44" i="5"/>
  <c r="AD345" i="5"/>
  <c r="AD123" i="5"/>
  <c r="BA82" i="5"/>
  <c r="AD166" i="5"/>
  <c r="AG15" i="5"/>
  <c r="AD89" i="5"/>
  <c r="BC234" i="5"/>
  <c r="AD297" i="5"/>
  <c r="AH205" i="5"/>
  <c r="BC215" i="5"/>
  <c r="BE207" i="5"/>
  <c r="AH35" i="5"/>
  <c r="AG349" i="5"/>
  <c r="AD210" i="5"/>
  <c r="AD137" i="5"/>
  <c r="BB119" i="5"/>
  <c r="AG241" i="5"/>
  <c r="BD349" i="5"/>
  <c r="AH23" i="5"/>
  <c r="AH43" i="5"/>
  <c r="AD112" i="5"/>
  <c r="AH198" i="5"/>
  <c r="BA110" i="5"/>
  <c r="AD88" i="5"/>
  <c r="BC359" i="5"/>
  <c r="BD84" i="5"/>
  <c r="BE340" i="5"/>
  <c r="BA127" i="5"/>
  <c r="BC253" i="5"/>
  <c r="BD195" i="5"/>
  <c r="BE196" i="5"/>
  <c r="BD221" i="5"/>
  <c r="BB200" i="5"/>
  <c r="AH309" i="5"/>
  <c r="BA115" i="5"/>
  <c r="AG167" i="5"/>
  <c r="AD357" i="5"/>
  <c r="AD101" i="5"/>
  <c r="BD26" i="5"/>
  <c r="BA290" i="5"/>
  <c r="BE157" i="5"/>
  <c r="BE171" i="5"/>
  <c r="BE121" i="5"/>
  <c r="BC20" i="5"/>
  <c r="BE204" i="5"/>
  <c r="AH221" i="5"/>
  <c r="BC154" i="5"/>
  <c r="BC206" i="5"/>
  <c r="BE40" i="5"/>
  <c r="BD220" i="5"/>
  <c r="BB113" i="5"/>
  <c r="BE51" i="5"/>
  <c r="AH279" i="5"/>
  <c r="BD293" i="5"/>
  <c r="BE324" i="5"/>
  <c r="AH20" i="5"/>
  <c r="AH175" i="5"/>
  <c r="BE81" i="5"/>
  <c r="AG5" i="5"/>
  <c r="AD156" i="5"/>
  <c r="AH337" i="5"/>
  <c r="BB141" i="5"/>
  <c r="BD316" i="5"/>
  <c r="AH85" i="5"/>
  <c r="AH184" i="5"/>
  <c r="BC225" i="5"/>
  <c r="AG43" i="5"/>
  <c r="AG312" i="5"/>
  <c r="AH147" i="5"/>
  <c r="AG178" i="5"/>
  <c r="AH103" i="5"/>
  <c r="AH345" i="5"/>
  <c r="BE238" i="5"/>
  <c r="BA289" i="5"/>
  <c r="AD213" i="5"/>
  <c r="BE118" i="5"/>
  <c r="BE253" i="5"/>
  <c r="BA92" i="5"/>
  <c r="BC42" i="5"/>
  <c r="BC333" i="5"/>
  <c r="BB178" i="5"/>
  <c r="BA310" i="5"/>
  <c r="AD263" i="5"/>
  <c r="BC86" i="5"/>
  <c r="BC95" i="5"/>
  <c r="BB182" i="5"/>
  <c r="BD298" i="5"/>
  <c r="BC180" i="5"/>
  <c r="BB296" i="5"/>
  <c r="AD145" i="5"/>
  <c r="AD129" i="5"/>
  <c r="BA170" i="5"/>
  <c r="BC301" i="5"/>
  <c r="BD144" i="5"/>
  <c r="BA278" i="5"/>
  <c r="AD283" i="5"/>
  <c r="BC276" i="5"/>
  <c r="AD218" i="5"/>
  <c r="BE264" i="5"/>
  <c r="BA69" i="5"/>
  <c r="BA354" i="5"/>
  <c r="BA12" i="5"/>
  <c r="BD188" i="5"/>
  <c r="AD206" i="5"/>
  <c r="AH83" i="5"/>
  <c r="BD186" i="5"/>
  <c r="AG162" i="5"/>
  <c r="BA171" i="5"/>
  <c r="AG231" i="5"/>
  <c r="AH274" i="5"/>
  <c r="BB117" i="5"/>
  <c r="BE123" i="5"/>
  <c r="AH98" i="5"/>
  <c r="AH101" i="5"/>
  <c r="BE332" i="5"/>
  <c r="AH338" i="5"/>
  <c r="AH63" i="5"/>
  <c r="AG337" i="5"/>
  <c r="BC295" i="5"/>
  <c r="BE172" i="5"/>
  <c r="BE181" i="5"/>
  <c r="AG191" i="5"/>
  <c r="AG265" i="5"/>
  <c r="AG149" i="5"/>
  <c r="BC198" i="5"/>
  <c r="AD106" i="5"/>
  <c r="BC97" i="5"/>
  <c r="BD122" i="5"/>
  <c r="AH248" i="5"/>
  <c r="AD361" i="5"/>
  <c r="BA335" i="5"/>
  <c r="AH173" i="5"/>
  <c r="AD149" i="5"/>
  <c r="BC147" i="5"/>
  <c r="BD198" i="5"/>
  <c r="AG218" i="5"/>
  <c r="BE160" i="5"/>
  <c r="BD285" i="5"/>
  <c r="AG62" i="5"/>
  <c r="BD81" i="5"/>
  <c r="BE95" i="5"/>
  <c r="BA161" i="5"/>
  <c r="BC269" i="5"/>
  <c r="BC67" i="5"/>
  <c r="BB219" i="5"/>
  <c r="BA213" i="5"/>
  <c r="BC169" i="5"/>
  <c r="BD318" i="5"/>
  <c r="BC195" i="5"/>
  <c r="BC224" i="5"/>
  <c r="BC121" i="5"/>
  <c r="BE182" i="5"/>
  <c r="AH7" i="5"/>
  <c r="BA269" i="5"/>
  <c r="AG109" i="5"/>
  <c r="BD6" i="5"/>
  <c r="BA176" i="5"/>
  <c r="AD208" i="5"/>
  <c r="AH69" i="5"/>
  <c r="AG76" i="5"/>
  <c r="AD159" i="5"/>
  <c r="BC332" i="5"/>
  <c r="AD282" i="5"/>
  <c r="BA353" i="5"/>
  <c r="AH203" i="5"/>
  <c r="AG119" i="5"/>
  <c r="BD48" i="5"/>
  <c r="AD142" i="5"/>
  <c r="BE247" i="5"/>
  <c r="BE343" i="5"/>
  <c r="AH308" i="5"/>
  <c r="BB47" i="5"/>
  <c r="BB269" i="5"/>
  <c r="AG272" i="5"/>
  <c r="AH159" i="5"/>
  <c r="BC283" i="5"/>
  <c r="BD162" i="5"/>
  <c r="AH324" i="5"/>
  <c r="AH211" i="5"/>
  <c r="BA75" i="5"/>
  <c r="BC330" i="5"/>
  <c r="BD280" i="5"/>
  <c r="BE250" i="5"/>
  <c r="BD224" i="5"/>
  <c r="AG183" i="5"/>
  <c r="BD177" i="5"/>
  <c r="BD17" i="5"/>
  <c r="BE273" i="5"/>
  <c r="BE17" i="5"/>
  <c r="BC40" i="5"/>
  <c r="AH197" i="5"/>
  <c r="AG93" i="5"/>
  <c r="BD86" i="5"/>
  <c r="BB187" i="5"/>
  <c r="BE67" i="5"/>
  <c r="BD214" i="5"/>
  <c r="BD65" i="5"/>
  <c r="BA284" i="5"/>
  <c r="BE227" i="5"/>
  <c r="BE294" i="5"/>
  <c r="BA191" i="5"/>
  <c r="AD319" i="5"/>
  <c r="BC93" i="5"/>
  <c r="AG98" i="5"/>
  <c r="BE362" i="5"/>
  <c r="AD223" i="5"/>
  <c r="BE236" i="5"/>
  <c r="AD27" i="5"/>
  <c r="BD337" i="5"/>
  <c r="BB346" i="5"/>
  <c r="AG25" i="5"/>
  <c r="AG355" i="5"/>
  <c r="BA153" i="5"/>
  <c r="BD226" i="5"/>
  <c r="AG267" i="5"/>
  <c r="BC56" i="5"/>
  <c r="BB12" i="5"/>
  <c r="AG105" i="5"/>
  <c r="AG91" i="5"/>
  <c r="BA164" i="5"/>
  <c r="AG356" i="5"/>
  <c r="AG216" i="5"/>
  <c r="AH65" i="5"/>
  <c r="BE241" i="5"/>
  <c r="AG184" i="5"/>
  <c r="BD99" i="5"/>
  <c r="AD254" i="5"/>
  <c r="AH157" i="5"/>
  <c r="AH242" i="5"/>
  <c r="AH26" i="5"/>
  <c r="AH266" i="5"/>
  <c r="AG221" i="5"/>
  <c r="AD62" i="5"/>
  <c r="AG285" i="5"/>
  <c r="AD49" i="5"/>
  <c r="BD190" i="5"/>
  <c r="BC134" i="5"/>
  <c r="BB60" i="5"/>
  <c r="BC185" i="5"/>
  <c r="BA31" i="5"/>
  <c r="AD236" i="5"/>
  <c r="BD281" i="5"/>
  <c r="AD351" i="5"/>
  <c r="BE338" i="5"/>
  <c r="BA61" i="5"/>
  <c r="BE291" i="5"/>
  <c r="BC298" i="5"/>
  <c r="BD306" i="5"/>
  <c r="BB149" i="5"/>
  <c r="AD310" i="5"/>
  <c r="BE46" i="5"/>
  <c r="BC327" i="5"/>
  <c r="BB114" i="5"/>
  <c r="BA200" i="5"/>
  <c r="AD66" i="5"/>
  <c r="BE210" i="5"/>
  <c r="AG128" i="5"/>
  <c r="BD23" i="5"/>
  <c r="BC81" i="5"/>
  <c r="AH149" i="5"/>
  <c r="BE110" i="5"/>
  <c r="AD269" i="5"/>
  <c r="BC109" i="5"/>
  <c r="AH99" i="5"/>
  <c r="AH222" i="5"/>
  <c r="BE128" i="5"/>
  <c r="AG138" i="5"/>
  <c r="AD14" i="5"/>
  <c r="BA336" i="5"/>
  <c r="BE101" i="5"/>
  <c r="BC240" i="5"/>
  <c r="AG64" i="5"/>
  <c r="BD55" i="5"/>
  <c r="BA136" i="5"/>
  <c r="AH111" i="5"/>
  <c r="BA120" i="5"/>
  <c r="BE281" i="5"/>
  <c r="AH284" i="5"/>
  <c r="BD165" i="5"/>
  <c r="BC308" i="5"/>
  <c r="BA188" i="5"/>
  <c r="BC250" i="5"/>
  <c r="AD5" i="5"/>
  <c r="BB79" i="5"/>
  <c r="AH179" i="5"/>
  <c r="BE59" i="5"/>
  <c r="AH273" i="5"/>
  <c r="BC325" i="5"/>
  <c r="BD213" i="5"/>
  <c r="AG224" i="5"/>
  <c r="BA228" i="5"/>
  <c r="BB236" i="5"/>
  <c r="AH17" i="5"/>
  <c r="BC324" i="5"/>
  <c r="BD108" i="5"/>
  <c r="BD301" i="5"/>
  <c r="BB122" i="5"/>
  <c r="BE102" i="5"/>
  <c r="BE280" i="5"/>
  <c r="BD353" i="5"/>
  <c r="AD138" i="5"/>
  <c r="BE246" i="5"/>
  <c r="BB214" i="5"/>
  <c r="BB291" i="5"/>
  <c r="AH10" i="5"/>
  <c r="BB313" i="5"/>
  <c r="AD22" i="5"/>
  <c r="BC153" i="5"/>
  <c r="BA294" i="5"/>
  <c r="AD216" i="5"/>
  <c r="BE10" i="5"/>
  <c r="BE359" i="5"/>
  <c r="BE142" i="5"/>
  <c r="BA84" i="5"/>
  <c r="BB160" i="5"/>
  <c r="BA259" i="5"/>
  <c r="BA23" i="5"/>
  <c r="AD164" i="5"/>
  <c r="AH272" i="5"/>
  <c r="BC139" i="5"/>
  <c r="BD69" i="5"/>
  <c r="AH344" i="5"/>
  <c r="AH178" i="5"/>
  <c r="AG236" i="5"/>
  <c r="AH331" i="5"/>
  <c r="AG23" i="5"/>
  <c r="AH291" i="5"/>
  <c r="BC159" i="5"/>
  <c r="AG324" i="5"/>
  <c r="BD114" i="5"/>
  <c r="BA67" i="5"/>
  <c r="AH360" i="5"/>
  <c r="BC142" i="5"/>
  <c r="BE222" i="5"/>
  <c r="AG22" i="5"/>
  <c r="AH135" i="5"/>
  <c r="AG104" i="5"/>
  <c r="BD109" i="5"/>
  <c r="BE112" i="5"/>
  <c r="BC320" i="5"/>
  <c r="AG329" i="5"/>
  <c r="AG256" i="5"/>
  <c r="BE284" i="5"/>
  <c r="BA97" i="5"/>
  <c r="AD212" i="5"/>
  <c r="AD194" i="5"/>
  <c r="BC123" i="5"/>
  <c r="AD140" i="5"/>
  <c r="AH190" i="5"/>
  <c r="BA14" i="5"/>
  <c r="BB15" i="5"/>
  <c r="BB142" i="5"/>
  <c r="BB280" i="5"/>
  <c r="AD26" i="5"/>
  <c r="BE63" i="5"/>
  <c r="BC135" i="5"/>
  <c r="BB159" i="5"/>
  <c r="BE214" i="5"/>
  <c r="BB206" i="5"/>
  <c r="BE116" i="5"/>
  <c r="BA178" i="5"/>
  <c r="BE353" i="5"/>
  <c r="BE330" i="5"/>
  <c r="AG176" i="5"/>
  <c r="BE75" i="5"/>
  <c r="AH281" i="5"/>
  <c r="BB297" i="5"/>
  <c r="BB116" i="5"/>
  <c r="BD302" i="5"/>
  <c r="AH217" i="5"/>
  <c r="AD346" i="5"/>
  <c r="BC112" i="5"/>
  <c r="BE174" i="5"/>
  <c r="AG280" i="5"/>
  <c r="AG17" i="5"/>
  <c r="AD327" i="5"/>
  <c r="BC317" i="5"/>
  <c r="BB124" i="5"/>
  <c r="AG239" i="5"/>
  <c r="AG117" i="5"/>
  <c r="BE190" i="5"/>
  <c r="BE326" i="5"/>
  <c r="AD63" i="5"/>
  <c r="AH244" i="5"/>
  <c r="AH307" i="5"/>
  <c r="BD183" i="5"/>
  <c r="BD245" i="5"/>
  <c r="BB306" i="5"/>
  <c r="BC73" i="5"/>
  <c r="AH186" i="5"/>
  <c r="AD83" i="5"/>
  <c r="BE139" i="5"/>
  <c r="AD78" i="5"/>
  <c r="AD126" i="5"/>
  <c r="BC341" i="5"/>
  <c r="AD130" i="5"/>
  <c r="BE336" i="5"/>
  <c r="BB184" i="5"/>
  <c r="BC270" i="5"/>
  <c r="AG346" i="5"/>
  <c r="BD12" i="5"/>
  <c r="BE357" i="5"/>
  <c r="BE192" i="5"/>
  <c r="BE138" i="5"/>
  <c r="BA328" i="5"/>
  <c r="BD199" i="5"/>
  <c r="BB229" i="5"/>
  <c r="BA10" i="5"/>
  <c r="BD95" i="5"/>
  <c r="BA318" i="5"/>
  <c r="AD38" i="5"/>
  <c r="BB266" i="5"/>
  <c r="BC68" i="5"/>
  <c r="BE259" i="5"/>
  <c r="BB309" i="5"/>
  <c r="BB34" i="5"/>
  <c r="BC27" i="5"/>
  <c r="BA197" i="5"/>
  <c r="AH100" i="5"/>
  <c r="BC362" i="5"/>
  <c r="AD246" i="5"/>
  <c r="BB208" i="5"/>
  <c r="AG131" i="5"/>
  <c r="AH58" i="5"/>
  <c r="BE206" i="5"/>
  <c r="AG19" i="5"/>
  <c r="AG66" i="5"/>
  <c r="AH9" i="5"/>
  <c r="BB48" i="5"/>
  <c r="BD326" i="5"/>
  <c r="AH289" i="5"/>
  <c r="BB210" i="5"/>
  <c r="BD117" i="5"/>
  <c r="BA172" i="5"/>
  <c r="AG174" i="5"/>
  <c r="AH265" i="5"/>
  <c r="AH182" i="5"/>
  <c r="AH132" i="5"/>
  <c r="BA37" i="5"/>
  <c r="AH128" i="5"/>
  <c r="BB36" i="5"/>
  <c r="BB326" i="5"/>
  <c r="BB343" i="5"/>
  <c r="BD322" i="5"/>
  <c r="BA24" i="5"/>
  <c r="AD307" i="5"/>
  <c r="BD28" i="5"/>
  <c r="AD230" i="5"/>
  <c r="BD19" i="5"/>
  <c r="BC131" i="5"/>
  <c r="BB111" i="5"/>
  <c r="BA145" i="5"/>
  <c r="BC310" i="5"/>
  <c r="AD64" i="5"/>
  <c r="AD248" i="5"/>
  <c r="BD149" i="5"/>
  <c r="BC83" i="5"/>
  <c r="BA311" i="5"/>
  <c r="BC96" i="5"/>
  <c r="BB253" i="5"/>
  <c r="BE302" i="5"/>
  <c r="BC65" i="5"/>
  <c r="BE126" i="5"/>
  <c r="BA249" i="5"/>
  <c r="BC60" i="5"/>
  <c r="BC271" i="5"/>
  <c r="BA184" i="5"/>
  <c r="BD105" i="5"/>
  <c r="AG319" i="5"/>
  <c r="BE195" i="5"/>
  <c r="BE156" i="5"/>
  <c r="BA60" i="5"/>
  <c r="AH53" i="5"/>
  <c r="AG308" i="5"/>
  <c r="AD74" i="5"/>
  <c r="BD342" i="5"/>
  <c r="AG127" i="5"/>
  <c r="BB274" i="5"/>
  <c r="AG165" i="5"/>
  <c r="AG244" i="5"/>
  <c r="AD343" i="5"/>
  <c r="BE143" i="5"/>
  <c r="AD45" i="5"/>
  <c r="AD342" i="5"/>
  <c r="AH24" i="5"/>
  <c r="BD317" i="5"/>
  <c r="AH254" i="5"/>
  <c r="BD155" i="5"/>
  <c r="BB307" i="5"/>
  <c r="BC210" i="5"/>
  <c r="AD328" i="5"/>
  <c r="BB70" i="5"/>
  <c r="BB4" i="5"/>
  <c r="BC338" i="5"/>
  <c r="AD170" i="5"/>
  <c r="BB6" i="5"/>
  <c r="AG282" i="5"/>
  <c r="BE119" i="5"/>
  <c r="BC342" i="5"/>
  <c r="BA265" i="5"/>
  <c r="BE231" i="5"/>
  <c r="BA264" i="5"/>
  <c r="BE215" i="5"/>
  <c r="AH250" i="5"/>
  <c r="AD81" i="5"/>
  <c r="BD110" i="5"/>
  <c r="BC331" i="5"/>
  <c r="BA33" i="5"/>
  <c r="BA356" i="5"/>
  <c r="AD196" i="5"/>
  <c r="AD338" i="5"/>
  <c r="AD231" i="5"/>
  <c r="BD315" i="5"/>
  <c r="BB54" i="5"/>
  <c r="AH90" i="5"/>
  <c r="AH177" i="5"/>
  <c r="AG161" i="5"/>
  <c r="AD163" i="5"/>
  <c r="BC94" i="5"/>
  <c r="BD98" i="5"/>
  <c r="AG258" i="5"/>
  <c r="BD103" i="5"/>
  <c r="BA301" i="5"/>
  <c r="BE267" i="5"/>
  <c r="BC100" i="5"/>
  <c r="BE82" i="5"/>
  <c r="AD181" i="5"/>
  <c r="BC70" i="5"/>
  <c r="AH277" i="5"/>
  <c r="AH202" i="5"/>
  <c r="BE64" i="5"/>
  <c r="BE24" i="5"/>
  <c r="BB351" i="5"/>
  <c r="BD179" i="5"/>
  <c r="BC161" i="5"/>
  <c r="BC155" i="5"/>
  <c r="AD306" i="5"/>
  <c r="BE150" i="5"/>
  <c r="AG327" i="5"/>
  <c r="BC211" i="5"/>
  <c r="AH30" i="5"/>
  <c r="AD313" i="5"/>
  <c r="BC329" i="5"/>
  <c r="BD75" i="5"/>
  <c r="BA324" i="5"/>
  <c r="BB286" i="5"/>
  <c r="BA179" i="5"/>
  <c r="BA57" i="5"/>
  <c r="BA320" i="5"/>
  <c r="BE62" i="5"/>
  <c r="BD142" i="5"/>
  <c r="BB299" i="5"/>
  <c r="BE314" i="5"/>
  <c r="BA272" i="5"/>
  <c r="BB132" i="5"/>
  <c r="BE300" i="5"/>
  <c r="BC263" i="5"/>
  <c r="AH78" i="5"/>
  <c r="AD105" i="5"/>
  <c r="BE6" i="5"/>
  <c r="AG207" i="5"/>
  <c r="BE320" i="5"/>
  <c r="BD283" i="5"/>
  <c r="AH227" i="5"/>
  <c r="BC44" i="5"/>
  <c r="AG338" i="5"/>
  <c r="AH121" i="5"/>
  <c r="BB252" i="5"/>
  <c r="BA209" i="5"/>
  <c r="BB175" i="5"/>
  <c r="AG300" i="5"/>
  <c r="BB85" i="5"/>
  <c r="AG52" i="5"/>
  <c r="BD356" i="5"/>
  <c r="BA30" i="5"/>
  <c r="AH352" i="5"/>
  <c r="AG166" i="5"/>
  <c r="AG20" i="5"/>
  <c r="AH170" i="5"/>
  <c r="BD191" i="5"/>
  <c r="BD225" i="5"/>
  <c r="BA133" i="5"/>
  <c r="BA96" i="5"/>
  <c r="BC254" i="5"/>
  <c r="BB148" i="5"/>
  <c r="BE7" i="5"/>
  <c r="BB193" i="5"/>
  <c r="BE169" i="5"/>
  <c r="AD134" i="5"/>
  <c r="AD271" i="5"/>
  <c r="AD286" i="5"/>
  <c r="AH61" i="5"/>
  <c r="BA248" i="5"/>
  <c r="BD80" i="5"/>
  <c r="BC174" i="5"/>
  <c r="BA322" i="5"/>
  <c r="BB139" i="5"/>
  <c r="BE232" i="5"/>
  <c r="BA77" i="5"/>
  <c r="AD93" i="5"/>
  <c r="BB228" i="5"/>
  <c r="AG120" i="5"/>
  <c r="BB302" i="5"/>
  <c r="BE183" i="5"/>
  <c r="BB7" i="5"/>
  <c r="BD45" i="5"/>
  <c r="AD299" i="5"/>
  <c r="AG90" i="5"/>
  <c r="AG199" i="5"/>
  <c r="BC90" i="5"/>
  <c r="BE234" i="5"/>
  <c r="AD187" i="5"/>
  <c r="BD232" i="5"/>
  <c r="AG213" i="5"/>
  <c r="BE356" i="5"/>
  <c r="BC10" i="5"/>
  <c r="AH46" i="5"/>
  <c r="AH110" i="5"/>
  <c r="AH278" i="5"/>
  <c r="AG292" i="5"/>
  <c r="BD275" i="5"/>
  <c r="BB215" i="5"/>
  <c r="AG96" i="5"/>
  <c r="BB56" i="5"/>
  <c r="BE244" i="5"/>
  <c r="BE333" i="5"/>
  <c r="BA103" i="5"/>
  <c r="BC52" i="5"/>
  <c r="BD40" i="5"/>
  <c r="AD69" i="5"/>
  <c r="AD54" i="5"/>
  <c r="BE25" i="5"/>
  <c r="BC291" i="5"/>
  <c r="AD329" i="5"/>
  <c r="BC314" i="5"/>
  <c r="BC150" i="5"/>
  <c r="BB137" i="5"/>
  <c r="BD229" i="5"/>
  <c r="BE212" i="5"/>
  <c r="BE31" i="5"/>
  <c r="BD299" i="5"/>
  <c r="BE120" i="5"/>
  <c r="BD333" i="5"/>
  <c r="BA28" i="5"/>
  <c r="AD31" i="5"/>
  <c r="BE339" i="5"/>
  <c r="AG151" i="5"/>
  <c r="AG141" i="5"/>
  <c r="AH192" i="5"/>
  <c r="AH62" i="5"/>
  <c r="AH118" i="5"/>
  <c r="BD362" i="5"/>
  <c r="AD80" i="5"/>
  <c r="AG126" i="5"/>
  <c r="AD117" i="5"/>
  <c r="AH146" i="5"/>
  <c r="AH327" i="5"/>
  <c r="BE316" i="5"/>
  <c r="BE144" i="5"/>
  <c r="BB205" i="5"/>
  <c r="AG111" i="5"/>
  <c r="AH270" i="5"/>
  <c r="BE275" i="5"/>
  <c r="BD41" i="5"/>
  <c r="AD202" i="5"/>
  <c r="AH124" i="5"/>
  <c r="BB103" i="5"/>
  <c r="BC192" i="5"/>
  <c r="AG57" i="5"/>
  <c r="AG336" i="5"/>
  <c r="BE97" i="5"/>
  <c r="AG44" i="5"/>
  <c r="AG198" i="5"/>
  <c r="AH91" i="5"/>
  <c r="BA132" i="5"/>
  <c r="AD177" i="5"/>
  <c r="AD96" i="5"/>
  <c r="BA91" i="5"/>
  <c r="BE164" i="5"/>
  <c r="BA7" i="5"/>
  <c r="BB84" i="5"/>
  <c r="BE47" i="5"/>
  <c r="BC146" i="5"/>
  <c r="BC197" i="5"/>
  <c r="BB358" i="5"/>
  <c r="AH213" i="5"/>
  <c r="AH82" i="5"/>
  <c r="BA238" i="5"/>
  <c r="BA193" i="5"/>
  <c r="AD273" i="5"/>
  <c r="AD190" i="5"/>
  <c r="BB17" i="5"/>
  <c r="BD102" i="5"/>
  <c r="AD147" i="5"/>
  <c r="BB347" i="5"/>
  <c r="BC239" i="5"/>
  <c r="BE346" i="5"/>
  <c r="BA282" i="5"/>
  <c r="AG150" i="5"/>
  <c r="BD170" i="5"/>
  <c r="AH155" i="5"/>
  <c r="BA275" i="5"/>
  <c r="AG82" i="5"/>
  <c r="AD155" i="5"/>
  <c r="BC78" i="5"/>
  <c r="BB350" i="5"/>
  <c r="BA220" i="5"/>
  <c r="BE188" i="5"/>
  <c r="BD207" i="5"/>
  <c r="AH264" i="5"/>
  <c r="AH294" i="5"/>
  <c r="BA47" i="5"/>
  <c r="AG260" i="5"/>
  <c r="AH28" i="5"/>
  <c r="BE331" i="5"/>
  <c r="AD109" i="5"/>
  <c r="BA207" i="5"/>
  <c r="BD63" i="5"/>
  <c r="AG154" i="5"/>
  <c r="AH163" i="5"/>
  <c r="BC297" i="5"/>
  <c r="BA337" i="5"/>
  <c r="BD254" i="5"/>
  <c r="BB19" i="5"/>
  <c r="BA45" i="5"/>
  <c r="BC92" i="5"/>
  <c r="BA251" i="5"/>
  <c r="BE136" i="5"/>
  <c r="BC11" i="5"/>
  <c r="BA104" i="5"/>
  <c r="BD111" i="5"/>
  <c r="AG32" i="5"/>
  <c r="BE245" i="5"/>
  <c r="BB71" i="5"/>
  <c r="BD263" i="5"/>
  <c r="AG209" i="5"/>
  <c r="BA39" i="5"/>
  <c r="BC119" i="5"/>
  <c r="AG228" i="5"/>
  <c r="BD82" i="5"/>
  <c r="BA140" i="5"/>
  <c r="BA355" i="5"/>
  <c r="BB43" i="5"/>
  <c r="BC335" i="5"/>
  <c r="AD121" i="5"/>
  <c r="BB204" i="5"/>
  <c r="BB241" i="5"/>
  <c r="BB63" i="5"/>
  <c r="AH174" i="5"/>
  <c r="BB261" i="5"/>
  <c r="BC164" i="5"/>
  <c r="BB249" i="5"/>
  <c r="AH336" i="5"/>
  <c r="AH102" i="5"/>
  <c r="AG16" i="5"/>
  <c r="BB138" i="5"/>
  <c r="AH275" i="5"/>
  <c r="BA113" i="5"/>
  <c r="BA25" i="5"/>
  <c r="AG192" i="5"/>
  <c r="BB243" i="5"/>
  <c r="AD34" i="5"/>
  <c r="BD291" i="5"/>
  <c r="AG341" i="5"/>
  <c r="AG315" i="5"/>
  <c r="BA80" i="5"/>
  <c r="AH343" i="5"/>
  <c r="BB264" i="5"/>
  <c r="BC141" i="5"/>
  <c r="AH212" i="5"/>
  <c r="AG220" i="5"/>
  <c r="BB57" i="5"/>
  <c r="BE277" i="5"/>
  <c r="AH358" i="5"/>
  <c r="BD204" i="5"/>
  <c r="BE301" i="5"/>
  <c r="BE92" i="5"/>
  <c r="BD320" i="5"/>
  <c r="AG247" i="5"/>
  <c r="AG190" i="5"/>
  <c r="BD338" i="5"/>
  <c r="AD79" i="5"/>
  <c r="BA9" i="5"/>
  <c r="BA160" i="5"/>
  <c r="AD50" i="5"/>
  <c r="BE344" i="5"/>
  <c r="BB292" i="5"/>
  <c r="BD287" i="5"/>
  <c r="AH241" i="5"/>
  <c r="AH194" i="5"/>
  <c r="BD294" i="5"/>
  <c r="BA183" i="5"/>
  <c r="BC318" i="5"/>
  <c r="AD160" i="5"/>
  <c r="BC218" i="5"/>
  <c r="BE69" i="5"/>
  <c r="BA305" i="5"/>
  <c r="AH112" i="5"/>
  <c r="BC339" i="5"/>
  <c r="BB129" i="5"/>
  <c r="AH316" i="5"/>
  <c r="AG343" i="5"/>
  <c r="AH252" i="5"/>
  <c r="AG358" i="5"/>
  <c r="BA34" i="5"/>
  <c r="BE298" i="5"/>
  <c r="BA195" i="5"/>
  <c r="AH47" i="5"/>
  <c r="AG107" i="5"/>
  <c r="BD106" i="5"/>
  <c r="AG219" i="5"/>
  <c r="AH299" i="5"/>
  <c r="AD253" i="5"/>
  <c r="AG284" i="5"/>
  <c r="BD212" i="5"/>
  <c r="AD274" i="5"/>
  <c r="AH137" i="5"/>
  <c r="BE299" i="5"/>
  <c r="BB66" i="5"/>
  <c r="AG306" i="5"/>
  <c r="AG307" i="5"/>
  <c r="BC21" i="5"/>
  <c r="BA108" i="5"/>
  <c r="BD329" i="5"/>
  <c r="AG262" i="5"/>
  <c r="AH208" i="5"/>
  <c r="BE349" i="5"/>
  <c r="BA159" i="5"/>
  <c r="BD311" i="5"/>
  <c r="BE290" i="5"/>
  <c r="BB134" i="5"/>
  <c r="BA157" i="5"/>
  <c r="AD15" i="5"/>
  <c r="BE77" i="5"/>
  <c r="AD211" i="5"/>
  <c r="AD154" i="5"/>
  <c r="AD28" i="5"/>
  <c r="AG314" i="5"/>
  <c r="BB173" i="5"/>
  <c r="BC256" i="5"/>
  <c r="AD201" i="5"/>
  <c r="AH172" i="5"/>
  <c r="AD323" i="5"/>
  <c r="BB363" i="5"/>
  <c r="BB220" i="5"/>
  <c r="BD319" i="5"/>
  <c r="BD304" i="5"/>
  <c r="BA181" i="5"/>
  <c r="BB136" i="5"/>
  <c r="BD259" i="5"/>
  <c r="BA135" i="5"/>
  <c r="AH280" i="5"/>
  <c r="AH19" i="5"/>
  <c r="BA16" i="5"/>
  <c r="AG270" i="5"/>
  <c r="BC66" i="5"/>
  <c r="BD124" i="5"/>
  <c r="BB258" i="5"/>
  <c r="BD88" i="5"/>
  <c r="AH108" i="5"/>
  <c r="BB222" i="5"/>
  <c r="BB86" i="5"/>
  <c r="AH320" i="5"/>
  <c r="AG11" i="5"/>
  <c r="BA266" i="5"/>
  <c r="BE88" i="5"/>
  <c r="AG164" i="5"/>
  <c r="AD111" i="5"/>
  <c r="BB212" i="5"/>
  <c r="AG87" i="5"/>
  <c r="AD200" i="5"/>
  <c r="AH236" i="5"/>
  <c r="AD98" i="5"/>
  <c r="BC32" i="5"/>
  <c r="BA27" i="5"/>
  <c r="AG318" i="5"/>
  <c r="AG85" i="5"/>
  <c r="BE337" i="5"/>
  <c r="BE221" i="5"/>
  <c r="AH6" i="5"/>
  <c r="AG40" i="5"/>
  <c r="BE115" i="5"/>
  <c r="BA306" i="5"/>
  <c r="BE358" i="5"/>
  <c r="AD119" i="5"/>
  <c r="BA263" i="5"/>
  <c r="BA298" i="5"/>
  <c r="BA357" i="5"/>
  <c r="BB33" i="5"/>
  <c r="BD152" i="5"/>
  <c r="AH86" i="5"/>
  <c r="BA85" i="5"/>
  <c r="BD328" i="5"/>
  <c r="BC133" i="5"/>
  <c r="AG321" i="5"/>
  <c r="BB186" i="5"/>
  <c r="BB146" i="5"/>
  <c r="BC181" i="5"/>
  <c r="BC306" i="5"/>
  <c r="AH220" i="5"/>
  <c r="BB337" i="5"/>
  <c r="BA192" i="5"/>
  <c r="AG156" i="5"/>
  <c r="AH161" i="5"/>
  <c r="AG181" i="5"/>
  <c r="BB310" i="5"/>
  <c r="BB279" i="5"/>
  <c r="BB197" i="5"/>
  <c r="BA106" i="5"/>
  <c r="BA258" i="5"/>
  <c r="BE79" i="5"/>
  <c r="AH232" i="5"/>
  <c r="BC357" i="5"/>
  <c r="BC113" i="5"/>
  <c r="BC257" i="5"/>
  <c r="BA36" i="5"/>
  <c r="BB335" i="5"/>
  <c r="BA346" i="5"/>
  <c r="BD246" i="5"/>
  <c r="AD20" i="5"/>
  <c r="BE262" i="5"/>
  <c r="AH214" i="5"/>
  <c r="AG328" i="5"/>
  <c r="AG86" i="5"/>
  <c r="AD167" i="5"/>
  <c r="BD336" i="5"/>
  <c r="BB226" i="5"/>
  <c r="BB109" i="5"/>
  <c r="BB18" i="5"/>
  <c r="AG295" i="5"/>
  <c r="BC29" i="5"/>
  <c r="BE50" i="5"/>
  <c r="BD31" i="5"/>
  <c r="AG92" i="5"/>
  <c r="BC213" i="5"/>
  <c r="BB28" i="5"/>
  <c r="BD206" i="5"/>
  <c r="AD133" i="5"/>
  <c r="BA281" i="5"/>
  <c r="AD353" i="5"/>
  <c r="BE73" i="5"/>
  <c r="BD14" i="5"/>
  <c r="BE199" i="5"/>
  <c r="AD125" i="5"/>
  <c r="BA299" i="5"/>
  <c r="BB82" i="5"/>
  <c r="BB225" i="5"/>
  <c r="BD72" i="5"/>
  <c r="BD32" i="5"/>
  <c r="BE39" i="5"/>
  <c r="BD101" i="5"/>
  <c r="AD56" i="5"/>
  <c r="AD65" i="5"/>
  <c r="BD240" i="5"/>
  <c r="BC334" i="5"/>
  <c r="BD16" i="5"/>
  <c r="BE54" i="5"/>
  <c r="AD242" i="5"/>
  <c r="BD76" i="5"/>
  <c r="BD58" i="5"/>
  <c r="AH139" i="5"/>
  <c r="BD153" i="5"/>
  <c r="AH230" i="5"/>
  <c r="BE327" i="5"/>
  <c r="BB176" i="5"/>
  <c r="AH256" i="5"/>
  <c r="BB242" i="5"/>
  <c r="BD314" i="5"/>
  <c r="AG214" i="5"/>
  <c r="BA101" i="5"/>
  <c r="AD195" i="5"/>
  <c r="BD135" i="5"/>
  <c r="BD255" i="5"/>
  <c r="AH185" i="5"/>
  <c r="BD87" i="5"/>
  <c r="BB277" i="5"/>
  <c r="BE266" i="5"/>
  <c r="BA139" i="5"/>
  <c r="BE16" i="5"/>
  <c r="AD180" i="5"/>
  <c r="BC28" i="5"/>
  <c r="AH287" i="5"/>
  <c r="AH92" i="5"/>
  <c r="BC278" i="5"/>
  <c r="BD277" i="5"/>
  <c r="BE141" i="5"/>
  <c r="BD157" i="5"/>
  <c r="AD363" i="5"/>
  <c r="AG170" i="5"/>
  <c r="AH52" i="5"/>
  <c r="BD307" i="5"/>
  <c r="AD324" i="5"/>
  <c r="BD210" i="5"/>
  <c r="AD176" i="5"/>
  <c r="BE33" i="5"/>
  <c r="BA20" i="5"/>
  <c r="BA262" i="5"/>
  <c r="BE52" i="5"/>
  <c r="AG28" i="5"/>
  <c r="BA44" i="5"/>
  <c r="BA21" i="5"/>
  <c r="AG283" i="5"/>
  <c r="BB272" i="5"/>
  <c r="BD201" i="5"/>
  <c r="BA302" i="5"/>
  <c r="BC196" i="5"/>
  <c r="BD327" i="5"/>
  <c r="BA49" i="5"/>
  <c r="BE354" i="5"/>
  <c r="BC322" i="5"/>
  <c r="BB58" i="5"/>
  <c r="BC117" i="5"/>
  <c r="BD8" i="5"/>
  <c r="BE175" i="5"/>
  <c r="BE61" i="5"/>
  <c r="BC351" i="5"/>
  <c r="BD242" i="5"/>
  <c r="AH50" i="5"/>
  <c r="BD228" i="5"/>
  <c r="AH144" i="5"/>
  <c r="AG289" i="5"/>
  <c r="BC344" i="5"/>
  <c r="AG263" i="5"/>
  <c r="AG80" i="5"/>
  <c r="BB14" i="5"/>
  <c r="AG114" i="5"/>
  <c r="AG234" i="5"/>
  <c r="AG253" i="5"/>
  <c r="BB332" i="5"/>
  <c r="BC111" i="5"/>
  <c r="AD73" i="5"/>
  <c r="BE249" i="5"/>
  <c r="BC45" i="5"/>
  <c r="BD112" i="5"/>
  <c r="BB276" i="5"/>
  <c r="BD46" i="5"/>
  <c r="AH303" i="5"/>
  <c r="BB90" i="5"/>
  <c r="AG205" i="5"/>
  <c r="BD223" i="5"/>
  <c r="BB339" i="5"/>
  <c r="BE342" i="5"/>
  <c r="BC55" i="5"/>
  <c r="BC128" i="5"/>
  <c r="AD281" i="5"/>
  <c r="BA22" i="5"/>
  <c r="BE55" i="5"/>
  <c r="AG269" i="5"/>
  <c r="BA150" i="5"/>
  <c r="AD333" i="5"/>
  <c r="BB331" i="5"/>
  <c r="BA26" i="5"/>
  <c r="AD47" i="5"/>
  <c r="BD30" i="5"/>
  <c r="BD128" i="5"/>
  <c r="AD205" i="5"/>
  <c r="BE9" i="5"/>
  <c r="BC275" i="5"/>
  <c r="AD139" i="5"/>
  <c r="BD208" i="5"/>
  <c r="BE86" i="5"/>
  <c r="BC251" i="5"/>
  <c r="BE328" i="5"/>
  <c r="AG134" i="5"/>
  <c r="AG99" i="5"/>
  <c r="AG9" i="5"/>
  <c r="AD173" i="5"/>
  <c r="BA88" i="5"/>
  <c r="AH142" i="5"/>
  <c r="AD36" i="5"/>
  <c r="AD21" i="5"/>
  <c r="AH339" i="5"/>
  <c r="AD238" i="5"/>
  <c r="AG133" i="5"/>
  <c r="BE130" i="5"/>
  <c r="AG173" i="5"/>
  <c r="BA363" i="5"/>
  <c r="BC292" i="5"/>
  <c r="AH113" i="5"/>
  <c r="BA119" i="5"/>
  <c r="AG264" i="5"/>
  <c r="AH325" i="5"/>
  <c r="BC304" i="5"/>
  <c r="BE251" i="5"/>
  <c r="BD70" i="5"/>
  <c r="AD226" i="5"/>
  <c r="BC186" i="5"/>
  <c r="BA321" i="5"/>
  <c r="BC43" i="5"/>
  <c r="BC59" i="5"/>
  <c r="AH305" i="5"/>
  <c r="AG30" i="5"/>
  <c r="BB94" i="5"/>
  <c r="BB360" i="5"/>
  <c r="BA343" i="5"/>
  <c r="BB348" i="5"/>
  <c r="AD189" i="5"/>
  <c r="AG10" i="5"/>
  <c r="AD144" i="5"/>
  <c r="BE235" i="5"/>
  <c r="BB45" i="5"/>
  <c r="BE13" i="5"/>
  <c r="BA221" i="5"/>
  <c r="BE68" i="5"/>
  <c r="BA72" i="5"/>
  <c r="BA279" i="5"/>
  <c r="BA50" i="5"/>
  <c r="BB357" i="5"/>
  <c r="BB349" i="5"/>
  <c r="BD53" i="5"/>
  <c r="BB29" i="5"/>
  <c r="BC171" i="5"/>
  <c r="BE219" i="5"/>
  <c r="AH261" i="5"/>
  <c r="AG116" i="5"/>
  <c r="BE282" i="5"/>
  <c r="BB135" i="5"/>
  <c r="BC50" i="5"/>
  <c r="BD192" i="5"/>
  <c r="AD118" i="5"/>
  <c r="AG261" i="5"/>
  <c r="AH283" i="5"/>
  <c r="BE113" i="5"/>
  <c r="AG352" i="5"/>
  <c r="BE274" i="5"/>
  <c r="AG243" i="5"/>
  <c r="AD94" i="5"/>
  <c r="AH104" i="5"/>
  <c r="BB336" i="5"/>
  <c r="BE201" i="5"/>
  <c r="BE20" i="5"/>
  <c r="BA303" i="5"/>
  <c r="BD34" i="5"/>
  <c r="AH215" i="5"/>
  <c r="AH171" i="5"/>
  <c r="BB308" i="5"/>
  <c r="BB41" i="5"/>
  <c r="BE158" i="5"/>
  <c r="BC5" i="5"/>
  <c r="BD209" i="5"/>
  <c r="BD89" i="5"/>
  <c r="BB198" i="5"/>
  <c r="BA154" i="5"/>
  <c r="BE43" i="5"/>
  <c r="BA330" i="5"/>
  <c r="AD158" i="5"/>
  <c r="AG288" i="5"/>
  <c r="BE111" i="5"/>
  <c r="BE287" i="5"/>
  <c r="AH328" i="5"/>
  <c r="BE248" i="5"/>
  <c r="BC244" i="5"/>
  <c r="AG175" i="5"/>
  <c r="BE48" i="5"/>
  <c r="BC132" i="5"/>
  <c r="BE104" i="5"/>
  <c r="BB5" i="5"/>
  <c r="BB254" i="5"/>
  <c r="BA360" i="5"/>
  <c r="T62" i="4" l="1"/>
  <c r="Y62" i="4" s="1"/>
  <c r="U94" i="4"/>
  <c r="Z94" i="4" s="1"/>
  <c r="T24" i="4"/>
  <c r="Y24" i="4" s="1"/>
  <c r="U19" i="4"/>
  <c r="Z19" i="4" s="1"/>
  <c r="T32" i="4"/>
  <c r="Y32" i="4" s="1"/>
  <c r="T88" i="4"/>
  <c r="Y88" i="4" s="1"/>
  <c r="U59" i="4"/>
  <c r="Z59" i="4" s="1"/>
  <c r="U73" i="4"/>
  <c r="Z73" i="4" s="1"/>
  <c r="T35" i="4"/>
  <c r="Y35" i="4" s="1"/>
  <c r="T83" i="4"/>
  <c r="Y83" i="4" s="1"/>
  <c r="T23" i="4"/>
  <c r="Y23" i="4" s="1"/>
  <c r="U5" i="4"/>
  <c r="Z5" i="4" s="1"/>
  <c r="U88" i="4"/>
  <c r="Z88" i="4" s="1"/>
  <c r="U31" i="4"/>
  <c r="Z31" i="4" s="1"/>
  <c r="T11" i="4"/>
  <c r="Y11" i="4" s="1"/>
  <c r="U74" i="4"/>
  <c r="Z74" i="4" s="1"/>
  <c r="U47" i="4"/>
  <c r="Z47" i="4" s="1"/>
  <c r="T59" i="4"/>
  <c r="Y59" i="4" s="1"/>
  <c r="T44" i="4"/>
  <c r="Y44" i="4" s="1"/>
  <c r="U79" i="4"/>
  <c r="Z79" i="4" s="1"/>
  <c r="U39" i="4"/>
  <c r="Z39" i="4" s="1"/>
  <c r="U41" i="4"/>
  <c r="Z41" i="4" s="1"/>
  <c r="U81" i="4"/>
  <c r="Z81" i="4" s="1"/>
  <c r="T49" i="4"/>
  <c r="Y49" i="4" s="1"/>
  <c r="T7" i="4"/>
  <c r="Y7" i="4" s="1"/>
  <c r="U34" i="4"/>
  <c r="Z34" i="4" s="1"/>
  <c r="T77" i="4"/>
  <c r="Y77" i="4" s="1"/>
  <c r="U76" i="4"/>
  <c r="Z76" i="4" s="1"/>
  <c r="U46" i="4"/>
  <c r="Z46" i="4" s="1"/>
  <c r="T67" i="4"/>
  <c r="Y67" i="4" s="1"/>
  <c r="U83" i="4"/>
  <c r="Z83" i="4" s="1"/>
  <c r="T53" i="4"/>
  <c r="Y53" i="4" s="1"/>
  <c r="T5" i="4"/>
  <c r="Y5" i="4" s="1"/>
  <c r="U103" i="4"/>
  <c r="Z103" i="4" s="1"/>
  <c r="U10" i="4"/>
  <c r="Z10" i="4" s="1"/>
  <c r="T15" i="4"/>
  <c r="Y15" i="4" s="1"/>
  <c r="U77" i="4"/>
  <c r="Z77" i="4" s="1"/>
  <c r="U57" i="4"/>
  <c r="Z57" i="4" s="1"/>
  <c r="U55" i="4"/>
  <c r="Z55" i="4" s="1"/>
  <c r="U87" i="4"/>
  <c r="Z87" i="4" s="1"/>
  <c r="T17" i="4"/>
  <c r="Y17" i="4" s="1"/>
  <c r="U54" i="4"/>
  <c r="Z54" i="4" s="1"/>
  <c r="T66" i="4"/>
  <c r="Y66" i="4" s="1"/>
  <c r="U28" i="4"/>
  <c r="Z28" i="4" s="1"/>
  <c r="T76" i="4"/>
  <c r="Y76" i="4" s="1"/>
  <c r="U63" i="4"/>
  <c r="Z63" i="4" s="1"/>
  <c r="T51" i="4"/>
  <c r="Y51" i="4" s="1"/>
  <c r="T43" i="4"/>
  <c r="Y43" i="4" s="1"/>
  <c r="T42" i="4"/>
  <c r="Y42" i="4" s="1"/>
  <c r="U30" i="4"/>
  <c r="Z30" i="4" s="1"/>
  <c r="U58" i="4"/>
  <c r="Z58" i="4" s="1"/>
  <c r="U29" i="4"/>
  <c r="Z29" i="4" s="1"/>
  <c r="U43" i="4"/>
  <c r="Z43" i="4" s="1"/>
  <c r="T52" i="4"/>
  <c r="Y52" i="4" s="1"/>
  <c r="T33" i="4"/>
  <c r="Y33" i="4" s="1"/>
  <c r="T54" i="4"/>
  <c r="Y54" i="4" s="1"/>
  <c r="U84" i="4"/>
  <c r="Z84" i="4" s="1"/>
  <c r="U80" i="4"/>
  <c r="Z80" i="4" s="1"/>
  <c r="T47" i="4"/>
  <c r="Y47" i="4" s="1"/>
  <c r="T46" i="4"/>
  <c r="Y46" i="4" s="1"/>
  <c r="U75" i="4"/>
  <c r="Z75" i="4" s="1"/>
  <c r="T71" i="4"/>
  <c r="Y71" i="4" s="1"/>
  <c r="U33" i="4"/>
  <c r="Z33" i="4" s="1"/>
  <c r="T82" i="4"/>
  <c r="Y82" i="4" s="1"/>
  <c r="U35" i="4"/>
  <c r="Z35" i="4" s="1"/>
  <c r="T84" i="4"/>
  <c r="Y84" i="4" s="1"/>
  <c r="U82" i="4"/>
  <c r="Z82" i="4" s="1"/>
  <c r="T48" i="4"/>
  <c r="Y48" i="4" s="1"/>
  <c r="T78" i="4"/>
  <c r="Y78" i="4" s="1"/>
  <c r="T75" i="4"/>
  <c r="Y75" i="4" s="1"/>
  <c r="T37" i="4"/>
  <c r="Y37" i="4" s="1"/>
  <c r="T61" i="4"/>
  <c r="Y61" i="4" s="1"/>
  <c r="U38" i="4"/>
  <c r="Z38" i="4" s="1"/>
  <c r="T73" i="4"/>
  <c r="Y73" i="4" s="1"/>
  <c r="U56" i="4"/>
  <c r="Z56" i="4" s="1"/>
  <c r="U32" i="4"/>
  <c r="Z32" i="4" s="1"/>
  <c r="T81" i="4"/>
  <c r="Y81" i="4" s="1"/>
  <c r="U65" i="4"/>
  <c r="Z65" i="4" s="1"/>
  <c r="U78" i="4"/>
  <c r="Z78" i="4" s="1"/>
  <c r="T60" i="4"/>
  <c r="Y60" i="4" s="1"/>
  <c r="T39" i="4"/>
  <c r="Y39" i="4" s="1"/>
  <c r="T36" i="4"/>
  <c r="Y36" i="4" s="1"/>
  <c r="U40" i="4"/>
  <c r="Z40" i="4" s="1"/>
  <c r="U67" i="4"/>
  <c r="Z67" i="4" s="1"/>
  <c r="U42" i="4"/>
  <c r="Z42" i="4" s="1"/>
  <c r="U51" i="4"/>
  <c r="Z51" i="4" s="1"/>
  <c r="T57" i="4"/>
  <c r="Y57" i="4" s="1"/>
  <c r="T10" i="4"/>
  <c r="Y10" i="4" s="1"/>
  <c r="T72" i="4"/>
  <c r="Y72" i="4" s="1"/>
  <c r="T68" i="4"/>
  <c r="Y68" i="4" s="1"/>
  <c r="U50" i="4"/>
  <c r="Z50" i="4" s="1"/>
  <c r="T50" i="4"/>
  <c r="Y50" i="4" s="1"/>
  <c r="U66" i="4"/>
  <c r="Z66" i="4" s="1"/>
  <c r="T31" i="4"/>
  <c r="Y31" i="4" s="1"/>
  <c r="T79" i="4"/>
  <c r="Y79" i="4" s="1"/>
  <c r="T34" i="4"/>
  <c r="Y34" i="4" s="1"/>
  <c r="T63" i="4"/>
  <c r="Y63" i="4" s="1"/>
  <c r="T74" i="4"/>
  <c r="Y74" i="4" s="1"/>
  <c r="T45" i="4"/>
  <c r="Y45" i="4" s="1"/>
  <c r="U8" i="4"/>
  <c r="Z8" i="4" s="1"/>
  <c r="U27" i="4"/>
  <c r="Z27" i="4" s="1"/>
  <c r="U49" i="4"/>
  <c r="Z49" i="4" s="1"/>
  <c r="T38" i="4"/>
  <c r="Y38" i="4" s="1"/>
  <c r="U68" i="4"/>
  <c r="Z68" i="4" s="1"/>
  <c r="T55" i="4"/>
  <c r="Y55" i="4" s="1"/>
  <c r="T85" i="4"/>
  <c r="Y85" i="4" s="1"/>
  <c r="T80" i="4"/>
  <c r="Y80" i="4" s="1"/>
  <c r="U44" i="4"/>
  <c r="Z44" i="4" s="1"/>
  <c r="U93" i="4"/>
  <c r="Z93" i="4" s="1"/>
  <c r="T95" i="4"/>
  <c r="Y95" i="4" s="1"/>
  <c r="U95" i="4"/>
  <c r="Z95" i="4" s="1"/>
  <c r="T86" i="4"/>
  <c r="Y86" i="4" s="1"/>
  <c r="U85" i="4"/>
  <c r="Z85" i="4" s="1"/>
  <c r="U89" i="4"/>
  <c r="Z89" i="4" s="1"/>
  <c r="T89" i="4"/>
  <c r="Y89" i="4" s="1"/>
  <c r="T94" i="4"/>
  <c r="Y94" i="4" s="1"/>
  <c r="T56" i="4"/>
  <c r="Y56" i="4" s="1"/>
  <c r="U37" i="4"/>
  <c r="Z37" i="4" s="1"/>
  <c r="T65" i="4"/>
  <c r="Y65" i="4" s="1"/>
  <c r="T40" i="4"/>
  <c r="Y40" i="4" s="1"/>
  <c r="U60" i="4"/>
  <c r="Z60" i="4" s="1"/>
  <c r="U72" i="4"/>
  <c r="Z72" i="4" s="1"/>
  <c r="T70" i="4"/>
  <c r="Y70" i="4" s="1"/>
  <c r="U64" i="4"/>
  <c r="Z64" i="4" s="1"/>
  <c r="T30" i="4" l="1"/>
  <c r="Y30" i="4" s="1"/>
  <c r="U9" i="4"/>
  <c r="Z9" i="4" s="1"/>
  <c r="U101" i="4"/>
  <c r="Z101" i="4" s="1"/>
  <c r="T90" i="4"/>
  <c r="Y90" i="4" s="1"/>
  <c r="U96" i="4"/>
  <c r="Z96" i="4" s="1"/>
  <c r="T41" i="4"/>
  <c r="Y41" i="4" s="1"/>
  <c r="U25" i="4"/>
  <c r="Z25" i="4" s="1"/>
  <c r="T12" i="4"/>
  <c r="Y12" i="4" s="1"/>
  <c r="T20" i="4"/>
  <c r="Y20" i="4" s="1"/>
  <c r="U21" i="4"/>
  <c r="Z21" i="4" s="1"/>
  <c r="T99" i="4"/>
  <c r="Y99" i="4" s="1"/>
  <c r="T87" i="4"/>
  <c r="Y87" i="4" s="1"/>
  <c r="T100" i="4"/>
  <c r="Y100" i="4" s="1"/>
  <c r="U36" i="4"/>
  <c r="Z36" i="4" s="1"/>
  <c r="U48" i="4"/>
  <c r="Z48" i="4" s="1"/>
  <c r="T14" i="4"/>
  <c r="Y14" i="4" s="1"/>
  <c r="U15" i="4"/>
  <c r="Z15" i="4" s="1"/>
  <c r="U26" i="4"/>
  <c r="Z26" i="4" s="1"/>
  <c r="U12" i="4"/>
  <c r="Z12" i="4" s="1"/>
  <c r="T6" i="4"/>
  <c r="Y6" i="4" s="1"/>
  <c r="T102" i="4"/>
  <c r="Y102" i="4" s="1"/>
  <c r="T8" i="4"/>
  <c r="Y8" i="4" s="1"/>
  <c r="T58" i="4"/>
  <c r="Y58" i="4" s="1"/>
  <c r="T9" i="4"/>
  <c r="Y9" i="4" s="1"/>
  <c r="U24" i="4"/>
  <c r="Z24" i="4" s="1"/>
  <c r="U102" i="4"/>
  <c r="Z102" i="4" s="1"/>
  <c r="U86" i="4"/>
  <c r="Z86" i="4" s="1"/>
  <c r="T92" i="4"/>
  <c r="Y92" i="4" s="1"/>
  <c r="T18" i="4"/>
  <c r="Y18" i="4" s="1"/>
  <c r="U23" i="4"/>
  <c r="Z23" i="4" s="1"/>
  <c r="T96" i="4"/>
  <c r="Y96" i="4" s="1"/>
  <c r="U90" i="4"/>
  <c r="Z90" i="4" s="1"/>
  <c r="U6" i="4"/>
  <c r="Z6" i="4" s="1"/>
  <c r="T21" i="4"/>
  <c r="Y21" i="4" s="1"/>
  <c r="T103" i="4"/>
  <c r="Y103" i="4" s="1"/>
  <c r="T104" i="4"/>
  <c r="Y104" i="4" s="1"/>
  <c r="U99" i="4"/>
  <c r="Z99" i="4" s="1"/>
  <c r="T97" i="4"/>
  <c r="Y97" i="4" s="1"/>
  <c r="U70" i="4"/>
  <c r="Z70" i="4" s="1"/>
  <c r="T26" i="4"/>
  <c r="Y26" i="4" s="1"/>
  <c r="T13" i="4"/>
  <c r="Y13" i="4" s="1"/>
  <c r="U17" i="4"/>
  <c r="Z17" i="4" s="1"/>
  <c r="T29" i="4"/>
  <c r="Y29" i="4" s="1"/>
  <c r="U91" i="4"/>
  <c r="Z91" i="4" s="1"/>
  <c r="T16" i="4"/>
  <c r="Y16" i="4" s="1"/>
  <c r="U100" i="4"/>
  <c r="Z100" i="4" s="1"/>
  <c r="U45" i="4"/>
  <c r="Z45" i="4" s="1"/>
  <c r="U18" i="4"/>
  <c r="Z18" i="4" s="1"/>
  <c r="U16" i="4"/>
  <c r="Z16" i="4" s="1"/>
  <c r="U22" i="4"/>
  <c r="Z22" i="4" s="1"/>
  <c r="U92" i="4"/>
  <c r="Z92" i="4" s="1"/>
  <c r="U104" i="4"/>
  <c r="Z104" i="4" s="1"/>
  <c r="U13" i="4"/>
  <c r="Z13" i="4" s="1"/>
  <c r="T27" i="4"/>
  <c r="Y27" i="4" s="1"/>
  <c r="T22" i="4"/>
  <c r="Y22" i="4" s="1"/>
  <c r="T19" i="4"/>
  <c r="Y19" i="4" s="1"/>
  <c r="U14" i="4"/>
  <c r="Z14" i="4" s="1"/>
  <c r="U7" i="4"/>
  <c r="Z7" i="4" s="1"/>
  <c r="T25" i="4"/>
  <c r="Y25" i="4" s="1"/>
  <c r="U20" i="4"/>
  <c r="Z20" i="4" s="1"/>
  <c r="T28" i="4"/>
  <c r="Y28" i="4" s="1"/>
  <c r="U11" i="4"/>
  <c r="Z11" i="4" s="1"/>
  <c r="T101" i="4"/>
  <c r="Y101" i="4" s="1"/>
  <c r="U98" i="4"/>
  <c r="Z98" i="4" s="1"/>
  <c r="T93" i="4"/>
  <c r="Y93" i="4" s="1"/>
  <c r="T91" i="4"/>
  <c r="Y91" i="4" s="1"/>
  <c r="U97" i="4"/>
  <c r="Z97" i="4" s="1"/>
  <c r="U69" i="4"/>
  <c r="Z69" i="4" s="1"/>
  <c r="U62" i="4"/>
  <c r="Z62" i="4" s="1"/>
  <c r="T64" i="4"/>
  <c r="Y64" i="4" s="1"/>
  <c r="T69" i="4"/>
  <c r="Y69" i="4" s="1"/>
  <c r="U52" i="4"/>
  <c r="Z52" i="4" s="1"/>
  <c r="T98" i="4"/>
  <c r="Y98" i="4" s="1"/>
  <c r="U53" i="4"/>
  <c r="Z53" i="4" s="1"/>
  <c r="U61" i="4"/>
  <c r="Z61" i="4" s="1"/>
  <c r="U71" i="4"/>
  <c r="Z71" i="4" s="1"/>
  <c r="AF237" i="5" l="1"/>
  <c r="AF185" i="5"/>
  <c r="AF109" i="5"/>
  <c r="AE274" i="5"/>
  <c r="AF149" i="5"/>
  <c r="AF353" i="5"/>
  <c r="AE19" i="5"/>
  <c r="AE276" i="5"/>
  <c r="AE21" i="5"/>
  <c r="AF256" i="5"/>
  <c r="AE277" i="5"/>
  <c r="AF30" i="5"/>
  <c r="AF75" i="5"/>
  <c r="AF337" i="5"/>
  <c r="AF43" i="5"/>
  <c r="AE110" i="5"/>
  <c r="AF26" i="5"/>
  <c r="AE31" i="5"/>
  <c r="AF273" i="5"/>
  <c r="AF147" i="5"/>
  <c r="AF231" i="5"/>
  <c r="AE241" i="5"/>
  <c r="AF13" i="5"/>
  <c r="AF325" i="5"/>
  <c r="AE7" i="5"/>
  <c r="AE176" i="5"/>
  <c r="AF152" i="5"/>
  <c r="AE224" i="5"/>
  <c r="AF19" i="5"/>
  <c r="AE243" i="5"/>
  <c r="AF290" i="5"/>
  <c r="AE65" i="5"/>
  <c r="AF85" i="5"/>
  <c r="AE8" i="5"/>
  <c r="AF123" i="5"/>
  <c r="AF272" i="5"/>
  <c r="AF221" i="5"/>
  <c r="AE228" i="5"/>
  <c r="AF349" i="5"/>
  <c r="AE97" i="5"/>
  <c r="AF151" i="5"/>
  <c r="AF218" i="5"/>
  <c r="AE178" i="5"/>
  <c r="AF259" i="5"/>
  <c r="AF39" i="5"/>
  <c r="AF339" i="5"/>
  <c r="AE169" i="5"/>
  <c r="AE196" i="5"/>
  <c r="AE195" i="5"/>
  <c r="AE73" i="5"/>
  <c r="AE182" i="5"/>
  <c r="AE212" i="5"/>
  <c r="AF120" i="5"/>
  <c r="AF170" i="5"/>
  <c r="AE116" i="5"/>
  <c r="AF153" i="5"/>
  <c r="AF10" i="5"/>
  <c r="AF222" i="5"/>
  <c r="AE249" i="5"/>
  <c r="AE288" i="5"/>
  <c r="AF111" i="5"/>
  <c r="AE109" i="5"/>
  <c r="AE106" i="5"/>
  <c r="AE304" i="5"/>
  <c r="AE151" i="5"/>
  <c r="AF239" i="5"/>
  <c r="AE313" i="5"/>
  <c r="AE146" i="5"/>
  <c r="AE137" i="5"/>
  <c r="AE159" i="5"/>
  <c r="AF32" i="5"/>
  <c r="AE310" i="5"/>
  <c r="AF219" i="5"/>
  <c r="AE207" i="5"/>
  <c r="AE25" i="5"/>
  <c r="AE148" i="5"/>
  <c r="AE156" i="5"/>
  <c r="AF217" i="5"/>
  <c r="AE55" i="5"/>
  <c r="AF65" i="5"/>
  <c r="AE174" i="5"/>
  <c r="AF24" i="5"/>
  <c r="AF315" i="5"/>
  <c r="AF285" i="5"/>
  <c r="AF46" i="5"/>
  <c r="AE358" i="5"/>
  <c r="AE356" i="5"/>
  <c r="AE223" i="5"/>
  <c r="AF332" i="5"/>
  <c r="AE44" i="5"/>
  <c r="AF284" i="5"/>
  <c r="AF58" i="5"/>
  <c r="AF90" i="5"/>
  <c r="AE118" i="5"/>
  <c r="AF328" i="5"/>
  <c r="AF125" i="5"/>
  <c r="AE83" i="5"/>
  <c r="AF34" i="5"/>
  <c r="AF281" i="5"/>
  <c r="AE287" i="5"/>
  <c r="AE90" i="5"/>
  <c r="AF35" i="5"/>
  <c r="AF319" i="5"/>
  <c r="AE175" i="5"/>
  <c r="AF187" i="5"/>
  <c r="AF36" i="5"/>
  <c r="AE15" i="5"/>
  <c r="AF25" i="5"/>
  <c r="AF137" i="5"/>
  <c r="AF334" i="5"/>
  <c r="AF250" i="5"/>
  <c r="AE62" i="5"/>
  <c r="AF178" i="5"/>
  <c r="AF163" i="5"/>
  <c r="AF330" i="5"/>
  <c r="AE93" i="5"/>
  <c r="AE349" i="5"/>
  <c r="AE160" i="5"/>
  <c r="AF308" i="5"/>
  <c r="AF242" i="5"/>
  <c r="AF56" i="5"/>
  <c r="AE235" i="5"/>
  <c r="AF252" i="5"/>
  <c r="AF48" i="5"/>
  <c r="AE135" i="5"/>
  <c r="AF233" i="5"/>
  <c r="AE10" i="5"/>
  <c r="AF132" i="5"/>
  <c r="AE40" i="5"/>
  <c r="AF270" i="5"/>
  <c r="AE123" i="5"/>
  <c r="AF338" i="5"/>
  <c r="AF180" i="5"/>
  <c r="AE314" i="5"/>
  <c r="AF130" i="5"/>
  <c r="AF243" i="5"/>
  <c r="AE101" i="5"/>
  <c r="AF354" i="5"/>
  <c r="AE203" i="5"/>
  <c r="AF139" i="5"/>
  <c r="AF264" i="5"/>
  <c r="AE363" i="5"/>
  <c r="AE119" i="5"/>
  <c r="AF106" i="5"/>
  <c r="AE129" i="5"/>
  <c r="AF62" i="5"/>
  <c r="AF71" i="5"/>
  <c r="AF324" i="5"/>
  <c r="AF41" i="5"/>
  <c r="AE258" i="5"/>
  <c r="AF194" i="5"/>
  <c r="AE297" i="5"/>
  <c r="AF247" i="5"/>
  <c r="AF104" i="5"/>
  <c r="AE124" i="5"/>
  <c r="AF177" i="5"/>
  <c r="AE140" i="5"/>
  <c r="AE63" i="5"/>
  <c r="AE9" i="5"/>
  <c r="AF54" i="5"/>
  <c r="AF76" i="5"/>
  <c r="AF301" i="5"/>
  <c r="AF179" i="5"/>
  <c r="AF144" i="5"/>
  <c r="AE16" i="5"/>
  <c r="AF188" i="5"/>
  <c r="AF193" i="5"/>
  <c r="AE130" i="5"/>
  <c r="AE322" i="5"/>
  <c r="AF230" i="5"/>
  <c r="AE18" i="5"/>
  <c r="AE95" i="5"/>
  <c r="AE120" i="5"/>
  <c r="AE87" i="5"/>
  <c r="AF124" i="5"/>
  <c r="AF311" i="5"/>
  <c r="AE315" i="5"/>
  <c r="AE280" i="5"/>
  <c r="AE206" i="5"/>
  <c r="AE236" i="5"/>
  <c r="AF343" i="5"/>
  <c r="AF68" i="5"/>
  <c r="AE253" i="5"/>
  <c r="AF294" i="5"/>
  <c r="AE324" i="5"/>
  <c r="AE125" i="5"/>
  <c r="AF307" i="5"/>
  <c r="AF97" i="5"/>
  <c r="AE284" i="5"/>
  <c r="AE43" i="5"/>
  <c r="AE326" i="5"/>
  <c r="AF327" i="5"/>
  <c r="AE325" i="5"/>
  <c r="AF255" i="5"/>
  <c r="AE23" i="5"/>
  <c r="AF283" i="5"/>
  <c r="AE227" i="5"/>
  <c r="AF340" i="5"/>
  <c r="AE165" i="5"/>
  <c r="AE350" i="5"/>
  <c r="AF355" i="5"/>
  <c r="AE113" i="5"/>
  <c r="AF9" i="5"/>
  <c r="AE188" i="5"/>
  <c r="AE48" i="5"/>
  <c r="AE92" i="5"/>
  <c r="AF352" i="5"/>
  <c r="AF133" i="5"/>
  <c r="AE49" i="5"/>
  <c r="AE33" i="5"/>
  <c r="AE13" i="5"/>
  <c r="AE200" i="5"/>
  <c r="AE275" i="5"/>
  <c r="AF131" i="5"/>
  <c r="AE45" i="5"/>
  <c r="AE307" i="5"/>
  <c r="AF282" i="5"/>
  <c r="AE348" i="5"/>
  <c r="AF300" i="5"/>
  <c r="AF150" i="5"/>
  <c r="AE339" i="5"/>
  <c r="AE328" i="5"/>
  <c r="AE189" i="5"/>
  <c r="AE150" i="5"/>
  <c r="AF186" i="5"/>
  <c r="AF326" i="5"/>
  <c r="AE114" i="5"/>
  <c r="AF29" i="5"/>
  <c r="AF360" i="5"/>
  <c r="AE52" i="5"/>
  <c r="AF253" i="5"/>
  <c r="AF202" i="5"/>
  <c r="AF215" i="5"/>
  <c r="AE257" i="5"/>
  <c r="AE98" i="5"/>
  <c r="AE265" i="5"/>
  <c r="AF159" i="5"/>
  <c r="AF207" i="5"/>
  <c r="AE332" i="5"/>
  <c r="AE158" i="5"/>
  <c r="AF358" i="5"/>
  <c r="AE122" i="5"/>
  <c r="AE24" i="5"/>
  <c r="AE346" i="5"/>
  <c r="AF70" i="5"/>
  <c r="AF155" i="5"/>
  <c r="AF121" i="5"/>
  <c r="AE104" i="5"/>
  <c r="AE211" i="5"/>
  <c r="AF223" i="5"/>
  <c r="AF289" i="5"/>
  <c r="AF269" i="5"/>
  <c r="AE231" i="5"/>
  <c r="AE117" i="5"/>
  <c r="AE218" i="5"/>
  <c r="AF261" i="5"/>
  <c r="AE191" i="5"/>
  <c r="AF213" i="5"/>
  <c r="AE100" i="5"/>
  <c r="AF212" i="5"/>
  <c r="AF116" i="5"/>
  <c r="AF95" i="5"/>
  <c r="AE112" i="5"/>
  <c r="AF42" i="5"/>
  <c r="AE30" i="5"/>
  <c r="AF302" i="5"/>
  <c r="AE252" i="5"/>
  <c r="AF44" i="5"/>
  <c r="AE259" i="5"/>
  <c r="AE320" i="5"/>
  <c r="AF198" i="5"/>
  <c r="AE282" i="5"/>
  <c r="AF183" i="5"/>
  <c r="AF299" i="5"/>
  <c r="AF204" i="5"/>
  <c r="AF103" i="5"/>
  <c r="AF18" i="5"/>
  <c r="AF184" i="5"/>
  <c r="AE281" i="5"/>
  <c r="AE71" i="5"/>
  <c r="AE26" i="5"/>
  <c r="AE184" i="5"/>
  <c r="AF47" i="5"/>
  <c r="AF209" i="5"/>
  <c r="AE47" i="5"/>
  <c r="AF148" i="5"/>
  <c r="AE341" i="5"/>
  <c r="AE94" i="5"/>
  <c r="AE317" i="5"/>
  <c r="AF174" i="5"/>
  <c r="AE51" i="5"/>
  <c r="AF227" i="5"/>
  <c r="AE210" i="5"/>
  <c r="AE170" i="5"/>
  <c r="AE221" i="5"/>
  <c r="AF101" i="5"/>
  <c r="AE301" i="5"/>
  <c r="AE296" i="5"/>
  <c r="AE329" i="5"/>
  <c r="AE362" i="5"/>
  <c r="AE286" i="5"/>
  <c r="AE77" i="5"/>
  <c r="AF40" i="5"/>
  <c r="AF313" i="5"/>
  <c r="AE308" i="5"/>
  <c r="AF31" i="5"/>
  <c r="AE67" i="5"/>
  <c r="AE99" i="5"/>
  <c r="AF53" i="5"/>
  <c r="AE298" i="5"/>
  <c r="AF49" i="5"/>
  <c r="AF84" i="5"/>
  <c r="AF7" i="5"/>
  <c r="AE139" i="5"/>
  <c r="AE345" i="5"/>
  <c r="AE50" i="5"/>
  <c r="AE136" i="5"/>
  <c r="AF275" i="5"/>
  <c r="AE111" i="5"/>
  <c r="AE283" i="5"/>
  <c r="AF55" i="5"/>
  <c r="AF127" i="5"/>
  <c r="AE215" i="5"/>
  <c r="AF15" i="5"/>
  <c r="AE72" i="5"/>
  <c r="AE327" i="5"/>
  <c r="AF347" i="5"/>
  <c r="AF87" i="5"/>
  <c r="AF118" i="5"/>
  <c r="AF232" i="5"/>
  <c r="AE64" i="5"/>
  <c r="AE198" i="5"/>
  <c r="AF309" i="5"/>
  <c r="AE22" i="5"/>
  <c r="AE147" i="5"/>
  <c r="AF278" i="5"/>
  <c r="AF107" i="5"/>
  <c r="AE232" i="5"/>
  <c r="AE199" i="5"/>
  <c r="AF251" i="5"/>
  <c r="AE76" i="5"/>
  <c r="AE351" i="5"/>
  <c r="AE306" i="5"/>
  <c r="AE238" i="5"/>
  <c r="AF356" i="5"/>
  <c r="AF72" i="5"/>
  <c r="AE59" i="5"/>
  <c r="AE68" i="5"/>
  <c r="AF322" i="5"/>
  <c r="AF220" i="5"/>
  <c r="AE244" i="5"/>
  <c r="AE347" i="5"/>
  <c r="AF192" i="5"/>
  <c r="AF314" i="5"/>
  <c r="AE180" i="5"/>
  <c r="AE75" i="5"/>
  <c r="AE279" i="5"/>
  <c r="AE302" i="5"/>
  <c r="AF143" i="5"/>
  <c r="AF164" i="5"/>
  <c r="AE81" i="5"/>
  <c r="AF211" i="5"/>
  <c r="AE204" i="5"/>
  <c r="AE53" i="5"/>
  <c r="AF167" i="5"/>
  <c r="AF102" i="5"/>
  <c r="AE177" i="5"/>
  <c r="AF199" i="5"/>
  <c r="AF51" i="5"/>
  <c r="AF244" i="5"/>
  <c r="AE343" i="5"/>
  <c r="AE261" i="5"/>
  <c r="AE167" i="5"/>
  <c r="AE84" i="5"/>
  <c r="AF86" i="5"/>
  <c r="AE142" i="5"/>
  <c r="AE335" i="5"/>
  <c r="AE285" i="5"/>
  <c r="AE141" i="5"/>
  <c r="AE256" i="5"/>
  <c r="AF108" i="5"/>
  <c r="AE173" i="5"/>
  <c r="AE138" i="5"/>
  <c r="AF265" i="5"/>
  <c r="AF342" i="5"/>
  <c r="AF359" i="5"/>
  <c r="AE331" i="5"/>
  <c r="AF88" i="5"/>
  <c r="AE251" i="5"/>
  <c r="AF303" i="5"/>
  <c r="AF195" i="5"/>
  <c r="AF161" i="5"/>
  <c r="AF17" i="5"/>
  <c r="AF98" i="5"/>
  <c r="AF276" i="5"/>
  <c r="AE318" i="5"/>
  <c r="AF78" i="5"/>
  <c r="AE105" i="5"/>
  <c r="AE164" i="5"/>
  <c r="AF363" i="5"/>
  <c r="AF61" i="5"/>
  <c r="AE239" i="5"/>
  <c r="AF266" i="5"/>
  <c r="AE208" i="5"/>
  <c r="AF214" i="5"/>
  <c r="AF235" i="5"/>
  <c r="AE143" i="5"/>
  <c r="AE91" i="5"/>
  <c r="AF158" i="5"/>
  <c r="AF66" i="5"/>
  <c r="AF200" i="5"/>
  <c r="AE250" i="5"/>
  <c r="AF346" i="5"/>
  <c r="AF240" i="5"/>
  <c r="AE60" i="5"/>
  <c r="AF292" i="5"/>
  <c r="AE37" i="5"/>
  <c r="AE153" i="5"/>
  <c r="AF82" i="5"/>
  <c r="AE309" i="5"/>
  <c r="AE333" i="5"/>
  <c r="AF362" i="5"/>
  <c r="AE144" i="5"/>
  <c r="AF157" i="5"/>
  <c r="AE255" i="5"/>
  <c r="AF268" i="5"/>
  <c r="AE299" i="5"/>
  <c r="AF316" i="5"/>
  <c r="AE233" i="5"/>
  <c r="AF81" i="5"/>
  <c r="AF229" i="5"/>
  <c r="AE291" i="5"/>
  <c r="AF191" i="5"/>
  <c r="AF11" i="5"/>
  <c r="AE190" i="5"/>
  <c r="AE89" i="5"/>
  <c r="AE194" i="5"/>
  <c r="AE209" i="5"/>
  <c r="AE344" i="5"/>
  <c r="AF344" i="5"/>
  <c r="AF33" i="5"/>
  <c r="AE225" i="5"/>
  <c r="AF38" i="5"/>
  <c r="AF23" i="5"/>
  <c r="AF162" i="5"/>
  <c r="AF57" i="5"/>
  <c r="AF210" i="5"/>
  <c r="AF320" i="5"/>
  <c r="AF114" i="5"/>
  <c r="AF92" i="5"/>
  <c r="AF91" i="5"/>
  <c r="AF291" i="5"/>
  <c r="AF176" i="5"/>
  <c r="AF258" i="5"/>
  <c r="AF336" i="5"/>
  <c r="AE312" i="5"/>
  <c r="AE268" i="5"/>
  <c r="AF263" i="5"/>
  <c r="AF45" i="5"/>
  <c r="AE34" i="5"/>
  <c r="AF323" i="5"/>
  <c r="AE145" i="5"/>
  <c r="AF154" i="5"/>
  <c r="AF99" i="5"/>
  <c r="AF279" i="5"/>
  <c r="AF246" i="5"/>
  <c r="AE108" i="5"/>
  <c r="AF312" i="5"/>
  <c r="AE305" i="5"/>
  <c r="AF277" i="5"/>
  <c r="AE115" i="5"/>
  <c r="AF357" i="5"/>
  <c r="AF234" i="5"/>
  <c r="AE183" i="5"/>
  <c r="AF166" i="5"/>
  <c r="AF160" i="5"/>
  <c r="AE269" i="5"/>
  <c r="AF249" i="5"/>
  <c r="AE149" i="5"/>
  <c r="AE294" i="5"/>
  <c r="AE39" i="5"/>
  <c r="AF245" i="5"/>
  <c r="AF318" i="5"/>
  <c r="AF236" i="5"/>
  <c r="AE128" i="5"/>
  <c r="AF335" i="5"/>
  <c r="AE20" i="5"/>
  <c r="AE213" i="5"/>
  <c r="AF117" i="5"/>
  <c r="AE201" i="5"/>
  <c r="AE214" i="5"/>
  <c r="AF110" i="5"/>
  <c r="AF305" i="5"/>
  <c r="AE56" i="5"/>
  <c r="AF348" i="5"/>
  <c r="AF145" i="5"/>
  <c r="AE82" i="5"/>
  <c r="AF224" i="5"/>
  <c r="AE96" i="5"/>
  <c r="AE271" i="5"/>
  <c r="AF257" i="5"/>
  <c r="AE354" i="5"/>
  <c r="AF321" i="5"/>
  <c r="AE78" i="5"/>
  <c r="AE193" i="5"/>
  <c r="AE340" i="5"/>
  <c r="AE270" i="5"/>
  <c r="AF206" i="5"/>
  <c r="AF63" i="5"/>
  <c r="AF173" i="5"/>
  <c r="AE360" i="5"/>
  <c r="AE66" i="5"/>
  <c r="AF201" i="5"/>
  <c r="AF22" i="5"/>
  <c r="AF115" i="5"/>
  <c r="AE185" i="5"/>
  <c r="AF64" i="5"/>
  <c r="AE321" i="5"/>
  <c r="AF52" i="5"/>
  <c r="AE38" i="5"/>
  <c r="AF138" i="5"/>
  <c r="AF37" i="5"/>
  <c r="AE161" i="5"/>
  <c r="AF341" i="5"/>
  <c r="AE334" i="5"/>
  <c r="AE264" i="5"/>
  <c r="AE245" i="5"/>
  <c r="AE17" i="5"/>
  <c r="AE6" i="5"/>
  <c r="AE35" i="5"/>
  <c r="AE12" i="5"/>
  <c r="AF254" i="5"/>
  <c r="AE42" i="5"/>
  <c r="AE168" i="5"/>
  <c r="AF345" i="5"/>
  <c r="AF295" i="5"/>
  <c r="AE171" i="5"/>
  <c r="AF351" i="5"/>
  <c r="AF274" i="5"/>
  <c r="AE127" i="5"/>
  <c r="AE80" i="5"/>
  <c r="AF50" i="5"/>
  <c r="AE32" i="5"/>
  <c r="AF20" i="5"/>
  <c r="AE359" i="5"/>
  <c r="AE278" i="5"/>
  <c r="AE181" i="5"/>
  <c r="AE316" i="5"/>
  <c r="AE230" i="5"/>
  <c r="AF286" i="5"/>
  <c r="AE28" i="5"/>
  <c r="AE247" i="5"/>
  <c r="AF8" i="5"/>
  <c r="AE11" i="5"/>
  <c r="AE131" i="5"/>
  <c r="AE102" i="5"/>
  <c r="AE263" i="5"/>
  <c r="AE226" i="5"/>
  <c r="AF267" i="5"/>
  <c r="AE61" i="5"/>
  <c r="AE240" i="5"/>
  <c r="AE272" i="5"/>
  <c r="AF225" i="5"/>
  <c r="AE70" i="5"/>
  <c r="AE186" i="5"/>
  <c r="AF105" i="5"/>
  <c r="AF135" i="5"/>
  <c r="AE222" i="5"/>
  <c r="AE163" i="5"/>
  <c r="AE323" i="5"/>
  <c r="AE202" i="5"/>
  <c r="AF304" i="5"/>
  <c r="AF16" i="5"/>
  <c r="AE162" i="5"/>
  <c r="AF182" i="5"/>
  <c r="AF175" i="5"/>
  <c r="AE69" i="5"/>
  <c r="AF260" i="5"/>
  <c r="AF310" i="5"/>
  <c r="AF27" i="5"/>
  <c r="AE216" i="5"/>
  <c r="AF329" i="5"/>
  <c r="AE205" i="5"/>
  <c r="AE303" i="5"/>
  <c r="AE57" i="5"/>
  <c r="AE85" i="5"/>
  <c r="AE337" i="5"/>
  <c r="AF228" i="5"/>
  <c r="AF12" i="5"/>
  <c r="AF288" i="5"/>
  <c r="AF361" i="5"/>
  <c r="AF142" i="5"/>
  <c r="AE246" i="5"/>
  <c r="AE36" i="5"/>
  <c r="AF196" i="5"/>
  <c r="AE290" i="5"/>
  <c r="AE295" i="5"/>
  <c r="AF89" i="5"/>
  <c r="AE292" i="5"/>
  <c r="AE157" i="5"/>
  <c r="AE357" i="5"/>
  <c r="AF262" i="5"/>
  <c r="AF181" i="5"/>
  <c r="AE46" i="5"/>
  <c r="AF134" i="5"/>
  <c r="AF60" i="5"/>
  <c r="AE107" i="5"/>
  <c r="AE103" i="5"/>
  <c r="AE336" i="5"/>
  <c r="AE5" i="5"/>
  <c r="AE4" i="5"/>
  <c r="AF298" i="5"/>
  <c r="AE74" i="5"/>
  <c r="AF4" i="5"/>
  <c r="AF140" i="5"/>
  <c r="AF69" i="5"/>
  <c r="AF94" i="5"/>
  <c r="AF226" i="5"/>
  <c r="AF248" i="5"/>
  <c r="AF306" i="5"/>
  <c r="AF79" i="5"/>
  <c r="AF216" i="5"/>
  <c r="AE234" i="5"/>
  <c r="AE179" i="5"/>
  <c r="AF113" i="5"/>
  <c r="AE248" i="5"/>
  <c r="AF350" i="5"/>
  <c r="AE54" i="5"/>
  <c r="AF333" i="5"/>
  <c r="AF172" i="5"/>
  <c r="AE267" i="5"/>
  <c r="AE27" i="5"/>
  <c r="AE187" i="5"/>
  <c r="AE338" i="5"/>
  <c r="AE330" i="5"/>
  <c r="AE172" i="5"/>
  <c r="AF203" i="5"/>
  <c r="AF280" i="5"/>
  <c r="AE293" i="5"/>
  <c r="AF190" i="5"/>
  <c r="AF119" i="5"/>
  <c r="AE152" i="5"/>
  <c r="AF293" i="5"/>
  <c r="AE319" i="5"/>
  <c r="AF96" i="5"/>
  <c r="AF317" i="5"/>
  <c r="AE266" i="5"/>
  <c r="AE273" i="5"/>
  <c r="AF21" i="5"/>
  <c r="AF146" i="5"/>
  <c r="AF297" i="5"/>
  <c r="AF168" i="5"/>
  <c r="AE262" i="5"/>
  <c r="AE126" i="5"/>
  <c r="AE14" i="5"/>
  <c r="AF77" i="5"/>
  <c r="AE41" i="5"/>
  <c r="AE192" i="5"/>
  <c r="AE254" i="5"/>
  <c r="AE361" i="5"/>
  <c r="AF93" i="5"/>
  <c r="AF205" i="5"/>
  <c r="AF189" i="5"/>
  <c r="AF128" i="5"/>
  <c r="AF238" i="5"/>
  <c r="AE229" i="5"/>
  <c r="AF169" i="5"/>
  <c r="AE217" i="5"/>
  <c r="AE289" i="5"/>
  <c r="AF73" i="5"/>
  <c r="AF296" i="5"/>
  <c r="AE29" i="5"/>
  <c r="AE58" i="5"/>
  <c r="AE353" i="5"/>
  <c r="AE242" i="5"/>
  <c r="AF331" i="5"/>
  <c r="AE166" i="5"/>
  <c r="AF100" i="5"/>
  <c r="AF156" i="5"/>
  <c r="AE155" i="5"/>
  <c r="AE133" i="5"/>
  <c r="AE79" i="5"/>
  <c r="AE237" i="5"/>
  <c r="AE260" i="5"/>
  <c r="AF165" i="5"/>
  <c r="AE88" i="5"/>
  <c r="AE342" i="5"/>
  <c r="AE121" i="5"/>
  <c r="AF6" i="5"/>
  <c r="AF271" i="5"/>
  <c r="AF129" i="5"/>
  <c r="AE311" i="5"/>
  <c r="AF5" i="5"/>
  <c r="AF287" i="5"/>
  <c r="AF197" i="5"/>
  <c r="AE197" i="5"/>
  <c r="AF28" i="5"/>
  <c r="AF112" i="5"/>
  <c r="AF14" i="5"/>
  <c r="AE219" i="5"/>
  <c r="AF122" i="5"/>
  <c r="AE355" i="5"/>
  <c r="AE86" i="5"/>
  <c r="AF136" i="5"/>
  <c r="AE220" i="5"/>
  <c r="AE132" i="5"/>
  <c r="AF74" i="5"/>
  <c r="AE154" i="5"/>
  <c r="AF59" i="5"/>
  <c r="AF241" i="5"/>
  <c r="AF80" i="5"/>
  <c r="AF141" i="5"/>
  <c r="AF208" i="5"/>
  <c r="AE134" i="5"/>
  <c r="AF126" i="5"/>
  <c r="AF83" i="5"/>
  <c r="AE300" i="5"/>
  <c r="AF67" i="5"/>
  <c r="AF171" i="5"/>
  <c r="AE352" i="5"/>
  <c r="L53" i="6" l="1"/>
  <c r="E17" i="2" l="1"/>
  <c r="D17" i="2"/>
  <c r="I64" i="1"/>
  <c r="I24" i="1"/>
  <c r="J64" i="1" l="1"/>
  <c r="J24" i="1"/>
  <c r="D18" i="2" l="1"/>
  <c r="D37" i="2"/>
  <c r="I59" i="1"/>
  <c r="J59" i="1" s="1"/>
  <c r="H8" i="6" l="1"/>
  <c r="I47" i="6" s="1"/>
  <c r="J47" i="6" s="1"/>
  <c r="H10" i="6"/>
  <c r="H34" i="6" s="1"/>
  <c r="L34" i="6" s="1"/>
  <c r="Z2" i="4"/>
  <c r="I8" i="6"/>
  <c r="H17" i="6"/>
  <c r="I53" i="6"/>
  <c r="J53" i="6" s="1"/>
  <c r="H64" i="6" l="1"/>
  <c r="L64" i="6" s="1"/>
  <c r="I10" i="6"/>
  <c r="J10" i="6" s="1"/>
  <c r="I34" i="6"/>
  <c r="J34" i="6" s="1"/>
  <c r="H59" i="6"/>
  <c r="L59" i="6" s="1"/>
  <c r="L17" i="6"/>
  <c r="J8" i="6"/>
  <c r="J17" i="6" s="1"/>
  <c r="I17" i="6"/>
  <c r="D16" i="2" l="1"/>
  <c r="H12" i="6" l="1"/>
  <c r="I12" i="6" s="1"/>
  <c r="J12" i="6" s="1"/>
  <c r="H63" i="6"/>
  <c r="L63" i="6" s="1"/>
  <c r="H39" i="6"/>
  <c r="L39" i="6" l="1"/>
  <c r="I39" i="6"/>
  <c r="J39" i="6" s="1"/>
  <c r="I50" i="1" l="1"/>
  <c r="J50" i="1" s="1"/>
  <c r="I22" i="1"/>
  <c r="J22" i="1" s="1"/>
  <c r="D11" i="2" l="1"/>
  <c r="D32" i="2"/>
  <c r="D40" i="2"/>
  <c r="H40" i="6" l="1"/>
  <c r="L40" i="6" s="1"/>
  <c r="I40" i="6"/>
  <c r="J40" i="6" s="1"/>
  <c r="E11" i="2"/>
  <c r="D60" i="2" l="1"/>
  <c r="H13" i="6" s="1"/>
  <c r="H65" i="6" l="1"/>
  <c r="L65" i="6" s="1"/>
  <c r="I13" i="6"/>
  <c r="J13" i="6" s="1"/>
  <c r="E16" i="2" l="1"/>
  <c r="E37" i="2" l="1"/>
  <c r="E47" i="2" l="1"/>
  <c r="E54" i="2"/>
  <c r="E52" i="2"/>
  <c r="D56" i="2"/>
  <c r="D57" i="2" l="1"/>
  <c r="D53" i="2"/>
  <c r="E53" i="2" s="1"/>
  <c r="D55" i="2"/>
  <c r="E55" i="2" s="1"/>
  <c r="D49" i="2"/>
  <c r="E48" i="2"/>
  <c r="E50" i="2"/>
  <c r="D51" i="2"/>
  <c r="H23" i="6"/>
  <c r="E49" i="2" l="1"/>
  <c r="H50" i="6"/>
  <c r="L23" i="6"/>
  <c r="I23" i="6"/>
  <c r="J23" i="6" s="1"/>
  <c r="H30" i="6"/>
  <c r="H31" i="6"/>
  <c r="E51" i="2"/>
  <c r="D41" i="2"/>
  <c r="E56" i="2"/>
  <c r="H28" i="6"/>
  <c r="H27" i="6"/>
  <c r="D59" i="2"/>
  <c r="E59" i="2" s="1"/>
  <c r="H48" i="6" l="1"/>
  <c r="I31" i="6"/>
  <c r="J31" i="6" s="1"/>
  <c r="L31" i="6"/>
  <c r="E57" i="2"/>
  <c r="D58" i="2"/>
  <c r="E58" i="2" s="1"/>
  <c r="H26" i="6"/>
  <c r="H25" i="6"/>
  <c r="L50" i="6"/>
  <c r="I50" i="6"/>
  <c r="J50" i="6" s="1"/>
  <c r="L27" i="6"/>
  <c r="I27" i="6"/>
  <c r="J27" i="6" s="1"/>
  <c r="L30" i="6"/>
  <c r="I30" i="6"/>
  <c r="J30" i="6" s="1"/>
  <c r="H37" i="6"/>
  <c r="E41" i="2"/>
  <c r="I28" i="6"/>
  <c r="J28" i="6" s="1"/>
  <c r="L28" i="6"/>
  <c r="I37" i="6" l="1"/>
  <c r="J37" i="6" s="1"/>
  <c r="L37" i="6"/>
  <c r="H49" i="6"/>
  <c r="I25" i="6"/>
  <c r="J25" i="6" s="1"/>
  <c r="L25" i="6"/>
  <c r="I26" i="6"/>
  <c r="J26" i="6" s="1"/>
  <c r="L26" i="6"/>
  <c r="I48" i="6"/>
  <c r="J48" i="6" s="1"/>
  <c r="L48" i="6"/>
  <c r="H45" i="6"/>
  <c r="H52" i="6"/>
  <c r="I52" i="6" l="1"/>
  <c r="J52" i="6" s="1"/>
  <c r="L52" i="6"/>
  <c r="I45" i="6"/>
  <c r="J45" i="6" s="1"/>
  <c r="L45" i="6"/>
  <c r="H51" i="6"/>
  <c r="I49" i="6"/>
  <c r="J49" i="6" s="1"/>
  <c r="L49" i="6"/>
  <c r="I51" i="6" l="1"/>
  <c r="J51" i="6" s="1"/>
  <c r="L51" i="6"/>
  <c r="E18" i="2" l="1"/>
  <c r="D68" i="4" l="1"/>
  <c r="E93" i="4"/>
  <c r="E7" i="4"/>
  <c r="F26" i="4"/>
  <c r="D88" i="4"/>
  <c r="E63" i="4"/>
  <c r="F27" i="4"/>
  <c r="E32" i="4"/>
  <c r="E48" i="4"/>
  <c r="D79" i="4"/>
  <c r="F16" i="4"/>
  <c r="F55" i="4"/>
  <c r="D63" i="4"/>
  <c r="D100" i="4"/>
  <c r="D82" i="4"/>
  <c r="D57" i="4"/>
  <c r="D55" i="4"/>
  <c r="E71" i="4"/>
  <c r="E43" i="4"/>
  <c r="F80" i="4"/>
  <c r="E38" i="4"/>
  <c r="D44" i="4"/>
  <c r="D93" i="4"/>
  <c r="D81" i="4"/>
  <c r="F76" i="4"/>
  <c r="E100" i="4"/>
  <c r="F25" i="4"/>
  <c r="D20" i="4"/>
  <c r="E25" i="4"/>
  <c r="F82" i="4"/>
  <c r="E8" i="4"/>
  <c r="D99" i="4"/>
  <c r="F48" i="4"/>
  <c r="E27" i="4"/>
  <c r="D91" i="4"/>
  <c r="D15" i="4"/>
  <c r="E44" i="4"/>
  <c r="E24" i="4"/>
  <c r="F95" i="4"/>
  <c r="F29" i="4"/>
  <c r="D69" i="4"/>
  <c r="F50" i="4"/>
  <c r="E19" i="4"/>
  <c r="F19" i="4"/>
  <c r="D70" i="4"/>
  <c r="D31" i="4"/>
  <c r="D80" i="4"/>
  <c r="F58" i="4"/>
  <c r="D64" i="4"/>
  <c r="E14" i="4"/>
  <c r="E90" i="4"/>
  <c r="F8" i="4"/>
  <c r="E78" i="4"/>
  <c r="F89" i="4"/>
  <c r="E53" i="4"/>
  <c r="F67" i="4"/>
  <c r="E56" i="4"/>
  <c r="F47" i="4"/>
  <c r="F44" i="4"/>
  <c r="F75" i="4"/>
  <c r="F104" i="4"/>
  <c r="E101" i="4"/>
  <c r="F28" i="4"/>
  <c r="D92" i="4"/>
  <c r="D76" i="4"/>
  <c r="E70" i="4"/>
  <c r="E87" i="4"/>
  <c r="E82" i="4"/>
  <c r="E97" i="4"/>
  <c r="E45" i="4"/>
  <c r="F11" i="4"/>
  <c r="E88" i="4"/>
  <c r="D8" i="4"/>
  <c r="E17" i="4"/>
  <c r="D35" i="4"/>
  <c r="D37" i="4"/>
  <c r="F62" i="4"/>
  <c r="D52" i="4"/>
  <c r="E52" i="4"/>
  <c r="E41" i="4"/>
  <c r="E29" i="4"/>
  <c r="F71" i="4"/>
  <c r="D74" i="4"/>
  <c r="D102" i="4"/>
  <c r="E21" i="4"/>
  <c r="F17" i="4"/>
  <c r="E30" i="4"/>
  <c r="E62" i="4"/>
  <c r="D39" i="4"/>
  <c r="F52" i="4"/>
  <c r="F35" i="4"/>
  <c r="E73" i="4"/>
  <c r="D6" i="4"/>
  <c r="F103" i="4"/>
  <c r="D97" i="4"/>
  <c r="F46" i="4"/>
  <c r="E64" i="4"/>
  <c r="E51" i="4"/>
  <c r="D10" i="4"/>
  <c r="F7" i="4"/>
  <c r="F20" i="4"/>
  <c r="E85" i="4"/>
  <c r="E57" i="4"/>
  <c r="F41" i="4"/>
  <c r="D73" i="4"/>
  <c r="F57" i="4"/>
  <c r="E96" i="4"/>
  <c r="D27" i="4"/>
  <c r="D9" i="4"/>
  <c r="F94" i="4"/>
  <c r="E16" i="4"/>
  <c r="F37" i="4"/>
  <c r="F54" i="4"/>
  <c r="F91" i="4"/>
  <c r="F93" i="4"/>
  <c r="E11" i="4"/>
  <c r="F14" i="4"/>
  <c r="D22" i="4"/>
  <c r="D42" i="4"/>
  <c r="D12" i="4"/>
  <c r="D90" i="4"/>
  <c r="D17" i="4"/>
  <c r="E67" i="4"/>
  <c r="F32" i="4"/>
  <c r="D16" i="4"/>
  <c r="F63" i="4"/>
  <c r="E75" i="4"/>
  <c r="F13" i="4"/>
  <c r="D71" i="4"/>
  <c r="F60" i="4"/>
  <c r="F45" i="4"/>
  <c r="D7" i="4"/>
  <c r="F84" i="4"/>
  <c r="F100" i="4"/>
  <c r="D95" i="4"/>
  <c r="F97" i="4"/>
  <c r="E84" i="4"/>
  <c r="F88" i="4"/>
  <c r="D25" i="4"/>
  <c r="D11" i="4"/>
  <c r="E6" i="4"/>
  <c r="D13" i="4"/>
  <c r="D18" i="4"/>
  <c r="D41" i="4"/>
  <c r="E18" i="4"/>
  <c r="E36" i="4"/>
  <c r="F86" i="4"/>
  <c r="E35" i="4"/>
  <c r="E42" i="4"/>
  <c r="E95" i="4"/>
  <c r="F65" i="4"/>
  <c r="E77" i="4"/>
  <c r="D78" i="4"/>
  <c r="D59" i="4"/>
  <c r="D32" i="4"/>
  <c r="D66" i="4"/>
  <c r="F24" i="4"/>
  <c r="F49" i="4"/>
  <c r="F99" i="4"/>
  <c r="F34" i="4"/>
  <c r="E94" i="4"/>
  <c r="E12" i="4"/>
  <c r="F42" i="4"/>
  <c r="F98" i="4"/>
  <c r="D33" i="4"/>
  <c r="E89" i="4"/>
  <c r="F85" i="4"/>
  <c r="D98" i="4"/>
  <c r="E26" i="4"/>
  <c r="F92" i="4"/>
  <c r="D101" i="4"/>
  <c r="D24" i="4"/>
  <c r="D96" i="4"/>
  <c r="E92" i="4"/>
  <c r="D21" i="4"/>
  <c r="E22" i="4"/>
  <c r="F83" i="4"/>
  <c r="F43" i="4"/>
  <c r="F39" i="4"/>
  <c r="E72" i="4"/>
  <c r="D50" i="4"/>
  <c r="F69" i="4"/>
  <c r="D83" i="4"/>
  <c r="F64" i="4"/>
  <c r="D61" i="4"/>
  <c r="E31" i="4"/>
  <c r="D72" i="4"/>
  <c r="E79" i="4"/>
  <c r="F12" i="4"/>
  <c r="F51" i="4"/>
  <c r="E66" i="4"/>
  <c r="E28" i="4"/>
  <c r="E104" i="4"/>
  <c r="D89" i="4"/>
  <c r="E80" i="4"/>
  <c r="F56" i="4"/>
  <c r="F36" i="4"/>
  <c r="D48" i="4"/>
  <c r="E65" i="4"/>
  <c r="E49" i="4"/>
  <c r="D45" i="4"/>
  <c r="E37" i="4"/>
  <c r="D103" i="4"/>
  <c r="E23" i="4"/>
  <c r="F31" i="4"/>
  <c r="E98" i="4"/>
  <c r="D75" i="4"/>
  <c r="E81" i="4"/>
  <c r="F68" i="4"/>
  <c r="D47" i="4"/>
  <c r="E58" i="4"/>
  <c r="F102" i="4"/>
  <c r="F79" i="4"/>
  <c r="D53" i="4"/>
  <c r="F70" i="4"/>
  <c r="E69" i="4"/>
  <c r="E34" i="4"/>
  <c r="F23" i="4"/>
  <c r="E10" i="4"/>
  <c r="D62" i="4"/>
  <c r="D86" i="4"/>
  <c r="F74" i="4"/>
  <c r="F9" i="4"/>
  <c r="E68" i="4"/>
  <c r="E54" i="4"/>
  <c r="D84" i="4"/>
  <c r="E20" i="4"/>
  <c r="E15" i="4"/>
  <c r="D29" i="4"/>
  <c r="D38" i="4"/>
  <c r="E76" i="4"/>
  <c r="F101" i="4"/>
  <c r="E86" i="4"/>
  <c r="D30" i="4"/>
  <c r="D58" i="4"/>
  <c r="D77" i="4"/>
  <c r="D104" i="4"/>
  <c r="F66" i="4"/>
  <c r="D28" i="4"/>
  <c r="D46" i="4"/>
  <c r="D56" i="4"/>
  <c r="E55" i="4"/>
  <c r="F22" i="4"/>
  <c r="E60" i="4"/>
  <c r="E83" i="4"/>
  <c r="D26" i="4"/>
  <c r="F77" i="4"/>
  <c r="F21" i="4"/>
  <c r="D87" i="4"/>
  <c r="D94" i="4"/>
  <c r="D85" i="4"/>
  <c r="F81" i="4"/>
  <c r="F33" i="4"/>
  <c r="D19" i="4"/>
  <c r="D23" i="4"/>
  <c r="E99" i="4"/>
  <c r="D14" i="4"/>
  <c r="E61" i="4"/>
  <c r="F96" i="4"/>
  <c r="F10" i="4"/>
  <c r="E13" i="4"/>
  <c r="F90" i="4"/>
  <c r="F59" i="4"/>
  <c r="D43" i="4"/>
  <c r="E9" i="4"/>
  <c r="D34" i="4"/>
  <c r="E40" i="4"/>
  <c r="F87" i="4"/>
  <c r="D40" i="4"/>
  <c r="F18" i="4"/>
  <c r="F15" i="4"/>
  <c r="E33" i="4"/>
  <c r="F40" i="4"/>
  <c r="E59" i="4"/>
  <c r="F30" i="4"/>
  <c r="E102" i="4"/>
  <c r="D36" i="4"/>
  <c r="D51" i="4"/>
  <c r="F38" i="4"/>
  <c r="E39" i="4"/>
  <c r="F53" i="4"/>
  <c r="D60" i="4"/>
  <c r="F73" i="4"/>
  <c r="F78" i="4"/>
  <c r="F61" i="4"/>
  <c r="D65" i="4"/>
  <c r="D54" i="4"/>
  <c r="F72" i="4"/>
  <c r="D49" i="4"/>
  <c r="E50" i="4"/>
  <c r="E74" i="4"/>
  <c r="D67" i="4"/>
  <c r="E103" i="4"/>
  <c r="F6" i="4"/>
  <c r="E91" i="4"/>
  <c r="E47" i="4"/>
  <c r="E46" i="4"/>
  <c r="E40" i="2" l="1"/>
  <c r="D5" i="4"/>
  <c r="F5" i="4"/>
  <c r="E5" i="4"/>
  <c r="E32" i="2" l="1"/>
  <c r="H44" i="6" s="1"/>
  <c r="H6" i="4"/>
  <c r="H5" i="4"/>
  <c r="G5" i="4"/>
  <c r="E27" i="2" l="1"/>
  <c r="D27" i="2"/>
  <c r="E19" i="2"/>
  <c r="E20" i="2" s="1"/>
  <c r="E21" i="2" s="1"/>
  <c r="D19" i="2"/>
  <c r="D20" i="2" s="1"/>
  <c r="D21" i="2" s="1"/>
  <c r="D6" i="2"/>
  <c r="I44" i="6"/>
  <c r="J44" i="6" s="1"/>
  <c r="L44" i="6"/>
  <c r="I54" i="1"/>
  <c r="J54" i="1" s="1"/>
  <c r="I49" i="1"/>
  <c r="J49" i="1" s="1"/>
  <c r="I51" i="1"/>
  <c r="J51" i="1" s="1"/>
  <c r="I11" i="1"/>
  <c r="J11" i="1" s="1"/>
  <c r="I48" i="1"/>
  <c r="J48" i="1" s="1"/>
  <c r="I19" i="1"/>
  <c r="J19" i="1" s="1"/>
  <c r="I47" i="1"/>
  <c r="J47" i="1" s="1"/>
  <c r="I46" i="1"/>
  <c r="J46" i="1" s="1"/>
  <c r="I20" i="1"/>
  <c r="J20" i="1" s="1"/>
  <c r="I53" i="1"/>
  <c r="J53" i="1" s="1"/>
  <c r="I52" i="1"/>
  <c r="J52" i="1" s="1"/>
  <c r="I45" i="1"/>
  <c r="J45" i="1" s="1"/>
  <c r="I8" i="1"/>
  <c r="J8" i="1" s="1"/>
  <c r="G7" i="4"/>
  <c r="G6" i="4"/>
  <c r="H7" i="4"/>
  <c r="D23" i="2" l="1"/>
  <c r="E23" i="2"/>
  <c r="D7" i="2"/>
  <c r="E6" i="2"/>
  <c r="D28" i="2"/>
  <c r="D29" i="2" s="1"/>
  <c r="H16" i="6"/>
  <c r="E28" i="2"/>
  <c r="E29" i="2" s="1"/>
  <c r="H42" i="6"/>
  <c r="G8" i="4"/>
  <c r="H8" i="4"/>
  <c r="E26" i="2" l="1"/>
  <c r="E24" i="2"/>
  <c r="E25" i="2" s="1"/>
  <c r="E36" i="2"/>
  <c r="H21" i="6"/>
  <c r="D26" i="2"/>
  <c r="D36" i="2"/>
  <c r="H29" i="6" s="1"/>
  <c r="D24" i="2"/>
  <c r="D25" i="2" s="1"/>
  <c r="I42" i="6"/>
  <c r="J42" i="6" s="1"/>
  <c r="L42" i="6"/>
  <c r="E30" i="2"/>
  <c r="E31" i="2"/>
  <c r="D8" i="2"/>
  <c r="E7" i="2"/>
  <c r="I16" i="6"/>
  <c r="J16" i="6" s="1"/>
  <c r="L16" i="6"/>
  <c r="H57" i="6"/>
  <c r="L57" i="6" s="1"/>
  <c r="D30" i="2"/>
  <c r="D31" i="2"/>
  <c r="I16" i="1"/>
  <c r="G9" i="4"/>
  <c r="H9" i="4"/>
  <c r="I29" i="6" l="1"/>
  <c r="J29" i="6" s="1"/>
  <c r="L29" i="6"/>
  <c r="H18" i="6"/>
  <c r="H22" i="6"/>
  <c r="D9" i="2"/>
  <c r="E8" i="2"/>
  <c r="H60" i="6"/>
  <c r="L60" i="6" s="1"/>
  <c r="L21" i="6"/>
  <c r="I21" i="6"/>
  <c r="J21" i="6" s="1"/>
  <c r="I18" i="1"/>
  <c r="J18" i="1" s="1"/>
  <c r="I17" i="1"/>
  <c r="J17" i="1" s="1"/>
  <c r="J16" i="1"/>
  <c r="H10" i="4"/>
  <c r="G10" i="4"/>
  <c r="L22" i="6" l="1"/>
  <c r="I22" i="6"/>
  <c r="J22" i="6" s="1"/>
  <c r="H61" i="6"/>
  <c r="L61" i="6" s="1"/>
  <c r="L18" i="6"/>
  <c r="H58" i="6"/>
  <c r="L58" i="6" s="1"/>
  <c r="I18" i="6"/>
  <c r="J18" i="6" s="1"/>
  <c r="D10" i="2"/>
  <c r="E10" i="2" s="1"/>
  <c r="E9" i="2"/>
  <c r="G11" i="4"/>
  <c r="H11" i="4"/>
  <c r="G12" i="4" l="1"/>
  <c r="H12" i="4"/>
  <c r="H13" i="4" l="1"/>
  <c r="G13" i="4"/>
  <c r="G14" i="4" l="1"/>
  <c r="H14" i="4"/>
  <c r="H15" i="4" l="1"/>
  <c r="G15" i="4"/>
  <c r="H16" i="4" l="1"/>
  <c r="G16" i="4"/>
  <c r="H17" i="4" l="1"/>
  <c r="G17" i="4"/>
  <c r="G18" i="4" l="1"/>
  <c r="H18" i="4"/>
  <c r="G19" i="4" l="1"/>
  <c r="H19" i="4"/>
  <c r="G20" i="4" l="1"/>
  <c r="H20" i="4"/>
  <c r="H21" i="4" l="1"/>
  <c r="G21" i="4"/>
  <c r="H22" i="4" l="1"/>
  <c r="G22" i="4"/>
  <c r="G23" i="4" l="1"/>
  <c r="H23" i="4"/>
  <c r="H24" i="4" l="1"/>
  <c r="G24" i="4"/>
  <c r="G25" i="4" l="1"/>
  <c r="H25" i="4"/>
  <c r="G26" i="4" l="1"/>
  <c r="H26" i="4"/>
  <c r="G27" i="4" l="1"/>
  <c r="H27" i="4"/>
  <c r="H28" i="4" l="1"/>
  <c r="G28" i="4"/>
  <c r="G29" i="4" l="1"/>
  <c r="H29" i="4"/>
  <c r="G30" i="4" l="1"/>
  <c r="H30" i="4"/>
  <c r="H31" i="4" l="1"/>
  <c r="G31" i="4"/>
  <c r="G32" i="4" l="1"/>
  <c r="H32" i="4"/>
  <c r="G33" i="4" l="1"/>
  <c r="H33" i="4"/>
  <c r="H34" i="4" l="1"/>
  <c r="G34" i="4"/>
  <c r="G35" i="4" l="1"/>
  <c r="H35" i="4"/>
  <c r="G36" i="4" l="1"/>
  <c r="H36" i="4"/>
  <c r="H37" i="4" l="1"/>
  <c r="G37" i="4"/>
  <c r="G38" i="4" l="1"/>
  <c r="H38" i="4"/>
  <c r="H39" i="4" l="1"/>
  <c r="G39" i="4"/>
  <c r="H40" i="4" l="1"/>
  <c r="G40" i="4"/>
  <c r="H41" i="4" l="1"/>
  <c r="G41" i="4"/>
  <c r="G42" i="4" l="1"/>
  <c r="H42" i="4"/>
  <c r="H43" i="4" l="1"/>
  <c r="G43" i="4"/>
  <c r="H44" i="4" l="1"/>
  <c r="G44" i="4"/>
  <c r="G45" i="4" l="1"/>
  <c r="H45" i="4"/>
  <c r="H46" i="4" l="1"/>
  <c r="G46" i="4"/>
  <c r="G47" i="4" l="1"/>
  <c r="H47" i="4"/>
  <c r="H48" i="4" l="1"/>
  <c r="G48" i="4"/>
  <c r="H49" i="4" l="1"/>
  <c r="G49" i="4"/>
  <c r="G50" i="4" l="1"/>
  <c r="H50" i="4"/>
  <c r="G51" i="4" l="1"/>
  <c r="H51" i="4"/>
  <c r="H52" i="4" l="1"/>
  <c r="G52" i="4"/>
  <c r="H53" i="4" l="1"/>
  <c r="G53" i="4"/>
  <c r="H54" i="4" l="1"/>
  <c r="G54" i="4"/>
  <c r="G55" i="4" l="1"/>
  <c r="H55" i="4"/>
  <c r="H56" i="4" l="1"/>
  <c r="G56" i="4"/>
  <c r="G57" i="4" l="1"/>
  <c r="H57" i="4"/>
  <c r="H58" i="4" l="1"/>
  <c r="G58" i="4"/>
  <c r="G59" i="4" l="1"/>
  <c r="H59" i="4"/>
  <c r="H60" i="4" l="1"/>
  <c r="G60" i="4"/>
  <c r="H61" i="4" l="1"/>
  <c r="G61" i="4"/>
  <c r="G62" i="4" l="1"/>
  <c r="H62" i="4"/>
  <c r="H63" i="4" l="1"/>
  <c r="G63" i="4"/>
  <c r="H64" i="4" l="1"/>
  <c r="G64" i="4"/>
  <c r="H65" i="4" l="1"/>
  <c r="G65" i="4"/>
  <c r="G66" i="4" l="1"/>
  <c r="H66" i="4"/>
  <c r="G67" i="4" l="1"/>
  <c r="H67" i="4"/>
  <c r="H68" i="4" l="1"/>
  <c r="G68" i="4"/>
  <c r="G69" i="4" l="1"/>
  <c r="H69" i="4"/>
  <c r="I15" i="1" l="1"/>
  <c r="J15" i="1" s="1"/>
  <c r="H70" i="4"/>
  <c r="G70" i="4"/>
  <c r="G71" i="4" l="1"/>
  <c r="H71" i="4"/>
  <c r="H72" i="4" l="1"/>
  <c r="G72" i="4"/>
  <c r="G73" i="4" l="1"/>
  <c r="H73" i="4"/>
  <c r="G74" i="4" l="1"/>
  <c r="H74" i="4"/>
  <c r="H75" i="4" l="1"/>
  <c r="G75" i="4"/>
  <c r="H76" i="4" l="1"/>
  <c r="G76" i="4"/>
  <c r="H77" i="4" l="1"/>
  <c r="G77" i="4"/>
  <c r="H78" i="4" l="1"/>
  <c r="G78" i="4"/>
  <c r="G79" i="4" l="1"/>
  <c r="H79" i="4"/>
  <c r="G80" i="4" l="1"/>
  <c r="H80" i="4"/>
  <c r="G81" i="4" l="1"/>
  <c r="H81" i="4"/>
  <c r="G82" i="4" l="1"/>
  <c r="H82" i="4"/>
  <c r="G83" i="4" l="1"/>
  <c r="H83" i="4"/>
  <c r="H84" i="4" l="1"/>
  <c r="G84" i="4"/>
  <c r="G85" i="4" l="1"/>
  <c r="H85" i="4"/>
  <c r="G86" i="4" l="1"/>
  <c r="H86" i="4"/>
  <c r="E22" i="2" l="1"/>
  <c r="D22" i="2"/>
  <c r="D45" i="2" s="1"/>
  <c r="G87" i="4"/>
  <c r="H87" i="4"/>
  <c r="D34" i="2" l="1"/>
  <c r="E34" i="2" s="1"/>
  <c r="E45" i="2"/>
  <c r="D35" i="2"/>
  <c r="H88" i="4"/>
  <c r="G88" i="4"/>
  <c r="H24" i="6" l="1"/>
  <c r="E35" i="2"/>
  <c r="G89" i="4"/>
  <c r="H89" i="4"/>
  <c r="I24" i="6" l="1"/>
  <c r="J24" i="6" s="1"/>
  <c r="L24" i="6"/>
  <c r="H90" i="4"/>
  <c r="G90" i="4"/>
  <c r="G91" i="4" l="1"/>
  <c r="H91" i="4"/>
  <c r="H92" i="4" l="1"/>
  <c r="G92" i="4"/>
  <c r="H93" i="4" l="1"/>
  <c r="G93" i="4"/>
  <c r="H94" i="4" l="1"/>
  <c r="G94" i="4"/>
  <c r="G95" i="4" l="1"/>
  <c r="H95" i="4"/>
  <c r="G96" i="4" l="1"/>
  <c r="H96" i="4"/>
  <c r="H97" i="4" l="1"/>
  <c r="G97" i="4"/>
  <c r="G98" i="4" l="1"/>
  <c r="H98" i="4"/>
  <c r="G99" i="4" l="1"/>
  <c r="H99" i="4"/>
  <c r="G100" i="4" l="1"/>
  <c r="H100" i="4"/>
  <c r="G101" i="4" l="1"/>
  <c r="H101" i="4"/>
  <c r="G102" i="4" l="1"/>
  <c r="H102" i="4"/>
  <c r="G103" i="4" l="1"/>
  <c r="H103" i="4"/>
  <c r="G104" i="4" l="1"/>
  <c r="H104" i="4"/>
  <c r="E33" i="2" l="1"/>
  <c r="H43" i="6" s="1"/>
  <c r="L43" i="6" l="1"/>
  <c r="I43" i="6"/>
  <c r="J43" i="6" s="1"/>
  <c r="R5" i="4" l="1"/>
  <c r="M5" i="4"/>
  <c r="L6" i="4" l="1"/>
  <c r="Q6" i="4"/>
  <c r="P5" i="4"/>
  <c r="K5" i="4"/>
  <c r="K2" i="4" s="1"/>
  <c r="D46" i="2" s="1"/>
  <c r="E46" i="2" s="1"/>
  <c r="E43" i="2" l="1"/>
  <c r="P2" i="4"/>
  <c r="D43" i="2" s="1"/>
  <c r="K6" i="4"/>
  <c r="P6" i="4"/>
  <c r="J8" i="4"/>
  <c r="O8" i="4"/>
  <c r="L5" i="4"/>
  <c r="Q5" i="4"/>
  <c r="K7" i="4"/>
  <c r="P7" i="4"/>
  <c r="O5" i="4"/>
  <c r="J5" i="4"/>
  <c r="M7" i="4"/>
  <c r="R7" i="4"/>
  <c r="R6" i="4"/>
  <c r="M6" i="4"/>
  <c r="I5" i="4" l="1"/>
  <c r="N5" i="4"/>
  <c r="R8" i="4"/>
  <c r="M8" i="4"/>
  <c r="P8" i="4"/>
  <c r="K8" i="4"/>
  <c r="O7" i="4"/>
  <c r="J7" i="4"/>
  <c r="Q7" i="4"/>
  <c r="L7" i="4"/>
  <c r="H35" i="6"/>
  <c r="D61" i="2"/>
  <c r="J6" i="4"/>
  <c r="O6" i="4"/>
  <c r="D44" i="2" l="1"/>
  <c r="L8" i="4"/>
  <c r="Q8" i="4"/>
  <c r="H38" i="6"/>
  <c r="E61" i="2"/>
  <c r="E44" i="2"/>
  <c r="I7" i="4"/>
  <c r="N7" i="4"/>
  <c r="N6" i="4"/>
  <c r="I6" i="4"/>
  <c r="L35" i="6"/>
  <c r="I35" i="6"/>
  <c r="J35" i="6" s="1"/>
  <c r="M54" i="4" l="1"/>
  <c r="R54" i="4"/>
  <c r="J94" i="4"/>
  <c r="O94" i="4"/>
  <c r="M51" i="4"/>
  <c r="R51" i="4"/>
  <c r="R86" i="4"/>
  <c r="M86" i="4"/>
  <c r="P58" i="4"/>
  <c r="K58" i="4"/>
  <c r="P54" i="4"/>
  <c r="K54" i="4"/>
  <c r="P86" i="4"/>
  <c r="K86" i="4"/>
  <c r="M74" i="4"/>
  <c r="R74" i="4"/>
  <c r="O72" i="4"/>
  <c r="J72" i="4"/>
  <c r="R67" i="4"/>
  <c r="M67" i="4"/>
  <c r="P91" i="4"/>
  <c r="K91" i="4"/>
  <c r="I8" i="4"/>
  <c r="N8" i="4"/>
  <c r="J50" i="4"/>
  <c r="O50" i="4"/>
  <c r="J9" i="4"/>
  <c r="O9" i="4"/>
  <c r="M23" i="4"/>
  <c r="R23" i="4"/>
  <c r="P23" i="4"/>
  <c r="K23" i="4"/>
  <c r="J57" i="4"/>
  <c r="O57" i="4"/>
  <c r="L38" i="6"/>
  <c r="I38" i="6"/>
  <c r="J38" i="6" s="1"/>
  <c r="O48" i="4"/>
  <c r="J48" i="4"/>
  <c r="M72" i="4"/>
  <c r="R72" i="4"/>
  <c r="R25" i="4"/>
  <c r="M25" i="4"/>
  <c r="K50" i="4"/>
  <c r="P50" i="4"/>
  <c r="R16" i="4"/>
  <c r="M16" i="4"/>
  <c r="J92" i="4"/>
  <c r="O92" i="4"/>
  <c r="M47" i="4"/>
  <c r="R47" i="4"/>
  <c r="O91" i="4"/>
  <c r="J91" i="4"/>
  <c r="O80" i="4"/>
  <c r="J80" i="4"/>
  <c r="R44" i="4"/>
  <c r="M44" i="4"/>
  <c r="K21" i="4"/>
  <c r="P21" i="4"/>
  <c r="O21" i="4"/>
  <c r="J21" i="4"/>
  <c r="K77" i="4"/>
  <c r="P77" i="4"/>
  <c r="R83" i="4"/>
  <c r="M83" i="4"/>
  <c r="R63" i="4"/>
  <c r="M63" i="4"/>
  <c r="O49" i="4"/>
  <c r="J49" i="4"/>
  <c r="Q76" i="4"/>
  <c r="L76" i="4"/>
  <c r="K31" i="4"/>
  <c r="P31" i="4"/>
  <c r="J55" i="4"/>
  <c r="O55" i="4"/>
  <c r="R18" i="4"/>
  <c r="M18" i="4"/>
  <c r="M27" i="4"/>
  <c r="R27" i="4"/>
  <c r="K65" i="4"/>
  <c r="P65" i="4"/>
  <c r="K84" i="4"/>
  <c r="P84" i="4"/>
  <c r="J13" i="4"/>
  <c r="O13" i="4"/>
  <c r="P68" i="4"/>
  <c r="K68" i="4"/>
  <c r="O30" i="4"/>
  <c r="J30" i="4"/>
  <c r="R90" i="4"/>
  <c r="M90" i="4"/>
  <c r="K81" i="4"/>
  <c r="P81" i="4"/>
  <c r="K9" i="4"/>
  <c r="P9" i="4"/>
  <c r="P29" i="4"/>
  <c r="K29" i="4"/>
  <c r="P35" i="4"/>
  <c r="K35" i="4"/>
  <c r="P62" i="4"/>
  <c r="K62" i="4"/>
  <c r="K45" i="4"/>
  <c r="P45" i="4"/>
  <c r="R43" i="4"/>
  <c r="M43" i="4"/>
  <c r="M14" i="4"/>
  <c r="R14" i="4"/>
  <c r="R13" i="4"/>
  <c r="M13" i="4"/>
  <c r="M9" i="4"/>
  <c r="R9" i="4"/>
  <c r="O61" i="4"/>
  <c r="J61" i="4"/>
  <c r="P17" i="4"/>
  <c r="K17" i="4"/>
  <c r="O41" i="4"/>
  <c r="J41" i="4"/>
  <c r="Q60" i="4"/>
  <c r="L60" i="4"/>
  <c r="O76" i="4"/>
  <c r="J76" i="4"/>
  <c r="P48" i="4"/>
  <c r="K48" i="4"/>
  <c r="K28" i="4"/>
  <c r="P28" i="4"/>
  <c r="K75" i="4"/>
  <c r="P75" i="4"/>
  <c r="K13" i="4"/>
  <c r="P13" i="4"/>
  <c r="J46" i="4"/>
  <c r="O46" i="4"/>
  <c r="O19" i="4"/>
  <c r="J19" i="4"/>
  <c r="J63" i="4"/>
  <c r="O63" i="4"/>
  <c r="O59" i="4"/>
  <c r="J59" i="4"/>
  <c r="O73" i="4"/>
  <c r="J73" i="4"/>
  <c r="O34" i="4"/>
  <c r="J34" i="4"/>
  <c r="O40" i="4"/>
  <c r="J40" i="4"/>
  <c r="P74" i="4"/>
  <c r="K74" i="4"/>
  <c r="P15" i="4"/>
  <c r="K15" i="4"/>
  <c r="P40" i="4"/>
  <c r="K40" i="4"/>
  <c r="P43" i="4"/>
  <c r="K43" i="4"/>
  <c r="J22" i="4"/>
  <c r="O22" i="4"/>
  <c r="J69" i="4"/>
  <c r="O69" i="4"/>
  <c r="J65" i="4"/>
  <c r="O65" i="4"/>
  <c r="M32" i="4"/>
  <c r="R32" i="4"/>
  <c r="M28" i="4"/>
  <c r="R28" i="4"/>
  <c r="O87" i="4"/>
  <c r="J87" i="4"/>
  <c r="P80" i="4"/>
  <c r="K80" i="4"/>
  <c r="P38" i="4"/>
  <c r="K38" i="4"/>
  <c r="R61" i="4"/>
  <c r="M61" i="4"/>
  <c r="R92" i="4"/>
  <c r="M92" i="4"/>
  <c r="K78" i="4"/>
  <c r="P78" i="4"/>
  <c r="O82" i="4"/>
  <c r="J82" i="4"/>
  <c r="P93" i="4"/>
  <c r="K93" i="4"/>
  <c r="K73" i="4"/>
  <c r="P73" i="4"/>
  <c r="R26" i="4"/>
  <c r="M26" i="4"/>
  <c r="R52" i="4"/>
  <c r="M52" i="4"/>
  <c r="O38" i="4"/>
  <c r="J38" i="4"/>
  <c r="M29" i="4"/>
  <c r="R29" i="4"/>
  <c r="R88" i="4"/>
  <c r="M88" i="4"/>
  <c r="K42" i="4"/>
  <c r="P42" i="4"/>
  <c r="O86" i="4"/>
  <c r="J86" i="4"/>
  <c r="R19" i="4"/>
  <c r="M19" i="4"/>
  <c r="M41" i="4"/>
  <c r="R41" i="4"/>
  <c r="O18" i="4"/>
  <c r="J18" i="4"/>
  <c r="P56" i="4"/>
  <c r="K56" i="4"/>
  <c r="M79" i="4"/>
  <c r="R79" i="4"/>
  <c r="O56" i="4"/>
  <c r="J56" i="4"/>
  <c r="K72" i="4"/>
  <c r="P72" i="4"/>
  <c r="O74" i="4"/>
  <c r="J74" i="4"/>
  <c r="K26" i="4"/>
  <c r="P26" i="4"/>
  <c r="M93" i="4"/>
  <c r="R93" i="4"/>
  <c r="J53" i="4"/>
  <c r="O53" i="4"/>
  <c r="J77" i="4"/>
  <c r="O77" i="4"/>
  <c r="P70" i="4"/>
  <c r="K70" i="4"/>
  <c r="Q57" i="4"/>
  <c r="L57" i="4"/>
  <c r="J24" i="4"/>
  <c r="O24" i="4"/>
  <c r="J28" i="4"/>
  <c r="O28" i="4"/>
  <c r="R35" i="4"/>
  <c r="M35" i="4"/>
  <c r="J62" i="4"/>
  <c r="O62" i="4"/>
  <c r="L53" i="4"/>
  <c r="Q53" i="4"/>
  <c r="J36" i="4"/>
  <c r="O36" i="4"/>
  <c r="J12" i="4"/>
  <c r="O12" i="4"/>
  <c r="P63" i="4"/>
  <c r="K63" i="4"/>
  <c r="D39" i="2"/>
  <c r="H33" i="6" l="1"/>
  <c r="H11" i="6"/>
  <c r="H32" i="6"/>
  <c r="L38" i="4"/>
  <c r="Q38" i="4"/>
  <c r="Q79" i="4"/>
  <c r="L79" i="4"/>
  <c r="Q83" i="4"/>
  <c r="L83" i="4"/>
  <c r="P12" i="4"/>
  <c r="K12" i="4"/>
  <c r="J84" i="4"/>
  <c r="O84" i="4"/>
  <c r="R46" i="4"/>
  <c r="M46" i="4"/>
  <c r="Q77" i="4"/>
  <c r="L77" i="4"/>
  <c r="O89" i="4"/>
  <c r="J89" i="4"/>
  <c r="Q85" i="4"/>
  <c r="L85" i="4"/>
  <c r="O33" i="4"/>
  <c r="J33" i="4"/>
  <c r="K30" i="4"/>
  <c r="P30" i="4"/>
  <c r="R20" i="4"/>
  <c r="M20" i="4"/>
  <c r="O45" i="4"/>
  <c r="J45" i="4"/>
  <c r="K59" i="4"/>
  <c r="P59" i="4"/>
  <c r="K83" i="4"/>
  <c r="P83" i="4"/>
  <c r="O20" i="4"/>
  <c r="J20" i="4"/>
  <c r="M31" i="4"/>
  <c r="R31" i="4"/>
  <c r="J85" i="4"/>
  <c r="O85" i="4"/>
  <c r="M80" i="4"/>
  <c r="R80" i="4"/>
  <c r="Q37" i="4"/>
  <c r="L37" i="4"/>
  <c r="K39" i="4"/>
  <c r="P39" i="4"/>
  <c r="R81" i="4"/>
  <c r="M81" i="4"/>
  <c r="L50" i="4"/>
  <c r="Q50" i="4"/>
  <c r="O44" i="4"/>
  <c r="J44" i="4"/>
  <c r="K57" i="4"/>
  <c r="P57" i="4"/>
  <c r="J39" i="4"/>
  <c r="O39" i="4"/>
  <c r="M39" i="4"/>
  <c r="R39" i="4"/>
  <c r="O75" i="4"/>
  <c r="J75" i="4"/>
  <c r="L55" i="4"/>
  <c r="Q55" i="4"/>
  <c r="Q10" i="4"/>
  <c r="L10" i="4"/>
  <c r="L64" i="4"/>
  <c r="Q64" i="4"/>
  <c r="O66" i="4"/>
  <c r="J66" i="4"/>
  <c r="M82" i="4"/>
  <c r="R82" i="4"/>
  <c r="P37" i="4"/>
  <c r="K37" i="4"/>
  <c r="L80" i="4"/>
  <c r="Q80" i="4"/>
  <c r="Q23" i="4"/>
  <c r="L23" i="4"/>
  <c r="R56" i="4"/>
  <c r="M56" i="4"/>
  <c r="M78" i="4"/>
  <c r="R78" i="4"/>
  <c r="K27" i="4"/>
  <c r="P27" i="4"/>
  <c r="P55" i="4"/>
  <c r="K55" i="4"/>
  <c r="P53" i="4"/>
  <c r="K53" i="4"/>
  <c r="J31" i="4"/>
  <c r="O31" i="4"/>
  <c r="L43" i="4"/>
  <c r="Q43" i="4"/>
  <c r="R60" i="4"/>
  <c r="M60" i="4"/>
  <c r="M62" i="4"/>
  <c r="R62" i="4"/>
  <c r="J42" i="4"/>
  <c r="O42" i="4"/>
  <c r="P14" i="4"/>
  <c r="K14" i="4"/>
  <c r="M75" i="4"/>
  <c r="R75" i="4"/>
  <c r="Q78" i="4"/>
  <c r="L78" i="4"/>
  <c r="K64" i="4"/>
  <c r="P64" i="4"/>
  <c r="R12" i="4"/>
  <c r="M12" i="4"/>
  <c r="O60" i="4"/>
  <c r="J60" i="4"/>
  <c r="L58" i="4"/>
  <c r="Q58" i="4"/>
  <c r="J37" i="4"/>
  <c r="O37" i="4"/>
  <c r="J27" i="4"/>
  <c r="O27" i="4"/>
  <c r="P71" i="4"/>
  <c r="K71" i="4"/>
  <c r="K10" i="4"/>
  <c r="P10" i="4"/>
  <c r="K85" i="4"/>
  <c r="P85" i="4"/>
  <c r="J35" i="4"/>
  <c r="O35" i="4"/>
  <c r="L54" i="4"/>
  <c r="Q54" i="4"/>
  <c r="R45" i="4"/>
  <c r="M45" i="4"/>
  <c r="M58" i="4"/>
  <c r="R58" i="4"/>
  <c r="P33" i="4"/>
  <c r="K33" i="4"/>
  <c r="Q31" i="4"/>
  <c r="L31" i="4"/>
  <c r="M22" i="4"/>
  <c r="R22" i="4"/>
  <c r="P32" i="4"/>
  <c r="K32" i="4"/>
  <c r="K79" i="4"/>
  <c r="P79" i="4"/>
  <c r="J68" i="4"/>
  <c r="O68" i="4"/>
  <c r="K61" i="4"/>
  <c r="P61" i="4"/>
  <c r="Q73" i="4"/>
  <c r="L73" i="4"/>
  <c r="P69" i="4"/>
  <c r="K69" i="4"/>
  <c r="R42" i="4"/>
  <c r="M42" i="4"/>
  <c r="K49" i="4"/>
  <c r="P49" i="4"/>
  <c r="O78" i="4"/>
  <c r="J78" i="4"/>
  <c r="R48" i="4"/>
  <c r="M48" i="4"/>
  <c r="O25" i="4"/>
  <c r="J25" i="4"/>
  <c r="R34" i="4"/>
  <c r="M34" i="4"/>
  <c r="O90" i="4"/>
  <c r="J90" i="4"/>
  <c r="L39" i="4"/>
  <c r="Q39" i="4"/>
  <c r="O29" i="4"/>
  <c r="J29" i="4"/>
  <c r="K47" i="4"/>
  <c r="P47" i="4"/>
  <c r="P18" i="4"/>
  <c r="K18" i="4"/>
  <c r="R64" i="4"/>
  <c r="M64" i="4"/>
  <c r="L61" i="4"/>
  <c r="Q61" i="4"/>
  <c r="Q91" i="4"/>
  <c r="L91" i="4"/>
  <c r="O16" i="4"/>
  <c r="J16" i="4"/>
  <c r="Q56" i="4"/>
  <c r="L56" i="4"/>
  <c r="K88" i="4"/>
  <c r="P88" i="4"/>
  <c r="R76" i="4"/>
  <c r="M76" i="4"/>
  <c r="J67" i="4"/>
  <c r="O67" i="4"/>
  <c r="E39" i="2"/>
  <c r="H46" i="6" s="1"/>
  <c r="Q45" i="4"/>
  <c r="L45" i="4"/>
  <c r="M36" i="4"/>
  <c r="R36" i="4"/>
  <c r="K24" i="4"/>
  <c r="P24" i="4"/>
  <c r="P19" i="4"/>
  <c r="K19" i="4"/>
  <c r="M10" i="4"/>
  <c r="R10" i="4"/>
  <c r="Q70" i="4"/>
  <c r="L70" i="4"/>
  <c r="M11" i="4"/>
  <c r="R11" i="4"/>
  <c r="P46" i="4"/>
  <c r="K46" i="4"/>
  <c r="M91" i="4"/>
  <c r="R91" i="4"/>
  <c r="R40" i="4"/>
  <c r="M40" i="4"/>
  <c r="K16" i="4"/>
  <c r="P16" i="4"/>
  <c r="R65" i="4"/>
  <c r="M65" i="4"/>
  <c r="Q59" i="4"/>
  <c r="L59" i="4"/>
  <c r="L46" i="4"/>
  <c r="Q46" i="4"/>
  <c r="M66" i="4"/>
  <c r="R66" i="4"/>
  <c r="M70" i="4"/>
  <c r="R70" i="4"/>
  <c r="K92" i="4"/>
  <c r="P92" i="4"/>
  <c r="P82" i="4"/>
  <c r="K82" i="4"/>
  <c r="O93" i="4"/>
  <c r="J93" i="4"/>
  <c r="O88" i="4"/>
  <c r="J88" i="4"/>
  <c r="P36" i="4"/>
  <c r="K36" i="4"/>
  <c r="M37" i="4"/>
  <c r="R37" i="4"/>
  <c r="M30" i="4"/>
  <c r="R30" i="4"/>
  <c r="R85" i="4"/>
  <c r="M85" i="4"/>
  <c r="J64" i="4"/>
  <c r="O64" i="4"/>
  <c r="J79" i="4"/>
  <c r="O79" i="4"/>
  <c r="J43" i="4"/>
  <c r="O43" i="4"/>
  <c r="R57" i="4"/>
  <c r="M57" i="4"/>
  <c r="M17" i="4"/>
  <c r="R17" i="4"/>
  <c r="Q20" i="4"/>
  <c r="L20" i="4"/>
  <c r="R71" i="4"/>
  <c r="M71" i="4"/>
  <c r="M84" i="4"/>
  <c r="R84" i="4"/>
  <c r="R49" i="4"/>
  <c r="M49" i="4"/>
  <c r="Q41" i="4"/>
  <c r="L41" i="4"/>
  <c r="M33" i="4"/>
  <c r="R33" i="4"/>
  <c r="O10" i="4"/>
  <c r="J10" i="4"/>
  <c r="Q48" i="4"/>
  <c r="L48" i="4"/>
  <c r="R59" i="4"/>
  <c r="M59" i="4"/>
  <c r="P51" i="4"/>
  <c r="K51" i="4"/>
  <c r="L42" i="4"/>
  <c r="Q42" i="4"/>
  <c r="Q72" i="4"/>
  <c r="L72" i="4"/>
  <c r="M89" i="4"/>
  <c r="R89" i="4"/>
  <c r="O17" i="4"/>
  <c r="J17" i="4"/>
  <c r="M38" i="4"/>
  <c r="R38" i="4"/>
  <c r="Q25" i="4"/>
  <c r="L25" i="4"/>
  <c r="P66" i="4"/>
  <c r="K66" i="4"/>
  <c r="O58" i="4"/>
  <c r="J58" i="4"/>
  <c r="K41" i="4"/>
  <c r="P41" i="4"/>
  <c r="P20" i="4"/>
  <c r="K20" i="4"/>
  <c r="M94" i="4"/>
  <c r="R94" i="4"/>
  <c r="K44" i="4"/>
  <c r="P44" i="4"/>
  <c r="K76" i="4"/>
  <c r="P76" i="4"/>
  <c r="Q14" i="4"/>
  <c r="L14" i="4"/>
  <c r="Q9" i="4"/>
  <c r="L9" i="4"/>
  <c r="R24" i="4"/>
  <c r="M24" i="4"/>
  <c r="Q71" i="4"/>
  <c r="L71" i="4"/>
  <c r="Q34" i="4"/>
  <c r="L34" i="4"/>
  <c r="R68" i="4"/>
  <c r="M68" i="4"/>
  <c r="Q69" i="4"/>
  <c r="L69" i="4"/>
  <c r="Q90" i="4"/>
  <c r="L90" i="4"/>
  <c r="L68" i="4"/>
  <c r="Q68" i="4"/>
  <c r="O81" i="4"/>
  <c r="J81" i="4"/>
  <c r="O71" i="4"/>
  <c r="J71" i="4"/>
  <c r="L18" i="4"/>
  <c r="Q18" i="4"/>
  <c r="J26" i="4"/>
  <c r="O26" i="4"/>
  <c r="R55" i="4"/>
  <c r="M55" i="4"/>
  <c r="Q93" i="4"/>
  <c r="L93" i="4"/>
  <c r="Q52" i="4"/>
  <c r="L52" i="4"/>
  <c r="Q16" i="4"/>
  <c r="L16" i="4"/>
  <c r="R73" i="4"/>
  <c r="M73" i="4"/>
  <c r="Q32" i="4"/>
  <c r="L32" i="4"/>
  <c r="Q21" i="4"/>
  <c r="L21" i="4"/>
  <c r="Q86" i="4"/>
  <c r="L86" i="4"/>
  <c r="J54" i="4"/>
  <c r="O54" i="4"/>
  <c r="R50" i="4"/>
  <c r="M50" i="4"/>
  <c r="L51" i="4"/>
  <c r="Q51" i="4"/>
  <c r="P90" i="4"/>
  <c r="K90" i="4"/>
  <c r="R77" i="4"/>
  <c r="M77" i="4"/>
  <c r="M87" i="4"/>
  <c r="R87" i="4"/>
  <c r="J47" i="4"/>
  <c r="O47" i="4"/>
  <c r="K60" i="4"/>
  <c r="P60" i="4"/>
  <c r="J15" i="4"/>
  <c r="O15" i="4"/>
  <c r="P89" i="4"/>
  <c r="K89" i="4"/>
  <c r="L66" i="4"/>
  <c r="Q66" i="4"/>
  <c r="O23" i="4"/>
  <c r="J23" i="4"/>
  <c r="M21" i="4"/>
  <c r="R21" i="4"/>
  <c r="P22" i="4"/>
  <c r="K22" i="4"/>
  <c r="P87" i="4"/>
  <c r="K87" i="4"/>
  <c r="J51" i="4"/>
  <c r="O51" i="4"/>
  <c r="R69" i="4"/>
  <c r="M69" i="4"/>
  <c r="O11" i="4"/>
  <c r="J11" i="4"/>
  <c r="J52" i="4"/>
  <c r="O52" i="4"/>
  <c r="N26" i="4" l="1"/>
  <c r="I26" i="4"/>
  <c r="Q30" i="4"/>
  <c r="L30" i="4"/>
  <c r="I79" i="4"/>
  <c r="N79" i="4"/>
  <c r="J14" i="4"/>
  <c r="O14" i="4"/>
  <c r="D12" i="2"/>
  <c r="I58" i="4"/>
  <c r="N58" i="4"/>
  <c r="I91" i="4"/>
  <c r="N91" i="4"/>
  <c r="Q15" i="4"/>
  <c r="L15" i="4"/>
  <c r="L33" i="4"/>
  <c r="Q33" i="4"/>
  <c r="N87" i="4"/>
  <c r="I87" i="4"/>
  <c r="N77" i="4"/>
  <c r="I77" i="4"/>
  <c r="Q36" i="4"/>
  <c r="L36" i="4"/>
  <c r="P67" i="4"/>
  <c r="K67" i="4"/>
  <c r="I22" i="4"/>
  <c r="N22" i="4"/>
  <c r="I102" i="4"/>
  <c r="N102" i="4"/>
  <c r="N72" i="4"/>
  <c r="I72" i="4"/>
  <c r="I101" i="4"/>
  <c r="N101" i="4"/>
  <c r="L89" i="4"/>
  <c r="Q89" i="4"/>
  <c r="Q22" i="4"/>
  <c r="L22" i="4"/>
  <c r="N46" i="4"/>
  <c r="I46" i="4"/>
  <c r="L17" i="4"/>
  <c r="Q17" i="4"/>
  <c r="L35" i="4"/>
  <c r="Q35" i="4"/>
  <c r="Q49" i="4"/>
  <c r="L49" i="4"/>
  <c r="L94" i="4"/>
  <c r="Q94" i="4"/>
  <c r="M53" i="4"/>
  <c r="R53" i="4"/>
  <c r="I103" i="4"/>
  <c r="N103" i="4"/>
  <c r="I73" i="4"/>
  <c r="N73" i="4"/>
  <c r="I29" i="4"/>
  <c r="N29" i="4"/>
  <c r="N16" i="4"/>
  <c r="I16" i="4"/>
  <c r="L11" i="4"/>
  <c r="Q11" i="4"/>
  <c r="L12" i="4"/>
  <c r="Q12" i="4"/>
  <c r="Q92" i="4"/>
  <c r="L92" i="4"/>
  <c r="K52" i="4"/>
  <c r="P52" i="4"/>
  <c r="O70" i="4"/>
  <c r="J70" i="4"/>
  <c r="N85" i="4"/>
  <c r="I85" i="4"/>
  <c r="M15" i="4"/>
  <c r="R15" i="4"/>
  <c r="Q40" i="4"/>
  <c r="L40" i="4"/>
  <c r="N14" i="4"/>
  <c r="I14" i="4"/>
  <c r="N94" i="4"/>
  <c r="I94" i="4"/>
  <c r="L29" i="4"/>
  <c r="Q29" i="4"/>
  <c r="L47" i="4"/>
  <c r="Q47" i="4"/>
  <c r="O83" i="4"/>
  <c r="J83" i="4"/>
  <c r="N96" i="4"/>
  <c r="I96" i="4"/>
  <c r="Q67" i="4"/>
  <c r="L67" i="4"/>
  <c r="J32" i="4"/>
  <c r="O32" i="4"/>
  <c r="L46" i="6"/>
  <c r="N42" i="6" s="1"/>
  <c r="I46" i="6"/>
  <c r="J46" i="6" s="1"/>
  <c r="L32" i="6"/>
  <c r="I32" i="6"/>
  <c r="J32" i="6" s="1"/>
  <c r="L84" i="4"/>
  <c r="Q84" i="4"/>
  <c r="L19" i="4"/>
  <c r="Q19" i="4"/>
  <c r="L26" i="4"/>
  <c r="Q26" i="4"/>
  <c r="K11" i="4"/>
  <c r="P11" i="4"/>
  <c r="I55" i="4"/>
  <c r="N55" i="4"/>
  <c r="K25" i="4"/>
  <c r="P25" i="4"/>
  <c r="K34" i="4"/>
  <c r="P34" i="4"/>
  <c r="E12" i="2"/>
  <c r="E13" i="2" s="1"/>
  <c r="E14" i="2" s="1"/>
  <c r="E15" i="2" s="1"/>
  <c r="H19" i="6"/>
  <c r="L19" i="6" s="1"/>
  <c r="I11" i="6"/>
  <c r="H20" i="6"/>
  <c r="L20" i="6" s="1"/>
  <c r="L13" i="4"/>
  <c r="Q13" i="4"/>
  <c r="Q62" i="4"/>
  <c r="L62" i="4"/>
  <c r="N66" i="4"/>
  <c r="I66" i="4"/>
  <c r="I39" i="4"/>
  <c r="N39" i="4"/>
  <c r="Q65" i="4"/>
  <c r="L65" i="4"/>
  <c r="N41" i="4"/>
  <c r="I41" i="4"/>
  <c r="Q44" i="4"/>
  <c r="L44" i="4"/>
  <c r="Q63" i="4"/>
  <c r="L63" i="4"/>
  <c r="N67" i="4"/>
  <c r="I67" i="4"/>
  <c r="L33" i="6"/>
  <c r="I33" i="6"/>
  <c r="J33" i="6" s="1"/>
  <c r="N21" i="4" l="1"/>
  <c r="I21" i="4"/>
  <c r="N75" i="4"/>
  <c r="I75" i="4"/>
  <c r="N60" i="4"/>
  <c r="I60" i="4"/>
  <c r="I93" i="4"/>
  <c r="N93" i="4"/>
  <c r="I88" i="4"/>
  <c r="N88" i="4"/>
  <c r="I69" i="4"/>
  <c r="N69" i="4"/>
  <c r="I84" i="4"/>
  <c r="N84" i="4"/>
  <c r="N49" i="4"/>
  <c r="I49" i="4"/>
  <c r="Q81" i="4"/>
  <c r="L81" i="4"/>
  <c r="Q74" i="4"/>
  <c r="L74" i="4"/>
  <c r="N34" i="4"/>
  <c r="I34" i="4"/>
  <c r="N12" i="4"/>
  <c r="I12" i="4"/>
  <c r="L75" i="4"/>
  <c r="Q75" i="4"/>
  <c r="N27" i="4"/>
  <c r="I27" i="4"/>
  <c r="N54" i="4"/>
  <c r="I54" i="4"/>
  <c r="I36" i="4"/>
  <c r="N36" i="4"/>
  <c r="L87" i="4"/>
  <c r="Q87" i="4"/>
  <c r="I28" i="4"/>
  <c r="N28" i="4"/>
  <c r="N40" i="4"/>
  <c r="I40" i="4"/>
  <c r="J11" i="6"/>
  <c r="J19" i="6" s="1"/>
  <c r="J20" i="6" s="1"/>
  <c r="I19" i="6"/>
  <c r="I20" i="6" s="1"/>
  <c r="N74" i="4"/>
  <c r="I74" i="4"/>
  <c r="I56" i="4"/>
  <c r="N56" i="4"/>
  <c r="L24" i="4"/>
  <c r="Q24" i="4"/>
  <c r="N43" i="4"/>
  <c r="I43" i="4"/>
  <c r="Q82" i="4"/>
  <c r="L82" i="4"/>
  <c r="N76" i="4"/>
  <c r="I76" i="4"/>
  <c r="N78" i="4"/>
  <c r="I78" i="4"/>
  <c r="N47" i="4"/>
  <c r="I47" i="4"/>
  <c r="N42" i="4"/>
  <c r="I42" i="4"/>
  <c r="N70" i="4"/>
  <c r="I70" i="4"/>
  <c r="I9" i="4"/>
  <c r="N9" i="4"/>
  <c r="Q88" i="4"/>
  <c r="L88" i="4"/>
  <c r="L28" i="4"/>
  <c r="Q28" i="4"/>
  <c r="N52" i="4"/>
  <c r="I52" i="4"/>
  <c r="N17" i="6"/>
  <c r="N95" i="4"/>
  <c r="I95" i="4"/>
  <c r="I30" i="4"/>
  <c r="N30" i="4"/>
  <c r="N90" i="4"/>
  <c r="I90" i="4"/>
  <c r="I100" i="4"/>
  <c r="N100" i="4"/>
  <c r="N11" i="4"/>
  <c r="I11" i="4"/>
  <c r="I35" i="4"/>
  <c r="N35" i="4"/>
  <c r="N104" i="4"/>
  <c r="I104" i="4"/>
  <c r="I68" i="4"/>
  <c r="N68" i="4"/>
  <c r="I15" i="4"/>
  <c r="N15" i="4"/>
  <c r="I33" i="4"/>
  <c r="N33" i="4"/>
  <c r="I92" i="4"/>
  <c r="N92" i="4"/>
  <c r="N51" i="4"/>
  <c r="I51" i="4"/>
  <c r="N86" i="4"/>
  <c r="I86" i="4"/>
  <c r="I53" i="4"/>
  <c r="N53" i="4"/>
  <c r="Q27" i="4"/>
  <c r="L27" i="4"/>
  <c r="N18" i="4"/>
  <c r="I18" i="4"/>
  <c r="H9" i="6"/>
  <c r="D13" i="2"/>
  <c r="D14" i="2" s="1"/>
  <c r="D15" i="2" s="1"/>
  <c r="I25" i="4" l="1"/>
  <c r="N25" i="4"/>
  <c r="I61" i="4"/>
  <c r="N61" i="4"/>
  <c r="I99" i="4"/>
  <c r="N99" i="4"/>
  <c r="N10" i="4"/>
  <c r="I10" i="4"/>
  <c r="I62" i="4"/>
  <c r="N62" i="4"/>
  <c r="I44" i="4"/>
  <c r="N44" i="4"/>
  <c r="I83" i="4"/>
  <c r="N83" i="4"/>
  <c r="I13" i="4"/>
  <c r="N13" i="4"/>
  <c r="N59" i="4"/>
  <c r="I59" i="4"/>
  <c r="N89" i="4"/>
  <c r="I89" i="4"/>
  <c r="H62" i="6"/>
  <c r="L62" i="6" s="1"/>
  <c r="N59" i="6" s="1"/>
  <c r="H36" i="6"/>
  <c r="I9" i="6"/>
  <c r="J9" i="6" s="1"/>
  <c r="N31" i="4"/>
  <c r="I31" i="4"/>
  <c r="I45" i="4"/>
  <c r="N45" i="4"/>
  <c r="N57" i="4"/>
  <c r="I57" i="4"/>
  <c r="N50" i="4"/>
  <c r="I50" i="4"/>
  <c r="I37" i="4"/>
  <c r="N37" i="4"/>
  <c r="N71" i="4"/>
  <c r="I71" i="4"/>
  <c r="N23" i="4"/>
  <c r="I23" i="4"/>
  <c r="I82" i="4"/>
  <c r="N82" i="4"/>
  <c r="I38" i="4"/>
  <c r="N38" i="4"/>
  <c r="I32" i="4"/>
  <c r="N32" i="4"/>
  <c r="N48" i="4"/>
  <c r="I48" i="4"/>
  <c r="I63" i="4" l="1"/>
  <c r="N63" i="4"/>
  <c r="N98" i="4"/>
  <c r="I98" i="4"/>
  <c r="I20" i="4"/>
  <c r="N20" i="4"/>
  <c r="L36" i="6"/>
  <c r="I36" i="6"/>
  <c r="J36" i="6" s="1"/>
  <c r="I24" i="4"/>
  <c r="N24" i="4"/>
  <c r="N19" i="4"/>
  <c r="I19" i="4"/>
  <c r="I81" i="4"/>
  <c r="N81" i="4"/>
  <c r="I17" i="4"/>
  <c r="N17" i="4"/>
  <c r="N65" i="4"/>
  <c r="I65" i="4"/>
  <c r="N97" i="4"/>
  <c r="I97" i="4"/>
  <c r="I80" i="4"/>
  <c r="N80" i="4"/>
  <c r="N64" i="4"/>
  <c r="I64" i="4"/>
  <c r="E60" i="2" l="1"/>
  <c r="P94" i="4" l="1"/>
  <c r="K94" i="4"/>
  <c r="M95" i="4" l="1"/>
  <c r="R95" i="4"/>
  <c r="L103" i="4"/>
  <c r="Q103" i="4"/>
  <c r="P95" i="4"/>
  <c r="K95" i="4"/>
  <c r="J103" i="4"/>
  <c r="O103" i="4"/>
  <c r="O95" i="4"/>
  <c r="J95" i="4"/>
  <c r="M99" i="4"/>
  <c r="R99" i="4"/>
  <c r="P96" i="4"/>
  <c r="K96" i="4"/>
  <c r="Q99" i="4"/>
  <c r="L99" i="4"/>
  <c r="Q95" i="4"/>
  <c r="L95" i="4"/>
  <c r="R96" i="4"/>
  <c r="M96" i="4"/>
  <c r="P102" i="4"/>
  <c r="K102" i="4"/>
  <c r="Q100" i="4" l="1"/>
  <c r="L100" i="4"/>
  <c r="P104" i="4"/>
  <c r="K104" i="4"/>
  <c r="Q96" i="4"/>
  <c r="L96" i="4"/>
  <c r="K99" i="4"/>
  <c r="P99" i="4"/>
  <c r="J98" i="4"/>
  <c r="O98" i="4"/>
  <c r="J97" i="4"/>
  <c r="O97" i="4"/>
  <c r="M101" i="4"/>
  <c r="R101" i="4"/>
  <c r="K97" i="4"/>
  <c r="P97" i="4"/>
  <c r="O104" i="4"/>
  <c r="J104" i="4"/>
  <c r="M97" i="4"/>
  <c r="R97" i="4"/>
  <c r="K103" i="4"/>
  <c r="P103" i="4"/>
  <c r="M100" i="4"/>
  <c r="R100" i="4"/>
  <c r="J96" i="4"/>
  <c r="O96" i="4"/>
  <c r="L104" i="4"/>
  <c r="Q104" i="4"/>
  <c r="L101" i="4"/>
  <c r="Q101" i="4"/>
  <c r="M103" i="4"/>
  <c r="R103" i="4"/>
  <c r="O102" i="4"/>
  <c r="J102" i="4"/>
  <c r="M98" i="4" l="1"/>
  <c r="R98" i="4"/>
  <c r="L97" i="4"/>
  <c r="Q97" i="4"/>
  <c r="Q98" i="4"/>
  <c r="L98" i="4"/>
  <c r="K100" i="4"/>
  <c r="P100" i="4"/>
  <c r="K101" i="4"/>
  <c r="P101" i="4"/>
  <c r="P98" i="4"/>
  <c r="K98" i="4"/>
  <c r="J101" i="4"/>
  <c r="O101" i="4"/>
  <c r="J99" i="4"/>
  <c r="O99" i="4"/>
  <c r="M102" i="4"/>
  <c r="R102" i="4"/>
  <c r="O100" i="4"/>
  <c r="J100" i="4"/>
  <c r="Q102" i="4"/>
  <c r="L102" i="4"/>
  <c r="R104" i="4"/>
  <c r="M1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S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考虑实用性，修正*2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相当于城建效果的1/50</t>
        </r>
      </text>
    </comment>
    <comment ref="D35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相当于城建效果的1/20</t>
        </r>
      </text>
    </comment>
    <comment ref="D39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思路为降低50%等价于打野战损价值减去治疗返还价值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46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回复x%兵营上限的兵力</t>
        </r>
      </text>
    </comment>
    <comment ref="D47" authorId="0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>*1.5在于是全局加成，下同</t>
        </r>
      </text>
    </comment>
    <comment ref="D57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 xml:space="preserve">应用范围只是攻城力提高的33%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S2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预估每天单队伍pvp/攻城/采集的行军次数</t>
        </r>
      </text>
    </comment>
  </commentList>
</comments>
</file>

<file path=xl/sharedStrings.xml><?xml version="1.0" encoding="utf-8"?>
<sst xmlns="http://schemas.openxmlformats.org/spreadsheetml/2006/main" count="412" uniqueCount="270">
  <si>
    <t>城池</t>
    <phoneticPr fontId="1" type="noConversion"/>
  </si>
  <si>
    <t>士兵训练</t>
    <phoneticPr fontId="1" type="noConversion"/>
  </si>
  <si>
    <t>打野伤亡降低</t>
  </si>
  <si>
    <t>日常随机事件触发几率增加，触发上限+1。限时活动的事件不受影响</t>
  </si>
  <si>
    <t>建筑建造木材消耗-</t>
  </si>
  <si>
    <t>建筑建造石材消耗-</t>
  </si>
  <si>
    <t>对野怪伤害+%</t>
  </si>
  <si>
    <t>野外采集木材速度+%</t>
  </si>
  <si>
    <t>野外采集石头速度+%</t>
  </si>
  <si>
    <t>建筑建造铜矿消耗-</t>
  </si>
  <si>
    <t>野外采集铜矿速度+%</t>
  </si>
  <si>
    <t>国建捐献可获得国家币上限增加 XXX</t>
  </si>
  <si>
    <t>城内铜币产量+百分比</t>
  </si>
  <si>
    <t>仓库上限增加</t>
  </si>
  <si>
    <t>对野怪防御+%</t>
  </si>
  <si>
    <t>掠夺行军速度+</t>
  </si>
  <si>
    <t>攻城行军速度+</t>
  </si>
  <si>
    <t xml:space="preserve">攻打玩家城池战斗疲劳消耗降低 </t>
  </si>
  <si>
    <t>士兵攻击增加（不含器械）</t>
  </si>
  <si>
    <t>士兵生命增加（不含器械）</t>
  </si>
  <si>
    <t>士兵训练时间-%</t>
  </si>
  <si>
    <t>武将攻击+</t>
  </si>
  <si>
    <t>武将生命增加</t>
  </si>
  <si>
    <t>兵营上限增加</t>
  </si>
  <si>
    <t>攻城伤害提高</t>
  </si>
  <si>
    <t>世界城池时攻城疲劳消耗降低（掠夺无效）</t>
  </si>
  <si>
    <t>攻城器械攻城攻击+数字</t>
  </si>
  <si>
    <t>攻城器械生命+数字</t>
  </si>
  <si>
    <t>攻城器械死兵大幅下降</t>
  </si>
  <si>
    <t>玩家部队的攻城值+%</t>
  </si>
  <si>
    <t>器械对士兵的攻击力增加</t>
  </si>
  <si>
    <t>玩家城池的城防值+</t>
  </si>
  <si>
    <t>仓库保护值+</t>
  </si>
  <si>
    <t>采集负重+</t>
  </si>
  <si>
    <t>步兵招募加速</t>
  </si>
  <si>
    <t>骑兵招募加速</t>
  </si>
  <si>
    <t>弓兵招募加速</t>
  </si>
  <si>
    <t>器械招募加速</t>
  </si>
  <si>
    <t>治疗加速</t>
  </si>
  <si>
    <t>所有武将带兵上限增加</t>
  </si>
  <si>
    <t>武将三维增加</t>
  </si>
  <si>
    <t>打野武将经验</t>
  </si>
  <si>
    <t>城建加速</t>
  </si>
  <si>
    <t>城池上限</t>
  </si>
  <si>
    <t>相邻城池攻城时间增加</t>
  </si>
  <si>
    <t>相邻城池城防值增加</t>
  </si>
  <si>
    <t>贸易城市</t>
  </si>
  <si>
    <t xml:space="preserve">非移动状态下受到伤害降低 A </t>
  </si>
  <si>
    <t xml:space="preserve">对小型单位伤害增加 A </t>
  </si>
  <si>
    <t xml:space="preserve">攻城伤害增加 A </t>
  </si>
  <si>
    <t xml:space="preserve">非移动状态下攻击力提高 A </t>
  </si>
  <si>
    <t xml:space="preserve">对中/大型单位伤害增加 A </t>
  </si>
  <si>
    <t xml:space="preserve">对士兵伤害增加 A </t>
  </si>
  <si>
    <t xml:space="preserve">移动时闪避增加 A </t>
  </si>
  <si>
    <t xml:space="preserve">可接受宽度减少 A </t>
  </si>
  <si>
    <t>第一次攻击 降低目标 A 点士气</t>
  </si>
  <si>
    <t xml:space="preserve">受到近战伤害减少 A </t>
  </si>
  <si>
    <t xml:space="preserve">可接受宽度增加 A </t>
  </si>
  <si>
    <t>开场对自己士气增加 A 点</t>
  </si>
  <si>
    <t xml:space="preserve">射程达到一定范围，伤害增加 A </t>
  </si>
  <si>
    <t xml:space="preserve">协同作战，周围有友军部队伤害增加 A </t>
  </si>
  <si>
    <t xml:space="preserve">队伍兵力满状态时，伤害增加 A </t>
  </si>
  <si>
    <t>无视 A 护甲值</t>
  </si>
  <si>
    <t xml:space="preserve">孤军作战，周围没有友军部队伤害增加 A </t>
  </si>
  <si>
    <t>兵力低于 A 时部队时部队防御增加B</t>
  </si>
  <si>
    <t xml:space="preserve">物伤减免 A </t>
  </si>
  <si>
    <t xml:space="preserve">移动速度增加 A </t>
  </si>
  <si>
    <t xml:space="preserve">受到远程伤害减少 A </t>
  </si>
  <si>
    <t xml:space="preserve">攻城值增加 A </t>
  </si>
  <si>
    <t xml:space="preserve">策伤减免 A </t>
  </si>
  <si>
    <t xml:space="preserve">攻击距离增加 A </t>
  </si>
  <si>
    <t>打野外怪行军速度+</t>
    <phoneticPr fontId="1" type="noConversion"/>
  </si>
  <si>
    <t>国建</t>
    <phoneticPr fontId="1" type="noConversion"/>
  </si>
  <si>
    <t>单价</t>
    <phoneticPr fontId="1" type="noConversion"/>
  </si>
  <si>
    <t>实际总价</t>
    <phoneticPr fontId="1" type="noConversion"/>
  </si>
  <si>
    <t>野外采集铁矿速度+%</t>
    <phoneticPr fontId="1" type="noConversion"/>
  </si>
  <si>
    <t>建造速度+%</t>
    <phoneticPr fontId="1" type="noConversion"/>
  </si>
  <si>
    <t>玩家城池和采集被掠夺时，死兵率下降（攻城无效）</t>
    <phoneticPr fontId="1" type="noConversion"/>
  </si>
  <si>
    <t>备注</t>
    <phoneticPr fontId="1" type="noConversion"/>
  </si>
  <si>
    <t>木产量额外增加+</t>
    <phoneticPr fontId="1" type="noConversion"/>
  </si>
  <si>
    <t>石产量额外增加+</t>
    <phoneticPr fontId="1" type="noConversion"/>
  </si>
  <si>
    <t>粮产量额外增加+</t>
    <phoneticPr fontId="1" type="noConversion"/>
  </si>
  <si>
    <t>铜产量额外增加+</t>
    <phoneticPr fontId="1" type="noConversion"/>
  </si>
  <si>
    <t>铁产量额外增加+</t>
    <phoneticPr fontId="1" type="noConversion"/>
  </si>
  <si>
    <t>刀币额外增加+</t>
    <phoneticPr fontId="1" type="noConversion"/>
  </si>
  <si>
    <t>兵营招募计算了4个兵营，针对单兵营需要除以4</t>
    <phoneticPr fontId="1" type="noConversion"/>
  </si>
  <si>
    <t>圣人</t>
    <phoneticPr fontId="1" type="noConversion"/>
  </si>
  <si>
    <t>上限值</t>
    <phoneticPr fontId="1" type="noConversion"/>
  </si>
  <si>
    <t>特产兵</t>
    <phoneticPr fontId="1" type="noConversion"/>
  </si>
  <si>
    <t>兵营招募计算了4个兵营，针对单兵营需要除以4</t>
    <phoneticPr fontId="1" type="noConversion"/>
  </si>
  <si>
    <t>生效功能</t>
    <phoneticPr fontId="1" type="noConversion"/>
  </si>
  <si>
    <t>每日极限额外收益，单独计算，不放入城内产出点</t>
    <phoneticPr fontId="1" type="noConversion"/>
  </si>
  <si>
    <t>步兵攻击&amp;生命</t>
    <phoneticPr fontId="1" type="noConversion"/>
  </si>
  <si>
    <t>骑兵攻击&amp;生命</t>
    <phoneticPr fontId="1" type="noConversion"/>
  </si>
  <si>
    <t>弓兵攻击&amp;生命</t>
    <phoneticPr fontId="1" type="noConversion"/>
  </si>
  <si>
    <t>器械攻击&amp;生命</t>
    <phoneticPr fontId="1" type="noConversion"/>
  </si>
  <si>
    <t>强化驻防城池部队攻血</t>
    <phoneticPr fontId="1" type="noConversion"/>
  </si>
  <si>
    <t>1单位价值</t>
    <phoneticPr fontId="1" type="noConversion"/>
  </si>
  <si>
    <t>数据类型</t>
    <phoneticPr fontId="1" type="noConversion"/>
  </si>
  <si>
    <t>百分比</t>
    <phoneticPr fontId="1" type="noConversion"/>
  </si>
  <si>
    <t>固定值</t>
    <phoneticPr fontId="1" type="noConversion"/>
  </si>
  <si>
    <t>城池产量增加百分比 粮食刀币产量不加</t>
    <phoneticPr fontId="1" type="noConversion"/>
  </si>
  <si>
    <t>打野武将经验%</t>
    <phoneticPr fontId="1" type="noConversion"/>
  </si>
  <si>
    <t>野外采集木速度增加%</t>
    <phoneticPr fontId="1" type="noConversion"/>
  </si>
  <si>
    <t>野外采集石速度增加%</t>
    <phoneticPr fontId="1" type="noConversion"/>
  </si>
  <si>
    <t>野外采集铜速度增加%</t>
    <phoneticPr fontId="1" type="noConversion"/>
  </si>
  <si>
    <t>野外采集铁速度增加%</t>
    <phoneticPr fontId="1" type="noConversion"/>
  </si>
  <si>
    <t>城池木产量加成%</t>
    <phoneticPr fontId="1" type="noConversion"/>
  </si>
  <si>
    <t>城池石产量加成%</t>
    <phoneticPr fontId="1" type="noConversion"/>
  </si>
  <si>
    <t>城池铜产量加成%</t>
    <phoneticPr fontId="1" type="noConversion"/>
  </si>
  <si>
    <t>城池铁产量加成%</t>
    <phoneticPr fontId="1" type="noConversion"/>
  </si>
  <si>
    <t>城池刀币产量加成%</t>
    <phoneticPr fontId="1" type="noConversion"/>
  </si>
  <si>
    <t>仓库上限增加%</t>
    <phoneticPr fontId="1" type="noConversion"/>
  </si>
  <si>
    <t>仓库保护量增加%</t>
    <phoneticPr fontId="1" type="noConversion"/>
  </si>
  <si>
    <t>负重增加%</t>
    <phoneticPr fontId="1" type="noConversion"/>
  </si>
  <si>
    <t>木产量额外增加+（天）</t>
    <phoneticPr fontId="1" type="noConversion"/>
  </si>
  <si>
    <t>石产量额外增加+（天）</t>
    <phoneticPr fontId="1" type="noConversion"/>
  </si>
  <si>
    <t>粮产量额外增加+（天）</t>
  </si>
  <si>
    <t>铜产量额外增加+（天）</t>
  </si>
  <si>
    <t>铁产量额外增加+（天）</t>
  </si>
  <si>
    <t>刀币产量额外增加+（天）</t>
  </si>
  <si>
    <t>百分比</t>
    <phoneticPr fontId="1" type="noConversion"/>
  </si>
  <si>
    <t>固定值</t>
    <phoneticPr fontId="1" type="noConversion"/>
  </si>
  <si>
    <t>占领城池数量上限增加</t>
    <phoneticPr fontId="1" type="noConversion"/>
  </si>
  <si>
    <t>百分比</t>
    <phoneticPr fontId="1" type="noConversion"/>
  </si>
  <si>
    <t>国建捐献上限增加%</t>
    <phoneticPr fontId="1" type="noConversion"/>
  </si>
  <si>
    <t>行军速度增加%</t>
    <phoneticPr fontId="1" type="noConversion"/>
  </si>
  <si>
    <t>城防值上限增加%</t>
    <phoneticPr fontId="1" type="noConversion"/>
  </si>
  <si>
    <t>养成</t>
    <phoneticPr fontId="1" type="noConversion"/>
  </si>
  <si>
    <t>临时</t>
    <phoneticPr fontId="1" type="noConversion"/>
  </si>
  <si>
    <t>养成的价值用基础值计算</t>
    <phoneticPr fontId="1" type="noConversion"/>
  </si>
  <si>
    <t>临时的价值要算上基础和养成</t>
    <phoneticPr fontId="1" type="noConversion"/>
  </si>
  <si>
    <t>黄底为无养成加成</t>
    <phoneticPr fontId="1" type="noConversion"/>
  </si>
  <si>
    <t>设计思路</t>
    <phoneticPr fontId="1" type="noConversion"/>
  </si>
  <si>
    <t>1.围绕资源or道具or时间消耗折算为钻石价值来衡量，比如城建整体的价值=100%城建加速+100%城建消耗减少=养成带来的价值</t>
    <phoneticPr fontId="1" type="noConversion"/>
  </si>
  <si>
    <t>增加带兵数</t>
    <phoneticPr fontId="1" type="noConversion"/>
  </si>
  <si>
    <t>解锁士兵训练</t>
    <phoneticPr fontId="1" type="noConversion"/>
  </si>
  <si>
    <t>解锁圣人等级</t>
    <phoneticPr fontId="1" type="noConversion"/>
  </si>
  <si>
    <t>提高治疗上限</t>
    <phoneticPr fontId="1" type="noConversion"/>
  </si>
  <si>
    <t>提高招募上限，略微提高招募速度</t>
    <phoneticPr fontId="1" type="noConversion"/>
  </si>
  <si>
    <t>解锁门客等级</t>
    <phoneticPr fontId="1" type="noConversion"/>
  </si>
  <si>
    <t>城建全部效果提高%</t>
    <phoneticPr fontId="1" type="noConversion"/>
  </si>
  <si>
    <t>提高仓库上限</t>
    <phoneticPr fontId="1" type="noConversion"/>
  </si>
  <si>
    <t>提高保护上限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</si>
  <si>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</si>
  <si>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</si>
  <si>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</si>
  <si>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</si>
  <si>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</si>
  <si>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每天使用后立即回复当前兵营100%的新兵（可溢出）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</si>
  <si>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</si>
  <si>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</si>
  <si>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</si>
  <si>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大殿等级对应兵营等级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</si>
  <si>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</si>
  <si>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</si>
  <si>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</si>
  <si>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兵营等级累积停留时间(天）</t>
    <phoneticPr fontId="1" type="noConversion"/>
  </si>
  <si>
    <t>天数</t>
    <phoneticPr fontId="1" type="noConversion"/>
  </si>
  <si>
    <t>兵营等级</t>
    <phoneticPr fontId="1" type="noConversion"/>
  </si>
  <si>
    <t>大殿等级</t>
    <phoneticPr fontId="1" type="noConversion"/>
  </si>
  <si>
    <t>骑兵营</t>
    <phoneticPr fontId="1" type="noConversion"/>
  </si>
  <si>
    <t>步兵营</t>
    <phoneticPr fontId="1" type="noConversion"/>
  </si>
  <si>
    <t>弓兵营</t>
    <phoneticPr fontId="1" type="noConversion"/>
  </si>
  <si>
    <t>器械营</t>
    <phoneticPr fontId="1" type="noConversion"/>
  </si>
  <si>
    <t>兵营等级和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</si>
  <si>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</si>
  <si>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</si>
  <si>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</si>
  <si>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等级对应兵营上限</t>
    <phoneticPr fontId="1" type="noConversion"/>
  </si>
  <si>
    <t>阶段回复价值</t>
    <phoneticPr fontId="1" type="noConversion"/>
  </si>
  <si>
    <t>每日直接回复%兵力</t>
    <phoneticPr fontId="1" type="noConversion"/>
  </si>
  <si>
    <t>武将攻击提升%</t>
    <phoneticPr fontId="1" type="noConversion"/>
  </si>
  <si>
    <t>武将生命提升%</t>
    <phoneticPr fontId="1" type="noConversion"/>
  </si>
  <si>
    <t>武将伤害提升%</t>
    <phoneticPr fontId="1" type="noConversion"/>
  </si>
  <si>
    <t>武将免伤提升%</t>
    <phoneticPr fontId="1" type="noConversion"/>
  </si>
  <si>
    <t>值</t>
    <phoneticPr fontId="1" type="noConversion"/>
  </si>
  <si>
    <t>三维提升（全）</t>
    <phoneticPr fontId="1" type="noConversion"/>
  </si>
  <si>
    <t>部队攻城力提升%</t>
    <phoneticPr fontId="1" type="noConversion"/>
  </si>
  <si>
    <t>士兵攻击提升%</t>
    <phoneticPr fontId="1" type="noConversion"/>
  </si>
  <si>
    <t>士兵生命提升%</t>
    <phoneticPr fontId="1" type="noConversion"/>
  </si>
  <si>
    <t>士兵伤害提升%</t>
    <phoneticPr fontId="1" type="noConversion"/>
  </si>
  <si>
    <t>士兵免伤提升%</t>
    <phoneticPr fontId="1" type="noConversion"/>
  </si>
  <si>
    <t>这里是全局属性，下同</t>
    <phoneticPr fontId="1" type="noConversion"/>
  </si>
  <si>
    <t>玩家城防和城防恢复提高%</t>
    <phoneticPr fontId="1" type="noConversion"/>
  </si>
  <si>
    <t>兵营上限提升100%阶段价值</t>
    <phoneticPr fontId="1" type="noConversion"/>
  </si>
  <si>
    <t>兵营上限增加%</t>
    <phoneticPr fontId="1" type="noConversion"/>
  </si>
  <si>
    <t>每次行军时长</t>
    <phoneticPr fontId="1" type="noConversion"/>
  </si>
  <si>
    <t>阶段行军时间预估</t>
    <phoneticPr fontId="1" type="noConversion"/>
  </si>
  <si>
    <t>行军加速价值</t>
    <phoneticPr fontId="1" type="noConversion"/>
  </si>
  <si>
    <t>2.养成价值的设计思路：把这个效果平均分配到每一级，然后求平均价值,是否加权平均？？</t>
    <phoneticPr fontId="1" type="noConversion"/>
  </si>
  <si>
    <t>国家城防提高%</t>
    <phoneticPr fontId="1" type="noConversion"/>
  </si>
  <si>
    <t>城池粮产量加成%</t>
    <phoneticPr fontId="1" type="noConversion"/>
  </si>
  <si>
    <t>疲劳恢复速度提高%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</si>
  <si>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</si>
  <si>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</si>
  <si>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</si>
  <si>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</si>
  <si>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</si>
  <si>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养成buff规划</t>
    <phoneticPr fontId="1" type="noConversion"/>
  </si>
  <si>
    <t>整体按价值进行一个初步评判，以非线性效果（如城建加速除法公式）的中间段为标准，依循前高后低的原则</t>
    <phoneticPr fontId="1" type="noConversion"/>
  </si>
  <si>
    <t>城建加速</t>
    <phoneticPr fontId="1" type="noConversion"/>
  </si>
  <si>
    <t>将星</t>
    <phoneticPr fontId="1" type="noConversion"/>
  </si>
  <si>
    <t>圣人</t>
    <phoneticPr fontId="1" type="noConversion"/>
  </si>
  <si>
    <t>其他</t>
    <phoneticPr fontId="1" type="noConversion"/>
  </si>
  <si>
    <t>城建加速%(除法）</t>
    <phoneticPr fontId="1" type="noConversion"/>
  </si>
  <si>
    <t>招募加速</t>
    <phoneticPr fontId="1" type="noConversion"/>
  </si>
  <si>
    <t>折算系数</t>
    <phoneticPr fontId="1" type="noConversion"/>
  </si>
  <si>
    <t>士兵训练加速</t>
    <phoneticPr fontId="1" type="noConversion"/>
  </si>
  <si>
    <t>建筑木消耗减少%(除法）</t>
    <phoneticPr fontId="1" type="noConversion"/>
  </si>
  <si>
    <t>建筑石消耗减少%(除法）</t>
    <phoneticPr fontId="1" type="noConversion"/>
  </si>
  <si>
    <t>建筑铜消耗减少%(除法）</t>
    <phoneticPr fontId="1" type="noConversion"/>
  </si>
  <si>
    <t>建筑铁消耗减少%(除法）</t>
    <phoneticPr fontId="1" type="noConversion"/>
  </si>
  <si>
    <t>士兵训练加速%(除法）</t>
    <phoneticPr fontId="1" type="noConversion"/>
  </si>
  <si>
    <t>士兵训练消耗减少%(除法）</t>
    <phoneticPr fontId="1" type="noConversion"/>
  </si>
  <si>
    <t>招募士兵消耗降低%(除法）</t>
    <phoneticPr fontId="1" type="noConversion"/>
  </si>
  <si>
    <t>消耗权重</t>
    <phoneticPr fontId="1" type="noConversion"/>
  </si>
  <si>
    <t>治疗加速</t>
    <phoneticPr fontId="1" type="noConversion"/>
  </si>
  <si>
    <t>打野战损降低</t>
    <phoneticPr fontId="1" type="noConversion"/>
  </si>
  <si>
    <t>除法类</t>
    <phoneticPr fontId="1" type="noConversion"/>
  </si>
  <si>
    <t>打野战损降低%(除法）</t>
    <phoneticPr fontId="1" type="noConversion"/>
  </si>
  <si>
    <t>木/石/铜/粮产量增加</t>
    <phoneticPr fontId="1" type="noConversion"/>
  </si>
  <si>
    <t>铁产量增加</t>
    <phoneticPr fontId="1" type="noConversion"/>
  </si>
  <si>
    <t>木/石/铜/粮采集增加</t>
    <phoneticPr fontId="1" type="noConversion"/>
  </si>
  <si>
    <t>铁采集增加</t>
    <phoneticPr fontId="1" type="noConversion"/>
  </si>
  <si>
    <t>对野怪伤害/免伤增加</t>
    <phoneticPr fontId="1" type="noConversion"/>
  </si>
  <si>
    <t>仓库保护值</t>
    <phoneticPr fontId="1" type="noConversion"/>
  </si>
  <si>
    <t>城防恢复速度提高</t>
    <phoneticPr fontId="1" type="noConversion"/>
  </si>
  <si>
    <t>器械部队攻城值提高</t>
    <phoneticPr fontId="1" type="noConversion"/>
  </si>
  <si>
    <t>被掠夺时战损降低</t>
    <phoneticPr fontId="1" type="noConversion"/>
  </si>
  <si>
    <t>类型数</t>
    <phoneticPr fontId="1" type="noConversion"/>
  </si>
  <si>
    <t>掠夺时战损降低</t>
    <phoneticPr fontId="1" type="noConversion"/>
  </si>
  <si>
    <t>非器械部队攻城值提高</t>
    <phoneticPr fontId="1" type="noConversion"/>
  </si>
  <si>
    <t>负重提高</t>
    <phoneticPr fontId="1" type="noConversion"/>
  </si>
  <si>
    <t>玩家城防提高</t>
    <phoneticPr fontId="1" type="noConversion"/>
  </si>
  <si>
    <t>器械基础战损率降低</t>
    <phoneticPr fontId="1" type="noConversion"/>
  </si>
  <si>
    <t>非器械基础战损率降低</t>
    <phoneticPr fontId="1" type="noConversion"/>
  </si>
  <si>
    <t>兵营上限提高</t>
    <phoneticPr fontId="1" type="noConversion"/>
  </si>
  <si>
    <t>进攻玩家时伤害提高</t>
    <phoneticPr fontId="1" type="noConversion"/>
  </si>
  <si>
    <t>防守玩家时免伤提高</t>
    <phoneticPr fontId="1" type="noConversion"/>
  </si>
  <si>
    <t>地图移动速度</t>
    <phoneticPr fontId="1" type="noConversion"/>
  </si>
  <si>
    <t>单位价值</t>
    <phoneticPr fontId="1" type="noConversion"/>
  </si>
  <si>
    <t>总价值</t>
    <phoneticPr fontId="1" type="noConversion"/>
  </si>
  <si>
    <t>医馆上限提高</t>
    <phoneticPr fontId="1" type="noConversion"/>
  </si>
  <si>
    <t>医馆上限增加</t>
    <phoneticPr fontId="1" type="noConversion"/>
  </si>
  <si>
    <t>步兵/骑兵/弓兵/器械招募加速</t>
    <phoneticPr fontId="1" type="noConversion"/>
  </si>
  <si>
    <t>治疗加速</t>
    <phoneticPr fontId="1" type="noConversion"/>
  </si>
  <si>
    <t>士兵训练加速</t>
    <phoneticPr fontId="1" type="noConversion"/>
  </si>
  <si>
    <t>科研加速</t>
    <phoneticPr fontId="1" type="noConversion"/>
  </si>
  <si>
    <t>治疗加速%(除法）</t>
    <phoneticPr fontId="1" type="noConversion"/>
  </si>
  <si>
    <t>器械招募加速%(除法）</t>
    <phoneticPr fontId="1" type="noConversion"/>
  </si>
  <si>
    <t>弓兵招募加速%(除法）</t>
    <phoneticPr fontId="1" type="noConversion"/>
  </si>
  <si>
    <t>骑兵招募加速%(除法）</t>
    <phoneticPr fontId="1" type="noConversion"/>
  </si>
  <si>
    <t>步兵招募加速%(除法）</t>
    <phoneticPr fontId="1" type="noConversion"/>
  </si>
  <si>
    <t>圣人科研加速(除法）</t>
    <phoneticPr fontId="1" type="noConversion"/>
  </si>
  <si>
    <t>圣人主推</t>
    <phoneticPr fontId="1" type="noConversion"/>
  </si>
  <si>
    <t>木石铜粮产量额外增加</t>
    <phoneticPr fontId="1" type="noConversion"/>
  </si>
  <si>
    <t>国建捐献可获得国家币上限增加</t>
    <phoneticPr fontId="1" type="noConversion"/>
  </si>
  <si>
    <t>城内银币产量额外增加</t>
    <phoneticPr fontId="1" type="noConversion"/>
  </si>
  <si>
    <t>日常随机事件上限+2</t>
    <phoneticPr fontId="1" type="noConversion"/>
  </si>
  <si>
    <t>打野外时行军速度额外增加</t>
    <phoneticPr fontId="1" type="noConversion"/>
  </si>
  <si>
    <t>打野怪时战损率降低X%固定率</t>
    <phoneticPr fontId="1" type="noConversion"/>
  </si>
  <si>
    <t>攻城值额外提高</t>
    <phoneticPr fontId="1" type="noConversion"/>
  </si>
  <si>
    <t>掠夺时大地图移动速度增加</t>
    <phoneticPr fontId="1" type="noConversion"/>
  </si>
  <si>
    <t>攻城时大地图移动速度增加</t>
    <phoneticPr fontId="1" type="noConversion"/>
  </si>
  <si>
    <t>士兵训练消耗减少</t>
    <phoneticPr fontId="1" type="noConversion"/>
  </si>
  <si>
    <t>玩家城防值提高</t>
    <phoneticPr fontId="1" type="noConversion"/>
  </si>
  <si>
    <t>玩家被打飞后的限制迁城时间减少</t>
    <phoneticPr fontId="1" type="noConversion"/>
  </si>
  <si>
    <t>箭塔攻击提升</t>
    <phoneticPr fontId="1" type="noConversion"/>
  </si>
  <si>
    <t>功能还未做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</si>
</sst>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0000000000000%"/>
    <numFmt numFmtId="178" formatCode="0.000%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ajor"/>
    </font>
    <font>
      <sz val="9"/>
      <color theme="0"/>
      <name val="宋体"/>
      <family val="2"/>
      <scheme val="major"/>
    </font>
    <font>
      <sz val="9"/>
      <color theme="0"/>
      <name val="宋体"/>
      <family val="3"/>
      <charset val="134"/>
      <scheme val="maj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ajor"/>
    </font>
    <font>
      <sz val="11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68">
    <xf numFmtId="0" fontId="0" fillId="0" borderId="0" xfId="0"/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176" fontId="2" fillId="0" borderId="1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9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5" borderId="0" xfId="0" applyFont="1" applyFill="1" applyAlignment="1">
      <alignment horizontal="center"/>
    </xf>
    <xf numFmtId="9" fontId="5" fillId="0" borderId="0" xfId="0" applyNumberFormat="1" applyFont="1" applyAlignment="1">
      <alignment horizontal="center"/>
    </xf>
    <xf numFmtId="0" fontId="6" fillId="0" borderId="2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9" fontId="5" fillId="0" borderId="0" xfId="0" applyNumberFormat="1" applyFont="1" applyAlignment="1">
      <alignment vertical="center"/>
    </xf>
    <xf numFmtId="0" fontId="6" fillId="0" borderId="1" xfId="0" applyFont="1" applyFill="1" applyBorder="1" applyAlignment="1">
      <alignment vertical="center"/>
    </xf>
    <xf numFmtId="0" fontId="5" fillId="0" borderId="0" xfId="0" applyNumberFormat="1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9" fontId="5" fillId="0" borderId="0" xfId="0" applyNumberFormat="1" applyFont="1"/>
    <xf numFmtId="0" fontId="6" fillId="6" borderId="1" xfId="0" applyFont="1" applyFill="1" applyBorder="1" applyAlignme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left" vertical="center" shrinkToFi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4" borderId="0" xfId="0" applyFont="1" applyFill="1" applyAlignment="1">
      <alignment horizontal="right"/>
    </xf>
    <xf numFmtId="0" fontId="5" fillId="4" borderId="0" xfId="0" applyFont="1" applyFill="1"/>
    <xf numFmtId="9" fontId="5" fillId="4" borderId="0" xfId="0" applyNumberFormat="1" applyFont="1" applyFill="1" applyAlignment="1">
      <alignment horizontal="center"/>
    </xf>
    <xf numFmtId="0" fontId="9" fillId="0" borderId="0" xfId="0" applyFont="1"/>
    <xf numFmtId="178" fontId="5" fillId="0" borderId="0" xfId="0" applyNumberFormat="1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968;&#20540;&#29256;&#26412;&#22791;&#20221;/2020.08.17-&#29256;&#26412;&#22791;&#20221;/&#25968;&#20540;&#35774;&#35745;/&#22763;&#208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269;&#234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3;&#22320;&#22270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4"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  <cell r="EY5">
            <v>1804.7575533986676</v>
          </cell>
        </row>
        <row r="6"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  <cell r="EY6">
            <v>2410.6525887891553</v>
          </cell>
        </row>
        <row r="7"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EY7">
            <v>3171.560168885977</v>
          </cell>
        </row>
        <row r="8"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  <cell r="EY8">
            <v>4082.1306116730134</v>
          </cell>
        </row>
        <row r="9"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  <cell r="EY9">
            <v>5071.2024236419129</v>
          </cell>
        </row>
        <row r="10"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  <cell r="EY10">
            <v>6464.2593987682358</v>
          </cell>
        </row>
        <row r="11"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  <cell r="EY11">
            <v>8367.8316064014598</v>
          </cell>
        </row>
        <row r="12"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  <cell r="EY12">
            <v>9465.3538068642192</v>
          </cell>
        </row>
        <row r="13"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  <cell r="EY13">
            <v>12875.159312332247</v>
          </cell>
        </row>
        <row r="14"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  <cell r="EY14">
            <v>16536.297487842297</v>
          </cell>
        </row>
        <row r="15"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EY15">
            <v>20750.720918251718</v>
          </cell>
        </row>
        <row r="16"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EY16">
            <v>25287.720468839765</v>
          </cell>
        </row>
        <row r="17"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  <cell r="EY17">
            <v>32154.857892452637</v>
          </cell>
        </row>
        <row r="18"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  <cell r="EY18">
            <v>37090.233993769543</v>
          </cell>
        </row>
        <row r="19"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  <cell r="EY19">
            <v>46569.534624135966</v>
          </cell>
        </row>
        <row r="20"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EY20">
            <v>55910.086635357053</v>
          </cell>
        </row>
        <row r="21"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EY21">
            <v>64448.133518622686</v>
          </cell>
        </row>
        <row r="22"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EY22">
            <v>85574.636889870453</v>
          </cell>
        </row>
        <row r="23"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EY23">
            <v>97659.882586938867</v>
          </cell>
        </row>
        <row r="24"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  <cell r="EY24">
            <v>111924.73891858748</v>
          </cell>
        </row>
        <row r="25"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  <cell r="EY25">
            <v>141024.27305565294</v>
          </cell>
        </row>
        <row r="26"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  <cell r="EY26">
            <v>172152.52431443363</v>
          </cell>
        </row>
        <row r="27"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  <cell r="EY27">
            <v>195530.96109944937</v>
          </cell>
        </row>
        <row r="28"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  <cell r="EY28">
            <v>249202.70874811351</v>
          </cell>
        </row>
        <row r="29"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  <cell r="EY29">
            <v>290959.08340222691</v>
          </cell>
        </row>
        <row r="30"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  <cell r="EY30">
            <v>347200.48198218021</v>
          </cell>
        </row>
        <row r="31"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  <cell r="EY31">
            <v>414717.45278262161</v>
          </cell>
        </row>
        <row r="32"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  <cell r="EY32">
            <v>485312.45259913011</v>
          </cell>
        </row>
        <row r="33"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  <cell r="EY33">
            <v>626392.84889339504</v>
          </cell>
        </row>
        <row r="34"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  <cell r="EY34">
            <v>730143.75651527196</v>
          </cell>
        </row>
        <row r="35"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  <cell r="EY35">
            <v>876771.18664891669</v>
          </cell>
        </row>
        <row r="36"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  <cell r="EY36">
            <v>1023838.1545879153</v>
          </cell>
        </row>
        <row r="37"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  <cell r="EY37">
            <v>1182980.3626582499</v>
          </cell>
        </row>
        <row r="38"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  <cell r="EY38">
            <v>1466767.7385203061</v>
          </cell>
        </row>
        <row r="39"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  <cell r="EY39">
            <v>1739207.7940826907</v>
          </cell>
        </row>
        <row r="40"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  <cell r="EY40">
            <v>1990965.9534259825</v>
          </cell>
        </row>
        <row r="41"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  <cell r="EY41">
            <v>2342414.0489315814</v>
          </cell>
        </row>
        <row r="42"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  <cell r="EY42">
            <v>2681013.7670925669</v>
          </cell>
        </row>
        <row r="43"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  <cell r="EY43">
            <v>3152543.5454222197</v>
          </cell>
        </row>
        <row r="44"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  <cell r="EY44">
            <v>3811516.8971049022</v>
          </cell>
        </row>
        <row r="45"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  <cell r="EY45">
            <v>4597652.933970225</v>
          </cell>
        </row>
        <row r="46"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  <cell r="EY46">
            <v>5573957.0246091774</v>
          </cell>
        </row>
        <row r="47"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  <cell r="EY47">
            <v>6369701.0849879133</v>
          </cell>
        </row>
        <row r="48"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  <cell r="EY48">
            <v>7368454.5200580275</v>
          </cell>
        </row>
        <row r="49"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  <cell r="EY49">
            <v>8680686.2610045783</v>
          </cell>
        </row>
        <row r="50"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  <cell r="EY50">
            <v>10165138.404121948</v>
          </cell>
        </row>
        <row r="51"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  <cell r="EY51">
            <v>12018606.668547308</v>
          </cell>
        </row>
        <row r="52"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  <cell r="EY52">
            <v>14214241.868991395</v>
          </cell>
        </row>
        <row r="53"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  <cell r="EY53">
            <v>16308021.010851132</v>
          </cell>
        </row>
        <row r="54"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  <cell r="EY54">
            <v>19177762.454350691</v>
          </cell>
        </row>
        <row r="55"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  <cell r="EY55">
            <v>22410662.778692305</v>
          </cell>
        </row>
        <row r="56"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  <cell r="EY56">
            <v>28463941.536008596</v>
          </cell>
        </row>
        <row r="57"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  <cell r="EY57">
            <v>33905216.608933017</v>
          </cell>
        </row>
        <row r="58"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  <cell r="EY58">
            <v>37288814.203504793</v>
          </cell>
        </row>
        <row r="59"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  <cell r="EY59">
            <v>43411468.924259894</v>
          </cell>
        </row>
        <row r="60"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  <cell r="EY60">
            <v>51361599.019851401</v>
          </cell>
        </row>
        <row r="61"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  <cell r="EY61">
            <v>61050962.428778701</v>
          </cell>
        </row>
        <row r="62"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  <cell r="EY62">
            <v>71860352.457608357</v>
          </cell>
        </row>
        <row r="63"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  <cell r="EY63">
            <v>85655632.072311729</v>
          </cell>
        </row>
        <row r="64"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  <cell r="EG64">
            <v>0</v>
          </cell>
          <cell r="EY64">
            <v>100067260.45476456</v>
          </cell>
          <cell r="FB64">
            <v>450340294.22736311</v>
          </cell>
        </row>
        <row r="65"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  <cell r="EY65">
            <v>120059857.30220914</v>
          </cell>
        </row>
        <row r="66"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  <cell r="EY66">
            <v>143013317.00727665</v>
          </cell>
        </row>
        <row r="67"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  <cell r="EY67">
            <v>168031588.30380163</v>
          </cell>
        </row>
        <row r="68"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  <cell r="EY68">
            <v>200230142.64961269</v>
          </cell>
        </row>
        <row r="69"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  <cell r="EY69">
            <v>239221410.4617514</v>
          </cell>
        </row>
        <row r="70"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  <cell r="EY70">
            <v>278020783.46611989</v>
          </cell>
        </row>
        <row r="71"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  <cell r="EY71">
            <v>313270671.84978163</v>
          </cell>
        </row>
        <row r="72"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  <cell r="EY72">
            <v>355786999.08726674</v>
          </cell>
        </row>
        <row r="73"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  <cell r="EY73">
            <v>445460859.01299596</v>
          </cell>
        </row>
        <row r="74"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  <cell r="EY74">
            <v>539361391.67532921</v>
          </cell>
        </row>
        <row r="75"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  <cell r="EY75">
            <v>618643336.5986464</v>
          </cell>
        </row>
        <row r="76"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  <cell r="EY76">
            <v>707558281.61400294</v>
          </cell>
        </row>
        <row r="77"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  <cell r="EY77">
            <v>839327453.87327957</v>
          </cell>
        </row>
        <row r="78"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  <cell r="EY78">
            <v>1032466118.0564127</v>
          </cell>
        </row>
        <row r="79"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  <cell r="EY79">
            <v>1213556296.254041</v>
          </cell>
        </row>
        <row r="80"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  <cell r="EY80">
            <v>1405209006.4044542</v>
          </cell>
        </row>
        <row r="81"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  <cell r="EY81">
            <v>1694476915.0298476</v>
          </cell>
        </row>
        <row r="82"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  <cell r="EY82">
            <v>1991679229.8318963</v>
          </cell>
        </row>
        <row r="83"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  <cell r="EY83">
            <v>2354935221.4812565</v>
          </cell>
        </row>
        <row r="84"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  <cell r="EY84">
            <v>2612527214.4873524</v>
          </cell>
        </row>
        <row r="85"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</row>
        <row r="86"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</row>
        <row r="87"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</row>
        <row r="88"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</row>
        <row r="89"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</row>
        <row r="90"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</row>
        <row r="91"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</row>
        <row r="92"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</row>
        <row r="93"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</row>
        <row r="94"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</row>
        <row r="95"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</row>
        <row r="96"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</row>
        <row r="97"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</row>
        <row r="98"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</row>
        <row r="99"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</row>
        <row r="100"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</row>
        <row r="101"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</row>
        <row r="102"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</row>
        <row r="103"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</row>
      </sheetData>
      <sheetData sheetId="9">
        <row r="6">
          <cell r="U6">
            <v>9.6281917987293963E-3</v>
          </cell>
          <cell r="Z6">
            <v>1.4551224502040197E-2</v>
          </cell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S6">
            <v>3.0487804878048782E-3</v>
          </cell>
          <cell r="BB6">
            <v>3.7499999999999999E-2</v>
          </cell>
          <cell r="BT6">
            <v>3.2348184451616933E-2</v>
          </cell>
          <cell r="CJ6">
            <v>0.26486458647856714</v>
          </cell>
          <cell r="CK6">
            <v>0.26933240519284068</v>
          </cell>
          <cell r="CL6">
            <v>0.27359208558937748</v>
          </cell>
          <cell r="CM6">
            <v>0.27681854580145393</v>
          </cell>
          <cell r="CN6">
            <v>0.28070192887791351</v>
          </cell>
        </row>
        <row r="7">
          <cell r="U7">
            <v>4.6313058572587619E-3</v>
          </cell>
          <cell r="Z7">
            <v>7.0576396011912609E-3</v>
          </cell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S7">
            <v>2.976190476190476E-3</v>
          </cell>
          <cell r="BB7">
            <v>3.125E-2</v>
          </cell>
          <cell r="BT7">
            <v>3.1392151119474958E-2</v>
          </cell>
          <cell r="CJ7">
            <v>0.14616568383354886</v>
          </cell>
          <cell r="CK7">
            <v>0.14835973135471817</v>
          </cell>
          <cell r="CL7">
            <v>0.15035598691701557</v>
          </cell>
          <cell r="CM7">
            <v>0.15129689423230891</v>
          </cell>
          <cell r="CN7">
            <v>0.15290177018286771</v>
          </cell>
        </row>
        <row r="8">
          <cell r="U8">
            <v>2.9679516004557397E-3</v>
          </cell>
          <cell r="Z8">
            <v>4.5639401499506967E-3</v>
          </cell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S8">
            <v>2.9069767441860465E-3</v>
          </cell>
          <cell r="BB8">
            <v>2.615062761506276E-2</v>
          </cell>
          <cell r="BT8">
            <v>3.0464372842374271E-2</v>
          </cell>
          <cell r="CJ8">
            <v>0.10593745642123575</v>
          </cell>
          <cell r="CK8">
            <v>0.10736026445750343</v>
          </cell>
          <cell r="CL8">
            <v>0.10858002093007409</v>
          </cell>
          <cell r="CM8">
            <v>0.10886422896226756</v>
          </cell>
          <cell r="CN8">
            <v>0.10985128904080733</v>
          </cell>
        </row>
        <row r="9">
          <cell r="U9">
            <v>2.1383235759076763E-3</v>
          </cell>
          <cell r="Z9">
            <v>3.3201427345995248E-3</v>
          </cell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S9">
            <v>2.840909090909091E-3</v>
          </cell>
          <cell r="BB9">
            <v>2.1975317323582152E-2</v>
          </cell>
          <cell r="BT9">
            <v>2.9564014557238585E-2</v>
          </cell>
          <cell r="CJ9">
            <v>8.5349274095814193E-2</v>
          </cell>
          <cell r="CK9">
            <v>8.6379848345386034E-2</v>
          </cell>
          <cell r="CL9">
            <v>8.7201872887449183E-2</v>
          </cell>
          <cell r="CM9">
            <v>8.7230536644775467E-2</v>
          </cell>
          <cell r="CN9">
            <v>8.7803919205715383E-2</v>
          </cell>
        </row>
        <row r="10">
          <cell r="U10">
            <v>1.6460120093869748E-3</v>
          </cell>
          <cell r="Z10">
            <v>2.5762735960982619E-3</v>
          </cell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S10">
            <v>2.7777777777777779E-3</v>
          </cell>
          <cell r="BB10">
            <v>1.8544571581081984E-2</v>
          </cell>
          <cell r="BT10">
            <v>2.8690265880835262E-2</v>
          </cell>
          <cell r="CJ10">
            <v>7.2634322889865488E-2</v>
          </cell>
          <cell r="CK10">
            <v>7.3436659858609435E-2</v>
          </cell>
          <cell r="CL10">
            <v>7.4105219326274577E-2</v>
          </cell>
          <cell r="CM10">
            <v>7.3892553210489931E-2</v>
          </cell>
          <cell r="CN10">
            <v>7.4310364891010269E-2</v>
          </cell>
        </row>
        <row r="11">
          <cell r="U11">
            <v>1.5417401901672673E-3</v>
          </cell>
          <cell r="Z11">
            <v>2.4377847653862059E-3</v>
          </cell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S11">
            <v>2.717391304347826E-3</v>
          </cell>
          <cell r="BB11">
            <v>1.5715738628035578E-2</v>
          </cell>
          <cell r="BT11">
            <v>2.7842340380375731E-2</v>
          </cell>
          <cell r="CJ11">
            <v>6.9847887887158802E-2</v>
          </cell>
          <cell r="CK11">
            <v>7.0637844560058921E-2</v>
          </cell>
          <cell r="CL11">
            <v>7.1230134594019168E-2</v>
          </cell>
          <cell r="CM11">
            <v>7.0853146504649286E-2</v>
          </cell>
          <cell r="CN11">
            <v>7.115184704688847E-2</v>
          </cell>
        </row>
        <row r="12">
          <cell r="U12">
            <v>1.4438462135681741E-3</v>
          </cell>
          <cell r="Z12">
            <v>2.3079825574226108E-3</v>
          </cell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S12">
            <v>2.6595744680851063E-3</v>
          </cell>
          <cell r="BB12">
            <v>1.3375096704711131E-2</v>
          </cell>
          <cell r="BT12">
            <v>2.7019474865672907E-2</v>
          </cell>
          <cell r="CJ12">
            <v>6.7200899923591934E-2</v>
          </cell>
          <cell r="CK12">
            <v>6.7939267781617838E-2</v>
          </cell>
          <cell r="CL12">
            <v>6.844922125446673E-2</v>
          </cell>
          <cell r="CM12">
            <v>6.793760665646284E-2</v>
          </cell>
          <cell r="CN12">
            <v>6.8228724501566154E-2</v>
          </cell>
        </row>
        <row r="13">
          <cell r="U13">
            <v>1.3536090713570654E-3</v>
          </cell>
          <cell r="Z13">
            <v>2.1863768884114779E-3</v>
          </cell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S13">
            <v>2.6041666666666665E-3</v>
          </cell>
          <cell r="BB13">
            <v>1.1431706585223189E-2</v>
          </cell>
          <cell r="BT13">
            <v>2.6220928702218448E-2</v>
          </cell>
          <cell r="CJ13">
            <v>6.4654121826820815E-2</v>
          </cell>
          <cell r="CK13">
            <v>6.5355401395496115E-2</v>
          </cell>
          <cell r="CL13">
            <v>6.5808617523987145E-2</v>
          </cell>
          <cell r="CM13">
            <v>6.5231323527717863E-2</v>
          </cell>
          <cell r="CN13">
            <v>6.549188062042105E-2</v>
          </cell>
        </row>
        <row r="14">
          <cell r="U14">
            <v>1.2693876934731106E-3</v>
          </cell>
          <cell r="Z14">
            <v>2.0720927227754894E-3</v>
          </cell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S14">
            <v>2.5510204081632651E-3</v>
          </cell>
          <cell r="BB14">
            <v>9.8126236783031666E-3</v>
          </cell>
          <cell r="BT14">
            <v>2.5445983144561774E-2</v>
          </cell>
          <cell r="CJ14">
            <v>6.2202205306379578E-2</v>
          </cell>
          <cell r="CK14">
            <v>6.2858558844277101E-2</v>
          </cell>
          <cell r="CL14">
            <v>6.3271870971939675E-2</v>
          </cell>
          <cell r="CM14">
            <v>6.259321723494457E-2</v>
          </cell>
          <cell r="CN14">
            <v>6.2759442103708721E-2</v>
          </cell>
        </row>
        <row r="15">
          <cell r="U15">
            <v>1.1903551326857302E-3</v>
          </cell>
          <cell r="Z15">
            <v>1.9646514483929018E-3</v>
          </cell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S15">
            <v>2.5000000000000001E-3</v>
          </cell>
          <cell r="BB15">
            <v>8.4591583433647997E-3</v>
          </cell>
          <cell r="BT15">
            <v>2.4693940689390591E-2</v>
          </cell>
          <cell r="CJ15">
            <v>5.9840248247408481E-2</v>
          </cell>
          <cell r="CK15">
            <v>6.045482839599179E-2</v>
          </cell>
          <cell r="CL15">
            <v>6.0823278279231015E-2</v>
          </cell>
          <cell r="CM15">
            <v>6.0040782863314379E-2</v>
          </cell>
          <cell r="CN15">
            <v>6.0155362652046573E-2</v>
          </cell>
        </row>
        <row r="16">
          <cell r="U16">
            <v>1.1252728797645887E-3</v>
          </cell>
          <cell r="Z16">
            <v>1.8709759958905345E-3</v>
          </cell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S16">
            <v>2.4509803921568627E-3</v>
          </cell>
          <cell r="BB16">
            <v>7.323946617631861E-3</v>
          </cell>
          <cell r="BT16">
            <v>2.396412444773087E-2</v>
          </cell>
          <cell r="CJ16">
            <v>5.7832146567477163E-2</v>
          </cell>
          <cell r="CK16">
            <v>5.8435527758372227E-2</v>
          </cell>
          <cell r="CL16">
            <v>5.8735848794030383E-2</v>
          </cell>
          <cell r="CM16">
            <v>5.7895681948539966E-2</v>
          </cell>
          <cell r="CN16">
            <v>5.7850763495498725E-2</v>
          </cell>
        </row>
        <row r="17">
          <cell r="U17">
            <v>1.0646747706131185E-3</v>
          </cell>
          <cell r="Z17">
            <v>1.7823725574230014E-3</v>
          </cell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S17">
            <v>2.403846153846154E-3</v>
          </cell>
          <cell r="BB17">
            <v>6.3686492327233576E-3</v>
          </cell>
          <cell r="BT17">
            <v>2.3255877535701037E-2</v>
          </cell>
          <cell r="CJ17">
            <v>5.5893405363039612E-2</v>
          </cell>
          <cell r="CK17">
            <v>5.647991556137473E-2</v>
          </cell>
          <cell r="CL17">
            <v>5.6739423886536293E-2</v>
          </cell>
          <cell r="CM17">
            <v>5.5825356959877497E-2</v>
          </cell>
          <cell r="CN17">
            <v>5.5646218856351549E-2</v>
          </cell>
        </row>
        <row r="18">
          <cell r="U18">
            <v>1.0072437407989054E-3</v>
          </cell>
          <cell r="Z18">
            <v>1.6984140197652826E-3</v>
          </cell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S18">
            <v>2.3584905660377358E-3</v>
          </cell>
          <cell r="BB18">
            <v>5.5621390678806618E-3</v>
          </cell>
          <cell r="BT18">
            <v>2.2568562483272155E-2</v>
          </cell>
          <cell r="CJ18">
            <v>5.4027011299292667E-2</v>
          </cell>
          <cell r="CK18">
            <v>5.457369900924381E-2</v>
          </cell>
          <cell r="CL18">
            <v>5.4799219620132962E-2</v>
          </cell>
          <cell r="CM18">
            <v>5.3815925658015906E-2</v>
          </cell>
          <cell r="CN18">
            <v>5.3521301140819898E-2</v>
          </cell>
        </row>
        <row r="19">
          <cell r="U19">
            <v>9.5358942149124199E-4</v>
          </cell>
          <cell r="Z19">
            <v>1.6188985701182889E-3</v>
          </cell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S19">
            <v>2.3148148148148147E-3</v>
          </cell>
          <cell r="BB19">
            <v>4.8790693577900543E-3</v>
          </cell>
          <cell r="BT19">
            <v>2.1901560660501897E-2</v>
          </cell>
          <cell r="CJ19">
            <v>5.2217994015215208E-2</v>
          </cell>
          <cell r="CK19">
            <v>5.2735003172029948E-2</v>
          </cell>
          <cell r="CL19">
            <v>5.2939108279831809E-2</v>
          </cell>
          <cell r="CM19">
            <v>5.1894547828731763E-2</v>
          </cell>
          <cell r="CN19">
            <v>5.1518025335003902E-2</v>
          </cell>
        </row>
        <row r="20">
          <cell r="U20">
            <v>9.0283531851985161E-4</v>
          </cell>
          <cell r="Z20">
            <v>1.5434738863559592E-3</v>
          </cell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S20">
            <v>2.2727272727272726E-3</v>
          </cell>
          <cell r="BB20">
            <v>4.298739522281987E-3</v>
          </cell>
          <cell r="BT20">
            <v>2.1254271720725776E-2</v>
          </cell>
          <cell r="CJ20">
            <v>5.0464187104839235E-2</v>
          </cell>
          <cell r="CK20">
            <v>5.0946640096327434E-2</v>
          </cell>
          <cell r="CL20">
            <v>5.1136093421670401E-2</v>
          </cell>
          <cell r="CM20">
            <v>5.0024791248232857E-2</v>
          </cell>
          <cell r="CN20">
            <v>4.9717466691619791E-2</v>
          </cell>
        </row>
        <row r="21">
          <cell r="U21">
            <v>8.5474030215011503E-4</v>
          </cell>
          <cell r="Z21">
            <v>1.4719300995800651E-3</v>
          </cell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S21">
            <v>2.232142857142857E-3</v>
          </cell>
          <cell r="BB21">
            <v>3.8041942675061829E-3</v>
          </cell>
          <cell r="BT21">
            <v>2.0626113060204693E-2</v>
          </cell>
          <cell r="CJ21">
            <v>4.8763533089880511E-2</v>
          </cell>
          <cell r="CK21">
            <v>4.922294312597883E-2</v>
          </cell>
          <cell r="CL21">
            <v>4.9386267949875121E-2</v>
          </cell>
          <cell r="CM21">
            <v>4.8226055814984833E-2</v>
          </cell>
          <cell r="CN21">
            <v>4.8004930234464657E-2</v>
          </cell>
        </row>
        <row r="22">
          <cell r="U22">
            <v>8.0935743487884184E-4</v>
          </cell>
          <cell r="Z22">
            <v>1.4040705722822122E-3</v>
          </cell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S22">
            <v>2.1929824561403508E-3</v>
          </cell>
          <cell r="BB22">
            <v>3.3815060155610514E-3</v>
          </cell>
          <cell r="BT22">
            <v>2.0016519293742197E-2</v>
          </cell>
          <cell r="CJ22">
            <v>4.645940319988355E-2</v>
          </cell>
          <cell r="CK22">
            <v>4.7556181238365351E-2</v>
          </cell>
          <cell r="CL22">
            <v>4.7695081138004372E-2</v>
          </cell>
          <cell r="CM22">
            <v>4.649859605136316E-2</v>
          </cell>
          <cell r="CN22">
            <v>4.6462219313336085E-2</v>
          </cell>
        </row>
        <row r="23">
          <cell r="U23">
            <v>7.6564409695025501E-4</v>
          </cell>
          <cell r="Z23">
            <v>1.3395339009401729E-3</v>
          </cell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S23">
            <v>2.1551724137931034E-3</v>
          </cell>
          <cell r="BB23">
            <v>3.0192017996080811E-3</v>
          </cell>
          <cell r="BT23">
            <v>1.9424941745799656E-2</v>
          </cell>
          <cell r="CJ23">
            <v>4.4230271260909115E-2</v>
          </cell>
          <cell r="CK23">
            <v>4.5602919761056349E-2</v>
          </cell>
          <cell r="CL23">
            <v>4.6030832246946589E-2</v>
          </cell>
          <cell r="CM23">
            <v>4.4850825177024614E-2</v>
          </cell>
          <cell r="CN23">
            <v>4.5025789029645456E-2</v>
          </cell>
        </row>
        <row r="24">
          <cell r="U24">
            <v>6.0441363792125015E-4</v>
          </cell>
          <cell r="Z24">
            <v>1.2782777441115516E-3</v>
          </cell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S24">
            <v>2.1186440677966102E-3</v>
          </cell>
          <cell r="BB24">
            <v>2.6957158925072153E-3</v>
          </cell>
          <cell r="BT24">
            <v>1.8850847956651238E-2</v>
          </cell>
          <cell r="CJ24">
            <v>3.8605711286277218E-2</v>
          </cell>
          <cell r="CK24">
            <v>3.9595134172280486E-2</v>
          </cell>
          <cell r="CL24">
            <v>4.0336946895374391E-2</v>
          </cell>
          <cell r="CM24">
            <v>3.9565165672720649E-2</v>
          </cell>
          <cell r="CN24">
            <v>3.9746542172856857E-2</v>
          </cell>
        </row>
        <row r="25">
          <cell r="U25">
            <v>5.6856975084743262E-4</v>
          </cell>
          <cell r="Z25">
            <v>1.2046580879906167E-3</v>
          </cell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S25">
            <v>2.0833333333333333E-3</v>
          </cell>
          <cell r="BB25">
            <v>2.4068891897385848E-3</v>
          </cell>
          <cell r="BT25">
            <v>1.8293721203134217E-2</v>
          </cell>
          <cell r="CJ25">
            <v>3.6895572912911602E-2</v>
          </cell>
          <cell r="CK25">
            <v>3.7959245105072537E-2</v>
          </cell>
          <cell r="CL25">
            <v>3.8951587558790378E-2</v>
          </cell>
          <cell r="CM25">
            <v>3.8422192057944088E-2</v>
          </cell>
          <cell r="CN25">
            <v>3.8577039376834668E-2</v>
          </cell>
        </row>
        <row r="26">
          <cell r="U26">
            <v>5.2986943320609109E-4</v>
          </cell>
          <cell r="Z26">
            <v>1.1196353241257797E-3</v>
          </cell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S26">
            <v>2.0491803278688526E-3</v>
          </cell>
          <cell r="BB26">
            <v>2.1490082051237361E-3</v>
          </cell>
          <cell r="BT26">
            <v>1.775306003356324E-2</v>
          </cell>
          <cell r="CJ26">
            <v>3.5549368814763289E-2</v>
          </cell>
          <cell r="CK26">
            <v>3.643244479860111E-2</v>
          </cell>
          <cell r="CL26">
            <v>3.7425637702334098E-2</v>
          </cell>
          <cell r="CM26">
            <v>3.7319115064500925E-2</v>
          </cell>
          <cell r="CN26">
            <v>3.7442288675621459E-2</v>
          </cell>
        </row>
        <row r="27">
          <cell r="U27">
            <v>4.9316388842784087E-4</v>
          </cell>
          <cell r="Z27">
            <v>1.0391521124204714E-3</v>
          </cell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S27">
            <v>2.0161290322580645E-3</v>
          </cell>
          <cell r="BB27">
            <v>1.9187573260033358E-3</v>
          </cell>
          <cell r="BT27">
            <v>1.7228377816389976E-2</v>
          </cell>
          <cell r="CJ27">
            <v>3.4514542535326591E-2</v>
          </cell>
          <cell r="CK27">
            <v>3.4936136818107463E-2</v>
          </cell>
          <cell r="CL27">
            <v>3.5931252960754383E-2</v>
          </cell>
          <cell r="CM27">
            <v>3.6246381047994089E-2</v>
          </cell>
          <cell r="CN27">
            <v>3.6334764229647071E-2</v>
          </cell>
        </row>
        <row r="28">
          <cell r="U28">
            <v>4.1807531815853745E-4</v>
          </cell>
          <cell r="Z28">
            <v>9.5795101975211364E-4</v>
          </cell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S28">
            <v>1.984126984126984E-3</v>
          </cell>
          <cell r="BB28">
            <v>1.7131761839315495E-3</v>
          </cell>
          <cell r="BT28">
            <v>1.6719202302201853E-2</v>
          </cell>
          <cell r="CJ28">
            <v>3.208916815948052E-2</v>
          </cell>
          <cell r="CK28">
            <v>3.2405088922542624E-2</v>
          </cell>
          <cell r="CL28">
            <v>3.2950943578898322E-2</v>
          </cell>
          <cell r="CM28">
            <v>3.3466542535836814E-2</v>
          </cell>
          <cell r="CN28">
            <v>3.3584111267045483E-2</v>
          </cell>
        </row>
        <row r="29">
          <cell r="U29">
            <v>3.8646682265192669E-4</v>
          </cell>
          <cell r="Z29">
            <v>8.8088406946357234E-4</v>
          </cell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S29">
            <v>1.953125E-3</v>
          </cell>
          <cell r="BB29">
            <v>1.5296215927960263E-3</v>
          </cell>
          <cell r="BT29">
            <v>1.6225075198665721E-2</v>
          </cell>
          <cell r="CJ29">
            <v>3.1041300007332E-2</v>
          </cell>
          <cell r="CK29">
            <v>3.1341661356630732E-2</v>
          </cell>
          <cell r="CL29">
            <v>3.1543859533788167E-2</v>
          </cell>
          <cell r="CM29">
            <v>3.214805837378612E-2</v>
          </cell>
          <cell r="CN29">
            <v>3.2472293036406058E-2</v>
          </cell>
        </row>
        <row r="30">
          <cell r="U30">
            <v>3.6249340135193598E-4</v>
          </cell>
          <cell r="Z30">
            <v>8.2732287110372747E-4</v>
          </cell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S30">
            <v>1.9230769230769232E-3</v>
          </cell>
          <cell r="BB30">
            <v>1.365733564996452E-3</v>
          </cell>
          <cell r="BT30">
            <v>1.5745551758033823E-2</v>
          </cell>
          <cell r="CJ30">
            <v>3.0025232490172069E-2</v>
          </cell>
          <cell r="CK30">
            <v>3.0315807184767389E-2</v>
          </cell>
          <cell r="CL30">
            <v>3.0403246793317826E-2</v>
          </cell>
          <cell r="CM30">
            <v>3.0878669823932357E-2</v>
          </cell>
          <cell r="CN30">
            <v>3.1402073118005094E-2</v>
          </cell>
        </row>
        <row r="31">
          <cell r="U31">
            <v>3.4253044261647327E-4</v>
          </cell>
          <cell r="Z31">
            <v>7.8546185210972414E-4</v>
          </cell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S31">
            <v>1.893939393939394E-3</v>
          </cell>
          <cell r="BB31">
            <v>1.219404968746832E-3</v>
          </cell>
          <cell r="BT31">
            <v>1.5280200376840785E-2</v>
          </cell>
          <cell r="CJ31">
            <v>2.9042914014927111E-2</v>
          </cell>
          <cell r="CK31">
            <v>2.9321387173249995E-2</v>
          </cell>
          <cell r="CL31">
            <v>2.9401175652261573E-2</v>
          </cell>
          <cell r="CM31">
            <v>2.9656918384964554E-2</v>
          </cell>
          <cell r="CN31">
            <v>3.0364923622935636E-2</v>
          </cell>
        </row>
        <row r="32">
          <cell r="U32">
            <v>3.2370650409729981E-4</v>
          </cell>
          <cell r="Z32">
            <v>7.4600021166051271E-4</v>
          </cell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S32">
            <v>1.8656716417910447E-3</v>
          </cell>
          <cell r="BB32">
            <v>1.0887544363810998E-3</v>
          </cell>
          <cell r="BT32">
            <v>1.4828602207431372E-2</v>
          </cell>
          <cell r="CJ32">
            <v>2.8095403318158237E-2</v>
          </cell>
          <cell r="CK32">
            <v>2.8357112350904573E-2</v>
          </cell>
          <cell r="CL32">
            <v>2.8429425265091728E-2</v>
          </cell>
          <cell r="CM32">
            <v>2.8474529922352602E-2</v>
          </cell>
          <cell r="CN32">
            <v>2.9358932397428462E-2</v>
          </cell>
        </row>
        <row r="33">
          <cell r="U33">
            <v>3.0601583763640211E-4</v>
          </cell>
          <cell r="Z33">
            <v>7.0880021139382117E-4</v>
          </cell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S33">
            <v>1.838235294117647E-3</v>
          </cell>
          <cell r="BB33">
            <v>9.7210217534026756E-4</v>
          </cell>
          <cell r="BT33">
            <v>1.4390350780969324E-2</v>
          </cell>
          <cell r="CJ33">
            <v>2.7177980052775299E-2</v>
          </cell>
          <cell r="CK33">
            <v>2.7425620173101656E-2</v>
          </cell>
          <cell r="CL33">
            <v>2.7489923161074417E-2</v>
          </cell>
          <cell r="CM33">
            <v>2.7338484494192107E-2</v>
          </cell>
          <cell r="CN33">
            <v>2.8395239654055333E-2</v>
          </cell>
        </row>
        <row r="34">
          <cell r="U34">
            <v>2.8930459416198984E-4</v>
          </cell>
          <cell r="Z34">
            <v>6.7367416996628093E-4</v>
          </cell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S34">
            <v>1.8115942028985507E-3</v>
          </cell>
          <cell r="BB34">
            <v>8.6794837083952457E-4</v>
          </cell>
          <cell r="BT34">
            <v>1.3965051641587968E-2</v>
          </cell>
          <cell r="CJ34">
            <v>2.6307732854199982E-2</v>
          </cell>
          <cell r="CK34">
            <v>2.6534820637766417E-2</v>
          </cell>
          <cell r="CL34">
            <v>2.657833909711067E-2</v>
          </cell>
          <cell r="CM34">
            <v>2.64565797919873E-2</v>
          </cell>
          <cell r="CN34">
            <v>2.7463828531848318E-2</v>
          </cell>
        </row>
        <row r="35">
          <cell r="U35">
            <v>2.7420941280178936E-4</v>
          </cell>
          <cell r="Z35">
            <v>6.4050911301302032E-4</v>
          </cell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S35">
            <v>1.7857142857142857E-3</v>
          </cell>
          <cell r="BB35">
            <v>7.7495390253528977E-4</v>
          </cell>
          <cell r="BT35">
            <v>1.3552321991353306E-2</v>
          </cell>
          <cell r="CJ35">
            <v>2.5465093049397133E-2</v>
          </cell>
          <cell r="CK35">
            <v>2.5675025340160799E-2</v>
          </cell>
          <cell r="CL35">
            <v>2.5723861215005007E-2</v>
          </cell>
          <cell r="CM35">
            <v>2.5606029461772345E-2</v>
          </cell>
          <cell r="CN35">
            <v>2.6508517558539477E-2</v>
          </cell>
        </row>
        <row r="36">
          <cell r="U36">
            <v>2.5766855427923217E-4</v>
          </cell>
          <cell r="Z36">
            <v>6.0233402719127532E-4</v>
          </cell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S36">
            <v>1.7605633802816902E-3</v>
          </cell>
          <cell r="BB36">
            <v>6.9502592155631373E-4</v>
          </cell>
          <cell r="BT36">
            <v>1.3151790345720039E-2</v>
          </cell>
          <cell r="CJ36">
            <v>2.4539971406028094E-2</v>
          </cell>
          <cell r="CK36">
            <v>2.4731643810641388E-2</v>
          </cell>
          <cell r="CL36">
            <v>2.4795878049838477E-2</v>
          </cell>
          <cell r="CM36">
            <v>2.4673406594932171E-2</v>
          </cell>
          <cell r="CN36">
            <v>2.5366267152388183E-2</v>
          </cell>
        </row>
        <row r="37">
          <cell r="U37">
            <v>2.4228420631349984E-4</v>
          </cell>
          <cell r="Z37">
            <v>5.6690641477821378E-4</v>
          </cell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S37">
            <v>1.736111111111111E-3</v>
          </cell>
          <cell r="BB37">
            <v>6.2614947887956187E-4</v>
          </cell>
          <cell r="BT37">
            <v>1.2763096199170399E-2</v>
          </cell>
          <cell r="CJ37">
            <v>2.3653023347299532E-2</v>
          </cell>
          <cell r="CK37">
            <v>2.3827619390326238E-2</v>
          </cell>
          <cell r="CL37">
            <v>2.3906505403454577E-2</v>
          </cell>
          <cell r="CM37">
            <v>2.3781536476121072E-2</v>
          </cell>
          <cell r="CN37">
            <v>2.4281039258642098E-2</v>
          </cell>
        </row>
        <row r="38">
          <cell r="U38">
            <v>2.2801491764442929E-4</v>
          </cell>
          <cell r="Z38">
            <v>5.3398269064899742E-4</v>
          </cell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S38">
            <v>1.7123287671232876E-3</v>
          </cell>
          <cell r="BB38">
            <v>5.6665111210820081E-4</v>
          </cell>
          <cell r="BT38">
            <v>1.2385889700734858E-2</v>
          </cell>
          <cell r="CJ38">
            <v>2.2804595536808143E-2</v>
          </cell>
          <cell r="CK38">
            <v>2.2961095903687688E-2</v>
          </cell>
          <cell r="CL38">
            <v>2.3056131625853321E-2</v>
          </cell>
          <cell r="CM38">
            <v>2.2926878886545429E-2</v>
          </cell>
          <cell r="CN38">
            <v>2.3248104639485716E-2</v>
          </cell>
        </row>
        <row r="39">
          <cell r="U39">
            <v>2.1476477708718225E-4</v>
          </cell>
          <cell r="Z39">
            <v>5.0329093278160357E-4</v>
          </cell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S39">
            <v>1.6891891891891893E-3</v>
          </cell>
          <cell r="BB39">
            <v>5.1513737464381883E-4</v>
          </cell>
          <cell r="BT39">
            <v>1.201983133910261E-2</v>
          </cell>
          <cell r="CJ39">
            <v>2.1992006347265083E-2</v>
          </cell>
          <cell r="CK39">
            <v>2.2127507865834426E-2</v>
          </cell>
          <cell r="CL39">
            <v>2.2242525142473091E-2</v>
          </cell>
          <cell r="CM39">
            <v>2.2105463848802288E-2</v>
          </cell>
          <cell r="CN39">
            <v>2.2254575819644809E-2</v>
          </cell>
        </row>
        <row r="40">
          <cell r="U40">
            <v>2.0255083239185414E-4</v>
          </cell>
          <cell r="Z40">
            <v>4.7483239224808325E-4</v>
          </cell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S40">
            <v>1.6666666666666668E-3</v>
          </cell>
          <cell r="BB40">
            <v>4.6830670422165342E-4</v>
          </cell>
          <cell r="BT40">
            <v>1.1664591637038512E-2</v>
          </cell>
          <cell r="CJ40">
            <v>2.1214109205995556E-2</v>
          </cell>
          <cell r="CK40">
            <v>2.1343086784434386E-2</v>
          </cell>
          <cell r="CL40">
            <v>2.1468456167973063E-2</v>
          </cell>
          <cell r="CM40">
            <v>2.1319110897309777E-2</v>
          </cell>
          <cell r="CN40">
            <v>2.1328252785991708E-2</v>
          </cell>
        </row>
        <row r="41">
          <cell r="U41">
            <v>1.9116615265930348E-4</v>
          </cell>
          <cell r="Z41">
            <v>4.483193318805489E-4</v>
          </cell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S41">
            <v>1.6447368421052631E-3</v>
          </cell>
          <cell r="BB41">
            <v>4.2573336747423038E-4</v>
          </cell>
          <cell r="BT41">
            <v>1.1319850854831304E-2</v>
          </cell>
          <cell r="CJ41">
            <v>2.0469763526524163E-2</v>
          </cell>
          <cell r="CK41">
            <v>2.0608526153768392E-2</v>
          </cell>
          <cell r="CL41">
            <v>2.072611464502196E-2</v>
          </cell>
          <cell r="CM41">
            <v>2.0565585525252058E-2</v>
          </cell>
          <cell r="CN41">
            <v>2.0562929934290229E-2</v>
          </cell>
        </row>
        <row r="42">
          <cell r="U42">
            <v>1.8051262049478486E-4</v>
          </cell>
          <cell r="Z42">
            <v>4.2353948854793725E-4</v>
          </cell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S42">
            <v>1.6233766233766235E-3</v>
          </cell>
          <cell r="BB42">
            <v>3.8703033406748213E-4</v>
          </cell>
          <cell r="BT42">
            <v>1.0985298702506304E-2</v>
          </cell>
          <cell r="CJ42">
            <v>1.9753501264266036E-2</v>
          </cell>
          <cell r="CK42">
            <v>1.99019643503968E-2</v>
          </cell>
          <cell r="CL42">
            <v>2.0012326637444133E-2</v>
          </cell>
          <cell r="CM42">
            <v>1.9842354411886285E-2</v>
          </cell>
          <cell r="CN42">
            <v>1.9856689092771468E-2</v>
          </cell>
        </row>
        <row r="43">
          <cell r="U43">
            <v>1.7053079044999542E-4</v>
          </cell>
          <cell r="Z43">
            <v>4.003668121605332E-4</v>
          </cell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S43">
            <v>1.6025641025641025E-3</v>
          </cell>
          <cell r="BB43">
            <v>3.5184575824316556E-4</v>
          </cell>
          <cell r="BT43">
            <v>1.0660634060543463E-2</v>
          </cell>
          <cell r="CJ43">
            <v>1.9063615160087994E-2</v>
          </cell>
          <cell r="CK43">
            <v>1.9222002979540503E-2</v>
          </cell>
          <cell r="CL43">
            <v>1.9325526758984104E-2</v>
          </cell>
          <cell r="CM43">
            <v>1.9146136661848372E-2</v>
          </cell>
          <cell r="CN43">
            <v>1.9177303456576617E-2</v>
          </cell>
        </row>
        <row r="44">
          <cell r="U44">
            <v>1.6116661077064358E-4</v>
          </cell>
          <cell r="Z44">
            <v>3.7866047740332478E-4</v>
          </cell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S44">
            <v>1.5822784810126582E-3</v>
          </cell>
          <cell r="BB44">
            <v>3.1985978022105956E-4</v>
          </cell>
          <cell r="BT44">
            <v>1.0345564708849501E-2</v>
          </cell>
          <cell r="CJ44">
            <v>1.8398827129223999E-2</v>
          </cell>
          <cell r="CK44">
            <v>1.8567845317290131E-2</v>
          </cell>
          <cell r="CL44">
            <v>1.8664247474232482E-2</v>
          </cell>
          <cell r="CM44">
            <v>1.8474726834659783E-2</v>
          </cell>
          <cell r="CN44">
            <v>1.8522872440322895E-2</v>
          </cell>
        </row>
        <row r="45">
          <cell r="U45">
            <v>1.5236413837786778E-4</v>
          </cell>
          <cell r="Z45">
            <v>3.5829912285724772E-4</v>
          </cell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S45">
            <v>1.5625000000000001E-3</v>
          </cell>
          <cell r="BB45">
            <v>2.9078161838278139E-4</v>
          </cell>
          <cell r="BT45">
            <v>1.003980706374007E-2</v>
          </cell>
          <cell r="CJ45">
            <v>1.7775853221426188E-2</v>
          </cell>
          <cell r="CK45">
            <v>1.7940295435320535E-2</v>
          </cell>
          <cell r="CL45">
            <v>1.802677105430435E-2</v>
          </cell>
          <cell r="CM45">
            <v>1.7834020888118814E-2</v>
          </cell>
          <cell r="CN45">
            <v>1.789398086530003E-2</v>
          </cell>
        </row>
        <row r="46">
          <cell r="U46">
            <v>1.4408709353717062E-4</v>
          </cell>
          <cell r="Z46">
            <v>3.3918632897764547E-4</v>
          </cell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S46">
            <v>1.5432098765432098E-3</v>
          </cell>
          <cell r="BB46">
            <v>2.6434692580252849E-4</v>
          </cell>
          <cell r="BT46">
            <v>9.7430859226953128E-3</v>
          </cell>
          <cell r="CJ46">
            <v>1.7178199256319006E-2</v>
          </cell>
          <cell r="CK46">
            <v>1.7336762087326249E-2</v>
          </cell>
          <cell r="CL46">
            <v>1.7412227783186122E-2</v>
          </cell>
          <cell r="CM46">
            <v>1.7219379772671951E-2</v>
          </cell>
          <cell r="CN46">
            <v>1.7287461565073516E-2</v>
          </cell>
        </row>
        <row r="47">
          <cell r="U47">
            <v>1.3630298611948418E-4</v>
          </cell>
          <cell r="Z47">
            <v>3.2121251632356043E-4</v>
          </cell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S47">
            <v>1.5243902439024391E-3</v>
          </cell>
          <cell r="BB47">
            <v>2.403153870932077E-4</v>
          </cell>
          <cell r="BT47">
            <v>9.4551342166590124E-3</v>
          </cell>
          <cell r="CJ47">
            <v>1.6601997240666265E-2</v>
          </cell>
          <cell r="CK47">
            <v>1.6753939811841891E-2</v>
          </cell>
          <cell r="CL47">
            <v>1.6819843821896874E-2</v>
          </cell>
          <cell r="CM47">
            <v>1.6642009050523422E-2</v>
          </cell>
          <cell r="CN47">
            <v>1.6734578261074762E-2</v>
          </cell>
        </row>
        <row r="48">
          <cell r="U48">
            <v>1.2900252716318398E-4</v>
          </cell>
          <cell r="Z48">
            <v>3.043254638735498E-4</v>
          </cell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S48">
            <v>1.5060240963855422E-3</v>
          </cell>
          <cell r="BB48">
            <v>2.184685337210979E-4</v>
          </cell>
          <cell r="BT48">
            <v>9.1756927696584108E-3</v>
          </cell>
          <cell r="CJ48">
            <v>1.6045904223532012E-2</v>
          </cell>
          <cell r="CK48">
            <v>1.6192453027551144E-2</v>
          </cell>
          <cell r="CL48">
            <v>1.624998033913164E-2</v>
          </cell>
          <cell r="CM48">
            <v>1.608582300133702E-2</v>
          </cell>
          <cell r="CN48">
            <v>1.6279109988106333E-2</v>
          </cell>
        </row>
        <row r="49">
          <cell r="U49">
            <v>1.2217162723158922E-4</v>
          </cell>
          <cell r="Z49">
            <v>2.8847104147443158E-4</v>
          </cell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S49">
            <v>1.488095238095238E-3</v>
          </cell>
          <cell r="BB49">
            <v>1.9860775792827079E-4</v>
          </cell>
          <cell r="BT49">
            <v>8.9045100655283475E-3</v>
          </cell>
          <cell r="CJ49">
            <v>1.5511743737932997E-2</v>
          </cell>
          <cell r="CK49">
            <v>1.5650815599628217E-2</v>
          </cell>
          <cell r="CL49">
            <v>1.5702721160734977E-2</v>
          </cell>
          <cell r="CM49">
            <v>1.5628864416564896E-2</v>
          </cell>
          <cell r="CN49">
            <v>1.5833238996584439E-2</v>
          </cell>
        </row>
        <row r="50">
          <cell r="U50">
            <v>1.1061705770705498E-4</v>
          </cell>
          <cell r="Z50">
            <v>2.7356544590673599E-4</v>
          </cell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S50">
            <v>1.4705882352941176E-3</v>
          </cell>
          <cell r="BB50">
            <v>1.8055250720751888E-4</v>
          </cell>
          <cell r="BT50">
            <v>8.641342021529717E-3</v>
          </cell>
          <cell r="CJ50">
            <v>1.472725242172015E-2</v>
          </cell>
          <cell r="CK50">
            <v>1.4852126394683942E-2</v>
          </cell>
          <cell r="CL50">
            <v>1.4929391234638668E-2</v>
          </cell>
          <cell r="CM50">
            <v>1.4932192753985373E-2</v>
          </cell>
          <cell r="CN50">
            <v>1.5113324708508102E-2</v>
          </cell>
        </row>
        <row r="51">
          <cell r="U51">
            <v>1.0487102327938128E-4</v>
          </cell>
          <cell r="Z51">
            <v>2.5951620953355723E-4</v>
          </cell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S51">
            <v>1.4534883720930232E-3</v>
          </cell>
          <cell r="BB51">
            <v>1.6413864291592623E-4</v>
          </cell>
          <cell r="BT51">
            <v>8.3859517686585509E-3</v>
          </cell>
          <cell r="CJ51">
            <v>1.4242618040286443E-2</v>
          </cell>
          <cell r="CK51">
            <v>1.435996032897644E-2</v>
          </cell>
          <cell r="CL51">
            <v>1.4530180844072968E-2</v>
          </cell>
          <cell r="CM51">
            <v>1.4529250245086589E-2</v>
          </cell>
          <cell r="CN51">
            <v>1.4708431531261662E-2</v>
          </cell>
        </row>
        <row r="52">
          <cell r="U52">
            <v>9.9435675961135562E-5</v>
          </cell>
          <cell r="Z52">
            <v>2.4625937164810528E-4</v>
          </cell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S52">
            <v>1.4367816091954023E-3</v>
          </cell>
          <cell r="BB52">
            <v>1.4921694810538747E-4</v>
          </cell>
          <cell r="BT52">
            <v>8.138109438447904E-3</v>
          </cell>
          <cell r="CJ52">
            <v>1.377431117411757E-2</v>
          </cell>
          <cell r="CK52">
            <v>1.3979903093245425E-2</v>
          </cell>
          <cell r="CL52">
            <v>1.4137324568580833E-2</v>
          </cell>
          <cell r="CM52">
            <v>1.4134978050775831E-2</v>
          </cell>
          <cell r="CN52">
            <v>1.4312016437112588E-2</v>
          </cell>
        </row>
        <row r="53">
          <cell r="U53">
            <v>9.4295813802061293E-5</v>
          </cell>
          <cell r="Z53">
            <v>2.3374062566321437E-4</v>
          </cell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S53">
            <v>1.4204545454545455E-3</v>
          </cell>
          <cell r="BB53">
            <v>1.3565177100489771E-4</v>
          </cell>
          <cell r="BT53">
            <v>7.8975919560707267E-3</v>
          </cell>
          <cell r="CJ53">
            <v>1.3394415858926787E-2</v>
          </cell>
          <cell r="CK53">
            <v>1.3606297508176662E-2</v>
          </cell>
          <cell r="CL53">
            <v>1.3751261299710075E-2</v>
          </cell>
          <cell r="CM53">
            <v>1.3748465316531632E-2</v>
          </cell>
          <cell r="CN53">
            <v>1.3923103647473891E-2</v>
          </cell>
        </row>
        <row r="54">
          <cell r="U54">
            <v>8.9449719093722627E-5</v>
          </cell>
          <cell r="Z54">
            <v>2.2192568594076641E-4</v>
          </cell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S54">
            <v>1.4044943820224719E-3</v>
          </cell>
          <cell r="BB54">
            <v>1.2331979182263425E-4</v>
          </cell>
          <cell r="BT54">
            <v>7.6641828395574603E-3</v>
          </cell>
          <cell r="CJ54">
            <v>1.304032274556392E-2</v>
          </cell>
          <cell r="CK54">
            <v>1.3239986469169907E-2</v>
          </cell>
          <cell r="CL54">
            <v>1.3373161512844537E-2</v>
          </cell>
          <cell r="CM54">
            <v>1.3370354117835402E-2</v>
          </cell>
          <cell r="CN54">
            <v>1.3536913324298632E-2</v>
          </cell>
        </row>
        <row r="55">
          <cell r="U55">
            <v>8.4885091976665851E-5</v>
          </cell>
          <cell r="Z55">
            <v>2.107698213550175E-4</v>
          </cell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S55">
            <v>1.3888888888888889E-3</v>
          </cell>
          <cell r="BB55">
            <v>1.1210890165694024E-4</v>
          </cell>
          <cell r="BT55">
            <v>7.4376720049476614E-3</v>
          </cell>
          <cell r="CJ55">
            <v>1.2691795546925649E-2</v>
          </cell>
          <cell r="CK55">
            <v>1.2880483342582365E-2</v>
          </cell>
          <cell r="CL55">
            <v>1.3003523277086149E-2</v>
          </cell>
          <cell r="CM55">
            <v>1.3000786903933701E-2</v>
          </cell>
          <cell r="CN55">
            <v>1.3159810935277129E-2</v>
          </cell>
        </row>
        <row r="56">
          <cell r="U56">
            <v>8.056653150038468E-5</v>
          </cell>
          <cell r="Z56">
            <v>2.0022264102872935E-4</v>
          </cell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S56">
            <v>1.3736263736263737E-3</v>
          </cell>
          <cell r="BB56">
            <v>1.0191718332449112E-4</v>
          </cell>
          <cell r="BT56">
            <v>7.2178555772002351E-3</v>
          </cell>
          <cell r="CJ56">
            <v>1.2349277626778872E-2</v>
          </cell>
          <cell r="CK56">
            <v>1.2529451211304618E-2</v>
          </cell>
          <cell r="CL56">
            <v>1.2641271933812398E-2</v>
          </cell>
          <cell r="CM56">
            <v>1.2638744087256199E-2</v>
          </cell>
          <cell r="CN56">
            <v>1.2790991769448269E-2</v>
          </cell>
        </row>
        <row r="57">
          <cell r="U57">
            <v>7.6444799382253549E-5</v>
          </cell>
          <cell r="Z57">
            <v>1.9019855724795615E-4</v>
          </cell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S57">
            <v>1.358695652173913E-3</v>
          </cell>
          <cell r="BB57">
            <v>9.2651984840446463E-5</v>
          </cell>
          <cell r="BT57">
            <v>7.0045357066921572E-3</v>
          </cell>
          <cell r="CJ57">
            <v>1.2012904794053822E-2</v>
          </cell>
          <cell r="CK57">
            <v>1.218426568630477E-2</v>
          </cell>
          <cell r="CL57">
            <v>1.2284180191533923E-2</v>
          </cell>
          <cell r="CM57">
            <v>1.2291244571609558E-2</v>
          </cell>
          <cell r="CN57">
            <v>1.2430140589997519E-2</v>
          </cell>
        </row>
        <row r="58">
          <cell r="U58">
            <v>7.2551339629819335E-5</v>
          </cell>
          <cell r="Z58">
            <v>1.8069624676634924E-4</v>
          </cell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S58">
            <v>1.3440860215053765E-3</v>
          </cell>
          <cell r="BB58">
            <v>8.4229077127678589E-5</v>
          </cell>
          <cell r="BT58">
            <v>6.7975203911404495E-3</v>
          </cell>
          <cell r="CJ58">
            <v>1.1683888632876591E-2</v>
          </cell>
          <cell r="CK58">
            <v>1.184501380593648E-2</v>
          </cell>
          <cell r="CL58">
            <v>1.1935191298162482E-2</v>
          </cell>
          <cell r="CM58">
            <v>1.1956363416600503E-2</v>
          </cell>
          <cell r="CN58">
            <v>1.2078034404672826E-2</v>
          </cell>
        </row>
        <row r="59">
          <cell r="U59">
            <v>6.88777654952036E-5</v>
          </cell>
          <cell r="Z59">
            <v>1.2785540953300778E-4</v>
          </cell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S59">
            <v>1.3297872340425532E-3</v>
          </cell>
          <cell r="BB59">
            <v>7.6571888297889614E-5</v>
          </cell>
          <cell r="BT59">
            <v>6.5966233027871567E-3</v>
          </cell>
          <cell r="CJ59">
            <v>1.1361915913809112E-2</v>
          </cell>
          <cell r="CK59">
            <v>1.151279335930842E-2</v>
          </cell>
          <cell r="CL59">
            <v>1.1594685668015799E-2</v>
          </cell>
          <cell r="CM59">
            <v>1.1629535266009548E-2</v>
          </cell>
          <cell r="CN59">
            <v>1.1735617906111117E-2</v>
          </cell>
        </row>
        <row r="60">
          <cell r="U60">
            <v>6.5533511907297717E-5</v>
          </cell>
          <cell r="Z60">
            <v>1.2171898448735167E-4</v>
          </cell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S60">
            <v>1.3157894736842105E-3</v>
          </cell>
          <cell r="BB60">
            <v>6.9610807543536008E-5</v>
          </cell>
          <cell r="BT60">
            <v>6.4016636206918037E-3</v>
          </cell>
          <cell r="CJ60">
            <v>1.1047434563673672E-2</v>
          </cell>
          <cell r="CK60">
            <v>1.1188602278817347E-2</v>
          </cell>
          <cell r="CL60">
            <v>1.1271419083608496E-2</v>
          </cell>
          <cell r="CM60">
            <v>1.1309960834805358E-2</v>
          </cell>
          <cell r="CN60">
            <v>1.140105575656394E-2</v>
          </cell>
        </row>
        <row r="61">
          <cell r="U61">
            <v>6.2389116392686018E-5</v>
          </cell>
          <cell r="Z61">
            <v>1.1588946676271197E-4</v>
          </cell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S61">
            <v>1.3020833333333333E-3</v>
          </cell>
          <cell r="BB61">
            <v>6.328255231230545E-5</v>
          </cell>
          <cell r="BT61">
            <v>6.2124658679803329E-3</v>
          </cell>
          <cell r="CJ61">
            <v>1.0739032639188156E-2</v>
          </cell>
          <cell r="CK61">
            <v>1.0871840523523933E-2</v>
          </cell>
          <cell r="CL61">
            <v>1.0957403414514772E-2</v>
          </cell>
          <cell r="CM61">
            <v>1.0992703805819294E-2</v>
          </cell>
          <cell r="CN61">
            <v>1.1074132353140713E-2</v>
          </cell>
        </row>
        <row r="62">
          <cell r="U62">
            <v>5.9400112248215003E-5</v>
          </cell>
          <cell r="Z62">
            <v>1.1035033387645586E-4</v>
          </cell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S62">
            <v>1.288659793814433E-3</v>
          </cell>
          <cell r="BB62">
            <v>5.7529593011186771E-5</v>
          </cell>
          <cell r="BT62">
            <v>6.0288597539040695E-3</v>
          </cell>
          <cell r="CJ62">
            <v>1.0436622724579079E-2</v>
          </cell>
          <cell r="CK62">
            <v>1.0560897462725628E-2</v>
          </cell>
          <cell r="CL62">
            <v>1.0650146564437782E-2</v>
          </cell>
          <cell r="CM62">
            <v>1.0682582103610989E-2</v>
          </cell>
          <cell r="CN62">
            <v>1.0754703759769226E-2</v>
          </cell>
        </row>
        <row r="63">
          <cell r="U63">
            <v>5.130096381568306E-5</v>
          </cell>
          <cell r="Z63">
            <v>9.3391609071416011E-5</v>
          </cell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S63">
            <v>1.2755102040816326E-3</v>
          </cell>
          <cell r="BB63">
            <v>5.2299630010169788E-5</v>
          </cell>
          <cell r="BT63">
            <v>5.8506800205665628E-3</v>
          </cell>
          <cell r="CJ63">
            <v>9.7574333769852601E-3</v>
          </cell>
          <cell r="CK63">
            <v>9.864573785127749E-3</v>
          </cell>
          <cell r="CL63">
            <v>9.9469796131840763E-3</v>
          </cell>
          <cell r="CM63">
            <v>9.9727856100614385E-3</v>
          </cell>
          <cell r="CN63">
            <v>1.0022271251867099E-2</v>
          </cell>
        </row>
        <row r="64">
          <cell r="U64">
            <v>4.8882434816531289E-5</v>
          </cell>
          <cell r="Z64">
            <v>8.8998156265600114E-5</v>
          </cell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S64">
            <v>1.2626262626262627E-3</v>
          </cell>
          <cell r="BB64">
            <v>4.7545118191063442E-5</v>
          </cell>
          <cell r="BT64">
            <v>5.6777662941803137E-3</v>
          </cell>
          <cell r="CJ64">
            <v>9.4810896396373412E-3</v>
          </cell>
          <cell r="CK64">
            <v>9.5814139800602105E-3</v>
          </cell>
          <cell r="CL64">
            <v>9.6665270749954034E-3</v>
          </cell>
          <cell r="CM64">
            <v>9.689771941763077E-3</v>
          </cell>
          <cell r="CN64">
            <v>9.7332246234297926E-3</v>
          </cell>
        </row>
        <row r="65">
          <cell r="S65">
            <v>4.9031157049900352E-5</v>
          </cell>
          <cell r="U65">
            <v>4.6982983413238014E-5</v>
          </cell>
          <cell r="Z65">
            <v>8.5536524197682849E-5</v>
          </cell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Q65">
            <v>1.25E-3</v>
          </cell>
          <cell r="AS65">
            <v>1.25E-3</v>
          </cell>
          <cell r="AZ65">
            <v>4.3222834719148579E-5</v>
          </cell>
          <cell r="BB65">
            <v>4.3222834719148579E-5</v>
          </cell>
          <cell r="BT65">
            <v>5.5555555555555558E-3</v>
          </cell>
          <cell r="CJ65">
            <v>9.2877373512729369E-3</v>
          </cell>
          <cell r="CK65">
            <v>9.3853606617270227E-3</v>
          </cell>
          <cell r="CL65">
            <v>9.4715601919283347E-3</v>
          </cell>
          <cell r="CM65">
            <v>9.4911248287764503E-3</v>
          </cell>
          <cell r="CN65">
            <v>9.5296977554661776E-3</v>
          </cell>
        </row>
        <row r="66">
          <cell r="U66">
            <v>4.6149475536821138E-5</v>
          </cell>
          <cell r="Z66">
            <v>8.4015598747056155E-5</v>
          </cell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S66">
            <v>1.2376237623762376E-3</v>
          </cell>
          <cell r="BB66">
            <v>3.9293486108316887E-5</v>
          </cell>
          <cell r="BT66">
            <v>5.5555555555555558E-3</v>
          </cell>
          <cell r="CJ66">
            <v>9.2968052515484904E-3</v>
          </cell>
          <cell r="CK66">
            <v>9.4005418178158776E-3</v>
          </cell>
          <cell r="CL66">
            <v>9.4829202022479412E-3</v>
          </cell>
          <cell r="CM66">
            <v>9.499409560465499E-3</v>
          </cell>
          <cell r="CN66">
            <v>9.534684021399566E-3</v>
          </cell>
        </row>
        <row r="67">
          <cell r="U67">
            <v>4.5333348247298418E-5</v>
          </cell>
          <cell r="Z67">
            <v>8.2527955736790712E-5</v>
          </cell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S67">
            <v>1.2254901960784314E-3</v>
          </cell>
          <cell r="BB67">
            <v>3.5721351007560798E-5</v>
          </cell>
          <cell r="BT67">
            <v>5.5555555555555558E-3</v>
          </cell>
          <cell r="CJ67">
            <v>9.3050647695461959E-3</v>
          </cell>
          <cell r="CK67">
            <v>9.4141964841803118E-3</v>
          </cell>
          <cell r="CL67">
            <v>9.4929108019524682E-3</v>
          </cell>
          <cell r="CM67">
            <v>9.5060117162177622E-3</v>
          </cell>
          <cell r="CN67">
            <v>9.537126614908591E-3</v>
          </cell>
        </row>
        <row r="68">
          <cell r="U68">
            <v>4.4529083082637009E-5</v>
          </cell>
          <cell r="Z68">
            <v>8.106122749471068E-5</v>
          </cell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S68">
            <v>1.2135922330097086E-3</v>
          </cell>
          <cell r="BB68">
            <v>3.2473955461418906E-5</v>
          </cell>
          <cell r="BT68">
            <v>5.5555555555555558E-3</v>
          </cell>
          <cell r="CJ68">
            <v>9.3120564607693558E-3</v>
          </cell>
          <cell r="CK68">
            <v>9.426466447202372E-3</v>
          </cell>
          <cell r="CL68">
            <v>9.5011508336578926E-3</v>
          </cell>
          <cell r="CM68">
            <v>9.5110417845118839E-3</v>
          </cell>
          <cell r="CN68">
            <v>9.5385541567106855E-3</v>
          </cell>
        </row>
        <row r="69">
          <cell r="U69">
            <v>4.3779733961975854E-5</v>
          </cell>
          <cell r="Z69">
            <v>7.9622814875585213E-5</v>
          </cell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S69">
            <v>1.201923076923077E-3</v>
          </cell>
          <cell r="BB69">
            <v>2.9521777692199E-5</v>
          </cell>
          <cell r="BT69">
            <v>5.5555555555555558E-3</v>
          </cell>
          <cell r="CJ69">
            <v>9.3262492513081358E-3</v>
          </cell>
          <cell r="CK69">
            <v>9.4373537369550065E-3</v>
          </cell>
          <cell r="CL69">
            <v>9.5114346535301372E-3</v>
          </cell>
          <cell r="CM69">
            <v>9.5148122962789485E-3</v>
          </cell>
          <cell r="CN69">
            <v>9.5385441421832733E-3</v>
          </cell>
        </row>
        <row r="70">
          <cell r="U70">
            <v>4.3117324769837868E-5</v>
          </cell>
          <cell r="Z70">
            <v>7.8199947933093418E-5</v>
          </cell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S70">
            <v>1.1904761904761906E-3</v>
          </cell>
          <cell r="BB70">
            <v>2.6837979720180906E-5</v>
          </cell>
          <cell r="BT70">
            <v>5.5555555555555558E-3</v>
          </cell>
          <cell r="CJ70">
            <v>9.3390133980037916E-3</v>
          </cell>
          <cell r="CK70">
            <v>9.4483404422545988E-3</v>
          </cell>
          <cell r="CL70">
            <v>9.5268724363703362E-3</v>
          </cell>
          <cell r="CM70">
            <v>9.5178276352107082E-3</v>
          </cell>
          <cell r="CN70">
            <v>9.5404239696919736E-3</v>
          </cell>
        </row>
        <row r="71">
          <cell r="U71">
            <v>4.2474634962026656E-5</v>
          </cell>
          <cell r="Z71">
            <v>7.681763323640257E-5</v>
          </cell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S71">
            <v>1.1792452830188679E-3</v>
          </cell>
          <cell r="BB71">
            <v>2.4398163381982642E-5</v>
          </cell>
          <cell r="BT71">
            <v>5.5555555555555558E-3</v>
          </cell>
          <cell r="CJ71">
            <v>9.3538620509157483E-3</v>
          </cell>
          <cell r="CK71">
            <v>9.459232448212021E-3</v>
          </cell>
          <cell r="CL71">
            <v>9.5418475860056893E-3</v>
          </cell>
          <cell r="CM71">
            <v>9.5201558981701136E-3</v>
          </cell>
          <cell r="CN71">
            <v>9.6368794369009695E-3</v>
          </cell>
        </row>
        <row r="72">
          <cell r="U72">
            <v>4.1829602803292019E-5</v>
          </cell>
          <cell r="Z72">
            <v>7.53779899294518E-5</v>
          </cell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S72">
            <v>1.1682242990654205E-3</v>
          </cell>
          <cell r="BB72">
            <v>2.2180148529075128E-5</v>
          </cell>
          <cell r="BT72">
            <v>5.5555555555555558E-3</v>
          </cell>
          <cell r="CJ72">
            <v>9.3678450951780647E-3</v>
          </cell>
          <cell r="CK72">
            <v>9.4688464414330372E-3</v>
          </cell>
          <cell r="CL72">
            <v>9.5544347419640203E-3</v>
          </cell>
          <cell r="CM72">
            <v>9.5596045325351126E-3</v>
          </cell>
          <cell r="CN72">
            <v>9.7498434346201274E-3</v>
          </cell>
        </row>
        <row r="73">
          <cell r="U73">
            <v>4.1166667651562812E-5</v>
          </cell>
          <cell r="Z73">
            <v>7.3789982575845646E-5</v>
          </cell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S73">
            <v>1.1574074074074073E-3</v>
          </cell>
          <cell r="BB73">
            <v>2.0163771390068297E-5</v>
          </cell>
          <cell r="BT73">
            <v>5.5555555555555558E-3</v>
          </cell>
          <cell r="CJ73">
            <v>9.3808345351331507E-3</v>
          </cell>
          <cell r="CK73">
            <v>9.477336300336682E-3</v>
          </cell>
          <cell r="CL73">
            <v>9.5631671812032686E-3</v>
          </cell>
          <cell r="CM73">
            <v>9.6742508044432209E-3</v>
          </cell>
          <cell r="CN73">
            <v>9.8573706521725268E-3</v>
          </cell>
        </row>
        <row r="74">
          <cell r="U74">
            <v>4.0508582947448565E-5</v>
          </cell>
          <cell r="Z74">
            <v>7.2177225076832277E-5</v>
          </cell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S74">
            <v>1.1467889908256881E-3</v>
          </cell>
          <cell r="BB74">
            <v>1.833070126369845E-5</v>
          </cell>
          <cell r="BT74">
            <v>5.5555555555555558E-3</v>
          </cell>
          <cell r="CJ74">
            <v>9.3933856911635541E-3</v>
          </cell>
          <cell r="CK74">
            <v>9.4848268383209821E-3</v>
          </cell>
          <cell r="CL74">
            <v>9.6821386697189954E-3</v>
          </cell>
          <cell r="CM74">
            <v>9.783291222408539E-3</v>
          </cell>
          <cell r="CN74">
            <v>9.9590756190252212E-3</v>
          </cell>
        </row>
        <row r="75">
          <cell r="U75">
            <v>3.9877967148809089E-5</v>
          </cell>
          <cell r="Z75">
            <v>7.0660942657445515E-5</v>
          </cell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S75">
            <v>1.1363636363636363E-3</v>
          </cell>
          <cell r="BB75">
            <v>1.66642738760895E-5</v>
          </cell>
          <cell r="BT75">
            <v>5.5555555555555558E-3</v>
          </cell>
          <cell r="CJ75">
            <v>9.4049720439011372E-3</v>
          </cell>
          <cell r="CK75">
            <v>9.5768919947458939E-3</v>
          </cell>
          <cell r="CL75">
            <v>9.8053544579862848E-3</v>
          </cell>
          <cell r="CM75">
            <v>9.88831873664665E-3</v>
          </cell>
          <cell r="CN75">
            <v>1.0054631385810689E-2</v>
          </cell>
        </row>
        <row r="76">
          <cell r="U76">
            <v>3.9259021635909039E-5</v>
          </cell>
          <cell r="Z76">
            <v>6.9168258546291417E-5</v>
          </cell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S76">
            <v>1.1261261261261261E-3</v>
          </cell>
          <cell r="BB76">
            <v>1.5149339887354088E-5</v>
          </cell>
          <cell r="BT76">
            <v>5.5555555555555558E-3</v>
          </cell>
          <cell r="CJ76">
            <v>9.4751895999503708E-3</v>
          </cell>
          <cell r="CK76">
            <v>9.7072197951098577E-3</v>
          </cell>
          <cell r="CL76">
            <v>9.9239710551919484E-3</v>
          </cell>
          <cell r="CM76">
            <v>9.9900469056844379E-3</v>
          </cell>
          <cell r="CN76">
            <v>1.0147457465258809E-2</v>
          </cell>
        </row>
        <row r="77">
          <cell r="U77">
            <v>3.8651143282547482E-5</v>
          </cell>
          <cell r="Z77">
            <v>6.7698178840817916E-5</v>
          </cell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S77">
            <v>1.1160714285714285E-3</v>
          </cell>
          <cell r="BB77">
            <v>1.3772127170321899E-5</v>
          </cell>
          <cell r="BT77">
            <v>5.5555555555555558E-3</v>
          </cell>
          <cell r="CJ77">
            <v>9.5981836245568504E-3</v>
          </cell>
          <cell r="CK77">
            <v>9.8337892141204183E-3</v>
          </cell>
          <cell r="CL77">
            <v>1.0038083398982559E-2</v>
          </cell>
          <cell r="CM77">
            <v>1.0086555610471627E-2</v>
          </cell>
          <cell r="CN77">
            <v>1.0235760510222396E-2</v>
          </cell>
        </row>
        <row r="78">
          <cell r="U78">
            <v>3.8061581984162089E-5</v>
          </cell>
          <cell r="Z78">
            <v>6.6282771986793393E-5</v>
          </cell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S78">
            <v>1.1061946902654867E-3</v>
          </cell>
          <cell r="BB78">
            <v>1.2520115609383542E-5</v>
          </cell>
          <cell r="BT78">
            <v>5.5555555555555558E-3</v>
          </cell>
          <cell r="CJ78">
            <v>9.7170690556048558E-3</v>
          </cell>
          <cell r="CK78">
            <v>9.9567413359227946E-3</v>
          </cell>
          <cell r="CL78">
            <v>1.0148690160426813E-2</v>
          </cell>
          <cell r="CM78">
            <v>1.0178939846836828E-2</v>
          </cell>
          <cell r="CN78">
            <v>1.0319351084286794E-2</v>
          </cell>
        </row>
        <row r="79">
          <cell r="U79">
            <v>3.7477923321394589E-5</v>
          </cell>
          <cell r="Z79">
            <v>6.4863141404479711E-5</v>
          </cell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S79">
            <v>1.0964912280701754E-3</v>
          </cell>
          <cell r="BB79">
            <v>1.1381923281257766E-5</v>
          </cell>
          <cell r="BT79">
            <v>5.5555555555555558E-3</v>
          </cell>
          <cell r="CJ79">
            <v>9.8314391832657888E-3</v>
          </cell>
          <cell r="CK79">
            <v>1.0072879332435711E-2</v>
          </cell>
          <cell r="CL79">
            <v>1.0254542303282354E-2</v>
          </cell>
          <cell r="CM79">
            <v>1.0265369553529313E-2</v>
          </cell>
          <cell r="CN79">
            <v>1.0397168024095155E-2</v>
          </cell>
        </row>
        <row r="80">
          <cell r="U80">
            <v>3.6902178286023877E-5</v>
          </cell>
          <cell r="Z80">
            <v>6.3449758008079721E-5</v>
          </cell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S80">
            <v>1.0869565217391304E-3</v>
          </cell>
          <cell r="BB80">
            <v>1.0347202982961605E-5</v>
          </cell>
          <cell r="BT80">
            <v>5.5555555555555558E-3</v>
          </cell>
          <cell r="CJ80">
            <v>9.9477534824787949E-3</v>
          </cell>
          <cell r="CK80">
            <v>1.0183353070988336E-2</v>
          </cell>
          <cell r="CL80">
            <v>1.0355974920469977E-2</v>
          </cell>
          <cell r="CM80">
            <v>1.0347205557876094E-2</v>
          </cell>
          <cell r="CN80">
            <v>1.0470019329757085E-2</v>
          </cell>
        </row>
        <row r="81">
          <cell r="U81">
            <v>3.6335721192080492E-5</v>
          </cell>
          <cell r="Z81">
            <v>6.2132505779062357E-5</v>
          </cell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S81">
            <v>1.0775862068965517E-3</v>
          </cell>
          <cell r="BB81">
            <v>9.406548166328731E-6</v>
          </cell>
          <cell r="BT81">
            <v>5.5555555555555558E-3</v>
          </cell>
          <cell r="CJ81">
            <v>1.006167096795825E-2</v>
          </cell>
          <cell r="CK81">
            <v>1.0289577364476723E-2</v>
          </cell>
          <cell r="CL81">
            <v>1.045327738208343E-2</v>
          </cell>
          <cell r="CM81">
            <v>1.0428130596714892E-2</v>
          </cell>
          <cell r="CN81">
            <v>1.0539763614226179E-2</v>
          </cell>
        </row>
        <row r="82">
          <cell r="U82">
            <v>3.5775019620569271E-5</v>
          </cell>
          <cell r="Z82">
            <v>6.0833447889236948E-5</v>
          </cell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S82">
            <v>1.0683760683760685E-3</v>
          </cell>
          <cell r="BB82">
            <v>8.5514074239352094E-6</v>
          </cell>
          <cell r="BT82">
            <v>5.5555555555555558E-3</v>
          </cell>
          <cell r="CJ82">
            <v>1.0172316942918393E-2</v>
          </cell>
          <cell r="CK82">
            <v>1.0391250538113486E-2</v>
          </cell>
          <cell r="CL82">
            <v>1.0546101849666799E-2</v>
          </cell>
          <cell r="CM82">
            <v>1.0503736123748348E-2</v>
          </cell>
          <cell r="CN82">
            <v>1.0606027284335929E-2</v>
          </cell>
        </row>
        <row r="83">
          <cell r="U83">
            <v>3.5219528494676566E-5</v>
          </cell>
          <cell r="Z83">
            <v>5.9542342432444908E-5</v>
          </cell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S83">
            <v>1.0593220338983051E-3</v>
          </cell>
          <cell r="BB83">
            <v>7.7740067490320079E-6</v>
          </cell>
          <cell r="BT83">
            <v>5.5555555555555558E-3</v>
          </cell>
          <cell r="CJ83">
            <v>1.0275890593198353E-2</v>
          </cell>
          <cell r="CK83">
            <v>1.048867755681767E-2</v>
          </cell>
          <cell r="CL83">
            <v>1.0634452271850602E-2</v>
          </cell>
          <cell r="CM83">
            <v>1.0576092357523091E-2</v>
          </cell>
          <cell r="CN83">
            <v>1.0669004377620833E-2</v>
          </cell>
        </row>
        <row r="84">
          <cell r="U84">
            <v>3.4675356116852616E-5</v>
          </cell>
          <cell r="Z84">
            <v>5.8275969638685879E-5</v>
          </cell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S84">
            <v>1.0504201680672268E-3</v>
          </cell>
          <cell r="BB84">
            <v>7.0672788627563706E-6</v>
          </cell>
          <cell r="BT84">
            <v>5.5555555555555558E-3</v>
          </cell>
          <cell r="CJ84">
            <v>1.0373888006342778E-2</v>
          </cell>
          <cell r="CK84">
            <v>1.0580775869930146E-2</v>
          </cell>
          <cell r="CL84">
            <v>1.0719282823656079E-2</v>
          </cell>
          <cell r="CM84">
            <v>1.0645059618538734E-2</v>
          </cell>
          <cell r="CN84">
            <v>1.0735076099282191E-2</v>
          </cell>
        </row>
        <row r="85">
          <cell r="U85">
            <v>3.413977992774317E-5</v>
          </cell>
          <cell r="Z85">
            <v>5.7037612968376431E-5</v>
          </cell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S85">
            <v>1.0416666666666667E-3</v>
          </cell>
          <cell r="BB85">
            <v>6.4247989661421547E-6</v>
          </cell>
          <cell r="BT85">
            <v>5.5555555555555558E-3</v>
          </cell>
          <cell r="CJ85">
            <v>1.0467735307497795E-2</v>
          </cell>
          <cell r="CK85">
            <v>1.0668775872584505E-2</v>
          </cell>
          <cell r="CL85">
            <v>1.0800345420551315E-2</v>
          </cell>
          <cell r="CM85">
            <v>1.0709859530420061E-2</v>
          </cell>
          <cell r="CN85">
            <v>1.0825149110574028E-2</v>
          </cell>
        </row>
        <row r="86"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CJ86">
            <v>1.051960860724987E-2</v>
          </cell>
          <cell r="CK86">
            <v>1.0713437737461202E-2</v>
          </cell>
          <cell r="CL86">
            <v>1.0834599121867523E-2</v>
          </cell>
          <cell r="CM86">
            <v>1.0732578029742965E-2</v>
          </cell>
          <cell r="CN86">
            <v>1.0872710763873698E-2</v>
          </cell>
        </row>
        <row r="87"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CJ87">
            <v>1.0567473298589605E-2</v>
          </cell>
          <cell r="CK87">
            <v>1.0754196050999643E-2</v>
          </cell>
          <cell r="CL87">
            <v>1.0863271618119612E-2</v>
          </cell>
          <cell r="CM87">
            <v>1.0750993728109427E-2</v>
          </cell>
          <cell r="CN87">
            <v>1.091859297534779E-2</v>
          </cell>
        </row>
        <row r="88"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CJ88">
            <v>1.06122084509936E-2</v>
          </cell>
          <cell r="CK88">
            <v>1.0791918270271246E-2</v>
          </cell>
          <cell r="CL88">
            <v>1.0892583130534679E-2</v>
          </cell>
          <cell r="CM88">
            <v>1.0766448687326341E-2</v>
          </cell>
          <cell r="CN88">
            <v>1.0963360781610004E-2</v>
          </cell>
        </row>
        <row r="89"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CJ89">
            <v>1.0283680960851253E-2</v>
          </cell>
          <cell r="CK89">
            <v>1.04453717280624E-2</v>
          </cell>
          <cell r="CL89">
            <v>1.0534812888820518E-2</v>
          </cell>
          <cell r="CM89">
            <v>1.0419486195377851E-2</v>
          </cell>
          <cell r="CN89">
            <v>1.0618548422996308E-2</v>
          </cell>
        </row>
        <row r="90"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CJ90">
            <v>1.0322988266663061E-2</v>
          </cell>
          <cell r="CK90">
            <v>1.0476648046391462E-2</v>
          </cell>
          <cell r="CL90">
            <v>1.0559058218218682E-2</v>
          </cell>
          <cell r="CM90">
            <v>1.0457045089647688E-2</v>
          </cell>
          <cell r="CN90">
            <v>1.0657574726712823E-2</v>
          </cell>
        </row>
        <row r="91"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CJ91">
            <v>1.0360181928647533E-2</v>
          </cell>
          <cell r="CK91">
            <v>1.0504188075939733E-2</v>
          </cell>
          <cell r="CL91">
            <v>1.057929017206165E-2</v>
          </cell>
          <cell r="CM91">
            <v>1.049782610827036E-2</v>
          </cell>
          <cell r="CN91">
            <v>1.0694547606628378E-2</v>
          </cell>
        </row>
        <row r="92"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CJ92">
            <v>1.0396738975020759E-2</v>
          </cell>
          <cell r="CK92">
            <v>1.0530626751666496E-2</v>
          </cell>
          <cell r="CL92">
            <v>1.0596045208492994E-2</v>
          </cell>
          <cell r="CM92">
            <v>1.0536507107054597E-2</v>
          </cell>
          <cell r="CN92">
            <v>1.0730689246623175E-2</v>
          </cell>
        </row>
        <row r="93"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CJ93">
            <v>1.0432923362953945E-2</v>
          </cell>
          <cell r="CK93">
            <v>1.0554609735963862E-2</v>
          </cell>
          <cell r="CL93">
            <v>1.0613488372856033E-2</v>
          </cell>
          <cell r="CM93">
            <v>1.0573952480477544E-2</v>
          </cell>
          <cell r="CN93">
            <v>1.0792924820102514E-2</v>
          </cell>
        </row>
        <row r="94"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CJ94">
            <v>1.046615539807785E-2</v>
          </cell>
          <cell r="CK94">
            <v>1.0578685405061917E-2</v>
          </cell>
          <cell r="CL94">
            <v>1.0630850166813057E-2</v>
          </cell>
          <cell r="CM94">
            <v>1.0610367480403343E-2</v>
          </cell>
          <cell r="CN94">
            <v>1.0925279500564324E-2</v>
          </cell>
        </row>
        <row r="95"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CJ95">
            <v>1.0496177573847744E-2</v>
          </cell>
          <cell r="CK95">
            <v>1.0601247937795408E-2</v>
          </cell>
          <cell r="CL95">
            <v>1.0644955094420943E-2</v>
          </cell>
          <cell r="CM95">
            <v>1.0728381222465763E-2</v>
          </cell>
          <cell r="CN95">
            <v>1.1052539210710493E-2</v>
          </cell>
        </row>
        <row r="96"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CJ96">
            <v>9.7913838847223898E-3</v>
          </cell>
          <cell r="CK96">
            <v>9.8745690607700241E-3</v>
          </cell>
          <cell r="CL96">
            <v>9.9491523793509978E-3</v>
          </cell>
          <cell r="CM96">
            <v>1.0074475503142978E-2</v>
          </cell>
          <cell r="CN96">
            <v>1.0338472956466456E-2</v>
          </cell>
        </row>
        <row r="97"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CJ97">
            <v>9.2879414706996642E-3</v>
          </cell>
          <cell r="CK97">
            <v>9.3807329185553023E-3</v>
          </cell>
          <cell r="CL97">
            <v>9.4884424024638449E-3</v>
          </cell>
          <cell r="CM97">
            <v>9.6042235368826341E-3</v>
          </cell>
          <cell r="CN97">
            <v>9.8284256320064333E-3</v>
          </cell>
        </row>
        <row r="98"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CJ98">
            <v>8.925359572742873E-3</v>
          </cell>
          <cell r="CK98">
            <v>9.0548940903340241E-3</v>
          </cell>
          <cell r="CL98">
            <v>9.1390368539344142E-3</v>
          </cell>
          <cell r="CM98">
            <v>9.2515267213204039E-3</v>
          </cell>
          <cell r="CN98">
            <v>9.4458901386614124E-3</v>
          </cell>
        </row>
        <row r="99"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CJ99">
            <v>8.6928336723387165E-3</v>
          </cell>
          <cell r="CK99">
            <v>8.801278991559169E-3</v>
          </cell>
          <cell r="CL99">
            <v>8.8685225088889763E-3</v>
          </cell>
          <cell r="CM99">
            <v>8.9772069758831119E-3</v>
          </cell>
          <cell r="CN99">
            <v>9.1483625327263996E-3</v>
          </cell>
        </row>
        <row r="100"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CJ100">
            <v>8.5049648625144508E-3</v>
          </cell>
          <cell r="CK100">
            <v>8.5969260257802178E-3</v>
          </cell>
          <cell r="CL100">
            <v>8.6527247916930623E-3</v>
          </cell>
          <cell r="CM100">
            <v>8.75775117953328E-3</v>
          </cell>
          <cell r="CN100">
            <v>8.910340447978388E-3</v>
          </cell>
        </row>
        <row r="101"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CJ101">
            <v>8.3508735953055982E-3</v>
          </cell>
          <cell r="CK101">
            <v>8.4298708128533895E-3</v>
          </cell>
          <cell r="CL101">
            <v>8.4749085360004972E-3</v>
          </cell>
          <cell r="CM101">
            <v>8.5781964370652362E-3</v>
          </cell>
          <cell r="CN101">
            <v>8.7155951059118327E-3</v>
          </cell>
        </row>
        <row r="102"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CJ102">
            <v>8.2220055136703087E-3</v>
          </cell>
          <cell r="CK102">
            <v>8.2902713355734511E-3</v>
          </cell>
          <cell r="CL102">
            <v>8.3246338829139777E-3</v>
          </cell>
          <cell r="CM102">
            <v>8.4285674850085313E-3</v>
          </cell>
          <cell r="CN102">
            <v>8.5533073208563706E-3</v>
          </cell>
        </row>
        <row r="103"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CJ103">
            <v>8.113636634543283E-3</v>
          </cell>
          <cell r="CK103">
            <v>8.1729488511456585E-3</v>
          </cell>
          <cell r="CL103">
            <v>8.1991615141912555E-3</v>
          </cell>
          <cell r="CM103">
            <v>8.3019583717297823E-3</v>
          </cell>
          <cell r="CN103">
            <v>8.4159868873479021E-3</v>
          </cell>
        </row>
        <row r="104"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CJ104">
            <v>8.0201804099046016E-3</v>
          </cell>
          <cell r="CK104">
            <v>8.0716421151003689E-3</v>
          </cell>
          <cell r="CL104">
            <v>8.09121342802545E-3</v>
          </cell>
          <cell r="CM104">
            <v>8.19343627463371E-3</v>
          </cell>
          <cell r="CN104">
            <v>8.2982836586263584E-3</v>
          </cell>
        </row>
        <row r="105"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CJ105">
            <v>7.9386095975382057E-3</v>
          </cell>
          <cell r="CK105">
            <v>7.983204529406502E-3</v>
          </cell>
          <cell r="CL105">
            <v>7.9988117272951458E-3</v>
          </cell>
          <cell r="CM105">
            <v>8.0993837904837825E-3</v>
          </cell>
          <cell r="CN105">
            <v>8.1962741937343531E-3</v>
          </cell>
        </row>
      </sheetData>
      <sheetData sheetId="10">
        <row r="5">
          <cell r="BK5">
            <v>2070.0215083968537</v>
          </cell>
        </row>
        <row r="6">
          <cell r="BK6">
            <v>7316.0139527401243</v>
          </cell>
        </row>
        <row r="7">
          <cell r="BK7">
            <v>16584.114481091936</v>
          </cell>
        </row>
        <row r="8">
          <cell r="BK8">
            <v>30456.759758418721</v>
          </cell>
        </row>
        <row r="9">
          <cell r="BK9">
            <v>48437.922023772218</v>
          </cell>
        </row>
        <row r="10">
          <cell r="BK10">
            <v>55628.374147685376</v>
          </cell>
        </row>
        <row r="11">
          <cell r="BK11">
            <v>65120.005588225889</v>
          </cell>
        </row>
        <row r="12">
          <cell r="BK12">
            <v>66733.093906034715</v>
          </cell>
        </row>
        <row r="13">
          <cell r="BK13">
            <v>82450.922348302469</v>
          </cell>
        </row>
        <row r="14">
          <cell r="BK14">
            <v>96476.805449200532</v>
          </cell>
        </row>
        <row r="15">
          <cell r="BK15">
            <v>110210.43090618039</v>
          </cell>
        </row>
        <row r="16">
          <cell r="BK16">
            <v>122587.84932534162</v>
          </cell>
        </row>
        <row r="17">
          <cell r="BK17">
            <v>142823.79383081771</v>
          </cell>
        </row>
        <row r="18">
          <cell r="BK18">
            <v>151355.60463898254</v>
          </cell>
        </row>
        <row r="19">
          <cell r="BK19">
            <v>175186.04382273339</v>
          </cell>
        </row>
        <row r="20">
          <cell r="BK20">
            <v>194570.26002658915</v>
          </cell>
        </row>
        <row r="21">
          <cell r="BK21">
            <v>203036.12766870504</v>
          </cell>
        </row>
        <row r="22">
          <cell r="BK22">
            <v>244761.38999487704</v>
          </cell>
        </row>
        <row r="23">
          <cell r="BK23">
            <v>256748.70835404028</v>
          </cell>
        </row>
        <row r="24">
          <cell r="BK24">
            <v>269323.26052033791</v>
          </cell>
        </row>
        <row r="25">
          <cell r="BK25">
            <v>316760.42631762789</v>
          </cell>
        </row>
        <row r="26">
          <cell r="BK26">
            <v>366400.95036554226</v>
          </cell>
        </row>
        <row r="27">
          <cell r="BK27">
            <v>398207.7950275552</v>
          </cell>
        </row>
        <row r="28">
          <cell r="BK28">
            <v>483747.47051829577</v>
          </cell>
        </row>
        <row r="29">
          <cell r="BK29">
            <v>530171.5527059309</v>
          </cell>
        </row>
        <row r="30">
          <cell r="BK30">
            <v>589183.98940980644</v>
          </cell>
        </row>
        <row r="31">
          <cell r="BK31">
            <v>655116.83097541216</v>
          </cell>
        </row>
        <row r="32">
          <cell r="BK32">
            <v>713012.13392771676</v>
          </cell>
        </row>
        <row r="33">
          <cell r="BK33">
            <v>856701.63385577651</v>
          </cell>
        </row>
        <row r="34">
          <cell r="BK34">
            <v>926778.97603541298</v>
          </cell>
        </row>
        <row r="35">
          <cell r="BK35">
            <v>1045879.9547045142</v>
          </cell>
        </row>
        <row r="36">
          <cell r="BK36">
            <v>1151531.0061176454</v>
          </cell>
        </row>
        <row r="37">
          <cell r="BK37">
            <v>1258705.0278601542</v>
          </cell>
        </row>
        <row r="38">
          <cell r="BK38">
            <v>1481400.6810883062</v>
          </cell>
        </row>
        <row r="39">
          <cell r="BK39">
            <v>1664784.6133926893</v>
          </cell>
        </row>
        <row r="40">
          <cell r="BK40">
            <v>1804711.8929248874</v>
          </cell>
        </row>
        <row r="41">
          <cell r="BK41">
            <v>2008613.3218471033</v>
          </cell>
        </row>
        <row r="42">
          <cell r="BK42">
            <v>2172583.7484776289</v>
          </cell>
        </row>
        <row r="43">
          <cell r="BK43">
            <v>2411904.9241876588</v>
          </cell>
        </row>
        <row r="44">
          <cell r="BK44">
            <v>2757277.294450284</v>
          </cell>
        </row>
        <row r="45">
          <cell r="BK45">
            <v>3143833.0261059813</v>
          </cell>
        </row>
        <row r="46">
          <cell r="BK46">
            <v>3600177.0145992157</v>
          </cell>
        </row>
        <row r="47">
          <cell r="BK47">
            <v>3882522.4962408417</v>
          </cell>
        </row>
        <row r="48">
          <cell r="BK48">
            <v>4235660.467726904</v>
          </cell>
        </row>
        <row r="49">
          <cell r="BK49">
            <v>4703820.9203068176</v>
          </cell>
        </row>
        <row r="50">
          <cell r="BK50">
            <v>5187849.5306687988</v>
          </cell>
        </row>
        <row r="51">
          <cell r="BK51">
            <v>5774044.9419865739</v>
          </cell>
        </row>
        <row r="52">
          <cell r="BK52">
            <v>6424860.1879652226</v>
          </cell>
        </row>
        <row r="53">
          <cell r="BK53">
            <v>6930284.3764295792</v>
          </cell>
        </row>
        <row r="54">
          <cell r="BK54">
            <v>7464453.6603091192</v>
          </cell>
        </row>
        <row r="55">
          <cell r="BK55">
            <v>7979490.7036272548</v>
          </cell>
        </row>
        <row r="56">
          <cell r="BK56">
            <v>9263887.5521969218</v>
          </cell>
        </row>
        <row r="57">
          <cell r="BK57">
            <v>10075183.320182765</v>
          </cell>
        </row>
        <row r="58">
          <cell r="BK58">
            <v>10103814.676973702</v>
          </cell>
        </row>
        <row r="59">
          <cell r="BK59">
            <v>10692373.933388721</v>
          </cell>
        </row>
        <row r="60">
          <cell r="BK60">
            <v>11477493.662385633</v>
          </cell>
        </row>
        <row r="61">
          <cell r="BK61">
            <v>12359714.288578346</v>
          </cell>
        </row>
        <row r="62">
          <cell r="BK62">
            <v>13586018.159727231</v>
          </cell>
        </row>
        <row r="63">
          <cell r="BK63">
            <v>15118447.947027603</v>
          </cell>
        </row>
        <row r="64">
          <cell r="BK64">
            <v>16479058.438711315</v>
          </cell>
        </row>
        <row r="65">
          <cell r="BK65">
            <v>18440976.458646294</v>
          </cell>
        </row>
        <row r="66">
          <cell r="BK66">
            <v>20484608.550561741</v>
          </cell>
        </row>
        <row r="67">
          <cell r="BK67">
            <v>22439720.808582321</v>
          </cell>
        </row>
        <row r="68">
          <cell r="BK68">
            <v>24959132.08766564</v>
          </cell>
        </row>
        <row r="69">
          <cell r="BK69">
            <v>27776614.181921288</v>
          </cell>
        </row>
        <row r="70">
          <cell r="BK70">
            <v>30082200.063367568</v>
          </cell>
        </row>
        <row r="71">
          <cell r="BK71">
            <v>31589686.418217536</v>
          </cell>
        </row>
        <row r="72">
          <cell r="BK72">
            <v>33450351.24367898</v>
          </cell>
        </row>
        <row r="73">
          <cell r="BK73">
            <v>39050784.74055104</v>
          </cell>
        </row>
        <row r="74">
          <cell r="BK74">
            <v>44058045.725454725</v>
          </cell>
        </row>
        <row r="75">
          <cell r="BK75">
            <v>47074731.867323637</v>
          </cell>
        </row>
        <row r="76">
          <cell r="BK76">
            <v>50136712.054233223</v>
          </cell>
        </row>
        <row r="77">
          <cell r="BK77">
            <v>55360524.850359812</v>
          </cell>
        </row>
        <row r="78">
          <cell r="BK78">
            <v>63376756.727326423</v>
          </cell>
        </row>
        <row r="79">
          <cell r="BK79">
            <v>69413132.708668336</v>
          </cell>
        </row>
        <row r="80">
          <cell r="BK80">
            <v>74900280.439259157</v>
          </cell>
        </row>
        <row r="81">
          <cell r="BK81">
            <v>84161030.43583709</v>
          </cell>
        </row>
        <row r="82">
          <cell r="BK82">
            <v>92095060.553308457</v>
          </cell>
        </row>
        <row r="83">
          <cell r="BK83">
            <v>101303765.53951626</v>
          </cell>
        </row>
        <row r="84">
          <cell r="BK84">
            <v>104518178.76016583</v>
          </cell>
        </row>
      </sheetData>
      <sheetData sheetId="11">
        <row r="4">
          <cell r="EZ4">
            <v>1272.4440909640425</v>
          </cell>
          <cell r="GH4">
            <v>839.54843216941822</v>
          </cell>
        </row>
        <row r="5">
          <cell r="EZ5">
            <v>2399.5250119701595</v>
          </cell>
          <cell r="GH5">
            <v>1134.447707928432</v>
          </cell>
        </row>
        <row r="6">
          <cell r="O6">
            <v>1</v>
          </cell>
          <cell r="P6">
            <v>1</v>
          </cell>
          <cell r="Q6">
            <v>1</v>
          </cell>
          <cell r="BG6">
            <v>1</v>
          </cell>
          <cell r="CB6">
            <v>3</v>
          </cell>
          <cell r="EZ6">
            <v>3576.19445778714</v>
          </cell>
          <cell r="GH6">
            <v>2200.3168562977953</v>
          </cell>
        </row>
        <row r="7">
          <cell r="O7">
            <v>1</v>
          </cell>
          <cell r="P7">
            <v>2</v>
          </cell>
          <cell r="Q7">
            <v>1</v>
          </cell>
          <cell r="BG7">
            <v>4</v>
          </cell>
          <cell r="CB7">
            <v>7</v>
          </cell>
          <cell r="EZ7">
            <v>5908.5838668354654</v>
          </cell>
          <cell r="GH7">
            <v>3014.2694285218768</v>
          </cell>
        </row>
        <row r="8">
          <cell r="O8">
            <v>2</v>
          </cell>
          <cell r="P8">
            <v>2</v>
          </cell>
          <cell r="Q8">
            <v>1</v>
          </cell>
          <cell r="BG8">
            <v>8</v>
          </cell>
          <cell r="CB8">
            <v>10</v>
          </cell>
          <cell r="EZ8">
            <v>9585.0902376963804</v>
          </cell>
          <cell r="GH8">
            <v>3373.7229833502479</v>
          </cell>
        </row>
        <row r="9">
          <cell r="O9">
            <v>2</v>
          </cell>
          <cell r="P9">
            <v>2</v>
          </cell>
          <cell r="Q9">
            <v>2</v>
          </cell>
          <cell r="BG9">
            <v>11</v>
          </cell>
          <cell r="CB9">
            <v>13</v>
          </cell>
          <cell r="EZ9">
            <v>13290.760251285465</v>
          </cell>
          <cell r="GH9">
            <v>3849.93584161326</v>
          </cell>
        </row>
        <row r="10">
          <cell r="O10">
            <v>2</v>
          </cell>
          <cell r="P10">
            <v>2</v>
          </cell>
          <cell r="Q10">
            <v>2</v>
          </cell>
          <cell r="BG10">
            <v>14</v>
          </cell>
          <cell r="CB10">
            <v>15</v>
          </cell>
          <cell r="EZ10">
            <v>16752.578990103822</v>
          </cell>
          <cell r="GH10">
            <v>4594.7066711554689</v>
          </cell>
        </row>
        <row r="11">
          <cell r="O11">
            <v>2</v>
          </cell>
          <cell r="P11">
            <v>3</v>
          </cell>
          <cell r="Q11">
            <v>2</v>
          </cell>
          <cell r="R11">
            <v>1</v>
          </cell>
          <cell r="BG11">
            <v>16</v>
          </cell>
          <cell r="CB11">
            <v>19</v>
          </cell>
          <cell r="EZ11">
            <v>17986.818014828837</v>
          </cell>
          <cell r="GH11">
            <v>4741.9043247603004</v>
          </cell>
        </row>
        <row r="12">
          <cell r="O12">
            <v>3</v>
          </cell>
          <cell r="P12">
            <v>3</v>
          </cell>
          <cell r="Q12">
            <v>2</v>
          </cell>
          <cell r="R12">
            <v>2</v>
          </cell>
          <cell r="BG12">
            <v>20</v>
          </cell>
          <cell r="CB12">
            <v>21</v>
          </cell>
          <cell r="EZ12">
            <v>22760.586728742681</v>
          </cell>
          <cell r="GH12">
            <v>5831.1329515895231</v>
          </cell>
        </row>
        <row r="13">
          <cell r="O13">
            <v>3</v>
          </cell>
          <cell r="P13">
            <v>3</v>
          </cell>
          <cell r="Q13">
            <v>3</v>
          </cell>
          <cell r="R13">
            <v>2</v>
          </cell>
          <cell r="BG13">
            <v>22</v>
          </cell>
          <cell r="CB13">
            <v>23</v>
          </cell>
          <cell r="EZ13">
            <v>27174.979168140679</v>
          </cell>
          <cell r="GH13">
            <v>6786.7839879449712</v>
          </cell>
        </row>
        <row r="14">
          <cell r="O14">
            <v>3</v>
          </cell>
          <cell r="P14">
            <v>3</v>
          </cell>
          <cell r="Q14">
            <v>3</v>
          </cell>
          <cell r="R14">
            <v>3</v>
          </cell>
          <cell r="BG14">
            <v>24</v>
          </cell>
          <cell r="CB14">
            <v>27</v>
          </cell>
          <cell r="EZ14">
            <v>32798.304264884369</v>
          </cell>
          <cell r="GH14">
            <v>7921.6300262802106</v>
          </cell>
        </row>
        <row r="15">
          <cell r="O15">
            <v>3</v>
          </cell>
          <cell r="P15">
            <v>4</v>
          </cell>
          <cell r="Q15">
            <v>3</v>
          </cell>
          <cell r="R15">
            <v>3</v>
          </cell>
          <cell r="BG15">
            <v>28</v>
          </cell>
          <cell r="CB15">
            <v>29</v>
          </cell>
          <cell r="EZ15">
            <v>36660.199906829454</v>
          </cell>
          <cell r="GH15">
            <v>9957.7311323542963</v>
          </cell>
        </row>
        <row r="16">
          <cell r="O16">
            <v>4</v>
          </cell>
          <cell r="P16">
            <v>4</v>
          </cell>
          <cell r="Q16">
            <v>4</v>
          </cell>
          <cell r="R16">
            <v>3</v>
          </cell>
          <cell r="BG16">
            <v>30</v>
          </cell>
          <cell r="CB16">
            <v>32</v>
          </cell>
          <cell r="EZ16">
            <v>42719.253490407922</v>
          </cell>
          <cell r="GH16">
            <v>12795.009743342314</v>
          </cell>
        </row>
        <row r="17">
          <cell r="O17">
            <v>4</v>
          </cell>
          <cell r="P17">
            <v>4</v>
          </cell>
          <cell r="Q17">
            <v>4</v>
          </cell>
          <cell r="R17">
            <v>4</v>
          </cell>
          <cell r="BG17">
            <v>33</v>
          </cell>
          <cell r="CB17">
            <v>34</v>
          </cell>
          <cell r="EZ17">
            <v>48065.140446744655</v>
          </cell>
          <cell r="GH17">
            <v>16621.556627340236</v>
          </cell>
        </row>
        <row r="18">
          <cell r="O18">
            <v>4</v>
          </cell>
          <cell r="P18">
            <v>4</v>
          </cell>
          <cell r="Q18">
            <v>4</v>
          </cell>
          <cell r="R18">
            <v>4</v>
          </cell>
          <cell r="BG18">
            <v>35</v>
          </cell>
          <cell r="CB18">
            <v>35</v>
          </cell>
          <cell r="EZ18">
            <v>58440.889773033501</v>
          </cell>
          <cell r="GH18">
            <v>19033.453008515688</v>
          </cell>
        </row>
        <row r="19">
          <cell r="O19">
            <v>5</v>
          </cell>
          <cell r="P19">
            <v>5</v>
          </cell>
          <cell r="Q19">
            <v>5</v>
          </cell>
          <cell r="R19">
            <v>5</v>
          </cell>
          <cell r="BG19">
            <v>36</v>
          </cell>
          <cell r="CB19">
            <v>37</v>
          </cell>
          <cell r="EZ19">
            <v>78744.416165401926</v>
          </cell>
          <cell r="GH19">
            <v>21432.451980502548</v>
          </cell>
        </row>
        <row r="20">
          <cell r="O20">
            <v>5</v>
          </cell>
          <cell r="P20">
            <v>5</v>
          </cell>
          <cell r="Q20">
            <v>5</v>
          </cell>
          <cell r="R20">
            <v>5</v>
          </cell>
          <cell r="BG20">
            <v>38</v>
          </cell>
          <cell r="CB20">
            <v>40</v>
          </cell>
          <cell r="EZ20">
            <v>92070.086026798061</v>
          </cell>
          <cell r="GH20">
            <v>22686.516474802658</v>
          </cell>
        </row>
        <row r="21">
          <cell r="O21">
            <v>6</v>
          </cell>
          <cell r="P21">
            <v>6</v>
          </cell>
          <cell r="Q21">
            <v>6</v>
          </cell>
          <cell r="R21">
            <v>6</v>
          </cell>
          <cell r="BG21">
            <v>41</v>
          </cell>
          <cell r="CB21">
            <v>41</v>
          </cell>
          <cell r="EZ21">
            <v>125893.29234081943</v>
          </cell>
          <cell r="GH21">
            <v>27963.430437222472</v>
          </cell>
        </row>
        <row r="22">
          <cell r="O22">
            <v>6</v>
          </cell>
          <cell r="P22">
            <v>6</v>
          </cell>
          <cell r="Q22">
            <v>6</v>
          </cell>
          <cell r="R22">
            <v>6</v>
          </cell>
          <cell r="BG22">
            <v>42</v>
          </cell>
          <cell r="CB22">
            <v>43</v>
          </cell>
          <cell r="EZ22">
            <v>135510.80008447194</v>
          </cell>
          <cell r="GH22">
            <v>30064.140336461074</v>
          </cell>
        </row>
        <row r="23">
          <cell r="O23">
            <v>6</v>
          </cell>
          <cell r="P23">
            <v>6</v>
          </cell>
          <cell r="Q23">
            <v>6</v>
          </cell>
          <cell r="R23">
            <v>6</v>
          </cell>
          <cell r="BG23">
            <v>44</v>
          </cell>
          <cell r="CB23">
            <v>46</v>
          </cell>
          <cell r="EZ23">
            <v>142846.75461986999</v>
          </cell>
          <cell r="GH23">
            <v>31672.2283766779</v>
          </cell>
        </row>
        <row r="24">
          <cell r="O24">
            <v>6</v>
          </cell>
          <cell r="P24">
            <v>6</v>
          </cell>
          <cell r="Q24">
            <v>6</v>
          </cell>
          <cell r="R24">
            <v>6</v>
          </cell>
          <cell r="BG24">
            <v>47</v>
          </cell>
          <cell r="CB24">
            <v>47</v>
          </cell>
          <cell r="EZ24">
            <v>169644.67602322926</v>
          </cell>
          <cell r="GH24">
            <v>37570.081892219954</v>
          </cell>
        </row>
        <row r="25">
          <cell r="O25">
            <v>7</v>
          </cell>
          <cell r="P25">
            <v>7</v>
          </cell>
          <cell r="Q25">
            <v>7</v>
          </cell>
          <cell r="R25">
            <v>7</v>
          </cell>
          <cell r="BG25">
            <v>48</v>
          </cell>
          <cell r="CB25">
            <v>50</v>
          </cell>
          <cell r="EZ25">
            <v>189356.36374147213</v>
          </cell>
          <cell r="GH25">
            <v>41914.820099023753</v>
          </cell>
        </row>
        <row r="26">
          <cell r="O26">
            <v>7</v>
          </cell>
          <cell r="P26">
            <v>7</v>
          </cell>
          <cell r="Q26">
            <v>7</v>
          </cell>
          <cell r="R26">
            <v>7</v>
          </cell>
          <cell r="EZ26">
            <v>204876.29194892384</v>
          </cell>
          <cell r="GH26">
            <v>44789.517225767078</v>
          </cell>
        </row>
        <row r="27">
          <cell r="O27">
            <v>8</v>
          </cell>
          <cell r="P27">
            <v>8</v>
          </cell>
          <cell r="Q27">
            <v>8</v>
          </cell>
          <cell r="R27">
            <v>8</v>
          </cell>
          <cell r="EZ27">
            <v>238546.62298421469</v>
          </cell>
          <cell r="GH27">
            <v>51929.161751732288</v>
          </cell>
        </row>
        <row r="28">
          <cell r="O28">
            <v>8</v>
          </cell>
          <cell r="P28">
            <v>8</v>
          </cell>
          <cell r="Q28">
            <v>8</v>
          </cell>
          <cell r="R28">
            <v>8</v>
          </cell>
          <cell r="EZ28">
            <v>263468.5408105657</v>
          </cell>
          <cell r="GH28">
            <v>56758.417818082264</v>
          </cell>
        </row>
        <row r="29">
          <cell r="O29">
            <v>9</v>
          </cell>
          <cell r="P29">
            <v>9</v>
          </cell>
          <cell r="Q29">
            <v>9</v>
          </cell>
          <cell r="R29">
            <v>9</v>
          </cell>
          <cell r="EZ29">
            <v>287198.28151499806</v>
          </cell>
          <cell r="GH29">
            <v>61623.750985282357</v>
          </cell>
        </row>
        <row r="30">
          <cell r="O30">
            <v>9</v>
          </cell>
          <cell r="P30">
            <v>9</v>
          </cell>
          <cell r="Q30">
            <v>9</v>
          </cell>
          <cell r="R30">
            <v>9</v>
          </cell>
          <cell r="EZ30">
            <v>321143.10856568208</v>
          </cell>
          <cell r="GH30">
            <v>68884.963475286611</v>
          </cell>
        </row>
        <row r="31">
          <cell r="O31">
            <v>9</v>
          </cell>
          <cell r="P31">
            <v>9</v>
          </cell>
          <cell r="Q31">
            <v>9</v>
          </cell>
          <cell r="R31">
            <v>9</v>
          </cell>
          <cell r="EZ31">
            <v>344818.05166636221</v>
          </cell>
          <cell r="GH31">
            <v>73949.949805898592</v>
          </cell>
        </row>
        <row r="32">
          <cell r="O32">
            <v>9</v>
          </cell>
          <cell r="P32">
            <v>9</v>
          </cell>
          <cell r="Q32">
            <v>9</v>
          </cell>
          <cell r="R32">
            <v>9</v>
          </cell>
          <cell r="EZ32">
            <v>411525.09677633783</v>
          </cell>
          <cell r="GH32">
            <v>88236.285464117769</v>
          </cell>
        </row>
        <row r="33">
          <cell r="O33">
            <v>10</v>
          </cell>
          <cell r="P33">
            <v>10</v>
          </cell>
          <cell r="Q33">
            <v>10</v>
          </cell>
          <cell r="R33">
            <v>10</v>
          </cell>
          <cell r="EZ33">
            <v>443295.48338232422</v>
          </cell>
          <cell r="GH33">
            <v>95028.090473535471</v>
          </cell>
        </row>
        <row r="34">
          <cell r="O34">
            <v>10</v>
          </cell>
          <cell r="P34">
            <v>10</v>
          </cell>
          <cell r="Q34">
            <v>10</v>
          </cell>
          <cell r="R34">
            <v>10</v>
          </cell>
          <cell r="EZ34">
            <v>489726.97498923354</v>
          </cell>
          <cell r="GH34">
            <v>111960.76262053638</v>
          </cell>
        </row>
        <row r="35">
          <cell r="O35">
            <v>11</v>
          </cell>
          <cell r="P35">
            <v>11</v>
          </cell>
          <cell r="Q35">
            <v>11</v>
          </cell>
          <cell r="R35">
            <v>11</v>
          </cell>
          <cell r="EZ35">
            <v>535935.58595716581</v>
          </cell>
          <cell r="GH35">
            <v>133983.89648929145</v>
          </cell>
        </row>
        <row r="36">
          <cell r="O36">
            <v>11</v>
          </cell>
          <cell r="P36">
            <v>11</v>
          </cell>
          <cell r="Q36">
            <v>11</v>
          </cell>
          <cell r="R36">
            <v>11</v>
          </cell>
          <cell r="EZ36">
            <v>568030.26799760014</v>
          </cell>
          <cell r="GH36">
            <v>145603.56024578703</v>
          </cell>
        </row>
        <row r="37">
          <cell r="O37">
            <v>11</v>
          </cell>
          <cell r="P37">
            <v>11</v>
          </cell>
          <cell r="Q37">
            <v>11</v>
          </cell>
          <cell r="R37">
            <v>11</v>
          </cell>
          <cell r="EZ37">
            <v>678590.0251433095</v>
          </cell>
          <cell r="GH37">
            <v>191755.82492414</v>
          </cell>
        </row>
        <row r="38">
          <cell r="O38">
            <v>12</v>
          </cell>
          <cell r="P38">
            <v>12</v>
          </cell>
          <cell r="Q38">
            <v>12</v>
          </cell>
          <cell r="R38">
            <v>12</v>
          </cell>
          <cell r="EZ38">
            <v>736224.42014603689</v>
          </cell>
          <cell r="GH38">
            <v>207074.29302250058</v>
          </cell>
        </row>
        <row r="39">
          <cell r="O39">
            <v>12</v>
          </cell>
          <cell r="P39">
            <v>12</v>
          </cell>
          <cell r="Q39">
            <v>12</v>
          </cell>
          <cell r="R39">
            <v>12</v>
          </cell>
          <cell r="EZ39">
            <v>949531.95164569933</v>
          </cell>
          <cell r="GH39">
            <v>229875.13932431862</v>
          </cell>
        </row>
        <row r="40">
          <cell r="O40">
            <v>13</v>
          </cell>
          <cell r="P40">
            <v>13</v>
          </cell>
          <cell r="Q40">
            <v>13</v>
          </cell>
          <cell r="R40">
            <v>13</v>
          </cell>
          <cell r="EZ40">
            <v>1015586.0546973506</v>
          </cell>
          <cell r="GH40">
            <v>245866.38228947064</v>
          </cell>
        </row>
        <row r="41">
          <cell r="O41">
            <v>14</v>
          </cell>
          <cell r="P41">
            <v>14</v>
          </cell>
          <cell r="Q41">
            <v>14</v>
          </cell>
          <cell r="R41">
            <v>14</v>
          </cell>
          <cell r="EZ41">
            <v>1240315.6485070679</v>
          </cell>
          <cell r="GH41">
            <v>268992.13882244751</v>
          </cell>
        </row>
        <row r="42">
          <cell r="O42">
            <v>14</v>
          </cell>
          <cell r="P42">
            <v>14</v>
          </cell>
          <cell r="Q42">
            <v>14</v>
          </cell>
          <cell r="R42">
            <v>14</v>
          </cell>
          <cell r="EZ42">
            <v>1374480.0840820912</v>
          </cell>
          <cell r="GH42">
            <v>291033.31219612062</v>
          </cell>
        </row>
        <row r="43">
          <cell r="O43">
            <v>15</v>
          </cell>
          <cell r="P43">
            <v>15</v>
          </cell>
          <cell r="Q43">
            <v>15</v>
          </cell>
          <cell r="R43">
            <v>15</v>
          </cell>
          <cell r="EZ43">
            <v>1557857.9661808033</v>
          </cell>
          <cell r="GH43">
            <v>329795.67064063856</v>
          </cell>
        </row>
        <row r="44">
          <cell r="O44">
            <v>15</v>
          </cell>
          <cell r="P44">
            <v>15</v>
          </cell>
          <cell r="Q44">
            <v>15</v>
          </cell>
          <cell r="R44">
            <v>15</v>
          </cell>
          <cell r="EZ44">
            <v>1757277.1225140691</v>
          </cell>
          <cell r="GH44">
            <v>371945.70152331749</v>
          </cell>
        </row>
        <row r="45">
          <cell r="O45">
            <v>15</v>
          </cell>
          <cell r="P45">
            <v>15</v>
          </cell>
          <cell r="Q45">
            <v>15</v>
          </cell>
          <cell r="R45">
            <v>15</v>
          </cell>
          <cell r="EZ45">
            <v>1971741.2337158322</v>
          </cell>
          <cell r="GH45">
            <v>417292.9177155639</v>
          </cell>
        </row>
        <row r="46">
          <cell r="O46">
            <v>16</v>
          </cell>
          <cell r="P46">
            <v>16</v>
          </cell>
          <cell r="Q46">
            <v>16</v>
          </cell>
          <cell r="R46">
            <v>16</v>
          </cell>
          <cell r="EZ46">
            <v>2127272.5566439517</v>
          </cell>
          <cell r="GH46">
            <v>450106.49798781564</v>
          </cell>
        </row>
        <row r="47">
          <cell r="O47">
            <v>17</v>
          </cell>
          <cell r="P47">
            <v>17</v>
          </cell>
          <cell r="Q47">
            <v>17</v>
          </cell>
          <cell r="R47">
            <v>17</v>
          </cell>
          <cell r="EZ47">
            <v>2247637.0461000688</v>
          </cell>
          <cell r="GH47">
            <v>475539.98489977885</v>
          </cell>
        </row>
        <row r="48">
          <cell r="O48">
            <v>17</v>
          </cell>
          <cell r="P48">
            <v>17</v>
          </cell>
          <cell r="Q48">
            <v>17</v>
          </cell>
          <cell r="R48">
            <v>17</v>
          </cell>
          <cell r="EZ48">
            <v>2545667.7082266584</v>
          </cell>
          <cell r="GH48">
            <v>538146.6662611505</v>
          </cell>
        </row>
        <row r="49">
          <cell r="O49">
            <v>18</v>
          </cell>
          <cell r="P49">
            <v>18</v>
          </cell>
          <cell r="Q49">
            <v>18</v>
          </cell>
          <cell r="R49">
            <v>18</v>
          </cell>
          <cell r="EZ49">
            <v>2709993.5950783752</v>
          </cell>
          <cell r="GH49">
            <v>572884.67543017026</v>
          </cell>
        </row>
        <row r="50">
          <cell r="O50">
            <v>18</v>
          </cell>
          <cell r="P50">
            <v>18</v>
          </cell>
          <cell r="Q50">
            <v>18</v>
          </cell>
          <cell r="R50">
            <v>18</v>
          </cell>
          <cell r="EZ50">
            <v>3049252.9553979561</v>
          </cell>
          <cell r="GH50">
            <v>644185.16991996858</v>
          </cell>
        </row>
        <row r="51">
          <cell r="O51">
            <v>18</v>
          </cell>
          <cell r="P51">
            <v>18</v>
          </cell>
          <cell r="Q51">
            <v>18</v>
          </cell>
          <cell r="R51">
            <v>18</v>
          </cell>
          <cell r="EZ51">
            <v>3316018.0264164358</v>
          </cell>
          <cell r="GH51">
            <v>700432.04840393458</v>
          </cell>
        </row>
        <row r="52">
          <cell r="O52">
            <v>19</v>
          </cell>
          <cell r="P52">
            <v>19</v>
          </cell>
          <cell r="Q52">
            <v>19</v>
          </cell>
          <cell r="R52">
            <v>19</v>
          </cell>
          <cell r="EZ52">
            <v>3556037.1053185239</v>
          </cell>
          <cell r="GH52">
            <v>750848.61951645277</v>
          </cell>
        </row>
        <row r="53">
          <cell r="O53">
            <v>20</v>
          </cell>
          <cell r="P53">
            <v>20</v>
          </cell>
          <cell r="Q53">
            <v>20</v>
          </cell>
          <cell r="R53">
            <v>20</v>
          </cell>
          <cell r="EZ53">
            <v>3902894.7714509442</v>
          </cell>
          <cell r="GH53">
            <v>823801.80208805483</v>
          </cell>
        </row>
        <row r="54">
          <cell r="O54">
            <v>20</v>
          </cell>
          <cell r="P54">
            <v>20</v>
          </cell>
          <cell r="Q54">
            <v>20</v>
          </cell>
          <cell r="R54">
            <v>20</v>
          </cell>
          <cell r="EZ54">
            <v>4180958.6464643925</v>
          </cell>
          <cell r="GH54">
            <v>882398.74884708971</v>
          </cell>
        </row>
        <row r="55">
          <cell r="O55">
            <v>20</v>
          </cell>
          <cell r="P55">
            <v>20</v>
          </cell>
          <cell r="Q55">
            <v>20</v>
          </cell>
          <cell r="R55">
            <v>20</v>
          </cell>
          <cell r="EZ55">
            <v>5039355.1947038025</v>
          </cell>
          <cell r="GH55">
            <v>1062988.9863828328</v>
          </cell>
        </row>
        <row r="56">
          <cell r="EZ56">
            <v>5456997.6872680113</v>
          </cell>
          <cell r="GH56">
            <v>1151085.4496580977</v>
          </cell>
        </row>
        <row r="57">
          <cell r="EZ57">
            <v>5719190.6811475456</v>
          </cell>
          <cell r="GH57">
            <v>1212560.6773193069</v>
          </cell>
        </row>
        <row r="58">
          <cell r="EZ58">
            <v>6063112.919401072</v>
          </cell>
          <cell r="GH58">
            <v>1285704.748533709</v>
          </cell>
        </row>
        <row r="59">
          <cell r="EZ59">
            <v>6744135.2701018974</v>
          </cell>
          <cell r="GH59">
            <v>1428947.8413996138</v>
          </cell>
        </row>
        <row r="60">
          <cell r="EZ60">
            <v>7427212.4966705441</v>
          </cell>
          <cell r="GH60">
            <v>1572969.5140727349</v>
          </cell>
        </row>
        <row r="61">
          <cell r="EZ61">
            <v>8074938.9384875596</v>
          </cell>
          <cell r="GH61">
            <v>1709512.9251941442</v>
          </cell>
        </row>
        <row r="62">
          <cell r="EZ62">
            <v>9052973.1419601589</v>
          </cell>
          <cell r="GH62">
            <v>1915083.188384749</v>
          </cell>
        </row>
        <row r="63">
          <cell r="EQ63">
            <v>142149896.24466434</v>
          </cell>
          <cell r="EZ63">
            <v>9688199.0427765846</v>
          </cell>
          <cell r="GF63">
            <v>2777255.7749855034</v>
          </cell>
          <cell r="GH63">
            <v>2049111.5524396673</v>
          </cell>
        </row>
        <row r="64">
          <cell r="EZ64">
            <v>10997739.252286121</v>
          </cell>
          <cell r="GH64">
            <v>2324061.1893278807</v>
          </cell>
        </row>
        <row r="65">
          <cell r="EZ65">
            <v>11988380.918272987</v>
          </cell>
          <cell r="GH65">
            <v>2521468.464802146</v>
          </cell>
        </row>
        <row r="66">
          <cell r="EZ66">
            <v>14975501.29740335</v>
          </cell>
          <cell r="GH66">
            <v>2823926.847494103</v>
          </cell>
        </row>
        <row r="67">
          <cell r="EZ67">
            <v>16222852.074733108</v>
          </cell>
          <cell r="GH67">
            <v>3059139.4977013394</v>
          </cell>
        </row>
        <row r="68">
          <cell r="EZ68">
            <v>20271311.968879998</v>
          </cell>
          <cell r="GH68">
            <v>3472420.6183651984</v>
          </cell>
        </row>
        <row r="69">
          <cell r="EZ69">
            <v>21602715.782374412</v>
          </cell>
          <cell r="GH69">
            <v>3679212.5316856429</v>
          </cell>
        </row>
        <row r="70">
          <cell r="EZ70">
            <v>23020143.057035834</v>
          </cell>
          <cell r="GH70">
            <v>3915413.8093927205</v>
          </cell>
        </row>
        <row r="71">
          <cell r="EZ71">
            <v>23932596.828024834</v>
          </cell>
          <cell r="GH71">
            <v>4069683.8281545788</v>
          </cell>
        </row>
        <row r="72">
          <cell r="EZ72">
            <v>28021900.416289359</v>
          </cell>
          <cell r="GH72">
            <v>4760705.606464535</v>
          </cell>
        </row>
        <row r="73">
          <cell r="EZ73">
            <v>31343993.118502796</v>
          </cell>
          <cell r="GH73">
            <v>5322396.091754891</v>
          </cell>
        </row>
        <row r="74">
          <cell r="EZ74">
            <v>33424709.569359362</v>
          </cell>
          <cell r="GH74">
            <v>5683958.1107687801</v>
          </cell>
        </row>
        <row r="75">
          <cell r="EZ75">
            <v>35456299.345142484</v>
          </cell>
          <cell r="GH75">
            <v>6037075.0389363244</v>
          </cell>
        </row>
        <row r="76">
          <cell r="EZ76">
            <v>38776519.551508963</v>
          </cell>
          <cell r="GH76">
            <v>6608162.988066107</v>
          </cell>
        </row>
        <row r="77">
          <cell r="EZ77">
            <v>44536119.915529072</v>
          </cell>
          <cell r="GH77">
            <v>7602016.2670939863</v>
          </cell>
        </row>
        <row r="78">
          <cell r="EZ78">
            <v>48023411.560354292</v>
          </cell>
          <cell r="GH78">
            <v>8201719.6719575971</v>
          </cell>
        </row>
        <row r="79">
          <cell r="EZ79">
            <v>52094319.547411621</v>
          </cell>
          <cell r="GH79">
            <v>8912601.3872149885</v>
          </cell>
        </row>
        <row r="80">
          <cell r="EZ80">
            <v>57375392.674862385</v>
          </cell>
          <cell r="GH80">
            <v>9814136.4368413687</v>
          </cell>
        </row>
        <row r="81">
          <cell r="EZ81">
            <v>63610377.328930378</v>
          </cell>
          <cell r="GH81">
            <v>10863690.895565867</v>
          </cell>
        </row>
        <row r="82">
          <cell r="EZ82">
            <v>68400098.598832607</v>
          </cell>
          <cell r="GH82">
            <v>11681901.359576494</v>
          </cell>
        </row>
        <row r="83">
          <cell r="EZ83">
            <v>71764326.65017128</v>
          </cell>
          <cell r="GH83">
            <v>12278114.545594931</v>
          </cell>
        </row>
      </sheetData>
      <sheetData sheetId="12"/>
      <sheetData sheetId="13"/>
      <sheetData sheetId="14">
        <row r="6">
          <cell r="BG6">
            <v>0</v>
          </cell>
        </row>
        <row r="7">
          <cell r="BG7">
            <v>0</v>
          </cell>
        </row>
        <row r="8">
          <cell r="BG8">
            <v>0</v>
          </cell>
        </row>
        <row r="9">
          <cell r="BG9">
            <v>0</v>
          </cell>
        </row>
        <row r="10">
          <cell r="BG10">
            <v>0</v>
          </cell>
        </row>
        <row r="11">
          <cell r="BG11">
            <v>0</v>
          </cell>
        </row>
        <row r="12">
          <cell r="BG12">
            <v>0</v>
          </cell>
        </row>
        <row r="13">
          <cell r="BG13">
            <v>0</v>
          </cell>
        </row>
        <row r="14">
          <cell r="BG14">
            <v>0</v>
          </cell>
        </row>
        <row r="15">
          <cell r="BG15">
            <v>0</v>
          </cell>
        </row>
        <row r="16">
          <cell r="BG16">
            <v>0</v>
          </cell>
        </row>
        <row r="17">
          <cell r="BG17">
            <v>0</v>
          </cell>
        </row>
        <row r="18">
          <cell r="BG18">
            <v>0</v>
          </cell>
        </row>
        <row r="19">
          <cell r="BG19">
            <v>0</v>
          </cell>
        </row>
        <row r="20">
          <cell r="BG20">
            <v>0</v>
          </cell>
        </row>
        <row r="21">
          <cell r="BG21">
            <v>0</v>
          </cell>
        </row>
        <row r="22">
          <cell r="BG22">
            <v>0</v>
          </cell>
        </row>
        <row r="23">
          <cell r="BG23">
            <v>0</v>
          </cell>
        </row>
        <row r="24">
          <cell r="BG24">
            <v>0</v>
          </cell>
        </row>
        <row r="25">
          <cell r="BG25">
            <v>0</v>
          </cell>
        </row>
        <row r="26">
          <cell r="BG26">
            <v>0</v>
          </cell>
        </row>
        <row r="27">
          <cell r="BG27">
            <v>0</v>
          </cell>
        </row>
        <row r="28">
          <cell r="BG28">
            <v>0</v>
          </cell>
        </row>
        <row r="29">
          <cell r="BG29">
            <v>0</v>
          </cell>
        </row>
        <row r="30">
          <cell r="BG30">
            <v>0</v>
          </cell>
        </row>
        <row r="31">
          <cell r="BG31">
            <v>0</v>
          </cell>
        </row>
        <row r="32">
          <cell r="BG32">
            <v>0</v>
          </cell>
        </row>
        <row r="33">
          <cell r="BG33">
            <v>0</v>
          </cell>
        </row>
        <row r="34">
          <cell r="BG34">
            <v>0</v>
          </cell>
        </row>
        <row r="35">
          <cell r="BG35">
            <v>0</v>
          </cell>
        </row>
        <row r="36">
          <cell r="BG36">
            <v>0</v>
          </cell>
        </row>
        <row r="37">
          <cell r="BG37">
            <v>0</v>
          </cell>
        </row>
        <row r="38">
          <cell r="BG38">
            <v>0</v>
          </cell>
        </row>
        <row r="39">
          <cell r="BG39">
            <v>0</v>
          </cell>
        </row>
        <row r="40">
          <cell r="BG40">
            <v>0</v>
          </cell>
        </row>
        <row r="41">
          <cell r="BG41">
            <v>0</v>
          </cell>
        </row>
        <row r="42">
          <cell r="BG42">
            <v>0</v>
          </cell>
        </row>
        <row r="43">
          <cell r="BG43">
            <v>0</v>
          </cell>
        </row>
        <row r="44">
          <cell r="BG44">
            <v>0</v>
          </cell>
        </row>
        <row r="45">
          <cell r="BG45">
            <v>0</v>
          </cell>
        </row>
        <row r="46">
          <cell r="BG46">
            <v>0</v>
          </cell>
        </row>
        <row r="47">
          <cell r="BG47">
            <v>0</v>
          </cell>
        </row>
        <row r="48">
          <cell r="BG48">
            <v>0</v>
          </cell>
        </row>
        <row r="49">
          <cell r="BG49">
            <v>0</v>
          </cell>
        </row>
        <row r="50">
          <cell r="BG50">
            <v>0</v>
          </cell>
        </row>
        <row r="51">
          <cell r="BG51">
            <v>0</v>
          </cell>
        </row>
        <row r="52">
          <cell r="BG52">
            <v>0</v>
          </cell>
        </row>
        <row r="53">
          <cell r="BG53">
            <v>0</v>
          </cell>
        </row>
        <row r="54">
          <cell r="BG54">
            <v>0</v>
          </cell>
        </row>
        <row r="55">
          <cell r="BG55">
            <v>0</v>
          </cell>
        </row>
        <row r="56">
          <cell r="BG56">
            <v>0</v>
          </cell>
        </row>
        <row r="57">
          <cell r="BG57">
            <v>0</v>
          </cell>
        </row>
        <row r="58">
          <cell r="BG58">
            <v>0</v>
          </cell>
        </row>
        <row r="59">
          <cell r="BG59">
            <v>0</v>
          </cell>
        </row>
        <row r="60">
          <cell r="BG60">
            <v>0</v>
          </cell>
        </row>
        <row r="61">
          <cell r="BG61">
            <v>0</v>
          </cell>
        </row>
        <row r="62">
          <cell r="BG62">
            <v>0</v>
          </cell>
        </row>
        <row r="63">
          <cell r="BG63">
            <v>0</v>
          </cell>
        </row>
        <row r="64">
          <cell r="BG64">
            <v>0</v>
          </cell>
        </row>
        <row r="65">
          <cell r="BG65">
            <v>0</v>
          </cell>
        </row>
        <row r="66">
          <cell r="BG66">
            <v>0</v>
          </cell>
        </row>
        <row r="67">
          <cell r="BG67">
            <v>0</v>
          </cell>
        </row>
        <row r="68">
          <cell r="BG68">
            <v>0</v>
          </cell>
        </row>
        <row r="69">
          <cell r="BG69">
            <v>0</v>
          </cell>
        </row>
        <row r="70">
          <cell r="BG70">
            <v>0</v>
          </cell>
        </row>
        <row r="71">
          <cell r="BG71">
            <v>0</v>
          </cell>
        </row>
        <row r="72">
          <cell r="BG72">
            <v>0</v>
          </cell>
        </row>
        <row r="73">
          <cell r="BG73">
            <v>0</v>
          </cell>
        </row>
        <row r="74">
          <cell r="BG74">
            <v>0</v>
          </cell>
        </row>
        <row r="75">
          <cell r="BG75">
            <v>0</v>
          </cell>
        </row>
        <row r="76">
          <cell r="BG76">
            <v>0</v>
          </cell>
        </row>
        <row r="77">
          <cell r="BG77">
            <v>0</v>
          </cell>
        </row>
        <row r="78">
          <cell r="BG78">
            <v>0</v>
          </cell>
        </row>
        <row r="79">
          <cell r="BG79">
            <v>0</v>
          </cell>
        </row>
        <row r="80">
          <cell r="BG80">
            <v>0</v>
          </cell>
        </row>
        <row r="81">
          <cell r="BG81">
            <v>0</v>
          </cell>
        </row>
        <row r="82">
          <cell r="BG82">
            <v>0</v>
          </cell>
        </row>
        <row r="83">
          <cell r="BG83">
            <v>0</v>
          </cell>
        </row>
        <row r="84">
          <cell r="BG84">
            <v>0</v>
          </cell>
        </row>
        <row r="85">
          <cell r="BG85">
            <v>0</v>
          </cell>
        </row>
      </sheetData>
      <sheetData sheetId="15">
        <row r="6">
          <cell r="BO6">
            <v>45387.591267742922</v>
          </cell>
        </row>
        <row r="7">
          <cell r="BO7">
            <v>40633.398432249545</v>
          </cell>
        </row>
        <row r="8">
          <cell r="BO8">
            <v>156686.25067346267</v>
          </cell>
        </row>
        <row r="9">
          <cell r="BO9">
            <v>82316.580904461414</v>
          </cell>
        </row>
        <row r="10">
          <cell r="BO10">
            <v>293477.78003245837</v>
          </cell>
        </row>
        <row r="11">
          <cell r="BO11">
            <v>149562.93184110324</v>
          </cell>
        </row>
        <row r="12">
          <cell r="BO12">
            <v>156848.4549551371</v>
          </cell>
        </row>
        <row r="13">
          <cell r="BO13">
            <v>347504.65246473008</v>
          </cell>
        </row>
        <row r="14">
          <cell r="BO14">
            <v>208542.60671971552</v>
          </cell>
        </row>
        <row r="15">
          <cell r="BO15">
            <v>461044.01432357961</v>
          </cell>
        </row>
        <row r="16">
          <cell r="BO16">
            <v>256412.92059684056</v>
          </cell>
        </row>
        <row r="17">
          <cell r="BO17">
            <v>580692.80448319297</v>
          </cell>
        </row>
        <row r="18">
          <cell r="BO18">
            <v>330394.14118984761</v>
          </cell>
        </row>
        <row r="19">
          <cell r="BO19">
            <v>753862.4976600036</v>
          </cell>
        </row>
        <row r="20">
          <cell r="BO20">
            <v>444355.25785724865</v>
          </cell>
        </row>
        <row r="21">
          <cell r="BO21">
            <v>963943.39233050402</v>
          </cell>
        </row>
        <row r="22">
          <cell r="BO22">
            <v>599586.94307323545</v>
          </cell>
        </row>
        <row r="23">
          <cell r="BO23">
            <v>1258099.568207711</v>
          </cell>
        </row>
        <row r="24">
          <cell r="BO24">
            <v>808275.57652901113</v>
          </cell>
        </row>
        <row r="25">
          <cell r="BO25">
            <v>898851.13072202634</v>
          </cell>
        </row>
        <row r="26">
          <cell r="BO26">
            <v>1325964.9301295578</v>
          </cell>
        </row>
        <row r="27">
          <cell r="BO27">
            <v>1227867.4654427059</v>
          </cell>
        </row>
        <row r="28">
          <cell r="BO28">
            <v>1365945.651268499</v>
          </cell>
        </row>
        <row r="29">
          <cell r="BO29">
            <v>1527492.7717347965</v>
          </cell>
        </row>
        <row r="30">
          <cell r="BO30">
            <v>2195478.319491405</v>
          </cell>
        </row>
        <row r="31">
          <cell r="BO31">
            <v>2101743.5872138366</v>
          </cell>
        </row>
        <row r="32">
          <cell r="BO32">
            <v>2347829.6227459535</v>
          </cell>
        </row>
        <row r="33">
          <cell r="BO33">
            <v>2620393.1012016237</v>
          </cell>
        </row>
        <row r="34">
          <cell r="BO34">
            <v>2937698.9041634351</v>
          </cell>
        </row>
        <row r="35">
          <cell r="BO35">
            <v>3328514.1204738356</v>
          </cell>
        </row>
        <row r="36">
          <cell r="BO36">
            <v>6259957.3694996983</v>
          </cell>
        </row>
        <row r="37">
          <cell r="BO37">
            <v>4595855.9600031972</v>
          </cell>
        </row>
        <row r="38">
          <cell r="BO38">
            <v>5063925.998413004</v>
          </cell>
        </row>
        <row r="39">
          <cell r="BO39">
            <v>5664006.5479798093</v>
          </cell>
        </row>
        <row r="40">
          <cell r="BO40">
            <v>6255435.929112643</v>
          </cell>
        </row>
        <row r="41">
          <cell r="BO41">
            <v>6981181.4317193553</v>
          </cell>
        </row>
        <row r="42">
          <cell r="BO42">
            <v>7734818.3476860374</v>
          </cell>
        </row>
        <row r="43">
          <cell r="BO43">
            <v>8764337.2197039723</v>
          </cell>
        </row>
        <row r="44">
          <cell r="BO44">
            <v>9866129.1662923545</v>
          </cell>
        </row>
        <row r="45">
          <cell r="BO45">
            <v>11044654.482359007</v>
          </cell>
        </row>
        <row r="46">
          <cell r="BO46">
            <v>13073794.705499247</v>
          </cell>
        </row>
        <row r="47">
          <cell r="BO47">
            <v>14564057.431190312</v>
          </cell>
        </row>
        <row r="48">
          <cell r="BO48">
            <v>16233567.280934423</v>
          </cell>
        </row>
        <row r="49">
          <cell r="BO49">
            <v>17902722.839584023</v>
          </cell>
        </row>
        <row r="50">
          <cell r="BO50">
            <v>19928623.943111151</v>
          </cell>
        </row>
        <row r="51">
          <cell r="BO51">
            <v>22041562.078654855</v>
          </cell>
        </row>
        <row r="52">
          <cell r="BO52">
            <v>24482443.091575861</v>
          </cell>
        </row>
        <row r="53">
          <cell r="BO53">
            <v>27184437.468250185</v>
          </cell>
        </row>
        <row r="54">
          <cell r="BO54">
            <v>30300785.600178063</v>
          </cell>
        </row>
        <row r="55">
          <cell r="BO55">
            <v>33500979.35802865</v>
          </cell>
        </row>
        <row r="56">
          <cell r="BO56">
            <v>37835863.418004572</v>
          </cell>
        </row>
        <row r="57">
          <cell r="BO57">
            <v>41636299.901196957</v>
          </cell>
        </row>
        <row r="58">
          <cell r="BO58">
            <v>45308964.844335675</v>
          </cell>
        </row>
        <row r="59">
          <cell r="BO59">
            <v>49723306.027343273</v>
          </cell>
        </row>
        <row r="60">
          <cell r="BO60">
            <v>54318578.068632305</v>
          </cell>
        </row>
        <row r="61">
          <cell r="BO61">
            <v>59514061.93290782</v>
          </cell>
        </row>
        <row r="62">
          <cell r="BO62">
            <v>65391346.539566398</v>
          </cell>
        </row>
        <row r="63">
          <cell r="BO63">
            <v>72816336.438516736</v>
          </cell>
        </row>
        <row r="64">
          <cell r="BO64">
            <v>81339324.203896523</v>
          </cell>
        </row>
        <row r="65">
          <cell r="BE65">
            <v>988967046.44873035</v>
          </cell>
          <cell r="BO65">
            <v>89920923.075475812</v>
          </cell>
        </row>
        <row r="66">
          <cell r="BO66">
            <v>103491305.93470931</v>
          </cell>
        </row>
        <row r="67">
          <cell r="BO67">
            <v>113362983.72628903</v>
          </cell>
        </row>
        <row r="68">
          <cell r="BO68">
            <v>125669846.99781036</v>
          </cell>
        </row>
        <row r="69">
          <cell r="BO69">
            <v>137529985.84451437</v>
          </cell>
        </row>
        <row r="70">
          <cell r="BO70">
            <v>154202788.37904644</v>
          </cell>
        </row>
        <row r="71">
          <cell r="BO71">
            <v>170471092.34602237</v>
          </cell>
        </row>
        <row r="72">
          <cell r="BO72">
            <v>189933656.28897333</v>
          </cell>
        </row>
        <row r="73">
          <cell r="BO73">
            <v>211130649.47348404</v>
          </cell>
        </row>
        <row r="74">
          <cell r="BO74">
            <v>230686026.20050645</v>
          </cell>
        </row>
        <row r="75">
          <cell r="BO75">
            <v>252970596.36440277</v>
          </cell>
        </row>
        <row r="76">
          <cell r="BO76">
            <v>283801673.24277925</v>
          </cell>
        </row>
        <row r="77">
          <cell r="BO77">
            <v>311022801.84568214</v>
          </cell>
        </row>
        <row r="78">
          <cell r="BO78">
            <v>338091730.80254316</v>
          </cell>
        </row>
        <row r="79">
          <cell r="BO79">
            <v>371430911.98534632</v>
          </cell>
        </row>
        <row r="80">
          <cell r="BO80">
            <v>402872573.19633341</v>
          </cell>
        </row>
        <row r="81">
          <cell r="BO81">
            <v>443129037.54659081</v>
          </cell>
        </row>
        <row r="82">
          <cell r="BO82">
            <v>481020585.39996338</v>
          </cell>
        </row>
        <row r="83">
          <cell r="BO83">
            <v>528012059.99489975</v>
          </cell>
        </row>
        <row r="84">
          <cell r="BO84">
            <v>574529138.98073483</v>
          </cell>
        </row>
        <row r="85">
          <cell r="BO85">
            <v>630231791.7105732</v>
          </cell>
        </row>
      </sheetData>
      <sheetData sheetId="16"/>
      <sheetData sheetId="17"/>
      <sheetData sheetId="18"/>
      <sheetData sheetId="19">
        <row r="6">
          <cell r="AU6">
            <v>2428.3559161109729</v>
          </cell>
        </row>
        <row r="7">
          <cell r="AU7">
            <v>1044.1830925944942</v>
          </cell>
        </row>
        <row r="8">
          <cell r="AU8">
            <v>818.84779154072521</v>
          </cell>
        </row>
        <row r="9">
          <cell r="AU9">
            <v>2791.5972228533037</v>
          </cell>
        </row>
        <row r="10">
          <cell r="AU10">
            <v>6058.0148893764381</v>
          </cell>
        </row>
        <row r="11">
          <cell r="AU11">
            <v>8873.7925298899754</v>
          </cell>
        </row>
        <row r="12">
          <cell r="AU12">
            <v>14396.943874867313</v>
          </cell>
        </row>
        <row r="13">
          <cell r="AU13">
            <v>18618.374058368434</v>
          </cell>
        </row>
        <row r="14">
          <cell r="AU14">
            <v>28291.984308929786</v>
          </cell>
        </row>
        <row r="15">
          <cell r="AU15">
            <v>40205.263573150369</v>
          </cell>
        </row>
        <row r="16">
          <cell r="AU16">
            <v>53019.120868238329</v>
          </cell>
        </row>
        <row r="17">
          <cell r="AU17">
            <v>52072.15803123737</v>
          </cell>
        </row>
        <row r="18">
          <cell r="AU18">
            <v>52811.684866677009</v>
          </cell>
        </row>
        <row r="19">
          <cell r="AU19">
            <v>87616.277791488974</v>
          </cell>
        </row>
        <row r="20">
          <cell r="AU20">
            <v>95936.946700294444</v>
          </cell>
        </row>
        <row r="21">
          <cell r="AU21">
            <v>89339.648806188256</v>
          </cell>
        </row>
        <row r="22">
          <cell r="AU22">
            <v>111113.84928129346</v>
          </cell>
        </row>
        <row r="23">
          <cell r="AU23">
            <v>160508.21979955945</v>
          </cell>
        </row>
        <row r="24">
          <cell r="AU24">
            <v>185369.90232611855</v>
          </cell>
        </row>
        <row r="25">
          <cell r="AU25">
            <v>202302.5699030878</v>
          </cell>
        </row>
        <row r="26">
          <cell r="AU26">
            <v>216935.81706464966</v>
          </cell>
        </row>
        <row r="27">
          <cell r="AU27">
            <v>231140.40749235707</v>
          </cell>
        </row>
        <row r="28">
          <cell r="AU28">
            <v>221571.05025701807</v>
          </cell>
        </row>
        <row r="29">
          <cell r="AU29">
            <v>246732.38577752956</v>
          </cell>
        </row>
        <row r="30">
          <cell r="AU30">
            <v>229639.25272280164</v>
          </cell>
        </row>
        <row r="31">
          <cell r="AU31">
            <v>232575.99168126239</v>
          </cell>
        </row>
        <row r="32">
          <cell r="AU32">
            <v>312565.97235959722</v>
          </cell>
        </row>
        <row r="33">
          <cell r="AU33">
            <v>366877.40962165548</v>
          </cell>
        </row>
        <row r="34">
          <cell r="AU34">
            <v>391379.81448247004</v>
          </cell>
        </row>
        <row r="35">
          <cell r="AU35">
            <v>374024.38504010765</v>
          </cell>
        </row>
        <row r="36">
          <cell r="AU36">
            <v>445543.21941643255</v>
          </cell>
        </row>
        <row r="37">
          <cell r="AU37">
            <v>540685.30522970203</v>
          </cell>
        </row>
        <row r="38">
          <cell r="AU38">
            <v>579343.85969348531</v>
          </cell>
        </row>
        <row r="39">
          <cell r="AU39">
            <v>723210.24204580579</v>
          </cell>
        </row>
        <row r="40">
          <cell r="AU40">
            <v>776552.41511740535</v>
          </cell>
        </row>
        <row r="41">
          <cell r="AU41">
            <v>690949.13747904822</v>
          </cell>
        </row>
        <row r="42">
          <cell r="AU42">
            <v>739014.95080043189</v>
          </cell>
        </row>
        <row r="43">
          <cell r="AU43">
            <v>1071690.9786285795</v>
          </cell>
        </row>
        <row r="44">
          <cell r="AU44">
            <v>1225768.7475359067</v>
          </cell>
        </row>
        <row r="45">
          <cell r="AU45">
            <v>1245230.6821523234</v>
          </cell>
        </row>
        <row r="46">
          <cell r="AU46">
            <v>1259588.9689325616</v>
          </cell>
        </row>
        <row r="47">
          <cell r="AU47">
            <v>1537293.0776829477</v>
          </cell>
        </row>
        <row r="48">
          <cell r="AU48">
            <v>1933139.4431426302</v>
          </cell>
        </row>
        <row r="49">
          <cell r="AU49">
            <v>2058005.4617693163</v>
          </cell>
        </row>
        <row r="50">
          <cell r="AU50">
            <v>2533686.4252856039</v>
          </cell>
        </row>
        <row r="51">
          <cell r="AU51">
            <v>2697238.9060330763</v>
          </cell>
        </row>
        <row r="52">
          <cell r="AU52">
            <v>3711054.8129904009</v>
          </cell>
        </row>
        <row r="53">
          <cell r="AU53">
            <v>4213533.7387970984</v>
          </cell>
        </row>
        <row r="54">
          <cell r="AU54">
            <v>4770785.0177809894</v>
          </cell>
        </row>
        <row r="55">
          <cell r="AU55">
            <v>5491145.5405384898</v>
          </cell>
        </row>
        <row r="56">
          <cell r="AU56">
            <v>5911942.9711596593</v>
          </cell>
        </row>
        <row r="57">
          <cell r="AU57">
            <v>7304530.0887285545</v>
          </cell>
        </row>
        <row r="58">
          <cell r="AU58">
            <v>7909901.6165131256</v>
          </cell>
        </row>
        <row r="59">
          <cell r="AU59">
            <v>8183565.2389440611</v>
          </cell>
        </row>
        <row r="60">
          <cell r="AU60">
            <v>8671767.2470046729</v>
          </cell>
        </row>
        <row r="61">
          <cell r="AU61">
            <v>9354801.5677868277</v>
          </cell>
        </row>
        <row r="62">
          <cell r="AU62">
            <v>10126034.347420365</v>
          </cell>
        </row>
        <row r="63">
          <cell r="AU63">
            <v>11014387.097701192</v>
          </cell>
        </row>
        <row r="64">
          <cell r="AU64">
            <v>12360754.457976088</v>
          </cell>
        </row>
        <row r="65">
          <cell r="AU65">
            <v>13074705.391727611</v>
          </cell>
        </row>
        <row r="66">
          <cell r="AU66">
            <v>13950492.594558209</v>
          </cell>
        </row>
        <row r="67">
          <cell r="AU67">
            <v>15085169.332289636</v>
          </cell>
        </row>
        <row r="68">
          <cell r="AU68">
            <v>15515618.018824995</v>
          </cell>
        </row>
        <row r="69">
          <cell r="AU69">
            <v>16807956.606508106</v>
          </cell>
        </row>
        <row r="70">
          <cell r="AU70">
            <v>18075758.1079669</v>
          </cell>
        </row>
        <row r="71">
          <cell r="AU71">
            <v>19085137.74852246</v>
          </cell>
        </row>
        <row r="72">
          <cell r="AU72">
            <v>19107739.136044025</v>
          </cell>
        </row>
        <row r="73">
          <cell r="AU73">
            <v>19646331.706555247</v>
          </cell>
        </row>
        <row r="74">
          <cell r="AU74">
            <v>22640058.287659109</v>
          </cell>
        </row>
        <row r="75">
          <cell r="AU75">
            <v>25098315.679901421</v>
          </cell>
        </row>
        <row r="76">
          <cell r="AU76">
            <v>26110514.511231482</v>
          </cell>
        </row>
        <row r="77">
          <cell r="AU77">
            <v>27091552.771224082</v>
          </cell>
        </row>
        <row r="78">
          <cell r="AU78">
            <v>29997149.035752833</v>
          </cell>
        </row>
        <row r="79">
          <cell r="AU79">
            <v>35241309.779806495</v>
          </cell>
        </row>
        <row r="80">
          <cell r="AU80">
            <v>37963677.12379849</v>
          </cell>
        </row>
        <row r="81">
          <cell r="AU81">
            <v>41051363.535212159</v>
          </cell>
        </row>
        <row r="82">
          <cell r="AU82">
            <v>45036223.108941913</v>
          </cell>
        </row>
        <row r="83">
          <cell r="AU83">
            <v>48419007.000775695</v>
          </cell>
        </row>
        <row r="84">
          <cell r="AU84">
            <v>52038988.035633087</v>
          </cell>
        </row>
        <row r="85">
          <cell r="AU85">
            <v>51778013.700237393</v>
          </cell>
        </row>
      </sheetData>
      <sheetData sheetId="20">
        <row r="6">
          <cell r="AD6">
            <v>12334.517379389406</v>
          </cell>
        </row>
        <row r="7">
          <cell r="AD7">
            <v>4161.3571980184424</v>
          </cell>
        </row>
        <row r="8">
          <cell r="AD8">
            <v>4402.4085024918604</v>
          </cell>
        </row>
        <row r="9">
          <cell r="AD9">
            <v>6527.7663475006302</v>
          </cell>
        </row>
        <row r="10">
          <cell r="AD10">
            <v>7169.7432212566528</v>
          </cell>
        </row>
        <row r="11">
          <cell r="AD11">
            <v>7303.7066459884954</v>
          </cell>
        </row>
        <row r="12">
          <cell r="AD12">
            <v>7471.2308551758833</v>
          </cell>
        </row>
        <row r="13">
          <cell r="AD13">
            <v>8167.5010790569504</v>
          </cell>
        </row>
        <row r="14">
          <cell r="AD14">
            <v>9863.0671710849056</v>
          </cell>
        </row>
        <row r="15">
          <cell r="AD15">
            <v>10813.103029278383</v>
          </cell>
        </row>
        <row r="16">
          <cell r="AD16">
            <v>9927.0779528058483</v>
          </cell>
        </row>
        <row r="17">
          <cell r="AD17">
            <v>16165.092817138298</v>
          </cell>
        </row>
        <row r="18">
          <cell r="AD18">
            <v>24381.530024071952</v>
          </cell>
        </row>
        <row r="19">
          <cell r="AD19">
            <v>21048.875341857463</v>
          </cell>
        </row>
        <row r="20">
          <cell r="AD20">
            <v>26504.184720516845</v>
          </cell>
        </row>
        <row r="21">
          <cell r="AD21">
            <v>40108.578173393005</v>
          </cell>
        </row>
        <row r="22">
          <cell r="AD22">
            <v>45788.144682671671</v>
          </cell>
        </row>
        <row r="23">
          <cell r="AD23">
            <v>61181.61974954998</v>
          </cell>
        </row>
        <row r="24">
          <cell r="AD24">
            <v>63621.451179529191</v>
          </cell>
        </row>
        <row r="25">
          <cell r="AD25">
            <v>65842.620009087201</v>
          </cell>
        </row>
        <row r="26">
          <cell r="AD26">
            <v>74058.489115324512</v>
          </cell>
        </row>
        <row r="27">
          <cell r="AD27">
            <v>80712.140948749264</v>
          </cell>
        </row>
        <row r="28">
          <cell r="AD28">
            <v>72765.215315569658</v>
          </cell>
        </row>
        <row r="29">
          <cell r="AD29">
            <v>78976.992256576195</v>
          </cell>
        </row>
        <row r="30">
          <cell r="AD30">
            <v>99684.666594360606</v>
          </cell>
        </row>
        <row r="31">
          <cell r="AD31">
            <v>113819.34931473492</v>
          </cell>
        </row>
        <row r="32">
          <cell r="AD32">
            <v>109942.69837424089</v>
          </cell>
        </row>
        <row r="33">
          <cell r="AD33">
            <v>107726.72038816428</v>
          </cell>
        </row>
        <row r="34">
          <cell r="AD34">
            <v>127284.12529030722</v>
          </cell>
        </row>
        <row r="35">
          <cell r="AD35">
            <v>135797.3848230571</v>
          </cell>
        </row>
        <row r="36">
          <cell r="AD36">
            <v>146996.76998330327</v>
          </cell>
        </row>
        <row r="37">
          <cell r="AD37">
            <v>155901.38037805725</v>
          </cell>
        </row>
        <row r="38">
          <cell r="AD38">
            <v>158568.64460514719</v>
          </cell>
        </row>
        <row r="39">
          <cell r="AD39">
            <v>156398.01093344414</v>
          </cell>
        </row>
        <row r="40">
          <cell r="AD40">
            <v>169875.08595363772</v>
          </cell>
        </row>
        <row r="41">
          <cell r="AD41">
            <v>226540.78204254247</v>
          </cell>
        </row>
        <row r="42">
          <cell r="AD42">
            <v>242300.07074947283</v>
          </cell>
        </row>
        <row r="43">
          <cell r="AD43">
            <v>222233.60937027354</v>
          </cell>
        </row>
        <row r="44">
          <cell r="AD44">
            <v>229652.30670812447</v>
          </cell>
        </row>
        <row r="45">
          <cell r="AD45">
            <v>288164.52081303718</v>
          </cell>
        </row>
        <row r="46">
          <cell r="AD46">
            <v>353111.89712998876</v>
          </cell>
        </row>
        <row r="47">
          <cell r="AD47">
            <v>405860.70406946307</v>
          </cell>
        </row>
        <row r="48">
          <cell r="AD48">
            <v>459255.92961042468</v>
          </cell>
        </row>
        <row r="49">
          <cell r="AD49">
            <v>483398.79663562495</v>
          </cell>
        </row>
        <row r="50">
          <cell r="AD50">
            <v>523366.88444004953</v>
          </cell>
        </row>
        <row r="51">
          <cell r="AD51">
            <v>557150.84106427804</v>
          </cell>
        </row>
        <row r="52">
          <cell r="AD52">
            <v>592863.21314804535</v>
          </cell>
        </row>
        <row r="53">
          <cell r="AD53">
            <v>635779.14204304107</v>
          </cell>
        </row>
        <row r="54">
          <cell r="AD54">
            <v>688916.95863951463</v>
          </cell>
        </row>
        <row r="55">
          <cell r="AD55">
            <v>763310.82712316699</v>
          </cell>
        </row>
        <row r="56">
          <cell r="AD56">
            <v>814912.52924225852</v>
          </cell>
        </row>
        <row r="57">
          <cell r="AD57">
            <v>965412.79493818618</v>
          </cell>
        </row>
        <row r="58">
          <cell r="AD58">
            <v>1045422.5165103264</v>
          </cell>
        </row>
        <row r="59">
          <cell r="AD59">
            <v>1024893.9870073386</v>
          </cell>
        </row>
        <row r="60">
          <cell r="AD60">
            <v>1083921.9290790558</v>
          </cell>
        </row>
        <row r="61">
          <cell r="AD61">
            <v>1139425.850111926</v>
          </cell>
        </row>
        <row r="62">
          <cell r="AD62">
            <v>1214706.1344109867</v>
          </cell>
        </row>
        <row r="63">
          <cell r="AD63">
            <v>1326589.4710213635</v>
          </cell>
        </row>
        <row r="64">
          <cell r="AD64">
            <v>1501179.5707227774</v>
          </cell>
        </row>
        <row r="65">
          <cell r="AD65">
            <v>1590189.8074702024</v>
          </cell>
        </row>
        <row r="66">
          <cell r="AD66">
            <v>1710248.6355034001</v>
          </cell>
        </row>
        <row r="67">
          <cell r="AD67">
            <v>1852765.5316975117</v>
          </cell>
        </row>
        <row r="68">
          <cell r="AD68">
            <v>1999520.2131464146</v>
          </cell>
        </row>
        <row r="69">
          <cell r="AD69">
            <v>2166065.7626157552</v>
          </cell>
        </row>
        <row r="70">
          <cell r="AD70">
            <v>2328645.8428398594</v>
          </cell>
        </row>
        <row r="71">
          <cell r="AD71">
            <v>2458624.4892668128</v>
          </cell>
        </row>
        <row r="72">
          <cell r="AD72">
            <v>2541495.1907429621</v>
          </cell>
        </row>
        <row r="73">
          <cell r="AD73">
            <v>2628274.9999258742</v>
          </cell>
        </row>
        <row r="74">
          <cell r="AD74">
            <v>2971063.685005486</v>
          </cell>
        </row>
        <row r="75">
          <cell r="AD75">
            <v>3257207.351425536</v>
          </cell>
        </row>
        <row r="76">
          <cell r="AD76">
            <v>3415456.0071727633</v>
          </cell>
        </row>
        <row r="77">
          <cell r="AD77">
            <v>3569324.4844992533</v>
          </cell>
        </row>
        <row r="78">
          <cell r="AD78">
            <v>3834981.5359466076</v>
          </cell>
        </row>
        <row r="79">
          <cell r="AD79">
            <v>4257903.3567878008</v>
          </cell>
        </row>
        <row r="80">
          <cell r="AD80">
            <v>4560921.7656139508</v>
          </cell>
        </row>
        <row r="81">
          <cell r="AD81">
            <v>4840740.4235260636</v>
          </cell>
        </row>
        <row r="82">
          <cell r="AD82">
            <v>5300240.878922224</v>
          </cell>
        </row>
        <row r="83">
          <cell r="AD83">
            <v>5609151.8540304601</v>
          </cell>
        </row>
        <row r="84">
          <cell r="AD84">
            <v>6030825.7252060473</v>
          </cell>
        </row>
        <row r="85">
          <cell r="AD85">
            <v>6252976.4139489383</v>
          </cell>
        </row>
      </sheetData>
      <sheetData sheetId="21">
        <row r="6">
          <cell r="T6">
            <v>1</v>
          </cell>
          <cell r="AL6">
            <v>5138.1012676536811</v>
          </cell>
        </row>
        <row r="7">
          <cell r="T7">
            <v>2</v>
          </cell>
          <cell r="AL7">
            <v>9422.6062085654667</v>
          </cell>
        </row>
        <row r="8">
          <cell r="T8">
            <v>3</v>
          </cell>
          <cell r="AL8">
            <v>12812.232583661058</v>
          </cell>
        </row>
        <row r="9">
          <cell r="T9">
            <v>4</v>
          </cell>
          <cell r="AL9">
            <v>25589.901035892453</v>
          </cell>
        </row>
        <row r="10">
          <cell r="T10">
            <v>5</v>
          </cell>
          <cell r="AL10">
            <v>43949.013561340078</v>
          </cell>
        </row>
        <row r="11">
          <cell r="T11">
            <v>6</v>
          </cell>
          <cell r="AL11">
            <v>57678.121111487591</v>
          </cell>
        </row>
        <row r="12">
          <cell r="T12">
            <v>7</v>
          </cell>
          <cell r="AL12">
            <v>72859.503390517057</v>
          </cell>
        </row>
        <row r="13">
          <cell r="T13">
            <v>8</v>
          </cell>
          <cell r="AL13">
            <v>59596.258159022604</v>
          </cell>
        </row>
        <row r="14">
          <cell r="T14">
            <v>9</v>
          </cell>
          <cell r="AL14">
            <v>66937.260866269935</v>
          </cell>
        </row>
        <row r="15">
          <cell r="T15">
            <v>10</v>
          </cell>
          <cell r="AL15">
            <v>77459.546698797261</v>
          </cell>
        </row>
        <row r="16">
          <cell r="T16">
            <v>11</v>
          </cell>
          <cell r="AL16">
            <v>60760.665296181047</v>
          </cell>
        </row>
        <row r="17">
          <cell r="T17">
            <v>12</v>
          </cell>
          <cell r="AL17">
            <v>63265.58262643608</v>
          </cell>
        </row>
        <row r="18">
          <cell r="T18">
            <v>13</v>
          </cell>
          <cell r="AL18">
            <v>69969.413143004174</v>
          </cell>
        </row>
        <row r="19">
          <cell r="T19">
            <v>14</v>
          </cell>
          <cell r="AL19">
            <v>71265.728576845839</v>
          </cell>
        </row>
        <row r="20">
          <cell r="T20">
            <v>15</v>
          </cell>
          <cell r="AL20">
            <v>83668.652646387811</v>
          </cell>
        </row>
        <row r="21">
          <cell r="T21">
            <v>16</v>
          </cell>
          <cell r="AL21">
            <v>105236.65712832357</v>
          </cell>
        </row>
        <row r="22">
          <cell r="T22">
            <v>17</v>
          </cell>
          <cell r="AL22">
            <v>103301.05100725195</v>
          </cell>
        </row>
        <row r="23">
          <cell r="T23">
            <v>18</v>
          </cell>
          <cell r="AL23">
            <v>115810.76500777272</v>
          </cell>
        </row>
        <row r="24">
          <cell r="T24">
            <v>19</v>
          </cell>
          <cell r="AL24">
            <v>120065.72758119577</v>
          </cell>
        </row>
        <row r="25">
          <cell r="T25">
            <v>20</v>
          </cell>
          <cell r="AL25">
            <v>124051.57190234168</v>
          </cell>
        </row>
        <row r="26">
          <cell r="T26">
            <v>21</v>
          </cell>
          <cell r="AL26">
            <v>141385.06368745933</v>
          </cell>
        </row>
        <row r="27">
          <cell r="T27">
            <v>22</v>
          </cell>
          <cell r="AL27">
            <v>155011.29307263182</v>
          </cell>
        </row>
        <row r="28">
          <cell r="T28">
            <v>23</v>
          </cell>
          <cell r="AL28">
            <v>160552.93792752316</v>
          </cell>
        </row>
        <row r="29">
          <cell r="T29">
            <v>24</v>
          </cell>
          <cell r="AL29">
            <v>184112.04768452072</v>
          </cell>
        </row>
        <row r="30">
          <cell r="T30">
            <v>25</v>
          </cell>
          <cell r="AL30">
            <v>194839.48129175021</v>
          </cell>
        </row>
        <row r="31">
          <cell r="T31">
            <v>26</v>
          </cell>
          <cell r="AL31">
            <v>208866.36128649628</v>
          </cell>
        </row>
        <row r="32">
          <cell r="T32">
            <v>27</v>
          </cell>
          <cell r="AL32">
            <v>226251.16823534109</v>
          </cell>
        </row>
        <row r="33">
          <cell r="T33">
            <v>28</v>
          </cell>
          <cell r="AL33">
            <v>238581.80322931195</v>
          </cell>
        </row>
        <row r="34">
          <cell r="T34">
            <v>29</v>
          </cell>
          <cell r="AL34">
            <v>276345.62183992565</v>
          </cell>
        </row>
        <row r="35">
          <cell r="T35">
            <v>30</v>
          </cell>
          <cell r="AL35">
            <v>289090.39450810058</v>
          </cell>
        </row>
        <row r="36">
          <cell r="T36">
            <v>31</v>
          </cell>
          <cell r="AL36">
            <v>316227.15697183367</v>
          </cell>
        </row>
        <row r="37">
          <cell r="T37">
            <v>32</v>
          </cell>
          <cell r="AL37">
            <v>340904.62253246782</v>
          </cell>
        </row>
        <row r="38">
          <cell r="T38">
            <v>33</v>
          </cell>
          <cell r="AL38">
            <v>357901.18827597611</v>
          </cell>
        </row>
        <row r="39">
          <cell r="T39">
            <v>34</v>
          </cell>
          <cell r="AL39">
            <v>410628.21449135989</v>
          </cell>
        </row>
        <row r="40">
          <cell r="T40">
            <v>35</v>
          </cell>
          <cell r="AL40">
            <v>442961.29478298686</v>
          </cell>
        </row>
        <row r="41">
          <cell r="T41">
            <v>36</v>
          </cell>
          <cell r="AL41">
            <v>473585.92662105057</v>
          </cell>
        </row>
        <row r="42">
          <cell r="T42">
            <v>37</v>
          </cell>
          <cell r="AL42">
            <v>506530.88813247904</v>
          </cell>
        </row>
        <row r="43">
          <cell r="T43">
            <v>38</v>
          </cell>
          <cell r="AL43">
            <v>538260.65533643216</v>
          </cell>
        </row>
        <row r="44">
          <cell r="T44">
            <v>39</v>
          </cell>
          <cell r="AL44">
            <v>578358.68779001571</v>
          </cell>
        </row>
        <row r="45">
          <cell r="T45">
            <v>40</v>
          </cell>
          <cell r="AL45">
            <v>642834.58478648961</v>
          </cell>
        </row>
        <row r="46">
          <cell r="T46">
            <v>41</v>
          </cell>
          <cell r="AL46">
            <v>712351.30461982638</v>
          </cell>
        </row>
        <row r="47">
          <cell r="T47">
            <v>42</v>
          </cell>
          <cell r="AL47">
            <v>788775.71191305108</v>
          </cell>
        </row>
        <row r="48">
          <cell r="T48">
            <v>43</v>
          </cell>
          <cell r="AL48">
            <v>827709.91957853921</v>
          </cell>
        </row>
        <row r="49">
          <cell r="T49">
            <v>44</v>
          </cell>
          <cell r="AL49">
            <v>871682.80090324953</v>
          </cell>
        </row>
        <row r="50">
          <cell r="T50">
            <v>45</v>
          </cell>
          <cell r="AL50">
            <v>949809.01913066767</v>
          </cell>
        </row>
        <row r="51">
          <cell r="T51">
            <v>46</v>
          </cell>
          <cell r="AL51">
            <v>1011120.3241780698</v>
          </cell>
        </row>
        <row r="52">
          <cell r="T52">
            <v>47</v>
          </cell>
          <cell r="AL52">
            <v>1101365.6324584838</v>
          </cell>
        </row>
        <row r="53">
          <cell r="T53">
            <v>48</v>
          </cell>
          <cell r="AL53">
            <v>1188163.5733232647</v>
          </cell>
        </row>
        <row r="54">
          <cell r="T54">
            <v>49</v>
          </cell>
          <cell r="AL54">
            <v>1249985.9981227443</v>
          </cell>
        </row>
        <row r="55">
          <cell r="T55">
            <v>50</v>
          </cell>
          <cell r="AL55">
            <v>1347468.0593887568</v>
          </cell>
        </row>
        <row r="56">
          <cell r="AL56">
            <v>1434931.9032793157</v>
          </cell>
        </row>
        <row r="57">
          <cell r="AL57">
            <v>1677930.5455783978</v>
          </cell>
        </row>
        <row r="58">
          <cell r="AL58">
            <v>1816991.014295008</v>
          </cell>
        </row>
        <row r="59">
          <cell r="AL59">
            <v>1845461.9960540198</v>
          </cell>
        </row>
        <row r="60">
          <cell r="AL60">
            <v>1954273.5435183086</v>
          </cell>
        </row>
        <row r="61">
          <cell r="AL61">
            <v>2125385.3291812241</v>
          </cell>
        </row>
        <row r="62">
          <cell r="AL62">
            <v>2311339.1578123532</v>
          </cell>
        </row>
        <row r="63">
          <cell r="AL63">
            <v>2488325.7342888154</v>
          </cell>
        </row>
        <row r="64">
          <cell r="AL64">
            <v>2732208.9585689083</v>
          </cell>
        </row>
        <row r="65">
          <cell r="AL65">
            <v>2907909.6796350926</v>
          </cell>
        </row>
        <row r="66">
          <cell r="AL66">
            <v>3207896.5978629291</v>
          </cell>
        </row>
        <row r="67">
          <cell r="AL67">
            <v>3475598.4286324903</v>
          </cell>
        </row>
        <row r="68">
          <cell r="AL68">
            <v>3761449.4215404689</v>
          </cell>
        </row>
        <row r="69">
          <cell r="AL69">
            <v>4074750.9108641446</v>
          </cell>
        </row>
        <row r="70">
          <cell r="AL70">
            <v>4472579.6746031642</v>
          </cell>
        </row>
        <row r="71">
          <cell r="AL71">
            <v>4728723.0645937994</v>
          </cell>
        </row>
        <row r="72">
          <cell r="AL72">
            <v>4892863.1477244943</v>
          </cell>
        </row>
        <row r="73">
          <cell r="AL73">
            <v>5060802.6513736099</v>
          </cell>
        </row>
        <row r="74">
          <cell r="AL74">
            <v>5802721.6040432602</v>
          </cell>
        </row>
        <row r="75">
          <cell r="AL75">
            <v>6414303.8795066625</v>
          </cell>
        </row>
        <row r="76">
          <cell r="AL76">
            <v>6728389.9215248078</v>
          </cell>
        </row>
        <row r="77">
          <cell r="AL77">
            <v>7033819.5638213158</v>
          </cell>
        </row>
        <row r="78">
          <cell r="AL78">
            <v>7613479.7693270594</v>
          </cell>
        </row>
        <row r="79">
          <cell r="AL79">
            <v>8575343.1606927216</v>
          </cell>
        </row>
        <row r="80">
          <cell r="AL80">
            <v>9187080.8639162481</v>
          </cell>
        </row>
        <row r="81">
          <cell r="AL81">
            <v>9755900.4710318446</v>
          </cell>
        </row>
        <row r="82">
          <cell r="AL82">
            <v>10707505.239137888</v>
          </cell>
        </row>
        <row r="83">
          <cell r="AL83">
            <v>11551251.921639264</v>
          </cell>
        </row>
        <row r="84">
          <cell r="AL84">
            <v>12417655.461858332</v>
          </cell>
        </row>
        <row r="85">
          <cell r="AL85">
            <v>12659783.284707278</v>
          </cell>
        </row>
      </sheetData>
      <sheetData sheetId="22">
        <row r="6">
          <cell r="AE6">
            <v>3666.584707409947</v>
          </cell>
        </row>
        <row r="7">
          <cell r="AE7">
            <v>4221.4770646387024</v>
          </cell>
        </row>
        <row r="8">
          <cell r="AE8">
            <v>5801.2037746858023</v>
          </cell>
        </row>
        <row r="9">
          <cell r="AE9">
            <v>8752.6420841624349</v>
          </cell>
        </row>
        <row r="10">
          <cell r="AE10">
            <v>10093.343205073965</v>
          </cell>
        </row>
        <row r="11">
          <cell r="AE11">
            <v>8417.1486385970929</v>
          </cell>
        </row>
        <row r="12">
          <cell r="AE12">
            <v>9452.0345764782251</v>
          </cell>
        </row>
        <row r="13">
          <cell r="AE13">
            <v>9705.6129141813508</v>
          </cell>
        </row>
        <row r="14">
          <cell r="AE14">
            <v>12401.32858877907</v>
          </cell>
        </row>
        <row r="15">
          <cell r="AE15">
            <v>22426.158140913642</v>
          </cell>
        </row>
        <row r="16">
          <cell r="AE16">
            <v>25464.615897770142</v>
          </cell>
        </row>
        <row r="17">
          <cell r="AE17">
            <v>27634.349188296619</v>
          </cell>
        </row>
        <row r="18">
          <cell r="AE18">
            <v>33393.104530401528</v>
          </cell>
        </row>
        <row r="19">
          <cell r="AE19">
            <v>44986.980739825376</v>
          </cell>
        </row>
        <row r="20">
          <cell r="AE20">
            <v>36882.153318552737</v>
          </cell>
        </row>
        <row r="21">
          <cell r="AE21">
            <v>38606.37685991131</v>
          </cell>
        </row>
        <row r="22">
          <cell r="AE22">
            <v>39304.123333389522</v>
          </cell>
        </row>
        <row r="23">
          <cell r="AE23">
            <v>43339.747860822186</v>
          </cell>
        </row>
        <row r="24">
          <cell r="AE24">
            <v>44486.300555333204</v>
          </cell>
        </row>
        <row r="25">
          <cell r="AE25">
            <v>51836.820490972197</v>
          </cell>
        </row>
        <row r="26">
          <cell r="AE26">
            <v>59004.853695778002</v>
          </cell>
        </row>
        <row r="27">
          <cell r="AE27">
            <v>62843.303870257922</v>
          </cell>
        </row>
        <row r="28">
          <cell r="AE28">
            <v>63703.336291951011</v>
          </cell>
        </row>
        <row r="29">
          <cell r="AE29">
            <v>70883.543328104191</v>
          </cell>
        </row>
        <row r="30">
          <cell r="AE30">
            <v>77585.754522289848</v>
          </cell>
        </row>
        <row r="31">
          <cell r="AE31">
            <v>82540.882676863112</v>
          </cell>
        </row>
        <row r="32">
          <cell r="AE32">
            <v>87767.219002323574</v>
          </cell>
        </row>
        <row r="33">
          <cell r="AE33">
            <v>93119.013249031384</v>
          </cell>
        </row>
        <row r="34">
          <cell r="AE34">
            <v>102723.45921574021</v>
          </cell>
        </row>
        <row r="35">
          <cell r="AE35">
            <v>105946.84030425898</v>
          </cell>
        </row>
        <row r="36">
          <cell r="AE36">
            <v>112034.55815690244</v>
          </cell>
        </row>
        <row r="37">
          <cell r="AE37">
            <v>117670.62218043418</v>
          </cell>
        </row>
        <row r="38">
          <cell r="AE38">
            <v>123186.50332605583</v>
          </cell>
        </row>
        <row r="39">
          <cell r="AE39">
            <v>136877.49314211681</v>
          </cell>
        </row>
        <row r="40">
          <cell r="AE40">
            <v>147874.17004296626</v>
          </cell>
        </row>
        <row r="41">
          <cell r="AE41">
            <v>154516.43961009989</v>
          </cell>
        </row>
        <row r="42">
          <cell r="AE42">
            <v>163335.74001590349</v>
          </cell>
        </row>
        <row r="43">
          <cell r="AE43">
            <v>169355.25288575981</v>
          </cell>
        </row>
        <row r="44">
          <cell r="AE44">
            <v>180250.30054535205</v>
          </cell>
        </row>
        <row r="45">
          <cell r="AE45">
            <v>196544.46559711592</v>
          </cell>
        </row>
        <row r="46">
          <cell r="AE46">
            <v>213475.21190646989</v>
          </cell>
        </row>
        <row r="47">
          <cell r="AE47">
            <v>236205.06988729723</v>
          </cell>
        </row>
        <row r="48">
          <cell r="AE48">
            <v>247752.40853431728</v>
          </cell>
        </row>
        <row r="49">
          <cell r="AE49">
            <v>262482.77791088074</v>
          </cell>
        </row>
        <row r="50">
          <cell r="AE50">
            <v>282536.68364019692</v>
          </cell>
        </row>
        <row r="51">
          <cell r="AE51">
            <v>302611.93967469968</v>
          </cell>
        </row>
        <row r="52">
          <cell r="AE52">
            <v>326638.48582529742</v>
          </cell>
        </row>
        <row r="53">
          <cell r="AE53">
            <v>352172.3921997603</v>
          </cell>
        </row>
        <row r="54">
          <cell r="AE54">
            <v>368729.61883699708</v>
          </cell>
        </row>
        <row r="55">
          <cell r="AE55">
            <v>396187.49532757699</v>
          </cell>
        </row>
        <row r="56">
          <cell r="AE56">
            <v>424938.71790914703</v>
          </cell>
        </row>
        <row r="57">
          <cell r="AE57">
            <v>494623.4423942985</v>
          </cell>
        </row>
        <row r="58">
          <cell r="AE58">
            <v>540728.51302634738</v>
          </cell>
        </row>
        <row r="59">
          <cell r="AE59">
            <v>546620.72017231397</v>
          </cell>
        </row>
        <row r="60">
          <cell r="AE60">
            <v>583141.21952593513</v>
          </cell>
        </row>
        <row r="61">
          <cell r="AE61">
            <v>631813.77051343769</v>
          </cell>
        </row>
        <row r="62">
          <cell r="AE62">
            <v>687711.10549183935</v>
          </cell>
        </row>
        <row r="63">
          <cell r="AE63">
            <v>741822.60143649019</v>
          </cell>
        </row>
        <row r="64">
          <cell r="AE64">
            <v>811662.79677341692</v>
          </cell>
        </row>
        <row r="65">
          <cell r="AE65">
            <v>870137.01393883117</v>
          </cell>
        </row>
        <row r="66">
          <cell r="AE66">
            <v>958185.72129912674</v>
          </cell>
        </row>
        <row r="67">
          <cell r="AE67">
            <v>1048316.6543555669</v>
          </cell>
        </row>
        <row r="68">
          <cell r="AE68">
            <v>1130105.5180358384</v>
          </cell>
        </row>
        <row r="69">
          <cell r="AE69">
            <v>1236218.2091549579</v>
          </cell>
        </row>
        <row r="70">
          <cell r="AE70">
            <v>1355421.7215868719</v>
          </cell>
        </row>
        <row r="71">
          <cell r="AE71">
            <v>1449267.2158755884</v>
          </cell>
        </row>
        <row r="72">
          <cell r="AE72">
            <v>1500738.099165529</v>
          </cell>
        </row>
        <row r="73">
          <cell r="AE73">
            <v>2014855.4698324502</v>
          </cell>
        </row>
        <row r="74">
          <cell r="AE74">
            <v>2351223.4670467898</v>
          </cell>
        </row>
        <row r="75">
          <cell r="AE75">
            <v>2207031.0868254229</v>
          </cell>
        </row>
        <row r="76">
          <cell r="AE76">
            <v>2199788.3367932327</v>
          </cell>
        </row>
        <row r="77">
          <cell r="AE77">
            <v>2253738.7856803499</v>
          </cell>
        </row>
        <row r="78">
          <cell r="AE78">
            <v>2431426.4669240043</v>
          </cell>
        </row>
        <row r="79">
          <cell r="AE79">
            <v>2725810.9064912125</v>
          </cell>
        </row>
        <row r="80">
          <cell r="AE80">
            <v>2936310.2028209791</v>
          </cell>
        </row>
        <row r="81">
          <cell r="AE81">
            <v>3114432.5177222118</v>
          </cell>
        </row>
        <row r="82">
          <cell r="AE82">
            <v>3445506.4461609051</v>
          </cell>
        </row>
        <row r="83">
          <cell r="AE83">
            <v>5326166.5627873316</v>
          </cell>
        </row>
        <row r="84">
          <cell r="AE84">
            <v>4743263.9657308534</v>
          </cell>
        </row>
        <row r="85">
          <cell r="AE85">
            <v>4276133.0352483615</v>
          </cell>
        </row>
      </sheetData>
      <sheetData sheetId="23">
        <row r="5">
          <cell r="AG5">
            <v>0</v>
          </cell>
        </row>
        <row r="6">
          <cell r="AG6">
            <v>0</v>
          </cell>
        </row>
        <row r="7">
          <cell r="AG7">
            <v>0</v>
          </cell>
        </row>
        <row r="8">
          <cell r="AG8">
            <v>0</v>
          </cell>
        </row>
        <row r="9">
          <cell r="AG9">
            <v>0</v>
          </cell>
        </row>
        <row r="10">
          <cell r="AG10">
            <v>0</v>
          </cell>
        </row>
        <row r="11">
          <cell r="AG11">
            <v>0</v>
          </cell>
        </row>
        <row r="12">
          <cell r="AG12">
            <v>0</v>
          </cell>
        </row>
        <row r="13">
          <cell r="AG13">
            <v>0</v>
          </cell>
        </row>
        <row r="14">
          <cell r="AG14">
            <v>0</v>
          </cell>
        </row>
        <row r="15">
          <cell r="AG15">
            <v>19006.152981491621</v>
          </cell>
        </row>
        <row r="16">
          <cell r="AG16">
            <v>17044.042387359761</v>
          </cell>
        </row>
        <row r="17">
          <cell r="AG17">
            <v>14651.941820198706</v>
          </cell>
        </row>
        <row r="18">
          <cell r="AG18">
            <v>18085.966301229288</v>
          </cell>
        </row>
        <row r="19">
          <cell r="AG19">
            <v>20806.860165298305</v>
          </cell>
        </row>
        <row r="20">
          <cell r="AG20">
            <v>23951.401472134021</v>
          </cell>
        </row>
        <row r="21">
          <cell r="AG21">
            <v>27188.786614671611</v>
          </cell>
        </row>
        <row r="22">
          <cell r="AG22">
            <v>36125.814327743719</v>
          </cell>
        </row>
        <row r="23">
          <cell r="AG23">
            <v>39547.720066170994</v>
          </cell>
        </row>
        <row r="24">
          <cell r="AG24">
            <v>42051.117936480616</v>
          </cell>
        </row>
        <row r="25">
          <cell r="AG25">
            <v>55276.773312188423</v>
          </cell>
        </row>
        <row r="26">
          <cell r="AG26">
            <v>64217.634349779983</v>
          </cell>
        </row>
        <row r="27">
          <cell r="AG27">
            <v>70786.763495236635</v>
          </cell>
        </row>
        <row r="28">
          <cell r="AG28">
            <v>82935.493298490532</v>
          </cell>
        </row>
        <row r="29">
          <cell r="AG29">
            <v>95158.342344866716</v>
          </cell>
        </row>
        <row r="30">
          <cell r="AG30">
            <v>105201.87357049098</v>
          </cell>
        </row>
        <row r="31">
          <cell r="AG31">
            <v>116941.42129505496</v>
          </cell>
        </row>
        <row r="32">
          <cell r="AG32">
            <v>125148.76337337703</v>
          </cell>
        </row>
        <row r="33">
          <cell r="AG33">
            <v>144767.75978751085</v>
          </cell>
        </row>
        <row r="34">
          <cell r="AG34">
            <v>151243.77304818714</v>
          </cell>
        </row>
        <row r="35">
          <cell r="AG35">
            <v>161861.14760687505</v>
          </cell>
        </row>
        <row r="36">
          <cell r="AG36">
            <v>168556.39104992128</v>
          </cell>
        </row>
        <row r="37">
          <cell r="AG37">
            <v>178964.97638901952</v>
          </cell>
        </row>
        <row r="38">
          <cell r="AG38">
            <v>215356.18985719606</v>
          </cell>
        </row>
        <row r="39">
          <cell r="AG39">
            <v>232353.07540847966</v>
          </cell>
        </row>
        <row r="40">
          <cell r="AG40">
            <v>249948.6912669912</v>
          </cell>
        </row>
        <row r="41">
          <cell r="AG41">
            <v>267336.34903033497</v>
          </cell>
        </row>
        <row r="42">
          <cell r="AG42">
            <v>335788.57290601451</v>
          </cell>
        </row>
        <row r="43">
          <cell r="AG43">
            <v>374207.49876784161</v>
          </cell>
        </row>
        <row r="44">
          <cell r="AG44">
            <v>438310.96241928358</v>
          </cell>
        </row>
        <row r="45">
          <cell r="AG45">
            <v>508691.7529014633</v>
          </cell>
        </row>
        <row r="46">
          <cell r="AG46">
            <v>567784.26620836556</v>
          </cell>
        </row>
        <row r="47">
          <cell r="AG47">
            <v>605949.14870115928</v>
          </cell>
        </row>
        <row r="48">
          <cell r="AG48">
            <v>637576.20315135643</v>
          </cell>
        </row>
        <row r="49">
          <cell r="AG49">
            <v>687302.55956045352</v>
          </cell>
        </row>
        <row r="50">
          <cell r="AG50">
            <v>731668.7595441509</v>
          </cell>
        </row>
        <row r="51">
          <cell r="AG51">
            <v>767380.44722733367</v>
          </cell>
        </row>
        <row r="52">
          <cell r="AG52">
            <v>819818.38896040618</v>
          </cell>
        </row>
        <row r="53">
          <cell r="AG53">
            <v>836049.17831132188</v>
          </cell>
        </row>
        <row r="54">
          <cell r="AG54">
            <v>874019.29975034855</v>
          </cell>
        </row>
        <row r="55">
          <cell r="AG55">
            <v>918778.52979695797</v>
          </cell>
        </row>
        <row r="56">
          <cell r="AG56">
            <v>1001559.536369035</v>
          </cell>
        </row>
        <row r="57">
          <cell r="AG57">
            <v>1084564.9616782535</v>
          </cell>
        </row>
        <row r="58">
          <cell r="AG58">
            <v>1008762.7448181901</v>
          </cell>
        </row>
        <row r="59">
          <cell r="AG59">
            <v>1064717.4146454204</v>
          </cell>
        </row>
        <row r="60">
          <cell r="AG60">
            <v>1179444.643935442</v>
          </cell>
        </row>
        <row r="61">
          <cell r="AG61">
            <v>1295957.8839629665</v>
          </cell>
        </row>
        <row r="62">
          <cell r="AG62">
            <v>1423420.2603632137</v>
          </cell>
        </row>
        <row r="63">
          <cell r="AG63">
            <v>1629602.9542533122</v>
          </cell>
        </row>
        <row r="64">
          <cell r="AG64">
            <v>1745589.2800315917</v>
          </cell>
        </row>
        <row r="65">
          <cell r="AG65">
            <v>1991076.0511773266</v>
          </cell>
        </row>
        <row r="66">
          <cell r="AG66">
            <v>2157721.8787165508</v>
          </cell>
        </row>
        <row r="67">
          <cell r="AG67">
            <v>2348605.9446351342</v>
          </cell>
        </row>
        <row r="68">
          <cell r="AG68">
            <v>2544227.8068021052</v>
          </cell>
        </row>
        <row r="69">
          <cell r="AG69">
            <v>2707092.6427521929</v>
          </cell>
        </row>
        <row r="70">
          <cell r="AG70">
            <v>2856210.7578804493</v>
          </cell>
        </row>
        <row r="71">
          <cell r="AG71">
            <v>2838220.1026725024</v>
          </cell>
        </row>
        <row r="72">
          <cell r="AG72">
            <v>2914173.8700987473</v>
          </cell>
        </row>
        <row r="73">
          <cell r="AG73">
            <v>3271524.1148119643</v>
          </cell>
        </row>
        <row r="74">
          <cell r="AG74">
            <v>3571970.5678673163</v>
          </cell>
        </row>
        <row r="75">
          <cell r="AG75">
            <v>3655923.7669190094</v>
          </cell>
        </row>
        <row r="76">
          <cell r="AG76">
            <v>3736193.785050109</v>
          </cell>
        </row>
        <row r="77">
          <cell r="AG77">
            <v>3985878.1559226736</v>
          </cell>
        </row>
        <row r="78">
          <cell r="AG78">
            <v>4363623.6159280241</v>
          </cell>
        </row>
        <row r="79">
          <cell r="AG79">
            <v>4616886.0177430362</v>
          </cell>
        </row>
        <row r="80">
          <cell r="AG80">
            <v>4697459.6360768825</v>
          </cell>
        </row>
        <row r="81">
          <cell r="AG81">
            <v>5149459.735656172</v>
          </cell>
        </row>
        <row r="82">
          <cell r="AG82">
            <v>5502056.9698611647</v>
          </cell>
        </row>
        <row r="83">
          <cell r="AG83">
            <v>5913130.4989831597</v>
          </cell>
        </row>
        <row r="84">
          <cell r="AG84">
            <v>5852898.2145681083</v>
          </cell>
        </row>
      </sheetData>
      <sheetData sheetId="24">
        <row r="6">
          <cell r="E6">
            <v>1.2828728789788874E-2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L6">
            <v>2.1467557015999485E-3</v>
          </cell>
          <cell r="AW6">
            <v>0</v>
          </cell>
          <cell r="BH6">
            <v>1.2837426194203111E-7</v>
          </cell>
          <cell r="BT6">
            <v>2.1467557015999485E-3</v>
          </cell>
          <cell r="CE6">
            <v>1.2279277229396146E-7</v>
          </cell>
          <cell r="EJ6">
            <v>0</v>
          </cell>
          <cell r="EP6">
            <v>7.9208576594566558E-3</v>
          </cell>
          <cell r="FB6">
            <v>0</v>
          </cell>
          <cell r="FH6">
            <v>0</v>
          </cell>
          <cell r="FN6">
            <v>0</v>
          </cell>
          <cell r="GL6">
            <v>1.5183256187148702E-2</v>
          </cell>
        </row>
        <row r="7">
          <cell r="E7">
            <v>2.710839764324988E-2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L7">
            <v>4.5363112866027792E-3</v>
          </cell>
          <cell r="AW7">
            <v>0</v>
          </cell>
          <cell r="BH7">
            <v>2.5674852389100111E-7</v>
          </cell>
          <cell r="BT7">
            <v>4.5363112866027792E-3</v>
          </cell>
          <cell r="CE7">
            <v>2.4558554459139237E-7</v>
          </cell>
          <cell r="EJ7">
            <v>0</v>
          </cell>
          <cell r="EP7">
            <v>1.6737571011637715E-2</v>
          </cell>
          <cell r="FB7">
            <v>0</v>
          </cell>
          <cell r="FH7">
            <v>0</v>
          </cell>
          <cell r="FN7">
            <v>0</v>
          </cell>
          <cell r="GL7">
            <v>2.6856414454151489E-2</v>
          </cell>
        </row>
        <row r="8">
          <cell r="E8">
            <v>4.2829701416697161E-2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L8">
            <v>7.1671096350015805E-3</v>
          </cell>
          <cell r="AW8">
            <v>0</v>
          </cell>
          <cell r="BH8">
            <v>3.8512278583476695E-7</v>
          </cell>
          <cell r="BT8">
            <v>7.1671096350015805E-3</v>
          </cell>
          <cell r="CE8">
            <v>3.6837831688535383E-7</v>
          </cell>
          <cell r="EJ8">
            <v>0</v>
          </cell>
          <cell r="EP8">
            <v>2.6444394770330958E-2</v>
          </cell>
          <cell r="FB8">
            <v>0</v>
          </cell>
          <cell r="FH8">
            <v>0</v>
          </cell>
          <cell r="FN8">
            <v>0</v>
          </cell>
          <cell r="GL8">
            <v>3.2108692708815556E-2</v>
          </cell>
        </row>
        <row r="9">
          <cell r="E9">
            <v>5.9820393479255274E-2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L9">
            <v>1.0012583102733457E-2</v>
          </cell>
          <cell r="AW9">
            <v>0</v>
          </cell>
          <cell r="BH9">
            <v>5.1349704777679805E-7</v>
          </cell>
          <cell r="BT9">
            <v>1.0012583102733457E-2</v>
          </cell>
          <cell r="CE9">
            <v>4.9117108917584584E-7</v>
          </cell>
          <cell r="EJ9">
            <v>0</v>
          </cell>
          <cell r="EP9">
            <v>3.6934314701035517E-2</v>
          </cell>
          <cell r="FB9">
            <v>0</v>
          </cell>
          <cell r="FH9">
            <v>0</v>
          </cell>
          <cell r="FN9">
            <v>0</v>
          </cell>
          <cell r="GL9">
            <v>3.7360970963479623E-2</v>
          </cell>
        </row>
        <row r="10">
          <cell r="E10">
            <v>7.445057178151894E-2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L10">
            <v>1.2995631092615489E-2</v>
          </cell>
          <cell r="AW10">
            <v>0</v>
          </cell>
          <cell r="BH10">
            <v>6.418713097249007E-7</v>
          </cell>
          <cell r="BT10">
            <v>1.2995631092615489E-2</v>
          </cell>
          <cell r="CE10">
            <v>6.139638614767462E-7</v>
          </cell>
          <cell r="EJ10">
            <v>0</v>
          </cell>
          <cell r="EP10">
            <v>4.5810080991586274E-2</v>
          </cell>
          <cell r="FB10">
            <v>0</v>
          </cell>
          <cell r="FH10">
            <v>0</v>
          </cell>
          <cell r="FN10">
            <v>0</v>
          </cell>
          <cell r="GL10">
            <v>4.2613249218143689E-2</v>
          </cell>
        </row>
        <row r="11">
          <cell r="E11">
            <v>9.0254878186676796E-2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L11">
            <v>1.6218080161885636E-2</v>
          </cell>
          <cell r="AW11">
            <v>0</v>
          </cell>
          <cell r="BH11">
            <v>7.7024557166866653E-7</v>
          </cell>
          <cell r="BT11">
            <v>1.6218080161885636E-2</v>
          </cell>
          <cell r="CE11">
            <v>7.3675663377070766E-7</v>
          </cell>
          <cell r="EJ11">
            <v>0</v>
          </cell>
          <cell r="EP11">
            <v>5.5398161679210675E-2</v>
          </cell>
          <cell r="FB11">
            <v>0</v>
          </cell>
          <cell r="FH11">
            <v>0</v>
          </cell>
          <cell r="FN11">
            <v>0</v>
          </cell>
          <cell r="GL11">
            <v>4.7865527472807756E-2</v>
          </cell>
        </row>
        <row r="12">
          <cell r="E12">
            <v>0.10766619952065702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L12">
            <v>1.9768194592034688E-2</v>
          </cell>
          <cell r="AW12">
            <v>0</v>
          </cell>
          <cell r="BH12">
            <v>8.9861983361243236E-7</v>
          </cell>
          <cell r="BT12">
            <v>1.9768194592034688E-2</v>
          </cell>
          <cell r="CE12">
            <v>8.5954940606466912E-7</v>
          </cell>
          <cell r="EJ12">
            <v>0</v>
          </cell>
          <cell r="EP12">
            <v>6.5961178463919148E-2</v>
          </cell>
          <cell r="FB12">
            <v>0</v>
          </cell>
          <cell r="FH12">
            <v>0</v>
          </cell>
          <cell r="FN12">
            <v>0</v>
          </cell>
          <cell r="GL12">
            <v>0.05</v>
          </cell>
        </row>
        <row r="13">
          <cell r="E13">
            <v>0.12449951990074737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L13">
            <v>2.2286040299984516E-2</v>
          </cell>
          <cell r="AW13">
            <v>0</v>
          </cell>
          <cell r="BH13">
            <v>1.0269940955588003E-6</v>
          </cell>
          <cell r="BT13">
            <v>2.2286040299984516E-2</v>
          </cell>
          <cell r="CE13">
            <v>9.8234217836210003E-7</v>
          </cell>
          <cell r="EJ13">
            <v>0</v>
          </cell>
          <cell r="EP13">
            <v>7.6173536406578674E-2</v>
          </cell>
          <cell r="FB13">
            <v>0</v>
          </cell>
          <cell r="FH13">
            <v>0</v>
          </cell>
          <cell r="FN13">
            <v>0</v>
          </cell>
          <cell r="GL13">
            <v>0.05</v>
          </cell>
        </row>
        <row r="14">
          <cell r="E14">
            <v>0.14224443251742006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L14">
            <v>2.5148518637033629E-2</v>
          </cell>
          <cell r="AW14">
            <v>0</v>
          </cell>
          <cell r="BH14">
            <v>1.1553683575034335E-6</v>
          </cell>
          <cell r="BT14">
            <v>2.5148518637033629E-2</v>
          </cell>
          <cell r="CE14">
            <v>1.1051349506560615E-6</v>
          </cell>
          <cell r="EJ14">
            <v>0</v>
          </cell>
          <cell r="EP14">
            <v>8.6824382245925313E-2</v>
          </cell>
          <cell r="FB14">
            <v>0</v>
          </cell>
          <cell r="FH14">
            <v>0</v>
          </cell>
          <cell r="FN14">
            <v>0</v>
          </cell>
          <cell r="GL14">
            <v>0.05</v>
          </cell>
        </row>
        <row r="15">
          <cell r="E15">
            <v>0.1613647328610279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L15">
            <v>2.8317866319068439E-2</v>
          </cell>
          <cell r="AW15">
            <v>0</v>
          </cell>
          <cell r="BH15">
            <v>1.2837426194471993E-6</v>
          </cell>
          <cell r="BT15">
            <v>2.8317866319068439E-2</v>
          </cell>
          <cell r="CE15">
            <v>1.2279277229500229E-6</v>
          </cell>
          <cell r="EJ15">
            <v>0</v>
          </cell>
          <cell r="EP15">
            <v>9.82657493496258E-2</v>
          </cell>
          <cell r="FB15">
            <v>0</v>
          </cell>
          <cell r="FH15">
            <v>0</v>
          </cell>
          <cell r="FN15">
            <v>0</v>
          </cell>
          <cell r="GL15">
            <v>0.05</v>
          </cell>
        </row>
        <row r="16">
          <cell r="E16">
            <v>0.17390265626667273</v>
          </cell>
          <cell r="AA16">
            <v>0</v>
          </cell>
          <cell r="AB16">
            <v>0</v>
          </cell>
          <cell r="AC16">
            <v>0</v>
          </cell>
          <cell r="AD16">
            <v>2.1087866645202218</v>
          </cell>
          <cell r="AE16">
            <v>0</v>
          </cell>
          <cell r="AL16">
            <v>3.0396130664769212E-2</v>
          </cell>
          <cell r="AW16">
            <v>0</v>
          </cell>
          <cell r="BH16">
            <v>1.4121168813926999E-6</v>
          </cell>
          <cell r="BT16">
            <v>3.0396130664769212E-2</v>
          </cell>
          <cell r="CE16">
            <v>1.3507204952439844E-6</v>
          </cell>
          <cell r="EJ16">
            <v>0</v>
          </cell>
          <cell r="EP16">
            <v>0.10576829804520728</v>
          </cell>
          <cell r="FB16">
            <v>0</v>
          </cell>
          <cell r="FH16">
            <v>0</v>
          </cell>
          <cell r="FN16">
            <v>0</v>
          </cell>
          <cell r="GL16">
            <v>0.05</v>
          </cell>
        </row>
        <row r="17">
          <cell r="E17">
            <v>0.54338556886687894</v>
          </cell>
          <cell r="AA17">
            <v>0</v>
          </cell>
          <cell r="AB17">
            <v>0</v>
          </cell>
          <cell r="AC17">
            <v>0</v>
          </cell>
          <cell r="AD17">
            <v>7.1245060737808643</v>
          </cell>
          <cell r="AE17">
            <v>1.6423291611067463</v>
          </cell>
          <cell r="AL17">
            <v>3.2437776368769704E-2</v>
          </cell>
          <cell r="AW17">
            <v>0</v>
          </cell>
          <cell r="BH17">
            <v>1.5404911433355983E-6</v>
          </cell>
          <cell r="BT17">
            <v>3.2437776368769704E-2</v>
          </cell>
          <cell r="CE17">
            <v>1.4735132675379459E-6</v>
          </cell>
          <cell r="EJ17">
            <v>0</v>
          </cell>
          <cell r="EP17">
            <v>0.11276552858667491</v>
          </cell>
          <cell r="FB17">
            <v>0</v>
          </cell>
          <cell r="FH17">
            <v>0</v>
          </cell>
          <cell r="FN17">
            <v>0</v>
          </cell>
          <cell r="GL17">
            <v>0.05</v>
          </cell>
        </row>
        <row r="18">
          <cell r="E18">
            <v>0.5537275240482431</v>
          </cell>
          <cell r="AA18">
            <v>4.2935123599202299E-5</v>
          </cell>
          <cell r="AB18">
            <v>0</v>
          </cell>
          <cell r="AC18">
            <v>0</v>
          </cell>
          <cell r="AD18">
            <v>16.366329137121681</v>
          </cell>
          <cell r="AE18">
            <v>7.3697759831764511</v>
          </cell>
          <cell r="AL18">
            <v>3.4705091074981174E-2</v>
          </cell>
          <cell r="AW18">
            <v>0</v>
          </cell>
          <cell r="BH18">
            <v>1.6688654052854357E-6</v>
          </cell>
          <cell r="BT18">
            <v>3.4705091074981174E-2</v>
          </cell>
          <cell r="CE18">
            <v>1.5963060398388462E-6</v>
          </cell>
          <cell r="EJ18">
            <v>0</v>
          </cell>
          <cell r="EP18">
            <v>0.12031286813317277</v>
          </cell>
          <cell r="FB18">
            <v>0</v>
          </cell>
          <cell r="FH18">
            <v>1.516478303096716E-5</v>
          </cell>
          <cell r="FN18">
            <v>6.8972235045346289E-6</v>
          </cell>
          <cell r="GL18">
            <v>0.05</v>
          </cell>
        </row>
        <row r="19">
          <cell r="E19">
            <v>0.56372183586739788</v>
          </cell>
          <cell r="AA19">
            <v>2.2526834080862672E-4</v>
          </cell>
          <cell r="AB19">
            <v>0</v>
          </cell>
          <cell r="AC19">
            <v>0</v>
          </cell>
          <cell r="AD19">
            <v>33.408030487363575</v>
          </cell>
          <cell r="AE19">
            <v>17.351988984788694</v>
          </cell>
          <cell r="AL19">
            <v>3.6999231154354523E-2</v>
          </cell>
          <cell r="AW19">
            <v>0</v>
          </cell>
          <cell r="BH19">
            <v>1.7972396672283342E-6</v>
          </cell>
          <cell r="BT19">
            <v>3.6999231154354523E-2</v>
          </cell>
          <cell r="CE19">
            <v>1.7190988121328077E-6</v>
          </cell>
          <cell r="EJ19">
            <v>0</v>
          </cell>
          <cell r="EP19">
            <v>0.12749522918612219</v>
          </cell>
          <cell r="FB19">
            <v>0</v>
          </cell>
          <cell r="FH19">
            <v>7.9565288876267702E-5</v>
          </cell>
          <cell r="FN19">
            <v>3.6187763416189271E-5</v>
          </cell>
          <cell r="GL19">
            <v>0.05</v>
          </cell>
        </row>
        <row r="20">
          <cell r="E20">
            <v>0.78685639596104395</v>
          </cell>
          <cell r="AA20">
            <v>4.2697129464524614E-4</v>
          </cell>
          <cell r="AB20">
            <v>0</v>
          </cell>
          <cell r="AC20">
            <v>0</v>
          </cell>
          <cell r="AD20">
            <v>60.842063388134278</v>
          </cell>
          <cell r="AE20">
            <v>36.251687297706439</v>
          </cell>
          <cell r="AL20">
            <v>3.953708376073449E-2</v>
          </cell>
          <cell r="AW20">
            <v>0</v>
          </cell>
          <cell r="BH20">
            <v>1.9256139291738347E-6</v>
          </cell>
          <cell r="BT20">
            <v>3.953708376073449E-2</v>
          </cell>
          <cell r="CE20">
            <v>1.8418915844267691E-6</v>
          </cell>
          <cell r="EJ20">
            <v>0</v>
          </cell>
          <cell r="EP20">
            <v>0.13504590302489719</v>
          </cell>
          <cell r="FB20">
            <v>0</v>
          </cell>
          <cell r="FH20">
            <v>1.5080722962834575E-4</v>
          </cell>
          <cell r="FN20">
            <v>6.8589914324678608E-5</v>
          </cell>
          <cell r="GL20">
            <v>0.05</v>
          </cell>
        </row>
        <row r="21">
          <cell r="E21">
            <v>0.79749184174453824</v>
          </cell>
          <cell r="AA21">
            <v>6.412712507213327E-4</v>
          </cell>
          <cell r="AB21">
            <v>9.0137951909488538E-5</v>
          </cell>
          <cell r="AC21">
            <v>0</v>
          </cell>
          <cell r="AD21">
            <v>102.05100733753154</v>
          </cell>
          <cell r="AE21">
            <v>63.947698505905151</v>
          </cell>
          <cell r="AL21">
            <v>4.1737114925504866E-2</v>
          </cell>
          <cell r="AW21">
            <v>0</v>
          </cell>
          <cell r="BH21">
            <v>2.0539881911202026E-6</v>
          </cell>
          <cell r="BT21">
            <v>4.1737114925504866E-2</v>
          </cell>
          <cell r="CE21">
            <v>1.9646843567242001E-6</v>
          </cell>
          <cell r="EJ21">
            <v>0</v>
          </cell>
          <cell r="EP21">
            <v>0.1430681408811906</v>
          </cell>
          <cell r="FB21">
            <v>0</v>
          </cell>
          <cell r="FH21">
            <v>2.2649846014107273E-4</v>
          </cell>
          <cell r="FN21">
            <v>1.0301568442066091E-4</v>
          </cell>
          <cell r="GL21">
            <v>0.05</v>
          </cell>
        </row>
        <row r="22">
          <cell r="E22">
            <v>0.80852569975157362</v>
          </cell>
          <cell r="AA22">
            <v>8.6084971263132007E-4</v>
          </cell>
          <cell r="AB22">
            <v>2.5396601445823816E-4</v>
          </cell>
          <cell r="AC22">
            <v>0</v>
          </cell>
          <cell r="AD22">
            <v>158.46472415432783</v>
          </cell>
          <cell r="AE22">
            <v>100.99436012099599</v>
          </cell>
          <cell r="AL22">
            <v>4.3885931803021708E-2</v>
          </cell>
          <cell r="AW22">
            <v>0</v>
          </cell>
          <cell r="BH22">
            <v>2.1823624530639685E-6</v>
          </cell>
          <cell r="BT22">
            <v>4.3885931803021708E-2</v>
          </cell>
          <cell r="CE22">
            <v>2.0874771290181615E-6</v>
          </cell>
          <cell r="EJ22">
            <v>0</v>
          </cell>
          <cell r="EP22">
            <v>0.15128797760824791</v>
          </cell>
          <cell r="FB22">
            <v>0</v>
          </cell>
          <cell r="FH22">
            <v>3.0405407088584564E-4</v>
          </cell>
          <cell r="FN22">
            <v>1.3828940909216191E-4</v>
          </cell>
          <cell r="GL22">
            <v>0.05</v>
          </cell>
        </row>
        <row r="23">
          <cell r="E23">
            <v>0.82180740485609283</v>
          </cell>
          <cell r="AA23">
            <v>1.1211690539497628E-3</v>
          </cell>
          <cell r="AB23">
            <v>4.4701714744047971E-4</v>
          </cell>
          <cell r="AC23">
            <v>0</v>
          </cell>
          <cell r="AD23">
            <v>231.93093326054532</v>
          </cell>
          <cell r="AE23">
            <v>154.14200945877579</v>
          </cell>
          <cell r="AL23">
            <v>4.6433443017479724E-2</v>
          </cell>
          <cell r="AW23">
            <v>0</v>
          </cell>
          <cell r="BH23">
            <v>2.3107367150068669E-6</v>
          </cell>
          <cell r="BT23">
            <v>4.6433443017479724E-2</v>
          </cell>
          <cell r="CE23">
            <v>2.210269901312123E-6</v>
          </cell>
          <cell r="EJ23">
            <v>0</v>
          </cell>
          <cell r="EP23">
            <v>0.16103293375704303</v>
          </cell>
          <cell r="FB23">
            <v>0</v>
          </cell>
          <cell r="FH23">
            <v>3.9599945263692589E-4</v>
          </cell>
          <cell r="FN23">
            <v>1.8010786748038686E-4</v>
          </cell>
          <cell r="GL23">
            <v>0.05</v>
          </cell>
        </row>
        <row r="24">
          <cell r="E24">
            <v>0.83547262212309992</v>
          </cell>
          <cell r="AA24">
            <v>1.386421591219259E-3</v>
          </cell>
          <cell r="AB24">
            <v>6.408055143345727E-4</v>
          </cell>
          <cell r="AC24">
            <v>0</v>
          </cell>
          <cell r="AD24">
            <v>329.22036049889022</v>
          </cell>
          <cell r="AE24">
            <v>223.69535653911151</v>
          </cell>
          <cell r="AL24">
            <v>4.9029230982888236E-2</v>
          </cell>
          <cell r="AW24">
            <v>0</v>
          </cell>
          <cell r="BH24">
            <v>2.4391109769549696E-6</v>
          </cell>
          <cell r="BT24">
            <v>4.9029230982888236E-2</v>
          </cell>
          <cell r="CE24">
            <v>2.3330626736095539E-6</v>
          </cell>
          <cell r="EJ24">
            <v>0</v>
          </cell>
          <cell r="EP24">
            <v>0.40348943972675605</v>
          </cell>
          <cell r="FB24">
            <v>0</v>
          </cell>
          <cell r="FH24">
            <v>4.8968725038627653E-4</v>
          </cell>
          <cell r="FN24">
            <v>2.2271880885721819E-4</v>
          </cell>
          <cell r="GL24">
            <v>0.05</v>
          </cell>
        </row>
        <row r="25">
          <cell r="E25">
            <v>0.84771913604728788</v>
          </cell>
          <cell r="AA25">
            <v>1.657847572343743E-3</v>
          </cell>
          <cell r="AB25">
            <v>8.4568886450633581E-4</v>
          </cell>
          <cell r="AC25">
            <v>0</v>
          </cell>
          <cell r="AD25">
            <v>451.52710035865562</v>
          </cell>
          <cell r="AE25">
            <v>312.98214778990109</v>
          </cell>
          <cell r="AL25">
            <v>5.1564867101986933E-2</v>
          </cell>
          <cell r="AW25">
            <v>0</v>
          </cell>
          <cell r="BH25">
            <v>2.6114541580605707E-6</v>
          </cell>
          <cell r="BT25">
            <v>5.1564867101986933E-2</v>
          </cell>
          <cell r="CE25">
            <v>2.497912672927427E-6</v>
          </cell>
          <cell r="EJ25">
            <v>0</v>
          </cell>
          <cell r="EP25">
            <v>0.41112066734513331</v>
          </cell>
          <cell r="FB25">
            <v>0</v>
          </cell>
          <cell r="FH25">
            <v>5.8555552250641701E-4</v>
          </cell>
          <cell r="FN25">
            <v>2.6632147026397248E-4</v>
          </cell>
          <cell r="GL25">
            <v>0.05</v>
          </cell>
        </row>
        <row r="26">
          <cell r="E26">
            <v>0.85870498071110124</v>
          </cell>
          <cell r="AA26">
            <v>1.9631998567570946E-3</v>
          </cell>
          <cell r="AB26">
            <v>1.0737984288212671E-3</v>
          </cell>
          <cell r="AC26">
            <v>0</v>
          </cell>
          <cell r="AD26">
            <v>611.75284764570074</v>
          </cell>
          <cell r="AE26">
            <v>426.9618523052286</v>
          </cell>
          <cell r="AL26">
            <v>5.3874224042976121E-2</v>
          </cell>
          <cell r="AW26">
            <v>0</v>
          </cell>
          <cell r="BH26">
            <v>2.9283928233972065E-6</v>
          </cell>
          <cell r="BT26">
            <v>5.3874224042976121E-2</v>
          </cell>
          <cell r="CE26">
            <v>2.8010713962918488E-6</v>
          </cell>
          <cell r="EJ26">
            <v>0</v>
          </cell>
          <cell r="EP26">
            <v>0.41800097254815194</v>
          </cell>
          <cell r="FB26">
            <v>0</v>
          </cell>
          <cell r="FH26">
            <v>6.9340664189214733E-4</v>
          </cell>
          <cell r="FN26">
            <v>3.1537415200024311E-4</v>
          </cell>
          <cell r="GL26">
            <v>0.05</v>
          </cell>
        </row>
        <row r="27">
          <cell r="E27">
            <v>0.87078147028374731</v>
          </cell>
          <cell r="AA27">
            <v>2.2960146916226444E-3</v>
          </cell>
          <cell r="AB27">
            <v>1.3233578261271344E-3</v>
          </cell>
          <cell r="AC27">
            <v>1.0019989290163919E-4</v>
          </cell>
          <cell r="AD27">
            <v>809.75612296343093</v>
          </cell>
          <cell r="AE27">
            <v>578.24950011219278</v>
          </cell>
          <cell r="AL27">
            <v>5.639127823969696E-2</v>
          </cell>
          <cell r="AW27">
            <v>0</v>
          </cell>
          <cell r="BH27">
            <v>3.2453314887364443E-6</v>
          </cell>
          <cell r="BT27">
            <v>5.639127823969696E-2</v>
          </cell>
          <cell r="CE27">
            <v>3.1042301196632094E-6</v>
          </cell>
          <cell r="EJ27">
            <v>0</v>
          </cell>
          <cell r="EP27">
            <v>0.42554282696121093</v>
          </cell>
          <cell r="FB27">
            <v>0</v>
          </cell>
          <cell r="FH27">
            <v>8.1095759638193468E-4</v>
          </cell>
          <cell r="FN27">
            <v>3.688384979544057E-4</v>
          </cell>
          <cell r="GL27">
            <v>5.04736703547876E-2</v>
          </cell>
        </row>
        <row r="28">
          <cell r="E28">
            <v>0.88323234490105462</v>
          </cell>
          <cell r="AA28">
            <v>2.6335248069184886E-3</v>
          </cell>
          <cell r="AB28">
            <v>1.5739255242012253E-3</v>
          </cell>
          <cell r="AC28">
            <v>2.3455083692200588E-4</v>
          </cell>
          <cell r="AD28">
            <v>1063.4962523313025</v>
          </cell>
          <cell r="AE28">
            <v>761.21633692137789</v>
          </cell>
          <cell r="AL28">
            <v>5.8943842498091092E-2</v>
          </cell>
          <cell r="AW28">
            <v>0</v>
          </cell>
          <cell r="BH28">
            <v>3.56227015407308E-6</v>
          </cell>
          <cell r="BT28">
            <v>5.8943842498091092E-2</v>
          </cell>
          <cell r="CE28">
            <v>3.4073888430276311E-6</v>
          </cell>
          <cell r="EJ28">
            <v>0</v>
          </cell>
          <cell r="EP28">
            <v>0.57138545301566879</v>
          </cell>
          <cell r="FB28">
            <v>0</v>
          </cell>
          <cell r="FH28">
            <v>9.3016693456847432E-4</v>
          </cell>
          <cell r="FN28">
            <v>4.2305710745387708E-4</v>
          </cell>
          <cell r="GL28">
            <v>5.2913433527003902E-2</v>
          </cell>
        </row>
        <row r="29">
          <cell r="E29">
            <v>0.89681895927324184</v>
          </cell>
          <cell r="AA29">
            <v>3.0175909236488008E-3</v>
          </cell>
          <cell r="AB29">
            <v>1.8575730432873075E-3</v>
          </cell>
          <cell r="AC29">
            <v>3.9258272018561605E-4</v>
          </cell>
          <cell r="AD29">
            <v>1373.6138801706049</v>
          </cell>
          <cell r="AE29">
            <v>1000.4519016146293</v>
          </cell>
          <cell r="AL29">
            <v>6.0303956591472474E-2</v>
          </cell>
          <cell r="AW29">
            <v>0</v>
          </cell>
          <cell r="BH29">
            <v>3.8792088194123178E-6</v>
          </cell>
          <cell r="BT29">
            <v>6.1512414312720594E-2</v>
          </cell>
          <cell r="CE29">
            <v>3.7105475663955223E-6</v>
          </cell>
          <cell r="EJ29">
            <v>0</v>
          </cell>
          <cell r="EP29">
            <v>0.57955533527730108</v>
          </cell>
          <cell r="FB29">
            <v>0</v>
          </cell>
          <cell r="FH29">
            <v>1.0658199580494525E-3</v>
          </cell>
          <cell r="FN29">
            <v>4.8475460883609889E-4</v>
          </cell>
          <cell r="GL29">
            <v>5.5354103211509485E-2</v>
          </cell>
        </row>
        <row r="30">
          <cell r="E30">
            <v>0.90951756359506564</v>
          </cell>
          <cell r="AA30">
            <v>3.4179660907276256E-3</v>
          </cell>
          <cell r="AB30">
            <v>2.1552278395105991E-3</v>
          </cell>
          <cell r="AC30">
            <v>5.5440160490320635E-4</v>
          </cell>
          <cell r="AD30">
            <v>1763.2054511574545</v>
          </cell>
          <cell r="AE30">
            <v>1292.5351143726111</v>
          </cell>
          <cell r="AL30">
            <v>6.0801862906813206E-2</v>
          </cell>
          <cell r="AW30">
            <v>0</v>
          </cell>
          <cell r="BH30">
            <v>4.1961474847489535E-6</v>
          </cell>
          <cell r="BT30">
            <v>6.3989875433294846E-2</v>
          </cell>
          <cell r="CE30">
            <v>4.013706289759944E-6</v>
          </cell>
          <cell r="EJ30">
            <v>0</v>
          </cell>
          <cell r="EP30">
            <v>0.58747182147979049</v>
          </cell>
          <cell r="FB30">
            <v>0</v>
          </cell>
          <cell r="FH30">
            <v>1.2072333751020218E-3</v>
          </cell>
          <cell r="FN30">
            <v>5.4907204364276979E-4</v>
          </cell>
          <cell r="GL30">
            <v>5.7794917863379834E-2</v>
          </cell>
        </row>
        <row r="31">
          <cell r="E31">
            <v>0.9225865010921569</v>
          </cell>
          <cell r="AA31">
            <v>3.84454316349355E-3</v>
          </cell>
          <cell r="AB31">
            <v>2.465807294328398E-3</v>
          </cell>
          <cell r="AC31">
            <v>7.2836391316417665E-4</v>
          </cell>
          <cell r="AD31">
            <v>2237.2206049091737</v>
          </cell>
          <cell r="AE31">
            <v>1653.7548454162397</v>
          </cell>
          <cell r="AL31">
            <v>6.1332353896200432E-2</v>
          </cell>
          <cell r="AW31">
            <v>0</v>
          </cell>
          <cell r="BH31">
            <v>4.5130861500864566E-6</v>
          </cell>
          <cell r="BT31">
            <v>6.6629469992609477E-2</v>
          </cell>
          <cell r="CE31">
            <v>4.3168650131278352E-6</v>
          </cell>
          <cell r="EJ31">
            <v>0</v>
          </cell>
          <cell r="EP31">
            <v>0.59559925168649952</v>
          </cell>
          <cell r="FB31">
            <v>0</v>
          </cell>
          <cell r="FH31">
            <v>1.3579013646685064E-3</v>
          </cell>
          <cell r="FN31">
            <v>6.1759862901473734E-4</v>
          </cell>
          <cell r="GL31">
            <v>6.0236197368546879E-2</v>
          </cell>
        </row>
        <row r="32">
          <cell r="E32">
            <v>0.93669237312920717</v>
          </cell>
          <cell r="AA32">
            <v>4.2994803946301832E-3</v>
          </cell>
          <cell r="AB32">
            <v>2.799837742294736E-3</v>
          </cell>
          <cell r="AC32">
            <v>9.1706885382014192E-4</v>
          </cell>
          <cell r="AD32">
            <v>2821.6069306143945</v>
          </cell>
          <cell r="AE32">
            <v>2095.1137043561657</v>
          </cell>
          <cell r="AL32">
            <v>6.1898113561364605E-2</v>
          </cell>
          <cell r="AW32">
            <v>0</v>
          </cell>
          <cell r="BH32">
            <v>4.8300248154239597E-6</v>
          </cell>
          <cell r="BT32">
            <v>6.9444552932608122E-2</v>
          </cell>
          <cell r="CE32">
            <v>9.0959154145652032E-2</v>
          </cell>
          <cell r="EJ32">
            <v>0</v>
          </cell>
          <cell r="EP32">
            <v>0.60437906603340341</v>
          </cell>
          <cell r="FB32">
            <v>0</v>
          </cell>
          <cell r="FH32">
            <v>1.5185862264916171E-3</v>
          </cell>
          <cell r="FN32">
            <v>6.906810729591118E-4</v>
          </cell>
          <cell r="GL32">
            <v>6.2678041225376874E-2</v>
          </cell>
        </row>
        <row r="33">
          <cell r="E33">
            <v>0.95123198033081446</v>
          </cell>
          <cell r="AA33">
            <v>4.774818444367784E-3</v>
          </cell>
          <cell r="AB33">
            <v>3.1566593833529397E-3</v>
          </cell>
          <cell r="AC33">
            <v>1.1280913611349766E-3</v>
          </cell>
          <cell r="AD33">
            <v>3532.4572472067966</v>
          </cell>
          <cell r="AE33">
            <v>2632.3944645602032</v>
          </cell>
          <cell r="AL33">
            <v>6.2478311430045189E-2</v>
          </cell>
          <cell r="AW33">
            <v>0</v>
          </cell>
          <cell r="BH33">
            <v>5.1935323436610309E-6</v>
          </cell>
          <cell r="BT33">
            <v>7.2331476873133932E-2</v>
          </cell>
          <cell r="CE33">
            <v>9.0695808710339554E-2</v>
          </cell>
          <cell r="EJ33">
            <v>0</v>
          </cell>
          <cell r="EP33">
            <v>0.61343211009728793</v>
          </cell>
          <cell r="FB33">
            <v>0</v>
          </cell>
          <cell r="FH33">
            <v>1.6864767037131085E-3</v>
          </cell>
          <cell r="FN33">
            <v>7.6704076391644125E-4</v>
          </cell>
          <cell r="GL33">
            <v>6.5120739404251934E-2</v>
          </cell>
        </row>
        <row r="34">
          <cell r="E34">
            <v>0.96695698383439221</v>
          </cell>
          <cell r="AA34">
            <v>5.3226031637935859E-3</v>
          </cell>
          <cell r="AB34">
            <v>3.5763699429865983E-3</v>
          </cell>
          <cell r="AC34">
            <v>1.3655425625153665E-3</v>
          </cell>
          <cell r="AD34">
            <v>4397.8508902106287</v>
          </cell>
          <cell r="AE34">
            <v>3307.6751951159176</v>
          </cell>
          <cell r="AL34">
            <v>6.3104972692053549E-2</v>
          </cell>
          <cell r="AW34">
            <v>0</v>
          </cell>
          <cell r="BH34">
            <v>5.7158604819364592E-6</v>
          </cell>
          <cell r="BT34">
            <v>7.5449591395005816E-2</v>
          </cell>
          <cell r="CE34">
            <v>9.0415004086899509E-2</v>
          </cell>
          <cell r="EJ34">
            <v>0</v>
          </cell>
          <cell r="EP34">
            <v>0.6232241637016005</v>
          </cell>
          <cell r="FB34">
            <v>0</v>
          </cell>
          <cell r="FH34">
            <v>1.8799555089756104E-3</v>
          </cell>
          <cell r="FN34">
            <v>8.5503849923258563E-4</v>
          </cell>
          <cell r="GL34">
            <v>6.7564449280159519E-2</v>
          </cell>
        </row>
        <row r="35">
          <cell r="E35">
            <v>0.9770557299097713</v>
          </cell>
          <cell r="AA35">
            <v>5.89270635962948E-3</v>
          </cell>
          <cell r="AB35">
            <v>3.9986898577045833E-3</v>
          </cell>
          <cell r="AC35">
            <v>1.604636671543051E-3</v>
          </cell>
          <cell r="AD35">
            <v>5460.6542848541112</v>
          </cell>
          <cell r="AE35">
            <v>4119.1039478034763</v>
          </cell>
          <cell r="AL35">
            <v>6.3757166109482219E-2</v>
          </cell>
          <cell r="AW35">
            <v>0</v>
          </cell>
          <cell r="BH35">
            <v>6.2381886202136222E-6</v>
          </cell>
          <cell r="BT35">
            <v>7.8694747732635753E-2</v>
          </cell>
          <cell r="CE35">
            <v>9.0146673678371148E-2</v>
          </cell>
          <cell r="EJ35">
            <v>0</v>
          </cell>
          <cell r="EP35">
            <v>0.62923721400980059</v>
          </cell>
          <cell r="FB35">
            <v>0</v>
          </cell>
          <cell r="FH35">
            <v>2.0813172507238727E-3</v>
          </cell>
          <cell r="FN35">
            <v>9.466215397062991E-4</v>
          </cell>
          <cell r="GL35">
            <v>7.0008222046983606E-2</v>
          </cell>
        </row>
        <row r="36">
          <cell r="E36">
            <v>0.98532444702257227</v>
          </cell>
          <cell r="AA36">
            <v>6.5066895785830577E-3</v>
          </cell>
          <cell r="AB36">
            <v>4.4495836067151122E-3</v>
          </cell>
          <cell r="AC36">
            <v>1.863570624366896E-3</v>
          </cell>
          <cell r="AD36">
            <v>6729.3501955255506</v>
          </cell>
          <cell r="AE36">
            <v>5130.7609632428175</v>
          </cell>
          <cell r="AL36">
            <v>6.4459557916330554E-2</v>
          </cell>
          <cell r="AW36">
            <v>0</v>
          </cell>
          <cell r="BH36">
            <v>6.7605167584873158E-6</v>
          </cell>
          <cell r="BT36">
            <v>8.0926402690531765E-2</v>
          </cell>
          <cell r="CE36">
            <v>0.143794970609394</v>
          </cell>
          <cell r="EJ36">
            <v>0</v>
          </cell>
          <cell r="EP36">
            <v>0.63397487020286025</v>
          </cell>
          <cell r="FB36">
            <v>0</v>
          </cell>
          <cell r="FH36">
            <v>2.2981775161560374E-3</v>
          </cell>
          <cell r="FN36">
            <v>1.0452535950996396E-3</v>
          </cell>
          <cell r="GL36">
            <v>7.2452754288000562E-2</v>
          </cell>
        </row>
        <row r="37">
          <cell r="E37">
            <v>0.99419131127738891</v>
          </cell>
          <cell r="AA37">
            <v>7.1526093278928568E-3</v>
          </cell>
          <cell r="AB37">
            <v>4.9355279060004009E-3</v>
          </cell>
          <cell r="AC37">
            <v>2.1358208869708866E-3</v>
          </cell>
          <cell r="AD37">
            <v>8296.7321370259815</v>
          </cell>
          <cell r="AE37">
            <v>6353.1043375725303</v>
          </cell>
          <cell r="AL37">
            <v>6.5198484854056923E-2</v>
          </cell>
          <cell r="AW37">
            <v>0</v>
          </cell>
          <cell r="BH37">
            <v>7.2828448967653461E-6</v>
          </cell>
          <cell r="BT37">
            <v>8.2481938628668539E-2</v>
          </cell>
          <cell r="CE37">
            <v>0.14338094482693711</v>
          </cell>
          <cell r="EJ37">
            <v>0</v>
          </cell>
          <cell r="EP37">
            <v>0.63907098855322542</v>
          </cell>
          <cell r="FB37">
            <v>0</v>
          </cell>
          <cell r="FH37">
            <v>2.5263178365412288E-3</v>
          </cell>
          <cell r="FN37">
            <v>1.1490160278940671E-3</v>
          </cell>
          <cell r="GL37">
            <v>7.4897796280693305E-2</v>
          </cell>
        </row>
        <row r="38">
          <cell r="E38">
            <v>1.003477161444569</v>
          </cell>
          <cell r="AA38">
            <v>7.8280115900478398E-3</v>
          </cell>
          <cell r="AB38">
            <v>5.4465627256223706E-3</v>
          </cell>
          <cell r="AC38">
            <v>2.4239545515438894E-3</v>
          </cell>
          <cell r="AD38">
            <v>10139.964514082576</v>
          </cell>
          <cell r="AE38">
            <v>8010.3556439207478</v>
          </cell>
          <cell r="AL38">
            <v>6.5971139546595628E-2</v>
          </cell>
          <cell r="AW38">
            <v>0</v>
          </cell>
          <cell r="BH38">
            <v>7.8051730350416418E-6</v>
          </cell>
          <cell r="BT38">
            <v>8.4108475814756417E-2</v>
          </cell>
          <cell r="CE38">
            <v>0.14295982706896493</v>
          </cell>
          <cell r="EJ38">
            <v>0</v>
          </cell>
          <cell r="EP38">
            <v>0.64407233700813893</v>
          </cell>
          <cell r="FB38">
            <v>0</v>
          </cell>
          <cell r="FH38">
            <v>2.7648714473289017E-3</v>
          </cell>
          <cell r="FN38">
            <v>1.257514617557793E-3</v>
          </cell>
          <cell r="GL38">
            <v>7.719411755254485E-2</v>
          </cell>
        </row>
        <row r="39">
          <cell r="E39">
            <v>1.0048678615595454</v>
          </cell>
          <cell r="AA39">
            <v>8.5893077504018856E-3</v>
          </cell>
          <cell r="AB39">
            <v>6.0190117856904262E-3</v>
          </cell>
          <cell r="AC39">
            <v>2.7424068485623217E-3</v>
          </cell>
          <cell r="AD39">
            <v>12806.371298176327</v>
          </cell>
          <cell r="AE39">
            <v>10010.668202039125</v>
          </cell>
          <cell r="AL39">
            <v>6.6842056159803931E-2</v>
          </cell>
          <cell r="AW39">
            <v>0</v>
          </cell>
          <cell r="BH39">
            <v>8.3275011733170701E-6</v>
          </cell>
          <cell r="BT39">
            <v>8.5941866941535966E-2</v>
          </cell>
          <cell r="CE39">
            <v>0.14254448079800783</v>
          </cell>
          <cell r="EJ39">
            <v>0</v>
          </cell>
          <cell r="EP39">
            <v>0.64895291422566803</v>
          </cell>
          <cell r="FB39">
            <v>0</v>
          </cell>
          <cell r="FH39">
            <v>3.0337629777655809E-3</v>
          </cell>
          <cell r="FN39">
            <v>1.3798114535963284E-3</v>
          </cell>
          <cell r="GL39">
            <v>7.947939364300112E-2</v>
          </cell>
        </row>
        <row r="40">
          <cell r="E40">
            <v>1.0056514786098356</v>
          </cell>
          <cell r="AA40">
            <v>9.4099447202758372E-3</v>
          </cell>
          <cell r="AB40">
            <v>6.6193255641158128E-3</v>
          </cell>
          <cell r="AC40">
            <v>3.0769232301109525E-3</v>
          </cell>
          <cell r="AD40">
            <v>15917.214045868268</v>
          </cell>
          <cell r="AE40">
            <v>12861.778468406672</v>
          </cell>
          <cell r="AL40">
            <v>7.7567708717192749E-2</v>
          </cell>
          <cell r="AW40">
            <v>0</v>
          </cell>
          <cell r="BH40">
            <v>2.0009044146301013E-2</v>
          </cell>
          <cell r="BT40">
            <v>8.7469458607218595E-2</v>
          </cell>
          <cell r="CE40">
            <v>0.1420986486459592</v>
          </cell>
          <cell r="EJ40">
            <v>0</v>
          </cell>
          <cell r="EP40">
            <v>0.65276935692219729</v>
          </cell>
          <cell r="FB40">
            <v>0</v>
          </cell>
          <cell r="FH40">
            <v>3.3236138167080831E-3</v>
          </cell>
          <cell r="FN40">
            <v>1.5116409703840674E-3</v>
          </cell>
          <cell r="GL40">
            <v>8.1765284670639274E-2</v>
          </cell>
        </row>
        <row r="41">
          <cell r="E41">
            <v>1.0065409585242411</v>
          </cell>
          <cell r="AA41">
            <v>1.0263970053325109E-2</v>
          </cell>
          <cell r="AB41">
            <v>7.2455287507619459E-3</v>
          </cell>
          <cell r="AC41">
            <v>3.4096267192939818E-3</v>
          </cell>
          <cell r="AD41">
            <v>20164.987261543822</v>
          </cell>
          <cell r="AE41">
            <v>16230.747490520842</v>
          </cell>
          <cell r="AL41">
            <v>8.7191741781202953E-2</v>
          </cell>
          <cell r="AW41">
            <v>0</v>
          </cell>
          <cell r="BH41">
            <v>0.10427151888504105</v>
          </cell>
          <cell r="BT41">
            <v>0.11108761390113911</v>
          </cell>
          <cell r="CE41">
            <v>0.14170210060136643</v>
          </cell>
          <cell r="EJ41">
            <v>0</v>
          </cell>
          <cell r="EP41">
            <v>0.6565508836561047</v>
          </cell>
          <cell r="FB41">
            <v>0</v>
          </cell>
          <cell r="FH41">
            <v>3.6252575012480364E-3</v>
          </cell>
          <cell r="FN41">
            <v>1.6488340912322137E-3</v>
          </cell>
          <cell r="GL41">
            <v>8.4051106300303324E-2</v>
          </cell>
        </row>
        <row r="42">
          <cell r="E42">
            <v>1.0074923150272403</v>
          </cell>
          <cell r="AA42">
            <v>1.1177405580270633E-2</v>
          </cell>
          <cell r="AB42">
            <v>7.8966156305885025E-3</v>
          </cell>
          <cell r="AC42">
            <v>3.7903817276814418E-3</v>
          </cell>
          <cell r="AD42">
            <v>25287.918743048467</v>
          </cell>
          <cell r="AE42">
            <v>20271.114883664617</v>
          </cell>
          <cell r="AL42">
            <v>9.8900658003294672E-2</v>
          </cell>
          <cell r="AW42">
            <v>0</v>
          </cell>
          <cell r="BH42">
            <v>0.12598839159775457</v>
          </cell>
          <cell r="BT42">
            <v>0.11253213043452971</v>
          </cell>
          <cell r="CE42">
            <v>0.14127791471411386</v>
          </cell>
          <cell r="EJ42">
            <v>0</v>
          </cell>
          <cell r="EP42">
            <v>0.66059547195012192</v>
          </cell>
          <cell r="FB42">
            <v>0</v>
          </cell>
          <cell r="FH42">
            <v>3.9478850010128998E-3</v>
          </cell>
          <cell r="FN42">
            <v>1.795571038938187E-3</v>
          </cell>
          <cell r="GL42">
            <v>8.6338767354165444E-2</v>
          </cell>
        </row>
        <row r="43">
          <cell r="E43">
            <v>1.0086787102696015</v>
          </cell>
          <cell r="AA43">
            <v>1.2127836581612804E-2</v>
          </cell>
          <cell r="AB43">
            <v>8.5957133010896632E-3</v>
          </cell>
          <cell r="AC43">
            <v>4.1852712112155207E-3</v>
          </cell>
          <cell r="AD43">
            <v>31476.040322951227</v>
          </cell>
          <cell r="AE43">
            <v>25032.3127600281</v>
          </cell>
          <cell r="AL43">
            <v>0.10980310390128625</v>
          </cell>
          <cell r="AW43">
            <v>0</v>
          </cell>
          <cell r="BH43">
            <v>0.14604796407253809</v>
          </cell>
          <cell r="BT43">
            <v>0.11389741006350787</v>
          </cell>
          <cell r="CE43">
            <v>0.14088892037088657</v>
          </cell>
          <cell r="EJ43">
            <v>0</v>
          </cell>
          <cell r="EP43">
            <v>0.66493487692372666</v>
          </cell>
          <cell r="FB43">
            <v>0</v>
          </cell>
          <cell r="FH43">
            <v>4.2835793862394198E-3</v>
          </cell>
          <cell r="FN43">
            <v>1.9482510475737598E-3</v>
          </cell>
          <cell r="GL43">
            <v>8.8626969479278631E-2</v>
          </cell>
        </row>
        <row r="44">
          <cell r="E44">
            <v>1.0099989686704651</v>
          </cell>
          <cell r="AA44">
            <v>1.314382781035398E-2</v>
          </cell>
          <cell r="AB44">
            <v>9.358888919854506E-3</v>
          </cell>
          <cell r="AC44">
            <v>4.6216236668849388E-3</v>
          </cell>
          <cell r="AD44">
            <v>38869.772292420428</v>
          </cell>
          <cell r="AE44">
            <v>30656.024102548909</v>
          </cell>
          <cell r="AL44">
            <v>0.12063873019389824</v>
          </cell>
          <cell r="AW44">
            <v>0</v>
          </cell>
          <cell r="BH44">
            <v>0.16585995549294116</v>
          </cell>
          <cell r="BT44">
            <v>0.11535903371874612</v>
          </cell>
          <cell r="CE44">
            <v>0.14048691549186818</v>
          </cell>
          <cell r="EJ44">
            <v>0</v>
          </cell>
          <cell r="EP44">
            <v>0.6696082959172871</v>
          </cell>
          <cell r="FB44">
            <v>0</v>
          </cell>
          <cell r="FH44">
            <v>4.6424297924721365E-3</v>
          </cell>
          <cell r="FN44">
            <v>2.1114628423898074E-3</v>
          </cell>
          <cell r="GL44">
            <v>9.0916758817356821E-2</v>
          </cell>
        </row>
        <row r="45">
          <cell r="E45">
            <v>1.0115331817406539</v>
          </cell>
          <cell r="AA45">
            <v>1.426052141458538E-2</v>
          </cell>
          <cell r="AB45">
            <v>1.0206288123442264E-2</v>
          </cell>
          <cell r="AC45">
            <v>5.1024151452718084E-3</v>
          </cell>
          <cell r="AD45">
            <v>47625.321177828766</v>
          </cell>
          <cell r="AE45">
            <v>37350.883172110021</v>
          </cell>
          <cell r="AL45">
            <v>0.12154459803621613</v>
          </cell>
          <cell r="AW45">
            <v>0</v>
          </cell>
          <cell r="BH45">
            <v>0.20506265252869638</v>
          </cell>
          <cell r="BT45">
            <v>0.130079009377357</v>
          </cell>
          <cell r="CE45">
            <v>0.14007861643170061</v>
          </cell>
          <cell r="EJ45">
            <v>0</v>
          </cell>
          <cell r="EP45">
            <v>0.67474320624570194</v>
          </cell>
          <cell r="FB45">
            <v>0</v>
          </cell>
          <cell r="FH45">
            <v>5.0368485061183348E-3</v>
          </cell>
          <cell r="FN45">
            <v>2.2908517605717367E-3</v>
          </cell>
          <cell r="GL45">
            <v>9.3208249292362225E-2</v>
          </cell>
        </row>
        <row r="46">
          <cell r="E46">
            <v>1.0132658779235935</v>
          </cell>
          <cell r="AA46">
            <v>1.5485080312940861E-2</v>
          </cell>
          <cell r="AB46">
            <v>1.1122815733105348E-2</v>
          </cell>
          <cell r="AC46">
            <v>5.6281986098802635E-3</v>
          </cell>
          <cell r="AD46">
            <v>58215.862926998576</v>
          </cell>
          <cell r="AE46">
            <v>45457.13536964712</v>
          </cell>
          <cell r="AL46">
            <v>0.12251428358318156</v>
          </cell>
          <cell r="AW46">
            <v>0</v>
          </cell>
          <cell r="BH46">
            <v>0.20475334545502924</v>
          </cell>
          <cell r="BT46">
            <v>0.13174468054964242</v>
          </cell>
          <cell r="CE46">
            <v>0.13966579565884177</v>
          </cell>
          <cell r="EJ46">
            <v>0</v>
          </cell>
          <cell r="EP46">
            <v>0.68030013309927373</v>
          </cell>
          <cell r="FB46">
            <v>0</v>
          </cell>
          <cell r="FH46">
            <v>5.4693654862848027E-3</v>
          </cell>
          <cell r="FN46">
            <v>2.4875684742644245E-3</v>
          </cell>
          <cell r="GL46">
            <v>9.5501462071876278E-2</v>
          </cell>
        </row>
        <row r="47">
          <cell r="E47">
            <v>1.0152548602995473</v>
          </cell>
          <cell r="AA47">
            <v>1.6834709385854102E-2</v>
          </cell>
          <cell r="AB47">
            <v>1.2132360565904252E-2</v>
          </cell>
          <cell r="AC47">
            <v>6.1936183062262073E-3</v>
          </cell>
          <cell r="AD47">
            <v>70527.865089890023</v>
          </cell>
          <cell r="AE47">
            <v>55685.395481715692</v>
          </cell>
          <cell r="AL47">
            <v>0.12358300784587394</v>
          </cell>
          <cell r="AW47">
            <v>0</v>
          </cell>
          <cell r="BH47">
            <v>0.20442819934244916</v>
          </cell>
          <cell r="BT47">
            <v>0.13358576267698305</v>
          </cell>
          <cell r="CE47">
            <v>0.13923185616743222</v>
          </cell>
          <cell r="EJ47">
            <v>0</v>
          </cell>
          <cell r="EP47">
            <v>0.6862251017686517</v>
          </cell>
          <cell r="FB47">
            <v>0</v>
          </cell>
          <cell r="FH47">
            <v>5.9460575357609324E-3</v>
          </cell>
          <cell r="FN47">
            <v>2.7043768256505016E-3</v>
          </cell>
          <cell r="GL47">
            <v>9.779619213627512E-2</v>
          </cell>
        </row>
        <row r="48">
          <cell r="E48">
            <v>1.0175000037987549</v>
          </cell>
          <cell r="AA48">
            <v>1.8236803532568562E-2</v>
          </cell>
          <cell r="AB48">
            <v>1.3150271825903908E-2</v>
          </cell>
          <cell r="AC48">
            <v>6.7634852295934619E-3</v>
          </cell>
          <cell r="AD48">
            <v>85598.690952408782</v>
          </cell>
          <cell r="AE48">
            <v>67132.883061342291</v>
          </cell>
          <cell r="AL48">
            <v>0.12469327737343991</v>
          </cell>
          <cell r="AW48">
            <v>0</v>
          </cell>
          <cell r="BH48">
            <v>0.20412613956630865</v>
          </cell>
          <cell r="BT48">
            <v>0.13470326900284152</v>
          </cell>
          <cell r="CE48">
            <v>0.13882869845794216</v>
          </cell>
          <cell r="EJ48">
            <v>0</v>
          </cell>
          <cell r="EP48">
            <v>0.69216423307522723</v>
          </cell>
          <cell r="FB48">
            <v>0</v>
          </cell>
          <cell r="FH48">
            <v>6.4412803682930564E-3</v>
          </cell>
          <cell r="FN48">
            <v>2.9296133195421611E-3</v>
          </cell>
          <cell r="GL48">
            <v>0.10009109244163891</v>
          </cell>
        </row>
        <row r="49">
          <cell r="E49">
            <v>1.0196509023276068</v>
          </cell>
          <cell r="AA49">
            <v>1.971129358178178E-2</v>
          </cell>
          <cell r="AB49">
            <v>1.4240159231022224E-2</v>
          </cell>
          <cell r="AC49">
            <v>7.3675231548269386E-3</v>
          </cell>
          <cell r="AD49">
            <v>103041.53313098848</v>
          </cell>
          <cell r="AE49">
            <v>81101.047551349955</v>
          </cell>
          <cell r="AL49">
            <v>0.12579363572493379</v>
          </cell>
          <cell r="AW49">
            <v>0</v>
          </cell>
          <cell r="BH49">
            <v>0.20381213458389785</v>
          </cell>
          <cell r="BT49">
            <v>0.13459817372604929</v>
          </cell>
          <cell r="CE49">
            <v>0.13840954250969717</v>
          </cell>
          <cell r="EJ49">
            <v>0</v>
          </cell>
          <cell r="EP49">
            <v>0.69779516833661415</v>
          </cell>
          <cell r="FB49">
            <v>0</v>
          </cell>
          <cell r="FH49">
            <v>6.9620735977797416E-3</v>
          </cell>
          <cell r="FN49">
            <v>3.166479702403227E-3</v>
          </cell>
          <cell r="GL49">
            <v>0.10028203063285514</v>
          </cell>
        </row>
        <row r="50">
          <cell r="E50">
            <v>1.1513352350753092</v>
          </cell>
          <cell r="AA50">
            <v>2.1290456050328151E-2</v>
          </cell>
          <cell r="AB50">
            <v>1.5413420624008873E-2</v>
          </cell>
          <cell r="AC50">
            <v>8.0166796850898708E-3</v>
          </cell>
          <cell r="AD50">
            <v>124128.74327705879</v>
          </cell>
          <cell r="AE50">
            <v>97297.80954536135</v>
          </cell>
          <cell r="AL50">
            <v>0.17003062040457573</v>
          </cell>
          <cell r="AW50">
            <v>0</v>
          </cell>
          <cell r="BH50">
            <v>0.22939804633881644</v>
          </cell>
          <cell r="BT50">
            <v>0.14312631134968334</v>
          </cell>
          <cell r="CE50">
            <v>0.17252352671937954</v>
          </cell>
          <cell r="EJ50">
            <v>0</v>
          </cell>
          <cell r="EP50">
            <v>0.78951700063274677</v>
          </cell>
          <cell r="FB50">
            <v>0</v>
          </cell>
          <cell r="FH50">
            <v>7.5198373631691854E-3</v>
          </cell>
          <cell r="FN50">
            <v>3.4201609680544415E-3</v>
          </cell>
          <cell r="GL50">
            <v>0.10030688050752871</v>
          </cell>
        </row>
        <row r="51">
          <cell r="E51">
            <v>1.1534017219169272</v>
          </cell>
          <cell r="AA51">
            <v>2.2971555339728326E-2</v>
          </cell>
          <cell r="AB51">
            <v>1.6656590682020942E-2</v>
          </cell>
          <cell r="AC51">
            <v>8.6806852394093054E-3</v>
          </cell>
          <cell r="AD51">
            <v>148784.0885736389</v>
          </cell>
          <cell r="AE51">
            <v>116725.08798370686</v>
          </cell>
          <cell r="AL51">
            <v>0.17108374632513212</v>
          </cell>
          <cell r="AW51">
            <v>0</v>
          </cell>
          <cell r="BH51">
            <v>0.22901181713009067</v>
          </cell>
          <cell r="BT51">
            <v>0.1429970686521026</v>
          </cell>
          <cell r="CE51">
            <v>0.17200798964420269</v>
          </cell>
          <cell r="EJ51">
            <v>0</v>
          </cell>
          <cell r="EP51">
            <v>0.79508076883709444</v>
          </cell>
          <cell r="FB51">
            <v>0</v>
          </cell>
          <cell r="FH51">
            <v>8.113605444874215E-3</v>
          </cell>
          <cell r="FN51">
            <v>3.6902176619758439E-3</v>
          </cell>
          <cell r="GL51">
            <v>0.10033229880656472</v>
          </cell>
        </row>
        <row r="52">
          <cell r="E52">
            <v>1.1558655143975964</v>
          </cell>
          <cell r="AA52">
            <v>2.4778486076637227E-2</v>
          </cell>
          <cell r="AB52">
            <v>1.7983494424240479E-2</v>
          </cell>
          <cell r="AC52">
            <v>9.3922931822289363E-3</v>
          </cell>
          <cell r="AD52">
            <v>178200.20301739624</v>
          </cell>
          <cell r="AE52">
            <v>139541.754559786</v>
          </cell>
          <cell r="AL52">
            <v>0.172231874628829</v>
          </cell>
          <cell r="AW52">
            <v>0</v>
          </cell>
          <cell r="BH52">
            <v>0.22864509173797223</v>
          </cell>
          <cell r="BT52">
            <v>0.1428743272267243</v>
          </cell>
          <cell r="CE52">
            <v>0.17151845765783569</v>
          </cell>
          <cell r="EJ52">
            <v>0</v>
          </cell>
          <cell r="EP52">
            <v>0.80122274072688038</v>
          </cell>
          <cell r="FB52">
            <v>0</v>
          </cell>
          <cell r="FH52">
            <v>8.7518174792217338E-3</v>
          </cell>
          <cell r="FN52">
            <v>3.9804882866982493E-3</v>
          </cell>
          <cell r="GL52">
            <v>0.10035953933696287</v>
          </cell>
        </row>
        <row r="53">
          <cell r="E53">
            <v>1.1585813034777153</v>
          </cell>
          <cell r="AA53">
            <v>2.6721242704170381E-2</v>
          </cell>
          <cell r="AB53">
            <v>1.9344644338780373E-2</v>
          </cell>
          <cell r="AC53">
            <v>1.0147388733525E-2</v>
          </cell>
          <cell r="AD53">
            <v>213136.97112995631</v>
          </cell>
          <cell r="AE53">
            <v>166264.43322629266</v>
          </cell>
          <cell r="AL53">
            <v>0.17339075714882429</v>
          </cell>
          <cell r="AW53">
            <v>0</v>
          </cell>
          <cell r="BH53">
            <v>0.22826404611149262</v>
          </cell>
          <cell r="BT53">
            <v>0.14274681238989229</v>
          </cell>
          <cell r="CE53">
            <v>0.17100983202565381</v>
          </cell>
          <cell r="EJ53">
            <v>0</v>
          </cell>
          <cell r="EP53">
            <v>0.80787093080138361</v>
          </cell>
          <cell r="FB53">
            <v>0</v>
          </cell>
          <cell r="FH53">
            <v>9.4380035261872799E-3</v>
          </cell>
          <cell r="FN53">
            <v>4.2925783787193432E-3</v>
          </cell>
          <cell r="GL53">
            <v>0.10038844458391259</v>
          </cell>
        </row>
        <row r="54">
          <cell r="E54">
            <v>1.4812388592837014</v>
          </cell>
          <cell r="AA54">
            <v>2.8747540515055452E-2</v>
          </cell>
          <cell r="AB54">
            <v>2.0800750768747951E-2</v>
          </cell>
          <cell r="AC54">
            <v>1.1002935353634041E-2</v>
          </cell>
          <cell r="AD54">
            <v>254069.69861913376</v>
          </cell>
          <cell r="AE54">
            <v>198503.08563510125</v>
          </cell>
          <cell r="AL54">
            <v>0.19584708891000058</v>
          </cell>
          <cell r="AW54">
            <v>0</v>
          </cell>
          <cell r="BH54">
            <v>0.22789606752076255</v>
          </cell>
          <cell r="BT54">
            <v>0.14262365323164344</v>
          </cell>
          <cell r="CE54">
            <v>0.17051862910780458</v>
          </cell>
          <cell r="EJ54">
            <v>0</v>
          </cell>
          <cell r="EP54">
            <v>0.81467050010974806</v>
          </cell>
          <cell r="FB54">
            <v>0</v>
          </cell>
          <cell r="FH54">
            <v>1.0153696508581925E-2</v>
          </cell>
          <cell r="FN54">
            <v>4.6180887701389043E-3</v>
          </cell>
          <cell r="GL54">
            <v>0.10042119512295208</v>
          </cell>
        </row>
        <row r="55">
          <cell r="E55">
            <v>1.4835239777358002</v>
          </cell>
          <cell r="AA55">
            <v>3.0913783965723512E-2</v>
          </cell>
          <cell r="AB55">
            <v>2.2431091678354057E-2</v>
          </cell>
          <cell r="AC55">
            <v>1.1937318907298194E-2</v>
          </cell>
          <cell r="AD55">
            <v>303329.79246610135</v>
          </cell>
          <cell r="AE55">
            <v>236166.55646684361</v>
          </cell>
          <cell r="AL55">
            <v>0.19698247329270824</v>
          </cell>
          <cell r="AW55">
            <v>0</v>
          </cell>
          <cell r="BH55">
            <v>0.2275337350264191</v>
          </cell>
          <cell r="BT55">
            <v>0.14250221443603536</v>
          </cell>
          <cell r="CE55">
            <v>0.17003477156165828</v>
          </cell>
          <cell r="EJ55">
            <v>0</v>
          </cell>
          <cell r="EP55">
            <v>0.82146066776159854</v>
          </cell>
          <cell r="FB55">
            <v>0</v>
          </cell>
          <cell r="FH55">
            <v>1.0918818608340947E-2</v>
          </cell>
          <cell r="FN55">
            <v>4.96608043738007E-3</v>
          </cell>
          <cell r="GL55">
            <v>0.10045696355956658</v>
          </cell>
        </row>
        <row r="56">
          <cell r="E56">
            <v>1.4859833587116857</v>
          </cell>
          <cell r="AA56">
            <v>3.3215073928513875E-2</v>
          </cell>
          <cell r="AB56">
            <v>2.4181575453734328E-2</v>
          </cell>
          <cell r="AC56">
            <v>1.289576999760191E-2</v>
          </cell>
          <cell r="AD56">
            <v>360167.40306323121</v>
          </cell>
          <cell r="AE56">
            <v>278898.40274938935</v>
          </cell>
          <cell r="AL56">
            <v>0.19818380687817949</v>
          </cell>
          <cell r="AW56">
            <v>0</v>
          </cell>
          <cell r="BH56">
            <v>0.22715776816400632</v>
          </cell>
          <cell r="BT56">
            <v>0.14237619570086374</v>
          </cell>
          <cell r="CE56">
            <v>0.1695326951230694</v>
          </cell>
          <cell r="EJ56">
            <v>0</v>
          </cell>
          <cell r="EP56">
            <v>0.82864743889933001</v>
          </cell>
          <cell r="FB56">
            <v>0</v>
          </cell>
          <cell r="FH56">
            <v>1.1731639442463495E-2</v>
          </cell>
          <cell r="FN56">
            <v>5.3357663702837833E-3</v>
          </cell>
          <cell r="GL56">
            <v>0.10049365330751558</v>
          </cell>
        </row>
        <row r="57">
          <cell r="E57">
            <v>1.4892332565125141</v>
          </cell>
          <cell r="AA57">
            <v>3.5872241821604652E-2</v>
          </cell>
          <cell r="AB57">
            <v>2.6139627731014831E-2</v>
          </cell>
          <cell r="AC57">
            <v>1.3951704997324944E-2</v>
          </cell>
          <cell r="AD57">
            <v>429230.83988794812</v>
          </cell>
          <cell r="AE57">
            <v>331241.21989629749</v>
          </cell>
          <cell r="AL57">
            <v>0.19959826414043091</v>
          </cell>
          <cell r="AW57">
            <v>0</v>
          </cell>
          <cell r="BH57">
            <v>0.22677802979792491</v>
          </cell>
          <cell r="BT57">
            <v>0.14224891979780255</v>
          </cell>
          <cell r="CE57">
            <v>0.16902559001292239</v>
          </cell>
          <cell r="EJ57">
            <v>0</v>
          </cell>
          <cell r="EP57">
            <v>0.83712789969557422</v>
          </cell>
          <cell r="FB57">
            <v>0</v>
          </cell>
          <cell r="FH57">
            <v>1.2670157168689919E-2</v>
          </cell>
          <cell r="FN57">
            <v>5.7626215720715558E-3</v>
          </cell>
          <cell r="GL57">
            <v>0.1005340747639491</v>
          </cell>
        </row>
        <row r="58">
          <cell r="E58">
            <v>1.4927524934183822</v>
          </cell>
          <cell r="AA58">
            <v>3.8749625631048848E-2</v>
          </cell>
          <cell r="AB58">
            <v>2.816459095477726E-2</v>
          </cell>
          <cell r="AC58">
            <v>1.5071837857051594E-2</v>
          </cell>
          <cell r="AD58">
            <v>508972.12115260505</v>
          </cell>
          <cell r="AE58">
            <v>395545.61912195728</v>
          </cell>
          <cell r="AL58">
            <v>0.20112994621296229</v>
          </cell>
          <cell r="AW58">
            <v>0</v>
          </cell>
          <cell r="BH58">
            <v>0.22636664701107298</v>
          </cell>
          <cell r="BT58">
            <v>0.14211109575448452</v>
          </cell>
          <cell r="CE58">
            <v>0.16847629234174796</v>
          </cell>
          <cell r="EJ58">
            <v>0</v>
          </cell>
          <cell r="EP58">
            <v>0.84581774332974891</v>
          </cell>
          <cell r="FB58">
            <v>0</v>
          </cell>
          <cell r="FH58">
            <v>1.3686455656016262E-2</v>
          </cell>
          <cell r="FN58">
            <v>6.2248529010721929E-3</v>
          </cell>
          <cell r="GL58">
            <v>0.10057695373055317</v>
          </cell>
        </row>
        <row r="59">
          <cell r="E59">
            <v>1.4966921795625756</v>
          </cell>
          <cell r="AA59">
            <v>4.1626475245508485E-2</v>
          </cell>
          <cell r="AB59">
            <v>3.026793955120554E-2</v>
          </cell>
          <cell r="AC59">
            <v>1.619898078910861E-2</v>
          </cell>
          <cell r="AD59">
            <v>604282.36863504851</v>
          </cell>
          <cell r="AE59">
            <v>470405.26652799756</v>
          </cell>
          <cell r="AL59">
            <v>0.20268678997805667</v>
          </cell>
          <cell r="AW59">
            <v>0</v>
          </cell>
          <cell r="BH59">
            <v>0.22601391980163918</v>
          </cell>
          <cell r="BT59">
            <v>0.14199260899713989</v>
          </cell>
          <cell r="CE59">
            <v>0.16800495954616085</v>
          </cell>
          <cell r="EJ59">
            <v>0</v>
          </cell>
          <cell r="EP59">
            <v>0.85454905633360501</v>
          </cell>
          <cell r="FB59">
            <v>0</v>
          </cell>
          <cell r="FH59">
            <v>1.4702565464462525E-2</v>
          </cell>
          <cell r="FN59">
            <v>6.6869984154321665E-3</v>
          </cell>
          <cell r="GL59">
            <v>0.10062010104448295</v>
          </cell>
        </row>
        <row r="60">
          <cell r="E60">
            <v>1.5008747107846194</v>
          </cell>
          <cell r="AA60">
            <v>4.4671216441677743E-2</v>
          </cell>
          <cell r="AB60">
            <v>3.2484115154422163E-2</v>
          </cell>
          <cell r="AC60">
            <v>1.741314183148461E-2</v>
          </cell>
          <cell r="AD60">
            <v>715733.83487647865</v>
          </cell>
          <cell r="AE60">
            <v>555852.73748842615</v>
          </cell>
          <cell r="AL60">
            <v>0.20413024466660895</v>
          </cell>
          <cell r="AW60">
            <v>0</v>
          </cell>
          <cell r="BH60">
            <v>0.22564287193122234</v>
          </cell>
          <cell r="BT60">
            <v>0.1418679523429642</v>
          </cell>
          <cell r="CE60">
            <v>0.16750912797408526</v>
          </cell>
          <cell r="EJ60">
            <v>0</v>
          </cell>
          <cell r="EP60">
            <v>0.85952706605533336</v>
          </cell>
          <cell r="FB60">
            <v>0</v>
          </cell>
          <cell r="FH60">
            <v>1.5777974960342302E-2</v>
          </cell>
          <cell r="FN60">
            <v>7.1761145232482311E-3</v>
          </cell>
          <cell r="GL60">
            <v>0.1006665794334847</v>
          </cell>
        </row>
        <row r="61">
          <cell r="E61">
            <v>1.5067757916416973</v>
          </cell>
          <cell r="AA61">
            <v>4.7946069007601975E-2</v>
          </cell>
          <cell r="AB61">
            <v>3.4857566820495928E-2</v>
          </cell>
          <cell r="AC61">
            <v>1.8715080789731813E-2</v>
          </cell>
          <cell r="AD61">
            <v>847273.66479524621</v>
          </cell>
          <cell r="AE61">
            <v>654983.73468984966</v>
          </cell>
          <cell r="AL61">
            <v>0.2056579173467718</v>
          </cell>
          <cell r="AW61">
            <v>0</v>
          </cell>
          <cell r="BH61">
            <v>0.22528046887638195</v>
          </cell>
          <cell r="BT61">
            <v>0.14174617729398065</v>
          </cell>
          <cell r="CE61">
            <v>0.16702482282277825</v>
          </cell>
          <cell r="EJ61">
            <v>0</v>
          </cell>
          <cell r="EP61">
            <v>0.8638989678005734</v>
          </cell>
          <cell r="FB61">
            <v>0</v>
          </cell>
          <cell r="FH61">
            <v>1.6934660313906065E-2</v>
          </cell>
          <cell r="FN61">
            <v>7.7021963927784223E-3</v>
          </cell>
          <cell r="GL61">
            <v>0.10071641798310535</v>
          </cell>
        </row>
        <row r="62">
          <cell r="E62">
            <v>1.5142139105760222</v>
          </cell>
          <cell r="AA62">
            <v>5.1484844788755216E-2</v>
          </cell>
          <cell r="AB62">
            <v>3.7414861795317576E-2</v>
          </cell>
          <cell r="AC62">
            <v>2.0141411992491854E-2</v>
          </cell>
          <cell r="AD62">
            <v>1003433.9423254877</v>
          </cell>
          <cell r="AE62">
            <v>775040.73965513112</v>
          </cell>
          <cell r="AL62">
            <v>0.20732026650270138</v>
          </cell>
          <cell r="AW62">
            <v>0</v>
          </cell>
          <cell r="BH62">
            <v>0.22491174396318794</v>
          </cell>
          <cell r="BT62">
            <v>0.14162229495887924</v>
          </cell>
          <cell r="CE62">
            <v>0.1665320885269998</v>
          </cell>
          <cell r="EJ62">
            <v>0</v>
          </cell>
          <cell r="EP62">
            <v>0.86870027161753527</v>
          </cell>
          <cell r="FB62">
            <v>0</v>
          </cell>
          <cell r="FH62">
            <v>1.818456394565961E-2</v>
          </cell>
          <cell r="FN62">
            <v>8.2706756575149868E-3</v>
          </cell>
          <cell r="GL62">
            <v>0.10077101829902183</v>
          </cell>
        </row>
        <row r="63">
          <cell r="E63">
            <v>1.5222512667629595</v>
          </cell>
          <cell r="AA63">
            <v>5.5271512439181943E-2</v>
          </cell>
          <cell r="AB63">
            <v>4.0195800587592985E-2</v>
          </cell>
          <cell r="AC63">
            <v>2.1658258607120642E-2</v>
          </cell>
          <cell r="AD63">
            <v>1184828.8792805495</v>
          </cell>
          <cell r="AE63">
            <v>913278.50496593153</v>
          </cell>
          <cell r="AL63">
            <v>0.20910427655803621</v>
          </cell>
          <cell r="AW63">
            <v>0</v>
          </cell>
          <cell r="BH63">
            <v>0.2245274112056686</v>
          </cell>
          <cell r="BT63">
            <v>0.14149321000900272</v>
          </cell>
          <cell r="CE63">
            <v>0.16601854377212086</v>
          </cell>
          <cell r="EJ63">
            <v>0</v>
          </cell>
          <cell r="EP63">
            <v>1.0813387113080235</v>
          </cell>
          <cell r="FB63">
            <v>0</v>
          </cell>
          <cell r="FH63">
            <v>1.9522023547852773E-2</v>
          </cell>
          <cell r="FN63">
            <v>8.8789769952772792E-3</v>
          </cell>
          <cell r="GL63">
            <v>0.10082908356759009</v>
          </cell>
        </row>
        <row r="64">
          <cell r="E64">
            <v>1.5311464690996721</v>
          </cell>
          <cell r="AA64">
            <v>5.9374791797907799E-2</v>
          </cell>
          <cell r="AB64">
            <v>4.3163029989088504E-2</v>
          </cell>
          <cell r="AC64">
            <v>2.3330584312724036E-2</v>
          </cell>
          <cell r="AD64">
            <v>1402852.0440305527</v>
          </cell>
          <cell r="AE64">
            <v>1077804.4546652236</v>
          </cell>
          <cell r="AL64">
            <v>0.21104983999147897</v>
          </cell>
          <cell r="AW64">
            <v>0</v>
          </cell>
          <cell r="BH64">
            <v>0.22413547586370464</v>
          </cell>
          <cell r="BT64">
            <v>0.1413615908643113</v>
          </cell>
          <cell r="CE64">
            <v>0.1654948622379824</v>
          </cell>
          <cell r="EJ64">
            <v>0</v>
          </cell>
          <cell r="EP64">
            <v>1.0860709357025704</v>
          </cell>
          <cell r="FB64">
            <v>0</v>
          </cell>
          <cell r="FH64">
            <v>2.0971311123484205E-2</v>
          </cell>
          <cell r="FN64">
            <v>9.5381397614746396E-3</v>
          </cell>
          <cell r="GL64">
            <v>0.10089310061472787</v>
          </cell>
        </row>
        <row r="65">
          <cell r="E65">
            <v>1.5400750937537988</v>
          </cell>
          <cell r="AA65">
            <v>6.3732663963401645E-2</v>
          </cell>
          <cell r="AB65">
            <v>4.6374247639186954E-2</v>
          </cell>
          <cell r="AC65">
            <v>2.5185958506931245E-2</v>
          </cell>
          <cell r="AD65">
            <v>1653876.0839082489</v>
          </cell>
          <cell r="AE65">
            <v>1271777.7361887132</v>
          </cell>
          <cell r="AL65">
            <v>0.21183723445260411</v>
          </cell>
          <cell r="AW65">
            <v>0</v>
          </cell>
          <cell r="BH65">
            <v>0.22372954989630617</v>
          </cell>
          <cell r="BT65">
            <v>0.14122482296840275</v>
          </cell>
          <cell r="CE65">
            <v>0.16495197803900899</v>
          </cell>
          <cell r="EJ65">
            <v>0</v>
          </cell>
          <cell r="EP65">
            <v>1.0904528245662175</v>
          </cell>
          <cell r="FB65">
            <v>0</v>
          </cell>
          <cell r="FH65">
            <v>2.2510521455875863E-2</v>
          </cell>
          <cell r="FN65">
            <v>1.0238201058844699E-2</v>
          </cell>
          <cell r="GL65">
            <v>0.100964124803886</v>
          </cell>
        </row>
        <row r="66">
          <cell r="E66">
            <v>1.5501474129187061</v>
          </cell>
          <cell r="AA66">
            <v>6.8485880658513479E-2</v>
          </cell>
          <cell r="AB66">
            <v>4.9901230930588902E-2</v>
          </cell>
          <cell r="AC66">
            <v>2.7118775908870133E-2</v>
          </cell>
          <cell r="AD66">
            <v>1955725.8473597507</v>
          </cell>
          <cell r="AE66">
            <v>1500718.4440349236</v>
          </cell>
          <cell r="AL66">
            <v>0.21163998363518105</v>
          </cell>
          <cell r="AW66">
            <v>0</v>
          </cell>
          <cell r="BH66">
            <v>0.22333945016597798</v>
          </cell>
          <cell r="BT66">
            <v>0.14109332242345404</v>
          </cell>
          <cell r="CE66">
            <v>0.16443018637657913</v>
          </cell>
          <cell r="EJ66">
            <v>0</v>
          </cell>
          <cell r="EP66">
            <v>1.0954630697265639</v>
          </cell>
          <cell r="FB66">
            <v>0</v>
          </cell>
          <cell r="FH66">
            <v>2.4189368372759572E-2</v>
          </cell>
          <cell r="FN66">
            <v>1.1001771654744434E-2</v>
          </cell>
          <cell r="GL66">
            <v>0.10103811353844533</v>
          </cell>
        </row>
        <row r="67">
          <cell r="E67">
            <v>1.5606822275174475</v>
          </cell>
          <cell r="AA67">
            <v>7.3633110785650754E-2</v>
          </cell>
          <cell r="AB67">
            <v>5.3715985922744805E-2</v>
          </cell>
          <cell r="AC67">
            <v>2.9337594238105159E-2</v>
          </cell>
          <cell r="AD67">
            <v>2304967.7598989122</v>
          </cell>
          <cell r="AE67">
            <v>1772422.0626359158</v>
          </cell>
          <cell r="AL67">
            <v>0.21142748041466095</v>
          </cell>
          <cell r="AW67">
            <v>0</v>
          </cell>
          <cell r="BH67">
            <v>0.22291884562945566</v>
          </cell>
          <cell r="BT67">
            <v>0.14095165360977396</v>
          </cell>
          <cell r="CE67">
            <v>0.16386772163922383</v>
          </cell>
          <cell r="EJ67">
            <v>0</v>
          </cell>
          <cell r="EP67">
            <v>1.1008996196329179</v>
          </cell>
          <cell r="FB67">
            <v>0</v>
          </cell>
          <cell r="FH67">
            <v>2.6007381727446748E-2</v>
          </cell>
          <cell r="FN67">
            <v>1.1828637717773529E-2</v>
          </cell>
          <cell r="GL67">
            <v>0.10112305046018066</v>
          </cell>
        </row>
        <row r="68">
          <cell r="E68">
            <v>1.5724316531048586</v>
          </cell>
          <cell r="AA68">
            <v>7.9130992011151965E-2</v>
          </cell>
          <cell r="AB68">
            <v>5.784401982487325E-2</v>
          </cell>
          <cell r="AC68">
            <v>3.1635073249225876E-2</v>
          </cell>
          <cell r="AD68">
            <v>2721569.8508652453</v>
          </cell>
          <cell r="AE68">
            <v>2092025.6181244943</v>
          </cell>
          <cell r="AL68">
            <v>0.21123068305376042</v>
          </cell>
          <cell r="AW68">
            <v>0</v>
          </cell>
          <cell r="BH68">
            <v>0.22252965281217252</v>
          </cell>
          <cell r="BT68">
            <v>0.14082045536917359</v>
          </cell>
          <cell r="CE68">
            <v>0.16334713919418736</v>
          </cell>
          <cell r="EJ68">
            <v>0</v>
          </cell>
          <cell r="EP68">
            <v>1.1070083551080909</v>
          </cell>
          <cell r="FB68">
            <v>0</v>
          </cell>
          <cell r="FH68">
            <v>2.7949245845343515E-2</v>
          </cell>
          <cell r="FN68">
            <v>1.271183339615679E-2</v>
          </cell>
          <cell r="GL68">
            <v>0.10121099853253293</v>
          </cell>
        </row>
        <row r="69">
          <cell r="E69">
            <v>1.5871484600346095</v>
          </cell>
          <cell r="AA69">
            <v>8.5086806916742072E-2</v>
          </cell>
          <cell r="AB69">
            <v>6.2276686077009369E-2</v>
          </cell>
          <cell r="AC69">
            <v>3.4028632429084396E-2</v>
          </cell>
          <cell r="AD69">
            <v>3206089.1725691287</v>
          </cell>
          <cell r="AE69">
            <v>2472400.6456532576</v>
          </cell>
          <cell r="AL69">
            <v>0.21101749389827346</v>
          </cell>
          <cell r="AW69">
            <v>0</v>
          </cell>
          <cell r="BH69">
            <v>0.22210767640571655</v>
          </cell>
          <cell r="BT69">
            <v>0.14067832926551563</v>
          </cell>
          <cell r="CE69">
            <v>0.16278284529692044</v>
          </cell>
          <cell r="EJ69">
            <v>0</v>
          </cell>
          <cell r="EP69">
            <v>1.1115464286761632</v>
          </cell>
          <cell r="FB69">
            <v>0</v>
          </cell>
          <cell r="FH69">
            <v>3.00528531776292E-2</v>
          </cell>
          <cell r="FN69">
            <v>1.3668592876785301E-2</v>
          </cell>
          <cell r="GL69">
            <v>0.10130262457782462</v>
          </cell>
        </row>
        <row r="70">
          <cell r="E70">
            <v>1.6034309528643258</v>
          </cell>
          <cell r="AA70">
            <v>9.1555537999298053E-2</v>
          </cell>
          <cell r="AB70">
            <v>6.6958146845730385E-2</v>
          </cell>
          <cell r="AC70">
            <v>3.643650339310716E-2</v>
          </cell>
          <cell r="AD70">
            <v>3781593.2512658541</v>
          </cell>
          <cell r="AE70">
            <v>2911658.200735522</v>
          </cell>
          <cell r="AL70">
            <v>0.21081577556044195</v>
          </cell>
          <cell r="AW70">
            <v>0</v>
          </cell>
          <cell r="BH70">
            <v>0.22170901914402158</v>
          </cell>
          <cell r="BT70">
            <v>0.14054385037362799</v>
          </cell>
          <cell r="CE70">
            <v>0.16224950134273053</v>
          </cell>
          <cell r="EJ70">
            <v>0</v>
          </cell>
          <cell r="EP70">
            <v>1.112686197034273</v>
          </cell>
          <cell r="FB70">
            <v>0</v>
          </cell>
          <cell r="FH70">
            <v>3.2337623666899608E-2</v>
          </cell>
          <cell r="FN70">
            <v>1.4707748708351322E-2</v>
          </cell>
          <cell r="GL70">
            <v>0.10139479848180101</v>
          </cell>
        </row>
        <row r="71">
          <cell r="E71">
            <v>1.6199513502427867</v>
          </cell>
          <cell r="AA71">
            <v>9.8389988903749281E-2</v>
          </cell>
          <cell r="AB71">
            <v>7.1671529158756506E-2</v>
          </cell>
          <cell r="AC71">
            <v>3.914470859963487E-2</v>
          </cell>
          <cell r="AD71">
            <v>4455318.5368441576</v>
          </cell>
          <cell r="AE71">
            <v>3440873.8015737273</v>
          </cell>
          <cell r="AL71">
            <v>0.21060473797956888</v>
          </cell>
          <cell r="AW71">
            <v>0</v>
          </cell>
          <cell r="BH71">
            <v>0.22129306974942933</v>
          </cell>
          <cell r="BT71">
            <v>0.14040315865304592</v>
          </cell>
          <cell r="CE71">
            <v>0.16169259388985391</v>
          </cell>
          <cell r="EJ71">
            <v>0</v>
          </cell>
          <cell r="EP71">
            <v>1.1137945267760396</v>
          </cell>
          <cell r="FB71">
            <v>0</v>
          </cell>
          <cell r="FH71">
            <v>3.4751567226706338E-2</v>
          </cell>
          <cell r="FN71">
            <v>1.5805654838977782E-2</v>
          </cell>
          <cell r="GL71">
            <v>0.10284958888167649</v>
          </cell>
        </row>
        <row r="72">
          <cell r="E72">
            <v>1.6351292173022798</v>
          </cell>
          <cell r="AA72">
            <v>0.10539088155733002</v>
          </cell>
          <cell r="AB72">
            <v>7.6719759808113935E-2</v>
          </cell>
          <cell r="AC72">
            <v>4.1984170421890885E-2</v>
          </cell>
          <cell r="AD72">
            <v>5249406.9213503525</v>
          </cell>
          <cell r="AE72">
            <v>4060012.8237333689</v>
          </cell>
          <cell r="AL72">
            <v>0.21041372599319927</v>
          </cell>
          <cell r="AW72">
            <v>0</v>
          </cell>
          <cell r="BH72">
            <v>0.22091717154384408</v>
          </cell>
          <cell r="BT72">
            <v>0.14027581732879951</v>
          </cell>
          <cell r="CE72">
            <v>0.24174072267991889</v>
          </cell>
          <cell r="EJ72">
            <v>0</v>
          </cell>
          <cell r="EP72">
            <v>1.1160203182794777</v>
          </cell>
          <cell r="FB72">
            <v>0</v>
          </cell>
          <cell r="FH72">
            <v>3.7224298389791098E-2</v>
          </cell>
          <cell r="FN72">
            <v>1.6930298657725232E-2</v>
          </cell>
          <cell r="GL72">
            <v>0.10529031487250336</v>
          </cell>
        </row>
        <row r="73">
          <cell r="E73">
            <v>1.6490574178548179</v>
          </cell>
          <cell r="AA73">
            <v>0.11261909667889911</v>
          </cell>
          <cell r="AB73">
            <v>8.2240439310449553E-2</v>
          </cell>
          <cell r="AC73">
            <v>4.4987544159102326E-2</v>
          </cell>
          <cell r="AD73">
            <v>6183671.4990327684</v>
          </cell>
          <cell r="AE73">
            <v>4767922.9189802157</v>
          </cell>
          <cell r="AL73">
            <v>0.21022116961709808</v>
          </cell>
          <cell r="AW73">
            <v>0</v>
          </cell>
          <cell r="BH73">
            <v>0.22053818455879567</v>
          </cell>
          <cell r="BT73">
            <v>0.1401474464113987</v>
          </cell>
          <cell r="CE73">
            <v>0.24097635660496577</v>
          </cell>
          <cell r="EJ73">
            <v>0</v>
          </cell>
          <cell r="EP73">
            <v>1.1202334013592599</v>
          </cell>
          <cell r="FB73">
            <v>0</v>
          </cell>
          <cell r="FH73">
            <v>3.9777320364130724E-2</v>
          </cell>
          <cell r="FN73">
            <v>1.8091460220871294E-2</v>
          </cell>
          <cell r="GL73">
            <v>0.10773731545251522</v>
          </cell>
        </row>
        <row r="74">
          <cell r="E74">
            <v>1.6648806206788378</v>
          </cell>
          <cell r="AA74">
            <v>0.12084640664869251</v>
          </cell>
          <cell r="AB74">
            <v>8.8250358615747704E-2</v>
          </cell>
          <cell r="AC74">
            <v>4.8195892812552828E-2</v>
          </cell>
          <cell r="AD74">
            <v>7277034.826449574</v>
          </cell>
          <cell r="AE74">
            <v>5579314.6280572703</v>
          </cell>
          <cell r="AL74">
            <v>0.21002101803876466</v>
          </cell>
          <cell r="AW74">
            <v>0</v>
          </cell>
          <cell r="BH74">
            <v>0.22014414902534071</v>
          </cell>
          <cell r="BT74">
            <v>0.1400140120258431</v>
          </cell>
          <cell r="CE74">
            <v>0.24018174540948692</v>
          </cell>
          <cell r="EJ74">
            <v>0</v>
          </cell>
          <cell r="EP74">
            <v>1.1252190254859706</v>
          </cell>
          <cell r="FB74">
            <v>0</v>
          </cell>
          <cell r="FH74">
            <v>4.2683224904783962E-2</v>
          </cell>
          <cell r="FN74">
            <v>1.9413119294977358E-2</v>
          </cell>
          <cell r="GL74">
            <v>0.11019216252369263</v>
          </cell>
        </row>
        <row r="75">
          <cell r="E75">
            <v>1.6787509761792068</v>
          </cell>
          <cell r="AA75">
            <v>0.12990238718347497</v>
          </cell>
          <cell r="AB75">
            <v>9.4650821427821108E-2</v>
          </cell>
          <cell r="AC75">
            <v>5.1752776335462901E-2</v>
          </cell>
          <cell r="AD75">
            <v>8497605.4805645794</v>
          </cell>
          <cell r="AE75">
            <v>6568161.5539876921</v>
          </cell>
          <cell r="AL75">
            <v>0.20981287094959242</v>
          </cell>
          <cell r="AW75">
            <v>0</v>
          </cell>
          <cell r="BH75">
            <v>0.2197358332850641</v>
          </cell>
          <cell r="BT75">
            <v>0.13987524729972828</v>
          </cell>
          <cell r="CE75">
            <v>0.23935678860225418</v>
          </cell>
          <cell r="EJ75">
            <v>0</v>
          </cell>
          <cell r="EP75">
            <v>1.1296821756197724</v>
          </cell>
          <cell r="FB75">
            <v>0</v>
          </cell>
          <cell r="FH75">
            <v>4.588181776839434E-2</v>
          </cell>
          <cell r="FN75">
            <v>2.0867898426025908E-2</v>
          </cell>
          <cell r="GL75">
            <v>0.11266035159702463</v>
          </cell>
        </row>
        <row r="76">
          <cell r="E76">
            <v>1.6933938436928919</v>
          </cell>
          <cell r="AA76">
            <v>0.13934524127095307</v>
          </cell>
          <cell r="AB76">
            <v>0.10148406495377438</v>
          </cell>
          <cell r="AC76">
            <v>5.558210394416916E-2</v>
          </cell>
          <cell r="AD76">
            <v>9820220.0002003722</v>
          </cell>
          <cell r="AE76">
            <v>7746976.8824064126</v>
          </cell>
          <cell r="AL76">
            <v>0.20961140216659729</v>
          </cell>
          <cell r="AW76">
            <v>0.15896373911092604</v>
          </cell>
          <cell r="BH76">
            <v>0.21934087415714179</v>
          </cell>
          <cell r="BT76">
            <v>0.13974093477773153</v>
          </cell>
          <cell r="CE76">
            <v>0.23855854501972995</v>
          </cell>
          <cell r="EJ76">
            <v>0</v>
          </cell>
          <cell r="EP76">
            <v>1.1344710570340693</v>
          </cell>
          <cell r="FB76">
            <v>0</v>
          </cell>
          <cell r="FH76">
            <v>4.9217055248235844E-2</v>
          </cell>
          <cell r="FN76">
            <v>0.10186669560862298</v>
          </cell>
          <cell r="GL76">
            <v>0.11513896989824232</v>
          </cell>
        </row>
        <row r="77">
          <cell r="E77">
            <v>1.7088401258639743</v>
          </cell>
          <cell r="AA77">
            <v>0.14916345479546736</v>
          </cell>
          <cell r="AB77">
            <v>0.10873521093241051</v>
          </cell>
          <cell r="AC77">
            <v>5.9620962068760101E-2</v>
          </cell>
          <cell r="AD77">
            <v>11283781.691447802</v>
          </cell>
          <cell r="AE77">
            <v>9033564.39001582</v>
          </cell>
          <cell r="AL77">
            <v>0.20941668163105409</v>
          </cell>
          <cell r="AW77">
            <v>0.15844448434947755</v>
          </cell>
          <cell r="BH77">
            <v>0.21895941152412335</v>
          </cell>
          <cell r="BT77">
            <v>0.13961112108736939</v>
          </cell>
          <cell r="CE77">
            <v>0.23778729442701349</v>
          </cell>
          <cell r="EJ77">
            <v>0</v>
          </cell>
          <cell r="EP77">
            <v>1.1395978671140159</v>
          </cell>
          <cell r="FB77">
            <v>0</v>
          </cell>
          <cell r="FH77">
            <v>5.268487053254383E-2</v>
          </cell>
          <cell r="FN77">
            <v>0.10318429468998996</v>
          </cell>
          <cell r="GL77">
            <v>0.11762560908012176</v>
          </cell>
        </row>
        <row r="78">
          <cell r="E78">
            <v>1.7240321656629021</v>
          </cell>
          <cell r="AA78">
            <v>0.15975133449032827</v>
          </cell>
          <cell r="AB78">
            <v>0.11656133948892002</v>
          </cell>
          <cell r="AC78">
            <v>6.396633500517547E-2</v>
          </cell>
          <cell r="AD78">
            <v>12861051.83914211</v>
          </cell>
          <cell r="AE78">
            <v>10407373.051131623</v>
          </cell>
          <cell r="AL78">
            <v>0.2092164866978877</v>
          </cell>
          <cell r="AW78">
            <v>0.15791063119436718</v>
          </cell>
          <cell r="BH78">
            <v>0.2185684765620686</v>
          </cell>
          <cell r="BT78">
            <v>0.13947765779859181</v>
          </cell>
          <cell r="CE78">
            <v>0.23699555851583126</v>
          </cell>
          <cell r="EJ78">
            <v>0</v>
          </cell>
          <cell r="EP78">
            <v>1.144603639381738</v>
          </cell>
          <cell r="FB78">
            <v>0</v>
          </cell>
          <cell r="FH78">
            <v>5.6424533653800839E-2</v>
          </cell>
          <cell r="FN78">
            <v>0.1046182359933866</v>
          </cell>
          <cell r="GL78">
            <v>0.12012398172581822</v>
          </cell>
        </row>
        <row r="79">
          <cell r="E79">
            <v>1.7407966848491472</v>
          </cell>
          <cell r="AA79">
            <v>0.17159157958673332</v>
          </cell>
          <cell r="AB79">
            <v>0.12518398608287407</v>
          </cell>
          <cell r="AC79">
            <v>6.8765471828446001E-2</v>
          </cell>
          <cell r="AD79">
            <v>14619944.847066386</v>
          </cell>
          <cell r="AE79">
            <v>11930221.034053233</v>
          </cell>
          <cell r="AL79">
            <v>0.20901384916665383</v>
          </cell>
          <cell r="AW79">
            <v>0.15737026444441016</v>
          </cell>
          <cell r="BH79">
            <v>0.21817282767450841</v>
          </cell>
          <cell r="BT79">
            <v>0.13934256611110254</v>
          </cell>
          <cell r="CE79">
            <v>0.23619421603645949</v>
          </cell>
          <cell r="EJ79">
            <v>0</v>
          </cell>
          <cell r="EP79">
            <v>1.1502047315282331</v>
          </cell>
          <cell r="FB79">
            <v>0</v>
          </cell>
          <cell r="FH79">
            <v>6.060653507521499E-2</v>
          </cell>
          <cell r="FN79">
            <v>0.10625010413084145</v>
          </cell>
          <cell r="GL79">
            <v>0.12263972456682824</v>
          </cell>
        </row>
        <row r="80">
          <cell r="E80">
            <v>1.7541096464666919</v>
          </cell>
          <cell r="AA80">
            <v>0.17348211493924148</v>
          </cell>
          <cell r="AB80">
            <v>0.13443262066133607</v>
          </cell>
          <cell r="AC80">
            <v>7.3993123838499847E-2</v>
          </cell>
          <cell r="AD80">
            <v>16505079.696400264</v>
          </cell>
          <cell r="AE80">
            <v>13649650.53493724</v>
          </cell>
          <cell r="AL80">
            <v>0.20880411085265999</v>
          </cell>
          <cell r="AW80">
            <v>0.15681096227375993</v>
          </cell>
          <cell r="BH80">
            <v>0.21776353985862845</v>
          </cell>
          <cell r="BT80">
            <v>0.13920274056843998</v>
          </cell>
          <cell r="CE80">
            <v>0.23536500860076109</v>
          </cell>
          <cell r="EJ80">
            <v>0</v>
          </cell>
          <cell r="EP80">
            <v>1.1562698987326752</v>
          </cell>
          <cell r="FB80">
            <v>0</v>
          </cell>
          <cell r="FH80">
            <v>6.1274276449405224E-2</v>
          </cell>
          <cell r="FN80">
            <v>0.10627415415957846</v>
          </cell>
          <cell r="GL80">
            <v>0.12517187107658512</v>
          </cell>
        </row>
        <row r="81">
          <cell r="E81">
            <v>1.7635763667635189</v>
          </cell>
          <cell r="AA81">
            <v>0.17348211493924148</v>
          </cell>
          <cell r="AB81">
            <v>0.14438081779455164</v>
          </cell>
          <cell r="AC81">
            <v>7.9691823400635284E-2</v>
          </cell>
          <cell r="AD81">
            <v>18613636.732885465</v>
          </cell>
          <cell r="AE81">
            <v>15471823.483480379</v>
          </cell>
          <cell r="AL81">
            <v>0.20860740640238709</v>
          </cell>
          <cell r="AW81">
            <v>0.23442962560954833</v>
          </cell>
          <cell r="BH81">
            <v>0.27598932784168045</v>
          </cell>
          <cell r="BT81">
            <v>0.15860740640238707</v>
          </cell>
          <cell r="CE81">
            <v>0.23458946865126237</v>
          </cell>
          <cell r="EJ81">
            <v>0</v>
          </cell>
          <cell r="EP81">
            <v>1.1626997535332695</v>
          </cell>
          <cell r="FB81">
            <v>0</v>
          </cell>
          <cell r="FH81">
            <v>6.1274276449405224E-2</v>
          </cell>
          <cell r="FN81">
            <v>0.14508348582747266</v>
          </cell>
          <cell r="GL81">
            <v>0.12772204940469215</v>
          </cell>
        </row>
        <row r="82">
          <cell r="E82">
            <v>1.773434565670815</v>
          </cell>
          <cell r="AA82">
            <v>0.17348211493924148</v>
          </cell>
          <cell r="AB82">
            <v>0.15514373758331265</v>
          </cell>
          <cell r="AC82">
            <v>8.5335216278119158E-2</v>
          </cell>
          <cell r="AD82">
            <v>20874750.54050846</v>
          </cell>
          <cell r="AE82">
            <v>17526673.369930595</v>
          </cell>
          <cell r="AL82">
            <v>0.20839503885713434</v>
          </cell>
          <cell r="AW82">
            <v>0.23358015542853738</v>
          </cell>
          <cell r="BH82">
            <v>0.27536401568713292</v>
          </cell>
          <cell r="BT82">
            <v>0.15839503885713435</v>
          </cell>
          <cell r="CE82">
            <v>0.23375127632184428</v>
          </cell>
          <cell r="EJ82">
            <v>0</v>
          </cell>
          <cell r="EP82">
            <v>1.1697066765410034</v>
          </cell>
          <cell r="FB82">
            <v>0</v>
          </cell>
          <cell r="FH82">
            <v>6.1274276449405224E-2</v>
          </cell>
          <cell r="FN82">
            <v>0.14465875073696718</v>
          </cell>
          <cell r="GL82">
            <v>0.13019914998706611</v>
          </cell>
        </row>
        <row r="83">
          <cell r="E83">
            <v>1.7841727550496178</v>
          </cell>
          <cell r="AA83">
            <v>0.17348211493924148</v>
          </cell>
          <cell r="AB83">
            <v>0.16643788989684735</v>
          </cell>
          <cell r="AC83">
            <v>9.1336008114696943E-2</v>
          </cell>
          <cell r="AD83">
            <v>23386556.047481179</v>
          </cell>
          <cell r="AE83">
            <v>19713118.647487294</v>
          </cell>
          <cell r="AL83">
            <v>0.20819617507838117</v>
          </cell>
          <cell r="AW83">
            <v>0.23278470031352466</v>
          </cell>
          <cell r="BH83">
            <v>0.27478015071997569</v>
          </cell>
          <cell r="BT83">
            <v>0.15819617507838118</v>
          </cell>
          <cell r="CE83">
            <v>0.23296799425553813</v>
          </cell>
          <cell r="EJ83">
            <v>0</v>
          </cell>
          <cell r="EP83">
            <v>1.1773228409955419</v>
          </cell>
          <cell r="FB83">
            <v>0</v>
          </cell>
          <cell r="FH83">
            <v>6.1274276449405224E-2</v>
          </cell>
          <cell r="FN83">
            <v>0.14426102317946082</v>
          </cell>
          <cell r="GL83">
            <v>0.13267829412026719</v>
          </cell>
        </row>
        <row r="84">
          <cell r="E84">
            <v>1.7951814043994903</v>
          </cell>
          <cell r="AA84">
            <v>0.17348211493924148</v>
          </cell>
          <cell r="AB84">
            <v>0.17348211493924148</v>
          </cell>
          <cell r="AC84">
            <v>9.7852785323136168E-2</v>
          </cell>
          <cell r="AD84">
            <v>26093781.1234667</v>
          </cell>
          <cell r="AE84">
            <v>22172374.114761733</v>
          </cell>
          <cell r="AL84">
            <v>0.20798268495533045</v>
          </cell>
          <cell r="AW84">
            <v>0.23193073982132184</v>
          </cell>
          <cell r="BH84">
            <v>0.27415386834701116</v>
          </cell>
          <cell r="BT84">
            <v>0.15798268495533047</v>
          </cell>
          <cell r="CE84">
            <v>0.23212760489012341</v>
          </cell>
          <cell r="EJ84">
            <v>0</v>
          </cell>
          <cell r="EP84">
            <v>1.185135640601978</v>
          </cell>
          <cell r="FB84">
            <v>0</v>
          </cell>
          <cell r="FH84">
            <v>6.1274276449405224E-2</v>
          </cell>
          <cell r="FN84">
            <v>0.14383404293335941</v>
          </cell>
          <cell r="GL84">
            <v>0.13517719030282213</v>
          </cell>
        </row>
        <row r="85">
          <cell r="E85">
            <v>2.0957055170728158</v>
          </cell>
          <cell r="AA85">
            <v>0.17348211493924148</v>
          </cell>
          <cell r="AB85">
            <v>0.17348211493924148</v>
          </cell>
          <cell r="AC85">
            <v>0.1046388719663356</v>
          </cell>
          <cell r="AD85">
            <v>29082056.29173325</v>
          </cell>
          <cell r="AE85">
            <v>24815247.354253221</v>
          </cell>
          <cell r="AL85">
            <v>0.22706214362479363</v>
          </cell>
          <cell r="AW85">
            <v>0.23118643087438093</v>
          </cell>
          <cell r="BH85">
            <v>0.27360983525888011</v>
          </cell>
          <cell r="BT85">
            <v>0.15779660771859524</v>
          </cell>
          <cell r="CE85">
            <v>0.23139687723386262</v>
          </cell>
          <cell r="EJ85">
            <v>0</v>
          </cell>
          <cell r="EP85">
            <v>1.1933074310765903</v>
          </cell>
          <cell r="FB85">
            <v>0</v>
          </cell>
          <cell r="FH85">
            <v>6.1274276449405224E-2</v>
          </cell>
          <cell r="FN85">
            <v>0.14346188845988894</v>
          </cell>
          <cell r="GF85">
            <v>0.92373351767012413</v>
          </cell>
          <cell r="GL85">
            <v>0.13768639571803545</v>
          </cell>
        </row>
        <row r="86">
          <cell r="AA86">
            <v>0.17348211493924148</v>
          </cell>
          <cell r="AB86">
            <v>0.17348211493924148</v>
          </cell>
          <cell r="AC86">
            <v>0.11204454212832188</v>
          </cell>
          <cell r="AD86">
            <v>32318068.718199451</v>
          </cell>
          <cell r="AE86">
            <v>27591648.396265149</v>
          </cell>
        </row>
        <row r="87">
          <cell r="AA87">
            <v>0.17348211493924148</v>
          </cell>
          <cell r="AB87">
            <v>0.17348211493924148</v>
          </cell>
          <cell r="AC87">
            <v>0.11987900635871293</v>
          </cell>
          <cell r="AD87">
            <v>35876399.83779981</v>
          </cell>
          <cell r="AE87">
            <v>30674870.672331356</v>
          </cell>
        </row>
        <row r="88">
          <cell r="AA88">
            <v>0.17348211493924148</v>
          </cell>
          <cell r="AB88">
            <v>0.17348211493924148</v>
          </cell>
          <cell r="AC88">
            <v>0.12857168625133886</v>
          </cell>
          <cell r="AD88">
            <v>39751780.803769134</v>
          </cell>
          <cell r="AE88">
            <v>34132600.455196865</v>
          </cell>
        </row>
        <row r="89">
          <cell r="AA89">
            <v>0.17348211493924148</v>
          </cell>
          <cell r="AB89">
            <v>0.17348211493924148</v>
          </cell>
          <cell r="AC89">
            <v>0.13798315952532711</v>
          </cell>
          <cell r="AD89">
            <v>43987262.098621711</v>
          </cell>
          <cell r="AE89">
            <v>37901205.228447609</v>
          </cell>
        </row>
        <row r="90">
          <cell r="AA90">
            <v>0.17348211493924148</v>
          </cell>
          <cell r="AB90">
            <v>0.17348211493924148</v>
          </cell>
          <cell r="AC90">
            <v>0.14802103834613456</v>
          </cell>
          <cell r="AD90">
            <v>48620605.583731487</v>
          </cell>
          <cell r="AE90">
            <v>41882761.497550197</v>
          </cell>
        </row>
        <row r="91">
          <cell r="AA91">
            <v>0.17348211493924148</v>
          </cell>
          <cell r="AB91">
            <v>0.17348211493924148</v>
          </cell>
          <cell r="AC91">
            <v>0.15736883172423849</v>
          </cell>
          <cell r="AD91">
            <v>53655854.600360364</v>
          </cell>
          <cell r="AE91">
            <v>46307708.733169511</v>
          </cell>
        </row>
        <row r="92">
          <cell r="AA92">
            <v>0.17348211493924148</v>
          </cell>
          <cell r="AB92">
            <v>0.17348211493924148</v>
          </cell>
          <cell r="AC92">
            <v>0.16728578618058371</v>
          </cell>
          <cell r="AD92">
            <v>59186886.837468855</v>
          </cell>
          <cell r="AE92">
            <v>51190107.01028464</v>
          </cell>
        </row>
        <row r="93">
          <cell r="AA93">
            <v>0.17348211493924148</v>
          </cell>
          <cell r="AB93">
            <v>0.17348211493924148</v>
          </cell>
          <cell r="AC93">
            <v>0.17348211493924148</v>
          </cell>
          <cell r="AD93">
            <v>65166015.402393326</v>
          </cell>
          <cell r="AE93">
            <v>56649374.843252383</v>
          </cell>
        </row>
        <row r="94">
          <cell r="AA94">
            <v>0.17348211493924148</v>
          </cell>
          <cell r="AB94">
            <v>0.17348211493924148</v>
          </cell>
          <cell r="AC94">
            <v>0.17348211493924148</v>
          </cell>
          <cell r="AD94">
            <v>71759257.284867287</v>
          </cell>
          <cell r="AE94">
            <v>62262920.131518528</v>
          </cell>
        </row>
        <row r="95">
          <cell r="AA95">
            <v>0.17348211493924148</v>
          </cell>
          <cell r="AB95">
            <v>0.17348211493924148</v>
          </cell>
          <cell r="AC95">
            <v>0.17348211493924148</v>
          </cell>
          <cell r="AD95">
            <v>78853705.415314287</v>
          </cell>
          <cell r="AE95">
            <v>67906819.640396252</v>
          </cell>
        </row>
        <row r="96">
          <cell r="AA96">
            <v>0.17348211493924148</v>
          </cell>
          <cell r="AB96">
            <v>0.17348211493924148</v>
          </cell>
          <cell r="AC96">
            <v>0.17348211493924148</v>
          </cell>
          <cell r="AD96">
            <v>86725707.275441304</v>
          </cell>
          <cell r="AE96">
            <v>74656274.035269156</v>
          </cell>
        </row>
        <row r="97">
          <cell r="AA97">
            <v>0.17348211493924148</v>
          </cell>
          <cell r="AB97">
            <v>0.17348211493924148</v>
          </cell>
          <cell r="AC97">
            <v>0.17348211493924148</v>
          </cell>
          <cell r="AD97">
            <v>95162709.966161683</v>
          </cell>
          <cell r="AE97">
            <v>81908665.708987847</v>
          </cell>
        </row>
        <row r="98">
          <cell r="AA98">
            <v>0.17348211493924148</v>
          </cell>
          <cell r="AB98">
            <v>0.17348211493924148</v>
          </cell>
          <cell r="AC98">
            <v>0.17348211493924148</v>
          </cell>
          <cell r="AD98">
            <v>104539124.93996847</v>
          </cell>
          <cell r="AE98">
            <v>89923777.086229026</v>
          </cell>
        </row>
        <row r="99">
          <cell r="AA99">
            <v>0.17348211493924148</v>
          </cell>
          <cell r="AB99">
            <v>0.17348211493924148</v>
          </cell>
          <cell r="AC99">
            <v>0.17348211493924148</v>
          </cell>
          <cell r="AD99">
            <v>114598015.07363984</v>
          </cell>
          <cell r="AE99">
            <v>98614667.067993626</v>
          </cell>
        </row>
        <row r="100">
          <cell r="AA100">
            <v>0.17348211493924148</v>
          </cell>
          <cell r="AB100">
            <v>0.17348211493924148</v>
          </cell>
          <cell r="AC100">
            <v>0.17348211493924148</v>
          </cell>
          <cell r="AD100">
            <v>125715173.65108092</v>
          </cell>
          <cell r="AE100">
            <v>108261053.19409662</v>
          </cell>
        </row>
        <row r="101">
          <cell r="AA101">
            <v>0.17348211493924148</v>
          </cell>
          <cell r="AB101">
            <v>0.17348211493924148</v>
          </cell>
          <cell r="AC101">
            <v>0.17348211493924148</v>
          </cell>
          <cell r="AD101">
            <v>137691742.95675147</v>
          </cell>
          <cell r="AE101">
            <v>118379306.4798515</v>
          </cell>
        </row>
        <row r="102">
          <cell r="AA102">
            <v>0.17348211493924148</v>
          </cell>
          <cell r="AB102">
            <v>0.17348211493924148</v>
          </cell>
          <cell r="AC102">
            <v>0.17348211493924148</v>
          </cell>
          <cell r="AD102">
            <v>150859924.3956463</v>
          </cell>
          <cell r="AE102">
            <v>129514782.59949107</v>
          </cell>
        </row>
        <row r="103">
          <cell r="AA103">
            <v>0.17348211493924148</v>
          </cell>
          <cell r="AB103">
            <v>0.17348211493924148</v>
          </cell>
          <cell r="AC103">
            <v>0.17348211493924148</v>
          </cell>
          <cell r="AD103">
            <v>165102070.21053514</v>
          </cell>
          <cell r="AE103">
            <v>142301765.83924085</v>
          </cell>
        </row>
        <row r="104">
          <cell r="AA104">
            <v>0.17348211493924148</v>
          </cell>
          <cell r="AB104">
            <v>0.17348211493924148</v>
          </cell>
          <cell r="AC104">
            <v>0.17348211493924148</v>
          </cell>
          <cell r="AD104">
            <v>180685340.76543424</v>
          </cell>
          <cell r="AE104">
            <v>156156289.06578854</v>
          </cell>
        </row>
        <row r="105">
          <cell r="AA105">
            <v>0.17348211493924148</v>
          </cell>
          <cell r="AB105">
            <v>0.17348211493924148</v>
          </cell>
          <cell r="AC105">
            <v>0.17348211493924148</v>
          </cell>
          <cell r="AD105">
            <v>197602021.76106319</v>
          </cell>
          <cell r="AE105">
            <v>170899839.85327131</v>
          </cell>
        </row>
      </sheetData>
      <sheetData sheetId="25"/>
      <sheetData sheetId="26"/>
      <sheetData sheetId="27"/>
      <sheetData sheetId="28">
        <row r="3">
          <cell r="EL3">
            <v>20</v>
          </cell>
        </row>
        <row r="11">
          <cell r="CH11">
            <v>914.77575784136422</v>
          </cell>
          <cell r="DZ11">
            <v>3564.7351322041145</v>
          </cell>
          <cell r="FS11">
            <v>407.50509725822224</v>
          </cell>
          <cell r="GI11">
            <v>0.27359208558937748</v>
          </cell>
        </row>
        <row r="12">
          <cell r="CH12">
            <v>1837.4782300301947</v>
          </cell>
          <cell r="DZ12">
            <v>4104.2138128431834</v>
          </cell>
          <cell r="FS12">
            <v>764.93079296271833</v>
          </cell>
          <cell r="GI12">
            <v>0.15035598691701557</v>
          </cell>
        </row>
        <row r="13">
          <cell r="CH13">
            <v>3042.7407195686287</v>
          </cell>
          <cell r="DZ13">
            <v>5640.0592253889736</v>
          </cell>
          <cell r="FS13">
            <v>1218.3342773925638</v>
          </cell>
          <cell r="GI13">
            <v>0.10858002093007409</v>
          </cell>
        </row>
        <row r="14">
          <cell r="CH14">
            <v>4497.8454958154043</v>
          </cell>
          <cell r="DZ14">
            <v>8509.5131373801451</v>
          </cell>
          <cell r="FS14">
            <v>2159.8457176541442</v>
          </cell>
          <cell r="GI14">
            <v>8.7201872887449183E-2</v>
          </cell>
        </row>
        <row r="15">
          <cell r="CH15">
            <v>5727.5545343322774</v>
          </cell>
          <cell r="DZ15">
            <v>9812.9725604885753</v>
          </cell>
          <cell r="FS15">
            <v>2559.8318014924644</v>
          </cell>
          <cell r="GI15">
            <v>7.4105219326274577E-2</v>
          </cell>
        </row>
        <row r="16">
          <cell r="CH16">
            <v>6524.2780101268427</v>
          </cell>
          <cell r="DZ16">
            <v>8183.3389541916185</v>
          </cell>
          <cell r="FS16">
            <v>2528.2953802699462</v>
          </cell>
          <cell r="GI16">
            <v>7.1230134594019168E-2</v>
          </cell>
        </row>
        <row r="17">
          <cell r="CH17">
            <v>7533.8861298050115</v>
          </cell>
          <cell r="DZ17">
            <v>9189.4780604649422</v>
          </cell>
          <cell r="FS17">
            <v>2885.2639654418699</v>
          </cell>
          <cell r="GI17">
            <v>6.844922125446673E-2</v>
          </cell>
        </row>
        <row r="18">
          <cell r="CH18">
            <v>7604.1534467938964</v>
          </cell>
          <cell r="DZ18">
            <v>9436.0125554540937</v>
          </cell>
          <cell r="FS18">
            <v>2968.3917671350346</v>
          </cell>
          <cell r="GI18">
            <v>6.5808617523987145E-2</v>
          </cell>
        </row>
        <row r="19">
          <cell r="CH19">
            <v>9278.406299384591</v>
          </cell>
          <cell r="DZ19">
            <v>12056.847239090763</v>
          </cell>
          <cell r="FS19">
            <v>3866.3469917438124</v>
          </cell>
          <cell r="GI19">
            <v>6.3271870971939675E-2</v>
          </cell>
        </row>
        <row r="20">
          <cell r="CH20">
            <v>10711.039725151164</v>
          </cell>
          <cell r="DZ20">
            <v>21803.209303666037</v>
          </cell>
          <cell r="FS20">
            <v>6679.8434571932912</v>
          </cell>
          <cell r="GI20">
            <v>6.0823278279231015E-2</v>
          </cell>
        </row>
        <row r="21">
          <cell r="CH21">
            <v>12132.255903806841</v>
          </cell>
          <cell r="DZ21">
            <v>24757.26545616542</v>
          </cell>
          <cell r="FS21">
            <v>7575.9146226938756</v>
          </cell>
          <cell r="GI21">
            <v>5.8735848794030383E-2</v>
          </cell>
        </row>
        <row r="22">
          <cell r="CH22">
            <v>13317.147730023868</v>
          </cell>
          <cell r="DZ22">
            <v>26866.72837751059</v>
          </cell>
          <cell r="FS22">
            <v>8215.7906530988621</v>
          </cell>
          <cell r="GI22">
            <v>5.6739423886536293E-2</v>
          </cell>
        </row>
        <row r="23">
          <cell r="CH23">
            <v>15306.33699022188</v>
          </cell>
          <cell r="DZ23">
            <v>32465.51829344593</v>
          </cell>
          <cell r="FS23">
            <v>9912.5178536200765</v>
          </cell>
          <cell r="GI23">
            <v>5.4799219620132962E-2</v>
          </cell>
        </row>
        <row r="24">
          <cell r="CH24">
            <v>15955.85754104232</v>
          </cell>
          <cell r="DZ24">
            <v>43737.342385941331</v>
          </cell>
          <cell r="FS24">
            <v>13143.145533082721</v>
          </cell>
          <cell r="GI24">
            <v>5.2939108279831809E-2</v>
          </cell>
        </row>
        <row r="25">
          <cell r="CH25">
            <v>18189.063681022468</v>
          </cell>
          <cell r="DZ25">
            <v>35857.649059704068</v>
          </cell>
          <cell r="FS25">
            <v>11179.910090039133</v>
          </cell>
          <cell r="GI25">
            <v>5.1136093421670401E-2</v>
          </cell>
        </row>
        <row r="26">
          <cell r="CH26">
            <v>19867.328653943976</v>
          </cell>
          <cell r="DZ26">
            <v>37533.97750269153</v>
          </cell>
          <cell r="FS26">
            <v>11773.296634036378</v>
          </cell>
          <cell r="GI26">
            <v>4.9386267949875121E-2</v>
          </cell>
        </row>
        <row r="27">
          <cell r="CH27">
            <v>20893.444479086869</v>
          </cell>
          <cell r="DZ27">
            <v>38212.342129684228</v>
          </cell>
          <cell r="FS27">
            <v>12009.899047598692</v>
          </cell>
          <cell r="GI27">
            <v>4.7695081138004372E-2</v>
          </cell>
        </row>
        <row r="28">
          <cell r="CH28">
            <v>25441.713271722012</v>
          </cell>
          <cell r="DZ28">
            <v>42135.86597579933</v>
          </cell>
          <cell r="FS28">
            <v>13373.054988476591</v>
          </cell>
          <cell r="GI28">
            <v>4.6030832246946589E-2</v>
          </cell>
        </row>
        <row r="29">
          <cell r="CH29">
            <v>26567.049815978913</v>
          </cell>
          <cell r="DZ29">
            <v>43250.56998435175</v>
          </cell>
          <cell r="FS29">
            <v>13770.941838053135</v>
          </cell>
          <cell r="GI29">
            <v>4.0336946895374391E-2</v>
          </cell>
        </row>
        <row r="30">
          <cell r="CH30">
            <v>27824.572145847564</v>
          </cell>
          <cell r="DZ30">
            <v>50396.908810667403</v>
          </cell>
          <cell r="FS30">
            <v>15894.764774988413</v>
          </cell>
          <cell r="GI30">
            <v>3.8951587558790378E-2</v>
          </cell>
        </row>
        <row r="31">
          <cell r="CH31">
            <v>32025.114599639124</v>
          </cell>
          <cell r="DZ31">
            <v>57365.829982006398</v>
          </cell>
          <cell r="FS31">
            <v>18204.50171337694</v>
          </cell>
          <cell r="GI31">
            <v>3.7425637702334098E-2</v>
          </cell>
        </row>
        <row r="32">
          <cell r="CH32">
            <v>35710.866466059037</v>
          </cell>
          <cell r="DZ32">
            <v>61097.656540528522</v>
          </cell>
          <cell r="FS32">
            <v>19507.67826614685</v>
          </cell>
          <cell r="GI32">
            <v>3.5931252960754383E-2</v>
          </cell>
        </row>
        <row r="33">
          <cell r="CH33">
            <v>36973.280958675387</v>
          </cell>
          <cell r="DZ33">
            <v>61933.799172730185</v>
          </cell>
          <cell r="FS33">
            <v>19811.050471619703</v>
          </cell>
          <cell r="GI33">
            <v>3.2950943578898322E-2</v>
          </cell>
        </row>
        <row r="34">
          <cell r="CH34">
            <v>42988.428770314087</v>
          </cell>
          <cell r="DZ34">
            <v>68914.55601343466</v>
          </cell>
          <cell r="FS34">
            <v>22151.566206469794</v>
          </cell>
          <cell r="GI34">
            <v>3.1543859533788167E-2</v>
          </cell>
        </row>
        <row r="35">
          <cell r="CH35">
            <v>45720.248429548868</v>
          </cell>
          <cell r="DZ35">
            <v>75430.594674448483</v>
          </cell>
          <cell r="FS35">
            <v>24173.716543732913</v>
          </cell>
          <cell r="GI35">
            <v>3.0403246793317826E-2</v>
          </cell>
        </row>
        <row r="36">
          <cell r="CH36">
            <v>49686.711196088487</v>
          </cell>
          <cell r="DZ36">
            <v>80248.080380283529</v>
          </cell>
          <cell r="FS36">
            <v>25864.532558614072</v>
          </cell>
          <cell r="GI36">
            <v>2.9401175652261573E-2</v>
          </cell>
        </row>
        <row r="37">
          <cell r="CH37">
            <v>54004.138908830471</v>
          </cell>
          <cell r="DZ37">
            <v>85329.240696703433</v>
          </cell>
          <cell r="FS37">
            <v>27657.256050276348</v>
          </cell>
          <cell r="GI37">
            <v>2.8429425265091728E-2</v>
          </cell>
        </row>
        <row r="38">
          <cell r="CH38">
            <v>57470.469499391336</v>
          </cell>
          <cell r="DZ38">
            <v>90532.373992113746</v>
          </cell>
          <cell r="FS38">
            <v>29361.737441321045</v>
          </cell>
          <cell r="GI38">
            <v>2.7489923161074417E-2</v>
          </cell>
        </row>
        <row r="39">
          <cell r="CH39">
            <v>67489.401160633352</v>
          </cell>
          <cell r="DZ39">
            <v>99870.029793080757</v>
          </cell>
          <cell r="FS39">
            <v>32617.215537493572</v>
          </cell>
          <cell r="GI39">
            <v>2.657833909711067E-2</v>
          </cell>
        </row>
        <row r="40">
          <cell r="CH40">
            <v>71509.000226796939</v>
          </cell>
          <cell r="DZ40">
            <v>103003.87251802953</v>
          </cell>
          <cell r="FS40">
            <v>33732.949458289084</v>
          </cell>
          <cell r="GI40">
            <v>2.5723861215005007E-2</v>
          </cell>
        </row>
        <row r="41">
          <cell r="CH41">
            <v>78395.025117457189</v>
          </cell>
          <cell r="DZ41">
            <v>108922.48709698836</v>
          </cell>
          <cell r="FS41">
            <v>35887.937623027756</v>
          </cell>
          <cell r="GI41">
            <v>2.4795878049838477E-2</v>
          </cell>
        </row>
        <row r="42">
          <cell r="CH42">
            <v>83874.958608250294</v>
          </cell>
          <cell r="DZ42">
            <v>114401.99378653313</v>
          </cell>
          <cell r="FS42">
            <v>37825.485535843909</v>
          </cell>
          <cell r="GI42">
            <v>2.3906505403454577E-2</v>
          </cell>
        </row>
        <row r="43">
          <cell r="CH43">
            <v>89186.933527359826</v>
          </cell>
          <cell r="DZ43">
            <v>119764.65601144312</v>
          </cell>
          <cell r="FS43">
            <v>39790.133869098856</v>
          </cell>
          <cell r="GI43">
            <v>2.3056131625853321E-2</v>
          </cell>
        </row>
        <row r="44">
          <cell r="CH44">
            <v>102185.53305687125</v>
          </cell>
          <cell r="DZ44">
            <v>133075.34055483574</v>
          </cell>
          <cell r="FS44">
            <v>44510.013958854019</v>
          </cell>
          <cell r="GI44">
            <v>2.2242525142473091E-2</v>
          </cell>
        </row>
        <row r="45">
          <cell r="CH45">
            <v>112027.29513256448</v>
          </cell>
          <cell r="DZ45">
            <v>143766.55420843931</v>
          </cell>
          <cell r="FS45">
            <v>48206.898261883063</v>
          </cell>
          <cell r="GI45">
            <v>2.1468456167973063E-2</v>
          </cell>
        </row>
        <row r="46">
          <cell r="CH46">
            <v>118385.81476137109</v>
          </cell>
          <cell r="DZ46">
            <v>150224.31628759718</v>
          </cell>
          <cell r="FS46">
            <v>50493.914371779465</v>
          </cell>
          <cell r="GI46">
            <v>2.072611464502196E-2</v>
          </cell>
        </row>
        <row r="47">
          <cell r="CH47">
            <v>128638.72251072104</v>
          </cell>
          <cell r="DZ47">
            <v>158798.63612657273</v>
          </cell>
          <cell r="FS47">
            <v>53548.502856428044</v>
          </cell>
          <cell r="GI47">
            <v>2.0012326637444133E-2</v>
          </cell>
        </row>
        <row r="48">
          <cell r="CH48">
            <v>135826.58392188742</v>
          </cell>
          <cell r="DZ48">
            <v>164650.94030559994</v>
          </cell>
          <cell r="FS48">
            <v>55694.610047028582</v>
          </cell>
          <cell r="GI48">
            <v>1.9325526758984104E-2</v>
          </cell>
        </row>
        <row r="49">
          <cell r="CH49">
            <v>147358.00647459211</v>
          </cell>
          <cell r="DZ49">
            <v>175243.34775242535</v>
          </cell>
          <cell r="FS49">
            <v>59497.497671946388</v>
          </cell>
          <cell r="GI49">
            <v>1.8664247474232482E-2</v>
          </cell>
        </row>
        <row r="50">
          <cell r="CH50">
            <v>164366.12980968435</v>
          </cell>
          <cell r="DZ50">
            <v>191084.89710830711</v>
          </cell>
          <cell r="FS50">
            <v>65175.908756698685</v>
          </cell>
          <cell r="GI50">
            <v>1.802677105430435E-2</v>
          </cell>
        </row>
        <row r="51">
          <cell r="CH51">
            <v>182898.2163273918</v>
          </cell>
          <cell r="DZ51">
            <v>207545.34490906773</v>
          </cell>
          <cell r="FS51">
            <v>71141.611816719043</v>
          </cell>
          <cell r="GI51">
            <v>1.7412227783186122E-2</v>
          </cell>
        </row>
        <row r="52">
          <cell r="CH52">
            <v>204608.48388324678</v>
          </cell>
          <cell r="DZ52">
            <v>229643.81794598326</v>
          </cell>
          <cell r="FS52">
            <v>78960.924102773992</v>
          </cell>
          <cell r="GI52">
            <v>1.6819843821896874E-2</v>
          </cell>
        </row>
        <row r="53">
          <cell r="CH53">
            <v>215553.60232825496</v>
          </cell>
          <cell r="DZ53">
            <v>240870.39718614193</v>
          </cell>
          <cell r="FS53">
            <v>82924.568131401757</v>
          </cell>
          <cell r="GI53">
            <v>1.624998033913164E-2</v>
          </cell>
        </row>
        <row r="54">
          <cell r="CH54">
            <v>229915.72894583645</v>
          </cell>
          <cell r="DZ54">
            <v>255191.58963557845</v>
          </cell>
          <cell r="FS54">
            <v>87976.484791446594</v>
          </cell>
          <cell r="GI54">
            <v>1.5702721160734977E-2</v>
          </cell>
        </row>
        <row r="55">
          <cell r="CH55">
            <v>249516.23796723294</v>
          </cell>
          <cell r="DZ55">
            <v>274688.44242796907</v>
          </cell>
          <cell r="FS55">
            <v>94884.356092531321</v>
          </cell>
          <cell r="GI55">
            <v>1.4929391234638668E-2</v>
          </cell>
        </row>
        <row r="56">
          <cell r="CH56">
            <v>269266.42958488537</v>
          </cell>
          <cell r="DZ56">
            <v>294206.05246151332</v>
          </cell>
          <cell r="FS56">
            <v>101783.88919648582</v>
          </cell>
          <cell r="GI56">
            <v>1.4530180844072968E-2</v>
          </cell>
        </row>
        <row r="57">
          <cell r="CH57">
            <v>293201.21294849552</v>
          </cell>
          <cell r="DZ57">
            <v>317565.19455237221</v>
          </cell>
          <cell r="FS57">
            <v>110088.13089540863</v>
          </cell>
          <cell r="GI57">
            <v>1.4137324568580833E-2</v>
          </cell>
        </row>
        <row r="58">
          <cell r="CH58">
            <v>319412.74833910895</v>
          </cell>
          <cell r="DZ58">
            <v>342389.82574976701</v>
          </cell>
          <cell r="FS58">
            <v>118911.58259604806</v>
          </cell>
          <cell r="GI58">
            <v>1.3751261299710075E-2</v>
          </cell>
        </row>
        <row r="59">
          <cell r="CH59">
            <v>337396.66497963353</v>
          </cell>
          <cell r="DZ59">
            <v>358487.12942485791</v>
          </cell>
          <cell r="FS59">
            <v>124741.84171156259</v>
          </cell>
          <cell r="GI59">
            <v>1.3373161512844537E-2</v>
          </cell>
        </row>
        <row r="60">
          <cell r="CH60">
            <v>365197.77942614787</v>
          </cell>
          <cell r="DZ60">
            <v>385182.28712403309</v>
          </cell>
          <cell r="FS60">
            <v>134258.6618765489</v>
          </cell>
          <cell r="GI60">
            <v>1.3003523277086149E-2</v>
          </cell>
        </row>
        <row r="61">
          <cell r="CH61">
            <v>392866.41076920152</v>
          </cell>
          <cell r="DZ61">
            <v>413134.86463389266</v>
          </cell>
          <cell r="FS61">
            <v>144106.09726182482</v>
          </cell>
          <cell r="GI61">
            <v>1.2641271933812398E-2</v>
          </cell>
        </row>
        <row r="62">
          <cell r="CH62">
            <v>459318.87324216281</v>
          </cell>
          <cell r="DZ62">
            <v>480883.90232778993</v>
          </cell>
          <cell r="FS62">
            <v>167953.45015173615</v>
          </cell>
          <cell r="GI62">
            <v>1.2284180191533923E-2</v>
          </cell>
        </row>
        <row r="63">
          <cell r="CH63">
            <v>503908.50011507689</v>
          </cell>
          <cell r="DZ63">
            <v>525708.27655339334</v>
          </cell>
          <cell r="FS63">
            <v>183767.53605612231</v>
          </cell>
          <cell r="GI63">
            <v>1.1935191298162482E-2</v>
          </cell>
        </row>
        <row r="64">
          <cell r="CH64">
            <v>509691.10423247237</v>
          </cell>
          <cell r="DZ64">
            <v>531436.81127863843</v>
          </cell>
          <cell r="FS64">
            <v>185907.40030101943</v>
          </cell>
          <cell r="GI64">
            <v>1.1594685668015799E-2</v>
          </cell>
        </row>
        <row r="65">
          <cell r="CH65">
            <v>545873.55588029255</v>
          </cell>
          <cell r="DZ65">
            <v>566942.85231688153</v>
          </cell>
          <cell r="FS65">
            <v>198494.68347357152</v>
          </cell>
          <cell r="GI65">
            <v>1.1271419083608496E-2</v>
          </cell>
        </row>
        <row r="66">
          <cell r="CH66">
            <v>593942.94473991124</v>
          </cell>
          <cell r="DZ66">
            <v>614263.38799917605</v>
          </cell>
          <cell r="FS66">
            <v>215279.3478988967</v>
          </cell>
          <cell r="GI66">
            <v>1.0957403414514772E-2</v>
          </cell>
        </row>
        <row r="67">
          <cell r="CH67">
            <v>649259.11625907582</v>
          </cell>
          <cell r="DZ67">
            <v>668608.01922817715</v>
          </cell>
          <cell r="FS67">
            <v>234556.00758253314</v>
          </cell>
          <cell r="GI67">
            <v>1.0650146564437782E-2</v>
          </cell>
        </row>
        <row r="68">
          <cell r="CH68">
            <v>702940.13679441472</v>
          </cell>
          <cell r="DZ68">
            <v>721216.41806325503</v>
          </cell>
          <cell r="FS68">
            <v>253220.95894980445</v>
          </cell>
          <cell r="GI68">
            <v>9.9469796131840763E-3</v>
          </cell>
        </row>
        <row r="69">
          <cell r="CH69">
            <v>770721.16503132135</v>
          </cell>
          <cell r="DZ69">
            <v>789116.60797415487</v>
          </cell>
          <cell r="FS69">
            <v>277192.69779686222</v>
          </cell>
          <cell r="GI69">
            <v>9.6665270749954034E-3</v>
          </cell>
        </row>
        <row r="70">
          <cell r="CH70">
            <v>828367.35434525192</v>
          </cell>
          <cell r="DZ70">
            <v>845966.54132941924</v>
          </cell>
          <cell r="FS70">
            <v>297276.75792778173</v>
          </cell>
          <cell r="GI70">
            <v>9.4715601919283347E-3</v>
          </cell>
        </row>
        <row r="71">
          <cell r="CH71">
            <v>913943.22975762421</v>
          </cell>
          <cell r="DZ71">
            <v>931569.4512630403</v>
          </cell>
          <cell r="FS71">
            <v>327542.79753214738</v>
          </cell>
          <cell r="GI71">
            <v>9.4829202022479412E-3</v>
          </cell>
        </row>
        <row r="72">
          <cell r="CH72">
            <v>1001602.1647671873</v>
          </cell>
          <cell r="DZ72">
            <v>1019196.7472901344</v>
          </cell>
          <cell r="FS72">
            <v>358501.74201969232</v>
          </cell>
          <cell r="GI72">
            <v>9.4929108019524682E-3</v>
          </cell>
        </row>
        <row r="73">
          <cell r="CH73">
            <v>1081876.4550408663</v>
          </cell>
          <cell r="DZ73">
            <v>1098713.6980903987</v>
          </cell>
          <cell r="FS73">
            <v>386684.20913039241</v>
          </cell>
          <cell r="GI73">
            <v>9.5011508336578926E-3</v>
          </cell>
        </row>
        <row r="74">
          <cell r="CH74">
            <v>1185788.1521656739</v>
          </cell>
          <cell r="DZ74">
            <v>1201878.8144562095</v>
          </cell>
          <cell r="FS74">
            <v>423188.70956636383</v>
          </cell>
          <cell r="GI74">
            <v>9.5114346535301372E-3</v>
          </cell>
        </row>
        <row r="75">
          <cell r="CH75">
            <v>1302321.9831744826</v>
          </cell>
          <cell r="DZ75">
            <v>1317771.1182094589</v>
          </cell>
          <cell r="FS75">
            <v>464260.91644985031</v>
          </cell>
          <cell r="GI75">
            <v>9.5268724363703362E-3</v>
          </cell>
        </row>
        <row r="76">
          <cell r="CH76">
            <v>1391671.9785147542</v>
          </cell>
          <cell r="DZ76">
            <v>1409009.7932123765</v>
          </cell>
          <cell r="FS76">
            <v>496448.29398178332</v>
          </cell>
          <cell r="GI76">
            <v>9.5418475860056893E-3</v>
          </cell>
        </row>
        <row r="77">
          <cell r="CH77">
            <v>1440583.112897411</v>
          </cell>
          <cell r="DZ77">
            <v>1459050.929744266</v>
          </cell>
          <cell r="FS77">
            <v>514073.74755594123</v>
          </cell>
          <cell r="GI77">
            <v>9.5544347419640203E-3</v>
          </cell>
        </row>
        <row r="78">
          <cell r="CH78">
            <v>1502952.8872085086</v>
          </cell>
          <cell r="DZ78">
            <v>1958887.2623371035</v>
          </cell>
          <cell r="FS78">
            <v>657982.04106889351</v>
          </cell>
          <cell r="GI78">
            <v>9.5631671812032686E-3</v>
          </cell>
        </row>
        <row r="79">
          <cell r="CH79">
            <v>1728925.4759204844</v>
          </cell>
          <cell r="DZ79">
            <v>2285911.7040732689</v>
          </cell>
          <cell r="FS79">
            <v>766012.23784647835</v>
          </cell>
          <cell r="GI79">
            <v>9.6821386697189954E-3</v>
          </cell>
        </row>
        <row r="80">
          <cell r="CH80">
            <v>1923694.9899763628</v>
          </cell>
          <cell r="DZ80">
            <v>2145724.6677469388</v>
          </cell>
          <cell r="FS80">
            <v>741549.60231151537</v>
          </cell>
          <cell r="GI80">
            <v>9.8053544579862848E-3</v>
          </cell>
        </row>
        <row r="81">
          <cell r="CH81">
            <v>2026897.7940790798</v>
          </cell>
          <cell r="DZ81">
            <v>2138683.1052156426</v>
          </cell>
          <cell r="FS81">
            <v>747291.6569007514</v>
          </cell>
          <cell r="GI81">
            <v>9.9239710551919484E-3</v>
          </cell>
        </row>
        <row r="82">
          <cell r="CH82">
            <v>2128813.3657923201</v>
          </cell>
          <cell r="DZ82">
            <v>2191134.9305225611</v>
          </cell>
          <cell r="FS82">
            <v>769500.52325112885</v>
          </cell>
          <cell r="GI82">
            <v>1.0038083398982559E-2</v>
          </cell>
        </row>
        <row r="83">
          <cell r="CH83">
            <v>2319161.4687830736</v>
          </cell>
          <cell r="DZ83">
            <v>2363886.8428427801</v>
          </cell>
          <cell r="FS83">
            <v>831885.3356003043</v>
          </cell>
          <cell r="GI83">
            <v>1.0148690160426813E-2</v>
          </cell>
        </row>
        <row r="84">
          <cell r="CH84">
            <v>2619945.0478940867</v>
          </cell>
          <cell r="DZ84">
            <v>2650093.9368664548</v>
          </cell>
          <cell r="FS84">
            <v>934162.06615041825</v>
          </cell>
          <cell r="GI84">
            <v>1.0254542303282354E-2</v>
          </cell>
        </row>
        <row r="85">
          <cell r="CH85">
            <v>2828495.8158521294</v>
          </cell>
          <cell r="DZ85">
            <v>2854746.0305203944</v>
          </cell>
          <cell r="FS85">
            <v>1006795.9634450258</v>
          </cell>
          <cell r="GI85">
            <v>1.0355974920469977E-2</v>
          </cell>
        </row>
        <row r="86">
          <cell r="CH86">
            <v>3006603.9955264046</v>
          </cell>
          <cell r="DZ86">
            <v>3027920.5033410415</v>
          </cell>
          <cell r="FS86">
            <v>1068405.4580340928</v>
          </cell>
          <cell r="GI86">
            <v>1.045327738208343E-2</v>
          </cell>
        </row>
        <row r="87">
          <cell r="CH87">
            <v>3329665.8614614862</v>
          </cell>
          <cell r="DZ87">
            <v>3349797.9337675497</v>
          </cell>
          <cell r="FS87">
            <v>1182338.6490332573</v>
          </cell>
          <cell r="GI87">
            <v>1.0546101849666799E-2</v>
          </cell>
        </row>
        <row r="88">
          <cell r="CH88">
            <v>3592299.0632518232</v>
          </cell>
          <cell r="DZ88">
            <v>5178217.4915987924</v>
          </cell>
          <cell r="FS88">
            <v>1711445.3533794829</v>
          </cell>
          <cell r="GI88">
            <v>1.0634452271850602E-2</v>
          </cell>
        </row>
        <row r="89">
          <cell r="CH89">
            <v>3900242.8972848193</v>
          </cell>
          <cell r="DZ89">
            <v>4611506.633349441</v>
          </cell>
          <cell r="FS89">
            <v>1576643.0475204752</v>
          </cell>
          <cell r="GI89">
            <v>1.0719282823656079E-2</v>
          </cell>
        </row>
        <row r="90">
          <cell r="CH90">
            <v>3969150.8769368613</v>
          </cell>
          <cell r="DZ90">
            <v>4157351.5620470196</v>
          </cell>
          <cell r="FS90">
            <v>1455327.7268072569</v>
          </cell>
          <cell r="GI90">
            <v>1.0800345420551315E-2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O4">
            <v>24</v>
          </cell>
        </row>
      </sheetData>
      <sheetData sheetId="3">
        <row r="6">
          <cell r="AT6">
            <v>2653.3044637363546</v>
          </cell>
        </row>
      </sheetData>
      <sheetData sheetId="4">
        <row r="7">
          <cell r="H7">
            <v>1.0285714285714287</v>
          </cell>
        </row>
      </sheetData>
      <sheetData sheetId="5">
        <row r="4">
          <cell r="J4">
            <v>20000</v>
          </cell>
        </row>
        <row r="5">
          <cell r="J5">
            <v>25000</v>
          </cell>
        </row>
        <row r="6">
          <cell r="J6">
            <v>30000</v>
          </cell>
        </row>
        <row r="7">
          <cell r="J7">
            <v>35000</v>
          </cell>
        </row>
        <row r="8">
          <cell r="J8">
            <v>40000</v>
          </cell>
        </row>
        <row r="9">
          <cell r="J9">
            <v>45000</v>
          </cell>
        </row>
        <row r="10">
          <cell r="J10">
            <v>50000</v>
          </cell>
        </row>
        <row r="11">
          <cell r="J11">
            <v>60000</v>
          </cell>
        </row>
        <row r="12">
          <cell r="J12">
            <v>70000</v>
          </cell>
        </row>
        <row r="13">
          <cell r="J13">
            <v>80000</v>
          </cell>
        </row>
        <row r="14">
          <cell r="J14">
            <v>90000</v>
          </cell>
        </row>
        <row r="15">
          <cell r="J15">
            <v>100000</v>
          </cell>
        </row>
        <row r="16">
          <cell r="J16">
            <v>110000</v>
          </cell>
        </row>
        <row r="17">
          <cell r="J17">
            <v>120000</v>
          </cell>
        </row>
        <row r="18">
          <cell r="J18">
            <v>130000</v>
          </cell>
        </row>
        <row r="19">
          <cell r="J19">
            <v>140000</v>
          </cell>
        </row>
        <row r="20">
          <cell r="J20">
            <v>150000</v>
          </cell>
        </row>
        <row r="21">
          <cell r="J21">
            <v>160000</v>
          </cell>
        </row>
        <row r="22">
          <cell r="J22">
            <v>170000</v>
          </cell>
        </row>
        <row r="23">
          <cell r="J23">
            <v>180000</v>
          </cell>
        </row>
        <row r="28">
          <cell r="F28">
            <v>2.25</v>
          </cell>
          <cell r="G28">
            <v>3500</v>
          </cell>
          <cell r="H28"/>
          <cell r="I28"/>
          <cell r="J28">
            <v>230000</v>
          </cell>
        </row>
        <row r="29">
          <cell r="F29">
            <v>2.25</v>
          </cell>
          <cell r="G29">
            <v>3500</v>
          </cell>
          <cell r="H29"/>
          <cell r="I29"/>
          <cell r="J29">
            <v>240000</v>
          </cell>
        </row>
        <row r="30">
          <cell r="F30">
            <v>2.25</v>
          </cell>
          <cell r="G30">
            <v>3500</v>
          </cell>
          <cell r="H30"/>
          <cell r="I30"/>
          <cell r="J30">
            <v>250000</v>
          </cell>
        </row>
        <row r="31">
          <cell r="F31">
            <v>2.25</v>
          </cell>
          <cell r="G31">
            <v>3500</v>
          </cell>
          <cell r="H31"/>
          <cell r="I31"/>
          <cell r="J31">
            <v>260000</v>
          </cell>
        </row>
        <row r="32">
          <cell r="F32">
            <v>2.25</v>
          </cell>
          <cell r="G32">
            <v>3500</v>
          </cell>
          <cell r="H32"/>
          <cell r="I32"/>
          <cell r="J32">
            <v>270000</v>
          </cell>
        </row>
        <row r="33">
          <cell r="F33">
            <v>2.25</v>
          </cell>
          <cell r="G33">
            <v>3500</v>
          </cell>
          <cell r="H33"/>
          <cell r="I33"/>
          <cell r="J33">
            <v>280000</v>
          </cell>
        </row>
        <row r="36">
          <cell r="F36" t="str">
            <v>对应累计天数</v>
          </cell>
          <cell r="G36"/>
          <cell r="H36"/>
          <cell r="I36"/>
          <cell r="J36"/>
        </row>
        <row r="37">
          <cell r="F37" t="str">
            <v>非r</v>
          </cell>
          <cell r="G37" t="str">
            <v>小r</v>
          </cell>
          <cell r="H37" t="str">
            <v>中r</v>
          </cell>
          <cell r="I37" t="str">
            <v>大r</v>
          </cell>
          <cell r="J37" t="str">
            <v>超r</v>
          </cell>
        </row>
        <row r="38">
          <cell r="F38">
            <v>1.5699005528909408E-2</v>
          </cell>
          <cell r="G38">
            <v>1.2559204423127529E-2</v>
          </cell>
          <cell r="H38">
            <v>9.4194033173456461E-3</v>
          </cell>
          <cell r="I38">
            <v>6.2796022115637644E-3</v>
          </cell>
          <cell r="J38">
            <v>3.1398011057818822E-3</v>
          </cell>
        </row>
        <row r="39">
          <cell r="F39">
            <v>0.12131882041201551</v>
          </cell>
          <cell r="G39">
            <v>9.7055056329612421E-2</v>
          </cell>
          <cell r="H39">
            <v>7.2791292247209302E-2</v>
          </cell>
          <cell r="I39">
            <v>4.8527528164806211E-2</v>
          </cell>
          <cell r="J39">
            <v>2.4263764082403105E-2</v>
          </cell>
        </row>
        <row r="40">
          <cell r="F40">
            <v>0.49875373808340068</v>
          </cell>
          <cell r="G40">
            <v>0.39900299046672055</v>
          </cell>
          <cell r="H40">
            <v>0.29925224285004037</v>
          </cell>
          <cell r="I40">
            <v>0.19950149523336028</v>
          </cell>
          <cell r="J40">
            <v>9.9750747616680138E-2</v>
          </cell>
        </row>
        <row r="41">
          <cell r="F41">
            <v>1.1550685436347259</v>
          </cell>
          <cell r="G41">
            <v>0.92405483490778073</v>
          </cell>
          <cell r="H41">
            <v>0.69304112618083547</v>
          </cell>
          <cell r="I41">
            <v>0.46202741745389037</v>
          </cell>
          <cell r="J41">
            <v>0.23101370872694518</v>
          </cell>
        </row>
        <row r="42">
          <cell r="F42">
            <v>1.9148386534235038</v>
          </cell>
          <cell r="G42">
            <v>1.5318709227388032</v>
          </cell>
          <cell r="H42">
            <v>1.1489031920541022</v>
          </cell>
          <cell r="I42">
            <v>0.7659354613694016</v>
          </cell>
          <cell r="J42">
            <v>0.3829677306847008</v>
          </cell>
        </row>
        <row r="43">
          <cell r="F43">
            <v>3.3647159935830295</v>
          </cell>
          <cell r="G43">
            <v>2.6917727948664236</v>
          </cell>
          <cell r="H43">
            <v>2.0188295961498177</v>
          </cell>
          <cell r="I43">
            <v>1.3458863974332118</v>
          </cell>
          <cell r="J43">
            <v>0.67294319871660591</v>
          </cell>
        </row>
        <row r="44">
          <cell r="F44">
            <v>5.7532512623914602</v>
          </cell>
          <cell r="G44">
            <v>4.6026010099131689</v>
          </cell>
          <cell r="H44">
            <v>3.4519507574348758</v>
          </cell>
          <cell r="I44">
            <v>2.3013005049565844</v>
          </cell>
          <cell r="J44">
            <v>1.1506502524782922</v>
          </cell>
        </row>
        <row r="45">
          <cell r="F45">
            <v>8.1385217780793742</v>
          </cell>
          <cell r="G45">
            <v>6.5108174224635</v>
          </cell>
          <cell r="H45">
            <v>4.8831130668476241</v>
          </cell>
          <cell r="I45">
            <v>3.25540871123175</v>
          </cell>
          <cell r="J45">
            <v>1.627704355615875</v>
          </cell>
        </row>
        <row r="46">
          <cell r="F46">
            <v>13.530461208780551</v>
          </cell>
          <cell r="G46">
            <v>10.824368967024441</v>
          </cell>
          <cell r="H46">
            <v>8.1182767252683306</v>
          </cell>
          <cell r="I46">
            <v>5.4121844835122204</v>
          </cell>
          <cell r="J46">
            <v>2.7060922417561102</v>
          </cell>
        </row>
        <row r="47">
          <cell r="F47">
            <v>22.250481908800957</v>
          </cell>
          <cell r="G47">
            <v>17.800385527040767</v>
          </cell>
          <cell r="H47">
            <v>13.350289145280575</v>
          </cell>
          <cell r="I47">
            <v>8.9001927635203835</v>
          </cell>
          <cell r="J47">
            <v>4.4500963817601917</v>
          </cell>
        </row>
        <row r="64">
          <cell r="CD64">
            <v>14196.806275839568</v>
          </cell>
        </row>
      </sheetData>
      <sheetData sheetId="6"/>
      <sheetData sheetId="7">
        <row r="5">
          <cell r="M5">
            <v>6201.2271631357262</v>
          </cell>
        </row>
      </sheetData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Sheet1"/>
      <sheetName val="Sheet2"/>
      <sheetName val="士兵相关信息"/>
      <sheetName val="兵营招募"/>
      <sheetName val="兵营招募（备份啊）"/>
      <sheetName val="士兵治疗"/>
      <sheetName val="属性汇总"/>
      <sheetName val="不同付费层特产兵分布"/>
      <sheetName val="不同付费层特殊兵种分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O5">
            <v>3881.9682041229648</v>
          </cell>
        </row>
        <row r="6">
          <cell r="O6">
            <v>4254.3775300524039</v>
          </cell>
        </row>
        <row r="7">
          <cell r="O7">
            <v>4605.0739915191234</v>
          </cell>
        </row>
        <row r="8">
          <cell r="O8">
            <v>5003.3850621776455</v>
          </cell>
        </row>
        <row r="9">
          <cell r="O9">
            <v>5342.067421234613</v>
          </cell>
        </row>
        <row r="10">
          <cell r="O10">
            <v>5840.1238370400015</v>
          </cell>
        </row>
        <row r="11">
          <cell r="O11">
            <v>6414.979183037407</v>
          </cell>
        </row>
        <row r="12">
          <cell r="O12">
            <v>6707.272660398221</v>
          </cell>
        </row>
        <row r="13">
          <cell r="O13">
            <v>7277.4362484573803</v>
          </cell>
        </row>
        <row r="14">
          <cell r="O14">
            <v>7930.5958619602361</v>
          </cell>
        </row>
        <row r="15">
          <cell r="O15">
            <v>8594.5558084599288</v>
          </cell>
        </row>
        <row r="16">
          <cell r="O16">
            <v>9106.1413412102756</v>
          </cell>
        </row>
        <row r="17">
          <cell r="O17">
            <v>10297.438871955635</v>
          </cell>
        </row>
        <row r="18">
          <cell r="O18">
            <v>10785.141785265532</v>
          </cell>
        </row>
        <row r="19">
          <cell r="O19">
            <v>11604.359171206073</v>
          </cell>
        </row>
        <row r="20">
          <cell r="O20">
            <v>11846.255111294762</v>
          </cell>
        </row>
        <row r="21">
          <cell r="O21">
            <v>12798.090616038544</v>
          </cell>
        </row>
        <row r="22">
          <cell r="O22">
            <v>17341.066335414776</v>
          </cell>
        </row>
        <row r="23">
          <cell r="O23">
            <v>15727.040372676491</v>
          </cell>
        </row>
        <row r="24">
          <cell r="O24">
            <v>15564.230586477972</v>
          </cell>
        </row>
        <row r="25">
          <cell r="O25">
            <v>18137.44047456732</v>
          </cell>
        </row>
        <row r="26">
          <cell r="O26">
            <v>20900.904808508571</v>
          </cell>
        </row>
        <row r="27">
          <cell r="O27">
            <v>18008.861509979837</v>
          </cell>
        </row>
        <row r="28">
          <cell r="O28">
            <v>17255.138608473277</v>
          </cell>
        </row>
        <row r="29">
          <cell r="O29">
            <v>23404.958054099108</v>
          </cell>
        </row>
        <row r="30">
          <cell r="O30">
            <v>34703.384134359112</v>
          </cell>
        </row>
        <row r="31">
          <cell r="O31">
            <v>23368.165798994396</v>
          </cell>
        </row>
        <row r="32">
          <cell r="O32">
            <v>18564.290933102042</v>
          </cell>
        </row>
        <row r="33">
          <cell r="O33">
            <v>23685.921622454971</v>
          </cell>
        </row>
        <row r="34">
          <cell r="O34">
            <v>51243.574055461446</v>
          </cell>
        </row>
        <row r="35">
          <cell r="O35">
            <v>43991.113619264994</v>
          </cell>
        </row>
        <row r="36">
          <cell r="O36">
            <v>23385.115432016955</v>
          </cell>
        </row>
        <row r="37">
          <cell r="O37">
            <v>25699.198412859721</v>
          </cell>
        </row>
        <row r="38">
          <cell r="O38">
            <v>47745.631593635</v>
          </cell>
        </row>
        <row r="39">
          <cell r="O39">
            <v>57302.423473814117</v>
          </cell>
        </row>
        <row r="40">
          <cell r="O40">
            <v>54852.098220060405</v>
          </cell>
        </row>
        <row r="41">
          <cell r="O41">
            <v>56964.631903742993</v>
          </cell>
        </row>
        <row r="42">
          <cell r="O42">
            <v>65593.06223732105</v>
          </cell>
        </row>
        <row r="43">
          <cell r="O43">
            <v>71930.197217386405</v>
          </cell>
        </row>
        <row r="44">
          <cell r="O44">
            <v>52740.687889898254</v>
          </cell>
        </row>
        <row r="45">
          <cell r="O45">
            <v>43743.948884821439</v>
          </cell>
        </row>
        <row r="46">
          <cell r="O46">
            <v>48420.423765699306</v>
          </cell>
        </row>
        <row r="47">
          <cell r="O47">
            <v>112672.99515500953</v>
          </cell>
        </row>
        <row r="48">
          <cell r="O48">
            <v>136230.34851770662</v>
          </cell>
        </row>
        <row r="49">
          <cell r="O49">
            <v>67765.831151989856</v>
          </cell>
        </row>
        <row r="50">
          <cell r="O50">
            <v>65409.518340319388</v>
          </cell>
        </row>
        <row r="51">
          <cell r="O51">
            <v>91332.26093324853</v>
          </cell>
        </row>
        <row r="52">
          <cell r="O52">
            <v>130231.40998991292</v>
          </cell>
        </row>
        <row r="53">
          <cell r="O53">
            <v>137519.64091297513</v>
          </cell>
        </row>
        <row r="54">
          <cell r="O54">
            <v>134725.14234831728</v>
          </cell>
        </row>
        <row r="55">
          <cell r="O55">
            <v>143242.90936567669</v>
          </cell>
        </row>
        <row r="56">
          <cell r="O56">
            <v>117264.59350711013</v>
          </cell>
        </row>
        <row r="57">
          <cell r="O57">
            <v>125119.34608724539</v>
          </cell>
        </row>
        <row r="58">
          <cell r="O58">
            <v>182452.74519560978</v>
          </cell>
        </row>
        <row r="59">
          <cell r="O59">
            <v>270798.36666901264</v>
          </cell>
        </row>
        <row r="60">
          <cell r="O60">
            <v>190235.90040597829</v>
          </cell>
        </row>
        <row r="61">
          <cell r="O61">
            <v>150231.27428721619</v>
          </cell>
        </row>
        <row r="62">
          <cell r="O62">
            <v>167562.56951389284</v>
          </cell>
        </row>
        <row r="63">
          <cell r="O63">
            <v>227041.89790458113</v>
          </cell>
        </row>
        <row r="64">
          <cell r="O64">
            <v>236596.95706367728</v>
          </cell>
        </row>
        <row r="65">
          <cell r="O65">
            <v>387234.60686229554</v>
          </cell>
        </row>
        <row r="66">
          <cell r="O66">
            <v>439949.22796282446</v>
          </cell>
        </row>
        <row r="67">
          <cell r="O67">
            <v>226558.4796703879</v>
          </cell>
        </row>
        <row r="68">
          <cell r="O68">
            <v>215011.33683461318</v>
          </cell>
        </row>
        <row r="69">
          <cell r="O69">
            <v>332937.23913583672</v>
          </cell>
        </row>
        <row r="70">
          <cell r="O70">
            <v>449295.58243058284</v>
          </cell>
        </row>
        <row r="71">
          <cell r="O71">
            <v>504015.73132878181</v>
          </cell>
        </row>
        <row r="72">
          <cell r="O72">
            <v>571311.83024733711</v>
          </cell>
        </row>
        <row r="73">
          <cell r="O73">
            <v>402946.67613407009</v>
          </cell>
        </row>
        <row r="74">
          <cell r="O74">
            <v>342850.32939326961</v>
          </cell>
        </row>
        <row r="75">
          <cell r="O75">
            <v>413091.35803320375</v>
          </cell>
        </row>
        <row r="76">
          <cell r="O76">
            <v>569152.34802151786</v>
          </cell>
        </row>
        <row r="77">
          <cell r="O77">
            <v>608006.88344712893</v>
          </cell>
        </row>
        <row r="78">
          <cell r="O78">
            <v>1061387.2414606889</v>
          </cell>
        </row>
        <row r="79">
          <cell r="O79">
            <v>981451.1725439583</v>
          </cell>
        </row>
        <row r="80">
          <cell r="O80">
            <v>472493.3032616367</v>
          </cell>
        </row>
        <row r="81">
          <cell r="O81">
            <v>508796.66680406826</v>
          </cell>
        </row>
        <row r="82">
          <cell r="O82">
            <v>904461.5712592206</v>
          </cell>
        </row>
        <row r="83">
          <cell r="O83">
            <v>1080101.8099738997</v>
          </cell>
        </row>
        <row r="84">
          <cell r="O84">
            <v>1264382.1251946772</v>
          </cell>
        </row>
      </sheetData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设计"/>
      <sheetName val="国建"/>
      <sheetName val="国建支援"/>
      <sheetName val="国家物资"/>
      <sheetName val="国家币"/>
      <sheetName val="变法"/>
      <sheetName val="名胜"/>
      <sheetName val="职位"/>
      <sheetName val="国建-buff效果"/>
      <sheetName val="变法-buff效果"/>
      <sheetName val="职位-buff效果"/>
      <sheetName val="弱国亡国-buff效果"/>
      <sheetName val="变更国家"/>
      <sheetName val="国家任务"/>
      <sheetName val="国建实力"/>
      <sheetName val="国家占领城池实力"/>
      <sheetName val="PVP城防值汇总"/>
      <sheetName val="产出汇总"/>
      <sheetName val="Sheet1"/>
      <sheetName val="总纲"/>
      <sheetName val="名胜（改）"/>
      <sheetName val="Sheet2"/>
    </sheetNames>
    <sheetDataSet>
      <sheetData sheetId="0"/>
      <sheetData sheetId="1"/>
      <sheetData sheetId="2"/>
      <sheetData sheetId="3"/>
      <sheetData sheetId="4">
        <row r="5">
          <cell r="F5">
            <v>2000</v>
          </cell>
        </row>
      </sheetData>
      <sheetData sheetId="5"/>
      <sheetData sheetId="6"/>
      <sheetData sheetId="7">
        <row r="7">
          <cell r="BD7">
            <v>2.8709385014517252</v>
          </cell>
        </row>
      </sheetData>
      <sheetData sheetId="8"/>
      <sheetData sheetId="9">
        <row r="9">
          <cell r="Z9">
            <v>0</v>
          </cell>
        </row>
      </sheetData>
      <sheetData sheetId="10">
        <row r="7">
          <cell r="AX7">
            <v>0</v>
          </cell>
        </row>
      </sheetData>
      <sheetData sheetId="11"/>
      <sheetData sheetId="12"/>
      <sheetData sheetId="13"/>
      <sheetData sheetId="14"/>
      <sheetData sheetId="15">
        <row r="4">
          <cell r="BB4">
            <v>0</v>
          </cell>
        </row>
      </sheetData>
      <sheetData sheetId="16">
        <row r="5">
          <cell r="HL5">
            <v>0</v>
          </cell>
        </row>
      </sheetData>
      <sheetData sheetId="17">
        <row r="5">
          <cell r="BT5">
            <v>0</v>
          </cell>
        </row>
      </sheetData>
      <sheetData sheetId="18"/>
      <sheetData sheetId="19">
        <row r="5">
          <cell r="D5">
            <v>17.225631008710351</v>
          </cell>
        </row>
      </sheetData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 t="str">
            <v>武将第4特性</v>
          </cell>
        </row>
      </sheetData>
      <sheetData sheetId="11">
        <row r="5">
          <cell r="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  <cell r="V7">
            <v>25391.091836841795</v>
          </cell>
          <cell r="Y7">
            <v>1523465.5102105078</v>
          </cell>
          <cell r="AA7">
            <v>1502936.0232060191</v>
          </cell>
          <cell r="AP7">
            <v>18723.681809282018</v>
          </cell>
          <cell r="AS7">
            <v>1123420.9085569212</v>
          </cell>
          <cell r="AU7">
            <v>1108282.2298088849</v>
          </cell>
        </row>
        <row r="8">
          <cell r="V8">
            <v>33648.984661609211</v>
          </cell>
          <cell r="Y8">
            <v>2122514.7099979818</v>
          </cell>
          <cell r="AA8">
            <v>2069167.3509738753</v>
          </cell>
          <cell r="AP8">
            <v>26616.386742564388</v>
          </cell>
          <cell r="AS8">
            <v>1678911.6508630619</v>
          </cell>
          <cell r="AU8">
            <v>1636713.8266564952</v>
          </cell>
        </row>
        <row r="9">
          <cell r="V9">
            <v>43016.636006451488</v>
          </cell>
          <cell r="Y9">
            <v>2845818.9407239589</v>
          </cell>
          <cell r="AA9">
            <v>2761890.216568958</v>
          </cell>
          <cell r="AP9">
            <v>36231.162838679942</v>
          </cell>
          <cell r="AS9">
            <v>2396917.542211012</v>
          </cell>
          <cell r="AU9">
            <v>2326227.7915934501</v>
          </cell>
        </row>
        <row r="10">
          <cell r="V10">
            <v>54033.286351639188</v>
          </cell>
          <cell r="Y10">
            <v>3740960.0842061369</v>
          </cell>
          <cell r="AA10">
            <v>3614474.2645932045</v>
          </cell>
          <cell r="AP10">
            <v>48184.635972596232</v>
          </cell>
          <cell r="AS10">
            <v>3336032.5091538182</v>
          </cell>
          <cell r="AU10">
            <v>3223237.7193999337</v>
          </cell>
        </row>
        <row r="11">
          <cell r="V11">
            <v>66871.00953543486</v>
          </cell>
          <cell r="Y11">
            <v>4835608.6797945844</v>
          </cell>
          <cell r="AA11">
            <v>4651411.1443799222</v>
          </cell>
          <cell r="AP11">
            <v>62852.103806788225</v>
          </cell>
          <cell r="AS11">
            <v>4544991.63124499</v>
          </cell>
          <cell r="AU11">
            <v>4371864.2521719681</v>
          </cell>
        </row>
        <row r="12">
          <cell r="V12">
            <v>81713.101762727165</v>
          </cell>
          <cell r="Y12">
            <v>6160399.9838749971</v>
          </cell>
          <cell r="AA12">
            <v>5899599.570085899</v>
          </cell>
          <cell r="AP12">
            <v>80648.927750471048</v>
          </cell>
          <cell r="AS12">
            <v>6080171.2637980273</v>
          </cell>
          <cell r="AU12">
            <v>5822767.3313167356</v>
          </cell>
        </row>
        <row r="13">
          <cell r="V13">
            <v>98754.531546285929</v>
          </cell>
          <cell r="Y13">
            <v>7749141.9951696703</v>
          </cell>
          <cell r="AA13">
            <v>7388490.8084020261</v>
          </cell>
          <cell r="AP13">
            <v>102033.34176688052</v>
          </cell>
          <cell r="AS13">
            <v>8006426.0466128429</v>
          </cell>
          <cell r="AU13">
            <v>7633800.6569531616</v>
          </cell>
        </row>
        <row r="14">
          <cell r="V14">
            <v>117436.43802136682</v>
          </cell>
          <cell r="Y14">
            <v>9576570.8523228001</v>
          </cell>
          <cell r="AA14">
            <v>9120543.668878857</v>
          </cell>
          <cell r="AP14">
            <v>126683.1132538579</v>
          </cell>
          <cell r="AS14">
            <v>10330608.031960841</v>
          </cell>
          <cell r="AU14">
            <v>9838674.3161531817</v>
          </cell>
        </row>
        <row r="15">
          <cell r="V15">
            <v>138156.57807581412</v>
          </cell>
          <cell r="Y15">
            <v>11691495.472645946</v>
          </cell>
          <cell r="AA15">
            <v>11134757.592996139</v>
          </cell>
          <cell r="AP15">
            <v>155247.88614866216</v>
          </cell>
          <cell r="AS15">
            <v>13137846.806316406</v>
          </cell>
          <cell r="AU15">
            <v>12512235.05363467</v>
          </cell>
        </row>
        <row r="16">
          <cell r="V16">
            <v>161305.19631574361</v>
          </cell>
          <cell r="Y16">
            <v>14146963.297730103</v>
          </cell>
          <cell r="AA16">
            <v>13473298.378790574</v>
          </cell>
          <cell r="AP16">
            <v>188439.1413469855</v>
          </cell>
          <cell r="AS16">
            <v>16526693.97750449</v>
          </cell>
          <cell r="AU16">
            <v>15739708.550004276</v>
          </cell>
        </row>
        <row r="17">
          <cell r="V17">
            <v>190789.41169874318</v>
          </cell>
          <cell r="Y17">
            <v>17320092.741199423</v>
          </cell>
          <cell r="AA17">
            <v>16495326.420189926</v>
          </cell>
          <cell r="AP17">
            <v>226166.33532601976</v>
          </cell>
          <cell r="AS17">
            <v>20531652.505796131</v>
          </cell>
          <cell r="AU17">
            <v>19553954.767424881</v>
          </cell>
        </row>
        <row r="18">
          <cell r="V18">
            <v>223274.57367863297</v>
          </cell>
          <cell r="Y18">
            <v>20513087.162913188</v>
          </cell>
          <cell r="AA18">
            <v>19536273.488488749</v>
          </cell>
          <cell r="AP18">
            <v>258618.93420895832</v>
          </cell>
          <cell r="AS18">
            <v>23760308.448931821</v>
          </cell>
          <cell r="AU18">
            <v>22628865.189458877</v>
          </cell>
        </row>
        <row r="19">
          <cell r="V19">
            <v>260939.32473838667</v>
          </cell>
          <cell r="Y19">
            <v>24194654.210899293</v>
          </cell>
          <cell r="AA19">
            <v>23103389.331261411</v>
          </cell>
          <cell r="AP19">
            <v>296537.84558183386</v>
          </cell>
          <cell r="AS19">
            <v>27495398.179215357</v>
          </cell>
          <cell r="AU19">
            <v>26255258.017546073</v>
          </cell>
        </row>
        <row r="20">
          <cell r="V20">
            <v>300998.40296843974</v>
          </cell>
          <cell r="Y20">
            <v>28231872.060743839</v>
          </cell>
          <cell r="AA20">
            <v>26963226.496146493</v>
          </cell>
          <cell r="AP20">
            <v>334568.42903680907</v>
          </cell>
          <cell r="AS20">
            <v>31380542.192184407</v>
          </cell>
          <cell r="AU20">
            <v>29970405.961008605</v>
          </cell>
        </row>
        <row r="21">
          <cell r="V21">
            <v>345512.69247439777</v>
          </cell>
          <cell r="Y21">
            <v>32776919.346061356</v>
          </cell>
          <cell r="AA21">
            <v>31310086.506310858</v>
          </cell>
          <cell r="AP21">
            <v>377080.45605408796</v>
          </cell>
          <cell r="AS21">
            <v>35771582.243615285</v>
          </cell>
          <cell r="AU21">
            <v>34170732.236609481</v>
          </cell>
        </row>
        <row r="22">
          <cell r="V22">
            <v>394443.27310077229</v>
          </cell>
          <cell r="Y22">
            <v>37840305.137552783</v>
          </cell>
          <cell r="AA22">
            <v>36154298.660949185</v>
          </cell>
          <cell r="AP22">
            <v>422888.26645710127</v>
          </cell>
          <cell r="AS22">
            <v>40569131.566199116</v>
          </cell>
          <cell r="AU22">
            <v>38761539.943400204</v>
          </cell>
        </row>
        <row r="23">
          <cell r="V23">
            <v>448138.47259329783</v>
          </cell>
          <cell r="Y23">
            <v>44066935.680825934</v>
          </cell>
          <cell r="AA23">
            <v>42112353.740013868</v>
          </cell>
          <cell r="AP23">
            <v>472452.24442428048</v>
          </cell>
          <cell r="AS23">
            <v>46457789.144564487</v>
          </cell>
          <cell r="AU23">
            <v>44397161.27768217</v>
          </cell>
        </row>
        <row r="24">
          <cell r="V24">
            <v>507525.80654081353</v>
          </cell>
          <cell r="Y24">
            <v>50600928.092562273</v>
          </cell>
          <cell r="AA24">
            <v>48368589.385021716</v>
          </cell>
          <cell r="AP24">
            <v>528438.26347452728</v>
          </cell>
          <cell r="AS24">
            <v>52685924.985142082</v>
          </cell>
          <cell r="AU24">
            <v>50361603.394206718</v>
          </cell>
        </row>
        <row r="25">
          <cell r="V25">
            <v>572230.74115978449</v>
          </cell>
          <cell r="Y25">
            <v>57834147.744377121</v>
          </cell>
          <cell r="AA25">
            <v>55296746.17731595</v>
          </cell>
          <cell r="AP25">
            <v>588317.75430028222</v>
          </cell>
          <cell r="AS25">
            <v>59460028.054210909</v>
          </cell>
          <cell r="AU25">
            <v>56851293.003266469</v>
          </cell>
        </row>
        <row r="26">
          <cell r="V26">
            <v>639786.33592916233</v>
          </cell>
          <cell r="Y26">
            <v>65532962.758448131</v>
          </cell>
          <cell r="AA26">
            <v>62673784.9350655</v>
          </cell>
          <cell r="AP26">
            <v>650648.87974373298</v>
          </cell>
          <cell r="AS26">
            <v>66645607.151249111</v>
          </cell>
          <cell r="AU26">
            <v>63737885.083271086</v>
          </cell>
        </row>
        <row r="27">
          <cell r="V27">
            <v>717340.68803194701</v>
          </cell>
          <cell r="Y27">
            <v>74646197.266290486</v>
          </cell>
          <cell r="AA27">
            <v>71408470.565734804</v>
          </cell>
          <cell r="AP27">
            <v>718058.82535334292</v>
          </cell>
          <cell r="AS27">
            <v>74720926.360919535</v>
          </cell>
          <cell r="AU27">
            <v>71479958.338048056</v>
          </cell>
        </row>
        <row r="28">
          <cell r="V28">
            <v>800173.7891631627</v>
          </cell>
          <cell r="Y28">
            <v>84567355.619355783</v>
          </cell>
          <cell r="AA28">
            <v>80922837.893562496</v>
          </cell>
          <cell r="AP28">
            <v>789275.66374913289</v>
          </cell>
          <cell r="AS28">
            <v>83415573.769019932</v>
          </cell>
          <cell r="AU28">
            <v>79820693.274272263</v>
          </cell>
        </row>
        <row r="29">
          <cell r="V29">
            <v>887939.04950292723</v>
          </cell>
          <cell r="Y29">
            <v>95285991.889807686</v>
          </cell>
          <cell r="AA29">
            <v>91206431.783375278</v>
          </cell>
          <cell r="AP29">
            <v>862565.2291005007</v>
          </cell>
          <cell r="AS29">
            <v>92563091.431231678</v>
          </cell>
          <cell r="AU29">
            <v>88600109.174956292</v>
          </cell>
        </row>
        <row r="30">
          <cell r="V30">
            <v>982043.19005174073</v>
          </cell>
          <cell r="Y30">
            <v>106971279.46044406</v>
          </cell>
          <cell r="AA30">
            <v>102425775.88517559</v>
          </cell>
          <cell r="AP30">
            <v>942762.32914793107</v>
          </cell>
          <cell r="AS30">
            <v>102692522.6890979</v>
          </cell>
          <cell r="AU30">
            <v>98328835.245224312</v>
          </cell>
        </row>
        <row r="31">
          <cell r="V31">
            <v>1085220.0831659879</v>
          </cell>
          <cell r="Y31">
            <v>119960034.8330524</v>
          </cell>
          <cell r="AA31">
            <v>114720285.25107248</v>
          </cell>
          <cell r="AP31">
            <v>1030125.5517067703</v>
          </cell>
          <cell r="AS31">
            <v>113869895.13191718</v>
          </cell>
          <cell r="AU31">
            <v>108896157.53465892</v>
          </cell>
        </row>
        <row r="32">
          <cell r="V32">
            <v>1196820.513386657</v>
          </cell>
          <cell r="Y32">
            <v>134230535.43932098</v>
          </cell>
          <cell r="AA32">
            <v>128120225.40096237</v>
          </cell>
          <cell r="AP32">
            <v>1125381.0909122182</v>
          </cell>
          <cell r="AS32">
            <v>126218179.51547012</v>
          </cell>
          <cell r="AU32">
            <v>120472600.04063176</v>
          </cell>
        </row>
        <row r="33">
          <cell r="V33">
            <v>1315561.9954746217</v>
          </cell>
          <cell r="Y33">
            <v>149669803.86011004</v>
          </cell>
          <cell r="AA33">
            <v>142585030.81781277</v>
          </cell>
          <cell r="AP33">
            <v>1226140.4300036947</v>
          </cell>
          <cell r="AS33">
            <v>139496426.84638059</v>
          </cell>
          <cell r="AU33">
            <v>132893220.99637656</v>
          </cell>
        </row>
        <row r="34">
          <cell r="V34">
            <v>1458524.696218404</v>
          </cell>
          <cell r="Y34">
            <v>168367257.07053554</v>
          </cell>
          <cell r="AA34">
            <v>160095449.41805634</v>
          </cell>
          <cell r="AP34">
            <v>1340535.9478478213</v>
          </cell>
          <cell r="AS34">
            <v>154747026.99843127</v>
          </cell>
          <cell r="AU34">
            <v>147144375.12659034</v>
          </cell>
        </row>
        <row r="35">
          <cell r="V35">
            <v>1675681.2068048741</v>
          </cell>
          <cell r="Y35">
            <v>196459186.95938522</v>
          </cell>
          <cell r="AA35">
            <v>186465772.17749161</v>
          </cell>
          <cell r="AP35">
            <v>1491440.4644745823</v>
          </cell>
          <cell r="AS35">
            <v>174858546.99516466</v>
          </cell>
          <cell r="AU35">
            <v>165963905.74510607</v>
          </cell>
        </row>
        <row r="36">
          <cell r="V36">
            <v>1916416.762540305</v>
          </cell>
          <cell r="Y36">
            <v>228103516.78947088</v>
          </cell>
          <cell r="AA36">
            <v>216074972.52305597</v>
          </cell>
          <cell r="AP36">
            <v>1654104.2446669647</v>
          </cell>
          <cell r="AS36">
            <v>196881494.00487763</v>
          </cell>
          <cell r="AU36">
            <v>186499375.3983447</v>
          </cell>
        </row>
        <row r="37">
          <cell r="V37">
            <v>2222689.9257439761</v>
          </cell>
          <cell r="Y37">
            <v>269399610.73917508</v>
          </cell>
          <cell r="AA37">
            <v>254671158.47027516</v>
          </cell>
          <cell r="AP37">
            <v>1840934.5108936112</v>
          </cell>
          <cell r="AS37">
            <v>223129207.04180083</v>
          </cell>
          <cell r="AU37">
            <v>210930422.24513531</v>
          </cell>
        </row>
        <row r="38">
          <cell r="V38">
            <v>2564717.3674780503</v>
          </cell>
          <cell r="Y38">
            <v>316503567.48681992</v>
          </cell>
          <cell r="AA38">
            <v>298591350.42267805</v>
          </cell>
          <cell r="AP38">
            <v>2042768.3684611518</v>
          </cell>
          <cell r="AS38">
            <v>252091510.88759044</v>
          </cell>
          <cell r="AU38">
            <v>237824632.63752446</v>
          </cell>
        </row>
        <row r="39">
          <cell r="V39">
            <v>2946038.8369230255</v>
          </cell>
          <cell r="Y39">
            <v>370267877.33453846</v>
          </cell>
          <cell r="AA39">
            <v>348606671.56819594</v>
          </cell>
          <cell r="AP39">
            <v>2262874.941950242</v>
          </cell>
          <cell r="AS39">
            <v>284405585.87630218</v>
          </cell>
          <cell r="AU39">
            <v>267767448.20929182</v>
          </cell>
        </row>
        <row r="40">
          <cell r="V40">
            <v>3369614.3065202888</v>
          </cell>
          <cell r="Y40">
            <v>431161925.23533356</v>
          </cell>
          <cell r="AA40">
            <v>405128029.5342344</v>
          </cell>
          <cell r="AP40">
            <v>2501662.2210601401</v>
          </cell>
          <cell r="AS40">
            <v>320102362.28924805</v>
          </cell>
          <cell r="AU40">
            <v>300774330.23037547</v>
          </cell>
        </row>
        <row r="41">
          <cell r="V41">
            <v>3756018.2400836879</v>
          </cell>
          <cell r="Y41">
            <v>489255214.51655078</v>
          </cell>
          <cell r="AA41">
            <v>458806079.29881716</v>
          </cell>
          <cell r="AP41">
            <v>2728497.4176434064</v>
          </cell>
          <cell r="AS41">
            <v>355411370.24596441</v>
          </cell>
          <cell r="AU41">
            <v>333292098.85254073</v>
          </cell>
        </row>
        <row r="42">
          <cell r="V42">
            <v>4152415.0896874107</v>
          </cell>
          <cell r="Y42">
            <v>550476835.01308155</v>
          </cell>
          <cell r="AA42">
            <v>515258277.67188561</v>
          </cell>
          <cell r="AP42">
            <v>2953678.4758338807</v>
          </cell>
          <cell r="AS42">
            <v>391562872.18523127</v>
          </cell>
          <cell r="AU42">
            <v>366511355.77326232</v>
          </cell>
        </row>
        <row r="43">
          <cell r="V43">
            <v>4578470.6993954759</v>
          </cell>
          <cell r="Y43">
            <v>617342595.22486269</v>
          </cell>
          <cell r="AA43">
            <v>576783153.34788418</v>
          </cell>
          <cell r="AP43">
            <v>3197710.655017131</v>
          </cell>
          <cell r="AS43">
            <v>431166458.0068453</v>
          </cell>
          <cell r="AU43">
            <v>402838798.40891731</v>
          </cell>
        </row>
        <row r="44">
          <cell r="V44">
            <v>5034517.6236484786</v>
          </cell>
          <cell r="Y44">
            <v>690065323.57176411</v>
          </cell>
          <cell r="AA44">
            <v>643651835.15305543</v>
          </cell>
          <cell r="AP44">
            <v>3454042.0758587182</v>
          </cell>
          <cell r="AS44">
            <v>473434565.31206232</v>
          </cell>
          <cell r="AU44">
            <v>441591565.86906445</v>
          </cell>
        </row>
        <row r="45">
          <cell r="V45">
            <v>5522978.6190316826</v>
          </cell>
          <cell r="Y45">
            <v>769298331.12785149</v>
          </cell>
          <cell r="AA45">
            <v>716386535.48150671</v>
          </cell>
          <cell r="AP45">
            <v>3729137.9495765828</v>
          </cell>
          <cell r="AS45">
            <v>519433407.05124432</v>
          </cell>
          <cell r="AU45">
            <v>483707144.33404052</v>
          </cell>
        </row>
        <row r="46">
          <cell r="V46">
            <v>6032111.4301699372</v>
          </cell>
          <cell r="Y46">
            <v>854063672.95199299</v>
          </cell>
          <cell r="AA46">
            <v>794062611.43296742</v>
          </cell>
          <cell r="AP46">
            <v>4018360.6220682175</v>
          </cell>
          <cell r="AS46">
            <v>568944369.12491715</v>
          </cell>
          <cell r="AU46">
            <v>528973969.75788289</v>
          </cell>
        </row>
        <row r="47">
          <cell r="V47">
            <v>6440939.5692014154</v>
          </cell>
          <cell r="Y47">
            <v>924096930.08519101</v>
          </cell>
          <cell r="AA47">
            <v>857686684.1495471</v>
          </cell>
          <cell r="AP47">
            <v>4305539.7333276784</v>
          </cell>
          <cell r="AS47">
            <v>617726033.16339242</v>
          </cell>
          <cell r="AU47">
            <v>573333138.38400078</v>
          </cell>
        </row>
        <row r="48">
          <cell r="V48">
            <v>6868850.6376562212</v>
          </cell>
          <cell r="Y48">
            <v>998501428.89360428</v>
          </cell>
          <cell r="AA48">
            <v>925047488.37564015</v>
          </cell>
          <cell r="AP48">
            <v>4612003.114403829</v>
          </cell>
          <cell r="AS48">
            <v>670431188.96021271</v>
          </cell>
          <cell r="AU48">
            <v>621111467.17489827</v>
          </cell>
        </row>
        <row r="49">
          <cell r="V49">
            <v>7315644.8419602821</v>
          </cell>
          <cell r="Y49">
            <v>1077250532.0616288</v>
          </cell>
          <cell r="AA49">
            <v>996188804.32707834</v>
          </cell>
          <cell r="AP49">
            <v>4932772.6590567408</v>
          </cell>
          <cell r="AS49">
            <v>726365492.89946795</v>
          </cell>
          <cell r="AU49">
            <v>671707416.55718517</v>
          </cell>
        </row>
        <row r="50">
          <cell r="V50">
            <v>7810878.5497620702</v>
          </cell>
          <cell r="Y50">
            <v>1164226621.4490104</v>
          </cell>
          <cell r="AA50">
            <v>1074679117.1576276</v>
          </cell>
          <cell r="AP50">
            <v>5291845.3743032534</v>
          </cell>
          <cell r="AS50">
            <v>788759833.11036384</v>
          </cell>
          <cell r="AU50">
            <v>728091683.76637113</v>
          </cell>
        </row>
        <row r="51">
          <cell r="V51">
            <v>8360842.664021967</v>
          </cell>
          <cell r="Y51">
            <v>1261930631.4656644</v>
          </cell>
          <cell r="AA51">
            <v>1162791978.4022589</v>
          </cell>
          <cell r="AP51">
            <v>5689958.9391829874</v>
          </cell>
          <cell r="AS51">
            <v>858804999.17012</v>
          </cell>
          <cell r="AU51">
            <v>791336337.47121322</v>
          </cell>
        </row>
        <row r="52">
          <cell r="V52">
            <v>8951672.6641337797</v>
          </cell>
          <cell r="Y52">
            <v>1369089858.6819208</v>
          </cell>
          <cell r="AA52">
            <v>1259309513.6704082</v>
          </cell>
          <cell r="AP52">
            <v>6134560.856786604</v>
          </cell>
          <cell r="AS52">
            <v>938234157.08044457</v>
          </cell>
          <cell r="AU52">
            <v>863001937.06748009</v>
          </cell>
        </row>
        <row r="53">
          <cell r="V53">
            <v>9546170.3473790996</v>
          </cell>
          <cell r="Y53">
            <v>1478786780.4520788</v>
          </cell>
          <cell r="AA53">
            <v>1360359753.0539484</v>
          </cell>
          <cell r="AP53">
            <v>6586202.5645949775</v>
          </cell>
          <cell r="AS53">
            <v>1020261417.0379471</v>
          </cell>
          <cell r="AU53">
            <v>938554893.56478584</v>
          </cell>
        </row>
        <row r="54">
          <cell r="V54">
            <v>10162725.113372838</v>
          </cell>
          <cell r="Y54">
            <v>1594174012.3901076</v>
          </cell>
          <cell r="AA54">
            <v>1467342794.7517207</v>
          </cell>
          <cell r="AP54">
            <v>7063587.9172635889</v>
          </cell>
          <cell r="AS54">
            <v>1108028424.100234</v>
          </cell>
          <cell r="AU54">
            <v>1019874563.1576142</v>
          </cell>
        </row>
        <row r="55">
          <cell r="V55">
            <v>10803623.530459385</v>
          </cell>
          <cell r="Y55">
            <v>1716050009.7116489</v>
          </cell>
          <cell r="AA55">
            <v>1580199357.2276073</v>
          </cell>
          <cell r="AP55">
            <v>7563944.5696498696</v>
          </cell>
          <cell r="AS55">
            <v>1201458669.4557004</v>
          </cell>
          <cell r="AU55">
            <v>1106345506.520786</v>
          </cell>
        </row>
        <row r="56">
          <cell r="V56">
            <v>12279650.901234383</v>
          </cell>
          <cell r="Y56">
            <v>1973004633.1765385</v>
          </cell>
          <cell r="AA56">
            <v>1817243391.8832545</v>
          </cell>
          <cell r="AP56">
            <v>8270974.5811723545</v>
          </cell>
          <cell r="AS56">
            <v>1328919795.9119537</v>
          </cell>
          <cell r="AU56">
            <v>1224006612.481055</v>
          </cell>
        </row>
        <row r="57">
          <cell r="V57">
            <v>14378691.200706832</v>
          </cell>
          <cell r="Y57">
            <v>2358536611.0515451</v>
          </cell>
          <cell r="AA57">
            <v>2172886533.4548492</v>
          </cell>
          <cell r="AP57">
            <v>9134980.1875749733</v>
          </cell>
          <cell r="AS57">
            <v>1498410732.4432256</v>
          </cell>
          <cell r="AU57">
            <v>1380464685.9640992</v>
          </cell>
        </row>
        <row r="58">
          <cell r="V58">
            <v>16679402.886521986</v>
          </cell>
          <cell r="Y58">
            <v>2791739600.2255249</v>
          </cell>
          <cell r="AA58">
            <v>2572738427.3042369</v>
          </cell>
          <cell r="AP58">
            <v>10060935.744052783</v>
          </cell>
          <cell r="AS58">
            <v>1683963923.8340538</v>
          </cell>
          <cell r="AU58">
            <v>1551863467.7431633</v>
          </cell>
        </row>
        <row r="59">
          <cell r="V59">
            <v>19192920.184641715</v>
          </cell>
          <cell r="Y59">
            <v>3276518773.9049721</v>
          </cell>
          <cell r="AA59">
            <v>3020439121.4675207</v>
          </cell>
          <cell r="AP59">
            <v>11062281.970905304</v>
          </cell>
          <cell r="AS59">
            <v>1888497123.4812825</v>
          </cell>
          <cell r="AU59">
            <v>1740899712.8203785</v>
          </cell>
        </row>
        <row r="60">
          <cell r="V60">
            <v>20350525.28779624</v>
          </cell>
          <cell r="Y60">
            <v>3544362339.8142972</v>
          </cell>
          <cell r="AA60">
            <v>3269430618.4591961</v>
          </cell>
          <cell r="AP60">
            <v>11869347.08503662</v>
          </cell>
          <cell r="AS60">
            <v>2067232477.3658993</v>
          </cell>
          <cell r="AU60">
            <v>1906879858.4874485</v>
          </cell>
        </row>
        <row r="61">
          <cell r="V61">
            <v>21154977.956270408</v>
          </cell>
          <cell r="Y61">
            <v>3762249660.3134637</v>
          </cell>
          <cell r="AA61">
            <v>3472766572.4683218</v>
          </cell>
          <cell r="AP61">
            <v>12666308.505329108</v>
          </cell>
          <cell r="AS61">
            <v>2252605271.9178195</v>
          </cell>
          <cell r="AU61">
            <v>2079280482.5797603</v>
          </cell>
        </row>
        <row r="62">
          <cell r="V62">
            <v>21974177.283150848</v>
          </cell>
          <cell r="Y62">
            <v>3989727537.7085252</v>
          </cell>
          <cell r="AA62">
            <v>3685228994.2365141</v>
          </cell>
          <cell r="AP62">
            <v>13504511.862239087</v>
          </cell>
          <cell r="AS62">
            <v>2451938116.5364399</v>
          </cell>
          <cell r="AU62">
            <v>2264804639.8485394</v>
          </cell>
        </row>
        <row r="63">
          <cell r="V63">
            <v>22822339.663863041</v>
          </cell>
          <cell r="Y63">
            <v>4228287127.6526575</v>
          </cell>
          <cell r="AA63">
            <v>3908411756.8397689</v>
          </cell>
          <cell r="AP63">
            <v>14398075.131017596</v>
          </cell>
          <cell r="AS63">
            <v>2667526495.3598881</v>
          </cell>
          <cell r="AU63">
            <v>2465724677.9582047</v>
          </cell>
        </row>
        <row r="64">
          <cell r="V64">
            <v>23704217.975571364</v>
          </cell>
          <cell r="Y64">
            <v>4479341322.5141258</v>
          </cell>
          <cell r="AA64">
            <v>4143447773.3631392</v>
          </cell>
          <cell r="AP64">
            <v>15356014.186551353</v>
          </cell>
          <cell r="AS64">
            <v>2901797012.0684671</v>
          </cell>
          <cell r="AU64">
            <v>2684199194.1927934</v>
          </cell>
        </row>
        <row r="65">
          <cell r="V65">
            <v>24621354.092281081</v>
          </cell>
          <cell r="Y65">
            <v>4744030810.3898497</v>
          </cell>
          <cell r="AA65">
            <v>4391648525.8970442</v>
          </cell>
          <cell r="AP65">
            <v>16376660.653885337</v>
          </cell>
          <cell r="AS65">
            <v>3155447195.2331762</v>
          </cell>
          <cell r="AU65">
            <v>2921063453.7074108</v>
          </cell>
        </row>
        <row r="66">
          <cell r="V66">
            <v>27205998.872698732</v>
          </cell>
          <cell r="Y66">
            <v>5361449727.0036592</v>
          </cell>
          <cell r="AA66">
            <v>4967015929.6915703</v>
          </cell>
          <cell r="AP66">
            <v>19252633.198136032</v>
          </cell>
          <cell r="AS66">
            <v>3794090615.3543758</v>
          </cell>
          <cell r="AU66">
            <v>3514965071.8986616</v>
          </cell>
        </row>
        <row r="67">
          <cell r="V67">
            <v>30292977.349853583</v>
          </cell>
          <cell r="Y67">
            <v>6086627981.1664648</v>
          </cell>
          <cell r="AA67">
            <v>5641895611.8390751</v>
          </cell>
          <cell r="AP67">
            <v>22750296.247530818</v>
          </cell>
          <cell r="AS67">
            <v>4571111915.5052872</v>
          </cell>
          <cell r="AU67">
            <v>4237113938.4753628</v>
          </cell>
        </row>
        <row r="68">
          <cell r="V68">
            <v>33640603.778291501</v>
          </cell>
          <cell r="Y68">
            <v>6889731960.9700603</v>
          </cell>
          <cell r="AA68">
            <v>6388357589.8652382</v>
          </cell>
          <cell r="AP68">
            <v>26771156.213363674</v>
          </cell>
          <cell r="AS68">
            <v>5482841265.6005354</v>
          </cell>
          <cell r="AU68">
            <v>5083848081.6884871</v>
          </cell>
        </row>
        <row r="69">
          <cell r="V69">
            <v>37266699.761245124</v>
          </cell>
          <cell r="Y69">
            <v>7776509068.2560558</v>
          </cell>
          <cell r="AA69">
            <v>7213059526.3081398</v>
          </cell>
          <cell r="AP69">
            <v>31329948.831117779</v>
          </cell>
          <cell r="AS69">
            <v>6537676605.4973421</v>
          </cell>
          <cell r="AU69">
            <v>6063987080.2310696</v>
          </cell>
        </row>
        <row r="70">
          <cell r="V70">
            <v>41209258.557366043</v>
          </cell>
          <cell r="Y70">
            <v>8758288449.3952255</v>
          </cell>
          <cell r="AA70">
            <v>8126469321.3453016</v>
          </cell>
          <cell r="AP70">
            <v>36561649.940134488</v>
          </cell>
          <cell r="AS70">
            <v>7770522634.27034</v>
          </cell>
          <cell r="AU70">
            <v>7209960503.479146</v>
          </cell>
        </row>
        <row r="71">
          <cell r="V71">
            <v>45517149.759660378</v>
          </cell>
          <cell r="Y71">
            <v>9872013498.0164318</v>
          </cell>
          <cell r="AA71">
            <v>9162958934.1922894</v>
          </cell>
          <cell r="AP71">
            <v>42417897.271773092</v>
          </cell>
          <cell r="AS71">
            <v>9199830319.6817474</v>
          </cell>
          <cell r="AU71">
            <v>8539055121.6039944</v>
          </cell>
        </row>
        <row r="72">
          <cell r="V72">
            <v>50108534.534656942</v>
          </cell>
          <cell r="Y72">
            <v>11078229167.78031</v>
          </cell>
          <cell r="AA72">
            <v>10286221987.858789</v>
          </cell>
          <cell r="AP72">
            <v>48788056.267389573</v>
          </cell>
          <cell r="AS72">
            <v>10786291656.701361</v>
          </cell>
          <cell r="AU72">
            <v>10015155737.101427</v>
          </cell>
        </row>
        <row r="73">
          <cell r="V73">
            <v>54962304.636230379</v>
          </cell>
          <cell r="Y73">
            <v>12387464205.377201</v>
          </cell>
          <cell r="AA73">
            <v>11500684157.018105</v>
          </cell>
          <cell r="AP73">
            <v>55799565.948878847</v>
          </cell>
          <cell r="AS73">
            <v>12576167073.818115</v>
          </cell>
          <cell r="AU73">
            <v>11675878373.80706</v>
          </cell>
        </row>
        <row r="74">
          <cell r="V74">
            <v>60167324.624242805</v>
          </cell>
          <cell r="Y74">
            <v>13811226641.519436</v>
          </cell>
          <cell r="AA74">
            <v>12819311035.68005</v>
          </cell>
          <cell r="AP74">
            <v>63641148.531808548</v>
          </cell>
          <cell r="AS74">
            <v>14608632369.624352</v>
          </cell>
          <cell r="AU74">
            <v>13559447470.736422</v>
          </cell>
        </row>
        <row r="75">
          <cell r="V75">
            <v>65980126.058879726</v>
          </cell>
          <cell r="Y75">
            <v>15415050607.133268</v>
          </cell>
          <cell r="AA75">
            <v>14284621298.320469</v>
          </cell>
          <cell r="AP75">
            <v>72802154.63056986</v>
          </cell>
          <cell r="AS75">
            <v>17008892904.161734</v>
          </cell>
          <cell r="AU75">
            <v>15761582626.735521</v>
          </cell>
        </row>
        <row r="76">
          <cell r="V76">
            <v>71477424.889515281</v>
          </cell>
          <cell r="Y76">
            <v>16986280812.813417</v>
          </cell>
          <cell r="AA76">
            <v>15702300174.7138</v>
          </cell>
          <cell r="AP76">
            <v>82992318.901744425</v>
          </cell>
          <cell r="AS76">
            <v>19722742339.286217</v>
          </cell>
          <cell r="AU76">
            <v>18231914560.507919</v>
          </cell>
        </row>
        <row r="77">
          <cell r="V77">
            <v>77052237.597048894</v>
          </cell>
          <cell r="Y77">
            <v>18591066110.673695</v>
          </cell>
          <cell r="AA77">
            <v>17143806619.66238</v>
          </cell>
          <cell r="AP77">
            <v>91637756.018945754</v>
          </cell>
          <cell r="AS77">
            <v>22110241486.968266</v>
          </cell>
          <cell r="AU77">
            <v>20389024605.156677</v>
          </cell>
        </row>
        <row r="78">
          <cell r="V78">
            <v>82957622.744147733</v>
          </cell>
          <cell r="Y78">
            <v>20317322933.216709</v>
          </cell>
          <cell r="AA78">
            <v>18689790184.264217</v>
          </cell>
          <cell r="AP78">
            <v>101086282.72524898</v>
          </cell>
          <cell r="AS78">
            <v>24757250537.19931</v>
          </cell>
          <cell r="AU78">
            <v>22774054416.541195</v>
          </cell>
        </row>
        <row r="79">
          <cell r="V79">
            <v>89500672.224993065</v>
          </cell>
          <cell r="Y79">
            <v>22255028302.452171</v>
          </cell>
          <cell r="AA79">
            <v>20421715503.677525</v>
          </cell>
          <cell r="AP79">
            <v>111941841.46095687</v>
          </cell>
          <cell r="AS79">
            <v>27835197077.397171</v>
          </cell>
          <cell r="AU79">
            <v>25542204124.753555</v>
          </cell>
        </row>
        <row r="80">
          <cell r="V80">
            <v>96591746.358238712</v>
          </cell>
          <cell r="Y80">
            <v>24383338754.013611</v>
          </cell>
          <cell r="AA80">
            <v>22318624592.419792</v>
          </cell>
          <cell r="AP80">
            <v>124301544.04236907</v>
          </cell>
          <cell r="AS80">
            <v>31378319269.548134</v>
          </cell>
          <cell r="AU80">
            <v>28721289368.251945</v>
          </cell>
        </row>
        <row r="81">
          <cell r="V81">
            <v>104206469.87901221</v>
          </cell>
          <cell r="Y81">
            <v>26849798195.234852</v>
          </cell>
          <cell r="AA81">
            <v>24523110895.854622</v>
          </cell>
          <cell r="AP81">
            <v>137019270.54993364</v>
          </cell>
          <cell r="AS81">
            <v>35304331558.255424</v>
          </cell>
          <cell r="AU81">
            <v>32245010990.837547</v>
          </cell>
        </row>
        <row r="82">
          <cell r="V82">
            <v>112480044.21253638</v>
          </cell>
          <cell r="Y82">
            <v>29681498046.086319</v>
          </cell>
          <cell r="AA82">
            <v>27052699561.694195</v>
          </cell>
          <cell r="AP82">
            <v>151398229.8097527</v>
          </cell>
          <cell r="AS82">
            <v>39951320198.523346</v>
          </cell>
          <cell r="AU82">
            <v>36412955328.115776</v>
          </cell>
        </row>
        <row r="83">
          <cell r="V83">
            <v>121341793.31268263</v>
          </cell>
          <cell r="Y83">
            <v>32815904605.769161</v>
          </cell>
          <cell r="AA83">
            <v>29847044444.245224</v>
          </cell>
          <cell r="AP83">
            <v>167430953.31978521</v>
          </cell>
          <cell r="AS83">
            <v>45280344407.278404</v>
          </cell>
          <cell r="AU83">
            <v>41183824374.513</v>
          </cell>
        </row>
        <row r="84">
          <cell r="V84">
            <v>130857093.83866751</v>
          </cell>
          <cell r="Y84">
            <v>36104628180.514465</v>
          </cell>
          <cell r="AA84">
            <v>32769806800.793377</v>
          </cell>
          <cell r="AP84">
            <v>184626988.41242546</v>
          </cell>
          <cell r="AS84">
            <v>50940217096.194153</v>
          </cell>
          <cell r="AU84">
            <v>46235099397.413811</v>
          </cell>
        </row>
        <row r="85">
          <cell r="V85">
            <v>140944075.5083009</v>
          </cell>
          <cell r="Y85">
            <v>39592941851.255676</v>
          </cell>
          <cell r="AA85">
            <v>35861212071.575546</v>
          </cell>
          <cell r="AP85">
            <v>203356540.74529764</v>
          </cell>
          <cell r="AS85">
            <v>57125378727.443451</v>
          </cell>
          <cell r="AU85">
            <v>51741174700.029251</v>
          </cell>
        </row>
        <row r="86">
          <cell r="V86">
            <v>151555119.59596303</v>
          </cell>
          <cell r="Y86">
            <v>43331986990.955582</v>
          </cell>
          <cell r="AA86">
            <v>39168849410.968941</v>
          </cell>
          <cell r="AP86">
            <v>223255892.52662325</v>
          </cell>
          <cell r="AS86">
            <v>63832363145.556877</v>
          </cell>
          <cell r="AU86">
            <v>57699643917.008957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10月底城池buff规划"/>
      <sheetName val="城池效果设计"/>
      <sheetName val="国内任务设计"/>
      <sheetName val="各等级城池分布"/>
      <sheetName val="节奏总纲"/>
      <sheetName val="初版城池buff规划"/>
      <sheetName val="引用信息"/>
      <sheetName val="资源点"/>
      <sheetName val="普通野怪"/>
      <sheetName val="精英野怪"/>
      <sheetName val="阶段对应野怪"/>
      <sheetName val="据点"/>
      <sheetName val="移动速度"/>
      <sheetName val="Sheet1"/>
      <sheetName val="加成效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X3">
            <v>0.2872340425531914</v>
          </cell>
        </row>
        <row r="4">
          <cell r="X4">
            <v>0.5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BW363"/>
  <sheetViews>
    <sheetView topLeftCell="A39" workbookViewId="0">
      <selection activeCell="J90" sqref="J90"/>
    </sheetView>
  </sheetViews>
  <sheetFormatPr defaultColWidth="8.125" defaultRowHeight="11.25" x14ac:dyDescent="0.15"/>
  <cols>
    <col min="1" max="12" width="8.125" style="31"/>
    <col min="13" max="13" width="4.375" style="34" customWidth="1"/>
    <col min="14" max="14" width="10.5" style="31" bestFit="1" customWidth="1"/>
    <col min="15" max="15" width="9.75" style="31" bestFit="1" customWidth="1"/>
    <col min="16" max="16" width="9" style="31" bestFit="1" customWidth="1"/>
    <col min="17" max="35" width="8.125" style="31"/>
    <col min="36" max="36" width="3" style="34" customWidth="1"/>
    <col min="37" max="43" width="8.125" style="31"/>
    <col min="44" max="44" width="8.125" style="29"/>
    <col min="45" max="50" width="8.125" style="31"/>
    <col min="51" max="51" width="8.125" style="29"/>
    <col min="52" max="58" width="8.125" style="31"/>
    <col min="59" max="59" width="3" style="34" customWidth="1"/>
    <col min="60" max="67" width="8.125" style="31"/>
    <col min="68" max="68" width="3" style="34" customWidth="1"/>
    <col min="69" max="16384" width="8.125" style="31"/>
  </cols>
  <sheetData>
    <row r="1" spans="2:75" x14ac:dyDescent="0.15">
      <c r="F1" s="64" t="s">
        <v>194</v>
      </c>
      <c r="G1" s="64" t="s">
        <v>150</v>
      </c>
      <c r="H1" s="17"/>
      <c r="I1" s="64" t="s">
        <v>151</v>
      </c>
      <c r="J1" s="64" t="s">
        <v>150</v>
      </c>
      <c r="K1" s="64" t="s">
        <v>152</v>
      </c>
      <c r="BR1" s="31" t="s">
        <v>153</v>
      </c>
    </row>
    <row r="2" spans="2:75" ht="13.5" customHeight="1" x14ac:dyDescent="0.15">
      <c r="F2" s="64"/>
      <c r="G2" s="64"/>
      <c r="H2" s="17"/>
      <c r="I2" s="64"/>
      <c r="J2" s="64"/>
      <c r="K2" s="64"/>
      <c r="P2" s="63" t="s">
        <v>195</v>
      </c>
      <c r="Q2" s="63"/>
      <c r="R2" s="63"/>
      <c r="S2" s="63"/>
      <c r="T2" s="63"/>
      <c r="W2" s="63" t="s">
        <v>196</v>
      </c>
      <c r="X2" s="63"/>
      <c r="Y2" s="63"/>
      <c r="Z2" s="63"/>
      <c r="AA2" s="63"/>
      <c r="AD2" s="63" t="s">
        <v>197</v>
      </c>
      <c r="AE2" s="63"/>
      <c r="AF2" s="63"/>
      <c r="AG2" s="63"/>
      <c r="AH2" s="63"/>
      <c r="AM2" s="63" t="s">
        <v>154</v>
      </c>
      <c r="AN2" s="63"/>
      <c r="AO2" s="63"/>
      <c r="AP2" s="63"/>
      <c r="AQ2" s="63"/>
      <c r="AT2" s="63" t="s">
        <v>155</v>
      </c>
      <c r="AU2" s="63"/>
      <c r="AV2" s="63"/>
      <c r="AW2" s="63"/>
      <c r="AX2" s="63"/>
      <c r="BA2" s="63" t="s">
        <v>156</v>
      </c>
      <c r="BB2" s="63"/>
      <c r="BC2" s="63"/>
      <c r="BD2" s="63"/>
      <c r="BE2" s="63"/>
      <c r="BJ2" s="63" t="s">
        <v>157</v>
      </c>
      <c r="BK2" s="63"/>
      <c r="BL2" s="63"/>
      <c r="BM2" s="63"/>
      <c r="BN2" s="63"/>
    </row>
    <row r="3" spans="2:75" ht="13.5" customHeight="1" x14ac:dyDescent="0.15">
      <c r="F3" s="31">
        <v>1</v>
      </c>
      <c r="G3" s="31">
        <f>(2^(F3/10)-1)/(2-1)</f>
        <v>7.1773462536293131E-2</v>
      </c>
      <c r="I3" s="31">
        <v>1</v>
      </c>
      <c r="J3" s="31">
        <f>(2^(I3/5)-1)/(2-1)*1/2*K3</f>
        <v>7.4349177498517554E-3</v>
      </c>
      <c r="K3" s="35">
        <v>0.1</v>
      </c>
      <c r="N3" s="41" t="str">
        <f>[1]节奏总纲!N3</f>
        <v>对应玩家等级</v>
      </c>
      <c r="O3" s="31" t="s">
        <v>194</v>
      </c>
      <c r="P3" s="31" t="s">
        <v>144</v>
      </c>
      <c r="Q3" s="31" t="s">
        <v>145</v>
      </c>
      <c r="R3" s="31" t="s">
        <v>146</v>
      </c>
      <c r="S3" s="31" t="s">
        <v>147</v>
      </c>
      <c r="T3" s="31" t="s">
        <v>148</v>
      </c>
      <c r="V3" s="31" t="s">
        <v>194</v>
      </c>
      <c r="W3" s="31" t="s">
        <v>144</v>
      </c>
      <c r="X3" s="31" t="s">
        <v>145</v>
      </c>
      <c r="Y3" s="31" t="s">
        <v>146</v>
      </c>
      <c r="Z3" s="31" t="s">
        <v>147</v>
      </c>
      <c r="AA3" s="31" t="s">
        <v>148</v>
      </c>
      <c r="AC3" s="31" t="s">
        <v>158</v>
      </c>
      <c r="AD3" s="31" t="s">
        <v>144</v>
      </c>
      <c r="AE3" s="31" t="s">
        <v>145</v>
      </c>
      <c r="AF3" s="31" t="s">
        <v>146</v>
      </c>
      <c r="AG3" s="31" t="s">
        <v>147</v>
      </c>
      <c r="AH3" s="31" t="s">
        <v>148</v>
      </c>
      <c r="AL3" s="31" t="s">
        <v>151</v>
      </c>
      <c r="AM3" s="31" t="s">
        <v>144</v>
      </c>
      <c r="AN3" s="31" t="s">
        <v>145</v>
      </c>
      <c r="AO3" s="31" t="s">
        <v>146</v>
      </c>
      <c r="AP3" s="31" t="s">
        <v>147</v>
      </c>
      <c r="AQ3" s="31" t="s">
        <v>148</v>
      </c>
      <c r="AS3" s="31" t="s">
        <v>151</v>
      </c>
      <c r="AT3" s="31" t="s">
        <v>144</v>
      </c>
      <c r="AU3" s="31" t="s">
        <v>145</v>
      </c>
      <c r="AV3" s="31" t="s">
        <v>146</v>
      </c>
      <c r="AW3" s="31" t="s">
        <v>147</v>
      </c>
      <c r="AX3" s="31" t="s">
        <v>148</v>
      </c>
      <c r="AZ3" s="31" t="s">
        <v>158</v>
      </c>
      <c r="BA3" s="31" t="s">
        <v>144</v>
      </c>
      <c r="BB3" s="31" t="s">
        <v>145</v>
      </c>
      <c r="BC3" s="31" t="s">
        <v>146</v>
      </c>
      <c r="BD3" s="31" t="s">
        <v>147</v>
      </c>
      <c r="BE3" s="31" t="s">
        <v>148</v>
      </c>
      <c r="BI3" s="31" t="s">
        <v>159</v>
      </c>
      <c r="BJ3" s="31" t="s">
        <v>144</v>
      </c>
      <c r="BK3" s="31" t="s">
        <v>145</v>
      </c>
      <c r="BL3" s="31" t="s">
        <v>146</v>
      </c>
      <c r="BM3" s="31" t="s">
        <v>147</v>
      </c>
      <c r="BN3" s="31" t="s">
        <v>148</v>
      </c>
      <c r="BR3" s="31" t="s">
        <v>160</v>
      </c>
      <c r="BS3" s="31" t="s">
        <v>161</v>
      </c>
      <c r="BT3" s="31" t="s">
        <v>162</v>
      </c>
      <c r="BU3" s="31" t="s">
        <v>163</v>
      </c>
      <c r="BV3" s="31" t="s">
        <v>164</v>
      </c>
      <c r="BW3" s="31" t="s">
        <v>165</v>
      </c>
    </row>
    <row r="4" spans="2:75" x14ac:dyDescent="0.15">
      <c r="F4" s="31">
        <v>2</v>
      </c>
      <c r="G4" s="31">
        <f t="shared" ref="G4:G67" si="0">(2^(F4/10)-1)/(2-1)</f>
        <v>0.1486983549970351</v>
      </c>
      <c r="I4" s="31">
        <v>2</v>
      </c>
      <c r="J4" s="31">
        <f t="shared" ref="J4:J52" si="1">(2^(I4/5)-1)/(2-1)*1/2*K4</f>
        <v>2.3963093307967063E-2</v>
      </c>
      <c r="K4" s="35">
        <v>0.15</v>
      </c>
      <c r="N4" s="41">
        <f>[1]节奏总纲!N4</f>
        <v>2</v>
      </c>
      <c r="O4" s="31">
        <v>1</v>
      </c>
      <c r="P4" s="31">
        <f>[1]节奏总纲!P4</f>
        <v>7.1773462536293131E-2</v>
      </c>
      <c r="Q4" s="31">
        <f>[1]节奏总纲!Q4</f>
        <v>5.9787294292732177E-2</v>
      </c>
      <c r="R4" s="31">
        <f>[1]节奏总纲!R4</f>
        <v>4.677476553490223E-2</v>
      </c>
      <c r="S4" s="31">
        <f>[1]节奏总纲!S4</f>
        <v>3.2585151991477081E-2</v>
      </c>
      <c r="T4" s="31">
        <f>[1]节奏总纲!T4</f>
        <v>1.7039020006115988E-2</v>
      </c>
      <c r="V4" s="31">
        <v>1</v>
      </c>
      <c r="W4" s="31">
        <f>[1]节奏总纲!W4</f>
        <v>7.1773462536293131E-2</v>
      </c>
      <c r="X4" s="31">
        <f>[1]节奏总纲!X4</f>
        <v>5.9787294292732177E-2</v>
      </c>
      <c r="Y4" s="31">
        <f>[1]节奏总纲!Y4</f>
        <v>4.677476553490223E-2</v>
      </c>
      <c r="Z4" s="31">
        <f>[1]节奏总纲!Z4</f>
        <v>3.2585151991477081E-2</v>
      </c>
      <c r="AA4" s="31">
        <f>[1]节奏总纲!AA4</f>
        <v>1.7039020006115988E-2</v>
      </c>
      <c r="AC4" s="31">
        <v>1</v>
      </c>
      <c r="AD4" s="31">
        <f>[1]节奏总纲!AD4</f>
        <v>10</v>
      </c>
      <c r="AE4" s="31">
        <f>[1]节奏总纲!AE4</f>
        <v>11.148446722089302</v>
      </c>
      <c r="AF4" s="31">
        <f>[1]节奏总纲!AF4</f>
        <v>12.761737853656415</v>
      </c>
      <c r="AG4" s="31">
        <f>[1]节奏总纲!AG4</f>
        <v>15.452231935206081</v>
      </c>
      <c r="AH4" s="31">
        <f>[1]节奏总纲!AH4</f>
        <v>21.291911942729964</v>
      </c>
      <c r="AL4" s="31">
        <v>1</v>
      </c>
      <c r="AM4" s="31">
        <f>[1]节奏总纲!AM4</f>
        <v>7.4349177498517554E-3</v>
      </c>
      <c r="AN4" s="31">
        <f>[1]节奏总纲!AN4</f>
        <v>5.947934199881405E-3</v>
      </c>
      <c r="AO4" s="31">
        <f>[1]节奏总纲!AO4</f>
        <v>4.4609506499110529E-3</v>
      </c>
      <c r="AP4" s="31">
        <f>[1]节奏总纲!AP4</f>
        <v>2.9739670999407025E-3</v>
      </c>
      <c r="AQ4" s="31">
        <f>[1]节奏总纲!AQ4</f>
        <v>1.4869835499703513E-3</v>
      </c>
      <c r="AS4" s="31">
        <v>1</v>
      </c>
      <c r="AT4" s="31">
        <f>[1]节奏总纲!AT4</f>
        <v>7.4349177498517554E-3</v>
      </c>
      <c r="AU4" s="31">
        <f>[1]节奏总纲!AU4</f>
        <v>5.947934199881405E-3</v>
      </c>
      <c r="AV4" s="31">
        <f>[1]节奏总纲!AV4</f>
        <v>4.4609506499110529E-3</v>
      </c>
      <c r="AW4" s="31">
        <f>[1]节奏总纲!AW4</f>
        <v>2.9739670999407025E-3</v>
      </c>
      <c r="AX4" s="31">
        <f>[1]节奏总纲!AX4</f>
        <v>1.4869835499703513E-3</v>
      </c>
      <c r="AY4" s="31"/>
      <c r="AZ4" s="31">
        <v>1</v>
      </c>
      <c r="BA4" s="31">
        <f>[1]节奏总纲!BA4</f>
        <v>11.296493250964016</v>
      </c>
      <c r="BB4" s="31">
        <f>[1]节奏总纲!BB4</f>
        <v>12.361596792946616</v>
      </c>
      <c r="BC4" s="31">
        <f>[1]节奏总纲!BC4</f>
        <v>13.798091195443488</v>
      </c>
      <c r="BD4" s="31">
        <f>[1]节奏总纲!BD4</f>
        <v>15.911635365458322</v>
      </c>
      <c r="BE4" s="31">
        <f>[1]节奏总纲!BE4</f>
        <v>19.707330185578734</v>
      </c>
      <c r="BI4" s="31">
        <v>1</v>
      </c>
      <c r="BJ4" s="31">
        <f>求节点($AL$4:$AL$53,AM$4:AM$53,('[1]功能-城建'!$BG6+'[1]功能-城建'!$CB6)/2)</f>
        <v>2.3963093307967063E-2</v>
      </c>
      <c r="BK4" s="31">
        <f>求节点($AL$4:$AL$53,AN$4:AN$53,('[1]功能-城建'!$BG6+'[1]功能-城建'!$CB6)/2)</f>
        <v>1.9170474646373652E-2</v>
      </c>
      <c r="BL4" s="31">
        <f>求节点($AL$4:$AL$53,AO$4:AO$53,('[1]功能-城建'!$BG6+'[1]功能-城建'!$CB6)/2)</f>
        <v>1.4377855984780237E-2</v>
      </c>
      <c r="BM4" s="31">
        <f>求节点($AL$4:$AL$53,AP$4:AP$53,('[1]功能-城建'!$BG6+'[1]功能-城建'!$CB6)/2)</f>
        <v>9.5852373231868262E-3</v>
      </c>
      <c r="BN4" s="31">
        <f>求节点($AL$4:$AL$53,AQ$4:AQ$53,('[1]功能-城建'!$BG6+'[1]功能-城建'!$CB6)/2)</f>
        <v>4.7926186615934131E-3</v>
      </c>
      <c r="BR4" s="31">
        <v>1</v>
      </c>
      <c r="BS4" s="31">
        <f>'[1]功能-城建'!O6</f>
        <v>1</v>
      </c>
      <c r="BT4" s="31">
        <f>'[1]功能-城建'!P6</f>
        <v>1</v>
      </c>
      <c r="BU4" s="31">
        <f>'[1]功能-城建'!Q6</f>
        <v>1</v>
      </c>
      <c r="BV4" s="31">
        <f>'[1]功能-城建'!R6</f>
        <v>0</v>
      </c>
      <c r="BW4" s="31">
        <f>SUM(BS4:BV4)</f>
        <v>3</v>
      </c>
    </row>
    <row r="5" spans="2:75" x14ac:dyDescent="0.15">
      <c r="F5" s="31">
        <v>3</v>
      </c>
      <c r="G5" s="31">
        <f t="shared" si="0"/>
        <v>0.23114441334491631</v>
      </c>
      <c r="I5" s="31">
        <v>3</v>
      </c>
      <c r="J5" s="31">
        <f t="shared" si="1"/>
        <v>5.1571656651039799E-2</v>
      </c>
      <c r="K5" s="35">
        <v>0.2</v>
      </c>
      <c r="N5" s="41">
        <f>[1]节奏总纲!N5</f>
        <v>4</v>
      </c>
      <c r="O5" s="31">
        <v>2</v>
      </c>
      <c r="P5" s="31">
        <f>[1]节奏总纲!P5</f>
        <v>0.1486983549970351</v>
      </c>
      <c r="Q5" s="31">
        <f>[1]节奏总纲!Q5</f>
        <v>0.12505531655250651</v>
      </c>
      <c r="R5" s="31">
        <f>[1]节奏总纲!R5</f>
        <v>9.883979656652922E-2</v>
      </c>
      <c r="S5" s="31">
        <f>[1]节奏总纲!S5</f>
        <v>6.9828747506607683E-2</v>
      </c>
      <c r="T5" s="31">
        <f>[1]节奏总纲!T5</f>
        <v>3.7085369736260552E-2</v>
      </c>
      <c r="V5" s="31">
        <v>2</v>
      </c>
      <c r="W5" s="31">
        <f>[1]节奏总纲!W5</f>
        <v>7.6924892460741967E-2</v>
      </c>
      <c r="X5" s="31">
        <f>[1]节奏总纲!X5</f>
        <v>6.5268022259774336E-2</v>
      </c>
      <c r="Y5" s="31">
        <f>[1]节奏总纲!Y5</f>
        <v>5.206503103162699E-2</v>
      </c>
      <c r="Z5" s="31">
        <f>[1]节奏总纲!Z5</f>
        <v>3.7243595515130602E-2</v>
      </c>
      <c r="AA5" s="31">
        <f>[1]节奏总纲!AA5</f>
        <v>2.0046349730144564E-2</v>
      </c>
      <c r="AC5" s="31">
        <v>2</v>
      </c>
      <c r="AD5" s="31">
        <f>[1]节奏总纲!AD5</f>
        <v>15.845161563010114</v>
      </c>
      <c r="AE5" s="31">
        <f>[1]节奏总纲!AE5</f>
        <v>17.271997130667014</v>
      </c>
      <c r="AF5" s="31">
        <f>[1]节奏总纲!AF5</f>
        <v>19.263096801323076</v>
      </c>
      <c r="AG5" s="31">
        <f>[1]节奏总纲!AG5</f>
        <v>22.536681597650272</v>
      </c>
      <c r="AH5" s="31">
        <f>[1]节奏总纲!AH5</f>
        <v>29.386000042029625</v>
      </c>
      <c r="AL5" s="31">
        <v>2</v>
      </c>
      <c r="AM5" s="31">
        <f>[1]节奏总纲!AM5</f>
        <v>2.3963093307967063E-2</v>
      </c>
      <c r="AN5" s="31">
        <f>[1]节奏总纲!AN5</f>
        <v>1.9170474646373652E-2</v>
      </c>
      <c r="AO5" s="31">
        <f>[1]节奏总纲!AO5</f>
        <v>1.4377855984780237E-2</v>
      </c>
      <c r="AP5" s="31">
        <f>[1]节奏总纲!AP5</f>
        <v>9.5852373231868262E-3</v>
      </c>
      <c r="AQ5" s="31">
        <f>[1]节奏总纲!AQ5</f>
        <v>4.7926186615934131E-3</v>
      </c>
      <c r="AS5" s="31">
        <v>2</v>
      </c>
      <c r="AT5" s="31">
        <f>[1]节奏总纲!AT5</f>
        <v>1.6528175558115307E-2</v>
      </c>
      <c r="AU5" s="31">
        <f>[1]节奏总纲!AU5</f>
        <v>1.3222540446492247E-2</v>
      </c>
      <c r="AV5" s="31">
        <f>[1]节奏总纲!AV5</f>
        <v>9.9169053348691846E-3</v>
      </c>
      <c r="AW5" s="31">
        <f>[1]节奏总纲!AW5</f>
        <v>6.6112702232461237E-3</v>
      </c>
      <c r="AX5" s="31">
        <f>[1]节奏总纲!AX5</f>
        <v>3.3056351116230618E-3</v>
      </c>
      <c r="AY5" s="31"/>
      <c r="AZ5" s="31">
        <v>2</v>
      </c>
      <c r="BA5" s="31">
        <f>[1]节奏总纲!BA5</f>
        <v>14.729965238833779</v>
      </c>
      <c r="BB5" s="31">
        <f>[1]节奏总纲!BB5</f>
        <v>15.911635365458322</v>
      </c>
      <c r="BC5" s="31">
        <f>[1]节奏总纲!BC5</f>
        <v>17.448850811924295</v>
      </c>
      <c r="BD5" s="31">
        <f>[1]节奏总纲!BD5</f>
        <v>19.707330185578734</v>
      </c>
      <c r="BE5" s="31">
        <f>[1]节奏总纲!BE5</f>
        <v>23.710496742673982</v>
      </c>
      <c r="BI5" s="31">
        <v>2</v>
      </c>
      <c r="BJ5" s="31">
        <f>求节点($AL$4:$AL$53,AM$4:AM$53,('[1]功能-城建'!$BG7+'[1]功能-城建'!$CB7)/2)</f>
        <v>0.18527872034949597</v>
      </c>
      <c r="BK5" s="31">
        <f>求节点($AL$4:$AL$53,AN$4:AN$53,('[1]功能-城建'!$BG7+'[1]功能-城建'!$CB7)/2)</f>
        <v>0.1482229762795968</v>
      </c>
      <c r="BL5" s="31">
        <f>求节点($AL$4:$AL$53,AO$4:AO$53,('[1]功能-城建'!$BG7+'[1]功能-城建'!$CB7)/2)</f>
        <v>0.11116723220969758</v>
      </c>
      <c r="BM5" s="31">
        <f>求节点($AL$4:$AL$53,AP$4:AP$53,('[1]功能-城建'!$BG7+'[1]功能-城建'!$CB7)/2)</f>
        <v>7.4111488139798398E-2</v>
      </c>
      <c r="BN5" s="31">
        <f>求节点($AL$4:$AL$53,AQ$4:AQ$53,('[1]功能-城建'!$BG7+'[1]功能-城建'!$CB7)/2)</f>
        <v>3.7055744069899199E-2</v>
      </c>
      <c r="BR5" s="31">
        <v>2</v>
      </c>
      <c r="BS5" s="31">
        <f>'[1]功能-城建'!O7</f>
        <v>1</v>
      </c>
      <c r="BT5" s="31">
        <f>'[1]功能-城建'!P7</f>
        <v>2</v>
      </c>
      <c r="BU5" s="31">
        <f>'[1]功能-城建'!Q7</f>
        <v>1</v>
      </c>
      <c r="BV5" s="31">
        <f>'[1]功能-城建'!R7</f>
        <v>0</v>
      </c>
      <c r="BW5" s="31">
        <f t="shared" ref="BW5:BW53" si="2">SUM(BS5:BV5)</f>
        <v>4</v>
      </c>
    </row>
    <row r="6" spans="2:75" x14ac:dyDescent="0.15">
      <c r="B6" s="63" t="s">
        <v>198</v>
      </c>
      <c r="C6" s="63"/>
      <c r="D6" s="63"/>
      <c r="F6" s="31">
        <v>4</v>
      </c>
      <c r="G6" s="31">
        <f t="shared" si="0"/>
        <v>0.3195079107728942</v>
      </c>
      <c r="I6" s="31">
        <v>4</v>
      </c>
      <c r="J6" s="31">
        <f t="shared" si="1"/>
        <v>9.2637640824031031E-2</v>
      </c>
      <c r="K6" s="35">
        <v>0.25</v>
      </c>
      <c r="N6" s="41">
        <f>[1]节奏总纲!N6</f>
        <v>6</v>
      </c>
      <c r="O6" s="31">
        <v>3</v>
      </c>
      <c r="P6" s="31">
        <f>[1]节奏总纲!P6</f>
        <v>0.23114441334491631</v>
      </c>
      <c r="Q6" s="31">
        <f>[1]节奏总纲!Q6</f>
        <v>0.19582554698581309</v>
      </c>
      <c r="R6" s="31">
        <f>[1]节奏总纲!R6</f>
        <v>0.15616116565582547</v>
      </c>
      <c r="S6" s="31">
        <f>[1]节奏总纲!S6</f>
        <v>0.11120357726023924</v>
      </c>
      <c r="T6" s="31">
        <f>[1]节奏总纲!T6</f>
        <v>5.9380999788309005E-2</v>
      </c>
      <c r="V6" s="31">
        <v>3</v>
      </c>
      <c r="W6" s="31">
        <f>[1]节奏总纲!W6</f>
        <v>8.2446058347881213E-2</v>
      </c>
      <c r="X6" s="31">
        <f>[1]节奏总纲!X6</f>
        <v>7.0770230433306575E-2</v>
      </c>
      <c r="Y6" s="31">
        <f>[1]节奏总纲!Y6</f>
        <v>5.7321369089296248E-2</v>
      </c>
      <c r="Z6" s="31">
        <f>[1]节奏总纲!Z6</f>
        <v>4.1374829753631562E-2</v>
      </c>
      <c r="AA6" s="31">
        <f>[1]节奏总纲!AA6</f>
        <v>2.2295630052048453E-2</v>
      </c>
      <c r="AC6" s="31">
        <v>3</v>
      </c>
      <c r="AD6" s="31">
        <f>[1]节奏总纲!AD6</f>
        <v>20</v>
      </c>
      <c r="AE6" s="31">
        <f>[1]节奏总纲!AE6</f>
        <v>21.543844702365945</v>
      </c>
      <c r="AF6" s="31">
        <f>[1]节奏总纲!AF6</f>
        <v>23.734615677065324</v>
      </c>
      <c r="AG6" s="31">
        <f>[1]节奏总纲!AG6</f>
        <v>27.324610510337703</v>
      </c>
      <c r="AH6" s="31">
        <f>[1]节奏总纲!AH6</f>
        <v>34.517938607173015</v>
      </c>
      <c r="AL6" s="31">
        <v>3</v>
      </c>
      <c r="AM6" s="31">
        <f>[1]节奏总纲!AM6</f>
        <v>5.1571656651039799E-2</v>
      </c>
      <c r="AN6" s="31">
        <f>[1]节奏总纲!AN6</f>
        <v>4.1257325320831845E-2</v>
      </c>
      <c r="AO6" s="31">
        <f>[1]节奏总纲!AO6</f>
        <v>3.0942993990623877E-2</v>
      </c>
      <c r="AP6" s="31">
        <f>[1]节奏总纲!AP6</f>
        <v>2.0628662660415922E-2</v>
      </c>
      <c r="AQ6" s="31">
        <f>[1]节奏总纲!AQ6</f>
        <v>1.0314331330207961E-2</v>
      </c>
      <c r="AS6" s="31">
        <v>3</v>
      </c>
      <c r="AT6" s="31">
        <f>[1]节奏总纲!AT6</f>
        <v>2.7608563343072736E-2</v>
      </c>
      <c r="AU6" s="31">
        <f>[1]节奏总纲!AU6</f>
        <v>2.2086850674458192E-2</v>
      </c>
      <c r="AV6" s="31">
        <f>[1]节奏总纲!AV6</f>
        <v>1.6565138005843638E-2</v>
      </c>
      <c r="AW6" s="31">
        <f>[1]节奏总纲!AW6</f>
        <v>1.1043425337229096E-2</v>
      </c>
      <c r="AX6" s="31">
        <f>[1]节奏总纲!AX6</f>
        <v>5.5217126686145481E-3</v>
      </c>
      <c r="AY6" s="31"/>
      <c r="AZ6" s="31">
        <v>3</v>
      </c>
      <c r="BA6" s="31">
        <f>[1]节奏总纲!BA6</f>
        <v>16.888397947066121</v>
      </c>
      <c r="BB6" s="31">
        <f>[1]节奏总纲!BB6</f>
        <v>18.108391417375849</v>
      </c>
      <c r="BC6" s="31">
        <f>[1]节奏总纲!BC6</f>
        <v>19.707330185578734</v>
      </c>
      <c r="BD6" s="31">
        <f>[1]节奏总纲!BD6</f>
        <v>22.041972908628715</v>
      </c>
      <c r="BE6" s="31">
        <f>[1]节奏总纲!BE6</f>
        <v>26.127796402772656</v>
      </c>
      <c r="BI6" s="31">
        <v>3</v>
      </c>
      <c r="BJ6" s="31">
        <f>求节点($AL$4:$AL$53,AM$4:AM$53,('[1]功能-城建'!$BG8+'[1]功能-城建'!$CB8)/2)</f>
        <v>0.57090651823243421</v>
      </c>
      <c r="BK6" s="31">
        <f>求节点($AL$4:$AL$53,AN$4:AN$53,('[1]功能-城建'!$BG8+'[1]功能-城建'!$CB8)/2)</f>
        <v>0.45672521458594739</v>
      </c>
      <c r="BL6" s="31">
        <f>求节点($AL$4:$AL$53,AO$4:AO$53,('[1]功能-城建'!$BG8+'[1]功能-城建'!$CB8)/2)</f>
        <v>0.34254391093946052</v>
      </c>
      <c r="BM6" s="31">
        <f>求节点($AL$4:$AL$53,AP$4:AP$53,('[1]功能-城建'!$BG8+'[1]功能-城建'!$CB8)/2)</f>
        <v>0.2283626072929737</v>
      </c>
      <c r="BN6" s="31">
        <f>求节点($AL$4:$AL$53,AQ$4:AQ$53,('[1]功能-城建'!$BG8+'[1]功能-城建'!$CB8)/2)</f>
        <v>0.11418130364648685</v>
      </c>
      <c r="BR6" s="31">
        <v>3</v>
      </c>
      <c r="BS6" s="31">
        <f>'[1]功能-城建'!O8</f>
        <v>2</v>
      </c>
      <c r="BT6" s="31">
        <f>'[1]功能-城建'!P8</f>
        <v>2</v>
      </c>
      <c r="BU6" s="31">
        <f>'[1]功能-城建'!Q8</f>
        <v>1</v>
      </c>
      <c r="BV6" s="31">
        <f>'[1]功能-城建'!R8</f>
        <v>0</v>
      </c>
      <c r="BW6" s="31">
        <f t="shared" si="2"/>
        <v>5</v>
      </c>
    </row>
    <row r="7" spans="2:75" x14ac:dyDescent="0.15">
      <c r="B7" s="31" t="s">
        <v>194</v>
      </c>
      <c r="C7" s="31" t="s">
        <v>166</v>
      </c>
      <c r="D7" s="31" t="s">
        <v>167</v>
      </c>
      <c r="F7" s="31">
        <v>5</v>
      </c>
      <c r="G7" s="31">
        <f t="shared" si="0"/>
        <v>0.41421356237309515</v>
      </c>
      <c r="I7" s="31">
        <v>5</v>
      </c>
      <c r="J7" s="31">
        <f t="shared" si="1"/>
        <v>0.15</v>
      </c>
      <c r="K7" s="35">
        <v>0.3</v>
      </c>
      <c r="N7" s="41">
        <f>[1]节奏总纲!N7</f>
        <v>8</v>
      </c>
      <c r="O7" s="31">
        <v>4</v>
      </c>
      <c r="P7" s="31">
        <f>[1]节奏总纲!P7</f>
        <v>0.3195079107728942</v>
      </c>
      <c r="Q7" s="31">
        <f>[1]节奏总纲!Q7</f>
        <v>0.2719651336498875</v>
      </c>
      <c r="R7" s="31">
        <f>[1]节奏总纲!R7</f>
        <v>0.21816000147573214</v>
      </c>
      <c r="S7" s="31">
        <f>[1]节奏总纲!S7</f>
        <v>0.15607961441255883</v>
      </c>
      <c r="T7" s="31">
        <f>[1]节奏总纲!T7</f>
        <v>8.4062531324348461E-2</v>
      </c>
      <c r="V7" s="31">
        <v>4</v>
      </c>
      <c r="W7" s="31">
        <f>[1]节奏总纲!W7</f>
        <v>8.8363497427977888E-2</v>
      </c>
      <c r="X7" s="31">
        <f>[1]节奏总纲!X7</f>
        <v>7.6139586664074416E-2</v>
      </c>
      <c r="Y7" s="31">
        <f>[1]节奏总纲!Y7</f>
        <v>6.1998835819906672E-2</v>
      </c>
      <c r="Z7" s="31">
        <f>[1]节奏总纲!Z7</f>
        <v>4.4876037152319581E-2</v>
      </c>
      <c r="AA7" s="31">
        <f>[1]节奏总纲!AA7</f>
        <v>2.4681531536039455E-2</v>
      </c>
      <c r="AC7" s="31">
        <v>4</v>
      </c>
      <c r="AD7" s="31">
        <f>[1]节奏总纲!AD7</f>
        <v>23.213386604241784</v>
      </c>
      <c r="AE7" s="31">
        <f>[1]节奏总纲!AE7</f>
        <v>24.836966034810484</v>
      </c>
      <c r="AF7" s="31">
        <f>[1]节奏总纲!AF7</f>
        <v>27.155717181399513</v>
      </c>
      <c r="AG7" s="31">
        <f>[1]节奏总纲!AG7</f>
        <v>30.831257561377125</v>
      </c>
      <c r="AH7" s="31">
        <f>[1]节奏总纲!AH7</f>
        <v>38.431365705145346</v>
      </c>
      <c r="AL7" s="31">
        <v>4</v>
      </c>
      <c r="AM7" s="31">
        <f>[1]节奏总纲!AM7</f>
        <v>9.2637640824031031E-2</v>
      </c>
      <c r="AN7" s="31">
        <f>[1]节奏总纲!AN7</f>
        <v>7.4110112659224833E-2</v>
      </c>
      <c r="AO7" s="31">
        <f>[1]节奏总纲!AO7</f>
        <v>5.5582584494418615E-2</v>
      </c>
      <c r="AP7" s="31">
        <f>[1]节奏总纲!AP7</f>
        <v>3.7055056329612417E-2</v>
      </c>
      <c r="AQ7" s="31">
        <f>[1]节奏总纲!AQ7</f>
        <v>1.8527528164806208E-2</v>
      </c>
      <c r="AS7" s="31">
        <v>4</v>
      </c>
      <c r="AT7" s="31">
        <f>[1]节奏总纲!AT7</f>
        <v>4.1065984172991232E-2</v>
      </c>
      <c r="AU7" s="31">
        <f>[1]节奏总纲!AU7</f>
        <v>3.2852787338392989E-2</v>
      </c>
      <c r="AV7" s="31">
        <f>[1]节奏总纲!AV7</f>
        <v>2.4639590503794738E-2</v>
      </c>
      <c r="AW7" s="31">
        <f>[1]节奏总纲!AW7</f>
        <v>1.6426393669196494E-2</v>
      </c>
      <c r="AX7" s="31">
        <f>[1]节奏总纲!AX7</f>
        <v>8.2131968345982471E-3</v>
      </c>
      <c r="AY7" s="31"/>
      <c r="AZ7" s="31">
        <v>4</v>
      </c>
      <c r="BA7" s="31">
        <f>[1]节奏总纲!BA7</f>
        <v>18.453550676044042</v>
      </c>
      <c r="BB7" s="31">
        <f>[1]节奏总纲!BB7</f>
        <v>19.707330185578734</v>
      </c>
      <c r="BC7" s="31">
        <f>[1]节奏总纲!BC7</f>
        <v>21.34613466141565</v>
      </c>
      <c r="BD7" s="31">
        <f>[1]节奏总纲!BD7</f>
        <v>23.710496742673982</v>
      </c>
      <c r="BE7" s="31">
        <f>[1]节奏总纲!BE7</f>
        <v>27.863030247590562</v>
      </c>
      <c r="BI7" s="31">
        <v>4</v>
      </c>
      <c r="BJ7" s="31">
        <f>求节点($AL$4:$AL$53,AM$4:AM$53,('[1]功能-城建'!$BG9+'[1]功能-城建'!$CB9)/2)</f>
        <v>1.1550685436347259</v>
      </c>
      <c r="BK7" s="31">
        <f>求节点($AL$4:$AL$53,AN$4:AN$53,('[1]功能-城建'!$BG9+'[1]功能-城建'!$CB9)/2)</f>
        <v>0.92405483490778073</v>
      </c>
      <c r="BL7" s="31">
        <f>求节点($AL$4:$AL$53,AO$4:AO$53,('[1]功能-城建'!$BG9+'[1]功能-城建'!$CB9)/2)</f>
        <v>0.69304112618083547</v>
      </c>
      <c r="BM7" s="31">
        <f>求节点($AL$4:$AL$53,AP$4:AP$53,('[1]功能-城建'!$BG9+'[1]功能-城建'!$CB9)/2)</f>
        <v>0.46202741745389037</v>
      </c>
      <c r="BN7" s="31">
        <f>求节点($AL$4:$AL$53,AQ$4:AQ$53,('[1]功能-城建'!$BG9+'[1]功能-城建'!$CB9)/2)</f>
        <v>0.23101370872694518</v>
      </c>
      <c r="BR7" s="31">
        <v>4</v>
      </c>
      <c r="BS7" s="31">
        <f>'[1]功能-城建'!O9</f>
        <v>2</v>
      </c>
      <c r="BT7" s="31">
        <f>'[1]功能-城建'!P9</f>
        <v>2</v>
      </c>
      <c r="BU7" s="31">
        <f>'[1]功能-城建'!Q9</f>
        <v>2</v>
      </c>
      <c r="BV7" s="31">
        <f>'[1]功能-城建'!R9</f>
        <v>0</v>
      </c>
      <c r="BW7" s="31">
        <f t="shared" si="2"/>
        <v>6</v>
      </c>
    </row>
    <row r="8" spans="2:75" x14ac:dyDescent="0.15">
      <c r="B8" s="31">
        <v>10</v>
      </c>
      <c r="C8" s="31">
        <f>D8</f>
        <v>1</v>
      </c>
      <c r="D8" s="31">
        <f t="shared" ref="D8:D17" si="3">2^(B8/10-1)</f>
        <v>1</v>
      </c>
      <c r="F8" s="31">
        <v>6</v>
      </c>
      <c r="G8" s="31">
        <f t="shared" si="0"/>
        <v>0.51571656651039799</v>
      </c>
      <c r="I8" s="31">
        <v>6</v>
      </c>
      <c r="J8" s="31">
        <f t="shared" si="1"/>
        <v>0.22055744069899194</v>
      </c>
      <c r="K8" s="35">
        <v>0.34</v>
      </c>
      <c r="N8" s="41">
        <f>[1]节奏总纲!N8</f>
        <v>10</v>
      </c>
      <c r="O8" s="31">
        <v>5</v>
      </c>
      <c r="P8" s="31">
        <f>[1]节奏总纲!P8</f>
        <v>0.41421356237309515</v>
      </c>
      <c r="Q8" s="31">
        <f>[1]节奏总纲!Q8</f>
        <v>0.35241289886702937</v>
      </c>
      <c r="R8" s="31">
        <f>[1]节奏总纲!R8</f>
        <v>0.28315639123824782</v>
      </c>
      <c r="S8" s="31">
        <f>[1]节奏总纲!S8</f>
        <v>0.20296464556281663</v>
      </c>
      <c r="T8" s="31">
        <f>[1]节奏总纲!T8</f>
        <v>0.10951806589144637</v>
      </c>
      <c r="V8" s="31">
        <v>5</v>
      </c>
      <c r="W8" s="31">
        <f>[1]节奏总纲!W8</f>
        <v>9.4705651600200946E-2</v>
      </c>
      <c r="X8" s="31">
        <f>[1]节奏总纲!X8</f>
        <v>8.0447765217141864E-2</v>
      </c>
      <c r="Y8" s="31">
        <f>[1]节奏总纲!Y8</f>
        <v>6.4996389762515677E-2</v>
      </c>
      <c r="Z8" s="31">
        <f>[1]节奏总纲!Z8</f>
        <v>4.68850311502578E-2</v>
      </c>
      <c r="AA8" s="31">
        <f>[1]节奏总纲!AA8</f>
        <v>2.5455534567097912E-2</v>
      </c>
      <c r="AC8" s="31">
        <v>5</v>
      </c>
      <c r="AD8" s="31">
        <f>[1]节奏总纲!AD8</f>
        <v>25.845161563010112</v>
      </c>
      <c r="AE8" s="31">
        <f>[1]节奏总纲!AE8</f>
        <v>27.525245270311611</v>
      </c>
      <c r="AF8" s="31">
        <f>[1]节奏总纲!AF8</f>
        <v>29.892344464157688</v>
      </c>
      <c r="AG8" s="31">
        <f>[1]节奏总纲!AG8</f>
        <v>33.672145166817529</v>
      </c>
      <c r="AH8" s="31">
        <f>[1]节奏总纲!AH8</f>
        <v>41.359260538726978</v>
      </c>
      <c r="AL8" s="31">
        <v>5</v>
      </c>
      <c r="AM8" s="31">
        <f>[1]节奏总纲!AM8</f>
        <v>0.15</v>
      </c>
      <c r="AN8" s="31">
        <f>[1]节奏总纲!AN8</f>
        <v>0.12</v>
      </c>
      <c r="AO8" s="31">
        <f>[1]节奏总纲!AO8</f>
        <v>0.09</v>
      </c>
      <c r="AP8" s="31">
        <f>[1]节奏总纲!AP8</f>
        <v>0.06</v>
      </c>
      <c r="AQ8" s="31">
        <f>[1]节奏总纲!AQ8</f>
        <v>0.03</v>
      </c>
      <c r="AS8" s="31">
        <v>5</v>
      </c>
      <c r="AT8" s="31">
        <f>[1]节奏总纲!AT8</f>
        <v>5.7362359175968963E-2</v>
      </c>
      <c r="AU8" s="31">
        <f>[1]节奏总纲!AU8</f>
        <v>4.5889887340775162E-2</v>
      </c>
      <c r="AV8" s="31">
        <f>[1]节奏总纲!AV8</f>
        <v>3.4417415505581382E-2</v>
      </c>
      <c r="AW8" s="31">
        <f>[1]节奏总纲!AW8</f>
        <v>2.2944943670387581E-2</v>
      </c>
      <c r="AX8" s="31">
        <f>[1]节奏总纲!AX8</f>
        <v>1.1472471835193791E-2</v>
      </c>
      <c r="AY8" s="31"/>
      <c r="AZ8" s="31">
        <v>5</v>
      </c>
      <c r="BA8" s="31">
        <f>[1]节奏总纲!BA8</f>
        <v>19.707330185578734</v>
      </c>
      <c r="BB8" s="31">
        <f>[1]节奏总纲!BB8</f>
        <v>20.993539484876777</v>
      </c>
      <c r="BC8" s="31">
        <f>[1]节奏总纲!BC8</f>
        <v>22.639743033177162</v>
      </c>
      <c r="BD8" s="31">
        <f>[1]节奏总纲!BD8</f>
        <v>25.044229735272328</v>
      </c>
      <c r="BE8" s="31">
        <f>[1]节奏总纲!BE8</f>
        <v>29.216428548527322</v>
      </c>
      <c r="BI8" s="31">
        <v>5</v>
      </c>
      <c r="BJ8" s="31">
        <f>求节点($AL$4:$AL$53,AM$4:AM$53,('[1]功能-城建'!$BG10+'[1]功能-城建'!$CB10)/2)</f>
        <v>1.9148386534235038</v>
      </c>
      <c r="BK8" s="31">
        <f>求节点($AL$4:$AL$53,AN$4:AN$53,('[1]功能-城建'!$BG10+'[1]功能-城建'!$CB10)/2)</f>
        <v>1.5318709227388032</v>
      </c>
      <c r="BL8" s="31">
        <f>求节点($AL$4:$AL$53,AO$4:AO$53,('[1]功能-城建'!$BG10+'[1]功能-城建'!$CB10)/2)</f>
        <v>1.1489031920541022</v>
      </c>
      <c r="BM8" s="31">
        <f>求节点($AL$4:$AL$53,AP$4:AP$53,('[1]功能-城建'!$BG10+'[1]功能-城建'!$CB10)/2)</f>
        <v>0.7659354613694016</v>
      </c>
      <c r="BN8" s="31">
        <f>求节点($AL$4:$AL$53,AQ$4:AQ$53,('[1]功能-城建'!$BG10+'[1]功能-城建'!$CB10)/2)</f>
        <v>0.3829677306847008</v>
      </c>
      <c r="BR8" s="31">
        <v>5</v>
      </c>
      <c r="BS8" s="31">
        <f>'[1]功能-城建'!O10</f>
        <v>2</v>
      </c>
      <c r="BT8" s="31">
        <f>'[1]功能-城建'!P10</f>
        <v>2</v>
      </c>
      <c r="BU8" s="31">
        <f>'[1]功能-城建'!Q10</f>
        <v>2</v>
      </c>
      <c r="BV8" s="31">
        <f>'[1]功能-城建'!R10</f>
        <v>0</v>
      </c>
      <c r="BW8" s="31">
        <f t="shared" si="2"/>
        <v>6</v>
      </c>
    </row>
    <row r="9" spans="2:75" x14ac:dyDescent="0.15">
      <c r="B9" s="31">
        <v>20</v>
      </c>
      <c r="C9" s="31">
        <f t="shared" ref="C9:C17" si="4">C8+D9</f>
        <v>3</v>
      </c>
      <c r="D9" s="31">
        <f t="shared" si="3"/>
        <v>2</v>
      </c>
      <c r="F9" s="31">
        <v>7</v>
      </c>
      <c r="G9" s="31">
        <f t="shared" si="0"/>
        <v>0.62450479271247095</v>
      </c>
      <c r="I9" s="31">
        <v>7</v>
      </c>
      <c r="J9" s="31">
        <f t="shared" si="1"/>
        <v>0.31141300609369982</v>
      </c>
      <c r="K9" s="35">
        <v>0.38</v>
      </c>
      <c r="N9" s="41">
        <f>[1]节奏总纲!N9</f>
        <v>12</v>
      </c>
      <c r="O9" s="31">
        <v>6</v>
      </c>
      <c r="P9" s="31">
        <f>[1]节奏总纲!P9</f>
        <v>0.51571656651039799</v>
      </c>
      <c r="Q9" s="31">
        <f>[1]节奏总纲!Q9</f>
        <v>0.43939051466685908</v>
      </c>
      <c r="R9" s="31">
        <f>[1]节奏总纲!R9</f>
        <v>0.35336899137292471</v>
      </c>
      <c r="S9" s="31">
        <f>[1]节奏总纲!S9</f>
        <v>0.25440298225957936</v>
      </c>
      <c r="T9" s="31">
        <f>[1]节奏总纲!T9</f>
        <v>0.13836675479473978</v>
      </c>
      <c r="V9" s="31">
        <v>6</v>
      </c>
      <c r="W9" s="31">
        <f>[1]节奏总纲!W9</f>
        <v>0.10150300413730284</v>
      </c>
      <c r="X9" s="31">
        <f>[1]节奏总纲!X9</f>
        <v>8.6977615799829711E-2</v>
      </c>
      <c r="Y9" s="31">
        <f>[1]节奏总纲!Y9</f>
        <v>7.0212600134676895E-2</v>
      </c>
      <c r="Z9" s="31">
        <f>[1]节奏总纲!Z9</f>
        <v>5.1438336696762732E-2</v>
      </c>
      <c r="AA9" s="31">
        <f>[1]节奏总纲!AA9</f>
        <v>2.884868890329341E-2</v>
      </c>
      <c r="AC9" s="31">
        <v>6</v>
      </c>
      <c r="AD9" s="31">
        <f>[1]节奏总纲!AD9</f>
        <v>28.071211008105138</v>
      </c>
      <c r="AE9" s="31">
        <f>[1]节奏总纲!AE9</f>
        <v>29.78183527117605</v>
      </c>
      <c r="AF9" s="31">
        <f>[1]节奏总纲!AF9</f>
        <v>32.202183458664891</v>
      </c>
      <c r="AG9" s="31">
        <f>[1]节奏总纲!AG9</f>
        <v>36.067019846099676</v>
      </c>
      <c r="AH9" s="31">
        <f>[1]节奏总纲!AH9</f>
        <v>43.870275262019007</v>
      </c>
      <c r="AL9" s="31">
        <v>6</v>
      </c>
      <c r="AM9" s="31">
        <f>[1]节奏总纲!AM9</f>
        <v>0.22055744069899194</v>
      </c>
      <c r="AN9" s="31">
        <f>[1]节奏总纲!AN9</f>
        <v>0.17644595255919357</v>
      </c>
      <c r="AO9" s="31">
        <f>[1]节奏总纲!AO9</f>
        <v>0.13233446441939517</v>
      </c>
      <c r="AP9" s="31">
        <f>[1]节奏总纲!AP9</f>
        <v>8.8222976279596785E-2</v>
      </c>
      <c r="AQ9" s="31">
        <f>[1]节奏总纲!AQ9</f>
        <v>4.4111488139798392E-2</v>
      </c>
      <c r="AS9" s="31">
        <v>6</v>
      </c>
      <c r="AT9" s="31">
        <f>[1]节奏总纲!AT9</f>
        <v>7.0557440698991947E-2</v>
      </c>
      <c r="AU9" s="31">
        <f>[1]节奏总纲!AU9</f>
        <v>5.6445952559193574E-2</v>
      </c>
      <c r="AV9" s="31">
        <f>[1]节奏总纲!AV9</f>
        <v>4.2334464419395174E-2</v>
      </c>
      <c r="AW9" s="31">
        <f>[1]节奏总纲!AW9</f>
        <v>2.8222976279596787E-2</v>
      </c>
      <c r="AX9" s="31">
        <f>[1]节奏总纲!AX9</f>
        <v>1.4111488139798394E-2</v>
      </c>
      <c r="AY9" s="31"/>
      <c r="AZ9" s="31">
        <v>6</v>
      </c>
      <c r="BA9" s="31">
        <f>[1]节奏总纲!BA9</f>
        <v>20.745154613657583</v>
      </c>
      <c r="BB9" s="31">
        <f>[1]节奏总纲!BB9</f>
        <v>22.041972908628715</v>
      </c>
      <c r="BC9" s="31">
        <f>[1]节奏总纲!BC9</f>
        <v>23.710496742673982</v>
      </c>
      <c r="BD9" s="31">
        <f>[1]节奏总纲!BD9</f>
        <v>26.127796402772656</v>
      </c>
      <c r="BE9" s="31">
        <f>[1]节奏总纲!BE9</f>
        <v>30.329493925593439</v>
      </c>
      <c r="BI9" s="31">
        <v>6</v>
      </c>
      <c r="BJ9" s="31">
        <f>求节点($AL$4:$AL$53,AM$4:AM$53,('[1]功能-城建'!$BG11+'[1]功能-城建'!$CB11)/2)</f>
        <v>3.3647159935830295</v>
      </c>
      <c r="BK9" s="31">
        <f>求节点($AL$4:$AL$53,AN$4:AN$53,('[1]功能-城建'!$BG11+'[1]功能-城建'!$CB11)/2)</f>
        <v>2.6917727948664236</v>
      </c>
      <c r="BL9" s="31">
        <f>求节点($AL$4:$AL$53,AO$4:AO$53,('[1]功能-城建'!$BG11+'[1]功能-城建'!$CB11)/2)</f>
        <v>2.0188295961498177</v>
      </c>
      <c r="BM9" s="31">
        <f>求节点($AL$4:$AL$53,AP$4:AP$53,('[1]功能-城建'!$BG11+'[1]功能-城建'!$CB11)/2)</f>
        <v>1.3458863974332118</v>
      </c>
      <c r="BN9" s="31">
        <f>求节点($AL$4:$AL$53,AQ$4:AQ$53,('[1]功能-城建'!$BG11+'[1]功能-城建'!$CB11)/2)</f>
        <v>0.67294319871660591</v>
      </c>
      <c r="BR9" s="31">
        <v>6</v>
      </c>
      <c r="BS9" s="31">
        <f>'[1]功能-城建'!O11</f>
        <v>2</v>
      </c>
      <c r="BT9" s="31">
        <f>'[1]功能-城建'!P11</f>
        <v>3</v>
      </c>
      <c r="BU9" s="31">
        <f>'[1]功能-城建'!Q11</f>
        <v>2</v>
      </c>
      <c r="BV9" s="31">
        <f>'[1]功能-城建'!R11</f>
        <v>1</v>
      </c>
      <c r="BW9" s="31">
        <f t="shared" si="2"/>
        <v>8</v>
      </c>
    </row>
    <row r="10" spans="2:75" x14ac:dyDescent="0.15">
      <c r="B10" s="31">
        <v>30</v>
      </c>
      <c r="C10" s="31">
        <f t="shared" si="4"/>
        <v>7</v>
      </c>
      <c r="D10" s="31">
        <f t="shared" si="3"/>
        <v>4</v>
      </c>
      <c r="F10" s="31">
        <v>8</v>
      </c>
      <c r="G10" s="31">
        <f t="shared" si="0"/>
        <v>0.74110112659224825</v>
      </c>
      <c r="I10" s="31">
        <v>8</v>
      </c>
      <c r="J10" s="31">
        <f t="shared" si="1"/>
        <v>0.42660095793436714</v>
      </c>
      <c r="K10" s="35">
        <v>0.42</v>
      </c>
      <c r="N10" s="41">
        <f>[1]节奏总纲!N10</f>
        <v>14</v>
      </c>
      <c r="O10" s="31">
        <v>7</v>
      </c>
      <c r="P10" s="31">
        <f>[1]节奏总纲!P10</f>
        <v>0.62450479271247095</v>
      </c>
      <c r="Q10" s="31">
        <f>[1]节奏总纲!Q10</f>
        <v>0.53413894920697635</v>
      </c>
      <c r="R10" s="31">
        <f>[1]节奏总纲!R10</f>
        <v>0.43072095553379119</v>
      </c>
      <c r="S10" s="31">
        <f>[1]节奏总纲!S10</f>
        <v>0.30950457526830061</v>
      </c>
      <c r="T10" s="31">
        <f>[1]节奏总纲!T10</f>
        <v>0.16699258157131475</v>
      </c>
      <c r="V10" s="31">
        <v>7</v>
      </c>
      <c r="W10" s="31">
        <f>[1]节奏总纲!W10</f>
        <v>0.10878822620207296</v>
      </c>
      <c r="X10" s="31">
        <f>[1]节奏总纲!X10</f>
        <v>9.4748434540117277E-2</v>
      </c>
      <c r="Y10" s="31">
        <f>[1]节奏总纲!Y10</f>
        <v>7.7351964160866482E-2</v>
      </c>
      <c r="Z10" s="31">
        <f>[1]节奏总纲!Z10</f>
        <v>5.510159300872125E-2</v>
      </c>
      <c r="AA10" s="31">
        <f>[1]节奏总纲!AA10</f>
        <v>2.8625826776574964E-2</v>
      </c>
      <c r="AC10" s="31">
        <v>7</v>
      </c>
      <c r="AD10" s="31">
        <f>[1]节奏总纲!AD10</f>
        <v>30</v>
      </c>
      <c r="AE10" s="31">
        <f>[1]节奏总纲!AE10</f>
        <v>31.718819483847451</v>
      </c>
      <c r="AF10" s="31">
        <f>[1]节奏总纲!AF10</f>
        <v>34.192155176139416</v>
      </c>
      <c r="AG10" s="31">
        <f>[1]节奏总纲!AG10</f>
        <v>38.19822972207853</v>
      </c>
      <c r="AH10" s="31">
        <f>[1]节奏总纲!AH10</f>
        <v>46.093186357957826</v>
      </c>
      <c r="AL10" s="31">
        <v>7</v>
      </c>
      <c r="AM10" s="31">
        <f>[1]节奏总纲!AM10</f>
        <v>0.31141300609369982</v>
      </c>
      <c r="AN10" s="31">
        <f>[1]节奏总纲!AN10</f>
        <v>0.24913040487495985</v>
      </c>
      <c r="AO10" s="31">
        <f>[1]节奏总纲!AO10</f>
        <v>0.18684780365621989</v>
      </c>
      <c r="AP10" s="31">
        <f>[1]节奏总纲!AP10</f>
        <v>0.12456520243747993</v>
      </c>
      <c r="AQ10" s="31">
        <f>[1]节奏总纲!AQ10</f>
        <v>6.2282601218739964E-2</v>
      </c>
      <c r="AS10" s="31">
        <v>7</v>
      </c>
      <c r="AT10" s="31">
        <f>[1]节奏总纲!AT10</f>
        <v>9.0855565394707877E-2</v>
      </c>
      <c r="AU10" s="31">
        <f>[1]节奏总纲!AU10</f>
        <v>7.2684452315766285E-2</v>
      </c>
      <c r="AV10" s="31">
        <f>[1]节奏总纲!AV10</f>
        <v>5.451333923682472E-2</v>
      </c>
      <c r="AW10" s="31">
        <f>[1]节奏总纲!AW10</f>
        <v>3.6342226157883142E-2</v>
      </c>
      <c r="AX10" s="31">
        <f>[1]节奏总纲!AX10</f>
        <v>1.8171113078941571E-2</v>
      </c>
      <c r="AY10" s="31"/>
      <c r="AZ10" s="31">
        <v>7</v>
      </c>
      <c r="BA10" s="31">
        <f>[1]节奏总纲!BA10</f>
        <v>21.627432338833255</v>
      </c>
      <c r="BB10" s="31">
        <f>[1]节奏总纲!BB10</f>
        <v>22.938628095451385</v>
      </c>
      <c r="BC10" s="31">
        <f>[1]节奏总纲!BC10</f>
        <v>24.619152272059132</v>
      </c>
      <c r="BD10" s="31">
        <f>[1]节奏总纲!BD10</f>
        <v>27.059707353051884</v>
      </c>
      <c r="BE10" s="31">
        <f>[1]节奏总纲!BE10</f>
        <v>31.280110398778046</v>
      </c>
      <c r="BI10" s="31">
        <v>7</v>
      </c>
      <c r="BJ10" s="31">
        <f>求节点($AL$4:$AL$53,AM$4:AM$53,('[1]功能-城建'!$BG12+'[1]功能-城建'!$CB12)/2)</f>
        <v>5.7532512623914602</v>
      </c>
      <c r="BK10" s="31">
        <f>求节点($AL$4:$AL$53,AN$4:AN$53,('[1]功能-城建'!$BG12+'[1]功能-城建'!$CB12)/2)</f>
        <v>4.6026010099131689</v>
      </c>
      <c r="BL10" s="31">
        <f>求节点($AL$4:$AL$53,AO$4:AO$53,('[1]功能-城建'!$BG12+'[1]功能-城建'!$CB12)/2)</f>
        <v>3.4519507574348758</v>
      </c>
      <c r="BM10" s="31">
        <f>求节点($AL$4:$AL$53,AP$4:AP$53,('[1]功能-城建'!$BG12+'[1]功能-城建'!$CB12)/2)</f>
        <v>2.3013005049565844</v>
      </c>
      <c r="BN10" s="31">
        <f>求节点($AL$4:$AL$53,AQ$4:AQ$53,('[1]功能-城建'!$BG12+'[1]功能-城建'!$CB12)/2)</f>
        <v>1.1506502524782922</v>
      </c>
      <c r="BR10" s="31">
        <v>7</v>
      </c>
      <c r="BS10" s="31">
        <f>'[1]功能-城建'!O12</f>
        <v>3</v>
      </c>
      <c r="BT10" s="31">
        <f>'[1]功能-城建'!P12</f>
        <v>3</v>
      </c>
      <c r="BU10" s="31">
        <f>'[1]功能-城建'!Q12</f>
        <v>2</v>
      </c>
      <c r="BV10" s="31">
        <f>'[1]功能-城建'!R12</f>
        <v>2</v>
      </c>
      <c r="BW10" s="31">
        <f t="shared" si="2"/>
        <v>10</v>
      </c>
    </row>
    <row r="11" spans="2:75" x14ac:dyDescent="0.15">
      <c r="B11" s="31">
        <v>40</v>
      </c>
      <c r="C11" s="31">
        <f t="shared" si="4"/>
        <v>15</v>
      </c>
      <c r="D11" s="31">
        <f t="shared" si="3"/>
        <v>8</v>
      </c>
      <c r="F11" s="31">
        <v>9</v>
      </c>
      <c r="G11" s="31">
        <f t="shared" si="0"/>
        <v>0.86606598307361482</v>
      </c>
      <c r="I11" s="31">
        <v>9</v>
      </c>
      <c r="J11" s="31">
        <f t="shared" si="1"/>
        <v>0.57090651823243421</v>
      </c>
      <c r="K11" s="35">
        <v>0.46</v>
      </c>
      <c r="N11" s="41">
        <f>[1]节奏总纲!N11</f>
        <v>16</v>
      </c>
      <c r="O11" s="31">
        <v>8</v>
      </c>
      <c r="P11" s="31">
        <f>[1]节奏总纲!P11</f>
        <v>0.74110112659224825</v>
      </c>
      <c r="Q11" s="31">
        <f>[1]节奏总纲!Q11</f>
        <v>0.63089938906798093</v>
      </c>
      <c r="R11" s="31">
        <f>[1]节奏总纲!R11</f>
        <v>0.50550507844857251</v>
      </c>
      <c r="S11" s="31">
        <f>[1]节奏总纲!S11</f>
        <v>0.36195379022765406</v>
      </c>
      <c r="T11" s="31">
        <f>[1]节奏总纲!T11</f>
        <v>0.19579891764567198</v>
      </c>
      <c r="V11" s="31">
        <v>8</v>
      </c>
      <c r="W11" s="31">
        <f>[1]节奏总纲!W11</f>
        <v>0.1165963338797773</v>
      </c>
      <c r="X11" s="31">
        <f>[1]节奏总纲!X11</f>
        <v>9.6760439861004577E-2</v>
      </c>
      <c r="Y11" s="31">
        <f>[1]节奏总纲!Y11</f>
        <v>7.4784122914781315E-2</v>
      </c>
      <c r="Z11" s="31">
        <f>[1]节奏总纲!Z11</f>
        <v>5.2449214959353452E-2</v>
      </c>
      <c r="AA11" s="31">
        <f>[1]节奏总纲!AA11</f>
        <v>2.8806336074357231E-2</v>
      </c>
      <c r="AC11" s="31">
        <v>8</v>
      </c>
      <c r="AD11" s="31">
        <f>[1]节奏总纲!AD11</f>
        <v>31.691928656135214</v>
      </c>
      <c r="AE11" s="31">
        <f>[1]节奏总纲!AE11</f>
        <v>33.465251056098396</v>
      </c>
      <c r="AF11" s="31">
        <f>[1]节奏总纲!AF11</f>
        <v>35.930751746472978</v>
      </c>
      <c r="AG11" s="31">
        <f>[1]节奏总纲!AG11</f>
        <v>39.998279638578282</v>
      </c>
      <c r="AH11" s="31">
        <f>[1]节奏总纲!AH11</f>
        <v>48.067140183443534</v>
      </c>
      <c r="AL11" s="31">
        <v>8</v>
      </c>
      <c r="AM11" s="31">
        <f>[1]节奏总纲!AM11</f>
        <v>0.42660095793436714</v>
      </c>
      <c r="AN11" s="31">
        <f>[1]节奏总纲!AN11</f>
        <v>0.34128076634749371</v>
      </c>
      <c r="AO11" s="31">
        <f>[1]节奏总纲!AO11</f>
        <v>0.25596057476062029</v>
      </c>
      <c r="AP11" s="31">
        <f>[1]节奏总纲!AP11</f>
        <v>0.17064038317374686</v>
      </c>
      <c r="AQ11" s="31">
        <f>[1]节奏总纲!AQ11</f>
        <v>8.5320191586873428E-2</v>
      </c>
      <c r="AS11" s="31">
        <v>8</v>
      </c>
      <c r="AT11" s="31">
        <f>[1]节奏总纲!AT11</f>
        <v>0.11518795184066732</v>
      </c>
      <c r="AU11" s="31">
        <f>[1]节奏总纲!AU11</f>
        <v>9.2150361472533859E-2</v>
      </c>
      <c r="AV11" s="31">
        <f>[1]节奏总纲!AV11</f>
        <v>6.9112771104400395E-2</v>
      </c>
      <c r="AW11" s="31">
        <f>[1]节奏总纲!AW11</f>
        <v>4.607518073626693E-2</v>
      </c>
      <c r="AX11" s="31">
        <f>[1]节奏总纲!AX11</f>
        <v>2.3037590368133465E-2</v>
      </c>
      <c r="AY11" s="31"/>
      <c r="AZ11" s="31">
        <v>8</v>
      </c>
      <c r="BA11" s="31">
        <f>[1]节奏总纲!BA11</f>
        <v>22.400634983357783</v>
      </c>
      <c r="BB11" s="31">
        <f>[1]节奏总纲!BB11</f>
        <v>23.710496742673982</v>
      </c>
      <c r="BC11" s="31">
        <f>[1]节奏总纲!BC11</f>
        <v>25.412810862541733</v>
      </c>
      <c r="BD11" s="31">
        <f>[1]节奏总纲!BD11</f>
        <v>27.863030247590562</v>
      </c>
      <c r="BE11" s="31">
        <f>[1]节奏总纲!BE11</f>
        <v>32.113552950216736</v>
      </c>
      <c r="BI11" s="31">
        <v>8</v>
      </c>
      <c r="BJ11" s="31">
        <f>求节点($AL$4:$AL$53,AM$4:AM$53,('[1]功能-城建'!$BG13+'[1]功能-城建'!$CB13)/2)</f>
        <v>8.1385217780793742</v>
      </c>
      <c r="BK11" s="31">
        <f>求节点($AL$4:$AL$53,AN$4:AN$53,('[1]功能-城建'!$BG13+'[1]功能-城建'!$CB13)/2)</f>
        <v>6.5108174224635</v>
      </c>
      <c r="BL11" s="31">
        <f>求节点($AL$4:$AL$53,AO$4:AO$53,('[1]功能-城建'!$BG13+'[1]功能-城建'!$CB13)/2)</f>
        <v>4.8831130668476241</v>
      </c>
      <c r="BM11" s="31">
        <f>求节点($AL$4:$AL$53,AP$4:AP$53,('[1]功能-城建'!$BG13+'[1]功能-城建'!$CB13)/2)</f>
        <v>3.25540871123175</v>
      </c>
      <c r="BN11" s="31">
        <f>求节点($AL$4:$AL$53,AQ$4:AQ$53,('[1]功能-城建'!$BG13+'[1]功能-城建'!$CB13)/2)</f>
        <v>1.627704355615875</v>
      </c>
      <c r="BR11" s="31">
        <v>8</v>
      </c>
      <c r="BS11" s="31">
        <f>'[1]功能-城建'!O13</f>
        <v>3</v>
      </c>
      <c r="BT11" s="31">
        <f>'[1]功能-城建'!P13</f>
        <v>3</v>
      </c>
      <c r="BU11" s="31">
        <f>'[1]功能-城建'!Q13</f>
        <v>3</v>
      </c>
      <c r="BV11" s="31">
        <f>'[1]功能-城建'!R13</f>
        <v>2</v>
      </c>
      <c r="BW11" s="31">
        <f t="shared" si="2"/>
        <v>11</v>
      </c>
    </row>
    <row r="12" spans="2:75" x14ac:dyDescent="0.15">
      <c r="B12" s="31">
        <v>50</v>
      </c>
      <c r="C12" s="31">
        <f t="shared" si="4"/>
        <v>31</v>
      </c>
      <c r="D12" s="31">
        <f t="shared" si="3"/>
        <v>16</v>
      </c>
      <c r="F12" s="31">
        <v>10</v>
      </c>
      <c r="G12" s="31">
        <f t="shared" si="0"/>
        <v>1</v>
      </c>
      <c r="I12" s="31">
        <v>10</v>
      </c>
      <c r="J12" s="31">
        <f t="shared" si="1"/>
        <v>0.75</v>
      </c>
      <c r="K12" s="35">
        <v>0.5</v>
      </c>
      <c r="N12" s="41">
        <f>[1]节奏总纲!N12</f>
        <v>18</v>
      </c>
      <c r="O12" s="31">
        <v>9</v>
      </c>
      <c r="P12" s="31">
        <f>[1]节奏总纲!P12</f>
        <v>0.86606598307361482</v>
      </c>
      <c r="Q12" s="31">
        <f>[1]节奏总纲!Q12</f>
        <v>0.73702215159564621</v>
      </c>
      <c r="R12" s="31">
        <f>[1]节奏总纲!R12</f>
        <v>0.59282216541388932</v>
      </c>
      <c r="S12" s="31">
        <f>[1]节奏总纲!S12</f>
        <v>0.42766338244175101</v>
      </c>
      <c r="T12" s="31">
        <f>[1]节奏总纲!T12</f>
        <v>0.23193247026711403</v>
      </c>
      <c r="V12" s="31">
        <v>9</v>
      </c>
      <c r="W12" s="31">
        <f>[1]节奏总纲!W12</f>
        <v>0.12496485648136657</v>
      </c>
      <c r="X12" s="31">
        <f>[1]节奏总纲!X12</f>
        <v>0.10612276252766528</v>
      </c>
      <c r="Y12" s="31">
        <f>[1]节奏总纲!Y12</f>
        <v>8.7317086965316815E-2</v>
      </c>
      <c r="Z12" s="31">
        <f>[1]节奏总纲!Z12</f>
        <v>6.5709592214096946E-2</v>
      </c>
      <c r="AA12" s="31">
        <f>[1]节奏总纲!AA12</f>
        <v>3.613355262144205E-2</v>
      </c>
      <c r="AC12" s="31">
        <v>9</v>
      </c>
      <c r="AD12" s="31">
        <f>[1]节奏总纲!AD12</f>
        <v>33.213386604241784</v>
      </c>
      <c r="AE12" s="31">
        <f>[1]节奏总纲!AE12</f>
        <v>34.992730785174565</v>
      </c>
      <c r="AF12" s="31">
        <f>[1]节奏总纲!AF12</f>
        <v>37.510565846691456</v>
      </c>
      <c r="AG12" s="31">
        <f>[1]节奏总纲!AG12</f>
        <v>41.534743419557365</v>
      </c>
      <c r="AH12" s="31">
        <f>[1]节奏总纲!AH12</f>
        <v>49.706056771838036</v>
      </c>
      <c r="AL12" s="31">
        <v>9</v>
      </c>
      <c r="AM12" s="31">
        <f>[1]节奏总纲!AM12</f>
        <v>0.57090651823243421</v>
      </c>
      <c r="AN12" s="31">
        <f>[1]节奏总纲!AN12</f>
        <v>0.45672521458594739</v>
      </c>
      <c r="AO12" s="31">
        <f>[1]节奏总纲!AO12</f>
        <v>0.34254391093946052</v>
      </c>
      <c r="AP12" s="31">
        <f>[1]节奏总纲!AP12</f>
        <v>0.2283626072929737</v>
      </c>
      <c r="AQ12" s="31">
        <f>[1]节奏总纲!AQ12</f>
        <v>0.11418130364648685</v>
      </c>
      <c r="AS12" s="31">
        <v>9</v>
      </c>
      <c r="AT12" s="31">
        <f>[1]节奏总纲!AT12</f>
        <v>0.14430556029806707</v>
      </c>
      <c r="AU12" s="31">
        <f>[1]节奏总纲!AU12</f>
        <v>0.11544444823845368</v>
      </c>
      <c r="AV12" s="31">
        <f>[1]节奏总纲!AV12</f>
        <v>8.6583336178840231E-2</v>
      </c>
      <c r="AW12" s="31">
        <f>[1]节奏总纲!AW12</f>
        <v>5.7722224119226839E-2</v>
      </c>
      <c r="AX12" s="31">
        <f>[1]节奏总纲!AX12</f>
        <v>2.886111205961342E-2</v>
      </c>
      <c r="AY12" s="31"/>
      <c r="AZ12" s="31">
        <v>9</v>
      </c>
      <c r="BA12" s="31">
        <f>[1]节奏总纲!BA12</f>
        <v>23.100336713798686</v>
      </c>
      <c r="BB12" s="31">
        <f>[1]节奏总纲!BB12</f>
        <v>24.402761517547276</v>
      </c>
      <c r="BC12" s="31">
        <f>[1]节奏总纲!BC12</f>
        <v>26.127796402772656</v>
      </c>
      <c r="BD12" s="31">
        <f>[1]节奏总纲!BD12</f>
        <v>28.568390277483555</v>
      </c>
      <c r="BE12" s="31">
        <f>[1]节奏总纲!BE12</f>
        <v>32.842201900114915</v>
      </c>
      <c r="BI12" s="31">
        <v>9</v>
      </c>
      <c r="BJ12" s="31">
        <f>求节点($AL$4:$AL$53,AM$4:AM$53,('[1]功能-城建'!$BG14+'[1]功能-城建'!$CB14)/2)</f>
        <v>13.530461208780551</v>
      </c>
      <c r="BK12" s="31">
        <f>求节点($AL$4:$AL$53,AN$4:AN$53,('[1]功能-城建'!$BG14+'[1]功能-城建'!$CB14)/2)</f>
        <v>10.824368967024441</v>
      </c>
      <c r="BL12" s="31">
        <f>求节点($AL$4:$AL$53,AO$4:AO$53,('[1]功能-城建'!$BG14+'[1]功能-城建'!$CB14)/2)</f>
        <v>8.1182767252683306</v>
      </c>
      <c r="BM12" s="31">
        <f>求节点($AL$4:$AL$53,AP$4:AP$53,('[1]功能-城建'!$BG14+'[1]功能-城建'!$CB14)/2)</f>
        <v>5.4121844835122204</v>
      </c>
      <c r="BN12" s="31">
        <f>求节点($AL$4:$AL$53,AQ$4:AQ$53,('[1]功能-城建'!$BG14+'[1]功能-城建'!$CB14)/2)</f>
        <v>2.7060922417561102</v>
      </c>
      <c r="BR12" s="31">
        <v>9</v>
      </c>
      <c r="BS12" s="31">
        <f>'[1]功能-城建'!O14</f>
        <v>3</v>
      </c>
      <c r="BT12" s="31">
        <f>'[1]功能-城建'!P14</f>
        <v>3</v>
      </c>
      <c r="BU12" s="31">
        <f>'[1]功能-城建'!Q14</f>
        <v>3</v>
      </c>
      <c r="BV12" s="31">
        <f>'[1]功能-城建'!R14</f>
        <v>3</v>
      </c>
      <c r="BW12" s="31">
        <f t="shared" si="2"/>
        <v>12</v>
      </c>
    </row>
    <row r="13" spans="2:75" x14ac:dyDescent="0.15">
      <c r="B13" s="31">
        <v>60</v>
      </c>
      <c r="C13" s="31">
        <f t="shared" si="4"/>
        <v>63</v>
      </c>
      <c r="D13" s="31">
        <f t="shared" si="3"/>
        <v>32</v>
      </c>
      <c r="F13" s="31">
        <v>11</v>
      </c>
      <c r="G13" s="31">
        <f t="shared" si="0"/>
        <v>1.1435469250725863</v>
      </c>
      <c r="I13" s="31">
        <v>11</v>
      </c>
      <c r="J13" s="31">
        <f t="shared" si="1"/>
        <v>0.93464628919691628</v>
      </c>
      <c r="K13" s="35">
        <v>0.52</v>
      </c>
      <c r="N13" s="41">
        <f>[1]节奏总纲!N13</f>
        <v>20</v>
      </c>
      <c r="O13" s="31">
        <v>10</v>
      </c>
      <c r="P13" s="31">
        <f>[1]节奏总纲!P13</f>
        <v>1</v>
      </c>
      <c r="Q13" s="31">
        <f>[1]节奏总纲!Q13</f>
        <v>0.8548</v>
      </c>
      <c r="R13" s="31">
        <f>[1]节奏总纲!R13</f>
        <v>0.6895</v>
      </c>
      <c r="S13" s="31">
        <f>[1]节奏总纲!S13</f>
        <v>0.49980000000000002</v>
      </c>
      <c r="T13" s="31">
        <f>[1]节奏总纲!T13</f>
        <v>0.2732</v>
      </c>
      <c r="V13" s="31">
        <v>10</v>
      </c>
      <c r="W13" s="31">
        <f>[1]节奏总纲!W13</f>
        <v>0.13393401692638518</v>
      </c>
      <c r="X13" s="31">
        <f>[1]节奏总纲!X13</f>
        <v>0.11777784840435379</v>
      </c>
      <c r="Y13" s="31">
        <f>[1]节奏总纲!Y13</f>
        <v>9.6677834586110678E-2</v>
      </c>
      <c r="Z13" s="31">
        <f>[1]节奏总纲!Z13</f>
        <v>7.2136617558249017E-2</v>
      </c>
      <c r="AA13" s="31">
        <f>[1]节奏总纲!AA13</f>
        <v>4.1267529732885971E-2</v>
      </c>
      <c r="AC13" s="31">
        <v>10</v>
      </c>
      <c r="AD13" s="31">
        <f>[1]节奏总纲!AD13</f>
        <v>34.585942742481357</v>
      </c>
      <c r="AE13" s="31">
        <f>[1]节奏总纲!AE13</f>
        <v>36.36169634498642</v>
      </c>
      <c r="AF13" s="31">
        <f>[1]节奏总纲!AF13</f>
        <v>38.977035507933373</v>
      </c>
      <c r="AG13" s="31">
        <f>[1]节奏总纲!AG13</f>
        <v>42.970748198558951</v>
      </c>
      <c r="AH13" s="31">
        <f>[1]节奏总纲!AH13</f>
        <v>51.212821897464167</v>
      </c>
      <c r="AL13" s="31">
        <v>10</v>
      </c>
      <c r="AM13" s="31">
        <f>[1]节奏总纲!AM13</f>
        <v>0.75</v>
      </c>
      <c r="AN13" s="31">
        <f>[1]节奏总纲!AN13</f>
        <v>0.60000000000000009</v>
      </c>
      <c r="AO13" s="31">
        <f>[1]节奏总纲!AO13</f>
        <v>0.44999999999999996</v>
      </c>
      <c r="AP13" s="31">
        <f>[1]节奏总纲!AP13</f>
        <v>0.30000000000000004</v>
      </c>
      <c r="AQ13" s="31">
        <f>[1]节奏总纲!AQ13</f>
        <v>0.15000000000000002</v>
      </c>
      <c r="AS13" s="31">
        <v>10</v>
      </c>
      <c r="AT13" s="31">
        <f>[1]节奏总纲!AT13</f>
        <v>0.17909348176756579</v>
      </c>
      <c r="AU13" s="31">
        <f>[1]节奏总纲!AU13</f>
        <v>0.1432747854140527</v>
      </c>
      <c r="AV13" s="31">
        <f>[1]节奏总纲!AV13</f>
        <v>0.10745608906053944</v>
      </c>
      <c r="AW13" s="31">
        <f>[1]节奏总纲!AW13</f>
        <v>7.1637392707026348E-2</v>
      </c>
      <c r="AX13" s="31">
        <f>[1]节奏总纲!AX13</f>
        <v>3.5818696353513174E-2</v>
      </c>
      <c r="AY13" s="31"/>
      <c r="AZ13" s="31">
        <v>10</v>
      </c>
      <c r="BA13" s="31">
        <f>[1]节奏总纲!BA13</f>
        <v>23.710496742673982</v>
      </c>
      <c r="BB13" s="31">
        <f>[1]节奏总纲!BB13</f>
        <v>25.044229735272328</v>
      </c>
      <c r="BC13" s="31">
        <f>[1]节奏总纲!BC13</f>
        <v>26.755953543357073</v>
      </c>
      <c r="BD13" s="31">
        <f>[1]节奏总纲!BD13</f>
        <v>29.216428548527322</v>
      </c>
      <c r="BE13" s="31">
        <f>[1]节奏总纲!BE13</f>
        <v>33.487933395889513</v>
      </c>
      <c r="BI13" s="31">
        <v>10</v>
      </c>
      <c r="BJ13" s="31">
        <f>求节点($AL$4:$AL$53,AM$4:AM$53,('[1]功能-城建'!$BG15+'[1]功能-城建'!$CB15)/2)</f>
        <v>22.250481908800957</v>
      </c>
      <c r="BK13" s="31">
        <f>求节点($AL$4:$AL$53,AN$4:AN$53,('[1]功能-城建'!$BG15+'[1]功能-城建'!$CB15)/2)</f>
        <v>17.800385527040767</v>
      </c>
      <c r="BL13" s="31">
        <f>求节点($AL$4:$AL$53,AO$4:AO$53,('[1]功能-城建'!$BG15+'[1]功能-城建'!$CB15)/2)</f>
        <v>13.350289145280575</v>
      </c>
      <c r="BM13" s="31">
        <f>求节点($AL$4:$AL$53,AP$4:AP$53,('[1]功能-城建'!$BG15+'[1]功能-城建'!$CB15)/2)</f>
        <v>8.9001927635203835</v>
      </c>
      <c r="BN13" s="31">
        <f>求节点($AL$4:$AL$53,AQ$4:AQ$53,('[1]功能-城建'!$BG15+'[1]功能-城建'!$CB15)/2)</f>
        <v>4.4500963817601917</v>
      </c>
      <c r="BR13" s="31">
        <v>10</v>
      </c>
      <c r="BS13" s="31">
        <f>'[1]功能-城建'!O15</f>
        <v>3</v>
      </c>
      <c r="BT13" s="31">
        <f>'[1]功能-城建'!P15</f>
        <v>4</v>
      </c>
      <c r="BU13" s="31">
        <f>'[1]功能-城建'!Q15</f>
        <v>3</v>
      </c>
      <c r="BV13" s="31">
        <f>'[1]功能-城建'!R15</f>
        <v>3</v>
      </c>
      <c r="BW13" s="31">
        <f t="shared" si="2"/>
        <v>13</v>
      </c>
    </row>
    <row r="14" spans="2:75" x14ac:dyDescent="0.15">
      <c r="B14" s="31">
        <v>70</v>
      </c>
      <c r="C14" s="31">
        <f t="shared" si="4"/>
        <v>127</v>
      </c>
      <c r="D14" s="31">
        <f t="shared" si="3"/>
        <v>64</v>
      </c>
      <c r="F14" s="31">
        <v>12</v>
      </c>
      <c r="G14" s="31">
        <f t="shared" si="0"/>
        <v>1.2973967099940702</v>
      </c>
      <c r="I14" s="31">
        <v>12</v>
      </c>
      <c r="J14" s="31">
        <f t="shared" si="1"/>
        <v>1.1550685436347259</v>
      </c>
      <c r="K14" s="35">
        <v>0.54</v>
      </c>
      <c r="N14" s="41">
        <f>[1]节奏总纲!N14</f>
        <v>21</v>
      </c>
      <c r="O14" s="31">
        <v>11</v>
      </c>
      <c r="P14" s="31">
        <f>[1]节奏总纲!P14</f>
        <v>1.1435469250725863</v>
      </c>
      <c r="Q14" s="31">
        <f>[1]节奏总纲!Q14</f>
        <v>0.98036277886472811</v>
      </c>
      <c r="R14" s="31">
        <f>[1]节奏总纲!R14</f>
        <v>0.79453640354043287</v>
      </c>
      <c r="S14" s="31">
        <f>[1]节奏总纲!S14</f>
        <v>0.57577587677404707</v>
      </c>
      <c r="T14" s="31">
        <f>[1]节奏总纲!T14</f>
        <v>0.31767733578516444</v>
      </c>
      <c r="V14" s="31">
        <v>11</v>
      </c>
      <c r="W14" s="31">
        <f>[1]节奏总纲!W14</f>
        <v>0.14354692507258626</v>
      </c>
      <c r="X14" s="31">
        <f>[1]节奏总纲!X14</f>
        <v>0.12556277886472811</v>
      </c>
      <c r="Y14" s="31">
        <f>[1]节奏总纲!Y14</f>
        <v>0.10503640354043287</v>
      </c>
      <c r="Z14" s="31">
        <f>[1]节奏总纲!Z14</f>
        <v>7.5975876774047046E-2</v>
      </c>
      <c r="AA14" s="31">
        <f>[1]节奏总纲!AA14</f>
        <v>4.447733578516444E-2</v>
      </c>
      <c r="AC14" s="31">
        <v>11</v>
      </c>
      <c r="AD14" s="31">
        <f>[1]节奏总纲!AD14</f>
        <v>35.845161563010116</v>
      </c>
      <c r="AE14" s="31">
        <f>[1]节奏总纲!AE14</f>
        <v>37.6388925299823</v>
      </c>
      <c r="AF14" s="31">
        <f>[1]节奏总纲!AF14</f>
        <v>40.259528204263837</v>
      </c>
      <c r="AG14" s="31">
        <f>[1]节奏总纲!AG14</f>
        <v>44.288230531994081</v>
      </c>
      <c r="AH14" s="31">
        <f>[1]节奏总纲!AH14</f>
        <v>52.559419343629337</v>
      </c>
      <c r="AL14" s="31">
        <v>11</v>
      </c>
      <c r="AM14" s="31">
        <f>[1]节奏总纲!AM14</f>
        <v>0.93464628919691628</v>
      </c>
      <c r="AN14" s="31">
        <f>[1]节奏总纲!AN14</f>
        <v>0.74771703135753309</v>
      </c>
      <c r="AO14" s="31">
        <f>[1]节奏总纲!AO14</f>
        <v>0.56078777351814979</v>
      </c>
      <c r="AP14" s="31">
        <f>[1]节奏总纲!AP14</f>
        <v>0.37385851567876655</v>
      </c>
      <c r="AQ14" s="31">
        <f>[1]节奏总纲!AQ14</f>
        <v>0.18692925783938327</v>
      </c>
      <c r="AS14" s="31">
        <v>11</v>
      </c>
      <c r="AT14" s="31">
        <f>[1]节奏总纲!AT14</f>
        <v>0.18464628919691628</v>
      </c>
      <c r="AU14" s="31">
        <f>[1]节奏总纲!AU14</f>
        <v>0.147717031357533</v>
      </c>
      <c r="AV14" s="31">
        <f>[1]节奏总纲!AV14</f>
        <v>0.11078777351814983</v>
      </c>
      <c r="AW14" s="31">
        <f>[1]节奏总纲!AW14</f>
        <v>7.3858515678766501E-2</v>
      </c>
      <c r="AX14" s="31">
        <f>[1]节奏总纲!AX14</f>
        <v>3.692925783938325E-2</v>
      </c>
      <c r="AY14" s="31"/>
      <c r="AZ14" s="31">
        <v>11</v>
      </c>
      <c r="BA14" s="31">
        <f>[1]节奏总纲!BA14</f>
        <v>24.272927064840161</v>
      </c>
      <c r="BB14" s="31">
        <f>[1]节奏总纲!BB14</f>
        <v>25.597101426176433</v>
      </c>
      <c r="BC14" s="31">
        <f>[1]节奏总纲!BC14</f>
        <v>27.327481651231444</v>
      </c>
      <c r="BD14" s="31">
        <f>[1]节奏总纲!BD14</f>
        <v>29.80118336305917</v>
      </c>
      <c r="BE14" s="31">
        <f>[1]节奏总纲!BE14</f>
        <v>34.09469189131628</v>
      </c>
      <c r="BI14" s="31">
        <v>11</v>
      </c>
      <c r="BJ14" s="31">
        <f>求节点($AL$4:$AL$53,AM$4:AM$53,('[1]功能-城建'!$BG16+'[1]功能-城建'!$CB16)/2)</f>
        <v>33.357679571112705</v>
      </c>
      <c r="BK14" s="31">
        <f>求节点($AL$4:$AL$53,AN$4:AN$53,('[1]功能-城建'!$BG16+'[1]功能-城建'!$CB16)/2)</f>
        <v>26.686143656890167</v>
      </c>
      <c r="BL14" s="31">
        <f>求节点($AL$4:$AL$53,AO$4:AO$53,('[1]功能-城建'!$BG16+'[1]功能-城建'!$CB16)/2)</f>
        <v>20.014607742667621</v>
      </c>
      <c r="BM14" s="31">
        <f>求节点($AL$4:$AL$53,AP$4:AP$53,('[1]功能-城建'!$BG16+'[1]功能-城建'!$CB16)/2)</f>
        <v>13.343071828445083</v>
      </c>
      <c r="BN14" s="31">
        <f>求节点($AL$4:$AL$53,AQ$4:AQ$53,('[1]功能-城建'!$BG16+'[1]功能-城建'!$CB16)/2)</f>
        <v>6.6715359142225417</v>
      </c>
      <c r="BR14" s="31">
        <v>11</v>
      </c>
      <c r="BS14" s="31">
        <f>'[1]功能-城建'!O16</f>
        <v>4</v>
      </c>
      <c r="BT14" s="31">
        <f>'[1]功能-城建'!P16</f>
        <v>4</v>
      </c>
      <c r="BU14" s="31">
        <f>'[1]功能-城建'!Q16</f>
        <v>4</v>
      </c>
      <c r="BV14" s="31">
        <f>'[1]功能-城建'!R16</f>
        <v>3</v>
      </c>
      <c r="BW14" s="31">
        <f t="shared" si="2"/>
        <v>15</v>
      </c>
    </row>
    <row r="15" spans="2:75" x14ac:dyDescent="0.15">
      <c r="B15" s="31">
        <v>80</v>
      </c>
      <c r="C15" s="31">
        <f t="shared" si="4"/>
        <v>255</v>
      </c>
      <c r="D15" s="31">
        <f t="shared" si="3"/>
        <v>128</v>
      </c>
      <c r="F15" s="31">
        <v>13</v>
      </c>
      <c r="G15" s="31">
        <f t="shared" si="0"/>
        <v>1.4622888266898326</v>
      </c>
      <c r="I15" s="31">
        <v>13</v>
      </c>
      <c r="J15" s="31">
        <f t="shared" si="1"/>
        <v>1.417602554491646</v>
      </c>
      <c r="K15" s="35">
        <v>0.56000000000000005</v>
      </c>
      <c r="N15" s="41">
        <f>[1]节奏总纲!N15</f>
        <v>22</v>
      </c>
      <c r="O15" s="31">
        <v>12</v>
      </c>
      <c r="P15" s="31">
        <f>[1]节奏总纲!P15</f>
        <v>1.2973967099940702</v>
      </c>
      <c r="Q15" s="31">
        <f>[1]节奏总纲!Q15</f>
        <v>1.1126474184909145</v>
      </c>
      <c r="R15" s="31">
        <f>[1]节奏总纲!R15</f>
        <v>0.9058423829178599</v>
      </c>
      <c r="S15" s="31">
        <f>[1]节奏总纲!S15</f>
        <v>0.66219128078097333</v>
      </c>
      <c r="T15" s="31">
        <f>[1]节奏总纲!T15</f>
        <v>0.36560639287632896</v>
      </c>
      <c r="V15" s="31">
        <v>12</v>
      </c>
      <c r="W15" s="31">
        <f>[1]节奏总纲!W15</f>
        <v>0.15384978492148393</v>
      </c>
      <c r="X15" s="31">
        <f>[1]节奏总纲!X15</f>
        <v>0.13228463962618642</v>
      </c>
      <c r="Y15" s="31">
        <f>[1]节奏总纲!Y15</f>
        <v>0.11130597937742703</v>
      </c>
      <c r="Z15" s="31">
        <f>[1]节奏总纲!Z15</f>
        <v>8.6415404006926266E-2</v>
      </c>
      <c r="AA15" s="31">
        <f>[1]节奏总纲!AA15</f>
        <v>4.7929057091164518E-2</v>
      </c>
      <c r="AC15" s="31">
        <v>12</v>
      </c>
      <c r="AD15" s="31">
        <f>[1]节奏总纲!AD15</f>
        <v>37.004247194324648</v>
      </c>
      <c r="AE15" s="31">
        <f>[1]节奏总纲!AE15</f>
        <v>38.827998824669805</v>
      </c>
      <c r="AF15" s="31">
        <f>[1]节奏总纲!AF15</f>
        <v>41.408320762540754</v>
      </c>
      <c r="AG15" s="31">
        <f>[1]节奏总纲!AG15</f>
        <v>45.500930067545958</v>
      </c>
      <c r="AH15" s="31">
        <f>[1]节奏总纲!AH15</f>
        <v>53.855547243088772</v>
      </c>
      <c r="AL15" s="31">
        <v>12</v>
      </c>
      <c r="AM15" s="31">
        <f>[1]节奏总纲!AM15</f>
        <v>1.1550685436347259</v>
      </c>
      <c r="AN15" s="31">
        <f>[1]节奏总纲!AN15</f>
        <v>0.92405483490778073</v>
      </c>
      <c r="AO15" s="31">
        <f>[1]节奏总纲!AO15</f>
        <v>0.69304112618083547</v>
      </c>
      <c r="AP15" s="31">
        <f>[1]节奏总纲!AP15</f>
        <v>0.46202741745389037</v>
      </c>
      <c r="AQ15" s="31">
        <f>[1]节奏总纲!AQ15</f>
        <v>0.23101370872694518</v>
      </c>
      <c r="AS15" s="31">
        <v>12</v>
      </c>
      <c r="AT15" s="31">
        <f>[1]节奏总纲!AT15</f>
        <v>0.22042225443780961</v>
      </c>
      <c r="AU15" s="31">
        <f>[1]节奏总纲!AU15</f>
        <v>0.17633780355024764</v>
      </c>
      <c r="AV15" s="31">
        <f>[1]节奏总纲!AV15</f>
        <v>0.13225335266268567</v>
      </c>
      <c r="AW15" s="31">
        <f>[1]节奏总纲!AW15</f>
        <v>8.816890177512382E-2</v>
      </c>
      <c r="AX15" s="31">
        <f>[1]节奏总纲!AX15</f>
        <v>4.408445088756191E-2</v>
      </c>
      <c r="AY15" s="31"/>
      <c r="AZ15" s="31">
        <v>12</v>
      </c>
      <c r="BA15" s="31">
        <f>[1]节奏总纲!BA15</f>
        <v>24.792264875668618</v>
      </c>
      <c r="BB15" s="31">
        <f>[1]节奏总纲!BB15</f>
        <v>26.127796402772656</v>
      </c>
      <c r="BC15" s="31">
        <f>[1]节奏总纲!BC15</f>
        <v>27.863030247590562</v>
      </c>
      <c r="BD15" s="31">
        <f>[1]节奏总纲!BD15</f>
        <v>30.329493925593439</v>
      </c>
      <c r="BE15" s="31">
        <f>[1]节奏总纲!BE15</f>
        <v>34.627226072894942</v>
      </c>
      <c r="BI15" s="31">
        <v>12</v>
      </c>
      <c r="BJ15" s="31">
        <f>求节点($AL$4:$AL$53,AM$4:AM$53,('[1]功能-城建'!$BG17+'[1]功能-城建'!$CB17)/2)</f>
        <v>50.096872126566154</v>
      </c>
      <c r="BK15" s="31">
        <f>求节点($AL$4:$AL$53,AN$4:AN$53,('[1]功能-城建'!$BG17+'[1]功能-城建'!$CB17)/2)</f>
        <v>40.077497701252923</v>
      </c>
      <c r="BL15" s="31">
        <f>求节点($AL$4:$AL$53,AO$4:AO$53,('[1]功能-城建'!$BG17+'[1]功能-城建'!$CB17)/2)</f>
        <v>30.058123275939693</v>
      </c>
      <c r="BM15" s="31">
        <f>求节点($AL$4:$AL$53,AP$4:AP$53,('[1]功能-城建'!$BG17+'[1]功能-城建'!$CB17)/2)</f>
        <v>20.038748850626462</v>
      </c>
      <c r="BN15" s="31">
        <f>求节点($AL$4:$AL$53,AQ$4:AQ$53,('[1]功能-城建'!$BG17+'[1]功能-城建'!$CB17)/2)</f>
        <v>10.019374425313231</v>
      </c>
      <c r="BR15" s="31">
        <v>12</v>
      </c>
      <c r="BS15" s="31">
        <f>'[1]功能-城建'!O17</f>
        <v>4</v>
      </c>
      <c r="BT15" s="31">
        <f>'[1]功能-城建'!P17</f>
        <v>4</v>
      </c>
      <c r="BU15" s="31">
        <f>'[1]功能-城建'!Q17</f>
        <v>4</v>
      </c>
      <c r="BV15" s="31">
        <f>'[1]功能-城建'!R17</f>
        <v>4</v>
      </c>
      <c r="BW15" s="31">
        <f t="shared" si="2"/>
        <v>16</v>
      </c>
    </row>
    <row r="16" spans="2:75" x14ac:dyDescent="0.15">
      <c r="B16" s="31">
        <v>90</v>
      </c>
      <c r="C16" s="31">
        <f t="shared" si="4"/>
        <v>511</v>
      </c>
      <c r="D16" s="31">
        <f t="shared" si="3"/>
        <v>256</v>
      </c>
      <c r="F16" s="31">
        <v>14</v>
      </c>
      <c r="G16" s="31">
        <f t="shared" si="0"/>
        <v>1.6390158215457884</v>
      </c>
      <c r="I16" s="31">
        <v>14</v>
      </c>
      <c r="J16" s="31">
        <f t="shared" si="1"/>
        <v>1.7296773068470075</v>
      </c>
      <c r="K16" s="35">
        <v>0.57999999999999996</v>
      </c>
      <c r="N16" s="41">
        <f>[1]节奏总纲!N16</f>
        <v>23</v>
      </c>
      <c r="O16" s="31">
        <v>13</v>
      </c>
      <c r="P16" s="31">
        <f>[1]节奏总纲!P16</f>
        <v>1.4622888266898326</v>
      </c>
      <c r="Q16" s="31">
        <f>[1]节奏总纲!Q16</f>
        <v>1.2628326307293396</v>
      </c>
      <c r="R16" s="31">
        <f>[1]节奏总纲!R16</f>
        <v>1.0294513339896421</v>
      </c>
      <c r="S16" s="31">
        <f>[1]节奏总纲!S16</f>
        <v>0.75556463675063656</v>
      </c>
      <c r="T16" s="31">
        <f>[1]节奏总纲!T16</f>
        <v>0.41865329108129906</v>
      </c>
      <c r="V16" s="31">
        <v>13</v>
      </c>
      <c r="W16" s="31">
        <f>[1]节奏总纲!W16</f>
        <v>0.16489211669576243</v>
      </c>
      <c r="X16" s="31">
        <f>[1]节奏总纲!X16</f>
        <v>0.15018521223842507</v>
      </c>
      <c r="Y16" s="31">
        <f>[1]节奏总纲!Y16</f>
        <v>0.12360895107178216</v>
      </c>
      <c r="Z16" s="31">
        <f>[1]节奏总纲!Z16</f>
        <v>9.337335596966323E-2</v>
      </c>
      <c r="AA16" s="31">
        <f>[1]节奏总纲!AA16</f>
        <v>5.3046898204970105E-2</v>
      </c>
      <c r="AC16" s="31">
        <v>13</v>
      </c>
      <c r="AD16" s="31">
        <f>[1]节奏总纲!AD16</f>
        <v>38.071211008105138</v>
      </c>
      <c r="AE16" s="31">
        <f>[1]节奏总纲!AE16</f>
        <v>39.935302111946527</v>
      </c>
      <c r="AF16" s="31">
        <f>[1]节奏总纲!AF16</f>
        <v>42.470214785133983</v>
      </c>
      <c r="AG16" s="31">
        <f>[1]节奏总纲!AG16</f>
        <v>46.631096344914496</v>
      </c>
      <c r="AH16" s="31">
        <f>[1]节奏总纲!AH16</f>
        <v>55.062101953238496</v>
      </c>
      <c r="AL16" s="31">
        <v>13</v>
      </c>
      <c r="AM16" s="31">
        <f>[1]节奏总纲!AM16</f>
        <v>1.417602554491646</v>
      </c>
      <c r="AN16" s="31">
        <f>[1]节奏总纲!AN16</f>
        <v>1.1340820435933168</v>
      </c>
      <c r="AO16" s="31">
        <f>[1]节奏总纲!AO16</f>
        <v>0.85056153269498758</v>
      </c>
      <c r="AP16" s="31">
        <f>[1]节奏总纲!AP16</f>
        <v>0.56704102179665838</v>
      </c>
      <c r="AQ16" s="31">
        <f>[1]节奏总纲!AQ16</f>
        <v>0.28352051089832919</v>
      </c>
      <c r="AS16" s="31">
        <v>13</v>
      </c>
      <c r="AT16" s="31">
        <f>[1]节奏总纲!AT16</f>
        <v>0.26253401085692007</v>
      </c>
      <c r="AU16" s="31">
        <f>[1]节奏总纲!AU16</f>
        <v>0.21002720868553604</v>
      </c>
      <c r="AV16" s="31">
        <f>[1]节奏总纲!AV16</f>
        <v>0.15752040651415211</v>
      </c>
      <c r="AW16" s="31">
        <f>[1]节奏总纲!AW16</f>
        <v>0.10501360434276802</v>
      </c>
      <c r="AX16" s="31">
        <f>[1]节奏总纲!AX16</f>
        <v>5.2506802171384009E-2</v>
      </c>
      <c r="AY16" s="31"/>
      <c r="AZ16" s="31">
        <v>13</v>
      </c>
      <c r="BA16" s="31">
        <f>[1]节奏总纲!BA16</f>
        <v>25.265378411633971</v>
      </c>
      <c r="BB16" s="31">
        <f>[1]节奏总纲!BB16</f>
        <v>26.598914258210968</v>
      </c>
      <c r="BC16" s="31">
        <f>[1]节奏总纲!BC16</f>
        <v>28.339982398803929</v>
      </c>
      <c r="BD16" s="31">
        <f>[1]节奏总纲!BD16</f>
        <v>30.828727146189561</v>
      </c>
      <c r="BE16" s="31">
        <f>[1]节奏总纲!BE16</f>
        <v>35.146386283795508</v>
      </c>
      <c r="BI16" s="31">
        <v>13</v>
      </c>
      <c r="BJ16" s="31">
        <f>求节点($AL$4:$AL$53,AM$4:AM$53,('[1]功能-城建'!$BG18+'[1]功能-城建'!$CB18)/2)</f>
        <v>63.5</v>
      </c>
      <c r="BK16" s="31">
        <f>求节点($AL$4:$AL$53,AN$4:AN$53,('[1]功能-城建'!$BG18+'[1]功能-城建'!$CB18)/2)</f>
        <v>50.800000000000004</v>
      </c>
      <c r="BL16" s="31">
        <f>求节点($AL$4:$AL$53,AO$4:AO$53,('[1]功能-城建'!$BG18+'[1]功能-城建'!$CB18)/2)</f>
        <v>38.1</v>
      </c>
      <c r="BM16" s="31">
        <f>求节点($AL$4:$AL$53,AP$4:AP$53,('[1]功能-城建'!$BG18+'[1]功能-城建'!$CB18)/2)</f>
        <v>25.400000000000002</v>
      </c>
      <c r="BN16" s="31">
        <f>求节点($AL$4:$AL$53,AQ$4:AQ$53,('[1]功能-城建'!$BG18+'[1]功能-城建'!$CB18)/2)</f>
        <v>12.700000000000001</v>
      </c>
      <c r="BR16" s="31">
        <v>13</v>
      </c>
      <c r="BS16" s="31">
        <f>'[1]功能-城建'!O18</f>
        <v>4</v>
      </c>
      <c r="BT16" s="31">
        <f>'[1]功能-城建'!P18</f>
        <v>4</v>
      </c>
      <c r="BU16" s="31">
        <f>'[1]功能-城建'!Q18</f>
        <v>4</v>
      </c>
      <c r="BV16" s="31">
        <f>'[1]功能-城建'!R18</f>
        <v>4</v>
      </c>
      <c r="BW16" s="31">
        <f t="shared" si="2"/>
        <v>16</v>
      </c>
    </row>
    <row r="17" spans="2:75" x14ac:dyDescent="0.15">
      <c r="B17" s="31">
        <v>100</v>
      </c>
      <c r="C17" s="31">
        <f t="shared" si="4"/>
        <v>1023</v>
      </c>
      <c r="D17" s="31">
        <f t="shared" si="3"/>
        <v>512</v>
      </c>
      <c r="F17" s="31">
        <v>15</v>
      </c>
      <c r="G17" s="31">
        <f t="shared" si="0"/>
        <v>1.8284271247461898</v>
      </c>
      <c r="I17" s="31">
        <v>15</v>
      </c>
      <c r="J17" s="31">
        <f t="shared" si="1"/>
        <v>2.1</v>
      </c>
      <c r="K17" s="35">
        <v>0.6</v>
      </c>
      <c r="N17" s="41">
        <f>[1]节奏总纲!N17</f>
        <v>24</v>
      </c>
      <c r="O17" s="31">
        <v>14</v>
      </c>
      <c r="P17" s="31">
        <f>[1]节奏总纲!P17</f>
        <v>1.6390158215457884</v>
      </c>
      <c r="Q17" s="31">
        <f>[1]节奏总纲!Q17</f>
        <v>1.4136511460832426</v>
      </c>
      <c r="R17" s="31">
        <f>[1]节奏总纲!R17</f>
        <v>1.1545227446968533</v>
      </c>
      <c r="S17" s="31">
        <f>[1]节奏总纲!S17</f>
        <v>0.84605996708193598</v>
      </c>
      <c r="T17" s="31">
        <f>[1]节奏总纲!T17</f>
        <v>0.46810291863347719</v>
      </c>
      <c r="V17" s="31">
        <v>14</v>
      </c>
      <c r="W17" s="31">
        <f>[1]节奏总纲!W17</f>
        <v>0.17672699485595578</v>
      </c>
      <c r="X17" s="31">
        <f>[1]节奏总纲!X17</f>
        <v>0.150818515353903</v>
      </c>
      <c r="Y17" s="31">
        <f>[1]节奏总纲!Y17</f>
        <v>0.12507141070721128</v>
      </c>
      <c r="Z17" s="31">
        <f>[1]节奏总纲!Z17</f>
        <v>9.0495330331299417E-2</v>
      </c>
      <c r="AA17" s="31">
        <f>[1]节奏总纲!AA17</f>
        <v>4.9449627552178133E-2</v>
      </c>
      <c r="AC17" s="31">
        <v>14</v>
      </c>
      <c r="AD17" s="31">
        <f>[1]节奏总纲!AD17</f>
        <v>39.066704614192943</v>
      </c>
      <c r="AE17" s="31">
        <f>[1]节奏总纲!AE17</f>
        <v>40.935169244165145</v>
      </c>
      <c r="AF17" s="31">
        <f>[1]节奏总纲!AF17</f>
        <v>43.484929789964411</v>
      </c>
      <c r="AG17" s="31">
        <f>[1]节奏总纲!AG17</f>
        <v>47.711408234944486</v>
      </c>
      <c r="AH17" s="31">
        <f>[1]节奏总纲!AH17</f>
        <v>56.165983112651688</v>
      </c>
      <c r="AL17" s="31">
        <v>14</v>
      </c>
      <c r="AM17" s="31">
        <f>[1]节奏总纲!AM17</f>
        <v>1.7296773068470075</v>
      </c>
      <c r="AN17" s="31">
        <f>[1]节奏总纲!AN17</f>
        <v>1.383741845477606</v>
      </c>
      <c r="AO17" s="31">
        <f>[1]节奏总纲!AO17</f>
        <v>1.0378063841082044</v>
      </c>
      <c r="AP17" s="31">
        <f>[1]节奏总纲!AP17</f>
        <v>0.69187092273880302</v>
      </c>
      <c r="AQ17" s="31">
        <f>[1]节奏总纲!AQ17</f>
        <v>0.34593546136940151</v>
      </c>
      <c r="AS17" s="31">
        <v>14</v>
      </c>
      <c r="AT17" s="31">
        <f>[1]节奏总纲!AT17</f>
        <v>0.31207475235536153</v>
      </c>
      <c r="AU17" s="31">
        <f>[1]节奏总纲!AU17</f>
        <v>0.24965980188428927</v>
      </c>
      <c r="AV17" s="31">
        <f>[1]节奏总纲!AV17</f>
        <v>0.18724485141321678</v>
      </c>
      <c r="AW17" s="31">
        <f>[1]节奏总纲!AW17</f>
        <v>0.12482990094214463</v>
      </c>
      <c r="AX17" s="31">
        <f>[1]节奏总纲!AX17</f>
        <v>6.2414950471072317E-2</v>
      </c>
      <c r="AY17" s="31"/>
      <c r="AZ17" s="31">
        <v>14</v>
      </c>
      <c r="BA17" s="31">
        <f>[1]节奏总纲!BA17</f>
        <v>25.707675764357255</v>
      </c>
      <c r="BB17" s="31">
        <f>[1]节奏总纲!BB17</f>
        <v>27.059707353051884</v>
      </c>
      <c r="BC17" s="31">
        <f>[1]节奏总纲!BC17</f>
        <v>28.796798156163181</v>
      </c>
      <c r="BD17" s="31">
        <f>[1]节奏总纲!BD17</f>
        <v>31.280110398778046</v>
      </c>
      <c r="BE17" s="31">
        <f>[1]节奏总纲!BE17</f>
        <v>35.634340563113874</v>
      </c>
      <c r="BI17" s="31">
        <v>14</v>
      </c>
      <c r="BJ17" s="31">
        <f>求节点($AL$4:$AL$53,AM$4:AM$53,('[1]功能-城建'!$BG19+'[1]功能-城建'!$CB19)/2)</f>
        <v>79.687169041131426</v>
      </c>
      <c r="BK17" s="31">
        <f>求节点($AL$4:$AL$53,AN$4:AN$53,('[1]功能-城建'!$BG19+'[1]功能-城建'!$CB19)/2)</f>
        <v>63.749735232905138</v>
      </c>
      <c r="BL17" s="31">
        <f>求节点($AL$4:$AL$53,AO$4:AO$53,('[1]功能-城建'!$BG19+'[1]功能-城建'!$CB19)/2)</f>
        <v>47.81230142467885</v>
      </c>
      <c r="BM17" s="31">
        <f>求节点($AL$4:$AL$53,AP$4:AP$53,('[1]功能-城建'!$BG19+'[1]功能-城建'!$CB19)/2)</f>
        <v>31.874867616452569</v>
      </c>
      <c r="BN17" s="31">
        <f>求节点($AL$4:$AL$53,AQ$4:AQ$53,('[1]功能-城建'!$BG19+'[1]功能-城建'!$CB19)/2)</f>
        <v>15.937433808226285</v>
      </c>
      <c r="BR17" s="31">
        <v>14</v>
      </c>
      <c r="BS17" s="31">
        <f>'[1]功能-城建'!O19</f>
        <v>5</v>
      </c>
      <c r="BT17" s="31">
        <f>'[1]功能-城建'!P19</f>
        <v>5</v>
      </c>
      <c r="BU17" s="31">
        <f>'[1]功能-城建'!Q19</f>
        <v>5</v>
      </c>
      <c r="BV17" s="31">
        <f>'[1]功能-城建'!R19</f>
        <v>5</v>
      </c>
      <c r="BW17" s="31">
        <f t="shared" si="2"/>
        <v>20</v>
      </c>
    </row>
    <row r="18" spans="2:75" x14ac:dyDescent="0.15">
      <c r="F18" s="31">
        <v>16</v>
      </c>
      <c r="G18" s="31">
        <f t="shared" si="0"/>
        <v>2.031433133020796</v>
      </c>
      <c r="I18" s="31">
        <v>16</v>
      </c>
      <c r="J18" s="31">
        <f t="shared" si="1"/>
        <v>2.5387719203926467</v>
      </c>
      <c r="K18" s="35">
        <v>0.62</v>
      </c>
      <c r="N18" s="41">
        <f>[1]节奏总纲!N18</f>
        <v>25</v>
      </c>
      <c r="O18" s="31">
        <v>15</v>
      </c>
      <c r="P18" s="31">
        <f>[1]节奏总纲!P18</f>
        <v>1.8284271247461898</v>
      </c>
      <c r="Q18" s="31">
        <f>[1]节奏总纲!Q18</f>
        <v>1.5793953503557587</v>
      </c>
      <c r="R18" s="31">
        <f>[1]节奏总纲!R18</f>
        <v>1.2928808199080308</v>
      </c>
      <c r="S18" s="31">
        <f>[1]节奏总纲!S18</f>
        <v>0.94895367774327255</v>
      </c>
      <c r="T18" s="31">
        <f>[1]节奏总纲!T18</f>
        <v>0.5271355400643265</v>
      </c>
      <c r="V18" s="31">
        <v>15</v>
      </c>
      <c r="W18" s="31">
        <f>[1]节奏总纲!W18</f>
        <v>0.18941130320040145</v>
      </c>
      <c r="X18" s="31">
        <f>[1]节奏总纲!X18</f>
        <v>0.16574420427251613</v>
      </c>
      <c r="Y18" s="31">
        <f>[1]节奏总纲!Y18</f>
        <v>0.13835807521117749</v>
      </c>
      <c r="Z18" s="31">
        <f>[1]节奏总纲!Z18</f>
        <v>0.10289371066133657</v>
      </c>
      <c r="AA18" s="31">
        <f>[1]节奏总纲!AA18</f>
        <v>5.9032621430849308E-2</v>
      </c>
      <c r="AC18" s="31">
        <v>15</v>
      </c>
      <c r="AD18" s="31">
        <f>[1]节奏总纲!AD18</f>
        <v>40</v>
      </c>
      <c r="AE18" s="31">
        <f>[1]节奏总纲!AE18</f>
        <v>41.83669503626701</v>
      </c>
      <c r="AF18" s="31">
        <f>[1]节奏总纲!AF18</f>
        <v>44.442238853326032</v>
      </c>
      <c r="AG18" s="31">
        <f>[1]节奏总纲!AG18</f>
        <v>48.731413734867289</v>
      </c>
      <c r="AH18" s="31">
        <f>[1]节奏总纲!AH18</f>
        <v>57.176846218996921</v>
      </c>
      <c r="AL18" s="31">
        <v>15</v>
      </c>
      <c r="AM18" s="31">
        <f>[1]节奏总纲!AM18</f>
        <v>2.1</v>
      </c>
      <c r="AN18" s="31">
        <f>[1]节奏总纲!AN18</f>
        <v>1.6800000000000002</v>
      </c>
      <c r="AO18" s="31">
        <f>[1]节奏总纲!AO18</f>
        <v>1.26</v>
      </c>
      <c r="AP18" s="31">
        <f>[1]节奏总纲!AP18</f>
        <v>0.84000000000000008</v>
      </c>
      <c r="AQ18" s="31">
        <f>[1]节奏总纲!AQ18</f>
        <v>0.42000000000000004</v>
      </c>
      <c r="AS18" s="31">
        <v>15</v>
      </c>
      <c r="AT18" s="31">
        <f>[1]节奏总纲!AT18</f>
        <v>0.3703226931529926</v>
      </c>
      <c r="AU18" s="31">
        <f>[1]节奏总纲!AU18</f>
        <v>0.29625815452239412</v>
      </c>
      <c r="AV18" s="31">
        <f>[1]节奏总纲!AV18</f>
        <v>0.22219361589179565</v>
      </c>
      <c r="AW18" s="31">
        <f>[1]节奏总纲!AW18</f>
        <v>0.14812907726119706</v>
      </c>
      <c r="AX18" s="31">
        <f>[1]节奏总纲!AX18</f>
        <v>7.4064538630598531E-2</v>
      </c>
      <c r="AY18" s="31"/>
      <c r="AZ18" s="31">
        <v>15</v>
      </c>
      <c r="BA18" s="31">
        <f>[1]节奏总纲!BA18</f>
        <v>26.127796402772656</v>
      </c>
      <c r="BB18" s="31">
        <f>[1]节奏总纲!BB18</f>
        <v>27.461368800321225</v>
      </c>
      <c r="BC18" s="31">
        <f>[1]节奏总纲!BC18</f>
        <v>29.216428548527322</v>
      </c>
      <c r="BD18" s="31">
        <f>[1]节奏总纲!BD18</f>
        <v>31.706504654507764</v>
      </c>
      <c r="BE18" s="31">
        <f>[1]节奏总纲!BE18</f>
        <v>36.105477566569242</v>
      </c>
      <c r="BI18" s="31">
        <v>15</v>
      </c>
      <c r="BJ18" s="31">
        <f>求节点($AL$4:$AL$53,AM$4:AM$53,('[1]功能-城建'!$BG20+'[1]功能-城建'!$CB20)/2)</f>
        <v>115.36769098598003</v>
      </c>
      <c r="BK18" s="31">
        <f>求节点($AL$4:$AL$53,AN$4:AN$53,('[1]功能-城建'!$BG20+'[1]功能-城建'!$CB20)/2)</f>
        <v>92.294152788784032</v>
      </c>
      <c r="BL18" s="31">
        <f>求节点($AL$4:$AL$53,AO$4:AO$53,('[1]功能-城建'!$BG20+'[1]功能-城建'!$CB20)/2)</f>
        <v>69.220614591588017</v>
      </c>
      <c r="BM18" s="31">
        <f>求节点($AL$4:$AL$53,AP$4:AP$53,('[1]功能-城建'!$BG20+'[1]功能-城建'!$CB20)/2)</f>
        <v>46.147076394392016</v>
      </c>
      <c r="BN18" s="31">
        <f>求节点($AL$4:$AL$53,AQ$4:AQ$53,('[1]功能-城建'!$BG20+'[1]功能-城建'!$CB20)/2)</f>
        <v>23.073538197196008</v>
      </c>
      <c r="BR18" s="31">
        <v>15</v>
      </c>
      <c r="BS18" s="31">
        <f>'[1]功能-城建'!O20</f>
        <v>5</v>
      </c>
      <c r="BT18" s="31">
        <f>'[1]功能-城建'!P20</f>
        <v>5</v>
      </c>
      <c r="BU18" s="31">
        <f>'[1]功能-城建'!Q20</f>
        <v>5</v>
      </c>
      <c r="BV18" s="31">
        <f>'[1]功能-城建'!R20</f>
        <v>5</v>
      </c>
      <c r="BW18" s="31">
        <f t="shared" si="2"/>
        <v>20</v>
      </c>
    </row>
    <row r="19" spans="2:75" x14ac:dyDescent="0.15">
      <c r="F19" s="31">
        <v>17</v>
      </c>
      <c r="G19" s="31">
        <f t="shared" si="0"/>
        <v>2.2490095854249419</v>
      </c>
      <c r="I19" s="31">
        <v>17</v>
      </c>
      <c r="J19" s="31">
        <f t="shared" si="1"/>
        <v>3.0579402515786085</v>
      </c>
      <c r="K19" s="35">
        <v>0.64</v>
      </c>
      <c r="N19" s="41">
        <f>[1]节奏总纲!N19</f>
        <v>26</v>
      </c>
      <c r="O19" s="31">
        <v>16</v>
      </c>
      <c r="P19" s="31">
        <f>[1]节奏总纲!P19</f>
        <v>2.031433133020796</v>
      </c>
      <c r="Q19" s="31">
        <f>[1]节奏总纲!Q19</f>
        <v>1.7586116632561031</v>
      </c>
      <c r="R19" s="31">
        <f>[1]节奏总纲!R19</f>
        <v>1.4398798046851402</v>
      </c>
      <c r="S19" s="31">
        <f>[1]节奏总纲!S19</f>
        <v>1.0618300986299702</v>
      </c>
      <c r="T19" s="31">
        <f>[1]节奏总纲!T19</f>
        <v>0.59460047803518701</v>
      </c>
      <c r="V19" s="31">
        <v>16</v>
      </c>
      <c r="W19" s="31">
        <f>[1]节奏总纲!W19</f>
        <v>0.20300600827460613</v>
      </c>
      <c r="X19" s="31">
        <f>[1]节奏总纲!X19</f>
        <v>0.17921631290034434</v>
      </c>
      <c r="Y19" s="31">
        <f>[1]节奏总纲!Y19</f>
        <v>0.14699898477710938</v>
      </c>
      <c r="Z19" s="31">
        <f>[1]节奏总纲!Z19</f>
        <v>0.11287642088669769</v>
      </c>
      <c r="AA19" s="31">
        <f>[1]节奏总纲!AA19</f>
        <v>6.7464937970860506E-2</v>
      </c>
      <c r="AC19" s="31">
        <v>16</v>
      </c>
      <c r="AD19" s="31">
        <f>[1]节奏总纲!AD19</f>
        <v>40.870795385807064</v>
      </c>
      <c r="AE19" s="31">
        <f>[1]节奏总纲!AE19</f>
        <v>42.707142308553742</v>
      </c>
      <c r="AF19" s="31">
        <f>[1]节奏总纲!AF19</f>
        <v>45.343250058486468</v>
      </c>
      <c r="AG19" s="31">
        <f>[1]节奏总纲!AG19</f>
        <v>49.654306534727205</v>
      </c>
      <c r="AH19" s="31">
        <f>[1]节奏总纲!AH19</f>
        <v>58.12511610143563</v>
      </c>
      <c r="AL19" s="31">
        <v>16</v>
      </c>
      <c r="AM19" s="31">
        <f>[1]节奏总纲!AM19</f>
        <v>2.5387719203926467</v>
      </c>
      <c r="AN19" s="31">
        <f>[1]节奏总纲!AN19</f>
        <v>2.0310175363141174</v>
      </c>
      <c r="AO19" s="31">
        <f>[1]节奏总纲!AO19</f>
        <v>1.5232631522355879</v>
      </c>
      <c r="AP19" s="31">
        <f>[1]节奏总纲!AP19</f>
        <v>1.0155087681570587</v>
      </c>
      <c r="AQ19" s="31">
        <f>[1]节奏总纲!AQ19</f>
        <v>0.50775438407852935</v>
      </c>
      <c r="AS19" s="31">
        <v>16</v>
      </c>
      <c r="AT19" s="31">
        <f>[1]节奏总纲!AT19</f>
        <v>0.43877192039264656</v>
      </c>
      <c r="AU19" s="31">
        <f>[1]节奏总纲!AU19</f>
        <v>0.35101753631411725</v>
      </c>
      <c r="AV19" s="31">
        <f>[1]节奏总纲!AV19</f>
        <v>0.26326315223558794</v>
      </c>
      <c r="AW19" s="31">
        <f>[1]节奏总纲!AW19</f>
        <v>0.17550876815705863</v>
      </c>
      <c r="AX19" s="31">
        <f>[1]节奏总纲!AX19</f>
        <v>8.7754384078529313E-2</v>
      </c>
      <c r="AY19" s="31"/>
      <c r="AZ19" s="31">
        <v>16</v>
      </c>
      <c r="BA19" s="31">
        <f>[1]节奏总纲!BA19</f>
        <v>26.504690687123308</v>
      </c>
      <c r="BB19" s="31">
        <f>[1]节奏总纲!BB19</f>
        <v>27.863030247590562</v>
      </c>
      <c r="BC19" s="31">
        <f>[1]节奏总纲!BC19</f>
        <v>29.606265091548554</v>
      </c>
      <c r="BD19" s="31">
        <f>[1]节奏总纲!BD19</f>
        <v>32.113552950216736</v>
      </c>
      <c r="BE19" s="31">
        <f>[1]节奏总纲!BE19</f>
        <v>36.526331209747774</v>
      </c>
      <c r="BI19" s="31">
        <v>16</v>
      </c>
      <c r="BJ19" s="31">
        <f>求节点($AL$4:$AL$53,AM$4:AM$53,('[1]功能-城建'!$BG21+'[1]功能-城建'!$CB21)/2)</f>
        <v>155.32539280599755</v>
      </c>
      <c r="BK19" s="31">
        <f>求节点($AL$4:$AL$53,AN$4:AN$53,('[1]功能-城建'!$BG21+'[1]功能-城建'!$CB21)/2)</f>
        <v>124.26031424479805</v>
      </c>
      <c r="BL19" s="31">
        <f>求节点($AL$4:$AL$53,AO$4:AO$53,('[1]功能-城建'!$BG21+'[1]功能-城建'!$CB21)/2)</f>
        <v>93.195235683598526</v>
      </c>
      <c r="BM19" s="31">
        <f>求节点($AL$4:$AL$53,AP$4:AP$53,('[1]功能-城建'!$BG21+'[1]功能-城建'!$CB21)/2)</f>
        <v>62.130157122399027</v>
      </c>
      <c r="BN19" s="31">
        <f>求节点($AL$4:$AL$53,AQ$4:AQ$53,('[1]功能-城建'!$BG21+'[1]功能-城建'!$CB21)/2)</f>
        <v>31.065078561199513</v>
      </c>
      <c r="BR19" s="31">
        <v>16</v>
      </c>
      <c r="BS19" s="31">
        <f>'[1]功能-城建'!O21</f>
        <v>6</v>
      </c>
      <c r="BT19" s="31">
        <f>'[1]功能-城建'!P21</f>
        <v>6</v>
      </c>
      <c r="BU19" s="31">
        <f>'[1]功能-城建'!Q21</f>
        <v>6</v>
      </c>
      <c r="BV19" s="31">
        <f>'[1]功能-城建'!R21</f>
        <v>6</v>
      </c>
      <c r="BW19" s="31">
        <f t="shared" si="2"/>
        <v>24</v>
      </c>
    </row>
    <row r="20" spans="2:75" x14ac:dyDescent="0.15">
      <c r="F20" s="31">
        <v>18</v>
      </c>
      <c r="G20" s="31">
        <f t="shared" si="0"/>
        <v>2.4822022531844965</v>
      </c>
      <c r="I20" s="31">
        <v>18</v>
      </c>
      <c r="J20" s="31">
        <f t="shared" si="1"/>
        <v>3.671491735587451</v>
      </c>
      <c r="K20" s="35">
        <v>0.66</v>
      </c>
      <c r="N20" s="41">
        <f>[1]节奏总纲!N20</f>
        <v>27</v>
      </c>
      <c r="O20" s="31">
        <v>17</v>
      </c>
      <c r="P20" s="31">
        <f>[1]节奏总纲!P20</f>
        <v>2.2490095854249419</v>
      </c>
      <c r="Q20" s="31">
        <f>[1]节奏总纲!Q20</f>
        <v>1.9433691827656923</v>
      </c>
      <c r="R20" s="31">
        <f>[1]节奏总纲!R20</f>
        <v>1.5904995788125189</v>
      </c>
      <c r="S20" s="31">
        <f>[1]节奏总纲!S20</f>
        <v>1.1742079045503622</v>
      </c>
      <c r="T20" s="31">
        <f>[1]节奏总纲!T20</f>
        <v>0.65311238360740309</v>
      </c>
      <c r="V20" s="31">
        <v>17</v>
      </c>
      <c r="W20" s="31">
        <f>[1]节奏总纲!W20</f>
        <v>0.21757645240414591</v>
      </c>
      <c r="X20" s="31">
        <f>[1]节奏总纲!X20</f>
        <v>0.18475751950958919</v>
      </c>
      <c r="Y20" s="31">
        <f>[1]节奏总纲!Y20</f>
        <v>0.1506197741273787</v>
      </c>
      <c r="Z20" s="31">
        <f>[1]节奏总纲!Z20</f>
        <v>0.11237780592039193</v>
      </c>
      <c r="AA20" s="31">
        <f>[1]节奏总纲!AA20</f>
        <v>5.8511905572216083E-2</v>
      </c>
      <c r="AC20" s="31">
        <v>17</v>
      </c>
      <c r="AD20" s="31">
        <f>[1]节奏总纲!AD20</f>
        <v>41.691928656135218</v>
      </c>
      <c r="AE20" s="31">
        <f>[1]节奏总纲!AE20</f>
        <v>43.535389560453282</v>
      </c>
      <c r="AF20" s="31">
        <f>[1]节奏总纲!AF20</f>
        <v>46.195785611164197</v>
      </c>
      <c r="AG20" s="31">
        <f>[1]节奏总纲!AG20</f>
        <v>50.510850036206186</v>
      </c>
      <c r="AH20" s="31">
        <f>[1]节奏总纲!AH20</f>
        <v>58.996855914896834</v>
      </c>
      <c r="AL20" s="31">
        <v>17</v>
      </c>
      <c r="AM20" s="31">
        <f>[1]节奏总纲!AM20</f>
        <v>3.0579402515786085</v>
      </c>
      <c r="AN20" s="31">
        <f>[1]节奏总纲!AN20</f>
        <v>2.4463522012628869</v>
      </c>
      <c r="AO20" s="31">
        <f>[1]节奏总纲!AO20</f>
        <v>1.8347641509471651</v>
      </c>
      <c r="AP20" s="31">
        <f>[1]节奏总纲!AP20</f>
        <v>1.2231761006314434</v>
      </c>
      <c r="AQ20" s="31">
        <f>[1]节奏总纲!AQ20</f>
        <v>0.61158805031572172</v>
      </c>
      <c r="AS20" s="31">
        <v>17</v>
      </c>
      <c r="AT20" s="31">
        <f>[1]节奏总纲!AT20</f>
        <v>0.51916833118596184</v>
      </c>
      <c r="AU20" s="31">
        <f>[1]节奏总纲!AU20</f>
        <v>0.41533466494876947</v>
      </c>
      <c r="AV20" s="31">
        <f>[1]节奏总纲!AV20</f>
        <v>0.3115009987115771</v>
      </c>
      <c r="AW20" s="31">
        <f>[1]节奏总纲!AW20</f>
        <v>0.20766733247438474</v>
      </c>
      <c r="AX20" s="31">
        <f>[1]节奏总纲!AX20</f>
        <v>0.10383366623719237</v>
      </c>
      <c r="AY20" s="31"/>
      <c r="AZ20" s="31">
        <v>17</v>
      </c>
      <c r="BA20" s="31">
        <f>[1]节奏总纲!BA20</f>
        <v>26.881584971473956</v>
      </c>
      <c r="BB20" s="31">
        <f>[1]节奏总纲!BB20</f>
        <v>28.225778459464117</v>
      </c>
      <c r="BC20" s="31">
        <f>[1]节奏总纲!BC20</f>
        <v>29.996101634569786</v>
      </c>
      <c r="BD20" s="31">
        <f>[1]节奏总纲!BD20</f>
        <v>32.477877425165822</v>
      </c>
      <c r="BE20" s="31">
        <f>[1]节奏总纲!BE20</f>
        <v>36.947184852926306</v>
      </c>
      <c r="BI20" s="31">
        <v>17</v>
      </c>
      <c r="BJ20" s="31">
        <f>求节点($AL$4:$AL$53,AM$4:AM$53,('[1]功能-城建'!$BG22+'[1]功能-城建'!$CB22)/2)</f>
        <v>194.58873080692649</v>
      </c>
      <c r="BK20" s="31">
        <f>求节点($AL$4:$AL$53,AN$4:AN$53,('[1]功能-城建'!$BG22+'[1]功能-城建'!$CB22)/2)</f>
        <v>155.67098464554121</v>
      </c>
      <c r="BL20" s="31">
        <f>求节点($AL$4:$AL$53,AO$4:AO$53,('[1]功能-城建'!$BG22+'[1]功能-城建'!$CB22)/2)</f>
        <v>116.75323848415589</v>
      </c>
      <c r="BM20" s="31">
        <f>求节点($AL$4:$AL$53,AP$4:AP$53,('[1]功能-城建'!$BG22+'[1]功能-城建'!$CB22)/2)</f>
        <v>77.835492322770605</v>
      </c>
      <c r="BN20" s="31">
        <f>求节点($AL$4:$AL$53,AQ$4:AQ$53,('[1]功能-城建'!$BG22+'[1]功能-城建'!$CB22)/2)</f>
        <v>38.917746161385303</v>
      </c>
      <c r="BR20" s="31">
        <v>17</v>
      </c>
      <c r="BS20" s="31">
        <f>'[1]功能-城建'!O22</f>
        <v>6</v>
      </c>
      <c r="BT20" s="31">
        <f>'[1]功能-城建'!P22</f>
        <v>6</v>
      </c>
      <c r="BU20" s="31">
        <f>'[1]功能-城建'!Q22</f>
        <v>6</v>
      </c>
      <c r="BV20" s="31">
        <f>'[1]功能-城建'!R22</f>
        <v>6</v>
      </c>
      <c r="BW20" s="31">
        <f t="shared" si="2"/>
        <v>24</v>
      </c>
    </row>
    <row r="21" spans="2:75" x14ac:dyDescent="0.15">
      <c r="F21" s="31">
        <v>19</v>
      </c>
      <c r="G21" s="31">
        <f t="shared" si="0"/>
        <v>2.7321319661472296</v>
      </c>
      <c r="I21" s="31">
        <v>19</v>
      </c>
      <c r="J21" s="31">
        <f t="shared" si="1"/>
        <v>4.3957950643309154</v>
      </c>
      <c r="K21" s="35">
        <v>0.68</v>
      </c>
      <c r="N21" s="41">
        <f>[1]节奏总纲!N21</f>
        <v>28</v>
      </c>
      <c r="O21" s="31">
        <v>18</v>
      </c>
      <c r="P21" s="31">
        <f>[1]节奏总纲!P21</f>
        <v>2.4822022531844965</v>
      </c>
      <c r="Q21" s="31">
        <f>[1]节奏总纲!Q21</f>
        <v>2.1515729130603214</v>
      </c>
      <c r="R21" s="31">
        <f>[1]节奏总纲!R21</f>
        <v>1.7690655458445907</v>
      </c>
      <c r="S21" s="31">
        <f>[1]节奏总纲!S21</f>
        <v>1.3066312660763189</v>
      </c>
      <c r="T21" s="31">
        <f>[1]节奏总纲!T21</f>
        <v>0.72554771860582834</v>
      </c>
      <c r="V21" s="31">
        <v>18</v>
      </c>
      <c r="W21" s="31">
        <f>[1]节奏总纲!W21</f>
        <v>0.23319266775955461</v>
      </c>
      <c r="X21" s="31">
        <f>[1]节奏总纲!X21</f>
        <v>0.20820373029462913</v>
      </c>
      <c r="Y21" s="31">
        <f>[1]节奏总纲!Y21</f>
        <v>0.17856596703207184</v>
      </c>
      <c r="Z21" s="31">
        <f>[1]节奏总纲!Z21</f>
        <v>0.13242336152595668</v>
      </c>
      <c r="AA21" s="31">
        <f>[1]节奏总纲!AA21</f>
        <v>7.2435334998425249E-2</v>
      </c>
      <c r="AC21" s="31">
        <v>18</v>
      </c>
      <c r="AD21" s="31">
        <f>[1]节奏总纲!AD21</f>
        <v>42.470630686057078</v>
      </c>
      <c r="AE21" s="31">
        <f>[1]节奏总纲!AE21</f>
        <v>44.32123076997032</v>
      </c>
      <c r="AF21" s="31">
        <f>[1]节奏总纲!AF21</f>
        <v>47.002405448181747</v>
      </c>
      <c r="AG21" s="31">
        <f>[1]节奏总纲!AG21</f>
        <v>51.307235833425089</v>
      </c>
      <c r="AH21" s="31">
        <f>[1]节奏总纲!AH21</f>
        <v>59.782901351568675</v>
      </c>
      <c r="AL21" s="31">
        <v>18</v>
      </c>
      <c r="AM21" s="31">
        <f>[1]节奏总纲!AM21</f>
        <v>3.671491735587451</v>
      </c>
      <c r="AN21" s="31">
        <f>[1]节奏总纲!AN21</f>
        <v>2.9371933884699608</v>
      </c>
      <c r="AO21" s="31">
        <f>[1]节奏总纲!AO21</f>
        <v>2.2028950413524706</v>
      </c>
      <c r="AP21" s="31">
        <f>[1]节奏总纲!AP21</f>
        <v>1.4685966942349804</v>
      </c>
      <c r="AQ21" s="31">
        <f>[1]节奏总纲!AQ21</f>
        <v>0.7342983471174902</v>
      </c>
      <c r="AS21" s="31">
        <v>18</v>
      </c>
      <c r="AT21" s="31">
        <f>[1]节奏总纲!AT21</f>
        <v>0.61355148400884252</v>
      </c>
      <c r="AU21" s="31">
        <f>[1]节奏总纲!AU21</f>
        <v>0.49084118720707393</v>
      </c>
      <c r="AV21" s="31">
        <f>[1]节奏总纲!AV21</f>
        <v>0.36813089040530556</v>
      </c>
      <c r="AW21" s="31">
        <f>[1]节奏总纲!AW21</f>
        <v>0.24542059360353696</v>
      </c>
      <c r="AX21" s="31">
        <f>[1]节奏总纲!AX21</f>
        <v>0.12271029680176848</v>
      </c>
      <c r="AY21" s="31"/>
      <c r="AZ21" s="31">
        <v>18</v>
      </c>
      <c r="BA21" s="31">
        <f>[1]节奏总纲!BA21</f>
        <v>27.220371931959619</v>
      </c>
      <c r="BB21" s="31">
        <f>[1]节奏总纲!BB21</f>
        <v>28.568390277483555</v>
      </c>
      <c r="BC21" s="31">
        <f>[1]节奏总纲!BC21</f>
        <v>30.329493925593439</v>
      </c>
      <c r="BD21" s="31">
        <f>[1]节奏总纲!BD21</f>
        <v>32.842201900114915</v>
      </c>
      <c r="BE21" s="31">
        <f>[1]节奏总纲!BE21</f>
        <v>37.317457773889828</v>
      </c>
      <c r="BI21" s="31">
        <v>18</v>
      </c>
      <c r="BJ21" s="31">
        <f>求节点($AL$4:$AL$53,AM$4:AM$53,('[1]功能-城建'!$BG23+'[1]功能-城建'!$CB23)/2)</f>
        <v>281.05</v>
      </c>
      <c r="BK21" s="31">
        <f>求节点($AL$4:$AL$53,AN$4:AN$53,('[1]功能-城建'!$BG23+'[1]功能-城建'!$CB23)/2)</f>
        <v>224.84000000000003</v>
      </c>
      <c r="BL21" s="31">
        <f>求节点($AL$4:$AL$53,AO$4:AO$53,('[1]功能-城建'!$BG23+'[1]功能-城建'!$CB23)/2)</f>
        <v>168.63</v>
      </c>
      <c r="BM21" s="31">
        <f>求节点($AL$4:$AL$53,AP$4:AP$53,('[1]功能-城建'!$BG23+'[1]功能-城建'!$CB23)/2)</f>
        <v>112.42000000000002</v>
      </c>
      <c r="BN21" s="31">
        <f>求节点($AL$4:$AL$53,AQ$4:AQ$53,('[1]功能-城建'!$BG23+'[1]功能-城建'!$CB23)/2)</f>
        <v>56.210000000000008</v>
      </c>
      <c r="BR21" s="31">
        <v>18</v>
      </c>
      <c r="BS21" s="31">
        <f>'[1]功能-城建'!O23</f>
        <v>6</v>
      </c>
      <c r="BT21" s="31">
        <f>'[1]功能-城建'!P23</f>
        <v>6</v>
      </c>
      <c r="BU21" s="31">
        <f>'[1]功能-城建'!Q23</f>
        <v>6</v>
      </c>
      <c r="BV21" s="31">
        <f>'[1]功能-城建'!R23</f>
        <v>6</v>
      </c>
      <c r="BW21" s="31">
        <f t="shared" si="2"/>
        <v>24</v>
      </c>
    </row>
    <row r="22" spans="2:75" x14ac:dyDescent="0.15">
      <c r="B22" s="63" t="s">
        <v>168</v>
      </c>
      <c r="C22" s="63"/>
      <c r="D22" s="63"/>
      <c r="F22" s="31">
        <v>20</v>
      </c>
      <c r="G22" s="31">
        <f t="shared" si="0"/>
        <v>3</v>
      </c>
      <c r="I22" s="31">
        <v>20</v>
      </c>
      <c r="J22" s="31">
        <f t="shared" si="1"/>
        <v>5.25</v>
      </c>
      <c r="K22" s="35">
        <v>0.7</v>
      </c>
      <c r="N22" s="41">
        <f>[1]节奏总纲!N22</f>
        <v>29</v>
      </c>
      <c r="O22" s="31">
        <v>19</v>
      </c>
      <c r="P22" s="31">
        <f>[1]节奏总纲!P22</f>
        <v>2.7321319661472296</v>
      </c>
      <c r="Q22" s="31">
        <f>[1]节奏总纲!Q22</f>
        <v>2.3734030389920986</v>
      </c>
      <c r="R22" s="31">
        <f>[1]节奏总纲!R22</f>
        <v>1.9510154370257367</v>
      </c>
      <c r="S22" s="31">
        <f>[1]节奏总纲!S22</f>
        <v>1.4395603329629754</v>
      </c>
      <c r="T22" s="31">
        <f>[1]节奏总纲!T22</f>
        <v>0.80270037165405606</v>
      </c>
      <c r="V22" s="31">
        <v>19</v>
      </c>
      <c r="W22" s="31">
        <f>[1]节奏总纲!W22</f>
        <v>0.24992971296273314</v>
      </c>
      <c r="X22" s="31">
        <f>[1]节奏总纲!X22</f>
        <v>0.2218301259317772</v>
      </c>
      <c r="Y22" s="31">
        <f>[1]节奏总纲!Y22</f>
        <v>0.18194989118114591</v>
      </c>
      <c r="Z22" s="31">
        <f>[1]节奏总纲!Z22</f>
        <v>0.13292906688665651</v>
      </c>
      <c r="AA22" s="31">
        <f>[1]节奏总纲!AA22</f>
        <v>7.7152653048227715E-2</v>
      </c>
      <c r="AC22" s="31">
        <v>19</v>
      </c>
      <c r="AD22" s="31">
        <f>[1]节奏总纲!AD22</f>
        <v>43.213386604241784</v>
      </c>
      <c r="AE22" s="31">
        <f>[1]节奏总纲!AE22</f>
        <v>45.070782602372333</v>
      </c>
      <c r="AF22" s="31">
        <f>[1]节奏总纲!AF22</f>
        <v>47.752799438858894</v>
      </c>
      <c r="AG22" s="31">
        <f>[1]节奏总纲!AG22</f>
        <v>52.050057424983954</v>
      </c>
      <c r="AH22" s="31">
        <f>[1]节奏总纲!AH22</f>
        <v>60.54585273688761</v>
      </c>
      <c r="AL22" s="31">
        <v>19</v>
      </c>
      <c r="AM22" s="31">
        <f>[1]节奏总纲!AM22</f>
        <v>4.3957950643309154</v>
      </c>
      <c r="AN22" s="31">
        <f>[1]节奏总纲!AN22</f>
        <v>3.5166360514647326</v>
      </c>
      <c r="AO22" s="31">
        <f>[1]节奏总纲!AO22</f>
        <v>2.6374770385985493</v>
      </c>
      <c r="AP22" s="31">
        <f>[1]节奏总纲!AP22</f>
        <v>1.7583180257323663</v>
      </c>
      <c r="AQ22" s="31">
        <f>[1]节奏总纲!AQ22</f>
        <v>0.87915901286618314</v>
      </c>
      <c r="AS22" s="31">
        <v>19</v>
      </c>
      <c r="AT22" s="31">
        <f>[1]节奏总纲!AT22</f>
        <v>0.72430332874346437</v>
      </c>
      <c r="AU22" s="31">
        <f>[1]节奏总纲!AU22</f>
        <v>0.57944266299477176</v>
      </c>
      <c r="AV22" s="31">
        <f>[1]节奏总纲!AV22</f>
        <v>0.43458199724607871</v>
      </c>
      <c r="AW22" s="31">
        <f>[1]节奏总纲!AW22</f>
        <v>0.28972133149738588</v>
      </c>
      <c r="AX22" s="31">
        <f>[1]节奏总纲!AX22</f>
        <v>0.14486066574869294</v>
      </c>
      <c r="AY22" s="31"/>
      <c r="AZ22" s="31">
        <v>19</v>
      </c>
      <c r="BA22" s="31">
        <f>[1]节奏总纲!BA22</f>
        <v>27.541701089775092</v>
      </c>
      <c r="BB22" s="31">
        <f>[1]节奏总纲!BB22</f>
        <v>28.911002095502997</v>
      </c>
      <c r="BC22" s="31">
        <f>[1]节奏总纲!BC22</f>
        <v>30.662316072657521</v>
      </c>
      <c r="BD22" s="31">
        <f>[1]节奏总纲!BD22</f>
        <v>33.176527924103851</v>
      </c>
      <c r="BE22" s="31">
        <f>[1]节奏总纲!BE22</f>
        <v>37.680472138177471</v>
      </c>
      <c r="BI22" s="31">
        <v>19</v>
      </c>
      <c r="BJ22" s="31">
        <f>求节点($AL$4:$AL$53,AM$4:AM$53,('[1]功能-城建'!$BG24+'[1]功能-城建'!$CB24)/2)</f>
        <v>377.76930817680426</v>
      </c>
      <c r="BK22" s="31">
        <f>求节点($AL$4:$AL$53,AN$4:AN$53,('[1]功能-城建'!$BG24+'[1]功能-城建'!$CB24)/2)</f>
        <v>302.21544654144344</v>
      </c>
      <c r="BL22" s="31">
        <f>求节点($AL$4:$AL$53,AO$4:AO$53,('[1]功能-城建'!$BG24+'[1]功能-城建'!$CB24)/2)</f>
        <v>226.66158490608254</v>
      </c>
      <c r="BM22" s="31">
        <f>求节点($AL$4:$AL$53,AP$4:AP$53,('[1]功能-城建'!$BG24+'[1]功能-城建'!$CB24)/2)</f>
        <v>151.10772327072172</v>
      </c>
      <c r="BN22" s="31">
        <f>求节点($AL$4:$AL$53,AQ$4:AQ$53,('[1]功能-城建'!$BG24+'[1]功能-城建'!$CB24)/2)</f>
        <v>75.55386163536086</v>
      </c>
      <c r="BR22" s="31">
        <v>19</v>
      </c>
      <c r="BS22" s="31">
        <f>'[1]功能-城建'!O24</f>
        <v>6</v>
      </c>
      <c r="BT22" s="31">
        <f>'[1]功能-城建'!P24</f>
        <v>6</v>
      </c>
      <c r="BU22" s="31">
        <f>'[1]功能-城建'!Q24</f>
        <v>6</v>
      </c>
      <c r="BV22" s="31">
        <f>'[1]功能-城建'!R24</f>
        <v>6</v>
      </c>
      <c r="BW22" s="31">
        <f t="shared" si="2"/>
        <v>24</v>
      </c>
    </row>
    <row r="23" spans="2:75" x14ac:dyDescent="0.15">
      <c r="B23" s="31" t="s">
        <v>194</v>
      </c>
      <c r="C23" s="31" t="s">
        <v>166</v>
      </c>
      <c r="D23" s="31" t="s">
        <v>167</v>
      </c>
      <c r="F23" s="31">
        <v>21</v>
      </c>
      <c r="G23" s="31">
        <f t="shared" si="0"/>
        <v>3.2870938501451725</v>
      </c>
      <c r="I23" s="31">
        <v>21</v>
      </c>
      <c r="J23" s="31">
        <f t="shared" si="1"/>
        <v>6.2565025247829205</v>
      </c>
      <c r="K23" s="35">
        <v>0.72</v>
      </c>
      <c r="N23" s="41">
        <f>[1]节奏总纲!N23</f>
        <v>30</v>
      </c>
      <c r="O23" s="31">
        <v>20</v>
      </c>
      <c r="P23" s="31">
        <f>[1]节奏总纲!P23</f>
        <v>3</v>
      </c>
      <c r="Q23" s="31">
        <f>[1]节奏总纲!Q23</f>
        <v>2.6036999999999999</v>
      </c>
      <c r="R23" s="31">
        <f>[1]节奏总纲!R23</f>
        <v>2.1372</v>
      </c>
      <c r="S23" s="31">
        <f>[1]节奏总纲!S23</f>
        <v>1.5800999999999998</v>
      </c>
      <c r="T23" s="31">
        <f>[1]节奏总纲!T23</f>
        <v>0.87990000000000002</v>
      </c>
      <c r="V23" s="31">
        <v>20</v>
      </c>
      <c r="W23" s="31">
        <f>[1]节奏总纲!W23</f>
        <v>0.26786803385277036</v>
      </c>
      <c r="X23" s="31">
        <f>[1]节奏总纲!X23</f>
        <v>0.23029696100790131</v>
      </c>
      <c r="Y23" s="31">
        <f>[1]节奏总纲!Y23</f>
        <v>0.18618456297426333</v>
      </c>
      <c r="Z23" s="31">
        <f>[1]节奏总纲!Z23</f>
        <v>0.14053966703702447</v>
      </c>
      <c r="AA23" s="31">
        <f>[1]节奏总纲!AA23</f>
        <v>7.719962834594396E-2</v>
      </c>
      <c r="AC23" s="31">
        <v>20</v>
      </c>
      <c r="AD23" s="31">
        <f>[1]节奏总纲!AD23</f>
        <v>43.920692243099523</v>
      </c>
      <c r="AE23" s="31">
        <f>[1]节奏总纲!AE23</f>
        <v>45.780025086357675</v>
      </c>
      <c r="AF23" s="31">
        <f>[1]节奏总纲!AF23</f>
        <v>48.482447528152484</v>
      </c>
      <c r="AG23" s="31">
        <f>[1]节奏总纲!AG23</f>
        <v>52.769987980532711</v>
      </c>
      <c r="AH23" s="31">
        <f>[1]节奏总纲!AH23</f>
        <v>61.261422558944936</v>
      </c>
      <c r="AL23" s="31">
        <v>20</v>
      </c>
      <c r="AM23" s="31">
        <f>[1]节奏总纲!AM23</f>
        <v>5.25</v>
      </c>
      <c r="AN23" s="31">
        <f>[1]节奏总纲!AN23</f>
        <v>4.2</v>
      </c>
      <c r="AO23" s="31">
        <f>[1]节奏总纲!AO23</f>
        <v>3.15</v>
      </c>
      <c r="AP23" s="31">
        <f>[1]节奏总纲!AP23</f>
        <v>2.1</v>
      </c>
      <c r="AQ23" s="31">
        <f>[1]节奏总纲!AQ23</f>
        <v>1.05</v>
      </c>
      <c r="AS23" s="31">
        <v>20</v>
      </c>
      <c r="AT23" s="31">
        <f>[1]节奏总纲!AT23</f>
        <v>0.85420493566908462</v>
      </c>
      <c r="AU23" s="31">
        <f>[1]节奏总纲!AU23</f>
        <v>0.68336394853526761</v>
      </c>
      <c r="AV23" s="31">
        <f>[1]节奏总纲!AV23</f>
        <v>0.51252296140145059</v>
      </c>
      <c r="AW23" s="31">
        <f>[1]节奏总纲!AW23</f>
        <v>0.3416819742676338</v>
      </c>
      <c r="AX23" s="31">
        <f>[1]节奏总纲!AX23</f>
        <v>0.1708409871338169</v>
      </c>
      <c r="AY23" s="31"/>
      <c r="AZ23" s="31">
        <v>20</v>
      </c>
      <c r="BA23" s="31">
        <f>[1]节奏总纲!BA23</f>
        <v>27.863030247590562</v>
      </c>
      <c r="BB23" s="31">
        <f>[1]节奏总纲!BB23</f>
        <v>29.216428548527322</v>
      </c>
      <c r="BC23" s="31">
        <f>[1]节奏总纲!BC23</f>
        <v>30.995138219721603</v>
      </c>
      <c r="BD23" s="31">
        <f>[1]节奏总纲!BD23</f>
        <v>33.487933395889513</v>
      </c>
      <c r="BE23" s="31">
        <f>[1]节奏总纲!BE23</f>
        <v>38.037513426486328</v>
      </c>
      <c r="BI23" s="31">
        <v>20</v>
      </c>
      <c r="BJ23" s="31">
        <f>求节点($AL$4:$AL$53,AM$4:AM$53,('[1]功能-城建'!$BG25+'[1]功能-城建'!$CB25)/2)</f>
        <v>507.55295278468168</v>
      </c>
      <c r="BK23" s="31">
        <f>求节点($AL$4:$AL$53,AN$4:AN$53,('[1]功能-城建'!$BG25+'[1]功能-城建'!$CB25)/2)</f>
        <v>406.04236222774534</v>
      </c>
      <c r="BL23" s="31">
        <f>求节点($AL$4:$AL$53,AO$4:AO$53,('[1]功能-城建'!$BG25+'[1]功能-城建'!$CB25)/2)</f>
        <v>304.53177167080901</v>
      </c>
      <c r="BM23" s="31">
        <f>求节点($AL$4:$AL$53,AP$4:AP$53,('[1]功能-城建'!$BG25+'[1]功能-城建'!$CB25)/2)</f>
        <v>203.02118111387267</v>
      </c>
      <c r="BN23" s="31">
        <f>求节点($AL$4:$AL$53,AQ$4:AQ$53,('[1]功能-城建'!$BG25+'[1]功能-城建'!$CB25)/2)</f>
        <v>101.51059055693634</v>
      </c>
      <c r="BR23" s="31">
        <v>20</v>
      </c>
      <c r="BS23" s="31">
        <f>'[1]功能-城建'!O25</f>
        <v>7</v>
      </c>
      <c r="BT23" s="31">
        <f>'[1]功能-城建'!P25</f>
        <v>7</v>
      </c>
      <c r="BU23" s="31">
        <f>'[1]功能-城建'!Q25</f>
        <v>7</v>
      </c>
      <c r="BV23" s="31">
        <f>'[1]功能-城建'!R25</f>
        <v>7</v>
      </c>
      <c r="BW23" s="31">
        <f t="shared" si="2"/>
        <v>28</v>
      </c>
    </row>
    <row r="24" spans="2:75" x14ac:dyDescent="0.15">
      <c r="B24" s="31">
        <v>5</v>
      </c>
      <c r="C24" s="31">
        <f>D24</f>
        <v>0.5</v>
      </c>
      <c r="D24" s="31">
        <f>2^(B24/5-1)*0.5</f>
        <v>0.5</v>
      </c>
      <c r="F24" s="31">
        <v>22</v>
      </c>
      <c r="G24" s="31">
        <f t="shared" si="0"/>
        <v>3.5947934199881395</v>
      </c>
      <c r="I24" s="31">
        <v>22</v>
      </c>
      <c r="J24" s="31">
        <f t="shared" si="1"/>
        <v>7.4414868317755332</v>
      </c>
      <c r="K24" s="35">
        <v>0.74</v>
      </c>
      <c r="N24" s="41">
        <f>[1]节奏总纲!N24</f>
        <v>31</v>
      </c>
      <c r="O24" s="31">
        <v>21</v>
      </c>
      <c r="P24" s="31">
        <f>[1]节奏总纲!P24</f>
        <v>3.2870938501451725</v>
      </c>
      <c r="Q24" s="31">
        <f>[1]节奏总纲!Q24</f>
        <v>2.8518826243859516</v>
      </c>
      <c r="R24" s="31">
        <f>[1]节奏总纲!R24</f>
        <v>2.3466562996186386</v>
      </c>
      <c r="S24" s="31">
        <f>[1]节奏总纲!S24</f>
        <v>1.7365716810316947</v>
      </c>
      <c r="T24" s="31">
        <f>[1]节奏总纲!T24</f>
        <v>0.97166494210291288</v>
      </c>
      <c r="V24" s="31">
        <v>21</v>
      </c>
      <c r="W24" s="31">
        <f>[1]节奏总纲!W24</f>
        <v>0.28709385014517252</v>
      </c>
      <c r="X24" s="31">
        <f>[1]节奏总纲!X24</f>
        <v>0.24818262438595173</v>
      </c>
      <c r="Y24" s="31">
        <f>[1]节奏总纲!Y24</f>
        <v>0.20945629961863865</v>
      </c>
      <c r="Z24" s="31">
        <f>[1]节奏总纲!Z24</f>
        <v>0.15647168103169484</v>
      </c>
      <c r="AA24" s="31">
        <f>[1]节奏总纲!AA24</f>
        <v>9.1764942102912861E-2</v>
      </c>
      <c r="AC24" s="31">
        <v>21</v>
      </c>
      <c r="AD24" s="31">
        <f>[1]节奏总纲!AD24</f>
        <v>44.585942742481357</v>
      </c>
      <c r="AE24" s="31">
        <f>[1]节奏总纲!AE24</f>
        <v>46.455967430551723</v>
      </c>
      <c r="AF24" s="31">
        <f>[1]节奏总纲!AF24</f>
        <v>49.18886033229559</v>
      </c>
      <c r="AG24" s="31">
        <f>[1]节奏总纲!AG24</f>
        <v>53.471660769826336</v>
      </c>
      <c r="AH24" s="31">
        <f>[1]节奏总纲!AH24</f>
        <v>61.918453772109508</v>
      </c>
      <c r="AL24" s="31">
        <v>21</v>
      </c>
      <c r="AM24" s="31">
        <f>[1]节奏总纲!AM24</f>
        <v>6.2565025247829205</v>
      </c>
      <c r="AN24" s="31">
        <f>[1]节奏总纲!AN24</f>
        <v>5.0052020198263367</v>
      </c>
      <c r="AO24" s="31">
        <f>[1]节奏总纲!AO24</f>
        <v>3.7539015148697521</v>
      </c>
      <c r="AP24" s="31">
        <f>[1]节奏总纲!AP24</f>
        <v>2.5026010099131684</v>
      </c>
      <c r="AQ24" s="31">
        <f>[1]节奏总纲!AQ24</f>
        <v>1.2513005049565842</v>
      </c>
      <c r="AS24" s="31">
        <v>21</v>
      </c>
      <c r="AT24" s="31">
        <f>[1]节奏总纲!AT24</f>
        <v>1.0065025247829205</v>
      </c>
      <c r="AU24" s="31">
        <f>[1]节奏总纲!AU24</f>
        <v>0.80520201982633655</v>
      </c>
      <c r="AV24" s="31">
        <f>[1]节奏总纲!AV24</f>
        <v>0.60390151486975219</v>
      </c>
      <c r="AW24" s="31">
        <f>[1]节奏总纲!AW24</f>
        <v>0.40260100991316827</v>
      </c>
      <c r="AX24" s="31">
        <f>[1]节奏总纲!AX24</f>
        <v>0.20130050495658414</v>
      </c>
      <c r="AY24" s="31"/>
      <c r="AZ24" s="31">
        <v>21</v>
      </c>
      <c r="BA24" s="31">
        <f>[1]节奏总纲!BA24</f>
        <v>28.157256095860227</v>
      </c>
      <c r="BB24" s="31">
        <f>[1]节奏总纲!BB24</f>
        <v>29.508805955793246</v>
      </c>
      <c r="BC24" s="31">
        <f>[1]节奏总纲!BC24</f>
        <v>31.280110398778046</v>
      </c>
      <c r="BD24" s="31">
        <f>[1]节奏总纲!BD24</f>
        <v>33.799338867675175</v>
      </c>
      <c r="BE24" s="31">
        <f>[1]节奏总纲!BE24</f>
        <v>38.35066605767593</v>
      </c>
      <c r="BR24" s="31">
        <v>21</v>
      </c>
      <c r="BS24" s="31">
        <f>'[1]功能-城建'!O26</f>
        <v>7</v>
      </c>
      <c r="BT24" s="31">
        <f>'[1]功能-城建'!P26</f>
        <v>7</v>
      </c>
      <c r="BU24" s="31">
        <f>'[1]功能-城建'!Q26</f>
        <v>7</v>
      </c>
      <c r="BV24" s="31">
        <f>'[1]功能-城建'!R26</f>
        <v>7</v>
      </c>
      <c r="BW24" s="31">
        <f t="shared" si="2"/>
        <v>28</v>
      </c>
    </row>
    <row r="25" spans="2:75" x14ac:dyDescent="0.15">
      <c r="B25" s="31">
        <v>10</v>
      </c>
      <c r="C25" s="31">
        <f t="shared" ref="C25:C35" si="5">C24+D25</f>
        <v>1.5</v>
      </c>
      <c r="D25" s="31">
        <f t="shared" ref="D25:D35" si="6">2^(B25/5-1)*0.5</f>
        <v>1</v>
      </c>
      <c r="F25" s="31">
        <v>23</v>
      </c>
      <c r="G25" s="31">
        <f t="shared" si="0"/>
        <v>3.9245776533796644</v>
      </c>
      <c r="I25" s="31">
        <v>23</v>
      </c>
      <c r="J25" s="31">
        <f t="shared" si="1"/>
        <v>8.8355567243832152</v>
      </c>
      <c r="K25" s="35">
        <v>0.76</v>
      </c>
      <c r="N25" s="41">
        <f>[1]节奏总纲!N25</f>
        <v>32</v>
      </c>
      <c r="O25" s="31">
        <v>22</v>
      </c>
      <c r="P25" s="31">
        <f>[1]节奏总纲!P25</f>
        <v>3.5947934199881395</v>
      </c>
      <c r="Q25" s="31">
        <f>[1]节奏总纲!Q25</f>
        <v>3.124234961311692</v>
      </c>
      <c r="R25" s="31">
        <f>[1]节奏总纲!R25</f>
        <v>2.5749505267375046</v>
      </c>
      <c r="S25" s="31">
        <f>[1]节奏总纲!S25</f>
        <v>1.9077568679877055</v>
      </c>
      <c r="T25" s="31">
        <f>[1]节奏总纲!T25</f>
        <v>1.0687320837624739</v>
      </c>
      <c r="V25" s="31">
        <v>22</v>
      </c>
      <c r="W25" s="31">
        <f>[1]节奏总纲!W25</f>
        <v>0.30769956984296698</v>
      </c>
      <c r="X25" s="31">
        <f>[1]节奏总纲!X25</f>
        <v>0.27235233692574035</v>
      </c>
      <c r="Y25" s="31">
        <f>[1]节奏总纲!Y25</f>
        <v>0.22829422711886593</v>
      </c>
      <c r="Z25" s="31">
        <f>[1]节奏总纲!Z25</f>
        <v>0.17118518695601082</v>
      </c>
      <c r="AA25" s="31">
        <f>[1]节奏总纲!AA25</f>
        <v>9.7067141659560985E-2</v>
      </c>
      <c r="AC25" s="31">
        <v>22</v>
      </c>
      <c r="AD25" s="31">
        <f>[1]节奏总纲!AD25</f>
        <v>45.229416240679988</v>
      </c>
      <c r="AE25" s="31">
        <f>[1]节奏总纲!AE25</f>
        <v>47.110426931480873</v>
      </c>
      <c r="AF25" s="31">
        <f>[1]节奏总纲!AF25</f>
        <v>49.861837738505173</v>
      </c>
      <c r="AG25" s="31">
        <f>[1]节奏总纲!AG25</f>
        <v>54.15637358335789</v>
      </c>
      <c r="AH25" s="31">
        <f>[1]节奏总纲!AH25</f>
        <v>62.555781631668886</v>
      </c>
      <c r="AL25" s="31">
        <v>22</v>
      </c>
      <c r="AM25" s="31">
        <f>[1]节奏总纲!AM25</f>
        <v>7.4414868317755332</v>
      </c>
      <c r="AN25" s="31">
        <f>[1]节奏总纲!AN25</f>
        <v>5.9531894654204267</v>
      </c>
      <c r="AO25" s="31">
        <f>[1]节奏总纲!AO25</f>
        <v>4.4648920990653194</v>
      </c>
      <c r="AP25" s="31">
        <f>[1]节奏总纲!AP25</f>
        <v>2.9765947327102134</v>
      </c>
      <c r="AQ25" s="31">
        <f>[1]节奏总纲!AQ25</f>
        <v>1.4882973663551067</v>
      </c>
      <c r="AS25" s="31">
        <v>22</v>
      </c>
      <c r="AT25" s="31">
        <f>[1]节奏总纲!AT25</f>
        <v>1.1849843069926127</v>
      </c>
      <c r="AU25" s="31">
        <f>[1]节奏总纲!AU25</f>
        <v>0.94798744559408998</v>
      </c>
      <c r="AV25" s="31">
        <f>[1]节奏总纲!AV25</f>
        <v>0.71099058419556727</v>
      </c>
      <c r="AW25" s="31">
        <f>[1]节奏总纲!AW25</f>
        <v>0.47399372279704499</v>
      </c>
      <c r="AX25" s="31">
        <f>[1]节奏总纲!AX25</f>
        <v>0.2369968613985225</v>
      </c>
      <c r="AY25" s="31"/>
      <c r="AZ25" s="31">
        <v>22</v>
      </c>
      <c r="BA25" s="31">
        <f>[1]节奏总纲!BA25</f>
        <v>28.431345550275779</v>
      </c>
      <c r="BB25" s="31">
        <f>[1]节奏总纲!BB25</f>
        <v>29.80118336305917</v>
      </c>
      <c r="BC25" s="31">
        <f>[1]节奏总纲!BC25</f>
        <v>31.564373235931193</v>
      </c>
      <c r="BD25" s="31">
        <f>[1]节奏总纲!BD25</f>
        <v>34.09469189131628</v>
      </c>
      <c r="BE25" s="31">
        <f>[1]节奏总纲!BE25</f>
        <v>38.663818688865533</v>
      </c>
      <c r="BR25" s="31">
        <v>22</v>
      </c>
      <c r="BS25" s="31">
        <f>'[1]功能-城建'!O27</f>
        <v>8</v>
      </c>
      <c r="BT25" s="31">
        <f>'[1]功能-城建'!P27</f>
        <v>8</v>
      </c>
      <c r="BU25" s="31">
        <f>'[1]功能-城建'!Q27</f>
        <v>8</v>
      </c>
      <c r="BV25" s="31">
        <f>'[1]功能-城建'!R27</f>
        <v>8</v>
      </c>
      <c r="BW25" s="31">
        <f t="shared" si="2"/>
        <v>32</v>
      </c>
    </row>
    <row r="26" spans="2:75" x14ac:dyDescent="0.15">
      <c r="B26" s="31">
        <v>15</v>
      </c>
      <c r="C26" s="31">
        <f t="shared" si="5"/>
        <v>3.5</v>
      </c>
      <c r="D26" s="31">
        <f t="shared" si="6"/>
        <v>2</v>
      </c>
      <c r="F26" s="31">
        <v>24</v>
      </c>
      <c r="G26" s="31">
        <f t="shared" si="0"/>
        <v>4.2780316430915768</v>
      </c>
      <c r="I26" s="31">
        <v>24</v>
      </c>
      <c r="J26" s="31">
        <f t="shared" si="1"/>
        <v>10.47447102993563</v>
      </c>
      <c r="K26" s="35">
        <v>0.78</v>
      </c>
      <c r="N26" s="41">
        <f>[1]节奏总纲!N26</f>
        <v>33</v>
      </c>
      <c r="O26" s="31">
        <v>23</v>
      </c>
      <c r="P26" s="31">
        <f>[1]节奏总纲!P26</f>
        <v>3.9245776533796644</v>
      </c>
      <c r="Q26" s="31">
        <f>[1]节奏总纲!Q26</f>
        <v>3.4081032341949005</v>
      </c>
      <c r="R26" s="31">
        <f>[1]节奏总纲!R26</f>
        <v>2.8064654799317976</v>
      </c>
      <c r="S26" s="31">
        <f>[1]节奏总纲!S26</f>
        <v>2.0796336985258841</v>
      </c>
      <c r="T26" s="31">
        <f>[1]节奏总纲!T26</f>
        <v>1.1608900698697047</v>
      </c>
      <c r="V26" s="31">
        <v>23</v>
      </c>
      <c r="W26" s="31">
        <f>[1]节奏总纲!W26</f>
        <v>0.32978423339152485</v>
      </c>
      <c r="X26" s="31">
        <f>[1]节奏总纲!X26</f>
        <v>0.28386827288320848</v>
      </c>
      <c r="Y26" s="31">
        <f>[1]节奏总纲!Y26</f>
        <v>0.23151495319429305</v>
      </c>
      <c r="Z26" s="31">
        <f>[1]节奏总纲!Z26</f>
        <v>0.17187683053817859</v>
      </c>
      <c r="AA26" s="31">
        <f>[1]节奏总纲!AA26</f>
        <v>9.2157986107230805E-2</v>
      </c>
      <c r="AC26" s="31">
        <v>23</v>
      </c>
      <c r="AD26" s="31">
        <f>[1]节奏总纲!AD26</f>
        <v>45.845161563010116</v>
      </c>
      <c r="AE26" s="31">
        <f>[1]节奏总纲!AE26</f>
        <v>47.734594805743399</v>
      </c>
      <c r="AF26" s="31">
        <f>[1]节奏总纲!AF26</f>
        <v>50.503430607741265</v>
      </c>
      <c r="AG26" s="31">
        <f>[1]节奏总纲!AG26</f>
        <v>54.814188287451351</v>
      </c>
      <c r="AH26" s="31">
        <f>[1]节奏总纲!AH26</f>
        <v>63.182677965405439</v>
      </c>
      <c r="AL26" s="31">
        <v>23</v>
      </c>
      <c r="AM26" s="31">
        <f>[1]节奏总纲!AM26</f>
        <v>8.8355567243832152</v>
      </c>
      <c r="AN26" s="31">
        <f>[1]节奏总纲!AN26</f>
        <v>7.0684453795065725</v>
      </c>
      <c r="AO26" s="31">
        <f>[1]节奏总纲!AO26</f>
        <v>5.3013340346299289</v>
      </c>
      <c r="AP26" s="31">
        <f>[1]节奏总纲!AP26</f>
        <v>3.5342226897532862</v>
      </c>
      <c r="AQ26" s="31">
        <f>[1]节奏总纲!AQ26</f>
        <v>1.7671113448766431</v>
      </c>
      <c r="AS26" s="31">
        <v>23</v>
      </c>
      <c r="AT26" s="31">
        <f>[1]节奏总纲!AT26</f>
        <v>1.394069892607682</v>
      </c>
      <c r="AU26" s="31">
        <f>[1]节奏总纲!AU26</f>
        <v>1.1152559140861458</v>
      </c>
      <c r="AV26" s="31">
        <f>[1]节奏总纲!AV26</f>
        <v>0.83644193556460955</v>
      </c>
      <c r="AW26" s="31">
        <f>[1]节奏总纲!AW26</f>
        <v>0.55762795704307289</v>
      </c>
      <c r="AX26" s="31">
        <f>[1]节奏总纲!AX26</f>
        <v>0.27881397852153644</v>
      </c>
      <c r="AY26" s="31"/>
      <c r="AZ26" s="31">
        <v>23</v>
      </c>
      <c r="BA26" s="31">
        <f>[1]节奏总纲!BA26</f>
        <v>28.705435004691331</v>
      </c>
      <c r="BB26" s="31">
        <f>[1]节奏总纲!BB26</f>
        <v>30.079877315295377</v>
      </c>
      <c r="BC26" s="31">
        <f>[1]节奏总纲!BC26</f>
        <v>31.848636073084339</v>
      </c>
      <c r="BD26" s="31">
        <f>[1]节奏总纲!BD26</f>
        <v>34.360958982105608</v>
      </c>
      <c r="BE26" s="31">
        <f>[1]节奏总纲!BE26</f>
        <v>38.976971320055128</v>
      </c>
      <c r="BR26" s="31">
        <v>23</v>
      </c>
      <c r="BS26" s="31">
        <f>'[1]功能-城建'!O28</f>
        <v>8</v>
      </c>
      <c r="BT26" s="31">
        <f>'[1]功能-城建'!P28</f>
        <v>8</v>
      </c>
      <c r="BU26" s="31">
        <f>'[1]功能-城建'!Q28</f>
        <v>8</v>
      </c>
      <c r="BV26" s="31">
        <f>'[1]功能-城建'!R28</f>
        <v>8</v>
      </c>
      <c r="BW26" s="31">
        <f t="shared" si="2"/>
        <v>32</v>
      </c>
    </row>
    <row r="27" spans="2:75" x14ac:dyDescent="0.15">
      <c r="B27" s="31">
        <v>20</v>
      </c>
      <c r="C27" s="31">
        <f t="shared" si="5"/>
        <v>7.5</v>
      </c>
      <c r="D27" s="31">
        <f t="shared" si="6"/>
        <v>4</v>
      </c>
      <c r="F27" s="31">
        <v>25</v>
      </c>
      <c r="G27" s="31">
        <f t="shared" si="0"/>
        <v>4.6568542494923806</v>
      </c>
      <c r="I27" s="31">
        <v>25</v>
      </c>
      <c r="J27" s="31">
        <f t="shared" si="1"/>
        <v>12.4</v>
      </c>
      <c r="K27" s="35">
        <v>0.8</v>
      </c>
      <c r="N27" s="41">
        <f>[1]节奏总纲!N27</f>
        <v>34</v>
      </c>
      <c r="O27" s="31">
        <v>24</v>
      </c>
      <c r="P27" s="31">
        <f>[1]节奏总纲!P27</f>
        <v>4.2780316430915768</v>
      </c>
      <c r="Q27" s="31">
        <f>[1]节奏总纲!Q27</f>
        <v>3.7214597263253628</v>
      </c>
      <c r="R27" s="31">
        <f>[1]节奏总纲!R27</f>
        <v>3.0699155070825155</v>
      </c>
      <c r="S27" s="31">
        <f>[1]节奏总纲!S27</f>
        <v>2.2742016214674821</v>
      </c>
      <c r="T27" s="31">
        <f>[1]节奏总纲!T27</f>
        <v>1.2692919885052709</v>
      </c>
      <c r="V27" s="31">
        <v>24</v>
      </c>
      <c r="W27" s="31">
        <f>[1]节奏总纲!W27</f>
        <v>0.35345398971191244</v>
      </c>
      <c r="X27" s="31">
        <f>[1]节奏总纲!X27</f>
        <v>0.31335649213046235</v>
      </c>
      <c r="Y27" s="31">
        <f>[1]节奏总纲!Y27</f>
        <v>0.26345002715071786</v>
      </c>
      <c r="Z27" s="31">
        <f>[1]节奏总纲!Z27</f>
        <v>0.19456792294159797</v>
      </c>
      <c r="AA27" s="31">
        <f>[1]节奏总纲!AA27</f>
        <v>0.10840191863556625</v>
      </c>
      <c r="AC27" s="31">
        <v>24</v>
      </c>
      <c r="AD27" s="31">
        <f>[1]节奏总纲!AD27</f>
        <v>46.430041330048923</v>
      </c>
      <c r="AE27" s="31">
        <f>[1]节奏总纲!AE27</f>
        <v>48.330142263709867</v>
      </c>
      <c r="AF27" s="31">
        <f>[1]节奏总纲!AF27</f>
        <v>51.118578408701396</v>
      </c>
      <c r="AG27" s="31">
        <f>[1]节奏总纲!AG27</f>
        <v>55.44072585486321</v>
      </c>
      <c r="AH27" s="31">
        <f>[1]节奏总纲!AH27</f>
        <v>63.791742872142052</v>
      </c>
      <c r="AL27" s="31">
        <v>24</v>
      </c>
      <c r="AM27" s="31">
        <f>[1]节奏总纲!AM27</f>
        <v>10.47447102993563</v>
      </c>
      <c r="AN27" s="31">
        <f>[1]节奏总纲!AN27</f>
        <v>8.3795768239485042</v>
      </c>
      <c r="AO27" s="31">
        <f>[1]节奏总纲!AO27</f>
        <v>6.2846826179613782</v>
      </c>
      <c r="AP27" s="31">
        <f>[1]节奏总纲!AP27</f>
        <v>4.1897884119742521</v>
      </c>
      <c r="AQ27" s="31">
        <f>[1]节奏总纲!AQ27</f>
        <v>2.0948942059871261</v>
      </c>
      <c r="AS27" s="31">
        <v>24</v>
      </c>
      <c r="AT27" s="31">
        <f>[1]节奏总纲!AT27</f>
        <v>1.6389143055524151</v>
      </c>
      <c r="AU27" s="31">
        <f>[1]节奏总纲!AU27</f>
        <v>1.3111314444419317</v>
      </c>
      <c r="AV27" s="31">
        <f>[1]节奏总纲!AV27</f>
        <v>0.98334858333144926</v>
      </c>
      <c r="AW27" s="31">
        <f>[1]节奏总纲!AW27</f>
        <v>0.65556572222096587</v>
      </c>
      <c r="AX27" s="31">
        <f>[1]节奏总纲!AX27</f>
        <v>0.32778286111048294</v>
      </c>
      <c r="AY27" s="31"/>
      <c r="AZ27" s="31">
        <v>24</v>
      </c>
      <c r="BA27" s="31">
        <f>[1]节奏总纲!BA27</f>
        <v>28.979524459106884</v>
      </c>
      <c r="BB27" s="31">
        <f>[1]节奏总纲!BB27</f>
        <v>30.329493925593439</v>
      </c>
      <c r="BC27" s="31">
        <f>[1]节奏总纲!BC27</f>
        <v>32.113552950216736</v>
      </c>
      <c r="BD27" s="31">
        <f>[1]节奏总纲!BD27</f>
        <v>34.627226072894942</v>
      </c>
      <c r="BE27" s="31">
        <f>[1]节奏总纲!BE27</f>
        <v>39.250296194358178</v>
      </c>
      <c r="BR27" s="31">
        <v>24</v>
      </c>
      <c r="BS27" s="31">
        <f>'[1]功能-城建'!O29</f>
        <v>9</v>
      </c>
      <c r="BT27" s="31">
        <f>'[1]功能-城建'!P29</f>
        <v>9</v>
      </c>
      <c r="BU27" s="31">
        <f>'[1]功能-城建'!Q29</f>
        <v>9</v>
      </c>
      <c r="BV27" s="31">
        <f>'[1]功能-城建'!R29</f>
        <v>9</v>
      </c>
      <c r="BW27" s="31">
        <f t="shared" si="2"/>
        <v>36</v>
      </c>
    </row>
    <row r="28" spans="2:75" x14ac:dyDescent="0.15">
      <c r="B28" s="31">
        <v>25</v>
      </c>
      <c r="C28" s="31">
        <f t="shared" si="5"/>
        <v>15.5</v>
      </c>
      <c r="D28" s="31">
        <f t="shared" si="6"/>
        <v>8</v>
      </c>
      <c r="F28" s="31">
        <v>26</v>
      </c>
      <c r="G28" s="31">
        <f t="shared" si="0"/>
        <v>5.062866266041592</v>
      </c>
      <c r="I28" s="31">
        <v>26</v>
      </c>
      <c r="J28" s="31">
        <f t="shared" si="1"/>
        <v>14.6609224175611</v>
      </c>
      <c r="K28" s="35">
        <v>0.82</v>
      </c>
      <c r="N28" s="41">
        <f>[1]节奏总纲!N28</f>
        <v>35</v>
      </c>
      <c r="O28" s="31">
        <v>25</v>
      </c>
      <c r="P28" s="31">
        <f>[1]节奏总纲!P28</f>
        <v>4.6568542494923806</v>
      </c>
      <c r="Q28" s="31">
        <f>[1]节奏总纲!Q28</f>
        <v>4.054257309608067</v>
      </c>
      <c r="R28" s="31">
        <f>[1]节奏总纲!R28</f>
        <v>3.3445527219854276</v>
      </c>
      <c r="S28" s="31">
        <f>[1]节奏总纲!S28</f>
        <v>2.478377831579845</v>
      </c>
      <c r="T28" s="31">
        <f>[1]节奏总纲!T28</f>
        <v>1.3802915995495415</v>
      </c>
      <c r="V28" s="31">
        <v>25</v>
      </c>
      <c r="W28" s="31">
        <f>[1]节奏总纲!W28</f>
        <v>0.37882260640080379</v>
      </c>
      <c r="X28" s="31">
        <f>[1]节奏总纲!X28</f>
        <v>0.33279758328270415</v>
      </c>
      <c r="Y28" s="31">
        <f>[1]节奏总纲!Y28</f>
        <v>0.27463721490291215</v>
      </c>
      <c r="Z28" s="31">
        <f>[1]节奏总纲!Z28</f>
        <v>0.20417621011236298</v>
      </c>
      <c r="AA28" s="31">
        <f>[1]节奏总纲!AA28</f>
        <v>0.11099961104427059</v>
      </c>
      <c r="AC28" s="31">
        <v>25</v>
      </c>
      <c r="AD28" s="31">
        <f>[1]节奏总纲!AD28</f>
        <v>47.004247194324648</v>
      </c>
      <c r="AE28" s="31">
        <f>[1]节奏总纲!AE28</f>
        <v>48.904516930942819</v>
      </c>
      <c r="AF28" s="31">
        <f>[1]节奏总纲!AF28</f>
        <v>51.667220029142385</v>
      </c>
      <c r="AG28" s="31">
        <f>[1]节奏总纲!AG28</f>
        <v>56.05100027504308</v>
      </c>
      <c r="AH28" s="31">
        <f>[1]节奏总纲!AH28</f>
        <v>64.398425477456215</v>
      </c>
      <c r="AL28" s="31">
        <v>25</v>
      </c>
      <c r="AM28" s="31">
        <f>[1]节奏总纲!AM28</f>
        <v>12.4</v>
      </c>
      <c r="AN28" s="31">
        <f>[1]节奏总纲!AN28</f>
        <v>9.9200000000000017</v>
      </c>
      <c r="AO28" s="31">
        <f>[1]节奏总纲!AO28</f>
        <v>7.4399999999999995</v>
      </c>
      <c r="AP28" s="31">
        <f>[1]节奏总纲!AP28</f>
        <v>4.9600000000000009</v>
      </c>
      <c r="AQ28" s="31">
        <f>[1]节奏总纲!AQ28</f>
        <v>2.4800000000000004</v>
      </c>
      <c r="AS28" s="31">
        <v>25</v>
      </c>
      <c r="AT28" s="31">
        <f>[1]节奏总纲!AT28</f>
        <v>1.9255289700643701</v>
      </c>
      <c r="AU28" s="31">
        <f>[1]节奏总纲!AU28</f>
        <v>1.5404231760514975</v>
      </c>
      <c r="AV28" s="31">
        <f>[1]节奏总纲!AV28</f>
        <v>1.1553173820386213</v>
      </c>
      <c r="AW28" s="31">
        <f>[1]节奏总纲!AW28</f>
        <v>0.77021158802574874</v>
      </c>
      <c r="AX28" s="31">
        <f>[1]节奏总纲!AX28</f>
        <v>0.38510579401287437</v>
      </c>
      <c r="AY28" s="31"/>
      <c r="AZ28" s="31">
        <v>25</v>
      </c>
      <c r="BA28" s="31">
        <f>[1]节奏总纲!BA28</f>
        <v>29.216428548527322</v>
      </c>
      <c r="BB28" s="31">
        <f>[1]节奏总纲!BB28</f>
        <v>30.579110535891502</v>
      </c>
      <c r="BC28" s="31">
        <f>[1]节奏总纲!BC28</f>
        <v>32.356435933516131</v>
      </c>
      <c r="BD28" s="31">
        <f>[1]节奏总纲!BD28</f>
        <v>34.893493163684269</v>
      </c>
      <c r="BE28" s="31">
        <f>[1]节奏总纲!BE28</f>
        <v>39.520459727922798</v>
      </c>
      <c r="BR28" s="31">
        <v>25</v>
      </c>
      <c r="BS28" s="31">
        <f>'[1]功能-城建'!O30</f>
        <v>9</v>
      </c>
      <c r="BT28" s="31">
        <f>'[1]功能-城建'!P30</f>
        <v>9</v>
      </c>
      <c r="BU28" s="31">
        <f>'[1]功能-城建'!Q30</f>
        <v>9</v>
      </c>
      <c r="BV28" s="31">
        <f>'[1]功能-城建'!R30</f>
        <v>9</v>
      </c>
      <c r="BW28" s="31">
        <f t="shared" si="2"/>
        <v>36</v>
      </c>
    </row>
    <row r="29" spans="2:75" x14ac:dyDescent="0.15">
      <c r="B29" s="31">
        <v>30</v>
      </c>
      <c r="C29" s="31">
        <f t="shared" si="5"/>
        <v>31.5</v>
      </c>
      <c r="D29" s="31">
        <f t="shared" si="6"/>
        <v>16</v>
      </c>
      <c r="F29" s="31">
        <v>27</v>
      </c>
      <c r="G29" s="31">
        <f t="shared" si="0"/>
        <v>5.4980191708498847</v>
      </c>
      <c r="I29" s="31">
        <v>27</v>
      </c>
      <c r="J29" s="31">
        <f t="shared" si="1"/>
        <v>17.314186320787698</v>
      </c>
      <c r="K29" s="35">
        <v>0.84</v>
      </c>
      <c r="N29" s="41">
        <f>[1]节奏总纲!N29</f>
        <v>36</v>
      </c>
      <c r="O29" s="31">
        <v>26</v>
      </c>
      <c r="P29" s="31">
        <f>[1]节奏总纲!P29</f>
        <v>5.062866266041592</v>
      </c>
      <c r="Q29" s="31">
        <f>[1]节奏总纲!Q29</f>
        <v>4.408743944469018</v>
      </c>
      <c r="R29" s="31">
        <f>[1]节奏总纲!R29</f>
        <v>3.63716312552428</v>
      </c>
      <c r="S29" s="31">
        <f>[1]节奏总纲!S29</f>
        <v>2.6914197070277099</v>
      </c>
      <c r="T29" s="31">
        <f>[1]节奏总纲!T29</f>
        <v>1.4996209880015197</v>
      </c>
      <c r="V29" s="31">
        <v>26</v>
      </c>
      <c r="W29" s="31">
        <f>[1]节奏总纲!W29</f>
        <v>0.40601201654921137</v>
      </c>
      <c r="X29" s="31">
        <f>[1]节奏总纲!X29</f>
        <v>0.354486634860951</v>
      </c>
      <c r="Y29" s="31">
        <f>[1]节奏总纲!Y29</f>
        <v>0.29261040353885237</v>
      </c>
      <c r="Z29" s="31">
        <f>[1]节奏总纲!Z29</f>
        <v>0.2130418754478649</v>
      </c>
      <c r="AA29" s="31">
        <f>[1]节奏总纲!AA29</f>
        <v>0.11932938845197816</v>
      </c>
      <c r="AC29" s="31">
        <v>26</v>
      </c>
      <c r="AD29" s="31">
        <f>[1]节奏总纲!AD29</f>
        <v>47.540284631526092</v>
      </c>
      <c r="AE29" s="31">
        <f>[1]节奏总纲!AE29</f>
        <v>49.446133440059114</v>
      </c>
      <c r="AF29" s="31">
        <f>[1]节奏总纲!AF29</f>
        <v>52.199341027338768</v>
      </c>
      <c r="AG29" s="31">
        <f>[1]节奏总纲!AG29</f>
        <v>56.621068614050692</v>
      </c>
      <c r="AH29" s="31">
        <f>[1]节奏总纲!AH29</f>
        <v>65.00344105132713</v>
      </c>
      <c r="AL29" s="31">
        <v>26</v>
      </c>
      <c r="AM29" s="31">
        <f>[1]节奏总纲!AM29</f>
        <v>14.6609224175611</v>
      </c>
      <c r="AN29" s="31">
        <f>[1]节奏总纲!AN29</f>
        <v>11.72873793404888</v>
      </c>
      <c r="AO29" s="31">
        <f>[1]节奏总纲!AO29</f>
        <v>8.7965534505366598</v>
      </c>
      <c r="AP29" s="31">
        <f>[1]节奏总纲!AP29</f>
        <v>5.8643689670244399</v>
      </c>
      <c r="AQ29" s="31">
        <f>[1]节奏总纲!AQ29</f>
        <v>2.9321844835122199</v>
      </c>
      <c r="AS29" s="31">
        <v>26</v>
      </c>
      <c r="AT29" s="31">
        <f>[1]节奏总纲!AT29</f>
        <v>2.2609224175610994</v>
      </c>
      <c r="AU29" s="31">
        <f>[1]节奏总纲!AU29</f>
        <v>1.8087379340488781</v>
      </c>
      <c r="AV29" s="31">
        <f>[1]节奏总纲!AV29</f>
        <v>1.3565534505366603</v>
      </c>
      <c r="AW29" s="31">
        <f>[1]节奏总纲!AW29</f>
        <v>0.90436896702443903</v>
      </c>
      <c r="AX29" s="31">
        <f>[1]节奏总纲!AX29</f>
        <v>0.45218448351221951</v>
      </c>
      <c r="AY29" s="31"/>
      <c r="AZ29" s="31">
        <v>26</v>
      </c>
      <c r="BA29" s="31">
        <f>[1]节奏总纲!BA29</f>
        <v>29.45033047434006</v>
      </c>
      <c r="BB29" s="31">
        <f>[1]节奏总纲!BB29</f>
        <v>30.828727146189561</v>
      </c>
      <c r="BC29" s="31">
        <f>[1]节奏总纲!BC29</f>
        <v>32.59931891681552</v>
      </c>
      <c r="BD29" s="31">
        <f>[1]节奏总纲!BD29</f>
        <v>35.146386283795508</v>
      </c>
      <c r="BE29" s="31">
        <f>[1]节奏总纲!BE29</f>
        <v>39.790623261487418</v>
      </c>
      <c r="BR29" s="31">
        <v>26</v>
      </c>
      <c r="BS29" s="31">
        <f>'[1]功能-城建'!O31</f>
        <v>9</v>
      </c>
      <c r="BT29" s="31">
        <f>'[1]功能-城建'!P31</f>
        <v>9</v>
      </c>
      <c r="BU29" s="31">
        <f>'[1]功能-城建'!Q31</f>
        <v>9</v>
      </c>
      <c r="BV29" s="31">
        <f>'[1]功能-城建'!R31</f>
        <v>9</v>
      </c>
      <c r="BW29" s="31">
        <f t="shared" si="2"/>
        <v>36</v>
      </c>
    </row>
    <row r="30" spans="2:75" x14ac:dyDescent="0.15">
      <c r="B30" s="31">
        <v>35</v>
      </c>
      <c r="C30" s="31">
        <f t="shared" si="5"/>
        <v>63.5</v>
      </c>
      <c r="D30" s="31">
        <f t="shared" si="6"/>
        <v>32</v>
      </c>
      <c r="F30" s="31">
        <v>28</v>
      </c>
      <c r="G30" s="31">
        <f t="shared" si="0"/>
        <v>5.9644045063689921</v>
      </c>
      <c r="I30" s="31">
        <v>28</v>
      </c>
      <c r="J30" s="31">
        <f t="shared" si="1"/>
        <v>20.42625995518307</v>
      </c>
      <c r="K30" s="35">
        <v>0.86</v>
      </c>
      <c r="N30" s="41">
        <f>[1]节奏总纲!N30</f>
        <v>37</v>
      </c>
      <c r="O30" s="31">
        <v>27</v>
      </c>
      <c r="P30" s="31">
        <f>[1]节奏总纲!P30</f>
        <v>5.4980191708498847</v>
      </c>
      <c r="Q30" s="31">
        <f>[1]节奏总纲!Q30</f>
        <v>4.7882248958931646</v>
      </c>
      <c r="R30" s="31">
        <f>[1]节奏总纲!R30</f>
        <v>3.9492271704214725</v>
      </c>
      <c r="S30" s="31">
        <f>[1]节奏总纲!S30</f>
        <v>2.9205477835554587</v>
      </c>
      <c r="T30" s="31">
        <f>[1]节奏总纲!T30</f>
        <v>1.6290630803228208</v>
      </c>
      <c r="V30" s="31">
        <v>27</v>
      </c>
      <c r="W30" s="31">
        <f>[1]节奏总纲!W30</f>
        <v>0.43515290480829272</v>
      </c>
      <c r="X30" s="31">
        <f>[1]节奏总纲!X30</f>
        <v>0.37948095142414662</v>
      </c>
      <c r="Y30" s="31">
        <f>[1]节奏总纲!Y30</f>
        <v>0.31206404489719253</v>
      </c>
      <c r="Z30" s="31">
        <f>[1]节奏总纲!Z30</f>
        <v>0.2291280765277488</v>
      </c>
      <c r="AA30" s="31">
        <f>[1]节奏总纲!AA30</f>
        <v>0.12944209232130111</v>
      </c>
      <c r="AC30" s="31">
        <v>27</v>
      </c>
      <c r="AD30" s="31">
        <f>[1]节奏总纲!AD30</f>
        <v>48.071211008105138</v>
      </c>
      <c r="AE30" s="31">
        <f>[1]节奏总纲!AE30</f>
        <v>49.981218513907905</v>
      </c>
      <c r="AF30" s="31">
        <f>[1]节奏总纲!AF30</f>
        <v>52.705993248660157</v>
      </c>
      <c r="AG30" s="31">
        <f>[1]节奏总纲!AG30</f>
        <v>57.175765669822162</v>
      </c>
      <c r="AH30" s="31">
        <f>[1]节奏总纲!AH30</f>
        <v>65.541743280100334</v>
      </c>
      <c r="AL30" s="31">
        <v>27</v>
      </c>
      <c r="AM30" s="31">
        <f>[1]节奏总纲!AM30</f>
        <v>17.314186320787698</v>
      </c>
      <c r="AN30" s="31">
        <f>[1]节奏总纲!AN30</f>
        <v>13.851349056630159</v>
      </c>
      <c r="AO30" s="31">
        <f>[1]节奏总纲!AO30</f>
        <v>10.388511792472618</v>
      </c>
      <c r="AP30" s="31">
        <f>[1]节奏总纲!AP30</f>
        <v>6.9256745283150796</v>
      </c>
      <c r="AQ30" s="31">
        <f>[1]节奏总纲!AQ30</f>
        <v>3.4628372641575398</v>
      </c>
      <c r="AS30" s="31">
        <v>27</v>
      </c>
      <c r="AT30" s="31">
        <f>[1]节奏总纲!AT30</f>
        <v>2.6532639032265983</v>
      </c>
      <c r="AU30" s="31">
        <f>[1]节奏总纲!AU30</f>
        <v>2.1226111225812794</v>
      </c>
      <c r="AV30" s="31">
        <f>[1]节奏总纲!AV30</f>
        <v>1.5919583419359586</v>
      </c>
      <c r="AW30" s="31">
        <f>[1]节奏总纲!AW30</f>
        <v>1.0613055612906397</v>
      </c>
      <c r="AX30" s="31">
        <f>[1]节奏总纲!AX30</f>
        <v>0.53065278064531984</v>
      </c>
      <c r="AY30" s="31"/>
      <c r="AZ30" s="31">
        <v>27</v>
      </c>
      <c r="BA30" s="31">
        <f>[1]节奏总纲!BA30</f>
        <v>29.684232400152801</v>
      </c>
      <c r="BB30" s="31">
        <f>[1]节奏总纲!BB30</f>
        <v>31.066913270913183</v>
      </c>
      <c r="BC30" s="31">
        <f>[1]节奏总纲!BC30</f>
        <v>32.842201900114915</v>
      </c>
      <c r="BD30" s="31">
        <f>[1]节奏总纲!BD30</f>
        <v>35.390363423454687</v>
      </c>
      <c r="BE30" s="31">
        <f>[1]节奏总纲!BE30</f>
        <v>40.052446592012309</v>
      </c>
      <c r="BR30" s="31">
        <v>27</v>
      </c>
      <c r="BS30" s="31">
        <f>'[1]功能-城建'!O32</f>
        <v>9</v>
      </c>
      <c r="BT30" s="31">
        <f>'[1]功能-城建'!P32</f>
        <v>9</v>
      </c>
      <c r="BU30" s="31">
        <f>'[1]功能-城建'!Q32</f>
        <v>9</v>
      </c>
      <c r="BV30" s="31">
        <f>'[1]功能-城建'!R32</f>
        <v>9</v>
      </c>
      <c r="BW30" s="31">
        <f t="shared" si="2"/>
        <v>36</v>
      </c>
    </row>
    <row r="31" spans="2:75" x14ac:dyDescent="0.15">
      <c r="B31" s="31">
        <v>40</v>
      </c>
      <c r="C31" s="31">
        <f t="shared" si="5"/>
        <v>127.5</v>
      </c>
      <c r="D31" s="31">
        <f t="shared" si="6"/>
        <v>64</v>
      </c>
      <c r="F31" s="31">
        <v>29</v>
      </c>
      <c r="G31" s="31">
        <f t="shared" si="0"/>
        <v>6.4642639322944575</v>
      </c>
      <c r="I31" s="31">
        <v>29</v>
      </c>
      <c r="J31" s="31">
        <f t="shared" si="1"/>
        <v>24.074703862418847</v>
      </c>
      <c r="K31" s="35">
        <v>0.88</v>
      </c>
      <c r="N31" s="41">
        <f>[1]节奏总纲!N31</f>
        <v>38</v>
      </c>
      <c r="O31" s="31">
        <v>28</v>
      </c>
      <c r="P31" s="31">
        <f>[1]节奏总纲!P31</f>
        <v>5.9644045063689921</v>
      </c>
      <c r="Q31" s="31">
        <f>[1]节奏总纲!Q31</f>
        <v>5.1914176823435705</v>
      </c>
      <c r="R31" s="31">
        <f>[1]节奏总纲!R31</f>
        <v>4.2752851501652938</v>
      </c>
      <c r="S31" s="31">
        <f>[1]节奏总纲!S31</f>
        <v>3.1653094715300236</v>
      </c>
      <c r="T31" s="31">
        <f>[1]节奏总纲!T31</f>
        <v>1.7738139001941382</v>
      </c>
      <c r="V31" s="31">
        <v>28</v>
      </c>
      <c r="W31" s="31">
        <f>[1]节奏总纲!W31</f>
        <v>0.46638533551910744</v>
      </c>
      <c r="X31" s="31">
        <f>[1]节奏总纲!X31</f>
        <v>0.4031927864504059</v>
      </c>
      <c r="Y31" s="31">
        <f>[1]节奏总纲!Y31</f>
        <v>0.32605797974382122</v>
      </c>
      <c r="Z31" s="31">
        <f>[1]节奏总纲!Z31</f>
        <v>0.24476168797456488</v>
      </c>
      <c r="AA31" s="31">
        <f>[1]节奏总纲!AA31</f>
        <v>0.14475081987131744</v>
      </c>
      <c r="AC31" s="31">
        <v>28</v>
      </c>
      <c r="AD31" s="31">
        <f>[1]节奏总纲!AD31</f>
        <v>48.571351621712928</v>
      </c>
      <c r="AE31" s="31">
        <f>[1]节奏总纲!AE31</f>
        <v>50.509688493127967</v>
      </c>
      <c r="AF31" s="31">
        <f>[1]节奏总纲!AF31</f>
        <v>53.212684955585161</v>
      </c>
      <c r="AG31" s="31">
        <f>[1]节奏总纲!AG31</f>
        <v>57.699988965458331</v>
      </c>
      <c r="AH31" s="31">
        <f>[1]节奏总纲!AH31</f>
        <v>66.076345334947405</v>
      </c>
      <c r="AL31" s="31">
        <v>28</v>
      </c>
      <c r="AM31" s="31">
        <f>[1]节奏总纲!AM31</f>
        <v>20.42625995518307</v>
      </c>
      <c r="AN31" s="31">
        <f>[1]节奏总纲!AN31</f>
        <v>16.341007964146456</v>
      </c>
      <c r="AO31" s="31">
        <f>[1]节奏总纲!AO31</f>
        <v>12.255755973109842</v>
      </c>
      <c r="AP31" s="31">
        <f>[1]节奏总纲!AP31</f>
        <v>8.1705039820732281</v>
      </c>
      <c r="AQ31" s="31">
        <f>[1]节奏总纲!AQ31</f>
        <v>4.0852519910366141</v>
      </c>
      <c r="AS31" s="31">
        <v>28</v>
      </c>
      <c r="AT31" s="31">
        <f>[1]节奏总纲!AT31</f>
        <v>3.1120736343953723</v>
      </c>
      <c r="AU31" s="31">
        <f>[1]节奏总纲!AU31</f>
        <v>2.4896589075162971</v>
      </c>
      <c r="AV31" s="31">
        <f>[1]节奏总纲!AV31</f>
        <v>1.8672441806372237</v>
      </c>
      <c r="AW31" s="31">
        <f>[1]节奏总纲!AW31</f>
        <v>1.2448294537581486</v>
      </c>
      <c r="AX31" s="31">
        <f>[1]节奏总纲!AX31</f>
        <v>0.62241472687907429</v>
      </c>
      <c r="AY31" s="31"/>
      <c r="AZ31" s="31">
        <v>28</v>
      </c>
      <c r="BA31" s="31">
        <f>[1]节奏总纲!BA31</f>
        <v>29.918134325965539</v>
      </c>
      <c r="BB31" s="31">
        <f>[1]节奏总纲!BB31</f>
        <v>31.280110398778046</v>
      </c>
      <c r="BC31" s="31">
        <f>[1]节奏总纲!BC31</f>
        <v>33.072726100175295</v>
      </c>
      <c r="BD31" s="31">
        <f>[1]节奏总纲!BD31</f>
        <v>35.634340563113874</v>
      </c>
      <c r="BE31" s="31">
        <f>[1]节奏总纲!BE31</f>
        <v>40.28554255651148</v>
      </c>
      <c r="BR31" s="31">
        <v>28</v>
      </c>
      <c r="BS31" s="31">
        <f>'[1]功能-城建'!O33</f>
        <v>10</v>
      </c>
      <c r="BT31" s="31">
        <f>'[1]功能-城建'!P33</f>
        <v>10</v>
      </c>
      <c r="BU31" s="31">
        <f>'[1]功能-城建'!Q33</f>
        <v>10</v>
      </c>
      <c r="BV31" s="31">
        <f>'[1]功能-城建'!R33</f>
        <v>10</v>
      </c>
      <c r="BW31" s="31">
        <f t="shared" si="2"/>
        <v>40</v>
      </c>
    </row>
    <row r="32" spans="2:75" x14ac:dyDescent="0.15">
      <c r="B32" s="31">
        <v>45</v>
      </c>
      <c r="C32" s="31">
        <f t="shared" si="5"/>
        <v>255.5</v>
      </c>
      <c r="D32" s="31">
        <f t="shared" si="6"/>
        <v>128</v>
      </c>
      <c r="F32" s="31">
        <v>30</v>
      </c>
      <c r="G32" s="31">
        <f t="shared" si="0"/>
        <v>7</v>
      </c>
      <c r="I32" s="31">
        <v>30</v>
      </c>
      <c r="J32" s="31">
        <f t="shared" si="1"/>
        <v>28.35</v>
      </c>
      <c r="K32" s="35">
        <v>0.9</v>
      </c>
      <c r="N32" s="41">
        <f>[1]节奏总纲!N32</f>
        <v>39</v>
      </c>
      <c r="O32" s="31">
        <v>29</v>
      </c>
      <c r="P32" s="31">
        <f>[1]节奏总纲!P32</f>
        <v>6.4642639322944575</v>
      </c>
      <c r="Q32" s="31">
        <f>[1]节奏总纲!Q32</f>
        <v>5.6323131642081607</v>
      </c>
      <c r="R32" s="31">
        <f>[1]节奏总纲!R32</f>
        <v>4.6510378992858623</v>
      </c>
      <c r="S32" s="31">
        <f>[1]节奏总纲!S32</f>
        <v>3.4532097926316991</v>
      </c>
      <c r="T32" s="31">
        <f>[1]节奏总纲!T32</f>
        <v>1.9366934741154194</v>
      </c>
      <c r="V32" s="31">
        <v>29</v>
      </c>
      <c r="W32" s="31">
        <f>[1]节奏总纲!W32</f>
        <v>0.49985942592546539</v>
      </c>
      <c r="X32" s="31">
        <f>[1]节奏总纲!X32</f>
        <v>0.44089548186459027</v>
      </c>
      <c r="Y32" s="31">
        <f>[1]节奏总纲!Y32</f>
        <v>0.37575274912056855</v>
      </c>
      <c r="Z32" s="31">
        <f>[1]节奏总纲!Z32</f>
        <v>0.28790032110167552</v>
      </c>
      <c r="AA32" s="31">
        <f>[1]节奏总纲!AA32</f>
        <v>0.16287957392128116</v>
      </c>
      <c r="AC32" s="31">
        <v>29</v>
      </c>
      <c r="AD32" s="31">
        <f>[1]节奏总纲!AD32</f>
        <v>49.066704614192936</v>
      </c>
      <c r="AE32" s="31">
        <f>[1]节奏总纲!AE32</f>
        <v>51.033341828534468</v>
      </c>
      <c r="AF32" s="31">
        <f>[1]节奏总纲!AF32</f>
        <v>53.719431255885922</v>
      </c>
      <c r="AG32" s="31">
        <f>[1]节奏总纲!AG32</f>
        <v>58.210135614815364</v>
      </c>
      <c r="AH32" s="31">
        <f>[1]节奏总纲!AH32</f>
        <v>66.589764070576265</v>
      </c>
      <c r="AL32" s="31">
        <v>29</v>
      </c>
      <c r="AM32" s="31">
        <f>[1]节奏总纲!AM32</f>
        <v>24.074703862418847</v>
      </c>
      <c r="AN32" s="31">
        <f>[1]节奏总纲!AN32</f>
        <v>19.259763089935078</v>
      </c>
      <c r="AO32" s="31">
        <f>[1]节奏总纲!AO32</f>
        <v>14.444822317451308</v>
      </c>
      <c r="AP32" s="31">
        <f>[1]节奏总纲!AP32</f>
        <v>9.6298815449675388</v>
      </c>
      <c r="AQ32" s="31">
        <f>[1]节奏总纲!AQ32</f>
        <v>4.8149407724837694</v>
      </c>
      <c r="AS32" s="31">
        <v>29</v>
      </c>
      <c r="AT32" s="31">
        <f>[1]节奏总纲!AT32</f>
        <v>3.6484439072357766</v>
      </c>
      <c r="AU32" s="31">
        <f>[1]节奏总纲!AU32</f>
        <v>2.9187551257886213</v>
      </c>
      <c r="AV32" s="31">
        <f>[1]节奏总纲!AV32</f>
        <v>2.189066344341466</v>
      </c>
      <c r="AW32" s="31">
        <f>[1]节奏总纲!AW32</f>
        <v>1.4593775628943106</v>
      </c>
      <c r="AX32" s="31">
        <f>[1]节奏总纲!AX32</f>
        <v>0.72968878144715532</v>
      </c>
      <c r="AY32" s="31"/>
      <c r="AZ32" s="31">
        <v>29</v>
      </c>
      <c r="BA32" s="31">
        <f>[1]节奏总纲!BA32</f>
        <v>30.12980063735499</v>
      </c>
      <c r="BB32" s="31">
        <f>[1]节奏总纲!BB32</f>
        <v>31.493307526642905</v>
      </c>
      <c r="BC32" s="31">
        <f>[1]节奏总纲!BC32</f>
        <v>33.280329748032408</v>
      </c>
      <c r="BD32" s="31">
        <f>[1]节奏总纲!BD32</f>
        <v>35.878317702773053</v>
      </c>
      <c r="BE32" s="31">
        <f>[1]节奏总纲!BE32</f>
        <v>40.518638521010644</v>
      </c>
      <c r="BR32" s="31">
        <v>29</v>
      </c>
      <c r="BS32" s="31">
        <f>'[1]功能-城建'!O34</f>
        <v>10</v>
      </c>
      <c r="BT32" s="31">
        <f>'[1]功能-城建'!P34</f>
        <v>10</v>
      </c>
      <c r="BU32" s="31">
        <f>'[1]功能-城建'!Q34</f>
        <v>10</v>
      </c>
      <c r="BV32" s="31">
        <f>'[1]功能-城建'!R34</f>
        <v>10</v>
      </c>
      <c r="BW32" s="31">
        <f t="shared" si="2"/>
        <v>40</v>
      </c>
    </row>
    <row r="33" spans="2:75" x14ac:dyDescent="0.15">
      <c r="B33" s="31">
        <v>50</v>
      </c>
      <c r="C33" s="31">
        <f t="shared" si="5"/>
        <v>511.5</v>
      </c>
      <c r="D33" s="31">
        <f t="shared" si="6"/>
        <v>256</v>
      </c>
      <c r="F33" s="31">
        <v>31</v>
      </c>
      <c r="G33" s="31">
        <f t="shared" si="0"/>
        <v>7.5741877002903433</v>
      </c>
      <c r="I33" s="31">
        <v>31</v>
      </c>
      <c r="J33" s="31">
        <f t="shared" si="1"/>
        <v>33.357679571112705</v>
      </c>
      <c r="K33" s="35">
        <v>0.92</v>
      </c>
      <c r="N33" s="41">
        <f>[1]节奏总纲!N33</f>
        <v>40</v>
      </c>
      <c r="O33" s="31">
        <v>30</v>
      </c>
      <c r="P33" s="31">
        <f>[1]节奏总纲!P33</f>
        <v>7</v>
      </c>
      <c r="Q33" s="31">
        <f>[1]节奏总纲!Q33</f>
        <v>6.1025999999999998</v>
      </c>
      <c r="R33" s="31">
        <f>[1]节奏总纲!R33</f>
        <v>5.0421000000000005</v>
      </c>
      <c r="S33" s="31">
        <f>[1]节奏总纲!S33</f>
        <v>3.7428999999999997</v>
      </c>
      <c r="T33" s="31">
        <f>[1]节奏总纲!T33</f>
        <v>2.1006999999999998</v>
      </c>
      <c r="V33" s="31">
        <v>30</v>
      </c>
      <c r="W33" s="31">
        <f>[1]节奏总纲!W33</f>
        <v>0.5357360677055425</v>
      </c>
      <c r="X33" s="31">
        <f>[1]节奏总纲!X33</f>
        <v>0.47028683579183905</v>
      </c>
      <c r="Y33" s="31">
        <f>[1]节奏总纲!Y33</f>
        <v>0.39106210071413816</v>
      </c>
      <c r="Z33" s="31">
        <f>[1]节奏总纲!Z33</f>
        <v>0.28969020736830053</v>
      </c>
      <c r="AA33" s="31">
        <f>[1]节奏总纲!AA33</f>
        <v>0.16400652588458042</v>
      </c>
      <c r="AC33" s="31">
        <v>30</v>
      </c>
      <c r="AD33" s="31">
        <f>[1]节奏总纲!AD33</f>
        <v>49.533352307096472</v>
      </c>
      <c r="AE33" s="31">
        <f>[1]节奏总纲!AE33</f>
        <v>51.497823295559343</v>
      </c>
      <c r="AF33" s="31">
        <f>[1]节奏总纲!AF33</f>
        <v>54.213705787583436</v>
      </c>
      <c r="AG33" s="31">
        <f>[1]节奏总纲!AG33</f>
        <v>58.701446767877648</v>
      </c>
      <c r="AH33" s="31">
        <f>[1]节奏总纲!AH33</f>
        <v>67.097551508592701</v>
      </c>
      <c r="AL33" s="31">
        <v>30</v>
      </c>
      <c r="AM33" s="31">
        <f>[1]节奏总纲!AM33</f>
        <v>28.35</v>
      </c>
      <c r="AN33" s="31">
        <f>[1]节奏总纲!AN33</f>
        <v>22.680000000000003</v>
      </c>
      <c r="AO33" s="31">
        <f>[1]节奏总纲!AO33</f>
        <v>17.010000000000002</v>
      </c>
      <c r="AP33" s="31">
        <f>[1]节奏总纲!AP33</f>
        <v>11.340000000000002</v>
      </c>
      <c r="AQ33" s="31">
        <f>[1]节奏总纲!AQ33</f>
        <v>5.6700000000000008</v>
      </c>
      <c r="AS33" s="31">
        <v>30</v>
      </c>
      <c r="AT33" s="31">
        <f>[1]节奏总纲!AT33</f>
        <v>4.2752961375811545</v>
      </c>
      <c r="AU33" s="31">
        <f>[1]节奏总纲!AU33</f>
        <v>3.4202369100649257</v>
      </c>
      <c r="AV33" s="31">
        <f>[1]节奏总纲!AV33</f>
        <v>2.5651776825486934</v>
      </c>
      <c r="AW33" s="31">
        <f>[1]节奏总纲!AW33</f>
        <v>1.7101184550324628</v>
      </c>
      <c r="AX33" s="31">
        <f>[1]节奏总纲!AX33</f>
        <v>0.85505922751623142</v>
      </c>
      <c r="AY33" s="31"/>
      <c r="AZ33" s="31">
        <v>30</v>
      </c>
      <c r="BA33" s="31">
        <f>[1]节奏总纲!BA33</f>
        <v>30.329493925593439</v>
      </c>
      <c r="BB33" s="31">
        <f>[1]节奏总纲!BB33</f>
        <v>31.706504654507764</v>
      </c>
      <c r="BC33" s="31">
        <f>[1]节奏总纲!BC33</f>
        <v>33.487933395889513</v>
      </c>
      <c r="BD33" s="31">
        <f>[1]节奏总纲!BD33</f>
        <v>36.105477566569242</v>
      </c>
      <c r="BE33" s="31">
        <f>[1]节奏总纲!BE33</f>
        <v>40.751734485509814</v>
      </c>
      <c r="BR33" s="31">
        <v>30</v>
      </c>
      <c r="BS33" s="31">
        <f>'[1]功能-城建'!O35</f>
        <v>11</v>
      </c>
      <c r="BT33" s="31">
        <f>'[1]功能-城建'!P35</f>
        <v>11</v>
      </c>
      <c r="BU33" s="31">
        <f>'[1]功能-城建'!Q35</f>
        <v>11</v>
      </c>
      <c r="BV33" s="31">
        <f>'[1]功能-城建'!R35</f>
        <v>11</v>
      </c>
      <c r="BW33" s="31">
        <f t="shared" si="2"/>
        <v>44</v>
      </c>
    </row>
    <row r="34" spans="2:75" x14ac:dyDescent="0.15">
      <c r="B34" s="31">
        <v>55</v>
      </c>
      <c r="C34" s="31">
        <f t="shared" si="5"/>
        <v>1023.5</v>
      </c>
      <c r="D34" s="31">
        <f t="shared" si="6"/>
        <v>512</v>
      </c>
      <c r="F34" s="31">
        <v>32</v>
      </c>
      <c r="G34" s="31">
        <f t="shared" si="0"/>
        <v>8.189586839976279</v>
      </c>
      <c r="I34" s="31">
        <v>32</v>
      </c>
      <c r="J34" s="31">
        <f t="shared" si="1"/>
        <v>39.220797956048642</v>
      </c>
      <c r="K34" s="35">
        <v>0.94</v>
      </c>
      <c r="N34" s="41">
        <f>[1]节奏总纲!N34</f>
        <v>41</v>
      </c>
      <c r="O34" s="31">
        <v>31</v>
      </c>
      <c r="P34" s="31">
        <f>[1]节奏总纲!P34</f>
        <v>7.5741877002903433</v>
      </c>
      <c r="Q34" s="31">
        <f>[1]节奏总纲!Q34</f>
        <v>6.6115084435834408</v>
      </c>
      <c r="R34" s="31">
        <f>[1]节奏总纲!R34</f>
        <v>5.4632615882194253</v>
      </c>
      <c r="S34" s="31">
        <f>[1]节奏总纲!S34</f>
        <v>4.052190419655334</v>
      </c>
      <c r="T34" s="31">
        <f>[1]节奏总纲!T34</f>
        <v>2.2783156602473356</v>
      </c>
      <c r="V34" s="31">
        <v>31</v>
      </c>
      <c r="W34" s="31">
        <f>[1]节奏总纲!W34</f>
        <v>0.57418770029034327</v>
      </c>
      <c r="X34" s="31">
        <f>[1]节奏总纲!X34</f>
        <v>0.50890844358344101</v>
      </c>
      <c r="Y34" s="31">
        <f>[1]节奏总纲!Y34</f>
        <v>0.42116158821942484</v>
      </c>
      <c r="Z34" s="31">
        <f>[1]节奏总纲!Z34</f>
        <v>0.30929041965533433</v>
      </c>
      <c r="AA34" s="31">
        <f>[1]节奏总纲!AA34</f>
        <v>0.17761566024733577</v>
      </c>
      <c r="AC34" s="31">
        <v>31</v>
      </c>
      <c r="AD34" s="31">
        <f>[1]节奏总纲!AD34</f>
        <v>50</v>
      </c>
      <c r="AE34" s="31">
        <f>[1]节奏总纲!AE34</f>
        <v>51.96230476258421</v>
      </c>
      <c r="AF34" s="31">
        <f>[1]节奏总纲!AF34</f>
        <v>54.692509339255828</v>
      </c>
      <c r="AG34" s="31">
        <f>[1]节奏总纲!AG34</f>
        <v>59.178112178215827</v>
      </c>
      <c r="AH34" s="31">
        <f>[1]节奏总纲!AH34</f>
        <v>67.582949939226467</v>
      </c>
      <c r="AL34" s="31">
        <v>31</v>
      </c>
      <c r="AM34" s="31">
        <f>[1]节奏总纲!AM34</f>
        <v>33.357679571112705</v>
      </c>
      <c r="AN34" s="31">
        <f>[1]节奏总纲!AN34</f>
        <v>26.686143656890167</v>
      </c>
      <c r="AO34" s="31">
        <f>[1]节奏总纲!AO34</f>
        <v>20.014607742667621</v>
      </c>
      <c r="AP34" s="31">
        <f>[1]节奏总纲!AP34</f>
        <v>13.343071828445083</v>
      </c>
      <c r="AQ34" s="31">
        <f>[1]节奏总纲!AQ34</f>
        <v>6.6715359142225417</v>
      </c>
      <c r="AS34" s="31">
        <v>31</v>
      </c>
      <c r="AT34" s="31">
        <f>[1]节奏总纲!AT34</f>
        <v>5.0076795711127033</v>
      </c>
      <c r="AU34" s="31">
        <f>[1]节奏总纲!AU34</f>
        <v>4.0061436568901634</v>
      </c>
      <c r="AV34" s="31">
        <f>[1]节奏总纲!AV34</f>
        <v>3.0046077426676199</v>
      </c>
      <c r="AW34" s="31">
        <f>[1]节奏总纲!AW34</f>
        <v>2.0030718284450817</v>
      </c>
      <c r="AX34" s="31">
        <f>[1]节奏总纲!AX34</f>
        <v>1.0015359142225408</v>
      </c>
      <c r="AY34" s="31"/>
      <c r="AZ34" s="31">
        <v>31</v>
      </c>
      <c r="BA34" s="31">
        <f>[1]节奏总纲!BA34</f>
        <v>30.529187213831889</v>
      </c>
      <c r="BB34" s="31">
        <f>[1]节奏总纲!BB34</f>
        <v>31.919701782372627</v>
      </c>
      <c r="BC34" s="31">
        <f>[1]节奏总纲!BC34</f>
        <v>33.695537043746626</v>
      </c>
      <c r="BD34" s="31">
        <f>[1]节奏总纲!BD34</f>
        <v>36.315904388158508</v>
      </c>
      <c r="BE34" s="31">
        <f>[1]节奏总纲!BE34</f>
        <v>40.984830450008978</v>
      </c>
      <c r="BR34" s="31">
        <v>31</v>
      </c>
      <c r="BS34" s="31">
        <f>'[1]功能-城建'!O36</f>
        <v>11</v>
      </c>
      <c r="BT34" s="31">
        <f>'[1]功能-城建'!P36</f>
        <v>11</v>
      </c>
      <c r="BU34" s="31">
        <f>'[1]功能-城建'!Q36</f>
        <v>11</v>
      </c>
      <c r="BV34" s="31">
        <f>'[1]功能-城建'!R36</f>
        <v>11</v>
      </c>
      <c r="BW34" s="31">
        <f t="shared" si="2"/>
        <v>44</v>
      </c>
    </row>
    <row r="35" spans="2:75" x14ac:dyDescent="0.15">
      <c r="B35" s="31">
        <v>60</v>
      </c>
      <c r="C35" s="31">
        <f t="shared" si="5"/>
        <v>2047.5</v>
      </c>
      <c r="D35" s="31">
        <f t="shared" si="6"/>
        <v>1024</v>
      </c>
      <c r="F35" s="31">
        <v>33</v>
      </c>
      <c r="G35" s="31">
        <f t="shared" si="0"/>
        <v>8.8491553067593287</v>
      </c>
      <c r="I35" s="31">
        <v>33</v>
      </c>
      <c r="J35" s="31">
        <f t="shared" si="1"/>
        <v>46.082812923199413</v>
      </c>
      <c r="K35" s="35">
        <v>0.96</v>
      </c>
      <c r="N35" s="41">
        <f>[1]节奏总纲!N35</f>
        <v>42</v>
      </c>
      <c r="O35" s="31">
        <v>32</v>
      </c>
      <c r="P35" s="31">
        <f>[1]节奏总纲!P35</f>
        <v>8.189586839976279</v>
      </c>
      <c r="Q35" s="31">
        <f>[1]节奏总纲!Q35</f>
        <v>7.1519661873512845</v>
      </c>
      <c r="R35" s="31">
        <f>[1]节奏总纲!R35</f>
        <v>5.906330028990892</v>
      </c>
      <c r="S35" s="31">
        <f>[1]节奏总纲!S35</f>
        <v>4.3855237528072974</v>
      </c>
      <c r="T35" s="31">
        <f>[1]节奏总纲!T35</f>
        <v>2.46506563883286</v>
      </c>
      <c r="V35" s="31">
        <v>32</v>
      </c>
      <c r="W35" s="31">
        <f>[1]节奏总纲!W35</f>
        <v>0.61539913968593574</v>
      </c>
      <c r="X35" s="31">
        <f>[1]节奏总纲!X35</f>
        <v>0.54045774376784372</v>
      </c>
      <c r="Y35" s="31">
        <f>[1]节奏总纲!Y35</f>
        <v>0.44306844077146668</v>
      </c>
      <c r="Z35" s="31">
        <f>[1]节奏总纲!Z35</f>
        <v>0.33333333315196345</v>
      </c>
      <c r="AA35" s="31">
        <f>[1]节奏总纲!AA35</f>
        <v>0.18674997858552445</v>
      </c>
      <c r="AC35" s="31">
        <v>32</v>
      </c>
      <c r="AD35" s="31">
        <f>[1]节奏总纲!AD35</f>
        <v>50.435397692903535</v>
      </c>
      <c r="AE35" s="31">
        <f>[1]节奏总纲!AE35</f>
        <v>52.391506955233744</v>
      </c>
      <c r="AF35" s="31">
        <f>[1]节奏总纲!AF35</f>
        <v>55.159275389027101</v>
      </c>
      <c r="AG35" s="31">
        <f>[1]节奏总纲!AG35</f>
        <v>59.632093520341421</v>
      </c>
      <c r="AH35" s="31">
        <f>[1]节奏总纲!AH35</f>
        <v>68.063981730538742</v>
      </c>
      <c r="AL35" s="31">
        <v>32</v>
      </c>
      <c r="AM35" s="31">
        <f>[1]节奏总纲!AM35</f>
        <v>39.220797956048642</v>
      </c>
      <c r="AN35" s="31">
        <f>[1]节奏总纲!AN35</f>
        <v>31.376638364838914</v>
      </c>
      <c r="AO35" s="31">
        <f>[1]节奏总纲!AO35</f>
        <v>23.532478773629183</v>
      </c>
      <c r="AP35" s="31">
        <f>[1]节奏总纲!AP35</f>
        <v>15.688319182419457</v>
      </c>
      <c r="AQ35" s="31">
        <f>[1]节奏总纲!AQ35</f>
        <v>7.8441595912097286</v>
      </c>
      <c r="AS35" s="31">
        <v>32</v>
      </c>
      <c r="AT35" s="31">
        <f>[1]节奏总纲!AT35</f>
        <v>5.8631183849359374</v>
      </c>
      <c r="AU35" s="31">
        <f>[1]节奏总纲!AU35</f>
        <v>4.6904947079487478</v>
      </c>
      <c r="AV35" s="31">
        <f>[1]节奏总纲!AV35</f>
        <v>3.5178710309615617</v>
      </c>
      <c r="AW35" s="31">
        <f>[1]节奏总纲!AW35</f>
        <v>2.3452473539743739</v>
      </c>
      <c r="AX35" s="31">
        <f>[1]节奏总纲!AX35</f>
        <v>1.1726236769871869</v>
      </c>
      <c r="AY35" s="31"/>
      <c r="AZ35" s="31">
        <v>32</v>
      </c>
      <c r="BA35" s="31">
        <f>[1]节奏总纲!BA35</f>
        <v>30.728880502070336</v>
      </c>
      <c r="BB35" s="31">
        <f>[1]节奏总纲!BB35</f>
        <v>32.113552950216736</v>
      </c>
      <c r="BC35" s="31">
        <f>[1]节奏总纲!BC35</f>
        <v>33.903140691603731</v>
      </c>
      <c r="BD35" s="31">
        <f>[1]节奏总纲!BD35</f>
        <v>36.526331209747774</v>
      </c>
      <c r="BE35" s="31">
        <f>[1]节奏总纲!BE35</f>
        <v>41.188041754455355</v>
      </c>
      <c r="BR35" s="31">
        <v>32</v>
      </c>
      <c r="BS35" s="31">
        <f>'[1]功能-城建'!O37</f>
        <v>11</v>
      </c>
      <c r="BT35" s="31">
        <f>'[1]功能-城建'!P37</f>
        <v>11</v>
      </c>
      <c r="BU35" s="31">
        <f>'[1]功能-城建'!Q37</f>
        <v>11</v>
      </c>
      <c r="BV35" s="31">
        <f>'[1]功能-城建'!R37</f>
        <v>11</v>
      </c>
      <c r="BW35" s="31">
        <f t="shared" si="2"/>
        <v>44</v>
      </c>
    </row>
    <row r="36" spans="2:75" x14ac:dyDescent="0.15">
      <c r="F36" s="31">
        <v>34</v>
      </c>
      <c r="G36" s="31">
        <f t="shared" si="0"/>
        <v>9.5560632861831518</v>
      </c>
      <c r="I36" s="31">
        <v>34</v>
      </c>
      <c r="J36" s="31">
        <f t="shared" si="1"/>
        <v>54.110931329932889</v>
      </c>
      <c r="K36" s="35">
        <v>0.98</v>
      </c>
      <c r="N36" s="41">
        <f>[1]节奏总纲!N36</f>
        <v>43</v>
      </c>
      <c r="O36" s="31">
        <v>33</v>
      </c>
      <c r="P36" s="31">
        <f>[1]节奏总纲!P36</f>
        <v>8.8491553067593287</v>
      </c>
      <c r="Q36" s="31">
        <f>[1]节奏总纲!Q36</f>
        <v>7.7120388498407557</v>
      </c>
      <c r="R36" s="31">
        <f>[1]节奏总纲!R36</f>
        <v>6.3696219898053652</v>
      </c>
      <c r="S36" s="31">
        <f>[1]节奏总纲!S36</f>
        <v>4.736067920177593</v>
      </c>
      <c r="T36" s="31">
        <f>[1]节奏总纲!T36</f>
        <v>2.6627108318038819</v>
      </c>
      <c r="V36" s="31">
        <v>33</v>
      </c>
      <c r="W36" s="31">
        <f>[1]节奏总纲!W36</f>
        <v>0.6595684667830497</v>
      </c>
      <c r="X36" s="31">
        <f>[1]节奏总纲!X36</f>
        <v>0.56007266248947118</v>
      </c>
      <c r="Y36" s="31">
        <f>[1]节奏总纲!Y36</f>
        <v>0.46329196081447321</v>
      </c>
      <c r="Z36" s="31">
        <f>[1]节奏总纲!Z36</f>
        <v>0.35054416737029559</v>
      </c>
      <c r="AA36" s="31">
        <f>[1]节奏总纲!AA36</f>
        <v>0.1976451929710219</v>
      </c>
      <c r="AC36" s="31">
        <v>33</v>
      </c>
      <c r="AD36" s="31">
        <f>[1]节奏总纲!AD36</f>
        <v>50.870795385807064</v>
      </c>
      <c r="AE36" s="31">
        <f>[1]节奏总纲!AE36</f>
        <v>52.81759316022675</v>
      </c>
      <c r="AF36" s="31">
        <f>[1]节奏总纲!AF36</f>
        <v>55.604435245632025</v>
      </c>
      <c r="AG36" s="31">
        <f>[1]节奏总纲!AG36</f>
        <v>60.078368706270226</v>
      </c>
      <c r="AH36" s="31">
        <f>[1]节奏总纲!AH36</f>
        <v>68.518369035696878</v>
      </c>
      <c r="AL36" s="31">
        <v>33</v>
      </c>
      <c r="AM36" s="31">
        <f>[1]节奏总纲!AM36</f>
        <v>46.082812923199413</v>
      </c>
      <c r="AN36" s="31">
        <f>[1]节奏总纲!AN36</f>
        <v>36.866250338559531</v>
      </c>
      <c r="AO36" s="31">
        <f>[1]节奏总纲!AO36</f>
        <v>27.649687753919647</v>
      </c>
      <c r="AP36" s="31">
        <f>[1]节奏总纲!AP36</f>
        <v>18.433125169279766</v>
      </c>
      <c r="AQ36" s="31">
        <f>[1]节奏总纲!AQ36</f>
        <v>9.2165625846398829</v>
      </c>
      <c r="AS36" s="31">
        <v>33</v>
      </c>
      <c r="AT36" s="31">
        <f>[1]节奏总纲!AT36</f>
        <v>6.8620149671507704</v>
      </c>
      <c r="AU36" s="31">
        <f>[1]节奏总纲!AU36</f>
        <v>5.489611973720617</v>
      </c>
      <c r="AV36" s="31">
        <f>[1]节奏总纲!AV36</f>
        <v>4.1172089802904637</v>
      </c>
      <c r="AW36" s="31">
        <f>[1]节奏总纲!AW36</f>
        <v>2.7448059868603085</v>
      </c>
      <c r="AX36" s="31">
        <f>[1]节奏总纲!AX36</f>
        <v>1.3724029934301543</v>
      </c>
      <c r="AY36" s="31"/>
      <c r="AZ36" s="31">
        <v>33</v>
      </c>
      <c r="BA36" s="31">
        <f>[1]节奏总纲!BA36</f>
        <v>30.928573790308786</v>
      </c>
      <c r="BB36" s="31">
        <f>[1]节奏总纲!BB36</f>
        <v>32.295715187691279</v>
      </c>
      <c r="BC36" s="31">
        <f>[1]节奏总纲!BC36</f>
        <v>34.09469189131628</v>
      </c>
      <c r="BD36" s="31">
        <f>[1]节奏总纲!BD36</f>
        <v>36.73675803133704</v>
      </c>
      <c r="BE36" s="31">
        <f>[1]节奏总纲!BE36</f>
        <v>41.389172829914081</v>
      </c>
      <c r="BR36" s="31">
        <v>33</v>
      </c>
      <c r="BS36" s="31">
        <f>'[1]功能-城建'!O38</f>
        <v>12</v>
      </c>
      <c r="BT36" s="31">
        <f>'[1]功能-城建'!P38</f>
        <v>12</v>
      </c>
      <c r="BU36" s="31">
        <f>'[1]功能-城建'!Q38</f>
        <v>12</v>
      </c>
      <c r="BV36" s="31">
        <f>'[1]功能-城建'!R38</f>
        <v>12</v>
      </c>
      <c r="BW36" s="31">
        <f t="shared" si="2"/>
        <v>48</v>
      </c>
    </row>
    <row r="37" spans="2:75" x14ac:dyDescent="0.15">
      <c r="F37" s="31">
        <v>35</v>
      </c>
      <c r="G37" s="31">
        <f t="shared" si="0"/>
        <v>10.313708498984759</v>
      </c>
      <c r="I37" s="31">
        <v>35</v>
      </c>
      <c r="J37" s="31">
        <f t="shared" si="1"/>
        <v>63.5</v>
      </c>
      <c r="K37" s="35">
        <v>1</v>
      </c>
      <c r="N37" s="41">
        <f>[1]节奏总纲!N37</f>
        <v>44</v>
      </c>
      <c r="O37" s="31">
        <v>34</v>
      </c>
      <c r="P37" s="31">
        <f>[1]节奏总纲!P37</f>
        <v>9.5560632861831518</v>
      </c>
      <c r="Q37" s="31">
        <f>[1]节奏总纲!Q37</f>
        <v>8.3309759728944712</v>
      </c>
      <c r="R37" s="31">
        <f>[1]节奏总纲!R37</f>
        <v>6.8918328419952886</v>
      </c>
      <c r="S37" s="31">
        <f>[1]节奏总纲!S37</f>
        <v>5.1287391656944967</v>
      </c>
      <c r="T37" s="31">
        <f>[1]节奏总纲!T37</f>
        <v>2.8811530807842201</v>
      </c>
      <c r="V37" s="31">
        <v>34</v>
      </c>
      <c r="W37" s="31">
        <f>[1]节奏总纲!W37</f>
        <v>0.70690797942382311</v>
      </c>
      <c r="X37" s="31">
        <f>[1]节奏总纲!X37</f>
        <v>0.61893712305371551</v>
      </c>
      <c r="Y37" s="31">
        <f>[1]节奏总纲!Y37</f>
        <v>0.52221085218992336</v>
      </c>
      <c r="Z37" s="31">
        <f>[1]节奏总纲!Z37</f>
        <v>0.39267124551690369</v>
      </c>
      <c r="AA37" s="31">
        <f>[1]节奏总纲!AA37</f>
        <v>0.21844224898033815</v>
      </c>
      <c r="AC37" s="31">
        <v>34</v>
      </c>
      <c r="AD37" s="31">
        <f>[1]节奏总纲!AD37</f>
        <v>51.285688244217212</v>
      </c>
      <c r="AE37" s="31">
        <f>[1]节奏总纲!AE37</f>
        <v>53.226994578658328</v>
      </c>
      <c r="AF37" s="31">
        <f>[1]节奏总纲!AF37</f>
        <v>56.045896281048073</v>
      </c>
      <c r="AG37" s="31">
        <f>[1]节奏总纲!AG37</f>
        <v>60.491705764657482</v>
      </c>
      <c r="AH37" s="31">
        <f>[1]节奏总纲!AH37</f>
        <v>68.972756340855</v>
      </c>
      <c r="AL37" s="31">
        <v>34</v>
      </c>
      <c r="AM37" s="31">
        <f>[1]节奏总纲!AM37</f>
        <v>54.110931329932889</v>
      </c>
      <c r="AN37" s="31">
        <f>[1]节奏总纲!AN37</f>
        <v>43.288745063946315</v>
      </c>
      <c r="AO37" s="31">
        <f>[1]节奏总纲!AO37</f>
        <v>32.466558797959735</v>
      </c>
      <c r="AP37" s="31">
        <f>[1]节奏总纲!AP37</f>
        <v>21.644372531973158</v>
      </c>
      <c r="AQ37" s="31">
        <f>[1]节奏总纲!AQ37</f>
        <v>10.822186265986579</v>
      </c>
      <c r="AS37" s="31">
        <v>34</v>
      </c>
      <c r="AT37" s="31">
        <f>[1]节奏总纲!AT37</f>
        <v>8.0281184067334763</v>
      </c>
      <c r="AU37" s="31">
        <f>[1]节奏总纲!AU37</f>
        <v>6.4224947253867839</v>
      </c>
      <c r="AV37" s="31">
        <f>[1]节奏总纲!AV37</f>
        <v>4.8168710440400879</v>
      </c>
      <c r="AW37" s="31">
        <f>[1]节奏总纲!AW37</f>
        <v>3.2112473626933919</v>
      </c>
      <c r="AX37" s="31">
        <f>[1]节奏总纲!AX37</f>
        <v>1.605623681346696</v>
      </c>
      <c r="AY37" s="31"/>
      <c r="AZ37" s="31">
        <v>34</v>
      </c>
      <c r="BA37" s="31">
        <f>[1]节奏总纲!BA37</f>
        <v>31.109552696486158</v>
      </c>
      <c r="BB37" s="31">
        <f>[1]节奏总纲!BB37</f>
        <v>32.477877425165822</v>
      </c>
      <c r="BC37" s="31">
        <f>[1]节奏总纲!BC37</f>
        <v>34.272203285175834</v>
      </c>
      <c r="BD37" s="31">
        <f>[1]节奏总纲!BD37</f>
        <v>36.947184852926306</v>
      </c>
      <c r="BE37" s="31">
        <f>[1]节奏总纲!BE37</f>
        <v>41.590303905372799</v>
      </c>
      <c r="BR37" s="31">
        <v>34</v>
      </c>
      <c r="BS37" s="31">
        <f>'[1]功能-城建'!O39</f>
        <v>12</v>
      </c>
      <c r="BT37" s="31">
        <f>'[1]功能-城建'!P39</f>
        <v>12</v>
      </c>
      <c r="BU37" s="31">
        <f>'[1]功能-城建'!Q39</f>
        <v>12</v>
      </c>
      <c r="BV37" s="31">
        <f>'[1]功能-城建'!R39</f>
        <v>12</v>
      </c>
      <c r="BW37" s="31">
        <f t="shared" si="2"/>
        <v>48</v>
      </c>
    </row>
    <row r="38" spans="2:75" x14ac:dyDescent="0.15">
      <c r="F38" s="31">
        <v>36</v>
      </c>
      <c r="G38" s="31">
        <f t="shared" si="0"/>
        <v>11.125732532083184</v>
      </c>
      <c r="I38" s="31">
        <v>36</v>
      </c>
      <c r="J38" s="31">
        <f t="shared" si="1"/>
        <v>73.746861667008318</v>
      </c>
      <c r="K38" s="35">
        <v>1.01</v>
      </c>
      <c r="N38" s="41">
        <f>[1]节奏总纲!N38</f>
        <v>45</v>
      </c>
      <c r="O38" s="31">
        <v>35</v>
      </c>
      <c r="P38" s="31">
        <f>[1]节奏总纲!P38</f>
        <v>10.313708498984759</v>
      </c>
      <c r="Q38" s="31">
        <f>[1]节奏总纲!Q38</f>
        <v>9.0048988904635934</v>
      </c>
      <c r="R38" s="31">
        <f>[1]节奏总纲!R38</f>
        <v>7.4547485030661838</v>
      </c>
      <c r="S38" s="31">
        <f>[1]节奏总纲!S38</f>
        <v>5.5405242056546129</v>
      </c>
      <c r="T38" s="31">
        <f>[1]节奏总纲!T38</f>
        <v>3.1106144832938032</v>
      </c>
      <c r="V38" s="31">
        <v>35</v>
      </c>
      <c r="W38" s="31">
        <f>[1]节奏总纲!W38</f>
        <v>0.75764521280160757</v>
      </c>
      <c r="X38" s="31">
        <f>[1]节奏总纲!X38</f>
        <v>0.67392291756912215</v>
      </c>
      <c r="Y38" s="31">
        <f>[1]节奏总纲!Y38</f>
        <v>0.56291566107089519</v>
      </c>
      <c r="Z38" s="31">
        <f>[1]节奏总纲!Z38</f>
        <v>0.41178503996011617</v>
      </c>
      <c r="AA38" s="31">
        <f>[1]节奏总纲!AA38</f>
        <v>0.22946140250958313</v>
      </c>
      <c r="AC38" s="31">
        <v>35</v>
      </c>
      <c r="AD38" s="31">
        <f>[1]节奏总纲!AD38</f>
        <v>51.691928656135211</v>
      </c>
      <c r="AE38" s="31">
        <f>[1]节奏总纲!AE38</f>
        <v>53.623906555539456</v>
      </c>
      <c r="AF38" s="31">
        <f>[1]节奏总纲!AF38</f>
        <v>56.457855949816349</v>
      </c>
      <c r="AG38" s="31">
        <f>[1]节奏总纲!AG38</f>
        <v>60.905042823044738</v>
      </c>
      <c r="AH38" s="31">
        <f>[1]节奏总纲!AH38</f>
        <v>69.385288338144662</v>
      </c>
      <c r="AL38" s="31">
        <v>35</v>
      </c>
      <c r="AM38" s="31">
        <f>[1]节奏总纲!AM38</f>
        <v>63.5</v>
      </c>
      <c r="AN38" s="31">
        <f>[1]节奏总纲!AN38</f>
        <v>50.800000000000004</v>
      </c>
      <c r="AO38" s="31">
        <f>[1]节奏总纲!AO38</f>
        <v>38.1</v>
      </c>
      <c r="AP38" s="31">
        <f>[1]节奏总纲!AP38</f>
        <v>25.400000000000002</v>
      </c>
      <c r="AQ38" s="31">
        <f>[1]节奏总纲!AQ38</f>
        <v>12.700000000000001</v>
      </c>
      <c r="AS38" s="31">
        <v>35</v>
      </c>
      <c r="AT38" s="31">
        <f>[1]节奏总纲!AT38</f>
        <v>9.3890686700671111</v>
      </c>
      <c r="AU38" s="31">
        <f>[1]节奏总纲!AU38</f>
        <v>7.5112549360536889</v>
      </c>
      <c r="AV38" s="31">
        <f>[1]节奏总纲!AV38</f>
        <v>5.6334412020402667</v>
      </c>
      <c r="AW38" s="31">
        <f>[1]节奏总纲!AW38</f>
        <v>3.7556274680268444</v>
      </c>
      <c r="AX38" s="31">
        <f>[1]节奏总纲!AX38</f>
        <v>1.8778137340134222</v>
      </c>
      <c r="AY38" s="31"/>
      <c r="AZ38" s="31">
        <v>35</v>
      </c>
      <c r="BA38" s="31">
        <f>[1]节奏总纲!BA38</f>
        <v>31.280110398778046</v>
      </c>
      <c r="BB38" s="31">
        <f>[1]节奏总纲!BB38</f>
        <v>32.660039662640372</v>
      </c>
      <c r="BC38" s="31">
        <f>[1]节奏总纲!BC38</f>
        <v>34.449714679035388</v>
      </c>
      <c r="BD38" s="31">
        <f>[1]节奏总纲!BD38</f>
        <v>37.135950591746003</v>
      </c>
      <c r="BE38" s="31">
        <f>[1]节奏总纲!BE38</f>
        <v>41.791434980831518</v>
      </c>
      <c r="BR38" s="31">
        <v>35</v>
      </c>
      <c r="BS38" s="31">
        <f>'[1]功能-城建'!O40</f>
        <v>13</v>
      </c>
      <c r="BT38" s="31">
        <f>'[1]功能-城建'!P40</f>
        <v>13</v>
      </c>
      <c r="BU38" s="31">
        <f>'[1]功能-城建'!Q40</f>
        <v>13</v>
      </c>
      <c r="BV38" s="31">
        <f>'[1]功能-城建'!R40</f>
        <v>13</v>
      </c>
      <c r="BW38" s="31">
        <f t="shared" si="2"/>
        <v>52</v>
      </c>
    </row>
    <row r="39" spans="2:75" x14ac:dyDescent="0.15">
      <c r="F39" s="31">
        <v>37</v>
      </c>
      <c r="G39" s="31">
        <f t="shared" si="0"/>
        <v>11.996038341699768</v>
      </c>
      <c r="I39" s="31">
        <v>37</v>
      </c>
      <c r="J39" s="31">
        <f t="shared" si="1"/>
        <v>85.62747641525452</v>
      </c>
      <c r="K39" s="35">
        <v>1.02</v>
      </c>
      <c r="N39" s="41">
        <f>[1]节奏总纲!N39</f>
        <v>46</v>
      </c>
      <c r="O39" s="31">
        <v>36</v>
      </c>
      <c r="P39" s="31">
        <f>[1]节奏总纲!P39</f>
        <v>11.125732532083184</v>
      </c>
      <c r="Q39" s="31">
        <f>[1]节奏总纲!Q39</f>
        <v>9.7261153795471191</v>
      </c>
      <c r="R39" s="31">
        <f>[1]节奏总纲!R39</f>
        <v>8.0405669009365166</v>
      </c>
      <c r="S39" s="31">
        <f>[1]节奏总纲!S39</f>
        <v>5.9700680767158358</v>
      </c>
      <c r="T39" s="31">
        <f>[1]节奏总纲!T39</f>
        <v>3.3388323328781633</v>
      </c>
      <c r="V39" s="31">
        <v>36</v>
      </c>
      <c r="W39" s="31">
        <f>[1]节奏总纲!W39</f>
        <v>0.81202403309842452</v>
      </c>
      <c r="X39" s="31">
        <f>[1]节奏总纲!X39</f>
        <v>0.72121648908352576</v>
      </c>
      <c r="Y39" s="31">
        <f>[1]节奏总纲!Y39</f>
        <v>0.58581839787033285</v>
      </c>
      <c r="Z39" s="31">
        <f>[1]节奏总纲!Z39</f>
        <v>0.42954387106122294</v>
      </c>
      <c r="AA39" s="31">
        <f>[1]节奏总纲!AA39</f>
        <v>0.22821784958436009</v>
      </c>
      <c r="AC39" s="31">
        <v>36</v>
      </c>
      <c r="AD39" s="31">
        <f>[1]节奏总纲!AD39</f>
        <v>52.091594979242075</v>
      </c>
      <c r="AE39" s="31">
        <f>[1]节奏总纲!AE39</f>
        <v>54.020289560649204</v>
      </c>
      <c r="AF39" s="31">
        <f>[1]节奏总纲!AF39</f>
        <v>56.869815618584624</v>
      </c>
      <c r="AG39" s="31">
        <f>[1]节奏总纲!AG39</f>
        <v>61.294362422865476</v>
      </c>
      <c r="AH39" s="31">
        <f>[1]节奏总纲!AH39</f>
        <v>69.795150761037945</v>
      </c>
      <c r="AL39" s="31">
        <v>36</v>
      </c>
      <c r="AM39" s="31">
        <f>[1]节奏总纲!AM39</f>
        <v>73.746861667008318</v>
      </c>
      <c r="AN39" s="31">
        <f>[1]节奏总纲!AN39</f>
        <v>58.997489333606659</v>
      </c>
      <c r="AO39" s="31">
        <f>[1]节奏总纲!AO39</f>
        <v>44.248117000204992</v>
      </c>
      <c r="AP39" s="31">
        <f>[1]节奏总纲!AP39</f>
        <v>29.498744666803329</v>
      </c>
      <c r="AQ39" s="31">
        <f>[1]节奏总纲!AQ39</f>
        <v>14.749372333401665</v>
      </c>
      <c r="AS39" s="31">
        <v>36</v>
      </c>
      <c r="AT39" s="31">
        <f>[1]节奏总纲!AT39</f>
        <v>10.246861667008318</v>
      </c>
      <c r="AU39" s="31">
        <f>[1]节奏总纲!AU39</f>
        <v>8.1974893336066543</v>
      </c>
      <c r="AV39" s="31">
        <f>[1]节奏总纲!AV39</f>
        <v>6.1481170002049907</v>
      </c>
      <c r="AW39" s="31">
        <f>[1]节奏总纲!AW39</f>
        <v>4.0987446668033272</v>
      </c>
      <c r="AX39" s="31">
        <f>[1]节奏总纲!AX39</f>
        <v>2.0493723334016636</v>
      </c>
      <c r="AY39" s="31"/>
      <c r="AZ39" s="31">
        <v>36</v>
      </c>
      <c r="BA39" s="31">
        <f>[1]节奏总纲!BA39</f>
        <v>31.450668101069933</v>
      </c>
      <c r="BB39" s="31">
        <f>[1]节奏总纲!BB39</f>
        <v>32.842201900114915</v>
      </c>
      <c r="BC39" s="31">
        <f>[1]节奏总纲!BC39</f>
        <v>34.627226072894942</v>
      </c>
      <c r="BD39" s="31">
        <f>[1]节奏总纲!BD39</f>
        <v>37.317457773889828</v>
      </c>
      <c r="BE39" s="31">
        <f>[1]节奏总纲!BE39</f>
        <v>41.992566056290244</v>
      </c>
      <c r="BR39" s="31">
        <v>36</v>
      </c>
      <c r="BS39" s="31">
        <f>'[1]功能-城建'!O41</f>
        <v>14</v>
      </c>
      <c r="BT39" s="31">
        <f>'[1]功能-城建'!P41</f>
        <v>14</v>
      </c>
      <c r="BU39" s="31">
        <f>'[1]功能-城建'!Q41</f>
        <v>14</v>
      </c>
      <c r="BV39" s="31">
        <f>'[1]功能-城建'!R41</f>
        <v>14</v>
      </c>
      <c r="BW39" s="31">
        <f t="shared" si="2"/>
        <v>56</v>
      </c>
    </row>
    <row r="40" spans="2:75" x14ac:dyDescent="0.15">
      <c r="F40" s="31">
        <v>38</v>
      </c>
      <c r="G40" s="31">
        <f t="shared" si="0"/>
        <v>12.928809012737984</v>
      </c>
      <c r="I40" s="31">
        <v>38</v>
      </c>
      <c r="J40" s="31">
        <f t="shared" si="1"/>
        <v>99.401036064365428</v>
      </c>
      <c r="K40" s="35">
        <v>1.03</v>
      </c>
      <c r="N40" s="41">
        <f>[1]节奏总纲!N40</f>
        <v>47</v>
      </c>
      <c r="O40" s="31">
        <v>37</v>
      </c>
      <c r="P40" s="31">
        <f>[1]节奏总纲!P40</f>
        <v>11.996038341699768</v>
      </c>
      <c r="Q40" s="31">
        <f>[1]节奏总纲!Q40</f>
        <v>10.483337906811427</v>
      </c>
      <c r="R40" s="31">
        <f>[1]节奏总纲!R40</f>
        <v>8.6671377018780831</v>
      </c>
      <c r="S40" s="31">
        <f>[1]节奏总纲!S40</f>
        <v>6.4166809089752066</v>
      </c>
      <c r="T40" s="31">
        <f>[1]节奏总纲!T40</f>
        <v>3.6000111063441</v>
      </c>
      <c r="V40" s="31">
        <v>37</v>
      </c>
      <c r="W40" s="31">
        <f>[1]节奏总纲!W40</f>
        <v>0.87030580961658366</v>
      </c>
      <c r="X40" s="31">
        <f>[1]节奏总纲!X40</f>
        <v>0.75722252726430739</v>
      </c>
      <c r="Y40" s="31">
        <f>[1]节奏总纲!Y40</f>
        <v>0.62657080094156647</v>
      </c>
      <c r="Z40" s="31">
        <f>[1]节奏总纲!Z40</f>
        <v>0.44661283225937076</v>
      </c>
      <c r="AA40" s="31">
        <f>[1]节奏总纲!AA40</f>
        <v>0.26117877346593676</v>
      </c>
      <c r="AC40" s="31">
        <v>37</v>
      </c>
      <c r="AD40" s="31">
        <f>[1]节奏总纲!AD40</f>
        <v>52.470630686057078</v>
      </c>
      <c r="AE40" s="31">
        <f>[1]节奏总纲!AE40</f>
        <v>54.407116521581436</v>
      </c>
      <c r="AF40" s="31">
        <f>[1]节奏总纲!AF40</f>
        <v>57.263329041432932</v>
      </c>
      <c r="AG40" s="31">
        <f>[1]节奏总纲!AG40</f>
        <v>61.676518787205197</v>
      </c>
      <c r="AH40" s="31">
        <f>[1]节奏总纲!AH40</f>
        <v>70.190427169053478</v>
      </c>
      <c r="AL40" s="31">
        <v>37</v>
      </c>
      <c r="AM40" s="31">
        <f>[1]节奏总纲!AM40</f>
        <v>85.62747641525452</v>
      </c>
      <c r="AN40" s="31">
        <f>[1]节奏总纲!AN40</f>
        <v>68.501981132203625</v>
      </c>
      <c r="AO40" s="31">
        <f>[1]节奏总纲!AO40</f>
        <v>51.376485849152708</v>
      </c>
      <c r="AP40" s="31">
        <f>[1]节奏总纲!AP40</f>
        <v>34.250990566101812</v>
      </c>
      <c r="AQ40" s="31">
        <f>[1]节奏总纲!AQ40</f>
        <v>17.125495283050906</v>
      </c>
      <c r="AS40" s="31">
        <v>37</v>
      </c>
      <c r="AT40" s="31">
        <f>[1]节奏总纲!AT40</f>
        <v>11.880614748246202</v>
      </c>
      <c r="AU40" s="31">
        <f>[1]节奏总纲!AU40</f>
        <v>9.5044917985969661</v>
      </c>
      <c r="AV40" s="31">
        <f>[1]节奏总纲!AV40</f>
        <v>7.1283688489477157</v>
      </c>
      <c r="AW40" s="31">
        <f>[1]节奏总纲!AW40</f>
        <v>4.7522458992984831</v>
      </c>
      <c r="AX40" s="31">
        <f>[1]节奏总纲!AX40</f>
        <v>2.3761229496492415</v>
      </c>
      <c r="AY40" s="31"/>
      <c r="AZ40" s="31">
        <v>37</v>
      </c>
      <c r="BA40" s="31">
        <f>[1]节奏总纲!BA40</f>
        <v>31.621225803361821</v>
      </c>
      <c r="BB40" s="31">
        <f>[1]节奏总纲!BB40</f>
        <v>33.02082518821102</v>
      </c>
      <c r="BC40" s="31">
        <f>[1]节奏总纲!BC40</f>
        <v>34.804737466754489</v>
      </c>
      <c r="BD40" s="31">
        <f>[1]节奏总纲!BD40</f>
        <v>37.498964956033646</v>
      </c>
      <c r="BE40" s="31">
        <f>[1]节奏总纲!BE40</f>
        <v>42.167148737437564</v>
      </c>
      <c r="BR40" s="31">
        <v>37</v>
      </c>
      <c r="BS40" s="31">
        <f>'[1]功能-城建'!O42</f>
        <v>14</v>
      </c>
      <c r="BT40" s="31">
        <f>'[1]功能-城建'!P42</f>
        <v>14</v>
      </c>
      <c r="BU40" s="31">
        <f>'[1]功能-城建'!Q42</f>
        <v>14</v>
      </c>
      <c r="BV40" s="31">
        <f>'[1]功能-城建'!R42</f>
        <v>14</v>
      </c>
      <c r="BW40" s="31">
        <f t="shared" si="2"/>
        <v>56</v>
      </c>
    </row>
    <row r="41" spans="2:75" x14ac:dyDescent="0.15">
      <c r="F41" s="31">
        <v>39</v>
      </c>
      <c r="G41" s="31">
        <f t="shared" si="0"/>
        <v>13.928527864588917</v>
      </c>
      <c r="I41" s="31">
        <v>39</v>
      </c>
      <c r="J41" s="31">
        <f t="shared" si="1"/>
        <v>115.36769098598003</v>
      </c>
      <c r="K41" s="35">
        <v>1.04</v>
      </c>
      <c r="N41" s="41">
        <f>[1]节奏总纲!N41</f>
        <v>48</v>
      </c>
      <c r="O41" s="31">
        <v>38</v>
      </c>
      <c r="P41" s="31">
        <f>[1]节奏总纲!P41</f>
        <v>12.928809012737984</v>
      </c>
      <c r="Q41" s="31">
        <f>[1]节奏总纲!Q41</f>
        <v>11.292021791725356</v>
      </c>
      <c r="R41" s="31">
        <f>[1]节奏总纲!R41</f>
        <v>9.3190855363815395</v>
      </c>
      <c r="S41" s="31">
        <f>[1]节奏总纲!S41</f>
        <v>6.8962267273944402</v>
      </c>
      <c r="T41" s="31">
        <f>[1]节奏总纲!T41</f>
        <v>3.8708854184137524</v>
      </c>
      <c r="V41" s="31">
        <v>38</v>
      </c>
      <c r="W41" s="31">
        <f>[1]节奏总纲!W41</f>
        <v>0.93277067103821665</v>
      </c>
      <c r="X41" s="31">
        <f>[1]节奏总纲!X41</f>
        <v>0.80868388491392906</v>
      </c>
      <c r="Y41" s="31">
        <f>[1]节奏总纲!Y41</f>
        <v>0.65194783450345639</v>
      </c>
      <c r="Z41" s="31">
        <f>[1]节奏总纲!Z41</f>
        <v>0.4795458184192336</v>
      </c>
      <c r="AA41" s="31">
        <f>[1]节奏总纲!AA41</f>
        <v>0.2708743120696524</v>
      </c>
      <c r="AC41" s="31">
        <v>38</v>
      </c>
      <c r="AD41" s="31">
        <f>[1]节奏总纲!AD41</f>
        <v>52.849666392872081</v>
      </c>
      <c r="AE41" s="31">
        <f>[1]节奏总纲!AE41</f>
        <v>54.793943482513676</v>
      </c>
      <c r="AF41" s="31">
        <f>[1]节奏总纲!AF41</f>
        <v>57.64832002380362</v>
      </c>
      <c r="AG41" s="31">
        <f>[1]节奏总纲!AG41</f>
        <v>62.054222259937362</v>
      </c>
      <c r="AH41" s="31">
        <f>[1]节奏总纲!AH41</f>
        <v>70.571129226337533</v>
      </c>
      <c r="AL41" s="31">
        <v>38</v>
      </c>
      <c r="AM41" s="31">
        <f>[1]节奏总纲!AM41</f>
        <v>99.401036064365428</v>
      </c>
      <c r="AN41" s="31">
        <f>[1]节奏总纲!AN41</f>
        <v>79.520828851492354</v>
      </c>
      <c r="AO41" s="31">
        <f>[1]节奏总纲!AO41</f>
        <v>59.640621638619251</v>
      </c>
      <c r="AP41" s="31">
        <f>[1]节奏总纲!AP41</f>
        <v>39.760414425746177</v>
      </c>
      <c r="AQ41" s="31">
        <f>[1]节奏总纲!AQ41</f>
        <v>19.880207212873088</v>
      </c>
      <c r="AS41" s="31">
        <v>38</v>
      </c>
      <c r="AT41" s="31">
        <f>[1]节奏总纲!AT41</f>
        <v>13.773559649110908</v>
      </c>
      <c r="AU41" s="31">
        <f>[1]节奏总纲!AU41</f>
        <v>11.018847719288729</v>
      </c>
      <c r="AV41" s="31">
        <f>[1]节奏总纲!AV41</f>
        <v>8.2641357894665433</v>
      </c>
      <c r="AW41" s="31">
        <f>[1]节奏总纲!AW41</f>
        <v>5.5094238596443645</v>
      </c>
      <c r="AX41" s="31">
        <f>[1]节奏总纲!AX41</f>
        <v>2.7547119298221823</v>
      </c>
      <c r="AY41" s="31"/>
      <c r="AZ41" s="31">
        <v>38</v>
      </c>
      <c r="BA41" s="31">
        <f>[1]节奏总纲!BA41</f>
        <v>31.791783505653711</v>
      </c>
      <c r="BB41" s="31">
        <f>[1]节奏总纲!BB41</f>
        <v>33.176527924103851</v>
      </c>
      <c r="BC41" s="31">
        <f>[1]节奏总纲!BC41</f>
        <v>34.982248860614042</v>
      </c>
      <c r="BD41" s="31">
        <f>[1]节奏总纲!BD41</f>
        <v>37.680472138177471</v>
      </c>
      <c r="BE41" s="31">
        <f>[1]节奏总纲!BE41</f>
        <v>42.340712512072891</v>
      </c>
      <c r="BR41" s="31">
        <v>38</v>
      </c>
      <c r="BS41" s="31">
        <f>'[1]功能-城建'!O43</f>
        <v>15</v>
      </c>
      <c r="BT41" s="31">
        <f>'[1]功能-城建'!P43</f>
        <v>15</v>
      </c>
      <c r="BU41" s="31">
        <f>'[1]功能-城建'!Q43</f>
        <v>15</v>
      </c>
      <c r="BV41" s="31">
        <f>'[1]功能-城建'!R43</f>
        <v>15</v>
      </c>
      <c r="BW41" s="31">
        <f t="shared" si="2"/>
        <v>60</v>
      </c>
    </row>
    <row r="42" spans="2:75" x14ac:dyDescent="0.15">
      <c r="F42" s="31">
        <v>40</v>
      </c>
      <c r="G42" s="31">
        <f t="shared" si="0"/>
        <v>15</v>
      </c>
      <c r="I42" s="31">
        <v>40</v>
      </c>
      <c r="J42" s="31">
        <f t="shared" si="1"/>
        <v>133.875</v>
      </c>
      <c r="K42" s="35">
        <v>1.05</v>
      </c>
      <c r="N42" s="41">
        <f>[1]节奏总纲!N42</f>
        <v>49</v>
      </c>
      <c r="O42" s="31">
        <v>39</v>
      </c>
      <c r="P42" s="31">
        <f>[1]节奏总纲!P42</f>
        <v>13.928527864588917</v>
      </c>
      <c r="Q42" s="31">
        <f>[1]节奏总纲!Q42</f>
        <v>12.147069150707994</v>
      </c>
      <c r="R42" s="31">
        <f>[1]节奏总纲!R42</f>
        <v>10.016004387425889</v>
      </c>
      <c r="S42" s="31">
        <f>[1]节奏总纲!S42</f>
        <v>7.4197267934665154</v>
      </c>
      <c r="T42" s="31">
        <f>[1]节奏总纲!T42</f>
        <v>4.1702012426579218</v>
      </c>
      <c r="V42" s="31">
        <v>39</v>
      </c>
      <c r="W42" s="31">
        <f>[1]节奏总纲!W42</f>
        <v>0.99971885185093257</v>
      </c>
      <c r="X42" s="31">
        <f>[1]节奏总纲!X42</f>
        <v>0.85504735898263817</v>
      </c>
      <c r="Y42" s="31">
        <f>[1]节奏总纲!Y42</f>
        <v>0.69691885104434981</v>
      </c>
      <c r="Z42" s="31">
        <f>[1]节奏总纲!Z42</f>
        <v>0.52350006607207522</v>
      </c>
      <c r="AA42" s="31">
        <f>[1]节奏总纲!AA42</f>
        <v>0.29931582424416936</v>
      </c>
      <c r="AC42" s="31">
        <v>39</v>
      </c>
      <c r="AD42" s="31">
        <f>[1]节奏总纲!AD42</f>
        <v>53.213386604241784</v>
      </c>
      <c r="AE42" s="31">
        <f>[1]节奏总纲!AE42</f>
        <v>55.170390866416149</v>
      </c>
      <c r="AF42" s="31">
        <f>[1]节奏总纲!AF42</f>
        <v>58.030740707238266</v>
      </c>
      <c r="AG42" s="31">
        <f>[1]节奏总纲!AG42</f>
        <v>62.407376554018477</v>
      </c>
      <c r="AH42" s="31">
        <f>[1]节奏总纲!AH42</f>
        <v>70.951831283621587</v>
      </c>
      <c r="AL42" s="31">
        <v>39</v>
      </c>
      <c r="AM42" s="31">
        <f>[1]节奏总纲!AM42</f>
        <v>115.36769098598003</v>
      </c>
      <c r="AN42" s="31">
        <f>[1]节奏总纲!AN42</f>
        <v>92.294152788784032</v>
      </c>
      <c r="AO42" s="31">
        <f>[1]节奏总纲!AO42</f>
        <v>69.220614591588017</v>
      </c>
      <c r="AP42" s="31">
        <f>[1]节奏总纲!AP42</f>
        <v>46.147076394392016</v>
      </c>
      <c r="AQ42" s="31">
        <f>[1]节奏总纲!AQ42</f>
        <v>23.073538197196008</v>
      </c>
      <c r="AS42" s="31">
        <v>39</v>
      </c>
      <c r="AT42" s="31">
        <f>[1]节奏总纲!AT42</f>
        <v>15.966654921614605</v>
      </c>
      <c r="AU42" s="31">
        <f>[1]节奏总纲!AU42</f>
        <v>12.773323937291678</v>
      </c>
      <c r="AV42" s="31">
        <f>[1]节奏总纲!AV42</f>
        <v>9.579992952968766</v>
      </c>
      <c r="AW42" s="31">
        <f>[1]节奏总纲!AW42</f>
        <v>6.3866619686458392</v>
      </c>
      <c r="AX42" s="31">
        <f>[1]节奏总纲!AX42</f>
        <v>3.1933309843229196</v>
      </c>
      <c r="AY42" s="31"/>
      <c r="AZ42" s="31">
        <v>39</v>
      </c>
      <c r="BA42" s="31">
        <f>[1]节奏总纲!BA42</f>
        <v>31.962341207945599</v>
      </c>
      <c r="BB42" s="31">
        <f>[1]节奏总纲!BB42</f>
        <v>33.332230659996682</v>
      </c>
      <c r="BC42" s="31">
        <f>[1]节奏总纲!BC42</f>
        <v>35.146386283795508</v>
      </c>
      <c r="BD42" s="31">
        <f>[1]节奏总纲!BD42</f>
        <v>37.861979320321296</v>
      </c>
      <c r="BE42" s="31">
        <f>[1]节奏总纲!BE42</f>
        <v>42.51427628670821</v>
      </c>
      <c r="BR42" s="31">
        <v>39</v>
      </c>
      <c r="BS42" s="31">
        <f>'[1]功能-城建'!O44</f>
        <v>15</v>
      </c>
      <c r="BT42" s="31">
        <f>'[1]功能-城建'!P44</f>
        <v>15</v>
      </c>
      <c r="BU42" s="31">
        <f>'[1]功能-城建'!Q44</f>
        <v>15</v>
      </c>
      <c r="BV42" s="31">
        <f>'[1]功能-城建'!R44</f>
        <v>15</v>
      </c>
      <c r="BW42" s="31">
        <f t="shared" si="2"/>
        <v>60</v>
      </c>
    </row>
    <row r="43" spans="2:75" x14ac:dyDescent="0.15">
      <c r="F43" s="31">
        <v>41</v>
      </c>
      <c r="G43" s="31">
        <f t="shared" si="0"/>
        <v>16.148375400580683</v>
      </c>
      <c r="I43" s="31">
        <v>41</v>
      </c>
      <c r="J43" s="31">
        <f t="shared" si="1"/>
        <v>155.32539280599755</v>
      </c>
      <c r="K43" s="35">
        <v>1.06</v>
      </c>
      <c r="N43" s="41">
        <f>[1]节奏总纲!N43</f>
        <v>50</v>
      </c>
      <c r="O43" s="31">
        <v>40</v>
      </c>
      <c r="P43" s="31">
        <f>[1]节奏总纲!P43</f>
        <v>15</v>
      </c>
      <c r="Q43" s="31">
        <f>[1]节奏总纲!Q43</f>
        <v>13.059000000000001</v>
      </c>
      <c r="R43" s="31">
        <f>[1]节奏总纲!R43</f>
        <v>10.782</v>
      </c>
      <c r="S43" s="31">
        <f>[1]节奏总纲!S43</f>
        <v>8.0009999999999994</v>
      </c>
      <c r="T43" s="31">
        <f>[1]节奏总纲!T43</f>
        <v>4.5</v>
      </c>
      <c r="V43" s="31">
        <v>40</v>
      </c>
      <c r="W43" s="31">
        <f>[1]节奏总纲!W43</f>
        <v>1.0714721354110832</v>
      </c>
      <c r="X43" s="31">
        <f>[1]节奏总纲!X43</f>
        <v>0.9119308492920073</v>
      </c>
      <c r="Y43" s="31">
        <f>[1]节奏总纲!Y43</f>
        <v>0.76599561257411075</v>
      </c>
      <c r="Z43" s="31">
        <f>[1]节奏总纲!Z43</f>
        <v>0.58127320653348402</v>
      </c>
      <c r="AA43" s="31">
        <f>[1]节奏总纲!AA43</f>
        <v>0.3297987573420782</v>
      </c>
      <c r="AC43" s="31">
        <v>40</v>
      </c>
      <c r="AD43" s="31">
        <f>[1]节奏总纲!AD43</f>
        <v>53.567039423670657</v>
      </c>
      <c r="AE43" s="31">
        <f>[1]节奏总纲!AE43</f>
        <v>55.535006783542492</v>
      </c>
      <c r="AF43" s="31">
        <f>[1]节奏总纲!AF43</f>
        <v>58.38602553461638</v>
      </c>
      <c r="AG43" s="31">
        <f>[1]节奏总纲!AG43</f>
        <v>62.760530848099599</v>
      </c>
      <c r="AH43" s="31">
        <f>[1]节奏总纲!AH43</f>
        <v>71.315281959371688</v>
      </c>
      <c r="AL43" s="31">
        <v>40</v>
      </c>
      <c r="AM43" s="31">
        <f>[1]节奏总纲!AM43</f>
        <v>133.875</v>
      </c>
      <c r="AN43" s="31">
        <f>[1]节奏总纲!AN43</f>
        <v>107.10000000000001</v>
      </c>
      <c r="AO43" s="31">
        <f>[1]节奏总纲!AO43</f>
        <v>80.325000000000003</v>
      </c>
      <c r="AP43" s="31">
        <f>[1]节奏总纲!AP43</f>
        <v>53.550000000000004</v>
      </c>
      <c r="AQ43" s="31">
        <f>[1]节奏总纲!AQ43</f>
        <v>26.775000000000002</v>
      </c>
      <c r="AS43" s="31">
        <v>40</v>
      </c>
      <c r="AT43" s="31">
        <f>[1]节奏总纲!AT43</f>
        <v>18.507309014019967</v>
      </c>
      <c r="AU43" s="31">
        <f>[1]节奏总纲!AU43</f>
        <v>14.805847211215976</v>
      </c>
      <c r="AV43" s="31">
        <f>[1]节奏总纲!AV43</f>
        <v>11.104385408411986</v>
      </c>
      <c r="AW43" s="31">
        <f>[1]节奏总纲!AW43</f>
        <v>7.4029236056079881</v>
      </c>
      <c r="AX43" s="31">
        <f>[1]节奏总纲!AX43</f>
        <v>3.7014618028039941</v>
      </c>
      <c r="AY43" s="31"/>
      <c r="AZ43" s="31">
        <v>40</v>
      </c>
      <c r="BA43" s="31">
        <f>[1]节奏总纲!BA43</f>
        <v>32.113552950216736</v>
      </c>
      <c r="BB43" s="31">
        <f>[1]节奏总纲!BB43</f>
        <v>33.487933395889513</v>
      </c>
      <c r="BC43" s="31">
        <f>[1]节奏总纲!BC43</f>
        <v>35.309037710234961</v>
      </c>
      <c r="BD43" s="31">
        <f>[1]节奏总纲!BD43</f>
        <v>38.037513426486328</v>
      </c>
      <c r="BE43" s="31">
        <f>[1]节奏总纲!BE43</f>
        <v>42.687840061343536</v>
      </c>
      <c r="BR43" s="31">
        <v>40</v>
      </c>
      <c r="BS43" s="31">
        <f>'[1]功能-城建'!O45</f>
        <v>15</v>
      </c>
      <c r="BT43" s="31">
        <f>'[1]功能-城建'!P45</f>
        <v>15</v>
      </c>
      <c r="BU43" s="31">
        <f>'[1]功能-城建'!Q45</f>
        <v>15</v>
      </c>
      <c r="BV43" s="31">
        <f>'[1]功能-城建'!R45</f>
        <v>15</v>
      </c>
      <c r="BW43" s="31">
        <f t="shared" si="2"/>
        <v>60</v>
      </c>
    </row>
    <row r="44" spans="2:75" x14ac:dyDescent="0.15">
      <c r="F44" s="31">
        <v>42</v>
      </c>
      <c r="G44" s="31">
        <f t="shared" si="0"/>
        <v>17.379173679952558</v>
      </c>
      <c r="I44" s="31">
        <v>42</v>
      </c>
      <c r="J44" s="31">
        <f t="shared" si="1"/>
        <v>180.18480345945557</v>
      </c>
      <c r="K44" s="35">
        <v>1.07</v>
      </c>
      <c r="N44" s="41">
        <f>[1]节奏总纲!N44</f>
        <v>51</v>
      </c>
      <c r="O44" s="31">
        <v>41</v>
      </c>
      <c r="P44" s="31">
        <f>[1]节奏总纲!P44</f>
        <v>16.148375400580683</v>
      </c>
      <c r="Q44" s="31">
        <f>[1]节奏总纲!Q44</f>
        <v>14.065234973905774</v>
      </c>
      <c r="R44" s="31">
        <f>[1]节奏总纲!R44</f>
        <v>11.621985775797917</v>
      </c>
      <c r="S44" s="31">
        <f>[1]节奏总纲!S44</f>
        <v>8.6296918140703163</v>
      </c>
      <c r="T44" s="31">
        <f>[1]节奏总纲!T44</f>
        <v>4.8606609955747855</v>
      </c>
      <c r="V44" s="31">
        <v>41</v>
      </c>
      <c r="W44" s="31">
        <f>[1]节奏总纲!W44</f>
        <v>1.148375400580683</v>
      </c>
      <c r="X44" s="31">
        <f>[1]节奏总纲!X44</f>
        <v>1.006234973905773</v>
      </c>
      <c r="Y44" s="31">
        <f>[1]节奏总纲!Y44</f>
        <v>0.839985775797917</v>
      </c>
      <c r="Z44" s="31">
        <f>[1]节奏总纲!Z44</f>
        <v>0.62869181407031682</v>
      </c>
      <c r="AA44" s="31">
        <f>[1]节奏总纲!AA44</f>
        <v>0.36066099557478548</v>
      </c>
      <c r="AC44" s="31">
        <v>41</v>
      </c>
      <c r="AD44" s="31">
        <f>[1]节奏总纲!AD44</f>
        <v>53.920692243099523</v>
      </c>
      <c r="AE44" s="31">
        <f>[1]节奏总纲!AE44</f>
        <v>55.899622700668843</v>
      </c>
      <c r="AF44" s="31">
        <f>[1]节奏总纲!AF44</f>
        <v>58.741310361994486</v>
      </c>
      <c r="AG44" s="31">
        <f>[1]节奏总纲!AG44</f>
        <v>63.10587219844583</v>
      </c>
      <c r="AH44" s="31">
        <f>[1]节奏总纲!AH44</f>
        <v>71.676233707038421</v>
      </c>
      <c r="AL44" s="31">
        <v>41</v>
      </c>
      <c r="AM44" s="31">
        <f>[1]节奏总纲!AM44</f>
        <v>155.32539280599755</v>
      </c>
      <c r="AN44" s="31">
        <f>[1]节奏总纲!AN44</f>
        <v>124.26031424479805</v>
      </c>
      <c r="AO44" s="31">
        <f>[1]节奏总纲!AO44</f>
        <v>93.195235683598526</v>
      </c>
      <c r="AP44" s="31">
        <f>[1]节奏总纲!AP44</f>
        <v>62.130157122399027</v>
      </c>
      <c r="AQ44" s="31">
        <f>[1]节奏总纲!AQ44</f>
        <v>31.065078561199513</v>
      </c>
      <c r="AS44" s="31">
        <v>41</v>
      </c>
      <c r="AT44" s="31">
        <f>[1]节奏总纲!AT44</f>
        <v>21.450392805997552</v>
      </c>
      <c r="AU44" s="31">
        <f>[1]节奏总纲!AU44</f>
        <v>17.160314244798045</v>
      </c>
      <c r="AV44" s="31">
        <f>[1]节奏总纲!AV44</f>
        <v>12.870235683598523</v>
      </c>
      <c r="AW44" s="31">
        <f>[1]节奏总纲!AW44</f>
        <v>8.5801571223990223</v>
      </c>
      <c r="AX44" s="31">
        <f>[1]节奏总纲!AX44</f>
        <v>4.2900785611995111</v>
      </c>
      <c r="AY44" s="31"/>
      <c r="AZ44" s="31">
        <v>41</v>
      </c>
      <c r="BA44" s="31">
        <f>[1]节奏总纲!BA44</f>
        <v>32.259282740196369</v>
      </c>
      <c r="BB44" s="31">
        <f>[1]节奏总纲!BB44</f>
        <v>33.643636131782344</v>
      </c>
      <c r="BC44" s="31">
        <f>[1]节奏总纲!BC44</f>
        <v>35.471689136674414</v>
      </c>
      <c r="BD44" s="31">
        <f>[1]节奏总纲!BD44</f>
        <v>38.194089742081125</v>
      </c>
      <c r="BE44" s="31">
        <f>[1]节奏总纲!BE44</f>
        <v>42.861403835978855</v>
      </c>
      <c r="BR44" s="31">
        <v>41</v>
      </c>
      <c r="BS44" s="31">
        <f>'[1]功能-城建'!O46</f>
        <v>16</v>
      </c>
      <c r="BT44" s="31">
        <f>'[1]功能-城建'!P46</f>
        <v>16</v>
      </c>
      <c r="BU44" s="31">
        <f>'[1]功能-城建'!Q46</f>
        <v>16</v>
      </c>
      <c r="BV44" s="31">
        <f>'[1]功能-城建'!R46</f>
        <v>16</v>
      </c>
      <c r="BW44" s="31">
        <f t="shared" si="2"/>
        <v>64</v>
      </c>
    </row>
    <row r="45" spans="2:75" x14ac:dyDescent="0.15">
      <c r="F45" s="31">
        <v>43</v>
      </c>
      <c r="G45" s="31">
        <f t="shared" si="0"/>
        <v>18.698310613518661</v>
      </c>
      <c r="I45" s="31">
        <v>43</v>
      </c>
      <c r="J45" s="31">
        <f t="shared" si="1"/>
        <v>208.99265815439742</v>
      </c>
      <c r="K45" s="35">
        <v>1.08</v>
      </c>
      <c r="N45" s="41">
        <f>[1]节奏总纲!N45</f>
        <v>52</v>
      </c>
      <c r="O45" s="31">
        <v>42</v>
      </c>
      <c r="P45" s="31">
        <f>[1]节奏总纲!P45</f>
        <v>17.379173679952558</v>
      </c>
      <c r="Q45" s="31">
        <f>[1]节奏总纲!Q45</f>
        <v>15.182446126806555</v>
      </c>
      <c r="R45" s="31">
        <f>[1]节奏总纲!R45</f>
        <v>12.547763396925747</v>
      </c>
      <c r="S45" s="31">
        <f>[1]节奏总纲!S45</f>
        <v>9.3221887619265527</v>
      </c>
      <c r="T45" s="31">
        <f>[1]节奏总纲!T45</f>
        <v>5.2485104513456724</v>
      </c>
      <c r="V45" s="31">
        <v>42</v>
      </c>
      <c r="W45" s="31">
        <f>[1]节奏总纲!W45</f>
        <v>1.230798279371875</v>
      </c>
      <c r="X45" s="31">
        <f>[1]节奏总纲!X45</f>
        <v>1.1172111529007811</v>
      </c>
      <c r="Y45" s="31">
        <f>[1]节奏总纲!Y45</f>
        <v>0.92577762112783013</v>
      </c>
      <c r="Z45" s="31">
        <f>[1]节奏总纲!Z45</f>
        <v>0.69249694785623639</v>
      </c>
      <c r="AA45" s="31">
        <f>[1]节奏总纲!AA45</f>
        <v>0.38784945577088692</v>
      </c>
      <c r="AC45" s="31">
        <v>42</v>
      </c>
      <c r="AD45" s="31">
        <f>[1]节奏总纲!AD45</f>
        <v>54.255972994404218</v>
      </c>
      <c r="AE45" s="31">
        <f>[1]节奏总纲!AE45</f>
        <v>56.238779717153008</v>
      </c>
      <c r="AF45" s="31">
        <f>[1]节奏总纲!AF45</f>
        <v>59.09095196730258</v>
      </c>
      <c r="AG45" s="31">
        <f>[1]节奏总纲!AG45</f>
        <v>63.434756173851497</v>
      </c>
      <c r="AH45" s="31">
        <f>[1]节奏总纲!AH45</f>
        <v>72.034562459436771</v>
      </c>
      <c r="AL45" s="31">
        <v>42</v>
      </c>
      <c r="AM45" s="31">
        <f>[1]节奏总纲!AM45</f>
        <v>180.18480345945557</v>
      </c>
      <c r="AN45" s="31">
        <f>[1]节奏总纲!AN45</f>
        <v>144.14784276756447</v>
      </c>
      <c r="AO45" s="31">
        <f>[1]节奏总纲!AO45</f>
        <v>108.11088207567333</v>
      </c>
      <c r="AP45" s="31">
        <f>[1]节奏总纲!AP45</f>
        <v>72.073921383782235</v>
      </c>
      <c r="AQ45" s="31">
        <f>[1]节奏总纲!AQ45</f>
        <v>36.036960691891117</v>
      </c>
      <c r="AS45" s="31">
        <v>42</v>
      </c>
      <c r="AT45" s="31">
        <f>[1]节奏总纲!AT45</f>
        <v>24.859410653458013</v>
      </c>
      <c r="AU45" s="31">
        <f>[1]节奏总纲!AU45</f>
        <v>19.887528522766416</v>
      </c>
      <c r="AV45" s="31">
        <f>[1]节奏总纲!AV45</f>
        <v>14.915646392074805</v>
      </c>
      <c r="AW45" s="31">
        <f>[1]节奏总纲!AW45</f>
        <v>9.9437642613832082</v>
      </c>
      <c r="AX45" s="31">
        <f>[1]节奏总纲!AX45</f>
        <v>4.9718821306916041</v>
      </c>
      <c r="AY45" s="31"/>
      <c r="AZ45" s="31">
        <v>42</v>
      </c>
      <c r="BA45" s="31">
        <f>[1]节奏总纲!BA45</f>
        <v>32.405012530176009</v>
      </c>
      <c r="BB45" s="31">
        <f>[1]节奏总纲!BB45</f>
        <v>33.799338867675175</v>
      </c>
      <c r="BC45" s="31">
        <f>[1]节奏总纲!BC45</f>
        <v>35.634340563113874</v>
      </c>
      <c r="BD45" s="31">
        <f>[1]节奏总纲!BD45</f>
        <v>38.35066605767593</v>
      </c>
      <c r="BE45" s="31">
        <f>[1]节奏总纲!BE45</f>
        <v>43.030177309109042</v>
      </c>
      <c r="BR45" s="31">
        <v>42</v>
      </c>
      <c r="BS45" s="31">
        <f>'[1]功能-城建'!O47</f>
        <v>17</v>
      </c>
      <c r="BT45" s="31">
        <f>'[1]功能-城建'!P47</f>
        <v>17</v>
      </c>
      <c r="BU45" s="31">
        <f>'[1]功能-城建'!Q47</f>
        <v>17</v>
      </c>
      <c r="BV45" s="31">
        <f>'[1]功能-城建'!R47</f>
        <v>17</v>
      </c>
      <c r="BW45" s="31">
        <f t="shared" si="2"/>
        <v>68</v>
      </c>
    </row>
    <row r="46" spans="2:75" x14ac:dyDescent="0.15">
      <c r="F46" s="31">
        <v>44</v>
      </c>
      <c r="G46" s="31">
        <f t="shared" si="0"/>
        <v>20.112126572366307</v>
      </c>
      <c r="I46" s="31">
        <v>44</v>
      </c>
      <c r="J46" s="31">
        <f t="shared" si="1"/>
        <v>242.37342918215046</v>
      </c>
      <c r="K46" s="35">
        <v>1.0900000000000001</v>
      </c>
      <c r="N46" s="41">
        <f>[1]节奏总纲!N46</f>
        <v>53</v>
      </c>
      <c r="O46" s="31">
        <v>43</v>
      </c>
      <c r="P46" s="31">
        <f>[1]节奏总纲!P46</f>
        <v>18.698310613518661</v>
      </c>
      <c r="Q46" s="31">
        <f>[1]节奏总纲!Q46</f>
        <v>16.338583814092605</v>
      </c>
      <c r="R46" s="31">
        <f>[1]节奏总纲!R46</f>
        <v>13.509529418267233</v>
      </c>
      <c r="S46" s="31">
        <f>[1]节奏总纲!S46</f>
        <v>10.020424657784652</v>
      </c>
      <c r="T46" s="31">
        <f>[1]节奏总纲!T46</f>
        <v>5.6394104810372276</v>
      </c>
      <c r="V46" s="31">
        <v>43</v>
      </c>
      <c r="W46" s="31">
        <f>[1]节奏总纲!W46</f>
        <v>1.319136933566103</v>
      </c>
      <c r="X46" s="31">
        <f>[1]节奏总纲!X46</f>
        <v>1.1561376872860496</v>
      </c>
      <c r="Y46" s="31">
        <f>[1]节奏总纲!Y46</f>
        <v>0.96176602134148581</v>
      </c>
      <c r="Z46" s="31">
        <f>[1]节奏总纲!Z46</f>
        <v>0.6982358958580992</v>
      </c>
      <c r="AA46" s="31">
        <f>[1]节奏总纲!AA46</f>
        <v>0.39090002969155524</v>
      </c>
      <c r="AC46" s="31">
        <v>43</v>
      </c>
      <c r="AD46" s="31">
        <f>[1]节奏总纲!AD46</f>
        <v>54.585942742481357</v>
      </c>
      <c r="AE46" s="31">
        <f>[1]节奏总纲!AE46</f>
        <v>56.568265567054013</v>
      </c>
      <c r="AF46" s="31">
        <f>[1]节奏总纲!AF46</f>
        <v>59.425480572843689</v>
      </c>
      <c r="AG46" s="31">
        <f>[1]节奏总纲!AG46</f>
        <v>63.763640149257171</v>
      </c>
      <c r="AH46" s="31">
        <f>[1]节奏总纲!AH46</f>
        <v>72.370053318329937</v>
      </c>
      <c r="AL46" s="31">
        <v>43</v>
      </c>
      <c r="AM46" s="31">
        <f>[1]节奏总纲!AM46</f>
        <v>208.99265815439742</v>
      </c>
      <c r="AN46" s="31">
        <f>[1]节奏总纲!AN46</f>
        <v>167.19412652351795</v>
      </c>
      <c r="AO46" s="31">
        <f>[1]节奏总纲!AO46</f>
        <v>125.39559489263844</v>
      </c>
      <c r="AP46" s="31">
        <f>[1]节奏总纲!AP46</f>
        <v>83.597063261758976</v>
      </c>
      <c r="AQ46" s="31">
        <f>[1]节奏总纲!AQ46</f>
        <v>41.798531630879488</v>
      </c>
      <c r="AS46" s="31">
        <v>43</v>
      </c>
      <c r="AT46" s="31">
        <f>[1]节奏总纲!AT46</f>
        <v>28.807854694941852</v>
      </c>
      <c r="AU46" s="31">
        <f>[1]节奏总纲!AU46</f>
        <v>23.046283755953482</v>
      </c>
      <c r="AV46" s="31">
        <f>[1]节奏总纲!AV46</f>
        <v>17.284712816965111</v>
      </c>
      <c r="AW46" s="31">
        <f>[1]节奏总纲!AW46</f>
        <v>11.523141877976741</v>
      </c>
      <c r="AX46" s="31">
        <f>[1]节奏总纲!AX46</f>
        <v>5.7615709389883705</v>
      </c>
      <c r="AY46" s="31"/>
      <c r="AZ46" s="31">
        <v>43</v>
      </c>
      <c r="BA46" s="31">
        <f>[1]节奏总纲!BA46</f>
        <v>32.550742320155642</v>
      </c>
      <c r="BB46" s="31">
        <f>[1]节奏总纲!BB46</f>
        <v>33.955041603568006</v>
      </c>
      <c r="BC46" s="31">
        <f>[1]节奏总纲!BC46</f>
        <v>35.796991989553327</v>
      </c>
      <c r="BD46" s="31">
        <f>[1]节奏总纲!BD46</f>
        <v>38.507242373270728</v>
      </c>
      <c r="BE46" s="31">
        <f>[1]节奏总纲!BE46</f>
        <v>43.179964142847631</v>
      </c>
      <c r="BR46" s="31">
        <v>43</v>
      </c>
      <c r="BS46" s="31">
        <f>'[1]功能-城建'!O48</f>
        <v>17</v>
      </c>
      <c r="BT46" s="31">
        <f>'[1]功能-城建'!P48</f>
        <v>17</v>
      </c>
      <c r="BU46" s="31">
        <f>'[1]功能-城建'!Q48</f>
        <v>17</v>
      </c>
      <c r="BV46" s="31">
        <f>'[1]功能-城建'!R48</f>
        <v>17</v>
      </c>
      <c r="BW46" s="31">
        <f t="shared" si="2"/>
        <v>68</v>
      </c>
    </row>
    <row r="47" spans="2:75" x14ac:dyDescent="0.15">
      <c r="F47" s="31">
        <v>45</v>
      </c>
      <c r="G47" s="31">
        <f t="shared" si="0"/>
        <v>21.627416997969519</v>
      </c>
      <c r="I47" s="31">
        <v>45</v>
      </c>
      <c r="J47" s="31">
        <f t="shared" si="1"/>
        <v>281.05</v>
      </c>
      <c r="K47" s="35">
        <v>1.1000000000000001</v>
      </c>
      <c r="N47" s="41">
        <f>[1]节奏总纲!N47</f>
        <v>54</v>
      </c>
      <c r="O47" s="31">
        <v>44</v>
      </c>
      <c r="P47" s="31">
        <f>[1]节奏总纲!P47</f>
        <v>20.112126572366307</v>
      </c>
      <c r="Q47" s="31">
        <f>[1]节奏总纲!Q47</f>
        <v>17.573976198933678</v>
      </c>
      <c r="R47" s="31">
        <f>[1]节奏总纲!R47</f>
        <v>14.520955385248474</v>
      </c>
      <c r="S47" s="31">
        <f>[1]节奏总纲!S47</f>
        <v>10.768032566844921</v>
      </c>
      <c r="T47" s="31">
        <f>[1]节奏总纲!T47</f>
        <v>6.0537500982822579</v>
      </c>
      <c r="V47" s="31">
        <v>44</v>
      </c>
      <c r="W47" s="31">
        <f>[1]节奏总纲!W47</f>
        <v>1.4138159588476462</v>
      </c>
      <c r="X47" s="31">
        <f>[1]节奏总纲!X47</f>
        <v>1.2353923848410737</v>
      </c>
      <c r="Y47" s="31">
        <f>[1]节奏总纲!Y47</f>
        <v>1.0114259669812409</v>
      </c>
      <c r="Z47" s="31">
        <f>[1]节奏总纲!Z47</f>
        <v>0.74760790906026919</v>
      </c>
      <c r="AA47" s="31">
        <f>[1]节奏总纲!AA47</f>
        <v>0.41433961724503021</v>
      </c>
      <c r="AC47" s="31">
        <v>44</v>
      </c>
      <c r="AD47" s="31">
        <f>[1]节奏总纲!AD47</f>
        <v>54.915912490558505</v>
      </c>
      <c r="AE47" s="31">
        <f>[1]节奏总纲!AE47</f>
        <v>56.897751416955018</v>
      </c>
      <c r="AF47" s="31">
        <f>[1]节奏总纲!AF47</f>
        <v>59.760009178384806</v>
      </c>
      <c r="AG47" s="31">
        <f>[1]节奏总纲!AG47</f>
        <v>64.08760696397195</v>
      </c>
      <c r="AH47" s="31">
        <f>[1]节奏总纲!AH47</f>
        <v>72.705544177223089</v>
      </c>
      <c r="AL47" s="31">
        <v>44</v>
      </c>
      <c r="AM47" s="31">
        <f>[1]节奏总纲!AM47</f>
        <v>242.37342918215046</v>
      </c>
      <c r="AN47" s="31">
        <f>[1]节奏总纲!AN47</f>
        <v>193.89874334572039</v>
      </c>
      <c r="AO47" s="31">
        <f>[1]节奏总纲!AO47</f>
        <v>145.42405750929026</v>
      </c>
      <c r="AP47" s="31">
        <f>[1]节奏总纲!AP47</f>
        <v>96.949371672860195</v>
      </c>
      <c r="AQ47" s="31">
        <f>[1]节奏总纲!AQ47</f>
        <v>48.474685836430098</v>
      </c>
      <c r="AS47" s="31">
        <v>44</v>
      </c>
      <c r="AT47" s="31">
        <f>[1]节奏总纲!AT47</f>
        <v>33.380771027753042</v>
      </c>
      <c r="AU47" s="31">
        <f>[1]节奏总纲!AU47</f>
        <v>26.704616822202439</v>
      </c>
      <c r="AV47" s="31">
        <f>[1]节奏总纲!AV47</f>
        <v>20.028462616651822</v>
      </c>
      <c r="AW47" s="31">
        <f>[1]节奏总纲!AW47</f>
        <v>13.35230841110122</v>
      </c>
      <c r="AX47" s="31">
        <f>[1]节奏总纲!AX47</f>
        <v>6.6761542055506098</v>
      </c>
      <c r="AY47" s="31"/>
      <c r="AZ47" s="31">
        <v>44</v>
      </c>
      <c r="BA47" s="31">
        <f>[1]节奏总纲!BA47</f>
        <v>32.696472110135275</v>
      </c>
      <c r="BB47" s="31">
        <f>[1]节奏总纲!BB47</f>
        <v>34.09469189131628</v>
      </c>
      <c r="BC47" s="31">
        <f>[1]节奏总纲!BC47</f>
        <v>35.95964341599278</v>
      </c>
      <c r="BD47" s="31">
        <f>[1]节奏总纲!BD47</f>
        <v>38.663818688865533</v>
      </c>
      <c r="BE47" s="31">
        <f>[1]节奏总纲!BE47</f>
        <v>43.329750976586219</v>
      </c>
      <c r="BR47" s="31">
        <v>44</v>
      </c>
      <c r="BS47" s="31">
        <f>'[1]功能-城建'!O49</f>
        <v>18</v>
      </c>
      <c r="BT47" s="31">
        <f>'[1]功能-城建'!P49</f>
        <v>18</v>
      </c>
      <c r="BU47" s="31">
        <f>'[1]功能-城建'!Q49</f>
        <v>18</v>
      </c>
      <c r="BV47" s="31">
        <f>'[1]功能-城建'!R49</f>
        <v>18</v>
      </c>
      <c r="BW47" s="31">
        <f t="shared" si="2"/>
        <v>72</v>
      </c>
    </row>
    <row r="48" spans="2:75" x14ac:dyDescent="0.15">
      <c r="F48" s="31">
        <v>46</v>
      </c>
      <c r="G48" s="31">
        <f t="shared" si="0"/>
        <v>23.251465064166357</v>
      </c>
      <c r="I48" s="31">
        <v>46</v>
      </c>
      <c r="J48" s="31">
        <f t="shared" si="1"/>
        <v>325.85912455595718</v>
      </c>
      <c r="K48" s="35">
        <v>1.1100000000000001</v>
      </c>
      <c r="N48" s="41">
        <f>[1]节奏总纲!N48</f>
        <v>55</v>
      </c>
      <c r="O48" s="31">
        <v>45</v>
      </c>
      <c r="P48" s="31">
        <f>[1]节奏总纲!P48</f>
        <v>21.627416997969519</v>
      </c>
      <c r="Q48" s="31">
        <f>[1]节奏总纲!Q48</f>
        <v>18.900199714525563</v>
      </c>
      <c r="R48" s="31">
        <f>[1]节奏总纲!R48</f>
        <v>15.604181364035009</v>
      </c>
      <c r="S48" s="31">
        <f>[1]节奏总纲!S48</f>
        <v>11.572830835613489</v>
      </c>
      <c r="T48" s="31">
        <f>[1]节奏总纲!T48</f>
        <v>6.49903880788984</v>
      </c>
      <c r="V48" s="31">
        <v>45</v>
      </c>
      <c r="W48" s="31">
        <f>[1]节奏总纲!W48</f>
        <v>1.5152904256032116</v>
      </c>
      <c r="X48" s="31">
        <f>[1]节奏总纲!X48</f>
        <v>1.3262235155918844</v>
      </c>
      <c r="Y48" s="31">
        <f>[1]节奏总纲!Y48</f>
        <v>1.083225978786535</v>
      </c>
      <c r="Z48" s="31">
        <f>[1]节奏总纲!Z48</f>
        <v>0.80479826876856819</v>
      </c>
      <c r="AA48" s="31">
        <f>[1]节奏总纲!AA48</f>
        <v>0.44528870960758216</v>
      </c>
      <c r="AC48" s="31">
        <v>45</v>
      </c>
      <c r="AD48" s="31">
        <f>[1]节奏总纲!AD48</f>
        <v>55.229416240679981</v>
      </c>
      <c r="AE48" s="31">
        <f>[1]节奏总纲!AE48</f>
        <v>57.218966664386244</v>
      </c>
      <c r="AF48" s="31">
        <f>[1]节奏总纲!AF48</f>
        <v>60.086674688654931</v>
      </c>
      <c r="AG48" s="31">
        <f>[1]节奏总纲!AG48</f>
        <v>64.399012521055653</v>
      </c>
      <c r="AH48" s="31">
        <f>[1]节奏总纲!AH48</f>
        <v>73.037155126421851</v>
      </c>
      <c r="AL48" s="31">
        <v>45</v>
      </c>
      <c r="AM48" s="31">
        <f>[1]节奏总纲!AM48</f>
        <v>281.05</v>
      </c>
      <c r="AN48" s="31">
        <f>[1]节奏总纲!AN48</f>
        <v>224.84000000000003</v>
      </c>
      <c r="AO48" s="31">
        <f>[1]节奏总纲!AO48</f>
        <v>168.63</v>
      </c>
      <c r="AP48" s="31">
        <f>[1]节奏总纲!AP48</f>
        <v>112.42000000000002</v>
      </c>
      <c r="AQ48" s="31">
        <f>[1]节奏总纲!AQ48</f>
        <v>56.210000000000008</v>
      </c>
      <c r="AS48" s="31">
        <v>45</v>
      </c>
      <c r="AT48" s="31">
        <f>[1]节奏总纲!AT48</f>
        <v>38.676570817849552</v>
      </c>
      <c r="AU48" s="31">
        <f>[1]节奏总纲!AU48</f>
        <v>30.941256654279641</v>
      </c>
      <c r="AV48" s="31">
        <f>[1]节奏总纲!AV48</f>
        <v>23.205942490709731</v>
      </c>
      <c r="AW48" s="31">
        <f>[1]节奏总纲!AW48</f>
        <v>15.470628327139821</v>
      </c>
      <c r="AX48" s="31">
        <f>[1]节奏总纲!AX48</f>
        <v>7.7353141635699103</v>
      </c>
      <c r="AY48" s="31"/>
      <c r="AZ48" s="31">
        <v>45</v>
      </c>
      <c r="BA48" s="31">
        <f>[1]节奏总纲!BA48</f>
        <v>32.842201900114915</v>
      </c>
      <c r="BB48" s="31">
        <f>[1]节奏总纲!BB48</f>
        <v>34.227825436710944</v>
      </c>
      <c r="BC48" s="31">
        <f>[1]节奏总纲!BC48</f>
        <v>36.105477566569242</v>
      </c>
      <c r="BD48" s="31">
        <f>[1]节奏总纲!BD48</f>
        <v>38.82039500446033</v>
      </c>
      <c r="BE48" s="31">
        <f>[1]节奏总纲!BE48</f>
        <v>43.479537810324807</v>
      </c>
      <c r="BR48" s="31">
        <v>45</v>
      </c>
      <c r="BS48" s="31">
        <f>'[1]功能-城建'!O50</f>
        <v>18</v>
      </c>
      <c r="BT48" s="31">
        <f>'[1]功能-城建'!P50</f>
        <v>18</v>
      </c>
      <c r="BU48" s="31">
        <f>'[1]功能-城建'!Q50</f>
        <v>18</v>
      </c>
      <c r="BV48" s="31">
        <f>'[1]功能-城建'!R50</f>
        <v>18</v>
      </c>
      <c r="BW48" s="31">
        <f t="shared" si="2"/>
        <v>72</v>
      </c>
    </row>
    <row r="49" spans="6:75" x14ac:dyDescent="0.15">
      <c r="F49" s="31">
        <v>47</v>
      </c>
      <c r="G49" s="31">
        <f t="shared" si="0"/>
        <v>24.992076683399535</v>
      </c>
      <c r="I49" s="31">
        <v>47</v>
      </c>
      <c r="J49" s="31">
        <f t="shared" si="1"/>
        <v>377.76930817680426</v>
      </c>
      <c r="K49" s="35">
        <v>1.1200000000000001</v>
      </c>
      <c r="N49" s="41">
        <f>[1]节奏总纲!N49</f>
        <v>56</v>
      </c>
      <c r="O49" s="31">
        <v>46</v>
      </c>
      <c r="P49" s="31">
        <f>[1]节奏总纲!P49</f>
        <v>23.251465064166357</v>
      </c>
      <c r="Q49" s="31">
        <f>[1]节奏总纲!Q49</f>
        <v>20.310154733549314</v>
      </c>
      <c r="R49" s="31">
        <f>[1]节奏总纲!R49</f>
        <v>16.757330871744692</v>
      </c>
      <c r="S49" s="31">
        <f>[1]节奏总纲!S49</f>
        <v>12.425582930290501</v>
      </c>
      <c r="T49" s="31">
        <f>[1]节奏总纲!T49</f>
        <v>6.9545132006921566</v>
      </c>
      <c r="V49" s="31">
        <v>46</v>
      </c>
      <c r="W49" s="31">
        <f>[1]节奏总纲!W49</f>
        <v>1.6240480661968384</v>
      </c>
      <c r="X49" s="31">
        <f>[1]节奏总纲!X49</f>
        <v>1.4099550190237515</v>
      </c>
      <c r="Y49" s="31">
        <f>[1]节奏总纲!Y49</f>
        <v>1.1531495077096832</v>
      </c>
      <c r="Z49" s="31">
        <f>[1]节奏总纲!Z49</f>
        <v>0.85275209467701174</v>
      </c>
      <c r="AA49" s="31">
        <f>[1]节奏总纲!AA49</f>
        <v>0.45547439280231661</v>
      </c>
      <c r="AC49" s="31">
        <v>46</v>
      </c>
      <c r="AD49" s="31">
        <f>[1]节奏总纲!AD49</f>
        <v>55.537288901845052</v>
      </c>
      <c r="AE49" s="31">
        <f>[1]节奏总纲!AE49</f>
        <v>57.53646043868428</v>
      </c>
      <c r="AF49" s="31">
        <f>[1]节奏总纲!AF49</f>
        <v>60.393379177879737</v>
      </c>
      <c r="AG49" s="31">
        <f>[1]节奏总纲!AG49</f>
        <v>64.710418078139355</v>
      </c>
      <c r="AH49" s="31">
        <f>[1]节奏总纲!AH49</f>
        <v>73.340924940105893</v>
      </c>
      <c r="AL49" s="31">
        <v>46</v>
      </c>
      <c r="AM49" s="31">
        <f>[1]节奏总纲!AM49</f>
        <v>325.85912455595718</v>
      </c>
      <c r="AN49" s="31">
        <f>[1]节奏总纲!AN49</f>
        <v>260.68729964476574</v>
      </c>
      <c r="AO49" s="31">
        <f>[1]节奏总纲!AO49</f>
        <v>195.51547473357431</v>
      </c>
      <c r="AP49" s="31">
        <f>[1]节奏总纲!AP49</f>
        <v>130.34364982238287</v>
      </c>
      <c r="AQ49" s="31">
        <f>[1]节奏总纲!AQ49</f>
        <v>65.171824911191436</v>
      </c>
      <c r="AS49" s="31">
        <v>46</v>
      </c>
      <c r="AT49" s="31">
        <f>[1]节奏总纲!AT49</f>
        <v>44.809124555957169</v>
      </c>
      <c r="AU49" s="31">
        <f>[1]节奏总纲!AU49</f>
        <v>35.847299644765712</v>
      </c>
      <c r="AV49" s="31">
        <f>[1]节奏总纲!AV49</f>
        <v>26.885474733574313</v>
      </c>
      <c r="AW49" s="31">
        <f>[1]节奏总纲!AW49</f>
        <v>17.923649822382856</v>
      </c>
      <c r="AX49" s="31">
        <f>[1]节奏总纲!AX49</f>
        <v>8.9618249111914281</v>
      </c>
      <c r="AY49" s="31"/>
      <c r="AZ49" s="31">
        <v>46</v>
      </c>
      <c r="BA49" s="31">
        <f>[1]节奏总纲!BA49</f>
        <v>32.987931690094548</v>
      </c>
      <c r="BB49" s="31">
        <f>[1]节奏总纲!BB49</f>
        <v>34.360958982105608</v>
      </c>
      <c r="BC49" s="31">
        <f>[1]节奏总纲!BC49</f>
        <v>36.245762114295424</v>
      </c>
      <c r="BD49" s="31">
        <f>[1]节奏总纲!BD49</f>
        <v>38.976971320055128</v>
      </c>
      <c r="BE49" s="31">
        <f>[1]节奏总纲!BE49</f>
        <v>43.629324644063402</v>
      </c>
      <c r="BR49" s="31">
        <v>46</v>
      </c>
      <c r="BS49" s="31">
        <f>'[1]功能-城建'!O51</f>
        <v>18</v>
      </c>
      <c r="BT49" s="31">
        <f>'[1]功能-城建'!P51</f>
        <v>18</v>
      </c>
      <c r="BU49" s="31">
        <f>'[1]功能-城建'!Q51</f>
        <v>18</v>
      </c>
      <c r="BV49" s="31">
        <f>'[1]功能-城建'!R51</f>
        <v>18</v>
      </c>
      <c r="BW49" s="31">
        <f t="shared" si="2"/>
        <v>72</v>
      </c>
    </row>
    <row r="50" spans="6:75" x14ac:dyDescent="0.15">
      <c r="F50" s="31">
        <v>48</v>
      </c>
      <c r="G50" s="31">
        <f t="shared" si="0"/>
        <v>26.857618025475972</v>
      </c>
      <c r="I50" s="31">
        <v>48</v>
      </c>
      <c r="J50" s="31">
        <f t="shared" si="1"/>
        <v>437.90148836012787</v>
      </c>
      <c r="K50" s="35">
        <v>1.1299999999999999</v>
      </c>
      <c r="N50" s="41">
        <f>[1]节奏总纲!N50</f>
        <v>57</v>
      </c>
      <c r="O50" s="31">
        <v>47</v>
      </c>
      <c r="P50" s="31">
        <f>[1]节奏总纲!P50</f>
        <v>24.992076683399535</v>
      </c>
      <c r="Q50" s="31">
        <f>[1]节奏总纲!Q50</f>
        <v>21.823081359944474</v>
      </c>
      <c r="R50" s="31">
        <f>[1]节奏总纲!R50</f>
        <v>17.996794419716004</v>
      </c>
      <c r="S50" s="31">
        <f>[1]节奏总纲!S50</f>
        <v>13.335772118261991</v>
      </c>
      <c r="T50" s="31">
        <f>[1]节奏总纲!T50</f>
        <v>7.4426404363163821</v>
      </c>
      <c r="V50" s="31">
        <v>47</v>
      </c>
      <c r="W50" s="31">
        <f>[1]节奏总纲!W50</f>
        <v>1.740611619233178</v>
      </c>
      <c r="X50" s="31">
        <f>[1]节奏总纲!X50</f>
        <v>1.51292662639516</v>
      </c>
      <c r="Y50" s="31">
        <f>[1]节奏总纲!Y50</f>
        <v>1.2394635479713116</v>
      </c>
      <c r="Z50" s="31">
        <f>[1]节奏总纲!Z50</f>
        <v>0.91018918797148984</v>
      </c>
      <c r="AA50" s="31">
        <f>[1]节奏总纲!AA50</f>
        <v>0.48812723562422544</v>
      </c>
      <c r="AC50" s="31">
        <v>47</v>
      </c>
      <c r="AD50" s="31">
        <f>[1]节奏总纲!AD50</f>
        <v>55.845161563010116</v>
      </c>
      <c r="AE50" s="31">
        <f>[1]节奏总纲!AE50</f>
        <v>57.853954212982316</v>
      </c>
      <c r="AF50" s="31">
        <f>[1]节奏总纲!AF50</f>
        <v>60.700083667104536</v>
      </c>
      <c r="AG50" s="31">
        <f>[1]节奏总纲!AG50</f>
        <v>65.021675833900701</v>
      </c>
      <c r="AH50" s="31">
        <f>[1]节奏总纲!AH50</f>
        <v>73.644694753789935</v>
      </c>
      <c r="AL50" s="31">
        <v>47</v>
      </c>
      <c r="AM50" s="31">
        <f>[1]节奏总纲!AM50</f>
        <v>377.76930817680426</v>
      </c>
      <c r="AN50" s="31">
        <f>[1]节奏总纲!AN50</f>
        <v>302.21544654144344</v>
      </c>
      <c r="AO50" s="31">
        <f>[1]节奏总纲!AO50</f>
        <v>226.66158490608254</v>
      </c>
      <c r="AP50" s="31">
        <f>[1]节奏总纲!AP50</f>
        <v>151.10772327072172</v>
      </c>
      <c r="AQ50" s="31">
        <f>[1]节奏总纲!AQ50</f>
        <v>75.55386163536086</v>
      </c>
      <c r="AS50" s="31">
        <v>47</v>
      </c>
      <c r="AT50" s="31">
        <f>[1]节奏总纲!AT50</f>
        <v>51.910183620847079</v>
      </c>
      <c r="AU50" s="31">
        <f>[1]节奏总纲!AU50</f>
        <v>41.528146896677697</v>
      </c>
      <c r="AV50" s="31">
        <f>[1]节奏总纲!AV50</f>
        <v>31.14611017250823</v>
      </c>
      <c r="AW50" s="31">
        <f>[1]节奏总纲!AW50</f>
        <v>20.764073448338848</v>
      </c>
      <c r="AX50" s="31">
        <f>[1]节奏总纲!AX50</f>
        <v>10.382036724169424</v>
      </c>
      <c r="AY50" s="31"/>
      <c r="AZ50" s="31">
        <v>47</v>
      </c>
      <c r="BA50" s="31">
        <f>[1]节奏总纲!BA50</f>
        <v>33.114246829746719</v>
      </c>
      <c r="BB50" s="31">
        <f>[1]节奏总纲!BB50</f>
        <v>34.494092527500278</v>
      </c>
      <c r="BC50" s="31">
        <f>[1]节奏总纲!BC50</f>
        <v>36.386046662021599</v>
      </c>
      <c r="BD50" s="31">
        <f>[1]节奏总纲!BD50</f>
        <v>39.115214427575864</v>
      </c>
      <c r="BE50" s="31">
        <f>[1]节奏总纲!BE50</f>
        <v>43.77911147780199</v>
      </c>
      <c r="BR50" s="31">
        <v>47</v>
      </c>
      <c r="BS50" s="31">
        <f>'[1]功能-城建'!O52</f>
        <v>19</v>
      </c>
      <c r="BT50" s="31">
        <f>'[1]功能-城建'!P52</f>
        <v>19</v>
      </c>
      <c r="BU50" s="31">
        <f>'[1]功能-城建'!Q52</f>
        <v>19</v>
      </c>
      <c r="BV50" s="31">
        <f>'[1]功能-城建'!R52</f>
        <v>19</v>
      </c>
      <c r="BW50" s="31">
        <f t="shared" si="2"/>
        <v>76</v>
      </c>
    </row>
    <row r="51" spans="6:75" x14ac:dyDescent="0.15">
      <c r="F51" s="31">
        <v>49</v>
      </c>
      <c r="G51" s="31">
        <f t="shared" si="0"/>
        <v>28.857055729177837</v>
      </c>
      <c r="I51" s="31">
        <v>49</v>
      </c>
      <c r="J51" s="31">
        <f t="shared" si="1"/>
        <v>507.55295278468168</v>
      </c>
      <c r="K51" s="35">
        <v>1.1399999999999999</v>
      </c>
      <c r="N51" s="41">
        <f>[1]节奏总纲!N51</f>
        <v>58</v>
      </c>
      <c r="O51" s="31">
        <v>48</v>
      </c>
      <c r="P51" s="31">
        <f>[1]节奏总纲!P51</f>
        <v>26.857618025475972</v>
      </c>
      <c r="Q51" s="31">
        <f>[1]节奏总纲!Q51</f>
        <v>23.425214441820142</v>
      </c>
      <c r="R51" s="31">
        <f>[1]节奏总纲!R51</f>
        <v>19.329427692935056</v>
      </c>
      <c r="S51" s="31">
        <f>[1]节奏总纲!S51</f>
        <v>14.269452456935383</v>
      </c>
      <c r="T51" s="31">
        <f>[1]节奏总纲!T51</f>
        <v>7.9605979827510778</v>
      </c>
      <c r="V51" s="31">
        <v>48</v>
      </c>
      <c r="W51" s="31">
        <f>[1]节奏总纲!W51</f>
        <v>1.8655413420764368</v>
      </c>
      <c r="X51" s="31">
        <f>[1]节奏总纲!X51</f>
        <v>1.6021330818756674</v>
      </c>
      <c r="Y51" s="31">
        <f>[1]节奏总纲!Y51</f>
        <v>1.3326332732190522</v>
      </c>
      <c r="Z51" s="31">
        <f>[1]节奏总纲!Z51</f>
        <v>0.93368033867339228</v>
      </c>
      <c r="AA51" s="31">
        <f>[1]节奏总纲!AA51</f>
        <v>0.51795754643469571</v>
      </c>
      <c r="AC51" s="31">
        <v>48</v>
      </c>
      <c r="AD51" s="31">
        <f>[1]节奏总纲!AD51</f>
        <v>56.142785979989682</v>
      </c>
      <c r="AE51" s="31">
        <f>[1]节奏总纲!AE51</f>
        <v>58.155157256402767</v>
      </c>
      <c r="AF51" s="31">
        <f>[1]节奏总纲!AF51</f>
        <v>61.006268532239034</v>
      </c>
      <c r="AG51" s="31">
        <f>[1]节奏总纲!AG51</f>
        <v>65.330972386106993</v>
      </c>
      <c r="AH51" s="31">
        <f>[1]节奏总纲!AH51</f>
        <v>73.948464567473962</v>
      </c>
      <c r="AL51" s="31">
        <v>48</v>
      </c>
      <c r="AM51" s="31">
        <f>[1]节奏总纲!AM51</f>
        <v>437.90148836012787</v>
      </c>
      <c r="AN51" s="31">
        <f>[1]节奏总纲!AN51</f>
        <v>350.32119068810232</v>
      </c>
      <c r="AO51" s="31">
        <f>[1]节奏总纲!AO51</f>
        <v>262.74089301607671</v>
      </c>
      <c r="AP51" s="31">
        <f>[1]节奏总纲!AP51</f>
        <v>175.16059534405116</v>
      </c>
      <c r="AQ51" s="31">
        <f>[1]节奏总纲!AQ51</f>
        <v>87.58029767202558</v>
      </c>
      <c r="AS51" s="31">
        <v>48</v>
      </c>
      <c r="AT51" s="31">
        <f>[1]节奏总纲!AT51</f>
        <v>60.132180183323612</v>
      </c>
      <c r="AU51" s="31">
        <f>[1]节奏总纲!AU51</f>
        <v>48.105744146658878</v>
      </c>
      <c r="AV51" s="31">
        <f>[1]节奏总纲!AV51</f>
        <v>36.079308109994173</v>
      </c>
      <c r="AW51" s="31">
        <f>[1]节奏总纲!AW51</f>
        <v>24.052872073329439</v>
      </c>
      <c r="AX51" s="31">
        <f>[1]节奏总纲!AX51</f>
        <v>12.02643603666472</v>
      </c>
      <c r="AY51" s="31"/>
      <c r="AZ51" s="31">
        <v>48</v>
      </c>
      <c r="BA51" s="31">
        <f>[1]节奏总纲!BA51</f>
        <v>33.238809018460984</v>
      </c>
      <c r="BB51" s="31">
        <f>[1]节奏总纲!BB51</f>
        <v>34.627226072894942</v>
      </c>
      <c r="BC51" s="31">
        <f>[1]节奏总纲!BC51</f>
        <v>36.526331209747774</v>
      </c>
      <c r="BD51" s="31">
        <f>[1]节奏总纲!BD51</f>
        <v>39.250296194358178</v>
      </c>
      <c r="BE51" s="31">
        <f>[1]节奏总纲!BE51</f>
        <v>43.928898311540578</v>
      </c>
      <c r="BR51" s="31">
        <v>48</v>
      </c>
      <c r="BS51" s="31">
        <f>'[1]功能-城建'!O53</f>
        <v>20</v>
      </c>
      <c r="BT51" s="31">
        <f>'[1]功能-城建'!P53</f>
        <v>20</v>
      </c>
      <c r="BU51" s="31">
        <f>'[1]功能-城建'!Q53</f>
        <v>20</v>
      </c>
      <c r="BV51" s="31">
        <f>'[1]功能-城建'!R53</f>
        <v>20</v>
      </c>
      <c r="BW51" s="31">
        <f t="shared" si="2"/>
        <v>80</v>
      </c>
    </row>
    <row r="52" spans="6:75" x14ac:dyDescent="0.15">
      <c r="F52" s="31">
        <v>50</v>
      </c>
      <c r="G52" s="31">
        <f t="shared" si="0"/>
        <v>31</v>
      </c>
      <c r="I52" s="31">
        <v>50</v>
      </c>
      <c r="J52" s="31">
        <f t="shared" si="1"/>
        <v>588.22499999999991</v>
      </c>
      <c r="K52" s="35">
        <v>1.1499999999999999</v>
      </c>
      <c r="N52" s="41">
        <f>[1]节奏总纲!N52</f>
        <v>59</v>
      </c>
      <c r="O52" s="31">
        <v>49</v>
      </c>
      <c r="P52" s="31">
        <f>[1]节奏总纲!P52</f>
        <v>28.857055729177837</v>
      </c>
      <c r="Q52" s="31">
        <f>[1]节奏总纲!Q52</f>
        <v>25.166238301415991</v>
      </c>
      <c r="R52" s="31">
        <f>[1]节奏总纲!R52</f>
        <v>20.719366013549685</v>
      </c>
      <c r="S52" s="31">
        <f>[1]节奏总纲!S52</f>
        <v>15.268268186307994</v>
      </c>
      <c r="T52" s="31">
        <f>[1]节奏总纲!T52</f>
        <v>8.5474599069824766</v>
      </c>
      <c r="V52" s="31">
        <v>49</v>
      </c>
      <c r="W52" s="31">
        <f>[1]节奏总纲!W52</f>
        <v>1.9994377037018651</v>
      </c>
      <c r="X52" s="31">
        <f>[1]节奏总纲!X52</f>
        <v>1.7410238595958489</v>
      </c>
      <c r="Y52" s="31">
        <f>[1]节奏总纲!Y52</f>
        <v>1.389938320614629</v>
      </c>
      <c r="Z52" s="31">
        <f>[1]节奏总纲!Z52</f>
        <v>0.99881572937261076</v>
      </c>
      <c r="AA52" s="31">
        <f>[1]节奏总纲!AA52</f>
        <v>0.58686192423139882</v>
      </c>
      <c r="AC52" s="31">
        <v>49</v>
      </c>
      <c r="AD52" s="31">
        <f>[1]节奏总纲!AD52</f>
        <v>56.430041330048923</v>
      </c>
      <c r="AE52" s="31">
        <f>[1]节奏总纲!AE52</f>
        <v>58.442483247955479</v>
      </c>
      <c r="AF52" s="31">
        <f>[1]节奏总纲!AF52</f>
        <v>61.289495211956165</v>
      </c>
      <c r="AG52" s="31">
        <f>[1]节奏总纲!AG52</f>
        <v>65.640268938313284</v>
      </c>
      <c r="AH52" s="31">
        <f>[1]节奏总纲!AH52</f>
        <v>74.231558509323534</v>
      </c>
      <c r="AL52" s="31">
        <v>49</v>
      </c>
      <c r="AM52" s="31">
        <f>[1]节奏总纲!AM52</f>
        <v>507.55295278468168</v>
      </c>
      <c r="AN52" s="31">
        <f>[1]节奏总纲!AN52</f>
        <v>406.04236222774534</v>
      </c>
      <c r="AO52" s="31">
        <f>[1]节奏总纲!AO52</f>
        <v>304.53177167080901</v>
      </c>
      <c r="AP52" s="31">
        <f>[1]节奏总纲!AP52</f>
        <v>203.02118111387267</v>
      </c>
      <c r="AQ52" s="31">
        <f>[1]节奏总纲!AQ52</f>
        <v>101.51059055693634</v>
      </c>
      <c r="AS52" s="31">
        <v>49</v>
      </c>
      <c r="AT52" s="31">
        <f>[1]节奏总纲!AT52</f>
        <v>69.651464424553808</v>
      </c>
      <c r="AU52" s="31">
        <f>[1]节奏总纲!AU52</f>
        <v>55.721171539643024</v>
      </c>
      <c r="AV52" s="31">
        <f>[1]节奏总纲!AV52</f>
        <v>41.790878654732296</v>
      </c>
      <c r="AW52" s="31">
        <f>[1]节奏总纲!AW52</f>
        <v>27.860585769821512</v>
      </c>
      <c r="AX52" s="31">
        <f>[1]节奏总纲!AX52</f>
        <v>13.930292884910756</v>
      </c>
      <c r="AY52" s="31"/>
      <c r="AZ52" s="31">
        <v>49</v>
      </c>
      <c r="BA52" s="31">
        <f>[1]节奏总纲!BA52</f>
        <v>33.363371207175248</v>
      </c>
      <c r="BB52" s="31">
        <f>[1]节奏总纲!BB52</f>
        <v>34.760359618289606</v>
      </c>
      <c r="BC52" s="31">
        <f>[1]节奏总纲!BC52</f>
        <v>36.666615757473956</v>
      </c>
      <c r="BD52" s="31">
        <f>[1]节奏总纲!BD52</f>
        <v>39.385377961140485</v>
      </c>
      <c r="BE52" s="31">
        <f>[1]节奏总纲!BE52</f>
        <v>44.067911160744309</v>
      </c>
      <c r="BR52" s="31">
        <v>49</v>
      </c>
      <c r="BS52" s="31">
        <f>'[1]功能-城建'!O54</f>
        <v>20</v>
      </c>
      <c r="BT52" s="31">
        <f>'[1]功能-城建'!P54</f>
        <v>20</v>
      </c>
      <c r="BU52" s="31">
        <f>'[1]功能-城建'!Q54</f>
        <v>20</v>
      </c>
      <c r="BV52" s="31">
        <f>'[1]功能-城建'!R54</f>
        <v>20</v>
      </c>
      <c r="BW52" s="31">
        <f t="shared" si="2"/>
        <v>80</v>
      </c>
    </row>
    <row r="53" spans="6:75" x14ac:dyDescent="0.15">
      <c r="F53" s="31">
        <v>51</v>
      </c>
      <c r="G53" s="31">
        <f t="shared" si="0"/>
        <v>33.296750801161366</v>
      </c>
      <c r="K53" s="35"/>
      <c r="N53" s="41">
        <f>[1]节奏总纲!N53</f>
        <v>60</v>
      </c>
      <c r="O53" s="31">
        <v>50</v>
      </c>
      <c r="P53" s="31">
        <f>[1]节奏总纲!P53</f>
        <v>31</v>
      </c>
      <c r="Q53" s="31">
        <f>[1]节奏总纲!Q53</f>
        <v>27.0351</v>
      </c>
      <c r="R53" s="31">
        <f>[1]节奏总纲!R53</f>
        <v>22.205300000000001</v>
      </c>
      <c r="S53" s="31">
        <f>[1]节奏总纲!S53</f>
        <v>16.386599999999998</v>
      </c>
      <c r="T53" s="31">
        <f>[1]节奏总纲!T53</f>
        <v>9.1883999999999997</v>
      </c>
      <c r="V53" s="31">
        <v>50</v>
      </c>
      <c r="W53" s="31">
        <f>[1]节奏总纲!W53</f>
        <v>2.1429442708221629</v>
      </c>
      <c r="X53" s="31">
        <f>[1]节奏总纲!X53</f>
        <v>1.8688616985840092</v>
      </c>
      <c r="Y53" s="31">
        <f>[1]节奏总纲!Y53</f>
        <v>1.4859339864503163</v>
      </c>
      <c r="Z53" s="31">
        <f>[1]节奏总纲!Z53</f>
        <v>1.118331813692004</v>
      </c>
      <c r="AA53" s="31">
        <f>[1]节奏总纲!AA53</f>
        <v>0.64094009301752308</v>
      </c>
      <c r="AC53" s="31">
        <v>50</v>
      </c>
      <c r="AD53" s="31">
        <f>[1]节奏总纲!AD53</f>
        <v>56.717296680108156</v>
      </c>
      <c r="AE53" s="31">
        <f>[1]节奏总纲!AE53</f>
        <v>58.729809239508185</v>
      </c>
      <c r="AF53" s="31">
        <f>[1]节奏总纲!AF53</f>
        <v>61.572721891673297</v>
      </c>
      <c r="AG53" s="31">
        <f>[1]节奏总纲!AG53</f>
        <v>65.949565490519575</v>
      </c>
      <c r="AH53" s="31">
        <f>[1]节奏总纲!AH53</f>
        <v>74.51042804689898</v>
      </c>
      <c r="AL53" s="31">
        <v>50</v>
      </c>
      <c r="AM53" s="31">
        <f>[1]节奏总纲!AM53</f>
        <v>588.22499999999991</v>
      </c>
      <c r="AN53" s="31">
        <f>[1]节奏总纲!AN53</f>
        <v>470.57999999999993</v>
      </c>
      <c r="AO53" s="31">
        <f>[1]节奏总纲!AO53</f>
        <v>352.93499999999995</v>
      </c>
      <c r="AP53" s="31">
        <f>[1]节奏总纲!AP53</f>
        <v>235.28999999999996</v>
      </c>
      <c r="AQ53" s="31">
        <f>[1]节奏总纲!AQ53</f>
        <v>117.64499999999998</v>
      </c>
      <c r="AS53" s="31">
        <v>50</v>
      </c>
      <c r="AT53" s="31">
        <f>[1]节奏总纲!AT53</f>
        <v>80.67204721531823</v>
      </c>
      <c r="AU53" s="31">
        <f>[1]节奏总纲!AU53</f>
        <v>64.537637772254584</v>
      </c>
      <c r="AV53" s="31">
        <f>[1]节奏总纲!AV53</f>
        <v>48.403228329190938</v>
      </c>
      <c r="AW53" s="31">
        <f>[1]节奏总纲!AW53</f>
        <v>32.268818886127292</v>
      </c>
      <c r="AX53" s="31">
        <f>[1]节奏总纲!AX53</f>
        <v>16.134409443063646</v>
      </c>
      <c r="AY53" s="31"/>
      <c r="AZ53" s="31">
        <v>50</v>
      </c>
      <c r="BA53" s="31">
        <f>[1]节奏总纲!BA53</f>
        <v>33.487933395889513</v>
      </c>
      <c r="BB53" s="31">
        <f>[1]节奏总纲!BB53</f>
        <v>34.893493163684269</v>
      </c>
      <c r="BC53" s="31">
        <f>[1]节奏总纲!BC53</f>
        <v>36.806900305200131</v>
      </c>
      <c r="BD53" s="31">
        <f>[1]节奏总纲!BD53</f>
        <v>39.520459727922798</v>
      </c>
      <c r="BE53" s="31">
        <f>[1]节奏总纲!BE53</f>
        <v>44.197188392263818</v>
      </c>
      <c r="BR53" s="31">
        <v>50</v>
      </c>
      <c r="BS53" s="31">
        <f>'[1]功能-城建'!O55</f>
        <v>20</v>
      </c>
      <c r="BT53" s="31">
        <f>'[1]功能-城建'!P55</f>
        <v>20</v>
      </c>
      <c r="BU53" s="31">
        <f>'[1]功能-城建'!Q55</f>
        <v>20</v>
      </c>
      <c r="BV53" s="31">
        <f>'[1]功能-城建'!R55</f>
        <v>20</v>
      </c>
      <c r="BW53" s="31">
        <f t="shared" si="2"/>
        <v>80</v>
      </c>
    </row>
    <row r="54" spans="6:75" x14ac:dyDescent="0.15">
      <c r="F54" s="31">
        <v>52</v>
      </c>
      <c r="G54" s="31">
        <f t="shared" si="0"/>
        <v>35.758347359905123</v>
      </c>
      <c r="K54" s="35"/>
      <c r="N54" s="41">
        <f>[1]节奏总纲!N54</f>
        <v>61</v>
      </c>
      <c r="O54" s="31">
        <v>51</v>
      </c>
      <c r="P54" s="31">
        <f>[1]节奏总纲!P54</f>
        <v>33.296750801161366</v>
      </c>
      <c r="Q54" s="31">
        <f>[1]节奏总纲!Q54</f>
        <v>28.928217096048996</v>
      </c>
      <c r="R54" s="31">
        <f>[1]节奏总纲!R54</f>
        <v>23.783869097269566</v>
      </c>
      <c r="S54" s="31">
        <f>[1]节奏总纲!S54</f>
        <v>17.587343773173433</v>
      </c>
      <c r="T54" s="31">
        <f>[1]节奏总纲!T54</f>
        <v>9.8458492119034169</v>
      </c>
      <c r="V54" s="31">
        <v>51</v>
      </c>
      <c r="W54" s="31">
        <f>[1]节奏总纲!W54</f>
        <v>2.296750801161366</v>
      </c>
      <c r="X54" s="31">
        <f>[1]节奏总纲!X54</f>
        <v>1.8931170960489965</v>
      </c>
      <c r="Y54" s="31">
        <f>[1]节奏总纲!Y54</f>
        <v>1.5785690972695647</v>
      </c>
      <c r="Z54" s="31">
        <f>[1]节奏总纲!Z54</f>
        <v>1.2007437731734356</v>
      </c>
      <c r="AA54" s="31">
        <f>[1]节奏总纲!AA54</f>
        <v>0.65744921190341721</v>
      </c>
      <c r="AC54" s="31">
        <v>51</v>
      </c>
      <c r="AD54" s="31">
        <f>[1]节奏总纲!AD54</f>
        <v>57.004247194324648</v>
      </c>
      <c r="AE54" s="31">
        <f>[1]节奏总纲!AE54</f>
        <v>59.016342740868758</v>
      </c>
      <c r="AF54" s="31">
        <f>[1]节奏总纲!AF54</f>
        <v>61.855948571390428</v>
      </c>
      <c r="AG54" s="31">
        <f>[1]节奏总纲!AG54</f>
        <v>66.241691764589476</v>
      </c>
      <c r="AH54" s="31">
        <f>[1]节奏总纲!AH54</f>
        <v>74.789297584474426</v>
      </c>
      <c r="AM54" s="31">
        <f>[1]节奏总纲!AM54</f>
        <v>681.65492699983838</v>
      </c>
      <c r="AN54" s="31">
        <f>[1]节奏总纲!AN54</f>
        <v>545.32394159987075</v>
      </c>
      <c r="AO54" s="31">
        <f>[1]节奏总纲!AO54</f>
        <v>408.99295619990301</v>
      </c>
      <c r="AP54" s="31">
        <f>[1]节奏总纲!AP54</f>
        <v>272.66197079993537</v>
      </c>
      <c r="AQ54" s="31">
        <f>[1]节奏总纲!AQ54</f>
        <v>136.33098539996769</v>
      </c>
      <c r="AT54" s="31">
        <f>[1]节奏总纲!AT54</f>
        <v>93.429926999838472</v>
      </c>
      <c r="AU54" s="31">
        <f>[1]节奏总纲!AU54</f>
        <v>74.743941599870823</v>
      </c>
      <c r="AV54" s="31">
        <f>[1]节奏总纲!AV54</f>
        <v>56.05795619990306</v>
      </c>
      <c r="AW54" s="31">
        <f>[1]节奏总纲!AW54</f>
        <v>37.371970799935411</v>
      </c>
      <c r="AX54" s="31">
        <f>[1]节奏总纲!AX54</f>
        <v>18.685985399967706</v>
      </c>
      <c r="AZ54" s="31">
        <v>51</v>
      </c>
      <c r="BA54" s="31">
        <f>[1]节奏总纲!BA54</f>
        <v>33.612495584603778</v>
      </c>
      <c r="BB54" s="31">
        <f>[1]节奏总纲!BB54</f>
        <v>35.024397713965918</v>
      </c>
      <c r="BC54" s="31">
        <f>[1]节奏总纲!BC54</f>
        <v>36.947184852926306</v>
      </c>
      <c r="BD54" s="31">
        <f>[1]节奏总纲!BD54</f>
        <v>39.655541494705105</v>
      </c>
      <c r="BE54" s="31">
        <f>[1]节奏总纲!BE54</f>
        <v>44.326465623783335</v>
      </c>
    </row>
    <row r="55" spans="6:75" x14ac:dyDescent="0.15">
      <c r="F55" s="31">
        <v>53</v>
      </c>
      <c r="G55" s="31">
        <f t="shared" si="0"/>
        <v>38.396621227037308</v>
      </c>
      <c r="K55" s="35"/>
      <c r="N55" s="41">
        <f>[1]节奏总纲!N55</f>
        <v>62</v>
      </c>
      <c r="O55" s="31">
        <v>52</v>
      </c>
      <c r="P55" s="31">
        <f>[1]节奏总纲!P55</f>
        <v>35.758347359905123</v>
      </c>
      <c r="Q55" s="31">
        <f>[1]节奏总纲!Q55</f>
        <v>31.081155525229534</v>
      </c>
      <c r="R55" s="31">
        <f>[1]节奏总纲!R55</f>
        <v>25.606552544428059</v>
      </c>
      <c r="S55" s="31">
        <f>[1]节奏总纲!S55</f>
        <v>18.930469092333773</v>
      </c>
      <c r="T55" s="31">
        <f>[1]节奏总纲!T55</f>
        <v>10.570167479587953</v>
      </c>
      <c r="V55" s="31">
        <v>52</v>
      </c>
      <c r="W55" s="31">
        <f>[1]节奏总纲!W55</f>
        <v>2.4615965587437572</v>
      </c>
      <c r="X55" s="31">
        <f>[1]节奏总纲!X55</f>
        <v>2.1529384291805371</v>
      </c>
      <c r="Y55" s="31">
        <f>[1]节奏总纲!Y55</f>
        <v>1.822683447158493</v>
      </c>
      <c r="Z55" s="31">
        <f>[1]节奏总纲!Z55</f>
        <v>1.3431253191603396</v>
      </c>
      <c r="AA55" s="31">
        <f>[1]节奏总纲!AA55</f>
        <v>0.72431826768453611</v>
      </c>
      <c r="AC55" s="31">
        <v>52</v>
      </c>
      <c r="AD55" s="31">
        <f>[1]节奏总纲!AD55</f>
        <v>57.27226591292537</v>
      </c>
      <c r="AE55" s="31">
        <f>[1]节奏总纲!AE55</f>
        <v>59.290380144164828</v>
      </c>
      <c r="AF55" s="31">
        <f>[1]节奏总纲!AF55</f>
        <v>62.130298748930763</v>
      </c>
      <c r="AG55" s="31">
        <f>[1]节奏总纲!AG55</f>
        <v>66.530472725664353</v>
      </c>
      <c r="AH55" s="31">
        <f>[1]节奏总纲!AH55</f>
        <v>75.062532510920803</v>
      </c>
      <c r="AM55" s="31">
        <f>[1]节奏总纲!AM55</f>
        <v>789.85301886939453</v>
      </c>
      <c r="AN55" s="31">
        <f>[1]节奏总纲!AN55</f>
        <v>631.88241509551563</v>
      </c>
      <c r="AO55" s="31">
        <f>[1]节奏总纲!AO55</f>
        <v>473.91181132163672</v>
      </c>
      <c r="AP55" s="31">
        <f>[1]节奏总纲!AP55</f>
        <v>315.94120754775781</v>
      </c>
      <c r="AQ55" s="31">
        <f>[1]节奏总纲!AQ55</f>
        <v>157.97060377387891</v>
      </c>
      <c r="AT55" s="31">
        <f>[1]节奏总纲!AT55</f>
        <v>108.19809186955615</v>
      </c>
      <c r="AU55" s="31">
        <f>[1]节奏总纲!AU55</f>
        <v>86.558473495644876</v>
      </c>
      <c r="AV55" s="31">
        <f>[1]节奏总纲!AV55</f>
        <v>64.918855121733714</v>
      </c>
      <c r="AW55" s="31">
        <f>[1]节奏总纲!AW55</f>
        <v>43.279236747822438</v>
      </c>
      <c r="AX55" s="31">
        <f>[1]节奏总纲!AX55</f>
        <v>21.639618373911219</v>
      </c>
      <c r="AZ55" s="31">
        <v>52</v>
      </c>
      <c r="BA55" s="31">
        <f>[1]节奏总纲!BA55</f>
        <v>33.737057773318043</v>
      </c>
      <c r="BB55" s="31">
        <f>[1]节奏总纲!BB55</f>
        <v>35.146386283795508</v>
      </c>
      <c r="BC55" s="31">
        <f>[1]节奏总纲!BC55</f>
        <v>37.075448197698059</v>
      </c>
      <c r="BD55" s="31">
        <f>[1]节奏总纲!BD55</f>
        <v>39.790623261487418</v>
      </c>
      <c r="BE55" s="31">
        <f>[1]节奏总纲!BE55</f>
        <v>44.455742855302844</v>
      </c>
    </row>
    <row r="56" spans="6:75" x14ac:dyDescent="0.15">
      <c r="F56" s="31">
        <v>54</v>
      </c>
      <c r="G56" s="31">
        <f t="shared" si="0"/>
        <v>41.224253144732614</v>
      </c>
      <c r="K56" s="35"/>
      <c r="N56" s="41">
        <f>[1]节奏总纲!N56</f>
        <v>63</v>
      </c>
      <c r="O56" s="31">
        <v>53</v>
      </c>
      <c r="P56" s="31">
        <f>[1]节奏总纲!P56</f>
        <v>38.396621227037308</v>
      </c>
      <c r="Q56" s="31">
        <f>[1]节奏总纲!Q56</f>
        <v>33.42809844025868</v>
      </c>
      <c r="R56" s="31">
        <f>[1]节奏总纲!R56</f>
        <v>27.5802930273809</v>
      </c>
      <c r="S56" s="31">
        <f>[1]节奏总纲!S56</f>
        <v>20.319491953348145</v>
      </c>
      <c r="T56" s="31">
        <f>[1]节奏总纲!T56</f>
        <v>11.338522248344118</v>
      </c>
      <c r="V56" s="31">
        <v>53</v>
      </c>
      <c r="W56" s="31">
        <f>[1]节奏总纲!W56</f>
        <v>2.6382738671321846</v>
      </c>
      <c r="X56" s="31">
        <f>[1]节奏总纲!X56</f>
        <v>2.3469429150291461</v>
      </c>
      <c r="Y56" s="31">
        <f>[1]节奏总纲!Y56</f>
        <v>1.9737404829528415</v>
      </c>
      <c r="Z56" s="31">
        <f>[1]节奏总纲!Z56</f>
        <v>1.3890228610143716</v>
      </c>
      <c r="AA56" s="31">
        <f>[1]节奏总纲!AA56</f>
        <v>0.76835476875616493</v>
      </c>
      <c r="AC56" s="31">
        <v>53</v>
      </c>
      <c r="AD56" s="31">
        <f>[1]节奏总纲!AD56</f>
        <v>57.540284631526099</v>
      </c>
      <c r="AE56" s="31">
        <f>[1]节奏总纲!AE56</f>
        <v>59.564417547460899</v>
      </c>
      <c r="AF56" s="31">
        <f>[1]节奏总纲!AF56</f>
        <v>62.395461425033538</v>
      </c>
      <c r="AG56" s="31">
        <f>[1]节奏总纲!AG56</f>
        <v>66.819253686739231</v>
      </c>
      <c r="AH56" s="31">
        <f>[1]节奏总纲!AH56</f>
        <v>75.318351032805268</v>
      </c>
      <c r="AM56" s="31">
        <f>[1]节奏总纲!AM56</f>
        <v>915.14532082292135</v>
      </c>
      <c r="AN56" s="31">
        <f>[1]节奏总纲!AN56</f>
        <v>732.11625665833708</v>
      </c>
      <c r="AO56" s="31">
        <f>[1]节奏总纲!AO56</f>
        <v>549.08719249375281</v>
      </c>
      <c r="AP56" s="31">
        <f>[1]节奏总纲!AP56</f>
        <v>366.05812832916854</v>
      </c>
      <c r="AQ56" s="31">
        <f>[1]节奏总纲!AQ56</f>
        <v>183.02906416458427</v>
      </c>
      <c r="AT56" s="31">
        <f>[1]节奏总纲!AT56</f>
        <v>125.29230195352682</v>
      </c>
      <c r="AU56" s="31">
        <f>[1]节奏总纲!AU56</f>
        <v>100.23384156282145</v>
      </c>
      <c r="AV56" s="31">
        <f>[1]节奏总纲!AV56</f>
        <v>75.17538117211609</v>
      </c>
      <c r="AW56" s="31">
        <f>[1]节奏总纲!AW56</f>
        <v>50.116920781410727</v>
      </c>
      <c r="AX56" s="31">
        <f>[1]节奏总纲!AX56</f>
        <v>25.058460390705363</v>
      </c>
      <c r="AZ56" s="31">
        <v>53</v>
      </c>
      <c r="BA56" s="31">
        <f>[1]节奏总纲!BA56</f>
        <v>33.861619962032307</v>
      </c>
      <c r="BB56" s="31">
        <f>[1]节奏总纲!BB56</f>
        <v>35.268374853625097</v>
      </c>
      <c r="BC56" s="31">
        <f>[1]节奏总纲!BC56</f>
        <v>37.196452985793947</v>
      </c>
      <c r="BD56" s="31">
        <f>[1]节奏总纲!BD56</f>
        <v>39.925705028269732</v>
      </c>
      <c r="BE56" s="31">
        <f>[1]节奏总纲!BE56</f>
        <v>44.585020086822361</v>
      </c>
    </row>
    <row r="57" spans="6:75" x14ac:dyDescent="0.15">
      <c r="F57" s="31">
        <v>55</v>
      </c>
      <c r="G57" s="31">
        <f t="shared" si="0"/>
        <v>44.254833995939045</v>
      </c>
      <c r="K57" s="35"/>
      <c r="N57" s="41">
        <f>[1]节奏总纲!N57</f>
        <v>64</v>
      </c>
      <c r="O57" s="31">
        <v>54</v>
      </c>
      <c r="P57" s="31">
        <f>[1]节奏总纲!P57</f>
        <v>41.224253144732614</v>
      </c>
      <c r="Q57" s="31">
        <f>[1]节奏总纲!Q57</f>
        <v>35.947548742206841</v>
      </c>
      <c r="R57" s="31">
        <f>[1]节奏总纲!R57</f>
        <v>29.553667079458812</v>
      </c>
      <c r="S57" s="31">
        <f>[1]节奏总纲!S57</f>
        <v>21.762283235104348</v>
      </c>
      <c r="T57" s="31">
        <f>[1]节奏总纲!T57</f>
        <v>12.111685573922442</v>
      </c>
      <c r="V57" s="31">
        <v>54</v>
      </c>
      <c r="W57" s="31">
        <f>[1]节奏总纲!W57</f>
        <v>2.8276319176953066</v>
      </c>
      <c r="X57" s="31">
        <f>[1]节奏总纲!X57</f>
        <v>2.5194503019481616</v>
      </c>
      <c r="Y57" s="31">
        <f>[1]节奏总纲!Y57</f>
        <v>1.9733740520779115</v>
      </c>
      <c r="Z57" s="31">
        <f>[1]节奏总纲!Z57</f>
        <v>1.4427912817562039</v>
      </c>
      <c r="AA57" s="31">
        <f>[1]节奏总纲!AA57</f>
        <v>0.77316332557832368</v>
      </c>
      <c r="AC57" s="31">
        <v>54</v>
      </c>
      <c r="AD57" s="31">
        <f>[1]节奏总纲!AD57</f>
        <v>57.80830335012682</v>
      </c>
      <c r="AE57" s="31">
        <f>[1]节奏总纲!AE57</f>
        <v>59.838454950756969</v>
      </c>
      <c r="AF57" s="31">
        <f>[1]节奏总纲!AF57</f>
        <v>62.660624101136307</v>
      </c>
      <c r="AG57" s="31">
        <f>[1]节奏总纲!AG57</f>
        <v>67.098789255934349</v>
      </c>
      <c r="AH57" s="31">
        <f>[1]节奏总纲!AH57</f>
        <v>75.574169554689718</v>
      </c>
      <c r="AM57" s="31">
        <f>[1]节奏总纲!AM57</f>
        <v>1060.2230944101252</v>
      </c>
      <c r="AN57" s="31">
        <f>[1]节奏总纲!AN57</f>
        <v>848.17847552810019</v>
      </c>
      <c r="AO57" s="31">
        <f>[1]节奏总纲!AO57</f>
        <v>636.13385664607506</v>
      </c>
      <c r="AP57" s="31">
        <f>[1]节奏总纲!AP57</f>
        <v>424.0892377640501</v>
      </c>
      <c r="AQ57" s="31">
        <f>[1]节奏总纲!AQ57</f>
        <v>212.04461888202505</v>
      </c>
      <c r="AT57" s="31">
        <f>[1]节奏总纲!AT57</f>
        <v>145.07777358720386</v>
      </c>
      <c r="AU57" s="31">
        <f>[1]节奏总纲!AU57</f>
        <v>116.06221886976311</v>
      </c>
      <c r="AV57" s="31">
        <f>[1]节奏总纲!AV57</f>
        <v>87.046664152322251</v>
      </c>
      <c r="AW57" s="31">
        <f>[1]节奏总纲!AW57</f>
        <v>58.031109434881557</v>
      </c>
      <c r="AX57" s="31">
        <f>[1]节奏总纲!AX57</f>
        <v>29.015554717440779</v>
      </c>
      <c r="AZ57" s="31">
        <v>54</v>
      </c>
      <c r="BA57" s="31">
        <f>[1]节奏总纲!BA57</f>
        <v>33.986182150746572</v>
      </c>
      <c r="BB57" s="31">
        <f>[1]节奏总纲!BB57</f>
        <v>35.390363423454687</v>
      </c>
      <c r="BC57" s="31">
        <f>[1]节奏总纲!BC57</f>
        <v>37.317457773889828</v>
      </c>
      <c r="BD57" s="31">
        <f>[1]节奏总纲!BD57</f>
        <v>40.052446592012309</v>
      </c>
      <c r="BE57" s="31">
        <f>[1]节奏总纲!BE57</f>
        <v>44.71429731834187</v>
      </c>
    </row>
    <row r="58" spans="6:75" x14ac:dyDescent="0.15">
      <c r="F58" s="31">
        <v>56</v>
      </c>
      <c r="G58" s="31">
        <f t="shared" si="0"/>
        <v>47.502930128332721</v>
      </c>
      <c r="K58" s="35"/>
      <c r="N58" s="41">
        <f>[1]节奏总纲!N58</f>
        <v>65</v>
      </c>
      <c r="O58" s="31">
        <v>55</v>
      </c>
      <c r="P58" s="31">
        <f>[1]节奏总纲!P58</f>
        <v>44.254833995939045</v>
      </c>
      <c r="Q58" s="31">
        <f>[1]节奏总纲!Q58</f>
        <v>38.53268396026413</v>
      </c>
      <c r="R58" s="31">
        <f>[1]节奏总纲!R58</f>
        <v>31.642206307096416</v>
      </c>
      <c r="S58" s="31">
        <f>[1]节奏总纲!S58</f>
        <v>23.282468165263531</v>
      </c>
      <c r="T58" s="31">
        <f>[1]节奏总纲!T58</f>
        <v>12.944538943812169</v>
      </c>
      <c r="V58" s="31">
        <v>55</v>
      </c>
      <c r="W58" s="31">
        <f>[1]节奏总纲!W58</f>
        <v>3.0305808512064303</v>
      </c>
      <c r="X58" s="31">
        <f>[1]节奏总纲!X58</f>
        <v>2.5851352180572889</v>
      </c>
      <c r="Y58" s="31">
        <f>[1]节奏总纲!Y58</f>
        <v>2.0885392276376038</v>
      </c>
      <c r="Z58" s="31">
        <f>[1]节奏总纲!Z58</f>
        <v>1.5201849301591821</v>
      </c>
      <c r="AA58" s="31">
        <f>[1]节奏总纲!AA58</f>
        <v>0.8328533698897278</v>
      </c>
      <c r="AC58" s="31">
        <v>55</v>
      </c>
      <c r="AD58" s="31">
        <f>[1]节奏总纲!AD58</f>
        <v>58.071211008105138</v>
      </c>
      <c r="AE58" s="31">
        <f>[1]节奏总纲!AE58</f>
        <v>60.102437883401088</v>
      </c>
      <c r="AF58" s="31">
        <f>[1]节奏总纲!AF58</f>
        <v>62.925786777239075</v>
      </c>
      <c r="AG58" s="31">
        <f>[1]节奏总纲!AG58</f>
        <v>67.36285691246691</v>
      </c>
      <c r="AH58" s="31">
        <f>[1]节奏总纲!AH58</f>
        <v>75.829988076574182</v>
      </c>
      <c r="AM58" s="31">
        <f>[1]节奏总纲!AM58</f>
        <v>1228.2</v>
      </c>
      <c r="AN58" s="31">
        <f>[1]节奏总纲!AN58</f>
        <v>982.56000000000006</v>
      </c>
      <c r="AO58" s="31">
        <f>[1]节奏总纲!AO58</f>
        <v>736.92</v>
      </c>
      <c r="AP58" s="31">
        <f>[1]节奏总纲!AP58</f>
        <v>491.28000000000003</v>
      </c>
      <c r="AQ58" s="31">
        <f>[1]节奏总纲!AQ58</f>
        <v>245.64000000000001</v>
      </c>
      <c r="AT58" s="31">
        <f>[1]节奏总纲!AT58</f>
        <v>167.97690558987483</v>
      </c>
      <c r="AU58" s="31">
        <f>[1]节奏总纲!AU58</f>
        <v>134.38152447189987</v>
      </c>
      <c r="AV58" s="31">
        <f>[1]节奏总纲!AV58</f>
        <v>100.7861433539249</v>
      </c>
      <c r="AW58" s="31">
        <f>[1]节奏总纲!AW58</f>
        <v>67.190762235949933</v>
      </c>
      <c r="AX58" s="31">
        <f>[1]节奏总纲!AX58</f>
        <v>33.595381117974966</v>
      </c>
      <c r="AZ58" s="31">
        <v>55</v>
      </c>
      <c r="BA58" s="31">
        <f>[1]节奏总纲!BA58</f>
        <v>34.09469189131628</v>
      </c>
      <c r="BB58" s="31">
        <f>[1]节奏总纲!BB58</f>
        <v>35.512351993284277</v>
      </c>
      <c r="BC58" s="31">
        <f>[1]节奏总纲!BC58</f>
        <v>37.438462561985709</v>
      </c>
      <c r="BD58" s="31">
        <f>[1]节奏总纲!BD58</f>
        <v>40.168994574261895</v>
      </c>
      <c r="BE58" s="31">
        <f>[1]节奏总纲!BE58</f>
        <v>44.843574549861387</v>
      </c>
    </row>
    <row r="59" spans="6:75" x14ac:dyDescent="0.15">
      <c r="F59" s="31">
        <v>57</v>
      </c>
      <c r="G59" s="31">
        <f t="shared" si="0"/>
        <v>50.984153366799077</v>
      </c>
      <c r="K59" s="35"/>
      <c r="N59" s="41">
        <f>[1]节奏总纲!N59</f>
        <v>66</v>
      </c>
      <c r="O59" s="31">
        <v>56</v>
      </c>
      <c r="P59" s="31">
        <f>[1]节奏总纲!P59</f>
        <v>47.502930128332721</v>
      </c>
      <c r="Q59" s="31">
        <f>[1]节奏总纲!Q59</f>
        <v>41.275295988508304</v>
      </c>
      <c r="R59" s="31">
        <f>[1]节奏总纲!R59</f>
        <v>33.888590353552566</v>
      </c>
      <c r="S59" s="31">
        <f>[1]节奏总纲!S59</f>
        <v>24.910536559297679</v>
      </c>
      <c r="T59" s="31">
        <f>[1]节奏总纲!T59</f>
        <v>13.837603546383322</v>
      </c>
      <c r="V59" s="31">
        <v>56</v>
      </c>
      <c r="W59" s="31">
        <f>[1]节奏总纲!W59</f>
        <v>3.2480961323936768</v>
      </c>
      <c r="X59" s="31">
        <f>[1]节奏总纲!X59</f>
        <v>2.7426120282441744</v>
      </c>
      <c r="Y59" s="31">
        <f>[1]节奏总纲!Y59</f>
        <v>2.24638404645615</v>
      </c>
      <c r="Z59" s="31">
        <f>[1]节奏总纲!Z59</f>
        <v>1.6280683940341483</v>
      </c>
      <c r="AA59" s="31">
        <f>[1]节奏总纲!AA59</f>
        <v>0.89306460257115283</v>
      </c>
      <c r="AC59" s="31">
        <v>56</v>
      </c>
      <c r="AD59" s="31">
        <f>[1]节奏总纲!AD59</f>
        <v>58.321281314909029</v>
      </c>
      <c r="AE59" s="31">
        <f>[1]节奏总纲!AE59</f>
        <v>60.351982057337977</v>
      </c>
      <c r="AF59" s="31">
        <f>[1]节奏总纲!AF59</f>
        <v>63.17626763611517</v>
      </c>
      <c r="AG59" s="31">
        <f>[1]节奏总纲!AG59</f>
        <v>67.626924568999456</v>
      </c>
      <c r="AH59" s="31">
        <f>[1]节奏总纲!AH59</f>
        <v>76.086647524934079</v>
      </c>
      <c r="AM59" s="31">
        <f>[1]节奏总纲!AM59</f>
        <v>1422.6782097755249</v>
      </c>
      <c r="AN59" s="31">
        <f>[1]节奏总纲!AN59</f>
        <v>1138.14256782042</v>
      </c>
      <c r="AO59" s="31">
        <f>[1]节奏总纲!AO59</f>
        <v>853.60692586531491</v>
      </c>
      <c r="AP59" s="31">
        <f>[1]节奏总纲!AP59</f>
        <v>569.07128391021001</v>
      </c>
      <c r="AQ59" s="31">
        <f>[1]节奏总纲!AQ59</f>
        <v>284.53564195510501</v>
      </c>
      <c r="AT59" s="31">
        <f>[1]节奏总纲!AT59</f>
        <v>194.47820977552487</v>
      </c>
      <c r="AU59" s="31">
        <f>[1]节奏总纲!AU59</f>
        <v>155.58256782041997</v>
      </c>
      <c r="AV59" s="31">
        <f>[1]节奏总纲!AV59</f>
        <v>116.68692586531495</v>
      </c>
      <c r="AW59" s="31">
        <f>[1]节奏总纲!AW59</f>
        <v>77.791283910209984</v>
      </c>
      <c r="AX59" s="31">
        <f>[1]节奏总纲!AX59</f>
        <v>38.895641955104992</v>
      </c>
      <c r="AZ59" s="31">
        <v>56</v>
      </c>
      <c r="BA59" s="31">
        <f>[1]节奏总纲!BA59</f>
        <v>34.201198727632011</v>
      </c>
      <c r="BB59" s="31">
        <f>[1]节奏总纲!BB59</f>
        <v>35.634340563113874</v>
      </c>
      <c r="BC59" s="31">
        <f>[1]节奏总纲!BC59</f>
        <v>37.55946735008159</v>
      </c>
      <c r="BD59" s="31">
        <f>[1]节奏总纲!BD59</f>
        <v>40.28554255651148</v>
      </c>
      <c r="BE59" s="31">
        <f>[1]节奏总纲!BE59</f>
        <v>44.972851781380903</v>
      </c>
    </row>
    <row r="60" spans="6:75" x14ac:dyDescent="0.15">
      <c r="F60" s="31">
        <v>58</v>
      </c>
      <c r="G60" s="31">
        <f t="shared" si="0"/>
        <v>54.715236050951923</v>
      </c>
      <c r="K60" s="35"/>
      <c r="N60" s="41">
        <f>[1]节奏总纲!N60</f>
        <v>67</v>
      </c>
      <c r="O60" s="31">
        <v>57</v>
      </c>
      <c r="P60" s="31">
        <f>[1]节奏总纲!P60</f>
        <v>50.984153366799077</v>
      </c>
      <c r="Q60" s="31">
        <f>[1]节奏总纲!Q60</f>
        <v>44.310327691085078</v>
      </c>
      <c r="R60" s="31">
        <f>[1]节奏总纲!R60</f>
        <v>36.316012443170983</v>
      </c>
      <c r="S60" s="31">
        <f>[1]节奏总纲!S60</f>
        <v>26.664712210835919</v>
      </c>
      <c r="T60" s="31">
        <f>[1]节奏总纲!T60</f>
        <v>14.815994968391813</v>
      </c>
      <c r="V60" s="31">
        <v>57</v>
      </c>
      <c r="W60" s="31">
        <f>[1]节奏总纲!W60</f>
        <v>3.481223238466356</v>
      </c>
      <c r="X60" s="31">
        <f>[1]节奏总纲!X60</f>
        <v>3.0350317025767737</v>
      </c>
      <c r="Y60" s="31">
        <f>[1]节奏总纲!Y60</f>
        <v>2.4274220896184175</v>
      </c>
      <c r="Z60" s="31">
        <f>[1]节奏总纲!Z60</f>
        <v>1.7541756515382403</v>
      </c>
      <c r="AA60" s="31">
        <f>[1]节奏总纲!AA60</f>
        <v>0.97839142200849061</v>
      </c>
      <c r="AC60" s="31">
        <v>57</v>
      </c>
      <c r="AD60" s="31">
        <f>[1]节奏总纲!AD60</f>
        <v>58.571351621712921</v>
      </c>
      <c r="AE60" s="31">
        <f>[1]节奏总纲!AE60</f>
        <v>60.60152623127486</v>
      </c>
      <c r="AF60" s="31">
        <f>[1]节奏总纲!AF60</f>
        <v>63.421042351541736</v>
      </c>
      <c r="AG60" s="31">
        <f>[1]节奏总纲!AG60</f>
        <v>67.890992225532017</v>
      </c>
      <c r="AH60" s="31">
        <f>[1]节奏总纲!AH60</f>
        <v>76.344973133357612</v>
      </c>
      <c r="AM60" s="31">
        <f>[1]节奏总纲!AM60</f>
        <v>1647.8248427703616</v>
      </c>
      <c r="AN60" s="31">
        <f>[1]节奏总纲!AN60</f>
        <v>1318.2598742162893</v>
      </c>
      <c r="AO60" s="31">
        <f>[1]节奏总纲!AO60</f>
        <v>988.69490566221691</v>
      </c>
      <c r="AP60" s="31">
        <f>[1]节奏总纲!AP60</f>
        <v>659.12993710814465</v>
      </c>
      <c r="AQ60" s="31">
        <f>[1]节奏总纲!AQ60</f>
        <v>329.56496855407232</v>
      </c>
      <c r="AT60" s="31">
        <f>[1]节奏总纲!AT60</f>
        <v>225.14663299483664</v>
      </c>
      <c r="AU60" s="31">
        <f>[1]节奏总纲!AU60</f>
        <v>180.11730639586926</v>
      </c>
      <c r="AV60" s="31">
        <f>[1]节奏总纲!AV60</f>
        <v>135.087979796902</v>
      </c>
      <c r="AW60" s="31">
        <f>[1]节奏总纲!AW60</f>
        <v>90.058653197934632</v>
      </c>
      <c r="AX60" s="31">
        <f>[1]节奏总纲!AX60</f>
        <v>45.029326598967316</v>
      </c>
      <c r="AZ60" s="31">
        <v>57</v>
      </c>
      <c r="BA60" s="31">
        <f>[1]节奏总纲!BA60</f>
        <v>34.307705563947749</v>
      </c>
      <c r="BB60" s="31">
        <f>[1]节奏总纲!BB60</f>
        <v>35.756329132943463</v>
      </c>
      <c r="BC60" s="31">
        <f>[1]节奏总纲!BC60</f>
        <v>37.680472138177478</v>
      </c>
      <c r="BD60" s="31">
        <f>[1]节奏总纲!BD60</f>
        <v>40.402090538761065</v>
      </c>
      <c r="BE60" s="31">
        <f>[1]节奏总纲!BE60</f>
        <v>45.088151688727308</v>
      </c>
    </row>
    <row r="61" spans="6:75" x14ac:dyDescent="0.15">
      <c r="F61" s="31">
        <v>59</v>
      </c>
      <c r="G61" s="31">
        <f t="shared" si="0"/>
        <v>58.714111458355703</v>
      </c>
      <c r="K61" s="35"/>
      <c r="N61" s="41">
        <f>[1]节奏总纲!N61</f>
        <v>68</v>
      </c>
      <c r="O61" s="31">
        <v>58</v>
      </c>
      <c r="P61" s="31">
        <f>[1]节奏总纲!P61</f>
        <v>54.715236050951923</v>
      </c>
      <c r="Q61" s="31">
        <f>[1]节奏总纲!Q61</f>
        <v>47.459995750595695</v>
      </c>
      <c r="R61" s="31">
        <f>[1]节奏总纲!R61</f>
        <v>38.913475879437009</v>
      </c>
      <c r="S61" s="31">
        <f>[1]节奏总纲!S61</f>
        <v>28.572296265807093</v>
      </c>
      <c r="T61" s="31">
        <f>[1]节奏总纲!T61</f>
        <v>15.856475407565867</v>
      </c>
      <c r="V61" s="31">
        <v>58</v>
      </c>
      <c r="W61" s="31">
        <f>[1]节奏总纲!W61</f>
        <v>3.7310826841528453</v>
      </c>
      <c r="X61" s="31">
        <f>[1]节奏总纲!X61</f>
        <v>3.149668059510617</v>
      </c>
      <c r="Y61" s="31">
        <f>[1]节奏总纲!Y61</f>
        <v>2.5974634362660254</v>
      </c>
      <c r="Z61" s="31">
        <f>[1]节奏总纲!Z61</f>
        <v>1.9075840549711742</v>
      </c>
      <c r="AA61" s="31">
        <f>[1]节奏总纲!AA61</f>
        <v>1.0404804391740541</v>
      </c>
      <c r="AC61" s="31">
        <v>58</v>
      </c>
      <c r="AD61" s="31">
        <f>[1]节奏总纲!AD61</f>
        <v>58.821421928516813</v>
      </c>
      <c r="AE61" s="31">
        <f>[1]节奏总纲!AE61</f>
        <v>60.851070405211743</v>
      </c>
      <c r="AF61" s="31">
        <f>[1]节奏总纲!AF61</f>
        <v>63.665817066968295</v>
      </c>
      <c r="AG61" s="31">
        <f>[1]节奏总纲!AG61</f>
        <v>68.142437172458173</v>
      </c>
      <c r="AH61" s="31">
        <f>[1]节奏总纲!AH61</f>
        <v>76.60329874178116</v>
      </c>
      <c r="AM61" s="31">
        <f>[1]节奏总纲!AM61</f>
        <v>1908.4603298511749</v>
      </c>
      <c r="AN61" s="31">
        <f>[1]节奏总纲!AN61</f>
        <v>1526.7682638809401</v>
      </c>
      <c r="AO61" s="31">
        <f>[1]节奏总纲!AO61</f>
        <v>1145.0761979107049</v>
      </c>
      <c r="AP61" s="31">
        <f>[1]节奏总纲!AP61</f>
        <v>763.38413194047007</v>
      </c>
      <c r="AQ61" s="31">
        <f>[1]节奏总纲!AQ61</f>
        <v>381.69206597023503</v>
      </c>
      <c r="AT61" s="31">
        <f>[1]节奏总纲!AT61</f>
        <v>260.63548708081339</v>
      </c>
      <c r="AU61" s="31">
        <f>[1]节奏总纲!AU61</f>
        <v>208.50838966465085</v>
      </c>
      <c r="AV61" s="31">
        <f>[1]节奏总纲!AV61</f>
        <v>156.38129224848797</v>
      </c>
      <c r="AW61" s="31">
        <f>[1]节奏总纲!AW61</f>
        <v>104.25419483232542</v>
      </c>
      <c r="AX61" s="31">
        <f>[1]节奏总纲!AX61</f>
        <v>52.127097416162712</v>
      </c>
      <c r="AZ61" s="31">
        <v>58</v>
      </c>
      <c r="BA61" s="31">
        <f>[1]节奏总纲!BA61</f>
        <v>34.41421240026348</v>
      </c>
      <c r="BB61" s="31">
        <f>[1]节奏总纲!BB61</f>
        <v>35.878317702773053</v>
      </c>
      <c r="BC61" s="31">
        <f>[1]节奏总纲!BC61</f>
        <v>37.801476926273359</v>
      </c>
      <c r="BD61" s="31">
        <f>[1]节奏总纲!BD61</f>
        <v>40.518638521010644</v>
      </c>
      <c r="BE61" s="31">
        <f>[1]节奏总纲!BE61</f>
        <v>45.199736104837825</v>
      </c>
    </row>
    <row r="62" spans="6:75" x14ac:dyDescent="0.15">
      <c r="F62" s="31">
        <v>60</v>
      </c>
      <c r="G62" s="31">
        <f t="shared" si="0"/>
        <v>63</v>
      </c>
      <c r="K62" s="35"/>
      <c r="N62" s="41">
        <f>[1]节奏总纲!N62</f>
        <v>69</v>
      </c>
      <c r="O62" s="31">
        <v>59</v>
      </c>
      <c r="P62" s="31">
        <f>[1]节奏总纲!P62</f>
        <v>58.714111458355703</v>
      </c>
      <c r="Q62" s="31">
        <f>[1]节奏总纲!Q62</f>
        <v>50.940363101269412</v>
      </c>
      <c r="R62" s="31">
        <f>[1]节奏总纲!R62</f>
        <v>41.728119013453394</v>
      </c>
      <c r="S62" s="31">
        <f>[1]节奏总纲!S62</f>
        <v>30.607666303240826</v>
      </c>
      <c r="T62" s="31">
        <f>[1]节奏总纲!T62</f>
        <v>17.003606678339814</v>
      </c>
      <c r="V62" s="31">
        <v>59</v>
      </c>
      <c r="W62" s="31">
        <f>[1]节奏总纲!W62</f>
        <v>3.99887540740378</v>
      </c>
      <c r="X62" s="31">
        <f>[1]节奏总纲!X62</f>
        <v>3.4803673506737169</v>
      </c>
      <c r="Y62" s="31">
        <f>[1]节奏总纲!Y62</f>
        <v>2.8146431340163858</v>
      </c>
      <c r="Z62" s="31">
        <f>[1]节奏总纲!Z62</f>
        <v>2.0353700374337329</v>
      </c>
      <c r="AA62" s="31">
        <f>[1]节奏总纲!AA62</f>
        <v>1.1471312707739472</v>
      </c>
      <c r="AC62" s="31">
        <v>59</v>
      </c>
      <c r="AD62" s="31">
        <f>[1]节奏总纲!AD62</f>
        <v>59.066704614192936</v>
      </c>
      <c r="AE62" s="31">
        <f>[1]节奏总纲!AE62</f>
        <v>61.094954819415335</v>
      </c>
      <c r="AF62" s="31">
        <f>[1]节奏总纲!AF62</f>
        <v>63.91059178239486</v>
      </c>
      <c r="AG62" s="31">
        <f>[1]节奏总纲!AG62</f>
        <v>68.385008299388929</v>
      </c>
      <c r="AH62" s="31">
        <f>[1]节奏总纲!AH62</f>
        <v>76.861624350204693</v>
      </c>
      <c r="AM62" s="31">
        <f>[1]节奏总纲!AM62</f>
        <v>2210.1605665017755</v>
      </c>
      <c r="AN62" s="31">
        <f>[1]节奏总纲!AN62</f>
        <v>1768.1284532014206</v>
      </c>
      <c r="AO62" s="31">
        <f>[1]节奏总纲!AO62</f>
        <v>1326.0963399010652</v>
      </c>
      <c r="AP62" s="31">
        <f>[1]节奏总纲!AP62</f>
        <v>884.0642266007103</v>
      </c>
      <c r="AQ62" s="31">
        <f>[1]节奏总纲!AQ62</f>
        <v>442.03211330035515</v>
      </c>
      <c r="AT62" s="31">
        <f>[1]节奏总纲!AT62</f>
        <v>301.70023665060057</v>
      </c>
      <c r="AU62" s="31">
        <f>[1]节奏总纲!AU62</f>
        <v>241.36018932048046</v>
      </c>
      <c r="AV62" s="31">
        <f>[1]节奏总纲!AV62</f>
        <v>181.02014199036034</v>
      </c>
      <c r="AW62" s="31">
        <f>[1]节奏总纲!AW62</f>
        <v>120.68009466024023</v>
      </c>
      <c r="AX62" s="31">
        <f>[1]节奏总纲!AX62</f>
        <v>60.340047330120115</v>
      </c>
      <c r="AZ62" s="31">
        <v>59</v>
      </c>
      <c r="BA62" s="31">
        <f>[1]节奏总纲!BA62</f>
        <v>34.520719236579211</v>
      </c>
      <c r="BB62" s="31">
        <f>[1]节奏总纲!BB62</f>
        <v>36.000264155774609</v>
      </c>
      <c r="BC62" s="31">
        <f>[1]节奏总纲!BC62</f>
        <v>37.922481714369241</v>
      </c>
      <c r="BD62" s="31">
        <f>[1]节奏总纲!BD62</f>
        <v>40.635186503260229</v>
      </c>
      <c r="BE62" s="31">
        <f>[1]节奏总纲!BE62</f>
        <v>45.31132052094835</v>
      </c>
    </row>
    <row r="63" spans="6:75" x14ac:dyDescent="0.15">
      <c r="F63" s="31">
        <v>61</v>
      </c>
      <c r="G63" s="31">
        <f t="shared" si="0"/>
        <v>67.593501602322732</v>
      </c>
      <c r="N63" s="41">
        <f>[1]节奏总纲!N63</f>
        <v>70</v>
      </c>
      <c r="O63" s="31">
        <v>60</v>
      </c>
      <c r="P63" s="31">
        <f>[1]节奏总纲!P63</f>
        <v>63</v>
      </c>
      <c r="Q63" s="31">
        <f>[1]节奏总纲!Q63</f>
        <v>54.589500000000001</v>
      </c>
      <c r="R63" s="31">
        <f>[1]节奏总纲!R63</f>
        <v>44.717399999999998</v>
      </c>
      <c r="S63" s="31">
        <f>[1]节奏总纲!S63</f>
        <v>32.810400000000001</v>
      </c>
      <c r="T63" s="31">
        <f>[1]节奏总纲!T63</f>
        <v>18.276300000000003</v>
      </c>
      <c r="V63" s="31">
        <v>60</v>
      </c>
      <c r="W63" s="31">
        <f>[1]节奏总纲!W63</f>
        <v>4.2858885416442973</v>
      </c>
      <c r="X63" s="31">
        <f>[1]节奏总纲!X63</f>
        <v>3.649136898730589</v>
      </c>
      <c r="Y63" s="31">
        <f>[1]节奏总纲!Y63</f>
        <v>2.9892809865466035</v>
      </c>
      <c r="Z63" s="31">
        <f>[1]节奏总纲!Z63</f>
        <v>2.2027336967591751</v>
      </c>
      <c r="AA63" s="31">
        <f>[1]节奏总纲!AA63</f>
        <v>1.2726933216601886</v>
      </c>
      <c r="AC63" s="31">
        <v>60</v>
      </c>
      <c r="AD63" s="31">
        <f>[1]节奏总纲!AD63</f>
        <v>59.300028460644697</v>
      </c>
      <c r="AE63" s="31">
        <f>[1]节奏总纲!AE63</f>
        <v>61.330461663183208</v>
      </c>
      <c r="AF63" s="31">
        <f>[1]节奏总纲!AF63</f>
        <v>64.14304723627319</v>
      </c>
      <c r="AG63" s="31">
        <f>[1]节奏总纲!AG63</f>
        <v>68.627579426319684</v>
      </c>
      <c r="AH63" s="31">
        <f>[1]节奏总纲!AH63</f>
        <v>77.112805903056142</v>
      </c>
      <c r="AM63" s="31">
        <f>[1]节奏总纲!AM63</f>
        <v>2559.375</v>
      </c>
      <c r="AN63" s="31">
        <f>[1]节奏总纲!AN63</f>
        <v>2047.5</v>
      </c>
      <c r="AO63" s="31">
        <f>[1]节奏总纲!AO63</f>
        <v>1535.625</v>
      </c>
      <c r="AP63" s="31">
        <f>[1]节奏总纲!AP63</f>
        <v>1023.75</v>
      </c>
      <c r="AQ63" s="31">
        <f>[1]节奏总纲!AQ63</f>
        <v>511.875</v>
      </c>
      <c r="AT63" s="31">
        <f>[1]节奏总纲!AT63</f>
        <v>349.21443349822448</v>
      </c>
      <c r="AU63" s="31">
        <f>[1]节奏总纲!AU63</f>
        <v>279.3715467985794</v>
      </c>
      <c r="AV63" s="31">
        <f>[1]节奏总纲!AV63</f>
        <v>209.52866009893478</v>
      </c>
      <c r="AW63" s="31">
        <f>[1]节奏总纲!AW63</f>
        <v>139.6857733992897</v>
      </c>
      <c r="AX63" s="31">
        <f>[1]节奏总纲!AX63</f>
        <v>69.842886699644851</v>
      </c>
      <c r="AZ63" s="31">
        <v>60</v>
      </c>
      <c r="BA63" s="31">
        <f>[1]节奏总纲!BA63</f>
        <v>34.627226072894942</v>
      </c>
      <c r="BB63" s="31">
        <f>[1]节奏总纲!BB63</f>
        <v>36.105477566569242</v>
      </c>
      <c r="BC63" s="31">
        <f>[1]节奏总纲!BC63</f>
        <v>38.037513426486328</v>
      </c>
      <c r="BD63" s="31">
        <f>[1]节奏总纲!BD63</f>
        <v>40.751734485509814</v>
      </c>
      <c r="BE63" s="31">
        <f>[1]节奏总纲!BE63</f>
        <v>45.422904937058867</v>
      </c>
    </row>
    <row r="64" spans="6:75" x14ac:dyDescent="0.15">
      <c r="F64" s="31">
        <v>62</v>
      </c>
      <c r="G64" s="31">
        <f t="shared" si="0"/>
        <v>72.516694719810218</v>
      </c>
      <c r="N64" s="41">
        <f>[1]节奏总纲!N64</f>
        <v>71</v>
      </c>
      <c r="O64" s="31">
        <v>61</v>
      </c>
      <c r="P64" s="31">
        <f>[1]节奏总纲!P64</f>
        <v>67.593501602322732</v>
      </c>
      <c r="Q64" s="31">
        <f>[1]节奏总纲!Q64</f>
        <v>58.596806539053574</v>
      </c>
      <c r="R64" s="31">
        <f>[1]节奏总纲!R64</f>
        <v>47.977867437328676</v>
      </c>
      <c r="S64" s="31">
        <f>[1]节奏总纲!S64</f>
        <v>35.229733035130607</v>
      </c>
      <c r="T64" s="31">
        <f>[1]节奏总纲!T64</f>
        <v>19.602115464673592</v>
      </c>
      <c r="V64" s="31">
        <v>61</v>
      </c>
      <c r="W64" s="31">
        <f>[1]节奏总纲!W64</f>
        <v>4.593501602322732</v>
      </c>
      <c r="X64" s="31">
        <f>[1]节奏总纲!X64</f>
        <v>4.0073065390535731</v>
      </c>
      <c r="Y64" s="31">
        <f>[1]节奏总纲!Y64</f>
        <v>3.2604674373286784</v>
      </c>
      <c r="Z64" s="31">
        <f>[1]节奏总纲!Z64</f>
        <v>2.4193330351306059</v>
      </c>
      <c r="AA64" s="31">
        <f>[1]节奏总纲!AA64</f>
        <v>1.3258154646735889</v>
      </c>
      <c r="AC64" s="31">
        <v>61</v>
      </c>
      <c r="AD64" s="31">
        <f>[1]节奏总纲!AD64</f>
        <v>59.533352307096465</v>
      </c>
      <c r="AE64" s="31">
        <f>[1]节奏总纲!AE64</f>
        <v>61.56596850695108</v>
      </c>
      <c r="AF64" s="31">
        <f>[1]节奏总纲!AF64</f>
        <v>64.368413367596901</v>
      </c>
      <c r="AG64" s="31">
        <f>[1]节奏总纲!AG64</f>
        <v>68.870150553250454</v>
      </c>
      <c r="AH64" s="31">
        <f>[1]节奏总纲!AH64</f>
        <v>77.355745991356301</v>
      </c>
      <c r="AM64" s="31">
        <f>[1]节奏总纲!AM64</f>
        <v>2963.5631311027469</v>
      </c>
      <c r="AN64" s="31">
        <f>[1]节奏总纲!AN64</f>
        <v>2370.8505048821976</v>
      </c>
      <c r="AO64" s="31">
        <f>[1]节奏总纲!AO64</f>
        <v>1778.1378786616481</v>
      </c>
      <c r="AP64" s="31">
        <f>[1]节奏总纲!AP64</f>
        <v>1185.4252524410988</v>
      </c>
      <c r="AQ64" s="31">
        <f>[1]节奏总纲!AQ64</f>
        <v>592.7126262205494</v>
      </c>
      <c r="AT64" s="31">
        <f>[1]节奏总纲!AT64</f>
        <v>404.18813110274687</v>
      </c>
      <c r="AU64" s="31">
        <f>[1]节奏总纲!AU64</f>
        <v>323.35050488219758</v>
      </c>
      <c r="AV64" s="31">
        <f>[1]节奏总纲!AV64</f>
        <v>242.51287866164807</v>
      </c>
      <c r="AW64" s="31">
        <f>[1]节奏总纲!AW64</f>
        <v>161.67525244109879</v>
      </c>
      <c r="AX64" s="31">
        <f>[1]节奏总纲!AX64</f>
        <v>80.837626220549396</v>
      </c>
      <c r="AZ64" s="31">
        <v>61</v>
      </c>
      <c r="BA64" s="31">
        <f>[1]节奏总纲!BA64</f>
        <v>34.733732909210673</v>
      </c>
      <c r="BB64" s="31">
        <f>[1]节奏总纲!BB64</f>
        <v>36.210690977363875</v>
      </c>
      <c r="BC64" s="31">
        <f>[1]节奏总纲!BC64</f>
        <v>38.14189763688286</v>
      </c>
      <c r="BD64" s="31">
        <f>[1]节奏总纲!BD64</f>
        <v>40.8682824677594</v>
      </c>
      <c r="BE64" s="31">
        <f>[1]节奏总纲!BE64</f>
        <v>45.534489353169384</v>
      </c>
    </row>
    <row r="65" spans="6:57" x14ac:dyDescent="0.15">
      <c r="F65" s="31">
        <v>63</v>
      </c>
      <c r="G65" s="31">
        <f t="shared" si="0"/>
        <v>77.793242454074615</v>
      </c>
      <c r="N65" s="41">
        <f>[1]节奏总纲!N65</f>
        <v>72</v>
      </c>
      <c r="O65" s="31">
        <v>62</v>
      </c>
      <c r="P65" s="31">
        <f>[1]节奏总纲!P65</f>
        <v>72.516694719810218</v>
      </c>
      <c r="Q65" s="31">
        <f>[1]节奏总纲!Q65</f>
        <v>62.842967644187539</v>
      </c>
      <c r="R65" s="31">
        <f>[1]节奏总纲!R65</f>
        <v>51.5086082594812</v>
      </c>
      <c r="S65" s="31">
        <f>[1]节奏总纲!S65</f>
        <v>37.846462974268952</v>
      </c>
      <c r="T65" s="31">
        <f>[1]节奏总纲!T65</f>
        <v>21.124113171880715</v>
      </c>
      <c r="V65" s="31">
        <v>62</v>
      </c>
      <c r="W65" s="31">
        <f>[1]节奏总纲!W65</f>
        <v>4.9231931174874859</v>
      </c>
      <c r="X65" s="31">
        <f>[1]节奏总纲!X65</f>
        <v>4.2461611051339645</v>
      </c>
      <c r="Y65" s="31">
        <f>[1]节奏总纲!Y65</f>
        <v>3.5307408221525236</v>
      </c>
      <c r="Z65" s="31">
        <f>[1]节奏总纲!Z65</f>
        <v>2.6167299391383452</v>
      </c>
      <c r="AA65" s="31">
        <f>[1]节奏总纲!AA65</f>
        <v>1.5219977072071238</v>
      </c>
      <c r="AC65" s="31">
        <v>62</v>
      </c>
      <c r="AD65" s="31">
        <f>[1]节奏总纲!AD65</f>
        <v>59.766676153548232</v>
      </c>
      <c r="AE65" s="31">
        <f>[1]节奏总纲!AE65</f>
        <v>61.801475350718952</v>
      </c>
      <c r="AF65" s="31">
        <f>[1]节奏总纲!AF65</f>
        <v>64.593779498920611</v>
      </c>
      <c r="AG65" s="31">
        <f>[1]节奏总纲!AG65</f>
        <v>69.105843627521551</v>
      </c>
      <c r="AH65" s="31">
        <f>[1]节奏总纲!AH65</f>
        <v>77.59868607965646</v>
      </c>
      <c r="AM65" s="31">
        <f>[1]节奏总纲!AM65</f>
        <v>3431.3522956038646</v>
      </c>
      <c r="AN65" s="31">
        <f>[1]节奏总纲!AN65</f>
        <v>2745.081836483092</v>
      </c>
      <c r="AO65" s="31">
        <f>[1]节奏总纲!AO65</f>
        <v>2058.8113773623186</v>
      </c>
      <c r="AP65" s="31">
        <f>[1]节奏总纲!AP65</f>
        <v>1372.540918241546</v>
      </c>
      <c r="AQ65" s="31">
        <f>[1]节奏总纲!AQ65</f>
        <v>686.27045912077301</v>
      </c>
      <c r="AT65" s="31">
        <f>[1]节奏总纲!AT65</f>
        <v>467.78916450111774</v>
      </c>
      <c r="AU65" s="31">
        <f>[1]节奏总纲!AU65</f>
        <v>374.23133160089446</v>
      </c>
      <c r="AV65" s="31">
        <f>[1]节奏总纲!AV65</f>
        <v>280.67349870067051</v>
      </c>
      <c r="AW65" s="31">
        <f>[1]节奏总纲!AW65</f>
        <v>187.11566580044723</v>
      </c>
      <c r="AX65" s="31">
        <f>[1]节奏总纲!AX65</f>
        <v>93.557832900223616</v>
      </c>
      <c r="AZ65" s="31">
        <v>62</v>
      </c>
      <c r="BA65" s="31">
        <f>[1]节奏总纲!BA65</f>
        <v>34.840239745526404</v>
      </c>
      <c r="BB65" s="31">
        <f>[1]节奏总纲!BB65</f>
        <v>36.315904388158508</v>
      </c>
      <c r="BC65" s="31">
        <f>[1]节奏总纲!BC65</f>
        <v>38.246281847279398</v>
      </c>
      <c r="BD65" s="31">
        <f>[1]节奏总纲!BD65</f>
        <v>40.984830450008978</v>
      </c>
      <c r="BE65" s="31">
        <f>[1]节奏总纲!BE65</f>
        <v>45.646073769279901</v>
      </c>
    </row>
    <row r="66" spans="6:57" x14ac:dyDescent="0.15">
      <c r="F66" s="31">
        <v>64</v>
      </c>
      <c r="G66" s="31">
        <f t="shared" si="0"/>
        <v>83.4485062894652</v>
      </c>
      <c r="N66" s="41">
        <f>[1]节奏总纲!N66</f>
        <v>73</v>
      </c>
      <c r="O66" s="31">
        <v>63</v>
      </c>
      <c r="P66" s="31">
        <f>[1]节奏总纲!P66</f>
        <v>77.793242454074615</v>
      </c>
      <c r="Q66" s="31">
        <f>[1]节奏总纲!Q66</f>
        <v>67.470079180418907</v>
      </c>
      <c r="R66" s="31">
        <f>[1]节奏总纲!R66</f>
        <v>55.27987808786542</v>
      </c>
      <c r="S66" s="31">
        <f>[1]节奏总纲!S66</f>
        <v>40.678086479235617</v>
      </c>
      <c r="T66" s="31">
        <f>[1]节奏总纲!T66</f>
        <v>22.700068148098975</v>
      </c>
      <c r="V66" s="31">
        <v>63</v>
      </c>
      <c r="W66" s="31">
        <f>[1]节奏总纲!W66</f>
        <v>5.2765477342643976</v>
      </c>
      <c r="X66" s="31">
        <f>[1]节奏总纲!X66</f>
        <v>4.6271115362313679</v>
      </c>
      <c r="Y66" s="31">
        <f>[1]节奏总纲!Y66</f>
        <v>3.7712698283842201</v>
      </c>
      <c r="Z66" s="31">
        <f>[1]节奏总纲!Z66</f>
        <v>2.8316235049666645</v>
      </c>
      <c r="AA66" s="31">
        <f>[1]节奏总纲!AA66</f>
        <v>1.5759549762182594</v>
      </c>
      <c r="AC66" s="31">
        <v>63</v>
      </c>
      <c r="AD66" s="31">
        <f>[1]节奏总纲!AD66</f>
        <v>60</v>
      </c>
      <c r="AE66" s="31">
        <f>[1]节奏总纲!AE66</f>
        <v>62.033937447710706</v>
      </c>
      <c r="AF66" s="31">
        <f>[1]节奏总纲!AF66</f>
        <v>64.819145630244321</v>
      </c>
      <c r="AG66" s="31">
        <f>[1]节奏总纲!AG66</f>
        <v>69.333613546893503</v>
      </c>
      <c r="AH66" s="31">
        <f>[1]节奏总纲!AH66</f>
        <v>77.841626167956619</v>
      </c>
      <c r="AM66" s="31">
        <f>[1]节奏总纲!AM66</f>
        <v>3972.7200361130153</v>
      </c>
      <c r="AN66" s="31">
        <f>[1]节奏总纲!AN66</f>
        <v>3178.1760288904125</v>
      </c>
      <c r="AO66" s="31">
        <f>[1]节奏总纲!AO66</f>
        <v>2383.6320216678091</v>
      </c>
      <c r="AP66" s="31">
        <f>[1]节奏总纲!AP66</f>
        <v>1589.0880144452062</v>
      </c>
      <c r="AQ66" s="31">
        <f>[1]节奏总纲!AQ66</f>
        <v>794.54400722260311</v>
      </c>
      <c r="AT66" s="31">
        <f>[1]节奏总纲!AT66</f>
        <v>541.36774050915074</v>
      </c>
      <c r="AU66" s="31">
        <f>[1]节奏总纲!AU66</f>
        <v>433.09419240732041</v>
      </c>
      <c r="AV66" s="31">
        <f>[1]节奏总纲!AV66</f>
        <v>324.82064430549053</v>
      </c>
      <c r="AW66" s="31">
        <f>[1]节奏总纲!AW66</f>
        <v>216.5470962036602</v>
      </c>
      <c r="AX66" s="31">
        <f>[1]节奏总纲!AX66</f>
        <v>108.2735481018301</v>
      </c>
      <c r="AZ66" s="31">
        <v>63</v>
      </c>
      <c r="BA66" s="31">
        <f>[1]节奏总纲!BA66</f>
        <v>34.946746581842135</v>
      </c>
      <c r="BB66" s="31">
        <f>[1]节奏总纲!BB66</f>
        <v>36.421117798953141</v>
      </c>
      <c r="BC66" s="31">
        <f>[1]节奏总纲!BC66</f>
        <v>38.35066605767593</v>
      </c>
      <c r="BD66" s="31">
        <f>[1]节奏总纲!BD66</f>
        <v>41.087476216725996</v>
      </c>
      <c r="BE66" s="31">
        <f>[1]节奏总纲!BE66</f>
        <v>45.757658185390426</v>
      </c>
    </row>
    <row r="67" spans="6:57" x14ac:dyDescent="0.15">
      <c r="F67" s="31">
        <v>65</v>
      </c>
      <c r="G67" s="31">
        <f t="shared" si="0"/>
        <v>89.509667991878061</v>
      </c>
      <c r="N67" s="41">
        <f>[1]节奏总纲!N67</f>
        <v>74</v>
      </c>
      <c r="O67" s="31">
        <v>64</v>
      </c>
      <c r="P67" s="31">
        <f>[1]节奏总纲!P67</f>
        <v>83.4485062894652</v>
      </c>
      <c r="Q67" s="31">
        <f>[1]节奏总纲!Q67</f>
        <v>72.399924056740005</v>
      </c>
      <c r="R67" s="31">
        <f>[1]节奏总纲!R67</f>
        <v>59.365267374325548</v>
      </c>
      <c r="S67" s="31">
        <f>[1]节奏总纲!S67</f>
        <v>43.718672445050821</v>
      </c>
      <c r="T67" s="31">
        <f>[1]节奏总纲!T67</f>
        <v>24.341929284637001</v>
      </c>
      <c r="V67" s="31">
        <v>64</v>
      </c>
      <c r="W67" s="31">
        <f>[1]节奏总纲!W67</f>
        <v>5.6552638353905849</v>
      </c>
      <c r="X67" s="31">
        <f>[1]节奏总纲!X67</f>
        <v>4.9298448763210985</v>
      </c>
      <c r="Y67" s="31">
        <f>[1]节奏总纲!Y67</f>
        <v>4.0853892864601278</v>
      </c>
      <c r="Z67" s="31">
        <f>[1]节奏总纲!Z67</f>
        <v>3.0405859658152039</v>
      </c>
      <c r="AA67" s="31">
        <f>[1]节奏总纲!AA67</f>
        <v>1.6418611365380258</v>
      </c>
      <c r="AC67" s="31">
        <v>64</v>
      </c>
      <c r="AD67" s="31">
        <f>[1]节奏总纲!AD67</f>
        <v>60.217698846451768</v>
      </c>
      <c r="AE67" s="31">
        <f>[1]节奏总纲!AE67</f>
        <v>62.250054995811666</v>
      </c>
      <c r="AF67" s="31">
        <f>[1]节奏总纲!AF67</f>
        <v>65.042129882798193</v>
      </c>
      <c r="AG67" s="31">
        <f>[1]节奏总纲!AG67</f>
        <v>69.56138346626544</v>
      </c>
      <c r="AH67" s="31">
        <f>[1]节奏总纲!AH67</f>
        <v>78.077870469399883</v>
      </c>
      <c r="AM67" s="31">
        <f>[1]节奏总纲!AM67</f>
        <v>4599.2048883665893</v>
      </c>
      <c r="AN67" s="31">
        <f>[1]节奏总纲!AN67</f>
        <v>3679.3639106932715</v>
      </c>
      <c r="AO67" s="31">
        <f>[1]节奏总纲!AO67</f>
        <v>2759.5229330199536</v>
      </c>
      <c r="AP67" s="31">
        <f>[1]节奏总纲!AP67</f>
        <v>1839.6819553466357</v>
      </c>
      <c r="AQ67" s="31">
        <f>[1]节奏总纲!AQ67</f>
        <v>919.84097767331787</v>
      </c>
      <c r="AT67" s="31">
        <f>[1]节奏总纲!AT67</f>
        <v>626.48485225357399</v>
      </c>
      <c r="AU67" s="31">
        <f>[1]节奏总纲!AU67</f>
        <v>501.18788180285901</v>
      </c>
      <c r="AV67" s="31">
        <f>[1]节奏总纲!AV67</f>
        <v>375.89091135214449</v>
      </c>
      <c r="AW67" s="31">
        <f>[1]节奏总纲!AW67</f>
        <v>250.59394090142951</v>
      </c>
      <c r="AX67" s="31">
        <f>[1]节奏总纲!AX67</f>
        <v>125.29697045071475</v>
      </c>
      <c r="AZ67" s="31">
        <v>64</v>
      </c>
      <c r="BA67" s="31">
        <f>[1]节奏总纲!BA67</f>
        <v>35.048795427931836</v>
      </c>
      <c r="BB67" s="31">
        <f>[1]节奏总纲!BB67</f>
        <v>36.526331209747774</v>
      </c>
      <c r="BC67" s="31">
        <f>[1]节奏总纲!BC67</f>
        <v>38.455050268072462</v>
      </c>
      <c r="BD67" s="31">
        <f>[1]节奏总纲!BD67</f>
        <v>41.188041754455355</v>
      </c>
      <c r="BE67" s="31">
        <f>[1]节奏总纲!BE67</f>
        <v>45.869242601500943</v>
      </c>
    </row>
    <row r="68" spans="6:57" x14ac:dyDescent="0.15">
      <c r="F68" s="31">
        <v>66</v>
      </c>
      <c r="G68" s="31">
        <f t="shared" ref="G68:G131" si="7">(2^(F68/10)-1)/(2-1)</f>
        <v>96.005860256665443</v>
      </c>
      <c r="N68" s="41">
        <f>[1]节奏总纲!N68</f>
        <v>75</v>
      </c>
      <c r="O68" s="31">
        <v>65</v>
      </c>
      <c r="P68" s="31">
        <f>[1]节奏总纲!P68</f>
        <v>89.509667991878061</v>
      </c>
      <c r="Q68" s="31">
        <f>[1]节奏总纲!Q68</f>
        <v>77.64963698295422</v>
      </c>
      <c r="R68" s="31">
        <f>[1]节奏总纲!R68</f>
        <v>63.802491344610679</v>
      </c>
      <c r="S68" s="31">
        <f>[1]节奏总纲!S68</f>
        <v>46.929918928141667</v>
      </c>
      <c r="T68" s="31">
        <f>[1]节奏总纲!T68</f>
        <v>25.993607584841389</v>
      </c>
      <c r="V68" s="31">
        <v>65</v>
      </c>
      <c r="W68" s="31">
        <f>[1]节奏总纲!W68</f>
        <v>6.0611617024128606</v>
      </c>
      <c r="X68" s="31">
        <f>[1]节奏总纲!X68</f>
        <v>5.2497129262142153</v>
      </c>
      <c r="Y68" s="31">
        <f>[1]节奏总纲!Y68</f>
        <v>4.4372239702851317</v>
      </c>
      <c r="Z68" s="31">
        <f>[1]节奏总纲!Z68</f>
        <v>3.2112464830908465</v>
      </c>
      <c r="AA68" s="31">
        <f>[1]节奏总纲!AA68</f>
        <v>1.651678300204388</v>
      </c>
      <c r="AC68" s="31">
        <v>65</v>
      </c>
      <c r="AD68" s="31">
        <f>[1]节奏总纲!AD68</f>
        <v>60.435397692903535</v>
      </c>
      <c r="AE68" s="31">
        <f>[1]节奏总纲!AE68</f>
        <v>62.466172543912634</v>
      </c>
      <c r="AF68" s="31">
        <f>[1]节奏总纲!AF68</f>
        <v>65.255436396961542</v>
      </c>
      <c r="AG68" s="31">
        <f>[1]节奏总纲!AG68</f>
        <v>69.789153385637391</v>
      </c>
      <c r="AH68" s="31">
        <f>[1]节奏总纲!AH68</f>
        <v>78.301575047908599</v>
      </c>
      <c r="AM68" s="31">
        <f>[1]节奏总纲!AM68</f>
        <v>5324.1500000000005</v>
      </c>
      <c r="AN68" s="31">
        <f>[1]节奏总纲!AN68</f>
        <v>4259.3200000000006</v>
      </c>
      <c r="AO68" s="31">
        <f>[1]节奏总纲!AO68</f>
        <v>3194.4900000000002</v>
      </c>
      <c r="AP68" s="31">
        <f>[1]节奏总纲!AP68</f>
        <v>2129.6600000000003</v>
      </c>
      <c r="AQ68" s="31">
        <f>[1]节奏总纲!AQ68</f>
        <v>1064.8300000000002</v>
      </c>
      <c r="AT68" s="31">
        <f>[1]节奏总纲!AT68</f>
        <v>724.94511163341122</v>
      </c>
      <c r="AU68" s="31">
        <f>[1]节奏总纲!AU68</f>
        <v>579.95608930672915</v>
      </c>
      <c r="AV68" s="31">
        <f>[1]节奏总纲!AV68</f>
        <v>434.96706698004664</v>
      </c>
      <c r="AW68" s="31">
        <f>[1]节奏总纲!AW68</f>
        <v>289.97804465336458</v>
      </c>
      <c r="AX68" s="31">
        <f>[1]节奏总纲!AX68</f>
        <v>144.98902232668229</v>
      </c>
      <c r="AZ68" s="31">
        <v>65</v>
      </c>
      <c r="BA68" s="31">
        <f>[1]节奏总纲!BA68</f>
        <v>35.146386283795508</v>
      </c>
      <c r="BB68" s="31">
        <f>[1]节奏总纲!BB68</f>
        <v>36.631544620542407</v>
      </c>
      <c r="BC68" s="31">
        <f>[1]节奏总纲!BC68</f>
        <v>38.559434478468994</v>
      </c>
      <c r="BD68" s="31">
        <f>[1]节奏总纲!BD68</f>
        <v>41.288607292184714</v>
      </c>
      <c r="BE68" s="31">
        <f>[1]节奏总纲!BE68</f>
        <v>45.98082701761146</v>
      </c>
    </row>
    <row r="69" spans="6:57" x14ac:dyDescent="0.15">
      <c r="F69" s="31">
        <v>67</v>
      </c>
      <c r="G69" s="31">
        <f t="shared" si="7"/>
        <v>102.96830673359811</v>
      </c>
      <c r="N69" s="41">
        <f>[1]节奏总纲!N69</f>
        <v>76</v>
      </c>
      <c r="O69" s="31">
        <v>66</v>
      </c>
      <c r="P69" s="31">
        <f>[1]节奏总纲!P69</f>
        <v>96.005860256665443</v>
      </c>
      <c r="Q69" s="31">
        <f>[1]节奏总纲!Q69</f>
        <v>83.352287874836932</v>
      </c>
      <c r="R69" s="31">
        <f>[1]节奏总纲!R69</f>
        <v>68.490580707105124</v>
      </c>
      <c r="S69" s="31">
        <f>[1]节奏总纲!S69</f>
        <v>50.163061984107692</v>
      </c>
      <c r="T69" s="31">
        <f>[1]节奏总纲!T69</f>
        <v>27.851300060458648</v>
      </c>
      <c r="V69" s="31">
        <v>66</v>
      </c>
      <c r="W69" s="31">
        <f>[1]节奏总纲!W69</f>
        <v>6.496192264787382</v>
      </c>
      <c r="X69" s="31">
        <f>[1]节奏总纲!X69</f>
        <v>5.7026508918827119</v>
      </c>
      <c r="Y69" s="31">
        <f>[1]节奏总纲!Y69</f>
        <v>4.6880893624944449</v>
      </c>
      <c r="Z69" s="31">
        <f>[1]节奏总纲!Z69</f>
        <v>3.2331430559660248</v>
      </c>
      <c r="AA69" s="31">
        <f>[1]节奏总纲!AA69</f>
        <v>1.8576924756172595</v>
      </c>
      <c r="AC69" s="31">
        <v>66</v>
      </c>
      <c r="AD69" s="31">
        <f>[1]节奏总纲!AD69</f>
        <v>60.653096539355303</v>
      </c>
      <c r="AE69" s="31">
        <f>[1]节奏总纲!AE69</f>
        <v>62.682290092013595</v>
      </c>
      <c r="AF69" s="31">
        <f>[1]节奏总纲!AF69</f>
        <v>65.468742911124906</v>
      </c>
      <c r="AG69" s="31">
        <f>[1]节奏总纲!AG69</f>
        <v>70.015851474333999</v>
      </c>
      <c r="AH69" s="31">
        <f>[1]节奏总纲!AH69</f>
        <v>78.525279626417301</v>
      </c>
      <c r="AM69" s="31">
        <f>[1]节奏总纲!AM69</f>
        <v>6162.9846853088866</v>
      </c>
      <c r="AN69" s="31">
        <f>[1]节奏总纲!AN69</f>
        <v>4930.3877482471098</v>
      </c>
      <c r="AO69" s="31">
        <f>[1]节奏总纲!AO69</f>
        <v>3697.7908111853317</v>
      </c>
      <c r="AP69" s="31">
        <f>[1]节奏总纲!AP69</f>
        <v>2465.1938741235549</v>
      </c>
      <c r="AQ69" s="31">
        <f>[1]节奏总纲!AQ69</f>
        <v>1232.5969370617775</v>
      </c>
      <c r="AT69" s="31">
        <f>[1]节奏总纲!AT69</f>
        <v>838.83468530888604</v>
      </c>
      <c r="AU69" s="31">
        <f>[1]节奏总纲!AU69</f>
        <v>671.06774824710919</v>
      </c>
      <c r="AV69" s="31">
        <f>[1]节奏总纲!AV69</f>
        <v>503.30081118533144</v>
      </c>
      <c r="AW69" s="31">
        <f>[1]节奏总纲!AW69</f>
        <v>335.5338741235546</v>
      </c>
      <c r="AX69" s="31">
        <f>[1]节奏总纲!AX69</f>
        <v>167.7669370617773</v>
      </c>
      <c r="AZ69" s="31">
        <v>66</v>
      </c>
      <c r="BA69" s="31">
        <f>[1]节奏总纲!BA69</f>
        <v>35.243977139659179</v>
      </c>
      <c r="BB69" s="31">
        <f>[1]节奏总纲!BB69</f>
        <v>36.73675803133704</v>
      </c>
      <c r="BC69" s="31">
        <f>[1]节奏总纲!BC69</f>
        <v>38.663818688865533</v>
      </c>
      <c r="BD69" s="31">
        <f>[1]节奏总纲!BD69</f>
        <v>41.389172829914081</v>
      </c>
      <c r="BE69" s="31">
        <f>[1]节奏总纲!BE69</f>
        <v>46.079770001861057</v>
      </c>
    </row>
    <row r="70" spans="6:57" x14ac:dyDescent="0.15">
      <c r="F70" s="31">
        <v>68</v>
      </c>
      <c r="G70" s="31">
        <f t="shared" si="7"/>
        <v>110.43047210190386</v>
      </c>
      <c r="N70" s="41">
        <f>[1]节奏总纲!N70</f>
        <v>77</v>
      </c>
      <c r="O70" s="31">
        <v>67</v>
      </c>
      <c r="P70" s="31">
        <f>[1]节奏总纲!P70</f>
        <v>102.96830673359811</v>
      </c>
      <c r="Q70" s="31">
        <f>[1]节奏总纲!Q70</f>
        <v>89.469161720823394</v>
      </c>
      <c r="R70" s="31">
        <f>[1]节奏总纲!R70</f>
        <v>73.292840732975137</v>
      </c>
      <c r="S70" s="31">
        <f>[1]节奏总纲!S70</f>
        <v>53.625894146857902</v>
      </c>
      <c r="T70" s="31">
        <f>[1]节奏总纲!T70</f>
        <v>29.799027968703292</v>
      </c>
      <c r="V70" s="31">
        <v>67</v>
      </c>
      <c r="W70" s="31">
        <f>[1]节奏总纲!W70</f>
        <v>6.9624464769326693</v>
      </c>
      <c r="X70" s="31">
        <f>[1]节奏总纲!X70</f>
        <v>6.1168738459864613</v>
      </c>
      <c r="Y70" s="31">
        <f>[1]节奏总纲!Y70</f>
        <v>4.8022600258700123</v>
      </c>
      <c r="Z70" s="31">
        <f>[1]节奏总纲!Z70</f>
        <v>3.4628321627502103</v>
      </c>
      <c r="AA70" s="31">
        <f>[1]节奏总纲!AA70</f>
        <v>1.9477279082446444</v>
      </c>
      <c r="AC70" s="31">
        <v>67</v>
      </c>
      <c r="AD70" s="31">
        <f>[1]节奏总纲!AD70</f>
        <v>60.870795385807064</v>
      </c>
      <c r="AE70" s="31">
        <f>[1]节奏总纲!AE70</f>
        <v>62.898407640114556</v>
      </c>
      <c r="AF70" s="31">
        <f>[1]节奏总纲!AF70</f>
        <v>65.682049425288255</v>
      </c>
      <c r="AG70" s="31">
        <f>[1]节奏总纲!AG70</f>
        <v>70.229195678021767</v>
      </c>
      <c r="AH70" s="31">
        <f>[1]节奏总纲!AH70</f>
        <v>78.748984204926018</v>
      </c>
      <c r="AM70" s="31">
        <f>[1]节奏总纲!AM70</f>
        <v>7133.5498113340191</v>
      </c>
      <c r="AN70" s="31">
        <f>[1]节奏总纲!AN70</f>
        <v>5706.8398490672153</v>
      </c>
      <c r="AO70" s="31">
        <f>[1]节奏总纲!AO70</f>
        <v>4280.1298868004114</v>
      </c>
      <c r="AP70" s="31">
        <f>[1]节奏总纲!AP70</f>
        <v>2853.4199245336076</v>
      </c>
      <c r="AQ70" s="31">
        <f>[1]节奏总纲!AQ70</f>
        <v>1426.7099622668038</v>
      </c>
      <c r="AT70" s="31">
        <f>[1]节奏总纲!AT70</f>
        <v>970.56512602513249</v>
      </c>
      <c r="AU70" s="31">
        <f>[1]节奏总纲!AU70</f>
        <v>776.45210082010544</v>
      </c>
      <c r="AV70" s="31">
        <f>[1]节奏总纲!AV70</f>
        <v>582.33907561507976</v>
      </c>
      <c r="AW70" s="31">
        <f>[1]节奏总纲!AW70</f>
        <v>388.22605041005272</v>
      </c>
      <c r="AX70" s="31">
        <f>[1]节奏总纲!AX70</f>
        <v>194.11302520502636</v>
      </c>
      <c r="AZ70" s="31">
        <v>67</v>
      </c>
      <c r="BA70" s="31">
        <f>[1]节奏总纲!BA70</f>
        <v>35.341567995522851</v>
      </c>
      <c r="BB70" s="31">
        <f>[1]节奏总纲!BB70</f>
        <v>36.841971442131673</v>
      </c>
      <c r="BC70" s="31">
        <f>[1]节奏总纲!BC70</f>
        <v>38.768202899262064</v>
      </c>
      <c r="BD70" s="31">
        <f>[1]节奏总纲!BD70</f>
        <v>41.48973836764344</v>
      </c>
      <c r="BE70" s="31">
        <f>[1]节奏总纲!BE70</f>
        <v>46.176090215954694</v>
      </c>
    </row>
    <row r="71" spans="6:57" x14ac:dyDescent="0.15">
      <c r="F71" s="31">
        <v>69</v>
      </c>
      <c r="G71" s="31">
        <f t="shared" si="7"/>
        <v>118.42822291671132</v>
      </c>
      <c r="N71" s="41">
        <f>[1]节奏总纲!N71</f>
        <v>78</v>
      </c>
      <c r="O71" s="31">
        <v>68</v>
      </c>
      <c r="P71" s="31">
        <f>[1]节奏总纲!P71</f>
        <v>110.43047210190386</v>
      </c>
      <c r="Q71" s="31">
        <f>[1]节奏总纲!Q71</f>
        <v>95.831563690032169</v>
      </c>
      <c r="R71" s="31">
        <f>[1]节奏总纲!R71</f>
        <v>78.251032531409081</v>
      </c>
      <c r="S71" s="31">
        <f>[1]节奏总纲!S71</f>
        <v>57.412802445779818</v>
      </c>
      <c r="T71" s="31">
        <f>[1]节奏总纲!T71</f>
        <v>31.859191201399263</v>
      </c>
      <c r="V71" s="31">
        <v>68</v>
      </c>
      <c r="W71" s="31">
        <f>[1]节奏总纲!W71</f>
        <v>7.4621653683057474</v>
      </c>
      <c r="X71" s="31">
        <f>[1]节奏总纲!X71</f>
        <v>6.3624019692087757</v>
      </c>
      <c r="Y71" s="31">
        <f>[1]节奏总纲!Y71</f>
        <v>4.9581917984339441</v>
      </c>
      <c r="Z71" s="31">
        <f>[1]节奏总纲!Z71</f>
        <v>3.7869082989219152</v>
      </c>
      <c r="AA71" s="31">
        <f>[1]节奏总纲!AA71</f>
        <v>2.0601632326959702</v>
      </c>
      <c r="AC71" s="31">
        <v>68</v>
      </c>
      <c r="AD71" s="31">
        <f>[1]节奏总纲!AD71</f>
        <v>61.082568038258209</v>
      </c>
      <c r="AE71" s="31">
        <f>[1]节奏总纲!AE71</f>
        <v>63.107492392331935</v>
      </c>
      <c r="AF71" s="31">
        <f>[1]节奏总纲!AF71</f>
        <v>65.895355939451605</v>
      </c>
      <c r="AG71" s="31">
        <f>[1]节奏总纲!AG71</f>
        <v>70.442539881709536</v>
      </c>
      <c r="AH71" s="31">
        <f>[1]节奏总纲!AH71</f>
        <v>78.972688783434734</v>
      </c>
      <c r="AM71" s="31">
        <f>[1]节奏总纲!AM71</f>
        <v>8256.4738250473602</v>
      </c>
      <c r="AN71" s="31">
        <f>[1]节奏总纲!AN71</f>
        <v>6605.1790600378881</v>
      </c>
      <c r="AO71" s="31">
        <f>[1]节奏总纲!AO71</f>
        <v>4953.8842950284161</v>
      </c>
      <c r="AP71" s="31">
        <f>[1]节奏总纲!AP71</f>
        <v>3302.5895300189441</v>
      </c>
      <c r="AQ71" s="31">
        <f>[1]节奏总纲!AQ71</f>
        <v>1651.294765009472</v>
      </c>
      <c r="AT71" s="31">
        <f>[1]节奏总纲!AT71</f>
        <v>1122.9240137133411</v>
      </c>
      <c r="AU71" s="31">
        <f>[1]节奏总纲!AU71</f>
        <v>898.33921097067287</v>
      </c>
      <c r="AV71" s="31">
        <f>[1]节奏总纲!AV71</f>
        <v>673.75440822800465</v>
      </c>
      <c r="AW71" s="31">
        <f>[1]节奏总纲!AW71</f>
        <v>449.16960548533643</v>
      </c>
      <c r="AX71" s="31">
        <f>[1]节奏总纲!AX71</f>
        <v>224.58480274266822</v>
      </c>
      <c r="AZ71" s="31">
        <v>68</v>
      </c>
      <c r="BA71" s="31">
        <f>[1]节奏总纲!BA71</f>
        <v>35.439158851386523</v>
      </c>
      <c r="BB71" s="31">
        <f>[1]节奏总纲!BB71</f>
        <v>36.947184852926306</v>
      </c>
      <c r="BC71" s="31">
        <f>[1]节奏总纲!BC71</f>
        <v>38.872587109658596</v>
      </c>
      <c r="BD71" s="31">
        <f>[1]节奏总纲!BD71</f>
        <v>41.590303905372799</v>
      </c>
      <c r="BE71" s="31">
        <f>[1]节奏总纲!BE71</f>
        <v>46.272410430048332</v>
      </c>
    </row>
    <row r="72" spans="6:57" x14ac:dyDescent="0.15">
      <c r="F72" s="31">
        <v>70</v>
      </c>
      <c r="G72" s="31">
        <f t="shared" si="7"/>
        <v>127</v>
      </c>
      <c r="N72" s="41">
        <f>[1]节奏总纲!N72</f>
        <v>79</v>
      </c>
      <c r="O72" s="31">
        <v>69</v>
      </c>
      <c r="P72" s="31">
        <f>[1]节奏总纲!P72</f>
        <v>118.42822291671132</v>
      </c>
      <c r="Q72" s="31">
        <f>[1]节奏总纲!Q72</f>
        <v>102.51146975670532</v>
      </c>
      <c r="R72" s="31">
        <f>[1]节奏总纲!R72</f>
        <v>83.894553114198303</v>
      </c>
      <c r="S72" s="31">
        <f>[1]节奏总纲!S72</f>
        <v>61.535304627523196</v>
      </c>
      <c r="T72" s="31">
        <f>[1]节奏总纲!T72</f>
        <v>34.059956910846175</v>
      </c>
      <c r="V72" s="31">
        <v>69</v>
      </c>
      <c r="W72" s="31">
        <f>[1]节奏总纲!W72</f>
        <v>7.9977508148074605</v>
      </c>
      <c r="X72" s="31">
        <f>[1]节奏总纲!X72</f>
        <v>6.6799060666731549</v>
      </c>
      <c r="Y72" s="31">
        <f>[1]节奏总纲!Y72</f>
        <v>5.6435205827892219</v>
      </c>
      <c r="Z72" s="31">
        <f>[1]节奏总纲!Z72</f>
        <v>4.1225021817433785</v>
      </c>
      <c r="AA72" s="31">
        <f>[1]节奏总纲!AA72</f>
        <v>2.2007657094469124</v>
      </c>
      <c r="AC72" s="31">
        <v>69</v>
      </c>
      <c r="AD72" s="31">
        <f>[1]节奏总纲!AD72</f>
        <v>61.285688244217212</v>
      </c>
      <c r="AE72" s="31">
        <f>[1]节奏总纲!AE72</f>
        <v>63.310338531528565</v>
      </c>
      <c r="AF72" s="31">
        <f>[1]节奏总纲!AF72</f>
        <v>66.106079073217742</v>
      </c>
      <c r="AG72" s="31">
        <f>[1]节奏总纲!AG72</f>
        <v>70.655884085397304</v>
      </c>
      <c r="AH72" s="31">
        <f>[1]节奏总纲!AH72</f>
        <v>79.188599387584361</v>
      </c>
      <c r="AM72" s="31">
        <f>[1]节奏总纲!AM72</f>
        <v>9555.6072874592737</v>
      </c>
      <c r="AN72" s="31">
        <f>[1]节奏总纲!AN72</f>
        <v>7644.4858299674197</v>
      </c>
      <c r="AO72" s="31">
        <f>[1]节奏总纲!AO72</f>
        <v>5733.3643724755639</v>
      </c>
      <c r="AP72" s="31">
        <f>[1]节奏总纲!AP72</f>
        <v>3822.2429149837099</v>
      </c>
      <c r="AQ72" s="31">
        <f>[1]节奏总纲!AQ72</f>
        <v>1911.1214574918549</v>
      </c>
      <c r="AT72" s="31">
        <f>[1]节奏总纲!AT72</f>
        <v>1299.1334624119136</v>
      </c>
      <c r="AU72" s="31">
        <f>[1]节奏总纲!AU72</f>
        <v>1039.3067699295316</v>
      </c>
      <c r="AV72" s="31">
        <f>[1]节奏总纲!AV72</f>
        <v>779.48007744714778</v>
      </c>
      <c r="AW72" s="31">
        <f>[1]节奏总纲!AW72</f>
        <v>519.65338496476579</v>
      </c>
      <c r="AX72" s="31">
        <f>[1]节奏总纲!AX72</f>
        <v>259.8266924823829</v>
      </c>
      <c r="AZ72" s="31">
        <v>69</v>
      </c>
      <c r="BA72" s="31">
        <f>[1]节奏总纲!BA72</f>
        <v>35.536749707250202</v>
      </c>
      <c r="BB72" s="31">
        <f>[1]节奏总纲!BB72</f>
        <v>37.045197000674086</v>
      </c>
      <c r="BC72" s="31">
        <f>[1]节奏总纲!BC72</f>
        <v>38.976971320055128</v>
      </c>
      <c r="BD72" s="31">
        <f>[1]节奏总纲!BD72</f>
        <v>41.690869443102159</v>
      </c>
      <c r="BE72" s="31">
        <f>[1]节奏总纲!BE72</f>
        <v>46.368730644141969</v>
      </c>
    </row>
    <row r="73" spans="6:57" x14ac:dyDescent="0.15">
      <c r="F73" s="31">
        <v>71</v>
      </c>
      <c r="G73" s="31">
        <f t="shared" si="7"/>
        <v>136.18700320464549</v>
      </c>
      <c r="N73" s="41">
        <f>[1]节奏总纲!N73</f>
        <v>80</v>
      </c>
      <c r="O73" s="31">
        <v>70</v>
      </c>
      <c r="P73" s="31">
        <f>[1]节奏总纲!P73</f>
        <v>127</v>
      </c>
      <c r="Q73" s="31">
        <f>[1]节奏总纲!Q73</f>
        <v>109.9693</v>
      </c>
      <c r="R73" s="31">
        <f>[1]节奏总纲!R73</f>
        <v>90.106499999999997</v>
      </c>
      <c r="S73" s="31">
        <f>[1]节奏总纲!S73</f>
        <v>65.925700000000006</v>
      </c>
      <c r="T73" s="31">
        <f>[1]节奏总纲!T73</f>
        <v>36.4998</v>
      </c>
      <c r="V73" s="31">
        <v>70</v>
      </c>
      <c r="W73" s="31">
        <f>[1]节奏总纲!W73</f>
        <v>8.5717770832886799</v>
      </c>
      <c r="X73" s="31">
        <f>[1]节奏总纲!X73</f>
        <v>7.4578302432946799</v>
      </c>
      <c r="Y73" s="31">
        <f>[1]节奏总纲!Y73</f>
        <v>6.2119468858016944</v>
      </c>
      <c r="Z73" s="31">
        <f>[1]节奏总纲!Z73</f>
        <v>4.3903953724768101</v>
      </c>
      <c r="AA73" s="31">
        <f>[1]节奏总纲!AA73</f>
        <v>2.4398430891538254</v>
      </c>
      <c r="AC73" s="31">
        <v>70</v>
      </c>
      <c r="AD73" s="31">
        <f>[1]节奏总纲!AD73</f>
        <v>61.488808450176215</v>
      </c>
      <c r="AE73" s="31">
        <f>[1]节奏总纲!AE73</f>
        <v>63.513184670725188</v>
      </c>
      <c r="AF73" s="31">
        <f>[1]节奏总纲!AF73</f>
        <v>66.314314361313961</v>
      </c>
      <c r="AG73" s="31">
        <f>[1]节奏总纲!AG73</f>
        <v>70.869228289085072</v>
      </c>
      <c r="AH73" s="31">
        <f>[1]节奏总纲!AH73</f>
        <v>79.403426131671111</v>
      </c>
      <c r="AM73" s="31">
        <f>[1]节奏总纲!AM73</f>
        <v>11058.525000000001</v>
      </c>
      <c r="AN73" s="31">
        <f>[1]节奏总纲!AN73</f>
        <v>8846.8200000000015</v>
      </c>
      <c r="AO73" s="31">
        <f>[1]节奏总纲!AO73</f>
        <v>6635.1150000000007</v>
      </c>
      <c r="AP73" s="31">
        <f>[1]节奏总纲!AP73</f>
        <v>4423.4100000000008</v>
      </c>
      <c r="AQ73" s="31">
        <f>[1]节奏总纲!AQ73</f>
        <v>2211.7050000000004</v>
      </c>
      <c r="AT73" s="31">
        <f>[1]节奏总纲!AT73</f>
        <v>1502.9177125407277</v>
      </c>
      <c r="AU73" s="31">
        <f>[1]节奏总纲!AU73</f>
        <v>1202.3341700325818</v>
      </c>
      <c r="AV73" s="31">
        <f>[1]节奏总纲!AV73</f>
        <v>901.75062752443682</v>
      </c>
      <c r="AW73" s="31">
        <f>[1]节奏总纲!AW73</f>
        <v>601.16708501629091</v>
      </c>
      <c r="AX73" s="31">
        <f>[1]节奏总纲!AX73</f>
        <v>300.58354250814546</v>
      </c>
      <c r="AZ73" s="31">
        <v>70</v>
      </c>
      <c r="BA73" s="31">
        <f>[1]节奏总纲!BA73</f>
        <v>35.634340563113874</v>
      </c>
      <c r="BB73" s="31">
        <f>[1]节奏总纲!BB73</f>
        <v>37.135950591746003</v>
      </c>
      <c r="BC73" s="31">
        <f>[1]节奏总纲!BC73</f>
        <v>39.070187171981765</v>
      </c>
      <c r="BD73" s="31">
        <f>[1]节奏总纲!BD73</f>
        <v>41.791434980831518</v>
      </c>
      <c r="BE73" s="31">
        <f>[1]节奏总纲!BE73</f>
        <v>46.465050858235607</v>
      </c>
    </row>
    <row r="74" spans="6:57" x14ac:dyDescent="0.15">
      <c r="F74" s="31">
        <v>72</v>
      </c>
      <c r="G74" s="31">
        <f t="shared" si="7"/>
        <v>146.03338943962044</v>
      </c>
      <c r="N74" s="41">
        <f>[1]节奏总纲!N74</f>
        <v>81</v>
      </c>
      <c r="O74" s="31">
        <v>71</v>
      </c>
      <c r="P74" s="31">
        <f>[1]节奏总纲!P74</f>
        <v>136.18700320464549</v>
      </c>
      <c r="Q74" s="31">
        <f>[1]节奏总纲!Q74</f>
        <v>118.03327567746625</v>
      </c>
      <c r="R74" s="31">
        <f>[1]节奏总纲!R74</f>
        <v>96.583822672734584</v>
      </c>
      <c r="S74" s="31">
        <f>[1]节奏总纲!S74</f>
        <v>70.612961161608681</v>
      </c>
      <c r="T74" s="31">
        <f>[1]节奏总纲!T74</f>
        <v>39.126526020694648</v>
      </c>
      <c r="V74" s="31">
        <v>71</v>
      </c>
      <c r="W74" s="31">
        <f>[1]节奏总纲!W74</f>
        <v>9.1870032046454924</v>
      </c>
      <c r="X74" s="31">
        <f>[1]节奏总纲!X74</f>
        <v>8.0639756774662459</v>
      </c>
      <c r="Y74" s="31">
        <f>[1]节奏总纲!Y74</f>
        <v>6.4773226727345872</v>
      </c>
      <c r="Z74" s="31">
        <f>[1]节奏总纲!Z74</f>
        <v>4.6872611616086743</v>
      </c>
      <c r="AA74" s="31">
        <f>[1]节奏总纲!AA74</f>
        <v>2.6267260206946474</v>
      </c>
      <c r="AC74" s="31">
        <v>71</v>
      </c>
      <c r="AD74" s="31">
        <f>[1]节奏总纲!AD74</f>
        <v>61.691928656135218</v>
      </c>
      <c r="AE74" s="31">
        <f>[1]节奏总纲!AE74</f>
        <v>63.716030809921811</v>
      </c>
      <c r="AF74" s="31">
        <f>[1]节奏总纲!AF74</f>
        <v>66.52254964941018</v>
      </c>
      <c r="AG74" s="31">
        <f>[1]节奏总纲!AG74</f>
        <v>71.07781362467729</v>
      </c>
      <c r="AH74" s="31">
        <f>[1]节奏总纲!AH74</f>
        <v>79.618252875757847</v>
      </c>
      <c r="AM74" s="31">
        <f>[1]节奏总纲!AM74</f>
        <v>12797.106216824561</v>
      </c>
      <c r="AN74" s="31">
        <f>[1]节奏总纲!AN74</f>
        <v>10237.684973459649</v>
      </c>
      <c r="AO74" s="31">
        <f>[1]节奏总纲!AO74</f>
        <v>7678.2637300947363</v>
      </c>
      <c r="AP74" s="31">
        <f>[1]节奏总纲!AP74</f>
        <v>5118.8424867298245</v>
      </c>
      <c r="AQ74" s="31">
        <f>[1]节奏总纲!AQ74</f>
        <v>2559.4212433649122</v>
      </c>
      <c r="AT74" s="31">
        <f>[1]节奏总纲!AT74</f>
        <v>1738.5812168245593</v>
      </c>
      <c r="AU74" s="31">
        <f>[1]节奏总纲!AU74</f>
        <v>1390.8649734596474</v>
      </c>
      <c r="AV74" s="31">
        <f>[1]节奏总纲!AV74</f>
        <v>1043.1487300947356</v>
      </c>
      <c r="AW74" s="31">
        <f>[1]节奏总纲!AW74</f>
        <v>695.43248672982372</v>
      </c>
      <c r="AX74" s="31">
        <f>[1]节奏总纲!AX74</f>
        <v>347.71624336491186</v>
      </c>
      <c r="AZ74" s="31">
        <v>71</v>
      </c>
      <c r="BA74" s="31">
        <f>[1]节奏总纲!BA74</f>
        <v>35.731931418977545</v>
      </c>
      <c r="BB74" s="31">
        <f>[1]节奏总纲!BB74</f>
        <v>37.226704182817912</v>
      </c>
      <c r="BC74" s="31">
        <f>[1]节奏总纲!BC74</f>
        <v>39.160241683169971</v>
      </c>
      <c r="BD74" s="31">
        <f>[1]节奏总纲!BD74</f>
        <v>41.892000518560877</v>
      </c>
      <c r="BE74" s="31">
        <f>[1]节奏总纲!BE74</f>
        <v>46.561371072329244</v>
      </c>
    </row>
    <row r="75" spans="6:57" x14ac:dyDescent="0.15">
      <c r="F75" s="31">
        <v>73</v>
      </c>
      <c r="G75" s="31">
        <f t="shared" si="7"/>
        <v>156.58648490814926</v>
      </c>
      <c r="N75" s="41">
        <f>[1]节奏总纲!N75</f>
        <v>82</v>
      </c>
      <c r="O75" s="31">
        <v>72</v>
      </c>
      <c r="P75" s="31">
        <f>[1]节奏总纲!P75</f>
        <v>146.03338943962044</v>
      </c>
      <c r="Q75" s="31">
        <f>[1]节奏总纲!Q75</f>
        <v>126.581741966263</v>
      </c>
      <c r="R75" s="31">
        <f>[1]节奏总纲!R75</f>
        <v>103.31862302853146</v>
      </c>
      <c r="S75" s="31">
        <f>[1]节奏总纲!S75</f>
        <v>75.586882373947532</v>
      </c>
      <c r="T75" s="31">
        <f>[1]节奏总纲!T75</f>
        <v>41.896979430227098</v>
      </c>
      <c r="V75" s="31">
        <v>72</v>
      </c>
      <c r="W75" s="31">
        <f>[1]节奏总纲!W75</f>
        <v>9.8463862349749434</v>
      </c>
      <c r="X75" s="31">
        <f>[1]节奏总纲!X75</f>
        <v>8.548466288796746</v>
      </c>
      <c r="Y75" s="31">
        <f>[1]节奏总纲!Y75</f>
        <v>6.7348003557968781</v>
      </c>
      <c r="Z75" s="31">
        <f>[1]节奏总纲!Z75</f>
        <v>4.9739212123388512</v>
      </c>
      <c r="AA75" s="31">
        <f>[1]节奏总纲!AA75</f>
        <v>2.7704534095324505</v>
      </c>
      <c r="AC75" s="31">
        <v>72</v>
      </c>
      <c r="AD75" s="31">
        <f>[1]节奏总纲!AD75</f>
        <v>61.895048862094221</v>
      </c>
      <c r="AE75" s="31">
        <f>[1]节奏总纲!AE75</f>
        <v>63.918876949118435</v>
      </c>
      <c r="AF75" s="31">
        <f>[1]节奏总纲!AF75</f>
        <v>66.7307849375064</v>
      </c>
      <c r="AG75" s="31">
        <f>[1]节奏总纲!AG75</f>
        <v>71.278862245535876</v>
      </c>
      <c r="AH75" s="31">
        <f>[1]节奏总纲!AH75</f>
        <v>79.833079619844597</v>
      </c>
      <c r="AM75" s="31">
        <f>[1]节奏总纲!AM75</f>
        <v>14808.205062920617</v>
      </c>
      <c r="AN75" s="31">
        <f>[1]节奏总纲!AN75</f>
        <v>11846.564050336494</v>
      </c>
      <c r="AO75" s="31">
        <f>[1]节奏总纲!AO75</f>
        <v>8884.9230377523691</v>
      </c>
      <c r="AP75" s="31">
        <f>[1]节奏总纲!AP75</f>
        <v>5923.2820251682469</v>
      </c>
      <c r="AQ75" s="31">
        <f>[1]节奏总纲!AQ75</f>
        <v>2961.6410125841235</v>
      </c>
      <c r="AT75" s="31">
        <f>[1]节奏总纲!AT75</f>
        <v>2011.0988460960561</v>
      </c>
      <c r="AU75" s="31">
        <f>[1]节奏总纲!AU75</f>
        <v>1608.8790768768449</v>
      </c>
      <c r="AV75" s="31">
        <f>[1]节奏总纲!AV75</f>
        <v>1206.6593076576328</v>
      </c>
      <c r="AW75" s="31">
        <f>[1]节奏总纲!AW75</f>
        <v>804.43953843842246</v>
      </c>
      <c r="AX75" s="31">
        <f>[1]节奏总纲!AX75</f>
        <v>402.21976921921123</v>
      </c>
      <c r="AZ75" s="31">
        <v>72</v>
      </c>
      <c r="BA75" s="31">
        <f>[1]节奏总纲!BA75</f>
        <v>35.829522274841217</v>
      </c>
      <c r="BB75" s="31">
        <f>[1]节奏总纲!BB75</f>
        <v>37.317457773889828</v>
      </c>
      <c r="BC75" s="31">
        <f>[1]节奏总纲!BC75</f>
        <v>39.250296194358178</v>
      </c>
      <c r="BD75" s="31">
        <f>[1]节奏总纲!BD75</f>
        <v>41.992566056290244</v>
      </c>
      <c r="BE75" s="31">
        <f>[1]节奏总纲!BE75</f>
        <v>46.657691286422882</v>
      </c>
    </row>
    <row r="76" spans="6:57" x14ac:dyDescent="0.15">
      <c r="F76" s="31">
        <v>74</v>
      </c>
      <c r="G76" s="31">
        <f t="shared" si="7"/>
        <v>167.89701257893043</v>
      </c>
      <c r="N76" s="41">
        <f>[1]节奏总纲!N76</f>
        <v>83</v>
      </c>
      <c r="O76" s="31">
        <v>73</v>
      </c>
      <c r="P76" s="31">
        <f>[1]节奏总纲!P76</f>
        <v>156.58648490814926</v>
      </c>
      <c r="Q76" s="31">
        <f>[1]节奏总纲!Q76</f>
        <v>135.41599214856748</v>
      </c>
      <c r="R76" s="31">
        <f>[1]节奏总纲!R76</f>
        <v>110.58137564213501</v>
      </c>
      <c r="S76" s="31">
        <f>[1]节奏总纲!S76</f>
        <v>80.955212697513176</v>
      </c>
      <c r="T76" s="31">
        <f>[1]节奏总纲!T76</f>
        <v>44.877686574675579</v>
      </c>
      <c r="V76" s="31">
        <v>73</v>
      </c>
      <c r="W76" s="31">
        <f>[1]节奏总纲!W76</f>
        <v>10.553095468528824</v>
      </c>
      <c r="X76" s="31">
        <f>[1]节奏总纲!X76</f>
        <v>8.834250182304487</v>
      </c>
      <c r="Y76" s="31">
        <f>[1]节奏总纲!Y76</f>
        <v>7.2627526136035527</v>
      </c>
      <c r="Z76" s="31">
        <f>[1]节奏总纲!Z76</f>
        <v>5.3683303235656439</v>
      </c>
      <c r="AA76" s="31">
        <f>[1]节奏总纲!AA76</f>
        <v>2.9807071444484805</v>
      </c>
      <c r="AC76" s="31">
        <v>73</v>
      </c>
      <c r="AD76" s="31">
        <f>[1]节奏总纲!AD76</f>
        <v>62.091594979242075</v>
      </c>
      <c r="AE76" s="31">
        <f>[1]节奏总纲!AE76</f>
        <v>64.114306430026588</v>
      </c>
      <c r="AF76" s="31">
        <f>[1]节奏总纲!AF76</f>
        <v>66.939020225602619</v>
      </c>
      <c r="AG76" s="31">
        <f>[1]节奏总纲!AG76</f>
        <v>71.479910866394462</v>
      </c>
      <c r="AH76" s="31">
        <f>[1]节奏总纲!AH76</f>
        <v>80.043898354812981</v>
      </c>
      <c r="AM76" s="31">
        <f>[1]节奏总纲!AM76</f>
        <v>17134.425155737379</v>
      </c>
      <c r="AN76" s="31">
        <f>[1]节奏总纲!AN76</f>
        <v>13707.540124589905</v>
      </c>
      <c r="AO76" s="31">
        <f>[1]节奏总纲!AO76</f>
        <v>10280.655093442427</v>
      </c>
      <c r="AP76" s="31">
        <f>[1]节奏总纲!AP76</f>
        <v>6853.7700622949524</v>
      </c>
      <c r="AQ76" s="31">
        <f>[1]节奏总纲!AQ76</f>
        <v>3426.8850311474762</v>
      </c>
      <c r="AT76" s="31">
        <f>[1]节奏总纲!AT76</f>
        <v>2326.2200928167622</v>
      </c>
      <c r="AU76" s="31">
        <f>[1]节奏总纲!AU76</f>
        <v>1860.9760742534108</v>
      </c>
      <c r="AV76" s="31">
        <f>[1]节奏总纲!AV76</f>
        <v>1395.7320556900577</v>
      </c>
      <c r="AW76" s="31">
        <f>[1]节奏总纲!AW76</f>
        <v>930.48803712670542</v>
      </c>
      <c r="AX76" s="31">
        <f>[1]节奏总纲!AX76</f>
        <v>465.24401856335271</v>
      </c>
      <c r="AZ76" s="31">
        <v>73</v>
      </c>
      <c r="BA76" s="31">
        <f>[1]节奏总纲!BA76</f>
        <v>35.927113130704889</v>
      </c>
      <c r="BB76" s="31">
        <f>[1]节奏总纲!BB76</f>
        <v>37.408211364961737</v>
      </c>
      <c r="BC76" s="31">
        <f>[1]节奏总纲!BC76</f>
        <v>39.340350705546385</v>
      </c>
      <c r="BD76" s="31">
        <f>[1]节奏总纲!BD76</f>
        <v>42.080366850119908</v>
      </c>
      <c r="BE76" s="31">
        <f>[1]节奏总纲!BE76</f>
        <v>46.754011500516519</v>
      </c>
    </row>
    <row r="77" spans="6:57" x14ac:dyDescent="0.15">
      <c r="F77" s="31">
        <v>75</v>
      </c>
      <c r="G77" s="31">
        <f t="shared" si="7"/>
        <v>180.01933598375612</v>
      </c>
      <c r="N77" s="41">
        <f>[1]节奏总纲!N77</f>
        <v>84</v>
      </c>
      <c r="O77" s="31">
        <v>74</v>
      </c>
      <c r="P77" s="31">
        <f>[1]节奏总纲!P77</f>
        <v>167.89701257893043</v>
      </c>
      <c r="Q77" s="31">
        <f>[1]节奏总纲!Q77</f>
        <v>145.16375707574326</v>
      </c>
      <c r="R77" s="31">
        <f>[1]节奏总纲!R77</f>
        <v>118.70318789330381</v>
      </c>
      <c r="S77" s="31">
        <f>[1]节奏总纲!S77</f>
        <v>86.869914308338593</v>
      </c>
      <c r="T77" s="31">
        <f>[1]节奏总纲!T77</f>
        <v>48.169652908895138</v>
      </c>
      <c r="V77" s="31">
        <v>74</v>
      </c>
      <c r="W77" s="31">
        <f>[1]节奏总纲!W77</f>
        <v>11.31052767078117</v>
      </c>
      <c r="X77" s="31">
        <f>[1]节奏总纲!X77</f>
        <v>9.7477649271757798</v>
      </c>
      <c r="Y77" s="31">
        <f>[1]节奏总纲!Y77</f>
        <v>8.1218122511687909</v>
      </c>
      <c r="Z77" s="31">
        <f>[1]节奏总纲!Z77</f>
        <v>5.9147016108254178</v>
      </c>
      <c r="AA77" s="31">
        <f>[1]节奏总纲!AA77</f>
        <v>3.2919663342195591</v>
      </c>
      <c r="AC77" s="31">
        <v>74</v>
      </c>
      <c r="AD77" s="31">
        <f>[1]节奏总纲!AD77</f>
        <v>62.281112832649576</v>
      </c>
      <c r="AE77" s="31">
        <f>[1]节奏总纲!AE77</f>
        <v>64.304793036447776</v>
      </c>
      <c r="AF77" s="31">
        <f>[1]节奏总纲!AF77</f>
        <v>67.14262442756818</v>
      </c>
      <c r="AG77" s="31">
        <f>[1]节奏总纲!AG77</f>
        <v>71.680959487253048</v>
      </c>
      <c r="AH77" s="31">
        <f>[1]节奏总纲!AH77</f>
        <v>80.24075196383977</v>
      </c>
      <c r="AM77" s="31">
        <f>[1]节奏总纲!AM77</f>
        <v>19825.014596370729</v>
      </c>
      <c r="AN77" s="31">
        <f>[1]节奏总纲!AN77</f>
        <v>15860.011677096583</v>
      </c>
      <c r="AO77" s="31">
        <f>[1]节奏总纲!AO77</f>
        <v>11895.008757822437</v>
      </c>
      <c r="AP77" s="31">
        <f>[1]节奏总纲!AP77</f>
        <v>7930.0058385482916</v>
      </c>
      <c r="AQ77" s="31">
        <f>[1]节奏总纲!AQ77</f>
        <v>3965.0029192741458</v>
      </c>
      <c r="AT77" s="31">
        <f>[1]节奏总纲!AT77</f>
        <v>2690.58944063335</v>
      </c>
      <c r="AU77" s="31">
        <f>[1]节奏总纲!AU77</f>
        <v>2152.4715525066786</v>
      </c>
      <c r="AV77" s="31">
        <f>[1]节奏总纲!AV77</f>
        <v>1614.3536643800107</v>
      </c>
      <c r="AW77" s="31">
        <f>[1]节奏总纲!AW77</f>
        <v>1076.2357762533393</v>
      </c>
      <c r="AX77" s="31">
        <f>[1]节奏总纲!AX77</f>
        <v>538.11788812666964</v>
      </c>
      <c r="AZ77" s="31">
        <v>74</v>
      </c>
      <c r="BA77" s="31">
        <f>[1]节奏总纲!BA77</f>
        <v>36.021306837933537</v>
      </c>
      <c r="BB77" s="31">
        <f>[1]节奏总纲!BB77</f>
        <v>37.498964956033646</v>
      </c>
      <c r="BC77" s="31">
        <f>[1]节奏总纲!BC77</f>
        <v>39.430405216734592</v>
      </c>
      <c r="BD77" s="31">
        <f>[1]节奏总纲!BD77</f>
        <v>42.167148737437564</v>
      </c>
      <c r="BE77" s="31">
        <f>[1]节奏总纲!BE77</f>
        <v>46.850331714610157</v>
      </c>
    </row>
    <row r="78" spans="6:57" x14ac:dyDescent="0.15">
      <c r="F78" s="31">
        <v>76</v>
      </c>
      <c r="G78" s="31">
        <f t="shared" si="7"/>
        <v>193.01172051333091</v>
      </c>
      <c r="N78" s="41">
        <f>[1]节奏总纲!N78</f>
        <v>85</v>
      </c>
      <c r="O78" s="31">
        <v>75</v>
      </c>
      <c r="P78" s="31">
        <f>[1]节奏总纲!P78</f>
        <v>180.01933598375612</v>
      </c>
      <c r="Q78" s="31">
        <f>[1]节奏总纲!Q78</f>
        <v>155.75272949314578</v>
      </c>
      <c r="R78" s="31">
        <f>[1]节奏总纲!R78</f>
        <v>127.38168214210583</v>
      </c>
      <c r="S78" s="31">
        <f>[1]节奏总纲!S78</f>
        <v>93.214012172388934</v>
      </c>
      <c r="T78" s="31">
        <f>[1]节奏总纲!T78</f>
        <v>51.755559095329879</v>
      </c>
      <c r="V78" s="31">
        <v>75</v>
      </c>
      <c r="W78" s="31">
        <f>[1]节奏总纲!W78</f>
        <v>12.122323404825693</v>
      </c>
      <c r="X78" s="31">
        <f>[1]节奏总纲!X78</f>
        <v>10.588972417402516</v>
      </c>
      <c r="Y78" s="31">
        <f>[1]节奏总纲!Y78</f>
        <v>8.6784942488020249</v>
      </c>
      <c r="Z78" s="31">
        <f>[1]节奏总纲!Z78</f>
        <v>6.3440978640503403</v>
      </c>
      <c r="AA78" s="31">
        <f>[1]节奏总纲!AA78</f>
        <v>3.585906186434741</v>
      </c>
      <c r="AC78" s="31">
        <v>75</v>
      </c>
      <c r="AD78" s="31">
        <f>[1]节奏总纲!AD78</f>
        <v>62.470630686057078</v>
      </c>
      <c r="AE78" s="31">
        <f>[1]节奏总纲!AE78</f>
        <v>64.495279642868965</v>
      </c>
      <c r="AF78" s="31">
        <f>[1]节奏总纲!AF78</f>
        <v>67.344310856946692</v>
      </c>
      <c r="AG78" s="31">
        <f>[1]节奏总纲!AG78</f>
        <v>71.882008108111634</v>
      </c>
      <c r="AH78" s="31">
        <f>[1]节奏总纲!AH78</f>
        <v>80.437605572866573</v>
      </c>
      <c r="AM78" s="31">
        <f>[1]节奏总纲!AM78</f>
        <v>22936.899999999998</v>
      </c>
      <c r="AN78" s="31">
        <f>[1]节奏总纲!AN78</f>
        <v>18349.52</v>
      </c>
      <c r="AO78" s="31">
        <f>[1]节奏总纲!AO78</f>
        <v>13762.139999999998</v>
      </c>
      <c r="AP78" s="31">
        <f>[1]节奏总纲!AP78</f>
        <v>9174.76</v>
      </c>
      <c r="AQ78" s="31">
        <f>[1]节奏总纲!AQ78</f>
        <v>4587.38</v>
      </c>
      <c r="AT78" s="31">
        <f>[1]节奏总纲!AT78</f>
        <v>3111.8854036292687</v>
      </c>
      <c r="AU78" s="31">
        <f>[1]节奏总纲!AU78</f>
        <v>2489.5083229034171</v>
      </c>
      <c r="AV78" s="31">
        <f>[1]节奏总纲!AV78</f>
        <v>1867.1312421775601</v>
      </c>
      <c r="AW78" s="31">
        <f>[1]节奏总纲!AW78</f>
        <v>1244.7541614517086</v>
      </c>
      <c r="AX78" s="31">
        <f>[1]节奏总纲!AX78</f>
        <v>622.37708072585428</v>
      </c>
      <c r="AZ78" s="31">
        <v>75</v>
      </c>
      <c r="BA78" s="31">
        <f>[1]节奏总纲!BA78</f>
        <v>36.105477566569242</v>
      </c>
      <c r="BB78" s="31">
        <f>[1]节奏总纲!BB78</f>
        <v>37.589718547105562</v>
      </c>
      <c r="BC78" s="31">
        <f>[1]节奏总纲!BC78</f>
        <v>39.520459727922798</v>
      </c>
      <c r="BD78" s="31">
        <f>[1]节奏总纲!BD78</f>
        <v>42.253930624755228</v>
      </c>
      <c r="BE78" s="31">
        <f>[1]节奏总纲!BE78</f>
        <v>46.946651928703787</v>
      </c>
    </row>
    <row r="79" spans="6:57" x14ac:dyDescent="0.15">
      <c r="F79" s="31">
        <v>77</v>
      </c>
      <c r="G79" s="31">
        <f t="shared" si="7"/>
        <v>206.93661346719625</v>
      </c>
      <c r="N79" s="41">
        <f>[1]节奏总纲!N79</f>
        <v>86</v>
      </c>
      <c r="O79" s="31">
        <v>76</v>
      </c>
      <c r="P79" s="31">
        <f>[1]节奏总纲!P79</f>
        <v>193.01172051333091</v>
      </c>
      <c r="Q79" s="31">
        <f>[1]节奏总纲!Q79</f>
        <v>166.97443941608256</v>
      </c>
      <c r="R79" s="31">
        <f>[1]节奏总纲!R79</f>
        <v>136.51718991907896</v>
      </c>
      <c r="S79" s="31">
        <f>[1]节奏总纲!S79</f>
        <v>100.0379747420594</v>
      </c>
      <c r="T79" s="31">
        <f>[1]节奏总纲!T79</f>
        <v>55.664580196044632</v>
      </c>
      <c r="V79" s="31">
        <v>76</v>
      </c>
      <c r="W79" s="31">
        <f>[1]节奏总纲!W79</f>
        <v>12.992384529574792</v>
      </c>
      <c r="X79" s="31">
        <f>[1]节奏总纲!X79</f>
        <v>11.221709922936782</v>
      </c>
      <c r="Y79" s="31">
        <f>[1]节奏总纲!Y79</f>
        <v>9.1355077769731281</v>
      </c>
      <c r="Z79" s="31">
        <f>[1]节奏总纲!Z79</f>
        <v>6.8239625696704707</v>
      </c>
      <c r="AA79" s="31">
        <f>[1]节奏总纲!AA79</f>
        <v>3.9090211007147531</v>
      </c>
      <c r="AC79" s="31">
        <v>76</v>
      </c>
      <c r="AD79" s="31">
        <f>[1]节奏总纲!AD79</f>
        <v>62.660148539464579</v>
      </c>
      <c r="AE79" s="31">
        <f>[1]节奏总纲!AE79</f>
        <v>64.685766249290154</v>
      </c>
      <c r="AF79" s="31">
        <f>[1]节奏总纲!AF79</f>
        <v>67.545997286325218</v>
      </c>
      <c r="AG79" s="31">
        <f>[1]节奏总纲!AG79</f>
        <v>72.076954583856178</v>
      </c>
      <c r="AH79" s="31">
        <f>[1]节奏总纲!AH79</f>
        <v>80.634459181893376</v>
      </c>
      <c r="AM79" s="31">
        <f>[1]节奏总纲!AM79</f>
        <v>26535.88112606269</v>
      </c>
      <c r="AN79" s="31">
        <f>[1]节奏总纲!AN79</f>
        <v>21228.704900850153</v>
      </c>
      <c r="AO79" s="31">
        <f>[1]节奏总纲!AO79</f>
        <v>15921.528675637614</v>
      </c>
      <c r="AP79" s="31">
        <f>[1]节奏总纲!AP79</f>
        <v>10614.352450425076</v>
      </c>
      <c r="AQ79" s="31">
        <f>[1]节奏总纲!AQ79</f>
        <v>5307.1762252125382</v>
      </c>
      <c r="AT79" s="31">
        <f>[1]节奏总纲!AT79</f>
        <v>3598.9811260626921</v>
      </c>
      <c r="AU79" s="31">
        <f>[1]节奏总纲!AU79</f>
        <v>2879.1849008501522</v>
      </c>
      <c r="AV79" s="31">
        <f>[1]节奏总纲!AV79</f>
        <v>2159.388675637616</v>
      </c>
      <c r="AW79" s="31">
        <f>[1]节奏总纲!AW79</f>
        <v>1439.5924504250761</v>
      </c>
      <c r="AX79" s="31">
        <f>[1]节奏总纲!AX79</f>
        <v>719.79622521253805</v>
      </c>
      <c r="AZ79" s="31">
        <v>76</v>
      </c>
      <c r="BA79" s="31">
        <f>[1]节奏总纲!BA79</f>
        <v>36.189648295204947</v>
      </c>
      <c r="BB79" s="31">
        <f>[1]节奏总纲!BB79</f>
        <v>37.680472138177471</v>
      </c>
      <c r="BC79" s="31">
        <f>[1]节奏总纲!BC79</f>
        <v>39.610514239111005</v>
      </c>
      <c r="BD79" s="31">
        <f>[1]节奏总纲!BD79</f>
        <v>42.340712512072891</v>
      </c>
      <c r="BE79" s="31">
        <f>[1]节奏总纲!BE79</f>
        <v>47.037096473408994</v>
      </c>
    </row>
    <row r="80" spans="6:57" x14ac:dyDescent="0.15">
      <c r="F80" s="31">
        <v>78</v>
      </c>
      <c r="G80" s="31">
        <f t="shared" si="7"/>
        <v>221.86094420380775</v>
      </c>
      <c r="N80" s="41">
        <f>[1]节奏总纲!N80</f>
        <v>87</v>
      </c>
      <c r="O80" s="31">
        <v>77</v>
      </c>
      <c r="P80" s="31">
        <f>[1]节奏总纲!P80</f>
        <v>206.93661346719625</v>
      </c>
      <c r="Q80" s="31">
        <f>[1]节奏总纲!Q80</f>
        <v>179.12433261720508</v>
      </c>
      <c r="R80" s="31">
        <f>[1]节奏总纲!R80</f>
        <v>146.53181599612165</v>
      </c>
      <c r="S80" s="31">
        <f>[1]节奏总纲!S80</f>
        <v>107.42079605082158</v>
      </c>
      <c r="T80" s="31">
        <f>[1]节奏总纲!T80</f>
        <v>59.535663694512365</v>
      </c>
      <c r="V80" s="31">
        <v>77</v>
      </c>
      <c r="W80" s="31">
        <f>[1]节奏总纲!W80</f>
        <v>13.924892953865339</v>
      </c>
      <c r="X80" s="31">
        <f>[1]节奏总纲!X80</f>
        <v>12.149893201122524</v>
      </c>
      <c r="Y80" s="31">
        <f>[1]节奏总纲!Y80</f>
        <v>10.014626077042692</v>
      </c>
      <c r="Z80" s="31">
        <f>[1]节奏总纲!Z80</f>
        <v>7.3828213087621748</v>
      </c>
      <c r="AA80" s="31">
        <f>[1]节奏总纲!AA80</f>
        <v>3.8710834984677334</v>
      </c>
      <c r="AC80" s="31">
        <v>77</v>
      </c>
      <c r="AD80" s="31">
        <f>[1]节奏总纲!AD80</f>
        <v>62.849666392872081</v>
      </c>
      <c r="AE80" s="31">
        <f>[1]节奏总纲!AE80</f>
        <v>64.876252855711357</v>
      </c>
      <c r="AF80" s="31">
        <f>[1]节奏总纲!AF80</f>
        <v>67.747683715703729</v>
      </c>
      <c r="AG80" s="31">
        <f>[1]节奏总纲!AG80</f>
        <v>72.263232241847945</v>
      </c>
      <c r="AH80" s="31">
        <f>[1]节奏总纲!AH80</f>
        <v>80.83131279092018</v>
      </c>
      <c r="AM80" s="31">
        <f>[1]节奏总纲!AM80</f>
        <v>30698.011006346387</v>
      </c>
      <c r="AN80" s="31">
        <f>[1]节奏总纲!AN80</f>
        <v>24558.40880507711</v>
      </c>
      <c r="AO80" s="31">
        <f>[1]节奏总纲!AO80</f>
        <v>18418.806603807832</v>
      </c>
      <c r="AP80" s="31">
        <f>[1]节奏总纲!AP80</f>
        <v>12279.204402538555</v>
      </c>
      <c r="AQ80" s="31">
        <f>[1]节奏总纲!AQ80</f>
        <v>6139.6022012692774</v>
      </c>
      <c r="AT80" s="31">
        <f>[1]节奏总纲!AT80</f>
        <v>4162.1298802836973</v>
      </c>
      <c r="AU80" s="31">
        <f>[1]节奏总纲!AU80</f>
        <v>3329.7039042269571</v>
      </c>
      <c r="AV80" s="31">
        <f>[1]节奏总纲!AV80</f>
        <v>2497.2779281702187</v>
      </c>
      <c r="AW80" s="31">
        <f>[1]节奏总纲!AW80</f>
        <v>1664.8519521134785</v>
      </c>
      <c r="AX80" s="31">
        <f>[1]节奏总纲!AX80</f>
        <v>832.42597605673927</v>
      </c>
      <c r="AZ80" s="31">
        <v>77</v>
      </c>
      <c r="BA80" s="31">
        <f>[1]节奏总纲!BA80</f>
        <v>36.273819023840659</v>
      </c>
      <c r="BB80" s="31">
        <f>[1]节奏总纲!BB80</f>
        <v>37.771225729249387</v>
      </c>
      <c r="BC80" s="31">
        <f>[1]节奏总纲!BC80</f>
        <v>39.700568750299212</v>
      </c>
      <c r="BD80" s="31">
        <f>[1]节奏总纲!BD80</f>
        <v>42.427494399390554</v>
      </c>
      <c r="BE80" s="31">
        <f>[1]节奏总纲!BE80</f>
        <v>47.12024662670057</v>
      </c>
    </row>
    <row r="81" spans="6:57" x14ac:dyDescent="0.15">
      <c r="F81" s="31">
        <v>79</v>
      </c>
      <c r="G81" s="31">
        <f t="shared" si="7"/>
        <v>237.85644583342264</v>
      </c>
      <c r="N81" s="41">
        <f>[1]节奏总纲!N81</f>
        <v>88</v>
      </c>
      <c r="O81" s="31">
        <v>78</v>
      </c>
      <c r="P81" s="31">
        <f>[1]节奏总纲!P81</f>
        <v>221.86094420380775</v>
      </c>
      <c r="Q81" s="31">
        <f>[1]节奏总纲!Q81</f>
        <v>192.04283330281601</v>
      </c>
      <c r="R81" s="31">
        <f>[1]节奏总纲!R81</f>
        <v>157.23285115723854</v>
      </c>
      <c r="S81" s="31">
        <f>[1]节奏总纲!S81</f>
        <v>115.1680161361966</v>
      </c>
      <c r="T81" s="31">
        <f>[1]节奏总纲!T81</f>
        <v>63.651904892072437</v>
      </c>
      <c r="V81" s="31">
        <v>78</v>
      </c>
      <c r="W81" s="31">
        <f>[1]节奏总纲!W81</f>
        <v>14.924330736611495</v>
      </c>
      <c r="X81" s="31">
        <f>[1]节奏总纲!X81</f>
        <v>12.918500685610923</v>
      </c>
      <c r="Y81" s="31">
        <f>[1]节奏总纲!Y81</f>
        <v>10.701035161116891</v>
      </c>
      <c r="Z81" s="31">
        <f>[1]节奏总纲!Z81</f>
        <v>7.7472200853750195</v>
      </c>
      <c r="AA81" s="31">
        <f>[1]节奏总纲!AA81</f>
        <v>4.1162411975600719</v>
      </c>
      <c r="AC81" s="31">
        <v>78</v>
      </c>
      <c r="AD81" s="31">
        <f>[1]节奏总纲!AD81</f>
        <v>63.036560194527354</v>
      </c>
      <c r="AE81" s="31">
        <f>[1]节奏总纲!AE81</f>
        <v>65.061438622789353</v>
      </c>
      <c r="AF81" s="31">
        <f>[1]节奏总纲!AF81</f>
        <v>67.949370145082256</v>
      </c>
      <c r="AG81" s="31">
        <f>[1]节奏总纲!AG81</f>
        <v>72.449509899839711</v>
      </c>
      <c r="AH81" s="31">
        <f>[1]节奏总纲!AH81</f>
        <v>81.026624803116562</v>
      </c>
      <c r="AM81" s="31">
        <f>[1]节奏总纲!AM81</f>
        <v>35511.190322760085</v>
      </c>
      <c r="AN81" s="31">
        <f>[1]节奏总纲!AN81</f>
        <v>28408.952258208068</v>
      </c>
      <c r="AO81" s="31">
        <f>[1]节奏总纲!AO81</f>
        <v>21306.714193656051</v>
      </c>
      <c r="AP81" s="31">
        <f>[1]节奏总纲!AP81</f>
        <v>14204.476129104034</v>
      </c>
      <c r="AQ81" s="31">
        <f>[1]节奏总纲!AQ81</f>
        <v>7102.238064552017</v>
      </c>
      <c r="AT81" s="31">
        <f>[1]节奏总纲!AT81</f>
        <v>4813.179316413698</v>
      </c>
      <c r="AU81" s="31">
        <f>[1]节奏总纲!AU81</f>
        <v>3850.5434531309584</v>
      </c>
      <c r="AV81" s="31">
        <f>[1]节奏总纲!AV81</f>
        <v>2887.9075898482188</v>
      </c>
      <c r="AW81" s="31">
        <f>[1]节奏总纲!AW81</f>
        <v>1925.2717265654792</v>
      </c>
      <c r="AX81" s="31">
        <f>[1]节奏总纲!AX81</f>
        <v>962.63586328273959</v>
      </c>
      <c r="AZ81" s="31">
        <v>78</v>
      </c>
      <c r="BA81" s="31">
        <f>[1]节奏总纲!BA81</f>
        <v>36.357989752476364</v>
      </c>
      <c r="BB81" s="31">
        <f>[1]节奏总纲!BB81</f>
        <v>37.861979320321296</v>
      </c>
      <c r="BC81" s="31">
        <f>[1]节奏总纲!BC81</f>
        <v>39.790623261487418</v>
      </c>
      <c r="BD81" s="31">
        <f>[1]节奏总纲!BD81</f>
        <v>42.51427628670821</v>
      </c>
      <c r="BE81" s="31">
        <f>[1]节奏总纲!BE81</f>
        <v>47.203396779992147</v>
      </c>
    </row>
    <row r="82" spans="6:57" x14ac:dyDescent="0.15">
      <c r="F82" s="31">
        <v>80</v>
      </c>
      <c r="G82" s="31">
        <f t="shared" si="7"/>
        <v>255</v>
      </c>
      <c r="N82" s="41">
        <f>[1]节奏总纲!N82</f>
        <v>89</v>
      </c>
      <c r="O82" s="31">
        <v>79</v>
      </c>
      <c r="P82" s="31">
        <f>[1]节奏总纲!P82</f>
        <v>237.85644583342264</v>
      </c>
      <c r="Q82" s="31">
        <f>[1]节奏总纲!Q82</f>
        <v>206.07882467007735</v>
      </c>
      <c r="R82" s="31">
        <f>[1]节奏总纲!R82</f>
        <v>168.73536267423003</v>
      </c>
      <c r="S82" s="31">
        <f>[1]节奏总纲!S82</f>
        <v>123.11449636337954</v>
      </c>
      <c r="T82" s="31">
        <f>[1]节奏总纲!T82</f>
        <v>68.122086086692235</v>
      </c>
      <c r="V82" s="31">
        <v>79</v>
      </c>
      <c r="W82" s="31">
        <f>[1]节奏总纲!W82</f>
        <v>15.995501629614893</v>
      </c>
      <c r="X82" s="31">
        <f>[1]节奏总纲!X82</f>
        <v>14.035991367261346</v>
      </c>
      <c r="Y82" s="31">
        <f>[1]节奏总纲!Y82</f>
        <v>11.50251151699149</v>
      </c>
      <c r="Z82" s="31">
        <f>[1]节奏总纲!Z82</f>
        <v>7.9464802271829456</v>
      </c>
      <c r="AA82" s="31">
        <f>[1]节奏总纲!AA82</f>
        <v>4.4701811946197978</v>
      </c>
      <c r="AC82" s="31">
        <v>79</v>
      </c>
      <c r="AD82" s="31">
        <f>[1]节奏总纲!AD82</f>
        <v>63.213386604241791</v>
      </c>
      <c r="AE82" s="31">
        <f>[1]节奏总纲!AE82</f>
        <v>65.23679566619937</v>
      </c>
      <c r="AF82" s="31">
        <f>[1]节奏总纲!AF82</f>
        <v>68.132712808893615</v>
      </c>
      <c r="AG82" s="31">
        <f>[1]节奏总纲!AG82</f>
        <v>72.635787557831478</v>
      </c>
      <c r="AH82" s="31">
        <f>[1]节奏总纲!AH82</f>
        <v>81.212704266341873</v>
      </c>
      <c r="AM82" s="31">
        <f>[1]节奏总纲!AM82</f>
        <v>41077.009235645834</v>
      </c>
      <c r="AN82" s="31">
        <f>[1]节奏总纲!AN82</f>
        <v>32861.60738851667</v>
      </c>
      <c r="AO82" s="31">
        <f>[1]节奏总纲!AO82</f>
        <v>24646.205541387499</v>
      </c>
      <c r="AP82" s="31">
        <f>[1]节奏总纲!AP82</f>
        <v>16430.803694258335</v>
      </c>
      <c r="AQ82" s="31">
        <f>[1]节奏总纲!AQ82</f>
        <v>8215.4018471291674</v>
      </c>
      <c r="AT82" s="31">
        <f>[1]节奏总纲!AT82</f>
        <v>5565.8189128857484</v>
      </c>
      <c r="AU82" s="31">
        <f>[1]节奏总纲!AU82</f>
        <v>4452.6551303086017</v>
      </c>
      <c r="AV82" s="31">
        <f>[1]节奏总纲!AV82</f>
        <v>3339.4913477314476</v>
      </c>
      <c r="AW82" s="31">
        <f>[1]节奏总纲!AW82</f>
        <v>2226.3275651543008</v>
      </c>
      <c r="AX82" s="31">
        <f>[1]节奏总纲!AX82</f>
        <v>1113.1637825771504</v>
      </c>
      <c r="AZ82" s="31">
        <v>79</v>
      </c>
      <c r="BA82" s="31">
        <f>[1]节奏总纲!BA82</f>
        <v>36.442160481112069</v>
      </c>
      <c r="BB82" s="31">
        <f>[1]节奏总纲!BB82</f>
        <v>37.952732911393213</v>
      </c>
      <c r="BC82" s="31">
        <f>[1]节奏总纲!BC82</f>
        <v>39.880677772675625</v>
      </c>
      <c r="BD82" s="31">
        <f>[1]节奏总纲!BD82</f>
        <v>42.601058174025873</v>
      </c>
      <c r="BE82" s="31">
        <f>[1]节奏总纲!BE82</f>
        <v>47.286546933283724</v>
      </c>
    </row>
    <row r="83" spans="6:57" x14ac:dyDescent="0.15">
      <c r="F83" s="31">
        <v>81</v>
      </c>
      <c r="G83" s="31">
        <f t="shared" si="7"/>
        <v>273.37400640929098</v>
      </c>
      <c r="N83" s="41">
        <f>[1]节奏总纲!N83</f>
        <v>90</v>
      </c>
      <c r="O83" s="31">
        <v>80</v>
      </c>
      <c r="P83" s="31">
        <f>[1]节奏总纲!P83</f>
        <v>255</v>
      </c>
      <c r="Q83" s="31">
        <f>[1]节奏总纲!Q83</f>
        <v>221.08500000000001</v>
      </c>
      <c r="R83" s="31">
        <f>[1]节奏总纲!R83</f>
        <v>180.33600000000001</v>
      </c>
      <c r="S83" s="31">
        <f>[1]节奏总纲!S83</f>
        <v>131.58000000000001</v>
      </c>
      <c r="T83" s="31">
        <f>[1]节奏总纲!T83</f>
        <v>72.777000000000001</v>
      </c>
      <c r="V83" s="31">
        <v>80</v>
      </c>
      <c r="W83" s="31">
        <f>[1]节奏总纲!W83</f>
        <v>17.14355416657736</v>
      </c>
      <c r="X83" s="31">
        <f>[1]节奏总纲!X83</f>
        <v>15.006175329922655</v>
      </c>
      <c r="Y83" s="31">
        <f>[1]节奏总纲!Y83</f>
        <v>11.600637325769981</v>
      </c>
      <c r="Z83" s="31">
        <f>[1]节奏总纲!Z83</f>
        <v>8.4655036366204683</v>
      </c>
      <c r="AA83" s="31">
        <f>[1]节奏总纲!AA83</f>
        <v>4.6549139133077659</v>
      </c>
      <c r="AC83" s="31">
        <v>80</v>
      </c>
      <c r="AD83" s="31">
        <f>[1]节奏总纲!AD83</f>
        <v>63.39021301395622</v>
      </c>
      <c r="AE83" s="31">
        <f>[1]节奏总纲!AE83</f>
        <v>65.412152709609373</v>
      </c>
      <c r="AF83" s="31">
        <f>[1]节奏总纲!AF83</f>
        <v>68.309907165737044</v>
      </c>
      <c r="AG83" s="31">
        <f>[1]节奏总纲!AG83</f>
        <v>72.822065215823244</v>
      </c>
      <c r="AH83" s="31">
        <f>[1]节奏总纲!AH83</f>
        <v>81.398783729567185</v>
      </c>
      <c r="AM83" s="31">
        <f>[1]节奏总纲!AM83</f>
        <v>47512.875</v>
      </c>
      <c r="AN83" s="31">
        <f>[1]节奏总纲!AN83</f>
        <v>38010.300000000003</v>
      </c>
      <c r="AO83" s="31">
        <f>[1]节奏总纲!AO83</f>
        <v>28507.724999999999</v>
      </c>
      <c r="AP83" s="31">
        <f>[1]节奏总纲!AP83</f>
        <v>19005.150000000001</v>
      </c>
      <c r="AQ83" s="31">
        <f>[1]节奏总纲!AQ83</f>
        <v>9502.5750000000007</v>
      </c>
      <c r="AT83" s="31">
        <f>[1]节奏总纲!AT83</f>
        <v>6435.8657643541665</v>
      </c>
      <c r="AU83" s="31">
        <f>[1]节奏总纲!AU83</f>
        <v>5148.6926114833332</v>
      </c>
      <c r="AV83" s="31">
        <f>[1]节奏总纲!AV83</f>
        <v>3861.5194586124999</v>
      </c>
      <c r="AW83" s="31">
        <f>[1]节奏总纲!AW83</f>
        <v>2574.3463057416666</v>
      </c>
      <c r="AX83" s="31">
        <f>[1]节奏总纲!AX83</f>
        <v>1287.1731528708333</v>
      </c>
      <c r="AZ83" s="31">
        <v>80</v>
      </c>
      <c r="BA83" s="31">
        <f>[1]节奏总纲!BA83</f>
        <v>36.526331209747774</v>
      </c>
      <c r="BB83" s="31">
        <f>[1]节奏总纲!BB83</f>
        <v>38.037513426486328</v>
      </c>
      <c r="BC83" s="31">
        <f>[1]节奏总纲!BC83</f>
        <v>39.970732283863832</v>
      </c>
      <c r="BD83" s="31">
        <f>[1]节奏总纲!BD83</f>
        <v>42.687840061343536</v>
      </c>
      <c r="BE83" s="31">
        <f>[1]节奏总纲!BE83</f>
        <v>47.3696970865753</v>
      </c>
    </row>
    <row r="84" spans="6:57" x14ac:dyDescent="0.15">
      <c r="F84" s="31">
        <v>82</v>
      </c>
      <c r="G84" s="31">
        <f t="shared" si="7"/>
        <v>293.06677887924064</v>
      </c>
      <c r="N84" s="41">
        <f>[1]节奏总纲!N84</f>
        <v>91</v>
      </c>
      <c r="O84" s="31">
        <v>81</v>
      </c>
      <c r="P84" s="31">
        <f>[1]节奏总纲!P84</f>
        <v>273.37400640929098</v>
      </c>
      <c r="Q84" s="31">
        <f>[1]节奏总纲!Q84</f>
        <v>236.35916594147301</v>
      </c>
      <c r="R84" s="31">
        <f>[1]节奏总纲!R84</f>
        <v>192.67399971726829</v>
      </c>
      <c r="S84" s="31">
        <f>[1]节奏总纲!S84</f>
        <v>140.76027590014394</v>
      </c>
      <c r="T84" s="31">
        <f>[1]节奏总纲!T84</f>
        <v>77.856917025366073</v>
      </c>
      <c r="V84" s="31">
        <v>81</v>
      </c>
      <c r="W84" s="31">
        <f>[1]节奏总纲!W84</f>
        <v>18.374006409290985</v>
      </c>
      <c r="X84" s="31">
        <f>[1]节奏总纲!X84</f>
        <v>15.274165941473001</v>
      </c>
      <c r="Y84" s="31">
        <f>[1]节奏总纲!Y84</f>
        <v>12.337999717268275</v>
      </c>
      <c r="Z84" s="31">
        <f>[1]节奏总纲!Z84</f>
        <v>9.1802759001439256</v>
      </c>
      <c r="AA84" s="31">
        <f>[1]节奏总纲!AA84</f>
        <v>5.0799170253660719</v>
      </c>
      <c r="AC84" s="31">
        <v>81</v>
      </c>
      <c r="AD84" s="31">
        <f>[1]节奏总纲!AD84</f>
        <v>63.567039423670657</v>
      </c>
      <c r="AE84" s="31">
        <f>[1]节奏总纲!AE84</f>
        <v>65.58750975301939</v>
      </c>
      <c r="AF84" s="31">
        <f>[1]节奏总纲!AF84</f>
        <v>68.487101522580488</v>
      </c>
      <c r="AG84" s="31">
        <f>[1]节奏总纲!AG84</f>
        <v>73.007572199822363</v>
      </c>
      <c r="AH84" s="31">
        <f>[1]节奏总纲!AH84</f>
        <v>81.584863192792497</v>
      </c>
      <c r="AM84" s="31">
        <f>[1]节奏总纲!AM84</f>
        <v>0</v>
      </c>
      <c r="AN84" s="31">
        <f>[1]节奏总纲!AN84</f>
        <v>0</v>
      </c>
      <c r="AO84" s="31">
        <f>[1]节奏总纲!AO84</f>
        <v>0</v>
      </c>
      <c r="AP84" s="31">
        <f>[1]节奏总纲!AP84</f>
        <v>0</v>
      </c>
      <c r="AQ84" s="31">
        <f>[1]节奏总纲!AQ84</f>
        <v>0</v>
      </c>
      <c r="AT84" s="31">
        <f>[1]节奏总纲!AT84</f>
        <v>0</v>
      </c>
      <c r="AU84" s="31">
        <f>[1]节奏总纲!AU84</f>
        <v>0</v>
      </c>
      <c r="AV84" s="31">
        <f>[1]节奏总纲!AV84</f>
        <v>0</v>
      </c>
      <c r="AW84" s="31">
        <f>[1]节奏总纲!AW84</f>
        <v>0</v>
      </c>
      <c r="AX84" s="31">
        <f>[1]节奏总纲!AX84</f>
        <v>0</v>
      </c>
      <c r="AZ84" s="31">
        <v>81</v>
      </c>
      <c r="BA84" s="31">
        <f>[1]节奏总纲!BA84</f>
        <v>36.610501938383479</v>
      </c>
      <c r="BB84" s="31">
        <f>[1]节奏总纲!BB84</f>
        <v>38.11580158428373</v>
      </c>
      <c r="BC84" s="31">
        <f>[1]节奏总纲!BC84</f>
        <v>40.052446592012309</v>
      </c>
      <c r="BD84" s="31">
        <f>[1]节奏总纲!BD84</f>
        <v>42.774621948661192</v>
      </c>
      <c r="BE84" s="31">
        <f>[1]节奏总纲!BE84</f>
        <v>47.452847239866877</v>
      </c>
    </row>
    <row r="85" spans="6:57" x14ac:dyDescent="0.15">
      <c r="F85" s="31">
        <v>83</v>
      </c>
      <c r="G85" s="31">
        <f t="shared" si="7"/>
        <v>314.1729698162988</v>
      </c>
      <c r="N85" s="41">
        <f>[1]节奏总纲!N85</f>
        <v>92</v>
      </c>
      <c r="O85" s="31">
        <v>82</v>
      </c>
      <c r="P85" s="31">
        <f>[1]节奏总纲!P85</f>
        <v>293.06677887924064</v>
      </c>
      <c r="Q85" s="31">
        <f>[1]节奏总纲!Q85</f>
        <v>253.15108359588808</v>
      </c>
      <c r="R85" s="31">
        <f>[1]节奏总纲!R85</f>
        <v>206.37762568676126</v>
      </c>
      <c r="S85" s="31">
        <f>[1]节奏总纲!S85</f>
        <v>150.81216441125721</v>
      </c>
      <c r="T85" s="31">
        <f>[1]节奏总纲!T85</f>
        <v>83.230965201704336</v>
      </c>
      <c r="V85" s="31">
        <v>82</v>
      </c>
      <c r="W85" s="31">
        <f>[1]节奏总纲!W85</f>
        <v>19.692772469949659</v>
      </c>
      <c r="X85" s="31">
        <f>[1]节奏总纲!X85</f>
        <v>16.791917654415073</v>
      </c>
      <c r="Y85" s="31">
        <f>[1]节奏总纲!Y85</f>
        <v>13.703625969492975</v>
      </c>
      <c r="Z85" s="31">
        <f>[1]节奏总纲!Z85</f>
        <v>10.051888511113276</v>
      </c>
      <c r="AA85" s="31">
        <f>[1]节奏总纲!AA85</f>
        <v>5.3740481763382633</v>
      </c>
      <c r="AC85" s="31">
        <v>82</v>
      </c>
      <c r="AD85" s="31">
        <f>[1]节奏总纲!AD85</f>
        <v>63.743865833385094</v>
      </c>
      <c r="AE85" s="31">
        <f>[1]节奏总纲!AE85</f>
        <v>65.762866796429392</v>
      </c>
      <c r="AF85" s="31">
        <f>[1]节奏总纲!AF85</f>
        <v>68.664295879423918</v>
      </c>
      <c r="AG85" s="31">
        <f>[1]节奏总纲!AG85</f>
        <v>73.176642436293761</v>
      </c>
      <c r="AH85" s="31">
        <f>[1]节奏总纲!AH85</f>
        <v>81.770942656017823</v>
      </c>
      <c r="AM85" s="31">
        <f>[1]节奏总纲!AM85</f>
        <v>0</v>
      </c>
      <c r="AN85" s="31">
        <f>[1]节奏总纲!AN85</f>
        <v>0</v>
      </c>
      <c r="AO85" s="31">
        <f>[1]节奏总纲!AO85</f>
        <v>0</v>
      </c>
      <c r="AP85" s="31">
        <f>[1]节奏总纲!AP85</f>
        <v>0</v>
      </c>
      <c r="AQ85" s="31">
        <f>[1]节奏总纲!AQ85</f>
        <v>0</v>
      </c>
      <c r="AT85" s="31">
        <f>[1]节奏总纲!AT85</f>
        <v>0</v>
      </c>
      <c r="AU85" s="31">
        <f>[1]节奏总纲!AU85</f>
        <v>0</v>
      </c>
      <c r="AV85" s="31">
        <f>[1]节奏总纲!AV85</f>
        <v>0</v>
      </c>
      <c r="AW85" s="31">
        <f>[1]节奏总纲!AW85</f>
        <v>0</v>
      </c>
      <c r="AX85" s="31">
        <f>[1]节奏总纲!AX85</f>
        <v>0</v>
      </c>
      <c r="AZ85" s="31">
        <v>82</v>
      </c>
      <c r="BA85" s="31">
        <f>[1]节奏总纲!BA85</f>
        <v>36.694672667019191</v>
      </c>
      <c r="BB85" s="31">
        <f>[1]节奏总纲!BB85</f>
        <v>38.194089742081125</v>
      </c>
      <c r="BC85" s="31">
        <f>[1]节奏总纲!BC85</f>
        <v>40.130145246845366</v>
      </c>
      <c r="BD85" s="31">
        <f>[1]节奏总纲!BD85</f>
        <v>42.861403835978855</v>
      </c>
      <c r="BE85" s="31">
        <f>[1]节奏总纲!BE85</f>
        <v>47.535997393158453</v>
      </c>
    </row>
    <row r="86" spans="6:57" x14ac:dyDescent="0.15">
      <c r="F86" s="31">
        <v>84</v>
      </c>
      <c r="G86" s="31">
        <f t="shared" si="7"/>
        <v>336.79402515786086</v>
      </c>
      <c r="N86" s="41">
        <f>[1]节奏总纲!N86</f>
        <v>93</v>
      </c>
      <c r="O86" s="31">
        <v>83</v>
      </c>
      <c r="P86" s="31">
        <f>[1]节奏总纲!P86</f>
        <v>314.1729698162988</v>
      </c>
      <c r="Q86" s="31">
        <f>[1]节奏总纲!Q86</f>
        <v>271.53969781222702</v>
      </c>
      <c r="R86" s="31">
        <f>[1]节奏总纲!R86</f>
        <v>221.55477831445393</v>
      </c>
      <c r="S86" s="31">
        <f>[1]节奏总纲!S86</f>
        <v>161.57915837652246</v>
      </c>
      <c r="T86" s="31">
        <f>[1]节奏总纲!T86</f>
        <v>89.193706130847232</v>
      </c>
      <c r="V86" s="31">
        <v>83</v>
      </c>
      <c r="W86" s="31">
        <f>[1]节奏总纲!W86</f>
        <v>21.106190937058159</v>
      </c>
      <c r="X86" s="31">
        <f>[1]节奏总纲!X86</f>
        <v>18.388614216338937</v>
      </c>
      <c r="Y86" s="31">
        <f>[1]节奏总纲!Y86</f>
        <v>15.177152627692664</v>
      </c>
      <c r="Z86" s="31">
        <f>[1]节奏总纲!Z86</f>
        <v>10.766993965265243</v>
      </c>
      <c r="AA86" s="31">
        <f>[1]节奏总纲!AA86</f>
        <v>5.9627409291428961</v>
      </c>
      <c r="AC86" s="31">
        <v>83</v>
      </c>
      <c r="AD86" s="31">
        <f>[1]节奏总纲!AD86</f>
        <v>63.920692243099523</v>
      </c>
      <c r="AE86" s="31">
        <f>[1]节奏总纲!AE86</f>
        <v>65.938223839839395</v>
      </c>
      <c r="AF86" s="31">
        <f>[1]节奏总纲!AF86</f>
        <v>68.841490236267347</v>
      </c>
      <c r="AG86" s="31">
        <f>[1]节奏总纲!AG86</f>
        <v>73.34571267276516</v>
      </c>
      <c r="AH86" s="31">
        <f>[1]节奏总纲!AH86</f>
        <v>81.957022119243135</v>
      </c>
      <c r="AM86" s="31">
        <f>[1]节奏总纲!AM86</f>
        <v>0</v>
      </c>
      <c r="AN86" s="31">
        <f>[1]节奏总纲!AN86</f>
        <v>0</v>
      </c>
      <c r="AO86" s="31">
        <f>[1]节奏总纲!AO86</f>
        <v>0</v>
      </c>
      <c r="AP86" s="31">
        <f>[1]节奏总纲!AP86</f>
        <v>0</v>
      </c>
      <c r="AQ86" s="31">
        <f>[1]节奏总纲!AQ86</f>
        <v>0</v>
      </c>
      <c r="AT86" s="31">
        <f>[1]节奏总纲!AT86</f>
        <v>0</v>
      </c>
      <c r="AU86" s="31">
        <f>[1]节奏总纲!AU86</f>
        <v>0</v>
      </c>
      <c r="AV86" s="31">
        <f>[1]节奏总纲!AV86</f>
        <v>0</v>
      </c>
      <c r="AW86" s="31">
        <f>[1]节奏总纲!AW86</f>
        <v>0</v>
      </c>
      <c r="AX86" s="31">
        <f>[1]节奏总纲!AX86</f>
        <v>0</v>
      </c>
      <c r="AZ86" s="31">
        <v>83</v>
      </c>
      <c r="BA86" s="31">
        <f>[1]节奏总纲!BA86</f>
        <v>36.778843395654896</v>
      </c>
      <c r="BB86" s="31">
        <f>[1]节奏总纲!BB86</f>
        <v>38.272377899878528</v>
      </c>
      <c r="BC86" s="31">
        <f>[1]节奏总纲!BC86</f>
        <v>40.207843901678423</v>
      </c>
      <c r="BD86" s="31">
        <f>[1]节奏总纲!BD86</f>
        <v>42.948185723296518</v>
      </c>
      <c r="BE86" s="31">
        <f>[1]节奏总纲!BE86</f>
        <v>47.619147546450023</v>
      </c>
    </row>
    <row r="87" spans="6:57" x14ac:dyDescent="0.15">
      <c r="F87" s="31">
        <v>85</v>
      </c>
      <c r="G87" s="31">
        <f t="shared" si="7"/>
        <v>361.0386719675123</v>
      </c>
      <c r="N87" s="41">
        <f>[1]节奏总纲!N87</f>
        <v>94</v>
      </c>
      <c r="O87" s="31">
        <v>84</v>
      </c>
      <c r="P87" s="31">
        <f>[1]节奏总纲!P87</f>
        <v>336.79402515786086</v>
      </c>
      <c r="Q87" s="31">
        <f>[1]节奏总纲!Q87</f>
        <v>291.2594729565181</v>
      </c>
      <c r="R87" s="31">
        <f>[1]节奏总纲!R87</f>
        <v>237.27139072371298</v>
      </c>
      <c r="S87" s="31">
        <f>[1]节奏总纲!S87</f>
        <v>172.97741132107731</v>
      </c>
      <c r="T87" s="31">
        <f>[1]节奏总纲!T87</f>
        <v>95.64950314483248</v>
      </c>
      <c r="V87" s="31">
        <v>84</v>
      </c>
      <c r="W87" s="31">
        <f>[1]节奏总纲!W87</f>
        <v>22.621055341562055</v>
      </c>
      <c r="X87" s="31">
        <f>[1]节奏总纲!X87</f>
        <v>19.719775144291077</v>
      </c>
      <c r="Y87" s="31">
        <f>[1]节奏总纲!Y87</f>
        <v>15.716612409259056</v>
      </c>
      <c r="Z87" s="31">
        <f>[1]节奏总纲!Z87</f>
        <v>11.398252944554855</v>
      </c>
      <c r="AA87" s="31">
        <f>[1]节奏总纲!AA87</f>
        <v>6.4557970139852472</v>
      </c>
      <c r="AC87" s="31">
        <v>84</v>
      </c>
      <c r="AD87" s="31">
        <f>[1]节奏总纲!AD87</f>
        <v>64.090988120365651</v>
      </c>
      <c r="AE87" s="31">
        <f>[1]节奏总纲!AE87</f>
        <v>66.105889403880397</v>
      </c>
      <c r="AF87" s="31">
        <f>[1]节奏总纲!AF87</f>
        <v>69.01697485309198</v>
      </c>
      <c r="AG87" s="31">
        <f>[1]节奏总纲!AG87</f>
        <v>73.514782909236544</v>
      </c>
      <c r="AH87" s="31">
        <f>[1]节奏总纲!AH87</f>
        <v>82.128973371044353</v>
      </c>
      <c r="AM87" s="31">
        <f>[1]节奏总纲!AM87</f>
        <v>0</v>
      </c>
      <c r="AN87" s="31">
        <f>[1]节奏总纲!AN87</f>
        <v>0</v>
      </c>
      <c r="AO87" s="31">
        <f>[1]节奏总纲!AO87</f>
        <v>0</v>
      </c>
      <c r="AP87" s="31">
        <f>[1]节奏总纲!AP87</f>
        <v>0</v>
      </c>
      <c r="AQ87" s="31">
        <f>[1]节奏总纲!AQ87</f>
        <v>0</v>
      </c>
      <c r="AT87" s="31">
        <f>[1]节奏总纲!AT87</f>
        <v>0</v>
      </c>
      <c r="AU87" s="31">
        <f>[1]节奏总纲!AU87</f>
        <v>0</v>
      </c>
      <c r="AV87" s="31">
        <f>[1]节奏总纲!AV87</f>
        <v>0</v>
      </c>
      <c r="AW87" s="31">
        <f>[1]节奏总纲!AW87</f>
        <v>0</v>
      </c>
      <c r="AX87" s="31">
        <f>[1]节奏总纲!AX87</f>
        <v>0</v>
      </c>
      <c r="AZ87" s="31">
        <v>84</v>
      </c>
      <c r="BA87" s="31">
        <f>[1]节奏总纲!BA87</f>
        <v>36.863014124290601</v>
      </c>
      <c r="BB87" s="31">
        <f>[1]节奏总纲!BB87</f>
        <v>38.35066605767593</v>
      </c>
      <c r="BC87" s="31">
        <f>[1]节奏总纲!BC87</f>
        <v>40.28554255651148</v>
      </c>
      <c r="BD87" s="31">
        <f>[1]节奏总纲!BD87</f>
        <v>43.030177309109042</v>
      </c>
      <c r="BE87" s="31">
        <f>[1]节奏总纲!BE87</f>
        <v>47.7022976997416</v>
      </c>
    </row>
    <row r="88" spans="6:57" x14ac:dyDescent="0.15">
      <c r="F88" s="31">
        <v>86</v>
      </c>
      <c r="G88" s="31">
        <f t="shared" si="7"/>
        <v>387.02344102666189</v>
      </c>
      <c r="N88" s="41">
        <f>[1]节奏总纲!N88</f>
        <v>95</v>
      </c>
      <c r="O88" s="31">
        <v>85</v>
      </c>
      <c r="P88" s="31">
        <f>[1]节奏总纲!P88</f>
        <v>361.0386719675123</v>
      </c>
      <c r="Q88" s="31">
        <f>[1]节奏总纲!Q88</f>
        <v>311.72078937675008</v>
      </c>
      <c r="R88" s="31">
        <f>[1]节奏总纲!R88</f>
        <v>253.91849799475142</v>
      </c>
      <c r="S88" s="31">
        <f>[1]节奏总纲!S88</f>
        <v>185.57387739130132</v>
      </c>
      <c r="T88" s="31">
        <f>[1]节奏总纲!T88</f>
        <v>102.53498283877349</v>
      </c>
      <c r="V88" s="31">
        <v>85</v>
      </c>
      <c r="W88" s="31">
        <f>[1]节奏总纲!W88</f>
        <v>24.244646809651442</v>
      </c>
      <c r="X88" s="31">
        <f>[1]节奏总纲!X88</f>
        <v>20.461316420231981</v>
      </c>
      <c r="Y88" s="31">
        <f>[1]节奏总纲!Y88</f>
        <v>16.647107271038436</v>
      </c>
      <c r="Z88" s="31">
        <f>[1]节奏总纲!Z88</f>
        <v>12.596466070224011</v>
      </c>
      <c r="AA88" s="31">
        <f>[1]节奏总纲!AA88</f>
        <v>6.8854796939410079</v>
      </c>
      <c r="AC88" s="31">
        <v>85</v>
      </c>
      <c r="AD88" s="31">
        <f>[1]节奏总纲!AD88</f>
        <v>64.255972994404218</v>
      </c>
      <c r="AE88" s="31">
        <f>[1]节奏总纲!AE88</f>
        <v>66.269371604948859</v>
      </c>
      <c r="AF88" s="31">
        <f>[1]节奏总纲!AF88</f>
        <v>69.17795498031839</v>
      </c>
      <c r="AG88" s="31">
        <f>[1]节奏总纲!AG88</f>
        <v>73.683853145707943</v>
      </c>
      <c r="AH88" s="31">
        <f>[1]节奏总纲!AH88</f>
        <v>82.296681479091191</v>
      </c>
      <c r="AM88" s="31">
        <f>[1]节奏总纲!AM88</f>
        <v>0</v>
      </c>
      <c r="AN88" s="31">
        <f>[1]节奏总纲!AN88</f>
        <v>0</v>
      </c>
      <c r="AO88" s="31">
        <f>[1]节奏总纲!AO88</f>
        <v>0</v>
      </c>
      <c r="AP88" s="31">
        <f>[1]节奏总纲!AP88</f>
        <v>0</v>
      </c>
      <c r="AQ88" s="31">
        <f>[1]节奏总纲!AQ88</f>
        <v>0</v>
      </c>
      <c r="AT88" s="31">
        <f>[1]节奏总纲!AT88</f>
        <v>0</v>
      </c>
      <c r="AU88" s="31">
        <f>[1]节奏总纲!AU88</f>
        <v>0</v>
      </c>
      <c r="AV88" s="31">
        <f>[1]节奏总纲!AV88</f>
        <v>0</v>
      </c>
      <c r="AW88" s="31">
        <f>[1]节奏总纲!AW88</f>
        <v>0</v>
      </c>
      <c r="AX88" s="31">
        <f>[1]节奏总纲!AX88</f>
        <v>0</v>
      </c>
      <c r="AZ88" s="31">
        <v>85</v>
      </c>
      <c r="BA88" s="31">
        <f>[1]节奏总纲!BA88</f>
        <v>36.947184852926306</v>
      </c>
      <c r="BB88" s="31">
        <f>[1]节奏总纲!BB88</f>
        <v>38.428954215473325</v>
      </c>
      <c r="BC88" s="31">
        <f>[1]节奏总纲!BC88</f>
        <v>40.363241211344537</v>
      </c>
      <c r="BD88" s="31">
        <f>[1]节奏总纲!BD88</f>
        <v>43.105070725978337</v>
      </c>
      <c r="BE88" s="31">
        <f>[1]节奏总纲!BE88</f>
        <v>47.785447853033176</v>
      </c>
    </row>
    <row r="89" spans="6:57" x14ac:dyDescent="0.15">
      <c r="F89" s="31">
        <v>87</v>
      </c>
      <c r="G89" s="31">
        <f t="shared" si="7"/>
        <v>414.87322693439216</v>
      </c>
      <c r="N89" s="41">
        <f>[1]节奏总纲!N89</f>
        <v>96</v>
      </c>
      <c r="O89" s="31">
        <v>86</v>
      </c>
      <c r="P89" s="31">
        <f>[1]节奏总纲!P89</f>
        <v>387.02344102666189</v>
      </c>
      <c r="Q89" s="31">
        <f>[1]节奏总纲!Q89</f>
        <v>334.00122960600919</v>
      </c>
      <c r="R89" s="31">
        <f>[1]节奏总纲!R89</f>
        <v>272.23228841815398</v>
      </c>
      <c r="S89" s="31">
        <f>[1]节奏总纲!S89</f>
        <v>199.39447681693619</v>
      </c>
      <c r="T89" s="31">
        <f>[1]节奏总纲!T89</f>
        <v>108.94709864900531</v>
      </c>
      <c r="V89" s="31">
        <v>86</v>
      </c>
      <c r="W89" s="31">
        <f>[1]节奏总纲!W89</f>
        <v>25.984769059149585</v>
      </c>
      <c r="X89" s="31">
        <f>[1]节奏总纲!X89</f>
        <v>22.280440229259113</v>
      </c>
      <c r="Y89" s="31">
        <f>[1]节奏总纲!Y89</f>
        <v>18.313790423402565</v>
      </c>
      <c r="Z89" s="31">
        <f>[1]节奏总纲!Z89</f>
        <v>13.820599425634867</v>
      </c>
      <c r="AA89" s="31">
        <f>[1]节奏总纲!AA89</f>
        <v>6.4121158102318248</v>
      </c>
      <c r="AC89" s="31">
        <v>86</v>
      </c>
      <c r="AD89" s="31">
        <f>[1]节奏总纲!AD89</f>
        <v>64.420957868442798</v>
      </c>
      <c r="AE89" s="31">
        <f>[1]节奏总纲!AE89</f>
        <v>66.43285380601732</v>
      </c>
      <c r="AF89" s="31">
        <f>[1]节奏总纲!AF89</f>
        <v>69.338935107544785</v>
      </c>
      <c r="AG89" s="31">
        <f>[1]节奏总纲!AG89</f>
        <v>73.852923382179341</v>
      </c>
      <c r="AH89" s="31">
        <f>[1]节奏总纲!AH89</f>
        <v>82.464389587138029</v>
      </c>
      <c r="AM89" s="31">
        <f>[1]节奏总纲!AM89</f>
        <v>0</v>
      </c>
      <c r="AN89" s="31">
        <f>[1]节奏总纲!AN89</f>
        <v>0</v>
      </c>
      <c r="AO89" s="31">
        <f>[1]节奏总纲!AO89</f>
        <v>0</v>
      </c>
      <c r="AP89" s="31">
        <f>[1]节奏总纲!AP89</f>
        <v>0</v>
      </c>
      <c r="AQ89" s="31">
        <f>[1]节奏总纲!AQ89</f>
        <v>0</v>
      </c>
      <c r="AT89" s="31">
        <f>[1]节奏总纲!AT89</f>
        <v>0</v>
      </c>
      <c r="AU89" s="31">
        <f>[1]节奏总纲!AU89</f>
        <v>0</v>
      </c>
      <c r="AV89" s="31">
        <f>[1]节奏总纲!AV89</f>
        <v>0</v>
      </c>
      <c r="AW89" s="31">
        <f>[1]节奏总纲!AW89</f>
        <v>0</v>
      </c>
      <c r="AX89" s="31">
        <f>[1]节奏总纲!AX89</f>
        <v>0</v>
      </c>
      <c r="AZ89" s="31">
        <v>86</v>
      </c>
      <c r="BA89" s="31">
        <f>[1]节奏总纲!BA89</f>
        <v>37.027046282459708</v>
      </c>
      <c r="BB89" s="31">
        <f>[1]节奏总纲!BB89</f>
        <v>38.507242373270728</v>
      </c>
      <c r="BC89" s="31">
        <f>[1]节奏总纲!BC89</f>
        <v>40.440939866177594</v>
      </c>
      <c r="BD89" s="31">
        <f>[1]节奏总纲!BD89</f>
        <v>43.179964142847631</v>
      </c>
      <c r="BE89" s="31">
        <f>[1]节奏总纲!BE89</f>
        <v>47.868598006324753</v>
      </c>
    </row>
    <row r="90" spans="6:57" x14ac:dyDescent="0.15">
      <c r="F90" s="31">
        <v>88</v>
      </c>
      <c r="G90" s="31">
        <f t="shared" si="7"/>
        <v>444.72188840761549</v>
      </c>
      <c r="N90" s="41">
        <f>[1]节奏总纲!N90</f>
        <v>97</v>
      </c>
      <c r="O90" s="31">
        <v>87</v>
      </c>
      <c r="P90" s="31">
        <f>[1]节奏总纲!P90</f>
        <v>414.87322693439216</v>
      </c>
      <c r="Q90" s="31">
        <f>[1]节奏总纲!Q90</f>
        <v>358.28451878054108</v>
      </c>
      <c r="R90" s="31">
        <f>[1]节奏总纲!R90</f>
        <v>292.4026503433596</v>
      </c>
      <c r="S90" s="31">
        <f>[1]节奏总纲!S90</f>
        <v>212.58104148118252</v>
      </c>
      <c r="T90" s="31">
        <f>[1]节奏总纲!T90</f>
        <v>115.74963031469542</v>
      </c>
      <c r="V90" s="31">
        <v>87</v>
      </c>
      <c r="W90" s="31">
        <f>[1]节奏总纲!W90</f>
        <v>27.849785907730279</v>
      </c>
      <c r="X90" s="31">
        <f>[1]节奏总纲!X90</f>
        <v>24.283289174531888</v>
      </c>
      <c r="Y90" s="31">
        <f>[1]节奏总纲!Y90</f>
        <v>20.170361925205611</v>
      </c>
      <c r="Z90" s="31">
        <f>[1]节奏总纲!Z90</f>
        <v>13.186564664246333</v>
      </c>
      <c r="AA90" s="31">
        <f>[1]节奏总纲!AA90</f>
        <v>6.8025316656901111</v>
      </c>
      <c r="AC90" s="31">
        <v>87</v>
      </c>
      <c r="AD90" s="31">
        <f>[1]节奏总纲!AD90</f>
        <v>64.585942742481365</v>
      </c>
      <c r="AE90" s="31">
        <f>[1]节奏总纲!AE90</f>
        <v>66.596336007085796</v>
      </c>
      <c r="AF90" s="31">
        <f>[1]节奏总纲!AF90</f>
        <v>69.49991523477118</v>
      </c>
      <c r="AG90" s="31">
        <f>[1]节奏总纲!AG90</f>
        <v>74.02050499447661</v>
      </c>
      <c r="AH90" s="31">
        <f>[1]节奏总纲!AH90</f>
        <v>82.632097695184868</v>
      </c>
      <c r="AM90" s="31">
        <f>[1]节奏总纲!AM90</f>
        <v>0</v>
      </c>
      <c r="AN90" s="31">
        <f>[1]节奏总纲!AN90</f>
        <v>0</v>
      </c>
      <c r="AO90" s="31">
        <f>[1]节奏总纲!AO90</f>
        <v>0</v>
      </c>
      <c r="AP90" s="31">
        <f>[1]节奏总纲!AP90</f>
        <v>0</v>
      </c>
      <c r="AQ90" s="31">
        <f>[1]节奏总纲!AQ90</f>
        <v>0</v>
      </c>
      <c r="AT90" s="31">
        <f>[1]节奏总纲!AT90</f>
        <v>0</v>
      </c>
      <c r="AU90" s="31">
        <f>[1]节奏总纲!AU90</f>
        <v>0</v>
      </c>
      <c r="AV90" s="31">
        <f>[1]节奏总纲!AV90</f>
        <v>0</v>
      </c>
      <c r="AW90" s="31">
        <f>[1]节奏总纲!AW90</f>
        <v>0</v>
      </c>
      <c r="AX90" s="31">
        <f>[1]节奏总纲!AX90</f>
        <v>0</v>
      </c>
      <c r="AZ90" s="31">
        <v>87</v>
      </c>
      <c r="BA90" s="31">
        <f>[1]节奏总纲!BA90</f>
        <v>37.099649155317238</v>
      </c>
      <c r="BB90" s="31">
        <f>[1]节奏总纲!BB90</f>
        <v>38.58553053106813</v>
      </c>
      <c r="BC90" s="31">
        <f>[1]节奏总纲!BC90</f>
        <v>40.518638521010651</v>
      </c>
      <c r="BD90" s="31">
        <f>[1]节奏总纲!BD90</f>
        <v>43.254857559716925</v>
      </c>
      <c r="BE90" s="31">
        <f>[1]节奏总纲!BE90</f>
        <v>47.951748159616329</v>
      </c>
    </row>
    <row r="91" spans="6:57" x14ac:dyDescent="0.15">
      <c r="F91" s="31">
        <v>89</v>
      </c>
      <c r="G91" s="31">
        <f t="shared" si="7"/>
        <v>476.71289166684534</v>
      </c>
      <c r="N91" s="41">
        <f>[1]节奏总纲!N91</f>
        <v>98</v>
      </c>
      <c r="O91" s="31">
        <v>88</v>
      </c>
      <c r="P91" s="31">
        <f>[1]节奏总纲!P91</f>
        <v>444.72188840761549</v>
      </c>
      <c r="Q91" s="31">
        <f>[1]节奏总纲!Q91</f>
        <v>384.7733778502689</v>
      </c>
      <c r="R91" s="31">
        <f>[1]节奏总纲!R91</f>
        <v>312.90632068359827</v>
      </c>
      <c r="S91" s="31">
        <f>[1]节奏总纲!S91</f>
        <v>226.0076636887502</v>
      </c>
      <c r="T91" s="31">
        <f>[1]节奏总纲!T91</f>
        <v>123.1879630889095</v>
      </c>
      <c r="V91" s="31">
        <v>88</v>
      </c>
      <c r="W91" s="31">
        <f>[1]节奏总纲!W91</f>
        <v>29.848661473223331</v>
      </c>
      <c r="X91" s="31">
        <f>[1]节奏总纲!X91</f>
        <v>26.488859069727823</v>
      </c>
      <c r="Y91" s="31">
        <f>[1]节奏总纲!Y91</f>
        <v>20.503670340238671</v>
      </c>
      <c r="Z91" s="31">
        <f>[1]节奏总纲!Z91</f>
        <v>13.426622207567675</v>
      </c>
      <c r="AA91" s="31">
        <f>[1]节奏总纲!AA91</f>
        <v>7.438332774214075</v>
      </c>
      <c r="AC91" s="31">
        <v>88</v>
      </c>
      <c r="AD91" s="31">
        <f>[1]节奏总纲!AD91</f>
        <v>64.750927616519931</v>
      </c>
      <c r="AE91" s="31">
        <f>[1]节奏总纲!AE91</f>
        <v>66.759818208154257</v>
      </c>
      <c r="AF91" s="31">
        <f>[1]节奏总纲!AF91</f>
        <v>69.660895361997589</v>
      </c>
      <c r="AG91" s="31">
        <f>[1]节奏总纲!AG91</f>
        <v>74.178131818877702</v>
      </c>
      <c r="AH91" s="31">
        <f>[1]节奏总纲!AH91</f>
        <v>82.799805803231706</v>
      </c>
      <c r="AM91" s="31">
        <f>[1]节奏总纲!AM91</f>
        <v>0</v>
      </c>
      <c r="AN91" s="31">
        <f>[1]节奏总纲!AN91</f>
        <v>0</v>
      </c>
      <c r="AO91" s="31">
        <f>[1]节奏总纲!AO91</f>
        <v>0</v>
      </c>
      <c r="AP91" s="31">
        <f>[1]节奏总纲!AP91</f>
        <v>0</v>
      </c>
      <c r="AQ91" s="31">
        <f>[1]节奏总纲!AQ91</f>
        <v>0</v>
      </c>
      <c r="AT91" s="31">
        <f>[1]节奏总纲!AT91</f>
        <v>0</v>
      </c>
      <c r="AU91" s="31">
        <f>[1]节奏总纲!AU91</f>
        <v>0</v>
      </c>
      <c r="AV91" s="31">
        <f>[1]节奏总纲!AV91</f>
        <v>0</v>
      </c>
      <c r="AW91" s="31">
        <f>[1]节奏总纲!AW91</f>
        <v>0</v>
      </c>
      <c r="AX91" s="31">
        <f>[1]节奏总纲!AX91</f>
        <v>0</v>
      </c>
      <c r="AZ91" s="31">
        <v>88</v>
      </c>
      <c r="BA91" s="31">
        <f>[1]节奏总纲!BA91</f>
        <v>37.172252028174768</v>
      </c>
      <c r="BB91" s="31">
        <f>[1]节奏总纲!BB91</f>
        <v>38.663818688865533</v>
      </c>
      <c r="BC91" s="31">
        <f>[1]节奏总纲!BC91</f>
        <v>40.596337175843701</v>
      </c>
      <c r="BD91" s="31">
        <f>[1]节奏总纲!BD91</f>
        <v>43.329750976586219</v>
      </c>
      <c r="BE91" s="31">
        <f>[1]节奏总纲!BE91</f>
        <v>48.030128751164234</v>
      </c>
    </row>
    <row r="92" spans="6:57" x14ac:dyDescent="0.15">
      <c r="F92" s="31">
        <v>90</v>
      </c>
      <c r="G92" s="31">
        <f t="shared" si="7"/>
        <v>511</v>
      </c>
      <c r="N92" s="41">
        <f>[1]节奏总纲!N92</f>
        <v>99</v>
      </c>
      <c r="O92" s="31">
        <v>89</v>
      </c>
      <c r="P92" s="31">
        <f>[1]节奏总纲!P92</f>
        <v>476.71289166684534</v>
      </c>
      <c r="Q92" s="31">
        <f>[1]节奏总纲!Q92</f>
        <v>411.78459582182103</v>
      </c>
      <c r="R92" s="31">
        <f>[1]节奏总纲!R92</f>
        <v>332.60258451595797</v>
      </c>
      <c r="S92" s="31">
        <f>[1]节奏总纲!S92</f>
        <v>240.31096868925673</v>
      </c>
      <c r="T92" s="31">
        <f>[1]节奏总纲!T92</f>
        <v>130.61933231671563</v>
      </c>
      <c r="V92" s="31">
        <v>89</v>
      </c>
      <c r="W92" s="31">
        <f>[1]节奏总纲!W92</f>
        <v>31.991003259229842</v>
      </c>
      <c r="X92" s="31">
        <f>[1]节奏总纲!X92</f>
        <v>27.011217971552128</v>
      </c>
      <c r="Y92" s="31">
        <f>[1]节奏总纲!Y92</f>
        <v>19.696263832359705</v>
      </c>
      <c r="Z92" s="31">
        <f>[1]节奏总纲!Z92</f>
        <v>14.303305000506526</v>
      </c>
      <c r="AA92" s="31">
        <f>[1]节奏总纲!AA92</f>
        <v>7.4313692278061296</v>
      </c>
      <c r="AC92" s="31">
        <v>89</v>
      </c>
      <c r="AD92" s="31">
        <f>[1]节奏总纲!AD92</f>
        <v>64.915912490558512</v>
      </c>
      <c r="AE92" s="31">
        <f>[1]节奏总纲!AE92</f>
        <v>66.923300409222719</v>
      </c>
      <c r="AF92" s="31">
        <f>[1]节奏总纲!AF92</f>
        <v>69.821875489223984</v>
      </c>
      <c r="AG92" s="31">
        <f>[1]节奏总纲!AG92</f>
        <v>74.335758643278794</v>
      </c>
      <c r="AH92" s="31">
        <f>[1]节奏总纲!AH92</f>
        <v>82.967513911278544</v>
      </c>
      <c r="AM92" s="31">
        <f>[1]节奏总纲!AM92</f>
        <v>0</v>
      </c>
      <c r="AN92" s="31">
        <f>[1]节奏总纲!AN92</f>
        <v>0</v>
      </c>
      <c r="AO92" s="31">
        <f>[1]节奏总纲!AO92</f>
        <v>0</v>
      </c>
      <c r="AP92" s="31">
        <f>[1]节奏总纲!AP92</f>
        <v>0</v>
      </c>
      <c r="AQ92" s="31">
        <f>[1]节奏总纲!AQ92</f>
        <v>0</v>
      </c>
      <c r="AT92" s="31">
        <f>[1]节奏总纲!AT92</f>
        <v>0</v>
      </c>
      <c r="AU92" s="31">
        <f>[1]节奏总纲!AU92</f>
        <v>0</v>
      </c>
      <c r="AV92" s="31">
        <f>[1]节奏总纲!AV92</f>
        <v>0</v>
      </c>
      <c r="AW92" s="31">
        <f>[1]节奏总纲!AW92</f>
        <v>0</v>
      </c>
      <c r="AX92" s="31">
        <f>[1]节奏总纲!AX92</f>
        <v>0</v>
      </c>
      <c r="AZ92" s="31">
        <v>89</v>
      </c>
      <c r="BA92" s="31">
        <f>[1]节奏总纲!BA92</f>
        <v>37.244854901032298</v>
      </c>
      <c r="BB92" s="31">
        <f>[1]节奏总纲!BB92</f>
        <v>38.742106846662928</v>
      </c>
      <c r="BC92" s="31">
        <f>[1]节奏总纲!BC92</f>
        <v>40.674035830676758</v>
      </c>
      <c r="BD92" s="31">
        <f>[1]节奏总纲!BD92</f>
        <v>43.404644393455513</v>
      </c>
      <c r="BE92" s="31">
        <f>[1]节奏总纲!BE92</f>
        <v>48.101914750802706</v>
      </c>
    </row>
    <row r="93" spans="6:57" x14ac:dyDescent="0.15">
      <c r="F93" s="31">
        <v>91</v>
      </c>
      <c r="G93" s="31">
        <f t="shared" si="7"/>
        <v>547.74801281858208</v>
      </c>
      <c r="N93" s="41">
        <f>[1]节奏总纲!N93</f>
        <v>100</v>
      </c>
      <c r="O93" s="31">
        <v>90</v>
      </c>
      <c r="P93" s="31">
        <f>[1]节奏总纲!P93</f>
        <v>511</v>
      </c>
      <c r="Q93" s="31">
        <f>[1]节奏总纲!Q93</f>
        <v>438.13140000000004</v>
      </c>
      <c r="R93" s="31">
        <f>[1]节奏总纲!R93</f>
        <v>354.12299999999999</v>
      </c>
      <c r="S93" s="31">
        <f>[1]节奏总纲!S93</f>
        <v>254.88680000000002</v>
      </c>
      <c r="T93" s="31">
        <f>[1]节奏总纲!T93</f>
        <v>138.48100000000002</v>
      </c>
      <c r="V93" s="31">
        <v>90</v>
      </c>
      <c r="W93" s="31">
        <f>[1]节奏总纲!W93</f>
        <v>34.287108333154663</v>
      </c>
      <c r="X93" s="31">
        <f>[1]节奏总纲!X93</f>
        <v>26.346804178179013</v>
      </c>
      <c r="Y93" s="31">
        <f>[1]节奏总纲!Y93</f>
        <v>21.520415484042019</v>
      </c>
      <c r="Z93" s="31">
        <f>[1]节奏总纲!Z93</f>
        <v>14.575831310743297</v>
      </c>
      <c r="AA93" s="31">
        <f>[1]节奏总纲!AA93</f>
        <v>7.861667683284395</v>
      </c>
      <c r="AC93" s="31">
        <v>90</v>
      </c>
      <c r="AD93" s="31">
        <f>[1]节奏总纲!AD93</f>
        <v>65.075479910097457</v>
      </c>
      <c r="AE93" s="31">
        <f>[1]节奏总纲!AE93</f>
        <v>67.083433628014333</v>
      </c>
      <c r="AF93" s="31">
        <f>[1]节奏总纲!AF93</f>
        <v>69.982855616450394</v>
      </c>
      <c r="AG93" s="31">
        <f>[1]节奏总纲!AG93</f>
        <v>74.493385467679886</v>
      </c>
      <c r="AH93" s="31">
        <f>[1]节奏总纲!AH93</f>
        <v>83.124894550960335</v>
      </c>
      <c r="AM93" s="31">
        <f>[1]节奏总纲!AM93</f>
        <v>0</v>
      </c>
      <c r="AN93" s="31">
        <f>[1]节奏总纲!AN93</f>
        <v>0</v>
      </c>
      <c r="AO93" s="31">
        <f>[1]节奏总纲!AO93</f>
        <v>0</v>
      </c>
      <c r="AP93" s="31">
        <f>[1]节奏总纲!AP93</f>
        <v>0</v>
      </c>
      <c r="AQ93" s="31">
        <f>[1]节奏总纲!AQ93</f>
        <v>0</v>
      </c>
      <c r="AT93" s="31">
        <f>[1]节奏总纲!AT93</f>
        <v>0</v>
      </c>
      <c r="AU93" s="31">
        <f>[1]节奏总纲!AU93</f>
        <v>0</v>
      </c>
      <c r="AV93" s="31">
        <f>[1]节奏总纲!AV93</f>
        <v>0</v>
      </c>
      <c r="AW93" s="31">
        <f>[1]节奏总纲!AW93</f>
        <v>0</v>
      </c>
      <c r="AX93" s="31">
        <f>[1]节奏总纲!AX93</f>
        <v>0</v>
      </c>
      <c r="AZ93" s="31">
        <v>90</v>
      </c>
      <c r="BA93" s="31">
        <f>[1]节奏总纲!BA93</f>
        <v>37.317457773889828</v>
      </c>
      <c r="BB93" s="31">
        <f>[1]节奏总纲!BB93</f>
        <v>38.82039500446033</v>
      </c>
      <c r="BC93" s="31">
        <f>[1]节奏总纲!BC93</f>
        <v>40.751734485509814</v>
      </c>
      <c r="BD93" s="31">
        <f>[1]节奏总纲!BD93</f>
        <v>43.479537810324807</v>
      </c>
      <c r="BE93" s="31">
        <f>[1]节奏总纲!BE93</f>
        <v>48.173700750441178</v>
      </c>
    </row>
    <row r="94" spans="6:57" x14ac:dyDescent="0.15">
      <c r="F94" s="31">
        <v>92</v>
      </c>
      <c r="G94" s="31">
        <f t="shared" si="7"/>
        <v>587.1335577584814</v>
      </c>
      <c r="N94" s="41">
        <f>[1]节奏总纲!N94</f>
        <v>101</v>
      </c>
      <c r="O94" s="31">
        <v>91</v>
      </c>
      <c r="P94" s="31">
        <f>[1]节奏总纲!P94</f>
        <v>547.74801281858208</v>
      </c>
      <c r="Q94" s="31">
        <f>[1]节奏总纲!Q94</f>
        <v>469.6391461906523</v>
      </c>
      <c r="R94" s="31">
        <f>[1]节奏总纲!R94</f>
        <v>378.43910205635837</v>
      </c>
      <c r="S94" s="31">
        <f>[1]节奏总纲!S94</f>
        <v>272.61418597980827</v>
      </c>
      <c r="T94" s="31">
        <f>[1]节奏总纲!T94</f>
        <v>147.89196346101718</v>
      </c>
      <c r="V94" s="31">
        <v>91</v>
      </c>
      <c r="W94" s="31">
        <f>[1]节奏总纲!W94</f>
        <v>36.748012818582083</v>
      </c>
      <c r="X94" s="31">
        <f>[1]节奏总纲!X94</f>
        <v>31.507746190652256</v>
      </c>
      <c r="Y94" s="31">
        <f>[1]节奏总纲!Y94</f>
        <v>24.316102056358375</v>
      </c>
      <c r="Z94" s="31">
        <f>[1]节奏总纲!Z94</f>
        <v>17.727385979808247</v>
      </c>
      <c r="AA94" s="31">
        <f>[1]节奏总纲!AA94</f>
        <v>9.4109634610171611</v>
      </c>
      <c r="AC94" s="31">
        <v>91</v>
      </c>
      <c r="AD94" s="31">
        <f>[1]节奏总纲!AD94</f>
        <v>65.229416240679981</v>
      </c>
      <c r="AE94" s="31">
        <f>[1]节奏总纲!AE94</f>
        <v>67.240606973055961</v>
      </c>
      <c r="AF94" s="31">
        <f>[1]节奏总纲!AF94</f>
        <v>70.137942795989005</v>
      </c>
      <c r="AG94" s="31">
        <f>[1]节奏总纲!AG94</f>
        <v>74.651012292080978</v>
      </c>
      <c r="AH94" s="31">
        <f>[1]节奏总纲!AH94</f>
        <v>83.279794092850153</v>
      </c>
      <c r="AM94" s="31">
        <f>[1]节奏总纲!AM94</f>
        <v>0</v>
      </c>
      <c r="AN94" s="31">
        <f>[1]节奏总纲!AN94</f>
        <v>0</v>
      </c>
      <c r="AO94" s="31">
        <f>[1]节奏总纲!AO94</f>
        <v>0</v>
      </c>
      <c r="AP94" s="31">
        <f>[1]节奏总纲!AP94</f>
        <v>0</v>
      </c>
      <c r="AQ94" s="31">
        <f>[1]节奏总纲!AQ94</f>
        <v>0</v>
      </c>
      <c r="AT94" s="31">
        <f>[1]节奏总纲!AT94</f>
        <v>0</v>
      </c>
      <c r="AU94" s="31">
        <f>[1]节奏总纲!AU94</f>
        <v>0</v>
      </c>
      <c r="AV94" s="31">
        <f>[1]节奏总纲!AV94</f>
        <v>0</v>
      </c>
      <c r="AW94" s="31">
        <f>[1]节奏总纲!AW94</f>
        <v>0</v>
      </c>
      <c r="AX94" s="31">
        <f>[1]节奏总纲!AX94</f>
        <v>0</v>
      </c>
      <c r="AZ94" s="31">
        <v>91</v>
      </c>
      <c r="BA94" s="31">
        <f>[1]节奏总纲!BA94</f>
        <v>37.390060646747358</v>
      </c>
      <c r="BB94" s="31">
        <f>[1]节奏总纲!BB94</f>
        <v>38.898683162257733</v>
      </c>
      <c r="BC94" s="31">
        <f>[1]节奏总纲!BC94</f>
        <v>40.829433140342871</v>
      </c>
      <c r="BD94" s="31">
        <f>[1]节奏总纲!BD94</f>
        <v>43.554431227194108</v>
      </c>
      <c r="BE94" s="31">
        <f>[1]节奏总纲!BE94</f>
        <v>48.24548675007965</v>
      </c>
    </row>
    <row r="95" spans="6:57" x14ac:dyDescent="0.15">
      <c r="F95" s="31">
        <v>93</v>
      </c>
      <c r="G95" s="31">
        <f t="shared" si="7"/>
        <v>629.34593963259704</v>
      </c>
      <c r="N95" s="41">
        <f>[1]节奏总纲!N95</f>
        <v>102</v>
      </c>
      <c r="O95" s="31">
        <v>92</v>
      </c>
      <c r="P95" s="31">
        <f>[1]节奏总纲!P95</f>
        <v>587.1335577584814</v>
      </c>
      <c r="Q95" s="31">
        <f>[1]节奏总纲!Q95</f>
        <v>502.29275866238083</v>
      </c>
      <c r="R95" s="31">
        <f>[1]节奏总纲!R95</f>
        <v>405.12215485335213</v>
      </c>
      <c r="S95" s="31">
        <f>[1]节奏总纲!S95</f>
        <v>291.57052478286187</v>
      </c>
      <c r="T95" s="31">
        <f>[1]节奏总纲!T95</f>
        <v>157.64536025815227</v>
      </c>
      <c r="V95" s="31">
        <v>92</v>
      </c>
      <c r="W95" s="31">
        <f>[1]节奏总纲!W95</f>
        <v>39.385544939899319</v>
      </c>
      <c r="X95" s="31">
        <f>[1]节奏总纲!X95</f>
        <v>32.653612471728536</v>
      </c>
      <c r="Y95" s="31">
        <f>[1]节奏总纲!Y95</f>
        <v>26.683052796993763</v>
      </c>
      <c r="Z95" s="31">
        <f>[1]节奏总纲!Z95</f>
        <v>18.956338803053598</v>
      </c>
      <c r="AA95" s="31">
        <f>[1]节奏总纲!AA95</f>
        <v>9.7533967971350819</v>
      </c>
      <c r="AC95" s="31">
        <v>92</v>
      </c>
      <c r="AD95" s="31">
        <f>[1]节奏总纲!AD95</f>
        <v>65.38335257126252</v>
      </c>
      <c r="AE95" s="31">
        <f>[1]节奏总纲!AE95</f>
        <v>67.397780318097588</v>
      </c>
      <c r="AF95" s="31">
        <f>[1]节奏总纲!AF95</f>
        <v>70.292327570459079</v>
      </c>
      <c r="AG95" s="31">
        <f>[1]节奏总纲!AG95</f>
        <v>74.808639116482055</v>
      </c>
      <c r="AH95" s="31">
        <f>[1]节奏总纲!AH95</f>
        <v>83.434693634739986</v>
      </c>
      <c r="AM95" s="31">
        <f>[1]节奏总纲!AM95</f>
        <v>0</v>
      </c>
      <c r="AN95" s="31">
        <f>[1]节奏总纲!AN95</f>
        <v>0</v>
      </c>
      <c r="AO95" s="31">
        <f>[1]节奏总纲!AO95</f>
        <v>0</v>
      </c>
      <c r="AP95" s="31">
        <f>[1]节奏总纲!AP95</f>
        <v>0</v>
      </c>
      <c r="AQ95" s="31">
        <f>[1]节奏总纲!AQ95</f>
        <v>0</v>
      </c>
      <c r="AT95" s="31">
        <f>[1]节奏总纲!AT95</f>
        <v>0</v>
      </c>
      <c r="AU95" s="31">
        <f>[1]节奏总纲!AU95</f>
        <v>0</v>
      </c>
      <c r="AV95" s="31">
        <f>[1]节奏总纲!AV95</f>
        <v>0</v>
      </c>
      <c r="AW95" s="31">
        <f>[1]节奏总纲!AW95</f>
        <v>0</v>
      </c>
      <c r="AX95" s="31">
        <f>[1]节奏总纲!AX95</f>
        <v>0</v>
      </c>
      <c r="AZ95" s="31">
        <v>92</v>
      </c>
      <c r="BA95" s="31">
        <f>[1]节奏总纲!BA95</f>
        <v>37.462663519604888</v>
      </c>
      <c r="BB95" s="31">
        <f>[1]节奏总纲!BB95</f>
        <v>38.976971320055128</v>
      </c>
      <c r="BC95" s="31">
        <f>[1]节奏总纲!BC95</f>
        <v>40.907131795175928</v>
      </c>
      <c r="BD95" s="31">
        <f>[1]节奏总纲!BD95</f>
        <v>43.629324644063402</v>
      </c>
      <c r="BE95" s="31">
        <f>[1]节奏总纲!BE95</f>
        <v>48.317272749718121</v>
      </c>
    </row>
    <row r="96" spans="6:57" x14ac:dyDescent="0.15">
      <c r="F96" s="31">
        <v>94</v>
      </c>
      <c r="G96" s="31">
        <f t="shared" si="7"/>
        <v>674.58805031572183</v>
      </c>
      <c r="N96" s="41">
        <f>[1]节奏总纲!N96</f>
        <v>103</v>
      </c>
      <c r="O96" s="31">
        <v>93</v>
      </c>
      <c r="P96" s="31">
        <f>[1]节奏总纲!P96</f>
        <v>629.34593963259704</v>
      </c>
      <c r="Q96" s="31">
        <f>[1]节奏总纲!Q96</f>
        <v>538.34251676172357</v>
      </c>
      <c r="R96" s="31">
        <f>[1]节奏总纲!R96</f>
        <v>433.68228700082267</v>
      </c>
      <c r="S96" s="31">
        <f>[1]节奏总纲!S96</f>
        <v>311.52624011813555</v>
      </c>
      <c r="T96" s="31">
        <f>[1]节奏总纲!T96</f>
        <v>168.35003885171972</v>
      </c>
      <c r="V96" s="31">
        <v>93</v>
      </c>
      <c r="W96" s="31">
        <f>[1]节奏总纲!W96</f>
        <v>42.212381874115636</v>
      </c>
      <c r="X96" s="31">
        <f>[1]节奏总纲!X96</f>
        <v>36.049758099342739</v>
      </c>
      <c r="Y96" s="31">
        <f>[1]节奏总纲!Y96</f>
        <v>28.56013214747054</v>
      </c>
      <c r="Z96" s="31">
        <f>[1]节奏总纲!Z96</f>
        <v>19.95571533527368</v>
      </c>
      <c r="AA96" s="31">
        <f>[1]节奏总纲!AA96</f>
        <v>10.704678593567451</v>
      </c>
      <c r="AC96" s="31">
        <v>93</v>
      </c>
      <c r="AD96" s="31">
        <f>[1]节奏总纲!AD96</f>
        <v>65.537288901845059</v>
      </c>
      <c r="AE96" s="31">
        <f>[1]节奏总纲!AE96</f>
        <v>67.554953663139216</v>
      </c>
      <c r="AF96" s="31">
        <f>[1]节奏总纲!AF96</f>
        <v>70.446712344929153</v>
      </c>
      <c r="AG96" s="31">
        <f>[1]节奏总纲!AG96</f>
        <v>74.966265940883147</v>
      </c>
      <c r="AH96" s="31">
        <f>[1]节奏总纲!AH96</f>
        <v>83.589593176629805</v>
      </c>
      <c r="AM96" s="31">
        <f>[1]节奏总纲!AM96</f>
        <v>0</v>
      </c>
      <c r="AN96" s="31">
        <f>[1]节奏总纲!AN96</f>
        <v>0</v>
      </c>
      <c r="AO96" s="31">
        <f>[1]节奏总纲!AO96</f>
        <v>0</v>
      </c>
      <c r="AP96" s="31">
        <f>[1]节奏总纲!AP96</f>
        <v>0</v>
      </c>
      <c r="AQ96" s="31">
        <f>[1]节奏总纲!AQ96</f>
        <v>0</v>
      </c>
      <c r="AT96" s="31">
        <f>[1]节奏总纲!AT96</f>
        <v>0</v>
      </c>
      <c r="AU96" s="31">
        <f>[1]节奏总纲!AU96</f>
        <v>0</v>
      </c>
      <c r="AV96" s="31">
        <f>[1]节奏总纲!AV96</f>
        <v>0</v>
      </c>
      <c r="AW96" s="31">
        <f>[1]节奏总纲!AW96</f>
        <v>0</v>
      </c>
      <c r="AX96" s="31">
        <f>[1]节奏总纲!AX96</f>
        <v>0</v>
      </c>
      <c r="AZ96" s="31">
        <v>93</v>
      </c>
      <c r="BA96" s="31">
        <f>[1]节奏总纲!BA96</f>
        <v>37.535266392462418</v>
      </c>
      <c r="BB96" s="31">
        <f>[1]节奏总纲!BB96</f>
        <v>39.047673544184711</v>
      </c>
      <c r="BC96" s="31">
        <f>[1]节奏总纲!BC96</f>
        <v>40.984830450008985</v>
      </c>
      <c r="BD96" s="31">
        <f>[1]节奏总纲!BD96</f>
        <v>43.704218060932696</v>
      </c>
      <c r="BE96" s="31">
        <f>[1]节奏总纲!BE96</f>
        <v>48.389058749356593</v>
      </c>
    </row>
    <row r="97" spans="6:57" x14ac:dyDescent="0.15">
      <c r="F97" s="31">
        <v>95</v>
      </c>
      <c r="G97" s="31">
        <f t="shared" si="7"/>
        <v>723.0773439350246</v>
      </c>
      <c r="N97" s="41">
        <f>[1]节奏总纲!N97</f>
        <v>104</v>
      </c>
      <c r="O97" s="31">
        <v>94</v>
      </c>
      <c r="P97" s="31">
        <f>[1]节奏总纲!P97</f>
        <v>674.58805031572183</v>
      </c>
      <c r="Q97" s="31">
        <f>[1]节奏总纲!Q97</f>
        <v>576.30057138472114</v>
      </c>
      <c r="R97" s="31">
        <f>[1]节奏总纲!R97</f>
        <v>464.04911981218504</v>
      </c>
      <c r="S97" s="31">
        <f>[1]节奏总纲!S97</f>
        <v>332.70682641571403</v>
      </c>
      <c r="T97" s="31">
        <f>[1]节奏总纲!T97</f>
        <v>179.6427977990767</v>
      </c>
      <c r="V97" s="31">
        <v>94</v>
      </c>
      <c r="W97" s="31">
        <f>[1]节奏总纲!W97</f>
        <v>45.242110683124793</v>
      </c>
      <c r="X97" s="31">
        <f>[1]节奏总纲!X97</f>
        <v>37.958054622997565</v>
      </c>
      <c r="Y97" s="31">
        <f>[1]节奏总纲!Y97</f>
        <v>30.366832811362372</v>
      </c>
      <c r="Z97" s="31">
        <f>[1]节奏总纲!Z97</f>
        <v>21.180586297578486</v>
      </c>
      <c r="AA97" s="31">
        <f>[1]节奏总纲!AA97</f>
        <v>11.292758947356987</v>
      </c>
      <c r="AC97" s="31">
        <v>94</v>
      </c>
      <c r="AD97" s="31">
        <f>[1]节奏总纲!AD97</f>
        <v>65.691225232427584</v>
      </c>
      <c r="AE97" s="31">
        <f>[1]节奏总纲!AE97</f>
        <v>67.712127008180858</v>
      </c>
      <c r="AF97" s="31">
        <f>[1]节奏总纲!AF97</f>
        <v>70.601097119399213</v>
      </c>
      <c r="AG97" s="31">
        <f>[1]节奏总纲!AG97</f>
        <v>75.115180559621535</v>
      </c>
      <c r="AH97" s="31">
        <f>[1]节奏总纲!AH97</f>
        <v>83.744492718519624</v>
      </c>
      <c r="AM97" s="31">
        <f>[1]节奏总纲!AM97</f>
        <v>0</v>
      </c>
      <c r="AN97" s="31">
        <f>[1]节奏总纲!AN97</f>
        <v>0</v>
      </c>
      <c r="AO97" s="31">
        <f>[1]节奏总纲!AO97</f>
        <v>0</v>
      </c>
      <c r="AP97" s="31">
        <f>[1]节奏总纲!AP97</f>
        <v>0</v>
      </c>
      <c r="AQ97" s="31">
        <f>[1]节奏总纲!AQ97</f>
        <v>0</v>
      </c>
      <c r="AT97" s="31">
        <f>[1]节奏总纲!AT97</f>
        <v>0</v>
      </c>
      <c r="AU97" s="31">
        <f>[1]节奏总纲!AU97</f>
        <v>0</v>
      </c>
      <c r="AV97" s="31">
        <f>[1]节奏总纲!AV97</f>
        <v>0</v>
      </c>
      <c r="AW97" s="31">
        <f>[1]节奏总纲!AW97</f>
        <v>0</v>
      </c>
      <c r="AX97" s="31">
        <f>[1]节奏总纲!AX97</f>
        <v>0</v>
      </c>
      <c r="AZ97" s="31">
        <v>94</v>
      </c>
      <c r="BA97" s="31">
        <f>[1]节奏总纲!BA97</f>
        <v>37.607869265319941</v>
      </c>
      <c r="BB97" s="31">
        <f>[1]节奏总纲!BB97</f>
        <v>39.115214427575864</v>
      </c>
      <c r="BC97" s="31">
        <f>[1]节奏总纲!BC97</f>
        <v>41.053954370816207</v>
      </c>
      <c r="BD97" s="31">
        <f>[1]节奏总纲!BD97</f>
        <v>43.77911147780199</v>
      </c>
      <c r="BE97" s="31">
        <f>[1]节奏总纲!BE97</f>
        <v>48.460844748995065</v>
      </c>
    </row>
    <row r="98" spans="6:57" x14ac:dyDescent="0.15">
      <c r="F98" s="31">
        <v>96</v>
      </c>
      <c r="G98" s="31">
        <f t="shared" si="7"/>
        <v>775.04688205332377</v>
      </c>
      <c r="N98" s="41">
        <f>[1]节奏总纲!N98</f>
        <v>105</v>
      </c>
      <c r="O98" s="31">
        <v>95</v>
      </c>
      <c r="P98" s="31">
        <f>[1]节奏总纲!P98</f>
        <v>723.0773439350246</v>
      </c>
      <c r="Q98" s="31">
        <f>[1]节奏总纲!Q98</f>
        <v>618.15882133005255</v>
      </c>
      <c r="R98" s="31">
        <f>[1]节奏总纲!R98</f>
        <v>495.95875020503337</v>
      </c>
      <c r="S98" s="31">
        <f>[1]节奏总纲!S98</f>
        <v>355.39251454406457</v>
      </c>
      <c r="T98" s="31">
        <f>[1]节奏总纲!T98</f>
        <v>192.84472762747106</v>
      </c>
      <c r="V98" s="31">
        <v>95</v>
      </c>
      <c r="W98" s="31">
        <f>[1]节奏总纲!W98</f>
        <v>48.489293619302771</v>
      </c>
      <c r="X98" s="31">
        <f>[1]节奏总纲!X98</f>
        <v>41.858249945331409</v>
      </c>
      <c r="Y98" s="31">
        <f>[1]节奏总纲!Y98</f>
        <v>31.909630392848328</v>
      </c>
      <c r="Z98" s="31">
        <f>[1]节奏总纲!Z98</f>
        <v>22.685688128350534</v>
      </c>
      <c r="AA98" s="31">
        <f>[1]节奏总纲!AA98</f>
        <v>13.201929828394356</v>
      </c>
      <c r="AC98" s="31">
        <v>95</v>
      </c>
      <c r="AD98" s="31">
        <f>[1]节奏总纲!AD98</f>
        <v>65.845161563010123</v>
      </c>
      <c r="AE98" s="31">
        <f>[1]节奏总纲!AE98</f>
        <v>67.869300353222485</v>
      </c>
      <c r="AF98" s="31">
        <f>[1]节奏总纲!AF98</f>
        <v>70.755481893869288</v>
      </c>
      <c r="AG98" s="31">
        <f>[1]节奏总纲!AG98</f>
        <v>75.261722981240993</v>
      </c>
      <c r="AH98" s="31">
        <f>[1]节奏总纲!AH98</f>
        <v>83.899392260409456</v>
      </c>
      <c r="AM98" s="31">
        <f>[1]节奏总纲!AM98</f>
        <v>0</v>
      </c>
      <c r="AN98" s="31">
        <f>[1]节奏总纲!AN98</f>
        <v>0</v>
      </c>
      <c r="AO98" s="31">
        <f>[1]节奏总纲!AO98</f>
        <v>0</v>
      </c>
      <c r="AP98" s="31">
        <f>[1]节奏总纲!AP98</f>
        <v>0</v>
      </c>
      <c r="AQ98" s="31">
        <f>[1]节奏总纲!AQ98</f>
        <v>0</v>
      </c>
      <c r="AT98" s="31">
        <f>[1]节奏总纲!AT98</f>
        <v>0</v>
      </c>
      <c r="AU98" s="31">
        <f>[1]节奏总纲!AU98</f>
        <v>0</v>
      </c>
      <c r="AV98" s="31">
        <f>[1]节奏总纲!AV98</f>
        <v>0</v>
      </c>
      <c r="AW98" s="31">
        <f>[1]节奏总纲!AW98</f>
        <v>0</v>
      </c>
      <c r="AX98" s="31">
        <f>[1]节奏总纲!AX98</f>
        <v>0</v>
      </c>
      <c r="AZ98" s="31">
        <v>95</v>
      </c>
      <c r="BA98" s="31">
        <f>[1]节奏总纲!BA98</f>
        <v>37.680472138177471</v>
      </c>
      <c r="BB98" s="31">
        <f>[1]节奏总纲!BB98</f>
        <v>39.182755310967018</v>
      </c>
      <c r="BC98" s="31">
        <f>[1]节奏总纲!BC98</f>
        <v>41.120998062635785</v>
      </c>
      <c r="BD98" s="31">
        <f>[1]节奏总纲!BD98</f>
        <v>43.854004894671284</v>
      </c>
      <c r="BE98" s="31">
        <f>[1]节奏总纲!BE98</f>
        <v>48.532630748633537</v>
      </c>
    </row>
    <row r="99" spans="6:57" x14ac:dyDescent="0.15">
      <c r="F99" s="31">
        <v>97</v>
      </c>
      <c r="G99" s="31">
        <f t="shared" si="7"/>
        <v>830.74645386878444</v>
      </c>
      <c r="N99" s="41">
        <f>[1]节奏总纲!N99</f>
        <v>106</v>
      </c>
      <c r="O99" s="31">
        <v>96</v>
      </c>
      <c r="P99" s="31">
        <f>[1]节奏总纲!P99</f>
        <v>775.04688205332377</v>
      </c>
      <c r="Q99" s="31">
        <f>[1]节奏总纲!Q99</f>
        <v>661.0374857032798</v>
      </c>
      <c r="R99" s="31">
        <f>[1]节奏总纲!R99</f>
        <v>529.97705794806279</v>
      </c>
      <c r="S99" s="31">
        <f>[1]节奏总纲!S99</f>
        <v>380.70302846459265</v>
      </c>
      <c r="T99" s="31">
        <f>[1]节奏总纲!T99</f>
        <v>206.86001282003213</v>
      </c>
      <c r="V99" s="31">
        <v>96</v>
      </c>
      <c r="W99" s="31">
        <f>[1]节奏总纲!W99</f>
        <v>51.96953811829917</v>
      </c>
      <c r="X99" s="31">
        <f>[1]节奏总纲!X99</f>
        <v>42.878664373227252</v>
      </c>
      <c r="Y99" s="31">
        <f>[1]节奏总纲!Y99</f>
        <v>34.018307743029425</v>
      </c>
      <c r="Z99" s="31">
        <f>[1]节奏总纲!Z99</f>
        <v>25.310513920528081</v>
      </c>
      <c r="AA99" s="31">
        <f>[1]节奏总纲!AA99</f>
        <v>14.015285192561066</v>
      </c>
      <c r="AC99" s="31">
        <v>96</v>
      </c>
      <c r="AD99" s="31">
        <f>[1]节奏总纲!AD99</f>
        <v>65.999097893592648</v>
      </c>
      <c r="AE99" s="31">
        <f>[1]节奏总纲!AE99</f>
        <v>68.025215371037646</v>
      </c>
      <c r="AF99" s="31">
        <f>[1]节奏总纲!AF99</f>
        <v>70.909866668339362</v>
      </c>
      <c r="AG99" s="31">
        <f>[1]节奏总纲!AG99</f>
        <v>75.408265402860437</v>
      </c>
      <c r="AH99" s="31">
        <f>[1]节奏总纲!AH99</f>
        <v>84.050903767166133</v>
      </c>
      <c r="AM99" s="31">
        <f>[1]节奏总纲!AM99</f>
        <v>0</v>
      </c>
      <c r="AN99" s="31">
        <f>[1]节奏总纲!AN99</f>
        <v>0</v>
      </c>
      <c r="AO99" s="31">
        <f>[1]节奏总纲!AO99</f>
        <v>0</v>
      </c>
      <c r="AP99" s="31">
        <f>[1]节奏总纲!AP99</f>
        <v>0</v>
      </c>
      <c r="AQ99" s="31">
        <f>[1]节奏总纲!AQ99</f>
        <v>0</v>
      </c>
      <c r="AT99" s="31">
        <f>[1]节奏总纲!AT99</f>
        <v>0</v>
      </c>
      <c r="AU99" s="31">
        <f>[1]节奏总纲!AU99</f>
        <v>0</v>
      </c>
      <c r="AV99" s="31">
        <f>[1]节奏总纲!AV99</f>
        <v>0</v>
      </c>
      <c r="AW99" s="31">
        <f>[1]节奏总纲!AW99</f>
        <v>0</v>
      </c>
      <c r="AX99" s="31">
        <f>[1]节奏总纲!AX99</f>
        <v>0</v>
      </c>
      <c r="AZ99" s="31">
        <v>96</v>
      </c>
      <c r="BA99" s="31">
        <f>[1]节奏总纲!BA99</f>
        <v>37.753075011035001</v>
      </c>
      <c r="BB99" s="31">
        <f>[1]节奏总纲!BB99</f>
        <v>39.250296194358178</v>
      </c>
      <c r="BC99" s="31">
        <f>[1]节奏总纲!BC99</f>
        <v>41.188041754455355</v>
      </c>
      <c r="BD99" s="31">
        <f>[1]节奏总纲!BD99</f>
        <v>43.928898311540578</v>
      </c>
      <c r="BE99" s="31">
        <f>[1]节奏总纲!BE99</f>
        <v>48.604416748272008</v>
      </c>
    </row>
    <row r="100" spans="6:57" x14ac:dyDescent="0.15">
      <c r="F100" s="31">
        <v>98</v>
      </c>
      <c r="G100" s="31">
        <f t="shared" si="7"/>
        <v>890.4437768152311</v>
      </c>
      <c r="N100" s="41">
        <f>[1]节奏总纲!N100</f>
        <v>107</v>
      </c>
      <c r="O100" s="31">
        <v>97</v>
      </c>
      <c r="P100" s="31">
        <f>[1]节奏总纲!P100</f>
        <v>830.74645386878444</v>
      </c>
      <c r="Q100" s="31">
        <f>[1]节奏总纲!Q100</f>
        <v>707.71290405081743</v>
      </c>
      <c r="R100" s="31">
        <f>[1]节奏总纲!R100</f>
        <v>569.31054483627804</v>
      </c>
      <c r="S100" s="31">
        <f>[1]节奏总纲!S100</f>
        <v>409.80722569347137</v>
      </c>
      <c r="T100" s="31">
        <f>[1]节奏总纲!T100</f>
        <v>223.30464679992923</v>
      </c>
      <c r="V100" s="31">
        <v>97</v>
      </c>
      <c r="W100" s="31">
        <f>[1]节奏总纲!W100</f>
        <v>55.699571815460672</v>
      </c>
      <c r="X100" s="31">
        <f>[1]节奏总纲!X100</f>
        <v>46.675418347537629</v>
      </c>
      <c r="Y100" s="31">
        <f>[1]节奏总纲!Y100</f>
        <v>39.333486888215248</v>
      </c>
      <c r="Z100" s="31">
        <f>[1]节奏总纲!Z100</f>
        <v>29.104197228878718</v>
      </c>
      <c r="AA100" s="31">
        <f>[1]节奏总纲!AA100</f>
        <v>16.444633979897105</v>
      </c>
      <c r="AC100" s="31">
        <v>97</v>
      </c>
      <c r="AD100" s="31">
        <f>[1]节奏总纲!AD100</f>
        <v>66.142785979989682</v>
      </c>
      <c r="AE100" s="31">
        <f>[1]节奏总纲!AE100</f>
        <v>68.174918074940805</v>
      </c>
      <c r="AF100" s="31">
        <f>[1]节奏总纲!AF100</f>
        <v>71.061795050376986</v>
      </c>
      <c r="AG100" s="31">
        <f>[1]节奏总纲!AG100</f>
        <v>75.554807824479894</v>
      </c>
      <c r="AH100" s="31">
        <f>[1]节奏总纲!AH100</f>
        <v>84.196136930932482</v>
      </c>
      <c r="AM100" s="31">
        <f>[1]节奏总纲!AM100</f>
        <v>0</v>
      </c>
      <c r="AN100" s="31">
        <f>[1]节奏总纲!AN100</f>
        <v>0</v>
      </c>
      <c r="AO100" s="31">
        <f>[1]节奏总纲!AO100</f>
        <v>0</v>
      </c>
      <c r="AP100" s="31">
        <f>[1]节奏总纲!AP100</f>
        <v>0</v>
      </c>
      <c r="AQ100" s="31">
        <f>[1]节奏总纲!AQ100</f>
        <v>0</v>
      </c>
      <c r="AT100" s="31">
        <f>[1]节奏总纲!AT100</f>
        <v>0</v>
      </c>
      <c r="AU100" s="31">
        <f>[1]节奏总纲!AU100</f>
        <v>0</v>
      </c>
      <c r="AV100" s="31">
        <f>[1]节奏总纲!AV100</f>
        <v>0</v>
      </c>
      <c r="AW100" s="31">
        <f>[1]节奏总纲!AW100</f>
        <v>0</v>
      </c>
      <c r="AX100" s="31">
        <f>[1]节奏总纲!AX100</f>
        <v>0</v>
      </c>
      <c r="AZ100" s="31">
        <v>97</v>
      </c>
      <c r="BA100" s="31">
        <f>[1]节奏总纲!BA100</f>
        <v>37.825677883892531</v>
      </c>
      <c r="BB100" s="31">
        <f>[1]节奏总纲!BB100</f>
        <v>39.317837077749331</v>
      </c>
      <c r="BC100" s="31">
        <f>[1]节奏总纲!BC100</f>
        <v>41.255085446274933</v>
      </c>
      <c r="BD100" s="31">
        <f>[1]节奏总纲!BD100</f>
        <v>44.003272544984547</v>
      </c>
      <c r="BE100" s="31">
        <f>[1]节奏总纲!BE100</f>
        <v>48.67620274791048</v>
      </c>
    </row>
    <row r="101" spans="6:57" x14ac:dyDescent="0.15">
      <c r="F101" s="31">
        <v>99</v>
      </c>
      <c r="G101" s="31">
        <f t="shared" si="7"/>
        <v>954.42578333369079</v>
      </c>
      <c r="N101" s="41">
        <f>[1]节奏总纲!N101</f>
        <v>108</v>
      </c>
      <c r="O101" s="31">
        <v>98</v>
      </c>
      <c r="P101" s="31">
        <f>[1]节奏总纲!P101</f>
        <v>890.4437768152311</v>
      </c>
      <c r="Q101" s="31">
        <f>[1]节奏总纲!Q101</f>
        <v>760.34994102252585</v>
      </c>
      <c r="R101" s="31">
        <f>[1]节奏总纲!R101</f>
        <v>612.98149595960513</v>
      </c>
      <c r="S101" s="31">
        <f>[1]节奏总纲!S101</f>
        <v>441.9272464333992</v>
      </c>
      <c r="T101" s="31">
        <f>[1]节奏总纲!T101</f>
        <v>240.77599725083846</v>
      </c>
      <c r="V101" s="31">
        <v>98</v>
      </c>
      <c r="W101" s="31">
        <f>[1]节奏总纲!W101</f>
        <v>59.697322946446661</v>
      </c>
      <c r="X101" s="31">
        <f>[1]节奏总纲!X101</f>
        <v>52.637036971708426</v>
      </c>
      <c r="Y101" s="31">
        <f>[1]节奏总纲!Y101</f>
        <v>43.670951123327086</v>
      </c>
      <c r="Z101" s="31">
        <f>[1]节奏总纲!Z101</f>
        <v>32.120020739927838</v>
      </c>
      <c r="AA101" s="31">
        <f>[1]节奏总纲!AA101</f>
        <v>17.471350450909227</v>
      </c>
      <c r="AC101" s="31">
        <v>98</v>
      </c>
      <c r="AD101" s="31">
        <f>[1]节奏总纲!AD101</f>
        <v>66.286413655019302</v>
      </c>
      <c r="AE101" s="31">
        <f>[1]节奏总纲!AE101</f>
        <v>68.324620778843951</v>
      </c>
      <c r="AF101" s="31">
        <f>[1]节奏总纲!AF101</f>
        <v>71.210277551293188</v>
      </c>
      <c r="AG101" s="31">
        <f>[1]节奏总纲!AG101</f>
        <v>75.701350246099338</v>
      </c>
      <c r="AH101" s="31">
        <f>[1]节奏总纲!AH101</f>
        <v>84.341370094698831</v>
      </c>
      <c r="AM101" s="31">
        <f>[1]节奏总纲!AM101</f>
        <v>0</v>
      </c>
      <c r="AN101" s="31">
        <f>[1]节奏总纲!AN101</f>
        <v>0</v>
      </c>
      <c r="AO101" s="31">
        <f>[1]节奏总纲!AO101</f>
        <v>0</v>
      </c>
      <c r="AP101" s="31">
        <f>[1]节奏总纲!AP101</f>
        <v>0</v>
      </c>
      <c r="AQ101" s="31">
        <f>[1]节奏总纲!AQ101</f>
        <v>0</v>
      </c>
      <c r="AT101" s="31">
        <f>[1]节奏总纲!AT101</f>
        <v>0</v>
      </c>
      <c r="AU101" s="31">
        <f>[1]节奏总纲!AU101</f>
        <v>0</v>
      </c>
      <c r="AV101" s="31">
        <f>[1]节奏总纲!AV101</f>
        <v>0</v>
      </c>
      <c r="AW101" s="31">
        <f>[1]节奏总纲!AW101</f>
        <v>0</v>
      </c>
      <c r="AX101" s="31">
        <f>[1]节奏总纲!AX101</f>
        <v>0</v>
      </c>
      <c r="AZ101" s="31">
        <v>98</v>
      </c>
      <c r="BA101" s="31">
        <f>[1]节奏总纲!BA101</f>
        <v>37.898280756750061</v>
      </c>
      <c r="BB101" s="31">
        <f>[1]节奏总纲!BB101</f>
        <v>39.385377961140485</v>
      </c>
      <c r="BC101" s="31">
        <f>[1]节奏总纲!BC101</f>
        <v>41.322129138094503</v>
      </c>
      <c r="BD101" s="31">
        <f>[1]节奏总纲!BD101</f>
        <v>44.067911160744309</v>
      </c>
      <c r="BE101" s="31">
        <f>[1]节奏总纲!BE101</f>
        <v>48.747988747548945</v>
      </c>
    </row>
    <row r="102" spans="6:57" x14ac:dyDescent="0.15">
      <c r="F102" s="31">
        <v>100</v>
      </c>
      <c r="G102" s="31">
        <f t="shared" si="7"/>
        <v>1023</v>
      </c>
      <c r="N102" s="41">
        <f>[1]节奏总纲!N102</f>
        <v>109</v>
      </c>
      <c r="O102" s="31">
        <v>99</v>
      </c>
      <c r="P102" s="31">
        <f>[1]节奏总纲!P102</f>
        <v>954.42578333369079</v>
      </c>
      <c r="Q102" s="31">
        <f>[1]节奏总纲!Q102</f>
        <v>816.51125764197252</v>
      </c>
      <c r="R102" s="31">
        <f>[1]节奏总纲!R102</f>
        <v>658.6492330785801</v>
      </c>
      <c r="S102" s="31">
        <f>[1]节奏总纲!S102</f>
        <v>475.39948267851139</v>
      </c>
      <c r="T102" s="31">
        <f>[1]节奏总纲!T102</f>
        <v>257.59951892176309</v>
      </c>
      <c r="V102" s="31">
        <v>99</v>
      </c>
      <c r="W102" s="31">
        <f>[1]节奏总纲!W102</f>
        <v>63.982006518459684</v>
      </c>
      <c r="X102" s="31">
        <f>[1]节奏总纲!X102</f>
        <v>56.161316619446666</v>
      </c>
      <c r="Y102" s="31">
        <f>[1]节奏总纲!Y102</f>
        <v>45.667737118974969</v>
      </c>
      <c r="Z102" s="31">
        <f>[1]节奏总纲!Z102</f>
        <v>33.472236245112185</v>
      </c>
      <c r="AA102" s="31">
        <f>[1]节奏总纲!AA102</f>
        <v>16.823521670924634</v>
      </c>
      <c r="AC102" s="31">
        <v>99</v>
      </c>
      <c r="AD102" s="31">
        <f>[1]节奏总纲!AD102</f>
        <v>66.430041330048923</v>
      </c>
      <c r="AE102" s="31">
        <f>[1]节奏总纲!AE102</f>
        <v>68.474323482747096</v>
      </c>
      <c r="AF102" s="31">
        <f>[1]节奏总纲!AF102</f>
        <v>71.358760052209377</v>
      </c>
      <c r="AG102" s="31">
        <f>[1]节奏总纲!AG102</f>
        <v>75.847892667718796</v>
      </c>
      <c r="AH102" s="31">
        <f>[1]节奏总纲!AH102</f>
        <v>84.48660325846518</v>
      </c>
      <c r="AM102" s="31">
        <f>[1]节奏总纲!AM102</f>
        <v>0</v>
      </c>
      <c r="AN102" s="31">
        <f>[1]节奏总纲!AN102</f>
        <v>0</v>
      </c>
      <c r="AO102" s="31">
        <f>[1]节奏总纲!AO102</f>
        <v>0</v>
      </c>
      <c r="AP102" s="31">
        <f>[1]节奏总纲!AP102</f>
        <v>0</v>
      </c>
      <c r="AQ102" s="31">
        <f>[1]节奏总纲!AQ102</f>
        <v>0</v>
      </c>
      <c r="AT102" s="31">
        <f>[1]节奏总纲!AT102</f>
        <v>0</v>
      </c>
      <c r="AU102" s="31">
        <f>[1]节奏总纲!AU102</f>
        <v>0</v>
      </c>
      <c r="AV102" s="31">
        <f>[1]节奏总纲!AV102</f>
        <v>0</v>
      </c>
      <c r="AW102" s="31">
        <f>[1]节奏总纲!AW102</f>
        <v>0</v>
      </c>
      <c r="AX102" s="31">
        <f>[1]节奏总纲!AX102</f>
        <v>0</v>
      </c>
      <c r="AZ102" s="31">
        <v>99</v>
      </c>
      <c r="BA102" s="31">
        <f>[1]节奏总纲!BA102</f>
        <v>37.970883629607592</v>
      </c>
      <c r="BB102" s="31">
        <f>[1]节奏总纲!BB102</f>
        <v>39.452918844531645</v>
      </c>
      <c r="BC102" s="31">
        <f>[1]节奏总纲!BC102</f>
        <v>41.389172829914081</v>
      </c>
      <c r="BD102" s="31">
        <f>[1]节奏总纲!BD102</f>
        <v>44.132549776504064</v>
      </c>
      <c r="BE102" s="31">
        <f>[1]节奏总纲!BE102</f>
        <v>48.819774747187417</v>
      </c>
    </row>
    <row r="103" spans="6:57" x14ac:dyDescent="0.15">
      <c r="F103" s="31">
        <v>101</v>
      </c>
      <c r="G103" s="31">
        <f t="shared" si="7"/>
        <v>1096.4960256371633</v>
      </c>
      <c r="N103" s="41">
        <f>[1]节奏总纲!N103</f>
        <v>110</v>
      </c>
      <c r="O103" s="31">
        <v>100</v>
      </c>
      <c r="P103" s="31">
        <f>[1]节奏总纲!P103</f>
        <v>1023</v>
      </c>
      <c r="Q103" s="31">
        <f>[1]节奏总纲!Q103</f>
        <v>875.38110000000006</v>
      </c>
      <c r="R103" s="31">
        <f>[1]节奏总纲!R103</f>
        <v>706.6884</v>
      </c>
      <c r="S103" s="31">
        <f>[1]节奏总纲!S103</f>
        <v>508.22640000000001</v>
      </c>
      <c r="T103" s="31">
        <f>[1]节奏总纲!T103</f>
        <v>274.77780000000001</v>
      </c>
      <c r="V103" s="31">
        <v>100</v>
      </c>
      <c r="W103" s="31">
        <f>[1]节奏总纲!W103</f>
        <v>68.574216666309212</v>
      </c>
      <c r="X103" s="31">
        <f>[1]节奏总纲!X103</f>
        <v>58.86984235802754</v>
      </c>
      <c r="Y103" s="31">
        <f>[1]节奏总纲!Y103</f>
        <v>48.039166921419906</v>
      </c>
      <c r="Z103" s="31">
        <f>[1]节奏总纲!Z103</f>
        <v>32.826917321488622</v>
      </c>
      <c r="AA103" s="31">
        <f>[1]节奏总纲!AA103</f>
        <v>17.178281078236921</v>
      </c>
      <c r="AC103" s="31">
        <v>100</v>
      </c>
      <c r="AD103" s="31">
        <f>[1]节奏总纲!AD103</f>
        <v>66.573669005078543</v>
      </c>
      <c r="AE103" s="31">
        <f>[1]节奏总纲!AE103</f>
        <v>68.624026186650241</v>
      </c>
      <c r="AF103" s="31">
        <f>[1]节奏总纲!AF103</f>
        <v>71.507242553125565</v>
      </c>
      <c r="AG103" s="31">
        <f>[1]节奏总纲!AG103</f>
        <v>75.994435089338239</v>
      </c>
      <c r="AH103" s="31">
        <f>[1]节奏总纲!AH103</f>
        <v>84.63183642223153</v>
      </c>
      <c r="AM103" s="31">
        <f>[1]节奏总纲!AM103</f>
        <v>0</v>
      </c>
      <c r="AN103" s="31">
        <f>[1]节奏总纲!AN103</f>
        <v>0</v>
      </c>
      <c r="AO103" s="31">
        <f>[1]节奏总纲!AO103</f>
        <v>0</v>
      </c>
      <c r="AP103" s="31">
        <f>[1]节奏总纲!AP103</f>
        <v>0</v>
      </c>
      <c r="AQ103" s="31">
        <f>[1]节奏总纲!AQ103</f>
        <v>0</v>
      </c>
      <c r="AT103" s="31">
        <f>[1]节奏总纲!AT103</f>
        <v>0</v>
      </c>
      <c r="AU103" s="31">
        <f>[1]节奏总纲!AU103</f>
        <v>0</v>
      </c>
      <c r="AV103" s="31">
        <f>[1]节奏总纲!AV103</f>
        <v>0</v>
      </c>
      <c r="AW103" s="31">
        <f>[1]节奏总纲!AW103</f>
        <v>0</v>
      </c>
      <c r="AX103" s="31">
        <f>[1]节奏总纲!AX103</f>
        <v>0</v>
      </c>
      <c r="AZ103" s="31">
        <v>100</v>
      </c>
      <c r="BA103" s="31">
        <f>[1]节奏总纲!BA103</f>
        <v>38.037513426486328</v>
      </c>
      <c r="BB103" s="31">
        <f>[1]节奏总纲!BB103</f>
        <v>39.520459727922798</v>
      </c>
      <c r="BC103" s="31">
        <f>[1]节奏总纲!BC103</f>
        <v>41.456216521733651</v>
      </c>
      <c r="BD103" s="31">
        <f>[1]节奏总纲!BD103</f>
        <v>44.197188392263818</v>
      </c>
      <c r="BE103" s="31">
        <f>[1]节奏总纲!BE103</f>
        <v>48.891560746825888</v>
      </c>
    </row>
    <row r="104" spans="6:57" x14ac:dyDescent="0.15">
      <c r="F104" s="31">
        <v>102</v>
      </c>
      <c r="G104" s="31">
        <f t="shared" si="7"/>
        <v>1175.2671155169628</v>
      </c>
      <c r="N104" s="41">
        <f>[1]节奏总纲!N104</f>
        <v>111</v>
      </c>
      <c r="O104" s="31">
        <v>101</v>
      </c>
      <c r="P104" s="31">
        <f>[1]节奏总纲!P104</f>
        <v>1096.4960256371633</v>
      </c>
      <c r="Q104" s="31">
        <f>[1]节奏总纲!Q104</f>
        <v>939.14884595823037</v>
      </c>
      <c r="R104" s="31">
        <f>[1]节奏总纲!R104</f>
        <v>756.25330888195151</v>
      </c>
      <c r="S104" s="31">
        <f>[1]节奏总纲!S104</f>
        <v>541.99798547244984</v>
      </c>
      <c r="T104" s="31">
        <f>[1]节奏总纲!T104</f>
        <v>293.42233646050488</v>
      </c>
      <c r="V104" s="31">
        <v>101</v>
      </c>
      <c r="W104" s="31">
        <f>[1]节奏总纲!W104</f>
        <v>73.496025637163257</v>
      </c>
      <c r="X104" s="31">
        <f>[1]节奏总纲!X104</f>
        <v>63.767745958230307</v>
      </c>
      <c r="Y104" s="31">
        <f>[1]节奏总纲!Y104</f>
        <v>49.56490888195151</v>
      </c>
      <c r="Z104" s="31">
        <f>[1]节奏总纲!Z104</f>
        <v>33.771585472449829</v>
      </c>
      <c r="AA104" s="31">
        <f>[1]节奏总纲!AA104</f>
        <v>18.644536460504867</v>
      </c>
      <c r="AC104" s="31">
        <v>101</v>
      </c>
      <c r="AD104" s="31">
        <f>[1]节奏总纲!AD104</f>
        <v>66.717296680108163</v>
      </c>
      <c r="AE104" s="31">
        <f>[1]节奏总纲!AE104</f>
        <v>68.773728890553386</v>
      </c>
      <c r="AF104" s="31">
        <f>[1]节奏总纲!AF104</f>
        <v>71.655725054041767</v>
      </c>
      <c r="AG104" s="31">
        <f>[1]节奏总纲!AG104</f>
        <v>76.130305911210229</v>
      </c>
      <c r="AH104" s="31">
        <f>[1]节奏总纲!AH104</f>
        <v>84.777069585997879</v>
      </c>
      <c r="AM104" s="31">
        <f>[1]节奏总纲!AM104</f>
        <v>0</v>
      </c>
      <c r="AN104" s="31">
        <f>[1]节奏总纲!AN104</f>
        <v>0</v>
      </c>
      <c r="AO104" s="31">
        <f>[1]节奏总纲!AO104</f>
        <v>0</v>
      </c>
      <c r="AP104" s="31">
        <f>[1]节奏总纲!AP104</f>
        <v>0</v>
      </c>
      <c r="AQ104" s="31">
        <f>[1]节奏总纲!AQ104</f>
        <v>0</v>
      </c>
      <c r="AT104" s="31">
        <f>[1]节奏总纲!AT104</f>
        <v>0</v>
      </c>
      <c r="AU104" s="31">
        <f>[1]节奏总纲!AU104</f>
        <v>0</v>
      </c>
      <c r="AV104" s="31">
        <f>[1]节奏总纲!AV104</f>
        <v>0</v>
      </c>
      <c r="AW104" s="31">
        <f>[1]节奏总纲!AW104</f>
        <v>0</v>
      </c>
      <c r="AX104" s="31">
        <f>[1]节奏总纲!AX104</f>
        <v>0</v>
      </c>
      <c r="AZ104" s="31">
        <v>101</v>
      </c>
      <c r="BA104" s="31">
        <f>[1]节奏总纲!BA104</f>
        <v>38.100143952724252</v>
      </c>
      <c r="BB104" s="31">
        <f>[1]节奏总纲!BB104</f>
        <v>39.588000611313952</v>
      </c>
      <c r="BC104" s="31">
        <f>[1]节奏总纲!BC104</f>
        <v>41.523260213553229</v>
      </c>
      <c r="BD104" s="31">
        <f>[1]节奏总纲!BD104</f>
        <v>44.261827008023573</v>
      </c>
      <c r="BE104" s="31">
        <f>[1]节奏总纲!BE104</f>
        <v>48.96334674646436</v>
      </c>
    </row>
    <row r="105" spans="6:57" x14ac:dyDescent="0.15">
      <c r="F105" s="31">
        <v>103</v>
      </c>
      <c r="G105" s="31">
        <f t="shared" si="7"/>
        <v>1259.6918792651943</v>
      </c>
      <c r="N105" s="41">
        <f>[1]节奏总纲!N105</f>
        <v>112</v>
      </c>
      <c r="O105" s="31">
        <v>102</v>
      </c>
      <c r="P105" s="31">
        <f>[1]节奏总纲!P105</f>
        <v>1175.2671155169628</v>
      </c>
      <c r="Q105" s="31">
        <f>[1]节奏总纲!Q105</f>
        <v>1004.2657502092447</v>
      </c>
      <c r="R105" s="31">
        <f>[1]节奏总纲!R105</f>
        <v>806.23324124463659</v>
      </c>
      <c r="S105" s="31">
        <f>[1]节奏总纲!S105</f>
        <v>577.99636741124232</v>
      </c>
      <c r="T105" s="31">
        <f>[1]节奏总纲!T105</f>
        <v>313.56126641992563</v>
      </c>
      <c r="V105" s="31">
        <v>102</v>
      </c>
      <c r="W105" s="31">
        <f>[1]节奏总纲!W105</f>
        <v>78.771089879799547</v>
      </c>
      <c r="X105" s="31">
        <f>[1]节奏总纲!X105</f>
        <v>65.116904251014375</v>
      </c>
      <c r="Y105" s="31">
        <f>[1]节奏总纲!Y105</f>
        <v>49.979932362685076</v>
      </c>
      <c r="Z105" s="31">
        <f>[1]节奏总纲!Z105</f>
        <v>35.998381938792477</v>
      </c>
      <c r="AA105" s="31">
        <f>[1]节奏总纲!AA105</f>
        <v>20.13892995942075</v>
      </c>
      <c r="AC105" s="31">
        <v>102</v>
      </c>
      <c r="AD105" s="31">
        <f>[1]节奏总纲!AD105</f>
        <v>66.860924355137783</v>
      </c>
      <c r="AE105" s="31">
        <f>[1]节奏总纲!AE105</f>
        <v>68.923431594456531</v>
      </c>
      <c r="AF105" s="31">
        <f>[1]节奏总纲!AF105</f>
        <v>71.804207554957955</v>
      </c>
      <c r="AG105" s="31">
        <f>[1]节奏总纲!AG105</f>
        <v>76.265755485049056</v>
      </c>
      <c r="AH105" s="31">
        <f>[1]节奏总纲!AH105</f>
        <v>84.922302749764228</v>
      </c>
      <c r="AM105" s="31">
        <f>[1]节奏总纲!AM105</f>
        <v>0</v>
      </c>
      <c r="AN105" s="31">
        <f>[1]节奏总纲!AN105</f>
        <v>0</v>
      </c>
      <c r="AO105" s="31">
        <f>[1]节奏总纲!AO105</f>
        <v>0</v>
      </c>
      <c r="AP105" s="31">
        <f>[1]节奏总纲!AP105</f>
        <v>0</v>
      </c>
      <c r="AQ105" s="31">
        <f>[1]节奏总纲!AQ105</f>
        <v>0</v>
      </c>
      <c r="AT105" s="31">
        <f>[1]节奏总纲!AT105</f>
        <v>0</v>
      </c>
      <c r="AU105" s="31">
        <f>[1]节奏总纲!AU105</f>
        <v>0</v>
      </c>
      <c r="AV105" s="31">
        <f>[1]节奏总纲!AV105</f>
        <v>0</v>
      </c>
      <c r="AW105" s="31">
        <f>[1]节奏总纲!AW105</f>
        <v>0</v>
      </c>
      <c r="AX105" s="31">
        <f>[1]节奏总纲!AX105</f>
        <v>0</v>
      </c>
      <c r="AZ105" s="31">
        <v>102</v>
      </c>
      <c r="BA105" s="31">
        <f>[1]节奏总纲!BA105</f>
        <v>38.16277447896217</v>
      </c>
      <c r="BB105" s="31">
        <f>[1]节奏总纲!BB105</f>
        <v>39.655541494705105</v>
      </c>
      <c r="BC105" s="31">
        <f>[1]节奏总纲!BC105</f>
        <v>41.590303905372799</v>
      </c>
      <c r="BD105" s="31">
        <f>[1]节奏总纲!BD105</f>
        <v>44.326465623783335</v>
      </c>
      <c r="BE105" s="31">
        <f>[1]节奏总纲!BE105</f>
        <v>49.030333272797542</v>
      </c>
    </row>
    <row r="106" spans="6:57" x14ac:dyDescent="0.15">
      <c r="F106" s="31">
        <v>104</v>
      </c>
      <c r="G106" s="31">
        <f t="shared" si="7"/>
        <v>1350.1761006314437</v>
      </c>
      <c r="N106" s="41">
        <f>[1]节奏总纲!N106</f>
        <v>113</v>
      </c>
      <c r="O106" s="31">
        <v>103</v>
      </c>
      <c r="P106" s="31">
        <f>[1]节奏总纲!P106</f>
        <v>1259.6918792651943</v>
      </c>
      <c r="Q106" s="31">
        <f>[1]节奏总纲!Q106</f>
        <v>1073.383450321872</v>
      </c>
      <c r="R106" s="31">
        <f>[1]节奏总纲!R106</f>
        <v>861.50327622946634</v>
      </c>
      <c r="S106" s="31">
        <f>[1]节奏总纲!S106</f>
        <v>619.01258947091651</v>
      </c>
      <c r="T106" s="31">
        <f>[1]节奏总纲!T106</f>
        <v>335.8338550121008</v>
      </c>
      <c r="V106" s="31">
        <v>103</v>
      </c>
      <c r="W106" s="31">
        <f>[1]节奏总纲!W106</f>
        <v>84.424763748231499</v>
      </c>
      <c r="X106" s="31">
        <f>[1]节奏总纲!X106</f>
        <v>69.11770011262729</v>
      </c>
      <c r="Y106" s="31">
        <f>[1]节奏总纲!Y106</f>
        <v>55.270034984829749</v>
      </c>
      <c r="Z106" s="31">
        <f>[1]节奏总纲!Z106</f>
        <v>41.016222059674192</v>
      </c>
      <c r="AA106" s="31">
        <f>[1]节奏总纲!AA106</f>
        <v>22.272588592175168</v>
      </c>
      <c r="AC106" s="31">
        <v>103</v>
      </c>
      <c r="AD106" s="31">
        <f>[1]节奏总纲!AD106</f>
        <v>67.004247194324648</v>
      </c>
      <c r="AE106" s="31">
        <f>[1]节奏总纲!AE106</f>
        <v>69.0655056802525</v>
      </c>
      <c r="AF106" s="31">
        <f>[1]节奏总纲!AF106</f>
        <v>71.952690055874157</v>
      </c>
      <c r="AG106" s="31">
        <f>[1]节奏总纲!AG106</f>
        <v>76.401205058887882</v>
      </c>
      <c r="AH106" s="31">
        <f>[1]节奏总纲!AH106</f>
        <v>85.072521641060263</v>
      </c>
      <c r="AM106" s="31">
        <f>[1]节奏总纲!AM106</f>
        <v>0</v>
      </c>
      <c r="AN106" s="31">
        <f>[1]节奏总纲!AN106</f>
        <v>0</v>
      </c>
      <c r="AO106" s="31">
        <f>[1]节奏总纲!AO106</f>
        <v>0</v>
      </c>
      <c r="AP106" s="31">
        <f>[1]节奏总纲!AP106</f>
        <v>0</v>
      </c>
      <c r="AQ106" s="31">
        <f>[1]节奏总纲!AQ106</f>
        <v>0</v>
      </c>
      <c r="AT106" s="31">
        <f>[1]节奏总纲!AT106</f>
        <v>0</v>
      </c>
      <c r="AU106" s="31">
        <f>[1]节奏总纲!AU106</f>
        <v>0</v>
      </c>
      <c r="AV106" s="31">
        <f>[1]节奏总纲!AV106</f>
        <v>0</v>
      </c>
      <c r="AW106" s="31">
        <f>[1]节奏总纲!AW106</f>
        <v>0</v>
      </c>
      <c r="AX106" s="31">
        <f>[1]节奏总纲!AX106</f>
        <v>0</v>
      </c>
      <c r="AZ106" s="31">
        <v>103</v>
      </c>
      <c r="BA106" s="31">
        <f>[1]节奏总纲!BA106</f>
        <v>38.225405005200088</v>
      </c>
      <c r="BB106" s="31">
        <f>[1]节奏总纲!BB106</f>
        <v>39.723082378096265</v>
      </c>
      <c r="BC106" s="31">
        <f>[1]节奏总纲!BC106</f>
        <v>41.657347597192377</v>
      </c>
      <c r="BD106" s="31">
        <f>[1]节奏总纲!BD106</f>
        <v>44.39110423954309</v>
      </c>
      <c r="BE106" s="31">
        <f>[1]节奏总纲!BE106</f>
        <v>49.09231260978715</v>
      </c>
    </row>
    <row r="107" spans="6:57" x14ac:dyDescent="0.15">
      <c r="F107" s="31">
        <v>105</v>
      </c>
      <c r="G107" s="31">
        <f t="shared" si="7"/>
        <v>1447.1546878700494</v>
      </c>
      <c r="N107" s="41">
        <f>[1]节奏总纲!N107</f>
        <v>114</v>
      </c>
      <c r="O107" s="31">
        <v>104</v>
      </c>
      <c r="P107" s="31">
        <f>[1]节奏总纲!P107</f>
        <v>1350.1761006314437</v>
      </c>
      <c r="Q107" s="31">
        <f>[1]节奏总纲!Q107</f>
        <v>1150.7550905681794</v>
      </c>
      <c r="R107" s="31">
        <f>[1]节奏总纲!R107</f>
        <v>925.41069937279144</v>
      </c>
      <c r="S107" s="31">
        <f>[1]节奏总纲!S107</f>
        <v>665.09674717104917</v>
      </c>
      <c r="T107" s="31">
        <f>[1]节奏总纲!T107</f>
        <v>360.49701886859549</v>
      </c>
      <c r="V107" s="31">
        <v>104</v>
      </c>
      <c r="W107" s="31">
        <f>[1]节奏总纲!W107</f>
        <v>90.484221366249358</v>
      </c>
      <c r="X107" s="31">
        <f>[1]节奏总纲!X107</f>
        <v>77.371640246307379</v>
      </c>
      <c r="Y107" s="31">
        <f>[1]节奏总纲!Y107</f>
        <v>63.907423143325104</v>
      </c>
      <c r="Z107" s="31">
        <f>[1]节奏总纲!Z107</f>
        <v>46.084157700132664</v>
      </c>
      <c r="AA107" s="31">
        <f>[1]节奏总纲!AA107</f>
        <v>24.663163856494691</v>
      </c>
      <c r="AC107" s="31">
        <v>104</v>
      </c>
      <c r="AD107" s="31">
        <f>[1]节奏总纲!AD107</f>
        <v>67.138256553625013</v>
      </c>
      <c r="AE107" s="31">
        <f>[1]节奏总纲!AE107</f>
        <v>69.199592937186125</v>
      </c>
      <c r="AF107" s="31">
        <f>[1]节奏总纲!AF107</f>
        <v>72.093818006439079</v>
      </c>
      <c r="AG107" s="31">
        <f>[1]节奏总纲!AG107</f>
        <v>76.536654632726695</v>
      </c>
      <c r="AH107" s="31">
        <f>[1]节奏总纲!AH107</f>
        <v>85.228476403824274</v>
      </c>
      <c r="AM107" s="31">
        <f>[1]节奏总纲!AM107</f>
        <v>0</v>
      </c>
      <c r="AN107" s="31">
        <f>[1]节奏总纲!AN107</f>
        <v>0</v>
      </c>
      <c r="AO107" s="31">
        <f>[1]节奏总纲!AO107</f>
        <v>0</v>
      </c>
      <c r="AP107" s="31">
        <f>[1]节奏总纲!AP107</f>
        <v>0</v>
      </c>
      <c r="AQ107" s="31">
        <f>[1]节奏总纲!AQ107</f>
        <v>0</v>
      </c>
      <c r="AT107" s="31">
        <f>[1]节奏总纲!AT107</f>
        <v>0</v>
      </c>
      <c r="AU107" s="31">
        <f>[1]节奏总纲!AU107</f>
        <v>0</v>
      </c>
      <c r="AV107" s="31">
        <f>[1]节奏总纲!AV107</f>
        <v>0</v>
      </c>
      <c r="AW107" s="31">
        <f>[1]节奏总纲!AW107</f>
        <v>0</v>
      </c>
      <c r="AX107" s="31">
        <f>[1]节奏总纲!AX107</f>
        <v>0</v>
      </c>
      <c r="AZ107" s="31">
        <v>104</v>
      </c>
      <c r="BA107" s="31">
        <f>[1]节奏总纲!BA107</f>
        <v>38.288035531438013</v>
      </c>
      <c r="BB107" s="31">
        <f>[1]节奏总纲!BB107</f>
        <v>39.790623261487418</v>
      </c>
      <c r="BC107" s="31">
        <f>[1]节奏总纲!BC107</f>
        <v>41.724391289011947</v>
      </c>
      <c r="BD107" s="31">
        <f>[1]节奏总纲!BD107</f>
        <v>44.455742855302844</v>
      </c>
      <c r="BE107" s="31">
        <f>[1]节奏总纲!BE107</f>
        <v>49.154291946776759</v>
      </c>
    </row>
    <row r="108" spans="6:57" x14ac:dyDescent="0.15">
      <c r="F108" s="31">
        <v>106</v>
      </c>
      <c r="G108" s="31">
        <f t="shared" si="7"/>
        <v>1551.0937641066464</v>
      </c>
      <c r="N108" s="41">
        <f>[1]节奏总纲!N108</f>
        <v>115</v>
      </c>
      <c r="O108" s="31">
        <v>105</v>
      </c>
      <c r="P108" s="31">
        <f>[1]节奏总纲!P108</f>
        <v>1447.1546878700494</v>
      </c>
      <c r="Q108" s="31">
        <f>[1]节奏总纲!Q108</f>
        <v>1234.8570951595132</v>
      </c>
      <c r="R108" s="31">
        <f>[1]节奏总纲!R108</f>
        <v>993.18226228521496</v>
      </c>
      <c r="S108" s="31">
        <f>[1]节奏总纲!S108</f>
        <v>713.59197658872131</v>
      </c>
      <c r="T108" s="31">
        <f>[1]节奏总纲!T108</f>
        <v>386.39030166130323</v>
      </c>
      <c r="V108" s="31">
        <v>105</v>
      </c>
      <c r="W108" s="31">
        <f>[1]节奏总纲!W108</f>
        <v>96.978587238605769</v>
      </c>
      <c r="X108" s="31">
        <f>[1]节奏总纲!X108</f>
        <v>84.102004591333753</v>
      </c>
      <c r="Y108" s="31">
        <f>[1]节奏总纲!Y108</f>
        <v>67.771562912423519</v>
      </c>
      <c r="Z108" s="31">
        <f>[1]节奏总纲!Z108</f>
        <v>48.495229417672135</v>
      </c>
      <c r="AA108" s="31">
        <f>[1]节奏总纲!AA108</f>
        <v>25.893282792707737</v>
      </c>
      <c r="AC108" s="31">
        <v>105</v>
      </c>
      <c r="AD108" s="31">
        <f>[1]节奏总纲!AD108</f>
        <v>67.272265912925377</v>
      </c>
      <c r="AE108" s="31">
        <f>[1]节奏总纲!AE108</f>
        <v>69.333680194119751</v>
      </c>
      <c r="AF108" s="31">
        <f>[1]节奏总纲!AF108</f>
        <v>72.23150684883845</v>
      </c>
      <c r="AG108" s="31">
        <f>[1]节奏总纲!AG108</f>
        <v>76.672104206565521</v>
      </c>
      <c r="AH108" s="31">
        <f>[1]节奏总纲!AH108</f>
        <v>85.384431166588271</v>
      </c>
      <c r="AM108" s="31">
        <f>[1]节奏总纲!AM108</f>
        <v>0</v>
      </c>
      <c r="AN108" s="31">
        <f>[1]节奏总纲!AN108</f>
        <v>0</v>
      </c>
      <c r="AO108" s="31">
        <f>[1]节奏总纲!AO108</f>
        <v>0</v>
      </c>
      <c r="AP108" s="31">
        <f>[1]节奏总纲!AP108</f>
        <v>0</v>
      </c>
      <c r="AQ108" s="31">
        <f>[1]节奏总纲!AQ108</f>
        <v>0</v>
      </c>
      <c r="AT108" s="31">
        <f>[1]节奏总纲!AT108</f>
        <v>0</v>
      </c>
      <c r="AU108" s="31">
        <f>[1]节奏总纲!AU108</f>
        <v>0</v>
      </c>
      <c r="AV108" s="31">
        <f>[1]节奏总纲!AV108</f>
        <v>0</v>
      </c>
      <c r="AW108" s="31">
        <f>[1]节奏总纲!AW108</f>
        <v>0</v>
      </c>
      <c r="AX108" s="31">
        <f>[1]节奏总纲!AX108</f>
        <v>0</v>
      </c>
      <c r="AZ108" s="31">
        <v>105</v>
      </c>
      <c r="BA108" s="31">
        <f>[1]节奏总纲!BA108</f>
        <v>38.35066605767593</v>
      </c>
      <c r="BB108" s="31">
        <f>[1]节奏总纲!BB108</f>
        <v>39.858164144878572</v>
      </c>
      <c r="BC108" s="31">
        <f>[1]节奏总纲!BC108</f>
        <v>41.791434980831518</v>
      </c>
      <c r="BD108" s="31">
        <f>[1]节奏总纲!BD108</f>
        <v>44.520381471062606</v>
      </c>
      <c r="BE108" s="31">
        <f>[1]节奏总纲!BE108</f>
        <v>49.216271283766375</v>
      </c>
    </row>
    <row r="109" spans="6:57" x14ac:dyDescent="0.15">
      <c r="F109" s="31">
        <v>107</v>
      </c>
      <c r="G109" s="31">
        <f t="shared" si="7"/>
        <v>1662.4929077375689</v>
      </c>
      <c r="N109" s="41">
        <f>[1]节奏总纲!N109</f>
        <v>116</v>
      </c>
      <c r="O109" s="31">
        <v>106</v>
      </c>
      <c r="P109" s="31">
        <f>[1]节奏总纲!P109</f>
        <v>1551.0937641066464</v>
      </c>
      <c r="Q109" s="31">
        <f>[1]节奏总纲!Q109</f>
        <v>1324.4789651706653</v>
      </c>
      <c r="R109" s="31">
        <f>[1]节奏总纲!R109</f>
        <v>1064.6707596828021</v>
      </c>
      <c r="S109" s="31">
        <f>[1]节奏总纲!S109</f>
        <v>764.3790069517554</v>
      </c>
      <c r="T109" s="31">
        <f>[1]节奏总纲!T109</f>
        <v>412.59094125236794</v>
      </c>
      <c r="V109" s="31">
        <v>106</v>
      </c>
      <c r="W109" s="31">
        <f>[1]节奏总纲!W109</f>
        <v>103.93907623659697</v>
      </c>
      <c r="X109" s="31">
        <f>[1]节奏总纲!X109</f>
        <v>89.621870011152168</v>
      </c>
      <c r="Y109" s="31">
        <f>[1]节奏总纲!Y109</f>
        <v>71.488497397587139</v>
      </c>
      <c r="Z109" s="31">
        <f>[1]节奏总纲!Z109</f>
        <v>50.787030363034091</v>
      </c>
      <c r="AA109" s="31">
        <f>[1]节奏总纲!AA109</f>
        <v>26.200639591064714</v>
      </c>
      <c r="AC109" s="31">
        <v>106</v>
      </c>
      <c r="AD109" s="31">
        <f>[1]节奏总纲!AD109</f>
        <v>67.406275272225741</v>
      </c>
      <c r="AE109" s="31">
        <f>[1]节奏总纲!AE109</f>
        <v>69.467767451053362</v>
      </c>
      <c r="AF109" s="31">
        <f>[1]节奏总纲!AF109</f>
        <v>72.369195691237806</v>
      </c>
      <c r="AG109" s="31">
        <f>[1]节奏总纲!AG109</f>
        <v>76.807553780404334</v>
      </c>
      <c r="AH109" s="31">
        <f>[1]节奏总纲!AH109</f>
        <v>85.540385929352269</v>
      </c>
      <c r="AM109" s="31">
        <f>[1]节奏总纲!AM109</f>
        <v>0</v>
      </c>
      <c r="AN109" s="31">
        <f>[1]节奏总纲!AN109</f>
        <v>0</v>
      </c>
      <c r="AO109" s="31">
        <f>[1]节奏总纲!AO109</f>
        <v>0</v>
      </c>
      <c r="AP109" s="31">
        <f>[1]节奏总纲!AP109</f>
        <v>0</v>
      </c>
      <c r="AQ109" s="31">
        <f>[1]节奏总纲!AQ109</f>
        <v>0</v>
      </c>
      <c r="AT109" s="31">
        <f>[1]节奏总纲!AT109</f>
        <v>0</v>
      </c>
      <c r="AU109" s="31">
        <f>[1]节奏总纲!AU109</f>
        <v>0</v>
      </c>
      <c r="AV109" s="31">
        <f>[1]节奏总纲!AV109</f>
        <v>0</v>
      </c>
      <c r="AW109" s="31">
        <f>[1]节奏总纲!AW109</f>
        <v>0</v>
      </c>
      <c r="AX109" s="31">
        <f>[1]节奏总纲!AX109</f>
        <v>0</v>
      </c>
      <c r="AZ109" s="31">
        <v>106</v>
      </c>
      <c r="BA109" s="31">
        <f>[1]节奏总纲!BA109</f>
        <v>38.413296583913848</v>
      </c>
      <c r="BB109" s="31">
        <f>[1]节奏总纲!BB109</f>
        <v>39.925705028269732</v>
      </c>
      <c r="BC109" s="31">
        <f>[1]节奏总纲!BC109</f>
        <v>41.858478672651096</v>
      </c>
      <c r="BD109" s="31">
        <f>[1]节奏总纲!BD109</f>
        <v>44.585020086822361</v>
      </c>
      <c r="BE109" s="31">
        <f>[1]节奏总纲!BE109</f>
        <v>49.278250620755983</v>
      </c>
    </row>
    <row r="110" spans="6:57" x14ac:dyDescent="0.15">
      <c r="F110" s="31">
        <v>108</v>
      </c>
      <c r="G110" s="31">
        <f t="shared" si="7"/>
        <v>1781.8875536304624</v>
      </c>
      <c r="N110" s="41">
        <f>[1]节奏总纲!N110</f>
        <v>117</v>
      </c>
      <c r="O110" s="31">
        <v>107</v>
      </c>
      <c r="P110" s="31">
        <f>[1]节奏总纲!P110</f>
        <v>1662.4929077375689</v>
      </c>
      <c r="Q110" s="31">
        <f>[1]节奏总纲!Q110</f>
        <v>1418.9376967540152</v>
      </c>
      <c r="R110" s="31">
        <f>[1]节奏总纲!R110</f>
        <v>1141.6338797433884</v>
      </c>
      <c r="S110" s="31">
        <f>[1]节奏总纲!S110</f>
        <v>816.11776840837263</v>
      </c>
      <c r="T110" s="31">
        <f>[1]节奏总纲!T110</f>
        <v>440.22812196890823</v>
      </c>
      <c r="V110" s="31">
        <v>107</v>
      </c>
      <c r="W110" s="31">
        <f>[1]节奏总纲!W110</f>
        <v>111.39914363092248</v>
      </c>
      <c r="X110" s="31">
        <f>[1]节奏总纲!X110</f>
        <v>94.458731583349845</v>
      </c>
      <c r="Y110" s="31">
        <f>[1]节奏总纲!Y110</f>
        <v>76.963120060586334</v>
      </c>
      <c r="Z110" s="31">
        <f>[1]节奏总纲!Z110</f>
        <v>51.738761456617226</v>
      </c>
      <c r="AA110" s="31">
        <f>[1]节奏总纲!AA110</f>
        <v>27.637180716540286</v>
      </c>
      <c r="AC110" s="31">
        <v>107</v>
      </c>
      <c r="AD110" s="31">
        <f>[1]节奏总纲!AD110</f>
        <v>67.540284631526106</v>
      </c>
      <c r="AE110" s="31">
        <f>[1]节奏总纲!AE110</f>
        <v>69.601854707986988</v>
      </c>
      <c r="AF110" s="31">
        <f>[1]节奏总纲!AF110</f>
        <v>72.506884533637162</v>
      </c>
      <c r="AG110" s="31">
        <f>[1]节奏总纲!AG110</f>
        <v>76.94300335424316</v>
      </c>
      <c r="AH110" s="31">
        <f>[1]节奏总纲!AH110</f>
        <v>85.696340692116266</v>
      </c>
      <c r="AM110" s="31">
        <f>[1]节奏总纲!AM110</f>
        <v>0</v>
      </c>
      <c r="AN110" s="31">
        <f>[1]节奏总纲!AN110</f>
        <v>0</v>
      </c>
      <c r="AO110" s="31">
        <f>[1]节奏总纲!AO110</f>
        <v>0</v>
      </c>
      <c r="AP110" s="31">
        <f>[1]节奏总纲!AP110</f>
        <v>0</v>
      </c>
      <c r="AQ110" s="31">
        <f>[1]节奏总纲!AQ110</f>
        <v>0</v>
      </c>
      <c r="AT110" s="31">
        <f>[1]节奏总纲!AT110</f>
        <v>0</v>
      </c>
      <c r="AU110" s="31">
        <f>[1]节奏总纲!AU110</f>
        <v>0</v>
      </c>
      <c r="AV110" s="31">
        <f>[1]节奏总纲!AV110</f>
        <v>0</v>
      </c>
      <c r="AW110" s="31">
        <f>[1]节奏总纲!AW110</f>
        <v>0</v>
      </c>
      <c r="AX110" s="31">
        <f>[1]节奏总纲!AX110</f>
        <v>0</v>
      </c>
      <c r="AZ110" s="31">
        <v>107</v>
      </c>
      <c r="BA110" s="31">
        <f>[1]节奏总纲!BA110</f>
        <v>38.475927110151773</v>
      </c>
      <c r="BB110" s="31">
        <f>[1]节奏总纲!BB110</f>
        <v>39.993245911660885</v>
      </c>
      <c r="BC110" s="31">
        <f>[1]节奏总纲!BC110</f>
        <v>41.925522364470666</v>
      </c>
      <c r="BD110" s="31">
        <f>[1]节奏总纲!BD110</f>
        <v>44.649658702582116</v>
      </c>
      <c r="BE110" s="31">
        <f>[1]节奏总纲!BE110</f>
        <v>49.340229957745592</v>
      </c>
    </row>
    <row r="111" spans="6:57" x14ac:dyDescent="0.15">
      <c r="F111" s="31">
        <v>109</v>
      </c>
      <c r="G111" s="31">
        <f t="shared" si="7"/>
        <v>1909.8515666673818</v>
      </c>
      <c r="N111" s="41">
        <f>[1]节奏总纲!N111</f>
        <v>118</v>
      </c>
      <c r="O111" s="31">
        <v>108</v>
      </c>
      <c r="P111" s="31">
        <f>[1]节奏总纲!P111</f>
        <v>1781.8875536304624</v>
      </c>
      <c r="Q111" s="31">
        <f>[1]节奏总纲!Q111</f>
        <v>1520.8410270235997</v>
      </c>
      <c r="R111" s="31">
        <f>[1]节奏总纲!R111</f>
        <v>1218.0983316617842</v>
      </c>
      <c r="S111" s="31">
        <f>[1]节奏总纲!S111</f>
        <v>871.69939123602228</v>
      </c>
      <c r="T111" s="31">
        <f>[1]节奏总纲!T111</f>
        <v>471.13106917989433</v>
      </c>
      <c r="V111" s="31">
        <v>108</v>
      </c>
      <c r="W111" s="31">
        <f>[1]节奏总纲!W111</f>
        <v>119.39464589289355</v>
      </c>
      <c r="X111" s="31">
        <f>[1]节奏总纲!X111</f>
        <v>101.90333026958456</v>
      </c>
      <c r="Y111" s="31">
        <f>[1]节奏总纲!Y111</f>
        <v>76.464451918395753</v>
      </c>
      <c r="Z111" s="31">
        <f>[1]节奏总纲!Z111</f>
        <v>55.581622827649653</v>
      </c>
      <c r="AA111" s="31">
        <f>[1]节奏总纲!AA111</f>
        <v>30.902947210986099</v>
      </c>
      <c r="AC111" s="31">
        <v>108</v>
      </c>
      <c r="AD111" s="31">
        <f>[1]节奏总纲!AD111</f>
        <v>67.674293990826456</v>
      </c>
      <c r="AE111" s="31">
        <f>[1]节奏总纲!AE111</f>
        <v>69.735941964920613</v>
      </c>
      <c r="AF111" s="31">
        <f>[1]节奏总纲!AF111</f>
        <v>72.644573376036519</v>
      </c>
      <c r="AG111" s="31">
        <f>[1]节奏总纲!AG111</f>
        <v>77.074762810762508</v>
      </c>
      <c r="AH111" s="31">
        <f>[1]节奏总纲!AH111</f>
        <v>85.852295454880277</v>
      </c>
      <c r="AM111" s="31">
        <f>[1]节奏总纲!AM111</f>
        <v>0</v>
      </c>
      <c r="AN111" s="31">
        <f>[1]节奏总纲!AN111</f>
        <v>0</v>
      </c>
      <c r="AO111" s="31">
        <f>[1]节奏总纲!AO111</f>
        <v>0</v>
      </c>
      <c r="AP111" s="31">
        <f>[1]节奏总纲!AP111</f>
        <v>0</v>
      </c>
      <c r="AQ111" s="31">
        <f>[1]节奏总纲!AQ111</f>
        <v>0</v>
      </c>
      <c r="AT111" s="31">
        <f>[1]节奏总纲!AT111</f>
        <v>0</v>
      </c>
      <c r="AU111" s="31">
        <f>[1]节奏总纲!AU111</f>
        <v>0</v>
      </c>
      <c r="AV111" s="31">
        <f>[1]节奏总纲!AV111</f>
        <v>0</v>
      </c>
      <c r="AW111" s="31">
        <f>[1]节奏总纲!AW111</f>
        <v>0</v>
      </c>
      <c r="AX111" s="31">
        <f>[1]节奏总纲!AX111</f>
        <v>0</v>
      </c>
      <c r="AZ111" s="31">
        <v>108</v>
      </c>
      <c r="BA111" s="31">
        <f>[1]节奏总纲!BA111</f>
        <v>38.53855763638969</v>
      </c>
      <c r="BB111" s="31">
        <f>[1]节奏总纲!BB111</f>
        <v>40.052446592012309</v>
      </c>
      <c r="BC111" s="31">
        <f>[1]节奏总纲!BC111</f>
        <v>41.992566056290244</v>
      </c>
      <c r="BD111" s="31">
        <f>[1]节奏总纲!BD111</f>
        <v>44.71429731834187</v>
      </c>
      <c r="BE111" s="31">
        <f>[1]节奏总纲!BE111</f>
        <v>49.402209294735208</v>
      </c>
    </row>
    <row r="112" spans="6:57" x14ac:dyDescent="0.15">
      <c r="F112" s="31">
        <v>110</v>
      </c>
      <c r="G112" s="31">
        <f t="shared" si="7"/>
        <v>2047</v>
      </c>
      <c r="N112" s="41">
        <f>[1]节奏总纲!N112</f>
        <v>119</v>
      </c>
      <c r="O112" s="31">
        <v>109</v>
      </c>
      <c r="P112" s="31">
        <f>[1]节奏总纲!P112</f>
        <v>1909.8515666673818</v>
      </c>
      <c r="Q112" s="31">
        <f>[1]节奏总纲!Q112</f>
        <v>1624.7107277639418</v>
      </c>
      <c r="R112" s="31">
        <f>[1]节奏总纲!R112</f>
        <v>1301.5638426838207</v>
      </c>
      <c r="S112" s="31">
        <f>[1]节奏总纲!S112</f>
        <v>931.81657937701561</v>
      </c>
      <c r="T112" s="31">
        <f>[1]节奏总纲!T112</f>
        <v>504.58278391352223</v>
      </c>
      <c r="V112" s="31">
        <v>109</v>
      </c>
      <c r="W112" s="31">
        <f>[1]节奏总纲!W112</f>
        <v>127.96401303691937</v>
      </c>
      <c r="X112" s="31">
        <f>[1]节奏总纲!X112</f>
        <v>103.86970074034207</v>
      </c>
      <c r="Y112" s="31">
        <f>[1]节奏总纲!Y112</f>
        <v>83.46551102203648</v>
      </c>
      <c r="Z112" s="31">
        <f>[1]节奏总纲!Z112</f>
        <v>60.117188140993335</v>
      </c>
      <c r="AA112" s="31">
        <f>[1]节奏总纲!AA112</f>
        <v>33.451714733627909</v>
      </c>
      <c r="AC112" s="31">
        <v>109</v>
      </c>
      <c r="AD112" s="31">
        <f>[1]节奏总纲!AD112</f>
        <v>67.80830335012682</v>
      </c>
      <c r="AE112" s="31">
        <f>[1]节奏总纲!AE112</f>
        <v>69.870029221854239</v>
      </c>
      <c r="AF112" s="31">
        <f>[1]节奏总纲!AF112</f>
        <v>72.782262218435889</v>
      </c>
      <c r="AG112" s="31">
        <f>[1]节奏总纲!AG112</f>
        <v>77.203841369133116</v>
      </c>
      <c r="AH112" s="31">
        <f>[1]节奏总纲!AH112</f>
        <v>86.007776715139968</v>
      </c>
      <c r="AM112" s="31">
        <f>[1]节奏总纲!AM112</f>
        <v>0</v>
      </c>
      <c r="AN112" s="31">
        <f>[1]节奏总纲!AN112</f>
        <v>0</v>
      </c>
      <c r="AO112" s="31">
        <f>[1]节奏总纲!AO112</f>
        <v>0</v>
      </c>
      <c r="AP112" s="31">
        <f>[1]节奏总纲!AP112</f>
        <v>0</v>
      </c>
      <c r="AQ112" s="31">
        <f>[1]节奏总纲!AQ112</f>
        <v>0</v>
      </c>
      <c r="AT112" s="31">
        <f>[1]节奏总纲!AT112</f>
        <v>0</v>
      </c>
      <c r="AU112" s="31">
        <f>[1]节奏总纲!AU112</f>
        <v>0</v>
      </c>
      <c r="AV112" s="31">
        <f>[1]节奏总纲!AV112</f>
        <v>0</v>
      </c>
      <c r="AW112" s="31">
        <f>[1]节奏总纲!AW112</f>
        <v>0</v>
      </c>
      <c r="AX112" s="31">
        <f>[1]节奏总纲!AX112</f>
        <v>0</v>
      </c>
      <c r="AZ112" s="31">
        <v>109</v>
      </c>
      <c r="BA112" s="31">
        <f>[1]节奏总纲!BA112</f>
        <v>38.601188162627608</v>
      </c>
      <c r="BB112" s="31">
        <f>[1]节奏总纲!BB112</f>
        <v>40.110720583137102</v>
      </c>
      <c r="BC112" s="31">
        <f>[1]节奏总纲!BC112</f>
        <v>42.051439554347354</v>
      </c>
      <c r="BD112" s="31">
        <f>[1]节奏总纲!BD112</f>
        <v>44.778935934101632</v>
      </c>
      <c r="BE112" s="31">
        <f>[1]节奏总纲!BE112</f>
        <v>49.464188631724817</v>
      </c>
    </row>
    <row r="113" spans="6:57" x14ac:dyDescent="0.15">
      <c r="F113" s="31">
        <v>111</v>
      </c>
      <c r="G113" s="31">
        <f t="shared" si="7"/>
        <v>2193.9920512743265</v>
      </c>
      <c r="N113" s="41">
        <f>[1]节奏总纲!N113</f>
        <v>120</v>
      </c>
      <c r="O113" s="31">
        <v>110</v>
      </c>
      <c r="P113" s="31">
        <f>[1]节奏总纲!P113</f>
        <v>2047</v>
      </c>
      <c r="Q113" s="31">
        <f>[1]节奏总纲!Q113</f>
        <v>1741.3829000000001</v>
      </c>
      <c r="R113" s="31">
        <f>[1]节奏总纲!R113</f>
        <v>1397.2821999999999</v>
      </c>
      <c r="S113" s="31">
        <f>[1]节奏总纲!S113</f>
        <v>1001.3924000000001</v>
      </c>
      <c r="T113" s="31">
        <f>[1]节奏总纲!T113</f>
        <v>542.04559999999992</v>
      </c>
      <c r="V113" s="31">
        <v>110</v>
      </c>
      <c r="W113" s="31">
        <f>[1]节奏总纲!W113</f>
        <v>137.1484333326182</v>
      </c>
      <c r="X113" s="31">
        <f>[1]节奏总纲!X113</f>
        <v>116.67217223605826</v>
      </c>
      <c r="Y113" s="31">
        <f>[1]节奏总纲!Y113</f>
        <v>95.718357316179208</v>
      </c>
      <c r="Z113" s="31">
        <f>[1]节奏总纲!Z113</f>
        <v>69.575820622984452</v>
      </c>
      <c r="AA113" s="31">
        <f>[1]节奏总纲!AA113</f>
        <v>37.462816086477687</v>
      </c>
      <c r="AC113" s="31">
        <v>110</v>
      </c>
      <c r="AD113" s="31">
        <f>[1]节奏总纲!AD113</f>
        <v>67.942312709427185</v>
      </c>
      <c r="AE113" s="31">
        <f>[1]节奏总纲!AE113</f>
        <v>70.003807055133578</v>
      </c>
      <c r="AF113" s="31">
        <f>[1]节奏总纲!AF113</f>
        <v>72.919951060835245</v>
      </c>
      <c r="AG113" s="31">
        <f>[1]节奏总纲!AG113</f>
        <v>77.332919927503724</v>
      </c>
      <c r="AH113" s="31">
        <f>[1]节奏总纲!AH113</f>
        <v>86.154780808490045</v>
      </c>
      <c r="AM113" s="31">
        <f>[1]节奏总纲!AM113</f>
        <v>0</v>
      </c>
      <c r="AN113" s="31">
        <f>[1]节奏总纲!AN113</f>
        <v>0</v>
      </c>
      <c r="AO113" s="31">
        <f>[1]节奏总纲!AO113</f>
        <v>0</v>
      </c>
      <c r="AP113" s="31">
        <f>[1]节奏总纲!AP113</f>
        <v>0</v>
      </c>
      <c r="AQ113" s="31">
        <f>[1]节奏总纲!AQ113</f>
        <v>0</v>
      </c>
      <c r="AT113" s="31">
        <f>[1]节奏总纲!AT113</f>
        <v>0</v>
      </c>
      <c r="AU113" s="31">
        <f>[1]节奏总纲!AU113</f>
        <v>0</v>
      </c>
      <c r="AV113" s="31">
        <f>[1]节奏总纲!AV113</f>
        <v>0</v>
      </c>
      <c r="AW113" s="31">
        <f>[1]节奏总纲!AW113</f>
        <v>0</v>
      </c>
      <c r="AX113" s="31">
        <f>[1]节奏总纲!AX113</f>
        <v>0</v>
      </c>
      <c r="AZ113" s="31">
        <v>110</v>
      </c>
      <c r="BA113" s="31">
        <f>[1]节奏总纲!BA113</f>
        <v>38.663818688865533</v>
      </c>
      <c r="BB113" s="31">
        <f>[1]节奏总纲!BB113</f>
        <v>40.168994574261895</v>
      </c>
      <c r="BC113" s="31">
        <f>[1]节奏总纲!BC113</f>
        <v>42.109294145892463</v>
      </c>
      <c r="BD113" s="31">
        <f>[1]节奏总纲!BD113</f>
        <v>44.843574549861387</v>
      </c>
      <c r="BE113" s="31">
        <f>[1]节奏总纲!BE113</f>
        <v>49.526167968714425</v>
      </c>
    </row>
    <row r="114" spans="6:57" x14ac:dyDescent="0.15">
      <c r="F114" s="31">
        <v>112</v>
      </c>
      <c r="G114" s="31">
        <f t="shared" si="7"/>
        <v>2351.5342310339256</v>
      </c>
      <c r="AC114" s="31">
        <v>111</v>
      </c>
      <c r="AD114" s="31">
        <f>[1]节奏总纲!AD114</f>
        <v>68.071211008105138</v>
      </c>
      <c r="AE114" s="31">
        <f>[1]节奏总纲!AE114</f>
        <v>70.127815365673797</v>
      </c>
      <c r="AF114" s="31">
        <f>[1]节奏总纲!AF114</f>
        <v>73.051543220271398</v>
      </c>
      <c r="AG114" s="31">
        <f>[1]节奏总纲!AG114</f>
        <v>77.461998485874332</v>
      </c>
      <c r="AH114" s="31">
        <f>[1]节奏总纲!AH114</f>
        <v>86.301784901840136</v>
      </c>
      <c r="AM114" s="31">
        <f>[1]节奏总纲!AM114</f>
        <v>0</v>
      </c>
      <c r="AN114" s="31">
        <f>[1]节奏总纲!AN114</f>
        <v>0</v>
      </c>
      <c r="AO114" s="31">
        <f>[1]节奏总纲!AO114</f>
        <v>0</v>
      </c>
      <c r="AP114" s="31">
        <f>[1]节奏总纲!AP114</f>
        <v>0</v>
      </c>
      <c r="AQ114" s="31">
        <f>[1]节奏总纲!AQ114</f>
        <v>0</v>
      </c>
      <c r="AT114" s="31">
        <f>[1]节奏总纲!AT114</f>
        <v>0</v>
      </c>
      <c r="AU114" s="31">
        <f>[1]节奏总纲!AU114</f>
        <v>0</v>
      </c>
      <c r="AV114" s="31">
        <f>[1]节奏总纲!AV114</f>
        <v>0</v>
      </c>
      <c r="AW114" s="31">
        <f>[1]节奏总纲!AW114</f>
        <v>0</v>
      </c>
      <c r="AX114" s="31">
        <f>[1]节奏总纲!AX114</f>
        <v>0</v>
      </c>
      <c r="AZ114" s="31">
        <v>111</v>
      </c>
      <c r="BA114" s="31">
        <f>[1]节奏总纲!BA114</f>
        <v>38.72644921510345</v>
      </c>
      <c r="BB114" s="31">
        <f>[1]节奏总纲!BB114</f>
        <v>40.227268565386687</v>
      </c>
      <c r="BC114" s="31">
        <f>[1]节奏总纲!BC114</f>
        <v>42.167148737437572</v>
      </c>
      <c r="BD114" s="31">
        <f>[1]节奏总纲!BD114</f>
        <v>44.908213165621142</v>
      </c>
      <c r="BE114" s="31">
        <f>[1]节奏总纲!BE114</f>
        <v>49.588147305704041</v>
      </c>
    </row>
    <row r="115" spans="6:57" x14ac:dyDescent="0.15">
      <c r="F115" s="31">
        <v>113</v>
      </c>
      <c r="G115" s="31">
        <f t="shared" si="7"/>
        <v>2520.3837585303886</v>
      </c>
      <c r="AC115" s="31">
        <v>112</v>
      </c>
      <c r="AD115" s="31">
        <f>[1]节奏总纲!AD115</f>
        <v>68.196246161507091</v>
      </c>
      <c r="AE115" s="31">
        <f>[1]节奏总纲!AE115</f>
        <v>70.251823676214016</v>
      </c>
      <c r="AF115" s="31">
        <f>[1]节奏总纲!AF115</f>
        <v>73.174668450093861</v>
      </c>
      <c r="AG115" s="31">
        <f>[1]节奏总纲!AG115</f>
        <v>77.591077044244926</v>
      </c>
      <c r="AH115" s="31">
        <f>[1]节奏总纲!AH115</f>
        <v>86.448788995190213</v>
      </c>
      <c r="AM115" s="31">
        <f>[1]节奏总纲!AM115</f>
        <v>0</v>
      </c>
      <c r="AN115" s="31">
        <f>[1]节奏总纲!AN115</f>
        <v>0</v>
      </c>
      <c r="AO115" s="31">
        <f>[1]节奏总纲!AO115</f>
        <v>0</v>
      </c>
      <c r="AP115" s="31">
        <f>[1]节奏总纲!AP115</f>
        <v>0</v>
      </c>
      <c r="AQ115" s="31">
        <f>[1]节奏总纲!AQ115</f>
        <v>0</v>
      </c>
      <c r="AT115" s="31">
        <f>[1]节奏总纲!AT115</f>
        <v>0</v>
      </c>
      <c r="AU115" s="31">
        <f>[1]节奏总纲!AU115</f>
        <v>0</v>
      </c>
      <c r="AV115" s="31">
        <f>[1]节奏总纲!AV115</f>
        <v>0</v>
      </c>
      <c r="AW115" s="31">
        <f>[1]节奏总纲!AW115</f>
        <v>0</v>
      </c>
      <c r="AX115" s="31">
        <f>[1]节奏总纲!AX115</f>
        <v>0</v>
      </c>
      <c r="AZ115" s="31">
        <v>112</v>
      </c>
      <c r="BA115" s="31">
        <f>[1]节奏总纲!BA115</f>
        <v>38.789079741341368</v>
      </c>
      <c r="BB115" s="31">
        <f>[1]节奏总纲!BB115</f>
        <v>40.28554255651148</v>
      </c>
      <c r="BC115" s="31">
        <f>[1]节奏总纲!BC115</f>
        <v>42.225003328982673</v>
      </c>
      <c r="BD115" s="31">
        <f>[1]节奏总纲!BD115</f>
        <v>44.972851781380903</v>
      </c>
      <c r="BE115" s="31">
        <f>[1]节奏总纲!BE115</f>
        <v>49.65012664269365</v>
      </c>
    </row>
    <row r="116" spans="6:57" x14ac:dyDescent="0.15">
      <c r="F116" s="31">
        <v>114</v>
      </c>
      <c r="G116" s="31">
        <f t="shared" si="7"/>
        <v>2701.3522012628878</v>
      </c>
      <c r="AC116" s="31">
        <v>113</v>
      </c>
      <c r="AD116" s="31">
        <f>[1]节奏总纲!AD116</f>
        <v>68.321281314909029</v>
      </c>
      <c r="AE116" s="31">
        <f>[1]节奏总纲!AE116</f>
        <v>70.375831986754235</v>
      </c>
      <c r="AF116" s="31">
        <f>[1]节奏总纲!AF116</f>
        <v>73.297793679916325</v>
      </c>
      <c r="AG116" s="31">
        <f>[1]节奏总纲!AG116</f>
        <v>77.720155602615534</v>
      </c>
      <c r="AH116" s="31">
        <f>[1]节奏总纲!AH116</f>
        <v>86.595793088540304</v>
      </c>
      <c r="AM116" s="31">
        <f>[1]节奏总纲!AM116</f>
        <v>0</v>
      </c>
      <c r="AN116" s="31">
        <f>[1]节奏总纲!AN116</f>
        <v>0</v>
      </c>
      <c r="AO116" s="31">
        <f>[1]节奏总纲!AO116</f>
        <v>0</v>
      </c>
      <c r="AP116" s="31">
        <f>[1]节奏总纲!AP116</f>
        <v>0</v>
      </c>
      <c r="AQ116" s="31">
        <f>[1]节奏总纲!AQ116</f>
        <v>0</v>
      </c>
      <c r="AT116" s="31">
        <f>[1]节奏总纲!AT116</f>
        <v>0</v>
      </c>
      <c r="AU116" s="31">
        <f>[1]节奏总纲!AU116</f>
        <v>0</v>
      </c>
      <c r="AV116" s="31">
        <f>[1]节奏总纲!AV116</f>
        <v>0</v>
      </c>
      <c r="AW116" s="31">
        <f>[1]节奏总纲!AW116</f>
        <v>0</v>
      </c>
      <c r="AX116" s="31">
        <f>[1]节奏总纲!AX116</f>
        <v>0</v>
      </c>
      <c r="AZ116" s="31">
        <v>113</v>
      </c>
      <c r="BA116" s="31">
        <f>[1]节奏总纲!BA116</f>
        <v>38.851710267579293</v>
      </c>
      <c r="BB116" s="31">
        <f>[1]节奏总纲!BB116</f>
        <v>40.343816547636273</v>
      </c>
      <c r="BC116" s="31">
        <f>[1]节奏总纲!BC116</f>
        <v>42.282857920527782</v>
      </c>
      <c r="BD116" s="31">
        <f>[1]节奏总纲!BD116</f>
        <v>45.032359480672049</v>
      </c>
      <c r="BE116" s="31">
        <f>[1]节奏总纲!BE116</f>
        <v>49.712105979683258</v>
      </c>
    </row>
    <row r="117" spans="6:57" x14ac:dyDescent="0.15">
      <c r="F117" s="31">
        <v>115</v>
      </c>
      <c r="G117" s="31">
        <f t="shared" si="7"/>
        <v>2895.3093757400989</v>
      </c>
      <c r="AC117" s="31">
        <v>114</v>
      </c>
      <c r="AD117" s="31">
        <f>[1]节奏总纲!AD117</f>
        <v>68.446316468310982</v>
      </c>
      <c r="AE117" s="31">
        <f>[1]节奏总纲!AE117</f>
        <v>70.499840297294455</v>
      </c>
      <c r="AF117" s="31">
        <f>[1]节奏总纲!AF117</f>
        <v>73.420918909738774</v>
      </c>
      <c r="AG117" s="31">
        <f>[1]节奏总纲!AG117</f>
        <v>77.849234160986143</v>
      </c>
      <c r="AH117" s="31">
        <f>[1]节奏总纲!AH117</f>
        <v>86.742797181890381</v>
      </c>
      <c r="AM117" s="31">
        <f>[1]节奏总纲!AM117</f>
        <v>0</v>
      </c>
      <c r="AN117" s="31">
        <f>[1]节奏总纲!AN117</f>
        <v>0</v>
      </c>
      <c r="AO117" s="31">
        <f>[1]节奏总纲!AO117</f>
        <v>0</v>
      </c>
      <c r="AP117" s="31">
        <f>[1]节奏总纲!AP117</f>
        <v>0</v>
      </c>
      <c r="AQ117" s="31">
        <f>[1]节奏总纲!AQ117</f>
        <v>0</v>
      </c>
      <c r="AT117" s="31">
        <f>[1]节奏总纲!AT117</f>
        <v>0</v>
      </c>
      <c r="AU117" s="31">
        <f>[1]节奏总纲!AU117</f>
        <v>0</v>
      </c>
      <c r="AV117" s="31">
        <f>[1]节奏总纲!AV117</f>
        <v>0</v>
      </c>
      <c r="AW117" s="31">
        <f>[1]节奏总纲!AW117</f>
        <v>0</v>
      </c>
      <c r="AX117" s="31">
        <f>[1]节奏总纲!AX117</f>
        <v>0</v>
      </c>
      <c r="AZ117" s="31">
        <v>114</v>
      </c>
      <c r="BA117" s="31">
        <f>[1]节奏总纲!BA117</f>
        <v>38.91434079381721</v>
      </c>
      <c r="BB117" s="31">
        <f>[1]节奏总纲!BB117</f>
        <v>40.402090538761065</v>
      </c>
      <c r="BC117" s="31">
        <f>[1]节奏总纲!BC117</f>
        <v>42.340712512072891</v>
      </c>
      <c r="BD117" s="31">
        <f>[1]节奏总纲!BD117</f>
        <v>45.088151688727308</v>
      </c>
      <c r="BE117" s="31">
        <f>[1]节奏总纲!BE117</f>
        <v>49.774085316672867</v>
      </c>
    </row>
    <row r="118" spans="6:57" x14ac:dyDescent="0.15">
      <c r="F118" s="31">
        <v>116</v>
      </c>
      <c r="G118" s="31">
        <f t="shared" si="7"/>
        <v>3103.1875282132928</v>
      </c>
      <c r="AC118" s="31">
        <v>115</v>
      </c>
      <c r="AD118" s="31">
        <f>[1]节奏总纲!AD118</f>
        <v>68.571351621712935</v>
      </c>
      <c r="AE118" s="31">
        <f>[1]节奏总纲!AE118</f>
        <v>70.623848607834674</v>
      </c>
      <c r="AF118" s="31">
        <f>[1]节奏总纲!AF118</f>
        <v>73.544044139561237</v>
      </c>
      <c r="AG118" s="31">
        <f>[1]节奏总纲!AG118</f>
        <v>77.978312719356751</v>
      </c>
      <c r="AH118" s="31">
        <f>[1]节奏总纲!AH118</f>
        <v>86.889801275240458</v>
      </c>
      <c r="AM118" s="31">
        <f>[1]节奏总纲!AM118</f>
        <v>0</v>
      </c>
      <c r="AN118" s="31">
        <f>[1]节奏总纲!AN118</f>
        <v>0</v>
      </c>
      <c r="AO118" s="31">
        <f>[1]节奏总纲!AO118</f>
        <v>0</v>
      </c>
      <c r="AP118" s="31">
        <f>[1]节奏总纲!AP118</f>
        <v>0</v>
      </c>
      <c r="AQ118" s="31">
        <f>[1]节奏总纲!AQ118</f>
        <v>0</v>
      </c>
      <c r="AT118" s="31">
        <f>[1]节奏总纲!AT118</f>
        <v>0</v>
      </c>
      <c r="AU118" s="31">
        <f>[1]节奏总纲!AU118</f>
        <v>0</v>
      </c>
      <c r="AV118" s="31">
        <f>[1]节奏总纲!AV118</f>
        <v>0</v>
      </c>
      <c r="AW118" s="31">
        <f>[1]节奏总纲!AW118</f>
        <v>0</v>
      </c>
      <c r="AX118" s="31">
        <f>[1]节奏总纲!AX118</f>
        <v>0</v>
      </c>
      <c r="AZ118" s="31">
        <v>115</v>
      </c>
      <c r="BA118" s="31">
        <f>[1]节奏总纲!BA118</f>
        <v>38.976971320055128</v>
      </c>
      <c r="BB118" s="31">
        <f>[1]节奏总纲!BB118</f>
        <v>40.460364529885858</v>
      </c>
      <c r="BC118" s="31">
        <f>[1]节奏总纲!BC118</f>
        <v>42.398567103617999</v>
      </c>
      <c r="BD118" s="31">
        <f>[1]节奏总纲!BD118</f>
        <v>45.143943896782567</v>
      </c>
      <c r="BE118" s="31">
        <f>[1]节奏总纲!BE118</f>
        <v>49.836064653662483</v>
      </c>
    </row>
    <row r="119" spans="6:57" x14ac:dyDescent="0.15">
      <c r="F119" s="31">
        <v>117</v>
      </c>
      <c r="G119" s="31">
        <f t="shared" si="7"/>
        <v>3325.985815475135</v>
      </c>
      <c r="AC119" s="31">
        <v>116</v>
      </c>
      <c r="AD119" s="31">
        <f>[1]节奏总纲!AD119</f>
        <v>68.696386775114874</v>
      </c>
      <c r="AE119" s="31">
        <f>[1]节奏总纲!AE119</f>
        <v>70.747856918374893</v>
      </c>
      <c r="AF119" s="31">
        <f>[1]节奏总纲!AF119</f>
        <v>73.667169369383686</v>
      </c>
      <c r="AG119" s="31">
        <f>[1]节奏总纲!AG119</f>
        <v>78.10469841238104</v>
      </c>
      <c r="AH119" s="31">
        <f>[1]节奏总纲!AH119</f>
        <v>87.033659382136349</v>
      </c>
      <c r="AM119" s="31">
        <f>[1]节奏总纲!AM119</f>
        <v>0</v>
      </c>
      <c r="AN119" s="31">
        <f>[1]节奏总纲!AN119</f>
        <v>0</v>
      </c>
      <c r="AO119" s="31">
        <f>[1]节奏总纲!AO119</f>
        <v>0</v>
      </c>
      <c r="AP119" s="31">
        <f>[1]节奏总纲!AP119</f>
        <v>0</v>
      </c>
      <c r="AQ119" s="31">
        <f>[1]节奏总纲!AQ119</f>
        <v>0</v>
      </c>
      <c r="AT119" s="31">
        <f>[1]节奏总纲!AT119</f>
        <v>0</v>
      </c>
      <c r="AU119" s="31">
        <f>[1]节奏总纲!AU119</f>
        <v>0</v>
      </c>
      <c r="AV119" s="31">
        <f>[1]节奏总纲!AV119</f>
        <v>0</v>
      </c>
      <c r="AW119" s="31">
        <f>[1]节奏总纲!AW119</f>
        <v>0</v>
      </c>
      <c r="AX119" s="31">
        <f>[1]节奏总纲!AX119</f>
        <v>0</v>
      </c>
      <c r="AZ119" s="31">
        <v>116</v>
      </c>
      <c r="BA119" s="31">
        <f>[1]节奏总纲!BA119</f>
        <v>39.034165367506482</v>
      </c>
      <c r="BB119" s="31">
        <f>[1]节奏总纲!BB119</f>
        <v>40.518638521010644</v>
      </c>
      <c r="BC119" s="31">
        <f>[1]节奏总纲!BC119</f>
        <v>42.456421695163108</v>
      </c>
      <c r="BD119" s="31">
        <f>[1]节奏总纲!BD119</f>
        <v>45.199736104837825</v>
      </c>
      <c r="BE119" s="31">
        <f>[1]节奏总纲!BE119</f>
        <v>49.898043990652091</v>
      </c>
    </row>
    <row r="120" spans="6:57" x14ac:dyDescent="0.15">
      <c r="F120" s="31">
        <v>118</v>
      </c>
      <c r="G120" s="31">
        <f t="shared" si="7"/>
        <v>3564.7751072609281</v>
      </c>
      <c r="AC120" s="31">
        <v>117</v>
      </c>
      <c r="AD120" s="31">
        <f>[1]节奏总纲!AD120</f>
        <v>68.821421928516827</v>
      </c>
      <c r="AE120" s="31">
        <f>[1]节奏总纲!AE120</f>
        <v>70.871865228915112</v>
      </c>
      <c r="AF120" s="31">
        <f>[1]节奏总纲!AF120</f>
        <v>73.790294599206149</v>
      </c>
      <c r="AG120" s="31">
        <f>[1]节奏总纲!AG120</f>
        <v>78.230540290975199</v>
      </c>
      <c r="AH120" s="31">
        <f>[1]节奏总纲!AH120</f>
        <v>87.168098110592624</v>
      </c>
      <c r="AM120" s="31">
        <f>[1]节奏总纲!AM120</f>
        <v>0</v>
      </c>
      <c r="AN120" s="31">
        <f>[1]节奏总纲!AN120</f>
        <v>0</v>
      </c>
      <c r="AO120" s="31">
        <f>[1]节奏总纲!AO120</f>
        <v>0</v>
      </c>
      <c r="AP120" s="31">
        <f>[1]节奏总纲!AP120</f>
        <v>0</v>
      </c>
      <c r="AQ120" s="31">
        <f>[1]节奏总纲!AQ120</f>
        <v>0</v>
      </c>
      <c r="AT120" s="31">
        <f>[1]节奏总纲!AT120</f>
        <v>0</v>
      </c>
      <c r="AU120" s="31">
        <f>[1]节奏总纲!AU120</f>
        <v>0</v>
      </c>
      <c r="AV120" s="31">
        <f>[1]节奏总纲!AV120</f>
        <v>0</v>
      </c>
      <c r="AW120" s="31">
        <f>[1]节奏总纲!AW120</f>
        <v>0</v>
      </c>
      <c r="AX120" s="31">
        <f>[1]节奏总纲!AX120</f>
        <v>0</v>
      </c>
      <c r="AZ120" s="31">
        <v>117</v>
      </c>
      <c r="BA120" s="31">
        <f>[1]节奏总纲!BA120</f>
        <v>39.088198074219406</v>
      </c>
      <c r="BB120" s="31">
        <f>[1]节奏总纲!BB120</f>
        <v>40.576912512135436</v>
      </c>
      <c r="BC120" s="31">
        <f>[1]节奏总纲!BC120</f>
        <v>42.51427628670821</v>
      </c>
      <c r="BD120" s="31">
        <f>[1]节奏总纲!BD120</f>
        <v>45.255528312893091</v>
      </c>
      <c r="BE120" s="31">
        <f>[1]节奏总纲!BE120</f>
        <v>49.9600233276417</v>
      </c>
    </row>
    <row r="121" spans="6:57" x14ac:dyDescent="0.15">
      <c r="F121" s="31">
        <v>119</v>
      </c>
      <c r="G121" s="31">
        <f t="shared" si="7"/>
        <v>3820.7031333347636</v>
      </c>
      <c r="AC121" s="31">
        <v>118</v>
      </c>
      <c r="AD121" s="31">
        <f>[1]节奏总纲!AD121</f>
        <v>68.946457081918766</v>
      </c>
      <c r="AE121" s="31">
        <f>[1]节奏总纲!AE121</f>
        <v>70.995873539455332</v>
      </c>
      <c r="AF121" s="31">
        <f>[1]节奏总纲!AF121</f>
        <v>73.913419829028598</v>
      </c>
      <c r="AG121" s="31">
        <f>[1]节奏总纲!AG121</f>
        <v>78.356382169569343</v>
      </c>
      <c r="AH121" s="31">
        <f>[1]节奏总纲!AH121</f>
        <v>87.302536839048898</v>
      </c>
      <c r="AM121" s="31">
        <f>[1]节奏总纲!AM121</f>
        <v>0</v>
      </c>
      <c r="AN121" s="31">
        <f>[1]节奏总纲!AN121</f>
        <v>0</v>
      </c>
      <c r="AO121" s="31">
        <f>[1]节奏总纲!AO121</f>
        <v>0</v>
      </c>
      <c r="AP121" s="31">
        <f>[1]节奏总纲!AP121</f>
        <v>0</v>
      </c>
      <c r="AQ121" s="31">
        <f>[1]节奏总纲!AQ121</f>
        <v>0</v>
      </c>
      <c r="AT121" s="31">
        <f>[1]节奏总纲!AT121</f>
        <v>0</v>
      </c>
      <c r="AU121" s="31">
        <f>[1]节奏总纲!AU121</f>
        <v>0</v>
      </c>
      <c r="AV121" s="31">
        <f>[1]节奏总纲!AV121</f>
        <v>0</v>
      </c>
      <c r="AW121" s="31">
        <f>[1]节奏总纲!AW121</f>
        <v>0</v>
      </c>
      <c r="AX121" s="31">
        <f>[1]节奏总纲!AX121</f>
        <v>0</v>
      </c>
      <c r="AZ121" s="31">
        <v>118</v>
      </c>
      <c r="BA121" s="31">
        <f>[1]节奏总纲!BA121</f>
        <v>39.14223078093233</v>
      </c>
      <c r="BB121" s="31">
        <f>[1]节奏总纲!BB121</f>
        <v>40.635186503260229</v>
      </c>
      <c r="BC121" s="31">
        <f>[1]节奏总纲!BC121</f>
        <v>42.572130878253319</v>
      </c>
      <c r="BD121" s="31">
        <f>[1]节奏总纲!BD121</f>
        <v>45.31132052094835</v>
      </c>
      <c r="BE121" s="31">
        <f>[1]节奏总纲!BE121</f>
        <v>50.018998195299922</v>
      </c>
    </row>
    <row r="122" spans="6:57" x14ac:dyDescent="0.15">
      <c r="F122" s="31">
        <v>120</v>
      </c>
      <c r="G122" s="31">
        <f t="shared" si="7"/>
        <v>4095</v>
      </c>
      <c r="AC122" s="31">
        <v>119</v>
      </c>
      <c r="AD122" s="31">
        <f>[1]节奏总纲!AD122</f>
        <v>69.066704614192943</v>
      </c>
      <c r="AE122" s="31">
        <f>[1]节奏总纲!AE122</f>
        <v>71.113087458015798</v>
      </c>
      <c r="AF122" s="31">
        <f>[1]节奏总纲!AF122</f>
        <v>74.034200876118248</v>
      </c>
      <c r="AG122" s="31">
        <f>[1]节奏总纲!AG122</f>
        <v>78.482224048163502</v>
      </c>
      <c r="AH122" s="31">
        <f>[1]节奏总纲!AH122</f>
        <v>87.436975567505186</v>
      </c>
      <c r="AM122" s="31">
        <f>[1]节奏总纲!AM122</f>
        <v>0</v>
      </c>
      <c r="AN122" s="31">
        <f>[1]节奏总纲!AN122</f>
        <v>0</v>
      </c>
      <c r="AO122" s="31">
        <f>[1]节奏总纲!AO122</f>
        <v>0</v>
      </c>
      <c r="AP122" s="31">
        <f>[1]节奏总纲!AP122</f>
        <v>0</v>
      </c>
      <c r="AQ122" s="31">
        <f>[1]节奏总纲!AQ122</f>
        <v>0</v>
      </c>
      <c r="AT122" s="31">
        <f>[1]节奏总纲!AT122</f>
        <v>0</v>
      </c>
      <c r="AU122" s="31">
        <f>[1]节奏总纲!AU122</f>
        <v>0</v>
      </c>
      <c r="AV122" s="31">
        <f>[1]节奏总纲!AV122</f>
        <v>0</v>
      </c>
      <c r="AW122" s="31">
        <f>[1]节奏总纲!AW122</f>
        <v>0</v>
      </c>
      <c r="AX122" s="31">
        <f>[1]节奏总纲!AX122</f>
        <v>0</v>
      </c>
      <c r="AZ122" s="31">
        <v>119</v>
      </c>
      <c r="BA122" s="31">
        <f>[1]节奏总纲!BA122</f>
        <v>39.196263487645254</v>
      </c>
      <c r="BB122" s="31">
        <f>[1]节奏总纲!BB122</f>
        <v>40.693460494385022</v>
      </c>
      <c r="BC122" s="31">
        <f>[1]节奏总纲!BC122</f>
        <v>42.629985469798427</v>
      </c>
      <c r="BD122" s="31">
        <f>[1]节奏总纲!BD122</f>
        <v>45.367112729003608</v>
      </c>
      <c r="BE122" s="31">
        <f>[1]节奏总纲!BE122</f>
        <v>50.072514238398277</v>
      </c>
    </row>
    <row r="123" spans="6:57" x14ac:dyDescent="0.15">
      <c r="F123" s="31">
        <v>121</v>
      </c>
      <c r="G123" s="31">
        <f t="shared" si="7"/>
        <v>4388.9841025486576</v>
      </c>
      <c r="AC123" s="31">
        <v>120</v>
      </c>
      <c r="AD123" s="31">
        <f>[1]节奏总纲!AD123</f>
        <v>69.18336653741882</v>
      </c>
      <c r="AE123" s="31">
        <f>[1]节奏总纲!AE123</f>
        <v>71.230067506391322</v>
      </c>
      <c r="AF123" s="31">
        <f>[1]节奏总纲!AF123</f>
        <v>74.149428238300118</v>
      </c>
      <c r="AG123" s="31">
        <f>[1]节奏总纲!AG123</f>
        <v>78.608065926757661</v>
      </c>
      <c r="AH123" s="31">
        <f>[1]节奏总纲!AH123</f>
        <v>87.571414295961461</v>
      </c>
      <c r="AM123" s="31">
        <f>[1]节奏总纲!AM123</f>
        <v>0</v>
      </c>
      <c r="AN123" s="31">
        <f>[1]节奏总纲!AN123</f>
        <v>0</v>
      </c>
      <c r="AO123" s="31">
        <f>[1]节奏总纲!AO123</f>
        <v>0</v>
      </c>
      <c r="AP123" s="31">
        <f>[1]节奏总纲!AP123</f>
        <v>0</v>
      </c>
      <c r="AQ123" s="31">
        <f>[1]节奏总纲!AQ123</f>
        <v>0</v>
      </c>
      <c r="AT123" s="31">
        <f>[1]节奏总纲!AT123</f>
        <v>0</v>
      </c>
      <c r="AU123" s="31">
        <f>[1]节奏总纲!AU123</f>
        <v>0</v>
      </c>
      <c r="AV123" s="31">
        <f>[1]节奏总纲!AV123</f>
        <v>0</v>
      </c>
      <c r="AW123" s="31">
        <f>[1]节奏总纲!AW123</f>
        <v>0</v>
      </c>
      <c r="AX123" s="31">
        <f>[1]节奏总纲!AX123</f>
        <v>0</v>
      </c>
      <c r="AZ123" s="31">
        <v>120</v>
      </c>
      <c r="BA123" s="31">
        <f>[1]节奏总纲!BA123</f>
        <v>39.250296194358178</v>
      </c>
      <c r="BB123" s="31">
        <f>[1]节奏总纲!BB123</f>
        <v>40.751734485509814</v>
      </c>
      <c r="BC123" s="31">
        <f>[1]节奏总纲!BC123</f>
        <v>42.687840061343536</v>
      </c>
      <c r="BD123" s="31">
        <f>[1]节奏总纲!BD123</f>
        <v>45.422904937058867</v>
      </c>
      <c r="BE123" s="31">
        <f>[1]节奏总纲!BE123</f>
        <v>50.126030281496639</v>
      </c>
    </row>
    <row r="124" spans="6:57" x14ac:dyDescent="0.15">
      <c r="F124" s="31">
        <v>122</v>
      </c>
      <c r="G124" s="31">
        <f t="shared" si="7"/>
        <v>4704.0684620678521</v>
      </c>
      <c r="AC124" s="31">
        <v>121</v>
      </c>
      <c r="AD124" s="31">
        <f>[1]节奏总纲!AD124</f>
        <v>69.300028460644711</v>
      </c>
      <c r="AE124" s="31">
        <f>[1]节奏总纲!AE124</f>
        <v>71.347047554766846</v>
      </c>
      <c r="AF124" s="31">
        <f>[1]节奏总纲!AF124</f>
        <v>74.264655600481987</v>
      </c>
      <c r="AG124" s="31">
        <f>[1]节奏总纲!AG124</f>
        <v>78.733907805351805</v>
      </c>
      <c r="AH124" s="31">
        <f>[1]节奏总纲!AH124</f>
        <v>87.705853024417735</v>
      </c>
      <c r="AM124" s="31">
        <f>[1]节奏总纲!AM124</f>
        <v>0</v>
      </c>
      <c r="AN124" s="31">
        <f>[1]节奏总纲!AN124</f>
        <v>0</v>
      </c>
      <c r="AO124" s="31">
        <f>[1]节奏总纲!AO124</f>
        <v>0</v>
      </c>
      <c r="AP124" s="31">
        <f>[1]节奏总纲!AP124</f>
        <v>0</v>
      </c>
      <c r="AQ124" s="31">
        <f>[1]节奏总纲!AQ124</f>
        <v>0</v>
      </c>
      <c r="AT124" s="31">
        <f>[1]节奏总纲!AT124</f>
        <v>0</v>
      </c>
      <c r="AU124" s="31">
        <f>[1]节奏总纲!AU124</f>
        <v>0</v>
      </c>
      <c r="AV124" s="31">
        <f>[1]节奏总纲!AV124</f>
        <v>0</v>
      </c>
      <c r="AW124" s="31">
        <f>[1]节奏总纲!AW124</f>
        <v>0</v>
      </c>
      <c r="AX124" s="31">
        <f>[1]节奏总纲!AX124</f>
        <v>0</v>
      </c>
      <c r="AZ124" s="31">
        <v>121</v>
      </c>
      <c r="BA124" s="31">
        <f>[1]节奏总纲!BA124</f>
        <v>39.304328901071102</v>
      </c>
      <c r="BB124" s="31">
        <f>[1]节奏总纲!BB124</f>
        <v>40.810008476634607</v>
      </c>
      <c r="BC124" s="31">
        <f>[1]节奏总纲!BC124</f>
        <v>42.745694652888645</v>
      </c>
      <c r="BD124" s="31">
        <f>[1]节奏总纲!BD124</f>
        <v>45.478697145114126</v>
      </c>
      <c r="BE124" s="31">
        <f>[1]节奏总纲!BE124</f>
        <v>50.179546324595002</v>
      </c>
    </row>
    <row r="125" spans="6:57" x14ac:dyDescent="0.15">
      <c r="F125" s="31">
        <v>123</v>
      </c>
      <c r="G125" s="31">
        <f t="shared" si="7"/>
        <v>5041.7675170607781</v>
      </c>
      <c r="AC125" s="31">
        <v>122</v>
      </c>
      <c r="AD125" s="31">
        <f>[1]节奏总纲!AD125</f>
        <v>69.416690383870588</v>
      </c>
      <c r="AE125" s="31">
        <f>[1]节奏总纲!AE125</f>
        <v>71.46402760314237</v>
      </c>
      <c r="AF125" s="31">
        <f>[1]节奏总纲!AF125</f>
        <v>74.379882962663856</v>
      </c>
      <c r="AG125" s="31">
        <f>[1]节奏总纲!AG125</f>
        <v>78.859749683945964</v>
      </c>
      <c r="AH125" s="31">
        <f>[1]节奏总纲!AH125</f>
        <v>87.840291752874009</v>
      </c>
      <c r="AM125" s="31">
        <f>[1]节奏总纲!AM125</f>
        <v>0</v>
      </c>
      <c r="AN125" s="31">
        <f>[1]节奏总纲!AN125</f>
        <v>0</v>
      </c>
      <c r="AO125" s="31">
        <f>[1]节奏总纲!AO125</f>
        <v>0</v>
      </c>
      <c r="AP125" s="31">
        <f>[1]节奏总纲!AP125</f>
        <v>0</v>
      </c>
      <c r="AQ125" s="31">
        <f>[1]节奏总纲!AQ125</f>
        <v>0</v>
      </c>
      <c r="AT125" s="31">
        <f>[1]节奏总纲!AT125</f>
        <v>0</v>
      </c>
      <c r="AU125" s="31">
        <f>[1]节奏总纲!AU125</f>
        <v>0</v>
      </c>
      <c r="AV125" s="31">
        <f>[1]节奏总纲!AV125</f>
        <v>0</v>
      </c>
      <c r="AW125" s="31">
        <f>[1]节奏总纲!AW125</f>
        <v>0</v>
      </c>
      <c r="AX125" s="31">
        <f>[1]节奏总纲!AX125</f>
        <v>0</v>
      </c>
      <c r="AZ125" s="31">
        <v>122</v>
      </c>
      <c r="BA125" s="31">
        <f>[1]节奏总纲!BA125</f>
        <v>39.358361607784026</v>
      </c>
      <c r="BB125" s="31">
        <f>[1]节奏总纲!BB125</f>
        <v>40.8682824677594</v>
      </c>
      <c r="BC125" s="31">
        <f>[1]节奏总纲!BC125</f>
        <v>42.803549244433754</v>
      </c>
      <c r="BD125" s="31">
        <f>[1]节奏总纲!BD125</f>
        <v>45.534489353169384</v>
      </c>
      <c r="BE125" s="31">
        <f>[1]节奏总纲!BE125</f>
        <v>50.233062367693357</v>
      </c>
    </row>
    <row r="126" spans="6:57" x14ac:dyDescent="0.15">
      <c r="F126" s="31">
        <v>124</v>
      </c>
      <c r="G126" s="31">
        <f t="shared" si="7"/>
        <v>5403.704402525771</v>
      </c>
      <c r="AC126" s="31">
        <v>123</v>
      </c>
      <c r="AD126" s="31">
        <f>[1]节奏总纲!AD126</f>
        <v>69.533352307096465</v>
      </c>
      <c r="AE126" s="31">
        <f>[1]节奏总纲!AE126</f>
        <v>71.581007651517908</v>
      </c>
      <c r="AF126" s="31">
        <f>[1]节奏总纲!AF126</f>
        <v>74.495110324845726</v>
      </c>
      <c r="AG126" s="31">
        <f>[1]节奏总纲!AG126</f>
        <v>78.985591562540122</v>
      </c>
      <c r="AH126" s="31">
        <f>[1]节奏总纲!AH126</f>
        <v>87.974730481330297</v>
      </c>
      <c r="AM126" s="31">
        <f>[1]节奏总纲!AM126</f>
        <v>0</v>
      </c>
      <c r="AN126" s="31">
        <f>[1]节奏总纲!AN126</f>
        <v>0</v>
      </c>
      <c r="AO126" s="31">
        <f>[1]节奏总纲!AO126</f>
        <v>0</v>
      </c>
      <c r="AP126" s="31">
        <f>[1]节奏总纲!AP126</f>
        <v>0</v>
      </c>
      <c r="AQ126" s="31">
        <f>[1]节奏总纲!AQ126</f>
        <v>0</v>
      </c>
      <c r="AT126" s="31">
        <f>[1]节奏总纲!AT126</f>
        <v>0</v>
      </c>
      <c r="AU126" s="31">
        <f>[1]节奏总纲!AU126</f>
        <v>0</v>
      </c>
      <c r="AV126" s="31">
        <f>[1]节奏总纲!AV126</f>
        <v>0</v>
      </c>
      <c r="AW126" s="31">
        <f>[1]节奏总纲!AW126</f>
        <v>0</v>
      </c>
      <c r="AX126" s="31">
        <f>[1]节奏总纲!AX126</f>
        <v>0</v>
      </c>
      <c r="AZ126" s="31">
        <v>123</v>
      </c>
      <c r="BA126" s="31">
        <f>[1]节奏总纲!BA126</f>
        <v>39.41239431449695</v>
      </c>
      <c r="BB126" s="31">
        <f>[1]节奏总纲!BB126</f>
        <v>40.926556458884193</v>
      </c>
      <c r="BC126" s="31">
        <f>[1]节奏总纲!BC126</f>
        <v>42.861403835978855</v>
      </c>
      <c r="BD126" s="31">
        <f>[1]节奏总纲!BD126</f>
        <v>45.590281561224643</v>
      </c>
      <c r="BE126" s="31">
        <f>[1]节奏总纲!BE126</f>
        <v>50.286578410791719</v>
      </c>
    </row>
    <row r="127" spans="6:57" x14ac:dyDescent="0.15">
      <c r="F127" s="31">
        <v>125</v>
      </c>
      <c r="G127" s="31">
        <f t="shared" si="7"/>
        <v>5791.6187514801986</v>
      </c>
      <c r="AC127" s="31">
        <v>124</v>
      </c>
      <c r="AD127" s="31">
        <f>[1]节奏总纲!AD127</f>
        <v>69.650014230322356</v>
      </c>
      <c r="AE127" s="31">
        <f>[1]节奏总纲!AE127</f>
        <v>71.697987699893432</v>
      </c>
      <c r="AF127" s="31">
        <f>[1]节奏总纲!AF127</f>
        <v>74.610337687027609</v>
      </c>
      <c r="AG127" s="31">
        <f>[1]节奏总纲!AG127</f>
        <v>79.104601412347151</v>
      </c>
      <c r="AH127" s="31">
        <f>[1]节奏总纲!AH127</f>
        <v>88.109271506528316</v>
      </c>
      <c r="AM127" s="31">
        <f>[1]节奏总纲!AM127</f>
        <v>0</v>
      </c>
      <c r="AN127" s="31">
        <f>[1]节奏总纲!AN127</f>
        <v>0</v>
      </c>
      <c r="AO127" s="31">
        <f>[1]节奏总纲!AO127</f>
        <v>0</v>
      </c>
      <c r="AP127" s="31">
        <f>[1]节奏总纲!AP127</f>
        <v>0</v>
      </c>
      <c r="AQ127" s="31">
        <f>[1]节奏总纲!AQ127</f>
        <v>0</v>
      </c>
      <c r="AT127" s="31">
        <f>[1]节奏总纲!AT127</f>
        <v>0</v>
      </c>
      <c r="AU127" s="31">
        <f>[1]节奏总纲!AU127</f>
        <v>0</v>
      </c>
      <c r="AV127" s="31">
        <f>[1]节奏总纲!AV127</f>
        <v>0</v>
      </c>
      <c r="AW127" s="31">
        <f>[1]节奏总纲!AW127</f>
        <v>0</v>
      </c>
      <c r="AX127" s="31">
        <f>[1]节奏总纲!AX127</f>
        <v>0</v>
      </c>
      <c r="AZ127" s="31">
        <v>124</v>
      </c>
      <c r="BA127" s="31">
        <f>[1]节奏总纲!BA127</f>
        <v>39.466427021209874</v>
      </c>
      <c r="BB127" s="31">
        <f>[1]节奏总纲!BB127</f>
        <v>40.984830450008978</v>
      </c>
      <c r="BC127" s="31">
        <f>[1]节奏总纲!BC127</f>
        <v>42.919258427523964</v>
      </c>
      <c r="BD127" s="31">
        <f>[1]节奏总纲!BD127</f>
        <v>45.646073769279901</v>
      </c>
      <c r="BE127" s="31">
        <f>[1]节奏总纲!BE127</f>
        <v>50.340094453890082</v>
      </c>
    </row>
    <row r="128" spans="6:57" x14ac:dyDescent="0.15">
      <c r="F128" s="31">
        <v>126</v>
      </c>
      <c r="G128" s="31">
        <f t="shared" si="7"/>
        <v>6207.3750564265865</v>
      </c>
      <c r="AC128" s="31">
        <v>125</v>
      </c>
      <c r="AD128" s="31">
        <f>[1]节奏总纲!AD128</f>
        <v>69.766676153548232</v>
      </c>
      <c r="AE128" s="31">
        <f>[1]节奏总纲!AE128</f>
        <v>71.814967748268955</v>
      </c>
      <c r="AF128" s="31">
        <f>[1]节奏总纲!AF128</f>
        <v>74.725565049209479</v>
      </c>
      <c r="AG128" s="31">
        <f>[1]节奏总纲!AG128</f>
        <v>79.222727875098187</v>
      </c>
      <c r="AH128" s="31">
        <f>[1]节奏总纲!AH128</f>
        <v>88.243836210467165</v>
      </c>
      <c r="AM128" s="31">
        <f>[1]节奏总纲!AM128</f>
        <v>0</v>
      </c>
      <c r="AN128" s="31">
        <f>[1]节奏总纲!AN128</f>
        <v>0</v>
      </c>
      <c r="AO128" s="31">
        <f>[1]节奏总纲!AO128</f>
        <v>0</v>
      </c>
      <c r="AP128" s="31">
        <f>[1]节奏总纲!AP128</f>
        <v>0</v>
      </c>
      <c r="AQ128" s="31">
        <f>[1]节奏总纲!AQ128</f>
        <v>0</v>
      </c>
      <c r="AT128" s="31">
        <f>[1]节奏总纲!AT128</f>
        <v>0</v>
      </c>
      <c r="AU128" s="31">
        <f>[1]节奏总纲!AU128</f>
        <v>0</v>
      </c>
      <c r="AV128" s="31">
        <f>[1]节奏总纲!AV128</f>
        <v>0</v>
      </c>
      <c r="AW128" s="31">
        <f>[1]节奏总纲!AW128</f>
        <v>0</v>
      </c>
      <c r="AX128" s="31">
        <f>[1]节奏总纲!AX128</f>
        <v>0</v>
      </c>
      <c r="AZ128" s="31">
        <v>125</v>
      </c>
      <c r="BA128" s="31">
        <f>[1]节奏总纲!BA128</f>
        <v>39.520459727922798</v>
      </c>
      <c r="BB128" s="31">
        <f>[1]节奏总纲!BB128</f>
        <v>41.037193447861313</v>
      </c>
      <c r="BC128" s="31">
        <f>[1]节奏总纲!BC128</f>
        <v>42.977113019069073</v>
      </c>
      <c r="BD128" s="31">
        <f>[1]节奏总纲!BD128</f>
        <v>45.701865977335167</v>
      </c>
      <c r="BE128" s="31">
        <f>[1]节奏总纲!BE128</f>
        <v>50.393610496988437</v>
      </c>
    </row>
    <row r="129" spans="6:57" x14ac:dyDescent="0.15">
      <c r="F129" s="31">
        <v>127</v>
      </c>
      <c r="G129" s="31">
        <f t="shared" si="7"/>
        <v>6652.971630950271</v>
      </c>
      <c r="AC129" s="31">
        <v>126</v>
      </c>
      <c r="AD129" s="31">
        <f>[1]节奏总纲!AD129</f>
        <v>69.883338076774123</v>
      </c>
      <c r="AE129" s="31">
        <f>[1]节奏总纲!AE129</f>
        <v>71.931947796644479</v>
      </c>
      <c r="AF129" s="31">
        <f>[1]节奏总纲!AF129</f>
        <v>74.840792411391348</v>
      </c>
      <c r="AG129" s="31">
        <f>[1]节奏总纲!AG129</f>
        <v>79.340854337849223</v>
      </c>
      <c r="AH129" s="31">
        <f>[1]节奏总纲!AH129</f>
        <v>88.378400914406001</v>
      </c>
      <c r="AM129" s="31">
        <f>[1]节奏总纲!AM129</f>
        <v>0</v>
      </c>
      <c r="AN129" s="31">
        <f>[1]节奏总纲!AN129</f>
        <v>0</v>
      </c>
      <c r="AO129" s="31">
        <f>[1]节奏总纲!AO129</f>
        <v>0</v>
      </c>
      <c r="AP129" s="31">
        <f>[1]节奏总纲!AP129</f>
        <v>0</v>
      </c>
      <c r="AQ129" s="31">
        <f>[1]节奏总纲!AQ129</f>
        <v>0</v>
      </c>
      <c r="AT129" s="31">
        <f>[1]节奏总纲!AT129</f>
        <v>0</v>
      </c>
      <c r="AU129" s="31">
        <f>[1]节奏总纲!AU129</f>
        <v>0</v>
      </c>
      <c r="AV129" s="31">
        <f>[1]节奏总纲!AV129</f>
        <v>0</v>
      </c>
      <c r="AW129" s="31">
        <f>[1]节奏总纲!AW129</f>
        <v>0</v>
      </c>
      <c r="AX129" s="31">
        <f>[1]节奏总纲!AX129</f>
        <v>0</v>
      </c>
      <c r="AZ129" s="31">
        <v>126</v>
      </c>
      <c r="BA129" s="31">
        <f>[1]节奏总纲!BA129</f>
        <v>39.574492434635722</v>
      </c>
      <c r="BB129" s="31">
        <f>[1]节奏总纲!BB129</f>
        <v>41.087476216725996</v>
      </c>
      <c r="BC129" s="31">
        <f>[1]节奏总纲!BC129</f>
        <v>43.030177309109042</v>
      </c>
      <c r="BD129" s="31">
        <f>[1]节奏总纲!BD129</f>
        <v>45.757658185390426</v>
      </c>
      <c r="BE129" s="31">
        <f>[1]节奏总纲!BE129</f>
        <v>50.447126540086799</v>
      </c>
    </row>
    <row r="130" spans="6:57" x14ac:dyDescent="0.15">
      <c r="F130" s="31">
        <v>128</v>
      </c>
      <c r="G130" s="31">
        <f t="shared" si="7"/>
        <v>7130.5502145218443</v>
      </c>
      <c r="AC130" s="31">
        <v>127</v>
      </c>
      <c r="AD130" s="31">
        <f>[1]节奏总纲!AD130</f>
        <v>70</v>
      </c>
      <c r="AE130" s="31">
        <f>[1]节奏总纲!AE130</f>
        <v>72.047345051940553</v>
      </c>
      <c r="AF130" s="31">
        <f>[1]节奏总纲!AF130</f>
        <v>74.956019773573217</v>
      </c>
      <c r="AG130" s="31">
        <f>[1]节奏总纲!AG130</f>
        <v>79.458980800600258</v>
      </c>
      <c r="AH130" s="31">
        <f>[1]节奏总纲!AH130</f>
        <v>88.51296561834485</v>
      </c>
      <c r="AM130" s="31">
        <f>[1]节奏总纲!AM130</f>
        <v>0</v>
      </c>
      <c r="AN130" s="31">
        <f>[1]节奏总纲!AN130</f>
        <v>0</v>
      </c>
      <c r="AO130" s="31">
        <f>[1]节奏总纲!AO130</f>
        <v>0</v>
      </c>
      <c r="AP130" s="31">
        <f>[1]节奏总纲!AP130</f>
        <v>0</v>
      </c>
      <c r="AQ130" s="31">
        <f>[1]节奏总纲!AQ130</f>
        <v>0</v>
      </c>
      <c r="AT130" s="31">
        <f>[1]节奏总纲!AT130</f>
        <v>0</v>
      </c>
      <c r="AU130" s="31">
        <f>[1]节奏总纲!AU130</f>
        <v>0</v>
      </c>
      <c r="AV130" s="31">
        <f>[1]节奏总纲!AV130</f>
        <v>0</v>
      </c>
      <c r="AW130" s="31">
        <f>[1]节奏总纲!AW130</f>
        <v>0</v>
      </c>
      <c r="AX130" s="31">
        <f>[1]节奏总纲!AX130</f>
        <v>0</v>
      </c>
      <c r="AZ130" s="31">
        <v>127</v>
      </c>
      <c r="BA130" s="31">
        <f>[1]节奏总纲!BA130</f>
        <v>39.628525141348646</v>
      </c>
      <c r="BB130" s="31">
        <f>[1]节奏总纲!BB130</f>
        <v>41.137758985590679</v>
      </c>
      <c r="BC130" s="31">
        <f>[1]节奏总纲!BC130</f>
        <v>43.080106253688569</v>
      </c>
      <c r="BD130" s="31">
        <f>[1]节奏总纲!BD130</f>
        <v>45.813450393445684</v>
      </c>
      <c r="BE130" s="31">
        <f>[1]节奏总纲!BE130</f>
        <v>50.500642583185162</v>
      </c>
    </row>
    <row r="131" spans="6:57" x14ac:dyDescent="0.15">
      <c r="F131" s="31">
        <v>129</v>
      </c>
      <c r="G131" s="31">
        <f t="shared" si="7"/>
        <v>7642.4062666695281</v>
      </c>
      <c r="AC131" s="31">
        <v>128</v>
      </c>
      <c r="AD131" s="31">
        <f>[1]节奏总纲!AD131</f>
        <v>70.108849423225877</v>
      </c>
      <c r="AE131" s="31">
        <f>[1]节奏总纲!AE131</f>
        <v>72.160540850040434</v>
      </c>
      <c r="AF131" s="31">
        <f>[1]节奏总纲!AF131</f>
        <v>75.067682921736733</v>
      </c>
      <c r="AG131" s="31">
        <f>[1]节奏总纲!AG131</f>
        <v>79.577107263351294</v>
      </c>
      <c r="AH131" s="31">
        <f>[1]节奏总纲!AH131</f>
        <v>88.6475303222837</v>
      </c>
      <c r="AM131" s="31">
        <f>[1]节奏总纲!AM131</f>
        <v>0</v>
      </c>
      <c r="AN131" s="31">
        <f>[1]节奏总纲!AN131</f>
        <v>0</v>
      </c>
      <c r="AO131" s="31">
        <f>[1]节奏总纲!AO131</f>
        <v>0</v>
      </c>
      <c r="AP131" s="31">
        <f>[1]节奏总纲!AP131</f>
        <v>0</v>
      </c>
      <c r="AQ131" s="31">
        <f>[1]节奏总纲!AQ131</f>
        <v>0</v>
      </c>
      <c r="AT131" s="31">
        <f>[1]节奏总纲!AT131</f>
        <v>0</v>
      </c>
      <c r="AU131" s="31">
        <f>[1]节奏总纲!AU131</f>
        <v>0</v>
      </c>
      <c r="AV131" s="31">
        <f>[1]节奏总纲!AV131</f>
        <v>0</v>
      </c>
      <c r="AW131" s="31">
        <f>[1]节奏总纲!AW131</f>
        <v>0</v>
      </c>
      <c r="AX131" s="31">
        <f>[1]节奏总纲!AX131</f>
        <v>0</v>
      </c>
      <c r="AZ131" s="31">
        <v>128</v>
      </c>
      <c r="BA131" s="31">
        <f>[1]节奏总纲!BA131</f>
        <v>39.68255784806157</v>
      </c>
      <c r="BB131" s="31">
        <f>[1]节奏总纲!BB131</f>
        <v>41.188041754455355</v>
      </c>
      <c r="BC131" s="31">
        <f>[1]节奏总纲!BC131</f>
        <v>43.130035198268104</v>
      </c>
      <c r="BD131" s="31">
        <f>[1]节奏总纲!BD131</f>
        <v>45.869242601500943</v>
      </c>
      <c r="BE131" s="31">
        <f>[1]节奏总纲!BE131</f>
        <v>50.554158626283517</v>
      </c>
    </row>
    <row r="132" spans="6:57" x14ac:dyDescent="0.15">
      <c r="F132" s="31">
        <v>130</v>
      </c>
      <c r="G132" s="31">
        <f t="shared" ref="G132:G152" si="8">(2^(F132/10)-1)/(2-1)</f>
        <v>8191</v>
      </c>
      <c r="AC132" s="31">
        <v>129</v>
      </c>
      <c r="AD132" s="31">
        <f>[1]节奏总纲!AD132</f>
        <v>70.217698846451768</v>
      </c>
      <c r="AE132" s="31">
        <f>[1]节奏总纲!AE132</f>
        <v>72.273736648140314</v>
      </c>
      <c r="AF132" s="31">
        <f>[1]节奏总纲!AF132</f>
        <v>75.177145912126889</v>
      </c>
      <c r="AG132" s="31">
        <f>[1]节奏总纲!AG132</f>
        <v>79.69523372610233</v>
      </c>
      <c r="AH132" s="31">
        <f>[1]节奏总纲!AH132</f>
        <v>88.782095026222549</v>
      </c>
      <c r="AM132" s="31">
        <f>[1]节奏总纲!AM132</f>
        <v>0</v>
      </c>
      <c r="AN132" s="31">
        <f>[1]节奏总纲!AN132</f>
        <v>0</v>
      </c>
      <c r="AO132" s="31">
        <f>[1]节奏总纲!AO132</f>
        <v>0</v>
      </c>
      <c r="AP132" s="31">
        <f>[1]节奏总纲!AP132</f>
        <v>0</v>
      </c>
      <c r="AQ132" s="31">
        <f>[1]节奏总纲!AQ132</f>
        <v>0</v>
      </c>
      <c r="AT132" s="31">
        <f>[1]节奏总纲!AT132</f>
        <v>0</v>
      </c>
      <c r="AU132" s="31">
        <f>[1]节奏总纲!AU132</f>
        <v>0</v>
      </c>
      <c r="AV132" s="31">
        <f>[1]节奏总纲!AV132</f>
        <v>0</v>
      </c>
      <c r="AW132" s="31">
        <f>[1]节奏总纲!AW132</f>
        <v>0</v>
      </c>
      <c r="AX132" s="31">
        <f>[1]节奏总纲!AX132</f>
        <v>0</v>
      </c>
      <c r="AZ132" s="31">
        <v>129</v>
      </c>
      <c r="BA132" s="31">
        <f>[1]节奏总纲!BA132</f>
        <v>39.736590554774494</v>
      </c>
      <c r="BB132" s="31">
        <f>[1]节奏总纲!BB132</f>
        <v>41.238324523320038</v>
      </c>
      <c r="BC132" s="31">
        <f>[1]节奏总纲!BC132</f>
        <v>43.179964142847631</v>
      </c>
      <c r="BD132" s="31">
        <f>[1]节奏总纲!BD132</f>
        <v>45.925034809556202</v>
      </c>
      <c r="BE132" s="31">
        <f>[1]节奏总纲!BE132</f>
        <v>50.607674669381879</v>
      </c>
    </row>
    <row r="133" spans="6:57" x14ac:dyDescent="0.15">
      <c r="F133" s="31">
        <v>131</v>
      </c>
      <c r="G133" s="31">
        <f t="shared" si="8"/>
        <v>8778.9682050973151</v>
      </c>
      <c r="AC133" s="31">
        <v>130</v>
      </c>
      <c r="AD133" s="31">
        <f>[1]节奏总纲!AD133</f>
        <v>70.326548269677644</v>
      </c>
      <c r="AE133" s="31">
        <f>[1]节奏总纲!AE133</f>
        <v>72.386932446240195</v>
      </c>
      <c r="AF133" s="31">
        <f>[1]节奏总纲!AF133</f>
        <v>75.286608902517045</v>
      </c>
      <c r="AG133" s="31">
        <f>[1]节奏总纲!AG133</f>
        <v>79.813360188853366</v>
      </c>
      <c r="AH133" s="31">
        <f>[1]节奏总纲!AH133</f>
        <v>88.916659730161399</v>
      </c>
      <c r="AM133" s="31">
        <f>[1]节奏总纲!AM133</f>
        <v>0</v>
      </c>
      <c r="AN133" s="31">
        <f>[1]节奏总纲!AN133</f>
        <v>0</v>
      </c>
      <c r="AO133" s="31">
        <f>[1]节奏总纲!AO133</f>
        <v>0</v>
      </c>
      <c r="AP133" s="31">
        <f>[1]节奏总纲!AP133</f>
        <v>0</v>
      </c>
      <c r="AQ133" s="31">
        <f>[1]节奏总纲!AQ133</f>
        <v>0</v>
      </c>
      <c r="AT133" s="31">
        <f>[1]节奏总纲!AT133</f>
        <v>0</v>
      </c>
      <c r="AU133" s="31">
        <f>[1]节奏总纲!AU133</f>
        <v>0</v>
      </c>
      <c r="AV133" s="31">
        <f>[1]节奏总纲!AV133</f>
        <v>0</v>
      </c>
      <c r="AW133" s="31">
        <f>[1]节奏总纲!AW133</f>
        <v>0</v>
      </c>
      <c r="AX133" s="31">
        <f>[1]节奏总纲!AX133</f>
        <v>0</v>
      </c>
      <c r="AZ133" s="31">
        <v>130</v>
      </c>
      <c r="BA133" s="31">
        <f>[1]节奏总纲!BA133</f>
        <v>39.790623261487418</v>
      </c>
      <c r="BB133" s="31">
        <f>[1]节奏总纲!BB133</f>
        <v>41.288607292184714</v>
      </c>
      <c r="BC133" s="31">
        <f>[1]节奏总纲!BC133</f>
        <v>43.229893087427158</v>
      </c>
      <c r="BD133" s="31">
        <f>[1]节奏总纲!BD133</f>
        <v>45.98082701761146</v>
      </c>
      <c r="BE133" s="31">
        <f>[1]节奏总纲!BE133</f>
        <v>50.661190712480241</v>
      </c>
    </row>
    <row r="134" spans="6:57" x14ac:dyDescent="0.15">
      <c r="F134" s="31">
        <v>132</v>
      </c>
      <c r="G134" s="31">
        <f t="shared" si="8"/>
        <v>9409.1369241357042</v>
      </c>
      <c r="AC134" s="31">
        <v>131</v>
      </c>
      <c r="AD134" s="31">
        <f>[1]节奏总纲!AD134</f>
        <v>70.435397692903535</v>
      </c>
      <c r="AE134" s="31">
        <f>[1]节奏总纲!AE134</f>
        <v>72.50012824434009</v>
      </c>
      <c r="AF134" s="31">
        <f>[1]节奏总纲!AF134</f>
        <v>75.396071892907202</v>
      </c>
      <c r="AG134" s="31">
        <f>[1]节奏总纲!AG134</f>
        <v>79.931486651604402</v>
      </c>
      <c r="AH134" s="31">
        <f>[1]节奏总纲!AH134</f>
        <v>89.048420729369383</v>
      </c>
      <c r="AM134" s="31">
        <f>[1]节奏总纲!AM134</f>
        <v>0</v>
      </c>
      <c r="AN134" s="31">
        <f>[1]节奏总纲!AN134</f>
        <v>0</v>
      </c>
      <c r="AO134" s="31">
        <f>[1]节奏总纲!AO134</f>
        <v>0</v>
      </c>
      <c r="AP134" s="31">
        <f>[1]节奏总纲!AP134</f>
        <v>0</v>
      </c>
      <c r="AQ134" s="31">
        <f>[1]节奏总纲!AQ134</f>
        <v>0</v>
      </c>
      <c r="AT134" s="31">
        <f>[1]节奏总纲!AT134</f>
        <v>0</v>
      </c>
      <c r="AU134" s="31">
        <f>[1]节奏总纲!AU134</f>
        <v>0</v>
      </c>
      <c r="AV134" s="31">
        <f>[1]节奏总纲!AV134</f>
        <v>0</v>
      </c>
      <c r="AW134" s="31">
        <f>[1]节奏总纲!AW134</f>
        <v>0</v>
      </c>
      <c r="AX134" s="31">
        <f>[1]节奏总纲!AX134</f>
        <v>0</v>
      </c>
      <c r="AZ134" s="31">
        <v>131</v>
      </c>
      <c r="BA134" s="31">
        <f>[1]节奏总纲!BA134</f>
        <v>39.844655968200342</v>
      </c>
      <c r="BB134" s="31">
        <f>[1]节奏总纲!BB134</f>
        <v>41.338890061049398</v>
      </c>
      <c r="BC134" s="31">
        <f>[1]节奏总纲!BC134</f>
        <v>43.279822032006692</v>
      </c>
      <c r="BD134" s="31">
        <f>[1]节奏总纲!BD134</f>
        <v>46.031609894814238</v>
      </c>
      <c r="BE134" s="31">
        <f>[1]节奏总纲!BE134</f>
        <v>50.714706755578604</v>
      </c>
    </row>
    <row r="135" spans="6:57" x14ac:dyDescent="0.15">
      <c r="F135" s="31">
        <v>133</v>
      </c>
      <c r="G135" s="31">
        <f t="shared" si="8"/>
        <v>10084.535034121556</v>
      </c>
      <c r="AC135" s="31">
        <v>132</v>
      </c>
      <c r="AD135" s="31">
        <f>[1]节奏总纲!AD135</f>
        <v>70.544247116129412</v>
      </c>
      <c r="AE135" s="31">
        <f>[1]节奏总纲!AE135</f>
        <v>72.61332404243997</v>
      </c>
      <c r="AF135" s="31">
        <f>[1]节奏总纲!AF135</f>
        <v>75.505534883297358</v>
      </c>
      <c r="AG135" s="31">
        <f>[1]节奏总纲!AG135</f>
        <v>80.045750258986601</v>
      </c>
      <c r="AH135" s="31">
        <f>[1]节奏总纲!AH135</f>
        <v>89.175620204122851</v>
      </c>
      <c r="AM135" s="31">
        <f>[1]节奏总纲!AM135</f>
        <v>0</v>
      </c>
      <c r="AN135" s="31">
        <f>[1]节奏总纲!AN135</f>
        <v>0</v>
      </c>
      <c r="AO135" s="31">
        <f>[1]节奏总纲!AO135</f>
        <v>0</v>
      </c>
      <c r="AP135" s="31">
        <f>[1]节奏总纲!AP135</f>
        <v>0</v>
      </c>
      <c r="AQ135" s="31">
        <f>[1]节奏总纲!AQ135</f>
        <v>0</v>
      </c>
      <c r="AT135" s="31">
        <f>[1]节奏总纲!AT135</f>
        <v>0</v>
      </c>
      <c r="AU135" s="31">
        <f>[1]节奏总纲!AU135</f>
        <v>0</v>
      </c>
      <c r="AV135" s="31">
        <f>[1]节奏总纲!AV135</f>
        <v>0</v>
      </c>
      <c r="AW135" s="31">
        <f>[1]节奏总纲!AW135</f>
        <v>0</v>
      </c>
      <c r="AX135" s="31">
        <f>[1]节奏总纲!AX135</f>
        <v>0</v>
      </c>
      <c r="AZ135" s="31">
        <v>132</v>
      </c>
      <c r="BA135" s="31">
        <f>[1]节奏总纲!BA135</f>
        <v>39.898688674913267</v>
      </c>
      <c r="BB135" s="31">
        <f>[1]节奏总纲!BB135</f>
        <v>41.389172829914081</v>
      </c>
      <c r="BC135" s="31">
        <f>[1]节奏总纲!BC135</f>
        <v>43.329750976586219</v>
      </c>
      <c r="BD135" s="31">
        <f>[1]节奏总纲!BD135</f>
        <v>46.079770001861057</v>
      </c>
      <c r="BE135" s="31">
        <f>[1]节奏总纲!BE135</f>
        <v>50.768222798676959</v>
      </c>
    </row>
    <row r="136" spans="6:57" x14ac:dyDescent="0.15">
      <c r="F136" s="31">
        <v>134</v>
      </c>
      <c r="G136" s="31">
        <f t="shared" si="8"/>
        <v>10808.408805051544</v>
      </c>
      <c r="AC136" s="31">
        <v>133</v>
      </c>
      <c r="AD136" s="31">
        <f>[1]节奏总纲!AD136</f>
        <v>70.653096539355303</v>
      </c>
      <c r="AE136" s="31">
        <f>[1]节奏总纲!AE136</f>
        <v>72.726519840539851</v>
      </c>
      <c r="AF136" s="31">
        <f>[1]节奏总纲!AF136</f>
        <v>75.614997873687514</v>
      </c>
      <c r="AG136" s="31">
        <f>[1]节奏总纲!AG136</f>
        <v>80.154679447049915</v>
      </c>
      <c r="AH136" s="31">
        <f>[1]节奏总纲!AH136</f>
        <v>89.302819678876304</v>
      </c>
      <c r="AM136" s="31">
        <f>[1]节奏总纲!AM136</f>
        <v>0</v>
      </c>
      <c r="AN136" s="31">
        <f>[1]节奏总纲!AN136</f>
        <v>0</v>
      </c>
      <c r="AO136" s="31">
        <f>[1]节奏总纲!AO136</f>
        <v>0</v>
      </c>
      <c r="AP136" s="31">
        <f>[1]节奏总纲!AP136</f>
        <v>0</v>
      </c>
      <c r="AQ136" s="31">
        <f>[1]节奏总纲!AQ136</f>
        <v>0</v>
      </c>
      <c r="AT136" s="31">
        <f>[1]节奏总纲!AT136</f>
        <v>0</v>
      </c>
      <c r="AU136" s="31">
        <f>[1]节奏总纲!AU136</f>
        <v>0</v>
      </c>
      <c r="AV136" s="31">
        <f>[1]节奏总纲!AV136</f>
        <v>0</v>
      </c>
      <c r="AW136" s="31">
        <f>[1]节奏总纲!AW136</f>
        <v>0</v>
      </c>
      <c r="AX136" s="31">
        <f>[1]节奏总纲!AX136</f>
        <v>0</v>
      </c>
      <c r="AZ136" s="31">
        <v>133</v>
      </c>
      <c r="BA136" s="31">
        <f>[1]节奏总纲!BA136</f>
        <v>39.952721381626191</v>
      </c>
      <c r="BB136" s="31">
        <f>[1]节奏总纲!BB136</f>
        <v>41.439455598778757</v>
      </c>
      <c r="BC136" s="31">
        <f>[1]节奏总纲!BC136</f>
        <v>43.379679921165753</v>
      </c>
      <c r="BD136" s="31">
        <f>[1]节奏总纲!BD136</f>
        <v>46.127930108907876</v>
      </c>
      <c r="BE136" s="31">
        <f>[1]节奏总纲!BE136</f>
        <v>50.821738841775321</v>
      </c>
    </row>
    <row r="137" spans="6:57" x14ac:dyDescent="0.15">
      <c r="F137" s="31">
        <v>135</v>
      </c>
      <c r="G137" s="31">
        <f t="shared" si="8"/>
        <v>11584.237502960397</v>
      </c>
      <c r="AC137" s="31">
        <v>134</v>
      </c>
      <c r="AD137" s="31">
        <f>[1]节奏总纲!AD137</f>
        <v>70.76194596258118</v>
      </c>
      <c r="AE137" s="31">
        <f>[1]节奏总纲!AE137</f>
        <v>72.839715638639731</v>
      </c>
      <c r="AF137" s="31">
        <f>[1]节奏总纲!AF137</f>
        <v>75.72446086407767</v>
      </c>
      <c r="AG137" s="31">
        <f>[1]节奏总纲!AG137</f>
        <v>80.263608635113243</v>
      </c>
      <c r="AH137" s="31">
        <f>[1]节奏总纲!AH137</f>
        <v>89.430019153629758</v>
      </c>
      <c r="AM137" s="31">
        <f>[1]节奏总纲!AM137</f>
        <v>0</v>
      </c>
      <c r="AN137" s="31">
        <f>[1]节奏总纲!AN137</f>
        <v>0</v>
      </c>
      <c r="AO137" s="31">
        <f>[1]节奏总纲!AO137</f>
        <v>0</v>
      </c>
      <c r="AP137" s="31">
        <f>[1]节奏总纲!AP137</f>
        <v>0</v>
      </c>
      <c r="AQ137" s="31">
        <f>[1]节奏总纲!AQ137</f>
        <v>0</v>
      </c>
      <c r="AT137" s="31">
        <f>[1]节奏总纲!AT137</f>
        <v>0</v>
      </c>
      <c r="AU137" s="31">
        <f>[1]节奏总纲!AU137</f>
        <v>0</v>
      </c>
      <c r="AV137" s="31">
        <f>[1]节奏总纲!AV137</f>
        <v>0</v>
      </c>
      <c r="AW137" s="31">
        <f>[1]节奏总纲!AW137</f>
        <v>0</v>
      </c>
      <c r="AX137" s="31">
        <f>[1]节奏总纲!AX137</f>
        <v>0</v>
      </c>
      <c r="AZ137" s="31">
        <v>134</v>
      </c>
      <c r="BA137" s="31">
        <f>[1]节奏总纲!BA137</f>
        <v>40.005827399112476</v>
      </c>
      <c r="BB137" s="31">
        <f>[1]节奏总纲!BB137</f>
        <v>41.48973836764344</v>
      </c>
      <c r="BC137" s="31">
        <f>[1]节奏总纲!BC137</f>
        <v>43.42960886574528</v>
      </c>
      <c r="BD137" s="31">
        <f>[1]节奏总纲!BD137</f>
        <v>46.176090215954694</v>
      </c>
      <c r="BE137" s="31">
        <f>[1]节奏总纲!BE137</f>
        <v>50.875254884873684</v>
      </c>
    </row>
    <row r="138" spans="6:57" x14ac:dyDescent="0.15">
      <c r="F138" s="31">
        <v>136</v>
      </c>
      <c r="G138" s="31">
        <f t="shared" si="8"/>
        <v>12415.750112853173</v>
      </c>
      <c r="AC138" s="31">
        <v>135</v>
      </c>
      <c r="AD138" s="31">
        <f>[1]节奏总纲!AD138</f>
        <v>70.870795385807057</v>
      </c>
      <c r="AE138" s="31">
        <f>[1]节奏总纲!AE138</f>
        <v>72.952911436739612</v>
      </c>
      <c r="AF138" s="31">
        <f>[1]节奏总纲!AF138</f>
        <v>75.833923854467812</v>
      </c>
      <c r="AG138" s="31">
        <f>[1]节奏总纲!AG138</f>
        <v>80.372537823176572</v>
      </c>
      <c r="AH138" s="31">
        <f>[1]节奏总纲!AH138</f>
        <v>89.557218628383211</v>
      </c>
      <c r="AM138" s="31">
        <f>[1]节奏总纲!AM138</f>
        <v>0</v>
      </c>
      <c r="AN138" s="31">
        <f>[1]节奏总纲!AN138</f>
        <v>0</v>
      </c>
      <c r="AO138" s="31">
        <f>[1]节奏总纲!AO138</f>
        <v>0</v>
      </c>
      <c r="AP138" s="31">
        <f>[1]节奏总纲!AP138</f>
        <v>0</v>
      </c>
      <c r="AQ138" s="31">
        <f>[1]节奏总纲!AQ138</f>
        <v>0</v>
      </c>
      <c r="AT138" s="31">
        <f>[1]节奏总纲!AT138</f>
        <v>0</v>
      </c>
      <c r="AU138" s="31">
        <f>[1]节奏总纲!AU138</f>
        <v>0</v>
      </c>
      <c r="AV138" s="31">
        <f>[1]节奏总纲!AV138</f>
        <v>0</v>
      </c>
      <c r="AW138" s="31">
        <f>[1]节奏总纲!AW138</f>
        <v>0</v>
      </c>
      <c r="AX138" s="31">
        <f>[1]节奏总纲!AX138</f>
        <v>0</v>
      </c>
      <c r="AZ138" s="31">
        <v>135</v>
      </c>
      <c r="BA138" s="31">
        <f>[1]节奏总纲!BA138</f>
        <v>40.052446592012309</v>
      </c>
      <c r="BB138" s="31">
        <f>[1]节奏总纲!BB138</f>
        <v>41.540021136508116</v>
      </c>
      <c r="BC138" s="31">
        <f>[1]节奏总纲!BC138</f>
        <v>43.479537810324814</v>
      </c>
      <c r="BD138" s="31">
        <f>[1]节奏总纲!BD138</f>
        <v>46.224250323001513</v>
      </c>
      <c r="BE138" s="31">
        <f>[1]节奏总纲!BE138</f>
        <v>50.928770927972039</v>
      </c>
    </row>
    <row r="139" spans="6:57" x14ac:dyDescent="0.15">
      <c r="F139" s="31">
        <v>137</v>
      </c>
      <c r="G139" s="31">
        <f t="shared" si="8"/>
        <v>13306.943261900544</v>
      </c>
      <c r="AC139" s="31">
        <v>136</v>
      </c>
      <c r="AD139" s="31">
        <f>[1]节奏总纲!AD139</f>
        <v>70.979644809032948</v>
      </c>
      <c r="AE139" s="31">
        <f>[1]节奏总纲!AE139</f>
        <v>73.059911975288244</v>
      </c>
      <c r="AF139" s="31">
        <f>[1]节奏总纲!AF139</f>
        <v>75.943386844857969</v>
      </c>
      <c r="AG139" s="31">
        <f>[1]节奏总纲!AG139</f>
        <v>80.4814670112399</v>
      </c>
      <c r="AH139" s="31">
        <f>[1]节奏总纲!AH139</f>
        <v>89.684418103136665</v>
      </c>
      <c r="AM139" s="31">
        <f>[1]节奏总纲!AM139</f>
        <v>0</v>
      </c>
      <c r="AN139" s="31">
        <f>[1]节奏总纲!AN139</f>
        <v>0</v>
      </c>
      <c r="AO139" s="31">
        <f>[1]节奏总纲!AO139</f>
        <v>0</v>
      </c>
      <c r="AP139" s="31">
        <f>[1]节奏总纲!AP139</f>
        <v>0</v>
      </c>
      <c r="AQ139" s="31">
        <f>[1]节奏总纲!AQ139</f>
        <v>0</v>
      </c>
      <c r="AT139" s="31">
        <f>[1]节奏总纲!AT139</f>
        <v>0</v>
      </c>
      <c r="AU139" s="31">
        <f>[1]节奏总纲!AU139</f>
        <v>0</v>
      </c>
      <c r="AV139" s="31">
        <f>[1]节奏总纲!AV139</f>
        <v>0</v>
      </c>
      <c r="AW139" s="31">
        <f>[1]节奏总纲!AW139</f>
        <v>0</v>
      </c>
      <c r="AX139" s="31">
        <f>[1]节奏总纲!AX139</f>
        <v>0</v>
      </c>
      <c r="AZ139" s="31">
        <v>136</v>
      </c>
      <c r="BA139" s="31">
        <f>[1]节奏总纲!BA139</f>
        <v>40.099065784912149</v>
      </c>
      <c r="BB139" s="31">
        <f>[1]节奏总纲!BB139</f>
        <v>41.590303905372799</v>
      </c>
      <c r="BC139" s="31">
        <f>[1]节奏总纲!BC139</f>
        <v>43.529466754904341</v>
      </c>
      <c r="BD139" s="31">
        <f>[1]节奏总纲!BD139</f>
        <v>46.272410430048332</v>
      </c>
      <c r="BE139" s="31">
        <f>[1]节奏总纲!BE139</f>
        <v>50.982286971070401</v>
      </c>
    </row>
    <row r="140" spans="6:57" x14ac:dyDescent="0.15">
      <c r="F140" s="31">
        <v>138</v>
      </c>
      <c r="G140" s="31">
        <f t="shared" si="8"/>
        <v>14262.10042904369</v>
      </c>
      <c r="AC140" s="31">
        <v>137</v>
      </c>
      <c r="AD140" s="31">
        <f>[1]节奏总纲!AD140</f>
        <v>71.082568038258202</v>
      </c>
      <c r="AE140" s="31">
        <f>[1]节奏总纲!AE140</f>
        <v>73.162499594857536</v>
      </c>
      <c r="AF140" s="31">
        <f>[1]节奏总纲!AF140</f>
        <v>76.048210495050611</v>
      </c>
      <c r="AG140" s="31">
        <f>[1]节奏总纲!AG140</f>
        <v>80.590396199303228</v>
      </c>
      <c r="AH140" s="31">
        <f>[1]节奏总纲!AH140</f>
        <v>89.811617577890132</v>
      </c>
      <c r="AM140" s="31">
        <f>[1]节奏总纲!AM140</f>
        <v>0</v>
      </c>
      <c r="AN140" s="31">
        <f>[1]节奏总纲!AN140</f>
        <v>0</v>
      </c>
      <c r="AO140" s="31">
        <f>[1]节奏总纲!AO140</f>
        <v>0</v>
      </c>
      <c r="AP140" s="31">
        <f>[1]节奏总纲!AP140</f>
        <v>0</v>
      </c>
      <c r="AQ140" s="31">
        <f>[1]节奏总纲!AQ140</f>
        <v>0</v>
      </c>
      <c r="AT140" s="31">
        <f>[1]节奏总纲!AT140</f>
        <v>0</v>
      </c>
      <c r="AU140" s="31">
        <f>[1]节奏总纲!AU140</f>
        <v>0</v>
      </c>
      <c r="AV140" s="31">
        <f>[1]节奏总纲!AV140</f>
        <v>0</v>
      </c>
      <c r="AW140" s="31">
        <f>[1]节奏总纲!AW140</f>
        <v>0</v>
      </c>
      <c r="AX140" s="31">
        <f>[1]节奏总纲!AX140</f>
        <v>0</v>
      </c>
      <c r="AZ140" s="31">
        <v>137</v>
      </c>
      <c r="BA140" s="31">
        <f>[1]节奏总纲!BA140</f>
        <v>40.145684977811982</v>
      </c>
      <c r="BB140" s="31">
        <f>[1]节奏总纲!BB140</f>
        <v>41.640586674237483</v>
      </c>
      <c r="BC140" s="31">
        <f>[1]节奏总纲!BC140</f>
        <v>43.579395699483875</v>
      </c>
      <c r="BD140" s="31">
        <f>[1]节奏总纲!BD140</f>
        <v>46.320570537095151</v>
      </c>
      <c r="BE140" s="31">
        <f>[1]节奏总纲!BE140</f>
        <v>51.030916192165336</v>
      </c>
    </row>
    <row r="141" spans="6:57" x14ac:dyDescent="0.15">
      <c r="F141" s="31">
        <v>139</v>
      </c>
      <c r="G141" s="31">
        <f t="shared" si="8"/>
        <v>15285.812533339058</v>
      </c>
      <c r="AC141" s="31">
        <v>138</v>
      </c>
      <c r="AD141" s="31">
        <f>[1]节奏总纲!AD141</f>
        <v>71.184128141237707</v>
      </c>
      <c r="AE141" s="31">
        <f>[1]节奏总纲!AE141</f>
        <v>73.265087214426828</v>
      </c>
      <c r="AF141" s="31">
        <f>[1]节奏总纲!AF141</f>
        <v>76.148064447889894</v>
      </c>
      <c r="AG141" s="31">
        <f>[1]节奏总纲!AG141</f>
        <v>80.699325387366557</v>
      </c>
      <c r="AH141" s="31">
        <f>[1]节奏总纲!AH141</f>
        <v>89.938817052643586</v>
      </c>
      <c r="AM141" s="31">
        <f>[1]节奏总纲!AM141</f>
        <v>0</v>
      </c>
      <c r="AN141" s="31">
        <f>[1]节奏总纲!AN141</f>
        <v>0</v>
      </c>
      <c r="AO141" s="31">
        <f>[1]节奏总纲!AO141</f>
        <v>0</v>
      </c>
      <c r="AP141" s="31">
        <f>[1]节奏总纲!AP141</f>
        <v>0</v>
      </c>
      <c r="AQ141" s="31">
        <f>[1]节奏总纲!AQ141</f>
        <v>0</v>
      </c>
      <c r="AT141" s="31">
        <f>[1]节奏总纲!AT141</f>
        <v>0</v>
      </c>
      <c r="AU141" s="31">
        <f>[1]节奏总纲!AU141</f>
        <v>0</v>
      </c>
      <c r="AV141" s="31">
        <f>[1]节奏总纲!AV141</f>
        <v>0</v>
      </c>
      <c r="AW141" s="31">
        <f>[1]节奏总纲!AW141</f>
        <v>0</v>
      </c>
      <c r="AX141" s="31">
        <f>[1]节奏总纲!AX141</f>
        <v>0</v>
      </c>
      <c r="AZ141" s="31">
        <v>138</v>
      </c>
      <c r="BA141" s="31">
        <f>[1]节奏总纲!BA141</f>
        <v>40.192304170711814</v>
      </c>
      <c r="BB141" s="31">
        <f>[1]节奏总纲!BB141</f>
        <v>41.690869443102159</v>
      </c>
      <c r="BC141" s="31">
        <f>[1]节奏总纲!BC141</f>
        <v>43.629324644063402</v>
      </c>
      <c r="BD141" s="31">
        <f>[1]节奏总纲!BD141</f>
        <v>46.368730644141969</v>
      </c>
      <c r="BE141" s="31">
        <f>[1]节奏总纲!BE141</f>
        <v>51.077127728003028</v>
      </c>
    </row>
    <row r="142" spans="6:57" x14ac:dyDescent="0.15">
      <c r="F142" s="31">
        <v>140</v>
      </c>
      <c r="G142" s="31">
        <f t="shared" si="8"/>
        <v>16383</v>
      </c>
      <c r="AC142" s="31">
        <v>139</v>
      </c>
      <c r="AD142" s="31">
        <f>[1]节奏总纲!AD142</f>
        <v>71.285688244217212</v>
      </c>
      <c r="AE142" s="31">
        <f>[1]节奏总纲!AE142</f>
        <v>73.367674833996119</v>
      </c>
      <c r="AF142" s="31">
        <f>[1]节奏总纲!AF142</f>
        <v>76.247918400729162</v>
      </c>
      <c r="AG142" s="31">
        <f>[1]节奏总纲!AG142</f>
        <v>80.808254575429885</v>
      </c>
      <c r="AH142" s="31">
        <f>[1]节奏总纲!AH142</f>
        <v>90.055148444912135</v>
      </c>
      <c r="AM142" s="31">
        <f>[1]节奏总纲!AM142</f>
        <v>0</v>
      </c>
      <c r="AN142" s="31">
        <f>[1]节奏总纲!AN142</f>
        <v>0</v>
      </c>
      <c r="AO142" s="31">
        <f>[1]节奏总纲!AO142</f>
        <v>0</v>
      </c>
      <c r="AP142" s="31">
        <f>[1]节奏总纲!AP142</f>
        <v>0</v>
      </c>
      <c r="AQ142" s="31">
        <f>[1]节奏总纲!AQ142</f>
        <v>0</v>
      </c>
      <c r="AT142" s="31">
        <f>[1]节奏总纲!AT142</f>
        <v>0</v>
      </c>
      <c r="AU142" s="31">
        <f>[1]节奏总纲!AU142</f>
        <v>0</v>
      </c>
      <c r="AV142" s="31">
        <f>[1]节奏总纲!AV142</f>
        <v>0</v>
      </c>
      <c r="AW142" s="31">
        <f>[1]节奏总纲!AW142</f>
        <v>0</v>
      </c>
      <c r="AX142" s="31">
        <f>[1]节奏总纲!AX142</f>
        <v>0</v>
      </c>
      <c r="AZ142" s="31">
        <v>139</v>
      </c>
      <c r="BA142" s="31">
        <f>[1]节奏总纲!BA142</f>
        <v>40.238923363611647</v>
      </c>
      <c r="BB142" s="31">
        <f>[1]节奏总纲!BB142</f>
        <v>41.741152211966842</v>
      </c>
      <c r="BC142" s="31">
        <f>[1]节奏总纲!BC142</f>
        <v>43.679253588642929</v>
      </c>
      <c r="BD142" s="31">
        <f>[1]节奏总纲!BD142</f>
        <v>46.416890751188788</v>
      </c>
      <c r="BE142" s="31">
        <f>[1]节奏总纲!BE142</f>
        <v>51.12333926384072</v>
      </c>
    </row>
    <row r="143" spans="6:57" x14ac:dyDescent="0.15">
      <c r="F143" s="31">
        <v>141</v>
      </c>
      <c r="G143" s="31">
        <f t="shared" si="8"/>
        <v>17558.936410194601</v>
      </c>
      <c r="AC143" s="31">
        <v>140</v>
      </c>
      <c r="AD143" s="31">
        <f>[1]节奏总纲!AD143</f>
        <v>71.387248347196717</v>
      </c>
      <c r="AE143" s="31">
        <f>[1]节奏总纲!AE143</f>
        <v>73.470262453565411</v>
      </c>
      <c r="AF143" s="31">
        <f>[1]节奏总纲!AF143</f>
        <v>76.347772353568445</v>
      </c>
      <c r="AG143" s="31">
        <f>[1]节奏总纲!AG143</f>
        <v>80.917183763493213</v>
      </c>
      <c r="AH143" s="31">
        <f>[1]节奏总纲!AH143</f>
        <v>90.16140749098561</v>
      </c>
      <c r="AM143" s="31">
        <f>[1]节奏总纲!AM143</f>
        <v>0</v>
      </c>
      <c r="AN143" s="31">
        <f>[1]节奏总纲!AN143</f>
        <v>0</v>
      </c>
      <c r="AO143" s="31">
        <f>[1]节奏总纲!AO143</f>
        <v>0</v>
      </c>
      <c r="AP143" s="31">
        <f>[1]节奏总纲!AP143</f>
        <v>0</v>
      </c>
      <c r="AQ143" s="31">
        <f>[1]节奏总纲!AQ143</f>
        <v>0</v>
      </c>
      <c r="AT143" s="31">
        <f>[1]节奏总纲!AT143</f>
        <v>0</v>
      </c>
      <c r="AU143" s="31">
        <f>[1]节奏总纲!AU143</f>
        <v>0</v>
      </c>
      <c r="AV143" s="31">
        <f>[1]节奏总纲!AV143</f>
        <v>0</v>
      </c>
      <c r="AW143" s="31">
        <f>[1]节奏总纲!AW143</f>
        <v>0</v>
      </c>
      <c r="AX143" s="31">
        <f>[1]节奏总纲!AX143</f>
        <v>0</v>
      </c>
      <c r="AZ143" s="31">
        <v>140</v>
      </c>
      <c r="BA143" s="31">
        <f>[1]节奏总纲!BA143</f>
        <v>40.28554255651148</v>
      </c>
      <c r="BB143" s="31">
        <f>[1]节奏总纲!BB143</f>
        <v>41.791434980831518</v>
      </c>
      <c r="BC143" s="31">
        <f>[1]节奏总纲!BC143</f>
        <v>43.729182533222463</v>
      </c>
      <c r="BD143" s="31">
        <f>[1]节奏总纲!BD143</f>
        <v>46.465050858235607</v>
      </c>
      <c r="BE143" s="31">
        <f>[1]节奏总纲!BE143</f>
        <v>51.169550799678412</v>
      </c>
    </row>
    <row r="144" spans="6:57" x14ac:dyDescent="0.15">
      <c r="F144" s="31">
        <v>142</v>
      </c>
      <c r="G144" s="31">
        <f t="shared" si="8"/>
        <v>18819.273848271412</v>
      </c>
      <c r="AC144" s="31">
        <v>141</v>
      </c>
      <c r="AD144" s="31">
        <f>[1]节奏总纲!AD144</f>
        <v>71.488808450176208</v>
      </c>
      <c r="AE144" s="31">
        <f>[1]节奏总纲!AE144</f>
        <v>73.572850073134703</v>
      </c>
      <c r="AF144" s="31">
        <f>[1]节奏总纲!AF144</f>
        <v>76.447626306407713</v>
      </c>
      <c r="AG144" s="31">
        <f>[1]节奏总纲!AG144</f>
        <v>81.023848662825003</v>
      </c>
      <c r="AH144" s="31">
        <f>[1]节奏总纲!AH144</f>
        <v>90.267666537059071</v>
      </c>
      <c r="AM144" s="31">
        <f>[1]节奏总纲!AM144</f>
        <v>0</v>
      </c>
      <c r="AN144" s="31">
        <f>[1]节奏总纲!AN144</f>
        <v>0</v>
      </c>
      <c r="AO144" s="31">
        <f>[1]节奏总纲!AO144</f>
        <v>0</v>
      </c>
      <c r="AP144" s="31">
        <f>[1]节奏总纲!AP144</f>
        <v>0</v>
      </c>
      <c r="AQ144" s="31">
        <f>[1]节奏总纲!AQ144</f>
        <v>0</v>
      </c>
      <c r="AT144" s="31">
        <f>[1]节奏总纲!AT144</f>
        <v>0</v>
      </c>
      <c r="AU144" s="31">
        <f>[1]节奏总纲!AU144</f>
        <v>0</v>
      </c>
      <c r="AV144" s="31">
        <f>[1]节奏总纲!AV144</f>
        <v>0</v>
      </c>
      <c r="AW144" s="31">
        <f>[1]节奏总纲!AW144</f>
        <v>0</v>
      </c>
      <c r="AX144" s="31">
        <f>[1]节奏总纲!AX144</f>
        <v>0</v>
      </c>
      <c r="AZ144" s="31">
        <v>141</v>
      </c>
      <c r="BA144" s="31">
        <f>[1]节奏总纲!BA144</f>
        <v>40.332161749411313</v>
      </c>
      <c r="BB144" s="31">
        <f>[1]节奏总纲!BB144</f>
        <v>41.841717749696201</v>
      </c>
      <c r="BC144" s="31">
        <f>[1]节奏总纲!BC144</f>
        <v>43.77911147780199</v>
      </c>
      <c r="BD144" s="31">
        <f>[1]节奏总纲!BD144</f>
        <v>46.513210965282425</v>
      </c>
      <c r="BE144" s="31">
        <f>[1]节奏总纲!BE144</f>
        <v>51.215762335516104</v>
      </c>
    </row>
    <row r="145" spans="6:57" x14ac:dyDescent="0.15">
      <c r="F145" s="31">
        <v>143</v>
      </c>
      <c r="G145" s="31">
        <f t="shared" si="8"/>
        <v>20170.070068243116</v>
      </c>
      <c r="AC145" s="31">
        <v>142</v>
      </c>
      <c r="AD145" s="31">
        <f>[1]节奏总纲!AD145</f>
        <v>71.590368553155713</v>
      </c>
      <c r="AE145" s="31">
        <f>[1]节奏总纲!AE145</f>
        <v>73.675437692703994</v>
      </c>
      <c r="AF145" s="31">
        <f>[1]节奏总纲!AF145</f>
        <v>76.547480259246996</v>
      </c>
      <c r="AG145" s="31">
        <f>[1]节奏总纲!AG145</f>
        <v>81.123332456233015</v>
      </c>
      <c r="AH145" s="31">
        <f>[1]节奏总纲!AH145</f>
        <v>90.373925583132547</v>
      </c>
      <c r="AM145" s="31">
        <f>[1]节奏总纲!AM145</f>
        <v>0</v>
      </c>
      <c r="AN145" s="31">
        <f>[1]节奏总纲!AN145</f>
        <v>0</v>
      </c>
      <c r="AO145" s="31">
        <f>[1]节奏总纲!AO145</f>
        <v>0</v>
      </c>
      <c r="AP145" s="31">
        <f>[1]节奏总纲!AP145</f>
        <v>0</v>
      </c>
      <c r="AQ145" s="31">
        <f>[1]节奏总纲!AQ145</f>
        <v>0</v>
      </c>
      <c r="AT145" s="31">
        <f>[1]节奏总纲!AT145</f>
        <v>0</v>
      </c>
      <c r="AU145" s="31">
        <f>[1]节奏总纲!AU145</f>
        <v>0</v>
      </c>
      <c r="AV145" s="31">
        <f>[1]节奏总纲!AV145</f>
        <v>0</v>
      </c>
      <c r="AW145" s="31">
        <f>[1]节奏总纲!AW145</f>
        <v>0</v>
      </c>
      <c r="AX145" s="31">
        <f>[1]节奏总纲!AX145</f>
        <v>0</v>
      </c>
      <c r="AZ145" s="31">
        <v>142</v>
      </c>
      <c r="BA145" s="31">
        <f>[1]节奏总纲!BA145</f>
        <v>40.378780942311145</v>
      </c>
      <c r="BB145" s="31">
        <f>[1]节奏总纲!BB145</f>
        <v>41.892000518560877</v>
      </c>
      <c r="BC145" s="31">
        <f>[1]节奏总纲!BC145</f>
        <v>43.829040422381524</v>
      </c>
      <c r="BD145" s="31">
        <f>[1]节奏总纲!BD145</f>
        <v>46.561371072329244</v>
      </c>
      <c r="BE145" s="31">
        <f>[1]节奏总纲!BE145</f>
        <v>51.261973871353796</v>
      </c>
    </row>
    <row r="146" spans="6:57" x14ac:dyDescent="0.15">
      <c r="F146" s="31">
        <v>144</v>
      </c>
      <c r="G146" s="31">
        <f t="shared" si="8"/>
        <v>21617.817610103088</v>
      </c>
      <c r="AC146" s="31">
        <v>143</v>
      </c>
      <c r="AD146" s="31">
        <f>[1]节奏总纲!AD146</f>
        <v>71.691928656135218</v>
      </c>
      <c r="AE146" s="31">
        <f>[1]节奏总纲!AE146</f>
        <v>73.778025312273286</v>
      </c>
      <c r="AF146" s="31">
        <f>[1]节奏总纲!AF146</f>
        <v>76.647334212086264</v>
      </c>
      <c r="AG146" s="31">
        <f>[1]节奏总纲!AG146</f>
        <v>81.222816249641028</v>
      </c>
      <c r="AH146" s="31">
        <f>[1]节奏总纲!AH146</f>
        <v>90.480184629206022</v>
      </c>
      <c r="AM146" s="31">
        <f>[1]节奏总纲!AM146</f>
        <v>0</v>
      </c>
      <c r="AN146" s="31">
        <f>[1]节奏总纲!AN146</f>
        <v>0</v>
      </c>
      <c r="AO146" s="31">
        <f>[1]节奏总纲!AO146</f>
        <v>0</v>
      </c>
      <c r="AP146" s="31">
        <f>[1]节奏总纲!AP146</f>
        <v>0</v>
      </c>
      <c r="AQ146" s="31">
        <f>[1]节奏总纲!AQ146</f>
        <v>0</v>
      </c>
      <c r="AT146" s="31">
        <f>[1]节奏总纲!AT146</f>
        <v>0</v>
      </c>
      <c r="AU146" s="31">
        <f>[1]节奏总纲!AU146</f>
        <v>0</v>
      </c>
      <c r="AV146" s="31">
        <f>[1]节奏总纲!AV146</f>
        <v>0</v>
      </c>
      <c r="AW146" s="31">
        <f>[1]节奏总纲!AW146</f>
        <v>0</v>
      </c>
      <c r="AX146" s="31">
        <f>[1]节奏总纲!AX146</f>
        <v>0</v>
      </c>
      <c r="AZ146" s="31">
        <v>143</v>
      </c>
      <c r="BA146" s="31">
        <f>[1]节奏总纲!BA146</f>
        <v>40.425400135210978</v>
      </c>
      <c r="BB146" s="31">
        <f>[1]节奏总纲!BB146</f>
        <v>41.94228328742556</v>
      </c>
      <c r="BC146" s="31">
        <f>[1]节奏总纲!BC146</f>
        <v>43.878969366961051</v>
      </c>
      <c r="BD146" s="31">
        <f>[1]节奏总纲!BD146</f>
        <v>46.609531179376063</v>
      </c>
      <c r="BE146" s="31">
        <f>[1]节奏总纲!BE146</f>
        <v>51.308185407191495</v>
      </c>
    </row>
    <row r="147" spans="6:57" x14ac:dyDescent="0.15">
      <c r="F147" s="31">
        <v>145</v>
      </c>
      <c r="G147" s="31">
        <f t="shared" si="8"/>
        <v>23169.475005920798</v>
      </c>
      <c r="AC147" s="31">
        <v>144</v>
      </c>
      <c r="AD147" s="31">
        <f>[1]节奏总纲!AD147</f>
        <v>71.793488759114723</v>
      </c>
      <c r="AE147" s="31">
        <f>[1]节奏总纲!AE147</f>
        <v>73.880612931842577</v>
      </c>
      <c r="AF147" s="31">
        <f>[1]节奏总纲!AF147</f>
        <v>76.747188164925547</v>
      </c>
      <c r="AG147" s="31">
        <f>[1]节奏总纲!AG147</f>
        <v>81.322300043049054</v>
      </c>
      <c r="AH147" s="31">
        <f>[1]节奏总纲!AH147</f>
        <v>90.586443675279497</v>
      </c>
      <c r="AM147" s="31">
        <f>[1]节奏总纲!AM147</f>
        <v>0</v>
      </c>
      <c r="AN147" s="31">
        <f>[1]节奏总纲!AN147</f>
        <v>0</v>
      </c>
      <c r="AO147" s="31">
        <f>[1]节奏总纲!AO147</f>
        <v>0</v>
      </c>
      <c r="AP147" s="31">
        <f>[1]节奏总纲!AP147</f>
        <v>0</v>
      </c>
      <c r="AQ147" s="31">
        <f>[1]节奏总纲!AQ147</f>
        <v>0</v>
      </c>
      <c r="AT147" s="31">
        <f>[1]节奏总纲!AT147</f>
        <v>0</v>
      </c>
      <c r="AU147" s="31">
        <f>[1]节奏总纲!AU147</f>
        <v>0</v>
      </c>
      <c r="AV147" s="31">
        <f>[1]节奏总纲!AV147</f>
        <v>0</v>
      </c>
      <c r="AW147" s="31">
        <f>[1]节奏总纲!AW147</f>
        <v>0</v>
      </c>
      <c r="AX147" s="31">
        <f>[1]节奏总纲!AX147</f>
        <v>0</v>
      </c>
      <c r="AZ147" s="31">
        <v>144</v>
      </c>
      <c r="BA147" s="31">
        <f>[1]节奏总纲!BA147</f>
        <v>40.472019328110811</v>
      </c>
      <c r="BB147" s="31">
        <f>[1]节奏总纲!BB147</f>
        <v>41.992566056290244</v>
      </c>
      <c r="BC147" s="31">
        <f>[1]节奏总纲!BC147</f>
        <v>43.928898311540586</v>
      </c>
      <c r="BD147" s="31">
        <f>[1]节奏总纲!BD147</f>
        <v>46.657691286422882</v>
      </c>
      <c r="BE147" s="31">
        <f>[1]节奏总纲!BE147</f>
        <v>51.354396943029187</v>
      </c>
    </row>
    <row r="148" spans="6:57" x14ac:dyDescent="0.15">
      <c r="F148" s="31">
        <v>146</v>
      </c>
      <c r="G148" s="31">
        <f t="shared" si="8"/>
        <v>24832.50022570635</v>
      </c>
      <c r="AC148" s="31">
        <v>145</v>
      </c>
      <c r="AD148" s="31">
        <f>[1]节奏总纲!AD148</f>
        <v>71.895048862094214</v>
      </c>
      <c r="AE148" s="31">
        <f>[1]节奏总纲!AE148</f>
        <v>73.983200551411869</v>
      </c>
      <c r="AF148" s="31">
        <f>[1]节奏总纲!AF148</f>
        <v>76.847042117764815</v>
      </c>
      <c r="AG148" s="31">
        <f>[1]节奏总纲!AG148</f>
        <v>81.421783836457067</v>
      </c>
      <c r="AH148" s="31">
        <f>[1]节奏总纲!AH148</f>
        <v>90.692702721352973</v>
      </c>
      <c r="AM148" s="31">
        <f>[1]节奏总纲!AM148</f>
        <v>0</v>
      </c>
      <c r="AN148" s="31">
        <f>[1]节奏总纲!AN148</f>
        <v>0</v>
      </c>
      <c r="AO148" s="31">
        <f>[1]节奏总纲!AO148</f>
        <v>0</v>
      </c>
      <c r="AP148" s="31">
        <f>[1]节奏总纲!AP148</f>
        <v>0</v>
      </c>
      <c r="AQ148" s="31">
        <f>[1]节奏总纲!AQ148</f>
        <v>0</v>
      </c>
      <c r="AT148" s="31">
        <f>[1]节奏总纲!AT148</f>
        <v>0</v>
      </c>
      <c r="AU148" s="31">
        <f>[1]节奏总纲!AU148</f>
        <v>0</v>
      </c>
      <c r="AV148" s="31">
        <f>[1]节奏总纲!AV148</f>
        <v>0</v>
      </c>
      <c r="AW148" s="31">
        <f>[1]节奏总纲!AW148</f>
        <v>0</v>
      </c>
      <c r="AX148" s="31">
        <f>[1]节奏总纲!AX148</f>
        <v>0</v>
      </c>
      <c r="AZ148" s="31">
        <v>145</v>
      </c>
      <c r="BA148" s="31">
        <f>[1]节奏总纲!BA148</f>
        <v>40.518638521010651</v>
      </c>
      <c r="BB148" s="31">
        <f>[1]节奏总纲!BB148</f>
        <v>42.036975906461073</v>
      </c>
      <c r="BC148" s="31">
        <f>[1]节奏总纲!BC148</f>
        <v>43.978827256120113</v>
      </c>
      <c r="BD148" s="31">
        <f>[1]节奏总纲!BD148</f>
        <v>46.7058513934697</v>
      </c>
      <c r="BE148" s="31">
        <f>[1]节奏总纲!BE148</f>
        <v>51.400608478866879</v>
      </c>
    </row>
    <row r="149" spans="6:57" x14ac:dyDescent="0.15">
      <c r="F149" s="31">
        <v>147</v>
      </c>
      <c r="G149" s="31">
        <f t="shared" si="8"/>
        <v>26614.886523801088</v>
      </c>
      <c r="AC149" s="31">
        <v>146</v>
      </c>
      <c r="AD149" s="31">
        <f>[1]节奏总纲!AD149</f>
        <v>71.996608965073719</v>
      </c>
      <c r="AE149" s="31">
        <f>[1]节奏总纲!AE149</f>
        <v>74.078973000522922</v>
      </c>
      <c r="AF149" s="31">
        <f>[1]节奏总纲!AF149</f>
        <v>76.946896070604097</v>
      </c>
      <c r="AG149" s="31">
        <f>[1]节奏总纲!AG149</f>
        <v>81.521267629865079</v>
      </c>
      <c r="AH149" s="31">
        <f>[1]节奏总纲!AH149</f>
        <v>90.798961767426448</v>
      </c>
      <c r="AM149" s="31">
        <f>[1]节奏总纲!AM149</f>
        <v>0</v>
      </c>
      <c r="AN149" s="31">
        <f>[1]节奏总纲!AN149</f>
        <v>0</v>
      </c>
      <c r="AO149" s="31">
        <f>[1]节奏总纲!AO149</f>
        <v>0</v>
      </c>
      <c r="AP149" s="31">
        <f>[1]节奏总纲!AP149</f>
        <v>0</v>
      </c>
      <c r="AQ149" s="31">
        <f>[1]节奏总纲!AQ149</f>
        <v>0</v>
      </c>
      <c r="AT149" s="31">
        <f>[1]节奏总纲!AT149</f>
        <v>0</v>
      </c>
      <c r="AU149" s="31">
        <f>[1]节奏总纲!AU149</f>
        <v>0</v>
      </c>
      <c r="AV149" s="31">
        <f>[1]节奏总纲!AV149</f>
        <v>0</v>
      </c>
      <c r="AW149" s="31">
        <f>[1]节奏总纲!AW149</f>
        <v>0</v>
      </c>
      <c r="AX149" s="31">
        <f>[1]节奏总纲!AX149</f>
        <v>0</v>
      </c>
      <c r="AZ149" s="31">
        <v>146</v>
      </c>
      <c r="BA149" s="31">
        <f>[1]节奏总纲!BA149</f>
        <v>40.565257713910484</v>
      </c>
      <c r="BB149" s="31">
        <f>[1]节奏总纲!BB149</f>
        <v>42.080366850119908</v>
      </c>
      <c r="BC149" s="31">
        <f>[1]节奏总纲!BC149</f>
        <v>44.024818750237806</v>
      </c>
      <c r="BD149" s="31">
        <f>[1]节奏总纲!BD149</f>
        <v>46.754011500516519</v>
      </c>
      <c r="BE149" s="31">
        <f>[1]节奏总纲!BE149</f>
        <v>51.446820014704571</v>
      </c>
    </row>
    <row r="150" spans="6:57" x14ac:dyDescent="0.15">
      <c r="F150" s="31">
        <v>148</v>
      </c>
      <c r="G150" s="31">
        <f t="shared" si="8"/>
        <v>28525.200858087381</v>
      </c>
      <c r="AC150" s="31">
        <v>147</v>
      </c>
      <c r="AD150" s="31">
        <f>[1]节奏总纲!AD150</f>
        <v>72.091594979242075</v>
      </c>
      <c r="AE150" s="31">
        <f>[1]节奏总纲!AE150</f>
        <v>74.173410870467364</v>
      </c>
      <c r="AF150" s="31">
        <f>[1]节奏总纲!AF150</f>
        <v>77.043751281705866</v>
      </c>
      <c r="AG150" s="31">
        <f>[1]节奏总纲!AG150</f>
        <v>81.620751423273092</v>
      </c>
      <c r="AH150" s="31">
        <f>[1]节奏总纲!AH150</f>
        <v>90.905220813499923</v>
      </c>
      <c r="AM150" s="31">
        <f>[1]节奏总纲!AM150</f>
        <v>0</v>
      </c>
      <c r="AN150" s="31">
        <f>[1]节奏总纲!AN150</f>
        <v>0</v>
      </c>
      <c r="AO150" s="31">
        <f>[1]节奏总纲!AO150</f>
        <v>0</v>
      </c>
      <c r="AP150" s="31">
        <f>[1]节奏总纲!AP150</f>
        <v>0</v>
      </c>
      <c r="AQ150" s="31">
        <f>[1]节奏总纲!AQ150</f>
        <v>0</v>
      </c>
      <c r="AT150" s="31">
        <f>[1]节奏总纲!AT150</f>
        <v>0</v>
      </c>
      <c r="AU150" s="31">
        <f>[1]节奏总纲!AU150</f>
        <v>0</v>
      </c>
      <c r="AV150" s="31">
        <f>[1]节奏总纲!AV150</f>
        <v>0</v>
      </c>
      <c r="AW150" s="31">
        <f>[1]节奏总纲!AW150</f>
        <v>0</v>
      </c>
      <c r="AX150" s="31">
        <f>[1]节奏总纲!AX150</f>
        <v>0</v>
      </c>
      <c r="AZ150" s="31">
        <v>147</v>
      </c>
      <c r="BA150" s="31">
        <f>[1]节奏总纲!BA150</f>
        <v>40.611876906810316</v>
      </c>
      <c r="BB150" s="31">
        <f>[1]节奏总纲!BB150</f>
        <v>42.123757793778736</v>
      </c>
      <c r="BC150" s="31">
        <f>[1]节奏总纲!BC150</f>
        <v>44.067911160744309</v>
      </c>
      <c r="BD150" s="31">
        <f>[1]节奏总纲!BD150</f>
        <v>46.802171607563338</v>
      </c>
      <c r="BE150" s="31">
        <f>[1]节奏总纲!BE150</f>
        <v>51.493031550542263</v>
      </c>
    </row>
    <row r="151" spans="6:57" x14ac:dyDescent="0.15">
      <c r="F151" s="31">
        <v>149</v>
      </c>
      <c r="G151" s="31">
        <f t="shared" si="8"/>
        <v>30572.62506667812</v>
      </c>
      <c r="AC151" s="31">
        <v>148</v>
      </c>
      <c r="AD151" s="31">
        <f>[1]节奏总纲!AD151</f>
        <v>72.186353905945822</v>
      </c>
      <c r="AE151" s="31">
        <f>[1]节奏总纲!AE151</f>
        <v>74.267848740411821</v>
      </c>
      <c r="AF151" s="31">
        <f>[1]节奏总纲!AF151</f>
        <v>77.137200185007629</v>
      </c>
      <c r="AG151" s="31">
        <f>[1]节奏总纲!AG151</f>
        <v>81.720235216681118</v>
      </c>
      <c r="AH151" s="31">
        <f>[1]节奏总纲!AH151</f>
        <v>91.011076811620597</v>
      </c>
      <c r="AM151" s="31">
        <f>[1]节奏总纲!AM151</f>
        <v>0</v>
      </c>
      <c r="AN151" s="31">
        <f>[1]节奏总纲!AN151</f>
        <v>0</v>
      </c>
      <c r="AO151" s="31">
        <f>[1]节奏总纲!AO151</f>
        <v>0</v>
      </c>
      <c r="AP151" s="31">
        <f>[1]节奏总纲!AP151</f>
        <v>0</v>
      </c>
      <c r="AQ151" s="31">
        <f>[1]节奏总纲!AQ151</f>
        <v>0</v>
      </c>
      <c r="AT151" s="31">
        <f>[1]节奏总纲!AT151</f>
        <v>0</v>
      </c>
      <c r="AU151" s="31">
        <f>[1]节奏总纲!AU151</f>
        <v>0</v>
      </c>
      <c r="AV151" s="31">
        <f>[1]节奏总纲!AV151</f>
        <v>0</v>
      </c>
      <c r="AW151" s="31">
        <f>[1]节奏总纲!AW151</f>
        <v>0</v>
      </c>
      <c r="AX151" s="31">
        <f>[1]节奏总纲!AX151</f>
        <v>0</v>
      </c>
      <c r="AZ151" s="31">
        <v>148</v>
      </c>
      <c r="BA151" s="31">
        <f>[1]节奏总纲!BA151</f>
        <v>40.658496099710149</v>
      </c>
      <c r="BB151" s="31">
        <f>[1]节奏总纲!BB151</f>
        <v>42.167148737437564</v>
      </c>
      <c r="BC151" s="31">
        <f>[1]节奏总纲!BC151</f>
        <v>44.111003571250812</v>
      </c>
      <c r="BD151" s="31">
        <f>[1]节奏总纲!BD151</f>
        <v>46.850331714610157</v>
      </c>
      <c r="BE151" s="31">
        <f>[1]节奏总纲!BE151</f>
        <v>51.539243086379955</v>
      </c>
    </row>
    <row r="152" spans="6:57" x14ac:dyDescent="0.15">
      <c r="F152" s="31">
        <v>150</v>
      </c>
      <c r="G152" s="31">
        <f t="shared" si="8"/>
        <v>32767</v>
      </c>
      <c r="AC152" s="31">
        <v>149</v>
      </c>
      <c r="AD152" s="31">
        <f>[1]节奏总纲!AD152</f>
        <v>72.281112832649583</v>
      </c>
      <c r="AE152" s="31">
        <f>[1]节奏总纲!AE152</f>
        <v>74.362286610356264</v>
      </c>
      <c r="AF152" s="31">
        <f>[1]节奏总纲!AF152</f>
        <v>77.230649088309391</v>
      </c>
      <c r="AG152" s="31">
        <f>[1]节奏总纲!AG152</f>
        <v>81.819719010089131</v>
      </c>
      <c r="AH152" s="31">
        <f>[1]节奏总纲!AH152</f>
        <v>91.113605194377854</v>
      </c>
      <c r="AM152" s="31">
        <f>[1]节奏总纲!AM152</f>
        <v>0</v>
      </c>
      <c r="AN152" s="31">
        <f>[1]节奏总纲!AN152</f>
        <v>0</v>
      </c>
      <c r="AO152" s="31">
        <f>[1]节奏总纲!AO152</f>
        <v>0</v>
      </c>
      <c r="AP152" s="31">
        <f>[1]节奏总纲!AP152</f>
        <v>0</v>
      </c>
      <c r="AQ152" s="31">
        <f>[1]节奏总纲!AQ152</f>
        <v>0</v>
      </c>
      <c r="AT152" s="31">
        <f>[1]节奏总纲!AT152</f>
        <v>0</v>
      </c>
      <c r="AU152" s="31">
        <f>[1]节奏总纲!AU152</f>
        <v>0</v>
      </c>
      <c r="AV152" s="31">
        <f>[1]节奏总纲!AV152</f>
        <v>0</v>
      </c>
      <c r="AW152" s="31">
        <f>[1]节奏总纲!AW152</f>
        <v>0</v>
      </c>
      <c r="AX152" s="31">
        <f>[1]节奏总纲!AX152</f>
        <v>0</v>
      </c>
      <c r="AZ152" s="31">
        <v>149</v>
      </c>
      <c r="BA152" s="31">
        <f>[1]节奏总纲!BA152</f>
        <v>40.705115292609982</v>
      </c>
      <c r="BB152" s="31">
        <f>[1]节奏总纲!BB152</f>
        <v>42.2105396810964</v>
      </c>
      <c r="BC152" s="31">
        <f>[1]节奏总纲!BC152</f>
        <v>44.154095981757315</v>
      </c>
      <c r="BD152" s="31">
        <f>[1]节奏总纲!BD152</f>
        <v>46.898491821656968</v>
      </c>
      <c r="BE152" s="31">
        <f>[1]节奏总纲!BE152</f>
        <v>51.585454622217647</v>
      </c>
    </row>
    <row r="153" spans="6:57" x14ac:dyDescent="0.15">
      <c r="AC153" s="31">
        <v>150</v>
      </c>
      <c r="AD153" s="31">
        <f>[1]节奏总纲!AD153</f>
        <v>72.375871759353331</v>
      </c>
      <c r="AE153" s="31">
        <f>[1]节奏总纲!AE153</f>
        <v>74.456724480300707</v>
      </c>
      <c r="AF153" s="31">
        <f>[1]节奏总纲!AF153</f>
        <v>77.324097991611154</v>
      </c>
      <c r="AG153" s="31">
        <f>[1]节奏总纲!AG153</f>
        <v>81.919202803497143</v>
      </c>
      <c r="AH153" s="31">
        <f>[1]节奏总纲!AH153</f>
        <v>91.216133577135096</v>
      </c>
      <c r="AM153" s="31">
        <f>[1]节奏总纲!AM153</f>
        <v>0</v>
      </c>
      <c r="AN153" s="31">
        <f>[1]节奏总纲!AN153</f>
        <v>0</v>
      </c>
      <c r="AO153" s="31">
        <f>[1]节奏总纲!AO153</f>
        <v>0</v>
      </c>
      <c r="AP153" s="31">
        <f>[1]节奏总纲!AP153</f>
        <v>0</v>
      </c>
      <c r="AQ153" s="31">
        <f>[1]节奏总纲!AQ153</f>
        <v>0</v>
      </c>
      <c r="AT153" s="31">
        <f>[1]节奏总纲!AT153</f>
        <v>0</v>
      </c>
      <c r="AU153" s="31">
        <f>[1]节奏总纲!AU153</f>
        <v>0</v>
      </c>
      <c r="AV153" s="31">
        <f>[1]节奏总纲!AV153</f>
        <v>0</v>
      </c>
      <c r="AW153" s="31">
        <f>[1]节奏总纲!AW153</f>
        <v>0</v>
      </c>
      <c r="AX153" s="31">
        <f>[1]节奏总纲!AX153</f>
        <v>0</v>
      </c>
      <c r="AZ153" s="31">
        <v>150</v>
      </c>
      <c r="BA153" s="31">
        <f>[1]节奏总纲!BA153</f>
        <v>40.751734485509814</v>
      </c>
      <c r="BB153" s="31">
        <f>[1]节奏总纲!BB153</f>
        <v>42.253930624755228</v>
      </c>
      <c r="BC153" s="31">
        <f>[1]节奏总纲!BC153</f>
        <v>44.197188392263818</v>
      </c>
      <c r="BD153" s="31">
        <f>[1]节奏总纲!BD153</f>
        <v>46.946651928703787</v>
      </c>
      <c r="BE153" s="31">
        <f>[1]节奏总纲!BE153</f>
        <v>51.631666158055346</v>
      </c>
    </row>
    <row r="154" spans="6:57" x14ac:dyDescent="0.15">
      <c r="AC154" s="31">
        <v>151</v>
      </c>
      <c r="AD154" s="31">
        <f>[1]节奏总纲!AD154</f>
        <v>72.470630686057078</v>
      </c>
      <c r="AE154" s="31">
        <f>[1]节奏总纲!AE154</f>
        <v>74.551162350245164</v>
      </c>
      <c r="AF154" s="31">
        <f>[1]节奏总纲!AF154</f>
        <v>77.417546894912917</v>
      </c>
      <c r="AG154" s="31">
        <f>[1]节奏总纲!AG154</f>
        <v>82.01744549958407</v>
      </c>
      <c r="AH154" s="31">
        <f>[1]节奏总纲!AH154</f>
        <v>91.318661959892353</v>
      </c>
      <c r="AM154" s="31">
        <f>[1]节奏总纲!AM154</f>
        <v>0</v>
      </c>
      <c r="AN154" s="31">
        <f>[1]节奏总纲!AN154</f>
        <v>0</v>
      </c>
      <c r="AO154" s="31">
        <f>[1]节奏总纲!AO154</f>
        <v>0</v>
      </c>
      <c r="AP154" s="31">
        <f>[1]节奏总纲!AP154</f>
        <v>0</v>
      </c>
      <c r="AQ154" s="31">
        <f>[1]节奏总纲!AQ154</f>
        <v>0</v>
      </c>
      <c r="AT154" s="31">
        <f>[1]节奏总纲!AT154</f>
        <v>0</v>
      </c>
      <c r="AU154" s="31">
        <f>[1]节奏总纲!AU154</f>
        <v>0</v>
      </c>
      <c r="AV154" s="31">
        <f>[1]节奏总纲!AV154</f>
        <v>0</v>
      </c>
      <c r="AW154" s="31">
        <f>[1]节奏总纲!AW154</f>
        <v>0</v>
      </c>
      <c r="AX154" s="31">
        <f>[1]节奏总纲!AX154</f>
        <v>0</v>
      </c>
      <c r="AZ154" s="31">
        <v>151</v>
      </c>
      <c r="BA154" s="31">
        <f>[1]节奏总纲!BA154</f>
        <v>40.798353678409647</v>
      </c>
      <c r="BB154" s="31">
        <f>[1]节奏总纲!BB154</f>
        <v>42.297321568414056</v>
      </c>
      <c r="BC154" s="31">
        <f>[1]节奏总纲!BC154</f>
        <v>44.240280802770329</v>
      </c>
      <c r="BD154" s="31">
        <f>[1]节奏总纲!BD154</f>
        <v>46.994812035750606</v>
      </c>
      <c r="BE154" s="31">
        <f>[1]节奏总纲!BE154</f>
        <v>51.677877693893038</v>
      </c>
    </row>
    <row r="155" spans="6:57" x14ac:dyDescent="0.15">
      <c r="AC155" s="31">
        <v>152</v>
      </c>
      <c r="AD155" s="31">
        <f>[1]节奏总纲!AD155</f>
        <v>72.565389612760825</v>
      </c>
      <c r="AE155" s="31">
        <f>[1]节奏总纲!AE155</f>
        <v>74.645600220189607</v>
      </c>
      <c r="AF155" s="31">
        <f>[1]节奏总纲!AF155</f>
        <v>77.51099579821468</v>
      </c>
      <c r="AG155" s="31">
        <f>[1]节奏总纲!AG155</f>
        <v>82.110321933176039</v>
      </c>
      <c r="AH155" s="31">
        <f>[1]节奏总纲!AH155</f>
        <v>91.421190342649595</v>
      </c>
      <c r="AM155" s="31">
        <f>[1]节奏总纲!AM155</f>
        <v>0</v>
      </c>
      <c r="AN155" s="31">
        <f>[1]节奏总纲!AN155</f>
        <v>0</v>
      </c>
      <c r="AO155" s="31">
        <f>[1]节奏总纲!AO155</f>
        <v>0</v>
      </c>
      <c r="AP155" s="31">
        <f>[1]节奏总纲!AP155</f>
        <v>0</v>
      </c>
      <c r="AQ155" s="31">
        <f>[1]节奏总纲!AQ155</f>
        <v>0</v>
      </c>
      <c r="AT155" s="31">
        <f>[1]节奏总纲!AT155</f>
        <v>0</v>
      </c>
      <c r="AU155" s="31">
        <f>[1]节奏总纲!AU155</f>
        <v>0</v>
      </c>
      <c r="AV155" s="31">
        <f>[1]节奏总纲!AV155</f>
        <v>0</v>
      </c>
      <c r="AW155" s="31">
        <f>[1]节奏总纲!AW155</f>
        <v>0</v>
      </c>
      <c r="AX155" s="31">
        <f>[1]节奏总纲!AX155</f>
        <v>0</v>
      </c>
      <c r="AZ155" s="31">
        <v>152</v>
      </c>
      <c r="BA155" s="31">
        <f>[1]节奏总纲!BA155</f>
        <v>40.84497287130948</v>
      </c>
      <c r="BB155" s="31">
        <f>[1]节奏总纲!BB155</f>
        <v>42.340712512072891</v>
      </c>
      <c r="BC155" s="31">
        <f>[1]节奏总纲!BC155</f>
        <v>44.283373213276832</v>
      </c>
      <c r="BD155" s="31">
        <f>[1]节奏总纲!BD155</f>
        <v>47.037096473408994</v>
      </c>
      <c r="BE155" s="31">
        <f>[1]节奏总纲!BE155</f>
        <v>51.72408922973073</v>
      </c>
    </row>
    <row r="156" spans="6:57" x14ac:dyDescent="0.15">
      <c r="AC156" s="31">
        <v>153</v>
      </c>
      <c r="AD156" s="31">
        <f>[1]节奏总纲!AD156</f>
        <v>72.660148539464572</v>
      </c>
      <c r="AE156" s="31">
        <f>[1]节奏总纲!AE156</f>
        <v>74.74003809013405</v>
      </c>
      <c r="AF156" s="31">
        <f>[1]节奏总纲!AF156</f>
        <v>77.604444701516456</v>
      </c>
      <c r="AG156" s="31">
        <f>[1]节奏总纲!AG156</f>
        <v>82.203198366767992</v>
      </c>
      <c r="AH156" s="31">
        <f>[1]节奏总纲!AH156</f>
        <v>91.523718725406852</v>
      </c>
      <c r="AM156" s="31">
        <f>[1]节奏总纲!AM156</f>
        <v>0</v>
      </c>
      <c r="AN156" s="31">
        <f>[1]节奏总纲!AN156</f>
        <v>0</v>
      </c>
      <c r="AO156" s="31">
        <f>[1]节奏总纲!AO156</f>
        <v>0</v>
      </c>
      <c r="AP156" s="31">
        <f>[1]节奏总纲!AP156</f>
        <v>0</v>
      </c>
      <c r="AQ156" s="31">
        <f>[1]节奏总纲!AQ156</f>
        <v>0</v>
      </c>
      <c r="AT156" s="31">
        <f>[1]节奏总纲!AT156</f>
        <v>0</v>
      </c>
      <c r="AU156" s="31">
        <f>[1]节奏总纲!AU156</f>
        <v>0</v>
      </c>
      <c r="AV156" s="31">
        <f>[1]节奏总纲!AV156</f>
        <v>0</v>
      </c>
      <c r="AW156" s="31">
        <f>[1]节奏总纲!AW156</f>
        <v>0</v>
      </c>
      <c r="AX156" s="31">
        <f>[1]节奏总纲!AX156</f>
        <v>0</v>
      </c>
      <c r="AZ156" s="31">
        <v>153</v>
      </c>
      <c r="BA156" s="31">
        <f>[1]节奏总纲!BA156</f>
        <v>40.891592064209313</v>
      </c>
      <c r="BB156" s="31">
        <f>[1]节奏总纲!BB156</f>
        <v>42.384103455731719</v>
      </c>
      <c r="BC156" s="31">
        <f>[1]节奏总纲!BC156</f>
        <v>44.326465623783335</v>
      </c>
      <c r="BD156" s="31">
        <f>[1]节奏总纲!BD156</f>
        <v>47.078671550054786</v>
      </c>
      <c r="BE156" s="31">
        <f>[1]节奏总纲!BE156</f>
        <v>51.770300765568422</v>
      </c>
    </row>
    <row r="157" spans="6:57" x14ac:dyDescent="0.15">
      <c r="AC157" s="31">
        <v>154</v>
      </c>
      <c r="AD157" s="31">
        <f>[1]节奏总纲!AD157</f>
        <v>72.754907466168333</v>
      </c>
      <c r="AE157" s="31">
        <f>[1]节奏总纲!AE157</f>
        <v>74.834475960078507</v>
      </c>
      <c r="AF157" s="31">
        <f>[1]节奏总纲!AF157</f>
        <v>77.697893604818219</v>
      </c>
      <c r="AG157" s="31">
        <f>[1]节奏总纲!AG157</f>
        <v>82.29607480035996</v>
      </c>
      <c r="AH157" s="31">
        <f>[1]节奏总纲!AH157</f>
        <v>91.626247108164094</v>
      </c>
      <c r="AM157" s="31">
        <f>[1]节奏总纲!AM157</f>
        <v>0</v>
      </c>
      <c r="AN157" s="31">
        <f>[1]节奏总纲!AN157</f>
        <v>0</v>
      </c>
      <c r="AO157" s="31">
        <f>[1]节奏总纲!AO157</f>
        <v>0</v>
      </c>
      <c r="AP157" s="31">
        <f>[1]节奏总纲!AP157</f>
        <v>0</v>
      </c>
      <c r="AQ157" s="31">
        <f>[1]节奏总纲!AQ157</f>
        <v>0</v>
      </c>
      <c r="AT157" s="31">
        <f>[1]节奏总纲!AT157</f>
        <v>0</v>
      </c>
      <c r="AU157" s="31">
        <f>[1]节奏总纲!AU157</f>
        <v>0</v>
      </c>
      <c r="AV157" s="31">
        <f>[1]节奏总纲!AV157</f>
        <v>0</v>
      </c>
      <c r="AW157" s="31">
        <f>[1]节奏总纲!AW157</f>
        <v>0</v>
      </c>
      <c r="AX157" s="31">
        <f>[1]节奏总纲!AX157</f>
        <v>0</v>
      </c>
      <c r="AZ157" s="31">
        <v>154</v>
      </c>
      <c r="BA157" s="31">
        <f>[1]节奏总纲!BA157</f>
        <v>40.938211257109145</v>
      </c>
      <c r="BB157" s="31">
        <f>[1]节奏总纲!BB157</f>
        <v>42.427494399390554</v>
      </c>
      <c r="BC157" s="31">
        <f>[1]节奏总纲!BC157</f>
        <v>44.369558034289838</v>
      </c>
      <c r="BD157" s="31">
        <f>[1]节奏总纲!BD157</f>
        <v>47.12024662670057</v>
      </c>
      <c r="BE157" s="31">
        <f>[1]节奏总纲!BE157</f>
        <v>51.816512301406114</v>
      </c>
    </row>
    <row r="158" spans="6:57" x14ac:dyDescent="0.15">
      <c r="AC158" s="31">
        <v>155</v>
      </c>
      <c r="AD158" s="31">
        <f>[1]节奏总纲!AD158</f>
        <v>72.849666392872081</v>
      </c>
      <c r="AE158" s="31">
        <f>[1]节奏总纲!AE158</f>
        <v>74.92891383002295</v>
      </c>
      <c r="AF158" s="31">
        <f>[1]节奏总纲!AF158</f>
        <v>77.791342508119982</v>
      </c>
      <c r="AG158" s="31">
        <f>[1]节奏总纲!AG158</f>
        <v>82.388951233951914</v>
      </c>
      <c r="AH158" s="31">
        <f>[1]节奏总纲!AH158</f>
        <v>91.72877549092135</v>
      </c>
      <c r="AM158" s="31">
        <f>[1]节奏总纲!AM158</f>
        <v>0</v>
      </c>
      <c r="AN158" s="31">
        <f>[1]节奏总纲!AN158</f>
        <v>0</v>
      </c>
      <c r="AO158" s="31">
        <f>[1]节奏总纲!AO158</f>
        <v>0</v>
      </c>
      <c r="AP158" s="31">
        <f>[1]节奏总纲!AP158</f>
        <v>0</v>
      </c>
      <c r="AQ158" s="31">
        <f>[1]节奏总纲!AQ158</f>
        <v>0</v>
      </c>
      <c r="AT158" s="31">
        <f>[1]节奏总纲!AT158</f>
        <v>0</v>
      </c>
      <c r="AU158" s="31">
        <f>[1]节奏总纲!AU158</f>
        <v>0</v>
      </c>
      <c r="AV158" s="31">
        <f>[1]节奏总纲!AV158</f>
        <v>0</v>
      </c>
      <c r="AW158" s="31">
        <f>[1]节奏总纲!AW158</f>
        <v>0</v>
      </c>
      <c r="AX158" s="31">
        <f>[1]节奏总纲!AX158</f>
        <v>0</v>
      </c>
      <c r="AZ158" s="31">
        <v>155</v>
      </c>
      <c r="BA158" s="31">
        <f>[1]节奏总纲!BA158</f>
        <v>40.984830450008985</v>
      </c>
      <c r="BB158" s="31">
        <f>[1]节奏总纲!BB158</f>
        <v>42.470885343049382</v>
      </c>
      <c r="BC158" s="31">
        <f>[1]节奏总纲!BC158</f>
        <v>44.412650444796341</v>
      </c>
      <c r="BD158" s="31">
        <f>[1]节奏总纲!BD158</f>
        <v>47.161821703346362</v>
      </c>
      <c r="BE158" s="31">
        <f>[1]节奏总纲!BE158</f>
        <v>51.862723837243806</v>
      </c>
    </row>
    <row r="159" spans="6:57" x14ac:dyDescent="0.15">
      <c r="AC159" s="31">
        <v>156</v>
      </c>
      <c r="AD159" s="31">
        <f>[1]节奏总纲!AD159</f>
        <v>72.944425319575828</v>
      </c>
      <c r="AE159" s="31">
        <f>[1]节奏总纲!AE159</f>
        <v>75.022035011469043</v>
      </c>
      <c r="AF159" s="31">
        <f>[1]节奏总纲!AF159</f>
        <v>77.884791411421745</v>
      </c>
      <c r="AG159" s="31">
        <f>[1]节奏总纲!AG159</f>
        <v>82.481827667543882</v>
      </c>
      <c r="AH159" s="31">
        <f>[1]节奏总纲!AH159</f>
        <v>91.831303873678593</v>
      </c>
      <c r="AM159" s="31">
        <f>[1]节奏总纲!AM159</f>
        <v>0</v>
      </c>
      <c r="AN159" s="31">
        <f>[1]节奏总纲!AN159</f>
        <v>0</v>
      </c>
      <c r="AO159" s="31">
        <f>[1]节奏总纲!AO159</f>
        <v>0</v>
      </c>
      <c r="AP159" s="31">
        <f>[1]节奏总纲!AP159</f>
        <v>0</v>
      </c>
      <c r="AQ159" s="31">
        <f>[1]节奏总纲!AQ159</f>
        <v>0</v>
      </c>
      <c r="AT159" s="31">
        <f>[1]节奏总纲!AT159</f>
        <v>0</v>
      </c>
      <c r="AU159" s="31">
        <f>[1]节奏总纲!AU159</f>
        <v>0</v>
      </c>
      <c r="AV159" s="31">
        <f>[1]节奏总纲!AV159</f>
        <v>0</v>
      </c>
      <c r="AW159" s="31">
        <f>[1]节奏总纲!AW159</f>
        <v>0</v>
      </c>
      <c r="AX159" s="31">
        <f>[1]节奏总纲!AX159</f>
        <v>0</v>
      </c>
      <c r="AZ159" s="31">
        <v>156</v>
      </c>
      <c r="BA159" s="31">
        <f>[1]节奏总纲!BA159</f>
        <v>41.027136894088379</v>
      </c>
      <c r="BB159" s="31">
        <f>[1]节奏总纲!BB159</f>
        <v>42.51427628670821</v>
      </c>
      <c r="BC159" s="31">
        <f>[1]节奏总纲!BC159</f>
        <v>44.455742855302844</v>
      </c>
      <c r="BD159" s="31">
        <f>[1]节奏总纲!BD159</f>
        <v>47.203396779992147</v>
      </c>
      <c r="BE159" s="31">
        <f>[1]节奏总纲!BE159</f>
        <v>51.908935373081505</v>
      </c>
    </row>
    <row r="160" spans="6:57" x14ac:dyDescent="0.15">
      <c r="AC160" s="31">
        <v>157</v>
      </c>
      <c r="AD160" s="31">
        <f>[1]节奏总纲!AD160</f>
        <v>73.036560194527354</v>
      </c>
      <c r="AE160" s="31">
        <f>[1]节奏总纲!AE160</f>
        <v>75.111147990406067</v>
      </c>
      <c r="AF160" s="31">
        <f>[1]节奏总纲!AF160</f>
        <v>77.978240314723507</v>
      </c>
      <c r="AG160" s="31">
        <f>[1]节奏总纲!AG160</f>
        <v>82.574704101135836</v>
      </c>
      <c r="AH160" s="31">
        <f>[1]节奏总纲!AH160</f>
        <v>91.933832256435849</v>
      </c>
      <c r="AM160" s="31">
        <f>[1]节奏总纲!AM160</f>
        <v>0</v>
      </c>
      <c r="AN160" s="31">
        <f>[1]节奏总纲!AN160</f>
        <v>0</v>
      </c>
      <c r="AO160" s="31">
        <f>[1]节奏总纲!AO160</f>
        <v>0</v>
      </c>
      <c r="AP160" s="31">
        <f>[1]节奏总纲!AP160</f>
        <v>0</v>
      </c>
      <c r="AQ160" s="31">
        <f>[1]节奏总纲!AQ160</f>
        <v>0</v>
      </c>
      <c r="AT160" s="31">
        <f>[1]节奏总纲!AT160</f>
        <v>0</v>
      </c>
      <c r="AU160" s="31">
        <f>[1]节奏总纲!AU160</f>
        <v>0</v>
      </c>
      <c r="AV160" s="31">
        <f>[1]节奏总纲!AV160</f>
        <v>0</v>
      </c>
      <c r="AW160" s="31">
        <f>[1]节奏总纲!AW160</f>
        <v>0</v>
      </c>
      <c r="AX160" s="31">
        <f>[1]节奏总纲!AX160</f>
        <v>0</v>
      </c>
      <c r="AZ160" s="31">
        <v>157</v>
      </c>
      <c r="BA160" s="31">
        <f>[1]节奏总纲!BA160</f>
        <v>41.067363109180121</v>
      </c>
      <c r="BB160" s="31">
        <f>[1]节奏总纲!BB160</f>
        <v>42.557667230367045</v>
      </c>
      <c r="BC160" s="31">
        <f>[1]节奏总纲!BC160</f>
        <v>44.498835265809355</v>
      </c>
      <c r="BD160" s="31">
        <f>[1]节奏总纲!BD160</f>
        <v>47.244971856637939</v>
      </c>
      <c r="BE160" s="31">
        <f>[1]节奏总纲!BE160</f>
        <v>51.955146908919197</v>
      </c>
    </row>
    <row r="161" spans="29:68" s="31" customFormat="1" x14ac:dyDescent="0.15">
      <c r="AC161" s="31">
        <v>158</v>
      </c>
      <c r="AD161" s="31">
        <f>[1]节奏总纲!AD161</f>
        <v>73.124973399384572</v>
      </c>
      <c r="AE161" s="31">
        <f>[1]节奏总纲!AE161</f>
        <v>75.200260969343077</v>
      </c>
      <c r="AF161" s="31">
        <f>[1]节奏总纲!AF161</f>
        <v>78.066694029528094</v>
      </c>
      <c r="AG161" s="31">
        <f>[1]节奏总纲!AG161</f>
        <v>82.667580534727804</v>
      </c>
      <c r="AH161" s="31">
        <f>[1]节奏总纲!AH161</f>
        <v>92.033129415212969</v>
      </c>
      <c r="AJ161" s="34"/>
      <c r="AM161" s="31">
        <f>[1]节奏总纲!AM161</f>
        <v>0</v>
      </c>
      <c r="AN161" s="31">
        <f>[1]节奏总纲!AN161</f>
        <v>0</v>
      </c>
      <c r="AO161" s="31">
        <f>[1]节奏总纲!AO161</f>
        <v>0</v>
      </c>
      <c r="AP161" s="31">
        <f>[1]节奏总纲!AP161</f>
        <v>0</v>
      </c>
      <c r="AQ161" s="31">
        <f>[1]节奏总纲!AQ161</f>
        <v>0</v>
      </c>
      <c r="AR161" s="29"/>
      <c r="AT161" s="31">
        <f>[1]节奏总纲!AT161</f>
        <v>0</v>
      </c>
      <c r="AU161" s="31">
        <f>[1]节奏总纲!AU161</f>
        <v>0</v>
      </c>
      <c r="AV161" s="31">
        <f>[1]节奏总纲!AV161</f>
        <v>0</v>
      </c>
      <c r="AW161" s="31">
        <f>[1]节奏总纲!AW161</f>
        <v>0</v>
      </c>
      <c r="AX161" s="31">
        <f>[1]节奏总纲!AX161</f>
        <v>0</v>
      </c>
      <c r="AY161" s="29"/>
      <c r="AZ161" s="31">
        <v>158</v>
      </c>
      <c r="BA161" s="31">
        <f>[1]节奏总纲!BA161</f>
        <v>41.107589324271871</v>
      </c>
      <c r="BB161" s="31">
        <f>[1]节奏总纲!BB161</f>
        <v>42.601058174025873</v>
      </c>
      <c r="BC161" s="31">
        <f>[1]节奏总纲!BC161</f>
        <v>44.541927676315858</v>
      </c>
      <c r="BD161" s="31">
        <f>[1]节奏总纲!BD161</f>
        <v>47.286546933283724</v>
      </c>
      <c r="BE161" s="31">
        <f>[1]节奏总纲!BE161</f>
        <v>52.001173105835825</v>
      </c>
      <c r="BG161" s="34"/>
      <c r="BP161" s="34"/>
    </row>
    <row r="162" spans="29:68" s="31" customFormat="1" x14ac:dyDescent="0.15">
      <c r="AC162" s="31">
        <v>159</v>
      </c>
      <c r="AD162" s="31">
        <f>[1]节奏总纲!AD162</f>
        <v>73.213386604241791</v>
      </c>
      <c r="AE162" s="31">
        <f>[1]节奏总纲!AE162</f>
        <v>75.289373948280101</v>
      </c>
      <c r="AF162" s="31">
        <f>[1]节奏总纲!AF162</f>
        <v>78.153631564737054</v>
      </c>
      <c r="AG162" s="31">
        <f>[1]节奏总纲!AG162</f>
        <v>82.760456968319758</v>
      </c>
      <c r="AH162" s="31">
        <f>[1]节奏总纲!AH162</f>
        <v>92.126546512350387</v>
      </c>
      <c r="AJ162" s="34"/>
      <c r="AM162" s="31">
        <f>[1]节奏总纲!AM162</f>
        <v>0</v>
      </c>
      <c r="AN162" s="31">
        <f>[1]节奏总纲!AN162</f>
        <v>0</v>
      </c>
      <c r="AO162" s="31">
        <f>[1]节奏总纲!AO162</f>
        <v>0</v>
      </c>
      <c r="AP162" s="31">
        <f>[1]节奏总纲!AP162</f>
        <v>0</v>
      </c>
      <c r="AQ162" s="31">
        <f>[1]节奏总纲!AQ162</f>
        <v>0</v>
      </c>
      <c r="AR162" s="29"/>
      <c r="AT162" s="31">
        <f>[1]节奏总纲!AT162</f>
        <v>0</v>
      </c>
      <c r="AU162" s="31">
        <f>[1]节奏总纲!AU162</f>
        <v>0</v>
      </c>
      <c r="AV162" s="31">
        <f>[1]节奏总纲!AV162</f>
        <v>0</v>
      </c>
      <c r="AW162" s="31">
        <f>[1]节奏总纲!AW162</f>
        <v>0</v>
      </c>
      <c r="AX162" s="31">
        <f>[1]节奏总纲!AX162</f>
        <v>0</v>
      </c>
      <c r="AY162" s="29"/>
      <c r="AZ162" s="31">
        <v>159</v>
      </c>
      <c r="BA162" s="31">
        <f>[1]节奏总纲!BA162</f>
        <v>41.147815539363613</v>
      </c>
      <c r="BB162" s="31">
        <f>[1]节奏总纲!BB162</f>
        <v>42.644449117684701</v>
      </c>
      <c r="BC162" s="31">
        <f>[1]节奏总纲!BC162</f>
        <v>44.585020086822361</v>
      </c>
      <c r="BD162" s="31">
        <f>[1]节奏总纲!BD162</f>
        <v>47.328122009929508</v>
      </c>
      <c r="BE162" s="31">
        <f>[1]节奏总纲!BE162</f>
        <v>52.041079787427918</v>
      </c>
      <c r="BG162" s="34"/>
      <c r="BP162" s="34"/>
    </row>
    <row r="163" spans="29:68" s="31" customFormat="1" x14ac:dyDescent="0.15">
      <c r="AC163" s="31">
        <v>160</v>
      </c>
      <c r="AD163" s="31">
        <f>[1]节奏总纲!AD163</f>
        <v>73.301799809099009</v>
      </c>
      <c r="AE163" s="31">
        <f>[1]节奏总纲!AE163</f>
        <v>75.378486927217125</v>
      </c>
      <c r="AF163" s="31">
        <f>[1]节奏总纲!AF163</f>
        <v>78.240569099946029</v>
      </c>
      <c r="AG163" s="31">
        <f>[1]节奏总纲!AG163</f>
        <v>82.853333401911726</v>
      </c>
      <c r="AH163" s="31">
        <f>[1]节奏总纲!AH163</f>
        <v>92.219963609487792</v>
      </c>
      <c r="AJ163" s="34"/>
      <c r="AM163" s="31">
        <f>[1]节奏总纲!AM163</f>
        <v>0</v>
      </c>
      <c r="AN163" s="31">
        <f>[1]节奏总纲!AN163</f>
        <v>0</v>
      </c>
      <c r="AO163" s="31">
        <f>[1]节奏总纲!AO163</f>
        <v>0</v>
      </c>
      <c r="AP163" s="31">
        <f>[1]节奏总纲!AP163</f>
        <v>0</v>
      </c>
      <c r="AQ163" s="31">
        <f>[1]节奏总纲!AQ163</f>
        <v>0</v>
      </c>
      <c r="AR163" s="29"/>
      <c r="AT163" s="31">
        <f>[1]节奏总纲!AT163</f>
        <v>0</v>
      </c>
      <c r="AU163" s="31">
        <f>[1]节奏总纲!AU163</f>
        <v>0</v>
      </c>
      <c r="AV163" s="31">
        <f>[1]节奏总纲!AV163</f>
        <v>0</v>
      </c>
      <c r="AW163" s="31">
        <f>[1]节奏总纲!AW163</f>
        <v>0</v>
      </c>
      <c r="AX163" s="31">
        <f>[1]节奏总纲!AX163</f>
        <v>0</v>
      </c>
      <c r="AY163" s="29"/>
      <c r="AZ163" s="31">
        <v>160</v>
      </c>
      <c r="BA163" s="31">
        <f>[1]节奏总纲!BA163</f>
        <v>41.188041754455355</v>
      </c>
      <c r="BB163" s="31">
        <f>[1]节奏总纲!BB163</f>
        <v>42.687840061343536</v>
      </c>
      <c r="BC163" s="31">
        <f>[1]节奏总纲!BC163</f>
        <v>44.628112497328864</v>
      </c>
      <c r="BD163" s="31">
        <f>[1]节奏总纲!BD163</f>
        <v>47.3696970865753</v>
      </c>
      <c r="BE163" s="31">
        <f>[1]节奏总纲!BE163</f>
        <v>52.080986469020011</v>
      </c>
      <c r="BG163" s="34"/>
      <c r="BP163" s="34"/>
    </row>
    <row r="164" spans="29:68" s="31" customFormat="1" x14ac:dyDescent="0.15">
      <c r="AC164" s="31">
        <v>161</v>
      </c>
      <c r="AD164" s="31">
        <f>[1]节奏总纲!AD164</f>
        <v>73.390213013956213</v>
      </c>
      <c r="AE164" s="31">
        <f>[1]节奏总纲!AE164</f>
        <v>75.467599906154135</v>
      </c>
      <c r="AF164" s="31">
        <f>[1]节奏总纲!AF164</f>
        <v>78.32750663515499</v>
      </c>
      <c r="AG164" s="31">
        <f>[1]节奏总纲!AG164</f>
        <v>82.94620983550368</v>
      </c>
      <c r="AH164" s="31">
        <f>[1]节奏总纲!AH164</f>
        <v>92.313380706625196</v>
      </c>
      <c r="AJ164" s="34"/>
      <c r="AM164" s="31">
        <f>[1]节奏总纲!AM164</f>
        <v>0</v>
      </c>
      <c r="AN164" s="31">
        <f>[1]节奏总纲!AN164</f>
        <v>0</v>
      </c>
      <c r="AO164" s="31">
        <f>[1]节奏总纲!AO164</f>
        <v>0</v>
      </c>
      <c r="AP164" s="31">
        <f>[1]节奏总纲!AP164</f>
        <v>0</v>
      </c>
      <c r="AQ164" s="31">
        <f>[1]节奏总纲!AQ164</f>
        <v>0</v>
      </c>
      <c r="AR164" s="29"/>
      <c r="AT164" s="31">
        <f>[1]节奏总纲!AT164</f>
        <v>0</v>
      </c>
      <c r="AU164" s="31">
        <f>[1]节奏总纲!AU164</f>
        <v>0</v>
      </c>
      <c r="AV164" s="31">
        <f>[1]节奏总纲!AV164</f>
        <v>0</v>
      </c>
      <c r="AW164" s="31">
        <f>[1]节奏总纲!AW164</f>
        <v>0</v>
      </c>
      <c r="AX164" s="31">
        <f>[1]节奏总纲!AX164</f>
        <v>0</v>
      </c>
      <c r="AY164" s="29"/>
      <c r="AZ164" s="31">
        <v>161</v>
      </c>
      <c r="BA164" s="31">
        <f>[1]节奏总纲!BA164</f>
        <v>41.228267969547105</v>
      </c>
      <c r="BB164" s="31">
        <f>[1]节奏总纲!BB164</f>
        <v>42.731231005002364</v>
      </c>
      <c r="BC164" s="31">
        <f>[1]节奏总纲!BC164</f>
        <v>44.671204907835367</v>
      </c>
      <c r="BD164" s="31">
        <f>[1]节奏总纲!BD164</f>
        <v>47.411272163221085</v>
      </c>
      <c r="BE164" s="31">
        <f>[1]节奏总纲!BE164</f>
        <v>52.120893150612112</v>
      </c>
      <c r="BG164" s="34"/>
      <c r="BP164" s="34"/>
    </row>
    <row r="165" spans="29:68" s="31" customFormat="1" x14ac:dyDescent="0.15">
      <c r="AC165" s="31">
        <v>162</v>
      </c>
      <c r="AD165" s="31">
        <f>[1]节奏总纲!AD165</f>
        <v>73.478626218813432</v>
      </c>
      <c r="AE165" s="31">
        <f>[1]节奏总纲!AE165</f>
        <v>75.556712885091159</v>
      </c>
      <c r="AF165" s="31">
        <f>[1]节奏总纲!AF165</f>
        <v>78.414444170363964</v>
      </c>
      <c r="AG165" s="31">
        <f>[1]节奏总纲!AG165</f>
        <v>83.036921590135321</v>
      </c>
      <c r="AH165" s="31">
        <f>[1]节奏总纲!AH165</f>
        <v>92.406797803762601</v>
      </c>
      <c r="AJ165" s="34"/>
      <c r="AM165" s="31">
        <f>[1]节奏总纲!AM165</f>
        <v>0</v>
      </c>
      <c r="AN165" s="31">
        <f>[1]节奏总纲!AN165</f>
        <v>0</v>
      </c>
      <c r="AO165" s="31">
        <f>[1]节奏总纲!AO165</f>
        <v>0</v>
      </c>
      <c r="AP165" s="31">
        <f>[1]节奏总纲!AP165</f>
        <v>0</v>
      </c>
      <c r="AQ165" s="31">
        <f>[1]节奏总纲!AQ165</f>
        <v>0</v>
      </c>
      <c r="AR165" s="29"/>
      <c r="AT165" s="31">
        <f>[1]节奏总纲!AT165</f>
        <v>0</v>
      </c>
      <c r="AU165" s="31">
        <f>[1]节奏总纲!AU165</f>
        <v>0</v>
      </c>
      <c r="AV165" s="31">
        <f>[1]节奏总纲!AV165</f>
        <v>0</v>
      </c>
      <c r="AW165" s="31">
        <f>[1]节奏总纲!AW165</f>
        <v>0</v>
      </c>
      <c r="AX165" s="31">
        <f>[1]节奏总纲!AX165</f>
        <v>0</v>
      </c>
      <c r="AY165" s="29"/>
      <c r="AZ165" s="31">
        <v>162</v>
      </c>
      <c r="BA165" s="31">
        <f>[1]节奏总纲!BA165</f>
        <v>41.268494184638847</v>
      </c>
      <c r="BB165" s="31">
        <f>[1]节奏总纲!BB165</f>
        <v>42.774621948661192</v>
      </c>
      <c r="BC165" s="31">
        <f>[1]节奏总纲!BC165</f>
        <v>44.714297318341877</v>
      </c>
      <c r="BD165" s="31">
        <f>[1]节奏总纲!BD165</f>
        <v>47.452847239866877</v>
      </c>
      <c r="BE165" s="31">
        <f>[1]节奏总纲!BE165</f>
        <v>52.160799832204205</v>
      </c>
      <c r="BG165" s="34"/>
      <c r="BP165" s="34"/>
    </row>
    <row r="166" spans="29:68" s="31" customFormat="1" x14ac:dyDescent="0.15">
      <c r="AC166" s="31">
        <v>163</v>
      </c>
      <c r="AD166" s="31">
        <f>[1]节奏总纲!AD166</f>
        <v>73.56703942367065</v>
      </c>
      <c r="AE166" s="31">
        <f>[1]节奏总纲!AE166</f>
        <v>75.645825864028183</v>
      </c>
      <c r="AF166" s="31">
        <f>[1]节奏总纲!AF166</f>
        <v>78.501381705572925</v>
      </c>
      <c r="AG166" s="31">
        <f>[1]节奏总纲!AG166</f>
        <v>83.124654333465756</v>
      </c>
      <c r="AH166" s="31">
        <f>[1]节奏总纲!AH166</f>
        <v>92.500214900900005</v>
      </c>
      <c r="AJ166" s="34"/>
      <c r="AM166" s="31">
        <f>[1]节奏总纲!AM166</f>
        <v>0</v>
      </c>
      <c r="AN166" s="31">
        <f>[1]节奏总纲!AN166</f>
        <v>0</v>
      </c>
      <c r="AO166" s="31">
        <f>[1]节奏总纲!AO166</f>
        <v>0</v>
      </c>
      <c r="AP166" s="31">
        <f>[1]节奏总纲!AP166</f>
        <v>0</v>
      </c>
      <c r="AQ166" s="31">
        <f>[1]节奏总纲!AQ166</f>
        <v>0</v>
      </c>
      <c r="AR166" s="29"/>
      <c r="AT166" s="31">
        <f>[1]节奏总纲!AT166</f>
        <v>0</v>
      </c>
      <c r="AU166" s="31">
        <f>[1]节奏总纲!AU166</f>
        <v>0</v>
      </c>
      <c r="AV166" s="31">
        <f>[1]节奏总纲!AV166</f>
        <v>0</v>
      </c>
      <c r="AW166" s="31">
        <f>[1]节奏总纲!AW166</f>
        <v>0</v>
      </c>
      <c r="AX166" s="31">
        <f>[1]节奏总纲!AX166</f>
        <v>0</v>
      </c>
      <c r="AY166" s="29"/>
      <c r="AZ166" s="31">
        <v>163</v>
      </c>
      <c r="BA166" s="31">
        <f>[1]节奏总纲!BA166</f>
        <v>41.308720399730589</v>
      </c>
      <c r="BB166" s="31">
        <f>[1]节奏总纲!BB166</f>
        <v>42.818012892320027</v>
      </c>
      <c r="BC166" s="31">
        <f>[1]节奏总纲!BC166</f>
        <v>44.757389728848381</v>
      </c>
      <c r="BD166" s="31">
        <f>[1]节奏总纲!BD166</f>
        <v>47.494422316512662</v>
      </c>
      <c r="BE166" s="31">
        <f>[1]节奏总纲!BE166</f>
        <v>52.200706513796298</v>
      </c>
      <c r="BG166" s="34"/>
      <c r="BP166" s="34"/>
    </row>
    <row r="167" spans="29:68" s="31" customFormat="1" x14ac:dyDescent="0.15">
      <c r="AC167" s="31">
        <v>164</v>
      </c>
      <c r="AD167" s="31">
        <f>[1]节奏总纲!AD167</f>
        <v>73.655452628527868</v>
      </c>
      <c r="AE167" s="31">
        <f>[1]节奏总纲!AE167</f>
        <v>75.734938842965192</v>
      </c>
      <c r="AF167" s="31">
        <f>[1]节奏总纲!AF167</f>
        <v>78.5883192407819</v>
      </c>
      <c r="AG167" s="31">
        <f>[1]节奏总纲!AG167</f>
        <v>83.21238707679619</v>
      </c>
      <c r="AH167" s="31">
        <f>[1]节奏总纲!AH167</f>
        <v>92.593631998037409</v>
      </c>
      <c r="AJ167" s="34"/>
      <c r="AM167" s="31">
        <f>[1]节奏总纲!AM167</f>
        <v>0</v>
      </c>
      <c r="AN167" s="31">
        <f>[1]节奏总纲!AN167</f>
        <v>0</v>
      </c>
      <c r="AO167" s="31">
        <f>[1]节奏总纲!AO167</f>
        <v>0</v>
      </c>
      <c r="AP167" s="31">
        <f>[1]节奏总纲!AP167</f>
        <v>0</v>
      </c>
      <c r="AQ167" s="31">
        <f>[1]节奏总纲!AQ167</f>
        <v>0</v>
      </c>
      <c r="AR167" s="29"/>
      <c r="AT167" s="31">
        <f>[1]节奏总纲!AT167</f>
        <v>0</v>
      </c>
      <c r="AU167" s="31">
        <f>[1]节奏总纲!AU167</f>
        <v>0</v>
      </c>
      <c r="AV167" s="31">
        <f>[1]节奏总纲!AV167</f>
        <v>0</v>
      </c>
      <c r="AW167" s="31">
        <f>[1]节奏总纲!AW167</f>
        <v>0</v>
      </c>
      <c r="AX167" s="31">
        <f>[1]节奏总纲!AX167</f>
        <v>0</v>
      </c>
      <c r="AY167" s="29"/>
      <c r="AZ167" s="31">
        <v>164</v>
      </c>
      <c r="BA167" s="31">
        <f>[1]节奏总纲!BA167</f>
        <v>41.348946614822331</v>
      </c>
      <c r="BB167" s="31">
        <f>[1]节奏总纲!BB167</f>
        <v>42.861403835978855</v>
      </c>
      <c r="BC167" s="31">
        <f>[1]节奏总纲!BC167</f>
        <v>44.800482139354884</v>
      </c>
      <c r="BD167" s="31">
        <f>[1]节奏总纲!BD167</f>
        <v>47.535997393158453</v>
      </c>
      <c r="BE167" s="31">
        <f>[1]节奏总纲!BE167</f>
        <v>52.240613195388391</v>
      </c>
      <c r="BG167" s="34"/>
      <c r="BP167" s="34"/>
    </row>
    <row r="168" spans="29:68" s="31" customFormat="1" x14ac:dyDescent="0.15">
      <c r="AC168" s="31">
        <v>165</v>
      </c>
      <c r="AD168" s="31">
        <f>[1]节奏总纲!AD168</f>
        <v>73.743865833385087</v>
      </c>
      <c r="AE168" s="31">
        <f>[1]节奏总纲!AE168</f>
        <v>75.824051821902216</v>
      </c>
      <c r="AF168" s="31">
        <f>[1]节奏总纲!AF168</f>
        <v>78.67525677599086</v>
      </c>
      <c r="AG168" s="31">
        <f>[1]节奏总纲!AG168</f>
        <v>83.300119820126625</v>
      </c>
      <c r="AH168" s="31">
        <f>[1]节奏总纲!AH168</f>
        <v>92.687049095174814</v>
      </c>
      <c r="AJ168" s="34"/>
      <c r="AM168" s="31">
        <f>[1]节奏总纲!AM168</f>
        <v>0</v>
      </c>
      <c r="AN168" s="31">
        <f>[1]节奏总纲!AN168</f>
        <v>0</v>
      </c>
      <c r="AO168" s="31">
        <f>[1]节奏总纲!AO168</f>
        <v>0</v>
      </c>
      <c r="AP168" s="31">
        <f>[1]节奏总纲!AP168</f>
        <v>0</v>
      </c>
      <c r="AQ168" s="31">
        <f>[1]节奏总纲!AQ168</f>
        <v>0</v>
      </c>
      <c r="AR168" s="29"/>
      <c r="AT168" s="31">
        <f>[1]节奏总纲!AT168</f>
        <v>0</v>
      </c>
      <c r="AU168" s="31">
        <f>[1]节奏总纲!AU168</f>
        <v>0</v>
      </c>
      <c r="AV168" s="31">
        <f>[1]节奏总纲!AV168</f>
        <v>0</v>
      </c>
      <c r="AW168" s="31">
        <f>[1]节奏总纲!AW168</f>
        <v>0</v>
      </c>
      <c r="AX168" s="31">
        <f>[1]节奏总纲!AX168</f>
        <v>0</v>
      </c>
      <c r="AY168" s="29"/>
      <c r="AZ168" s="31">
        <v>165</v>
      </c>
      <c r="BA168" s="31">
        <f>[1]节奏总纲!BA168</f>
        <v>41.389172829914081</v>
      </c>
      <c r="BB168" s="31">
        <f>[1]节奏总纲!BB168</f>
        <v>42.904794779637683</v>
      </c>
      <c r="BC168" s="31">
        <f>[1]节奏总纲!BC168</f>
        <v>44.843574549861387</v>
      </c>
      <c r="BD168" s="31">
        <f>[1]节奏总纲!BD168</f>
        <v>47.577572469804238</v>
      </c>
      <c r="BE168" s="31">
        <f>[1]节奏总纲!BE168</f>
        <v>52.280519876980485</v>
      </c>
      <c r="BG168" s="34"/>
      <c r="BP168" s="34"/>
    </row>
    <row r="169" spans="29:68" s="31" customFormat="1" x14ac:dyDescent="0.15">
      <c r="AC169" s="31">
        <v>166</v>
      </c>
      <c r="AD169" s="31">
        <f>[1]节奏总纲!AD169</f>
        <v>73.832279038242305</v>
      </c>
      <c r="AE169" s="31">
        <f>[1]节奏总纲!AE169</f>
        <v>75.91316480083924</v>
      </c>
      <c r="AF169" s="31">
        <f>[1]节奏总纲!AF169</f>
        <v>78.762194311199835</v>
      </c>
      <c r="AG169" s="31">
        <f>[1]节奏总纲!AG169</f>
        <v>83.387852563457059</v>
      </c>
      <c r="AH169" s="31">
        <f>[1]节奏总纲!AH169</f>
        <v>92.780466192312218</v>
      </c>
      <c r="AJ169" s="34"/>
      <c r="AM169" s="31">
        <f>[1]节奏总纲!AM169</f>
        <v>0</v>
      </c>
      <c r="AN169" s="31">
        <f>[1]节奏总纲!AN169</f>
        <v>0</v>
      </c>
      <c r="AO169" s="31">
        <f>[1]节奏总纲!AO169</f>
        <v>0</v>
      </c>
      <c r="AP169" s="31">
        <f>[1]节奏总纲!AP169</f>
        <v>0</v>
      </c>
      <c r="AQ169" s="31">
        <f>[1]节奏总纲!AQ169</f>
        <v>0</v>
      </c>
      <c r="AR169" s="29"/>
      <c r="AT169" s="31">
        <f>[1]节奏总纲!AT169</f>
        <v>0</v>
      </c>
      <c r="AU169" s="31">
        <f>[1]节奏总纲!AU169</f>
        <v>0</v>
      </c>
      <c r="AV169" s="31">
        <f>[1]节奏总纲!AV169</f>
        <v>0</v>
      </c>
      <c r="AW169" s="31">
        <f>[1]节奏总纲!AW169</f>
        <v>0</v>
      </c>
      <c r="AX169" s="31">
        <f>[1]节奏总纲!AX169</f>
        <v>0</v>
      </c>
      <c r="AY169" s="29"/>
      <c r="AZ169" s="31">
        <v>166</v>
      </c>
      <c r="BA169" s="31">
        <f>[1]节奏总纲!BA169</f>
        <v>41.429399045005823</v>
      </c>
      <c r="BB169" s="31">
        <f>[1]节奏总纲!BB169</f>
        <v>42.948185723296518</v>
      </c>
      <c r="BC169" s="31">
        <f>[1]节奏总纲!BC169</f>
        <v>44.88666696036789</v>
      </c>
      <c r="BD169" s="31">
        <f>[1]节奏总纲!BD169</f>
        <v>47.619147546450023</v>
      </c>
      <c r="BE169" s="31">
        <f>[1]节奏总纲!BE169</f>
        <v>52.320426558572585</v>
      </c>
      <c r="BG169" s="34"/>
      <c r="BP169" s="34"/>
    </row>
    <row r="170" spans="29:68" s="31" customFormat="1" x14ac:dyDescent="0.15">
      <c r="AC170" s="31">
        <v>167</v>
      </c>
      <c r="AD170" s="31">
        <f>[1]节奏总纲!AD170</f>
        <v>73.920692243099523</v>
      </c>
      <c r="AE170" s="31">
        <f>[1]节奏总纲!AE170</f>
        <v>76.002103770254962</v>
      </c>
      <c r="AF170" s="31">
        <f>[1]节奏总纲!AF170</f>
        <v>78.849131846408795</v>
      </c>
      <c r="AG170" s="31">
        <f>[1]节奏总纲!AG170</f>
        <v>83.475585306787494</v>
      </c>
      <c r="AH170" s="31">
        <f>[1]节奏总纲!AH170</f>
        <v>92.873883289449623</v>
      </c>
      <c r="AJ170" s="34"/>
      <c r="AM170" s="31">
        <f>[1]节奏总纲!AM170</f>
        <v>0</v>
      </c>
      <c r="AN170" s="31">
        <f>[1]节奏总纲!AN170</f>
        <v>0</v>
      </c>
      <c r="AO170" s="31">
        <f>[1]节奏总纲!AO170</f>
        <v>0</v>
      </c>
      <c r="AP170" s="31">
        <f>[1]节奏总纲!AP170</f>
        <v>0</v>
      </c>
      <c r="AQ170" s="31">
        <f>[1]节奏总纲!AQ170</f>
        <v>0</v>
      </c>
      <c r="AR170" s="29"/>
      <c r="AT170" s="31">
        <f>[1]节奏总纲!AT170</f>
        <v>0</v>
      </c>
      <c r="AU170" s="31">
        <f>[1]节奏总纲!AU170</f>
        <v>0</v>
      </c>
      <c r="AV170" s="31">
        <f>[1]节奏总纲!AV170</f>
        <v>0</v>
      </c>
      <c r="AW170" s="31">
        <f>[1]节奏总纲!AW170</f>
        <v>0</v>
      </c>
      <c r="AX170" s="31">
        <f>[1]节奏总纲!AX170</f>
        <v>0</v>
      </c>
      <c r="AY170" s="29"/>
      <c r="AZ170" s="31">
        <v>167</v>
      </c>
      <c r="BA170" s="31">
        <f>[1]节奏总纲!BA170</f>
        <v>41.469625260097565</v>
      </c>
      <c r="BB170" s="31">
        <f>[1]节奏总纲!BB170</f>
        <v>42.991576666955346</v>
      </c>
      <c r="BC170" s="31">
        <f>[1]节奏总纲!BC170</f>
        <v>44.9297593708744</v>
      </c>
      <c r="BD170" s="31">
        <f>[1]节奏总纲!BD170</f>
        <v>47.660722623095815</v>
      </c>
      <c r="BE170" s="31">
        <f>[1]节奏总纲!BE170</f>
        <v>52.360333240164678</v>
      </c>
      <c r="BG170" s="34"/>
      <c r="BP170" s="34"/>
    </row>
    <row r="171" spans="29:68" s="31" customFormat="1" x14ac:dyDescent="0.15">
      <c r="AC171" s="31">
        <v>168</v>
      </c>
      <c r="AD171" s="31">
        <f>[1]节奏总纲!AD171</f>
        <v>74.008495683346354</v>
      </c>
      <c r="AE171" s="31">
        <f>[1]节奏总纲!AE171</f>
        <v>76.084409020469636</v>
      </c>
      <c r="AF171" s="31">
        <f>[1]节奏总纲!AF171</f>
        <v>78.93606938161777</v>
      </c>
      <c r="AG171" s="31">
        <f>[1]节奏总纲!AG171</f>
        <v>83.563318050117928</v>
      </c>
      <c r="AH171" s="31">
        <f>[1]节奏总纲!AH171</f>
        <v>92.967300386587027</v>
      </c>
      <c r="AJ171" s="34"/>
      <c r="AM171" s="31">
        <f>[1]节奏总纲!AM171</f>
        <v>0</v>
      </c>
      <c r="AN171" s="31">
        <f>[1]节奏总纲!AN171</f>
        <v>0</v>
      </c>
      <c r="AO171" s="31">
        <f>[1]节奏总纲!AO171</f>
        <v>0</v>
      </c>
      <c r="AP171" s="31">
        <f>[1]节奏总纲!AP171</f>
        <v>0</v>
      </c>
      <c r="AQ171" s="31">
        <f>[1]节奏总纲!AQ171</f>
        <v>0</v>
      </c>
      <c r="AR171" s="29"/>
      <c r="AT171" s="31">
        <f>[1]节奏总纲!AT171</f>
        <v>0</v>
      </c>
      <c r="AU171" s="31">
        <f>[1]节奏总纲!AU171</f>
        <v>0</v>
      </c>
      <c r="AV171" s="31">
        <f>[1]节奏总纲!AV171</f>
        <v>0</v>
      </c>
      <c r="AW171" s="31">
        <f>[1]节奏总纲!AW171</f>
        <v>0</v>
      </c>
      <c r="AX171" s="31">
        <f>[1]节奏总纲!AX171</f>
        <v>0</v>
      </c>
      <c r="AY171" s="29"/>
      <c r="AZ171" s="31">
        <v>168</v>
      </c>
      <c r="BA171" s="31">
        <f>[1]节奏总纲!BA171</f>
        <v>41.509851475189308</v>
      </c>
      <c r="BB171" s="31">
        <f>[1]节奏总纲!BB171</f>
        <v>43.030177309109042</v>
      </c>
      <c r="BC171" s="31">
        <f>[1]节奏总纲!BC171</f>
        <v>44.972851781380903</v>
      </c>
      <c r="BD171" s="31">
        <f>[1]节奏总纲!BD171</f>
        <v>47.7022976997416</v>
      </c>
      <c r="BE171" s="31">
        <f>[1]节奏总纲!BE171</f>
        <v>52.400239921756771</v>
      </c>
      <c r="BG171" s="34"/>
      <c r="BP171" s="34"/>
    </row>
    <row r="172" spans="29:68" s="31" customFormat="1" x14ac:dyDescent="0.15">
      <c r="AC172" s="31">
        <v>169</v>
      </c>
      <c r="AD172" s="31">
        <f>[1]节奏总纲!AD172</f>
        <v>74.090988120365651</v>
      </c>
      <c r="AE172" s="31">
        <f>[1]节奏总纲!AE172</f>
        <v>76.166714270684309</v>
      </c>
      <c r="AF172" s="31">
        <f>[1]节奏总纲!AF172</f>
        <v>79.022812309215297</v>
      </c>
      <c r="AG172" s="31">
        <f>[1]节奏总纲!AG172</f>
        <v>83.651050793448363</v>
      </c>
      <c r="AH172" s="31">
        <f>[1]节奏总纲!AH172</f>
        <v>93.057555567360481</v>
      </c>
      <c r="AJ172" s="34"/>
      <c r="AM172" s="31">
        <f>[1]节奏总纲!AM172</f>
        <v>0</v>
      </c>
      <c r="AN172" s="31">
        <f>[1]节奏总纲!AN172</f>
        <v>0</v>
      </c>
      <c r="AO172" s="31">
        <f>[1]节奏总纲!AO172</f>
        <v>0</v>
      </c>
      <c r="AP172" s="31">
        <f>[1]节奏总纲!AP172</f>
        <v>0</v>
      </c>
      <c r="AQ172" s="31">
        <f>[1]节奏总纲!AQ172</f>
        <v>0</v>
      </c>
      <c r="AR172" s="29"/>
      <c r="AT172" s="31">
        <f>[1]节奏总纲!AT172</f>
        <v>0</v>
      </c>
      <c r="AU172" s="31">
        <f>[1]节奏总纲!AU172</f>
        <v>0</v>
      </c>
      <c r="AV172" s="31">
        <f>[1]节奏总纲!AV172</f>
        <v>0</v>
      </c>
      <c r="AW172" s="31">
        <f>[1]节奏总纲!AW172</f>
        <v>0</v>
      </c>
      <c r="AX172" s="31">
        <f>[1]节奏总纲!AX172</f>
        <v>0</v>
      </c>
      <c r="AY172" s="29"/>
      <c r="AZ172" s="31">
        <v>169</v>
      </c>
      <c r="BA172" s="31">
        <f>[1]节奏总纲!BA172</f>
        <v>41.550077690281057</v>
      </c>
      <c r="BB172" s="31">
        <f>[1]节奏总纲!BB172</f>
        <v>43.067624017543686</v>
      </c>
      <c r="BC172" s="31">
        <f>[1]节奏总纲!BC172</f>
        <v>45.013762077986961</v>
      </c>
      <c r="BD172" s="31">
        <f>[1]节奏总纲!BD172</f>
        <v>47.743872776387391</v>
      </c>
      <c r="BE172" s="31">
        <f>[1]节奏总纲!BE172</f>
        <v>52.440146603348865</v>
      </c>
      <c r="BG172" s="34"/>
      <c r="BP172" s="34"/>
    </row>
    <row r="173" spans="29:68" s="31" customFormat="1" x14ac:dyDescent="0.15">
      <c r="AC173" s="31">
        <v>170</v>
      </c>
      <c r="AD173" s="31">
        <f>[1]节奏总纲!AD173</f>
        <v>74.173480557384934</v>
      </c>
      <c r="AE173" s="31">
        <f>[1]节奏总纲!AE173</f>
        <v>76.249019520898997</v>
      </c>
      <c r="AF173" s="31">
        <f>[1]节奏总纲!AF173</f>
        <v>79.109014469658547</v>
      </c>
      <c r="AG173" s="31">
        <f>[1]节奏总纲!AG173</f>
        <v>83.738783536778797</v>
      </c>
      <c r="AH173" s="31">
        <f>[1]节奏总纲!AH173</f>
        <v>93.146107887007233</v>
      </c>
      <c r="AJ173" s="34"/>
      <c r="AM173" s="31">
        <f>[1]节奏总纲!AM173</f>
        <v>0</v>
      </c>
      <c r="AN173" s="31">
        <f>[1]节奏总纲!AN173</f>
        <v>0</v>
      </c>
      <c r="AO173" s="31">
        <f>[1]节奏总纲!AO173</f>
        <v>0</v>
      </c>
      <c r="AP173" s="31">
        <f>[1]节奏总纲!AP173</f>
        <v>0</v>
      </c>
      <c r="AQ173" s="31">
        <f>[1]节奏总纲!AQ173</f>
        <v>0</v>
      </c>
      <c r="AR173" s="29"/>
      <c r="AT173" s="31">
        <f>[1]节奏总纲!AT173</f>
        <v>0</v>
      </c>
      <c r="AU173" s="31">
        <f>[1]节奏总纲!AU173</f>
        <v>0</v>
      </c>
      <c r="AV173" s="31">
        <f>[1]节奏总纲!AV173</f>
        <v>0</v>
      </c>
      <c r="AW173" s="31">
        <f>[1]节奏总纲!AW173</f>
        <v>0</v>
      </c>
      <c r="AX173" s="31">
        <f>[1]节奏总纲!AX173</f>
        <v>0</v>
      </c>
      <c r="AY173" s="29"/>
      <c r="AZ173" s="31">
        <v>170</v>
      </c>
      <c r="BA173" s="31">
        <f>[1]节奏总纲!BA173</f>
        <v>41.590303905372799</v>
      </c>
      <c r="BB173" s="31">
        <f>[1]节奏总纲!BB173</f>
        <v>43.105070725978337</v>
      </c>
      <c r="BC173" s="31">
        <f>[1]节奏总纲!BC173</f>
        <v>45.050956883357138</v>
      </c>
      <c r="BD173" s="31">
        <f>[1]节奏总纲!BD173</f>
        <v>47.785447853033176</v>
      </c>
      <c r="BE173" s="31">
        <f>[1]节奏总纲!BE173</f>
        <v>52.480053284940965</v>
      </c>
      <c r="BG173" s="34"/>
      <c r="BP173" s="34"/>
    </row>
    <row r="174" spans="29:68" s="31" customFormat="1" x14ac:dyDescent="0.15">
      <c r="AC174" s="31">
        <v>171</v>
      </c>
      <c r="AD174" s="31">
        <f>[1]节奏总纲!AD174</f>
        <v>74.255972994404218</v>
      </c>
      <c r="AE174" s="31">
        <f>[1]节奏总纲!AE174</f>
        <v>76.331324771113671</v>
      </c>
      <c r="AF174" s="31">
        <f>[1]节奏总纲!AF174</f>
        <v>79.195216630101797</v>
      </c>
      <c r="AG174" s="31">
        <f>[1]节奏总纲!AG174</f>
        <v>83.826516280109232</v>
      </c>
      <c r="AH174" s="31">
        <f>[1]节奏总纲!AH174</f>
        <v>93.23466020665397</v>
      </c>
      <c r="AJ174" s="34"/>
      <c r="AM174" s="31">
        <f>[1]节奏总纲!AM174</f>
        <v>0</v>
      </c>
      <c r="AN174" s="31">
        <f>[1]节奏总纲!AN174</f>
        <v>0</v>
      </c>
      <c r="AO174" s="31">
        <f>[1]节奏总纲!AO174</f>
        <v>0</v>
      </c>
      <c r="AP174" s="31">
        <f>[1]节奏总纲!AP174</f>
        <v>0</v>
      </c>
      <c r="AQ174" s="31">
        <f>[1]节奏总纲!AQ174</f>
        <v>0</v>
      </c>
      <c r="AR174" s="29"/>
      <c r="AT174" s="31">
        <f>[1]节奏总纲!AT174</f>
        <v>0</v>
      </c>
      <c r="AU174" s="31">
        <f>[1]节奏总纲!AU174</f>
        <v>0</v>
      </c>
      <c r="AV174" s="31">
        <f>[1]节奏总纲!AV174</f>
        <v>0</v>
      </c>
      <c r="AW174" s="31">
        <f>[1]节奏总纲!AW174</f>
        <v>0</v>
      </c>
      <c r="AX174" s="31">
        <f>[1]节奏总纲!AX174</f>
        <v>0</v>
      </c>
      <c r="AY174" s="29"/>
      <c r="AZ174" s="31">
        <v>171</v>
      </c>
      <c r="BA174" s="31">
        <f>[1]节奏总纲!BA174</f>
        <v>41.630530120464542</v>
      </c>
      <c r="BB174" s="31">
        <f>[1]节奏总纲!BB174</f>
        <v>43.14251743441298</v>
      </c>
      <c r="BC174" s="31">
        <f>[1]节奏总纲!BC174</f>
        <v>45.088151688727308</v>
      </c>
      <c r="BD174" s="31">
        <f>[1]节奏总纲!BD174</f>
        <v>47.827022929678968</v>
      </c>
      <c r="BE174" s="31">
        <f>[1]节奏总纲!BE174</f>
        <v>52.519959966533058</v>
      </c>
      <c r="BG174" s="34"/>
      <c r="BP174" s="34"/>
    </row>
    <row r="175" spans="29:68" s="31" customFormat="1" x14ac:dyDescent="0.15">
      <c r="AC175" s="31">
        <v>172</v>
      </c>
      <c r="AD175" s="31">
        <f>[1]节奏总纲!AD175</f>
        <v>74.338465431423501</v>
      </c>
      <c r="AE175" s="31">
        <f>[1]节奏总纲!AE175</f>
        <v>76.413630021328345</v>
      </c>
      <c r="AF175" s="31">
        <f>[1]节奏总纲!AF175</f>
        <v>79.281418790545047</v>
      </c>
      <c r="AG175" s="31">
        <f>[1]节奏总纲!AG175</f>
        <v>83.914249023439666</v>
      </c>
      <c r="AH175" s="31">
        <f>[1]节奏总纲!AH175</f>
        <v>93.323212526300722</v>
      </c>
      <c r="AJ175" s="34"/>
      <c r="AM175" s="31">
        <f>[1]节奏总纲!AM175</f>
        <v>0</v>
      </c>
      <c r="AN175" s="31">
        <f>[1]节奏总纲!AN175</f>
        <v>0</v>
      </c>
      <c r="AO175" s="31">
        <f>[1]节奏总纲!AO175</f>
        <v>0</v>
      </c>
      <c r="AP175" s="31">
        <f>[1]节奏总纲!AP175</f>
        <v>0</v>
      </c>
      <c r="AQ175" s="31">
        <f>[1]节奏总纲!AQ175</f>
        <v>0</v>
      </c>
      <c r="AR175" s="29"/>
      <c r="AT175" s="31">
        <f>[1]节奏总纲!AT175</f>
        <v>0</v>
      </c>
      <c r="AU175" s="31">
        <f>[1]节奏总纲!AU175</f>
        <v>0</v>
      </c>
      <c r="AV175" s="31">
        <f>[1]节奏总纲!AV175</f>
        <v>0</v>
      </c>
      <c r="AW175" s="31">
        <f>[1]节奏总纲!AW175</f>
        <v>0</v>
      </c>
      <c r="AX175" s="31">
        <f>[1]节奏总纲!AX175</f>
        <v>0</v>
      </c>
      <c r="AY175" s="29"/>
      <c r="AZ175" s="31">
        <v>172</v>
      </c>
      <c r="BA175" s="31">
        <f>[1]节奏总纲!BA175</f>
        <v>41.670756335556291</v>
      </c>
      <c r="BB175" s="31">
        <f>[1]节奏总纲!BB175</f>
        <v>43.179964142847631</v>
      </c>
      <c r="BC175" s="31">
        <f>[1]节奏总纲!BC175</f>
        <v>45.125346494097485</v>
      </c>
      <c r="BD175" s="31">
        <f>[1]节奏总纲!BD175</f>
        <v>47.868598006324753</v>
      </c>
      <c r="BE175" s="31">
        <f>[1]节奏总纲!BE175</f>
        <v>52.559866648125151</v>
      </c>
      <c r="BG175" s="34"/>
      <c r="BP175" s="34"/>
    </row>
    <row r="176" spans="29:68" s="31" customFormat="1" x14ac:dyDescent="0.15">
      <c r="AC176" s="31">
        <v>173</v>
      </c>
      <c r="AD176" s="31">
        <f>[1]节奏总纲!AD176</f>
        <v>74.420957868442784</v>
      </c>
      <c r="AE176" s="31">
        <f>[1]节奏总纲!AE176</f>
        <v>76.495935271543019</v>
      </c>
      <c r="AF176" s="31">
        <f>[1]节奏总纲!AF176</f>
        <v>79.367620950988297</v>
      </c>
      <c r="AG176" s="31">
        <f>[1]节奏总纲!AG176</f>
        <v>84.00179325525086</v>
      </c>
      <c r="AH176" s="31">
        <f>[1]节奏总纲!AH176</f>
        <v>93.411764845947459</v>
      </c>
      <c r="AJ176" s="34"/>
      <c r="AM176" s="31">
        <f>[1]节奏总纲!AM176</f>
        <v>0</v>
      </c>
      <c r="AN176" s="31">
        <f>[1]节奏总纲!AN176</f>
        <v>0</v>
      </c>
      <c r="AO176" s="31">
        <f>[1]节奏总纲!AO176</f>
        <v>0</v>
      </c>
      <c r="AP176" s="31">
        <f>[1]节奏总纲!AP176</f>
        <v>0</v>
      </c>
      <c r="AQ176" s="31">
        <f>[1]节奏总纲!AQ176</f>
        <v>0</v>
      </c>
      <c r="AR176" s="29"/>
      <c r="AT176" s="31">
        <f>[1]节奏总纲!AT176</f>
        <v>0</v>
      </c>
      <c r="AU176" s="31">
        <f>[1]节奏总纲!AU176</f>
        <v>0</v>
      </c>
      <c r="AV176" s="31">
        <f>[1]节奏总纲!AV176</f>
        <v>0</v>
      </c>
      <c r="AW176" s="31">
        <f>[1]节奏总纲!AW176</f>
        <v>0</v>
      </c>
      <c r="AX176" s="31">
        <f>[1]节奏总纲!AX176</f>
        <v>0</v>
      </c>
      <c r="AY176" s="29"/>
      <c r="AZ176" s="31">
        <v>173</v>
      </c>
      <c r="BA176" s="31">
        <f>[1]节奏总纲!BA176</f>
        <v>41.710982550648033</v>
      </c>
      <c r="BB176" s="31">
        <f>[1]节奏总纲!BB176</f>
        <v>43.217410851282274</v>
      </c>
      <c r="BC176" s="31">
        <f>[1]节奏总纲!BC176</f>
        <v>45.162541299467655</v>
      </c>
      <c r="BD176" s="31">
        <f>[1]节奏总纲!BD176</f>
        <v>47.910173082970537</v>
      </c>
      <c r="BE176" s="31">
        <f>[1]节奏总纲!BE176</f>
        <v>52.599773329717245</v>
      </c>
      <c r="BG176" s="34"/>
      <c r="BP176" s="34"/>
    </row>
    <row r="177" spans="29:68" s="31" customFormat="1" x14ac:dyDescent="0.15">
      <c r="AC177" s="31">
        <v>174</v>
      </c>
      <c r="AD177" s="31">
        <f>[1]节奏总纲!AD177</f>
        <v>74.503450305462081</v>
      </c>
      <c r="AE177" s="31">
        <f>[1]节奏总纲!AE177</f>
        <v>76.578240521757706</v>
      </c>
      <c r="AF177" s="31">
        <f>[1]节奏总纲!AF177</f>
        <v>79.453823111431561</v>
      </c>
      <c r="AG177" s="31">
        <f>[1]节奏总纲!AG177</f>
        <v>84.08118060043364</v>
      </c>
      <c r="AH177" s="31">
        <f>[1]节奏总纲!AH177</f>
        <v>93.500317165594211</v>
      </c>
      <c r="AJ177" s="34"/>
      <c r="AM177" s="31">
        <f>[1]节奏总纲!AM177</f>
        <v>0</v>
      </c>
      <c r="AN177" s="31">
        <f>[1]节奏总纲!AN177</f>
        <v>0</v>
      </c>
      <c r="AO177" s="31">
        <f>[1]节奏总纲!AO177</f>
        <v>0</v>
      </c>
      <c r="AP177" s="31">
        <f>[1]节奏总纲!AP177</f>
        <v>0</v>
      </c>
      <c r="AQ177" s="31">
        <f>[1]节奏总纲!AQ177</f>
        <v>0</v>
      </c>
      <c r="AR177" s="29"/>
      <c r="AT177" s="31">
        <f>[1]节奏总纲!AT177</f>
        <v>0</v>
      </c>
      <c r="AU177" s="31">
        <f>[1]节奏总纲!AU177</f>
        <v>0</v>
      </c>
      <c r="AV177" s="31">
        <f>[1]节奏总纲!AV177</f>
        <v>0</v>
      </c>
      <c r="AW177" s="31">
        <f>[1]节奏总纲!AW177</f>
        <v>0</v>
      </c>
      <c r="AX177" s="31">
        <f>[1]节奏总纲!AX177</f>
        <v>0</v>
      </c>
      <c r="AY177" s="29"/>
      <c r="AZ177" s="31">
        <v>174</v>
      </c>
      <c r="BA177" s="31">
        <f>[1]节奏总纲!BA177</f>
        <v>41.751208765739776</v>
      </c>
      <c r="BB177" s="31">
        <f>[1]节奏总纲!BB177</f>
        <v>43.254857559716925</v>
      </c>
      <c r="BC177" s="31">
        <f>[1]节奏总纲!BC177</f>
        <v>45.199736104837832</v>
      </c>
      <c r="BD177" s="31">
        <f>[1]节奏总纲!BD177</f>
        <v>47.951748159616329</v>
      </c>
      <c r="BE177" s="31">
        <f>[1]节奏总纲!BE177</f>
        <v>52.639680011309345</v>
      </c>
      <c r="BG177" s="34"/>
      <c r="BP177" s="34"/>
    </row>
    <row r="178" spans="29:68" s="31" customFormat="1" x14ac:dyDescent="0.15">
      <c r="AC178" s="31">
        <v>175</v>
      </c>
      <c r="AD178" s="31">
        <f>[1]节奏总纲!AD178</f>
        <v>74.585942742481365</v>
      </c>
      <c r="AE178" s="31">
        <f>[1]节奏总纲!AE178</f>
        <v>76.66054577197238</v>
      </c>
      <c r="AF178" s="31">
        <f>[1]节奏总纲!AF178</f>
        <v>79.540025271874811</v>
      </c>
      <c r="AG178" s="31">
        <f>[1]节奏总纲!AG178</f>
        <v>84.160567945616407</v>
      </c>
      <c r="AH178" s="31">
        <f>[1]节奏总纲!AH178</f>
        <v>93.588869485240949</v>
      </c>
      <c r="AJ178" s="34"/>
      <c r="AM178" s="31">
        <f>[1]节奏总纲!AM178</f>
        <v>0</v>
      </c>
      <c r="AN178" s="31">
        <f>[1]节奏总纲!AN178</f>
        <v>0</v>
      </c>
      <c r="AO178" s="31">
        <f>[1]节奏总纲!AO178</f>
        <v>0</v>
      </c>
      <c r="AP178" s="31">
        <f>[1]节奏总纲!AP178</f>
        <v>0</v>
      </c>
      <c r="AQ178" s="31">
        <f>[1]节奏总纲!AQ178</f>
        <v>0</v>
      </c>
      <c r="AR178" s="29"/>
      <c r="AT178" s="31">
        <f>[1]节奏总纲!AT178</f>
        <v>0</v>
      </c>
      <c r="AU178" s="31">
        <f>[1]节奏总纲!AU178</f>
        <v>0</v>
      </c>
      <c r="AV178" s="31">
        <f>[1]节奏总纲!AV178</f>
        <v>0</v>
      </c>
      <c r="AW178" s="31">
        <f>[1]节奏总纲!AW178</f>
        <v>0</v>
      </c>
      <c r="AX178" s="31">
        <f>[1]节奏总纲!AX178</f>
        <v>0</v>
      </c>
      <c r="AY178" s="29"/>
      <c r="AZ178" s="31">
        <v>175</v>
      </c>
      <c r="BA178" s="31">
        <f>[1]节奏总纲!BA178</f>
        <v>41.791434980831518</v>
      </c>
      <c r="BB178" s="31">
        <f>[1]节奏总纲!BB178</f>
        <v>43.292304268151575</v>
      </c>
      <c r="BC178" s="31">
        <f>[1]节奏总纲!BC178</f>
        <v>45.236930910208002</v>
      </c>
      <c r="BD178" s="31">
        <f>[1]节奏总纲!BD178</f>
        <v>47.993323236262114</v>
      </c>
      <c r="BE178" s="31">
        <f>[1]节奏总纲!BE178</f>
        <v>52.679586692901438</v>
      </c>
      <c r="BG178" s="34"/>
      <c r="BP178" s="34"/>
    </row>
    <row r="179" spans="29:68" s="31" customFormat="1" x14ac:dyDescent="0.15">
      <c r="AC179" s="31">
        <v>176</v>
      </c>
      <c r="AD179" s="31">
        <f>[1]节奏总纲!AD179</f>
        <v>74.668435179500648</v>
      </c>
      <c r="AE179" s="31">
        <f>[1]节奏总纲!AE179</f>
        <v>76.742851022187054</v>
      </c>
      <c r="AF179" s="31">
        <f>[1]节奏总纲!AF179</f>
        <v>79.626227432318061</v>
      </c>
      <c r="AG179" s="31">
        <f>[1]节奏总纲!AG179</f>
        <v>84.239955290799188</v>
      </c>
      <c r="AH179" s="31">
        <f>[1]节奏总纲!AH179</f>
        <v>93.6774218048877</v>
      </c>
      <c r="AJ179" s="34"/>
      <c r="AM179" s="31">
        <f>[1]节奏总纲!AM179</f>
        <v>0</v>
      </c>
      <c r="AN179" s="31">
        <f>[1]节奏总纲!AN179</f>
        <v>0</v>
      </c>
      <c r="AO179" s="31">
        <f>[1]节奏总纲!AO179</f>
        <v>0</v>
      </c>
      <c r="AP179" s="31">
        <f>[1]节奏总纲!AP179</f>
        <v>0</v>
      </c>
      <c r="AQ179" s="31">
        <f>[1]节奏总纲!AQ179</f>
        <v>0</v>
      </c>
      <c r="AR179" s="29"/>
      <c r="AT179" s="31">
        <f>[1]节奏总纲!AT179</f>
        <v>0</v>
      </c>
      <c r="AU179" s="31">
        <f>[1]节奏总纲!AU179</f>
        <v>0</v>
      </c>
      <c r="AV179" s="31">
        <f>[1]节奏总纲!AV179</f>
        <v>0</v>
      </c>
      <c r="AW179" s="31">
        <f>[1]节奏总纲!AW179</f>
        <v>0</v>
      </c>
      <c r="AX179" s="31">
        <f>[1]节奏总纲!AX179</f>
        <v>0</v>
      </c>
      <c r="AY179" s="29"/>
      <c r="AZ179" s="31">
        <v>176</v>
      </c>
      <c r="BA179" s="31">
        <f>[1]节奏总纲!BA179</f>
        <v>41.831661195923267</v>
      </c>
      <c r="BB179" s="31">
        <f>[1]节奏总纲!BB179</f>
        <v>43.329750976586219</v>
      </c>
      <c r="BC179" s="31">
        <f>[1]节奏总纲!BC179</f>
        <v>45.274125715578172</v>
      </c>
      <c r="BD179" s="31">
        <f>[1]节奏总纲!BD179</f>
        <v>48.030128751164234</v>
      </c>
      <c r="BE179" s="31">
        <f>[1]节奏总纲!BE179</f>
        <v>52.719493374493531</v>
      </c>
      <c r="BG179" s="34"/>
      <c r="BP179" s="34"/>
    </row>
    <row r="180" spans="29:68" s="31" customFormat="1" x14ac:dyDescent="0.15">
      <c r="AC180" s="31">
        <v>177</v>
      </c>
      <c r="AD180" s="31">
        <f>[1]节奏总纲!AD180</f>
        <v>74.750927616519931</v>
      </c>
      <c r="AE180" s="31">
        <f>[1]节奏总纲!AE180</f>
        <v>76.825156272401728</v>
      </c>
      <c r="AF180" s="31">
        <f>[1]节奏总纲!AF180</f>
        <v>79.71242959276131</v>
      </c>
      <c r="AG180" s="31">
        <f>[1]节奏总纲!AG180</f>
        <v>84.319342635981968</v>
      </c>
      <c r="AH180" s="31">
        <f>[1]节奏总纲!AH180</f>
        <v>93.765974124534438</v>
      </c>
      <c r="AJ180" s="34"/>
      <c r="AM180" s="31">
        <f>[1]节奏总纲!AM180</f>
        <v>0</v>
      </c>
      <c r="AN180" s="31">
        <f>[1]节奏总纲!AN180</f>
        <v>0</v>
      </c>
      <c r="AO180" s="31">
        <f>[1]节奏总纲!AO180</f>
        <v>0</v>
      </c>
      <c r="AP180" s="31">
        <f>[1]节奏总纲!AP180</f>
        <v>0</v>
      </c>
      <c r="AQ180" s="31">
        <f>[1]节奏总纲!AQ180</f>
        <v>0</v>
      </c>
      <c r="AR180" s="29"/>
      <c r="AT180" s="31">
        <f>[1]节奏总纲!AT180</f>
        <v>0</v>
      </c>
      <c r="AU180" s="31">
        <f>[1]节奏总纲!AU180</f>
        <v>0</v>
      </c>
      <c r="AV180" s="31">
        <f>[1]节奏总纲!AV180</f>
        <v>0</v>
      </c>
      <c r="AW180" s="31">
        <f>[1]节奏总纲!AW180</f>
        <v>0</v>
      </c>
      <c r="AX180" s="31">
        <f>[1]节奏总纲!AX180</f>
        <v>0</v>
      </c>
      <c r="AY180" s="29"/>
      <c r="AZ180" s="31">
        <v>177</v>
      </c>
      <c r="BA180" s="31">
        <f>[1]节奏总纲!BA180</f>
        <v>41.87188741101501</v>
      </c>
      <c r="BB180" s="31">
        <f>[1]节奏总纲!BB180</f>
        <v>43.367197685020869</v>
      </c>
      <c r="BC180" s="31">
        <f>[1]节奏总纲!BC180</f>
        <v>45.31132052094835</v>
      </c>
      <c r="BD180" s="31">
        <f>[1]节奏总纲!BD180</f>
        <v>48.066021750983474</v>
      </c>
      <c r="BE180" s="31">
        <f>[1]节奏总纲!BE180</f>
        <v>52.759400056085624</v>
      </c>
      <c r="BG180" s="34"/>
      <c r="BP180" s="34"/>
    </row>
    <row r="181" spans="29:68" s="31" customFormat="1" x14ac:dyDescent="0.15">
      <c r="AC181" s="31">
        <v>178</v>
      </c>
      <c r="AD181" s="31">
        <f>[1]节奏总纲!AD181</f>
        <v>74.833420053539214</v>
      </c>
      <c r="AE181" s="31">
        <f>[1]节奏总纲!AE181</f>
        <v>76.907461522616416</v>
      </c>
      <c r="AF181" s="31">
        <f>[1]节奏总纲!AF181</f>
        <v>79.79863175320456</v>
      </c>
      <c r="AG181" s="31">
        <f>[1]节奏总纲!AG181</f>
        <v>84.398729981164735</v>
      </c>
      <c r="AH181" s="31">
        <f>[1]节奏总纲!AH181</f>
        <v>93.85452644418119</v>
      </c>
      <c r="AJ181" s="34"/>
      <c r="AM181" s="31">
        <f>[1]节奏总纲!AM181</f>
        <v>0</v>
      </c>
      <c r="AN181" s="31">
        <f>[1]节奏总纲!AN181</f>
        <v>0</v>
      </c>
      <c r="AO181" s="31">
        <f>[1]节奏总纲!AO181</f>
        <v>0</v>
      </c>
      <c r="AP181" s="31">
        <f>[1]节奏总纲!AP181</f>
        <v>0</v>
      </c>
      <c r="AQ181" s="31">
        <f>[1]节奏总纲!AQ181</f>
        <v>0</v>
      </c>
      <c r="AR181" s="29"/>
      <c r="AT181" s="31">
        <f>[1]节奏总纲!AT181</f>
        <v>0</v>
      </c>
      <c r="AU181" s="31">
        <f>[1]节奏总纲!AU181</f>
        <v>0</v>
      </c>
      <c r="AV181" s="31">
        <f>[1]节奏总纲!AV181</f>
        <v>0</v>
      </c>
      <c r="AW181" s="31">
        <f>[1]节奏总纲!AW181</f>
        <v>0</v>
      </c>
      <c r="AX181" s="31">
        <f>[1]节奏总纲!AX181</f>
        <v>0</v>
      </c>
      <c r="AY181" s="29"/>
      <c r="AZ181" s="31">
        <v>178</v>
      </c>
      <c r="BA181" s="31">
        <f>[1]节奏总纲!BA181</f>
        <v>41.912113626106752</v>
      </c>
      <c r="BB181" s="31">
        <f>[1]节奏总纲!BB181</f>
        <v>43.404644393455513</v>
      </c>
      <c r="BC181" s="31">
        <f>[1]节奏总纲!BC181</f>
        <v>45.34851532631852</v>
      </c>
      <c r="BD181" s="31">
        <f>[1]节奏总纲!BD181</f>
        <v>48.101914750802706</v>
      </c>
      <c r="BE181" s="31">
        <f>[1]节奏总纲!BE181</f>
        <v>52.799306737677718</v>
      </c>
      <c r="BG181" s="34"/>
      <c r="BP181" s="34"/>
    </row>
    <row r="182" spans="29:68" s="31" customFormat="1" x14ac:dyDescent="0.15">
      <c r="AC182" s="31">
        <v>179</v>
      </c>
      <c r="AD182" s="31">
        <f>[1]节奏总纲!AD182</f>
        <v>74.915912490558512</v>
      </c>
      <c r="AE182" s="31">
        <f>[1]节奏总纲!AE182</f>
        <v>76.989766772831089</v>
      </c>
      <c r="AF182" s="31">
        <f>[1]节奏总纲!AF182</f>
        <v>79.88483391364781</v>
      </c>
      <c r="AG182" s="31">
        <f>[1]节奏总纲!AG182</f>
        <v>84.478117326347515</v>
      </c>
      <c r="AH182" s="31">
        <f>[1]节奏总纲!AH182</f>
        <v>93.943078763827941</v>
      </c>
      <c r="AJ182" s="34"/>
      <c r="AM182" s="31">
        <f>[1]节奏总纲!AM182</f>
        <v>0</v>
      </c>
      <c r="AN182" s="31">
        <f>[1]节奏总纲!AN182</f>
        <v>0</v>
      </c>
      <c r="AO182" s="31">
        <f>[1]节奏总纲!AO182</f>
        <v>0</v>
      </c>
      <c r="AP182" s="31">
        <f>[1]节奏总纲!AP182</f>
        <v>0</v>
      </c>
      <c r="AQ182" s="31">
        <f>[1]节奏总纲!AQ182</f>
        <v>0</v>
      </c>
      <c r="AR182" s="29"/>
      <c r="AT182" s="31">
        <f>[1]节奏总纲!AT182</f>
        <v>0</v>
      </c>
      <c r="AU182" s="31">
        <f>[1]节奏总纲!AU182</f>
        <v>0</v>
      </c>
      <c r="AV182" s="31">
        <f>[1]节奏总纲!AV182</f>
        <v>0</v>
      </c>
      <c r="AW182" s="31">
        <f>[1]节奏总纲!AW182</f>
        <v>0</v>
      </c>
      <c r="AX182" s="31">
        <f>[1]节奏总纲!AX182</f>
        <v>0</v>
      </c>
      <c r="AY182" s="29"/>
      <c r="AZ182" s="31">
        <v>179</v>
      </c>
      <c r="BA182" s="31">
        <f>[1]节奏总纲!BA182</f>
        <v>41.952339841198494</v>
      </c>
      <c r="BB182" s="31">
        <f>[1]节奏总纲!BB182</f>
        <v>43.442091101890163</v>
      </c>
      <c r="BC182" s="31">
        <f>[1]节奏总纲!BC182</f>
        <v>45.385710131688697</v>
      </c>
      <c r="BD182" s="31">
        <f>[1]节奏总纲!BD182</f>
        <v>48.137807750621946</v>
      </c>
      <c r="BE182" s="31">
        <f>[1]节奏总纲!BE182</f>
        <v>52.839213419269818</v>
      </c>
      <c r="BG182" s="34"/>
      <c r="BP182" s="34"/>
    </row>
    <row r="183" spans="29:68" s="31" customFormat="1" x14ac:dyDescent="0.15">
      <c r="AC183" s="31">
        <v>180</v>
      </c>
      <c r="AD183" s="31">
        <f>[1]节奏总纲!AD183</f>
        <v>74.998404927577795</v>
      </c>
      <c r="AE183" s="31">
        <f>[1]节奏总纲!AE183</f>
        <v>77.06778397927944</v>
      </c>
      <c r="AF183" s="31">
        <f>[1]节奏总纲!AF183</f>
        <v>79.97103607409106</v>
      </c>
      <c r="AG183" s="31">
        <f>[1]节奏总纲!AG183</f>
        <v>84.557504671530296</v>
      </c>
      <c r="AH183" s="31">
        <f>[1]节奏总纲!AH183</f>
        <v>94.027056817114342</v>
      </c>
      <c r="AJ183" s="34"/>
      <c r="AM183" s="31">
        <f>[1]节奏总纲!AM183</f>
        <v>0</v>
      </c>
      <c r="AN183" s="31">
        <f>[1]节奏总纲!AN183</f>
        <v>0</v>
      </c>
      <c r="AO183" s="31">
        <f>[1]节奏总纲!AO183</f>
        <v>0</v>
      </c>
      <c r="AP183" s="31">
        <f>[1]节奏总纲!AP183</f>
        <v>0</v>
      </c>
      <c r="AQ183" s="31">
        <f>[1]节奏总纲!AQ183</f>
        <v>0</v>
      </c>
      <c r="AR183" s="29"/>
      <c r="AT183" s="31">
        <f>[1]节奏总纲!AT183</f>
        <v>0</v>
      </c>
      <c r="AU183" s="31">
        <f>[1]节奏总纲!AU183</f>
        <v>0</v>
      </c>
      <c r="AV183" s="31">
        <f>[1]节奏总纲!AV183</f>
        <v>0</v>
      </c>
      <c r="AW183" s="31">
        <f>[1]节奏总纲!AW183</f>
        <v>0</v>
      </c>
      <c r="AX183" s="31">
        <f>[1]节奏总纲!AX183</f>
        <v>0</v>
      </c>
      <c r="AY183" s="29"/>
      <c r="AZ183" s="31">
        <v>180</v>
      </c>
      <c r="BA183" s="31">
        <f>[1]节奏总纲!BA183</f>
        <v>41.992566056290244</v>
      </c>
      <c r="BB183" s="31">
        <f>[1]节奏总纲!BB183</f>
        <v>43.479537810324807</v>
      </c>
      <c r="BC183" s="31">
        <f>[1]节奏总纲!BC183</f>
        <v>45.422904937058867</v>
      </c>
      <c r="BD183" s="31">
        <f>[1]节奏总纲!BD183</f>
        <v>48.173700750441178</v>
      </c>
      <c r="BE183" s="31">
        <f>[1]节奏总纲!BE183</f>
        <v>52.879120100861911</v>
      </c>
      <c r="BG183" s="34"/>
      <c r="BP183" s="34"/>
    </row>
    <row r="184" spans="29:68" s="31" customFormat="1" x14ac:dyDescent="0.15">
      <c r="AC184" s="31">
        <v>181</v>
      </c>
      <c r="AD184" s="31">
        <f>[1]节奏总纲!AD184</f>
        <v>75.075479910097457</v>
      </c>
      <c r="AE184" s="31">
        <f>[1]节奏总纲!AE184</f>
        <v>77.145192343015793</v>
      </c>
      <c r="AF184" s="31">
        <f>[1]节奏总纲!AF184</f>
        <v>80.053817475702374</v>
      </c>
      <c r="AG184" s="31">
        <f>[1]节奏总纲!AG184</f>
        <v>84.636892016713063</v>
      </c>
      <c r="AH184" s="31">
        <f>[1]节奏总纲!AH184</f>
        <v>94.102803318799971</v>
      </c>
      <c r="AJ184" s="34"/>
      <c r="AM184" s="31">
        <f>[1]节奏总纲!AM184</f>
        <v>0</v>
      </c>
      <c r="AN184" s="31">
        <f>[1]节奏总纲!AN184</f>
        <v>0</v>
      </c>
      <c r="AO184" s="31">
        <f>[1]节奏总纲!AO184</f>
        <v>0</v>
      </c>
      <c r="AP184" s="31">
        <f>[1]节奏总纲!AP184</f>
        <v>0</v>
      </c>
      <c r="AQ184" s="31">
        <f>[1]节奏总纲!AQ184</f>
        <v>0</v>
      </c>
      <c r="AR184" s="29"/>
      <c r="AT184" s="31">
        <f>[1]节奏总纲!AT184</f>
        <v>0</v>
      </c>
      <c r="AU184" s="31">
        <f>[1]节奏总纲!AU184</f>
        <v>0</v>
      </c>
      <c r="AV184" s="31">
        <f>[1]节奏总纲!AV184</f>
        <v>0</v>
      </c>
      <c r="AW184" s="31">
        <f>[1]节奏总纲!AW184</f>
        <v>0</v>
      </c>
      <c r="AX184" s="31">
        <f>[1]节奏总纲!AX184</f>
        <v>0</v>
      </c>
      <c r="AY184" s="29"/>
      <c r="AZ184" s="31">
        <v>181</v>
      </c>
      <c r="BA184" s="31">
        <f>[1]节奏总纲!BA184</f>
        <v>42.028297717729309</v>
      </c>
      <c r="BB184" s="31">
        <f>[1]节奏总纲!BB184</f>
        <v>43.516984518759458</v>
      </c>
      <c r="BC184" s="31">
        <f>[1]节奏总纲!BC184</f>
        <v>45.460099742429037</v>
      </c>
      <c r="BD184" s="31">
        <f>[1]节奏总纲!BD184</f>
        <v>48.209593750260417</v>
      </c>
      <c r="BE184" s="31">
        <f>[1]节奏总纲!BE184</f>
        <v>52.919026782454004</v>
      </c>
      <c r="BG184" s="34"/>
      <c r="BP184" s="34"/>
    </row>
    <row r="185" spans="29:68" s="31" customFormat="1" x14ac:dyDescent="0.15">
      <c r="AC185" s="31">
        <v>182</v>
      </c>
      <c r="AD185" s="31">
        <f>[1]节奏总纲!AD185</f>
        <v>75.152448075388719</v>
      </c>
      <c r="AE185" s="31">
        <f>[1]节奏总纲!AE185</f>
        <v>77.222600706752132</v>
      </c>
      <c r="AF185" s="31">
        <f>[1]节奏总纲!AF185</f>
        <v>80.134867890916794</v>
      </c>
      <c r="AG185" s="31">
        <f>[1]节奏总纲!AG185</f>
        <v>84.716279361895843</v>
      </c>
      <c r="AH185" s="31">
        <f>[1]节奏总纲!AH185</f>
        <v>94.1785498204856</v>
      </c>
      <c r="AJ185" s="34"/>
      <c r="AM185" s="31">
        <f>[1]节奏总纲!AM185</f>
        <v>0</v>
      </c>
      <c r="AN185" s="31">
        <f>[1]节奏总纲!AN185</f>
        <v>0</v>
      </c>
      <c r="AO185" s="31">
        <f>[1]节奏总纲!AO185</f>
        <v>0</v>
      </c>
      <c r="AP185" s="31">
        <f>[1]节奏总纲!AP185</f>
        <v>0</v>
      </c>
      <c r="AQ185" s="31">
        <f>[1]节奏总纲!AQ185</f>
        <v>0</v>
      </c>
      <c r="AR185" s="29"/>
      <c r="AT185" s="31">
        <f>[1]节奏总纲!AT185</f>
        <v>0</v>
      </c>
      <c r="AU185" s="31">
        <f>[1]节奏总纲!AU185</f>
        <v>0</v>
      </c>
      <c r="AV185" s="31">
        <f>[1]节奏总纲!AV185</f>
        <v>0</v>
      </c>
      <c r="AW185" s="31">
        <f>[1]节奏总纲!AW185</f>
        <v>0</v>
      </c>
      <c r="AX185" s="31">
        <f>[1]节奏总纲!AX185</f>
        <v>0</v>
      </c>
      <c r="AY185" s="29"/>
      <c r="AZ185" s="31">
        <v>182</v>
      </c>
      <c r="BA185" s="31">
        <f>[1]节奏总纲!BA185</f>
        <v>42.063010472656373</v>
      </c>
      <c r="BB185" s="31">
        <f>[1]节奏总纲!BB185</f>
        <v>43.554431227194108</v>
      </c>
      <c r="BC185" s="31">
        <f>[1]节奏总纲!BC185</f>
        <v>45.497294547799214</v>
      </c>
      <c r="BD185" s="31">
        <f>[1]节奏总纲!BD185</f>
        <v>48.24548675007965</v>
      </c>
      <c r="BE185" s="31">
        <f>[1]节奏总纲!BE185</f>
        <v>52.958933464046098</v>
      </c>
      <c r="BG185" s="34"/>
      <c r="BP185" s="34"/>
    </row>
    <row r="186" spans="29:68" s="31" customFormat="1" x14ac:dyDescent="0.15">
      <c r="AC186" s="31">
        <v>183</v>
      </c>
      <c r="AD186" s="31">
        <f>[1]节奏总纲!AD186</f>
        <v>75.229416240679981</v>
      </c>
      <c r="AE186" s="31">
        <f>[1]节奏总纲!AE186</f>
        <v>77.300009070488485</v>
      </c>
      <c r="AF186" s="31">
        <f>[1]节奏总纲!AF186</f>
        <v>80.215918306131215</v>
      </c>
      <c r="AG186" s="31">
        <f>[1]节奏总纲!AG186</f>
        <v>84.795666707078624</v>
      </c>
      <c r="AH186" s="31">
        <f>[1]节奏总纲!AH186</f>
        <v>94.254296322171228</v>
      </c>
      <c r="AJ186" s="34"/>
      <c r="AM186" s="31">
        <f>[1]节奏总纲!AM186</f>
        <v>0</v>
      </c>
      <c r="AN186" s="31">
        <f>[1]节奏总纲!AN186</f>
        <v>0</v>
      </c>
      <c r="AO186" s="31">
        <f>[1]节奏总纲!AO186</f>
        <v>0</v>
      </c>
      <c r="AP186" s="31">
        <f>[1]节奏总纲!AP186</f>
        <v>0</v>
      </c>
      <c r="AQ186" s="31">
        <f>[1]节奏总纲!AQ186</f>
        <v>0</v>
      </c>
      <c r="AR186" s="29"/>
      <c r="AT186" s="31">
        <f>[1]节奏总纲!AT186</f>
        <v>0</v>
      </c>
      <c r="AU186" s="31">
        <f>[1]节奏总纲!AU186</f>
        <v>0</v>
      </c>
      <c r="AV186" s="31">
        <f>[1]节奏总纲!AV186</f>
        <v>0</v>
      </c>
      <c r="AW186" s="31">
        <f>[1]节奏总纲!AW186</f>
        <v>0</v>
      </c>
      <c r="AX186" s="31">
        <f>[1]节奏总纲!AX186</f>
        <v>0</v>
      </c>
      <c r="AY186" s="29"/>
      <c r="AZ186" s="31">
        <v>183</v>
      </c>
      <c r="BA186" s="31">
        <f>[1]节奏总纲!BA186</f>
        <v>42.097723227583437</v>
      </c>
      <c r="BB186" s="31">
        <f>[1]节奏总纲!BB186</f>
        <v>43.591877935628752</v>
      </c>
      <c r="BC186" s="31">
        <f>[1]节奏总纲!BC186</f>
        <v>45.534489353169384</v>
      </c>
      <c r="BD186" s="31">
        <f>[1]节奏总纲!BD186</f>
        <v>48.281379749898889</v>
      </c>
      <c r="BE186" s="31">
        <f>[1]节奏总纲!BE186</f>
        <v>52.998840145638198</v>
      </c>
      <c r="BG186" s="34"/>
      <c r="BP186" s="34"/>
    </row>
    <row r="187" spans="29:68" s="31" customFormat="1" x14ac:dyDescent="0.15">
      <c r="AC187" s="31">
        <v>184</v>
      </c>
      <c r="AD187" s="31">
        <f>[1]节奏总纲!AD187</f>
        <v>75.306384405971258</v>
      </c>
      <c r="AE187" s="31">
        <f>[1]节奏总纲!AE187</f>
        <v>77.377417434224824</v>
      </c>
      <c r="AF187" s="31">
        <f>[1]节奏总纲!AF187</f>
        <v>80.296968721345635</v>
      </c>
      <c r="AG187" s="31">
        <f>[1]节奏总纲!AG187</f>
        <v>84.87505405226139</v>
      </c>
      <c r="AH187" s="31">
        <f>[1]节奏总纲!AH187</f>
        <v>94.330042823856857</v>
      </c>
      <c r="AJ187" s="34"/>
      <c r="AM187" s="31">
        <f>[1]节奏总纲!AM187</f>
        <v>0</v>
      </c>
      <c r="AN187" s="31">
        <f>[1]节奏总纲!AN187</f>
        <v>0</v>
      </c>
      <c r="AO187" s="31">
        <f>[1]节奏总纲!AO187</f>
        <v>0</v>
      </c>
      <c r="AP187" s="31">
        <f>[1]节奏总纲!AP187</f>
        <v>0</v>
      </c>
      <c r="AQ187" s="31">
        <f>[1]节奏总纲!AQ187</f>
        <v>0</v>
      </c>
      <c r="AR187" s="29"/>
      <c r="AT187" s="31">
        <f>[1]节奏总纲!AT187</f>
        <v>0</v>
      </c>
      <c r="AU187" s="31">
        <f>[1]节奏总纲!AU187</f>
        <v>0</v>
      </c>
      <c r="AV187" s="31">
        <f>[1]节奏总纲!AV187</f>
        <v>0</v>
      </c>
      <c r="AW187" s="31">
        <f>[1]节奏总纲!AW187</f>
        <v>0</v>
      </c>
      <c r="AX187" s="31">
        <f>[1]节奏总纲!AX187</f>
        <v>0</v>
      </c>
      <c r="AY187" s="29"/>
      <c r="AZ187" s="31">
        <v>184</v>
      </c>
      <c r="BA187" s="31">
        <f>[1]节奏总纲!BA187</f>
        <v>42.132435982510501</v>
      </c>
      <c r="BB187" s="31">
        <f>[1]节奏总纲!BB187</f>
        <v>43.629324644063402</v>
      </c>
      <c r="BC187" s="31">
        <f>[1]节奏总纲!BC187</f>
        <v>45.571684158539561</v>
      </c>
      <c r="BD187" s="31">
        <f>[1]节奏总纲!BD187</f>
        <v>48.317272749718121</v>
      </c>
      <c r="BE187" s="31">
        <f>[1]节奏总纲!BE187</f>
        <v>53.033462597729766</v>
      </c>
      <c r="BG187" s="34"/>
      <c r="BP187" s="34"/>
    </row>
    <row r="188" spans="29:68" s="31" customFormat="1" x14ac:dyDescent="0.15">
      <c r="AC188" s="31">
        <v>185</v>
      </c>
      <c r="AD188" s="31">
        <f>[1]节奏总纲!AD188</f>
        <v>75.38335257126252</v>
      </c>
      <c r="AE188" s="31">
        <f>[1]节奏总纲!AE188</f>
        <v>77.454825797961163</v>
      </c>
      <c r="AF188" s="31">
        <f>[1]节奏总纲!AF188</f>
        <v>80.378019136560056</v>
      </c>
      <c r="AG188" s="31">
        <f>[1]节奏总纲!AG188</f>
        <v>84.954441397444171</v>
      </c>
      <c r="AH188" s="31">
        <f>[1]节奏总纲!AH188</f>
        <v>94.405789325542486</v>
      </c>
      <c r="AJ188" s="34"/>
      <c r="AM188" s="31">
        <f>[1]节奏总纲!AM188</f>
        <v>0</v>
      </c>
      <c r="AN188" s="31">
        <f>[1]节奏总纲!AN188</f>
        <v>0</v>
      </c>
      <c r="AO188" s="31">
        <f>[1]节奏总纲!AO188</f>
        <v>0</v>
      </c>
      <c r="AP188" s="31">
        <f>[1]节奏总纲!AP188</f>
        <v>0</v>
      </c>
      <c r="AQ188" s="31">
        <f>[1]节奏总纲!AQ188</f>
        <v>0</v>
      </c>
      <c r="AR188" s="29"/>
      <c r="AT188" s="31">
        <f>[1]节奏总纲!AT188</f>
        <v>0</v>
      </c>
      <c r="AU188" s="31">
        <f>[1]节奏总纲!AU188</f>
        <v>0</v>
      </c>
      <c r="AV188" s="31">
        <f>[1]节奏总纲!AV188</f>
        <v>0</v>
      </c>
      <c r="AW188" s="31">
        <f>[1]节奏总纲!AW188</f>
        <v>0</v>
      </c>
      <c r="AX188" s="31">
        <f>[1]节奏总纲!AX188</f>
        <v>0</v>
      </c>
      <c r="AY188" s="29"/>
      <c r="AZ188" s="31">
        <v>185</v>
      </c>
      <c r="BA188" s="31">
        <f>[1]节奏总纲!BA188</f>
        <v>42.167148737437564</v>
      </c>
      <c r="BB188" s="31">
        <f>[1]节奏总纲!BB188</f>
        <v>43.666771352498046</v>
      </c>
      <c r="BC188" s="31">
        <f>[1]节奏总纲!BC188</f>
        <v>45.608878963909731</v>
      </c>
      <c r="BD188" s="31">
        <f>[1]节奏总纲!BD188</f>
        <v>48.353165749537354</v>
      </c>
      <c r="BE188" s="31">
        <f>[1]节奏总纲!BE188</f>
        <v>53.067926870763252</v>
      </c>
      <c r="BG188" s="34"/>
      <c r="BP188" s="34"/>
    </row>
    <row r="189" spans="29:68" s="31" customFormat="1" x14ac:dyDescent="0.15">
      <c r="AC189" s="31">
        <v>186</v>
      </c>
      <c r="AD189" s="31">
        <f>[1]节奏总纲!AD189</f>
        <v>75.460320736553783</v>
      </c>
      <c r="AE189" s="31">
        <f>[1]节奏总纲!AE189</f>
        <v>77.532234161697517</v>
      </c>
      <c r="AF189" s="31">
        <f>[1]节奏总纲!AF189</f>
        <v>80.459069551774476</v>
      </c>
      <c r="AG189" s="31">
        <f>[1]节奏总纲!AG189</f>
        <v>85.030832425973387</v>
      </c>
      <c r="AH189" s="31">
        <f>[1]节奏总纲!AH189</f>
        <v>94.4815358272281</v>
      </c>
      <c r="AJ189" s="34"/>
      <c r="AM189" s="31">
        <f>[1]节奏总纲!AM189</f>
        <v>0</v>
      </c>
      <c r="AN189" s="31">
        <f>[1]节奏总纲!AN189</f>
        <v>0</v>
      </c>
      <c r="AO189" s="31">
        <f>[1]节奏总纲!AO189</f>
        <v>0</v>
      </c>
      <c r="AP189" s="31">
        <f>[1]节奏总纲!AP189</f>
        <v>0</v>
      </c>
      <c r="AQ189" s="31">
        <f>[1]节奏总纲!AQ189</f>
        <v>0</v>
      </c>
      <c r="AR189" s="29"/>
      <c r="AT189" s="31">
        <f>[1]节奏总纲!AT189</f>
        <v>0</v>
      </c>
      <c r="AU189" s="31">
        <f>[1]节奏总纲!AU189</f>
        <v>0</v>
      </c>
      <c r="AV189" s="31">
        <f>[1]节奏总纲!AV189</f>
        <v>0</v>
      </c>
      <c r="AW189" s="31">
        <f>[1]节奏总纲!AW189</f>
        <v>0</v>
      </c>
      <c r="AX189" s="31">
        <f>[1]节奏总纲!AX189</f>
        <v>0</v>
      </c>
      <c r="AY189" s="29"/>
      <c r="AZ189" s="31">
        <v>186</v>
      </c>
      <c r="BA189" s="31">
        <f>[1]节奏总纲!BA189</f>
        <v>42.201861492364635</v>
      </c>
      <c r="BB189" s="31">
        <f>[1]节奏总纲!BB189</f>
        <v>43.704218060932696</v>
      </c>
      <c r="BC189" s="31">
        <f>[1]节奏总纲!BC189</f>
        <v>45.646073769279901</v>
      </c>
      <c r="BD189" s="31">
        <f>[1]节奏总纲!BD189</f>
        <v>48.389058749356593</v>
      </c>
      <c r="BE189" s="31">
        <f>[1]节奏总纲!BE189</f>
        <v>53.102391143796744</v>
      </c>
      <c r="BG189" s="34"/>
      <c r="BP189" s="34"/>
    </row>
    <row r="190" spans="29:68" s="31" customFormat="1" x14ac:dyDescent="0.15">
      <c r="AC190" s="31">
        <v>187</v>
      </c>
      <c r="AD190" s="31">
        <f>[1]节奏总纲!AD190</f>
        <v>75.537288901845045</v>
      </c>
      <c r="AE190" s="31">
        <f>[1]节奏总纲!AE190</f>
        <v>77.609642525433856</v>
      </c>
      <c r="AF190" s="31">
        <f>[1]节奏总纲!AF190</f>
        <v>80.540119966988897</v>
      </c>
      <c r="AG190" s="31">
        <f>[1]节奏总纲!AG190</f>
        <v>85.103188187775231</v>
      </c>
      <c r="AH190" s="31">
        <f>[1]节奏总纲!AH190</f>
        <v>94.557282328913729</v>
      </c>
      <c r="AJ190" s="34"/>
      <c r="AM190" s="31">
        <f>[1]节奏总纲!AM190</f>
        <v>0</v>
      </c>
      <c r="AN190" s="31">
        <f>[1]节奏总纲!AN190</f>
        <v>0</v>
      </c>
      <c r="AO190" s="31">
        <f>[1]节奏总纲!AO190</f>
        <v>0</v>
      </c>
      <c r="AP190" s="31">
        <f>[1]节奏总纲!AP190</f>
        <v>0</v>
      </c>
      <c r="AQ190" s="31">
        <f>[1]节奏总纲!AQ190</f>
        <v>0</v>
      </c>
      <c r="AR190" s="29"/>
      <c r="AT190" s="31">
        <f>[1]节奏总纲!AT190</f>
        <v>0</v>
      </c>
      <c r="AU190" s="31">
        <f>[1]节奏总纲!AU190</f>
        <v>0</v>
      </c>
      <c r="AV190" s="31">
        <f>[1]节奏总纲!AV190</f>
        <v>0</v>
      </c>
      <c r="AW190" s="31">
        <f>[1]节奏总纲!AW190</f>
        <v>0</v>
      </c>
      <c r="AX190" s="31">
        <f>[1]节奏总纲!AX190</f>
        <v>0</v>
      </c>
      <c r="AY190" s="29"/>
      <c r="AZ190" s="31">
        <v>187</v>
      </c>
      <c r="BA190" s="31">
        <f>[1]节奏总纲!BA190</f>
        <v>42.236574247291699</v>
      </c>
      <c r="BB190" s="31">
        <f>[1]节奏总纲!BB190</f>
        <v>43.741664769367347</v>
      </c>
      <c r="BC190" s="31">
        <f>[1]节奏总纲!BC190</f>
        <v>45.683268574650079</v>
      </c>
      <c r="BD190" s="31">
        <f>[1]节奏总纲!BD190</f>
        <v>48.424951749175825</v>
      </c>
      <c r="BE190" s="31">
        <f>[1]节奏总纲!BE190</f>
        <v>53.13685541683023</v>
      </c>
      <c r="BG190" s="34"/>
      <c r="BP190" s="34"/>
    </row>
    <row r="191" spans="29:68" s="31" customFormat="1" x14ac:dyDescent="0.15">
      <c r="AC191" s="31">
        <v>188</v>
      </c>
      <c r="AD191" s="31">
        <f>[1]节奏总纲!AD191</f>
        <v>75.614257067136322</v>
      </c>
      <c r="AE191" s="31">
        <f>[1]节奏总纲!AE191</f>
        <v>77.687050889170209</v>
      </c>
      <c r="AF191" s="31">
        <f>[1]节奏总纲!AF191</f>
        <v>80.621170382203317</v>
      </c>
      <c r="AG191" s="31">
        <f>[1]节奏总纲!AG191</f>
        <v>85.175543949577076</v>
      </c>
      <c r="AH191" s="31">
        <f>[1]节奏总纲!AH191</f>
        <v>94.633028830599358</v>
      </c>
      <c r="AJ191" s="34"/>
      <c r="AM191" s="31">
        <f>[1]节奏总纲!AM191</f>
        <v>0</v>
      </c>
      <c r="AN191" s="31">
        <f>[1]节奏总纲!AN191</f>
        <v>0</v>
      </c>
      <c r="AO191" s="31">
        <f>[1]节奏总纲!AO191</f>
        <v>0</v>
      </c>
      <c r="AP191" s="31">
        <f>[1]节奏总纲!AP191</f>
        <v>0</v>
      </c>
      <c r="AQ191" s="31">
        <f>[1]节奏总纲!AQ191</f>
        <v>0</v>
      </c>
      <c r="AR191" s="29"/>
      <c r="AT191" s="31">
        <f>[1]节奏总纲!AT191</f>
        <v>0</v>
      </c>
      <c r="AU191" s="31">
        <f>[1]节奏总纲!AU191</f>
        <v>0</v>
      </c>
      <c r="AV191" s="31">
        <f>[1]节奏总纲!AV191</f>
        <v>0</v>
      </c>
      <c r="AW191" s="31">
        <f>[1]节奏总纲!AW191</f>
        <v>0</v>
      </c>
      <c r="AX191" s="31">
        <f>[1]节奏总纲!AX191</f>
        <v>0</v>
      </c>
      <c r="AY191" s="29"/>
      <c r="AZ191" s="31">
        <v>188</v>
      </c>
      <c r="BA191" s="31">
        <f>[1]节奏总纲!BA191</f>
        <v>42.271287002218763</v>
      </c>
      <c r="BB191" s="31">
        <f>[1]节奏总纲!BB191</f>
        <v>43.77911147780199</v>
      </c>
      <c r="BC191" s="31">
        <f>[1]节奏总纲!BC191</f>
        <v>45.720463380020249</v>
      </c>
      <c r="BD191" s="31">
        <f>[1]节奏总纲!BD191</f>
        <v>48.460844748995065</v>
      </c>
      <c r="BE191" s="31">
        <f>[1]节奏总纲!BE191</f>
        <v>53.171319689863722</v>
      </c>
      <c r="BG191" s="34"/>
      <c r="BP191" s="34"/>
    </row>
    <row r="192" spans="29:68" s="31" customFormat="1" x14ac:dyDescent="0.15">
      <c r="AC192" s="31">
        <v>189</v>
      </c>
      <c r="AD192" s="31">
        <f>[1]节奏总纲!AD192</f>
        <v>75.691225232427584</v>
      </c>
      <c r="AE192" s="31">
        <f>[1]节奏总纲!AE192</f>
        <v>77.764459252906548</v>
      </c>
      <c r="AF192" s="31">
        <f>[1]节奏总纲!AF192</f>
        <v>80.702220797417738</v>
      </c>
      <c r="AG192" s="31">
        <f>[1]节奏总纲!AG192</f>
        <v>85.247899711378935</v>
      </c>
      <c r="AH192" s="31">
        <f>[1]节奏总纲!AH192</f>
        <v>94.708775332284986</v>
      </c>
      <c r="AJ192" s="34"/>
      <c r="AM192" s="31">
        <f>[1]节奏总纲!AM192</f>
        <v>0</v>
      </c>
      <c r="AN192" s="31">
        <f>[1]节奏总纲!AN192</f>
        <v>0</v>
      </c>
      <c r="AO192" s="31">
        <f>[1]节奏总纲!AO192</f>
        <v>0</v>
      </c>
      <c r="AP192" s="31">
        <f>[1]节奏总纲!AP192</f>
        <v>0</v>
      </c>
      <c r="AQ192" s="31">
        <f>[1]节奏总纲!AQ192</f>
        <v>0</v>
      </c>
      <c r="AR192" s="29"/>
      <c r="AT192" s="31">
        <f>[1]节奏总纲!AT192</f>
        <v>0</v>
      </c>
      <c r="AU192" s="31">
        <f>[1]节奏总纲!AU192</f>
        <v>0</v>
      </c>
      <c r="AV192" s="31">
        <f>[1]节奏总纲!AV192</f>
        <v>0</v>
      </c>
      <c r="AW192" s="31">
        <f>[1]节奏总纲!AW192</f>
        <v>0</v>
      </c>
      <c r="AX192" s="31">
        <f>[1]节奏总纲!AX192</f>
        <v>0</v>
      </c>
      <c r="AY192" s="29"/>
      <c r="AZ192" s="31">
        <v>189</v>
      </c>
      <c r="BA192" s="31">
        <f>[1]节奏总纲!BA192</f>
        <v>42.305999757145827</v>
      </c>
      <c r="BB192" s="31">
        <f>[1]节奏总纲!BB192</f>
        <v>43.816558186236641</v>
      </c>
      <c r="BC192" s="31">
        <f>[1]节奏总纲!BC192</f>
        <v>45.757658185390426</v>
      </c>
      <c r="BD192" s="31">
        <f>[1]节奏总纲!BD192</f>
        <v>48.496737748814297</v>
      </c>
      <c r="BE192" s="31">
        <f>[1]节奏总纲!BE192</f>
        <v>53.205783962897208</v>
      </c>
      <c r="BG192" s="34"/>
      <c r="BP192" s="34"/>
    </row>
    <row r="193" spans="29:68" s="31" customFormat="1" x14ac:dyDescent="0.15">
      <c r="AC193" s="31">
        <v>190</v>
      </c>
      <c r="AD193" s="31">
        <f>[1]节奏总纲!AD193</f>
        <v>75.768193397718846</v>
      </c>
      <c r="AE193" s="31">
        <f>[1]节奏总纲!AE193</f>
        <v>77.841867616642901</v>
      </c>
      <c r="AF193" s="31">
        <f>[1]节奏总纲!AF193</f>
        <v>80.783271212632158</v>
      </c>
      <c r="AG193" s="31">
        <f>[1]节奏总纲!AG193</f>
        <v>85.320255473180779</v>
      </c>
      <c r="AH193" s="31">
        <f>[1]节奏总纲!AH193</f>
        <v>94.784521833970615</v>
      </c>
      <c r="AJ193" s="34"/>
      <c r="AM193" s="31">
        <f>[1]节奏总纲!AM193</f>
        <v>0</v>
      </c>
      <c r="AN193" s="31">
        <f>[1]节奏总纲!AN193</f>
        <v>0</v>
      </c>
      <c r="AO193" s="31">
        <f>[1]节奏总纲!AO193</f>
        <v>0</v>
      </c>
      <c r="AP193" s="31">
        <f>[1]节奏总纲!AP193</f>
        <v>0</v>
      </c>
      <c r="AQ193" s="31">
        <f>[1]节奏总纲!AQ193</f>
        <v>0</v>
      </c>
      <c r="AR193" s="29"/>
      <c r="AT193" s="31">
        <f>[1]节奏总纲!AT193</f>
        <v>0</v>
      </c>
      <c r="AU193" s="31">
        <f>[1]节奏总纲!AU193</f>
        <v>0</v>
      </c>
      <c r="AV193" s="31">
        <f>[1]节奏总纲!AV193</f>
        <v>0</v>
      </c>
      <c r="AW193" s="31">
        <f>[1]节奏总纲!AW193</f>
        <v>0</v>
      </c>
      <c r="AX193" s="31">
        <f>[1]节奏总纲!AX193</f>
        <v>0</v>
      </c>
      <c r="AY193" s="29"/>
      <c r="AZ193" s="31">
        <v>190</v>
      </c>
      <c r="BA193" s="31">
        <f>[1]节奏总纲!BA193</f>
        <v>42.340712512072891</v>
      </c>
      <c r="BB193" s="31">
        <f>[1]节奏总纲!BB193</f>
        <v>43.854004894671284</v>
      </c>
      <c r="BC193" s="31">
        <f>[1]节奏总纲!BC193</f>
        <v>45.794852990760596</v>
      </c>
      <c r="BD193" s="31">
        <f>[1]节奏总纲!BD193</f>
        <v>48.532630748633537</v>
      </c>
      <c r="BE193" s="31">
        <f>[1]节奏总纲!BE193</f>
        <v>53.240248235930693</v>
      </c>
      <c r="BG193" s="34"/>
      <c r="BP193" s="34"/>
    </row>
    <row r="194" spans="29:68" s="31" customFormat="1" x14ac:dyDescent="0.15">
      <c r="AC194" s="31">
        <v>191</v>
      </c>
      <c r="AD194" s="31">
        <f>[1]节奏总纲!AD194</f>
        <v>75.845161563010109</v>
      </c>
      <c r="AE194" s="31">
        <f>[1]节奏总纲!AE194</f>
        <v>77.91927598037924</v>
      </c>
      <c r="AF194" s="31">
        <f>[1]节奏总纲!AF194</f>
        <v>80.864321627846579</v>
      </c>
      <c r="AG194" s="31">
        <f>[1]节奏总纲!AG194</f>
        <v>85.392611234982624</v>
      </c>
      <c r="AH194" s="31">
        <f>[1]节奏总纲!AH194</f>
        <v>94.860268335656244</v>
      </c>
      <c r="AJ194" s="34"/>
      <c r="AM194" s="31">
        <f>[1]节奏总纲!AM194</f>
        <v>0</v>
      </c>
      <c r="AN194" s="31">
        <f>[1]节奏总纲!AN194</f>
        <v>0</v>
      </c>
      <c r="AO194" s="31">
        <f>[1]节奏总纲!AO194</f>
        <v>0</v>
      </c>
      <c r="AP194" s="31">
        <f>[1]节奏总纲!AP194</f>
        <v>0</v>
      </c>
      <c r="AQ194" s="31">
        <f>[1]节奏总纲!AQ194</f>
        <v>0</v>
      </c>
      <c r="AR194" s="29"/>
      <c r="AT194" s="31">
        <f>[1]节奏总纲!AT194</f>
        <v>0</v>
      </c>
      <c r="AU194" s="31">
        <f>[1]节奏总纲!AU194</f>
        <v>0</v>
      </c>
      <c r="AV194" s="31">
        <f>[1]节奏总纲!AV194</f>
        <v>0</v>
      </c>
      <c r="AW194" s="31">
        <f>[1]节奏总纲!AW194</f>
        <v>0</v>
      </c>
      <c r="AX194" s="31">
        <f>[1]节奏总纲!AX194</f>
        <v>0</v>
      </c>
      <c r="AY194" s="29"/>
      <c r="AZ194" s="31">
        <v>191</v>
      </c>
      <c r="BA194" s="31">
        <f>[1]节奏总纲!BA194</f>
        <v>42.375425266999954</v>
      </c>
      <c r="BB194" s="31">
        <f>[1]节奏总纲!BB194</f>
        <v>43.891451603105935</v>
      </c>
      <c r="BC194" s="31">
        <f>[1]节奏总纲!BC194</f>
        <v>45.832047796130773</v>
      </c>
      <c r="BD194" s="31">
        <f>[1]节奏总纲!BD194</f>
        <v>48.568523748452769</v>
      </c>
      <c r="BE194" s="31">
        <f>[1]节奏总纲!BE194</f>
        <v>53.274712508964186</v>
      </c>
      <c r="BG194" s="34"/>
      <c r="BP194" s="34"/>
    </row>
    <row r="195" spans="29:68" s="31" customFormat="1" x14ac:dyDescent="0.15">
      <c r="AC195" s="31">
        <v>192</v>
      </c>
      <c r="AD195" s="31">
        <f>[1]节奏总纲!AD195</f>
        <v>75.922129728301385</v>
      </c>
      <c r="AE195" s="31">
        <f>[1]节奏总纲!AE195</f>
        <v>77.996684344115593</v>
      </c>
      <c r="AF195" s="31">
        <f>[1]节奏总纲!AF195</f>
        <v>80.945372043060999</v>
      </c>
      <c r="AG195" s="31">
        <f>[1]节奏总纲!AG195</f>
        <v>85.464966996784469</v>
      </c>
      <c r="AH195" s="31">
        <f>[1]节奏总纲!AH195</f>
        <v>94.936014837341872</v>
      </c>
      <c r="AJ195" s="34"/>
      <c r="AM195" s="31">
        <f>[1]节奏总纲!AM195</f>
        <v>0</v>
      </c>
      <c r="AN195" s="31">
        <f>[1]节奏总纲!AN195</f>
        <v>0</v>
      </c>
      <c r="AO195" s="31">
        <f>[1]节奏总纲!AO195</f>
        <v>0</v>
      </c>
      <c r="AP195" s="31">
        <f>[1]节奏总纲!AP195</f>
        <v>0</v>
      </c>
      <c r="AQ195" s="31">
        <f>[1]节奏总纲!AQ195</f>
        <v>0</v>
      </c>
      <c r="AR195" s="29"/>
      <c r="AT195" s="31">
        <f>[1]节奏总纲!AT195</f>
        <v>0</v>
      </c>
      <c r="AU195" s="31">
        <f>[1]节奏总纲!AU195</f>
        <v>0</v>
      </c>
      <c r="AV195" s="31">
        <f>[1]节奏总纲!AV195</f>
        <v>0</v>
      </c>
      <c r="AW195" s="31">
        <f>[1]节奏总纲!AW195</f>
        <v>0</v>
      </c>
      <c r="AX195" s="31">
        <f>[1]节奏总纲!AX195</f>
        <v>0</v>
      </c>
      <c r="AY195" s="29"/>
      <c r="AZ195" s="31">
        <v>192</v>
      </c>
      <c r="BA195" s="31">
        <f>[1]节奏总纲!BA195</f>
        <v>42.410138021927018</v>
      </c>
      <c r="BB195" s="31">
        <f>[1]节奏总纲!BB195</f>
        <v>43.928898311540578</v>
      </c>
      <c r="BC195" s="31">
        <f>[1]节奏总纲!BC195</f>
        <v>45.869242601500943</v>
      </c>
      <c r="BD195" s="31">
        <f>[1]节奏总纲!BD195</f>
        <v>48.604416748272008</v>
      </c>
      <c r="BE195" s="31">
        <f>[1]节奏总纲!BE195</f>
        <v>53.309176781997671</v>
      </c>
      <c r="BG195" s="34"/>
      <c r="BP195" s="34"/>
    </row>
    <row r="196" spans="29:68" s="31" customFormat="1" x14ac:dyDescent="0.15">
      <c r="AC196" s="31">
        <v>193</v>
      </c>
      <c r="AD196" s="31">
        <f>[1]节奏总纲!AD196</f>
        <v>75.999097893592648</v>
      </c>
      <c r="AE196" s="31">
        <f>[1]节奏总纲!AE196</f>
        <v>78.068193736526268</v>
      </c>
      <c r="AF196" s="31">
        <f>[1]节奏总纲!AF196</f>
        <v>81.02378934476593</v>
      </c>
      <c r="AG196" s="31">
        <f>[1]节奏总纲!AG196</f>
        <v>85.537322758586328</v>
      </c>
      <c r="AH196" s="31">
        <f>[1]节奏总纲!AH196</f>
        <v>95.011078787937279</v>
      </c>
      <c r="AJ196" s="34"/>
      <c r="AM196" s="31">
        <f>[1]节奏总纲!AM196</f>
        <v>0</v>
      </c>
      <c r="AN196" s="31">
        <f>[1]节奏总纲!AN196</f>
        <v>0</v>
      </c>
      <c r="AO196" s="31">
        <f>[1]节奏总纲!AO196</f>
        <v>0</v>
      </c>
      <c r="AP196" s="31">
        <f>[1]节奏总纲!AP196</f>
        <v>0</v>
      </c>
      <c r="AQ196" s="31">
        <f>[1]节奏总纲!AQ196</f>
        <v>0</v>
      </c>
      <c r="AR196" s="29"/>
      <c r="AT196" s="31">
        <f>[1]节奏总纲!AT196</f>
        <v>0</v>
      </c>
      <c r="AU196" s="31">
        <f>[1]节奏总纲!AU196</f>
        <v>0</v>
      </c>
      <c r="AV196" s="31">
        <f>[1]节奏总纲!AV196</f>
        <v>0</v>
      </c>
      <c r="AW196" s="31">
        <f>[1]节奏总纲!AW196</f>
        <v>0</v>
      </c>
      <c r="AX196" s="31">
        <f>[1]节奏总纲!AX196</f>
        <v>0</v>
      </c>
      <c r="AY196" s="29"/>
      <c r="AZ196" s="31">
        <v>193</v>
      </c>
      <c r="BA196" s="31">
        <f>[1]节奏总纲!BA196</f>
        <v>42.444850776854082</v>
      </c>
      <c r="BB196" s="31">
        <f>[1]节奏总纲!BB196</f>
        <v>43.966345019975229</v>
      </c>
      <c r="BC196" s="31">
        <f>[1]节奏总纲!BC196</f>
        <v>45.906437406871113</v>
      </c>
      <c r="BD196" s="31">
        <f>[1]节奏总纲!BD196</f>
        <v>48.640309748091241</v>
      </c>
      <c r="BE196" s="31">
        <f>[1]节奏总纲!BE196</f>
        <v>53.343641055031163</v>
      </c>
      <c r="BG196" s="34"/>
      <c r="BP196" s="34"/>
    </row>
    <row r="197" spans="29:68" s="31" customFormat="1" x14ac:dyDescent="0.15">
      <c r="AC197" s="31">
        <v>194</v>
      </c>
      <c r="AD197" s="31">
        <f>[1]节奏总纲!AD197</f>
        <v>76.070972142474872</v>
      </c>
      <c r="AE197" s="31">
        <f>[1]节奏总纲!AE197</f>
        <v>78.139439149396253</v>
      </c>
      <c r="AF197" s="31">
        <f>[1]节奏总纲!AF197</f>
        <v>81.096762731680187</v>
      </c>
      <c r="AG197" s="31">
        <f>[1]节奏总纲!AG197</f>
        <v>85.609678520388172</v>
      </c>
      <c r="AH197" s="31">
        <f>[1]节奏总纲!AH197</f>
        <v>95.082429458741387</v>
      </c>
      <c r="AJ197" s="34"/>
      <c r="AM197" s="31">
        <f>[1]节奏总纲!AM197</f>
        <v>0</v>
      </c>
      <c r="AN197" s="31">
        <f>[1]节奏总纲!AN197</f>
        <v>0</v>
      </c>
      <c r="AO197" s="31">
        <f>[1]节奏总纲!AO197</f>
        <v>0</v>
      </c>
      <c r="AP197" s="31">
        <f>[1]节奏总纲!AP197</f>
        <v>0</v>
      </c>
      <c r="AQ197" s="31">
        <f>[1]节奏总纲!AQ197</f>
        <v>0</v>
      </c>
      <c r="AR197" s="29"/>
      <c r="AT197" s="31">
        <f>[1]节奏总纲!AT197</f>
        <v>0</v>
      </c>
      <c r="AU197" s="31">
        <f>[1]节奏总纲!AU197</f>
        <v>0</v>
      </c>
      <c r="AV197" s="31">
        <f>[1]节奏总纲!AV197</f>
        <v>0</v>
      </c>
      <c r="AW197" s="31">
        <f>[1]节奏总纲!AW197</f>
        <v>0</v>
      </c>
      <c r="AX197" s="31">
        <f>[1]节奏总纲!AX197</f>
        <v>0</v>
      </c>
      <c r="AY197" s="29"/>
      <c r="AZ197" s="31">
        <v>194</v>
      </c>
      <c r="BA197" s="31">
        <f>[1]节奏总纲!BA197</f>
        <v>42.479563531781146</v>
      </c>
      <c r="BB197" s="31">
        <f>[1]节奏总纲!BB197</f>
        <v>44.003272544984547</v>
      </c>
      <c r="BC197" s="31">
        <f>[1]节奏总纲!BC197</f>
        <v>45.94363221224129</v>
      </c>
      <c r="BD197" s="31">
        <f>[1]节奏总纲!BD197</f>
        <v>48.67620274791048</v>
      </c>
      <c r="BE197" s="31">
        <f>[1]节奏总纲!BE197</f>
        <v>53.378105328064649</v>
      </c>
      <c r="BG197" s="34"/>
      <c r="BP197" s="34"/>
    </row>
    <row r="198" spans="29:68" s="31" customFormat="1" x14ac:dyDescent="0.15">
      <c r="AC198" s="31">
        <v>195</v>
      </c>
      <c r="AD198" s="31">
        <f>[1]节奏总纲!AD198</f>
        <v>76.142785979989682</v>
      </c>
      <c r="AE198" s="31">
        <f>[1]节奏总纲!AE198</f>
        <v>78.210684562266223</v>
      </c>
      <c r="AF198" s="31">
        <f>[1]节奏总纲!AF198</f>
        <v>81.169736118594443</v>
      </c>
      <c r="AG198" s="31">
        <f>[1]节奏总纲!AG198</f>
        <v>85.682034282190017</v>
      </c>
      <c r="AH198" s="31">
        <f>[1]节奏总纲!AH198</f>
        <v>95.153780129545481</v>
      </c>
      <c r="AJ198" s="34"/>
      <c r="AM198" s="31">
        <f>[1]节奏总纲!AM198</f>
        <v>0</v>
      </c>
      <c r="AN198" s="31">
        <f>[1]节奏总纲!AN198</f>
        <v>0</v>
      </c>
      <c r="AO198" s="31">
        <f>[1]节奏总纲!AO198</f>
        <v>0</v>
      </c>
      <c r="AP198" s="31">
        <f>[1]节奏总纲!AP198</f>
        <v>0</v>
      </c>
      <c r="AQ198" s="31">
        <f>[1]节奏总纲!AQ198</f>
        <v>0</v>
      </c>
      <c r="AR198" s="29"/>
      <c r="AT198" s="31">
        <f>[1]节奏总纲!AT198</f>
        <v>0</v>
      </c>
      <c r="AU198" s="31">
        <f>[1]节奏总纲!AU198</f>
        <v>0</v>
      </c>
      <c r="AV198" s="31">
        <f>[1]节奏总纲!AV198</f>
        <v>0</v>
      </c>
      <c r="AW198" s="31">
        <f>[1]节奏总纲!AW198</f>
        <v>0</v>
      </c>
      <c r="AX198" s="31">
        <f>[1]节奏总纲!AX198</f>
        <v>0</v>
      </c>
      <c r="AY198" s="29"/>
      <c r="AZ198" s="31">
        <v>195</v>
      </c>
      <c r="BA198" s="31">
        <f>[1]节奏总纲!BA198</f>
        <v>42.51427628670821</v>
      </c>
      <c r="BB198" s="31">
        <f>[1]节奏总纲!BB198</f>
        <v>44.035591852864428</v>
      </c>
      <c r="BC198" s="31">
        <f>[1]节奏总纲!BC198</f>
        <v>45.98082701761146</v>
      </c>
      <c r="BD198" s="31">
        <f>[1]节奏总纲!BD198</f>
        <v>48.712095747729713</v>
      </c>
      <c r="BE198" s="31">
        <f>[1]节奏总纲!BE198</f>
        <v>53.412569601098134</v>
      </c>
      <c r="BG198" s="34"/>
      <c r="BP198" s="34"/>
    </row>
    <row r="199" spans="29:68" s="31" customFormat="1" x14ac:dyDescent="0.15">
      <c r="AC199" s="31">
        <v>196</v>
      </c>
      <c r="AD199" s="31">
        <f>[1]节奏总纲!AD199</f>
        <v>76.214599817504492</v>
      </c>
      <c r="AE199" s="31">
        <f>[1]节奏总纲!AE199</f>
        <v>78.281929975136208</v>
      </c>
      <c r="AF199" s="31">
        <f>[1]节奏总纲!AF199</f>
        <v>81.242709505508685</v>
      </c>
      <c r="AG199" s="31">
        <f>[1]节奏总纲!AG199</f>
        <v>85.754390043991862</v>
      </c>
      <c r="AH199" s="31">
        <f>[1]节奏总纲!AH199</f>
        <v>95.225130800349589</v>
      </c>
      <c r="AJ199" s="34"/>
      <c r="AM199" s="31">
        <f>[1]节奏总纲!AM199</f>
        <v>0</v>
      </c>
      <c r="AN199" s="31">
        <f>[1]节奏总纲!AN199</f>
        <v>0</v>
      </c>
      <c r="AO199" s="31">
        <f>[1]节奏总纲!AO199</f>
        <v>0</v>
      </c>
      <c r="AP199" s="31">
        <f>[1]节奏总纲!AP199</f>
        <v>0</v>
      </c>
      <c r="AQ199" s="31">
        <f>[1]节奏总纲!AQ199</f>
        <v>0</v>
      </c>
      <c r="AR199" s="29"/>
      <c r="AT199" s="31">
        <f>[1]节奏总纲!AT199</f>
        <v>0</v>
      </c>
      <c r="AU199" s="31">
        <f>[1]节奏总纲!AU199</f>
        <v>0</v>
      </c>
      <c r="AV199" s="31">
        <f>[1]节奏总纲!AV199</f>
        <v>0</v>
      </c>
      <c r="AW199" s="31">
        <f>[1]节奏总纲!AW199</f>
        <v>0</v>
      </c>
      <c r="AX199" s="31">
        <f>[1]节奏总纲!AX199</f>
        <v>0</v>
      </c>
      <c r="AY199" s="29"/>
      <c r="AZ199" s="31">
        <v>196</v>
      </c>
      <c r="BA199" s="31">
        <f>[1]节奏总纲!BA199</f>
        <v>42.548989041635274</v>
      </c>
      <c r="BB199" s="31">
        <f>[1]节奏总纲!BB199</f>
        <v>44.067911160744309</v>
      </c>
      <c r="BC199" s="31">
        <f>[1]节奏总纲!BC199</f>
        <v>46.01555652579863</v>
      </c>
      <c r="BD199" s="31">
        <f>[1]节奏总纲!BD199</f>
        <v>48.747988747548945</v>
      </c>
      <c r="BE199" s="31">
        <f>[1]节奏总纲!BE199</f>
        <v>53.447033874131627</v>
      </c>
      <c r="BG199" s="34"/>
      <c r="BP199" s="34"/>
    </row>
    <row r="200" spans="29:68" s="31" customFormat="1" x14ac:dyDescent="0.15">
      <c r="AC200" s="31">
        <v>197</v>
      </c>
      <c r="AD200" s="31">
        <f>[1]节奏总纲!AD200</f>
        <v>76.286413655019302</v>
      </c>
      <c r="AE200" s="31">
        <f>[1]节奏总纲!AE200</f>
        <v>78.353175388006179</v>
      </c>
      <c r="AF200" s="31">
        <f>[1]节奏总纲!AF200</f>
        <v>81.315682892422942</v>
      </c>
      <c r="AG200" s="31">
        <f>[1]节奏总纲!AG200</f>
        <v>85.82674580579372</v>
      </c>
      <c r="AH200" s="31">
        <f>[1]节奏总纲!AH200</f>
        <v>95.296481471153683</v>
      </c>
      <c r="AJ200" s="34"/>
      <c r="AM200" s="31">
        <f>[1]节奏总纲!AM200</f>
        <v>0</v>
      </c>
      <c r="AN200" s="31">
        <f>[1]节奏总纲!AN200</f>
        <v>0</v>
      </c>
      <c r="AO200" s="31">
        <f>[1]节奏总纲!AO200</f>
        <v>0</v>
      </c>
      <c r="AP200" s="31">
        <f>[1]节奏总纲!AP200</f>
        <v>0</v>
      </c>
      <c r="AQ200" s="31">
        <f>[1]节奏总纲!AQ200</f>
        <v>0</v>
      </c>
      <c r="AR200" s="29"/>
      <c r="AT200" s="31">
        <f>[1]节奏总纲!AT200</f>
        <v>0</v>
      </c>
      <c r="AU200" s="31">
        <f>[1]节奏总纲!AU200</f>
        <v>0</v>
      </c>
      <c r="AV200" s="31">
        <f>[1]节奏总纲!AV200</f>
        <v>0</v>
      </c>
      <c r="AW200" s="31">
        <f>[1]节奏总纲!AW200</f>
        <v>0</v>
      </c>
      <c r="AX200" s="31">
        <f>[1]节奏总纲!AX200</f>
        <v>0</v>
      </c>
      <c r="AY200" s="29"/>
      <c r="AZ200" s="31">
        <v>197</v>
      </c>
      <c r="BA200" s="31">
        <f>[1]节奏总纲!BA200</f>
        <v>42.583701796562345</v>
      </c>
      <c r="BB200" s="31">
        <f>[1]节奏总纲!BB200</f>
        <v>44.100230468624183</v>
      </c>
      <c r="BC200" s="31">
        <f>[1]节奏总纲!BC200</f>
        <v>46.047663263829847</v>
      </c>
      <c r="BD200" s="31">
        <f>[1]节奏总纲!BD200</f>
        <v>48.783881747368184</v>
      </c>
      <c r="BE200" s="31">
        <f>[1]节奏总纲!BE200</f>
        <v>53.481498147165112</v>
      </c>
      <c r="BG200" s="34"/>
      <c r="BP200" s="34"/>
    </row>
    <row r="201" spans="29:68" s="31" customFormat="1" x14ac:dyDescent="0.15">
      <c r="AC201" s="31">
        <v>198</v>
      </c>
      <c r="AD201" s="31">
        <f>[1]节奏总纲!AD201</f>
        <v>76.358227492534112</v>
      </c>
      <c r="AE201" s="31">
        <f>[1]节奏总纲!AE201</f>
        <v>78.424420800876163</v>
      </c>
      <c r="AF201" s="31">
        <f>[1]节奏总纲!AF201</f>
        <v>81.388656279337198</v>
      </c>
      <c r="AG201" s="31">
        <f>[1]节奏总纲!AG201</f>
        <v>85.899101567595565</v>
      </c>
      <c r="AH201" s="31">
        <f>[1]节奏总纲!AH201</f>
        <v>95.367832141957777</v>
      </c>
      <c r="AJ201" s="34"/>
      <c r="AM201" s="31">
        <f>[1]节奏总纲!AM201</f>
        <v>0</v>
      </c>
      <c r="AN201" s="31">
        <f>[1]节奏总纲!AN201</f>
        <v>0</v>
      </c>
      <c r="AO201" s="31">
        <f>[1]节奏总纲!AO201</f>
        <v>0</v>
      </c>
      <c r="AP201" s="31">
        <f>[1]节奏总纲!AP201</f>
        <v>0</v>
      </c>
      <c r="AQ201" s="31">
        <f>[1]节奏总纲!AQ201</f>
        <v>0</v>
      </c>
      <c r="AR201" s="29"/>
      <c r="AT201" s="31">
        <f>[1]节奏总纲!AT201</f>
        <v>0</v>
      </c>
      <c r="AU201" s="31">
        <f>[1]节奏总纲!AU201</f>
        <v>0</v>
      </c>
      <c r="AV201" s="31">
        <f>[1]节奏总纲!AV201</f>
        <v>0</v>
      </c>
      <c r="AW201" s="31">
        <f>[1]节奏总纲!AW201</f>
        <v>0</v>
      </c>
      <c r="AX201" s="31">
        <f>[1]节奏总纲!AX201</f>
        <v>0</v>
      </c>
      <c r="AY201" s="29"/>
      <c r="AZ201" s="31">
        <v>198</v>
      </c>
      <c r="BA201" s="31">
        <f>[1]节奏总纲!BA201</f>
        <v>42.618414551489408</v>
      </c>
      <c r="BB201" s="31">
        <f>[1]节奏总纲!BB201</f>
        <v>44.132549776504064</v>
      </c>
      <c r="BC201" s="31">
        <f>[1]节奏总纲!BC201</f>
        <v>46.079770001861057</v>
      </c>
      <c r="BD201" s="31">
        <f>[1]节奏总纲!BD201</f>
        <v>48.819774747187417</v>
      </c>
      <c r="BE201" s="31">
        <f>[1]节奏总纲!BE201</f>
        <v>53.515962420198605</v>
      </c>
      <c r="BG201" s="34"/>
      <c r="BP201" s="34"/>
    </row>
    <row r="202" spans="29:68" s="31" customFormat="1" x14ac:dyDescent="0.15">
      <c r="AC202" s="31">
        <v>199</v>
      </c>
      <c r="AD202" s="31">
        <f>[1]节奏总纲!AD202</f>
        <v>76.430041330048923</v>
      </c>
      <c r="AE202" s="31">
        <f>[1]节奏总纲!AE202</f>
        <v>78.495666213746148</v>
      </c>
      <c r="AF202" s="31">
        <f>[1]节奏总纲!AF202</f>
        <v>81.461629666251454</v>
      </c>
      <c r="AG202" s="31">
        <f>[1]节奏总纲!AG202</f>
        <v>85.97145732939741</v>
      </c>
      <c r="AH202" s="31">
        <f>[1]节奏总纲!AH202</f>
        <v>95.439182812761885</v>
      </c>
      <c r="AJ202" s="34"/>
      <c r="AM202" s="31">
        <f>[1]节奏总纲!AM202</f>
        <v>0</v>
      </c>
      <c r="AN202" s="31">
        <f>[1]节奏总纲!AN202</f>
        <v>0</v>
      </c>
      <c r="AO202" s="31">
        <f>[1]节奏总纲!AO202</f>
        <v>0</v>
      </c>
      <c r="AP202" s="31">
        <f>[1]节奏总纲!AP202</f>
        <v>0</v>
      </c>
      <c r="AQ202" s="31">
        <f>[1]节奏总纲!AQ202</f>
        <v>0</v>
      </c>
      <c r="AR202" s="29"/>
      <c r="AT202" s="31">
        <f>[1]节奏总纲!AT202</f>
        <v>0</v>
      </c>
      <c r="AU202" s="31">
        <f>[1]节奏总纲!AU202</f>
        <v>0</v>
      </c>
      <c r="AV202" s="31">
        <f>[1]节奏总纲!AV202</f>
        <v>0</v>
      </c>
      <c r="AW202" s="31">
        <f>[1]节奏总纲!AW202</f>
        <v>0</v>
      </c>
      <c r="AX202" s="31">
        <f>[1]节奏总纲!AX202</f>
        <v>0</v>
      </c>
      <c r="AY202" s="29"/>
      <c r="AZ202" s="31">
        <v>199</v>
      </c>
      <c r="BA202" s="31">
        <f>[1]节奏总纲!BA202</f>
        <v>42.653127306416472</v>
      </c>
      <c r="BB202" s="31">
        <f>[1]节奏总纲!BB202</f>
        <v>44.164869084383938</v>
      </c>
      <c r="BC202" s="31">
        <f>[1]节奏总纲!BC202</f>
        <v>46.111876739892267</v>
      </c>
      <c r="BD202" s="31">
        <f>[1]节奏总纲!BD202</f>
        <v>48.855667747006656</v>
      </c>
      <c r="BE202" s="31">
        <f>[1]节奏总纲!BE202</f>
        <v>53.55042669323209</v>
      </c>
      <c r="BG202" s="34"/>
      <c r="BP202" s="34"/>
    </row>
    <row r="203" spans="29:68" s="31" customFormat="1" x14ac:dyDescent="0.15">
      <c r="AC203" s="31">
        <v>200</v>
      </c>
      <c r="AD203" s="31">
        <f>[1]节奏总纲!AD203</f>
        <v>76.501855167563733</v>
      </c>
      <c r="AE203" s="31">
        <f>[1]节奏总纲!AE203</f>
        <v>78.566911626616118</v>
      </c>
      <c r="AF203" s="31">
        <f>[1]节奏总纲!AF203</f>
        <v>81.534603053165696</v>
      </c>
      <c r="AG203" s="31">
        <f>[1]节奏总纲!AG203</f>
        <v>86.045919706798657</v>
      </c>
      <c r="AH203" s="31">
        <f>[1]节奏总纲!AH203</f>
        <v>95.510533483565979</v>
      </c>
      <c r="AJ203" s="34"/>
      <c r="AM203" s="31">
        <f>[1]节奏总纲!AM203</f>
        <v>0</v>
      </c>
      <c r="AN203" s="31">
        <f>[1]节奏总纲!AN203</f>
        <v>0</v>
      </c>
      <c r="AO203" s="31">
        <f>[1]节奏总纲!AO203</f>
        <v>0</v>
      </c>
      <c r="AP203" s="31">
        <f>[1]节奏总纲!AP203</f>
        <v>0</v>
      </c>
      <c r="AQ203" s="31">
        <f>[1]节奏总纲!AQ203</f>
        <v>0</v>
      </c>
      <c r="AR203" s="29"/>
      <c r="AT203" s="31">
        <f>[1]节奏总纲!AT203</f>
        <v>0</v>
      </c>
      <c r="AU203" s="31">
        <f>[1]节奏总纲!AU203</f>
        <v>0</v>
      </c>
      <c r="AV203" s="31">
        <f>[1]节奏总纲!AV203</f>
        <v>0</v>
      </c>
      <c r="AW203" s="31">
        <f>[1]节奏总纲!AW203</f>
        <v>0</v>
      </c>
      <c r="AX203" s="31">
        <f>[1]节奏总纲!AX203</f>
        <v>0</v>
      </c>
      <c r="AY203" s="29"/>
      <c r="AZ203" s="31">
        <v>200</v>
      </c>
      <c r="BA203" s="31">
        <f>[1]节奏总纲!BA203</f>
        <v>42.687840061343536</v>
      </c>
      <c r="BB203" s="31">
        <f>[1]节奏总纲!BB203</f>
        <v>44.197188392263818</v>
      </c>
      <c r="BC203" s="31">
        <f>[1]节奏总纲!BC203</f>
        <v>46.143983477923484</v>
      </c>
      <c r="BD203" s="31">
        <f>[1]节奏总纲!BD203</f>
        <v>48.891560746825888</v>
      </c>
      <c r="BE203" s="31">
        <f>[1]节奏总纲!BE203</f>
        <v>53.584890966265583</v>
      </c>
      <c r="BG203" s="34"/>
      <c r="BP203" s="34"/>
    </row>
    <row r="204" spans="29:68" s="31" customFormat="1" x14ac:dyDescent="0.15">
      <c r="AC204" s="31">
        <v>201</v>
      </c>
      <c r="AD204" s="31">
        <f>[1]节奏总纲!AD204</f>
        <v>76.573669005078543</v>
      </c>
      <c r="AE204" s="31">
        <f>[1]节奏总纲!AE204</f>
        <v>78.638157039486103</v>
      </c>
      <c r="AF204" s="31">
        <f>[1]节奏总纲!AF204</f>
        <v>81.607576440079953</v>
      </c>
      <c r="AG204" s="31">
        <f>[1]节奏总纲!AG204</f>
        <v>86.121754469336281</v>
      </c>
      <c r="AH204" s="31">
        <f>[1]节奏总纲!AH204</f>
        <v>95.581884154370087</v>
      </c>
      <c r="AJ204" s="34"/>
      <c r="AM204" s="31">
        <f>[1]节奏总纲!AM204</f>
        <v>0</v>
      </c>
      <c r="AN204" s="31">
        <f>[1]节奏总纲!AN204</f>
        <v>0</v>
      </c>
      <c r="AO204" s="31">
        <f>[1]节奏总纲!AO204</f>
        <v>0</v>
      </c>
      <c r="AP204" s="31">
        <f>[1]节奏总纲!AP204</f>
        <v>0</v>
      </c>
      <c r="AQ204" s="31">
        <f>[1]节奏总纲!AQ204</f>
        <v>0</v>
      </c>
      <c r="AR204" s="29"/>
      <c r="AT204" s="31">
        <f>[1]节奏总纲!AT204</f>
        <v>0</v>
      </c>
      <c r="AU204" s="31">
        <f>[1]节奏总纲!AU204</f>
        <v>0</v>
      </c>
      <c r="AV204" s="31">
        <f>[1]节奏总纲!AV204</f>
        <v>0</v>
      </c>
      <c r="AW204" s="31">
        <f>[1]节奏总纲!AW204</f>
        <v>0</v>
      </c>
      <c r="AX204" s="31">
        <f>[1]节奏总纲!AX204</f>
        <v>0</v>
      </c>
      <c r="AY204" s="29"/>
      <c r="AZ204" s="31">
        <v>201</v>
      </c>
      <c r="BA204" s="31">
        <f>[1]节奏总纲!BA204</f>
        <v>42.7225528162706</v>
      </c>
      <c r="BB204" s="31">
        <f>[1]节奏总纲!BB204</f>
        <v>44.229507700143699</v>
      </c>
      <c r="BC204" s="31">
        <f>[1]节奏总纲!BC204</f>
        <v>46.176090215954694</v>
      </c>
      <c r="BD204" s="31">
        <f>[1]节奏总纲!BD204</f>
        <v>48.927453746645128</v>
      </c>
      <c r="BE204" s="31">
        <f>[1]节奏总纲!BE204</f>
        <v>53.619355239299068</v>
      </c>
      <c r="BG204" s="34"/>
      <c r="BP204" s="34"/>
    </row>
    <row r="205" spans="29:68" s="31" customFormat="1" x14ac:dyDescent="0.15">
      <c r="AC205" s="31">
        <v>202</v>
      </c>
      <c r="AD205" s="31">
        <f>[1]节奏总纲!AD205</f>
        <v>76.645482842593353</v>
      </c>
      <c r="AE205" s="31">
        <f>[1]节奏总纲!AE205</f>
        <v>78.709402452356088</v>
      </c>
      <c r="AF205" s="31">
        <f>[1]节奏总纲!AF205</f>
        <v>81.680549826994209</v>
      </c>
      <c r="AG205" s="31">
        <f>[1]节奏总纲!AG205</f>
        <v>86.197589231873891</v>
      </c>
      <c r="AH205" s="31">
        <f>[1]节奏总纲!AH205</f>
        <v>95.653234825174181</v>
      </c>
      <c r="AJ205" s="34"/>
      <c r="AM205" s="31">
        <f>[1]节奏总纲!AM205</f>
        <v>0</v>
      </c>
      <c r="AN205" s="31">
        <f>[1]节奏总纲!AN205</f>
        <v>0</v>
      </c>
      <c r="AO205" s="31">
        <f>[1]节奏总纲!AO205</f>
        <v>0</v>
      </c>
      <c r="AP205" s="31">
        <f>[1]节奏总纲!AP205</f>
        <v>0</v>
      </c>
      <c r="AQ205" s="31">
        <f>[1]节奏总纲!AQ205</f>
        <v>0</v>
      </c>
      <c r="AR205" s="29"/>
      <c r="AT205" s="31">
        <f>[1]节奏总纲!AT205</f>
        <v>0</v>
      </c>
      <c r="AU205" s="31">
        <f>[1]节奏总纲!AU205</f>
        <v>0</v>
      </c>
      <c r="AV205" s="31">
        <f>[1]节奏总纲!AV205</f>
        <v>0</v>
      </c>
      <c r="AW205" s="31">
        <f>[1]节奏总纲!AW205</f>
        <v>0</v>
      </c>
      <c r="AX205" s="31">
        <f>[1]节奏总纲!AX205</f>
        <v>0</v>
      </c>
      <c r="AY205" s="29"/>
      <c r="AZ205" s="31">
        <v>202</v>
      </c>
      <c r="BA205" s="31">
        <f>[1]节奏总纲!BA205</f>
        <v>42.757265571197664</v>
      </c>
      <c r="BB205" s="31">
        <f>[1]节奏总纲!BB205</f>
        <v>44.261827008023573</v>
      </c>
      <c r="BC205" s="31">
        <f>[1]节奏总纲!BC205</f>
        <v>46.208196953985905</v>
      </c>
      <c r="BD205" s="31">
        <f>[1]节奏总纲!BD205</f>
        <v>48.96334674646436</v>
      </c>
      <c r="BE205" s="31">
        <f>[1]节奏总纲!BE205</f>
        <v>53.653819512332554</v>
      </c>
      <c r="BG205" s="34"/>
      <c r="BP205" s="34"/>
    </row>
    <row r="206" spans="29:68" s="31" customFormat="1" x14ac:dyDescent="0.15">
      <c r="AC206" s="31">
        <v>203</v>
      </c>
      <c r="AD206" s="31">
        <f>[1]节奏总纲!AD206</f>
        <v>76.717296680108163</v>
      </c>
      <c r="AE206" s="31">
        <f>[1]节奏总纲!AE206</f>
        <v>78.780647865226058</v>
      </c>
      <c r="AF206" s="31">
        <f>[1]节奏总纲!AF206</f>
        <v>81.753523213908451</v>
      </c>
      <c r="AG206" s="31">
        <f>[1]节奏总纲!AG206</f>
        <v>86.273423994411502</v>
      </c>
      <c r="AH206" s="31">
        <f>[1]节奏总纲!AH206</f>
        <v>95.724585495978289</v>
      </c>
      <c r="AJ206" s="34"/>
      <c r="AM206" s="31">
        <f>[1]节奏总纲!AM206</f>
        <v>0</v>
      </c>
      <c r="AN206" s="31">
        <f>[1]节奏总纲!AN206</f>
        <v>0</v>
      </c>
      <c r="AO206" s="31">
        <f>[1]节奏总纲!AO206</f>
        <v>0</v>
      </c>
      <c r="AP206" s="31">
        <f>[1]节奏总纲!AP206</f>
        <v>0</v>
      </c>
      <c r="AQ206" s="31">
        <f>[1]节奏总纲!AQ206</f>
        <v>0</v>
      </c>
      <c r="AR206" s="29"/>
      <c r="AT206" s="31">
        <f>[1]节奏总纲!AT206</f>
        <v>0</v>
      </c>
      <c r="AU206" s="31">
        <f>[1]节奏总纲!AU206</f>
        <v>0</v>
      </c>
      <c r="AV206" s="31">
        <f>[1]节奏总纲!AV206</f>
        <v>0</v>
      </c>
      <c r="AW206" s="31">
        <f>[1]节奏总纲!AW206</f>
        <v>0</v>
      </c>
      <c r="AX206" s="31">
        <f>[1]节奏总纲!AX206</f>
        <v>0</v>
      </c>
      <c r="AY206" s="29"/>
      <c r="AZ206" s="31">
        <v>203</v>
      </c>
      <c r="BA206" s="31">
        <f>[1]节奏总纲!BA206</f>
        <v>42.791978326124728</v>
      </c>
      <c r="BB206" s="31">
        <f>[1]节奏总纲!BB206</f>
        <v>44.294146315903454</v>
      </c>
      <c r="BC206" s="31">
        <f>[1]节奏总纲!BC206</f>
        <v>46.240303692017122</v>
      </c>
      <c r="BD206" s="31">
        <f>[1]节奏总纲!BD206</f>
        <v>48.9992397462836</v>
      </c>
      <c r="BE206" s="31">
        <f>[1]节奏总纲!BE206</f>
        <v>53.688283785366046</v>
      </c>
      <c r="BG206" s="34"/>
      <c r="BP206" s="34"/>
    </row>
    <row r="207" spans="29:68" s="31" customFormat="1" x14ac:dyDescent="0.15">
      <c r="AC207" s="31">
        <v>204</v>
      </c>
      <c r="AD207" s="31">
        <f>[1]节奏总纲!AD207</f>
        <v>76.789110517622973</v>
      </c>
      <c r="AE207" s="31">
        <f>[1]节奏总纲!AE207</f>
        <v>78.851893278096043</v>
      </c>
      <c r="AF207" s="31">
        <f>[1]节奏总纲!AF207</f>
        <v>81.826496600822708</v>
      </c>
      <c r="AG207" s="31">
        <f>[1]节奏总纲!AG207</f>
        <v>86.349258756949112</v>
      </c>
      <c r="AH207" s="31">
        <f>[1]节奏总纲!AH207</f>
        <v>95.795936166782383</v>
      </c>
      <c r="AJ207" s="34"/>
      <c r="AM207" s="31">
        <f>[1]节奏总纲!AM207</f>
        <v>0</v>
      </c>
      <c r="AN207" s="31">
        <f>[1]节奏总纲!AN207</f>
        <v>0</v>
      </c>
      <c r="AO207" s="31">
        <f>[1]节奏总纲!AO207</f>
        <v>0</v>
      </c>
      <c r="AP207" s="31">
        <f>[1]节奏总纲!AP207</f>
        <v>0</v>
      </c>
      <c r="AQ207" s="31">
        <f>[1]节奏总纲!AQ207</f>
        <v>0</v>
      </c>
      <c r="AR207" s="29"/>
      <c r="AT207" s="31">
        <f>[1]节奏总纲!AT207</f>
        <v>0</v>
      </c>
      <c r="AU207" s="31">
        <f>[1]节奏总纲!AU207</f>
        <v>0</v>
      </c>
      <c r="AV207" s="31">
        <f>[1]节奏总纲!AV207</f>
        <v>0</v>
      </c>
      <c r="AW207" s="31">
        <f>[1]节奏总纲!AW207</f>
        <v>0</v>
      </c>
      <c r="AX207" s="31">
        <f>[1]节奏总纲!AX207</f>
        <v>0</v>
      </c>
      <c r="AY207" s="29"/>
      <c r="AZ207" s="31">
        <v>204</v>
      </c>
      <c r="BA207" s="31">
        <f>[1]节奏总纲!BA207</f>
        <v>42.826691081051791</v>
      </c>
      <c r="BB207" s="31">
        <f>[1]节奏总纲!BB207</f>
        <v>44.326465623783335</v>
      </c>
      <c r="BC207" s="31">
        <f>[1]节奏总纲!BC207</f>
        <v>46.272410430048332</v>
      </c>
      <c r="BD207" s="31">
        <f>[1]节奏总纲!BD207</f>
        <v>49.030333272797542</v>
      </c>
      <c r="BE207" s="31">
        <f>[1]节奏总纲!BE207</f>
        <v>53.722748058399532</v>
      </c>
      <c r="BG207" s="34"/>
      <c r="BP207" s="34"/>
    </row>
    <row r="208" spans="29:68" s="31" customFormat="1" x14ac:dyDescent="0.15">
      <c r="AC208" s="31">
        <v>205</v>
      </c>
      <c r="AD208" s="31">
        <f>[1]节奏总纲!AD208</f>
        <v>76.860924355137783</v>
      </c>
      <c r="AE208" s="31">
        <f>[1]节奏总纲!AE208</f>
        <v>78.923138690966013</v>
      </c>
      <c r="AF208" s="31">
        <f>[1]节奏总纲!AF208</f>
        <v>81.899469987736964</v>
      </c>
      <c r="AG208" s="31">
        <f>[1]节奏总纲!AG208</f>
        <v>86.425093519486722</v>
      </c>
      <c r="AH208" s="31">
        <f>[1]节奏总纲!AH208</f>
        <v>95.867286837586477</v>
      </c>
      <c r="AJ208" s="34"/>
      <c r="AM208" s="31">
        <f>[1]节奏总纲!AM208</f>
        <v>0</v>
      </c>
      <c r="AN208" s="31">
        <f>[1]节奏总纲!AN208</f>
        <v>0</v>
      </c>
      <c r="AO208" s="31">
        <f>[1]节奏总纲!AO208</f>
        <v>0</v>
      </c>
      <c r="AP208" s="31">
        <f>[1]节奏总纲!AP208</f>
        <v>0</v>
      </c>
      <c r="AQ208" s="31">
        <f>[1]节奏总纲!AQ208</f>
        <v>0</v>
      </c>
      <c r="AR208" s="29"/>
      <c r="AT208" s="31">
        <f>[1]节奏总纲!AT208</f>
        <v>0</v>
      </c>
      <c r="AU208" s="31">
        <f>[1]节奏总纲!AU208</f>
        <v>0</v>
      </c>
      <c r="AV208" s="31">
        <f>[1]节奏总纲!AV208</f>
        <v>0</v>
      </c>
      <c r="AW208" s="31">
        <f>[1]节奏总纲!AW208</f>
        <v>0</v>
      </c>
      <c r="AX208" s="31">
        <f>[1]节奏总纲!AX208</f>
        <v>0</v>
      </c>
      <c r="AY208" s="29"/>
      <c r="AZ208" s="31">
        <v>205</v>
      </c>
      <c r="BA208" s="31">
        <f>[1]节奏总纲!BA208</f>
        <v>42.861403835978855</v>
      </c>
      <c r="BB208" s="31">
        <f>[1]节奏总纲!BB208</f>
        <v>44.358784931663209</v>
      </c>
      <c r="BC208" s="31">
        <f>[1]节奏总纲!BC208</f>
        <v>46.304517168079542</v>
      </c>
      <c r="BD208" s="31">
        <f>[1]节奏总纲!BD208</f>
        <v>49.061322941292346</v>
      </c>
      <c r="BE208" s="31">
        <f>[1]节奏总纲!BE208</f>
        <v>53.757212331433024</v>
      </c>
      <c r="BG208" s="34"/>
      <c r="BP208" s="34"/>
    </row>
    <row r="209" spans="29:68" s="31" customFormat="1" x14ac:dyDescent="0.15">
      <c r="AC209" s="31">
        <v>206</v>
      </c>
      <c r="AD209" s="31">
        <f>[1]节奏总纲!AD209</f>
        <v>76.932738192652593</v>
      </c>
      <c r="AE209" s="31">
        <f>[1]节奏总纲!AE209</f>
        <v>78.994384103835998</v>
      </c>
      <c r="AF209" s="31">
        <f>[1]节奏总纲!AF209</f>
        <v>81.972443374651206</v>
      </c>
      <c r="AG209" s="31">
        <f>[1]节奏总纲!AG209</f>
        <v>86.500928282024347</v>
      </c>
      <c r="AH209" s="31">
        <f>[1]节奏总纲!AH209</f>
        <v>95.938637508390585</v>
      </c>
      <c r="AJ209" s="34"/>
      <c r="AM209" s="31">
        <f>[1]节奏总纲!AM209</f>
        <v>0</v>
      </c>
      <c r="AN209" s="31">
        <f>[1]节奏总纲!AN209</f>
        <v>0</v>
      </c>
      <c r="AO209" s="31">
        <f>[1]节奏总纲!AO209</f>
        <v>0</v>
      </c>
      <c r="AP209" s="31">
        <f>[1]节奏总纲!AP209</f>
        <v>0</v>
      </c>
      <c r="AQ209" s="31">
        <f>[1]节奏总纲!AQ209</f>
        <v>0</v>
      </c>
      <c r="AR209" s="29"/>
      <c r="AT209" s="31">
        <f>[1]节奏总纲!AT209</f>
        <v>0</v>
      </c>
      <c r="AU209" s="31">
        <f>[1]节奏总纲!AU209</f>
        <v>0</v>
      </c>
      <c r="AV209" s="31">
        <f>[1]节奏总纲!AV209</f>
        <v>0</v>
      </c>
      <c r="AW209" s="31">
        <f>[1]节奏总纲!AW209</f>
        <v>0</v>
      </c>
      <c r="AX209" s="31">
        <f>[1]节奏总纲!AX209</f>
        <v>0</v>
      </c>
      <c r="AY209" s="29"/>
      <c r="AZ209" s="31">
        <v>206</v>
      </c>
      <c r="BA209" s="31">
        <f>[1]节奏总纲!BA209</f>
        <v>42.896116590905919</v>
      </c>
      <c r="BB209" s="31">
        <f>[1]节奏总纲!BB209</f>
        <v>44.39110423954309</v>
      </c>
      <c r="BC209" s="31">
        <f>[1]节奏总纲!BC209</f>
        <v>46.336623906110759</v>
      </c>
      <c r="BD209" s="31">
        <f>[1]节奏总纲!BD209</f>
        <v>49.09231260978715</v>
      </c>
      <c r="BE209" s="31">
        <f>[1]节奏总纲!BE209</f>
        <v>53.79167660446651</v>
      </c>
      <c r="BG209" s="34"/>
      <c r="BP209" s="34"/>
    </row>
    <row r="210" spans="29:68" s="31" customFormat="1" x14ac:dyDescent="0.15">
      <c r="AC210" s="31">
        <v>207</v>
      </c>
      <c r="AD210" s="31">
        <f>[1]节奏总纲!AD210</f>
        <v>77.004247194324648</v>
      </c>
      <c r="AE210" s="31">
        <f>[1]节奏总纲!AE210</f>
        <v>79.061386416569832</v>
      </c>
      <c r="AF210" s="31">
        <f>[1]节奏总纲!AF210</f>
        <v>82.041007317281839</v>
      </c>
      <c r="AG210" s="31">
        <f>[1]节奏总纲!AG210</f>
        <v>86.576763044561957</v>
      </c>
      <c r="AH210" s="31">
        <f>[1]节奏总纲!AH210</f>
        <v>96.008512635801992</v>
      </c>
      <c r="AJ210" s="34"/>
      <c r="AM210" s="31">
        <f>[1]节奏总纲!AM210</f>
        <v>0</v>
      </c>
      <c r="AN210" s="31">
        <f>[1]节奏总纲!AN210</f>
        <v>0</v>
      </c>
      <c r="AO210" s="31">
        <f>[1]节奏总纲!AO210</f>
        <v>0</v>
      </c>
      <c r="AP210" s="31">
        <f>[1]节奏总纲!AP210</f>
        <v>0</v>
      </c>
      <c r="AQ210" s="31">
        <f>[1]节奏总纲!AQ210</f>
        <v>0</v>
      </c>
      <c r="AR210" s="29"/>
      <c r="AT210" s="31">
        <f>[1]节奏总纲!AT210</f>
        <v>0</v>
      </c>
      <c r="AU210" s="31">
        <f>[1]节奏总纲!AU210</f>
        <v>0</v>
      </c>
      <c r="AV210" s="31">
        <f>[1]节奏总纲!AV210</f>
        <v>0</v>
      </c>
      <c r="AW210" s="31">
        <f>[1]节奏总纲!AW210</f>
        <v>0</v>
      </c>
      <c r="AX210" s="31">
        <f>[1]节奏总纲!AX210</f>
        <v>0</v>
      </c>
      <c r="AY210" s="29"/>
      <c r="AZ210" s="31">
        <v>207</v>
      </c>
      <c r="BA210" s="31">
        <f>[1]节奏总纲!BA210</f>
        <v>42.930829345832983</v>
      </c>
      <c r="BB210" s="31">
        <f>[1]节奏总纲!BB210</f>
        <v>44.423423547422971</v>
      </c>
      <c r="BC210" s="31">
        <f>[1]节奏总纲!BC210</f>
        <v>46.368730644141969</v>
      </c>
      <c r="BD210" s="31">
        <f>[1]节奏总纲!BD210</f>
        <v>49.123302278281955</v>
      </c>
      <c r="BE210" s="31">
        <f>[1]节奏总纲!BE210</f>
        <v>53.826140877499995</v>
      </c>
      <c r="BG210" s="34"/>
      <c r="BP210" s="34"/>
    </row>
    <row r="211" spans="29:68" s="31" customFormat="1" x14ac:dyDescent="0.15">
      <c r="AC211" s="31">
        <v>208</v>
      </c>
      <c r="AD211" s="31">
        <f>[1]节奏总纲!AD211</f>
        <v>77.07125187397483</v>
      </c>
      <c r="AE211" s="31">
        <f>[1]节奏总纲!AE211</f>
        <v>79.128025648620252</v>
      </c>
      <c r="AF211" s="31">
        <f>[1]节奏总纲!AF211</f>
        <v>82.106895829081836</v>
      </c>
      <c r="AG211" s="31">
        <f>[1]节奏总纲!AG211</f>
        <v>86.652597807099568</v>
      </c>
      <c r="AH211" s="31">
        <f>[1]节奏总纲!AH211</f>
        <v>96.069322745727362</v>
      </c>
      <c r="AJ211" s="34"/>
      <c r="AM211" s="31">
        <f>[1]节奏总纲!AM211</f>
        <v>0</v>
      </c>
      <c r="AN211" s="31">
        <f>[1]节奏总纲!AN211</f>
        <v>0</v>
      </c>
      <c r="AO211" s="31">
        <f>[1]节奏总纲!AO211</f>
        <v>0</v>
      </c>
      <c r="AP211" s="31">
        <f>[1]节奏总纲!AP211</f>
        <v>0</v>
      </c>
      <c r="AQ211" s="31">
        <f>[1]节奏总纲!AQ211</f>
        <v>0</v>
      </c>
      <c r="AR211" s="29"/>
      <c r="AT211" s="31">
        <f>[1]节奏总纲!AT211</f>
        <v>0</v>
      </c>
      <c r="AU211" s="31">
        <f>[1]节奏总纲!AU211</f>
        <v>0</v>
      </c>
      <c r="AV211" s="31">
        <f>[1]节奏总纲!AV211</f>
        <v>0</v>
      </c>
      <c r="AW211" s="31">
        <f>[1]节奏总纲!AW211</f>
        <v>0</v>
      </c>
      <c r="AX211" s="31">
        <f>[1]节奏总纲!AX211</f>
        <v>0</v>
      </c>
      <c r="AY211" s="29"/>
      <c r="AZ211" s="31">
        <v>208</v>
      </c>
      <c r="BA211" s="31">
        <f>[1]节奏总纲!BA211</f>
        <v>42.965542100760054</v>
      </c>
      <c r="BB211" s="31">
        <f>[1]节奏总纲!BB211</f>
        <v>44.455742855302844</v>
      </c>
      <c r="BC211" s="31">
        <f>[1]节奏总纲!BC211</f>
        <v>46.400837382173179</v>
      </c>
      <c r="BD211" s="31">
        <f>[1]节奏总纲!BD211</f>
        <v>49.154291946776759</v>
      </c>
      <c r="BE211" s="31">
        <f>[1]节奏总纲!BE211</f>
        <v>53.860605150533488</v>
      </c>
      <c r="BG211" s="34"/>
      <c r="BP211" s="34"/>
    </row>
    <row r="212" spans="29:68" s="31" customFormat="1" x14ac:dyDescent="0.15">
      <c r="AC212" s="31">
        <v>209</v>
      </c>
      <c r="AD212" s="31">
        <f>[1]节奏总纲!AD212</f>
        <v>77.138256553625013</v>
      </c>
      <c r="AE212" s="31">
        <f>[1]节奏总纲!AE212</f>
        <v>79.194664880670672</v>
      </c>
      <c r="AF212" s="31">
        <f>[1]节奏总纲!AF212</f>
        <v>82.172784340881819</v>
      </c>
      <c r="AG212" s="31">
        <f>[1]节奏总纲!AG212</f>
        <v>86.728432569637178</v>
      </c>
      <c r="AH212" s="31">
        <f>[1]节奏总纲!AH212</f>
        <v>96.130132855652732</v>
      </c>
      <c r="AJ212" s="34"/>
      <c r="AM212" s="31">
        <f>[1]节奏总纲!AM212</f>
        <v>0</v>
      </c>
      <c r="AN212" s="31">
        <f>[1]节奏总纲!AN212</f>
        <v>0</v>
      </c>
      <c r="AO212" s="31">
        <f>[1]节奏总纲!AO212</f>
        <v>0</v>
      </c>
      <c r="AP212" s="31">
        <f>[1]节奏总纲!AP212</f>
        <v>0</v>
      </c>
      <c r="AQ212" s="31">
        <f>[1]节奏总纲!AQ212</f>
        <v>0</v>
      </c>
      <c r="AR212" s="29"/>
      <c r="AT212" s="31">
        <f>[1]节奏总纲!AT212</f>
        <v>0</v>
      </c>
      <c r="AU212" s="31">
        <f>[1]节奏总纲!AU212</f>
        <v>0</v>
      </c>
      <c r="AV212" s="31">
        <f>[1]节奏总纲!AV212</f>
        <v>0</v>
      </c>
      <c r="AW212" s="31">
        <f>[1]节奏总纲!AW212</f>
        <v>0</v>
      </c>
      <c r="AX212" s="31">
        <f>[1]节奏总纲!AX212</f>
        <v>0</v>
      </c>
      <c r="AY212" s="29"/>
      <c r="AZ212" s="31">
        <v>209</v>
      </c>
      <c r="BA212" s="31">
        <f>[1]节奏总纲!BA212</f>
        <v>43.000219942361319</v>
      </c>
      <c r="BB212" s="31">
        <f>[1]节奏总纲!BB212</f>
        <v>44.488062163182725</v>
      </c>
      <c r="BC212" s="31">
        <f>[1]节奏总纲!BC212</f>
        <v>46.432944120204397</v>
      </c>
      <c r="BD212" s="31">
        <f>[1]节奏总纲!BD212</f>
        <v>49.18528161527157</v>
      </c>
      <c r="BE212" s="31">
        <f>[1]节奏总纲!BE212</f>
        <v>53.895069423566973</v>
      </c>
      <c r="BG212" s="34"/>
      <c r="BP212" s="34"/>
    </row>
    <row r="213" spans="29:68" s="31" customFormat="1" x14ac:dyDescent="0.15">
      <c r="AC213" s="31">
        <v>210</v>
      </c>
      <c r="AD213" s="31">
        <f>[1]节奏总纲!AD213</f>
        <v>77.205261233275195</v>
      </c>
      <c r="AE213" s="31">
        <f>[1]节奏总纲!AE213</f>
        <v>79.261304112721092</v>
      </c>
      <c r="AF213" s="31">
        <f>[1]节奏总纲!AF213</f>
        <v>82.238672852681816</v>
      </c>
      <c r="AG213" s="31">
        <f>[1]节奏总纲!AG213</f>
        <v>86.804267332174788</v>
      </c>
      <c r="AH213" s="31">
        <f>[1]节奏总纲!AH213</f>
        <v>96.190942965578103</v>
      </c>
      <c r="AJ213" s="34"/>
      <c r="AM213" s="31">
        <f>[1]节奏总纲!AM213</f>
        <v>0</v>
      </c>
      <c r="AN213" s="31">
        <f>[1]节奏总纲!AN213</f>
        <v>0</v>
      </c>
      <c r="AO213" s="31">
        <f>[1]节奏总纲!AO213</f>
        <v>0</v>
      </c>
      <c r="AP213" s="31">
        <f>[1]节奏总纲!AP213</f>
        <v>0</v>
      </c>
      <c r="AQ213" s="31">
        <f>[1]节奏总纲!AQ213</f>
        <v>0</v>
      </c>
      <c r="AR213" s="29"/>
      <c r="AT213" s="31">
        <f>[1]节奏总纲!AT213</f>
        <v>0</v>
      </c>
      <c r="AU213" s="31">
        <f>[1]节奏总纲!AU213</f>
        <v>0</v>
      </c>
      <c r="AV213" s="31">
        <f>[1]节奏总纲!AV213</f>
        <v>0</v>
      </c>
      <c r="AW213" s="31">
        <f>[1]节奏总纲!AW213</f>
        <v>0</v>
      </c>
      <c r="AX213" s="31">
        <f>[1]节奏总纲!AX213</f>
        <v>0</v>
      </c>
      <c r="AY213" s="29"/>
      <c r="AZ213" s="31">
        <v>210</v>
      </c>
      <c r="BA213" s="31">
        <f>[1]节奏总纲!BA213</f>
        <v>43.030177309109042</v>
      </c>
      <c r="BB213" s="31">
        <f>[1]节奏总纲!BB213</f>
        <v>44.520381471062606</v>
      </c>
      <c r="BC213" s="31">
        <f>[1]节奏总纲!BC213</f>
        <v>46.465050858235607</v>
      </c>
      <c r="BD213" s="31">
        <f>[1]节奏总纲!BD213</f>
        <v>49.216271283766375</v>
      </c>
      <c r="BE213" s="31">
        <f>[1]节奏总纲!BE213</f>
        <v>53.929533696600465</v>
      </c>
      <c r="BG213" s="34"/>
      <c r="BP213" s="34"/>
    </row>
    <row r="214" spans="29:68" s="31" customFormat="1" x14ac:dyDescent="0.15">
      <c r="AC214" s="31">
        <v>211</v>
      </c>
      <c r="AD214" s="31">
        <f>[1]节奏总纲!AD214</f>
        <v>77.272265912925377</v>
      </c>
      <c r="AE214" s="31">
        <f>[1]节奏总纲!AE214</f>
        <v>79.327943344771512</v>
      </c>
      <c r="AF214" s="31">
        <f>[1]节奏总纲!AF214</f>
        <v>82.304561364481813</v>
      </c>
      <c r="AG214" s="31">
        <f>[1]节奏总纲!AG214</f>
        <v>86.880102094712413</v>
      </c>
      <c r="AH214" s="31">
        <f>[1]节奏总纲!AH214</f>
        <v>96.251753075503458</v>
      </c>
      <c r="AJ214" s="34"/>
      <c r="AM214" s="31">
        <f>[1]节奏总纲!AM214</f>
        <v>0</v>
      </c>
      <c r="AN214" s="31">
        <f>[1]节奏总纲!AN214</f>
        <v>0</v>
      </c>
      <c r="AO214" s="31">
        <f>[1]节奏总纲!AO214</f>
        <v>0</v>
      </c>
      <c r="AP214" s="31">
        <f>[1]节奏总纲!AP214</f>
        <v>0</v>
      </c>
      <c r="AQ214" s="31">
        <f>[1]节奏总纲!AQ214</f>
        <v>0</v>
      </c>
      <c r="AR214" s="29"/>
      <c r="AT214" s="31">
        <f>[1]节奏总纲!AT214</f>
        <v>0</v>
      </c>
      <c r="AU214" s="31">
        <f>[1]节奏总纲!AU214</f>
        <v>0</v>
      </c>
      <c r="AV214" s="31">
        <f>[1]节奏总纲!AV214</f>
        <v>0</v>
      </c>
      <c r="AW214" s="31">
        <f>[1]节奏总纲!AW214</f>
        <v>0</v>
      </c>
      <c r="AX214" s="31">
        <f>[1]节奏总纲!AX214</f>
        <v>0</v>
      </c>
      <c r="AY214" s="29"/>
      <c r="AZ214" s="31">
        <v>211</v>
      </c>
      <c r="BA214" s="31">
        <f>[1]节奏总纲!BA214</f>
        <v>43.060134675856759</v>
      </c>
      <c r="BB214" s="31">
        <f>[1]节奏总纲!BB214</f>
        <v>44.55270077894248</v>
      </c>
      <c r="BC214" s="31">
        <f>[1]节奏总纲!BC214</f>
        <v>46.497157596266817</v>
      </c>
      <c r="BD214" s="31">
        <f>[1]节奏总纲!BD214</f>
        <v>49.247260952261179</v>
      </c>
      <c r="BE214" s="31">
        <f>[1]节奏总纲!BE214</f>
        <v>53.963997969633951</v>
      </c>
      <c r="BG214" s="34"/>
      <c r="BP214" s="34"/>
    </row>
    <row r="215" spans="29:68" s="31" customFormat="1" x14ac:dyDescent="0.15">
      <c r="AC215" s="31">
        <v>212</v>
      </c>
      <c r="AD215" s="31">
        <f>[1]节奏总纲!AD215</f>
        <v>77.339270592575559</v>
      </c>
      <c r="AE215" s="31">
        <f>[1]节奏总纲!AE215</f>
        <v>79.394582576821932</v>
      </c>
      <c r="AF215" s="31">
        <f>[1]节奏总纲!AF215</f>
        <v>82.370449876281796</v>
      </c>
      <c r="AG215" s="31">
        <f>[1]节奏总纲!AG215</f>
        <v>86.955936857250023</v>
      </c>
      <c r="AH215" s="31">
        <f>[1]节奏总纲!AH215</f>
        <v>96.312563185428829</v>
      </c>
      <c r="AJ215" s="34"/>
      <c r="AM215" s="31">
        <f>[1]节奏总纲!AM215</f>
        <v>0</v>
      </c>
      <c r="AN215" s="31">
        <f>[1]节奏总纲!AN215</f>
        <v>0</v>
      </c>
      <c r="AO215" s="31">
        <f>[1]节奏总纲!AO215</f>
        <v>0</v>
      </c>
      <c r="AP215" s="31">
        <f>[1]节奏总纲!AP215</f>
        <v>0</v>
      </c>
      <c r="AQ215" s="31">
        <f>[1]节奏总纲!AQ215</f>
        <v>0</v>
      </c>
      <c r="AR215" s="29"/>
      <c r="AT215" s="31">
        <f>[1]节奏总纲!AT215</f>
        <v>0</v>
      </c>
      <c r="AU215" s="31">
        <f>[1]节奏总纲!AU215</f>
        <v>0</v>
      </c>
      <c r="AV215" s="31">
        <f>[1]节奏总纲!AV215</f>
        <v>0</v>
      </c>
      <c r="AW215" s="31">
        <f>[1]节奏总纲!AW215</f>
        <v>0</v>
      </c>
      <c r="AX215" s="31">
        <f>[1]节奏总纲!AX215</f>
        <v>0</v>
      </c>
      <c r="AY215" s="29"/>
      <c r="AZ215" s="31">
        <v>212</v>
      </c>
      <c r="BA215" s="31">
        <f>[1]节奏总纲!BA215</f>
        <v>43.090092042604475</v>
      </c>
      <c r="BB215" s="31">
        <f>[1]节奏总纲!BB215</f>
        <v>44.585020086822361</v>
      </c>
      <c r="BC215" s="31">
        <f>[1]节奏总纲!BC215</f>
        <v>46.529264334298034</v>
      </c>
      <c r="BD215" s="31">
        <f>[1]节奏总纲!BD215</f>
        <v>49.278250620755983</v>
      </c>
      <c r="BE215" s="31">
        <f>[1]节奏总纲!BE215</f>
        <v>53.998462242667436</v>
      </c>
      <c r="BG215" s="34"/>
      <c r="BP215" s="34"/>
    </row>
    <row r="216" spans="29:68" s="31" customFormat="1" x14ac:dyDescent="0.15">
      <c r="AC216" s="31">
        <v>213</v>
      </c>
      <c r="AD216" s="31">
        <f>[1]节奏总纲!AD216</f>
        <v>77.406275272225741</v>
      </c>
      <c r="AE216" s="31">
        <f>[1]节奏总纲!AE216</f>
        <v>79.461221808872352</v>
      </c>
      <c r="AF216" s="31">
        <f>[1]节奏总纲!AF216</f>
        <v>82.436338388081793</v>
      </c>
      <c r="AG216" s="31">
        <f>[1]节奏总纲!AG216</f>
        <v>87.031203567981635</v>
      </c>
      <c r="AH216" s="31">
        <f>[1]节奏总纲!AH216</f>
        <v>96.373373295354199</v>
      </c>
      <c r="AJ216" s="34"/>
      <c r="AM216" s="31">
        <f>[1]节奏总纲!AM216</f>
        <v>0</v>
      </c>
      <c r="AN216" s="31">
        <f>[1]节奏总纲!AN216</f>
        <v>0</v>
      </c>
      <c r="AO216" s="31">
        <f>[1]节奏总纲!AO216</f>
        <v>0</v>
      </c>
      <c r="AP216" s="31">
        <f>[1]节奏总纲!AP216</f>
        <v>0</v>
      </c>
      <c r="AQ216" s="31">
        <f>[1]节奏总纲!AQ216</f>
        <v>0</v>
      </c>
      <c r="AR216" s="29"/>
      <c r="AT216" s="31">
        <f>[1]节奏总纲!AT216</f>
        <v>0</v>
      </c>
      <c r="AU216" s="31">
        <f>[1]节奏总纲!AU216</f>
        <v>0</v>
      </c>
      <c r="AV216" s="31">
        <f>[1]节奏总纲!AV216</f>
        <v>0</v>
      </c>
      <c r="AW216" s="31">
        <f>[1]节奏总纲!AW216</f>
        <v>0</v>
      </c>
      <c r="AX216" s="31">
        <f>[1]节奏总纲!AX216</f>
        <v>0</v>
      </c>
      <c r="AY216" s="29"/>
      <c r="AZ216" s="31">
        <v>213</v>
      </c>
      <c r="BA216" s="31">
        <f>[1]节奏总纲!BA216</f>
        <v>43.120049409352191</v>
      </c>
      <c r="BB216" s="31">
        <f>[1]节奏总纲!BB216</f>
        <v>44.617339394702242</v>
      </c>
      <c r="BC216" s="31">
        <f>[1]节奏总纲!BC216</f>
        <v>46.561371072329244</v>
      </c>
      <c r="BD216" s="31">
        <f>[1]节奏总纲!BD216</f>
        <v>49.309240289250788</v>
      </c>
      <c r="BE216" s="31">
        <f>[1]节奏总纲!BE216</f>
        <v>54.028437871105552</v>
      </c>
      <c r="BG216" s="34"/>
      <c r="BP216" s="34"/>
    </row>
    <row r="217" spans="29:68" s="31" customFormat="1" x14ac:dyDescent="0.15">
      <c r="AC217" s="31">
        <v>214</v>
      </c>
      <c r="AD217" s="31">
        <f>[1]节奏总纲!AD217</f>
        <v>77.473279951875909</v>
      </c>
      <c r="AE217" s="31">
        <f>[1]节奏总纲!AE217</f>
        <v>79.527861040922772</v>
      </c>
      <c r="AF217" s="31">
        <f>[1]节奏总纲!AF217</f>
        <v>82.502226899881776</v>
      </c>
      <c r="AG217" s="31">
        <f>[1]节奏总纲!AG217</f>
        <v>87.10568246405397</v>
      </c>
      <c r="AH217" s="31">
        <f>[1]节奏总纲!AH217</f>
        <v>96.434183405279569</v>
      </c>
      <c r="AJ217" s="34"/>
      <c r="AM217" s="31">
        <f>[1]节奏总纲!AM217</f>
        <v>0</v>
      </c>
      <c r="AN217" s="31">
        <f>[1]节奏总纲!AN217</f>
        <v>0</v>
      </c>
      <c r="AO217" s="31">
        <f>[1]节奏总纲!AO217</f>
        <v>0</v>
      </c>
      <c r="AP217" s="31">
        <f>[1]节奏总纲!AP217</f>
        <v>0</v>
      </c>
      <c r="AQ217" s="31">
        <f>[1]节奏总纲!AQ217</f>
        <v>0</v>
      </c>
      <c r="AR217" s="29"/>
      <c r="AT217" s="31">
        <f>[1]节奏总纲!AT217</f>
        <v>0</v>
      </c>
      <c r="AU217" s="31">
        <f>[1]节奏总纲!AU217</f>
        <v>0</v>
      </c>
      <c r="AV217" s="31">
        <f>[1]节奏总纲!AV217</f>
        <v>0</v>
      </c>
      <c r="AW217" s="31">
        <f>[1]节奏总纲!AW217</f>
        <v>0</v>
      </c>
      <c r="AX217" s="31">
        <f>[1]节奏总纲!AX217</f>
        <v>0</v>
      </c>
      <c r="AY217" s="29"/>
      <c r="AZ217" s="31">
        <v>214</v>
      </c>
      <c r="BA217" s="31">
        <f>[1]节奏总纲!BA217</f>
        <v>43.150006776099914</v>
      </c>
      <c r="BB217" s="31">
        <f>[1]节奏总纲!BB217</f>
        <v>44.649658702582116</v>
      </c>
      <c r="BC217" s="31">
        <f>[1]节奏总纲!BC217</f>
        <v>46.593477810360454</v>
      </c>
      <c r="BD217" s="31">
        <f>[1]节奏总纲!BD217</f>
        <v>49.340229957745592</v>
      </c>
      <c r="BE217" s="31">
        <f>[1]节奏总纲!BE217</f>
        <v>54.058203867701586</v>
      </c>
      <c r="BG217" s="34"/>
      <c r="BP217" s="34"/>
    </row>
    <row r="218" spans="29:68" s="31" customFormat="1" x14ac:dyDescent="0.15">
      <c r="AC218" s="31">
        <v>215</v>
      </c>
      <c r="AD218" s="31">
        <f>[1]节奏总纲!AD218</f>
        <v>77.540284631526092</v>
      </c>
      <c r="AE218" s="31">
        <f>[1]节奏总纲!AE218</f>
        <v>79.594500272973193</v>
      </c>
      <c r="AF218" s="31">
        <f>[1]节奏总纲!AF218</f>
        <v>82.568115411681774</v>
      </c>
      <c r="AG218" s="31">
        <f>[1]节奏总纲!AG218</f>
        <v>87.180161360126306</v>
      </c>
      <c r="AH218" s="31">
        <f>[1]节奏总纲!AH218</f>
        <v>96.494993515204939</v>
      </c>
      <c r="AJ218" s="34"/>
      <c r="AM218" s="31">
        <f>[1]节奏总纲!AM218</f>
        <v>0</v>
      </c>
      <c r="AN218" s="31">
        <f>[1]节奏总纲!AN218</f>
        <v>0</v>
      </c>
      <c r="AO218" s="31">
        <f>[1]节奏总纲!AO218</f>
        <v>0</v>
      </c>
      <c r="AP218" s="31">
        <f>[1]节奏总纲!AP218</f>
        <v>0</v>
      </c>
      <c r="AQ218" s="31">
        <f>[1]节奏总纲!AQ218</f>
        <v>0</v>
      </c>
      <c r="AR218" s="29"/>
      <c r="AT218" s="31">
        <f>[1]节奏总纲!AT218</f>
        <v>0</v>
      </c>
      <c r="AU218" s="31">
        <f>[1]节奏总纲!AU218</f>
        <v>0</v>
      </c>
      <c r="AV218" s="31">
        <f>[1]节奏总纲!AV218</f>
        <v>0</v>
      </c>
      <c r="AW218" s="31">
        <f>[1]节奏总纲!AW218</f>
        <v>0</v>
      </c>
      <c r="AX218" s="31">
        <f>[1]节奏总纲!AX218</f>
        <v>0</v>
      </c>
      <c r="AY218" s="29"/>
      <c r="AZ218" s="31">
        <v>215</v>
      </c>
      <c r="BA218" s="31">
        <f>[1]节奏总纲!BA218</f>
        <v>43.179964142847631</v>
      </c>
      <c r="BB218" s="31">
        <f>[1]节奏总纲!BB218</f>
        <v>44.681978010461997</v>
      </c>
      <c r="BC218" s="31">
        <f>[1]节奏总纲!BC218</f>
        <v>46.625584548391664</v>
      </c>
      <c r="BD218" s="31">
        <f>[1]节奏总纲!BD218</f>
        <v>49.371219626240396</v>
      </c>
      <c r="BE218" s="31">
        <f>[1]节奏总纲!BE218</f>
        <v>54.087969864297619</v>
      </c>
      <c r="BG218" s="34"/>
      <c r="BP218" s="34"/>
    </row>
    <row r="219" spans="29:68" s="31" customFormat="1" x14ac:dyDescent="0.15">
      <c r="AC219" s="31">
        <v>216</v>
      </c>
      <c r="AD219" s="31">
        <f>[1]节奏总纲!AD219</f>
        <v>77.607289311176274</v>
      </c>
      <c r="AE219" s="31">
        <f>[1]节奏总纲!AE219</f>
        <v>79.661139505023613</v>
      </c>
      <c r="AF219" s="31">
        <f>[1]节奏总纲!AF219</f>
        <v>82.634003923481771</v>
      </c>
      <c r="AG219" s="31">
        <f>[1]节奏总纲!AG219</f>
        <v>87.254640256198641</v>
      </c>
      <c r="AH219" s="31">
        <f>[1]节奏总纲!AH219</f>
        <v>96.555803625130309</v>
      </c>
      <c r="AJ219" s="34"/>
      <c r="AM219" s="31">
        <f>[1]节奏总纲!AM219</f>
        <v>0</v>
      </c>
      <c r="AN219" s="31">
        <f>[1]节奏总纲!AN219</f>
        <v>0</v>
      </c>
      <c r="AO219" s="31">
        <f>[1]节奏总纲!AO219</f>
        <v>0</v>
      </c>
      <c r="AP219" s="31">
        <f>[1]节奏总纲!AP219</f>
        <v>0</v>
      </c>
      <c r="AQ219" s="31">
        <f>[1]节奏总纲!AQ219</f>
        <v>0</v>
      </c>
      <c r="AR219" s="29"/>
      <c r="AT219" s="31">
        <f>[1]节奏总纲!AT219</f>
        <v>0</v>
      </c>
      <c r="AU219" s="31">
        <f>[1]节奏总纲!AU219</f>
        <v>0</v>
      </c>
      <c r="AV219" s="31">
        <f>[1]节奏总纲!AV219</f>
        <v>0</v>
      </c>
      <c r="AW219" s="31">
        <f>[1]节奏总纲!AW219</f>
        <v>0</v>
      </c>
      <c r="AX219" s="31">
        <f>[1]节奏总纲!AX219</f>
        <v>0</v>
      </c>
      <c r="AY219" s="29"/>
      <c r="AZ219" s="31">
        <v>216</v>
      </c>
      <c r="BA219" s="31">
        <f>[1]节奏总纲!BA219</f>
        <v>43.209921509595347</v>
      </c>
      <c r="BB219" s="31">
        <f>[1]节奏总纲!BB219</f>
        <v>44.71429731834187</v>
      </c>
      <c r="BC219" s="31">
        <f>[1]节奏总纲!BC219</f>
        <v>46.657691286422882</v>
      </c>
      <c r="BD219" s="31">
        <f>[1]节奏总纲!BD219</f>
        <v>49.402209294735208</v>
      </c>
      <c r="BE219" s="31">
        <f>[1]节奏总纲!BE219</f>
        <v>54.117735860893646</v>
      </c>
      <c r="BG219" s="34"/>
      <c r="BP219" s="34"/>
    </row>
    <row r="220" spans="29:68" s="31" customFormat="1" x14ac:dyDescent="0.15">
      <c r="AC220" s="31">
        <v>217</v>
      </c>
      <c r="AD220" s="31">
        <f>[1]节奏总纲!AD220</f>
        <v>77.674293990826456</v>
      </c>
      <c r="AE220" s="31">
        <f>[1]节奏总纲!AE220</f>
        <v>79.727778737074033</v>
      </c>
      <c r="AF220" s="31">
        <f>[1]节奏总纲!AF220</f>
        <v>82.699892435281754</v>
      </c>
      <c r="AG220" s="31">
        <f>[1]节奏总纲!AG220</f>
        <v>87.329119152270991</v>
      </c>
      <c r="AH220" s="31">
        <f>[1]节奏总纲!AH220</f>
        <v>96.61661373505568</v>
      </c>
      <c r="AJ220" s="34"/>
      <c r="AM220" s="31">
        <f>[1]节奏总纲!AM220</f>
        <v>0</v>
      </c>
      <c r="AN220" s="31">
        <f>[1]节奏总纲!AN220</f>
        <v>0</v>
      </c>
      <c r="AO220" s="31">
        <f>[1]节奏总纲!AO220</f>
        <v>0</v>
      </c>
      <c r="AP220" s="31">
        <f>[1]节奏总纲!AP220</f>
        <v>0</v>
      </c>
      <c r="AQ220" s="31">
        <f>[1]节奏总纲!AQ220</f>
        <v>0</v>
      </c>
      <c r="AR220" s="29"/>
      <c r="AT220" s="31">
        <f>[1]节奏总纲!AT220</f>
        <v>0</v>
      </c>
      <c r="AU220" s="31">
        <f>[1]节奏总纲!AU220</f>
        <v>0</v>
      </c>
      <c r="AV220" s="31">
        <f>[1]节奏总纲!AV220</f>
        <v>0</v>
      </c>
      <c r="AW220" s="31">
        <f>[1]节奏总纲!AW220</f>
        <v>0</v>
      </c>
      <c r="AX220" s="31">
        <f>[1]节奏总纲!AX220</f>
        <v>0</v>
      </c>
      <c r="AY220" s="29"/>
      <c r="AZ220" s="31">
        <v>217</v>
      </c>
      <c r="BA220" s="31">
        <f>[1]节奏总纲!BA220</f>
        <v>43.239878876343063</v>
      </c>
      <c r="BB220" s="31">
        <f>[1]节奏总纲!BB220</f>
        <v>44.746616626221751</v>
      </c>
      <c r="BC220" s="31">
        <f>[1]节奏总纲!BC220</f>
        <v>46.689798024454092</v>
      </c>
      <c r="BD220" s="31">
        <f>[1]节奏总纲!BD220</f>
        <v>49.433198963230012</v>
      </c>
      <c r="BE220" s="31">
        <f>[1]节奏总纲!BE220</f>
        <v>54.147501857489679</v>
      </c>
      <c r="BG220" s="34"/>
      <c r="BP220" s="34"/>
    </row>
    <row r="221" spans="29:68" s="31" customFormat="1" x14ac:dyDescent="0.15">
      <c r="AC221" s="31">
        <v>218</v>
      </c>
      <c r="AD221" s="31">
        <f>[1]节奏总纲!AD221</f>
        <v>77.741298670476638</v>
      </c>
      <c r="AE221" s="31">
        <f>[1]节奏总纲!AE221</f>
        <v>79.794417969124453</v>
      </c>
      <c r="AF221" s="31">
        <f>[1]节奏总纲!AF221</f>
        <v>82.765780947081751</v>
      </c>
      <c r="AG221" s="31">
        <f>[1]节奏总纲!AG221</f>
        <v>87.403598048343326</v>
      </c>
      <c r="AH221" s="31">
        <f>[1]节奏总纲!AH221</f>
        <v>96.67742384498105</v>
      </c>
      <c r="AJ221" s="34"/>
      <c r="AM221" s="31">
        <f>[1]节奏总纲!AM221</f>
        <v>0</v>
      </c>
      <c r="AN221" s="31">
        <f>[1]节奏总纲!AN221</f>
        <v>0</v>
      </c>
      <c r="AO221" s="31">
        <f>[1]节奏总纲!AO221</f>
        <v>0</v>
      </c>
      <c r="AP221" s="31">
        <f>[1]节奏总纲!AP221</f>
        <v>0</v>
      </c>
      <c r="AQ221" s="31">
        <f>[1]节奏总纲!AQ221</f>
        <v>0</v>
      </c>
      <c r="AR221" s="29"/>
      <c r="AT221" s="31">
        <f>[1]节奏总纲!AT221</f>
        <v>0</v>
      </c>
      <c r="AU221" s="31">
        <f>[1]节奏总纲!AU221</f>
        <v>0</v>
      </c>
      <c r="AV221" s="31">
        <f>[1]节奏总纲!AV221</f>
        <v>0</v>
      </c>
      <c r="AW221" s="31">
        <f>[1]节奏总纲!AW221</f>
        <v>0</v>
      </c>
      <c r="AX221" s="31">
        <f>[1]节奏总纲!AX221</f>
        <v>0</v>
      </c>
      <c r="AY221" s="29"/>
      <c r="AZ221" s="31">
        <v>218</v>
      </c>
      <c r="BA221" s="31">
        <f>[1]节奏总纲!BA221</f>
        <v>43.269836243090786</v>
      </c>
      <c r="BB221" s="31">
        <f>[1]节奏总纲!BB221</f>
        <v>44.778935934101632</v>
      </c>
      <c r="BC221" s="31">
        <f>[1]节奏总纲!BC221</f>
        <v>46.721904762485302</v>
      </c>
      <c r="BD221" s="31">
        <f>[1]节奏总纲!BD221</f>
        <v>49.464188631724817</v>
      </c>
      <c r="BE221" s="31">
        <f>[1]节奏总纲!BE221</f>
        <v>54.177267854085706</v>
      </c>
      <c r="BG221" s="34"/>
      <c r="BP221" s="34"/>
    </row>
    <row r="222" spans="29:68" s="31" customFormat="1" x14ac:dyDescent="0.15">
      <c r="AC222" s="31">
        <v>219</v>
      </c>
      <c r="AD222" s="31">
        <f>[1]节奏总纲!AD222</f>
        <v>77.80830335012682</v>
      </c>
      <c r="AE222" s="31">
        <f>[1]节奏总纲!AE222</f>
        <v>79.861057201174873</v>
      </c>
      <c r="AF222" s="31">
        <f>[1]节奏总纲!AF222</f>
        <v>82.831669458881734</v>
      </c>
      <c r="AG222" s="31">
        <f>[1]节奏总纲!AG222</f>
        <v>87.478076944415662</v>
      </c>
      <c r="AH222" s="31">
        <f>[1]节奏总纲!AH222</f>
        <v>96.73823395490642</v>
      </c>
      <c r="AJ222" s="34"/>
      <c r="AM222" s="31">
        <f>[1]节奏总纲!AM222</f>
        <v>0</v>
      </c>
      <c r="AN222" s="31">
        <f>[1]节奏总纲!AN222</f>
        <v>0</v>
      </c>
      <c r="AO222" s="31">
        <f>[1]节奏总纲!AO222</f>
        <v>0</v>
      </c>
      <c r="AP222" s="31">
        <f>[1]节奏总纲!AP222</f>
        <v>0</v>
      </c>
      <c r="AQ222" s="31">
        <f>[1]节奏总纲!AQ222</f>
        <v>0</v>
      </c>
      <c r="AR222" s="29"/>
      <c r="AT222" s="31">
        <f>[1]节奏总纲!AT222</f>
        <v>0</v>
      </c>
      <c r="AU222" s="31">
        <f>[1]节奏总纲!AU222</f>
        <v>0</v>
      </c>
      <c r="AV222" s="31">
        <f>[1]节奏总纲!AV222</f>
        <v>0</v>
      </c>
      <c r="AW222" s="31">
        <f>[1]节奏总纲!AW222</f>
        <v>0</v>
      </c>
      <c r="AX222" s="31">
        <f>[1]节奏总纲!AX222</f>
        <v>0</v>
      </c>
      <c r="AY222" s="29"/>
      <c r="AZ222" s="31">
        <v>219</v>
      </c>
      <c r="BA222" s="31">
        <f>[1]节奏总纲!BA222</f>
        <v>43.299793609838503</v>
      </c>
      <c r="BB222" s="31">
        <f>[1]节奏总纲!BB222</f>
        <v>44.811255241981506</v>
      </c>
      <c r="BC222" s="31">
        <f>[1]节奏总纲!BC222</f>
        <v>46.754011500516519</v>
      </c>
      <c r="BD222" s="31">
        <f>[1]节奏总纲!BD222</f>
        <v>49.495178300219621</v>
      </c>
      <c r="BE222" s="31">
        <f>[1]节奏总纲!BE222</f>
        <v>54.207033850681739</v>
      </c>
      <c r="BG222" s="34"/>
      <c r="BP222" s="34"/>
    </row>
    <row r="223" spans="29:68" s="31" customFormat="1" x14ac:dyDescent="0.15">
      <c r="AC223" s="31">
        <v>220</v>
      </c>
      <c r="AD223" s="31">
        <f>[1]节奏总纲!AD223</f>
        <v>77.875308029777003</v>
      </c>
      <c r="AE223" s="31">
        <f>[1]节奏总纲!AE223</f>
        <v>79.927696433225293</v>
      </c>
      <c r="AF223" s="31">
        <f>[1]节奏总纲!AF223</f>
        <v>82.897557970681731</v>
      </c>
      <c r="AG223" s="31">
        <f>[1]节奏总纲!AG223</f>
        <v>87.552555840488012</v>
      </c>
      <c r="AH223" s="31">
        <f>[1]节奏总纲!AH223</f>
        <v>96.79904406483179</v>
      </c>
      <c r="AJ223" s="34"/>
      <c r="AM223" s="31">
        <f>[1]节奏总纲!AM223</f>
        <v>0</v>
      </c>
      <c r="AN223" s="31">
        <f>[1]节奏总纲!AN223</f>
        <v>0</v>
      </c>
      <c r="AO223" s="31">
        <f>[1]节奏总纲!AO223</f>
        <v>0</v>
      </c>
      <c r="AP223" s="31">
        <f>[1]节奏总纲!AP223</f>
        <v>0</v>
      </c>
      <c r="AQ223" s="31">
        <f>[1]节奏总纲!AQ223</f>
        <v>0</v>
      </c>
      <c r="AR223" s="29"/>
      <c r="AT223" s="31">
        <f>[1]节奏总纲!AT223</f>
        <v>0</v>
      </c>
      <c r="AU223" s="31">
        <f>[1]节奏总纲!AU223</f>
        <v>0</v>
      </c>
      <c r="AV223" s="31">
        <f>[1]节奏总纲!AV223</f>
        <v>0</v>
      </c>
      <c r="AW223" s="31">
        <f>[1]节奏总纲!AW223</f>
        <v>0</v>
      </c>
      <c r="AX223" s="31">
        <f>[1]节奏总纲!AX223</f>
        <v>0</v>
      </c>
      <c r="AY223" s="29"/>
      <c r="AZ223" s="31">
        <v>220</v>
      </c>
      <c r="BA223" s="31">
        <f>[1]节奏总纲!BA223</f>
        <v>43.329750976586219</v>
      </c>
      <c r="BB223" s="31">
        <f>[1]节奏总纲!BB223</f>
        <v>44.843574549861387</v>
      </c>
      <c r="BC223" s="31">
        <f>[1]节奏总纲!BC223</f>
        <v>46.786118238547729</v>
      </c>
      <c r="BD223" s="31">
        <f>[1]节奏总纲!BD223</f>
        <v>49.526167968714425</v>
      </c>
      <c r="BE223" s="31">
        <f>[1]节奏总纲!BE223</f>
        <v>54.236799847277773</v>
      </c>
      <c r="BG223" s="34"/>
      <c r="BP223" s="34"/>
    </row>
    <row r="224" spans="29:68" s="31" customFormat="1" x14ac:dyDescent="0.15">
      <c r="AC224" s="31">
        <v>221</v>
      </c>
      <c r="AD224" s="31">
        <f>[1]节奏总纲!AD224</f>
        <v>77.942312709427185</v>
      </c>
      <c r="AE224" s="31">
        <f>[1]节奏总纲!AE224</f>
        <v>79.994335665275713</v>
      </c>
      <c r="AF224" s="31">
        <f>[1]节奏总纲!AF224</f>
        <v>82.963446482481729</v>
      </c>
      <c r="AG224" s="31">
        <f>[1]节奏总纲!AG224</f>
        <v>87.627034736560347</v>
      </c>
      <c r="AH224" s="31">
        <f>[1]节奏总纲!AH224</f>
        <v>96.85985417475716</v>
      </c>
      <c r="AJ224" s="34"/>
      <c r="AM224" s="31">
        <f>[1]节奏总纲!AM224</f>
        <v>0</v>
      </c>
      <c r="AN224" s="31">
        <f>[1]节奏总纲!AN224</f>
        <v>0</v>
      </c>
      <c r="AO224" s="31">
        <f>[1]节奏总纲!AO224</f>
        <v>0</v>
      </c>
      <c r="AP224" s="31">
        <f>[1]节奏总纲!AP224</f>
        <v>0</v>
      </c>
      <c r="AQ224" s="31">
        <f>[1]节奏总纲!AQ224</f>
        <v>0</v>
      </c>
      <c r="AR224" s="29"/>
      <c r="AT224" s="31">
        <f>[1]节奏总纲!AT224</f>
        <v>0</v>
      </c>
      <c r="AU224" s="31">
        <f>[1]节奏总纲!AU224</f>
        <v>0</v>
      </c>
      <c r="AV224" s="31">
        <f>[1]节奏总纲!AV224</f>
        <v>0</v>
      </c>
      <c r="AW224" s="31">
        <f>[1]节奏总纲!AW224</f>
        <v>0</v>
      </c>
      <c r="AX224" s="31">
        <f>[1]节奏总纲!AX224</f>
        <v>0</v>
      </c>
      <c r="AY224" s="29"/>
      <c r="AZ224" s="31">
        <v>221</v>
      </c>
      <c r="BA224" s="31">
        <f>[1]节奏总纲!BA224</f>
        <v>43.359708343333942</v>
      </c>
      <c r="BB224" s="31">
        <f>[1]节奏总纲!BB224</f>
        <v>44.875893857741268</v>
      </c>
      <c r="BC224" s="31">
        <f>[1]节奏总纲!BC224</f>
        <v>46.818224976578939</v>
      </c>
      <c r="BD224" s="31">
        <f>[1]节奏总纲!BD224</f>
        <v>49.55715763720923</v>
      </c>
      <c r="BE224" s="31">
        <f>[1]节奏总纲!BE224</f>
        <v>54.266565843873799</v>
      </c>
      <c r="BG224" s="34"/>
      <c r="BP224" s="34"/>
    </row>
    <row r="225" spans="29:68" s="31" customFormat="1" x14ac:dyDescent="0.15">
      <c r="AC225" s="31">
        <v>222</v>
      </c>
      <c r="AD225" s="31">
        <f>[1]节奏总纲!AD225</f>
        <v>78.008693431404168</v>
      </c>
      <c r="AE225" s="31">
        <f>[1]节奏总纲!AE225</f>
        <v>80.05990507131493</v>
      </c>
      <c r="AF225" s="31">
        <f>[1]节奏总纲!AF225</f>
        <v>83.028328094754301</v>
      </c>
      <c r="AG225" s="31">
        <f>[1]节奏总纲!AG225</f>
        <v>87.701513632632683</v>
      </c>
      <c r="AH225" s="31">
        <f>[1]节奏总纲!AH225</f>
        <v>96.920664284682516</v>
      </c>
      <c r="AJ225" s="34"/>
      <c r="AM225" s="31">
        <f>[1]节奏总纲!AM225</f>
        <v>0</v>
      </c>
      <c r="AN225" s="31">
        <f>[1]节奏总纲!AN225</f>
        <v>0</v>
      </c>
      <c r="AO225" s="31">
        <f>[1]节奏总纲!AO225</f>
        <v>0</v>
      </c>
      <c r="AP225" s="31">
        <f>[1]节奏总纲!AP225</f>
        <v>0</v>
      </c>
      <c r="AQ225" s="31">
        <f>[1]节奏总纲!AQ225</f>
        <v>0</v>
      </c>
      <c r="AR225" s="29"/>
      <c r="AT225" s="31">
        <f>[1]节奏总纲!AT225</f>
        <v>0</v>
      </c>
      <c r="AU225" s="31">
        <f>[1]节奏总纲!AU225</f>
        <v>0</v>
      </c>
      <c r="AV225" s="31">
        <f>[1]节奏总纲!AV225</f>
        <v>0</v>
      </c>
      <c r="AW225" s="31">
        <f>[1]节奏总纲!AW225</f>
        <v>0</v>
      </c>
      <c r="AX225" s="31">
        <f>[1]节奏总纲!AX225</f>
        <v>0</v>
      </c>
      <c r="AY225" s="29"/>
      <c r="AZ225" s="31">
        <v>222</v>
      </c>
      <c r="BA225" s="31">
        <f>[1]节奏总纲!BA225</f>
        <v>43.389665710081658</v>
      </c>
      <c r="BB225" s="31">
        <f>[1]节奏总纲!BB225</f>
        <v>44.908213165621142</v>
      </c>
      <c r="BC225" s="31">
        <f>[1]节奏总纲!BC225</f>
        <v>46.850331714610157</v>
      </c>
      <c r="BD225" s="31">
        <f>[1]节奏总纲!BD225</f>
        <v>49.588147305704041</v>
      </c>
      <c r="BE225" s="31">
        <f>[1]节奏总纲!BE225</f>
        <v>54.296331840469833</v>
      </c>
      <c r="BG225" s="34"/>
      <c r="BP225" s="34"/>
    </row>
    <row r="226" spans="29:68" s="31" customFormat="1" x14ac:dyDescent="0.15">
      <c r="AC226" s="31">
        <v>223</v>
      </c>
      <c r="AD226" s="31">
        <f>[1]节奏总纲!AD226</f>
        <v>78.071211008105138</v>
      </c>
      <c r="AE226" s="31">
        <f>[1]节奏总纲!AE226</f>
        <v>80.125375094609936</v>
      </c>
      <c r="AF226" s="31">
        <f>[1]节奏总纲!AF226</f>
        <v>83.091955037632331</v>
      </c>
      <c r="AG226" s="31">
        <f>[1]节奏总纲!AG226</f>
        <v>87.775992528705018</v>
      </c>
      <c r="AH226" s="31">
        <f>[1]节奏总纲!AH226</f>
        <v>96.981474394607886</v>
      </c>
      <c r="AJ226" s="34"/>
      <c r="AM226" s="31">
        <f>[1]节奏总纲!AM226</f>
        <v>0</v>
      </c>
      <c r="AN226" s="31">
        <f>[1]节奏总纲!AN226</f>
        <v>0</v>
      </c>
      <c r="AO226" s="31">
        <f>[1]节奏总纲!AO226</f>
        <v>0</v>
      </c>
      <c r="AP226" s="31">
        <f>[1]节奏总纲!AP226</f>
        <v>0</v>
      </c>
      <c r="AQ226" s="31">
        <f>[1]节奏总纲!AQ226</f>
        <v>0</v>
      </c>
      <c r="AR226" s="29"/>
      <c r="AT226" s="31">
        <f>[1]节奏总纲!AT226</f>
        <v>0</v>
      </c>
      <c r="AU226" s="31">
        <f>[1]节奏总纲!AU226</f>
        <v>0</v>
      </c>
      <c r="AV226" s="31">
        <f>[1]节奏总纲!AV226</f>
        <v>0</v>
      </c>
      <c r="AW226" s="31">
        <f>[1]节奏总纲!AW226</f>
        <v>0</v>
      </c>
      <c r="AX226" s="31">
        <f>[1]节奏总纲!AX226</f>
        <v>0</v>
      </c>
      <c r="AY226" s="29"/>
      <c r="AZ226" s="31">
        <v>223</v>
      </c>
      <c r="BA226" s="31">
        <f>[1]节奏总纲!BA226</f>
        <v>43.419623076829374</v>
      </c>
      <c r="BB226" s="31">
        <f>[1]节奏总纲!BB226</f>
        <v>44.940532473501023</v>
      </c>
      <c r="BC226" s="31">
        <f>[1]节奏总纲!BC226</f>
        <v>46.882438452641367</v>
      </c>
      <c r="BD226" s="31">
        <f>[1]节奏总纲!BD226</f>
        <v>49.619136974198845</v>
      </c>
      <c r="BE226" s="31">
        <f>[1]节奏总纲!BE226</f>
        <v>54.326097837065859</v>
      </c>
      <c r="BG226" s="34"/>
      <c r="BP226" s="34"/>
    </row>
    <row r="227" spans="29:68" s="31" customFormat="1" x14ac:dyDescent="0.15">
      <c r="AC227" s="31">
        <v>224</v>
      </c>
      <c r="AD227" s="31">
        <f>[1]节奏总纲!AD227</f>
        <v>78.133728584806107</v>
      </c>
      <c r="AE227" s="31">
        <f>[1]节奏总纲!AE227</f>
        <v>80.190845117904942</v>
      </c>
      <c r="AF227" s="31">
        <f>[1]节奏总纲!AF227</f>
        <v>83.155581980510348</v>
      </c>
      <c r="AG227" s="31">
        <f>[1]节奏总纲!AG227</f>
        <v>87.850471424777368</v>
      </c>
      <c r="AH227" s="31">
        <f>[1]节奏总纲!AH227</f>
        <v>97.03979962522213</v>
      </c>
      <c r="AJ227" s="34"/>
      <c r="AM227" s="31">
        <f>[1]节奏总纲!AM227</f>
        <v>0</v>
      </c>
      <c r="AN227" s="31">
        <f>[1]节奏总纲!AN227</f>
        <v>0</v>
      </c>
      <c r="AO227" s="31">
        <f>[1]节奏总纲!AO227</f>
        <v>0</v>
      </c>
      <c r="AP227" s="31">
        <f>[1]节奏总纲!AP227</f>
        <v>0</v>
      </c>
      <c r="AQ227" s="31">
        <f>[1]节奏总纲!AQ227</f>
        <v>0</v>
      </c>
      <c r="AR227" s="29"/>
      <c r="AT227" s="31">
        <f>[1]节奏总纲!AT227</f>
        <v>0</v>
      </c>
      <c r="AU227" s="31">
        <f>[1]节奏总纲!AU227</f>
        <v>0</v>
      </c>
      <c r="AV227" s="31">
        <f>[1]节奏总纲!AV227</f>
        <v>0</v>
      </c>
      <c r="AW227" s="31">
        <f>[1]节奏总纲!AW227</f>
        <v>0</v>
      </c>
      <c r="AX227" s="31">
        <f>[1]节奏总纲!AX227</f>
        <v>0</v>
      </c>
      <c r="AY227" s="29"/>
      <c r="AZ227" s="31">
        <v>224</v>
      </c>
      <c r="BA227" s="31">
        <f>[1]节奏总纲!BA227</f>
        <v>43.449580443577091</v>
      </c>
      <c r="BB227" s="31">
        <f>[1]节奏总纲!BB227</f>
        <v>44.972851781380903</v>
      </c>
      <c r="BC227" s="31">
        <f>[1]节奏总纲!BC227</f>
        <v>46.914545190672577</v>
      </c>
      <c r="BD227" s="31">
        <f>[1]节奏总纲!BD227</f>
        <v>49.65012664269365</v>
      </c>
      <c r="BE227" s="31">
        <f>[1]节奏总纲!BE227</f>
        <v>54.355863833661893</v>
      </c>
      <c r="BG227" s="34"/>
      <c r="BP227" s="34"/>
    </row>
    <row r="228" spans="29:68" s="31" customFormat="1" x14ac:dyDescent="0.15">
      <c r="AC228" s="31">
        <v>225</v>
      </c>
      <c r="AD228" s="31">
        <f>[1]节奏总纲!AD228</f>
        <v>78.196246161507091</v>
      </c>
      <c r="AE228" s="31">
        <f>[1]节奏总纲!AE228</f>
        <v>80.256315141199948</v>
      </c>
      <c r="AF228" s="31">
        <f>[1]节奏总纲!AF228</f>
        <v>83.219208923388379</v>
      </c>
      <c r="AG228" s="31">
        <f>[1]节奏总纲!AG228</f>
        <v>87.924950320849703</v>
      </c>
      <c r="AH228" s="31">
        <f>[1]节奏总纲!AH228</f>
        <v>97.097036185315744</v>
      </c>
      <c r="AJ228" s="34"/>
      <c r="AM228" s="31">
        <f>[1]节奏总纲!AM228</f>
        <v>0</v>
      </c>
      <c r="AN228" s="31">
        <f>[1]节奏总纲!AN228</f>
        <v>0</v>
      </c>
      <c r="AO228" s="31">
        <f>[1]节奏总纲!AO228</f>
        <v>0</v>
      </c>
      <c r="AP228" s="31">
        <f>[1]节奏总纲!AP228</f>
        <v>0</v>
      </c>
      <c r="AQ228" s="31">
        <f>[1]节奏总纲!AQ228</f>
        <v>0</v>
      </c>
      <c r="AR228" s="29"/>
      <c r="AT228" s="31">
        <f>[1]节奏总纲!AT228</f>
        <v>0</v>
      </c>
      <c r="AU228" s="31">
        <f>[1]节奏总纲!AU228</f>
        <v>0</v>
      </c>
      <c r="AV228" s="31">
        <f>[1]节奏总纲!AV228</f>
        <v>0</v>
      </c>
      <c r="AW228" s="31">
        <f>[1]节奏总纲!AW228</f>
        <v>0</v>
      </c>
      <c r="AX228" s="31">
        <f>[1]节奏总纲!AX228</f>
        <v>0</v>
      </c>
      <c r="AY228" s="29"/>
      <c r="AZ228" s="31">
        <v>225</v>
      </c>
      <c r="BA228" s="31">
        <f>[1]节奏总纲!BA228</f>
        <v>43.479537810324814</v>
      </c>
      <c r="BB228" s="31">
        <f>[1]节奏总纲!BB228</f>
        <v>45.004463376644416</v>
      </c>
      <c r="BC228" s="31">
        <f>[1]节奏总纲!BC228</f>
        <v>46.946651928703794</v>
      </c>
      <c r="BD228" s="31">
        <f>[1]节奏总纲!BD228</f>
        <v>49.681116311188454</v>
      </c>
      <c r="BE228" s="31">
        <f>[1]节奏总纲!BE228</f>
        <v>54.385629830257926</v>
      </c>
      <c r="BG228" s="34"/>
      <c r="BP228" s="34"/>
    </row>
    <row r="229" spans="29:68" s="31" customFormat="1" x14ac:dyDescent="0.15">
      <c r="AC229" s="31">
        <v>226</v>
      </c>
      <c r="AD229" s="31">
        <f>[1]节奏总纲!AD229</f>
        <v>78.25876373820806</v>
      </c>
      <c r="AE229" s="31">
        <f>[1]节奏总纲!AE229</f>
        <v>80.321785164494941</v>
      </c>
      <c r="AF229" s="31">
        <f>[1]节奏总纲!AF229</f>
        <v>83.282835866266396</v>
      </c>
      <c r="AG229" s="31">
        <f>[1]节奏总纲!AG229</f>
        <v>87.999429216922039</v>
      </c>
      <c r="AH229" s="31">
        <f>[1]节奏总纲!AH229</f>
        <v>97.154272745409358</v>
      </c>
      <c r="AJ229" s="34"/>
      <c r="AM229" s="31">
        <f>[1]节奏总纲!AM229</f>
        <v>0</v>
      </c>
      <c r="AN229" s="31">
        <f>[1]节奏总纲!AN229</f>
        <v>0</v>
      </c>
      <c r="AO229" s="31">
        <f>[1]节奏总纲!AO229</f>
        <v>0</v>
      </c>
      <c r="AP229" s="31">
        <f>[1]节奏总纲!AP229</f>
        <v>0</v>
      </c>
      <c r="AQ229" s="31">
        <f>[1]节奏总纲!AQ229</f>
        <v>0</v>
      </c>
      <c r="AR229" s="29"/>
      <c r="AT229" s="31">
        <f>[1]节奏总纲!AT229</f>
        <v>0</v>
      </c>
      <c r="AU229" s="31">
        <f>[1]节奏总纲!AU229</f>
        <v>0</v>
      </c>
      <c r="AV229" s="31">
        <f>[1]节奏总纲!AV229</f>
        <v>0</v>
      </c>
      <c r="AW229" s="31">
        <f>[1]节奏总纲!AW229</f>
        <v>0</v>
      </c>
      <c r="AX229" s="31">
        <f>[1]节奏总纲!AX229</f>
        <v>0</v>
      </c>
      <c r="AY229" s="29"/>
      <c r="AZ229" s="31">
        <v>226</v>
      </c>
      <c r="BA229" s="31">
        <f>[1]节奏总纲!BA229</f>
        <v>43.50949517707253</v>
      </c>
      <c r="BB229" s="31">
        <f>[1]节奏总纲!BB229</f>
        <v>45.032359480672049</v>
      </c>
      <c r="BC229" s="31">
        <f>[1]节奏总纲!BC229</f>
        <v>46.978758666735004</v>
      </c>
      <c r="BD229" s="31">
        <f>[1]节奏总纲!BD229</f>
        <v>49.712105979683258</v>
      </c>
      <c r="BE229" s="31">
        <f>[1]节奏总纲!BE229</f>
        <v>54.415395826853953</v>
      </c>
      <c r="BG229" s="34"/>
      <c r="BP229" s="34"/>
    </row>
    <row r="230" spans="29:68" s="31" customFormat="1" x14ac:dyDescent="0.15">
      <c r="AC230" s="31">
        <v>227</v>
      </c>
      <c r="AD230" s="31">
        <f>[1]节奏总纲!AD230</f>
        <v>78.321281314909029</v>
      </c>
      <c r="AE230" s="31">
        <f>[1]节奏总纲!AE230</f>
        <v>80.387255187789947</v>
      </c>
      <c r="AF230" s="31">
        <f>[1]节奏总纲!AF230</f>
        <v>83.346462809144427</v>
      </c>
      <c r="AG230" s="31">
        <f>[1]节奏总纲!AG230</f>
        <v>88.069378113045531</v>
      </c>
      <c r="AH230" s="31">
        <f>[1]节奏总纲!AH230</f>
        <v>97.211509305502972</v>
      </c>
      <c r="AJ230" s="34"/>
      <c r="AM230" s="31">
        <f>[1]节奏总纲!AM230</f>
        <v>0</v>
      </c>
      <c r="AN230" s="31">
        <f>[1]节奏总纲!AN230</f>
        <v>0</v>
      </c>
      <c r="AO230" s="31">
        <f>[1]节奏总纲!AO230</f>
        <v>0</v>
      </c>
      <c r="AP230" s="31">
        <f>[1]节奏总纲!AP230</f>
        <v>0</v>
      </c>
      <c r="AQ230" s="31">
        <f>[1]节奏总纲!AQ230</f>
        <v>0</v>
      </c>
      <c r="AR230" s="29"/>
      <c r="AT230" s="31">
        <f>[1]节奏总纲!AT230</f>
        <v>0</v>
      </c>
      <c r="AU230" s="31">
        <f>[1]节奏总纲!AU230</f>
        <v>0</v>
      </c>
      <c r="AV230" s="31">
        <f>[1]节奏总纲!AV230</f>
        <v>0</v>
      </c>
      <c r="AW230" s="31">
        <f>[1]节奏总纲!AW230</f>
        <v>0</v>
      </c>
      <c r="AX230" s="31">
        <f>[1]节奏总纲!AX230</f>
        <v>0</v>
      </c>
      <c r="AY230" s="29"/>
      <c r="AZ230" s="31">
        <v>227</v>
      </c>
      <c r="BA230" s="31">
        <f>[1]节奏总纲!BA230</f>
        <v>43.539452543820246</v>
      </c>
      <c r="BB230" s="31">
        <f>[1]节奏总纲!BB230</f>
        <v>45.060255584699682</v>
      </c>
      <c r="BC230" s="31">
        <f>[1]节奏总纲!BC230</f>
        <v>47.009379755645142</v>
      </c>
      <c r="BD230" s="31">
        <f>[1]节奏总纲!BD230</f>
        <v>49.743095648178063</v>
      </c>
      <c r="BE230" s="31">
        <f>[1]节奏总纲!BE230</f>
        <v>54.445161823449986</v>
      </c>
      <c r="BG230" s="34"/>
      <c r="BP230" s="34"/>
    </row>
    <row r="231" spans="29:68" s="31" customFormat="1" x14ac:dyDescent="0.15">
      <c r="AC231" s="31">
        <v>228</v>
      </c>
      <c r="AD231" s="31">
        <f>[1]节奏总纲!AD231</f>
        <v>78.383798891610013</v>
      </c>
      <c r="AE231" s="31">
        <f>[1]节奏总纲!AE231</f>
        <v>80.452725211084953</v>
      </c>
      <c r="AF231" s="31">
        <f>[1]节奏总纲!AF231</f>
        <v>83.410089752022458</v>
      </c>
      <c r="AG231" s="31">
        <f>[1]节奏总纲!AG231</f>
        <v>88.139292024548126</v>
      </c>
      <c r="AH231" s="31">
        <f>[1]节奏总纲!AH231</f>
        <v>97.268745865596571</v>
      </c>
      <c r="AJ231" s="34"/>
      <c r="AM231" s="31">
        <f>[1]节奏总纲!AM231</f>
        <v>0</v>
      </c>
      <c r="AN231" s="31">
        <f>[1]节奏总纲!AN231</f>
        <v>0</v>
      </c>
      <c r="AO231" s="31">
        <f>[1]节奏总纲!AO231</f>
        <v>0</v>
      </c>
      <c r="AP231" s="31">
        <f>[1]节奏总纲!AP231</f>
        <v>0</v>
      </c>
      <c r="AQ231" s="31">
        <f>[1]节奏总纲!AQ231</f>
        <v>0</v>
      </c>
      <c r="AR231" s="29"/>
      <c r="AT231" s="31">
        <f>[1]节奏总纲!AT231</f>
        <v>0</v>
      </c>
      <c r="AU231" s="31">
        <f>[1]节奏总纲!AU231</f>
        <v>0</v>
      </c>
      <c r="AV231" s="31">
        <f>[1]节奏总纲!AV231</f>
        <v>0</v>
      </c>
      <c r="AW231" s="31">
        <f>[1]节奏总纲!AW231</f>
        <v>0</v>
      </c>
      <c r="AX231" s="31">
        <f>[1]节奏总纲!AX231</f>
        <v>0</v>
      </c>
      <c r="AY231" s="29"/>
      <c r="AZ231" s="31">
        <v>228</v>
      </c>
      <c r="BA231" s="31">
        <f>[1]节奏总纲!BA231</f>
        <v>43.569409910567963</v>
      </c>
      <c r="BB231" s="31">
        <f>[1]节奏总纲!BB231</f>
        <v>45.088151688727308</v>
      </c>
      <c r="BC231" s="31">
        <f>[1]节奏总纲!BC231</f>
        <v>47.037096473409001</v>
      </c>
      <c r="BD231" s="31">
        <f>[1]节奏总纲!BD231</f>
        <v>49.774085316672867</v>
      </c>
      <c r="BE231" s="31">
        <f>[1]节奏总纲!BE231</f>
        <v>54.47492782004602</v>
      </c>
      <c r="BG231" s="34"/>
      <c r="BP231" s="34"/>
    </row>
    <row r="232" spans="29:68" s="31" customFormat="1" x14ac:dyDescent="0.15">
      <c r="AC232" s="31">
        <v>229</v>
      </c>
      <c r="AD232" s="31">
        <f>[1]节奏总纲!AD232</f>
        <v>78.446316468310982</v>
      </c>
      <c r="AE232" s="31">
        <f>[1]节奏总纲!AE232</f>
        <v>80.518195234379959</v>
      </c>
      <c r="AF232" s="31">
        <f>[1]节奏总纲!AF232</f>
        <v>83.473716694900475</v>
      </c>
      <c r="AG232" s="31">
        <f>[1]节奏总纲!AG232</f>
        <v>88.209205936050708</v>
      </c>
      <c r="AH232" s="31">
        <f>[1]节奏总纲!AH232</f>
        <v>97.325982425690185</v>
      </c>
      <c r="AJ232" s="34"/>
      <c r="AM232" s="31">
        <f>[1]节奏总纲!AM232</f>
        <v>0</v>
      </c>
      <c r="AN232" s="31">
        <f>[1]节奏总纲!AN232</f>
        <v>0</v>
      </c>
      <c r="AO232" s="31">
        <f>[1]节奏总纲!AO232</f>
        <v>0</v>
      </c>
      <c r="AP232" s="31">
        <f>[1]节奏总纲!AP232</f>
        <v>0</v>
      </c>
      <c r="AQ232" s="31">
        <f>[1]节奏总纲!AQ232</f>
        <v>0</v>
      </c>
      <c r="AR232" s="29"/>
      <c r="AT232" s="31">
        <f>[1]节奏总纲!AT232</f>
        <v>0</v>
      </c>
      <c r="AU232" s="31">
        <f>[1]节奏总纲!AU232</f>
        <v>0</v>
      </c>
      <c r="AV232" s="31">
        <f>[1]节奏总纲!AV232</f>
        <v>0</v>
      </c>
      <c r="AW232" s="31">
        <f>[1]节奏总纲!AW232</f>
        <v>0</v>
      </c>
      <c r="AX232" s="31">
        <f>[1]节奏总纲!AX232</f>
        <v>0</v>
      </c>
      <c r="AY232" s="29"/>
      <c r="AZ232" s="31">
        <v>229</v>
      </c>
      <c r="BA232" s="31">
        <f>[1]节奏总纲!BA232</f>
        <v>43.599367277315686</v>
      </c>
      <c r="BB232" s="31">
        <f>[1]节奏总纲!BB232</f>
        <v>45.116047792754941</v>
      </c>
      <c r="BC232" s="31">
        <f>[1]节奏总纲!BC232</f>
        <v>47.06481319117286</v>
      </c>
      <c r="BD232" s="31">
        <f>[1]节奏总纲!BD232</f>
        <v>49.805074985167678</v>
      </c>
      <c r="BE232" s="31">
        <f>[1]节奏总纲!BE232</f>
        <v>54.504693816642046</v>
      </c>
      <c r="BG232" s="34"/>
      <c r="BP232" s="34"/>
    </row>
    <row r="233" spans="29:68" s="31" customFormat="1" x14ac:dyDescent="0.15">
      <c r="AC233" s="31">
        <v>230</v>
      </c>
      <c r="AD233" s="31">
        <f>[1]节奏总纲!AD233</f>
        <v>78.508834045011952</v>
      </c>
      <c r="AE233" s="31">
        <f>[1]节奏总纲!AE233</f>
        <v>80.583665257674966</v>
      </c>
      <c r="AF233" s="31">
        <f>[1]节奏总纲!AF233</f>
        <v>83.537343637778505</v>
      </c>
      <c r="AG233" s="31">
        <f>[1]节奏总纲!AG233</f>
        <v>88.279119847553304</v>
      </c>
      <c r="AH233" s="31">
        <f>[1]节奏总纲!AH233</f>
        <v>97.383218985783799</v>
      </c>
      <c r="AJ233" s="34"/>
      <c r="AM233" s="31">
        <f>[1]节奏总纲!AM233</f>
        <v>0</v>
      </c>
      <c r="AN233" s="31">
        <f>[1]节奏总纲!AN233</f>
        <v>0</v>
      </c>
      <c r="AO233" s="31">
        <f>[1]节奏总纲!AO233</f>
        <v>0</v>
      </c>
      <c r="AP233" s="31">
        <f>[1]节奏总纲!AP233</f>
        <v>0</v>
      </c>
      <c r="AQ233" s="31">
        <f>[1]节奏总纲!AQ233</f>
        <v>0</v>
      </c>
      <c r="AR233" s="29"/>
      <c r="AT233" s="31">
        <f>[1]节奏总纲!AT233</f>
        <v>0</v>
      </c>
      <c r="AU233" s="31">
        <f>[1]节奏总纲!AU233</f>
        <v>0</v>
      </c>
      <c r="AV233" s="31">
        <f>[1]节奏总纲!AV233</f>
        <v>0</v>
      </c>
      <c r="AW233" s="31">
        <f>[1]节奏总纲!AW233</f>
        <v>0</v>
      </c>
      <c r="AX233" s="31">
        <f>[1]节奏总纲!AX233</f>
        <v>0</v>
      </c>
      <c r="AY233" s="29"/>
      <c r="AZ233" s="31">
        <v>230</v>
      </c>
      <c r="BA233" s="31">
        <f>[1]节奏总纲!BA233</f>
        <v>43.629324644063402</v>
      </c>
      <c r="BB233" s="31">
        <f>[1]节奏总纲!BB233</f>
        <v>45.143943896782567</v>
      </c>
      <c r="BC233" s="31">
        <f>[1]节奏总纲!BC233</f>
        <v>47.092529908936719</v>
      </c>
      <c r="BD233" s="31">
        <f>[1]节奏总纲!BD233</f>
        <v>49.836064653662483</v>
      </c>
      <c r="BE233" s="31">
        <f>[1]节奏总纲!BE233</f>
        <v>54.53445981323808</v>
      </c>
      <c r="BG233" s="34"/>
      <c r="BP233" s="34"/>
    </row>
    <row r="234" spans="29:68" s="31" customFormat="1" x14ac:dyDescent="0.15">
      <c r="AC234" s="31">
        <v>231</v>
      </c>
      <c r="AD234" s="31">
        <f>[1]节奏总纲!AD234</f>
        <v>78.571351621712921</v>
      </c>
      <c r="AE234" s="31">
        <f>[1]节奏总纲!AE234</f>
        <v>80.649135280969972</v>
      </c>
      <c r="AF234" s="31">
        <f>[1]节奏总纲!AF234</f>
        <v>83.600970580656536</v>
      </c>
      <c r="AG234" s="31">
        <f>[1]节奏总纲!AG234</f>
        <v>88.349033759055899</v>
      </c>
      <c r="AH234" s="31">
        <f>[1]节奏总纲!AH234</f>
        <v>97.440455545877413</v>
      </c>
      <c r="AJ234" s="34"/>
      <c r="AM234" s="31">
        <f>[1]节奏总纲!AM234</f>
        <v>0</v>
      </c>
      <c r="AN234" s="31">
        <f>[1]节奏总纲!AN234</f>
        <v>0</v>
      </c>
      <c r="AO234" s="31">
        <f>[1]节奏总纲!AO234</f>
        <v>0</v>
      </c>
      <c r="AP234" s="31">
        <f>[1]节奏总纲!AP234</f>
        <v>0</v>
      </c>
      <c r="AQ234" s="31">
        <f>[1]节奏总纲!AQ234</f>
        <v>0</v>
      </c>
      <c r="AR234" s="29"/>
      <c r="AT234" s="31">
        <f>[1]节奏总纲!AT234</f>
        <v>0</v>
      </c>
      <c r="AU234" s="31">
        <f>[1]节奏总纲!AU234</f>
        <v>0</v>
      </c>
      <c r="AV234" s="31">
        <f>[1]节奏总纲!AV234</f>
        <v>0</v>
      </c>
      <c r="AW234" s="31">
        <f>[1]节奏总纲!AW234</f>
        <v>0</v>
      </c>
      <c r="AX234" s="31">
        <f>[1]节奏总纲!AX234</f>
        <v>0</v>
      </c>
      <c r="AY234" s="29"/>
      <c r="AZ234" s="31">
        <v>231</v>
      </c>
      <c r="BA234" s="31">
        <f>[1]节奏总纲!BA234</f>
        <v>43.659282010811118</v>
      </c>
      <c r="BB234" s="31">
        <f>[1]节奏总纲!BB234</f>
        <v>45.171840000810199</v>
      </c>
      <c r="BC234" s="31">
        <f>[1]节奏总纲!BC234</f>
        <v>47.120246626700578</v>
      </c>
      <c r="BD234" s="31">
        <f>[1]节奏总纲!BD234</f>
        <v>49.867054322157287</v>
      </c>
      <c r="BE234" s="31">
        <f>[1]节奏总纲!BE234</f>
        <v>54.564225809834106</v>
      </c>
      <c r="BG234" s="34"/>
      <c r="BP234" s="34"/>
    </row>
    <row r="235" spans="29:68" s="31" customFormat="1" x14ac:dyDescent="0.15">
      <c r="AC235" s="31">
        <v>232</v>
      </c>
      <c r="AD235" s="31">
        <f>[1]节奏总纲!AD235</f>
        <v>78.633869198413905</v>
      </c>
      <c r="AE235" s="31">
        <f>[1]节奏总纲!AE235</f>
        <v>80.714605304264978</v>
      </c>
      <c r="AF235" s="31">
        <f>[1]节奏总纲!AF235</f>
        <v>83.664597523534553</v>
      </c>
      <c r="AG235" s="31">
        <f>[1]节奏总纲!AG235</f>
        <v>88.418947670558495</v>
      </c>
      <c r="AH235" s="31">
        <f>[1]节奏总纲!AH235</f>
        <v>97.497692105971026</v>
      </c>
      <c r="AJ235" s="34"/>
      <c r="AM235" s="31">
        <f>[1]节奏总纲!AM235</f>
        <v>0</v>
      </c>
      <c r="AN235" s="31">
        <f>[1]节奏总纲!AN235</f>
        <v>0</v>
      </c>
      <c r="AO235" s="31">
        <f>[1]节奏总纲!AO235</f>
        <v>0</v>
      </c>
      <c r="AP235" s="31">
        <f>[1]节奏总纲!AP235</f>
        <v>0</v>
      </c>
      <c r="AQ235" s="31">
        <f>[1]节奏总纲!AQ235</f>
        <v>0</v>
      </c>
      <c r="AR235" s="29"/>
      <c r="AT235" s="31">
        <f>[1]节奏总纲!AT235</f>
        <v>0</v>
      </c>
      <c r="AU235" s="31">
        <f>[1]节奏总纲!AU235</f>
        <v>0</v>
      </c>
      <c r="AV235" s="31">
        <f>[1]节奏总纲!AV235</f>
        <v>0</v>
      </c>
      <c r="AW235" s="31">
        <f>[1]节奏总纲!AW235</f>
        <v>0</v>
      </c>
      <c r="AX235" s="31">
        <f>[1]节奏总纲!AX235</f>
        <v>0</v>
      </c>
      <c r="AY235" s="29"/>
      <c r="AZ235" s="31">
        <v>232</v>
      </c>
      <c r="BA235" s="31">
        <f>[1]节奏总纲!BA235</f>
        <v>43.689239377558835</v>
      </c>
      <c r="BB235" s="31">
        <f>[1]节奏总纲!BB235</f>
        <v>45.199736104837825</v>
      </c>
      <c r="BC235" s="31">
        <f>[1]节奏总纲!BC235</f>
        <v>47.147963344464429</v>
      </c>
      <c r="BD235" s="31">
        <f>[1]节奏总纲!BD235</f>
        <v>49.898043990652091</v>
      </c>
      <c r="BE235" s="31">
        <f>[1]节奏总纲!BE235</f>
        <v>54.593991806430139</v>
      </c>
      <c r="BG235" s="34"/>
      <c r="BP235" s="34"/>
    </row>
    <row r="236" spans="29:68" s="31" customFormat="1" x14ac:dyDescent="0.15">
      <c r="AC236" s="31">
        <v>233</v>
      </c>
      <c r="AD236" s="31">
        <f>[1]节奏总纲!AD236</f>
        <v>78.696386775114874</v>
      </c>
      <c r="AE236" s="31">
        <f>[1]节奏总纲!AE236</f>
        <v>80.78007532755997</v>
      </c>
      <c r="AF236" s="31">
        <f>[1]节奏总纲!AF236</f>
        <v>83.728224466412584</v>
      </c>
      <c r="AG236" s="31">
        <f>[1]节奏总纲!AG236</f>
        <v>88.488861582061077</v>
      </c>
      <c r="AH236" s="31">
        <f>[1]节奏总纲!AH236</f>
        <v>97.554928666064626</v>
      </c>
      <c r="AJ236" s="34"/>
      <c r="AM236" s="31">
        <f>[1]节奏总纲!AM236</f>
        <v>0</v>
      </c>
      <c r="AN236" s="31">
        <f>[1]节奏总纲!AN236</f>
        <v>0</v>
      </c>
      <c r="AO236" s="31">
        <f>[1]节奏总纲!AO236</f>
        <v>0</v>
      </c>
      <c r="AP236" s="31">
        <f>[1]节奏总纲!AP236</f>
        <v>0</v>
      </c>
      <c r="AQ236" s="31">
        <f>[1]节奏总纲!AQ236</f>
        <v>0</v>
      </c>
      <c r="AR236" s="29"/>
      <c r="AT236" s="31">
        <f>[1]节奏总纲!AT236</f>
        <v>0</v>
      </c>
      <c r="AU236" s="31">
        <f>[1]节奏总纲!AU236</f>
        <v>0</v>
      </c>
      <c r="AV236" s="31">
        <f>[1]节奏总纲!AV236</f>
        <v>0</v>
      </c>
      <c r="AW236" s="31">
        <f>[1]节奏总纲!AW236</f>
        <v>0</v>
      </c>
      <c r="AX236" s="31">
        <f>[1]节奏总纲!AX236</f>
        <v>0</v>
      </c>
      <c r="AY236" s="29"/>
      <c r="AZ236" s="31">
        <v>233</v>
      </c>
      <c r="BA236" s="31">
        <f>[1]节奏总纲!BA236</f>
        <v>43.719196744306558</v>
      </c>
      <c r="BB236" s="31">
        <f>[1]节奏总纲!BB236</f>
        <v>45.227632208865458</v>
      </c>
      <c r="BC236" s="31">
        <f>[1]节奏总纲!BC236</f>
        <v>47.175680062228288</v>
      </c>
      <c r="BD236" s="31">
        <f>[1]节奏总纲!BD236</f>
        <v>49.929033659146896</v>
      </c>
      <c r="BE236" s="31">
        <f>[1]节奏总纲!BE236</f>
        <v>54.623757803026173</v>
      </c>
      <c r="BG236" s="34"/>
      <c r="BP236" s="34"/>
    </row>
    <row r="237" spans="29:68" s="31" customFormat="1" x14ac:dyDescent="0.15">
      <c r="AC237" s="31">
        <v>234</v>
      </c>
      <c r="AD237" s="31">
        <f>[1]节奏总纲!AD237</f>
        <v>78.758904351815843</v>
      </c>
      <c r="AE237" s="31">
        <f>[1]节奏总纲!AE237</f>
        <v>80.845545350854977</v>
      </c>
      <c r="AF237" s="31">
        <f>[1]节奏总纲!AF237</f>
        <v>83.791851409290615</v>
      </c>
      <c r="AG237" s="31">
        <f>[1]节奏总纲!AG237</f>
        <v>88.558775493563672</v>
      </c>
      <c r="AH237" s="31">
        <f>[1]节奏总纲!AH237</f>
        <v>97.61216522615824</v>
      </c>
      <c r="AJ237" s="34"/>
      <c r="AM237" s="31">
        <f>[1]节奏总纲!AM237</f>
        <v>0</v>
      </c>
      <c r="AN237" s="31">
        <f>[1]节奏总纲!AN237</f>
        <v>0</v>
      </c>
      <c r="AO237" s="31">
        <f>[1]节奏总纲!AO237</f>
        <v>0</v>
      </c>
      <c r="AP237" s="31">
        <f>[1]节奏总纲!AP237</f>
        <v>0</v>
      </c>
      <c r="AQ237" s="31">
        <f>[1]节奏总纲!AQ237</f>
        <v>0</v>
      </c>
      <c r="AR237" s="29"/>
      <c r="AT237" s="31">
        <f>[1]节奏总纲!AT237</f>
        <v>0</v>
      </c>
      <c r="AU237" s="31">
        <f>[1]节奏总纲!AU237</f>
        <v>0</v>
      </c>
      <c r="AV237" s="31">
        <f>[1]节奏总纲!AV237</f>
        <v>0</v>
      </c>
      <c r="AW237" s="31">
        <f>[1]节奏总纲!AW237</f>
        <v>0</v>
      </c>
      <c r="AX237" s="31">
        <f>[1]节奏总纲!AX237</f>
        <v>0</v>
      </c>
      <c r="AY237" s="29"/>
      <c r="AZ237" s="31">
        <v>234</v>
      </c>
      <c r="BA237" s="31">
        <f>[1]节奏总纲!BA237</f>
        <v>43.749154111054274</v>
      </c>
      <c r="BB237" s="31">
        <f>[1]节奏总纲!BB237</f>
        <v>45.255528312893091</v>
      </c>
      <c r="BC237" s="31">
        <f>[1]节奏总纲!BC237</f>
        <v>47.203396779992147</v>
      </c>
      <c r="BD237" s="31">
        <f>[1]节奏总纲!BD237</f>
        <v>49.9600233276417</v>
      </c>
      <c r="BE237" s="31">
        <f>[1]节奏总纲!BE237</f>
        <v>54.653523799622199</v>
      </c>
      <c r="BG237" s="34"/>
      <c r="BP237" s="34"/>
    </row>
    <row r="238" spans="29:68" s="31" customFormat="1" x14ac:dyDescent="0.15">
      <c r="AC238" s="31">
        <v>235</v>
      </c>
      <c r="AD238" s="31">
        <f>[1]节奏总纲!AD238</f>
        <v>78.821421928516827</v>
      </c>
      <c r="AE238" s="31">
        <f>[1]节奏总纲!AE238</f>
        <v>80.911015374149983</v>
      </c>
      <c r="AF238" s="31">
        <f>[1]节奏总纲!AF238</f>
        <v>83.855478352168632</v>
      </c>
      <c r="AG238" s="31">
        <f>[1]节奏总纲!AG238</f>
        <v>88.628689405066268</v>
      </c>
      <c r="AH238" s="31">
        <f>[1]节奏总纲!AH238</f>
        <v>97.669401786251854</v>
      </c>
      <c r="AJ238" s="34"/>
      <c r="AM238" s="31">
        <f>[1]节奏总纲!AM238</f>
        <v>0</v>
      </c>
      <c r="AN238" s="31">
        <f>[1]节奏总纲!AN238</f>
        <v>0</v>
      </c>
      <c r="AO238" s="31">
        <f>[1]节奏总纲!AO238</f>
        <v>0</v>
      </c>
      <c r="AP238" s="31">
        <f>[1]节奏总纲!AP238</f>
        <v>0</v>
      </c>
      <c r="AQ238" s="31">
        <f>[1]节奏总纲!AQ238</f>
        <v>0</v>
      </c>
      <c r="AR238" s="29"/>
      <c r="AT238" s="31">
        <f>[1]节奏总纲!AT238</f>
        <v>0</v>
      </c>
      <c r="AU238" s="31">
        <f>[1]节奏总纲!AU238</f>
        <v>0</v>
      </c>
      <c r="AV238" s="31">
        <f>[1]节奏总纲!AV238</f>
        <v>0</v>
      </c>
      <c r="AW238" s="31">
        <f>[1]节奏总纲!AW238</f>
        <v>0</v>
      </c>
      <c r="AX238" s="31">
        <f>[1]节奏总纲!AX238</f>
        <v>0</v>
      </c>
      <c r="AY238" s="29"/>
      <c r="AZ238" s="31">
        <v>235</v>
      </c>
      <c r="BA238" s="31">
        <f>[1]节奏总纲!BA238</f>
        <v>43.77911147780199</v>
      </c>
      <c r="BB238" s="31">
        <f>[1]节奏总纲!BB238</f>
        <v>45.283424416920717</v>
      </c>
      <c r="BC238" s="31">
        <f>[1]节奏总纲!BC238</f>
        <v>47.231113497756006</v>
      </c>
      <c r="BD238" s="31">
        <f>[1]节奏总纲!BD238</f>
        <v>49.991012996136504</v>
      </c>
      <c r="BE238" s="31">
        <f>[1]节奏总纲!BE238</f>
        <v>54.683289796218233</v>
      </c>
      <c r="BG238" s="34"/>
      <c r="BP238" s="34"/>
    </row>
    <row r="239" spans="29:68" s="31" customFormat="1" x14ac:dyDescent="0.15">
      <c r="AC239" s="31">
        <v>236</v>
      </c>
      <c r="AD239" s="31">
        <f>[1]节奏总纲!AD239</f>
        <v>78.883939505217796</v>
      </c>
      <c r="AE239" s="31">
        <f>[1]节奏总纲!AE239</f>
        <v>80.976485397444989</v>
      </c>
      <c r="AF239" s="31">
        <f>[1]节奏总纲!AF239</f>
        <v>83.919105295046663</v>
      </c>
      <c r="AG239" s="31">
        <f>[1]节奏总纲!AG239</f>
        <v>88.698603316568864</v>
      </c>
      <c r="AH239" s="31">
        <f>[1]节奏总纲!AH239</f>
        <v>97.726638346345467</v>
      </c>
      <c r="AJ239" s="34"/>
      <c r="AM239" s="31">
        <f>[1]节奏总纲!AM239</f>
        <v>0</v>
      </c>
      <c r="AN239" s="31">
        <f>[1]节奏总纲!AN239</f>
        <v>0</v>
      </c>
      <c r="AO239" s="31">
        <f>[1]节奏总纲!AO239</f>
        <v>0</v>
      </c>
      <c r="AP239" s="31">
        <f>[1]节奏总纲!AP239</f>
        <v>0</v>
      </c>
      <c r="AQ239" s="31">
        <f>[1]节奏总纲!AQ239</f>
        <v>0</v>
      </c>
      <c r="AR239" s="29"/>
      <c r="AT239" s="31">
        <f>[1]节奏总纲!AT239</f>
        <v>0</v>
      </c>
      <c r="AU239" s="31">
        <f>[1]节奏总纲!AU239</f>
        <v>0</v>
      </c>
      <c r="AV239" s="31">
        <f>[1]节奏总纲!AV239</f>
        <v>0</v>
      </c>
      <c r="AW239" s="31">
        <f>[1]节奏总纲!AW239</f>
        <v>0</v>
      </c>
      <c r="AX239" s="31">
        <f>[1]节奏总纲!AX239</f>
        <v>0</v>
      </c>
      <c r="AY239" s="29"/>
      <c r="AZ239" s="31">
        <v>236</v>
      </c>
      <c r="BA239" s="31">
        <f>[1]节奏总纲!BA239</f>
        <v>43.809068844549707</v>
      </c>
      <c r="BB239" s="31">
        <f>[1]节奏总纲!BB239</f>
        <v>45.31132052094835</v>
      </c>
      <c r="BC239" s="31">
        <f>[1]节奏总纲!BC239</f>
        <v>47.258830215519865</v>
      </c>
      <c r="BD239" s="31">
        <f>[1]节奏总纲!BD239</f>
        <v>50.018998195299922</v>
      </c>
      <c r="BE239" s="31">
        <f>[1]节奏总纲!BE239</f>
        <v>54.713055792814259</v>
      </c>
      <c r="BG239" s="34"/>
      <c r="BP239" s="34"/>
    </row>
    <row r="240" spans="29:68" s="31" customFormat="1" x14ac:dyDescent="0.15">
      <c r="AC240" s="31">
        <v>237</v>
      </c>
      <c r="AD240" s="31">
        <f>[1]节奏总纲!AD240</f>
        <v>78.946457081918766</v>
      </c>
      <c r="AE240" s="31">
        <f>[1]节奏总纲!AE240</f>
        <v>81.038163244467697</v>
      </c>
      <c r="AF240" s="31">
        <f>[1]节奏总纲!AF240</f>
        <v>83.982732237924694</v>
      </c>
      <c r="AG240" s="31">
        <f>[1]节奏总纲!AG240</f>
        <v>88.768517228071445</v>
      </c>
      <c r="AH240" s="31">
        <f>[1]节奏总纲!AH240</f>
        <v>97.783874906439081</v>
      </c>
      <c r="AJ240" s="34"/>
      <c r="AM240" s="31">
        <f>[1]节奏总纲!AM240</f>
        <v>0</v>
      </c>
      <c r="AN240" s="31">
        <f>[1]节奏总纲!AN240</f>
        <v>0</v>
      </c>
      <c r="AO240" s="31">
        <f>[1]节奏总纲!AO240</f>
        <v>0</v>
      </c>
      <c r="AP240" s="31">
        <f>[1]节奏总纲!AP240</f>
        <v>0</v>
      </c>
      <c r="AQ240" s="31">
        <f>[1]节奏总纲!AQ240</f>
        <v>0</v>
      </c>
      <c r="AR240" s="29"/>
      <c r="AT240" s="31">
        <f>[1]节奏总纲!AT240</f>
        <v>0</v>
      </c>
      <c r="AU240" s="31">
        <f>[1]节奏总纲!AU240</f>
        <v>0</v>
      </c>
      <c r="AV240" s="31">
        <f>[1]节奏总纲!AV240</f>
        <v>0</v>
      </c>
      <c r="AW240" s="31">
        <f>[1]节奏总纲!AW240</f>
        <v>0</v>
      </c>
      <c r="AX240" s="31">
        <f>[1]节奏总纲!AX240</f>
        <v>0</v>
      </c>
      <c r="AY240" s="29"/>
      <c r="AZ240" s="31">
        <v>237</v>
      </c>
      <c r="BA240" s="31">
        <f>[1]节奏总纲!BA240</f>
        <v>43.83902621129743</v>
      </c>
      <c r="BB240" s="31">
        <f>[1]节奏总纲!BB240</f>
        <v>45.339216624975975</v>
      </c>
      <c r="BC240" s="31">
        <f>[1]节奏总纲!BC240</f>
        <v>47.286546933283724</v>
      </c>
      <c r="BD240" s="31">
        <f>[1]节奏总纲!BD240</f>
        <v>50.045756216849099</v>
      </c>
      <c r="BE240" s="31">
        <f>[1]节奏总纲!BE240</f>
        <v>54.742821789410293</v>
      </c>
      <c r="BG240" s="34"/>
      <c r="BP240" s="34"/>
    </row>
    <row r="241" spans="29:68" s="31" customFormat="1" x14ac:dyDescent="0.15">
      <c r="AC241" s="31">
        <v>238</v>
      </c>
      <c r="AD241" s="31">
        <f>[1]节奏总纲!AD241</f>
        <v>79.008373652580005</v>
      </c>
      <c r="AE241" s="31">
        <f>[1]节奏总纲!AE241</f>
        <v>81.097715704203424</v>
      </c>
      <c r="AF241" s="31">
        <f>[1]节奏总纲!AF241</f>
        <v>84.043767921022209</v>
      </c>
      <c r="AG241" s="31">
        <f>[1]节奏总纲!AG241</f>
        <v>88.838431139574041</v>
      </c>
      <c r="AH241" s="31">
        <f>[1]节奏总纲!AH241</f>
        <v>97.841111466532681</v>
      </c>
      <c r="AJ241" s="34"/>
      <c r="AM241" s="31">
        <f>[1]节奏总纲!AM241</f>
        <v>0</v>
      </c>
      <c r="AN241" s="31">
        <f>[1]节奏总纲!AN241</f>
        <v>0</v>
      </c>
      <c r="AO241" s="31">
        <f>[1]节奏总纲!AO241</f>
        <v>0</v>
      </c>
      <c r="AP241" s="31">
        <f>[1]节奏总纲!AP241</f>
        <v>0</v>
      </c>
      <c r="AQ241" s="31">
        <f>[1]节奏总纲!AQ241</f>
        <v>0</v>
      </c>
      <c r="AR241" s="29"/>
      <c r="AT241" s="31">
        <f>[1]节奏总纲!AT241</f>
        <v>0</v>
      </c>
      <c r="AU241" s="31">
        <f>[1]节奏总纲!AU241</f>
        <v>0</v>
      </c>
      <c r="AV241" s="31">
        <f>[1]节奏总纲!AV241</f>
        <v>0</v>
      </c>
      <c r="AW241" s="31">
        <f>[1]节奏总纲!AW241</f>
        <v>0</v>
      </c>
      <c r="AX241" s="31">
        <f>[1]节奏总纲!AX241</f>
        <v>0</v>
      </c>
      <c r="AY241" s="29"/>
      <c r="AZ241" s="31">
        <v>238</v>
      </c>
      <c r="BA241" s="31">
        <f>[1]节奏总纲!BA241</f>
        <v>43.868983578045146</v>
      </c>
      <c r="BB241" s="31">
        <f>[1]节奏总纲!BB241</f>
        <v>45.367112729003608</v>
      </c>
      <c r="BC241" s="31">
        <f>[1]节奏总纲!BC241</f>
        <v>47.314263651047582</v>
      </c>
      <c r="BD241" s="31">
        <f>[1]节奏总纲!BD241</f>
        <v>50.072514238398277</v>
      </c>
      <c r="BE241" s="31">
        <f>[1]节奏总纲!BE241</f>
        <v>54.772587786006326</v>
      </c>
      <c r="BG241" s="34"/>
      <c r="BP241" s="34"/>
    </row>
    <row r="242" spans="29:68" s="31" customFormat="1" x14ac:dyDescent="0.15">
      <c r="AC242" s="31">
        <v>239</v>
      </c>
      <c r="AD242" s="31">
        <f>[1]节奏总纲!AD242</f>
        <v>79.066704614192943</v>
      </c>
      <c r="AE242" s="31">
        <f>[1]节奏总纲!AE242</f>
        <v>81.157268163939136</v>
      </c>
      <c r="AF242" s="31">
        <f>[1]节奏总纲!AF242</f>
        <v>84.103838417578672</v>
      </c>
      <c r="AG242" s="31">
        <f>[1]节奏总纲!AG242</f>
        <v>88.908345051076637</v>
      </c>
      <c r="AH242" s="31">
        <f>[1]节奏总纲!AH242</f>
        <v>97.898348026626294</v>
      </c>
      <c r="AJ242" s="34"/>
      <c r="AM242" s="31">
        <f>[1]节奏总纲!AM242</f>
        <v>0</v>
      </c>
      <c r="AN242" s="31">
        <f>[1]节奏总纲!AN242</f>
        <v>0</v>
      </c>
      <c r="AO242" s="31">
        <f>[1]节奏总纲!AO242</f>
        <v>0</v>
      </c>
      <c r="AP242" s="31">
        <f>[1]节奏总纲!AP242</f>
        <v>0</v>
      </c>
      <c r="AQ242" s="31">
        <f>[1]节奏总纲!AQ242</f>
        <v>0</v>
      </c>
      <c r="AR242" s="29"/>
      <c r="AT242" s="31">
        <f>[1]节奏总纲!AT242</f>
        <v>0</v>
      </c>
      <c r="AU242" s="31">
        <f>[1]节奏总纲!AU242</f>
        <v>0</v>
      </c>
      <c r="AV242" s="31">
        <f>[1]节奏总纲!AV242</f>
        <v>0</v>
      </c>
      <c r="AW242" s="31">
        <f>[1]节奏总纲!AW242</f>
        <v>0</v>
      </c>
      <c r="AX242" s="31">
        <f>[1]节奏总纲!AX242</f>
        <v>0</v>
      </c>
      <c r="AY242" s="29"/>
      <c r="AZ242" s="31">
        <v>239</v>
      </c>
      <c r="BA242" s="31">
        <f>[1]节奏总纲!BA242</f>
        <v>43.898940944792862</v>
      </c>
      <c r="BB242" s="31">
        <f>[1]节奏总纲!BB242</f>
        <v>45.395008833031234</v>
      </c>
      <c r="BC242" s="31">
        <f>[1]节奏总纲!BC242</f>
        <v>47.341980368811441</v>
      </c>
      <c r="BD242" s="31">
        <f>[1]节奏总纲!BD242</f>
        <v>50.099272259947462</v>
      </c>
      <c r="BE242" s="31">
        <f>[1]节奏总纲!BE242</f>
        <v>54.802353782602353</v>
      </c>
      <c r="BG242" s="34"/>
      <c r="BP242" s="34"/>
    </row>
    <row r="243" spans="29:68" s="31" customFormat="1" x14ac:dyDescent="0.15">
      <c r="AC243" s="31">
        <v>240</v>
      </c>
      <c r="AD243" s="31">
        <f>[1]节奏总纲!AD243</f>
        <v>79.125035575805882</v>
      </c>
      <c r="AE243" s="31">
        <f>[1]节奏总纲!AE243</f>
        <v>81.216820623674849</v>
      </c>
      <c r="AF243" s="31">
        <f>[1]节奏总纲!AF243</f>
        <v>84.163908914135135</v>
      </c>
      <c r="AG243" s="31">
        <f>[1]节奏总纲!AG243</f>
        <v>88.978258962579233</v>
      </c>
      <c r="AH243" s="31">
        <f>[1]节奏总纲!AH243</f>
        <v>97.955584586719908</v>
      </c>
      <c r="AJ243" s="34"/>
      <c r="AM243" s="31">
        <f>[1]节奏总纲!AM243</f>
        <v>0</v>
      </c>
      <c r="AN243" s="31">
        <f>[1]节奏总纲!AN243</f>
        <v>0</v>
      </c>
      <c r="AO243" s="31">
        <f>[1]节奏总纲!AO243</f>
        <v>0</v>
      </c>
      <c r="AP243" s="31">
        <f>[1]节奏总纲!AP243</f>
        <v>0</v>
      </c>
      <c r="AQ243" s="31">
        <f>[1]节奏总纲!AQ243</f>
        <v>0</v>
      </c>
      <c r="AR243" s="29"/>
      <c r="AT243" s="31">
        <f>[1]节奏总纲!AT243</f>
        <v>0</v>
      </c>
      <c r="AU243" s="31">
        <f>[1]节奏总纲!AU243</f>
        <v>0</v>
      </c>
      <c r="AV243" s="31">
        <f>[1]节奏总纲!AV243</f>
        <v>0</v>
      </c>
      <c r="AW243" s="31">
        <f>[1]节奏总纲!AW243</f>
        <v>0</v>
      </c>
      <c r="AX243" s="31">
        <f>[1]节奏总纲!AX243</f>
        <v>0</v>
      </c>
      <c r="AY243" s="29"/>
      <c r="AZ243" s="31">
        <v>240</v>
      </c>
      <c r="BA243" s="31">
        <f>[1]节奏总纲!BA243</f>
        <v>43.928898311540586</v>
      </c>
      <c r="BB243" s="31">
        <f>[1]节奏总纲!BB243</f>
        <v>45.422904937058867</v>
      </c>
      <c r="BC243" s="31">
        <f>[1]节奏总纲!BC243</f>
        <v>47.3696970865753</v>
      </c>
      <c r="BD243" s="31">
        <f>[1]节奏总纲!BD243</f>
        <v>50.126030281496639</v>
      </c>
      <c r="BE243" s="31">
        <f>[1]节奏总纲!BE243</f>
        <v>54.832119779198386</v>
      </c>
      <c r="BG243" s="34"/>
      <c r="BP243" s="34"/>
    </row>
    <row r="244" spans="29:68" s="31" customFormat="1" x14ac:dyDescent="0.15">
      <c r="AC244" s="31">
        <v>241</v>
      </c>
      <c r="AD244" s="31">
        <f>[1]节奏总纲!AD244</f>
        <v>79.18336653741882</v>
      </c>
      <c r="AE244" s="31">
        <f>[1]节奏总纲!AE244</f>
        <v>81.276373083410562</v>
      </c>
      <c r="AF244" s="31">
        <f>[1]节奏总纲!AF244</f>
        <v>84.223979410691598</v>
      </c>
      <c r="AG244" s="31">
        <f>[1]节奏总纲!AG244</f>
        <v>89.047272179270863</v>
      </c>
      <c r="AH244" s="31">
        <f>[1]节奏总纲!AH244</f>
        <v>98.013314854852808</v>
      </c>
      <c r="AJ244" s="34"/>
      <c r="AM244" s="31">
        <f>[1]节奏总纲!AM244</f>
        <v>0</v>
      </c>
      <c r="AN244" s="31">
        <f>[1]节奏总纲!AN244</f>
        <v>0</v>
      </c>
      <c r="AO244" s="31">
        <f>[1]节奏总纲!AO244</f>
        <v>0</v>
      </c>
      <c r="AP244" s="31">
        <f>[1]节奏总纲!AP244</f>
        <v>0</v>
      </c>
      <c r="AQ244" s="31">
        <f>[1]节奏总纲!AQ244</f>
        <v>0</v>
      </c>
      <c r="AR244" s="29"/>
      <c r="AT244" s="31">
        <f>[1]节奏总纲!AT244</f>
        <v>0</v>
      </c>
      <c r="AU244" s="31">
        <f>[1]节奏总纲!AU244</f>
        <v>0</v>
      </c>
      <c r="AV244" s="31">
        <f>[1]节奏总纲!AV244</f>
        <v>0</v>
      </c>
      <c r="AW244" s="31">
        <f>[1]节奏总纲!AW244</f>
        <v>0</v>
      </c>
      <c r="AX244" s="31">
        <f>[1]节奏总纲!AX244</f>
        <v>0</v>
      </c>
      <c r="AY244" s="29"/>
      <c r="AZ244" s="31">
        <v>241</v>
      </c>
      <c r="BA244" s="31">
        <f>[1]节奏总纲!BA244</f>
        <v>43.958855678288302</v>
      </c>
      <c r="BB244" s="31">
        <f>[1]节奏总纲!BB244</f>
        <v>45.450801041086493</v>
      </c>
      <c r="BC244" s="31">
        <f>[1]节奏总纲!BC244</f>
        <v>47.397413804339159</v>
      </c>
      <c r="BD244" s="31">
        <f>[1]节奏总纲!BD244</f>
        <v>50.152788303045817</v>
      </c>
      <c r="BE244" s="31">
        <f>[1]节奏总纲!BE244</f>
        <v>54.86188577579442</v>
      </c>
      <c r="BG244" s="34"/>
      <c r="BP244" s="34"/>
    </row>
    <row r="245" spans="29:68" s="31" customFormat="1" x14ac:dyDescent="0.15">
      <c r="AC245" s="31">
        <v>242</v>
      </c>
      <c r="AD245" s="31">
        <f>[1]节奏总纲!AD245</f>
        <v>79.241697499031773</v>
      </c>
      <c r="AE245" s="31">
        <f>[1]节奏总纲!AE245</f>
        <v>81.335925543146274</v>
      </c>
      <c r="AF245" s="31">
        <f>[1]节奏总纲!AF245</f>
        <v>84.284049907248061</v>
      </c>
      <c r="AG245" s="31">
        <f>[1]节奏总纲!AG245</f>
        <v>89.11587890081428</v>
      </c>
      <c r="AH245" s="31">
        <f>[1]节奏总纲!AH245</f>
        <v>98.072755441643167</v>
      </c>
      <c r="AJ245" s="34"/>
      <c r="AM245" s="31">
        <f>[1]节奏总纲!AM245</f>
        <v>0</v>
      </c>
      <c r="AN245" s="31">
        <f>[1]节奏总纲!AN245</f>
        <v>0</v>
      </c>
      <c r="AO245" s="31">
        <f>[1]节奏总纲!AO245</f>
        <v>0</v>
      </c>
      <c r="AP245" s="31">
        <f>[1]节奏总纲!AP245</f>
        <v>0</v>
      </c>
      <c r="AQ245" s="31">
        <f>[1]节奏总纲!AQ245</f>
        <v>0</v>
      </c>
      <c r="AR245" s="29"/>
      <c r="AT245" s="31">
        <f>[1]节奏总纲!AT245</f>
        <v>0</v>
      </c>
      <c r="AU245" s="31">
        <f>[1]节奏总纲!AU245</f>
        <v>0</v>
      </c>
      <c r="AV245" s="31">
        <f>[1]节奏总纲!AV245</f>
        <v>0</v>
      </c>
      <c r="AW245" s="31">
        <f>[1]节奏总纲!AW245</f>
        <v>0</v>
      </c>
      <c r="AX245" s="31">
        <f>[1]节奏总纲!AX245</f>
        <v>0</v>
      </c>
      <c r="AY245" s="29"/>
      <c r="AZ245" s="31">
        <v>242</v>
      </c>
      <c r="BA245" s="31">
        <f>[1]节奏总纲!BA245</f>
        <v>43.988813045036018</v>
      </c>
      <c r="BB245" s="31">
        <f>[1]节奏总纲!BB245</f>
        <v>45.478697145114126</v>
      </c>
      <c r="BC245" s="31">
        <f>[1]节奏总纲!BC245</f>
        <v>47.425130522103018</v>
      </c>
      <c r="BD245" s="31">
        <f>[1]节奏总纲!BD245</f>
        <v>50.179546324595002</v>
      </c>
      <c r="BE245" s="31">
        <f>[1]节奏总纲!BE245</f>
        <v>54.891651772390446</v>
      </c>
      <c r="BG245" s="34"/>
      <c r="BP245" s="34"/>
    </row>
    <row r="246" spans="29:68" s="31" customFormat="1" x14ac:dyDescent="0.15">
      <c r="AC246" s="31">
        <v>243</v>
      </c>
      <c r="AD246" s="31">
        <f>[1]节奏总纲!AD246</f>
        <v>79.300028460644711</v>
      </c>
      <c r="AE246" s="31">
        <f>[1]节奏总纲!AE246</f>
        <v>81.395478002882001</v>
      </c>
      <c r="AF246" s="31">
        <f>[1]节奏总纲!AF246</f>
        <v>84.344120403804524</v>
      </c>
      <c r="AG246" s="31">
        <f>[1]节奏总纲!AG246</f>
        <v>89.184485622357698</v>
      </c>
      <c r="AH246" s="31">
        <f>[1]节奏总纲!AH246</f>
        <v>98.132196028433526</v>
      </c>
      <c r="AJ246" s="34"/>
      <c r="AM246" s="31">
        <f>[1]节奏总纲!AM246</f>
        <v>0</v>
      </c>
      <c r="AN246" s="31">
        <f>[1]节奏总纲!AN246</f>
        <v>0</v>
      </c>
      <c r="AO246" s="31">
        <f>[1]节奏总纲!AO246</f>
        <v>0</v>
      </c>
      <c r="AP246" s="31">
        <f>[1]节奏总纲!AP246</f>
        <v>0</v>
      </c>
      <c r="AQ246" s="31">
        <f>[1]节奏总纲!AQ246</f>
        <v>0</v>
      </c>
      <c r="AR246" s="29"/>
      <c r="AT246" s="31">
        <f>[1]节奏总纲!AT246</f>
        <v>0</v>
      </c>
      <c r="AU246" s="31">
        <f>[1]节奏总纲!AU246</f>
        <v>0</v>
      </c>
      <c r="AV246" s="31">
        <f>[1]节奏总纲!AV246</f>
        <v>0</v>
      </c>
      <c r="AW246" s="31">
        <f>[1]节奏总纲!AW246</f>
        <v>0</v>
      </c>
      <c r="AX246" s="31">
        <f>[1]节奏总纲!AX246</f>
        <v>0</v>
      </c>
      <c r="AY246" s="29"/>
      <c r="AZ246" s="31">
        <v>243</v>
      </c>
      <c r="BA246" s="31">
        <f>[1]节奏总纲!BA246</f>
        <v>44.016200268136501</v>
      </c>
      <c r="BB246" s="31">
        <f>[1]节奏总纲!BB246</f>
        <v>45.506593249141758</v>
      </c>
      <c r="BC246" s="31">
        <f>[1]节奏总纲!BC246</f>
        <v>47.452847239866877</v>
      </c>
      <c r="BD246" s="31">
        <f>[1]节奏总纲!BD246</f>
        <v>50.206304346144179</v>
      </c>
      <c r="BE246" s="31">
        <f>[1]节奏总纲!BE246</f>
        <v>54.92141776898648</v>
      </c>
      <c r="BG246" s="34"/>
      <c r="BP246" s="34"/>
    </row>
    <row r="247" spans="29:68" s="31" customFormat="1" x14ac:dyDescent="0.15">
      <c r="AC247" s="31">
        <v>244</v>
      </c>
      <c r="AD247" s="31">
        <f>[1]节奏总纲!AD247</f>
        <v>79.358359422257649</v>
      </c>
      <c r="AE247" s="31">
        <f>[1]节奏总纲!AE247</f>
        <v>81.455030462617714</v>
      </c>
      <c r="AF247" s="31">
        <f>[1]节奏总纲!AF247</f>
        <v>84.404190900360987</v>
      </c>
      <c r="AG247" s="31">
        <f>[1]节奏总纲!AG247</f>
        <v>89.253092343901116</v>
      </c>
      <c r="AH247" s="31">
        <f>[1]节奏总纲!AH247</f>
        <v>98.191636615223871</v>
      </c>
      <c r="AJ247" s="34"/>
      <c r="AM247" s="31">
        <f>[1]节奏总纲!AM247</f>
        <v>0</v>
      </c>
      <c r="AN247" s="31">
        <f>[1]节奏总纲!AN247</f>
        <v>0</v>
      </c>
      <c r="AO247" s="31">
        <f>[1]节奏总纲!AO247</f>
        <v>0</v>
      </c>
      <c r="AP247" s="31">
        <f>[1]节奏总纲!AP247</f>
        <v>0</v>
      </c>
      <c r="AQ247" s="31">
        <f>[1]节奏总纲!AQ247</f>
        <v>0</v>
      </c>
      <c r="AR247" s="29"/>
      <c r="AT247" s="31">
        <f>[1]节奏总纲!AT247</f>
        <v>0</v>
      </c>
      <c r="AU247" s="31">
        <f>[1]节奏总纲!AU247</f>
        <v>0</v>
      </c>
      <c r="AV247" s="31">
        <f>[1]节奏总纲!AV247</f>
        <v>0</v>
      </c>
      <c r="AW247" s="31">
        <f>[1]节奏总纲!AW247</f>
        <v>0</v>
      </c>
      <c r="AX247" s="31">
        <f>[1]节奏总纲!AX247</f>
        <v>0</v>
      </c>
      <c r="AY247" s="29"/>
      <c r="AZ247" s="31">
        <v>244</v>
      </c>
      <c r="BA247" s="31">
        <f>[1]节奏总纲!BA247</f>
        <v>44.042055714440401</v>
      </c>
      <c r="BB247" s="31">
        <f>[1]节奏总纲!BB247</f>
        <v>45.534489353169384</v>
      </c>
      <c r="BC247" s="31">
        <f>[1]节奏总纲!BC247</f>
        <v>47.480563957630736</v>
      </c>
      <c r="BD247" s="31">
        <f>[1]节奏总纲!BD247</f>
        <v>50.233062367693357</v>
      </c>
      <c r="BE247" s="31">
        <f>[1]节奏总纲!BE247</f>
        <v>54.951183765582506</v>
      </c>
      <c r="BG247" s="34"/>
      <c r="BP247" s="34"/>
    </row>
    <row r="248" spans="29:68" s="31" customFormat="1" x14ac:dyDescent="0.15">
      <c r="AC248" s="31">
        <v>245</v>
      </c>
      <c r="AD248" s="31">
        <f>[1]节奏总纲!AD248</f>
        <v>79.416690383870588</v>
      </c>
      <c r="AE248" s="31">
        <f>[1]节奏总纲!AE248</f>
        <v>81.514582922353426</v>
      </c>
      <c r="AF248" s="31">
        <f>[1]节奏总纲!AF248</f>
        <v>84.46426139691745</v>
      </c>
      <c r="AG248" s="31">
        <f>[1]节奏总纲!AG248</f>
        <v>89.321699065444534</v>
      </c>
      <c r="AH248" s="31">
        <f>[1]节奏总纲!AH248</f>
        <v>98.25107720201423</v>
      </c>
      <c r="AJ248" s="34"/>
      <c r="AM248" s="31">
        <f>[1]节奏总纲!AM248</f>
        <v>0</v>
      </c>
      <c r="AN248" s="31">
        <f>[1]节奏总纲!AN248</f>
        <v>0</v>
      </c>
      <c r="AO248" s="31">
        <f>[1]节奏总纲!AO248</f>
        <v>0</v>
      </c>
      <c r="AP248" s="31">
        <f>[1]节奏总纲!AP248</f>
        <v>0</v>
      </c>
      <c r="AQ248" s="31">
        <f>[1]节奏总纲!AQ248</f>
        <v>0</v>
      </c>
      <c r="AR248" s="29"/>
      <c r="AT248" s="31">
        <f>[1]节奏总纲!AT248</f>
        <v>0</v>
      </c>
      <c r="AU248" s="31">
        <f>[1]节奏总纲!AU248</f>
        <v>0</v>
      </c>
      <c r="AV248" s="31">
        <f>[1]节奏总纲!AV248</f>
        <v>0</v>
      </c>
      <c r="AW248" s="31">
        <f>[1]节奏总纲!AW248</f>
        <v>0</v>
      </c>
      <c r="AX248" s="31">
        <f>[1]节奏总纲!AX248</f>
        <v>0</v>
      </c>
      <c r="AY248" s="29"/>
      <c r="AZ248" s="31">
        <v>245</v>
      </c>
      <c r="BA248" s="31">
        <f>[1]节奏总纲!BA248</f>
        <v>44.067911160744309</v>
      </c>
      <c r="BB248" s="31">
        <f>[1]节奏总纲!BB248</f>
        <v>45.562385457197017</v>
      </c>
      <c r="BC248" s="31">
        <f>[1]节奏总纲!BC248</f>
        <v>47.508280675394595</v>
      </c>
      <c r="BD248" s="31">
        <f>[1]节奏总纲!BD248</f>
        <v>50.259820389242542</v>
      </c>
      <c r="BE248" s="31">
        <f>[1]节奏总纲!BE248</f>
        <v>54.98094976217854</v>
      </c>
      <c r="BG248" s="34"/>
      <c r="BP248" s="34"/>
    </row>
    <row r="249" spans="29:68" s="31" customFormat="1" x14ac:dyDescent="0.15">
      <c r="AC249" s="31">
        <v>246</v>
      </c>
      <c r="AD249" s="31">
        <f>[1]节奏总纲!AD249</f>
        <v>79.475021345483526</v>
      </c>
      <c r="AE249" s="31">
        <f>[1]节奏总纲!AE249</f>
        <v>81.574135382089139</v>
      </c>
      <c r="AF249" s="31">
        <f>[1]节奏总纲!AF249</f>
        <v>84.524331893473914</v>
      </c>
      <c r="AG249" s="31">
        <f>[1]节奏总纲!AG249</f>
        <v>89.390305786987952</v>
      </c>
      <c r="AH249" s="31">
        <f>[1]节奏总纲!AH249</f>
        <v>98.310517788804589</v>
      </c>
      <c r="AJ249" s="34"/>
      <c r="AM249" s="31">
        <f>[1]节奏总纲!AM249</f>
        <v>0</v>
      </c>
      <c r="AN249" s="31">
        <f>[1]节奏总纲!AN249</f>
        <v>0</v>
      </c>
      <c r="AO249" s="31">
        <f>[1]节奏总纲!AO249</f>
        <v>0</v>
      </c>
      <c r="AP249" s="31">
        <f>[1]节奏总纲!AP249</f>
        <v>0</v>
      </c>
      <c r="AQ249" s="31">
        <f>[1]节奏总纲!AQ249</f>
        <v>0</v>
      </c>
      <c r="AR249" s="29"/>
      <c r="AT249" s="31">
        <f>[1]节奏总纲!AT249</f>
        <v>0</v>
      </c>
      <c r="AU249" s="31">
        <f>[1]节奏总纲!AU249</f>
        <v>0</v>
      </c>
      <c r="AV249" s="31">
        <f>[1]节奏总纲!AV249</f>
        <v>0</v>
      </c>
      <c r="AW249" s="31">
        <f>[1]节奏总纲!AW249</f>
        <v>0</v>
      </c>
      <c r="AX249" s="31">
        <f>[1]节奏总纲!AX249</f>
        <v>0</v>
      </c>
      <c r="AY249" s="29"/>
      <c r="AZ249" s="31">
        <v>246</v>
      </c>
      <c r="BA249" s="31">
        <f>[1]节奏总纲!BA249</f>
        <v>44.093766607048209</v>
      </c>
      <c r="BB249" s="31">
        <f>[1]节奏总纲!BB249</f>
        <v>45.590281561224643</v>
      </c>
      <c r="BC249" s="31">
        <f>[1]节奏总纲!BC249</f>
        <v>47.535997393158453</v>
      </c>
      <c r="BD249" s="31">
        <f>[1]节奏总纲!BD249</f>
        <v>50.286578410791719</v>
      </c>
      <c r="BE249" s="31">
        <f>[1]节奏总纲!BE249</f>
        <v>55.009255535630842</v>
      </c>
      <c r="BG249" s="34"/>
      <c r="BP249" s="34"/>
    </row>
    <row r="250" spans="29:68" s="31" customFormat="1" x14ac:dyDescent="0.15">
      <c r="AC250" s="31">
        <v>247</v>
      </c>
      <c r="AD250" s="31">
        <f>[1]节奏总纲!AD250</f>
        <v>79.533352307096465</v>
      </c>
      <c r="AE250" s="31">
        <f>[1]节奏总纲!AE250</f>
        <v>81.633687841824852</v>
      </c>
      <c r="AF250" s="31">
        <f>[1]节奏总纲!AF250</f>
        <v>84.584402390030377</v>
      </c>
      <c r="AG250" s="31">
        <f>[1]节奏总纲!AG250</f>
        <v>89.45891250853137</v>
      </c>
      <c r="AH250" s="31">
        <f>[1]节奏总纲!AH250</f>
        <v>98.369958375594933</v>
      </c>
      <c r="AJ250" s="34"/>
      <c r="AM250" s="31">
        <f>[1]节奏总纲!AM250</f>
        <v>0</v>
      </c>
      <c r="AN250" s="31">
        <f>[1]节奏总纲!AN250</f>
        <v>0</v>
      </c>
      <c r="AO250" s="31">
        <f>[1]节奏总纲!AO250</f>
        <v>0</v>
      </c>
      <c r="AP250" s="31">
        <f>[1]节奏总纲!AP250</f>
        <v>0</v>
      </c>
      <c r="AQ250" s="31">
        <f>[1]节奏总纲!AQ250</f>
        <v>0</v>
      </c>
      <c r="AR250" s="29"/>
      <c r="AT250" s="31">
        <f>[1]节奏总纲!AT250</f>
        <v>0</v>
      </c>
      <c r="AU250" s="31">
        <f>[1]节奏总纲!AU250</f>
        <v>0</v>
      </c>
      <c r="AV250" s="31">
        <f>[1]节奏总纲!AV250</f>
        <v>0</v>
      </c>
      <c r="AW250" s="31">
        <f>[1]节奏总纲!AW250</f>
        <v>0</v>
      </c>
      <c r="AX250" s="31">
        <f>[1]节奏总纲!AX250</f>
        <v>0</v>
      </c>
      <c r="AY250" s="29"/>
      <c r="AZ250" s="31">
        <v>247</v>
      </c>
      <c r="BA250" s="31">
        <f>[1]节奏总纲!BA250</f>
        <v>44.11962205335211</v>
      </c>
      <c r="BB250" s="31">
        <f>[1]节奏总纲!BB250</f>
        <v>45.618177665252276</v>
      </c>
      <c r="BC250" s="31">
        <f>[1]节奏总纲!BC250</f>
        <v>47.563714110922312</v>
      </c>
      <c r="BD250" s="31">
        <f>[1]节奏总纲!BD250</f>
        <v>50.313336432340897</v>
      </c>
      <c r="BE250" s="31">
        <f>[1]节奏总纲!BE250</f>
        <v>55.034965356827627</v>
      </c>
      <c r="BG250" s="34"/>
      <c r="BP250" s="34"/>
    </row>
    <row r="251" spans="29:68" s="31" customFormat="1" x14ac:dyDescent="0.15">
      <c r="AC251" s="31">
        <v>248</v>
      </c>
      <c r="AD251" s="31">
        <f>[1]节奏总纲!AD251</f>
        <v>79.591683268709417</v>
      </c>
      <c r="AE251" s="31">
        <f>[1]节奏总纲!AE251</f>
        <v>81.693240301560579</v>
      </c>
      <c r="AF251" s="31">
        <f>[1]节奏总纲!AF251</f>
        <v>84.64447288658684</v>
      </c>
      <c r="AG251" s="31">
        <f>[1]节奏总纲!AG251</f>
        <v>89.527519230074788</v>
      </c>
      <c r="AH251" s="31">
        <f>[1]节奏总纲!AH251</f>
        <v>98.429398962385292</v>
      </c>
      <c r="AJ251" s="34"/>
      <c r="AM251" s="31">
        <f>[1]节奏总纲!AM251</f>
        <v>0</v>
      </c>
      <c r="AN251" s="31">
        <f>[1]节奏总纲!AN251</f>
        <v>0</v>
      </c>
      <c r="AO251" s="31">
        <f>[1]节奏总纲!AO251</f>
        <v>0</v>
      </c>
      <c r="AP251" s="31">
        <f>[1]节奏总纲!AP251</f>
        <v>0</v>
      </c>
      <c r="AQ251" s="31">
        <f>[1]节奏总纲!AQ251</f>
        <v>0</v>
      </c>
      <c r="AR251" s="29"/>
      <c r="AT251" s="31">
        <f>[1]节奏总纲!AT251</f>
        <v>0</v>
      </c>
      <c r="AU251" s="31">
        <f>[1]节奏总纲!AU251</f>
        <v>0</v>
      </c>
      <c r="AV251" s="31">
        <f>[1]节奏总纲!AV251</f>
        <v>0</v>
      </c>
      <c r="AW251" s="31">
        <f>[1]节奏总纲!AW251</f>
        <v>0</v>
      </c>
      <c r="AX251" s="31">
        <f>[1]节奏总纲!AX251</f>
        <v>0</v>
      </c>
      <c r="AY251" s="29"/>
      <c r="AZ251" s="31">
        <v>248</v>
      </c>
      <c r="BA251" s="31">
        <f>[1]节奏总纲!BA251</f>
        <v>44.145477499656018</v>
      </c>
      <c r="BB251" s="31">
        <f>[1]节奏总纲!BB251</f>
        <v>45.646073769279901</v>
      </c>
      <c r="BC251" s="31">
        <f>[1]节奏总纲!BC251</f>
        <v>47.591430828686171</v>
      </c>
      <c r="BD251" s="31">
        <f>[1]节奏总纲!BD251</f>
        <v>50.340094453890082</v>
      </c>
      <c r="BE251" s="31">
        <f>[1]节奏总纲!BE251</f>
        <v>55.060675178024418</v>
      </c>
      <c r="BG251" s="34"/>
      <c r="BP251" s="34"/>
    </row>
    <row r="252" spans="29:68" s="31" customFormat="1" x14ac:dyDescent="0.15">
      <c r="AC252" s="31">
        <v>249</v>
      </c>
      <c r="AD252" s="31">
        <f>[1]节奏总纲!AD252</f>
        <v>79.650014230322356</v>
      </c>
      <c r="AE252" s="31">
        <f>[1]节奏总纲!AE252</f>
        <v>81.752792761296291</v>
      </c>
      <c r="AF252" s="31">
        <f>[1]节奏总纲!AF252</f>
        <v>84.704543383143317</v>
      </c>
      <c r="AG252" s="31">
        <f>[1]节奏总纲!AG252</f>
        <v>89.596125951618205</v>
      </c>
      <c r="AH252" s="31">
        <f>[1]节奏总纲!AH252</f>
        <v>98.488839549175651</v>
      </c>
      <c r="AJ252" s="34"/>
      <c r="AM252" s="31">
        <f>[1]节奏总纲!AM252</f>
        <v>0</v>
      </c>
      <c r="AN252" s="31">
        <f>[1]节奏总纲!AN252</f>
        <v>0</v>
      </c>
      <c r="AO252" s="31">
        <f>[1]节奏总纲!AO252</f>
        <v>0</v>
      </c>
      <c r="AP252" s="31">
        <f>[1]节奏总纲!AP252</f>
        <v>0</v>
      </c>
      <c r="AQ252" s="31">
        <f>[1]节奏总纲!AQ252</f>
        <v>0</v>
      </c>
      <c r="AR252" s="29"/>
      <c r="AT252" s="31">
        <f>[1]节奏总纲!AT252</f>
        <v>0</v>
      </c>
      <c r="AU252" s="31">
        <f>[1]节奏总纲!AU252</f>
        <v>0</v>
      </c>
      <c r="AV252" s="31">
        <f>[1]节奏总纲!AV252</f>
        <v>0</v>
      </c>
      <c r="AW252" s="31">
        <f>[1]节奏总纲!AW252</f>
        <v>0</v>
      </c>
      <c r="AX252" s="31">
        <f>[1]节奏总纲!AX252</f>
        <v>0</v>
      </c>
      <c r="AY252" s="29"/>
      <c r="AZ252" s="31">
        <v>249</v>
      </c>
      <c r="BA252" s="31">
        <f>[1]节奏总纲!BA252</f>
        <v>44.171332945959918</v>
      </c>
      <c r="BB252" s="31">
        <f>[1]节奏总纲!BB252</f>
        <v>45.673969873307534</v>
      </c>
      <c r="BC252" s="31">
        <f>[1]节奏总纲!BC252</f>
        <v>47.61914754645003</v>
      </c>
      <c r="BD252" s="31">
        <f>[1]节奏总纲!BD252</f>
        <v>50.366852475439259</v>
      </c>
      <c r="BE252" s="31">
        <f>[1]节奏总纲!BE252</f>
        <v>55.086384999221202</v>
      </c>
      <c r="BG252" s="34"/>
      <c r="BP252" s="34"/>
    </row>
    <row r="253" spans="29:68" s="31" customFormat="1" x14ac:dyDescent="0.15">
      <c r="AC253" s="31">
        <v>250</v>
      </c>
      <c r="AD253" s="31">
        <f>[1]节奏总纲!AD253</f>
        <v>79.708345191935294</v>
      </c>
      <c r="AE253" s="31">
        <f>[1]节奏总纲!AE253</f>
        <v>81.812345221032004</v>
      </c>
      <c r="AF253" s="31">
        <f>[1]节奏总纲!AF253</f>
        <v>84.76461387969978</v>
      </c>
      <c r="AG253" s="31">
        <f>[1]节奏总纲!AG253</f>
        <v>89.664732673161623</v>
      </c>
      <c r="AH253" s="31">
        <f>[1]节奏总纲!AH253</f>
        <v>98.548280135965996</v>
      </c>
      <c r="AJ253" s="34"/>
      <c r="AM253" s="31">
        <f>[1]节奏总纲!AM253</f>
        <v>0</v>
      </c>
      <c r="AN253" s="31">
        <f>[1]节奏总纲!AN253</f>
        <v>0</v>
      </c>
      <c r="AO253" s="31">
        <f>[1]节奏总纲!AO253</f>
        <v>0</v>
      </c>
      <c r="AP253" s="31">
        <f>[1]节奏总纲!AP253</f>
        <v>0</v>
      </c>
      <c r="AQ253" s="31">
        <f>[1]节奏总纲!AQ253</f>
        <v>0</v>
      </c>
      <c r="AR253" s="29"/>
      <c r="AT253" s="31">
        <f>[1]节奏总纲!AT253</f>
        <v>0</v>
      </c>
      <c r="AU253" s="31">
        <f>[1]节奏总纲!AU253</f>
        <v>0</v>
      </c>
      <c r="AV253" s="31">
        <f>[1]节奏总纲!AV253</f>
        <v>0</v>
      </c>
      <c r="AW253" s="31">
        <f>[1]节奏总纲!AW253</f>
        <v>0</v>
      </c>
      <c r="AX253" s="31">
        <f>[1]节奏总纲!AX253</f>
        <v>0</v>
      </c>
      <c r="AY253" s="29"/>
      <c r="AZ253" s="31">
        <v>250</v>
      </c>
      <c r="BA253" s="31">
        <f>[1]节奏总纲!BA253</f>
        <v>44.197188392263818</v>
      </c>
      <c r="BB253" s="31">
        <f>[1]节奏总纲!BB253</f>
        <v>45.701865977335167</v>
      </c>
      <c r="BC253" s="31">
        <f>[1]节奏总纲!BC253</f>
        <v>47.646864264213889</v>
      </c>
      <c r="BD253" s="31">
        <f>[1]节奏总纲!BD253</f>
        <v>50.393610496988437</v>
      </c>
      <c r="BE253" s="31">
        <f>[1]节奏总纲!BE253</f>
        <v>55.112094820417994</v>
      </c>
      <c r="BG253" s="34"/>
      <c r="BP253" s="34"/>
    </row>
    <row r="254" spans="29:68" s="31" customFormat="1" x14ac:dyDescent="0.15">
      <c r="AC254" s="31">
        <v>251</v>
      </c>
      <c r="AD254" s="31">
        <f>[1]节奏总纲!AD254</f>
        <v>79.766676153548232</v>
      </c>
      <c r="AE254" s="31">
        <f>[1]节奏总纲!AE254</f>
        <v>81.871897680767717</v>
      </c>
      <c r="AF254" s="31">
        <f>[1]节奏总纲!AF254</f>
        <v>84.824684376256243</v>
      </c>
      <c r="AG254" s="31">
        <f>[1]节奏总纲!AG254</f>
        <v>89.733339394705041</v>
      </c>
      <c r="AH254" s="31">
        <f>[1]节奏总纲!AH254</f>
        <v>98.607720722756355</v>
      </c>
      <c r="AJ254" s="34"/>
      <c r="AM254" s="31">
        <f>[1]节奏总纲!AM254</f>
        <v>0</v>
      </c>
      <c r="AN254" s="31">
        <f>[1]节奏总纲!AN254</f>
        <v>0</v>
      </c>
      <c r="AO254" s="31">
        <f>[1]节奏总纲!AO254</f>
        <v>0</v>
      </c>
      <c r="AP254" s="31">
        <f>[1]节奏总纲!AP254</f>
        <v>0</v>
      </c>
      <c r="AQ254" s="31">
        <f>[1]节奏总纲!AQ254</f>
        <v>0</v>
      </c>
      <c r="AR254" s="29"/>
      <c r="AT254" s="31">
        <f>[1]节奏总纲!AT254</f>
        <v>0</v>
      </c>
      <c r="AU254" s="31">
        <f>[1]节奏总纲!AU254</f>
        <v>0</v>
      </c>
      <c r="AV254" s="31">
        <f>[1]节奏总纲!AV254</f>
        <v>0</v>
      </c>
      <c r="AW254" s="31">
        <f>[1]节奏总纲!AW254</f>
        <v>0</v>
      </c>
      <c r="AX254" s="31">
        <f>[1]节奏总纲!AX254</f>
        <v>0</v>
      </c>
      <c r="AY254" s="29"/>
      <c r="AZ254" s="31">
        <v>251</v>
      </c>
      <c r="BA254" s="31">
        <f>[1]节奏总纲!BA254</f>
        <v>44.223043838567726</v>
      </c>
      <c r="BB254" s="31">
        <f>[1]节奏总纲!BB254</f>
        <v>45.729762081362793</v>
      </c>
      <c r="BC254" s="31">
        <f>[1]节奏总纲!BC254</f>
        <v>47.674580981977748</v>
      </c>
      <c r="BD254" s="31">
        <f>[1]节奏总纲!BD254</f>
        <v>50.420368518537622</v>
      </c>
      <c r="BE254" s="31">
        <f>[1]节奏总纲!BE254</f>
        <v>55.137804641614778</v>
      </c>
      <c r="BG254" s="34"/>
      <c r="BP254" s="34"/>
    </row>
    <row r="255" spans="29:68" s="31" customFormat="1" x14ac:dyDescent="0.15">
      <c r="AC255" s="31">
        <v>252</v>
      </c>
      <c r="AD255" s="31">
        <f>[1]节奏总纲!AD255</f>
        <v>79.825007115161171</v>
      </c>
      <c r="AE255" s="31">
        <f>[1]节奏总纲!AE255</f>
        <v>81.931450140503429</v>
      </c>
      <c r="AF255" s="31">
        <f>[1]节奏总纲!AF255</f>
        <v>84.884754872812707</v>
      </c>
      <c r="AG255" s="31">
        <f>[1]节奏总纲!AG255</f>
        <v>89.801946116248459</v>
      </c>
      <c r="AH255" s="31">
        <f>[1]节奏总纲!AH255</f>
        <v>98.667161309546714</v>
      </c>
      <c r="AJ255" s="34"/>
      <c r="AM255" s="31">
        <f>[1]节奏总纲!AM255</f>
        <v>0</v>
      </c>
      <c r="AN255" s="31">
        <f>[1]节奏总纲!AN255</f>
        <v>0</v>
      </c>
      <c r="AO255" s="31">
        <f>[1]节奏总纲!AO255</f>
        <v>0</v>
      </c>
      <c r="AP255" s="31">
        <f>[1]节奏总纲!AP255</f>
        <v>0</v>
      </c>
      <c r="AQ255" s="31">
        <f>[1]节奏总纲!AQ255</f>
        <v>0</v>
      </c>
      <c r="AR255" s="29"/>
      <c r="AT255" s="31">
        <f>[1]节奏总纲!AT255</f>
        <v>0</v>
      </c>
      <c r="AU255" s="31">
        <f>[1]节奏总纲!AU255</f>
        <v>0</v>
      </c>
      <c r="AV255" s="31">
        <f>[1]节奏总纲!AV255</f>
        <v>0</v>
      </c>
      <c r="AW255" s="31">
        <f>[1]节奏总纲!AW255</f>
        <v>0</v>
      </c>
      <c r="AX255" s="31">
        <f>[1]节奏总纲!AX255</f>
        <v>0</v>
      </c>
      <c r="AY255" s="29"/>
      <c r="AZ255" s="31">
        <v>252</v>
      </c>
      <c r="BA255" s="31">
        <f>[1]节奏总纲!BA255</f>
        <v>44.248899284871626</v>
      </c>
      <c r="BB255" s="31">
        <f>[1]节奏总纲!BB255</f>
        <v>45.757658185390426</v>
      </c>
      <c r="BC255" s="31">
        <f>[1]节奏总纲!BC255</f>
        <v>47.7022976997416</v>
      </c>
      <c r="BD255" s="31">
        <f>[1]节奏总纲!BD255</f>
        <v>50.447126540086799</v>
      </c>
      <c r="BE255" s="31">
        <f>[1]节奏总纲!BE255</f>
        <v>55.163514462811563</v>
      </c>
      <c r="BG255" s="34"/>
      <c r="BP255" s="34"/>
    </row>
    <row r="256" spans="29:68" s="31" customFormat="1" x14ac:dyDescent="0.15">
      <c r="AC256" s="31">
        <v>253</v>
      </c>
      <c r="AD256" s="31">
        <f>[1]节奏总纲!AD256</f>
        <v>79.883338076774123</v>
      </c>
      <c r="AE256" s="31">
        <f>[1]节奏总纲!AE256</f>
        <v>81.991002600239142</v>
      </c>
      <c r="AF256" s="31">
        <f>[1]节奏总纲!AF256</f>
        <v>84.94482536936917</v>
      </c>
      <c r="AG256" s="31">
        <f>[1]节奏总纲!AG256</f>
        <v>89.870552837791877</v>
      </c>
      <c r="AH256" s="31">
        <f>[1]节奏总纲!AH256</f>
        <v>98.726601896337058</v>
      </c>
      <c r="AJ256" s="34"/>
      <c r="AM256" s="31">
        <f>[1]节奏总纲!AM256</f>
        <v>0</v>
      </c>
      <c r="AN256" s="31">
        <f>[1]节奏总纲!AN256</f>
        <v>0</v>
      </c>
      <c r="AO256" s="31">
        <f>[1]节奏总纲!AO256</f>
        <v>0</v>
      </c>
      <c r="AP256" s="31">
        <f>[1]节奏总纲!AP256</f>
        <v>0</v>
      </c>
      <c r="AQ256" s="31">
        <f>[1]节奏总纲!AQ256</f>
        <v>0</v>
      </c>
      <c r="AR256" s="29"/>
      <c r="AT256" s="31">
        <f>[1]节奏总纲!AT256</f>
        <v>0</v>
      </c>
      <c r="AU256" s="31">
        <f>[1]节奏总纲!AU256</f>
        <v>0</v>
      </c>
      <c r="AV256" s="31">
        <f>[1]节奏总纲!AV256</f>
        <v>0</v>
      </c>
      <c r="AW256" s="31">
        <f>[1]节奏总纲!AW256</f>
        <v>0</v>
      </c>
      <c r="AX256" s="31">
        <f>[1]节奏总纲!AX256</f>
        <v>0</v>
      </c>
      <c r="AY256" s="29"/>
      <c r="AZ256" s="31">
        <v>253</v>
      </c>
      <c r="BA256" s="31">
        <f>[1]节奏总纲!BA256</f>
        <v>44.274754731175527</v>
      </c>
      <c r="BB256" s="31">
        <f>[1]节奏总纲!BB256</f>
        <v>45.785554289418052</v>
      </c>
      <c r="BC256" s="31">
        <f>[1]节奏总纲!BC256</f>
        <v>47.730014417505458</v>
      </c>
      <c r="BD256" s="31">
        <f>[1]节奏总纲!BD256</f>
        <v>50.473884561635977</v>
      </c>
      <c r="BE256" s="31">
        <f>[1]节奏总纲!BE256</f>
        <v>55.189224284008354</v>
      </c>
      <c r="BG256" s="34"/>
      <c r="BP256" s="34"/>
    </row>
    <row r="257" spans="29:68" s="31" customFormat="1" x14ac:dyDescent="0.15">
      <c r="AC257" s="31">
        <v>254</v>
      </c>
      <c r="AD257" s="31">
        <f>[1]节奏总纲!AD257</f>
        <v>79.941669038387062</v>
      </c>
      <c r="AE257" s="31">
        <f>[1]节奏总纲!AE257</f>
        <v>82.046165327855846</v>
      </c>
      <c r="AF257" s="31">
        <f>[1]节奏总纲!AF257</f>
        <v>85.004450307848032</v>
      </c>
      <c r="AG257" s="31">
        <f>[1]节奏总纲!AG257</f>
        <v>89.939159559335295</v>
      </c>
      <c r="AH257" s="31">
        <f>[1]节奏总纲!AH257</f>
        <v>98.786042483127417</v>
      </c>
      <c r="AJ257" s="34"/>
      <c r="AM257" s="31">
        <f>[1]节奏总纲!AM257</f>
        <v>0</v>
      </c>
      <c r="AN257" s="31">
        <f>[1]节奏总纲!AN257</f>
        <v>0</v>
      </c>
      <c r="AO257" s="31">
        <f>[1]节奏总纲!AO257</f>
        <v>0</v>
      </c>
      <c r="AP257" s="31">
        <f>[1]节奏总纲!AP257</f>
        <v>0</v>
      </c>
      <c r="AQ257" s="31">
        <f>[1]节奏总纲!AQ257</f>
        <v>0</v>
      </c>
      <c r="AR257" s="29"/>
      <c r="AT257" s="31">
        <f>[1]节奏总纲!AT257</f>
        <v>0</v>
      </c>
      <c r="AU257" s="31">
        <f>[1]节奏总纲!AU257</f>
        <v>0</v>
      </c>
      <c r="AV257" s="31">
        <f>[1]节奏总纲!AV257</f>
        <v>0</v>
      </c>
      <c r="AW257" s="31">
        <f>[1]节奏总纲!AW257</f>
        <v>0</v>
      </c>
      <c r="AX257" s="31">
        <f>[1]节奏总纲!AX257</f>
        <v>0</v>
      </c>
      <c r="AY257" s="29"/>
      <c r="AZ257" s="31">
        <v>254</v>
      </c>
      <c r="BA257" s="31">
        <f>[1]节奏总纲!BA257</f>
        <v>44.300610177479435</v>
      </c>
      <c r="BB257" s="31">
        <f>[1]节奏总纲!BB257</f>
        <v>45.813450393445684</v>
      </c>
      <c r="BC257" s="31">
        <f>[1]节奏总纲!BC257</f>
        <v>47.757731135269317</v>
      </c>
      <c r="BD257" s="31">
        <f>[1]节奏总纲!BD257</f>
        <v>50.500642583185162</v>
      </c>
      <c r="BE257" s="31">
        <f>[1]节奏总纲!BE257</f>
        <v>55.214934105205138</v>
      </c>
      <c r="BG257" s="34"/>
      <c r="BP257" s="34"/>
    </row>
    <row r="258" spans="29:68" s="31" customFormat="1" x14ac:dyDescent="0.15">
      <c r="AC258" s="31">
        <v>255</v>
      </c>
      <c r="AD258" s="31">
        <f>[1]节奏总纲!AD258</f>
        <v>80</v>
      </c>
      <c r="AE258" s="31">
        <f>[1]节奏总纲!AE258</f>
        <v>82.100546804797787</v>
      </c>
      <c r="AF258" s="31">
        <f>[1]节奏总纲!AF258</f>
        <v>85.059053968634842</v>
      </c>
      <c r="AG258" s="31">
        <f>[1]节奏总纲!AG258</f>
        <v>90.006385600230558</v>
      </c>
      <c r="AH258" s="31">
        <f>[1]节奏总纲!AH258</f>
        <v>98.845483069917776</v>
      </c>
      <c r="AJ258" s="34"/>
      <c r="AM258" s="31">
        <f>[1]节奏总纲!AM258</f>
        <v>0</v>
      </c>
      <c r="AN258" s="31">
        <f>[1]节奏总纲!AN258</f>
        <v>0</v>
      </c>
      <c r="AO258" s="31">
        <f>[1]节奏总纲!AO258</f>
        <v>0</v>
      </c>
      <c r="AP258" s="31">
        <f>[1]节奏总纲!AP258</f>
        <v>0</v>
      </c>
      <c r="AQ258" s="31">
        <f>[1]节奏总纲!AQ258</f>
        <v>0</v>
      </c>
      <c r="AR258" s="29"/>
      <c r="AT258" s="31">
        <f>[1]节奏总纲!AT258</f>
        <v>0</v>
      </c>
      <c r="AU258" s="31">
        <f>[1]节奏总纲!AU258</f>
        <v>0</v>
      </c>
      <c r="AV258" s="31">
        <f>[1]节奏总纲!AV258</f>
        <v>0</v>
      </c>
      <c r="AW258" s="31">
        <f>[1]节奏总纲!AW258</f>
        <v>0</v>
      </c>
      <c r="AX258" s="31">
        <f>[1]节奏总纲!AX258</f>
        <v>0</v>
      </c>
      <c r="AY258" s="29"/>
      <c r="AZ258" s="31">
        <v>255</v>
      </c>
      <c r="BA258" s="31">
        <f>[1]节奏总纲!BA258</f>
        <v>44.326465623783335</v>
      </c>
      <c r="BB258" s="31">
        <f>[1]节奏总纲!BB258</f>
        <v>45.84134649747331</v>
      </c>
      <c r="BC258" s="31">
        <f>[1]节奏总纲!BC258</f>
        <v>47.785447853033176</v>
      </c>
      <c r="BD258" s="31">
        <f>[1]节奏总纲!BD258</f>
        <v>50.527400604734339</v>
      </c>
      <c r="BE258" s="31">
        <f>[1]节奏总纲!BE258</f>
        <v>55.24064392640193</v>
      </c>
      <c r="BG258" s="34"/>
      <c r="BP258" s="34"/>
    </row>
    <row r="259" spans="29:68" s="31" customFormat="1" x14ac:dyDescent="0.15">
      <c r="AC259" s="31">
        <v>256</v>
      </c>
      <c r="AD259" s="31">
        <f>[1]节奏总纲!AD259</f>
        <v>80.054424711612938</v>
      </c>
      <c r="AE259" s="31">
        <f>[1]节奏总纲!AE259</f>
        <v>82.154928281739714</v>
      </c>
      <c r="AF259" s="31">
        <f>[1]节奏总纲!AF259</f>
        <v>85.113657629421638</v>
      </c>
      <c r="AG259" s="31">
        <f>[1]节奏总纲!AG259</f>
        <v>90.062795496260307</v>
      </c>
      <c r="AH259" s="31">
        <f>[1]节奏总纲!AH259</f>
        <v>98.904923656708121</v>
      </c>
      <c r="AJ259" s="34"/>
      <c r="AM259" s="31">
        <f>[1]节奏总纲!AM259</f>
        <v>0</v>
      </c>
      <c r="AN259" s="31">
        <f>[1]节奏总纲!AN259</f>
        <v>0</v>
      </c>
      <c r="AO259" s="31">
        <f>[1]节奏总纲!AO259</f>
        <v>0</v>
      </c>
      <c r="AP259" s="31">
        <f>[1]节奏总纲!AP259</f>
        <v>0</v>
      </c>
      <c r="AQ259" s="31">
        <f>[1]节奏总纲!AQ259</f>
        <v>0</v>
      </c>
      <c r="AR259" s="29"/>
      <c r="AT259" s="31">
        <f>[1]节奏总纲!AT259</f>
        <v>0</v>
      </c>
      <c r="AU259" s="31">
        <f>[1]节奏总纲!AU259</f>
        <v>0</v>
      </c>
      <c r="AV259" s="31">
        <f>[1]节奏总纲!AV259</f>
        <v>0</v>
      </c>
      <c r="AW259" s="31">
        <f>[1]节奏总纲!AW259</f>
        <v>0</v>
      </c>
      <c r="AX259" s="31">
        <f>[1]节奏总纲!AX259</f>
        <v>0</v>
      </c>
      <c r="AY259" s="29"/>
      <c r="AZ259" s="31">
        <v>256</v>
      </c>
      <c r="BA259" s="31">
        <f>[1]节奏总纲!BA259</f>
        <v>44.352321070087235</v>
      </c>
      <c r="BB259" s="31">
        <f>[1]节奏总纲!BB259</f>
        <v>45.869242601500943</v>
      </c>
      <c r="BC259" s="31">
        <f>[1]节奏总纲!BC259</f>
        <v>47.813164570797035</v>
      </c>
      <c r="BD259" s="31">
        <f>[1]节奏总纲!BD259</f>
        <v>50.554158626283517</v>
      </c>
      <c r="BE259" s="31">
        <f>[1]节奏总纲!BE259</f>
        <v>55.266353747598714</v>
      </c>
      <c r="BG259" s="34"/>
      <c r="BP259" s="34"/>
    </row>
    <row r="260" spans="29:68" s="31" customFormat="1" x14ac:dyDescent="0.15">
      <c r="AC260" s="31">
        <v>257</v>
      </c>
      <c r="AD260" s="31">
        <f>[1]节奏总纲!AD260</f>
        <v>80.108849423225877</v>
      </c>
      <c r="AE260" s="31">
        <f>[1]节奏总纲!AE260</f>
        <v>82.209309758681655</v>
      </c>
      <c r="AF260" s="31">
        <f>[1]节奏总纲!AF260</f>
        <v>85.168261290208434</v>
      </c>
      <c r="AG260" s="31">
        <f>[1]节奏总纲!AG260</f>
        <v>90.119205392290041</v>
      </c>
      <c r="AH260" s="31">
        <f>[1]节奏总纲!AH260</f>
        <v>98.96436424349848</v>
      </c>
      <c r="AJ260" s="34"/>
      <c r="AM260" s="31">
        <f>[1]节奏总纲!AM260</f>
        <v>0</v>
      </c>
      <c r="AN260" s="31">
        <f>[1]节奏总纲!AN260</f>
        <v>0</v>
      </c>
      <c r="AO260" s="31">
        <f>[1]节奏总纲!AO260</f>
        <v>0</v>
      </c>
      <c r="AP260" s="31">
        <f>[1]节奏总纲!AP260</f>
        <v>0</v>
      </c>
      <c r="AQ260" s="31">
        <f>[1]节奏总纲!AQ260</f>
        <v>0</v>
      </c>
      <c r="AR260" s="29"/>
      <c r="AT260" s="31">
        <f>[1]节奏总纲!AT260</f>
        <v>0</v>
      </c>
      <c r="AU260" s="31">
        <f>[1]节奏总纲!AU260</f>
        <v>0</v>
      </c>
      <c r="AV260" s="31">
        <f>[1]节奏总纲!AV260</f>
        <v>0</v>
      </c>
      <c r="AW260" s="31">
        <f>[1]节奏总纲!AW260</f>
        <v>0</v>
      </c>
      <c r="AX260" s="31">
        <f>[1]节奏总纲!AX260</f>
        <v>0</v>
      </c>
      <c r="AY260" s="29"/>
      <c r="AZ260" s="31">
        <v>257</v>
      </c>
      <c r="BA260" s="31">
        <f>[1]节奏总纲!BA260</f>
        <v>44.378176516391136</v>
      </c>
      <c r="BB260" s="31">
        <f>[1]节奏总纲!BB260</f>
        <v>45.897138705528576</v>
      </c>
      <c r="BC260" s="31">
        <f>[1]节奏总纲!BC260</f>
        <v>47.840881288560894</v>
      </c>
      <c r="BD260" s="31">
        <f>[1]节奏总纲!BD260</f>
        <v>50.580916647832701</v>
      </c>
      <c r="BE260" s="31">
        <f>[1]节奏总纲!BE260</f>
        <v>55.292063568795498</v>
      </c>
      <c r="BG260" s="34"/>
      <c r="BP260" s="34"/>
    </row>
    <row r="261" spans="29:68" s="31" customFormat="1" x14ac:dyDescent="0.15">
      <c r="AC261" s="31">
        <v>258</v>
      </c>
      <c r="AD261" s="31">
        <f>[1]节奏总纲!AD261</f>
        <v>80.163274134838829</v>
      </c>
      <c r="AE261" s="31">
        <f>[1]节奏总纲!AE261</f>
        <v>82.263691235623583</v>
      </c>
      <c r="AF261" s="31">
        <f>[1]节奏总纲!AF261</f>
        <v>85.222864950995231</v>
      </c>
      <c r="AG261" s="31">
        <f>[1]节奏总纲!AG261</f>
        <v>90.175615288319776</v>
      </c>
      <c r="AH261" s="31">
        <f>[1]节奏总纲!AH261</f>
        <v>99.023313221876677</v>
      </c>
      <c r="AJ261" s="34"/>
      <c r="AM261" s="31">
        <f>[1]节奏总纲!AM261</f>
        <v>0</v>
      </c>
      <c r="AN261" s="31">
        <f>[1]节奏总纲!AN261</f>
        <v>0</v>
      </c>
      <c r="AO261" s="31">
        <f>[1]节奏总纲!AO261</f>
        <v>0</v>
      </c>
      <c r="AP261" s="31">
        <f>[1]节奏总纲!AP261</f>
        <v>0</v>
      </c>
      <c r="AQ261" s="31">
        <f>[1]节奏总纲!AQ261</f>
        <v>0</v>
      </c>
      <c r="AR261" s="29"/>
      <c r="AT261" s="31">
        <f>[1]节奏总纲!AT261</f>
        <v>0</v>
      </c>
      <c r="AU261" s="31">
        <f>[1]节奏总纲!AU261</f>
        <v>0</v>
      </c>
      <c r="AV261" s="31">
        <f>[1]节奏总纲!AV261</f>
        <v>0</v>
      </c>
      <c r="AW261" s="31">
        <f>[1]节奏总纲!AW261</f>
        <v>0</v>
      </c>
      <c r="AX261" s="31">
        <f>[1]节奏总纲!AX261</f>
        <v>0</v>
      </c>
      <c r="AY261" s="29"/>
      <c r="AZ261" s="31">
        <v>258</v>
      </c>
      <c r="BA261" s="31">
        <f>[1]节奏总纲!BA261</f>
        <v>44.404031962695043</v>
      </c>
      <c r="BB261" s="31">
        <f>[1]节奏总纲!BB261</f>
        <v>45.925034809556202</v>
      </c>
      <c r="BC261" s="31">
        <f>[1]节奏总纲!BC261</f>
        <v>47.868598006324753</v>
      </c>
      <c r="BD261" s="31">
        <f>[1]节奏总纲!BD261</f>
        <v>50.607674669381879</v>
      </c>
      <c r="BE261" s="31">
        <f>[1]节奏总纲!BE261</f>
        <v>55.31777338999229</v>
      </c>
      <c r="BG261" s="34"/>
      <c r="BP261" s="34"/>
    </row>
    <row r="262" spans="29:68" s="31" customFormat="1" x14ac:dyDescent="0.15">
      <c r="AC262" s="31">
        <v>259</v>
      </c>
      <c r="AD262" s="31">
        <f>[1]节奏总纲!AD262</f>
        <v>80.217698846451768</v>
      </c>
      <c r="AE262" s="31">
        <f>[1]节奏总纲!AE262</f>
        <v>82.318072712565524</v>
      </c>
      <c r="AF262" s="31">
        <f>[1]节奏总纲!AF262</f>
        <v>85.277468611782027</v>
      </c>
      <c r="AG262" s="31">
        <f>[1]节奏总纲!AG262</f>
        <v>90.23202518434951</v>
      </c>
      <c r="AH262" s="31">
        <f>[1]节奏总纲!AH262</f>
        <v>99.081526263999208</v>
      </c>
      <c r="AJ262" s="34"/>
      <c r="AM262" s="31">
        <f>[1]节奏总纲!AM262</f>
        <v>0</v>
      </c>
      <c r="AN262" s="31">
        <f>[1]节奏总纲!AN262</f>
        <v>0</v>
      </c>
      <c r="AO262" s="31">
        <f>[1]节奏总纲!AO262</f>
        <v>0</v>
      </c>
      <c r="AP262" s="31">
        <f>[1]节奏总纲!AP262</f>
        <v>0</v>
      </c>
      <c r="AQ262" s="31">
        <f>[1]节奏总纲!AQ262</f>
        <v>0</v>
      </c>
      <c r="AR262" s="29"/>
      <c r="AT262" s="31">
        <f>[1]节奏总纲!AT262</f>
        <v>0</v>
      </c>
      <c r="AU262" s="31">
        <f>[1]节奏总纲!AU262</f>
        <v>0</v>
      </c>
      <c r="AV262" s="31">
        <f>[1]节奏总纲!AV262</f>
        <v>0</v>
      </c>
      <c r="AW262" s="31">
        <f>[1]节奏总纲!AW262</f>
        <v>0</v>
      </c>
      <c r="AX262" s="31">
        <f>[1]节奏总纲!AX262</f>
        <v>0</v>
      </c>
      <c r="AY262" s="29"/>
      <c r="AZ262" s="31">
        <v>259</v>
      </c>
      <c r="BA262" s="31">
        <f>[1]节奏总纲!BA262</f>
        <v>44.429887408998944</v>
      </c>
      <c r="BB262" s="31">
        <f>[1]节奏总纲!BB262</f>
        <v>45.952930913583835</v>
      </c>
      <c r="BC262" s="31">
        <f>[1]节奏总纲!BC262</f>
        <v>47.896314724088612</v>
      </c>
      <c r="BD262" s="31">
        <f>[1]节奏总纲!BD262</f>
        <v>50.634432690931064</v>
      </c>
      <c r="BE262" s="31">
        <f>[1]节奏总纲!BE262</f>
        <v>55.343483211189074</v>
      </c>
      <c r="BG262" s="34"/>
      <c r="BP262" s="34"/>
    </row>
    <row r="263" spans="29:68" s="31" customFormat="1" x14ac:dyDescent="0.15">
      <c r="AC263" s="31">
        <v>260</v>
      </c>
      <c r="AD263" s="31">
        <f>[1]节奏总纲!AD263</f>
        <v>80.272123558064706</v>
      </c>
      <c r="AE263" s="31">
        <f>[1]节奏总纲!AE263</f>
        <v>82.372454189507465</v>
      </c>
      <c r="AF263" s="31">
        <f>[1]节奏总纲!AF263</f>
        <v>85.332072272568837</v>
      </c>
      <c r="AG263" s="31">
        <f>[1]节奏总纲!AG263</f>
        <v>90.288435080379244</v>
      </c>
      <c r="AH263" s="31">
        <f>[1]节奏总纲!AH263</f>
        <v>99.139739306121726</v>
      </c>
      <c r="AJ263" s="34"/>
      <c r="AM263" s="31">
        <f>[1]节奏总纲!AM263</f>
        <v>0</v>
      </c>
      <c r="AN263" s="31">
        <f>[1]节奏总纲!AN263</f>
        <v>0</v>
      </c>
      <c r="AO263" s="31">
        <f>[1]节奏总纲!AO263</f>
        <v>0</v>
      </c>
      <c r="AP263" s="31">
        <f>[1]节奏总纲!AP263</f>
        <v>0</v>
      </c>
      <c r="AQ263" s="31">
        <f>[1]节奏总纲!AQ263</f>
        <v>0</v>
      </c>
      <c r="AR263" s="29"/>
      <c r="AT263" s="31">
        <f>[1]节奏总纲!AT263</f>
        <v>0</v>
      </c>
      <c r="AU263" s="31">
        <f>[1]节奏总纲!AU263</f>
        <v>0</v>
      </c>
      <c r="AV263" s="31">
        <f>[1]节奏总纲!AV263</f>
        <v>0</v>
      </c>
      <c r="AW263" s="31">
        <f>[1]节奏总纲!AW263</f>
        <v>0</v>
      </c>
      <c r="AX263" s="31">
        <f>[1]节奏总纲!AX263</f>
        <v>0</v>
      </c>
      <c r="AY263" s="29"/>
      <c r="AZ263" s="31">
        <v>260</v>
      </c>
      <c r="BA263" s="31">
        <f>[1]节奏总纲!BA263</f>
        <v>44.455742855302844</v>
      </c>
      <c r="BB263" s="31">
        <f>[1]节奏总纲!BB263</f>
        <v>45.98082701761146</v>
      </c>
      <c r="BC263" s="31">
        <f>[1]节奏总纲!BC263</f>
        <v>47.92403144185247</v>
      </c>
      <c r="BD263" s="31">
        <f>[1]节奏总纲!BD263</f>
        <v>50.661190712480241</v>
      </c>
      <c r="BE263" s="31">
        <f>[1]节奏总纲!BE263</f>
        <v>55.369193032385866</v>
      </c>
      <c r="BG263" s="34"/>
      <c r="BP263" s="34"/>
    </row>
    <row r="264" spans="29:68" s="31" customFormat="1" x14ac:dyDescent="0.15">
      <c r="AC264" s="31">
        <v>261</v>
      </c>
      <c r="AD264" s="31">
        <f>[1]节奏总纲!AD264</f>
        <v>80.326548269677644</v>
      </c>
      <c r="AE264" s="31">
        <f>[1]节奏总纲!AE264</f>
        <v>82.426835666449392</v>
      </c>
      <c r="AF264" s="31">
        <f>[1]节奏总纲!AF264</f>
        <v>85.386675933355633</v>
      </c>
      <c r="AG264" s="31">
        <f>[1]节奏总纲!AG264</f>
        <v>90.344844976408993</v>
      </c>
      <c r="AH264" s="31">
        <f>[1]节奏总纲!AH264</f>
        <v>99.197952348244257</v>
      </c>
      <c r="AJ264" s="34"/>
      <c r="AM264" s="31">
        <f>[1]节奏总纲!AM264</f>
        <v>0</v>
      </c>
      <c r="AN264" s="31">
        <f>[1]节奏总纲!AN264</f>
        <v>0</v>
      </c>
      <c r="AO264" s="31">
        <f>[1]节奏总纲!AO264</f>
        <v>0</v>
      </c>
      <c r="AP264" s="31">
        <f>[1]节奏总纲!AP264</f>
        <v>0</v>
      </c>
      <c r="AQ264" s="31">
        <f>[1]节奏总纲!AQ264</f>
        <v>0</v>
      </c>
      <c r="AR264" s="29"/>
      <c r="AT264" s="31">
        <f>[1]节奏总纲!AT264</f>
        <v>0</v>
      </c>
      <c r="AU264" s="31">
        <f>[1]节奏总纲!AU264</f>
        <v>0</v>
      </c>
      <c r="AV264" s="31">
        <f>[1]节奏总纲!AV264</f>
        <v>0</v>
      </c>
      <c r="AW264" s="31">
        <f>[1]节奏总纲!AW264</f>
        <v>0</v>
      </c>
      <c r="AX264" s="31">
        <f>[1]节奏总纲!AX264</f>
        <v>0</v>
      </c>
      <c r="AY264" s="29"/>
      <c r="AZ264" s="31">
        <v>261</v>
      </c>
      <c r="BA264" s="31">
        <f>[1]节奏总纲!BA264</f>
        <v>44.481598301606752</v>
      </c>
      <c r="BB264" s="31">
        <f>[1]节奏总纲!BB264</f>
        <v>46.007529841290832</v>
      </c>
      <c r="BC264" s="31">
        <f>[1]节奏总纲!BC264</f>
        <v>47.951748159616329</v>
      </c>
      <c r="BD264" s="31">
        <f>[1]节奏总纲!BD264</f>
        <v>50.687948734029419</v>
      </c>
      <c r="BE264" s="31">
        <f>[1]节奏总纲!BE264</f>
        <v>55.39490285358265</v>
      </c>
      <c r="BG264" s="34"/>
      <c r="BP264" s="34"/>
    </row>
    <row r="265" spans="29:68" s="31" customFormat="1" x14ac:dyDescent="0.15">
      <c r="AC265" s="31">
        <v>262</v>
      </c>
      <c r="AD265" s="31">
        <f>[1]节奏总纲!AD265</f>
        <v>80.380972981290597</v>
      </c>
      <c r="AE265" s="31">
        <f>[1]节奏总纲!AE265</f>
        <v>82.481217143391333</v>
      </c>
      <c r="AF265" s="31">
        <f>[1]节奏总纲!AF265</f>
        <v>85.441279594142429</v>
      </c>
      <c r="AG265" s="31">
        <f>[1]节奏总纲!AG265</f>
        <v>90.401254872438727</v>
      </c>
      <c r="AH265" s="31">
        <f>[1]节奏总纲!AH265</f>
        <v>99.256165390366789</v>
      </c>
      <c r="AJ265" s="34"/>
      <c r="AM265" s="31">
        <f>[1]节奏总纲!AM265</f>
        <v>0</v>
      </c>
      <c r="AN265" s="31">
        <f>[1]节奏总纲!AN265</f>
        <v>0</v>
      </c>
      <c r="AO265" s="31">
        <f>[1]节奏总纲!AO265</f>
        <v>0</v>
      </c>
      <c r="AP265" s="31">
        <f>[1]节奏总纲!AP265</f>
        <v>0</v>
      </c>
      <c r="AQ265" s="31">
        <f>[1]节奏总纲!AQ265</f>
        <v>0</v>
      </c>
      <c r="AR265" s="29"/>
      <c r="AT265" s="31">
        <f>[1]节奏总纲!AT265</f>
        <v>0</v>
      </c>
      <c r="AU265" s="31">
        <f>[1]节奏总纲!AU265</f>
        <v>0</v>
      </c>
      <c r="AV265" s="31">
        <f>[1]节奏总纲!AV265</f>
        <v>0</v>
      </c>
      <c r="AW265" s="31">
        <f>[1]节奏总纲!AW265</f>
        <v>0</v>
      </c>
      <c r="AX265" s="31">
        <f>[1]节奏总纲!AX265</f>
        <v>0</v>
      </c>
      <c r="AY265" s="29"/>
      <c r="AZ265" s="31">
        <v>262</v>
      </c>
      <c r="BA265" s="31">
        <f>[1]节奏总纲!BA265</f>
        <v>44.507453747910652</v>
      </c>
      <c r="BB265" s="31">
        <f>[1]节奏总纲!BB265</f>
        <v>46.031609894814238</v>
      </c>
      <c r="BC265" s="31">
        <f>[1]节奏总纲!BC265</f>
        <v>47.979464877380188</v>
      </c>
      <c r="BD265" s="31">
        <f>[1]节奏总纲!BD265</f>
        <v>50.714706755578604</v>
      </c>
      <c r="BE265" s="31">
        <f>[1]节奏总纲!BE265</f>
        <v>55.420612674779434</v>
      </c>
      <c r="BG265" s="34"/>
      <c r="BP265" s="34"/>
    </row>
    <row r="266" spans="29:68" s="31" customFormat="1" x14ac:dyDescent="0.15">
      <c r="AC266" s="31">
        <v>263</v>
      </c>
      <c r="AD266" s="31">
        <f>[1]节奏总纲!AD266</f>
        <v>80.435397692903535</v>
      </c>
      <c r="AE266" s="31">
        <f>[1]节奏总纲!AE266</f>
        <v>82.535598620333275</v>
      </c>
      <c r="AF266" s="31">
        <f>[1]节奏总纲!AF266</f>
        <v>85.495883254929225</v>
      </c>
      <c r="AG266" s="31">
        <f>[1]节奏总纲!AG266</f>
        <v>90.457664768468462</v>
      </c>
      <c r="AH266" s="31">
        <f>[1]节奏总纲!AH266</f>
        <v>99.314378432489306</v>
      </c>
      <c r="AJ266" s="34"/>
      <c r="AM266" s="31">
        <f>[1]节奏总纲!AM266</f>
        <v>0</v>
      </c>
      <c r="AN266" s="31">
        <f>[1]节奏总纲!AN266</f>
        <v>0</v>
      </c>
      <c r="AO266" s="31">
        <f>[1]节奏总纲!AO266</f>
        <v>0</v>
      </c>
      <c r="AP266" s="31">
        <f>[1]节奏总纲!AP266</f>
        <v>0</v>
      </c>
      <c r="AQ266" s="31">
        <f>[1]节奏总纲!AQ266</f>
        <v>0</v>
      </c>
      <c r="AR266" s="29"/>
      <c r="AT266" s="31">
        <f>[1]节奏总纲!AT266</f>
        <v>0</v>
      </c>
      <c r="AU266" s="31">
        <f>[1]节奏总纲!AU266</f>
        <v>0</v>
      </c>
      <c r="AV266" s="31">
        <f>[1]节奏总纲!AV266</f>
        <v>0</v>
      </c>
      <c r="AW266" s="31">
        <f>[1]节奏总纲!AW266</f>
        <v>0</v>
      </c>
      <c r="AX266" s="31">
        <f>[1]节奏总纲!AX266</f>
        <v>0</v>
      </c>
      <c r="AY266" s="29"/>
      <c r="AZ266" s="31">
        <v>263</v>
      </c>
      <c r="BA266" s="31">
        <f>[1]节奏总纲!BA266</f>
        <v>44.533309194214553</v>
      </c>
      <c r="BB266" s="31">
        <f>[1]节奏总纲!BB266</f>
        <v>46.055689948337651</v>
      </c>
      <c r="BC266" s="31">
        <f>[1]节奏总纲!BC266</f>
        <v>48.006200084618079</v>
      </c>
      <c r="BD266" s="31">
        <f>[1]节奏总纲!BD266</f>
        <v>50.741464777127781</v>
      </c>
      <c r="BE266" s="31">
        <f>[1]节奏总纲!BE266</f>
        <v>55.446322495976226</v>
      </c>
      <c r="BG266" s="34"/>
      <c r="BP266" s="34"/>
    </row>
    <row r="267" spans="29:68" s="31" customFormat="1" x14ac:dyDescent="0.15">
      <c r="AC267" s="31">
        <v>264</v>
      </c>
      <c r="AD267" s="31">
        <f>[1]节奏总纲!AD267</f>
        <v>80.489822404516474</v>
      </c>
      <c r="AE267" s="31">
        <f>[1]节奏总纲!AE267</f>
        <v>82.589980097275202</v>
      </c>
      <c r="AF267" s="31">
        <f>[1]节奏总纲!AF267</f>
        <v>85.550486915716021</v>
      </c>
      <c r="AG267" s="31">
        <f>[1]节奏总纲!AG267</f>
        <v>90.514074664498196</v>
      </c>
      <c r="AH267" s="31">
        <f>[1]节奏总纲!AH267</f>
        <v>99.372591474611838</v>
      </c>
      <c r="AJ267" s="34"/>
      <c r="AM267" s="31">
        <f>[1]节奏总纲!AM267</f>
        <v>0</v>
      </c>
      <c r="AN267" s="31">
        <f>[1]节奏总纲!AN267</f>
        <v>0</v>
      </c>
      <c r="AO267" s="31">
        <f>[1]节奏总纲!AO267</f>
        <v>0</v>
      </c>
      <c r="AP267" s="31">
        <f>[1]节奏总纲!AP267</f>
        <v>0</v>
      </c>
      <c r="AQ267" s="31">
        <f>[1]节奏总纲!AQ267</f>
        <v>0</v>
      </c>
      <c r="AR267" s="29"/>
      <c r="AT267" s="31">
        <f>[1]节奏总纲!AT267</f>
        <v>0</v>
      </c>
      <c r="AU267" s="31">
        <f>[1]节奏总纲!AU267</f>
        <v>0</v>
      </c>
      <c r="AV267" s="31">
        <f>[1]节奏总纲!AV267</f>
        <v>0</v>
      </c>
      <c r="AW267" s="31">
        <f>[1]节奏总纲!AW267</f>
        <v>0</v>
      </c>
      <c r="AX267" s="31">
        <f>[1]节奏总纲!AX267</f>
        <v>0</v>
      </c>
      <c r="AY267" s="29"/>
      <c r="AZ267" s="31">
        <v>264</v>
      </c>
      <c r="BA267" s="31">
        <f>[1]节奏总纲!BA267</f>
        <v>44.55916464051846</v>
      </c>
      <c r="BB267" s="31">
        <f>[1]节奏总纲!BB267</f>
        <v>46.079770001861057</v>
      </c>
      <c r="BC267" s="31">
        <f>[1]节奏总纲!BC267</f>
        <v>48.030128751164241</v>
      </c>
      <c r="BD267" s="31">
        <f>[1]节奏总纲!BD267</f>
        <v>50.768222798676959</v>
      </c>
      <c r="BE267" s="31">
        <f>[1]节奏总纲!BE267</f>
        <v>55.47203231717301</v>
      </c>
      <c r="BG267" s="34"/>
      <c r="BP267" s="34"/>
    </row>
    <row r="268" spans="29:68" s="31" customFormat="1" x14ac:dyDescent="0.15">
      <c r="AC268" s="31">
        <v>265</v>
      </c>
      <c r="AD268" s="31">
        <f>[1]节奏总纲!AD268</f>
        <v>80.544247116129412</v>
      </c>
      <c r="AE268" s="31">
        <f>[1]节奏总纲!AE268</f>
        <v>82.644361574217143</v>
      </c>
      <c r="AF268" s="31">
        <f>[1]节奏总纲!AF268</f>
        <v>85.605090576502832</v>
      </c>
      <c r="AG268" s="31">
        <f>[1]节奏总纲!AG268</f>
        <v>90.57048456052793</v>
      </c>
      <c r="AH268" s="31">
        <f>[1]节奏总纲!AH268</f>
        <v>99.430804516734369</v>
      </c>
      <c r="AJ268" s="34"/>
      <c r="AM268" s="31">
        <f>[1]节奏总纲!AM268</f>
        <v>0</v>
      </c>
      <c r="AN268" s="31">
        <f>[1]节奏总纲!AN268</f>
        <v>0</v>
      </c>
      <c r="AO268" s="31">
        <f>[1]节奏总纲!AO268</f>
        <v>0</v>
      </c>
      <c r="AP268" s="31">
        <f>[1]节奏总纲!AP268</f>
        <v>0</v>
      </c>
      <c r="AQ268" s="31">
        <f>[1]节奏总纲!AQ268</f>
        <v>0</v>
      </c>
      <c r="AR268" s="29"/>
      <c r="AT268" s="31">
        <f>[1]节奏总纲!AT268</f>
        <v>0</v>
      </c>
      <c r="AU268" s="31">
        <f>[1]节奏总纲!AU268</f>
        <v>0</v>
      </c>
      <c r="AV268" s="31">
        <f>[1]节奏总纲!AV268</f>
        <v>0</v>
      </c>
      <c r="AW268" s="31">
        <f>[1]节奏总纲!AW268</f>
        <v>0</v>
      </c>
      <c r="AX268" s="31">
        <f>[1]节奏总纲!AX268</f>
        <v>0</v>
      </c>
      <c r="AY268" s="29"/>
      <c r="AZ268" s="31">
        <v>265</v>
      </c>
      <c r="BA268" s="31">
        <f>[1]节奏总纲!BA268</f>
        <v>44.585020086822361</v>
      </c>
      <c r="BB268" s="31">
        <f>[1]节奏总纲!BB268</f>
        <v>46.10385005538447</v>
      </c>
      <c r="BC268" s="31">
        <f>[1]节奏总纲!BC268</f>
        <v>48.054057417710396</v>
      </c>
      <c r="BD268" s="31">
        <f>[1]节奏总纲!BD268</f>
        <v>50.794980820226144</v>
      </c>
      <c r="BE268" s="31">
        <f>[1]节奏总纲!BE268</f>
        <v>55.497742138369794</v>
      </c>
      <c r="BG268" s="34"/>
      <c r="BP268" s="34"/>
    </row>
    <row r="269" spans="29:68" s="31" customFormat="1" x14ac:dyDescent="0.15">
      <c r="AC269" s="31">
        <v>266</v>
      </c>
      <c r="AD269" s="31">
        <f>[1]节奏总纲!AD269</f>
        <v>80.598671827742351</v>
      </c>
      <c r="AE269" s="31">
        <f>[1]节奏总纲!AE269</f>
        <v>82.698743051159084</v>
      </c>
      <c r="AF269" s="31">
        <f>[1]节奏总纲!AF269</f>
        <v>85.659694237289628</v>
      </c>
      <c r="AG269" s="31">
        <f>[1]节奏总纲!AG269</f>
        <v>90.626894456557665</v>
      </c>
      <c r="AH269" s="31">
        <f>[1]节奏总纲!AH269</f>
        <v>99.489017558856887</v>
      </c>
      <c r="AJ269" s="34"/>
      <c r="AM269" s="31">
        <f>[1]节奏总纲!AM269</f>
        <v>0</v>
      </c>
      <c r="AN269" s="31">
        <f>[1]节奏总纲!AN269</f>
        <v>0</v>
      </c>
      <c r="AO269" s="31">
        <f>[1]节奏总纲!AO269</f>
        <v>0</v>
      </c>
      <c r="AP269" s="31">
        <f>[1]节奏总纲!AP269</f>
        <v>0</v>
      </c>
      <c r="AQ269" s="31">
        <f>[1]节奏总纲!AQ269</f>
        <v>0</v>
      </c>
      <c r="AR269" s="29"/>
      <c r="AT269" s="31">
        <f>[1]节奏总纲!AT269</f>
        <v>0</v>
      </c>
      <c r="AU269" s="31">
        <f>[1]节奏总纲!AU269</f>
        <v>0</v>
      </c>
      <c r="AV269" s="31">
        <f>[1]节奏总纲!AV269</f>
        <v>0</v>
      </c>
      <c r="AW269" s="31">
        <f>[1]节奏总纲!AW269</f>
        <v>0</v>
      </c>
      <c r="AX269" s="31">
        <f>[1]节奏总纲!AX269</f>
        <v>0</v>
      </c>
      <c r="AY269" s="29"/>
      <c r="AZ269" s="31">
        <v>266</v>
      </c>
      <c r="BA269" s="31">
        <f>[1]节奏总纲!BA269</f>
        <v>44.610875533126261</v>
      </c>
      <c r="BB269" s="31">
        <f>[1]节奏总纲!BB269</f>
        <v>46.127930108907876</v>
      </c>
      <c r="BC269" s="31">
        <f>[1]节奏总纲!BC269</f>
        <v>48.077986084256551</v>
      </c>
      <c r="BD269" s="31">
        <f>[1]节奏总纲!BD269</f>
        <v>50.821738841775321</v>
      </c>
      <c r="BE269" s="31">
        <f>[1]节奏总纲!BE269</f>
        <v>55.523451959566586</v>
      </c>
      <c r="BG269" s="34"/>
      <c r="BP269" s="34"/>
    </row>
    <row r="270" spans="29:68" s="31" customFormat="1" x14ac:dyDescent="0.15">
      <c r="AC270" s="31">
        <v>267</v>
      </c>
      <c r="AD270" s="31">
        <f>[1]节奏总纲!AD270</f>
        <v>80.653096539355303</v>
      </c>
      <c r="AE270" s="31">
        <f>[1]节奏总纲!AE270</f>
        <v>82.753124528101011</v>
      </c>
      <c r="AF270" s="31">
        <f>[1]节奏总纲!AF270</f>
        <v>85.714297898076424</v>
      </c>
      <c r="AG270" s="31">
        <f>[1]节奏总纲!AG270</f>
        <v>90.683304352587413</v>
      </c>
      <c r="AH270" s="31">
        <f>[1]节奏总纲!AH270</f>
        <v>99.547230600979418</v>
      </c>
      <c r="AJ270" s="34"/>
      <c r="AM270" s="31">
        <f>[1]节奏总纲!AM270</f>
        <v>0</v>
      </c>
      <c r="AN270" s="31">
        <f>[1]节奏总纲!AN270</f>
        <v>0</v>
      </c>
      <c r="AO270" s="31">
        <f>[1]节奏总纲!AO270</f>
        <v>0</v>
      </c>
      <c r="AP270" s="31">
        <f>[1]节奏总纲!AP270</f>
        <v>0</v>
      </c>
      <c r="AQ270" s="31">
        <f>[1]节奏总纲!AQ270</f>
        <v>0</v>
      </c>
      <c r="AR270" s="29"/>
      <c r="AT270" s="31">
        <f>[1]节奏总纲!AT270</f>
        <v>0</v>
      </c>
      <c r="AU270" s="31">
        <f>[1]节奏总纲!AU270</f>
        <v>0</v>
      </c>
      <c r="AV270" s="31">
        <f>[1]节奏总纲!AV270</f>
        <v>0</v>
      </c>
      <c r="AW270" s="31">
        <f>[1]节奏总纲!AW270</f>
        <v>0</v>
      </c>
      <c r="AX270" s="31">
        <f>[1]节奏总纲!AX270</f>
        <v>0</v>
      </c>
      <c r="AY270" s="29"/>
      <c r="AZ270" s="31">
        <v>267</v>
      </c>
      <c r="BA270" s="31">
        <f>[1]节奏总纲!BA270</f>
        <v>44.636730979430169</v>
      </c>
      <c r="BB270" s="31">
        <f>[1]节奏总纲!BB270</f>
        <v>46.152010162431289</v>
      </c>
      <c r="BC270" s="31">
        <f>[1]节奏总纲!BC270</f>
        <v>48.101914750802706</v>
      </c>
      <c r="BD270" s="31">
        <f>[1]节奏总纲!BD270</f>
        <v>50.848496863324499</v>
      </c>
      <c r="BE270" s="31">
        <f>[1]节奏总纲!BE270</f>
        <v>55.54916178076337</v>
      </c>
      <c r="BG270" s="34"/>
      <c r="BP270" s="34"/>
    </row>
    <row r="271" spans="29:68" s="31" customFormat="1" x14ac:dyDescent="0.15">
      <c r="AC271" s="31">
        <v>268</v>
      </c>
      <c r="AD271" s="31">
        <f>[1]节奏总纲!AD271</f>
        <v>80.707521250968242</v>
      </c>
      <c r="AE271" s="31">
        <f>[1]节奏总纲!AE271</f>
        <v>82.807506005042953</v>
      </c>
      <c r="AF271" s="31">
        <f>[1]节奏总纲!AF271</f>
        <v>85.76890155886322</v>
      </c>
      <c r="AG271" s="31">
        <f>[1]节奏总纲!AG271</f>
        <v>90.739714248617148</v>
      </c>
      <c r="AH271" s="31">
        <f>[1]节奏总纲!AH271</f>
        <v>99.605443643101935</v>
      </c>
      <c r="AJ271" s="34"/>
      <c r="AM271" s="31">
        <f>[1]节奏总纲!AM271</f>
        <v>0</v>
      </c>
      <c r="AN271" s="31">
        <f>[1]节奏总纲!AN271</f>
        <v>0</v>
      </c>
      <c r="AO271" s="31">
        <f>[1]节奏总纲!AO271</f>
        <v>0</v>
      </c>
      <c r="AP271" s="31">
        <f>[1]节奏总纲!AP271</f>
        <v>0</v>
      </c>
      <c r="AQ271" s="31">
        <f>[1]节奏总纲!AQ271</f>
        <v>0</v>
      </c>
      <c r="AR271" s="29"/>
      <c r="AT271" s="31">
        <f>[1]节奏总纲!AT271</f>
        <v>0</v>
      </c>
      <c r="AU271" s="31">
        <f>[1]节奏总纲!AU271</f>
        <v>0</v>
      </c>
      <c r="AV271" s="31">
        <f>[1]节奏总纲!AV271</f>
        <v>0</v>
      </c>
      <c r="AW271" s="31">
        <f>[1]节奏总纲!AW271</f>
        <v>0</v>
      </c>
      <c r="AX271" s="31">
        <f>[1]节奏总纲!AX271</f>
        <v>0</v>
      </c>
      <c r="AY271" s="29"/>
      <c r="AZ271" s="31">
        <v>268</v>
      </c>
      <c r="BA271" s="31">
        <f>[1]节奏总纲!BA271</f>
        <v>44.662586425734069</v>
      </c>
      <c r="BB271" s="31">
        <f>[1]节奏总纲!BB271</f>
        <v>46.176090215954694</v>
      </c>
      <c r="BC271" s="31">
        <f>[1]节奏总纲!BC271</f>
        <v>48.125843417348868</v>
      </c>
      <c r="BD271" s="31">
        <f>[1]节奏总纲!BD271</f>
        <v>50.875254884873684</v>
      </c>
      <c r="BE271" s="31">
        <f>[1]节奏总纲!BE271</f>
        <v>55.574871601960162</v>
      </c>
      <c r="BG271" s="34"/>
      <c r="BP271" s="34"/>
    </row>
    <row r="272" spans="29:68" s="31" customFormat="1" x14ac:dyDescent="0.15">
      <c r="AC272" s="31">
        <v>269</v>
      </c>
      <c r="AD272" s="31">
        <f>[1]节奏总纲!AD272</f>
        <v>80.76194596258118</v>
      </c>
      <c r="AE272" s="31">
        <f>[1]节奏总纲!AE272</f>
        <v>82.861887481984894</v>
      </c>
      <c r="AF272" s="31">
        <f>[1]节奏总纲!AF272</f>
        <v>85.823505219650016</v>
      </c>
      <c r="AG272" s="31">
        <f>[1]节奏总纲!AG272</f>
        <v>90.796124144646882</v>
      </c>
      <c r="AH272" s="31">
        <f>[1]节奏总纲!AH272</f>
        <v>99.663656685224467</v>
      </c>
      <c r="AJ272" s="34"/>
      <c r="AM272" s="31">
        <f>[1]节奏总纲!AM272</f>
        <v>0</v>
      </c>
      <c r="AN272" s="31">
        <f>[1]节奏总纲!AN272</f>
        <v>0</v>
      </c>
      <c r="AO272" s="31">
        <f>[1]节奏总纲!AO272</f>
        <v>0</v>
      </c>
      <c r="AP272" s="31">
        <f>[1]节奏总纲!AP272</f>
        <v>0</v>
      </c>
      <c r="AQ272" s="31">
        <f>[1]节奏总纲!AQ272</f>
        <v>0</v>
      </c>
      <c r="AR272" s="29"/>
      <c r="AT272" s="31">
        <f>[1]节奏总纲!AT272</f>
        <v>0</v>
      </c>
      <c r="AU272" s="31">
        <f>[1]节奏总纲!AU272</f>
        <v>0</v>
      </c>
      <c r="AV272" s="31">
        <f>[1]节奏总纲!AV272</f>
        <v>0</v>
      </c>
      <c r="AW272" s="31">
        <f>[1]节奏总纲!AW272</f>
        <v>0</v>
      </c>
      <c r="AX272" s="31">
        <f>[1]节奏总纲!AX272</f>
        <v>0</v>
      </c>
      <c r="AY272" s="29"/>
      <c r="AZ272" s="31">
        <v>269</v>
      </c>
      <c r="BA272" s="31">
        <f>[1]节奏总纲!BA272</f>
        <v>44.68844187203797</v>
      </c>
      <c r="BB272" s="31">
        <f>[1]节奏总纲!BB272</f>
        <v>46.200170269478107</v>
      </c>
      <c r="BC272" s="31">
        <f>[1]节奏总纲!BC272</f>
        <v>48.149772083895023</v>
      </c>
      <c r="BD272" s="31">
        <f>[1]节奏总纲!BD272</f>
        <v>50.902012906422861</v>
      </c>
      <c r="BE272" s="31">
        <f>[1]节奏总纲!BE272</f>
        <v>55.600581423156946</v>
      </c>
      <c r="BG272" s="34"/>
      <c r="BP272" s="34"/>
    </row>
    <row r="273" spans="29:68" s="31" customFormat="1" x14ac:dyDescent="0.15">
      <c r="AC273" s="31">
        <v>270</v>
      </c>
      <c r="AD273" s="31">
        <f>[1]节奏总纲!AD273</f>
        <v>80.816370674194118</v>
      </c>
      <c r="AE273" s="31">
        <f>[1]节奏总纲!AE273</f>
        <v>82.916268958926821</v>
      </c>
      <c r="AF273" s="31">
        <f>[1]节奏总纲!AF273</f>
        <v>85.878108880436827</v>
      </c>
      <c r="AG273" s="31">
        <f>[1]节奏总纲!AG273</f>
        <v>90.852534040676616</v>
      </c>
      <c r="AH273" s="31">
        <f>[1]节奏总纲!AH273</f>
        <v>99.721869727346999</v>
      </c>
      <c r="AJ273" s="34"/>
      <c r="AM273" s="31">
        <f>[1]节奏总纲!AM273</f>
        <v>0</v>
      </c>
      <c r="AN273" s="31">
        <f>[1]节奏总纲!AN273</f>
        <v>0</v>
      </c>
      <c r="AO273" s="31">
        <f>[1]节奏总纲!AO273</f>
        <v>0</v>
      </c>
      <c r="AP273" s="31">
        <f>[1]节奏总纲!AP273</f>
        <v>0</v>
      </c>
      <c r="AQ273" s="31">
        <f>[1]节奏总纲!AQ273</f>
        <v>0</v>
      </c>
      <c r="AR273" s="29"/>
      <c r="AT273" s="31">
        <f>[1]节奏总纲!AT273</f>
        <v>0</v>
      </c>
      <c r="AU273" s="31">
        <f>[1]节奏总纲!AU273</f>
        <v>0</v>
      </c>
      <c r="AV273" s="31">
        <f>[1]节奏总纲!AV273</f>
        <v>0</v>
      </c>
      <c r="AW273" s="31">
        <f>[1]节奏总纲!AW273</f>
        <v>0</v>
      </c>
      <c r="AX273" s="31">
        <f>[1]节奏总纲!AX273</f>
        <v>0</v>
      </c>
      <c r="AY273" s="29"/>
      <c r="AZ273" s="31">
        <v>270</v>
      </c>
      <c r="BA273" s="31">
        <f>[1]节奏总纲!BA273</f>
        <v>44.714297318341877</v>
      </c>
      <c r="BB273" s="31">
        <f>[1]节奏总纲!BB273</f>
        <v>46.224250323001513</v>
      </c>
      <c r="BC273" s="31">
        <f>[1]节奏总纲!BC273</f>
        <v>48.173700750441178</v>
      </c>
      <c r="BD273" s="31">
        <f>[1]节奏总纲!BD273</f>
        <v>50.928770927972039</v>
      </c>
      <c r="BE273" s="31">
        <f>[1]节奏总纲!BE273</f>
        <v>55.62629124435373</v>
      </c>
      <c r="BG273" s="34"/>
      <c r="BP273" s="34"/>
    </row>
    <row r="274" spans="29:68" s="31" customFormat="1" x14ac:dyDescent="0.15">
      <c r="AC274" s="31">
        <v>271</v>
      </c>
      <c r="AD274" s="31">
        <f>[1]节奏总纲!AD274</f>
        <v>80.870795385807057</v>
      </c>
      <c r="AE274" s="31">
        <f>[1]节奏总纲!AE274</f>
        <v>82.970650435868762</v>
      </c>
      <c r="AF274" s="31">
        <f>[1]节奏总纲!AF274</f>
        <v>85.932712541223623</v>
      </c>
      <c r="AG274" s="31">
        <f>[1]节奏总纲!AG274</f>
        <v>90.908943936706351</v>
      </c>
      <c r="AH274" s="31">
        <f>[1]节奏总纲!AH274</f>
        <v>99.780082769469516</v>
      </c>
      <c r="AJ274" s="34"/>
      <c r="AM274" s="31">
        <f>[1]节奏总纲!AM274</f>
        <v>0</v>
      </c>
      <c r="AN274" s="31">
        <f>[1]节奏总纲!AN274</f>
        <v>0</v>
      </c>
      <c r="AO274" s="31">
        <f>[1]节奏总纲!AO274</f>
        <v>0</v>
      </c>
      <c r="AP274" s="31">
        <f>[1]节奏总纲!AP274</f>
        <v>0</v>
      </c>
      <c r="AQ274" s="31">
        <f>[1]节奏总纲!AQ274</f>
        <v>0</v>
      </c>
      <c r="AR274" s="29"/>
      <c r="AT274" s="31">
        <f>[1]节奏总纲!AT274</f>
        <v>0</v>
      </c>
      <c r="AU274" s="31">
        <f>[1]节奏总纲!AU274</f>
        <v>0</v>
      </c>
      <c r="AV274" s="31">
        <f>[1]节奏总纲!AV274</f>
        <v>0</v>
      </c>
      <c r="AW274" s="31">
        <f>[1]节奏总纲!AW274</f>
        <v>0</v>
      </c>
      <c r="AX274" s="31">
        <f>[1]节奏总纲!AX274</f>
        <v>0</v>
      </c>
      <c r="AY274" s="29"/>
      <c r="AZ274" s="31">
        <v>271</v>
      </c>
      <c r="BA274" s="31">
        <f>[1]节奏总纲!BA274</f>
        <v>44.740152764645778</v>
      </c>
      <c r="BB274" s="31">
        <f>[1]节奏总纲!BB274</f>
        <v>46.248330376524919</v>
      </c>
      <c r="BC274" s="31">
        <f>[1]节奏总纲!BC274</f>
        <v>48.19762941698734</v>
      </c>
      <c r="BD274" s="31">
        <f>[1]节奏总纲!BD274</f>
        <v>50.955528949521224</v>
      </c>
      <c r="BE274" s="31">
        <f>[1]节奏总纲!BE274</f>
        <v>55.652001065550522</v>
      </c>
      <c r="BG274" s="34"/>
      <c r="BP274" s="34"/>
    </row>
    <row r="275" spans="29:68" s="31" customFormat="1" x14ac:dyDescent="0.15">
      <c r="AC275" s="31">
        <v>272</v>
      </c>
      <c r="AD275" s="31">
        <f>[1]节奏总纲!AD275</f>
        <v>80.925220097420009</v>
      </c>
      <c r="AE275" s="31">
        <f>[1]节奏总纲!AE275</f>
        <v>83.023342162088809</v>
      </c>
      <c r="AF275" s="31">
        <f>[1]节奏总纲!AF275</f>
        <v>85.987316202010419</v>
      </c>
      <c r="AG275" s="31">
        <f>[1]节奏总纲!AG275</f>
        <v>90.965353832736099</v>
      </c>
      <c r="AH275" s="31">
        <f>[1]节奏总纲!AH275</f>
        <v>99.838295811592047</v>
      </c>
      <c r="AJ275" s="34"/>
      <c r="AM275" s="31">
        <f>[1]节奏总纲!AM275</f>
        <v>0</v>
      </c>
      <c r="AN275" s="31">
        <f>[1]节奏总纲!AN275</f>
        <v>0</v>
      </c>
      <c r="AO275" s="31">
        <f>[1]节奏总纲!AO275</f>
        <v>0</v>
      </c>
      <c r="AP275" s="31">
        <f>[1]节奏总纲!AP275</f>
        <v>0</v>
      </c>
      <c r="AQ275" s="31">
        <f>[1]节奏总纲!AQ275</f>
        <v>0</v>
      </c>
      <c r="AR275" s="29"/>
      <c r="AT275" s="31">
        <f>[1]节奏总纲!AT275</f>
        <v>0</v>
      </c>
      <c r="AU275" s="31">
        <f>[1]节奏总纲!AU275</f>
        <v>0</v>
      </c>
      <c r="AV275" s="31">
        <f>[1]节奏总纲!AV275</f>
        <v>0</v>
      </c>
      <c r="AW275" s="31">
        <f>[1]节奏总纲!AW275</f>
        <v>0</v>
      </c>
      <c r="AX275" s="31">
        <f>[1]节奏总纲!AX275</f>
        <v>0</v>
      </c>
      <c r="AY275" s="29"/>
      <c r="AZ275" s="31">
        <v>272</v>
      </c>
      <c r="BA275" s="31">
        <f>[1]节奏总纲!BA275</f>
        <v>44.766008210949678</v>
      </c>
      <c r="BB275" s="31">
        <f>[1]节奏总纲!BB275</f>
        <v>46.272410430048332</v>
      </c>
      <c r="BC275" s="31">
        <f>[1]节奏总纲!BC275</f>
        <v>48.221558083533495</v>
      </c>
      <c r="BD275" s="31">
        <f>[1]节奏总纲!BD275</f>
        <v>50.982286971070401</v>
      </c>
      <c r="BE275" s="31">
        <f>[1]节奏总纲!BE275</f>
        <v>55.677710886747306</v>
      </c>
      <c r="BG275" s="34"/>
      <c r="BP275" s="34"/>
    </row>
    <row r="276" spans="29:68" s="31" customFormat="1" x14ac:dyDescent="0.15">
      <c r="AC276" s="31">
        <v>273</v>
      </c>
      <c r="AD276" s="31">
        <f>[1]节奏总纲!AD276</f>
        <v>80.979644809032948</v>
      </c>
      <c r="AE276" s="31">
        <f>[1]节奏总纲!AE276</f>
        <v>83.07405267945947</v>
      </c>
      <c r="AF276" s="31">
        <f>[1]节奏总纲!AF276</f>
        <v>86.038061368689995</v>
      </c>
      <c r="AG276" s="31">
        <f>[1]节奏总纲!AG276</f>
        <v>91.020352770869948</v>
      </c>
      <c r="AH276" s="31">
        <f>[1]节奏总纲!AH276</f>
        <v>99.896508853714579</v>
      </c>
      <c r="AJ276" s="34"/>
      <c r="AM276" s="31">
        <f>[1]节奏总纲!AM276</f>
        <v>0</v>
      </c>
      <c r="AN276" s="31">
        <f>[1]节奏总纲!AN276</f>
        <v>0</v>
      </c>
      <c r="AO276" s="31">
        <f>[1]节奏总纲!AO276</f>
        <v>0</v>
      </c>
      <c r="AP276" s="31">
        <f>[1]节奏总纲!AP276</f>
        <v>0</v>
      </c>
      <c r="AQ276" s="31">
        <f>[1]节奏总纲!AQ276</f>
        <v>0</v>
      </c>
      <c r="AR276" s="29"/>
      <c r="AT276" s="31">
        <f>[1]节奏总纲!AT276</f>
        <v>0</v>
      </c>
      <c r="AU276" s="31">
        <f>[1]节奏总纲!AU276</f>
        <v>0</v>
      </c>
      <c r="AV276" s="31">
        <f>[1]节奏总纲!AV276</f>
        <v>0</v>
      </c>
      <c r="AW276" s="31">
        <f>[1]节奏总纲!AW276</f>
        <v>0</v>
      </c>
      <c r="AX276" s="31">
        <f>[1]节奏总纲!AX276</f>
        <v>0</v>
      </c>
      <c r="AY276" s="29"/>
      <c r="AZ276" s="31">
        <v>273</v>
      </c>
      <c r="BA276" s="31">
        <f>[1]节奏总纲!BA276</f>
        <v>44.791863657253586</v>
      </c>
      <c r="BB276" s="31">
        <f>[1]节奏总纲!BB276</f>
        <v>46.296490483571738</v>
      </c>
      <c r="BC276" s="31">
        <f>[1]节奏总纲!BC276</f>
        <v>48.24548675007965</v>
      </c>
      <c r="BD276" s="31">
        <f>[1]节奏总纲!BD276</f>
        <v>51.007810424246486</v>
      </c>
      <c r="BE276" s="31">
        <f>[1]节奏总纲!BE276</f>
        <v>55.703420707944098</v>
      </c>
      <c r="BG276" s="34"/>
      <c r="BP276" s="34"/>
    </row>
    <row r="277" spans="29:68" s="31" customFormat="1" x14ac:dyDescent="0.15">
      <c r="AC277" s="31">
        <v>274</v>
      </c>
      <c r="AD277" s="31">
        <f>[1]节奏总纲!AD277</f>
        <v>81.031787986768464</v>
      </c>
      <c r="AE277" s="31">
        <f>[1]节奏总纲!AE277</f>
        <v>83.124763196830131</v>
      </c>
      <c r="AF277" s="31">
        <f>[1]节奏总纲!AF277</f>
        <v>86.087639061133402</v>
      </c>
      <c r="AG277" s="31">
        <f>[1]节奏总纲!AG277</f>
        <v>91.073105573528181</v>
      </c>
      <c r="AH277" s="31">
        <f>[1]节奏总纲!AH277</f>
        <v>99.954721895837096</v>
      </c>
      <c r="AJ277" s="34"/>
      <c r="AM277" s="31">
        <f>[1]节奏总纲!AM277</f>
        <v>0</v>
      </c>
      <c r="AN277" s="31">
        <f>[1]节奏总纲!AN277</f>
        <v>0</v>
      </c>
      <c r="AO277" s="31">
        <f>[1]节奏总纲!AO277</f>
        <v>0</v>
      </c>
      <c r="AP277" s="31">
        <f>[1]节奏总纲!AP277</f>
        <v>0</v>
      </c>
      <c r="AQ277" s="31">
        <f>[1]节奏总纲!AQ277</f>
        <v>0</v>
      </c>
      <c r="AR277" s="29"/>
      <c r="AT277" s="31">
        <f>[1]节奏总纲!AT277</f>
        <v>0</v>
      </c>
      <c r="AU277" s="31">
        <f>[1]节奏总纲!AU277</f>
        <v>0</v>
      </c>
      <c r="AV277" s="31">
        <f>[1]节奏总纲!AV277</f>
        <v>0</v>
      </c>
      <c r="AW277" s="31">
        <f>[1]节奏总纲!AW277</f>
        <v>0</v>
      </c>
      <c r="AX277" s="31">
        <f>[1]节奏总纲!AX277</f>
        <v>0</v>
      </c>
      <c r="AY277" s="29"/>
      <c r="AZ277" s="31">
        <v>274</v>
      </c>
      <c r="BA277" s="31">
        <f>[1]节奏总纲!BA277</f>
        <v>44.817719103557486</v>
      </c>
      <c r="BB277" s="31">
        <f>[1]节奏总纲!BB277</f>
        <v>46.320570537095151</v>
      </c>
      <c r="BC277" s="31">
        <f>[1]节奏总纲!BC277</f>
        <v>48.269415416625804</v>
      </c>
      <c r="BD277" s="31">
        <f>[1]节奏总纲!BD277</f>
        <v>51.030916192165336</v>
      </c>
      <c r="BE277" s="31">
        <f>[1]节奏总纲!BE277</f>
        <v>55.729130529140882</v>
      </c>
      <c r="BG277" s="34"/>
      <c r="BP277" s="34"/>
    </row>
    <row r="278" spans="29:68" s="31" customFormat="1" x14ac:dyDescent="0.15">
      <c r="AC278" s="31">
        <v>275</v>
      </c>
      <c r="AD278" s="31">
        <f>[1]节奏总纲!AD278</f>
        <v>81.082568038258216</v>
      </c>
      <c r="AE278" s="31">
        <f>[1]节奏总纲!AE278</f>
        <v>83.175473714200777</v>
      </c>
      <c r="AF278" s="31">
        <f>[1]节奏总纲!AF278</f>
        <v>86.137216753576809</v>
      </c>
      <c r="AG278" s="31">
        <f>[1]节奏总纲!AG278</f>
        <v>91.125858376186414</v>
      </c>
      <c r="AH278" s="31">
        <f>[1]节奏总纲!AH278</f>
        <v>100.01191770041967</v>
      </c>
      <c r="AJ278" s="34"/>
      <c r="AM278" s="31">
        <f>[1]节奏总纲!AM278</f>
        <v>0</v>
      </c>
      <c r="AN278" s="31">
        <f>[1]节奏总纲!AN278</f>
        <v>0</v>
      </c>
      <c r="AO278" s="31">
        <f>[1]节奏总纲!AO278</f>
        <v>0</v>
      </c>
      <c r="AP278" s="31">
        <f>[1]节奏总纲!AP278</f>
        <v>0</v>
      </c>
      <c r="AQ278" s="31">
        <f>[1]节奏总纲!AQ278</f>
        <v>0</v>
      </c>
      <c r="AR278" s="29"/>
      <c r="AT278" s="31">
        <f>[1]节奏总纲!AT278</f>
        <v>0</v>
      </c>
      <c r="AU278" s="31">
        <f>[1]节奏总纲!AU278</f>
        <v>0</v>
      </c>
      <c r="AV278" s="31">
        <f>[1]节奏总纲!AV278</f>
        <v>0</v>
      </c>
      <c r="AW278" s="31">
        <f>[1]节奏总纲!AW278</f>
        <v>0</v>
      </c>
      <c r="AX278" s="31">
        <f>[1]节奏总纲!AX278</f>
        <v>0</v>
      </c>
      <c r="AY278" s="29"/>
      <c r="AZ278" s="31">
        <v>275</v>
      </c>
      <c r="BA278" s="31">
        <f>[1]节奏总纲!BA278</f>
        <v>44.843574549861387</v>
      </c>
      <c r="BB278" s="31">
        <f>[1]节奏总纲!BB278</f>
        <v>46.344650590618556</v>
      </c>
      <c r="BC278" s="31">
        <f>[1]节奏总纲!BC278</f>
        <v>48.293344083171966</v>
      </c>
      <c r="BD278" s="31">
        <f>[1]节奏总纲!BD278</f>
        <v>51.054021960084178</v>
      </c>
      <c r="BE278" s="31">
        <f>[1]节奏总纲!BE278</f>
        <v>55.754840350337666</v>
      </c>
      <c r="BG278" s="34"/>
      <c r="BP278" s="34"/>
    </row>
    <row r="279" spans="29:68" s="31" customFormat="1" x14ac:dyDescent="0.15">
      <c r="AC279" s="31">
        <v>276</v>
      </c>
      <c r="AD279" s="31">
        <f>[1]节奏总纲!AD279</f>
        <v>81.133348089747955</v>
      </c>
      <c r="AE279" s="31">
        <f>[1]节奏总纲!AE279</f>
        <v>83.226184231571438</v>
      </c>
      <c r="AF279" s="31">
        <f>[1]节奏总纲!AF279</f>
        <v>86.186794446020215</v>
      </c>
      <c r="AG279" s="31">
        <f>[1]节奏总纲!AG279</f>
        <v>91.178611178844633</v>
      </c>
      <c r="AH279" s="31">
        <f>[1]节奏总纲!AH279</f>
        <v>100.06555271580974</v>
      </c>
      <c r="AJ279" s="34"/>
      <c r="AM279" s="31">
        <f>[1]节奏总纲!AM279</f>
        <v>0</v>
      </c>
      <c r="AN279" s="31">
        <f>[1]节奏总纲!AN279</f>
        <v>0</v>
      </c>
      <c r="AO279" s="31">
        <f>[1]节奏总纲!AO279</f>
        <v>0</v>
      </c>
      <c r="AP279" s="31">
        <f>[1]节奏总纲!AP279</f>
        <v>0</v>
      </c>
      <c r="AQ279" s="31">
        <f>[1]节奏总纲!AQ279</f>
        <v>0</v>
      </c>
      <c r="AR279" s="29"/>
      <c r="AT279" s="31">
        <f>[1]节奏总纲!AT279</f>
        <v>0</v>
      </c>
      <c r="AU279" s="31">
        <f>[1]节奏总纲!AU279</f>
        <v>0</v>
      </c>
      <c r="AV279" s="31">
        <f>[1]节奏总纲!AV279</f>
        <v>0</v>
      </c>
      <c r="AW279" s="31">
        <f>[1]节奏总纲!AW279</f>
        <v>0</v>
      </c>
      <c r="AX279" s="31">
        <f>[1]节奏总纲!AX279</f>
        <v>0</v>
      </c>
      <c r="AY279" s="29"/>
      <c r="AZ279" s="31">
        <v>276</v>
      </c>
      <c r="BA279" s="31">
        <f>[1]节奏总纲!BA279</f>
        <v>44.869429996165294</v>
      </c>
      <c r="BB279" s="31">
        <f>[1]节奏总纲!BB279</f>
        <v>46.368730644141969</v>
      </c>
      <c r="BC279" s="31">
        <f>[1]节奏总纲!BC279</f>
        <v>48.317272749718121</v>
      </c>
      <c r="BD279" s="31">
        <f>[1]节奏总纲!BD279</f>
        <v>51.077127728003028</v>
      </c>
      <c r="BE279" s="31">
        <f>[1]节奏总纲!BE279</f>
        <v>55.780550171534458</v>
      </c>
      <c r="BG279" s="34"/>
      <c r="BP279" s="34"/>
    </row>
    <row r="280" spans="29:68" s="31" customFormat="1" x14ac:dyDescent="0.15">
      <c r="AC280" s="31">
        <v>277</v>
      </c>
      <c r="AD280" s="31">
        <f>[1]节奏总纲!AD280</f>
        <v>81.184128141237707</v>
      </c>
      <c r="AE280" s="31">
        <f>[1]节奏总纲!AE280</f>
        <v>83.276894748942098</v>
      </c>
      <c r="AF280" s="31">
        <f>[1]节奏总纲!AF280</f>
        <v>86.236372138463622</v>
      </c>
      <c r="AG280" s="31">
        <f>[1]节奏总纲!AG280</f>
        <v>91.231363981502867</v>
      </c>
      <c r="AH280" s="31">
        <f>[1]节奏总纲!AH280</f>
        <v>100.11918773119983</v>
      </c>
      <c r="AJ280" s="34"/>
      <c r="AM280" s="31">
        <f>[1]节奏总纲!AM280</f>
        <v>0</v>
      </c>
      <c r="AN280" s="31">
        <f>[1]节奏总纲!AN280</f>
        <v>0</v>
      </c>
      <c r="AO280" s="31">
        <f>[1]节奏总纲!AO280</f>
        <v>0</v>
      </c>
      <c r="AP280" s="31">
        <f>[1]节奏总纲!AP280</f>
        <v>0</v>
      </c>
      <c r="AQ280" s="31">
        <f>[1]节奏总纲!AQ280</f>
        <v>0</v>
      </c>
      <c r="AR280" s="29"/>
      <c r="AT280" s="31">
        <f>[1]节奏总纲!AT280</f>
        <v>0</v>
      </c>
      <c r="AU280" s="31">
        <f>[1]节奏总纲!AU280</f>
        <v>0</v>
      </c>
      <c r="AV280" s="31">
        <f>[1]节奏总纲!AV280</f>
        <v>0</v>
      </c>
      <c r="AW280" s="31">
        <f>[1]节奏总纲!AW280</f>
        <v>0</v>
      </c>
      <c r="AX280" s="31">
        <f>[1]节奏总纲!AX280</f>
        <v>0</v>
      </c>
      <c r="AY280" s="29"/>
      <c r="AZ280" s="31">
        <v>277</v>
      </c>
      <c r="BA280" s="31">
        <f>[1]节奏总纲!BA280</f>
        <v>44.895285442469195</v>
      </c>
      <c r="BB280" s="31">
        <f>[1]节奏总纲!BB280</f>
        <v>46.392810697665375</v>
      </c>
      <c r="BC280" s="31">
        <f>[1]节奏总纲!BC280</f>
        <v>48.341201416264276</v>
      </c>
      <c r="BD280" s="31">
        <f>[1]节奏总纲!BD280</f>
        <v>51.10023349592187</v>
      </c>
      <c r="BE280" s="31">
        <f>[1]节奏总纲!BE280</f>
        <v>55.806259992731242</v>
      </c>
      <c r="BG280" s="34"/>
      <c r="BP280" s="34"/>
    </row>
    <row r="281" spans="29:68" s="31" customFormat="1" x14ac:dyDescent="0.15">
      <c r="AC281" s="31">
        <v>278</v>
      </c>
      <c r="AD281" s="31">
        <f>[1]节奏总纲!AD281</f>
        <v>81.23490819272746</v>
      </c>
      <c r="AE281" s="31">
        <f>[1]节奏总纲!AE281</f>
        <v>83.327605266312744</v>
      </c>
      <c r="AF281" s="31">
        <f>[1]节奏总纲!AF281</f>
        <v>86.285949830907029</v>
      </c>
      <c r="AG281" s="31">
        <f>[1]节奏总纲!AG281</f>
        <v>91.2841167841611</v>
      </c>
      <c r="AH281" s="31">
        <f>[1]节奏总纲!AH281</f>
        <v>100.1728227465899</v>
      </c>
      <c r="AJ281" s="34"/>
      <c r="AM281" s="31">
        <f>[1]节奏总纲!AM281</f>
        <v>0</v>
      </c>
      <c r="AN281" s="31">
        <f>[1]节奏总纲!AN281</f>
        <v>0</v>
      </c>
      <c r="AO281" s="31">
        <f>[1]节奏总纲!AO281</f>
        <v>0</v>
      </c>
      <c r="AP281" s="31">
        <f>[1]节奏总纲!AP281</f>
        <v>0</v>
      </c>
      <c r="AQ281" s="31">
        <f>[1]节奏总纲!AQ281</f>
        <v>0</v>
      </c>
      <c r="AR281" s="29"/>
      <c r="AT281" s="31">
        <f>[1]节奏总纲!AT281</f>
        <v>0</v>
      </c>
      <c r="AU281" s="31">
        <f>[1]节奏总纲!AU281</f>
        <v>0</v>
      </c>
      <c r="AV281" s="31">
        <f>[1]节奏总纲!AV281</f>
        <v>0</v>
      </c>
      <c r="AW281" s="31">
        <f>[1]节奏总纲!AW281</f>
        <v>0</v>
      </c>
      <c r="AX281" s="31">
        <f>[1]节奏总纲!AX281</f>
        <v>0</v>
      </c>
      <c r="AY281" s="29"/>
      <c r="AZ281" s="31">
        <v>278</v>
      </c>
      <c r="BA281" s="31">
        <f>[1]节奏总纲!BA281</f>
        <v>44.921140888773095</v>
      </c>
      <c r="BB281" s="31">
        <f>[1]节奏总纲!BB281</f>
        <v>46.416890751188788</v>
      </c>
      <c r="BC281" s="31">
        <f>[1]节奏总纲!BC281</f>
        <v>48.365130082810438</v>
      </c>
      <c r="BD281" s="31">
        <f>[1]节奏总纲!BD281</f>
        <v>51.12333926384072</v>
      </c>
      <c r="BE281" s="31">
        <f>[1]节奏总纲!BE281</f>
        <v>55.831969813928033</v>
      </c>
      <c r="BG281" s="34"/>
      <c r="BP281" s="34"/>
    </row>
    <row r="282" spans="29:68" s="31" customFormat="1" x14ac:dyDescent="0.15">
      <c r="AC282" s="31">
        <v>279</v>
      </c>
      <c r="AD282" s="31">
        <f>[1]节奏总纲!AD282</f>
        <v>81.285688244217212</v>
      </c>
      <c r="AE282" s="31">
        <f>[1]节奏总纲!AE282</f>
        <v>83.378315783683405</v>
      </c>
      <c r="AF282" s="31">
        <f>[1]节奏总纲!AF282</f>
        <v>86.335527523350422</v>
      </c>
      <c r="AG282" s="31">
        <f>[1]节奏总纲!AG282</f>
        <v>91.336869586819319</v>
      </c>
      <c r="AH282" s="31">
        <f>[1]节奏总纲!AH282</f>
        <v>100.22645776197997</v>
      </c>
      <c r="AJ282" s="34"/>
      <c r="AM282" s="31">
        <f>[1]节奏总纲!AM282</f>
        <v>0</v>
      </c>
      <c r="AN282" s="31">
        <f>[1]节奏总纲!AN282</f>
        <v>0</v>
      </c>
      <c r="AO282" s="31">
        <f>[1]节奏总纲!AO282</f>
        <v>0</v>
      </c>
      <c r="AP282" s="31">
        <f>[1]节奏总纲!AP282</f>
        <v>0</v>
      </c>
      <c r="AQ282" s="31">
        <f>[1]节奏总纲!AQ282</f>
        <v>0</v>
      </c>
      <c r="AR282" s="29"/>
      <c r="AT282" s="31">
        <f>[1]节奏总纲!AT282</f>
        <v>0</v>
      </c>
      <c r="AU282" s="31">
        <f>[1]节奏总纲!AU282</f>
        <v>0</v>
      </c>
      <c r="AV282" s="31">
        <f>[1]节奏总纲!AV282</f>
        <v>0</v>
      </c>
      <c r="AW282" s="31">
        <f>[1]节奏总纲!AW282</f>
        <v>0</v>
      </c>
      <c r="AX282" s="31">
        <f>[1]节奏总纲!AX282</f>
        <v>0</v>
      </c>
      <c r="AY282" s="29"/>
      <c r="AZ282" s="31">
        <v>279</v>
      </c>
      <c r="BA282" s="31">
        <f>[1]节奏总纲!BA282</f>
        <v>44.946996335076996</v>
      </c>
      <c r="BB282" s="31">
        <f>[1]节奏总纲!BB282</f>
        <v>46.440970804712194</v>
      </c>
      <c r="BC282" s="31">
        <f>[1]节奏总纲!BC282</f>
        <v>48.389058749356593</v>
      </c>
      <c r="BD282" s="31">
        <f>[1]节奏总纲!BD282</f>
        <v>51.146445031759569</v>
      </c>
      <c r="BE282" s="31">
        <f>[1]节奏总纲!BE282</f>
        <v>55.857679635124818</v>
      </c>
      <c r="BG282" s="34"/>
      <c r="BP282" s="34"/>
    </row>
    <row r="283" spans="29:68" s="31" customFormat="1" x14ac:dyDescent="0.15">
      <c r="AC283" s="31">
        <v>280</v>
      </c>
      <c r="AD283" s="31">
        <f>[1]节奏总纲!AD283</f>
        <v>81.336468295706965</v>
      </c>
      <c r="AE283" s="31">
        <f>[1]节奏总纲!AE283</f>
        <v>83.429026301054066</v>
      </c>
      <c r="AF283" s="31">
        <f>[1]节奏总纲!AF283</f>
        <v>86.385105215793828</v>
      </c>
      <c r="AG283" s="31">
        <f>[1]节奏总纲!AG283</f>
        <v>91.389622389477552</v>
      </c>
      <c r="AH283" s="31">
        <f>[1]节奏总纲!AH283</f>
        <v>100.28009277737006</v>
      </c>
      <c r="AJ283" s="34"/>
      <c r="AM283" s="31">
        <f>[1]节奏总纲!AM283</f>
        <v>0</v>
      </c>
      <c r="AN283" s="31">
        <f>[1]节奏总纲!AN283</f>
        <v>0</v>
      </c>
      <c r="AO283" s="31">
        <f>[1]节奏总纲!AO283</f>
        <v>0</v>
      </c>
      <c r="AP283" s="31">
        <f>[1]节奏总纲!AP283</f>
        <v>0</v>
      </c>
      <c r="AQ283" s="31">
        <f>[1]节奏总纲!AQ283</f>
        <v>0</v>
      </c>
      <c r="AR283" s="29"/>
      <c r="AT283" s="31">
        <f>[1]节奏总纲!AT283</f>
        <v>0</v>
      </c>
      <c r="AU283" s="31">
        <f>[1]节奏总纲!AU283</f>
        <v>0</v>
      </c>
      <c r="AV283" s="31">
        <f>[1]节奏总纲!AV283</f>
        <v>0</v>
      </c>
      <c r="AW283" s="31">
        <f>[1]节奏总纲!AW283</f>
        <v>0</v>
      </c>
      <c r="AX283" s="31">
        <f>[1]节奏总纲!AX283</f>
        <v>0</v>
      </c>
      <c r="AY283" s="29"/>
      <c r="AZ283" s="31">
        <v>280</v>
      </c>
      <c r="BA283" s="31">
        <f>[1]节奏总纲!BA283</f>
        <v>44.972851781380903</v>
      </c>
      <c r="BB283" s="31">
        <f>[1]节奏总纲!BB283</f>
        <v>46.465050858235607</v>
      </c>
      <c r="BC283" s="31">
        <f>[1]节奏总纲!BC283</f>
        <v>48.412987415902748</v>
      </c>
      <c r="BD283" s="31">
        <f>[1]节奏总纲!BD283</f>
        <v>51.169550799678412</v>
      </c>
      <c r="BE283" s="31">
        <f>[1]节奏总纲!BE283</f>
        <v>55.883389456321602</v>
      </c>
      <c r="BG283" s="34"/>
      <c r="BP283" s="34"/>
    </row>
    <row r="284" spans="29:68" s="31" customFormat="1" x14ac:dyDescent="0.15">
      <c r="AC284" s="31">
        <v>281</v>
      </c>
      <c r="AD284" s="31">
        <f>[1]节奏总纲!AD284</f>
        <v>81.387248347196717</v>
      </c>
      <c r="AE284" s="31">
        <f>[1]节奏总纲!AE284</f>
        <v>83.479736818424712</v>
      </c>
      <c r="AF284" s="31">
        <f>[1]节奏总纲!AF284</f>
        <v>86.434682908237235</v>
      </c>
      <c r="AG284" s="31">
        <f>[1]节奏总纲!AG284</f>
        <v>91.442375192135771</v>
      </c>
      <c r="AH284" s="31">
        <f>[1]节奏总纲!AH284</f>
        <v>100.33372779276013</v>
      </c>
      <c r="AJ284" s="34"/>
      <c r="AM284" s="31">
        <f>[1]节奏总纲!AM284</f>
        <v>0</v>
      </c>
      <c r="AN284" s="31">
        <f>[1]节奏总纲!AN284</f>
        <v>0</v>
      </c>
      <c r="AO284" s="31">
        <f>[1]节奏总纲!AO284</f>
        <v>0</v>
      </c>
      <c r="AP284" s="31">
        <f>[1]节奏总纲!AP284</f>
        <v>0</v>
      </c>
      <c r="AQ284" s="31">
        <f>[1]节奏总纲!AQ284</f>
        <v>0</v>
      </c>
      <c r="AR284" s="29"/>
      <c r="AT284" s="31">
        <f>[1]节奏总纲!AT284</f>
        <v>0</v>
      </c>
      <c r="AU284" s="31">
        <f>[1]节奏总纲!AU284</f>
        <v>0</v>
      </c>
      <c r="AV284" s="31">
        <f>[1]节奏总纲!AV284</f>
        <v>0</v>
      </c>
      <c r="AW284" s="31">
        <f>[1]节奏总纲!AW284</f>
        <v>0</v>
      </c>
      <c r="AX284" s="31">
        <f>[1]节奏总纲!AX284</f>
        <v>0</v>
      </c>
      <c r="AY284" s="29"/>
      <c r="AZ284" s="31">
        <v>281</v>
      </c>
      <c r="BA284" s="31">
        <f>[1]节奏总纲!BA284</f>
        <v>44.998707227684804</v>
      </c>
      <c r="BB284" s="31">
        <f>[1]节奏总纲!BB284</f>
        <v>46.489130911759013</v>
      </c>
      <c r="BC284" s="31">
        <f>[1]节奏总纲!BC284</f>
        <v>48.43691608244891</v>
      </c>
      <c r="BD284" s="31">
        <f>[1]节奏总纲!BD284</f>
        <v>51.192656567597261</v>
      </c>
      <c r="BE284" s="31">
        <f>[1]节奏总纲!BE284</f>
        <v>55.909099277518393</v>
      </c>
      <c r="BG284" s="34"/>
      <c r="BP284" s="34"/>
    </row>
    <row r="285" spans="29:68" s="31" customFormat="1" x14ac:dyDescent="0.15">
      <c r="AC285" s="31">
        <v>282</v>
      </c>
      <c r="AD285" s="31">
        <f>[1]节奏总纲!AD285</f>
        <v>81.43802839868647</v>
      </c>
      <c r="AE285" s="31">
        <f>[1]节奏总纲!AE285</f>
        <v>83.530447335795373</v>
      </c>
      <c r="AF285" s="31">
        <f>[1]节奏总纲!AF285</f>
        <v>86.484260600680642</v>
      </c>
      <c r="AG285" s="31">
        <f>[1]节奏总纲!AG285</f>
        <v>91.495127994794004</v>
      </c>
      <c r="AH285" s="31">
        <f>[1]节奏总纲!AH285</f>
        <v>100.3873628081502</v>
      </c>
      <c r="AJ285" s="34"/>
      <c r="AM285" s="31">
        <f>[1]节奏总纲!AM285</f>
        <v>0</v>
      </c>
      <c r="AN285" s="31">
        <f>[1]节奏总纲!AN285</f>
        <v>0</v>
      </c>
      <c r="AO285" s="31">
        <f>[1]节奏总纲!AO285</f>
        <v>0</v>
      </c>
      <c r="AP285" s="31">
        <f>[1]节奏总纲!AP285</f>
        <v>0</v>
      </c>
      <c r="AQ285" s="31">
        <f>[1]节奏总纲!AQ285</f>
        <v>0</v>
      </c>
      <c r="AR285" s="29"/>
      <c r="AT285" s="31">
        <f>[1]节奏总纲!AT285</f>
        <v>0</v>
      </c>
      <c r="AU285" s="31">
        <f>[1]节奏总纲!AU285</f>
        <v>0</v>
      </c>
      <c r="AV285" s="31">
        <f>[1]节奏总纲!AV285</f>
        <v>0</v>
      </c>
      <c r="AW285" s="31">
        <f>[1]节奏总纲!AW285</f>
        <v>0</v>
      </c>
      <c r="AX285" s="31">
        <f>[1]节奏总纲!AX285</f>
        <v>0</v>
      </c>
      <c r="AY285" s="29"/>
      <c r="AZ285" s="31">
        <v>282</v>
      </c>
      <c r="BA285" s="31">
        <f>[1]节奏总纲!BA285</f>
        <v>45.021201039060998</v>
      </c>
      <c r="BB285" s="31">
        <f>[1]节奏总纲!BB285</f>
        <v>46.513210965282425</v>
      </c>
      <c r="BC285" s="31">
        <f>[1]节奏总纲!BC285</f>
        <v>48.460844748995065</v>
      </c>
      <c r="BD285" s="31">
        <f>[1]节奏总纲!BD285</f>
        <v>51.215762335516104</v>
      </c>
      <c r="BE285" s="31">
        <f>[1]节奏总纲!BE285</f>
        <v>55.934809098715178</v>
      </c>
      <c r="BG285" s="34"/>
      <c r="BP285" s="34"/>
    </row>
    <row r="286" spans="29:68" s="31" customFormat="1" x14ac:dyDescent="0.15">
      <c r="AC286" s="31">
        <v>283</v>
      </c>
      <c r="AD286" s="31">
        <f>[1]节奏总纲!AD286</f>
        <v>81.488808450176222</v>
      </c>
      <c r="AE286" s="31">
        <f>[1]节奏总纲!AE286</f>
        <v>83.581157853166033</v>
      </c>
      <c r="AF286" s="31">
        <f>[1]节奏总纲!AF286</f>
        <v>86.533838293124049</v>
      </c>
      <c r="AG286" s="31">
        <f>[1]节奏总纲!AG286</f>
        <v>91.547880797452237</v>
      </c>
      <c r="AH286" s="31">
        <f>[1]节奏总纲!AH286</f>
        <v>100.44099782354027</v>
      </c>
      <c r="AJ286" s="34"/>
      <c r="AM286" s="31">
        <f>[1]节奏总纲!AM286</f>
        <v>0</v>
      </c>
      <c r="AN286" s="31">
        <f>[1]节奏总纲!AN286</f>
        <v>0</v>
      </c>
      <c r="AO286" s="31">
        <f>[1]节奏总纲!AO286</f>
        <v>0</v>
      </c>
      <c r="AP286" s="31">
        <f>[1]节奏总纲!AP286</f>
        <v>0</v>
      </c>
      <c r="AQ286" s="31">
        <f>[1]节奏总纲!AQ286</f>
        <v>0</v>
      </c>
      <c r="AR286" s="29"/>
      <c r="AT286" s="31">
        <f>[1]节奏总纲!AT286</f>
        <v>0</v>
      </c>
      <c r="AU286" s="31">
        <f>[1]节奏总纲!AU286</f>
        <v>0</v>
      </c>
      <c r="AV286" s="31">
        <f>[1]节奏总纲!AV286</f>
        <v>0</v>
      </c>
      <c r="AW286" s="31">
        <f>[1]节奏总纲!AW286</f>
        <v>0</v>
      </c>
      <c r="AX286" s="31">
        <f>[1]节奏总纲!AX286</f>
        <v>0</v>
      </c>
      <c r="AY286" s="29"/>
      <c r="AZ286" s="31">
        <v>283</v>
      </c>
      <c r="BA286" s="31">
        <f>[1]节奏总纲!BA286</f>
        <v>45.043517922283101</v>
      </c>
      <c r="BB286" s="31">
        <f>[1]节奏总纲!BB286</f>
        <v>46.537291018805831</v>
      </c>
      <c r="BC286" s="31">
        <f>[1]节奏总纲!BC286</f>
        <v>48.48477341554122</v>
      </c>
      <c r="BD286" s="31">
        <f>[1]节奏总纲!BD286</f>
        <v>51.238868103434953</v>
      </c>
      <c r="BE286" s="31">
        <f>[1]节奏总纲!BE286</f>
        <v>55.960518919911962</v>
      </c>
      <c r="BG286" s="34"/>
      <c r="BP286" s="34"/>
    </row>
    <row r="287" spans="29:68" s="31" customFormat="1" x14ac:dyDescent="0.15">
      <c r="AC287" s="31">
        <v>284</v>
      </c>
      <c r="AD287" s="31">
        <f>[1]节奏总纲!AD287</f>
        <v>81.539588501665975</v>
      </c>
      <c r="AE287" s="31">
        <f>[1]节奏总纲!AE287</f>
        <v>83.631868370536679</v>
      </c>
      <c r="AF287" s="31">
        <f>[1]节奏总纲!AF287</f>
        <v>86.583415985567456</v>
      </c>
      <c r="AG287" s="31">
        <f>[1]节奏总纲!AG287</f>
        <v>91.600633600110456</v>
      </c>
      <c r="AH287" s="31">
        <f>[1]节奏总纲!AH287</f>
        <v>100.49463283893036</v>
      </c>
      <c r="AJ287" s="34"/>
      <c r="AM287" s="31">
        <f>[1]节奏总纲!AM287</f>
        <v>0</v>
      </c>
      <c r="AN287" s="31">
        <f>[1]节奏总纲!AN287</f>
        <v>0</v>
      </c>
      <c r="AO287" s="31">
        <f>[1]节奏总纲!AO287</f>
        <v>0</v>
      </c>
      <c r="AP287" s="31">
        <f>[1]节奏总纲!AP287</f>
        <v>0</v>
      </c>
      <c r="AQ287" s="31">
        <f>[1]节奏总纲!AQ287</f>
        <v>0</v>
      </c>
      <c r="AR287" s="29"/>
      <c r="AT287" s="31">
        <f>[1]节奏总纲!AT287</f>
        <v>0</v>
      </c>
      <c r="AU287" s="31">
        <f>[1]节奏总纲!AU287</f>
        <v>0</v>
      </c>
      <c r="AV287" s="31">
        <f>[1]节奏总纲!AV287</f>
        <v>0</v>
      </c>
      <c r="AW287" s="31">
        <f>[1]节奏总纲!AW287</f>
        <v>0</v>
      </c>
      <c r="AX287" s="31">
        <f>[1]节奏总纲!AX287</f>
        <v>0</v>
      </c>
      <c r="AY287" s="29"/>
      <c r="AZ287" s="31">
        <v>284</v>
      </c>
      <c r="BA287" s="31">
        <f>[1]节奏总纲!BA287</f>
        <v>45.065834805505204</v>
      </c>
      <c r="BB287" s="31">
        <f>[1]节奏总纲!BB287</f>
        <v>46.561371072329244</v>
      </c>
      <c r="BC287" s="31">
        <f>[1]节奏总纲!BC287</f>
        <v>48.508702082087382</v>
      </c>
      <c r="BD287" s="31">
        <f>[1]节奏总纲!BD287</f>
        <v>51.261973871353796</v>
      </c>
      <c r="BE287" s="31">
        <f>[1]节奏总纲!BE287</f>
        <v>55.986228741108754</v>
      </c>
      <c r="BG287" s="34"/>
      <c r="BP287" s="34"/>
    </row>
    <row r="288" spans="29:68" s="31" customFormat="1" x14ac:dyDescent="0.15">
      <c r="AC288" s="31">
        <v>285</v>
      </c>
      <c r="AD288" s="31">
        <f>[1]节奏总纲!AD288</f>
        <v>81.590368553155727</v>
      </c>
      <c r="AE288" s="31">
        <f>[1]节奏总纲!AE288</f>
        <v>83.68257888790734</v>
      </c>
      <c r="AF288" s="31">
        <f>[1]节奏总纲!AF288</f>
        <v>86.632993678010848</v>
      </c>
      <c r="AG288" s="31">
        <f>[1]节奏总纲!AG288</f>
        <v>91.653386402768689</v>
      </c>
      <c r="AH288" s="31">
        <f>[1]节奏总纲!AH288</f>
        <v>100.54826785432043</v>
      </c>
      <c r="AJ288" s="34"/>
      <c r="AM288" s="31">
        <f>[1]节奏总纲!AM288</f>
        <v>0</v>
      </c>
      <c r="AN288" s="31">
        <f>[1]节奏总纲!AN288</f>
        <v>0</v>
      </c>
      <c r="AO288" s="31">
        <f>[1]节奏总纲!AO288</f>
        <v>0</v>
      </c>
      <c r="AP288" s="31">
        <f>[1]节奏总纲!AP288</f>
        <v>0</v>
      </c>
      <c r="AQ288" s="31">
        <f>[1]节奏总纲!AQ288</f>
        <v>0</v>
      </c>
      <c r="AR288" s="29"/>
      <c r="AT288" s="31">
        <f>[1]节奏总纲!AT288</f>
        <v>0</v>
      </c>
      <c r="AU288" s="31">
        <f>[1]节奏总纲!AU288</f>
        <v>0</v>
      </c>
      <c r="AV288" s="31">
        <f>[1]节奏总纲!AV288</f>
        <v>0</v>
      </c>
      <c r="AW288" s="31">
        <f>[1]节奏总纲!AW288</f>
        <v>0</v>
      </c>
      <c r="AX288" s="31">
        <f>[1]节奏总纲!AX288</f>
        <v>0</v>
      </c>
      <c r="AY288" s="29"/>
      <c r="AZ288" s="31">
        <v>285</v>
      </c>
      <c r="BA288" s="31">
        <f>[1]节奏总纲!BA288</f>
        <v>45.088151688727308</v>
      </c>
      <c r="BB288" s="31">
        <f>[1]节奏总纲!BB288</f>
        <v>46.58545112585265</v>
      </c>
      <c r="BC288" s="31">
        <f>[1]节奏总纲!BC288</f>
        <v>48.532630748633537</v>
      </c>
      <c r="BD288" s="31">
        <f>[1]节奏总纲!BD288</f>
        <v>51.285079639272645</v>
      </c>
      <c r="BE288" s="31">
        <f>[1]节奏总纲!BE288</f>
        <v>56.010312347085055</v>
      </c>
      <c r="BG288" s="34"/>
      <c r="BP288" s="34"/>
    </row>
    <row r="289" spans="29:68" s="31" customFormat="1" x14ac:dyDescent="0.15">
      <c r="AC289" s="31">
        <v>286</v>
      </c>
      <c r="AD289" s="31">
        <f>[1]节奏总纲!AD289</f>
        <v>81.64114860464548</v>
      </c>
      <c r="AE289" s="31">
        <f>[1]节奏总纲!AE289</f>
        <v>83.733289405278001</v>
      </c>
      <c r="AF289" s="31">
        <f>[1]节奏总纲!AF289</f>
        <v>86.682571370454255</v>
      </c>
      <c r="AG289" s="31">
        <f>[1]节奏总纲!AG289</f>
        <v>91.706139205426922</v>
      </c>
      <c r="AH289" s="31">
        <f>[1]节奏总纲!AH289</f>
        <v>100.6019028697105</v>
      </c>
      <c r="AJ289" s="34"/>
      <c r="AM289" s="31">
        <f>[1]节奏总纲!AM289</f>
        <v>0</v>
      </c>
      <c r="AN289" s="31">
        <f>[1]节奏总纲!AN289</f>
        <v>0</v>
      </c>
      <c r="AO289" s="31">
        <f>[1]节奏总纲!AO289</f>
        <v>0</v>
      </c>
      <c r="AP289" s="31">
        <f>[1]节奏总纲!AP289</f>
        <v>0</v>
      </c>
      <c r="AQ289" s="31">
        <f>[1]节奏总纲!AQ289</f>
        <v>0</v>
      </c>
      <c r="AR289" s="29"/>
      <c r="AT289" s="31">
        <f>[1]节奏总纲!AT289</f>
        <v>0</v>
      </c>
      <c r="AU289" s="31">
        <f>[1]节奏总纲!AU289</f>
        <v>0</v>
      </c>
      <c r="AV289" s="31">
        <f>[1]节奏总纲!AV289</f>
        <v>0</v>
      </c>
      <c r="AW289" s="31">
        <f>[1]节奏总纲!AW289</f>
        <v>0</v>
      </c>
      <c r="AX289" s="31">
        <f>[1]节奏总纲!AX289</f>
        <v>0</v>
      </c>
      <c r="AY289" s="29"/>
      <c r="AZ289" s="31">
        <v>286</v>
      </c>
      <c r="BA289" s="31">
        <f>[1]节奏总纲!BA289</f>
        <v>45.110468571949411</v>
      </c>
      <c r="BB289" s="31">
        <f>[1]节奏总纲!BB289</f>
        <v>46.609531179376063</v>
      </c>
      <c r="BC289" s="31">
        <f>[1]节奏总纲!BC289</f>
        <v>48.556559415179692</v>
      </c>
      <c r="BD289" s="31">
        <f>[1]节奏总纲!BD289</f>
        <v>51.308185407191495</v>
      </c>
      <c r="BE289" s="31">
        <f>[1]节奏总纲!BE289</f>
        <v>56.032520096468168</v>
      </c>
      <c r="BG289" s="34"/>
      <c r="BP289" s="34"/>
    </row>
    <row r="290" spans="29:68" s="31" customFormat="1" x14ac:dyDescent="0.15">
      <c r="AC290" s="31">
        <v>287</v>
      </c>
      <c r="AD290" s="31">
        <f>[1]节奏总纲!AD290</f>
        <v>81.691928656135218</v>
      </c>
      <c r="AE290" s="31">
        <f>[1]节奏总纲!AE290</f>
        <v>83.783999922648647</v>
      </c>
      <c r="AF290" s="31">
        <f>[1]节奏总纲!AF290</f>
        <v>86.732149062897662</v>
      </c>
      <c r="AG290" s="31">
        <f>[1]节奏总纲!AG290</f>
        <v>91.758892008085141</v>
      </c>
      <c r="AH290" s="31">
        <f>[1]节奏总纲!AH290</f>
        <v>100.65553788510059</v>
      </c>
      <c r="AJ290" s="34"/>
      <c r="AM290" s="31">
        <f>[1]节奏总纲!AM290</f>
        <v>0</v>
      </c>
      <c r="AN290" s="31">
        <f>[1]节奏总纲!AN290</f>
        <v>0</v>
      </c>
      <c r="AO290" s="31">
        <f>[1]节奏总纲!AO290</f>
        <v>0</v>
      </c>
      <c r="AP290" s="31">
        <f>[1]节奏总纲!AP290</f>
        <v>0</v>
      </c>
      <c r="AQ290" s="31">
        <f>[1]节奏总纲!AQ290</f>
        <v>0</v>
      </c>
      <c r="AR290" s="29"/>
      <c r="AT290" s="31">
        <f>[1]节奏总纲!AT290</f>
        <v>0</v>
      </c>
      <c r="AU290" s="31">
        <f>[1]节奏总纲!AU290</f>
        <v>0</v>
      </c>
      <c r="AV290" s="31">
        <f>[1]节奏总纲!AV290</f>
        <v>0</v>
      </c>
      <c r="AW290" s="31">
        <f>[1]节奏总纲!AW290</f>
        <v>0</v>
      </c>
      <c r="AX290" s="31">
        <f>[1]节奏总纲!AX290</f>
        <v>0</v>
      </c>
      <c r="AY290" s="29"/>
      <c r="AZ290" s="31">
        <v>287</v>
      </c>
      <c r="BA290" s="31">
        <f>[1]节奏总纲!BA290</f>
        <v>45.132785455171515</v>
      </c>
      <c r="BB290" s="31">
        <f>[1]节奏总纲!BB290</f>
        <v>46.633611232899469</v>
      </c>
      <c r="BC290" s="31">
        <f>[1]节奏总纲!BC290</f>
        <v>48.580488081725846</v>
      </c>
      <c r="BD290" s="31">
        <f>[1]节奏总纲!BD290</f>
        <v>51.331291175110337</v>
      </c>
      <c r="BE290" s="31">
        <f>[1]节奏总纲!BE290</f>
        <v>56.054727845851275</v>
      </c>
      <c r="BG290" s="34"/>
      <c r="BP290" s="34"/>
    </row>
    <row r="291" spans="29:68" s="31" customFormat="1" x14ac:dyDescent="0.15">
      <c r="AC291" s="31">
        <v>288</v>
      </c>
      <c r="AD291" s="31">
        <f>[1]节奏总纲!AD291</f>
        <v>81.742708707624971</v>
      </c>
      <c r="AE291" s="31">
        <f>[1]节奏总纲!AE291</f>
        <v>83.834710440019307</v>
      </c>
      <c r="AF291" s="31">
        <f>[1]节奏总纲!AF291</f>
        <v>86.781726755341069</v>
      </c>
      <c r="AG291" s="31">
        <f>[1]节奏总纲!AG291</f>
        <v>91.811644810743374</v>
      </c>
      <c r="AH291" s="31">
        <f>[1]节奏总纲!AH291</f>
        <v>100.70917290049066</v>
      </c>
      <c r="AJ291" s="34"/>
      <c r="AM291" s="31">
        <f>[1]节奏总纲!AM291</f>
        <v>0</v>
      </c>
      <c r="AN291" s="31">
        <f>[1]节奏总纲!AN291</f>
        <v>0</v>
      </c>
      <c r="AO291" s="31">
        <f>[1]节奏总纲!AO291</f>
        <v>0</v>
      </c>
      <c r="AP291" s="31">
        <f>[1]节奏总纲!AP291</f>
        <v>0</v>
      </c>
      <c r="AQ291" s="31">
        <f>[1]节奏总纲!AQ291</f>
        <v>0</v>
      </c>
      <c r="AR291" s="29"/>
      <c r="AT291" s="31">
        <f>[1]节奏总纲!AT291</f>
        <v>0</v>
      </c>
      <c r="AU291" s="31">
        <f>[1]节奏总纲!AU291</f>
        <v>0</v>
      </c>
      <c r="AV291" s="31">
        <f>[1]节奏总纲!AV291</f>
        <v>0</v>
      </c>
      <c r="AW291" s="31">
        <f>[1]节奏总纲!AW291</f>
        <v>0</v>
      </c>
      <c r="AX291" s="31">
        <f>[1]节奏总纲!AX291</f>
        <v>0</v>
      </c>
      <c r="AY291" s="29"/>
      <c r="AZ291" s="31">
        <v>288</v>
      </c>
      <c r="BA291" s="31">
        <f>[1]节奏总纲!BA291</f>
        <v>45.155102338393618</v>
      </c>
      <c r="BB291" s="31">
        <f>[1]节奏总纲!BB291</f>
        <v>46.657691286422882</v>
      </c>
      <c r="BC291" s="31">
        <f>[1]节奏总纲!BC291</f>
        <v>48.604416748272008</v>
      </c>
      <c r="BD291" s="31">
        <f>[1]节奏总纲!BD291</f>
        <v>51.354396943029187</v>
      </c>
      <c r="BE291" s="31">
        <f>[1]节奏总纲!BE291</f>
        <v>56.076935595234382</v>
      </c>
      <c r="BG291" s="34"/>
      <c r="BP291" s="34"/>
    </row>
    <row r="292" spans="29:68" s="31" customFormat="1" x14ac:dyDescent="0.15">
      <c r="AC292" s="31">
        <v>289</v>
      </c>
      <c r="AD292" s="31">
        <f>[1]节奏总纲!AD292</f>
        <v>81.793488759114723</v>
      </c>
      <c r="AE292" s="31">
        <f>[1]节奏总纲!AE292</f>
        <v>83.885420957389968</v>
      </c>
      <c r="AF292" s="31">
        <f>[1]节奏总纲!AF292</f>
        <v>86.831304447784476</v>
      </c>
      <c r="AG292" s="31">
        <f>[1]节奏总纲!AG292</f>
        <v>91.864397613401607</v>
      </c>
      <c r="AH292" s="31">
        <f>[1]节奏总纲!AH292</f>
        <v>100.76280791588073</v>
      </c>
      <c r="AJ292" s="34"/>
      <c r="AM292" s="31">
        <f>[1]节奏总纲!AM292</f>
        <v>0</v>
      </c>
      <c r="AN292" s="31">
        <f>[1]节奏总纲!AN292</f>
        <v>0</v>
      </c>
      <c r="AO292" s="31">
        <f>[1]节奏总纲!AO292</f>
        <v>0</v>
      </c>
      <c r="AP292" s="31">
        <f>[1]节奏总纲!AP292</f>
        <v>0</v>
      </c>
      <c r="AQ292" s="31">
        <f>[1]节奏总纲!AQ292</f>
        <v>0</v>
      </c>
      <c r="AR292" s="29"/>
      <c r="AT292" s="31">
        <f>[1]节奏总纲!AT292</f>
        <v>0</v>
      </c>
      <c r="AU292" s="31">
        <f>[1]节奏总纲!AU292</f>
        <v>0</v>
      </c>
      <c r="AV292" s="31">
        <f>[1]节奏总纲!AV292</f>
        <v>0</v>
      </c>
      <c r="AW292" s="31">
        <f>[1]节奏总纲!AW292</f>
        <v>0</v>
      </c>
      <c r="AX292" s="31">
        <f>[1]节奏总纲!AX292</f>
        <v>0</v>
      </c>
      <c r="AY292" s="29"/>
      <c r="AZ292" s="31">
        <v>289</v>
      </c>
      <c r="BA292" s="31">
        <f>[1]节奏总纲!BA292</f>
        <v>45.177419221615722</v>
      </c>
      <c r="BB292" s="31">
        <f>[1]节奏总纲!BB292</f>
        <v>46.681771339946287</v>
      </c>
      <c r="BC292" s="31">
        <f>[1]节奏总纲!BC292</f>
        <v>48.628345414818163</v>
      </c>
      <c r="BD292" s="31">
        <f>[1]节奏总纲!BD292</f>
        <v>51.377502710948029</v>
      </c>
      <c r="BE292" s="31">
        <f>[1]节奏总纲!BE292</f>
        <v>56.099143344617488</v>
      </c>
      <c r="BG292" s="34"/>
      <c r="BP292" s="34"/>
    </row>
    <row r="293" spans="29:68" s="31" customFormat="1" x14ac:dyDescent="0.15">
      <c r="AC293" s="31">
        <v>290</v>
      </c>
      <c r="AD293" s="31">
        <f>[1]节奏总纲!AD293</f>
        <v>81.844268810604476</v>
      </c>
      <c r="AE293" s="31">
        <f>[1]节奏总纲!AE293</f>
        <v>83.936131474760614</v>
      </c>
      <c r="AF293" s="31">
        <f>[1]节奏总纲!AF293</f>
        <v>86.880882140227882</v>
      </c>
      <c r="AG293" s="31">
        <f>[1]节奏总纲!AG293</f>
        <v>91.917150416059826</v>
      </c>
      <c r="AH293" s="31">
        <f>[1]节奏总纲!AH293</f>
        <v>100.8164429312708</v>
      </c>
      <c r="AJ293" s="34"/>
      <c r="AM293" s="31">
        <f>[1]节奏总纲!AM293</f>
        <v>0</v>
      </c>
      <c r="AN293" s="31">
        <f>[1]节奏总纲!AN293</f>
        <v>0</v>
      </c>
      <c r="AO293" s="31">
        <f>[1]节奏总纲!AO293</f>
        <v>0</v>
      </c>
      <c r="AP293" s="31">
        <f>[1]节奏总纲!AP293</f>
        <v>0</v>
      </c>
      <c r="AQ293" s="31">
        <f>[1]节奏总纲!AQ293</f>
        <v>0</v>
      </c>
      <c r="AR293" s="29"/>
      <c r="AT293" s="31">
        <f>[1]节奏总纲!AT293</f>
        <v>0</v>
      </c>
      <c r="AU293" s="31">
        <f>[1]节奏总纲!AU293</f>
        <v>0</v>
      </c>
      <c r="AV293" s="31">
        <f>[1]节奏总纲!AV293</f>
        <v>0</v>
      </c>
      <c r="AW293" s="31">
        <f>[1]节奏总纲!AW293</f>
        <v>0</v>
      </c>
      <c r="AX293" s="31">
        <f>[1]节奏总纲!AX293</f>
        <v>0</v>
      </c>
      <c r="AY293" s="29"/>
      <c r="AZ293" s="31">
        <v>290</v>
      </c>
      <c r="BA293" s="31">
        <f>[1]节奏总纲!BA293</f>
        <v>45.199736104837825</v>
      </c>
      <c r="BB293" s="31">
        <f>[1]节奏总纲!BB293</f>
        <v>46.7058513934697</v>
      </c>
      <c r="BC293" s="31">
        <f>[1]节奏总纲!BC293</f>
        <v>48.652274081364318</v>
      </c>
      <c r="BD293" s="31">
        <f>[1]节奏总纲!BD293</f>
        <v>51.400608478866879</v>
      </c>
      <c r="BE293" s="31">
        <f>[1]节奏总纲!BE293</f>
        <v>56.121351094000602</v>
      </c>
      <c r="BG293" s="34"/>
      <c r="BP293" s="34"/>
    </row>
    <row r="294" spans="29:68" s="31" customFormat="1" x14ac:dyDescent="0.15">
      <c r="AC294" s="31">
        <v>291</v>
      </c>
      <c r="AD294" s="31">
        <f>[1]节奏总纲!AD294</f>
        <v>81.895048862094228</v>
      </c>
      <c r="AE294" s="31">
        <f>[1]节奏总纲!AE294</f>
        <v>83.986841992131275</v>
      </c>
      <c r="AF294" s="31">
        <f>[1]节奏总纲!AF294</f>
        <v>86.930459832671289</v>
      </c>
      <c r="AG294" s="31">
        <f>[1]节奏总纲!AG294</f>
        <v>91.969903218718059</v>
      </c>
      <c r="AH294" s="31">
        <f>[1]节奏总纲!AH294</f>
        <v>100.87007794666089</v>
      </c>
      <c r="AJ294" s="34"/>
      <c r="AM294" s="31">
        <f>[1]节奏总纲!AM294</f>
        <v>0</v>
      </c>
      <c r="AN294" s="31">
        <f>[1]节奏总纲!AN294</f>
        <v>0</v>
      </c>
      <c r="AO294" s="31">
        <f>[1]节奏总纲!AO294</f>
        <v>0</v>
      </c>
      <c r="AP294" s="31">
        <f>[1]节奏总纲!AP294</f>
        <v>0</v>
      </c>
      <c r="AQ294" s="31">
        <f>[1]节奏总纲!AQ294</f>
        <v>0</v>
      </c>
      <c r="AR294" s="29"/>
      <c r="AT294" s="31">
        <f>[1]节奏总纲!AT294</f>
        <v>0</v>
      </c>
      <c r="AU294" s="31">
        <f>[1]节奏总纲!AU294</f>
        <v>0</v>
      </c>
      <c r="AV294" s="31">
        <f>[1]节奏总纲!AV294</f>
        <v>0</v>
      </c>
      <c r="AW294" s="31">
        <f>[1]节奏总纲!AW294</f>
        <v>0</v>
      </c>
      <c r="AX294" s="31">
        <f>[1]节奏总纲!AX294</f>
        <v>0</v>
      </c>
      <c r="AY294" s="29"/>
      <c r="AZ294" s="31">
        <v>291</v>
      </c>
      <c r="BA294" s="31">
        <f>[1]节奏总纲!BA294</f>
        <v>45.222052988059936</v>
      </c>
      <c r="BB294" s="31">
        <f>[1]节奏总纲!BB294</f>
        <v>46.729931446993106</v>
      </c>
      <c r="BC294" s="31">
        <f>[1]节奏总纲!BC294</f>
        <v>48.67620274791048</v>
      </c>
      <c r="BD294" s="31">
        <f>[1]节奏总纲!BD294</f>
        <v>51.423714246785721</v>
      </c>
      <c r="BE294" s="31">
        <f>[1]节奏总纲!BE294</f>
        <v>56.143558843383708</v>
      </c>
      <c r="BG294" s="34"/>
      <c r="BP294" s="34"/>
    </row>
    <row r="295" spans="29:68" s="31" customFormat="1" x14ac:dyDescent="0.15">
      <c r="AC295" s="31">
        <v>292</v>
      </c>
      <c r="AD295" s="31">
        <f>[1]节奏总纲!AD295</f>
        <v>81.945828913583981</v>
      </c>
      <c r="AE295" s="31">
        <f>[1]节奏总纲!AE295</f>
        <v>84.036191564035917</v>
      </c>
      <c r="AF295" s="31">
        <f>[1]节奏总纲!AF295</f>
        <v>86.980037525114682</v>
      </c>
      <c r="AG295" s="31">
        <f>[1]节奏总纲!AG295</f>
        <v>92.021521414287719</v>
      </c>
      <c r="AH295" s="31">
        <f>[1]节奏总纲!AH295</f>
        <v>100.92371296205096</v>
      </c>
      <c r="AJ295" s="34"/>
      <c r="AM295" s="31">
        <f>[1]节奏总纲!AM295</f>
        <v>0</v>
      </c>
      <c r="AN295" s="31">
        <f>[1]节奏总纲!AN295</f>
        <v>0</v>
      </c>
      <c r="AO295" s="31">
        <f>[1]节奏总纲!AO295</f>
        <v>0</v>
      </c>
      <c r="AP295" s="31">
        <f>[1]节奏总纲!AP295</f>
        <v>0</v>
      </c>
      <c r="AQ295" s="31">
        <f>[1]节奏总纲!AQ295</f>
        <v>0</v>
      </c>
      <c r="AR295" s="29"/>
      <c r="AT295" s="31">
        <f>[1]节奏总纲!AT295</f>
        <v>0</v>
      </c>
      <c r="AU295" s="31">
        <f>[1]节奏总纲!AU295</f>
        <v>0</v>
      </c>
      <c r="AV295" s="31">
        <f>[1]节奏总纲!AV295</f>
        <v>0</v>
      </c>
      <c r="AW295" s="31">
        <f>[1]节奏总纲!AW295</f>
        <v>0</v>
      </c>
      <c r="AX295" s="31">
        <f>[1]节奏总纲!AX295</f>
        <v>0</v>
      </c>
      <c r="AY295" s="29"/>
      <c r="AZ295" s="31">
        <v>292</v>
      </c>
      <c r="BA295" s="31">
        <f>[1]节奏总纲!BA295</f>
        <v>45.244369871282039</v>
      </c>
      <c r="BB295" s="31">
        <f>[1]节奏总纲!BB295</f>
        <v>46.754011500516519</v>
      </c>
      <c r="BC295" s="31">
        <f>[1]节奏总纲!BC295</f>
        <v>48.700131414456635</v>
      </c>
      <c r="BD295" s="31">
        <f>[1]节奏总纲!BD295</f>
        <v>51.446820014704571</v>
      </c>
      <c r="BE295" s="31">
        <f>[1]节奏总纲!BE295</f>
        <v>56.165766592766815</v>
      </c>
      <c r="BG295" s="34"/>
      <c r="BP295" s="34"/>
    </row>
    <row r="296" spans="29:68" s="31" customFormat="1" x14ac:dyDescent="0.15">
      <c r="AC296" s="31">
        <v>293</v>
      </c>
      <c r="AD296" s="31">
        <f>[1]节奏总纲!AD296</f>
        <v>81.996608965073733</v>
      </c>
      <c r="AE296" s="31">
        <f>[1]节奏总纲!AE296</f>
        <v>84.085064274836242</v>
      </c>
      <c r="AF296" s="31">
        <f>[1]节奏总纲!AF296</f>
        <v>87.029133791498197</v>
      </c>
      <c r="AG296" s="31">
        <f>[1]节奏总纲!AG296</f>
        <v>92.071632371634976</v>
      </c>
      <c r="AH296" s="31">
        <f>[1]节奏总纲!AH296</f>
        <v>100.97734797744103</v>
      </c>
      <c r="AJ296" s="34"/>
      <c r="AM296" s="31">
        <f>[1]节奏总纲!AM296</f>
        <v>0</v>
      </c>
      <c r="AN296" s="31">
        <f>[1]节奏总纲!AN296</f>
        <v>0</v>
      </c>
      <c r="AO296" s="31">
        <f>[1]节奏总纲!AO296</f>
        <v>0</v>
      </c>
      <c r="AP296" s="31">
        <f>[1]节奏总纲!AP296</f>
        <v>0</v>
      </c>
      <c r="AQ296" s="31">
        <f>[1]节奏总纲!AQ296</f>
        <v>0</v>
      </c>
      <c r="AR296" s="29"/>
      <c r="AT296" s="31">
        <f>[1]节奏总纲!AT296</f>
        <v>0</v>
      </c>
      <c r="AU296" s="31">
        <f>[1]节奏总纲!AU296</f>
        <v>0</v>
      </c>
      <c r="AV296" s="31">
        <f>[1]节奏总纲!AV296</f>
        <v>0</v>
      </c>
      <c r="AW296" s="31">
        <f>[1]节奏总纲!AW296</f>
        <v>0</v>
      </c>
      <c r="AX296" s="31">
        <f>[1]节奏总纲!AX296</f>
        <v>0</v>
      </c>
      <c r="AY296" s="29"/>
      <c r="AZ296" s="31">
        <v>293</v>
      </c>
      <c r="BA296" s="31">
        <f>[1]节奏总纲!BA296</f>
        <v>45.266686754504143</v>
      </c>
      <c r="BB296" s="31">
        <f>[1]节奏总纲!BB296</f>
        <v>46.778091554039925</v>
      </c>
      <c r="BC296" s="31">
        <f>[1]节奏总纲!BC296</f>
        <v>48.72406008100279</v>
      </c>
      <c r="BD296" s="31">
        <f>[1]节奏总纲!BD296</f>
        <v>51.46992578262342</v>
      </c>
      <c r="BE296" s="31">
        <f>[1]节奏总纲!BE296</f>
        <v>56.187974342149921</v>
      </c>
      <c r="BG296" s="34"/>
      <c r="BP296" s="34"/>
    </row>
    <row r="297" spans="29:68" s="31" customFormat="1" x14ac:dyDescent="0.15">
      <c r="AC297" s="31">
        <v>294</v>
      </c>
      <c r="AD297" s="31">
        <f>[1]节奏总纲!AD297</f>
        <v>82.044215515890215</v>
      </c>
      <c r="AE297" s="31">
        <f>[1]节奏总纲!AE297</f>
        <v>84.133936985636566</v>
      </c>
      <c r="AF297" s="31">
        <f>[1]节奏总纲!AF297</f>
        <v>87.077905547159801</v>
      </c>
      <c r="AG297" s="31">
        <f>[1]节奏总纲!AG297</f>
        <v>92.121743328982234</v>
      </c>
      <c r="AH297" s="31">
        <f>[1]节奏总纲!AH297</f>
        <v>101.02868392415382</v>
      </c>
      <c r="AJ297" s="34"/>
      <c r="AM297" s="31">
        <f>[1]节奏总纲!AM297</f>
        <v>0</v>
      </c>
      <c r="AN297" s="31">
        <f>[1]节奏总纲!AN297</f>
        <v>0</v>
      </c>
      <c r="AO297" s="31">
        <f>[1]节奏总纲!AO297</f>
        <v>0</v>
      </c>
      <c r="AP297" s="31">
        <f>[1]节奏总纲!AP297</f>
        <v>0</v>
      </c>
      <c r="AQ297" s="31">
        <f>[1]节奏总纲!AQ297</f>
        <v>0</v>
      </c>
      <c r="AR297" s="29"/>
      <c r="AT297" s="31">
        <f>[1]节奏总纲!AT297</f>
        <v>0</v>
      </c>
      <c r="AU297" s="31">
        <f>[1]节奏总纲!AU297</f>
        <v>0</v>
      </c>
      <c r="AV297" s="31">
        <f>[1]节奏总纲!AV297</f>
        <v>0</v>
      </c>
      <c r="AW297" s="31">
        <f>[1]节奏总纲!AW297</f>
        <v>0</v>
      </c>
      <c r="AX297" s="31">
        <f>[1]节奏总纲!AX297</f>
        <v>0</v>
      </c>
      <c r="AY297" s="29"/>
      <c r="AZ297" s="31">
        <v>294</v>
      </c>
      <c r="BA297" s="31">
        <f>[1]节奏总纲!BA297</f>
        <v>45.289003637726246</v>
      </c>
      <c r="BB297" s="31">
        <f>[1]节奏总纲!BB297</f>
        <v>46.802171607563338</v>
      </c>
      <c r="BC297" s="31">
        <f>[1]节奏总纲!BC297</f>
        <v>48.747988747548945</v>
      </c>
      <c r="BD297" s="31">
        <f>[1]节奏总纲!BD297</f>
        <v>51.493031550542263</v>
      </c>
      <c r="BE297" s="31">
        <f>[1]节奏总纲!BE297</f>
        <v>56.210182091533035</v>
      </c>
      <c r="BG297" s="34"/>
      <c r="BP297" s="34"/>
    </row>
    <row r="298" spans="29:68" s="31" customFormat="1" x14ac:dyDescent="0.15">
      <c r="AC298" s="31">
        <v>295</v>
      </c>
      <c r="AD298" s="31">
        <f>[1]节奏总纲!AD298</f>
        <v>82.091594979242089</v>
      </c>
      <c r="AE298" s="31">
        <f>[1]节奏总纲!AE298</f>
        <v>84.182809696436891</v>
      </c>
      <c r="AF298" s="31">
        <f>[1]节奏总纲!AF298</f>
        <v>87.126677302821392</v>
      </c>
      <c r="AG298" s="31">
        <f>[1]节奏总纲!AG298</f>
        <v>92.171854286329506</v>
      </c>
      <c r="AH298" s="31">
        <f>[1]节奏总纲!AH298</f>
        <v>101.07833899530283</v>
      </c>
      <c r="AJ298" s="34"/>
      <c r="AM298" s="31">
        <f>[1]节奏总纲!AM298</f>
        <v>0</v>
      </c>
      <c r="AN298" s="31">
        <f>[1]节奏总纲!AN298</f>
        <v>0</v>
      </c>
      <c r="AO298" s="31">
        <f>[1]节奏总纲!AO298</f>
        <v>0</v>
      </c>
      <c r="AP298" s="31">
        <f>[1]节奏总纲!AP298</f>
        <v>0</v>
      </c>
      <c r="AQ298" s="31">
        <f>[1]节奏总纲!AQ298</f>
        <v>0</v>
      </c>
      <c r="AR298" s="29"/>
      <c r="AT298" s="31">
        <f>[1]节奏总纲!AT298</f>
        <v>0</v>
      </c>
      <c r="AU298" s="31">
        <f>[1]节奏总纲!AU298</f>
        <v>0</v>
      </c>
      <c r="AV298" s="31">
        <f>[1]节奏总纲!AV298</f>
        <v>0</v>
      </c>
      <c r="AW298" s="31">
        <f>[1]节奏总纲!AW298</f>
        <v>0</v>
      </c>
      <c r="AX298" s="31">
        <f>[1]节奏总纲!AX298</f>
        <v>0</v>
      </c>
      <c r="AY298" s="29"/>
      <c r="AZ298" s="31">
        <v>295</v>
      </c>
      <c r="BA298" s="31">
        <f>[1]节奏总纲!BA298</f>
        <v>45.31132052094835</v>
      </c>
      <c r="BB298" s="31">
        <f>[1]节奏总纲!BB298</f>
        <v>46.826251661086744</v>
      </c>
      <c r="BC298" s="31">
        <f>[1]节奏总纲!BC298</f>
        <v>48.771917414095107</v>
      </c>
      <c r="BD298" s="31">
        <f>[1]节奏总纲!BD298</f>
        <v>51.516137318461112</v>
      </c>
      <c r="BE298" s="31">
        <f>[1]节奏总纲!BE298</f>
        <v>56.232389840916142</v>
      </c>
      <c r="BG298" s="34"/>
      <c r="BP298" s="34"/>
    </row>
    <row r="299" spans="29:68" s="31" customFormat="1" x14ac:dyDescent="0.15">
      <c r="AC299" s="31">
        <v>296</v>
      </c>
      <c r="AD299" s="31">
        <f>[1]节奏总纲!AD299</f>
        <v>82.138974442593963</v>
      </c>
      <c r="AE299" s="31">
        <f>[1]节奏总纲!AE299</f>
        <v>84.23168240723723</v>
      </c>
      <c r="AF299" s="31">
        <f>[1]节奏总纲!AF299</f>
        <v>87.175449058482982</v>
      </c>
      <c r="AG299" s="31">
        <f>[1]节奏总纲!AG299</f>
        <v>92.221965243676763</v>
      </c>
      <c r="AH299" s="31">
        <f>[1]节奏总纲!AH299</f>
        <v>101.12799406645185</v>
      </c>
      <c r="AJ299" s="34"/>
      <c r="AM299" s="31">
        <f>[1]节奏总纲!AM299</f>
        <v>0</v>
      </c>
      <c r="AN299" s="31">
        <f>[1]节奏总纲!AN299</f>
        <v>0</v>
      </c>
      <c r="AO299" s="31">
        <f>[1]节奏总纲!AO299</f>
        <v>0</v>
      </c>
      <c r="AP299" s="31">
        <f>[1]节奏总纲!AP299</f>
        <v>0</v>
      </c>
      <c r="AQ299" s="31">
        <f>[1]节奏总纲!AQ299</f>
        <v>0</v>
      </c>
      <c r="AR299" s="29"/>
      <c r="AT299" s="31">
        <f>[1]节奏总纲!AT299</f>
        <v>0</v>
      </c>
      <c r="AU299" s="31">
        <f>[1]节奏总纲!AU299</f>
        <v>0</v>
      </c>
      <c r="AV299" s="31">
        <f>[1]节奏总纲!AV299</f>
        <v>0</v>
      </c>
      <c r="AW299" s="31">
        <f>[1]节奏总纲!AW299</f>
        <v>0</v>
      </c>
      <c r="AX299" s="31">
        <f>[1]节奏总纲!AX299</f>
        <v>0</v>
      </c>
      <c r="AY299" s="29"/>
      <c r="AZ299" s="31">
        <v>296</v>
      </c>
      <c r="BA299" s="31">
        <f>[1]节奏总纲!BA299</f>
        <v>45.333637404170453</v>
      </c>
      <c r="BB299" s="31">
        <f>[1]节奏总纲!BB299</f>
        <v>46.850331714610157</v>
      </c>
      <c r="BC299" s="31">
        <f>[1]节奏总纲!BC299</f>
        <v>48.795846080641262</v>
      </c>
      <c r="BD299" s="31">
        <f>[1]节奏总纲!BD299</f>
        <v>51.539243086379955</v>
      </c>
      <c r="BE299" s="31">
        <f>[1]节奏总纲!BE299</f>
        <v>56.254597590299248</v>
      </c>
      <c r="BG299" s="34"/>
      <c r="BP299" s="34"/>
    </row>
    <row r="300" spans="29:68" s="31" customFormat="1" x14ac:dyDescent="0.15">
      <c r="AC300" s="31">
        <v>297</v>
      </c>
      <c r="AD300" s="31">
        <f>[1]节奏总纲!AD300</f>
        <v>82.186353905945836</v>
      </c>
      <c r="AE300" s="31">
        <f>[1]节奏总纲!AE300</f>
        <v>84.280555118037555</v>
      </c>
      <c r="AF300" s="31">
        <f>[1]节奏总纲!AF300</f>
        <v>87.224220814144587</v>
      </c>
      <c r="AG300" s="31">
        <f>[1]节奏总纲!AG300</f>
        <v>92.272076201024021</v>
      </c>
      <c r="AH300" s="31">
        <f>[1]节奏总纲!AH300</f>
        <v>101.17764913760085</v>
      </c>
      <c r="AJ300" s="34"/>
      <c r="AM300" s="31">
        <f>[1]节奏总纲!AM300</f>
        <v>0</v>
      </c>
      <c r="AN300" s="31">
        <f>[1]节奏总纲!AN300</f>
        <v>0</v>
      </c>
      <c r="AO300" s="31">
        <f>[1]节奏总纲!AO300</f>
        <v>0</v>
      </c>
      <c r="AP300" s="31">
        <f>[1]节奏总纲!AP300</f>
        <v>0</v>
      </c>
      <c r="AQ300" s="31">
        <f>[1]节奏总纲!AQ300</f>
        <v>0</v>
      </c>
      <c r="AR300" s="29"/>
      <c r="AT300" s="31">
        <f>[1]节奏总纲!AT300</f>
        <v>0</v>
      </c>
      <c r="AU300" s="31">
        <f>[1]节奏总纲!AU300</f>
        <v>0</v>
      </c>
      <c r="AV300" s="31">
        <f>[1]节奏总纲!AV300</f>
        <v>0</v>
      </c>
      <c r="AW300" s="31">
        <f>[1]节奏总纲!AW300</f>
        <v>0</v>
      </c>
      <c r="AX300" s="31">
        <f>[1]节奏总纲!AX300</f>
        <v>0</v>
      </c>
      <c r="AY300" s="29"/>
      <c r="AZ300" s="31">
        <v>297</v>
      </c>
      <c r="BA300" s="31">
        <f>[1]节奏总纲!BA300</f>
        <v>45.355954287392557</v>
      </c>
      <c r="BB300" s="31">
        <f>[1]节奏总纲!BB300</f>
        <v>46.874411768133562</v>
      </c>
      <c r="BC300" s="31">
        <f>[1]节奏总纲!BC300</f>
        <v>48.819774747187417</v>
      </c>
      <c r="BD300" s="31">
        <f>[1]节奏总纲!BD300</f>
        <v>51.562348854298804</v>
      </c>
      <c r="BE300" s="31">
        <f>[1]节奏总纲!BE300</f>
        <v>56.276805339682355</v>
      </c>
      <c r="BG300" s="34"/>
      <c r="BP300" s="34"/>
    </row>
    <row r="301" spans="29:68" s="31" customFormat="1" x14ac:dyDescent="0.15">
      <c r="AC301" s="31">
        <v>298</v>
      </c>
      <c r="AD301" s="31">
        <f>[1]节奏总纲!AD301</f>
        <v>82.23373336929771</v>
      </c>
      <c r="AE301" s="31">
        <f>[1]节奏总纲!AE301</f>
        <v>84.329427828837879</v>
      </c>
      <c r="AF301" s="31">
        <f>[1]节奏总纲!AF301</f>
        <v>87.272992569806178</v>
      </c>
      <c r="AG301" s="31">
        <f>[1]节奏总纲!AG301</f>
        <v>92.322187158371293</v>
      </c>
      <c r="AH301" s="31">
        <f>[1]节奏总纲!AH301</f>
        <v>101.22730420874987</v>
      </c>
      <c r="AJ301" s="34"/>
      <c r="AM301" s="31">
        <f>[1]节奏总纲!AM301</f>
        <v>0</v>
      </c>
      <c r="AN301" s="31">
        <f>[1]节奏总纲!AN301</f>
        <v>0</v>
      </c>
      <c r="AO301" s="31">
        <f>[1]节奏总纲!AO301</f>
        <v>0</v>
      </c>
      <c r="AP301" s="31">
        <f>[1]节奏总纲!AP301</f>
        <v>0</v>
      </c>
      <c r="AQ301" s="31">
        <f>[1]节奏总纲!AQ301</f>
        <v>0</v>
      </c>
      <c r="AR301" s="29"/>
      <c r="AT301" s="31">
        <f>[1]节奏总纲!AT301</f>
        <v>0</v>
      </c>
      <c r="AU301" s="31">
        <f>[1]节奏总纲!AU301</f>
        <v>0</v>
      </c>
      <c r="AV301" s="31">
        <f>[1]节奏总纲!AV301</f>
        <v>0</v>
      </c>
      <c r="AW301" s="31">
        <f>[1]节奏总纲!AW301</f>
        <v>0</v>
      </c>
      <c r="AX301" s="31">
        <f>[1]节奏总纲!AX301</f>
        <v>0</v>
      </c>
      <c r="AY301" s="29"/>
      <c r="AZ301" s="31">
        <v>298</v>
      </c>
      <c r="BA301" s="31">
        <f>[1]节奏总纲!BA301</f>
        <v>45.37827117061466</v>
      </c>
      <c r="BB301" s="31">
        <f>[1]节奏总纲!BB301</f>
        <v>46.898491821656968</v>
      </c>
      <c r="BC301" s="31">
        <f>[1]节奏总纲!BC301</f>
        <v>48.843703413733579</v>
      </c>
      <c r="BD301" s="31">
        <f>[1]节奏总纲!BD301</f>
        <v>51.585454622217647</v>
      </c>
      <c r="BE301" s="31">
        <f>[1]节奏总纲!BE301</f>
        <v>56.299013089065468</v>
      </c>
      <c r="BG301" s="34"/>
      <c r="BP301" s="34"/>
    </row>
    <row r="302" spans="29:68" s="31" customFormat="1" x14ac:dyDescent="0.15">
      <c r="AC302" s="31">
        <v>299</v>
      </c>
      <c r="AD302" s="31">
        <f>[1]节奏总纲!AD302</f>
        <v>82.281112832649583</v>
      </c>
      <c r="AE302" s="31">
        <f>[1]节奏总纲!AE302</f>
        <v>84.378300539638204</v>
      </c>
      <c r="AF302" s="31">
        <f>[1]节奏总纲!AF302</f>
        <v>87.321764325467768</v>
      </c>
      <c r="AG302" s="31">
        <f>[1]节奏总纲!AG302</f>
        <v>92.37229811571855</v>
      </c>
      <c r="AH302" s="31">
        <f>[1]节奏总纲!AH302</f>
        <v>101.27695927989888</v>
      </c>
      <c r="AJ302" s="34"/>
      <c r="AM302" s="31">
        <f>[1]节奏总纲!AM302</f>
        <v>0</v>
      </c>
      <c r="AN302" s="31">
        <f>[1]节奏总纲!AN302</f>
        <v>0</v>
      </c>
      <c r="AO302" s="31">
        <f>[1]节奏总纲!AO302</f>
        <v>0</v>
      </c>
      <c r="AP302" s="31">
        <f>[1]节奏总纲!AP302</f>
        <v>0</v>
      </c>
      <c r="AQ302" s="31">
        <f>[1]节奏总纲!AQ302</f>
        <v>0</v>
      </c>
      <c r="AR302" s="29"/>
      <c r="AT302" s="31">
        <f>[1]节奏总纲!AT302</f>
        <v>0</v>
      </c>
      <c r="AU302" s="31">
        <f>[1]节奏总纲!AU302</f>
        <v>0</v>
      </c>
      <c r="AV302" s="31">
        <f>[1]节奏总纲!AV302</f>
        <v>0</v>
      </c>
      <c r="AW302" s="31">
        <f>[1]节奏总纲!AW302</f>
        <v>0</v>
      </c>
      <c r="AX302" s="31">
        <f>[1]节奏总纲!AX302</f>
        <v>0</v>
      </c>
      <c r="AY302" s="29"/>
      <c r="AZ302" s="31">
        <v>299</v>
      </c>
      <c r="BA302" s="31">
        <f>[1]节奏总纲!BA302</f>
        <v>45.400588053836763</v>
      </c>
      <c r="BB302" s="31">
        <f>[1]节奏总纲!BB302</f>
        <v>46.922571875180381</v>
      </c>
      <c r="BC302" s="31">
        <f>[1]节奏总纲!BC302</f>
        <v>48.867632080279733</v>
      </c>
      <c r="BD302" s="31">
        <f>[1]节奏总纲!BD302</f>
        <v>51.608560390136496</v>
      </c>
      <c r="BE302" s="31">
        <f>[1]节奏总纲!BE302</f>
        <v>56.321220838448575</v>
      </c>
      <c r="BG302" s="34"/>
      <c r="BP302" s="34"/>
    </row>
    <row r="303" spans="29:68" s="31" customFormat="1" x14ac:dyDescent="0.15">
      <c r="AC303" s="31">
        <v>300</v>
      </c>
      <c r="AD303" s="31">
        <f>[1]节奏总纲!AD303</f>
        <v>82.328492296001457</v>
      </c>
      <c r="AE303" s="31">
        <f>[1]节奏总纲!AE303</f>
        <v>84.427173250438543</v>
      </c>
      <c r="AF303" s="31">
        <f>[1]节奏总纲!AF303</f>
        <v>87.370536081129359</v>
      </c>
      <c r="AG303" s="31">
        <f>[1]节奏总纲!AG303</f>
        <v>92.422409073065808</v>
      </c>
      <c r="AH303" s="31">
        <f>[1]节奏总纲!AH303</f>
        <v>101.32661435104789</v>
      </c>
      <c r="AJ303" s="34"/>
      <c r="AM303" s="31">
        <f>[1]节奏总纲!AM303</f>
        <v>0</v>
      </c>
      <c r="AN303" s="31">
        <f>[1]节奏总纲!AN303</f>
        <v>0</v>
      </c>
      <c r="AO303" s="31">
        <f>[1]节奏总纲!AO303</f>
        <v>0</v>
      </c>
      <c r="AP303" s="31">
        <f>[1]节奏总纲!AP303</f>
        <v>0</v>
      </c>
      <c r="AQ303" s="31">
        <f>[1]节奏总纲!AQ303</f>
        <v>0</v>
      </c>
      <c r="AR303" s="29"/>
      <c r="AT303" s="31">
        <f>[1]节奏总纲!AT303</f>
        <v>0</v>
      </c>
      <c r="AU303" s="31">
        <f>[1]节奏总纲!AU303</f>
        <v>0</v>
      </c>
      <c r="AV303" s="31">
        <f>[1]节奏总纲!AV303</f>
        <v>0</v>
      </c>
      <c r="AW303" s="31">
        <f>[1]节奏总纲!AW303</f>
        <v>0</v>
      </c>
      <c r="AX303" s="31">
        <f>[1]节奏总纲!AX303</f>
        <v>0</v>
      </c>
      <c r="AY303" s="29"/>
      <c r="AZ303" s="31">
        <v>300</v>
      </c>
      <c r="BA303" s="31">
        <f>[1]节奏总纲!BA303</f>
        <v>45.422904937058867</v>
      </c>
      <c r="BB303" s="31">
        <f>[1]节奏总纲!BB303</f>
        <v>46.946651928703787</v>
      </c>
      <c r="BC303" s="31">
        <f>[1]节奏总纲!BC303</f>
        <v>48.891560746825888</v>
      </c>
      <c r="BD303" s="31">
        <f>[1]节奏总纲!BD303</f>
        <v>51.631666158055346</v>
      </c>
      <c r="BE303" s="31">
        <f>[1]节奏总纲!BE303</f>
        <v>56.343428587831681</v>
      </c>
      <c r="BG303" s="34"/>
      <c r="BP303" s="34"/>
    </row>
    <row r="304" spans="29:68" s="31" customFormat="1" x14ac:dyDescent="0.15">
      <c r="AC304" s="31">
        <v>301</v>
      </c>
      <c r="AD304" s="31">
        <f>[1]节奏总纲!AD304</f>
        <v>82.375871759353331</v>
      </c>
      <c r="AE304" s="31">
        <f>[1]节奏总纲!AE304</f>
        <v>84.476045961238867</v>
      </c>
      <c r="AF304" s="31">
        <f>[1]节奏总纲!AF304</f>
        <v>87.419307836790964</v>
      </c>
      <c r="AG304" s="31">
        <f>[1]节奏总纲!AG304</f>
        <v>92.472520030413079</v>
      </c>
      <c r="AH304" s="31">
        <f>[1]节奏总纲!AH304</f>
        <v>101.3762694221969</v>
      </c>
      <c r="AJ304" s="34"/>
      <c r="AM304" s="31">
        <f>[1]节奏总纲!AM304</f>
        <v>0</v>
      </c>
      <c r="AN304" s="31">
        <f>[1]节奏总纲!AN304</f>
        <v>0</v>
      </c>
      <c r="AO304" s="31">
        <f>[1]节奏总纲!AO304</f>
        <v>0</v>
      </c>
      <c r="AP304" s="31">
        <f>[1]节奏总纲!AP304</f>
        <v>0</v>
      </c>
      <c r="AQ304" s="31">
        <f>[1]节奏总纲!AQ304</f>
        <v>0</v>
      </c>
      <c r="AR304" s="29"/>
      <c r="AT304" s="31">
        <f>[1]节奏总纲!AT304</f>
        <v>0</v>
      </c>
      <c r="AU304" s="31">
        <f>[1]节奏总纲!AU304</f>
        <v>0</v>
      </c>
      <c r="AV304" s="31">
        <f>[1]节奏总纲!AV304</f>
        <v>0</v>
      </c>
      <c r="AW304" s="31">
        <f>[1]节奏总纲!AW304</f>
        <v>0</v>
      </c>
      <c r="AX304" s="31">
        <f>[1]节奏总纲!AX304</f>
        <v>0</v>
      </c>
      <c r="AY304" s="29"/>
      <c r="AZ304" s="31">
        <v>301</v>
      </c>
      <c r="BA304" s="31">
        <f>[1]节奏总纲!BA304</f>
        <v>45.44522182028097</v>
      </c>
      <c r="BB304" s="31">
        <f>[1]节奏总纲!BB304</f>
        <v>46.9707319822272</v>
      </c>
      <c r="BC304" s="31">
        <f>[1]节奏总纲!BC304</f>
        <v>48.91548941337205</v>
      </c>
      <c r="BD304" s="31">
        <f>[1]节奏总纲!BD304</f>
        <v>51.654771925974188</v>
      </c>
      <c r="BE304" s="31">
        <f>[1]节奏总纲!BE304</f>
        <v>56.365636337214795</v>
      </c>
      <c r="BG304" s="34"/>
      <c r="BP304" s="34"/>
    </row>
    <row r="305" spans="29:68" s="31" customFormat="1" x14ac:dyDescent="0.15">
      <c r="AC305" s="31">
        <v>302</v>
      </c>
      <c r="AD305" s="31">
        <f>[1]节奏总纲!AD305</f>
        <v>82.423251222705204</v>
      </c>
      <c r="AE305" s="31">
        <f>[1]节奏总纲!AE305</f>
        <v>84.524918672039192</v>
      </c>
      <c r="AF305" s="31">
        <f>[1]节奏总纲!AF305</f>
        <v>87.468079592452554</v>
      </c>
      <c r="AG305" s="31">
        <f>[1]节奏总纲!AG305</f>
        <v>92.522630987760337</v>
      </c>
      <c r="AH305" s="31">
        <f>[1]节奏总纲!AH305</f>
        <v>101.42592449334592</v>
      </c>
      <c r="AJ305" s="34"/>
      <c r="AM305" s="31">
        <f>[1]节奏总纲!AM305</f>
        <v>0</v>
      </c>
      <c r="AN305" s="31">
        <f>[1]节奏总纲!AN305</f>
        <v>0</v>
      </c>
      <c r="AO305" s="31">
        <f>[1]节奏总纲!AO305</f>
        <v>0</v>
      </c>
      <c r="AP305" s="31">
        <f>[1]节奏总纲!AP305</f>
        <v>0</v>
      </c>
      <c r="AQ305" s="31">
        <f>[1]节奏总纲!AQ305</f>
        <v>0</v>
      </c>
      <c r="AR305" s="29"/>
      <c r="AT305" s="31">
        <f>[1]节奏总纲!AT305</f>
        <v>0</v>
      </c>
      <c r="AU305" s="31">
        <f>[1]节奏总纲!AU305</f>
        <v>0</v>
      </c>
      <c r="AV305" s="31">
        <f>[1]节奏总纲!AV305</f>
        <v>0</v>
      </c>
      <c r="AW305" s="31">
        <f>[1]节奏总纲!AW305</f>
        <v>0</v>
      </c>
      <c r="AX305" s="31">
        <f>[1]节奏总纲!AX305</f>
        <v>0</v>
      </c>
      <c r="AY305" s="29"/>
      <c r="AZ305" s="31">
        <v>302</v>
      </c>
      <c r="BA305" s="31">
        <f>[1]节奏总纲!BA305</f>
        <v>45.467538703503074</v>
      </c>
      <c r="BB305" s="31">
        <f>[1]节奏总纲!BB305</f>
        <v>46.994812035750606</v>
      </c>
      <c r="BC305" s="31">
        <f>[1]节奏总纲!BC305</f>
        <v>48.939418079918205</v>
      </c>
      <c r="BD305" s="31">
        <f>[1]节奏总纲!BD305</f>
        <v>51.677877693893038</v>
      </c>
      <c r="BE305" s="31">
        <f>[1]节奏总纲!BE305</f>
        <v>56.387844086597902</v>
      </c>
      <c r="BG305" s="34"/>
      <c r="BP305" s="34"/>
    </row>
    <row r="306" spans="29:68" s="31" customFormat="1" x14ac:dyDescent="0.15">
      <c r="AC306" s="31">
        <v>303</v>
      </c>
      <c r="AD306" s="31">
        <f>[1]节奏总纲!AD306</f>
        <v>82.470630686057078</v>
      </c>
      <c r="AE306" s="31">
        <f>[1]节奏总纲!AE306</f>
        <v>84.573791382839516</v>
      </c>
      <c r="AF306" s="31">
        <f>[1]节奏总纲!AF306</f>
        <v>87.516851348114145</v>
      </c>
      <c r="AG306" s="31">
        <f>[1]节奏总纲!AG306</f>
        <v>92.572741945107595</v>
      </c>
      <c r="AH306" s="31">
        <f>[1]节奏总纲!AH306</f>
        <v>101.47557956449492</v>
      </c>
      <c r="AJ306" s="34"/>
      <c r="AM306" s="31">
        <f>[1]节奏总纲!AM306</f>
        <v>0</v>
      </c>
      <c r="AN306" s="31">
        <f>[1]节奏总纲!AN306</f>
        <v>0</v>
      </c>
      <c r="AO306" s="31">
        <f>[1]节奏总纲!AO306</f>
        <v>0</v>
      </c>
      <c r="AP306" s="31">
        <f>[1]节奏总纲!AP306</f>
        <v>0</v>
      </c>
      <c r="AQ306" s="31">
        <f>[1]节奏总纲!AQ306</f>
        <v>0</v>
      </c>
      <c r="AR306" s="29"/>
      <c r="AT306" s="31">
        <f>[1]节奏总纲!AT306</f>
        <v>0</v>
      </c>
      <c r="AU306" s="31">
        <f>[1]节奏总纲!AU306</f>
        <v>0</v>
      </c>
      <c r="AV306" s="31">
        <f>[1]节奏总纲!AV306</f>
        <v>0</v>
      </c>
      <c r="AW306" s="31">
        <f>[1]节奏总纲!AW306</f>
        <v>0</v>
      </c>
      <c r="AX306" s="31">
        <f>[1]节奏总纲!AX306</f>
        <v>0</v>
      </c>
      <c r="AY306" s="29"/>
      <c r="AZ306" s="31">
        <v>303</v>
      </c>
      <c r="BA306" s="31">
        <f>[1]节奏总纲!BA306</f>
        <v>45.489855586725177</v>
      </c>
      <c r="BB306" s="31">
        <f>[1]节奏总纲!BB306</f>
        <v>47.016308935086101</v>
      </c>
      <c r="BC306" s="31">
        <f>[1]节奏总纲!BC306</f>
        <v>48.96334674646436</v>
      </c>
      <c r="BD306" s="31">
        <f>[1]节奏总纲!BD306</f>
        <v>51.70098346181188</v>
      </c>
      <c r="BE306" s="31">
        <f>[1]节奏总纲!BE306</f>
        <v>56.410051835981008</v>
      </c>
      <c r="BG306" s="34"/>
      <c r="BP306" s="34"/>
    </row>
    <row r="307" spans="29:68" s="31" customFormat="1" x14ac:dyDescent="0.15">
      <c r="AC307" s="31">
        <v>304</v>
      </c>
      <c r="AD307" s="31">
        <f>[1]节奏总纲!AD307</f>
        <v>82.518010149408951</v>
      </c>
      <c r="AE307" s="31">
        <f>[1]节奏总纲!AE307</f>
        <v>84.622664093639855</v>
      </c>
      <c r="AF307" s="31">
        <f>[1]节奏总纲!AF307</f>
        <v>87.565623103775735</v>
      </c>
      <c r="AG307" s="31">
        <f>[1]节奏总纲!AG307</f>
        <v>92.622852902454852</v>
      </c>
      <c r="AH307" s="31">
        <f>[1]节奏总纲!AH307</f>
        <v>101.52523463564394</v>
      </c>
      <c r="AJ307" s="34"/>
      <c r="AM307" s="31">
        <f>[1]节奏总纲!AM307</f>
        <v>0</v>
      </c>
      <c r="AN307" s="31">
        <f>[1]节奏总纲!AN307</f>
        <v>0</v>
      </c>
      <c r="AO307" s="31">
        <f>[1]节奏总纲!AO307</f>
        <v>0</v>
      </c>
      <c r="AP307" s="31">
        <f>[1]节奏总纲!AP307</f>
        <v>0</v>
      </c>
      <c r="AQ307" s="31">
        <f>[1]节奏总纲!AQ307</f>
        <v>0</v>
      </c>
      <c r="AR307" s="29"/>
      <c r="AT307" s="31">
        <f>[1]节奏总纲!AT307</f>
        <v>0</v>
      </c>
      <c r="AU307" s="31">
        <f>[1]节奏总纲!AU307</f>
        <v>0</v>
      </c>
      <c r="AV307" s="31">
        <f>[1]节奏总纲!AV307</f>
        <v>0</v>
      </c>
      <c r="AW307" s="31">
        <f>[1]节奏总纲!AW307</f>
        <v>0</v>
      </c>
      <c r="AX307" s="31">
        <f>[1]节奏总纲!AX307</f>
        <v>0</v>
      </c>
      <c r="AY307" s="29"/>
      <c r="AZ307" s="31">
        <v>304</v>
      </c>
      <c r="BA307" s="31">
        <f>[1]节奏总纲!BA307</f>
        <v>45.512172469947281</v>
      </c>
      <c r="BB307" s="31">
        <f>[1]节奏总纲!BB307</f>
        <v>47.037096473408994</v>
      </c>
      <c r="BC307" s="31">
        <f>[1]节奏总纲!BC307</f>
        <v>48.987275413010522</v>
      </c>
      <c r="BD307" s="31">
        <f>[1]节奏总纲!BD307</f>
        <v>51.72408922973073</v>
      </c>
      <c r="BE307" s="31">
        <f>[1]节奏总纲!BE307</f>
        <v>56.432259585364115</v>
      </c>
      <c r="BG307" s="34"/>
      <c r="BP307" s="34"/>
    </row>
    <row r="308" spans="29:68" s="31" customFormat="1" x14ac:dyDescent="0.15">
      <c r="AC308" s="31">
        <v>305</v>
      </c>
      <c r="AD308" s="31">
        <f>[1]节奏总纲!AD308</f>
        <v>82.565389612760825</v>
      </c>
      <c r="AE308" s="31">
        <f>[1]节奏总纲!AE308</f>
        <v>84.67153680444018</v>
      </c>
      <c r="AF308" s="31">
        <f>[1]节奏总纲!AF308</f>
        <v>87.61439485943734</v>
      </c>
      <c r="AG308" s="31">
        <f>[1]节奏总纲!AG308</f>
        <v>92.672963859802124</v>
      </c>
      <c r="AH308" s="31">
        <f>[1]节奏总纲!AH308</f>
        <v>101.57488970679294</v>
      </c>
      <c r="AJ308" s="34"/>
      <c r="AM308" s="31">
        <f>[1]节奏总纲!AM308</f>
        <v>0</v>
      </c>
      <c r="AN308" s="31">
        <f>[1]节奏总纲!AN308</f>
        <v>0</v>
      </c>
      <c r="AO308" s="31">
        <f>[1]节奏总纲!AO308</f>
        <v>0</v>
      </c>
      <c r="AP308" s="31">
        <f>[1]节奏总纲!AP308</f>
        <v>0</v>
      </c>
      <c r="AQ308" s="31">
        <f>[1]节奏总纲!AQ308</f>
        <v>0</v>
      </c>
      <c r="AR308" s="29"/>
      <c r="AT308" s="31">
        <f>[1]节奏总纲!AT308</f>
        <v>0</v>
      </c>
      <c r="AU308" s="31">
        <f>[1]节奏总纲!AU308</f>
        <v>0</v>
      </c>
      <c r="AV308" s="31">
        <f>[1]节奏总纲!AV308</f>
        <v>0</v>
      </c>
      <c r="AW308" s="31">
        <f>[1]节奏总纲!AW308</f>
        <v>0</v>
      </c>
      <c r="AX308" s="31">
        <f>[1]节奏总纲!AX308</f>
        <v>0</v>
      </c>
      <c r="AY308" s="29"/>
      <c r="AZ308" s="31">
        <v>305</v>
      </c>
      <c r="BA308" s="31">
        <f>[1]节奏总纲!BA308</f>
        <v>45.534489353169384</v>
      </c>
      <c r="BB308" s="31">
        <f>[1]节奏总纲!BB308</f>
        <v>47.057884011731893</v>
      </c>
      <c r="BC308" s="31">
        <f>[1]节奏总纲!BC308</f>
        <v>49.009673493801003</v>
      </c>
      <c r="BD308" s="31">
        <f>[1]节奏总纲!BD308</f>
        <v>51.747194997649579</v>
      </c>
      <c r="BE308" s="31">
        <f>[1]节奏总纲!BE308</f>
        <v>56.454467334747228</v>
      </c>
      <c r="BG308" s="34"/>
      <c r="BP308" s="34"/>
    </row>
    <row r="309" spans="29:68" s="31" customFormat="1" x14ac:dyDescent="0.15">
      <c r="AC309" s="31">
        <v>306</v>
      </c>
      <c r="AD309" s="31">
        <f>[1]节奏总纲!AD309</f>
        <v>82.612769076112698</v>
      </c>
      <c r="AE309" s="31">
        <f>[1]节奏总纲!AE309</f>
        <v>84.720409515240505</v>
      </c>
      <c r="AF309" s="31">
        <f>[1]节奏总纲!AF309</f>
        <v>87.66316661509893</v>
      </c>
      <c r="AG309" s="31">
        <f>[1]节奏总纲!AG309</f>
        <v>92.723074817149381</v>
      </c>
      <c r="AH309" s="31">
        <f>[1]节奏总纲!AH309</f>
        <v>101.62454477794196</v>
      </c>
      <c r="AJ309" s="34"/>
      <c r="AM309" s="31">
        <f>[1]节奏总纲!AM309</f>
        <v>0</v>
      </c>
      <c r="AN309" s="31">
        <f>[1]节奏总纲!AN309</f>
        <v>0</v>
      </c>
      <c r="AO309" s="31">
        <f>[1]节奏总纲!AO309</f>
        <v>0</v>
      </c>
      <c r="AP309" s="31">
        <f>[1]节奏总纲!AP309</f>
        <v>0</v>
      </c>
      <c r="AQ309" s="31">
        <f>[1]节奏总纲!AQ309</f>
        <v>0</v>
      </c>
      <c r="AR309" s="29"/>
      <c r="AT309" s="31">
        <f>[1]节奏总纲!AT309</f>
        <v>0</v>
      </c>
      <c r="AU309" s="31">
        <f>[1]节奏总纲!AU309</f>
        <v>0</v>
      </c>
      <c r="AV309" s="31">
        <f>[1]节奏总纲!AV309</f>
        <v>0</v>
      </c>
      <c r="AW309" s="31">
        <f>[1]节奏总纲!AW309</f>
        <v>0</v>
      </c>
      <c r="AX309" s="31">
        <f>[1]节奏总纲!AX309</f>
        <v>0</v>
      </c>
      <c r="AY309" s="29"/>
      <c r="AZ309" s="31">
        <v>306</v>
      </c>
      <c r="BA309" s="31">
        <f>[1]节奏总纲!BA309</f>
        <v>45.556806236391488</v>
      </c>
      <c r="BB309" s="31">
        <f>[1]节奏总纲!BB309</f>
        <v>47.078671550054786</v>
      </c>
      <c r="BC309" s="31">
        <f>[1]节奏总纲!BC309</f>
        <v>49.030333272797542</v>
      </c>
      <c r="BD309" s="31">
        <f>[1]节奏总纲!BD309</f>
        <v>51.770300765568422</v>
      </c>
      <c r="BE309" s="31">
        <f>[1]节奏总纲!BE309</f>
        <v>56.476675084130335</v>
      </c>
      <c r="BG309" s="34"/>
      <c r="BP309" s="34"/>
    </row>
    <row r="310" spans="29:68" s="31" customFormat="1" x14ac:dyDescent="0.15">
      <c r="AC310" s="31">
        <v>307</v>
      </c>
      <c r="AD310" s="31">
        <f>[1]节奏总纲!AD310</f>
        <v>82.660148539464572</v>
      </c>
      <c r="AE310" s="31">
        <f>[1]节奏总纲!AE310</f>
        <v>84.769282226040829</v>
      </c>
      <c r="AF310" s="31">
        <f>[1]节奏总纲!AF310</f>
        <v>87.711938370760521</v>
      </c>
      <c r="AG310" s="31">
        <f>[1]节奏总纲!AG310</f>
        <v>92.773185774496639</v>
      </c>
      <c r="AH310" s="31">
        <f>[1]节奏总纲!AH310</f>
        <v>101.67419984909097</v>
      </c>
      <c r="AJ310" s="34"/>
      <c r="AM310" s="31">
        <f>[1]节奏总纲!AM310</f>
        <v>0</v>
      </c>
      <c r="AN310" s="31">
        <f>[1]节奏总纲!AN310</f>
        <v>0</v>
      </c>
      <c r="AO310" s="31">
        <f>[1]节奏总纲!AO310</f>
        <v>0</v>
      </c>
      <c r="AP310" s="31">
        <f>[1]节奏总纲!AP310</f>
        <v>0</v>
      </c>
      <c r="AQ310" s="31">
        <f>[1]节奏总纲!AQ310</f>
        <v>0</v>
      </c>
      <c r="AR310" s="29"/>
      <c r="AT310" s="31">
        <f>[1]节奏总纲!AT310</f>
        <v>0</v>
      </c>
      <c r="AU310" s="31">
        <f>[1]节奏总纲!AU310</f>
        <v>0</v>
      </c>
      <c r="AV310" s="31">
        <f>[1]节奏总纲!AV310</f>
        <v>0</v>
      </c>
      <c r="AW310" s="31">
        <f>[1]节奏总纲!AW310</f>
        <v>0</v>
      </c>
      <c r="AX310" s="31">
        <f>[1]节奏总纲!AX310</f>
        <v>0</v>
      </c>
      <c r="AY310" s="29"/>
      <c r="AZ310" s="31">
        <v>307</v>
      </c>
      <c r="BA310" s="31">
        <f>[1]节奏总纲!BA310</f>
        <v>45.579123119613591</v>
      </c>
      <c r="BB310" s="31">
        <f>[1]节奏总纲!BB310</f>
        <v>47.099459088377678</v>
      </c>
      <c r="BC310" s="31">
        <f>[1]节奏总纲!BC310</f>
        <v>49.05099305179408</v>
      </c>
      <c r="BD310" s="31">
        <f>[1]节奏总纲!BD310</f>
        <v>51.793406533487271</v>
      </c>
      <c r="BE310" s="31">
        <f>[1]节奏总纲!BE310</f>
        <v>56.498882833513441</v>
      </c>
      <c r="BG310" s="34"/>
      <c r="BP310" s="34"/>
    </row>
    <row r="311" spans="29:68" s="31" customFormat="1" x14ac:dyDescent="0.15">
      <c r="AC311" s="31">
        <v>308</v>
      </c>
      <c r="AD311" s="31">
        <f>[1]节奏总纲!AD311</f>
        <v>82.707528002816446</v>
      </c>
      <c r="AE311" s="31">
        <f>[1]节奏总纲!AE311</f>
        <v>84.818154936841154</v>
      </c>
      <c r="AF311" s="31">
        <f>[1]节奏总纲!AF311</f>
        <v>87.760710126422126</v>
      </c>
      <c r="AG311" s="31">
        <f>[1]节奏总纲!AG311</f>
        <v>92.823296731843911</v>
      </c>
      <c r="AH311" s="31">
        <f>[1]节奏总纲!AH311</f>
        <v>101.72385492023999</v>
      </c>
      <c r="AJ311" s="34"/>
      <c r="AM311" s="31">
        <f>[1]节奏总纲!AM311</f>
        <v>0</v>
      </c>
      <c r="AN311" s="31">
        <f>[1]节奏总纲!AN311</f>
        <v>0</v>
      </c>
      <c r="AO311" s="31">
        <f>[1]节奏总纲!AO311</f>
        <v>0</v>
      </c>
      <c r="AP311" s="31">
        <f>[1]节奏总纲!AP311</f>
        <v>0</v>
      </c>
      <c r="AQ311" s="31">
        <f>[1]节奏总纲!AQ311</f>
        <v>0</v>
      </c>
      <c r="AR311" s="29"/>
      <c r="AT311" s="31">
        <f>[1]节奏总纲!AT311</f>
        <v>0</v>
      </c>
      <c r="AU311" s="31">
        <f>[1]节奏总纲!AU311</f>
        <v>0</v>
      </c>
      <c r="AV311" s="31">
        <f>[1]节奏总纲!AV311</f>
        <v>0</v>
      </c>
      <c r="AW311" s="31">
        <f>[1]节奏总纲!AW311</f>
        <v>0</v>
      </c>
      <c r="AX311" s="31">
        <f>[1]节奏总纲!AX311</f>
        <v>0</v>
      </c>
      <c r="AY311" s="29"/>
      <c r="AZ311" s="31">
        <v>308</v>
      </c>
      <c r="BA311" s="31">
        <f>[1]节奏总纲!BA311</f>
        <v>45.601440002835695</v>
      </c>
      <c r="BB311" s="31">
        <f>[1]节奏总纲!BB311</f>
        <v>47.12024662670057</v>
      </c>
      <c r="BC311" s="31">
        <f>[1]节奏总纲!BC311</f>
        <v>49.071652830790612</v>
      </c>
      <c r="BD311" s="31">
        <f>[1]节奏总纲!BD311</f>
        <v>51.816512301406114</v>
      </c>
      <c r="BE311" s="31">
        <f>[1]节奏总纲!BE311</f>
        <v>56.521090582896548</v>
      </c>
      <c r="BG311" s="34"/>
      <c r="BP311" s="34"/>
    </row>
    <row r="312" spans="29:68" s="31" customFormat="1" x14ac:dyDescent="0.15">
      <c r="AC312" s="31">
        <v>309</v>
      </c>
      <c r="AD312" s="31">
        <f>[1]节奏总纲!AD312</f>
        <v>82.754907466168319</v>
      </c>
      <c r="AE312" s="31">
        <f>[1]节奏总纲!AE312</f>
        <v>84.867027647641493</v>
      </c>
      <c r="AF312" s="31">
        <f>[1]节奏总纲!AF312</f>
        <v>87.809481882083716</v>
      </c>
      <c r="AG312" s="31">
        <f>[1]节奏总纲!AG312</f>
        <v>92.873407689191168</v>
      </c>
      <c r="AH312" s="31">
        <f>[1]节奏总纲!AH312</f>
        <v>101.77350999138899</v>
      </c>
      <c r="AJ312" s="34"/>
      <c r="AM312" s="31">
        <f>[1]节奏总纲!AM312</f>
        <v>0</v>
      </c>
      <c r="AN312" s="31">
        <f>[1]节奏总纲!AN312</f>
        <v>0</v>
      </c>
      <c r="AO312" s="31">
        <f>[1]节奏总纲!AO312</f>
        <v>0</v>
      </c>
      <c r="AP312" s="31">
        <f>[1]节奏总纲!AP312</f>
        <v>0</v>
      </c>
      <c r="AQ312" s="31">
        <f>[1]节奏总纲!AQ312</f>
        <v>0</v>
      </c>
      <c r="AR312" s="29"/>
      <c r="AT312" s="31">
        <f>[1]节奏总纲!AT312</f>
        <v>0</v>
      </c>
      <c r="AU312" s="31">
        <f>[1]节奏总纲!AU312</f>
        <v>0</v>
      </c>
      <c r="AV312" s="31">
        <f>[1]节奏总纲!AV312</f>
        <v>0</v>
      </c>
      <c r="AW312" s="31">
        <f>[1]节奏总纲!AW312</f>
        <v>0</v>
      </c>
      <c r="AX312" s="31">
        <f>[1]节奏总纲!AX312</f>
        <v>0</v>
      </c>
      <c r="AY312" s="29"/>
      <c r="AZ312" s="31">
        <v>309</v>
      </c>
      <c r="BA312" s="31">
        <f>[1]节奏总纲!BA312</f>
        <v>45.623756886057798</v>
      </c>
      <c r="BB312" s="31">
        <f>[1]节奏总纲!BB312</f>
        <v>47.14103416502347</v>
      </c>
      <c r="BC312" s="31">
        <f>[1]节奏总纲!BC312</f>
        <v>49.09231260978715</v>
      </c>
      <c r="BD312" s="31">
        <f>[1]节奏总纲!BD312</f>
        <v>51.839618069324963</v>
      </c>
      <c r="BE312" s="31">
        <f>[1]节奏总纲!BE312</f>
        <v>56.543298332279662</v>
      </c>
      <c r="BG312" s="34"/>
      <c r="BP312" s="34"/>
    </row>
    <row r="313" spans="29:68" s="31" customFormat="1" x14ac:dyDescent="0.15">
      <c r="AC313" s="31">
        <v>310</v>
      </c>
      <c r="AD313" s="31">
        <f>[1]节奏总纲!AD313</f>
        <v>82.802286929520193</v>
      </c>
      <c r="AE313" s="31">
        <f>[1]节奏总纲!AE313</f>
        <v>84.915900358441817</v>
      </c>
      <c r="AF313" s="31">
        <f>[1]节奏总纲!AF313</f>
        <v>87.858253637745307</v>
      </c>
      <c r="AG313" s="31">
        <f>[1]节奏总纲!AG313</f>
        <v>92.923518646538426</v>
      </c>
      <c r="AH313" s="31">
        <f>[1]节奏总纲!AH313</f>
        <v>101.82316506253801</v>
      </c>
      <c r="AJ313" s="34"/>
      <c r="AM313" s="31">
        <f>[1]节奏总纲!AM313</f>
        <v>0</v>
      </c>
      <c r="AN313" s="31">
        <f>[1]节奏总纲!AN313</f>
        <v>0</v>
      </c>
      <c r="AO313" s="31">
        <f>[1]节奏总纲!AO313</f>
        <v>0</v>
      </c>
      <c r="AP313" s="31">
        <f>[1]节奏总纲!AP313</f>
        <v>0</v>
      </c>
      <c r="AQ313" s="31">
        <f>[1]节奏总纲!AQ313</f>
        <v>0</v>
      </c>
      <c r="AR313" s="29"/>
      <c r="AT313" s="31">
        <f>[1]节奏总纲!AT313</f>
        <v>0</v>
      </c>
      <c r="AU313" s="31">
        <f>[1]节奏总纲!AU313</f>
        <v>0</v>
      </c>
      <c r="AV313" s="31">
        <f>[1]节奏总纲!AV313</f>
        <v>0</v>
      </c>
      <c r="AW313" s="31">
        <f>[1]节奏总纲!AW313</f>
        <v>0</v>
      </c>
      <c r="AX313" s="31">
        <f>[1]节奏总纲!AX313</f>
        <v>0</v>
      </c>
      <c r="AY313" s="29"/>
      <c r="AZ313" s="31">
        <v>310</v>
      </c>
      <c r="BA313" s="31">
        <f>[1]节奏总纲!BA313</f>
        <v>45.646073769279901</v>
      </c>
      <c r="BB313" s="31">
        <f>[1]节奏总纲!BB313</f>
        <v>47.161821703346362</v>
      </c>
      <c r="BC313" s="31">
        <f>[1]节奏总纲!BC313</f>
        <v>49.112972388783689</v>
      </c>
      <c r="BD313" s="31">
        <f>[1]节奏总纲!BD313</f>
        <v>51.862723837243806</v>
      </c>
      <c r="BE313" s="31">
        <f>[1]节奏总纲!BE313</f>
        <v>56.565506081662768</v>
      </c>
      <c r="BG313" s="34"/>
      <c r="BP313" s="34"/>
    </row>
    <row r="314" spans="29:68" s="31" customFormat="1" x14ac:dyDescent="0.15">
      <c r="AC314" s="31">
        <v>311</v>
      </c>
      <c r="AD314" s="31">
        <f>[1]节奏总纲!AD314</f>
        <v>82.849666392872066</v>
      </c>
      <c r="AE314" s="31">
        <f>[1]节奏总纲!AE314</f>
        <v>84.964773069242142</v>
      </c>
      <c r="AF314" s="31">
        <f>[1]节奏总纲!AF314</f>
        <v>87.907025393406897</v>
      </c>
      <c r="AG314" s="31">
        <f>[1]节奏总纲!AG314</f>
        <v>92.973629603885698</v>
      </c>
      <c r="AH314" s="31">
        <f>[1]节奏总纲!AH314</f>
        <v>101.87282013368701</v>
      </c>
      <c r="AJ314" s="34"/>
      <c r="AM314" s="31">
        <f>[1]节奏总纲!AM314</f>
        <v>0</v>
      </c>
      <c r="AN314" s="31">
        <f>[1]节奏总纲!AN314</f>
        <v>0</v>
      </c>
      <c r="AO314" s="31">
        <f>[1]节奏总纲!AO314</f>
        <v>0</v>
      </c>
      <c r="AP314" s="31">
        <f>[1]节奏总纲!AP314</f>
        <v>0</v>
      </c>
      <c r="AQ314" s="31">
        <f>[1]节奏总纲!AQ314</f>
        <v>0</v>
      </c>
      <c r="AR314" s="29"/>
      <c r="AT314" s="31">
        <f>[1]节奏总纲!AT314</f>
        <v>0</v>
      </c>
      <c r="AU314" s="31">
        <f>[1]节奏总纲!AU314</f>
        <v>0</v>
      </c>
      <c r="AV314" s="31">
        <f>[1]节奏总纲!AV314</f>
        <v>0</v>
      </c>
      <c r="AW314" s="31">
        <f>[1]节奏总纲!AW314</f>
        <v>0</v>
      </c>
      <c r="AX314" s="31">
        <f>[1]节奏总纲!AX314</f>
        <v>0</v>
      </c>
      <c r="AY314" s="29"/>
      <c r="AZ314" s="31">
        <v>311</v>
      </c>
      <c r="BA314" s="31">
        <f>[1]节奏总纲!BA314</f>
        <v>45.668390652502012</v>
      </c>
      <c r="BB314" s="31">
        <f>[1]节奏总纲!BB314</f>
        <v>47.182609241669255</v>
      </c>
      <c r="BC314" s="31">
        <f>[1]节奏总纲!BC314</f>
        <v>49.133632167780227</v>
      </c>
      <c r="BD314" s="31">
        <f>[1]节奏总纲!BD314</f>
        <v>51.885829605162655</v>
      </c>
      <c r="BE314" s="31">
        <f>[1]节奏总纲!BE314</f>
        <v>56.587713831045875</v>
      </c>
      <c r="BG314" s="34"/>
      <c r="BP314" s="34"/>
    </row>
    <row r="315" spans="29:68" s="31" customFormat="1" x14ac:dyDescent="0.15">
      <c r="AC315" s="31">
        <v>312</v>
      </c>
      <c r="AD315" s="31">
        <f>[1]节奏总纲!AD315</f>
        <v>82.89704585622394</v>
      </c>
      <c r="AE315" s="31">
        <f>[1]节奏总纲!AE315</f>
        <v>85.012531647506819</v>
      </c>
      <c r="AF315" s="31">
        <f>[1]节奏总纲!AF315</f>
        <v>87.955797149068502</v>
      </c>
      <c r="AG315" s="31">
        <f>[1]节奏总纲!AG315</f>
        <v>93.022367647203353</v>
      </c>
      <c r="AH315" s="31">
        <f>[1]节奏总纲!AH315</f>
        <v>101.92247520483603</v>
      </c>
      <c r="AJ315" s="34"/>
      <c r="AM315" s="31">
        <f>[1]节奏总纲!AM315</f>
        <v>0</v>
      </c>
      <c r="AN315" s="31">
        <f>[1]节奏总纲!AN315</f>
        <v>0</v>
      </c>
      <c r="AO315" s="31">
        <f>[1]节奏总纲!AO315</f>
        <v>0</v>
      </c>
      <c r="AP315" s="31">
        <f>[1]节奏总纲!AP315</f>
        <v>0</v>
      </c>
      <c r="AQ315" s="31">
        <f>[1]节奏总纲!AQ315</f>
        <v>0</v>
      </c>
      <c r="AR315" s="29"/>
      <c r="AT315" s="31">
        <f>[1]节奏总纲!AT315</f>
        <v>0</v>
      </c>
      <c r="AU315" s="31">
        <f>[1]节奏总纲!AU315</f>
        <v>0</v>
      </c>
      <c r="AV315" s="31">
        <f>[1]节奏总纲!AV315</f>
        <v>0</v>
      </c>
      <c r="AW315" s="31">
        <f>[1]节奏总纲!AW315</f>
        <v>0</v>
      </c>
      <c r="AX315" s="31">
        <f>[1]节奏总纲!AX315</f>
        <v>0</v>
      </c>
      <c r="AY315" s="29"/>
      <c r="AZ315" s="31">
        <v>312</v>
      </c>
      <c r="BA315" s="31">
        <f>[1]节奏总纲!BA315</f>
        <v>45.690707535724115</v>
      </c>
      <c r="BB315" s="31">
        <f>[1]节奏总纲!BB315</f>
        <v>47.203396779992147</v>
      </c>
      <c r="BC315" s="31">
        <f>[1]节奏总纲!BC315</f>
        <v>49.154291946776759</v>
      </c>
      <c r="BD315" s="31">
        <f>[1]节奏总纲!BD315</f>
        <v>51.908935373081505</v>
      </c>
      <c r="BE315" s="31">
        <f>[1]节奏总纲!BE315</f>
        <v>56.609921580428981</v>
      </c>
      <c r="BG315" s="34"/>
      <c r="BP315" s="34"/>
    </row>
    <row r="316" spans="29:68" s="31" customFormat="1" x14ac:dyDescent="0.15">
      <c r="AC316" s="31">
        <v>313</v>
      </c>
      <c r="AD316" s="31">
        <f>[1]节奏总纲!AD316</f>
        <v>82.944425319575814</v>
      </c>
      <c r="AE316" s="31">
        <f>[1]节奏总纲!AE316</f>
        <v>85.057414064088832</v>
      </c>
      <c r="AF316" s="31">
        <f>[1]节奏总纲!AF316</f>
        <v>88.004756197276762</v>
      </c>
      <c r="AG316" s="31">
        <f>[1]节奏总纲!AG316</f>
        <v>93.069580693431178</v>
      </c>
      <c r="AH316" s="31">
        <f>[1]节奏总纲!AH316</f>
        <v>101.97213027598504</v>
      </c>
      <c r="AJ316" s="34"/>
      <c r="AM316" s="31">
        <f>[1]节奏总纲!AM316</f>
        <v>0</v>
      </c>
      <c r="AN316" s="31">
        <f>[1]节奏总纲!AN316</f>
        <v>0</v>
      </c>
      <c r="AO316" s="31">
        <f>[1]节奏总纲!AO316</f>
        <v>0</v>
      </c>
      <c r="AP316" s="31">
        <f>[1]节奏总纲!AP316</f>
        <v>0</v>
      </c>
      <c r="AQ316" s="31">
        <f>[1]节奏总纲!AQ316</f>
        <v>0</v>
      </c>
      <c r="AR316" s="29"/>
      <c r="AT316" s="31">
        <f>[1]节奏总纲!AT316</f>
        <v>0</v>
      </c>
      <c r="AU316" s="31">
        <f>[1]节奏总纲!AU316</f>
        <v>0</v>
      </c>
      <c r="AV316" s="31">
        <f>[1]节奏总纲!AV316</f>
        <v>0</v>
      </c>
      <c r="AW316" s="31">
        <f>[1]节奏总纲!AW316</f>
        <v>0</v>
      </c>
      <c r="AX316" s="31">
        <f>[1]节奏总纲!AX316</f>
        <v>0</v>
      </c>
      <c r="AY316" s="29"/>
      <c r="AZ316" s="31">
        <v>313</v>
      </c>
      <c r="BA316" s="31">
        <f>[1]节奏总纲!BA316</f>
        <v>45.713024418946219</v>
      </c>
      <c r="BB316" s="31">
        <f>[1]节奏总纲!BB316</f>
        <v>47.224184318315039</v>
      </c>
      <c r="BC316" s="31">
        <f>[1]节奏总纲!BC316</f>
        <v>49.174951725773298</v>
      </c>
      <c r="BD316" s="31">
        <f>[1]节奏总纲!BD316</f>
        <v>51.932041141000347</v>
      </c>
      <c r="BE316" s="31">
        <f>[1]节奏总纲!BE316</f>
        <v>56.632129329812095</v>
      </c>
      <c r="BG316" s="34"/>
      <c r="BP316" s="34"/>
    </row>
    <row r="317" spans="29:68" s="31" customFormat="1" x14ac:dyDescent="0.15">
      <c r="AC317" s="31">
        <v>314</v>
      </c>
      <c r="AD317" s="31">
        <f>[1]节奏总纲!AD317</f>
        <v>82.991804782927687</v>
      </c>
      <c r="AE317" s="31">
        <f>[1]节奏总纲!AE317</f>
        <v>85.10229648067083</v>
      </c>
      <c r="AF317" s="31">
        <f>[1]节奏总纲!AF317</f>
        <v>88.05552724748766</v>
      </c>
      <c r="AG317" s="31">
        <f>[1]节奏总纲!AG317</f>
        <v>93.116793739659002</v>
      </c>
      <c r="AH317" s="31">
        <f>[1]节奏总纲!AH317</f>
        <v>102.01969836502204</v>
      </c>
      <c r="AJ317" s="34"/>
      <c r="AM317" s="31">
        <f>[1]节奏总纲!AM317</f>
        <v>0</v>
      </c>
      <c r="AN317" s="31">
        <f>[1]节奏总纲!AN317</f>
        <v>0</v>
      </c>
      <c r="AO317" s="31">
        <f>[1]节奏总纲!AO317</f>
        <v>0</v>
      </c>
      <c r="AP317" s="31">
        <f>[1]节奏总纲!AP317</f>
        <v>0</v>
      </c>
      <c r="AQ317" s="31">
        <f>[1]节奏总纲!AQ317</f>
        <v>0</v>
      </c>
      <c r="AR317" s="29"/>
      <c r="AT317" s="31">
        <f>[1]节奏总纲!AT317</f>
        <v>0</v>
      </c>
      <c r="AU317" s="31">
        <f>[1]节奏总纲!AU317</f>
        <v>0</v>
      </c>
      <c r="AV317" s="31">
        <f>[1]节奏总纲!AV317</f>
        <v>0</v>
      </c>
      <c r="AW317" s="31">
        <f>[1]节奏总纲!AW317</f>
        <v>0</v>
      </c>
      <c r="AX317" s="31">
        <f>[1]节奏总纲!AX317</f>
        <v>0</v>
      </c>
      <c r="AY317" s="29"/>
      <c r="AZ317" s="31">
        <v>314</v>
      </c>
      <c r="BA317" s="31">
        <f>[1]节奏总纲!BA317</f>
        <v>45.735341302168322</v>
      </c>
      <c r="BB317" s="31">
        <f>[1]节奏总纲!BB317</f>
        <v>47.244971856637939</v>
      </c>
      <c r="BC317" s="31">
        <f>[1]节奏总纲!BC317</f>
        <v>49.195611504769836</v>
      </c>
      <c r="BD317" s="31">
        <f>[1]节奏总纲!BD317</f>
        <v>51.955146908919197</v>
      </c>
      <c r="BE317" s="31">
        <f>[1]节奏总纲!BE317</f>
        <v>56.654337079195201</v>
      </c>
      <c r="BG317" s="34"/>
      <c r="BP317" s="34"/>
    </row>
    <row r="318" spans="29:68" s="31" customFormat="1" x14ac:dyDescent="0.15">
      <c r="AC318" s="31">
        <v>315</v>
      </c>
      <c r="AD318" s="31">
        <f>[1]节奏总纲!AD318</f>
        <v>83.03656019452734</v>
      </c>
      <c r="AE318" s="31">
        <f>[1]节奏总纲!AE318</f>
        <v>85.147178897252829</v>
      </c>
      <c r="AF318" s="31">
        <f>[1]节奏总纲!AF318</f>
        <v>88.106298297698572</v>
      </c>
      <c r="AG318" s="31">
        <f>[1]节奏总纲!AG318</f>
        <v>93.164006785886826</v>
      </c>
      <c r="AH318" s="31">
        <f>[1]节奏总纲!AH318</f>
        <v>102.06459660376342</v>
      </c>
      <c r="AJ318" s="34"/>
      <c r="AM318" s="31">
        <f>[1]节奏总纲!AM318</f>
        <v>0</v>
      </c>
      <c r="AN318" s="31">
        <f>[1]节奏总纲!AN318</f>
        <v>0</v>
      </c>
      <c r="AO318" s="31">
        <f>[1]节奏总纲!AO318</f>
        <v>0</v>
      </c>
      <c r="AP318" s="31">
        <f>[1]节奏总纲!AP318</f>
        <v>0</v>
      </c>
      <c r="AQ318" s="31">
        <f>[1]节奏总纲!AQ318</f>
        <v>0</v>
      </c>
      <c r="AR318" s="29"/>
      <c r="AT318" s="31">
        <f>[1]节奏总纲!AT318</f>
        <v>0</v>
      </c>
      <c r="AU318" s="31">
        <f>[1]节奏总纲!AU318</f>
        <v>0</v>
      </c>
      <c r="AV318" s="31">
        <f>[1]节奏总纲!AV318</f>
        <v>0</v>
      </c>
      <c r="AW318" s="31">
        <f>[1]节奏总纲!AW318</f>
        <v>0</v>
      </c>
      <c r="AX318" s="31">
        <f>[1]节奏总纲!AX318</f>
        <v>0</v>
      </c>
      <c r="AY318" s="29"/>
      <c r="AZ318" s="31">
        <v>315</v>
      </c>
      <c r="BA318" s="31">
        <f>[1]节奏总纲!BA318</f>
        <v>45.757658185390426</v>
      </c>
      <c r="BB318" s="31">
        <f>[1]节奏总纲!BB318</f>
        <v>47.265759394960831</v>
      </c>
      <c r="BC318" s="31">
        <f>[1]节奏总纲!BC318</f>
        <v>49.216271283766375</v>
      </c>
      <c r="BD318" s="31">
        <f>[1]节奏总纲!BD318</f>
        <v>51.978252676838039</v>
      </c>
      <c r="BE318" s="31">
        <f>[1]节奏总纲!BE318</f>
        <v>56.676544828578308</v>
      </c>
      <c r="BG318" s="34"/>
      <c r="BP318" s="34"/>
    </row>
    <row r="319" spans="29:68" s="31" customFormat="1" x14ac:dyDescent="0.15">
      <c r="AC319" s="31">
        <v>316</v>
      </c>
      <c r="AD319" s="31">
        <f>[1]节奏总纲!AD319</f>
        <v>83.080766796955942</v>
      </c>
      <c r="AE319" s="31">
        <f>[1]节奏总纲!AE319</f>
        <v>85.192061313834827</v>
      </c>
      <c r="AF319" s="31">
        <f>[1]节奏总纲!AF319</f>
        <v>88.15706934790947</v>
      </c>
      <c r="AG319" s="31">
        <f>[1]节奏总纲!AG319</f>
        <v>93.211219832114651</v>
      </c>
      <c r="AH319" s="31">
        <f>[1]节奏总纲!AH319</f>
        <v>102.1094948425048</v>
      </c>
      <c r="AJ319" s="34"/>
      <c r="AM319" s="31">
        <f>[1]节奏总纲!AM319</f>
        <v>0</v>
      </c>
      <c r="AN319" s="31">
        <f>[1]节奏总纲!AN319</f>
        <v>0</v>
      </c>
      <c r="AO319" s="31">
        <f>[1]节奏总纲!AO319</f>
        <v>0</v>
      </c>
      <c r="AP319" s="31">
        <f>[1]节奏总纲!AP319</f>
        <v>0</v>
      </c>
      <c r="AQ319" s="31">
        <f>[1]节奏总纲!AQ319</f>
        <v>0</v>
      </c>
      <c r="AR319" s="29"/>
      <c r="AT319" s="31">
        <f>[1]节奏总纲!AT319</f>
        <v>0</v>
      </c>
      <c r="AU319" s="31">
        <f>[1]节奏总纲!AU319</f>
        <v>0</v>
      </c>
      <c r="AV319" s="31">
        <f>[1]节奏总纲!AV319</f>
        <v>0</v>
      </c>
      <c r="AW319" s="31">
        <f>[1]节奏总纲!AW319</f>
        <v>0</v>
      </c>
      <c r="AX319" s="31">
        <f>[1]节奏总纲!AX319</f>
        <v>0</v>
      </c>
      <c r="AY319" s="29"/>
      <c r="AZ319" s="31">
        <v>316</v>
      </c>
      <c r="BA319" s="31">
        <f>[1]节奏总纲!BA319</f>
        <v>45.779975068612529</v>
      </c>
      <c r="BB319" s="31">
        <f>[1]节奏总纲!BB319</f>
        <v>47.286546933283724</v>
      </c>
      <c r="BC319" s="31">
        <f>[1]节奏总纲!BC319</f>
        <v>49.236931062762913</v>
      </c>
      <c r="BD319" s="31">
        <f>[1]节奏总纲!BD319</f>
        <v>52.001173105835825</v>
      </c>
      <c r="BE319" s="31">
        <f>[1]节奏总纲!BE319</f>
        <v>56.698752577961415</v>
      </c>
      <c r="BG319" s="34"/>
      <c r="BP319" s="34"/>
    </row>
    <row r="320" spans="29:68" s="31" customFormat="1" x14ac:dyDescent="0.15">
      <c r="AC320" s="31">
        <v>317</v>
      </c>
      <c r="AD320" s="31">
        <f>[1]节奏总纲!AD320</f>
        <v>83.124973399384558</v>
      </c>
      <c r="AE320" s="31">
        <f>[1]节奏总纲!AE320</f>
        <v>85.236943730416826</v>
      </c>
      <c r="AF320" s="31">
        <f>[1]节奏总纲!AF320</f>
        <v>88.207840398120382</v>
      </c>
      <c r="AG320" s="31">
        <f>[1]节奏总纲!AG320</f>
        <v>93.258432878342475</v>
      </c>
      <c r="AH320" s="31">
        <f>[1]节奏总纲!AH320</f>
        <v>102.15439308124618</v>
      </c>
      <c r="AJ320" s="34"/>
      <c r="AM320" s="31">
        <f>[1]节奏总纲!AM320</f>
        <v>0</v>
      </c>
      <c r="AN320" s="31">
        <f>[1]节奏总纲!AN320</f>
        <v>0</v>
      </c>
      <c r="AO320" s="31">
        <f>[1]节奏总纲!AO320</f>
        <v>0</v>
      </c>
      <c r="AP320" s="31">
        <f>[1]节奏总纲!AP320</f>
        <v>0</v>
      </c>
      <c r="AQ320" s="31">
        <f>[1]节奏总纲!AQ320</f>
        <v>0</v>
      </c>
      <c r="AR320" s="29"/>
      <c r="AT320" s="31">
        <f>[1]节奏总纲!AT320</f>
        <v>0</v>
      </c>
      <c r="AU320" s="31">
        <f>[1]节奏总纲!AU320</f>
        <v>0</v>
      </c>
      <c r="AV320" s="31">
        <f>[1]节奏总纲!AV320</f>
        <v>0</v>
      </c>
      <c r="AW320" s="31">
        <f>[1]节奏总纲!AW320</f>
        <v>0</v>
      </c>
      <c r="AX320" s="31">
        <f>[1]节奏总纲!AX320</f>
        <v>0</v>
      </c>
      <c r="AY320" s="29"/>
      <c r="AZ320" s="31">
        <v>317</v>
      </c>
      <c r="BA320" s="31">
        <f>[1]节奏总纲!BA320</f>
        <v>45.802291951834633</v>
      </c>
      <c r="BB320" s="31">
        <f>[1]节奏总纲!BB320</f>
        <v>47.307334471606616</v>
      </c>
      <c r="BC320" s="31">
        <f>[1]节奏总纲!BC320</f>
        <v>49.257590841759445</v>
      </c>
      <c r="BD320" s="31">
        <f>[1]节奏总纲!BD320</f>
        <v>52.021126446631868</v>
      </c>
      <c r="BE320" s="31">
        <f>[1]节奏总纲!BE320</f>
        <v>56.720960327344528</v>
      </c>
      <c r="BG320" s="34"/>
      <c r="BP320" s="34"/>
    </row>
    <row r="321" spans="29:68" s="31" customFormat="1" x14ac:dyDescent="0.15">
      <c r="AC321" s="31">
        <v>318</v>
      </c>
      <c r="AD321" s="31">
        <f>[1]节奏总纲!AD321</f>
        <v>83.16918000181316</v>
      </c>
      <c r="AE321" s="31">
        <f>[1]节奏总纲!AE321</f>
        <v>85.281826146998839</v>
      </c>
      <c r="AF321" s="31">
        <f>[1]节奏总纲!AF321</f>
        <v>88.258611448331294</v>
      </c>
      <c r="AG321" s="31">
        <f>[1]节奏总纲!AG321</f>
        <v>93.3056459245703</v>
      </c>
      <c r="AH321" s="31">
        <f>[1]节奏总纲!AH321</f>
        <v>102.19929131998755</v>
      </c>
      <c r="AJ321" s="34"/>
      <c r="AM321" s="31">
        <f>[1]节奏总纲!AM321</f>
        <v>0</v>
      </c>
      <c r="AN321" s="31">
        <f>[1]节奏总纲!AN321</f>
        <v>0</v>
      </c>
      <c r="AO321" s="31">
        <f>[1]节奏总纲!AO321</f>
        <v>0</v>
      </c>
      <c r="AP321" s="31">
        <f>[1]节奏总纲!AP321</f>
        <v>0</v>
      </c>
      <c r="AQ321" s="31">
        <f>[1]节奏总纲!AQ321</f>
        <v>0</v>
      </c>
      <c r="AR321" s="29"/>
      <c r="AT321" s="31">
        <f>[1]节奏总纲!AT321</f>
        <v>0</v>
      </c>
      <c r="AU321" s="31">
        <f>[1]节奏总纲!AU321</f>
        <v>0</v>
      </c>
      <c r="AV321" s="31">
        <f>[1]节奏总纲!AV321</f>
        <v>0</v>
      </c>
      <c r="AW321" s="31">
        <f>[1]节奏总纲!AW321</f>
        <v>0</v>
      </c>
      <c r="AX321" s="31">
        <f>[1]节奏总纲!AX321</f>
        <v>0</v>
      </c>
      <c r="AY321" s="29"/>
      <c r="AZ321" s="31">
        <v>318</v>
      </c>
      <c r="BA321" s="31">
        <f>[1]节奏总纲!BA321</f>
        <v>45.824608835056736</v>
      </c>
      <c r="BB321" s="31">
        <f>[1]节奏总纲!BB321</f>
        <v>47.328122009929508</v>
      </c>
      <c r="BC321" s="31">
        <f>[1]节奏总纲!BC321</f>
        <v>49.278250620755983</v>
      </c>
      <c r="BD321" s="31">
        <f>[1]节奏总纲!BD321</f>
        <v>52.041079787427918</v>
      </c>
      <c r="BE321" s="31">
        <f>[1]节奏总纲!BE321</f>
        <v>56.743168076727635</v>
      </c>
      <c r="BG321" s="34"/>
      <c r="BP321" s="34"/>
    </row>
    <row r="322" spans="29:68" s="31" customFormat="1" x14ac:dyDescent="0.15">
      <c r="AC322" s="31">
        <v>319</v>
      </c>
      <c r="AD322" s="31">
        <f>[1]节奏总纲!AD322</f>
        <v>83.213386604241776</v>
      </c>
      <c r="AE322" s="31">
        <f>[1]节奏总纲!AE322</f>
        <v>85.326708563580837</v>
      </c>
      <c r="AF322" s="31">
        <f>[1]节奏总纲!AF322</f>
        <v>88.309382498542192</v>
      </c>
      <c r="AG322" s="31">
        <f>[1]节奏总纲!AG322</f>
        <v>93.352858970798124</v>
      </c>
      <c r="AH322" s="31">
        <f>[1]节奏总纲!AH322</f>
        <v>102.24418955872893</v>
      </c>
      <c r="AJ322" s="34"/>
      <c r="AM322" s="31">
        <f>[1]节奏总纲!AM322</f>
        <v>0</v>
      </c>
      <c r="AN322" s="31">
        <f>[1]节奏总纲!AN322</f>
        <v>0</v>
      </c>
      <c r="AO322" s="31">
        <f>[1]节奏总纲!AO322</f>
        <v>0</v>
      </c>
      <c r="AP322" s="31">
        <f>[1]节奏总纲!AP322</f>
        <v>0</v>
      </c>
      <c r="AQ322" s="31">
        <f>[1]节奏总纲!AQ322</f>
        <v>0</v>
      </c>
      <c r="AR322" s="29"/>
      <c r="AT322" s="31">
        <f>[1]节奏总纲!AT322</f>
        <v>0</v>
      </c>
      <c r="AU322" s="31">
        <f>[1]节奏总纲!AU322</f>
        <v>0</v>
      </c>
      <c r="AV322" s="31">
        <f>[1]节奏总纲!AV322</f>
        <v>0</v>
      </c>
      <c r="AW322" s="31">
        <f>[1]节奏总纲!AW322</f>
        <v>0</v>
      </c>
      <c r="AX322" s="31">
        <f>[1]节奏总纲!AX322</f>
        <v>0</v>
      </c>
      <c r="AY322" s="29"/>
      <c r="AZ322" s="31">
        <v>319</v>
      </c>
      <c r="BA322" s="31">
        <f>[1]节奏总纲!BA322</f>
        <v>45.84692571827884</v>
      </c>
      <c r="BB322" s="31">
        <f>[1]节奏总纲!BB322</f>
        <v>47.348909548252408</v>
      </c>
      <c r="BC322" s="31">
        <f>[1]节奏总纲!BC322</f>
        <v>49.298910399752522</v>
      </c>
      <c r="BD322" s="31">
        <f>[1]节奏总纲!BD322</f>
        <v>52.061033128223968</v>
      </c>
      <c r="BE322" s="31">
        <f>[1]节奏总纲!BE322</f>
        <v>56.765375826110741</v>
      </c>
      <c r="BG322" s="34"/>
      <c r="BP322" s="34"/>
    </row>
    <row r="323" spans="29:68" s="31" customFormat="1" x14ac:dyDescent="0.15">
      <c r="AC323" s="31">
        <v>320</v>
      </c>
      <c r="AD323" s="31">
        <f>[1]节奏总纲!AD323</f>
        <v>83.257593206670379</v>
      </c>
      <c r="AE323" s="31">
        <f>[1]节奏总纲!AE323</f>
        <v>85.371590980162836</v>
      </c>
      <c r="AF323" s="31">
        <f>[1]节奏总纲!AF323</f>
        <v>88.360153548753104</v>
      </c>
      <c r="AG323" s="31">
        <f>[1]节奏总纲!AG323</f>
        <v>93.400072017025948</v>
      </c>
      <c r="AH323" s="31">
        <f>[1]节奏总纲!AH323</f>
        <v>102.28908779747032</v>
      </c>
      <c r="AJ323" s="34"/>
      <c r="AM323" s="31">
        <f>[1]节奏总纲!AM323</f>
        <v>0</v>
      </c>
      <c r="AN323" s="31">
        <f>[1]节奏总纲!AN323</f>
        <v>0</v>
      </c>
      <c r="AO323" s="31">
        <f>[1]节奏总纲!AO323</f>
        <v>0</v>
      </c>
      <c r="AP323" s="31">
        <f>[1]节奏总纲!AP323</f>
        <v>0</v>
      </c>
      <c r="AQ323" s="31">
        <f>[1]节奏总纲!AQ323</f>
        <v>0</v>
      </c>
      <c r="AR323" s="29"/>
      <c r="AT323" s="31">
        <f>[1]节奏总纲!AT323</f>
        <v>0</v>
      </c>
      <c r="AU323" s="31">
        <f>[1]节奏总纲!AU323</f>
        <v>0</v>
      </c>
      <c r="AV323" s="31">
        <f>[1]节奏总纲!AV323</f>
        <v>0</v>
      </c>
      <c r="AW323" s="31">
        <f>[1]节奏总纲!AW323</f>
        <v>0</v>
      </c>
      <c r="AX323" s="31">
        <f>[1]节奏总纲!AX323</f>
        <v>0</v>
      </c>
      <c r="AY323" s="29"/>
      <c r="AZ323" s="31">
        <v>320</v>
      </c>
      <c r="BA323" s="31">
        <f>[1]节奏总纲!BA323</f>
        <v>45.869242601500943</v>
      </c>
      <c r="BB323" s="31">
        <f>[1]节奏总纲!BB323</f>
        <v>47.3696970865753</v>
      </c>
      <c r="BC323" s="31">
        <f>[1]节奏总纲!BC323</f>
        <v>49.319570178749061</v>
      </c>
      <c r="BD323" s="31">
        <f>[1]节奏总纲!BD323</f>
        <v>52.080986469020011</v>
      </c>
      <c r="BE323" s="31">
        <f>[1]节奏总纲!BE323</f>
        <v>56.787583575493848</v>
      </c>
      <c r="BG323" s="34"/>
      <c r="BP323" s="34"/>
    </row>
    <row r="324" spans="29:68" s="31" customFormat="1" x14ac:dyDescent="0.15">
      <c r="AC324" s="31">
        <v>321</v>
      </c>
      <c r="AD324" s="31">
        <f>[1]节奏总纲!AD324</f>
        <v>83.301799809098995</v>
      </c>
      <c r="AE324" s="31">
        <f>[1]节奏总纲!AE324</f>
        <v>85.416473396744834</v>
      </c>
      <c r="AF324" s="31">
        <f>[1]节奏总纲!AF324</f>
        <v>88.410924598964016</v>
      </c>
      <c r="AG324" s="31">
        <f>[1]节奏总纲!AG324</f>
        <v>93.447285063253773</v>
      </c>
      <c r="AH324" s="31">
        <f>[1]节奏总纲!AH324</f>
        <v>102.3339860362117</v>
      </c>
      <c r="AJ324" s="34"/>
      <c r="AM324" s="31">
        <f>[1]节奏总纲!AM324</f>
        <v>0</v>
      </c>
      <c r="AN324" s="31">
        <f>[1]节奏总纲!AN324</f>
        <v>0</v>
      </c>
      <c r="AO324" s="31">
        <f>[1]节奏总纲!AO324</f>
        <v>0</v>
      </c>
      <c r="AP324" s="31">
        <f>[1]节奏总纲!AP324</f>
        <v>0</v>
      </c>
      <c r="AQ324" s="31">
        <f>[1]节奏总纲!AQ324</f>
        <v>0</v>
      </c>
      <c r="AR324" s="29"/>
      <c r="AT324" s="31">
        <f>[1]节奏总纲!AT324</f>
        <v>0</v>
      </c>
      <c r="AU324" s="31">
        <f>[1]节奏总纲!AU324</f>
        <v>0</v>
      </c>
      <c r="AV324" s="31">
        <f>[1]节奏总纲!AV324</f>
        <v>0</v>
      </c>
      <c r="AW324" s="31">
        <f>[1]节奏总纲!AW324</f>
        <v>0</v>
      </c>
      <c r="AX324" s="31">
        <f>[1]节奏总纲!AX324</f>
        <v>0</v>
      </c>
      <c r="AY324" s="29"/>
      <c r="AZ324" s="31">
        <v>321</v>
      </c>
      <c r="BA324" s="31">
        <f>[1]节奏总纲!BA324</f>
        <v>45.891559484723047</v>
      </c>
      <c r="BB324" s="31">
        <f>[1]节奏总纲!BB324</f>
        <v>47.390484624898193</v>
      </c>
      <c r="BC324" s="31">
        <f>[1]节奏总纲!BC324</f>
        <v>49.340229957745592</v>
      </c>
      <c r="BD324" s="31">
        <f>[1]节奏总纲!BD324</f>
        <v>52.100939809816062</v>
      </c>
      <c r="BE324" s="31">
        <f>[1]节奏总纲!BE324</f>
        <v>56.809791324876961</v>
      </c>
      <c r="BG324" s="34"/>
      <c r="BP324" s="34"/>
    </row>
    <row r="325" spans="29:68" s="31" customFormat="1" x14ac:dyDescent="0.15">
      <c r="AC325" s="31">
        <v>322</v>
      </c>
      <c r="AD325" s="31">
        <f>[1]节奏总纲!AD325</f>
        <v>83.346006411527597</v>
      </c>
      <c r="AE325" s="31">
        <f>[1]节奏总纲!AE325</f>
        <v>85.461355813326847</v>
      </c>
      <c r="AF325" s="31">
        <f>[1]节奏总纲!AF325</f>
        <v>88.461695649174914</v>
      </c>
      <c r="AG325" s="31">
        <f>[1]节奏总纲!AG325</f>
        <v>93.494498109481597</v>
      </c>
      <c r="AH325" s="31">
        <f>[1]节奏总纲!AH325</f>
        <v>102.37888427495307</v>
      </c>
      <c r="AJ325" s="34"/>
      <c r="AM325" s="31">
        <f>[1]节奏总纲!AM325</f>
        <v>0</v>
      </c>
      <c r="AN325" s="31">
        <f>[1]节奏总纲!AN325</f>
        <v>0</v>
      </c>
      <c r="AO325" s="31">
        <f>[1]节奏总纲!AO325</f>
        <v>0</v>
      </c>
      <c r="AP325" s="31">
        <f>[1]节奏总纲!AP325</f>
        <v>0</v>
      </c>
      <c r="AQ325" s="31">
        <f>[1]节奏总纲!AQ325</f>
        <v>0</v>
      </c>
      <c r="AR325" s="29"/>
      <c r="AT325" s="31">
        <f>[1]节奏总纲!AT325</f>
        <v>0</v>
      </c>
      <c r="AU325" s="31">
        <f>[1]节奏总纲!AU325</f>
        <v>0</v>
      </c>
      <c r="AV325" s="31">
        <f>[1]节奏总纲!AV325</f>
        <v>0</v>
      </c>
      <c r="AW325" s="31">
        <f>[1]节奏总纲!AW325</f>
        <v>0</v>
      </c>
      <c r="AX325" s="31">
        <f>[1]节奏总纲!AX325</f>
        <v>0</v>
      </c>
      <c r="AY325" s="29"/>
      <c r="AZ325" s="31">
        <v>322</v>
      </c>
      <c r="BA325" s="31">
        <f>[1]节奏总纲!BA325</f>
        <v>45.91387636794515</v>
      </c>
      <c r="BB325" s="31">
        <f>[1]节奏总纲!BB325</f>
        <v>47.411272163221085</v>
      </c>
      <c r="BC325" s="31">
        <f>[1]节奏总纲!BC325</f>
        <v>49.360889736742131</v>
      </c>
      <c r="BD325" s="31">
        <f>[1]节奏总纲!BD325</f>
        <v>52.120893150612112</v>
      </c>
      <c r="BE325" s="31">
        <f>[1]节奏总纲!BE325</f>
        <v>56.831999074260068</v>
      </c>
      <c r="BG325" s="34"/>
      <c r="BP325" s="34"/>
    </row>
    <row r="326" spans="29:68" s="31" customFormat="1" x14ac:dyDescent="0.15">
      <c r="AC326" s="31">
        <v>323</v>
      </c>
      <c r="AD326" s="31">
        <f>[1]节奏总纲!AD326</f>
        <v>83.390213013956213</v>
      </c>
      <c r="AE326" s="31">
        <f>[1]节奏总纲!AE326</f>
        <v>85.506238229908845</v>
      </c>
      <c r="AF326" s="31">
        <f>[1]节奏总纲!AF326</f>
        <v>88.512466699385826</v>
      </c>
      <c r="AG326" s="31">
        <f>[1]节奏总纲!AG326</f>
        <v>93.541711155709422</v>
      </c>
      <c r="AH326" s="31">
        <f>[1]节奏总纲!AH326</f>
        <v>102.42378251369445</v>
      </c>
      <c r="AJ326" s="34"/>
      <c r="AM326" s="31">
        <f>[1]节奏总纲!AM326</f>
        <v>0</v>
      </c>
      <c r="AN326" s="31">
        <f>[1]节奏总纲!AN326</f>
        <v>0</v>
      </c>
      <c r="AO326" s="31">
        <f>[1]节奏总纲!AO326</f>
        <v>0</v>
      </c>
      <c r="AP326" s="31">
        <f>[1]节奏总纲!AP326</f>
        <v>0</v>
      </c>
      <c r="AQ326" s="31">
        <f>[1]节奏总纲!AQ326</f>
        <v>0</v>
      </c>
      <c r="AR326" s="29"/>
      <c r="AT326" s="31">
        <f>[1]节奏总纲!AT326</f>
        <v>0</v>
      </c>
      <c r="AU326" s="31">
        <f>[1]节奏总纲!AU326</f>
        <v>0</v>
      </c>
      <c r="AV326" s="31">
        <f>[1]节奏总纲!AV326</f>
        <v>0</v>
      </c>
      <c r="AW326" s="31">
        <f>[1]节奏总纲!AW326</f>
        <v>0</v>
      </c>
      <c r="AX326" s="31">
        <f>[1]节奏总纲!AX326</f>
        <v>0</v>
      </c>
      <c r="AY326" s="29"/>
      <c r="AZ326" s="31">
        <v>323</v>
      </c>
      <c r="BA326" s="31">
        <f>[1]节奏总纲!BA326</f>
        <v>45.936193251167253</v>
      </c>
      <c r="BB326" s="31">
        <f>[1]节奏总纲!BB326</f>
        <v>47.432059701543984</v>
      </c>
      <c r="BC326" s="31">
        <f>[1]节奏总纲!BC326</f>
        <v>49.381549515738669</v>
      </c>
      <c r="BD326" s="31">
        <f>[1]节奏总纲!BD326</f>
        <v>52.140846491408155</v>
      </c>
      <c r="BE326" s="31">
        <f>[1]节奏总纲!BE326</f>
        <v>56.854206823643175</v>
      </c>
      <c r="BG326" s="34"/>
      <c r="BP326" s="34"/>
    </row>
    <row r="327" spans="29:68" s="31" customFormat="1" x14ac:dyDescent="0.15">
      <c r="AC327" s="31">
        <v>324</v>
      </c>
      <c r="AD327" s="31">
        <f>[1]节奏总纲!AD327</f>
        <v>83.434419616384815</v>
      </c>
      <c r="AE327" s="31">
        <f>[1]节奏总纲!AE327</f>
        <v>85.551120646490844</v>
      </c>
      <c r="AF327" s="31">
        <f>[1]节奏总纲!AF327</f>
        <v>88.563237749596723</v>
      </c>
      <c r="AG327" s="31">
        <f>[1]节奏总纲!AG327</f>
        <v>93.588924201937246</v>
      </c>
      <c r="AH327" s="31">
        <f>[1]节奏总纲!AH327</f>
        <v>102.46868075243583</v>
      </c>
      <c r="AJ327" s="34"/>
      <c r="AM327" s="31">
        <f>[1]节奏总纲!AM327</f>
        <v>0</v>
      </c>
      <c r="AN327" s="31">
        <f>[1]节奏总纲!AN327</f>
        <v>0</v>
      </c>
      <c r="AO327" s="31">
        <f>[1]节奏总纲!AO327</f>
        <v>0</v>
      </c>
      <c r="AP327" s="31">
        <f>[1]节奏总纲!AP327</f>
        <v>0</v>
      </c>
      <c r="AQ327" s="31">
        <f>[1]节奏总纲!AQ327</f>
        <v>0</v>
      </c>
      <c r="AR327" s="29"/>
      <c r="AT327" s="31">
        <f>[1]节奏总纲!AT327</f>
        <v>0</v>
      </c>
      <c r="AU327" s="31">
        <f>[1]节奏总纲!AU327</f>
        <v>0</v>
      </c>
      <c r="AV327" s="31">
        <f>[1]节奏总纲!AV327</f>
        <v>0</v>
      </c>
      <c r="AW327" s="31">
        <f>[1]节奏总纲!AW327</f>
        <v>0</v>
      </c>
      <c r="AX327" s="31">
        <f>[1]节奏总纲!AX327</f>
        <v>0</v>
      </c>
      <c r="AY327" s="29"/>
      <c r="AZ327" s="31">
        <v>324</v>
      </c>
      <c r="BA327" s="31">
        <f>[1]节奏总纲!BA327</f>
        <v>45.958510134389357</v>
      </c>
      <c r="BB327" s="31">
        <f>[1]节奏总纲!BB327</f>
        <v>47.452847239866877</v>
      </c>
      <c r="BC327" s="31">
        <f>[1]节奏总纲!BC327</f>
        <v>49.402209294735208</v>
      </c>
      <c r="BD327" s="31">
        <f>[1]节奏总纲!BD327</f>
        <v>52.160799832204205</v>
      </c>
      <c r="BE327" s="31">
        <f>[1]节奏总纲!BE327</f>
        <v>56.876414573026281</v>
      </c>
      <c r="BG327" s="34"/>
      <c r="BP327" s="34"/>
    </row>
    <row r="328" spans="29:68" s="31" customFormat="1" x14ac:dyDescent="0.15">
      <c r="AC328" s="31">
        <v>325</v>
      </c>
      <c r="AD328" s="31">
        <f>[1]节奏总纲!AD328</f>
        <v>83.478626218813432</v>
      </c>
      <c r="AE328" s="31">
        <f>[1]节奏总纲!AE328</f>
        <v>85.596003063072843</v>
      </c>
      <c r="AF328" s="31">
        <f>[1]节奏总纲!AF328</f>
        <v>88.614008799807635</v>
      </c>
      <c r="AG328" s="31">
        <f>[1]节奏总纲!AG328</f>
        <v>93.63613724816507</v>
      </c>
      <c r="AH328" s="31">
        <f>[1]节奏总纲!AH328</f>
        <v>102.51357899117721</v>
      </c>
      <c r="AJ328" s="34"/>
      <c r="AM328" s="31">
        <f>[1]节奏总纲!AM328</f>
        <v>0</v>
      </c>
      <c r="AN328" s="31">
        <f>[1]节奏总纲!AN328</f>
        <v>0</v>
      </c>
      <c r="AO328" s="31">
        <f>[1]节奏总纲!AO328</f>
        <v>0</v>
      </c>
      <c r="AP328" s="31">
        <f>[1]节奏总纲!AP328</f>
        <v>0</v>
      </c>
      <c r="AQ328" s="31">
        <f>[1]节奏总纲!AQ328</f>
        <v>0</v>
      </c>
      <c r="AR328" s="29"/>
      <c r="AT328" s="31">
        <f>[1]节奏总纲!AT328</f>
        <v>0</v>
      </c>
      <c r="AU328" s="31">
        <f>[1]节奏总纲!AU328</f>
        <v>0</v>
      </c>
      <c r="AV328" s="31">
        <f>[1]节奏总纲!AV328</f>
        <v>0</v>
      </c>
      <c r="AW328" s="31">
        <f>[1]节奏总纲!AW328</f>
        <v>0</v>
      </c>
      <c r="AX328" s="31">
        <f>[1]节奏总纲!AX328</f>
        <v>0</v>
      </c>
      <c r="AY328" s="29"/>
      <c r="AZ328" s="31">
        <v>325</v>
      </c>
      <c r="BA328" s="31">
        <f>[1]节奏总纲!BA328</f>
        <v>45.98082701761146</v>
      </c>
      <c r="BB328" s="31">
        <f>[1]节奏总纲!BB328</f>
        <v>47.473634778189769</v>
      </c>
      <c r="BC328" s="31">
        <f>[1]节奏总纲!BC328</f>
        <v>49.422869073731739</v>
      </c>
      <c r="BD328" s="31">
        <f>[1]节奏总纲!BD328</f>
        <v>52.180753173000248</v>
      </c>
      <c r="BE328" s="31">
        <f>[1]节奏总纲!BE328</f>
        <v>56.898622322409395</v>
      </c>
      <c r="BG328" s="34"/>
      <c r="BP328" s="34"/>
    </row>
    <row r="329" spans="29:68" s="31" customFormat="1" x14ac:dyDescent="0.15">
      <c r="AC329" s="31">
        <v>326</v>
      </c>
      <c r="AD329" s="31">
        <f>[1]节奏总纲!AD329</f>
        <v>83.522832821242034</v>
      </c>
      <c r="AE329" s="31">
        <f>[1]节奏总纲!AE329</f>
        <v>85.640885479654855</v>
      </c>
      <c r="AF329" s="31">
        <f>[1]节奏总纲!AF329</f>
        <v>88.664779850018547</v>
      </c>
      <c r="AG329" s="31">
        <f>[1]节奏总纲!AG329</f>
        <v>93.683350294392895</v>
      </c>
      <c r="AH329" s="31">
        <f>[1]节奏总纲!AH329</f>
        <v>102.55847722991859</v>
      </c>
      <c r="AJ329" s="34"/>
      <c r="AM329" s="31">
        <f>[1]节奏总纲!AM329</f>
        <v>0</v>
      </c>
      <c r="AN329" s="31">
        <f>[1]节奏总纲!AN329</f>
        <v>0</v>
      </c>
      <c r="AO329" s="31">
        <f>[1]节奏总纲!AO329</f>
        <v>0</v>
      </c>
      <c r="AP329" s="31">
        <f>[1]节奏总纲!AP329</f>
        <v>0</v>
      </c>
      <c r="AQ329" s="31">
        <f>[1]节奏总纲!AQ329</f>
        <v>0</v>
      </c>
      <c r="AR329" s="29"/>
      <c r="AT329" s="31">
        <f>[1]节奏总纲!AT329</f>
        <v>0</v>
      </c>
      <c r="AU329" s="31">
        <f>[1]节奏总纲!AU329</f>
        <v>0</v>
      </c>
      <c r="AV329" s="31">
        <f>[1]节奏总纲!AV329</f>
        <v>0</v>
      </c>
      <c r="AW329" s="31">
        <f>[1]节奏总纲!AW329</f>
        <v>0</v>
      </c>
      <c r="AX329" s="31">
        <f>[1]节奏总纲!AX329</f>
        <v>0</v>
      </c>
      <c r="AY329" s="29"/>
      <c r="AZ329" s="31">
        <v>326</v>
      </c>
      <c r="BA329" s="31">
        <f>[1]节奏总纲!BA329</f>
        <v>46.002713830586146</v>
      </c>
      <c r="BB329" s="31">
        <f>[1]节奏总纲!BB329</f>
        <v>47.494422316512662</v>
      </c>
      <c r="BC329" s="31">
        <f>[1]节奏总纲!BC329</f>
        <v>49.443528852728278</v>
      </c>
      <c r="BD329" s="31">
        <f>[1]节奏总纲!BD329</f>
        <v>52.200706513796298</v>
      </c>
      <c r="BE329" s="31">
        <f>[1]节奏总纲!BE329</f>
        <v>56.920830071792501</v>
      </c>
      <c r="BG329" s="34"/>
      <c r="BP329" s="34"/>
    </row>
    <row r="330" spans="29:68" s="31" customFormat="1" x14ac:dyDescent="0.15">
      <c r="AC330" s="31">
        <v>327</v>
      </c>
      <c r="AD330" s="31">
        <f>[1]节奏总纲!AD330</f>
        <v>83.56703942367065</v>
      </c>
      <c r="AE330" s="31">
        <f>[1]节奏总纲!AE330</f>
        <v>85.685767896236854</v>
      </c>
      <c r="AF330" s="31">
        <f>[1]节奏总纲!AF330</f>
        <v>88.715550900229445</v>
      </c>
      <c r="AG330" s="31">
        <f>[1]节奏总纲!AG330</f>
        <v>93.730563340620719</v>
      </c>
      <c r="AH330" s="31">
        <f>[1]节奏总纲!AH330</f>
        <v>102.60337546865996</v>
      </c>
      <c r="AJ330" s="34"/>
      <c r="AM330" s="31">
        <f>[1]节奏总纲!AM330</f>
        <v>0</v>
      </c>
      <c r="AN330" s="31">
        <f>[1]节奏总纲!AN330</f>
        <v>0</v>
      </c>
      <c r="AO330" s="31">
        <f>[1]节奏总纲!AO330</f>
        <v>0</v>
      </c>
      <c r="AP330" s="31">
        <f>[1]节奏总纲!AP330</f>
        <v>0</v>
      </c>
      <c r="AQ330" s="31">
        <f>[1]节奏总纲!AQ330</f>
        <v>0</v>
      </c>
      <c r="AR330" s="29"/>
      <c r="AT330" s="31">
        <f>[1]节奏总纲!AT330</f>
        <v>0</v>
      </c>
      <c r="AU330" s="31">
        <f>[1]节奏总纲!AU330</f>
        <v>0</v>
      </c>
      <c r="AV330" s="31">
        <f>[1]节奏总纲!AV330</f>
        <v>0</v>
      </c>
      <c r="AW330" s="31">
        <f>[1]节奏总纲!AW330</f>
        <v>0</v>
      </c>
      <c r="AX330" s="31">
        <f>[1]节奏总纲!AX330</f>
        <v>0</v>
      </c>
      <c r="AY330" s="29"/>
      <c r="AZ330" s="31">
        <v>327</v>
      </c>
      <c r="BA330" s="31">
        <f>[1]节奏总纲!BA330</f>
        <v>46.021977873404879</v>
      </c>
      <c r="BB330" s="31">
        <f>[1]节奏总纲!BB330</f>
        <v>47.515209854835554</v>
      </c>
      <c r="BC330" s="31">
        <f>[1]节奏总纲!BC330</f>
        <v>49.464188631724817</v>
      </c>
      <c r="BD330" s="31">
        <f>[1]节奏总纲!BD330</f>
        <v>52.220659854592348</v>
      </c>
      <c r="BE330" s="31">
        <f>[1]节奏总纲!BE330</f>
        <v>56.943037821175608</v>
      </c>
      <c r="BG330" s="34"/>
      <c r="BP330" s="34"/>
    </row>
    <row r="331" spans="29:68" s="31" customFormat="1" x14ac:dyDescent="0.15">
      <c r="AC331" s="31">
        <v>328</v>
      </c>
      <c r="AD331" s="31">
        <f>[1]节奏总纲!AD331</f>
        <v>83.611246026099252</v>
      </c>
      <c r="AE331" s="31">
        <f>[1]节奏总纲!AE331</f>
        <v>85.730650312818852</v>
      </c>
      <c r="AF331" s="31">
        <f>[1]节奏总纲!AF331</f>
        <v>88.766321950440357</v>
      </c>
      <c r="AG331" s="31">
        <f>[1]节奏总纲!AG331</f>
        <v>93.777776386848544</v>
      </c>
      <c r="AH331" s="31">
        <f>[1]节奏总纲!AH331</f>
        <v>102.64827370740134</v>
      </c>
      <c r="AJ331" s="34"/>
      <c r="AM331" s="31">
        <f>[1]节奏总纲!AM331</f>
        <v>0</v>
      </c>
      <c r="AN331" s="31">
        <f>[1]节奏总纲!AN331</f>
        <v>0</v>
      </c>
      <c r="AO331" s="31">
        <f>[1]节奏总纲!AO331</f>
        <v>0</v>
      </c>
      <c r="AP331" s="31">
        <f>[1]节奏总纲!AP331</f>
        <v>0</v>
      </c>
      <c r="AQ331" s="31">
        <f>[1]节奏总纲!AQ331</f>
        <v>0</v>
      </c>
      <c r="AR331" s="29"/>
      <c r="AT331" s="31">
        <f>[1]节奏总纲!AT331</f>
        <v>0</v>
      </c>
      <c r="AU331" s="31">
        <f>[1]节奏总纲!AU331</f>
        <v>0</v>
      </c>
      <c r="AV331" s="31">
        <f>[1]节奏总纲!AV331</f>
        <v>0</v>
      </c>
      <c r="AW331" s="31">
        <f>[1]节奏总纲!AW331</f>
        <v>0</v>
      </c>
      <c r="AX331" s="31">
        <f>[1]节奏总纲!AX331</f>
        <v>0</v>
      </c>
      <c r="AY331" s="29"/>
      <c r="AZ331" s="31">
        <v>328</v>
      </c>
      <c r="BA331" s="31">
        <f>[1]节奏总纲!BA331</f>
        <v>46.041241916223605</v>
      </c>
      <c r="BB331" s="31">
        <f>[1]节奏总纲!BB331</f>
        <v>47.535997393158453</v>
      </c>
      <c r="BC331" s="31">
        <f>[1]节奏总纲!BC331</f>
        <v>49.484848410721355</v>
      </c>
      <c r="BD331" s="31">
        <f>[1]节奏总纲!BD331</f>
        <v>52.240613195388391</v>
      </c>
      <c r="BE331" s="31">
        <f>[1]节奏总纲!BE331</f>
        <v>56.965245570558714</v>
      </c>
      <c r="BG331" s="34"/>
      <c r="BP331" s="34"/>
    </row>
    <row r="332" spans="29:68" s="31" customFormat="1" x14ac:dyDescent="0.15">
      <c r="AC332" s="31">
        <v>329</v>
      </c>
      <c r="AD332" s="31">
        <f>[1]节奏总纲!AD332</f>
        <v>83.655452628527868</v>
      </c>
      <c r="AE332" s="31">
        <f>[1]节奏总纲!AE332</f>
        <v>85.775532729400851</v>
      </c>
      <c r="AF332" s="31">
        <f>[1]节奏总纲!AF332</f>
        <v>88.817093000651269</v>
      </c>
      <c r="AG332" s="31">
        <f>[1]节奏总纲!AG332</f>
        <v>93.824989433076368</v>
      </c>
      <c r="AH332" s="31">
        <f>[1]节奏总纲!AH332</f>
        <v>102.69317194614273</v>
      </c>
      <c r="AJ332" s="34"/>
      <c r="AM332" s="31">
        <f>[1]节奏总纲!AM332</f>
        <v>0</v>
      </c>
      <c r="AN332" s="31">
        <f>[1]节奏总纲!AN332</f>
        <v>0</v>
      </c>
      <c r="AO332" s="31">
        <f>[1]节奏总纲!AO332</f>
        <v>0</v>
      </c>
      <c r="AP332" s="31">
        <f>[1]节奏总纲!AP332</f>
        <v>0</v>
      </c>
      <c r="AQ332" s="31">
        <f>[1]节奏总纲!AQ332</f>
        <v>0</v>
      </c>
      <c r="AR332" s="29"/>
      <c r="AT332" s="31">
        <f>[1]节奏总纲!AT332</f>
        <v>0</v>
      </c>
      <c r="AU332" s="31">
        <f>[1]节奏总纲!AU332</f>
        <v>0</v>
      </c>
      <c r="AV332" s="31">
        <f>[1]节奏总纲!AV332</f>
        <v>0</v>
      </c>
      <c r="AW332" s="31">
        <f>[1]节奏总纲!AW332</f>
        <v>0</v>
      </c>
      <c r="AX332" s="31">
        <f>[1]节奏总纲!AX332</f>
        <v>0</v>
      </c>
      <c r="AY332" s="29"/>
      <c r="AZ332" s="31">
        <v>329</v>
      </c>
      <c r="BA332" s="31">
        <f>[1]节奏总纲!BA332</f>
        <v>46.060505959042331</v>
      </c>
      <c r="BB332" s="31">
        <f>[1]节奏总纲!BB332</f>
        <v>47.556784931481346</v>
      </c>
      <c r="BC332" s="31">
        <f>[1]节奏总纲!BC332</f>
        <v>49.505508189717887</v>
      </c>
      <c r="BD332" s="31">
        <f>[1]节奏总纲!BD332</f>
        <v>52.260566536184442</v>
      </c>
      <c r="BE332" s="31">
        <f>[1]节奏总纲!BE332</f>
        <v>56.987453319941828</v>
      </c>
      <c r="BG332" s="34"/>
      <c r="BP332" s="34"/>
    </row>
    <row r="333" spans="29:68" s="31" customFormat="1" x14ac:dyDescent="0.15">
      <c r="AC333" s="31">
        <v>330</v>
      </c>
      <c r="AD333" s="31">
        <f>[1]节奏总纲!AD333</f>
        <v>83.69965923095647</v>
      </c>
      <c r="AE333" s="31">
        <f>[1]节奏总纲!AE333</f>
        <v>85.820415145982849</v>
      </c>
      <c r="AF333" s="31">
        <f>[1]节奏总纲!AF333</f>
        <v>88.867864050862167</v>
      </c>
      <c r="AG333" s="31">
        <f>[1]节奏总纲!AG333</f>
        <v>93.872202479304192</v>
      </c>
      <c r="AH333" s="31">
        <f>[1]节奏总纲!AH333</f>
        <v>102.73807018488411</v>
      </c>
      <c r="AJ333" s="34"/>
      <c r="AM333" s="31">
        <f>[1]节奏总纲!AM333</f>
        <v>0</v>
      </c>
      <c r="AN333" s="31">
        <f>[1]节奏总纲!AN333</f>
        <v>0</v>
      </c>
      <c r="AO333" s="31">
        <f>[1]节奏总纲!AO333</f>
        <v>0</v>
      </c>
      <c r="AP333" s="31">
        <f>[1]节奏总纲!AP333</f>
        <v>0</v>
      </c>
      <c r="AQ333" s="31">
        <f>[1]节奏总纲!AQ333</f>
        <v>0</v>
      </c>
      <c r="AR333" s="29"/>
      <c r="AT333" s="31">
        <f>[1]节奏总纲!AT333</f>
        <v>0</v>
      </c>
      <c r="AU333" s="31">
        <f>[1]节奏总纲!AU333</f>
        <v>0</v>
      </c>
      <c r="AV333" s="31">
        <f>[1]节奏总纲!AV333</f>
        <v>0</v>
      </c>
      <c r="AW333" s="31">
        <f>[1]节奏总纲!AW333</f>
        <v>0</v>
      </c>
      <c r="AX333" s="31">
        <f>[1]节奏总纲!AX333</f>
        <v>0</v>
      </c>
      <c r="AY333" s="29"/>
      <c r="AZ333" s="31">
        <v>330</v>
      </c>
      <c r="BA333" s="31">
        <f>[1]节奏总纲!BA333</f>
        <v>46.079770001861057</v>
      </c>
      <c r="BB333" s="31">
        <f>[1]节奏总纲!BB333</f>
        <v>47.577572469804238</v>
      </c>
      <c r="BC333" s="31">
        <f>[1]节奏总纲!BC333</f>
        <v>49.526167968714425</v>
      </c>
      <c r="BD333" s="31">
        <f>[1]节奏总纲!BD333</f>
        <v>52.280519876980485</v>
      </c>
      <c r="BE333" s="31">
        <f>[1]节奏总纲!BE333</f>
        <v>57.008345591208631</v>
      </c>
      <c r="BG333" s="34"/>
      <c r="BP333" s="34"/>
    </row>
    <row r="334" spans="29:68" s="31" customFormat="1" x14ac:dyDescent="0.15">
      <c r="AC334" s="31">
        <v>331</v>
      </c>
      <c r="AD334" s="31">
        <f>[1]节奏总纲!AD334</f>
        <v>83.743865833385087</v>
      </c>
      <c r="AE334" s="31">
        <f>[1]节奏总纲!AE334</f>
        <v>85.865297562564862</v>
      </c>
      <c r="AF334" s="31">
        <f>[1]节奏总纲!AF334</f>
        <v>88.918635101073079</v>
      </c>
      <c r="AG334" s="31">
        <f>[1]节奏总纲!AG334</f>
        <v>93.919415525532017</v>
      </c>
      <c r="AH334" s="31">
        <f>[1]节奏总纲!AH334</f>
        <v>102.78296842362549</v>
      </c>
      <c r="AJ334" s="34"/>
      <c r="AM334" s="31">
        <f>[1]节奏总纲!AM334</f>
        <v>0</v>
      </c>
      <c r="AN334" s="31">
        <f>[1]节奏总纲!AN334</f>
        <v>0</v>
      </c>
      <c r="AO334" s="31">
        <f>[1]节奏总纲!AO334</f>
        <v>0</v>
      </c>
      <c r="AP334" s="31">
        <f>[1]节奏总纲!AP334</f>
        <v>0</v>
      </c>
      <c r="AQ334" s="31">
        <f>[1]节奏总纲!AQ334</f>
        <v>0</v>
      </c>
      <c r="AR334" s="29"/>
      <c r="AT334" s="31">
        <f>[1]节奏总纲!AT334</f>
        <v>0</v>
      </c>
      <c r="AU334" s="31">
        <f>[1]节奏总纲!AU334</f>
        <v>0</v>
      </c>
      <c r="AV334" s="31">
        <f>[1]节奏总纲!AV334</f>
        <v>0</v>
      </c>
      <c r="AW334" s="31">
        <f>[1]节奏总纲!AW334</f>
        <v>0</v>
      </c>
      <c r="AX334" s="31">
        <f>[1]节奏总纲!AX334</f>
        <v>0</v>
      </c>
      <c r="AY334" s="29"/>
      <c r="AZ334" s="31">
        <v>331</v>
      </c>
      <c r="BA334" s="31">
        <f>[1]节奏总纲!BA334</f>
        <v>46.099034044679783</v>
      </c>
      <c r="BB334" s="31">
        <f>[1]节奏总纲!BB334</f>
        <v>47.598360008127131</v>
      </c>
      <c r="BC334" s="31">
        <f>[1]节奏总纲!BC334</f>
        <v>49.546827747710964</v>
      </c>
      <c r="BD334" s="31">
        <f>[1]节奏总纲!BD334</f>
        <v>52.300473217776535</v>
      </c>
      <c r="BE334" s="31">
        <f>[1]节奏总纲!BE334</f>
        <v>57.027529471561998</v>
      </c>
      <c r="BG334" s="34"/>
      <c r="BP334" s="34"/>
    </row>
    <row r="335" spans="29:68" s="31" customFormat="1" x14ac:dyDescent="0.15">
      <c r="AC335" s="31">
        <v>332</v>
      </c>
      <c r="AD335" s="31">
        <f>[1]节奏总纲!AD335</f>
        <v>83.788072435813689</v>
      </c>
      <c r="AE335" s="31">
        <f>[1]节奏总纲!AE335</f>
        <v>85.910179979146861</v>
      </c>
      <c r="AF335" s="31">
        <f>[1]节奏总纲!AF335</f>
        <v>88.969406151283977</v>
      </c>
      <c r="AG335" s="31">
        <f>[1]节奏总纲!AG335</f>
        <v>93.966628571759841</v>
      </c>
      <c r="AH335" s="31">
        <f>[1]节奏总纲!AH335</f>
        <v>102.82786666236686</v>
      </c>
      <c r="AJ335" s="34"/>
      <c r="AM335" s="31">
        <f>[1]节奏总纲!AM335</f>
        <v>0</v>
      </c>
      <c r="AN335" s="31">
        <f>[1]节奏总纲!AN335</f>
        <v>0</v>
      </c>
      <c r="AO335" s="31">
        <f>[1]节奏总纲!AO335</f>
        <v>0</v>
      </c>
      <c r="AP335" s="31">
        <f>[1]节奏总纲!AP335</f>
        <v>0</v>
      </c>
      <c r="AQ335" s="31">
        <f>[1]节奏总纲!AQ335</f>
        <v>0</v>
      </c>
      <c r="AR335" s="29"/>
      <c r="AT335" s="31">
        <f>[1]节奏总纲!AT335</f>
        <v>0</v>
      </c>
      <c r="AU335" s="31">
        <f>[1]节奏总纲!AU335</f>
        <v>0</v>
      </c>
      <c r="AV335" s="31">
        <f>[1]节奏总纲!AV335</f>
        <v>0</v>
      </c>
      <c r="AW335" s="31">
        <f>[1]节奏总纲!AW335</f>
        <v>0</v>
      </c>
      <c r="AX335" s="31">
        <f>[1]节奏总纲!AX335</f>
        <v>0</v>
      </c>
      <c r="AY335" s="29"/>
      <c r="AZ335" s="31">
        <v>332</v>
      </c>
      <c r="BA335" s="31">
        <f>[1]节奏总纲!BA335</f>
        <v>46.118298087498509</v>
      </c>
      <c r="BB335" s="31">
        <f>[1]节奏总纲!BB335</f>
        <v>47.619147546450023</v>
      </c>
      <c r="BC335" s="31">
        <f>[1]节奏总纲!BC335</f>
        <v>49.567487526707502</v>
      </c>
      <c r="BD335" s="31">
        <f>[1]节奏总纲!BD335</f>
        <v>52.320426558572585</v>
      </c>
      <c r="BE335" s="31">
        <f>[1]节奏总纲!BE335</f>
        <v>57.046713351915365</v>
      </c>
      <c r="BG335" s="34"/>
      <c r="BP335" s="34"/>
    </row>
    <row r="336" spans="29:68" s="31" customFormat="1" x14ac:dyDescent="0.15">
      <c r="AC336" s="31">
        <v>333</v>
      </c>
      <c r="AD336" s="31">
        <f>[1]节奏总纲!AD336</f>
        <v>83.832279038242305</v>
      </c>
      <c r="AE336" s="31">
        <f>[1]节奏总纲!AE336</f>
        <v>85.955062395728859</v>
      </c>
      <c r="AF336" s="31">
        <f>[1]节奏总纲!AF336</f>
        <v>89.018466905731287</v>
      </c>
      <c r="AG336" s="31">
        <f>[1]节奏总纲!AG336</f>
        <v>94.012923283729691</v>
      </c>
      <c r="AH336" s="31">
        <f>[1]节奏总纲!AH336</f>
        <v>102.87276490110824</v>
      </c>
      <c r="AJ336" s="34"/>
      <c r="AM336" s="31">
        <f>[1]节奏总纲!AM336</f>
        <v>0</v>
      </c>
      <c r="AN336" s="31">
        <f>[1]节奏总纲!AN336</f>
        <v>0</v>
      </c>
      <c r="AO336" s="31">
        <f>[1]节奏总纲!AO336</f>
        <v>0</v>
      </c>
      <c r="AP336" s="31">
        <f>[1]节奏总纲!AP336</f>
        <v>0</v>
      </c>
      <c r="AQ336" s="31">
        <f>[1]节奏总纲!AQ336</f>
        <v>0</v>
      </c>
      <c r="AR336" s="29"/>
      <c r="AT336" s="31">
        <f>[1]节奏总纲!AT336</f>
        <v>0</v>
      </c>
      <c r="AU336" s="31">
        <f>[1]节奏总纲!AU336</f>
        <v>0</v>
      </c>
      <c r="AV336" s="31">
        <f>[1]节奏总纲!AV336</f>
        <v>0</v>
      </c>
      <c r="AW336" s="31">
        <f>[1]节奏总纲!AW336</f>
        <v>0</v>
      </c>
      <c r="AX336" s="31">
        <f>[1]节奏总纲!AX336</f>
        <v>0</v>
      </c>
      <c r="AY336" s="29"/>
      <c r="AZ336" s="31">
        <v>333</v>
      </c>
      <c r="BA336" s="31">
        <f>[1]节奏总纲!BA336</f>
        <v>46.137562130317242</v>
      </c>
      <c r="BB336" s="31">
        <f>[1]节奏总纲!BB336</f>
        <v>47.639935084772922</v>
      </c>
      <c r="BC336" s="31">
        <f>[1]节奏总纲!BC336</f>
        <v>49.588147305704041</v>
      </c>
      <c r="BD336" s="31">
        <f>[1]节奏总纲!BD336</f>
        <v>52.340379899368628</v>
      </c>
      <c r="BE336" s="31">
        <f>[1]节奏总纲!BE336</f>
        <v>57.065897232268732</v>
      </c>
      <c r="BG336" s="34"/>
      <c r="BP336" s="34"/>
    </row>
    <row r="337" spans="29:68" s="31" customFormat="1" x14ac:dyDescent="0.15">
      <c r="AC337" s="31">
        <v>334</v>
      </c>
      <c r="AD337" s="31">
        <f>[1]节奏总纲!AD337</f>
        <v>83.876485640670907</v>
      </c>
      <c r="AE337" s="31">
        <f>[1]节奏总纲!AE337</f>
        <v>85.999944812310858</v>
      </c>
      <c r="AF337" s="31">
        <f>[1]节奏总纲!AF337</f>
        <v>89.064934410075779</v>
      </c>
      <c r="AG337" s="31">
        <f>[1]节奏总纲!AG337</f>
        <v>94.057003939090123</v>
      </c>
      <c r="AH337" s="31">
        <f>[1]节奏总纲!AH337</f>
        <v>102.91766313984962</v>
      </c>
      <c r="AJ337" s="34"/>
      <c r="AM337" s="31">
        <f>[1]节奏总纲!AM337</f>
        <v>0</v>
      </c>
      <c r="AN337" s="31">
        <f>[1]节奏总纲!AN337</f>
        <v>0</v>
      </c>
      <c r="AO337" s="31">
        <f>[1]节奏总纲!AO337</f>
        <v>0</v>
      </c>
      <c r="AP337" s="31">
        <f>[1]节奏总纲!AP337</f>
        <v>0</v>
      </c>
      <c r="AQ337" s="31">
        <f>[1]节奏总纲!AQ337</f>
        <v>0</v>
      </c>
      <c r="AR337" s="29"/>
      <c r="AT337" s="31">
        <f>[1]节奏总纲!AT337</f>
        <v>0</v>
      </c>
      <c r="AU337" s="31">
        <f>[1]节奏总纲!AU337</f>
        <v>0</v>
      </c>
      <c r="AV337" s="31">
        <f>[1]节奏总纲!AV337</f>
        <v>0</v>
      </c>
      <c r="AW337" s="31">
        <f>[1]节奏总纲!AW337</f>
        <v>0</v>
      </c>
      <c r="AX337" s="31">
        <f>[1]节奏总纲!AX337</f>
        <v>0</v>
      </c>
      <c r="AY337" s="29"/>
      <c r="AZ337" s="31">
        <v>334</v>
      </c>
      <c r="BA337" s="31">
        <f>[1]节奏总纲!BA337</f>
        <v>46.156826173135968</v>
      </c>
      <c r="BB337" s="31">
        <f>[1]节奏总纲!BB337</f>
        <v>47.660722623095815</v>
      </c>
      <c r="BC337" s="31">
        <f>[1]节奏总纲!BC337</f>
        <v>49.608807084700572</v>
      </c>
      <c r="BD337" s="31">
        <f>[1]节奏总纲!BD337</f>
        <v>52.360333240164678</v>
      </c>
      <c r="BE337" s="31">
        <f>[1]节奏总纲!BE337</f>
        <v>57.085081112622099</v>
      </c>
      <c r="BG337" s="34"/>
      <c r="BP337" s="34"/>
    </row>
    <row r="338" spans="29:68" s="31" customFormat="1" x14ac:dyDescent="0.15">
      <c r="AC338" s="31">
        <v>335</v>
      </c>
      <c r="AD338" s="31">
        <f>[1]节奏总纲!AD338</f>
        <v>83.920692243099523</v>
      </c>
      <c r="AE338" s="31">
        <f>[1]节奏总纲!AE338</f>
        <v>86.041129946887025</v>
      </c>
      <c r="AF338" s="31">
        <f>[1]节奏总纲!AF338</f>
        <v>89.11140191442027</v>
      </c>
      <c r="AG338" s="31">
        <f>[1]节奏总纲!AG338</f>
        <v>94.101084594450555</v>
      </c>
      <c r="AH338" s="31">
        <f>[1]节奏总纲!AH338</f>
        <v>102.962561378591</v>
      </c>
      <c r="AJ338" s="34"/>
      <c r="AM338" s="31">
        <f>[1]节奏总纲!AM338</f>
        <v>0</v>
      </c>
      <c r="AN338" s="31">
        <f>[1]节奏总纲!AN338</f>
        <v>0</v>
      </c>
      <c r="AO338" s="31">
        <f>[1]节奏总纲!AO338</f>
        <v>0</v>
      </c>
      <c r="AP338" s="31">
        <f>[1]节奏总纲!AP338</f>
        <v>0</v>
      </c>
      <c r="AQ338" s="31">
        <f>[1]节奏总纲!AQ338</f>
        <v>0</v>
      </c>
      <c r="AR338" s="29"/>
      <c r="AT338" s="31">
        <f>[1]节奏总纲!AT338</f>
        <v>0</v>
      </c>
      <c r="AU338" s="31">
        <f>[1]节奏总纲!AU338</f>
        <v>0</v>
      </c>
      <c r="AV338" s="31">
        <f>[1]节奏总纲!AV338</f>
        <v>0</v>
      </c>
      <c r="AW338" s="31">
        <f>[1]节奏总纲!AW338</f>
        <v>0</v>
      </c>
      <c r="AX338" s="31">
        <f>[1]节奏总纲!AX338</f>
        <v>0</v>
      </c>
      <c r="AY338" s="29"/>
      <c r="AZ338" s="31">
        <v>335</v>
      </c>
      <c r="BA338" s="31">
        <f>[1]节奏总纲!BA338</f>
        <v>46.176090215954694</v>
      </c>
      <c r="BB338" s="31">
        <f>[1]节奏总纲!BB338</f>
        <v>47.681510161418707</v>
      </c>
      <c r="BC338" s="31">
        <f>[1]节奏总纲!BC338</f>
        <v>49.629466863697111</v>
      </c>
      <c r="BD338" s="31">
        <f>[1]节奏总纲!BD338</f>
        <v>52.380286580960728</v>
      </c>
      <c r="BE338" s="31">
        <f>[1]节奏总纲!BE338</f>
        <v>57.104264992975466</v>
      </c>
      <c r="BG338" s="34"/>
      <c r="BP338" s="34"/>
    </row>
    <row r="339" spans="29:68" s="31" customFormat="1" x14ac:dyDescent="0.15">
      <c r="AC339" s="31">
        <v>336</v>
      </c>
      <c r="AD339" s="31">
        <f>[1]节奏总纲!AD339</f>
        <v>83.964898845528126</v>
      </c>
      <c r="AE339" s="31">
        <f>[1]节奏总纲!AE339</f>
        <v>86.082310529666103</v>
      </c>
      <c r="AF339" s="31">
        <f>[1]节奏总纲!AF339</f>
        <v>89.157869418764761</v>
      </c>
      <c r="AG339" s="31">
        <f>[1]节奏总纲!AG339</f>
        <v>94.145165249810972</v>
      </c>
      <c r="AH339" s="31">
        <f>[1]节奏总纲!AH339</f>
        <v>103.00673656424885</v>
      </c>
      <c r="AJ339" s="34"/>
      <c r="AM339" s="31">
        <f>[1]节奏总纲!AM339</f>
        <v>0</v>
      </c>
      <c r="AN339" s="31">
        <f>[1]节奏总纲!AN339</f>
        <v>0</v>
      </c>
      <c r="AO339" s="31">
        <f>[1]节奏总纲!AO339</f>
        <v>0</v>
      </c>
      <c r="AP339" s="31">
        <f>[1]节奏总纲!AP339</f>
        <v>0</v>
      </c>
      <c r="AQ339" s="31">
        <f>[1]节奏总纲!AQ339</f>
        <v>0</v>
      </c>
      <c r="AR339" s="29"/>
      <c r="AT339" s="31">
        <f>[1]节奏总纲!AT339</f>
        <v>0</v>
      </c>
      <c r="AU339" s="31">
        <f>[1]节奏总纲!AU339</f>
        <v>0</v>
      </c>
      <c r="AV339" s="31">
        <f>[1]节奏总纲!AV339</f>
        <v>0</v>
      </c>
      <c r="AW339" s="31">
        <f>[1]节奏总纲!AW339</f>
        <v>0</v>
      </c>
      <c r="AX339" s="31">
        <f>[1]节奏总纲!AX339</f>
        <v>0</v>
      </c>
      <c r="AY339" s="29"/>
      <c r="AZ339" s="31">
        <v>336</v>
      </c>
      <c r="BA339" s="31">
        <f>[1]节奏总纲!BA339</f>
        <v>46.19535425877342</v>
      </c>
      <c r="BB339" s="31">
        <f>[1]节奏总纲!BB339</f>
        <v>47.7022976997416</v>
      </c>
      <c r="BC339" s="31">
        <f>[1]节奏总纲!BC339</f>
        <v>49.65012664269365</v>
      </c>
      <c r="BD339" s="31">
        <f>[1]节奏总纲!BD339</f>
        <v>52.400239921756771</v>
      </c>
      <c r="BE339" s="31">
        <f>[1]节奏总纲!BE339</f>
        <v>57.123448873328833</v>
      </c>
      <c r="BG339" s="34"/>
      <c r="BP339" s="34"/>
    </row>
    <row r="340" spans="29:68" s="31" customFormat="1" x14ac:dyDescent="0.15">
      <c r="AC340" s="31">
        <v>337</v>
      </c>
      <c r="AD340" s="31">
        <f>[1]节奏总纲!AD340</f>
        <v>84.008495683346354</v>
      </c>
      <c r="AE340" s="31">
        <f>[1]节奏总纲!AE340</f>
        <v>86.12349111244518</v>
      </c>
      <c r="AF340" s="31">
        <f>[1]节奏总纲!AF340</f>
        <v>89.204336923109267</v>
      </c>
      <c r="AG340" s="31">
        <f>[1]节奏总纲!AG340</f>
        <v>94.189245905171404</v>
      </c>
      <c r="AH340" s="31">
        <f>[1]节奏总纲!AH340</f>
        <v>103.04728286259964</v>
      </c>
      <c r="AJ340" s="34"/>
      <c r="AM340" s="31">
        <f>[1]节奏总纲!AM340</f>
        <v>0</v>
      </c>
      <c r="AN340" s="31">
        <f>[1]节奏总纲!AN340</f>
        <v>0</v>
      </c>
      <c r="AO340" s="31">
        <f>[1]节奏总纲!AO340</f>
        <v>0</v>
      </c>
      <c r="AP340" s="31">
        <f>[1]节奏总纲!AP340</f>
        <v>0</v>
      </c>
      <c r="AQ340" s="31">
        <f>[1]节奏总纲!AQ340</f>
        <v>0</v>
      </c>
      <c r="AR340" s="29"/>
      <c r="AT340" s="31">
        <f>[1]节奏总纲!AT340</f>
        <v>0</v>
      </c>
      <c r="AU340" s="31">
        <f>[1]节奏总纲!AU340</f>
        <v>0</v>
      </c>
      <c r="AV340" s="31">
        <f>[1]节奏总纲!AV340</f>
        <v>0</v>
      </c>
      <c r="AW340" s="31">
        <f>[1]节奏总纲!AW340</f>
        <v>0</v>
      </c>
      <c r="AX340" s="31">
        <f>[1]节奏总纲!AX340</f>
        <v>0</v>
      </c>
      <c r="AY340" s="29"/>
      <c r="AZ340" s="31">
        <v>337</v>
      </c>
      <c r="BA340" s="31">
        <f>[1]节奏总纲!BA340</f>
        <v>46.214618301592147</v>
      </c>
      <c r="BB340" s="31">
        <f>[1]节奏总纲!BB340</f>
        <v>47.723085238064499</v>
      </c>
      <c r="BC340" s="31">
        <f>[1]节奏总纲!BC340</f>
        <v>49.670786421690188</v>
      </c>
      <c r="BD340" s="31">
        <f>[1]节奏总纲!BD340</f>
        <v>52.420193262552822</v>
      </c>
      <c r="BE340" s="31">
        <f>[1]节奏总纲!BE340</f>
        <v>57.1426327536822</v>
      </c>
      <c r="BG340" s="34"/>
      <c r="BP340" s="34"/>
    </row>
    <row r="341" spans="29:68" s="31" customFormat="1" x14ac:dyDescent="0.15">
      <c r="AC341" s="31">
        <v>338</v>
      </c>
      <c r="AD341" s="31">
        <f>[1]节奏总纲!AD341</f>
        <v>84.049741901856009</v>
      </c>
      <c r="AE341" s="31">
        <f>[1]节奏总纲!AE341</f>
        <v>86.164671695224243</v>
      </c>
      <c r="AF341" s="31">
        <f>[1]节奏总纲!AF341</f>
        <v>89.250804427453758</v>
      </c>
      <c r="AG341" s="31">
        <f>[1]节奏总纲!AG341</f>
        <v>94.233326560531836</v>
      </c>
      <c r="AH341" s="31">
        <f>[1]节奏总纲!AH341</f>
        <v>103.08782916095045</v>
      </c>
      <c r="AJ341" s="34"/>
      <c r="AM341" s="31">
        <f>[1]节奏总纲!AM341</f>
        <v>0</v>
      </c>
      <c r="AN341" s="31">
        <f>[1]节奏总纲!AN341</f>
        <v>0</v>
      </c>
      <c r="AO341" s="31">
        <f>[1]节奏总纲!AO341</f>
        <v>0</v>
      </c>
      <c r="AP341" s="31">
        <f>[1]节奏总纲!AP341</f>
        <v>0</v>
      </c>
      <c r="AQ341" s="31">
        <f>[1]节奏总纲!AQ341</f>
        <v>0</v>
      </c>
      <c r="AR341" s="29"/>
      <c r="AT341" s="31">
        <f>[1]节奏总纲!AT341</f>
        <v>0</v>
      </c>
      <c r="AU341" s="31">
        <f>[1]节奏总纲!AU341</f>
        <v>0</v>
      </c>
      <c r="AV341" s="31">
        <f>[1]节奏总纲!AV341</f>
        <v>0</v>
      </c>
      <c r="AW341" s="31">
        <f>[1]节奏总纲!AW341</f>
        <v>0</v>
      </c>
      <c r="AX341" s="31">
        <f>[1]节奏总纲!AX341</f>
        <v>0</v>
      </c>
      <c r="AY341" s="29"/>
      <c r="AZ341" s="31">
        <v>338</v>
      </c>
      <c r="BA341" s="31">
        <f>[1]节奏总纲!BA341</f>
        <v>46.23388234441088</v>
      </c>
      <c r="BB341" s="31">
        <f>[1]节奏总纲!BB341</f>
        <v>47.743872776387391</v>
      </c>
      <c r="BC341" s="31">
        <f>[1]节奏总纲!BC341</f>
        <v>49.69144620068672</v>
      </c>
      <c r="BD341" s="31">
        <f>[1]节奏总纲!BD341</f>
        <v>52.440146603348865</v>
      </c>
      <c r="BE341" s="31">
        <f>[1]节奏总纲!BE341</f>
        <v>57.161816634035567</v>
      </c>
      <c r="BG341" s="34"/>
      <c r="BP341" s="34"/>
    </row>
    <row r="342" spans="29:68" s="31" customFormat="1" x14ac:dyDescent="0.15">
      <c r="AC342" s="31">
        <v>339</v>
      </c>
      <c r="AD342" s="31">
        <f>[1]节奏总纲!AD342</f>
        <v>84.090988120365651</v>
      </c>
      <c r="AE342" s="31">
        <f>[1]节奏总纲!AE342</f>
        <v>86.20585227800332</v>
      </c>
      <c r="AF342" s="31">
        <f>[1]节奏总纲!AF342</f>
        <v>89.29727193179825</v>
      </c>
      <c r="AG342" s="31">
        <f>[1]节奏总纲!AG342</f>
        <v>94.277407215892268</v>
      </c>
      <c r="AH342" s="31">
        <f>[1]节奏总纲!AH342</f>
        <v>103.12837545930124</v>
      </c>
      <c r="AJ342" s="34"/>
      <c r="AM342" s="31">
        <f>[1]节奏总纲!AM342</f>
        <v>0</v>
      </c>
      <c r="AN342" s="31">
        <f>[1]节奏总纲!AN342</f>
        <v>0</v>
      </c>
      <c r="AO342" s="31">
        <f>[1]节奏总纲!AO342</f>
        <v>0</v>
      </c>
      <c r="AP342" s="31">
        <f>[1]节奏总纲!AP342</f>
        <v>0</v>
      </c>
      <c r="AQ342" s="31">
        <f>[1]节奏总纲!AQ342</f>
        <v>0</v>
      </c>
      <c r="AR342" s="29"/>
      <c r="AT342" s="31">
        <f>[1]节奏总纲!AT342</f>
        <v>0</v>
      </c>
      <c r="AU342" s="31">
        <f>[1]节奏总纲!AU342</f>
        <v>0</v>
      </c>
      <c r="AV342" s="31">
        <f>[1]节奏总纲!AV342</f>
        <v>0</v>
      </c>
      <c r="AW342" s="31">
        <f>[1]节奏总纲!AW342</f>
        <v>0</v>
      </c>
      <c r="AX342" s="31">
        <f>[1]节奏总纲!AX342</f>
        <v>0</v>
      </c>
      <c r="AY342" s="29"/>
      <c r="AZ342" s="31">
        <v>339</v>
      </c>
      <c r="BA342" s="31">
        <f>[1]节奏总纲!BA342</f>
        <v>46.253146387229606</v>
      </c>
      <c r="BB342" s="31">
        <f>[1]节奏总纲!BB342</f>
        <v>47.764660314710284</v>
      </c>
      <c r="BC342" s="31">
        <f>[1]节奏总纲!BC342</f>
        <v>49.712105979683258</v>
      </c>
      <c r="BD342" s="31">
        <f>[1]节奏总纲!BD342</f>
        <v>52.460099944144915</v>
      </c>
      <c r="BE342" s="31">
        <f>[1]节奏总纲!BE342</f>
        <v>57.181000514388934</v>
      </c>
      <c r="BG342" s="34"/>
      <c r="BP342" s="34"/>
    </row>
    <row r="343" spans="29:68" s="31" customFormat="1" x14ac:dyDescent="0.15">
      <c r="AC343" s="31">
        <v>340</v>
      </c>
      <c r="AD343" s="31">
        <f>[1]节奏总纲!AD343</f>
        <v>84.132234338875293</v>
      </c>
      <c r="AE343" s="31">
        <f>[1]节奏总纲!AE343</f>
        <v>86.247032860782397</v>
      </c>
      <c r="AF343" s="31">
        <f>[1]节奏总纲!AF343</f>
        <v>89.343739436142741</v>
      </c>
      <c r="AG343" s="31">
        <f>[1]节奏总纲!AG343</f>
        <v>94.3214878712527</v>
      </c>
      <c r="AH343" s="31">
        <f>[1]节奏总纲!AH343</f>
        <v>103.16892175765203</v>
      </c>
      <c r="AJ343" s="34"/>
      <c r="AM343" s="31">
        <f>[1]节奏总纲!AM343</f>
        <v>0</v>
      </c>
      <c r="AN343" s="31">
        <f>[1]节奏总纲!AN343</f>
        <v>0</v>
      </c>
      <c r="AO343" s="31">
        <f>[1]节奏总纲!AO343</f>
        <v>0</v>
      </c>
      <c r="AP343" s="31">
        <f>[1]节奏总纲!AP343</f>
        <v>0</v>
      </c>
      <c r="AQ343" s="31">
        <f>[1]节奏总纲!AQ343</f>
        <v>0</v>
      </c>
      <c r="AR343" s="29"/>
      <c r="AT343" s="31">
        <f>[1]节奏总纲!AT343</f>
        <v>0</v>
      </c>
      <c r="AU343" s="31">
        <f>[1]节奏总纲!AU343</f>
        <v>0</v>
      </c>
      <c r="AV343" s="31">
        <f>[1]节奏总纲!AV343</f>
        <v>0</v>
      </c>
      <c r="AW343" s="31">
        <f>[1]节奏总纲!AW343</f>
        <v>0</v>
      </c>
      <c r="AX343" s="31">
        <f>[1]节奏总纲!AX343</f>
        <v>0</v>
      </c>
      <c r="AY343" s="29"/>
      <c r="AZ343" s="31">
        <v>340</v>
      </c>
      <c r="BA343" s="31">
        <f>[1]节奏总纲!BA343</f>
        <v>46.272410430048332</v>
      </c>
      <c r="BB343" s="31">
        <f>[1]节奏总纲!BB343</f>
        <v>47.785447853033176</v>
      </c>
      <c r="BC343" s="31">
        <f>[1]节奏总纲!BC343</f>
        <v>49.732765758679797</v>
      </c>
      <c r="BD343" s="31">
        <f>[1]节奏总纲!BD343</f>
        <v>52.480053284940965</v>
      </c>
      <c r="BE343" s="31">
        <f>[1]节奏总纲!BE343</f>
        <v>57.200184394742301</v>
      </c>
      <c r="BG343" s="34"/>
      <c r="BP343" s="34"/>
    </row>
    <row r="344" spans="29:68" s="31" customFormat="1" x14ac:dyDescent="0.15">
      <c r="AC344" s="31">
        <v>341</v>
      </c>
      <c r="AD344" s="31">
        <f>[1]节奏总纲!AD344</f>
        <v>84.173480557384934</v>
      </c>
      <c r="AE344" s="31">
        <f>[1]节奏总纲!AE344</f>
        <v>86.288213443561474</v>
      </c>
      <c r="AF344" s="31">
        <f>[1]节奏总纲!AF344</f>
        <v>89.390206940487232</v>
      </c>
      <c r="AG344" s="31">
        <f>[1]节奏总纲!AG344</f>
        <v>94.365568526613131</v>
      </c>
      <c r="AH344" s="31">
        <f>[1]节奏总纲!AH344</f>
        <v>103.20946805600283</v>
      </c>
      <c r="AJ344" s="34"/>
      <c r="AM344" s="31">
        <f>[1]节奏总纲!AM344</f>
        <v>0</v>
      </c>
      <c r="AN344" s="31">
        <f>[1]节奏总纲!AN344</f>
        <v>0</v>
      </c>
      <c r="AO344" s="31">
        <f>[1]节奏总纲!AO344</f>
        <v>0</v>
      </c>
      <c r="AP344" s="31">
        <f>[1]节奏总纲!AP344</f>
        <v>0</v>
      </c>
      <c r="AQ344" s="31">
        <f>[1]节奏总纲!AQ344</f>
        <v>0</v>
      </c>
      <c r="AR344" s="29"/>
      <c r="AT344" s="31">
        <f>[1]节奏总纲!AT344</f>
        <v>0</v>
      </c>
      <c r="AU344" s="31">
        <f>[1]节奏总纲!AU344</f>
        <v>0</v>
      </c>
      <c r="AV344" s="31">
        <f>[1]节奏总纲!AV344</f>
        <v>0</v>
      </c>
      <c r="AW344" s="31">
        <f>[1]节奏总纲!AW344</f>
        <v>0</v>
      </c>
      <c r="AX344" s="31">
        <f>[1]节奏总纲!AX344</f>
        <v>0</v>
      </c>
      <c r="AY344" s="29"/>
      <c r="AZ344" s="31">
        <v>341</v>
      </c>
      <c r="BA344" s="31">
        <f>[1]节奏总纲!BA344</f>
        <v>46.291674472867058</v>
      </c>
      <c r="BB344" s="31">
        <f>[1]节奏总纲!BB344</f>
        <v>47.806235391356068</v>
      </c>
      <c r="BC344" s="31">
        <f>[1]节奏总纲!BC344</f>
        <v>49.753425537676335</v>
      </c>
      <c r="BD344" s="31">
        <f>[1]节奏总纲!BD344</f>
        <v>52.500006625737008</v>
      </c>
      <c r="BE344" s="31">
        <f>[1]节奏总纲!BE344</f>
        <v>57.219368275095675</v>
      </c>
      <c r="BG344" s="34"/>
      <c r="BP344" s="34"/>
    </row>
    <row r="345" spans="29:68" s="31" customFormat="1" x14ac:dyDescent="0.15">
      <c r="AC345" s="31">
        <v>342</v>
      </c>
      <c r="AD345" s="31">
        <f>[1]节奏总纲!AD345</f>
        <v>84.214726775894576</v>
      </c>
      <c r="AE345" s="31">
        <f>[1]节奏总纲!AE345</f>
        <v>86.329394026340537</v>
      </c>
      <c r="AF345" s="31">
        <f>[1]节奏总纲!AF345</f>
        <v>89.436674444831723</v>
      </c>
      <c r="AG345" s="31">
        <f>[1]节奏总纲!AG345</f>
        <v>94.409649181973549</v>
      </c>
      <c r="AH345" s="31">
        <f>[1]节奏总纲!AH345</f>
        <v>103.25001435435362</v>
      </c>
      <c r="AJ345" s="34"/>
      <c r="AM345" s="31">
        <f>[1]节奏总纲!AM345</f>
        <v>0</v>
      </c>
      <c r="AN345" s="31">
        <f>[1]节奏总纲!AN345</f>
        <v>0</v>
      </c>
      <c r="AO345" s="31">
        <f>[1]节奏总纲!AO345</f>
        <v>0</v>
      </c>
      <c r="AP345" s="31">
        <f>[1]节奏总纲!AP345</f>
        <v>0</v>
      </c>
      <c r="AQ345" s="31">
        <f>[1]节奏总纲!AQ345</f>
        <v>0</v>
      </c>
      <c r="AR345" s="29"/>
      <c r="AT345" s="31">
        <f>[1]节奏总纲!AT345</f>
        <v>0</v>
      </c>
      <c r="AU345" s="31">
        <f>[1]节奏总纲!AU345</f>
        <v>0</v>
      </c>
      <c r="AV345" s="31">
        <f>[1]节奏总纲!AV345</f>
        <v>0</v>
      </c>
      <c r="AW345" s="31">
        <f>[1]节奏总纲!AW345</f>
        <v>0</v>
      </c>
      <c r="AX345" s="31">
        <f>[1]节奏总纲!AX345</f>
        <v>0</v>
      </c>
      <c r="AY345" s="29"/>
      <c r="AZ345" s="31">
        <v>342</v>
      </c>
      <c r="BA345" s="31">
        <f>[1]节奏总纲!BA345</f>
        <v>46.310938515685784</v>
      </c>
      <c r="BB345" s="31">
        <f>[1]节奏总纲!BB345</f>
        <v>47.827022929678968</v>
      </c>
      <c r="BC345" s="31">
        <f>[1]节奏总纲!BC345</f>
        <v>49.774085316672867</v>
      </c>
      <c r="BD345" s="31">
        <f>[1]节奏总纲!BD345</f>
        <v>52.519959966533058</v>
      </c>
      <c r="BE345" s="31">
        <f>[1]节奏总纲!BE345</f>
        <v>57.238552155449042</v>
      </c>
      <c r="BG345" s="34"/>
      <c r="BP345" s="34"/>
    </row>
    <row r="346" spans="29:68" s="31" customFormat="1" x14ac:dyDescent="0.15">
      <c r="AC346" s="31">
        <v>343</v>
      </c>
      <c r="AD346" s="31">
        <f>[1]节奏总纲!AD346</f>
        <v>84.255972994404218</v>
      </c>
      <c r="AE346" s="31">
        <f>[1]节奏总纲!AE346</f>
        <v>86.370574609119615</v>
      </c>
      <c r="AF346" s="31">
        <f>[1]节奏总纲!AF346</f>
        <v>89.483141949176215</v>
      </c>
      <c r="AG346" s="31">
        <f>[1]节奏总纲!AG346</f>
        <v>94.453729837333981</v>
      </c>
      <c r="AH346" s="31">
        <f>[1]节奏总纲!AH346</f>
        <v>103.29056065270443</v>
      </c>
      <c r="AJ346" s="34"/>
      <c r="AM346" s="31">
        <f>[1]节奏总纲!AM346</f>
        <v>0</v>
      </c>
      <c r="AN346" s="31">
        <f>[1]节奏总纲!AN346</f>
        <v>0</v>
      </c>
      <c r="AO346" s="31">
        <f>[1]节奏总纲!AO346</f>
        <v>0</v>
      </c>
      <c r="AP346" s="31">
        <f>[1]节奏总纲!AP346</f>
        <v>0</v>
      </c>
      <c r="AQ346" s="31">
        <f>[1]节奏总纲!AQ346</f>
        <v>0</v>
      </c>
      <c r="AR346" s="29"/>
      <c r="AT346" s="31">
        <f>[1]节奏总纲!AT346</f>
        <v>0</v>
      </c>
      <c r="AU346" s="31">
        <f>[1]节奏总纲!AU346</f>
        <v>0</v>
      </c>
      <c r="AV346" s="31">
        <f>[1]节奏总纲!AV346</f>
        <v>0</v>
      </c>
      <c r="AW346" s="31">
        <f>[1]节奏总纲!AW346</f>
        <v>0</v>
      </c>
      <c r="AX346" s="31">
        <f>[1]节奏总纲!AX346</f>
        <v>0</v>
      </c>
      <c r="AY346" s="29"/>
      <c r="AZ346" s="31">
        <v>343</v>
      </c>
      <c r="BA346" s="31">
        <f>[1]节奏总纲!BA346</f>
        <v>46.330202558504517</v>
      </c>
      <c r="BB346" s="31">
        <f>[1]节奏总纲!BB346</f>
        <v>47.84781046800186</v>
      </c>
      <c r="BC346" s="31">
        <f>[1]节奏总纲!BC346</f>
        <v>49.794745095669406</v>
      </c>
      <c r="BD346" s="31">
        <f>[1]节奏总纲!BD346</f>
        <v>52.539913307329101</v>
      </c>
      <c r="BE346" s="31">
        <f>[1]节奏总纲!BE346</f>
        <v>57.257736035802409</v>
      </c>
      <c r="BG346" s="34"/>
      <c r="BP346" s="34"/>
    </row>
    <row r="347" spans="29:68" s="31" customFormat="1" x14ac:dyDescent="0.15">
      <c r="AC347" s="31">
        <v>344</v>
      </c>
      <c r="AD347" s="31">
        <f>[1]节奏总纲!AD347</f>
        <v>84.297219212913859</v>
      </c>
      <c r="AE347" s="31">
        <f>[1]节奏总纲!AE347</f>
        <v>86.411755191898692</v>
      </c>
      <c r="AF347" s="31">
        <f>[1]节奏总纲!AF347</f>
        <v>89.529609453520706</v>
      </c>
      <c r="AG347" s="31">
        <f>[1]节奏总纲!AG347</f>
        <v>94.497810492694413</v>
      </c>
      <c r="AH347" s="31">
        <f>[1]节奏总纲!AH347</f>
        <v>103.33110695105522</v>
      </c>
      <c r="AJ347" s="34"/>
      <c r="AM347" s="31">
        <f>[1]节奏总纲!AM347</f>
        <v>0</v>
      </c>
      <c r="AN347" s="31">
        <f>[1]节奏总纲!AN347</f>
        <v>0</v>
      </c>
      <c r="AO347" s="31">
        <f>[1]节奏总纲!AO347</f>
        <v>0</v>
      </c>
      <c r="AP347" s="31">
        <f>[1]节奏总纲!AP347</f>
        <v>0</v>
      </c>
      <c r="AQ347" s="31">
        <f>[1]节奏总纲!AQ347</f>
        <v>0</v>
      </c>
      <c r="AR347" s="29"/>
      <c r="AT347" s="31">
        <f>[1]节奏总纲!AT347</f>
        <v>0</v>
      </c>
      <c r="AU347" s="31">
        <f>[1]节奏总纲!AU347</f>
        <v>0</v>
      </c>
      <c r="AV347" s="31">
        <f>[1]节奏总纲!AV347</f>
        <v>0</v>
      </c>
      <c r="AW347" s="31">
        <f>[1]节奏总纲!AW347</f>
        <v>0</v>
      </c>
      <c r="AX347" s="31">
        <f>[1]节奏总纲!AX347</f>
        <v>0</v>
      </c>
      <c r="AY347" s="29"/>
      <c r="AZ347" s="31">
        <v>344</v>
      </c>
      <c r="BA347" s="31">
        <f>[1]节奏总纲!BA347</f>
        <v>46.349466601323243</v>
      </c>
      <c r="BB347" s="31">
        <f>[1]节奏总纲!BB347</f>
        <v>47.868598006324753</v>
      </c>
      <c r="BC347" s="31">
        <f>[1]节奏总纲!BC347</f>
        <v>49.815404874665944</v>
      </c>
      <c r="BD347" s="31">
        <f>[1]节奏总纲!BD347</f>
        <v>52.559866648125151</v>
      </c>
      <c r="BE347" s="31">
        <f>[1]节奏总纲!BE347</f>
        <v>57.276919916155776</v>
      </c>
      <c r="BG347" s="34"/>
      <c r="BP347" s="34"/>
    </row>
    <row r="348" spans="29:68" s="31" customFormat="1" x14ac:dyDescent="0.15">
      <c r="AC348" s="31">
        <v>345</v>
      </c>
      <c r="AD348" s="31">
        <f>[1]节奏总纲!AD348</f>
        <v>84.338465431423501</v>
      </c>
      <c r="AE348" s="31">
        <f>[1]节奏总纲!AE348</f>
        <v>86.452935774677769</v>
      </c>
      <c r="AF348" s="31">
        <f>[1]节奏总纲!AF348</f>
        <v>89.576076957865197</v>
      </c>
      <c r="AG348" s="31">
        <f>[1]节奏总纲!AG348</f>
        <v>94.541891148054845</v>
      </c>
      <c r="AH348" s="31">
        <f>[1]节奏总纲!AH348</f>
        <v>103.37165324940601</v>
      </c>
      <c r="AJ348" s="34"/>
      <c r="AM348" s="31">
        <f>[1]节奏总纲!AM348</f>
        <v>0</v>
      </c>
      <c r="AN348" s="31">
        <f>[1]节奏总纲!AN348</f>
        <v>0</v>
      </c>
      <c r="AO348" s="31">
        <f>[1]节奏总纲!AO348</f>
        <v>0</v>
      </c>
      <c r="AP348" s="31">
        <f>[1]节奏总纲!AP348</f>
        <v>0</v>
      </c>
      <c r="AQ348" s="31">
        <f>[1]节奏总纲!AQ348</f>
        <v>0</v>
      </c>
      <c r="AR348" s="29"/>
      <c r="AT348" s="31">
        <f>[1]节奏总纲!AT348</f>
        <v>0</v>
      </c>
      <c r="AU348" s="31">
        <f>[1]节奏总纲!AU348</f>
        <v>0</v>
      </c>
      <c r="AV348" s="31">
        <f>[1]节奏总纲!AV348</f>
        <v>0</v>
      </c>
      <c r="AW348" s="31">
        <f>[1]节奏总纲!AW348</f>
        <v>0</v>
      </c>
      <c r="AX348" s="31">
        <f>[1]节奏总纲!AX348</f>
        <v>0</v>
      </c>
      <c r="AY348" s="29"/>
      <c r="AZ348" s="31">
        <v>345</v>
      </c>
      <c r="BA348" s="31">
        <f>[1]节奏总纲!BA348</f>
        <v>46.368730644141969</v>
      </c>
      <c r="BB348" s="31">
        <f>[1]节奏总纲!BB348</f>
        <v>47.889385544647645</v>
      </c>
      <c r="BC348" s="31">
        <f>[1]节奏总纲!BC348</f>
        <v>49.836064653662483</v>
      </c>
      <c r="BD348" s="31">
        <f>[1]节奏总纲!BD348</f>
        <v>52.579819988921201</v>
      </c>
      <c r="BE348" s="31">
        <f>[1]节奏总纲!BE348</f>
        <v>57.296103796509144</v>
      </c>
      <c r="BG348" s="34"/>
      <c r="BP348" s="34"/>
    </row>
    <row r="349" spans="29:68" s="31" customFormat="1" x14ac:dyDescent="0.15">
      <c r="AC349" s="31">
        <v>346</v>
      </c>
      <c r="AD349" s="31">
        <f>[1]节奏总纲!AD349</f>
        <v>84.379711649933142</v>
      </c>
      <c r="AE349" s="31">
        <f>[1]节奏总纲!AE349</f>
        <v>86.494116357456846</v>
      </c>
      <c r="AF349" s="31">
        <f>[1]节奏总纲!AF349</f>
        <v>89.622544462209689</v>
      </c>
      <c r="AG349" s="31">
        <f>[1]节奏总纲!AG349</f>
        <v>94.585971803415276</v>
      </c>
      <c r="AH349" s="31">
        <f>[1]节奏总纲!AH349</f>
        <v>103.41219954775681</v>
      </c>
      <c r="AJ349" s="34"/>
      <c r="AM349" s="31">
        <f>[1]节奏总纲!AM349</f>
        <v>0</v>
      </c>
      <c r="AN349" s="31">
        <f>[1]节奏总纲!AN349</f>
        <v>0</v>
      </c>
      <c r="AO349" s="31">
        <f>[1]节奏总纲!AO349</f>
        <v>0</v>
      </c>
      <c r="AP349" s="31">
        <f>[1]节奏总纲!AP349</f>
        <v>0</v>
      </c>
      <c r="AQ349" s="31">
        <f>[1]节奏总纲!AQ349</f>
        <v>0</v>
      </c>
      <c r="AR349" s="29"/>
      <c r="AT349" s="31">
        <f>[1]节奏总纲!AT349</f>
        <v>0</v>
      </c>
      <c r="AU349" s="31">
        <f>[1]节奏总纲!AU349</f>
        <v>0</v>
      </c>
      <c r="AV349" s="31">
        <f>[1]节奏总纲!AV349</f>
        <v>0</v>
      </c>
      <c r="AW349" s="31">
        <f>[1]节奏总纲!AW349</f>
        <v>0</v>
      </c>
      <c r="AX349" s="31">
        <f>[1]节奏总纲!AX349</f>
        <v>0</v>
      </c>
      <c r="AY349" s="29"/>
      <c r="AZ349" s="31">
        <v>346</v>
      </c>
      <c r="BA349" s="31">
        <f>[1]节奏总纲!BA349</f>
        <v>46.387994686960695</v>
      </c>
      <c r="BB349" s="31">
        <f>[1]节奏总纲!BB349</f>
        <v>47.910173082970537</v>
      </c>
      <c r="BC349" s="31">
        <f>[1]节奏总纲!BC349</f>
        <v>49.856724432659014</v>
      </c>
      <c r="BD349" s="31">
        <f>[1]节奏总纲!BD349</f>
        <v>52.599773329717245</v>
      </c>
      <c r="BE349" s="31">
        <f>[1]节奏总纲!BE349</f>
        <v>57.315287676862511</v>
      </c>
      <c r="BG349" s="34"/>
      <c r="BP349" s="34"/>
    </row>
    <row r="350" spans="29:68" s="31" customFormat="1" x14ac:dyDescent="0.15">
      <c r="AC350" s="31">
        <v>347</v>
      </c>
      <c r="AD350" s="31">
        <f>[1]节奏总纲!AD350</f>
        <v>84.420957868442784</v>
      </c>
      <c r="AE350" s="31">
        <f>[1]节奏总纲!AE350</f>
        <v>86.535296940235909</v>
      </c>
      <c r="AF350" s="31">
        <f>[1]节奏总纲!AF350</f>
        <v>89.66901196655418</v>
      </c>
      <c r="AG350" s="31">
        <f>[1]节奏总纲!AG350</f>
        <v>94.630052458775694</v>
      </c>
      <c r="AH350" s="31">
        <f>[1]节奏总纲!AH350</f>
        <v>103.4527458461076</v>
      </c>
      <c r="AJ350" s="34"/>
      <c r="AM350" s="31">
        <f>[1]节奏总纲!AM350</f>
        <v>0</v>
      </c>
      <c r="AN350" s="31">
        <f>[1]节奏总纲!AN350</f>
        <v>0</v>
      </c>
      <c r="AO350" s="31">
        <f>[1]节奏总纲!AO350</f>
        <v>0</v>
      </c>
      <c r="AP350" s="31">
        <f>[1]节奏总纲!AP350</f>
        <v>0</v>
      </c>
      <c r="AQ350" s="31">
        <f>[1]节奏总纲!AQ350</f>
        <v>0</v>
      </c>
      <c r="AR350" s="29"/>
      <c r="AT350" s="31">
        <f>[1]节奏总纲!AT350</f>
        <v>0</v>
      </c>
      <c r="AU350" s="31">
        <f>[1]节奏总纲!AU350</f>
        <v>0</v>
      </c>
      <c r="AV350" s="31">
        <f>[1]节奏总纲!AV350</f>
        <v>0</v>
      </c>
      <c r="AW350" s="31">
        <f>[1]节奏总纲!AW350</f>
        <v>0</v>
      </c>
      <c r="AX350" s="31">
        <f>[1]节奏总纲!AX350</f>
        <v>0</v>
      </c>
      <c r="AY350" s="29"/>
      <c r="AZ350" s="31">
        <v>347</v>
      </c>
      <c r="BA350" s="31">
        <f>[1]节奏总纲!BA350</f>
        <v>46.407258729779421</v>
      </c>
      <c r="BB350" s="31">
        <f>[1]节奏总纲!BB350</f>
        <v>47.930960621293437</v>
      </c>
      <c r="BC350" s="31">
        <f>[1]节奏总纲!BC350</f>
        <v>49.877384211655553</v>
      </c>
      <c r="BD350" s="31">
        <f>[1]节奏总纲!BD350</f>
        <v>52.619726670513295</v>
      </c>
      <c r="BE350" s="31">
        <f>[1]节奏总纲!BE350</f>
        <v>57.334471557215878</v>
      </c>
      <c r="BG350" s="34"/>
      <c r="BP350" s="34"/>
    </row>
    <row r="351" spans="29:68" s="31" customFormat="1" x14ac:dyDescent="0.15">
      <c r="AC351" s="31">
        <v>348</v>
      </c>
      <c r="AD351" s="31">
        <f>[1]节奏总纲!AD351</f>
        <v>84.462204086952426</v>
      </c>
      <c r="AE351" s="31">
        <f>[1]节奏总纲!AE351</f>
        <v>86.576477523014987</v>
      </c>
      <c r="AF351" s="31">
        <f>[1]节奏总纲!AF351</f>
        <v>89.715479470898671</v>
      </c>
      <c r="AG351" s="31">
        <f>[1]节奏总纲!AG351</f>
        <v>94.674133114136126</v>
      </c>
      <c r="AH351" s="31">
        <f>[1]节奏总纲!AH351</f>
        <v>103.49329214445841</v>
      </c>
      <c r="AJ351" s="34"/>
      <c r="AM351" s="31">
        <f>[1]节奏总纲!AM351</f>
        <v>0</v>
      </c>
      <c r="AN351" s="31">
        <f>[1]节奏总纲!AN351</f>
        <v>0</v>
      </c>
      <c r="AO351" s="31">
        <f>[1]节奏总纲!AO351</f>
        <v>0</v>
      </c>
      <c r="AP351" s="31">
        <f>[1]节奏总纲!AP351</f>
        <v>0</v>
      </c>
      <c r="AQ351" s="31">
        <f>[1]节奏总纲!AQ351</f>
        <v>0</v>
      </c>
      <c r="AR351" s="29"/>
      <c r="AT351" s="31">
        <f>[1]节奏总纲!AT351</f>
        <v>0</v>
      </c>
      <c r="AU351" s="31">
        <f>[1]节奏总纲!AU351</f>
        <v>0</v>
      </c>
      <c r="AV351" s="31">
        <f>[1]节奏总纲!AV351</f>
        <v>0</v>
      </c>
      <c r="AW351" s="31">
        <f>[1]节奏总纲!AW351</f>
        <v>0</v>
      </c>
      <c r="AX351" s="31">
        <f>[1]节奏总纲!AX351</f>
        <v>0</v>
      </c>
      <c r="AY351" s="29"/>
      <c r="AZ351" s="31">
        <v>348</v>
      </c>
      <c r="BA351" s="31">
        <f>[1]节奏总纲!BA351</f>
        <v>46.426522772598148</v>
      </c>
      <c r="BB351" s="31">
        <f>[1]节奏总纲!BB351</f>
        <v>47.951748159616329</v>
      </c>
      <c r="BC351" s="31">
        <f>[1]节奏总纲!BC351</f>
        <v>49.898043990652091</v>
      </c>
      <c r="BD351" s="31">
        <f>[1]节奏总纲!BD351</f>
        <v>52.639680011309345</v>
      </c>
      <c r="BE351" s="31">
        <f>[1]节奏总纲!BE351</f>
        <v>57.353655437569245</v>
      </c>
      <c r="BG351" s="34"/>
      <c r="BP351" s="34"/>
    </row>
    <row r="352" spans="29:68" s="31" customFormat="1" x14ac:dyDescent="0.15">
      <c r="AC352" s="31">
        <v>349</v>
      </c>
      <c r="AD352" s="31">
        <f>[1]节奏总纲!AD352</f>
        <v>84.503450305462081</v>
      </c>
      <c r="AE352" s="31">
        <f>[1]节奏总纲!AE352</f>
        <v>86.617658105794064</v>
      </c>
      <c r="AF352" s="31">
        <f>[1]节奏总纲!AF352</f>
        <v>89.761946975243163</v>
      </c>
      <c r="AG352" s="31">
        <f>[1]节奏总纲!AG352</f>
        <v>94.718213769496558</v>
      </c>
      <c r="AH352" s="31">
        <f>[1]节奏总纲!AH352</f>
        <v>103.5338384428092</v>
      </c>
      <c r="AJ352" s="34"/>
      <c r="AM352" s="31">
        <f>[1]节奏总纲!AM352</f>
        <v>0</v>
      </c>
      <c r="AN352" s="31">
        <f>[1]节奏总纲!AN352</f>
        <v>0</v>
      </c>
      <c r="AO352" s="31">
        <f>[1]节奏总纲!AO352</f>
        <v>0</v>
      </c>
      <c r="AP352" s="31">
        <f>[1]节奏总纲!AP352</f>
        <v>0</v>
      </c>
      <c r="AQ352" s="31">
        <f>[1]节奏总纲!AQ352</f>
        <v>0</v>
      </c>
      <c r="AR352" s="29"/>
      <c r="AT352" s="31">
        <f>[1]节奏总纲!AT352</f>
        <v>0</v>
      </c>
      <c r="AU352" s="31">
        <f>[1]节奏总纲!AU352</f>
        <v>0</v>
      </c>
      <c r="AV352" s="31">
        <f>[1]节奏总纲!AV352</f>
        <v>0</v>
      </c>
      <c r="AW352" s="31">
        <f>[1]节奏总纲!AW352</f>
        <v>0</v>
      </c>
      <c r="AX352" s="31">
        <f>[1]节奏总纲!AX352</f>
        <v>0</v>
      </c>
      <c r="AY352" s="29"/>
      <c r="AZ352" s="31">
        <v>349</v>
      </c>
      <c r="BA352" s="31">
        <f>[1]节奏总纲!BA352</f>
        <v>46.445786815416881</v>
      </c>
      <c r="BB352" s="31">
        <f>[1]节奏总纲!BB352</f>
        <v>47.972535697939222</v>
      </c>
      <c r="BC352" s="31">
        <f>[1]节奏总纲!BC352</f>
        <v>49.91870376964863</v>
      </c>
      <c r="BD352" s="31">
        <f>[1]节奏总纲!BD352</f>
        <v>52.659633352105388</v>
      </c>
      <c r="BE352" s="31">
        <f>[1]节奏总纲!BE352</f>
        <v>57.372839317922612</v>
      </c>
      <c r="BG352" s="34"/>
      <c r="BP352" s="34"/>
    </row>
    <row r="353" spans="29:68" s="31" customFormat="1" x14ac:dyDescent="0.15">
      <c r="AC353" s="31">
        <v>350</v>
      </c>
      <c r="AD353" s="31">
        <f>[1]节奏总纲!AD353</f>
        <v>84.544696523971723</v>
      </c>
      <c r="AE353" s="31">
        <f>[1]节奏总纲!AE353</f>
        <v>86.658838688573141</v>
      </c>
      <c r="AF353" s="31">
        <f>[1]节奏总纲!AF353</f>
        <v>89.808414479587654</v>
      </c>
      <c r="AG353" s="31">
        <f>[1]节奏总纲!AG353</f>
        <v>94.762294424856989</v>
      </c>
      <c r="AH353" s="31">
        <f>[1]节奏总纲!AH353</f>
        <v>103.57438474115999</v>
      </c>
      <c r="AJ353" s="34"/>
      <c r="AM353" s="31">
        <f>[1]节奏总纲!AM353</f>
        <v>0</v>
      </c>
      <c r="AN353" s="31">
        <f>[1]节奏总纲!AN353</f>
        <v>0</v>
      </c>
      <c r="AO353" s="31">
        <f>[1]节奏总纲!AO353</f>
        <v>0</v>
      </c>
      <c r="AP353" s="31">
        <f>[1]节奏总纲!AP353</f>
        <v>0</v>
      </c>
      <c r="AQ353" s="31">
        <f>[1]节奏总纲!AQ353</f>
        <v>0</v>
      </c>
      <c r="AR353" s="29"/>
      <c r="AT353" s="31">
        <f>[1]节奏总纲!AT353</f>
        <v>0</v>
      </c>
      <c r="AU353" s="31">
        <f>[1]节奏总纲!AU353</f>
        <v>0</v>
      </c>
      <c r="AV353" s="31">
        <f>[1]节奏总纲!AV353</f>
        <v>0</v>
      </c>
      <c r="AW353" s="31">
        <f>[1]节奏总纲!AW353</f>
        <v>0</v>
      </c>
      <c r="AX353" s="31">
        <f>[1]节奏总纲!AX353</f>
        <v>0</v>
      </c>
      <c r="AY353" s="29"/>
      <c r="AZ353" s="31">
        <v>350</v>
      </c>
      <c r="BA353" s="31">
        <f>[1]节奏总纲!BA353</f>
        <v>46.465050858235607</v>
      </c>
      <c r="BB353" s="31">
        <f>[1]节奏总纲!BB353</f>
        <v>47.993323236262114</v>
      </c>
      <c r="BC353" s="31">
        <f>[1]节奏总纲!BC353</f>
        <v>49.939363548645169</v>
      </c>
      <c r="BD353" s="31">
        <f>[1]节奏总纲!BD353</f>
        <v>52.679586692901438</v>
      </c>
      <c r="BE353" s="31">
        <f>[1]节奏总纲!BE353</f>
        <v>57.392023198275979</v>
      </c>
      <c r="BG353" s="34"/>
      <c r="BP353" s="34"/>
    </row>
    <row r="354" spans="29:68" s="31" customFormat="1" x14ac:dyDescent="0.15">
      <c r="AC354" s="31">
        <v>351</v>
      </c>
      <c r="AD354" s="31">
        <f>[1]节奏总纲!AD354</f>
        <v>84.585942742481365</v>
      </c>
      <c r="AE354" s="31">
        <f>[1]节奏总纲!AE354</f>
        <v>86.700019271352204</v>
      </c>
      <c r="AF354" s="31">
        <f>[1]节奏总纲!AF354</f>
        <v>89.854881983932145</v>
      </c>
      <c r="AG354" s="31">
        <f>[1]节奏总纲!AG354</f>
        <v>94.806375080217421</v>
      </c>
      <c r="AH354" s="31">
        <f>[1]节奏总纲!AH354</f>
        <v>103.61493103951079</v>
      </c>
      <c r="AJ354" s="34"/>
      <c r="AM354" s="31">
        <f>[1]节奏总纲!AM354</f>
        <v>0</v>
      </c>
      <c r="AN354" s="31">
        <f>[1]节奏总纲!AN354</f>
        <v>0</v>
      </c>
      <c r="AO354" s="31">
        <f>[1]节奏总纲!AO354</f>
        <v>0</v>
      </c>
      <c r="AP354" s="31">
        <f>[1]节奏总纲!AP354</f>
        <v>0</v>
      </c>
      <c r="AQ354" s="31">
        <f>[1]节奏总纲!AQ354</f>
        <v>0</v>
      </c>
      <c r="AR354" s="29"/>
      <c r="AT354" s="31">
        <f>[1]节奏总纲!AT354</f>
        <v>0</v>
      </c>
      <c r="AU354" s="31">
        <f>[1]节奏总纲!AU354</f>
        <v>0</v>
      </c>
      <c r="AV354" s="31">
        <f>[1]节奏总纲!AV354</f>
        <v>0</v>
      </c>
      <c r="AW354" s="31">
        <f>[1]节奏总纲!AW354</f>
        <v>0</v>
      </c>
      <c r="AX354" s="31">
        <f>[1]节奏总纲!AX354</f>
        <v>0</v>
      </c>
      <c r="AY354" s="29"/>
      <c r="AZ354" s="31">
        <v>351</v>
      </c>
      <c r="BA354" s="31">
        <f>[1]节奏总纲!BA354</f>
        <v>46.484314901054333</v>
      </c>
      <c r="BB354" s="31">
        <f>[1]节奏总纲!BB354</f>
        <v>48.012182251254622</v>
      </c>
      <c r="BC354" s="31">
        <f>[1]节奏总纲!BC354</f>
        <v>49.9600233276417</v>
      </c>
      <c r="BD354" s="31">
        <f>[1]节奏总纲!BD354</f>
        <v>52.699540033697481</v>
      </c>
      <c r="BE354" s="31">
        <f>[1]节奏总纲!BE354</f>
        <v>57.411207078629346</v>
      </c>
      <c r="BG354" s="34"/>
      <c r="BP354" s="34"/>
    </row>
    <row r="355" spans="29:68" s="31" customFormat="1" x14ac:dyDescent="0.15">
      <c r="AC355" s="31">
        <v>352</v>
      </c>
      <c r="AD355" s="31">
        <f>[1]节奏总纲!AD355</f>
        <v>84.627188960991006</v>
      </c>
      <c r="AE355" s="31">
        <f>[1]节奏总纲!AE355</f>
        <v>86.741199854131281</v>
      </c>
      <c r="AF355" s="31">
        <f>[1]节奏总纲!AF355</f>
        <v>89.901349488276637</v>
      </c>
      <c r="AG355" s="31">
        <f>[1]节奏总纲!AG355</f>
        <v>94.850455735577853</v>
      </c>
      <c r="AH355" s="31">
        <f>[1]节奏总纲!AH355</f>
        <v>103.65547733786158</v>
      </c>
      <c r="AJ355" s="34"/>
      <c r="AM355" s="31">
        <f>[1]节奏总纲!AM355</f>
        <v>0</v>
      </c>
      <c r="AN355" s="31">
        <f>[1]节奏总纲!AN355</f>
        <v>0</v>
      </c>
      <c r="AO355" s="31">
        <f>[1]节奏总纲!AO355</f>
        <v>0</v>
      </c>
      <c r="AP355" s="31">
        <f>[1]节奏总纲!AP355</f>
        <v>0</v>
      </c>
      <c r="AQ355" s="31">
        <f>[1]节奏总纲!AQ355</f>
        <v>0</v>
      </c>
      <c r="AR355" s="29"/>
      <c r="AT355" s="31">
        <f>[1]节奏总纲!AT355</f>
        <v>0</v>
      </c>
      <c r="AU355" s="31">
        <f>[1]节奏总纲!AU355</f>
        <v>0</v>
      </c>
      <c r="AV355" s="31">
        <f>[1]节奏总纲!AV355</f>
        <v>0</v>
      </c>
      <c r="AW355" s="31">
        <f>[1]节奏总纲!AW355</f>
        <v>0</v>
      </c>
      <c r="AX355" s="31">
        <f>[1]节奏总纲!AX355</f>
        <v>0</v>
      </c>
      <c r="AY355" s="29"/>
      <c r="AZ355" s="31">
        <v>352</v>
      </c>
      <c r="BA355" s="31">
        <f>[1]节奏总纲!BA355</f>
        <v>46.503578943873059</v>
      </c>
      <c r="BB355" s="31">
        <f>[1]节奏总纲!BB355</f>
        <v>48.030128751164234</v>
      </c>
      <c r="BC355" s="31">
        <f>[1]节奏总纲!BC355</f>
        <v>49.980683106638239</v>
      </c>
      <c r="BD355" s="31">
        <f>[1]节奏总纲!BD355</f>
        <v>52.719493374493531</v>
      </c>
      <c r="BE355" s="31">
        <f>[1]节奏总纲!BE355</f>
        <v>57.430390958982713</v>
      </c>
      <c r="BG355" s="34"/>
      <c r="BP355" s="34"/>
    </row>
    <row r="356" spans="29:68" s="31" customFormat="1" x14ac:dyDescent="0.15">
      <c r="AC356" s="31">
        <v>353</v>
      </c>
      <c r="AD356" s="31">
        <f>[1]节奏总纲!AD356</f>
        <v>84.668435179500648</v>
      </c>
      <c r="AE356" s="31">
        <f>[1]节奏总纲!AE356</f>
        <v>86.782380436910358</v>
      </c>
      <c r="AF356" s="31">
        <f>[1]节奏总纲!AF356</f>
        <v>89.947816992621142</v>
      </c>
      <c r="AG356" s="31">
        <f>[1]节奏总纲!AG356</f>
        <v>94.894536390938271</v>
      </c>
      <c r="AH356" s="31">
        <f>[1]节奏总纲!AH356</f>
        <v>103.69602363621237</v>
      </c>
      <c r="AJ356" s="34"/>
      <c r="AM356" s="31">
        <f>[1]节奏总纲!AM356</f>
        <v>0</v>
      </c>
      <c r="AN356" s="31">
        <f>[1]节奏总纲!AN356</f>
        <v>0</v>
      </c>
      <c r="AO356" s="31">
        <f>[1]节奏总纲!AO356</f>
        <v>0</v>
      </c>
      <c r="AP356" s="31">
        <f>[1]节奏总纲!AP356</f>
        <v>0</v>
      </c>
      <c r="AQ356" s="31">
        <f>[1]节奏总纲!AQ356</f>
        <v>0</v>
      </c>
      <c r="AR356" s="29"/>
      <c r="AT356" s="31">
        <f>[1]节奏总纲!AT356</f>
        <v>0</v>
      </c>
      <c r="AU356" s="31">
        <f>[1]节奏总纲!AU356</f>
        <v>0</v>
      </c>
      <c r="AV356" s="31">
        <f>[1]节奏总纲!AV356</f>
        <v>0</v>
      </c>
      <c r="AW356" s="31">
        <f>[1]节奏总纲!AW356</f>
        <v>0</v>
      </c>
      <c r="AX356" s="31">
        <f>[1]节奏总纲!AX356</f>
        <v>0</v>
      </c>
      <c r="AY356" s="29"/>
      <c r="AZ356" s="31">
        <v>353</v>
      </c>
      <c r="BA356" s="31">
        <f>[1]节奏总纲!BA356</f>
        <v>46.522842986691785</v>
      </c>
      <c r="BB356" s="31">
        <f>[1]节奏总纲!BB356</f>
        <v>48.048075251073854</v>
      </c>
      <c r="BC356" s="31">
        <f>[1]节奏总纲!BC356</f>
        <v>50.00115951426713</v>
      </c>
      <c r="BD356" s="31">
        <f>[1]节奏总纲!BD356</f>
        <v>52.739446715289581</v>
      </c>
      <c r="BE356" s="31">
        <f>[1]节奏总纲!BE356</f>
        <v>57.44957483933608</v>
      </c>
      <c r="BG356" s="34"/>
      <c r="BP356" s="34"/>
    </row>
    <row r="357" spans="29:68" s="31" customFormat="1" x14ac:dyDescent="0.15">
      <c r="AC357" s="31">
        <v>354</v>
      </c>
      <c r="AD357" s="31">
        <f>[1]节奏总纲!AD357</f>
        <v>84.709681398010289</v>
      </c>
      <c r="AE357" s="31">
        <f>[1]节奏总纲!AE357</f>
        <v>86.823561019689436</v>
      </c>
      <c r="AF357" s="31">
        <f>[1]节奏总纲!AF357</f>
        <v>89.994284496965633</v>
      </c>
      <c r="AG357" s="31">
        <f>[1]节奏总纲!AG357</f>
        <v>94.938617046298702</v>
      </c>
      <c r="AH357" s="31">
        <f>[1]节奏总纲!AH357</f>
        <v>103.73656993456318</v>
      </c>
      <c r="AJ357" s="34"/>
      <c r="AM357" s="31">
        <f>[1]节奏总纲!AM357</f>
        <v>0</v>
      </c>
      <c r="AN357" s="31">
        <f>[1]节奏总纲!AN357</f>
        <v>0</v>
      </c>
      <c r="AO357" s="31">
        <f>[1]节奏总纲!AO357</f>
        <v>0</v>
      </c>
      <c r="AP357" s="31">
        <f>[1]节奏总纲!AP357</f>
        <v>0</v>
      </c>
      <c r="AQ357" s="31">
        <f>[1]节奏总纲!AQ357</f>
        <v>0</v>
      </c>
      <c r="AR357" s="29"/>
      <c r="AT357" s="31">
        <f>[1]节奏总纲!AT357</f>
        <v>0</v>
      </c>
      <c r="AU357" s="31">
        <f>[1]节奏总纲!AU357</f>
        <v>0</v>
      </c>
      <c r="AV357" s="31">
        <f>[1]节奏总纲!AV357</f>
        <v>0</v>
      </c>
      <c r="AW357" s="31">
        <f>[1]节奏总纲!AW357</f>
        <v>0</v>
      </c>
      <c r="AX357" s="31">
        <f>[1]节奏总纲!AX357</f>
        <v>0</v>
      </c>
      <c r="AY357" s="29"/>
      <c r="AZ357" s="31">
        <v>354</v>
      </c>
      <c r="BA357" s="31">
        <f>[1]节奏总纲!BA357</f>
        <v>46.542107029510518</v>
      </c>
      <c r="BB357" s="31">
        <f>[1]节奏总纲!BB357</f>
        <v>48.066021750983474</v>
      </c>
      <c r="BC357" s="31">
        <f>[1]节奏总纲!BC357</f>
        <v>50.018998195299922</v>
      </c>
      <c r="BD357" s="31">
        <f>[1]节奏总纲!BD357</f>
        <v>52.759400056085624</v>
      </c>
      <c r="BE357" s="31">
        <f>[1]节奏总纲!BE357</f>
        <v>57.468758719689447</v>
      </c>
      <c r="BG357" s="34"/>
      <c r="BP357" s="34"/>
    </row>
    <row r="358" spans="29:68" s="31" customFormat="1" x14ac:dyDescent="0.15">
      <c r="AC358" s="31">
        <v>355</v>
      </c>
      <c r="AD358" s="31">
        <f>[1]节奏总纲!AD358</f>
        <v>84.750927616519931</v>
      </c>
      <c r="AE358" s="31">
        <f>[1]节奏总纲!AE358</f>
        <v>86.864741602468499</v>
      </c>
      <c r="AF358" s="31">
        <f>[1]节奏总纲!AF358</f>
        <v>90.036066635925749</v>
      </c>
      <c r="AG358" s="31">
        <f>[1]节奏总纲!AG358</f>
        <v>94.982697701659134</v>
      </c>
      <c r="AH358" s="31">
        <f>[1]节奏总纲!AH358</f>
        <v>103.77711623291397</v>
      </c>
      <c r="AJ358" s="34"/>
      <c r="AM358" s="31">
        <f>[1]节奏总纲!AM358</f>
        <v>0</v>
      </c>
      <c r="AN358" s="31">
        <f>[1]节奏总纲!AN358</f>
        <v>0</v>
      </c>
      <c r="AO358" s="31">
        <f>[1]节奏总纲!AO358</f>
        <v>0</v>
      </c>
      <c r="AP358" s="31">
        <f>[1]节奏总纲!AP358</f>
        <v>0</v>
      </c>
      <c r="AQ358" s="31">
        <f>[1]节奏总纲!AQ358</f>
        <v>0</v>
      </c>
      <c r="AR358" s="29"/>
      <c r="AT358" s="31">
        <f>[1]节奏总纲!AT358</f>
        <v>0</v>
      </c>
      <c r="AU358" s="31">
        <f>[1]节奏总纲!AU358</f>
        <v>0</v>
      </c>
      <c r="AV358" s="31">
        <f>[1]节奏总纲!AV358</f>
        <v>0</v>
      </c>
      <c r="AW358" s="31">
        <f>[1]节奏总纲!AW358</f>
        <v>0</v>
      </c>
      <c r="AX358" s="31">
        <f>[1]节奏总纲!AX358</f>
        <v>0</v>
      </c>
      <c r="AY358" s="29"/>
      <c r="AZ358" s="31">
        <v>355</v>
      </c>
      <c r="BA358" s="31">
        <f>[1]节奏总纲!BA358</f>
        <v>46.561371072329244</v>
      </c>
      <c r="BB358" s="31">
        <f>[1]节奏总纲!BB358</f>
        <v>48.083968250893093</v>
      </c>
      <c r="BC358" s="31">
        <f>[1]节奏总纲!BC358</f>
        <v>50.036836876332707</v>
      </c>
      <c r="BD358" s="31">
        <f>[1]节奏总纲!BD358</f>
        <v>52.779353396881675</v>
      </c>
      <c r="BE358" s="31">
        <f>[1]节奏总纲!BE358</f>
        <v>57.487942600042821</v>
      </c>
      <c r="BG358" s="34"/>
      <c r="BP358" s="34"/>
    </row>
    <row r="359" spans="29:68" s="31" customFormat="1" x14ac:dyDescent="0.15">
      <c r="AC359" s="31">
        <v>356</v>
      </c>
      <c r="AD359" s="31">
        <f>[1]节奏总纲!AD359</f>
        <v>84.792173835029573</v>
      </c>
      <c r="AE359" s="31">
        <f>[1]节奏总纲!AE359</f>
        <v>86.905922185247576</v>
      </c>
      <c r="AF359" s="31">
        <f>[1]节奏总纲!AF359</f>
        <v>90.077191648383845</v>
      </c>
      <c r="AG359" s="31">
        <f>[1]节奏总纲!AG359</f>
        <v>95.024001308619916</v>
      </c>
      <c r="AH359" s="31">
        <f>[1]节奏总纲!AH359</f>
        <v>103.81766253126477</v>
      </c>
      <c r="AJ359" s="34"/>
      <c r="AM359" s="31">
        <f>[1]节奏总纲!AM359</f>
        <v>0</v>
      </c>
      <c r="AN359" s="31">
        <f>[1]节奏总纲!AN359</f>
        <v>0</v>
      </c>
      <c r="AO359" s="31">
        <f>[1]节奏总纲!AO359</f>
        <v>0</v>
      </c>
      <c r="AP359" s="31">
        <f>[1]节奏总纲!AP359</f>
        <v>0</v>
      </c>
      <c r="AQ359" s="31">
        <f>[1]节奏总纲!AQ359</f>
        <v>0</v>
      </c>
      <c r="AR359" s="29"/>
      <c r="AT359" s="31">
        <f>[1]节奏总纲!AT359</f>
        <v>0</v>
      </c>
      <c r="AU359" s="31">
        <f>[1]节奏总纲!AU359</f>
        <v>0</v>
      </c>
      <c r="AV359" s="31">
        <f>[1]节奏总纲!AV359</f>
        <v>0</v>
      </c>
      <c r="AW359" s="31">
        <f>[1]节奏总纲!AW359</f>
        <v>0</v>
      </c>
      <c r="AX359" s="31">
        <f>[1]节奏总纲!AX359</f>
        <v>0</v>
      </c>
      <c r="AY359" s="29"/>
      <c r="AZ359" s="31">
        <v>356</v>
      </c>
      <c r="BA359" s="31">
        <f>[1]节奏总纲!BA359</f>
        <v>46.58063511514797</v>
      </c>
      <c r="BB359" s="31">
        <f>[1]节奏总纲!BB359</f>
        <v>48.101914750802706</v>
      </c>
      <c r="BC359" s="31">
        <f>[1]节奏总纲!BC359</f>
        <v>50.054675557365492</v>
      </c>
      <c r="BD359" s="31">
        <f>[1]节奏总纲!BD359</f>
        <v>52.799306737677718</v>
      </c>
      <c r="BE359" s="31">
        <f>[1]节奏总纲!BE359</f>
        <v>57.507126480396188</v>
      </c>
      <c r="BG359" s="34"/>
      <c r="BP359" s="34"/>
    </row>
    <row r="360" spans="29:68" s="31" customFormat="1" x14ac:dyDescent="0.15">
      <c r="AC360" s="31">
        <v>357</v>
      </c>
      <c r="AD360" s="31">
        <f>[1]节奏总纲!AD360</f>
        <v>84.833420053539214</v>
      </c>
      <c r="AE360" s="31">
        <f>[1]节奏总纲!AE360</f>
        <v>86.947102768026653</v>
      </c>
      <c r="AF360" s="31">
        <f>[1]节奏总纲!AF360</f>
        <v>90.118316660841927</v>
      </c>
      <c r="AG360" s="31">
        <f>[1]节奏总纲!AG360</f>
        <v>95.063510581451752</v>
      </c>
      <c r="AH360" s="31">
        <f>[1]节奏总纲!AH360</f>
        <v>103.85820882961556</v>
      </c>
      <c r="AJ360" s="34"/>
      <c r="AM360" s="31">
        <f>[1]节奏总纲!AM360</f>
        <v>0</v>
      </c>
      <c r="AN360" s="31">
        <f>[1]节奏总纲!AN360</f>
        <v>0</v>
      </c>
      <c r="AO360" s="31">
        <f>[1]节奏总纲!AO360</f>
        <v>0</v>
      </c>
      <c r="AP360" s="31">
        <f>[1]节奏总纲!AP360</f>
        <v>0</v>
      </c>
      <c r="AQ360" s="31">
        <f>[1]节奏总纲!AQ360</f>
        <v>0</v>
      </c>
      <c r="AR360" s="29"/>
      <c r="AT360" s="31">
        <f>[1]节奏总纲!AT360</f>
        <v>0</v>
      </c>
      <c r="AU360" s="31">
        <f>[1]节奏总纲!AU360</f>
        <v>0</v>
      </c>
      <c r="AV360" s="31">
        <f>[1]节奏总纲!AV360</f>
        <v>0</v>
      </c>
      <c r="AW360" s="31">
        <f>[1]节奏总纲!AW360</f>
        <v>0</v>
      </c>
      <c r="AX360" s="31">
        <f>[1]节奏总纲!AX360</f>
        <v>0</v>
      </c>
      <c r="AY360" s="29"/>
      <c r="AZ360" s="31">
        <v>357</v>
      </c>
      <c r="BA360" s="31">
        <f>[1]节奏总纲!BA360</f>
        <v>46.599899157966696</v>
      </c>
      <c r="BB360" s="31">
        <f>[1]节奏总纲!BB360</f>
        <v>48.119861250712326</v>
      </c>
      <c r="BC360" s="31">
        <f>[1]节奏总纲!BC360</f>
        <v>50.072514238398277</v>
      </c>
      <c r="BD360" s="31">
        <f>[1]节奏总纲!BD360</f>
        <v>52.819260078473768</v>
      </c>
      <c r="BE360" s="31">
        <f>[1]节奏总纲!BE360</f>
        <v>57.526310360749555</v>
      </c>
      <c r="BG360" s="34"/>
      <c r="BP360" s="34"/>
    </row>
    <row r="361" spans="29:68" s="31" customFormat="1" x14ac:dyDescent="0.15">
      <c r="AC361" s="31">
        <v>358</v>
      </c>
      <c r="AD361" s="31">
        <f>[1]节奏总纲!AD361</f>
        <v>84.874666272048856</v>
      </c>
      <c r="AE361" s="31">
        <f>[1]节奏总纲!AE361</f>
        <v>86.98828335080573</v>
      </c>
      <c r="AF361" s="31">
        <f>[1]节奏总纲!AF361</f>
        <v>90.159441673300023</v>
      </c>
      <c r="AG361" s="31">
        <f>[1]节奏总纲!AG361</f>
        <v>95.103019854283588</v>
      </c>
      <c r="AH361" s="31">
        <f>[1]节奏总纲!AH361</f>
        <v>103.89875512796635</v>
      </c>
      <c r="AJ361" s="34"/>
      <c r="AM361" s="31">
        <f>[1]节奏总纲!AM361</f>
        <v>0</v>
      </c>
      <c r="AN361" s="31">
        <f>[1]节奏总纲!AN361</f>
        <v>0</v>
      </c>
      <c r="AO361" s="31">
        <f>[1]节奏总纲!AO361</f>
        <v>0</v>
      </c>
      <c r="AP361" s="31">
        <f>[1]节奏总纲!AP361</f>
        <v>0</v>
      </c>
      <c r="AQ361" s="31">
        <f>[1]节奏总纲!AQ361</f>
        <v>0</v>
      </c>
      <c r="AR361" s="29"/>
      <c r="AT361" s="31">
        <f>[1]节奏总纲!AT361</f>
        <v>0</v>
      </c>
      <c r="AU361" s="31">
        <f>[1]节奏总纲!AU361</f>
        <v>0</v>
      </c>
      <c r="AV361" s="31">
        <f>[1]节奏总纲!AV361</f>
        <v>0</v>
      </c>
      <c r="AW361" s="31">
        <f>[1]节奏总纲!AW361</f>
        <v>0</v>
      </c>
      <c r="AX361" s="31">
        <f>[1]节奏总纲!AX361</f>
        <v>0</v>
      </c>
      <c r="AY361" s="29"/>
      <c r="AZ361" s="31">
        <v>358</v>
      </c>
      <c r="BA361" s="31">
        <f>[1]节奏总纲!BA361</f>
        <v>46.619163200785422</v>
      </c>
      <c r="BB361" s="31">
        <f>[1]节奏总纲!BB361</f>
        <v>48.137807750621946</v>
      </c>
      <c r="BC361" s="31">
        <f>[1]节奏总纲!BC361</f>
        <v>50.090352919431069</v>
      </c>
      <c r="BD361" s="31">
        <f>[1]节奏总纲!BD361</f>
        <v>52.839213419269818</v>
      </c>
      <c r="BE361" s="31">
        <f>[1]节奏总纲!BE361</f>
        <v>57.545494241102922</v>
      </c>
      <c r="BG361" s="34"/>
      <c r="BP361" s="34"/>
    </row>
    <row r="362" spans="29:68" s="31" customFormat="1" x14ac:dyDescent="0.15">
      <c r="AC362" s="31">
        <v>359</v>
      </c>
      <c r="AD362" s="31">
        <f>[1]节奏总纲!AD362</f>
        <v>84.915912490558497</v>
      </c>
      <c r="AE362" s="31">
        <f>[1]节奏总纲!AE362</f>
        <v>87.027010646912942</v>
      </c>
      <c r="AF362" s="31">
        <f>[1]节奏总纲!AF362</f>
        <v>90.200566685758119</v>
      </c>
      <c r="AG362" s="31">
        <f>[1]节奏总纲!AG362</f>
        <v>95.142529127115409</v>
      </c>
      <c r="AH362" s="31">
        <f>[1]节奏总纲!AH362</f>
        <v>103.93930142631716</v>
      </c>
      <c r="AJ362" s="34"/>
      <c r="AM362" s="31">
        <f>[1]节奏总纲!AM362</f>
        <v>0</v>
      </c>
      <c r="AN362" s="31">
        <f>[1]节奏总纲!AN362</f>
        <v>0</v>
      </c>
      <c r="AO362" s="31">
        <f>[1]节奏总纲!AO362</f>
        <v>0</v>
      </c>
      <c r="AP362" s="31">
        <f>[1]节奏总纲!AP362</f>
        <v>0</v>
      </c>
      <c r="AQ362" s="31">
        <f>[1]节奏总纲!AQ362</f>
        <v>0</v>
      </c>
      <c r="AR362" s="29"/>
      <c r="AT362" s="31">
        <f>[1]节奏总纲!AT362</f>
        <v>0</v>
      </c>
      <c r="AU362" s="31">
        <f>[1]节奏总纲!AU362</f>
        <v>0</v>
      </c>
      <c r="AV362" s="31">
        <f>[1]节奏总纲!AV362</f>
        <v>0</v>
      </c>
      <c r="AW362" s="31">
        <f>[1]节奏总纲!AW362</f>
        <v>0</v>
      </c>
      <c r="AX362" s="31">
        <f>[1]节奏总纲!AX362</f>
        <v>0</v>
      </c>
      <c r="AY362" s="29"/>
      <c r="AZ362" s="31">
        <v>359</v>
      </c>
      <c r="BA362" s="31">
        <f>[1]节奏总纲!BA362</f>
        <v>46.638427243604156</v>
      </c>
      <c r="BB362" s="31">
        <f>[1]节奏总纲!BB362</f>
        <v>48.155754250531558</v>
      </c>
      <c r="BC362" s="31">
        <f>[1]节奏总纲!BC362</f>
        <v>50.108191600463854</v>
      </c>
      <c r="BD362" s="31">
        <f>[1]节奏总纲!BD362</f>
        <v>52.859166760065861</v>
      </c>
      <c r="BE362" s="31">
        <f>[1]节奏总纲!BE362</f>
        <v>57.564678121456289</v>
      </c>
      <c r="BG362" s="34"/>
      <c r="BP362" s="34"/>
    </row>
    <row r="363" spans="29:68" s="31" customFormat="1" x14ac:dyDescent="0.15">
      <c r="AC363" s="31">
        <v>360</v>
      </c>
      <c r="AD363" s="31">
        <f>[1]节奏总纲!AD363</f>
        <v>84.957158709068153</v>
      </c>
      <c r="AE363" s="31">
        <f>[1]节奏总纲!AE363</f>
        <v>87.064762367263285</v>
      </c>
      <c r="AF363" s="31">
        <f>[1]节奏总纲!AF363</f>
        <v>90.241691698216215</v>
      </c>
      <c r="AG363" s="31">
        <f>[1]节奏总纲!AG363</f>
        <v>95.182038399947245</v>
      </c>
      <c r="AH363" s="31">
        <f>[1]节奏总纲!AH363</f>
        <v>103.97984772466795</v>
      </c>
      <c r="AJ363" s="34"/>
      <c r="AM363" s="31">
        <f>[1]节奏总纲!AM363</f>
        <v>0</v>
      </c>
      <c r="AN363" s="31">
        <f>[1]节奏总纲!AN363</f>
        <v>0</v>
      </c>
      <c r="AO363" s="31">
        <f>[1]节奏总纲!AO363</f>
        <v>0</v>
      </c>
      <c r="AP363" s="31">
        <f>[1]节奏总纲!AP363</f>
        <v>0</v>
      </c>
      <c r="AQ363" s="31">
        <f>[1]节奏总纲!AQ363</f>
        <v>0</v>
      </c>
      <c r="AR363" s="29"/>
      <c r="AT363" s="31">
        <f>[1]节奏总纲!AT363</f>
        <v>0</v>
      </c>
      <c r="AU363" s="31">
        <f>[1]节奏总纲!AU363</f>
        <v>0</v>
      </c>
      <c r="AV363" s="31">
        <f>[1]节奏总纲!AV363</f>
        <v>0</v>
      </c>
      <c r="AW363" s="31">
        <f>[1]节奏总纲!AW363</f>
        <v>0</v>
      </c>
      <c r="AX363" s="31">
        <f>[1]节奏总纲!AX363</f>
        <v>0</v>
      </c>
      <c r="AY363" s="29"/>
      <c r="AZ363" s="31">
        <v>360</v>
      </c>
      <c r="BA363" s="31">
        <f>[1]节奏总纲!BA363</f>
        <v>46.657691286422882</v>
      </c>
      <c r="BB363" s="31">
        <f>[1]节奏总纲!BB363</f>
        <v>48.173700750441178</v>
      </c>
      <c r="BC363" s="31">
        <f>[1]节奏总纲!BC363</f>
        <v>50.126030281496639</v>
      </c>
      <c r="BD363" s="31">
        <f>[1]节奏总纲!BD363</f>
        <v>52.879120100861911</v>
      </c>
      <c r="BE363" s="31">
        <f>[1]节奏总纲!BE363</f>
        <v>57.583862001809656</v>
      </c>
      <c r="BG363" s="34"/>
      <c r="BP363" s="34"/>
    </row>
  </sheetData>
  <mergeCells count="14">
    <mergeCell ref="B6:D6"/>
    <mergeCell ref="B22:D22"/>
    <mergeCell ref="W2:AA2"/>
    <mergeCell ref="AD2:AH2"/>
    <mergeCell ref="AM2:AQ2"/>
    <mergeCell ref="AT2:AX2"/>
    <mergeCell ref="BA2:BE2"/>
    <mergeCell ref="BJ2:BN2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3:K95"/>
  <sheetViews>
    <sheetView workbookViewId="0">
      <pane ySplit="4" topLeftCell="A20" activePane="bottomLeft" state="frozen"/>
      <selection pane="bottomLeft" activeCell="I51" sqref="I51"/>
    </sheetView>
  </sheetViews>
  <sheetFormatPr defaultColWidth="6.625" defaultRowHeight="11.25" x14ac:dyDescent="0.15"/>
  <cols>
    <col min="1" max="2" width="6.625" style="3"/>
    <col min="3" max="3" width="50.5" style="3" bestFit="1" customWidth="1"/>
    <col min="4" max="4" width="6.625" style="4" customWidth="1"/>
    <col min="5" max="7" width="6.625" style="3"/>
    <col min="8" max="8" width="6.625" style="4" customWidth="1"/>
    <col min="9" max="9" width="9.75" style="3" bestFit="1" customWidth="1"/>
    <col min="10" max="10" width="6.625" style="3"/>
    <col min="11" max="11" width="38.875" style="3" bestFit="1" customWidth="1"/>
    <col min="12" max="16384" width="6.625" style="3"/>
  </cols>
  <sheetData>
    <row r="3" spans="3:11" ht="13.5" customHeight="1" x14ac:dyDescent="0.15">
      <c r="D3" s="65" t="s">
        <v>90</v>
      </c>
      <c r="E3" s="65"/>
      <c r="F3" s="65"/>
      <c r="G3" s="65"/>
    </row>
    <row r="4" spans="3:11" x14ac:dyDescent="0.15">
      <c r="C4" s="8"/>
      <c r="D4" s="8" t="s">
        <v>86</v>
      </c>
      <c r="E4" s="9" t="s">
        <v>0</v>
      </c>
      <c r="F4" s="9" t="s">
        <v>1</v>
      </c>
      <c r="G4" s="9" t="s">
        <v>72</v>
      </c>
      <c r="H4" s="9" t="s">
        <v>87</v>
      </c>
      <c r="I4" s="9" t="s">
        <v>73</v>
      </c>
      <c r="J4" s="9" t="s">
        <v>74</v>
      </c>
      <c r="K4" s="10" t="s">
        <v>78</v>
      </c>
    </row>
    <row r="5" spans="3:11" x14ac:dyDescent="0.15">
      <c r="C5" s="1" t="s">
        <v>71</v>
      </c>
      <c r="D5" s="7">
        <v>1</v>
      </c>
      <c r="E5" s="1"/>
      <c r="F5" s="1"/>
      <c r="G5" s="1"/>
      <c r="H5" s="11">
        <v>1</v>
      </c>
      <c r="I5" s="6">
        <v>12000</v>
      </c>
      <c r="J5" s="1">
        <f>I5*H5</f>
        <v>12000</v>
      </c>
      <c r="K5" s="1"/>
    </row>
    <row r="6" spans="3:11" x14ac:dyDescent="0.15">
      <c r="C6" s="1" t="s">
        <v>15</v>
      </c>
      <c r="D6" s="7">
        <v>1</v>
      </c>
      <c r="E6" s="1"/>
      <c r="F6" s="1"/>
      <c r="G6" s="1"/>
      <c r="H6" s="11">
        <v>1</v>
      </c>
      <c r="I6" s="6">
        <v>12000</v>
      </c>
      <c r="J6" s="1">
        <f>H6*I6</f>
        <v>12000</v>
      </c>
      <c r="K6" s="1"/>
    </row>
    <row r="7" spans="3:11" x14ac:dyDescent="0.15">
      <c r="C7" s="1" t="s">
        <v>16</v>
      </c>
      <c r="D7" s="7">
        <v>1</v>
      </c>
      <c r="E7" s="1"/>
      <c r="F7" s="1"/>
      <c r="G7" s="1"/>
      <c r="H7" s="11">
        <v>1</v>
      </c>
      <c r="I7" s="6">
        <v>12000</v>
      </c>
      <c r="J7" s="1">
        <f>H7*I7</f>
        <v>12000</v>
      </c>
      <c r="K7" s="1"/>
    </row>
    <row r="8" spans="3:11" x14ac:dyDescent="0.15">
      <c r="C8" s="1" t="s">
        <v>2</v>
      </c>
      <c r="D8" s="7">
        <v>1</v>
      </c>
      <c r="E8" s="1"/>
      <c r="F8" s="1"/>
      <c r="G8" s="1"/>
      <c r="H8" s="11">
        <v>0.04</v>
      </c>
      <c r="I8" s="1" t="e">
        <f>#REF!*50%*1*'[1]功能-付费相关'!$S$65+#REF!*70%*1*'[1]功能-付费相关'!$S$65</f>
        <v>#REF!</v>
      </c>
      <c r="J8" s="1" t="e">
        <f>I8*H8</f>
        <v>#REF!</v>
      </c>
      <c r="K8" s="1"/>
    </row>
    <row r="9" spans="3:11" x14ac:dyDescent="0.15">
      <c r="C9" s="1" t="s">
        <v>6</v>
      </c>
      <c r="D9" s="7">
        <v>1</v>
      </c>
      <c r="E9" s="1"/>
      <c r="F9" s="1"/>
      <c r="G9" s="1"/>
      <c r="H9" s="11">
        <v>0.2</v>
      </c>
      <c r="I9" s="1"/>
      <c r="J9" s="1">
        <f>I9*H9</f>
        <v>0</v>
      </c>
      <c r="K9" s="1"/>
    </row>
    <row r="10" spans="3:11" x14ac:dyDescent="0.15">
      <c r="C10" s="1" t="s">
        <v>14</v>
      </c>
      <c r="D10" s="7">
        <v>1</v>
      </c>
      <c r="E10" s="1"/>
      <c r="F10" s="1"/>
      <c r="G10" s="1"/>
      <c r="H10" s="2"/>
      <c r="I10" s="1"/>
      <c r="J10" s="1"/>
      <c r="K10" s="1"/>
    </row>
    <row r="11" spans="3:11" x14ac:dyDescent="0.15">
      <c r="C11" s="1" t="s">
        <v>77</v>
      </c>
      <c r="D11" s="7">
        <v>1</v>
      </c>
      <c r="E11" s="1"/>
      <c r="F11" s="1"/>
      <c r="G11" s="1"/>
      <c r="H11" s="11">
        <v>2.9000000000000001E-2</v>
      </c>
      <c r="I11" s="1" t="e">
        <f>#REF!*70%*1*'[1]功能-付费相关'!$S$65+#REF!*70%*1*'[1]功能-付费相关'!$S$65</f>
        <v>#REF!</v>
      </c>
      <c r="J11" s="1" t="e">
        <f t="shared" ref="J11:J20" si="0">I11*H11</f>
        <v>#REF!</v>
      </c>
      <c r="K11" s="1"/>
    </row>
    <row r="12" spans="3:11" x14ac:dyDescent="0.15">
      <c r="C12" s="1" t="s">
        <v>3</v>
      </c>
      <c r="D12" s="7">
        <v>1</v>
      </c>
      <c r="E12" s="1"/>
      <c r="F12" s="1"/>
      <c r="G12" s="1"/>
      <c r="H12" s="2">
        <v>1</v>
      </c>
      <c r="I12" s="1"/>
      <c r="J12" s="1">
        <f t="shared" si="0"/>
        <v>0</v>
      </c>
      <c r="K12" s="1"/>
    </row>
    <row r="13" spans="3:11" x14ac:dyDescent="0.15">
      <c r="C13" s="1" t="s">
        <v>4</v>
      </c>
      <c r="D13" s="7">
        <v>1</v>
      </c>
      <c r="E13" s="1"/>
      <c r="F13" s="1"/>
      <c r="G13" s="1"/>
      <c r="H13" s="11">
        <v>0.02</v>
      </c>
      <c r="I13" s="1"/>
      <c r="J13" s="1">
        <f t="shared" si="0"/>
        <v>0</v>
      </c>
      <c r="K13" s="1"/>
    </row>
    <row r="14" spans="3:11" x14ac:dyDescent="0.15">
      <c r="C14" s="1" t="s">
        <v>5</v>
      </c>
      <c r="D14" s="7">
        <v>1</v>
      </c>
      <c r="E14" s="1"/>
      <c r="F14" s="1"/>
      <c r="G14" s="1"/>
      <c r="H14" s="11">
        <v>0.02</v>
      </c>
      <c r="I14" s="1"/>
      <c r="J14" s="1">
        <f t="shared" si="0"/>
        <v>0</v>
      </c>
      <c r="K14" s="1"/>
    </row>
    <row r="15" spans="3:11" x14ac:dyDescent="0.15">
      <c r="C15" s="1" t="s">
        <v>9</v>
      </c>
      <c r="D15" s="7">
        <v>1</v>
      </c>
      <c r="E15" s="1"/>
      <c r="F15" s="1"/>
      <c r="G15" s="1"/>
      <c r="H15" s="11">
        <v>0.08</v>
      </c>
      <c r="I15" s="1">
        <f>'[1]资源-木石铜粮'!$BE$65*1*'[1]功能-付费相关'!$S$65/4</f>
        <v>12122.549642900949</v>
      </c>
      <c r="J15" s="1">
        <f t="shared" si="0"/>
        <v>969.80397143207597</v>
      </c>
      <c r="K15" s="1"/>
    </row>
    <row r="16" spans="3:11" x14ac:dyDescent="0.15">
      <c r="C16" s="1" t="s">
        <v>7</v>
      </c>
      <c r="D16" s="7">
        <v>1</v>
      </c>
      <c r="E16" s="1"/>
      <c r="F16" s="1"/>
      <c r="G16" s="1"/>
      <c r="H16" s="11">
        <v>0.25</v>
      </c>
      <c r="I16" s="1">
        <f>'[1]功能-行军令'!$EG$64*1*'[1]功能-付费相关'!$S$65/4</f>
        <v>0</v>
      </c>
      <c r="J16" s="1">
        <f t="shared" si="0"/>
        <v>0</v>
      </c>
      <c r="K16" s="1"/>
    </row>
    <row r="17" spans="3:11" x14ac:dyDescent="0.15">
      <c r="C17" s="1" t="s">
        <v>8</v>
      </c>
      <c r="D17" s="7">
        <v>1</v>
      </c>
      <c r="E17" s="1"/>
      <c r="F17" s="1"/>
      <c r="G17" s="1"/>
      <c r="H17" s="11">
        <v>0.25</v>
      </c>
      <c r="I17" s="1">
        <f>I16</f>
        <v>0</v>
      </c>
      <c r="J17" s="1">
        <f t="shared" si="0"/>
        <v>0</v>
      </c>
      <c r="K17" s="1"/>
    </row>
    <row r="18" spans="3:11" x14ac:dyDescent="0.15">
      <c r="C18" s="1" t="s">
        <v>10</v>
      </c>
      <c r="D18" s="7">
        <v>1</v>
      </c>
      <c r="E18" s="1"/>
      <c r="F18" s="1"/>
      <c r="G18" s="1"/>
      <c r="H18" s="11">
        <v>0.25</v>
      </c>
      <c r="I18" s="1">
        <f>I16</f>
        <v>0</v>
      </c>
      <c r="J18" s="1">
        <f t="shared" si="0"/>
        <v>0</v>
      </c>
      <c r="K18" s="1"/>
    </row>
    <row r="19" spans="3:11" x14ac:dyDescent="0.15">
      <c r="C19" s="1" t="s">
        <v>75</v>
      </c>
      <c r="D19" s="7">
        <v>1</v>
      </c>
      <c r="E19" s="1"/>
      <c r="F19" s="1"/>
      <c r="G19" s="1"/>
      <c r="H19" s="11">
        <v>0.25</v>
      </c>
      <c r="I19" s="1">
        <f>'[1]功能-行军令'!$EL$64*1*'[1]功能-付费相关'!$S$65</f>
        <v>0</v>
      </c>
      <c r="J19" s="1">
        <f t="shared" si="0"/>
        <v>0</v>
      </c>
      <c r="K19" s="1"/>
    </row>
    <row r="20" spans="3:11" x14ac:dyDescent="0.15">
      <c r="C20" s="1" t="s">
        <v>101</v>
      </c>
      <c r="D20" s="7">
        <v>1</v>
      </c>
      <c r="E20" s="1"/>
      <c r="F20" s="1"/>
      <c r="G20" s="1"/>
      <c r="H20" s="11">
        <v>0.28999999999999998</v>
      </c>
      <c r="I20" s="1">
        <f>'[1]功能-城建'!$EQ$63*1*'[1]功能-付费相关'!$S$65/4</f>
        <v>1742.4434718497944</v>
      </c>
      <c r="J20" s="1">
        <f t="shared" si="0"/>
        <v>505.30860683644033</v>
      </c>
      <c r="K20" s="1"/>
    </row>
    <row r="21" spans="3:11" x14ac:dyDescent="0.15">
      <c r="C21" s="1" t="s">
        <v>11</v>
      </c>
      <c r="D21" s="7">
        <v>1</v>
      </c>
      <c r="E21" s="1"/>
      <c r="F21" s="1"/>
      <c r="G21" s="1"/>
      <c r="H21" s="2"/>
      <c r="I21" s="1"/>
      <c r="J21" s="1"/>
      <c r="K21" s="1"/>
    </row>
    <row r="22" spans="3:11" x14ac:dyDescent="0.15">
      <c r="C22" s="1" t="s">
        <v>12</v>
      </c>
      <c r="D22" s="7">
        <v>1</v>
      </c>
      <c r="E22" s="1"/>
      <c r="F22" s="1"/>
      <c r="G22" s="1"/>
      <c r="H22" s="11">
        <v>0.16</v>
      </c>
      <c r="I22" s="1">
        <f>'[1]功能-城建'!$GF$63*1*'[1]功能-付费相关'!$AQ$65</f>
        <v>3471.5697187318792</v>
      </c>
      <c r="J22" s="1">
        <f>I22*H22</f>
        <v>555.45115499710073</v>
      </c>
      <c r="K22" s="1"/>
    </row>
    <row r="23" spans="3:11" x14ac:dyDescent="0.15">
      <c r="C23" s="1" t="s">
        <v>13</v>
      </c>
      <c r="D23" s="7">
        <v>1</v>
      </c>
      <c r="E23" s="1"/>
      <c r="F23" s="1"/>
      <c r="G23" s="1"/>
      <c r="H23" s="2"/>
      <c r="I23" s="1"/>
      <c r="J23" s="1"/>
      <c r="K23" s="1"/>
    </row>
    <row r="24" spans="3:11" x14ac:dyDescent="0.15">
      <c r="C24" s="1" t="s">
        <v>76</v>
      </c>
      <c r="D24" s="7">
        <v>1</v>
      </c>
      <c r="E24" s="1"/>
      <c r="F24" s="1"/>
      <c r="G24" s="1"/>
      <c r="H24" s="11">
        <v>5.0000000000000001E-3</v>
      </c>
      <c r="I24" s="2">
        <f>求节点([1]节奏总纲!$AM$4:$AM$53,'[1]资源-玩家城池建筑时间'!$T$6:$T$55,[1]节奏总纲!$P$63)*1*'[1]功能-付费相关'!$AH$65</f>
        <v>0.19414859212134519</v>
      </c>
      <c r="J24" s="1">
        <f>I24*H24</f>
        <v>9.7074296060672602E-4</v>
      </c>
      <c r="K24" s="1"/>
    </row>
    <row r="26" spans="3:11" x14ac:dyDescent="0.15">
      <c r="C26" s="1" t="s">
        <v>17</v>
      </c>
      <c r="D26" s="2">
        <v>1</v>
      </c>
      <c r="E26" s="1"/>
      <c r="F26" s="1"/>
      <c r="G26" s="1"/>
      <c r="H26" s="2"/>
      <c r="I26" s="1"/>
      <c r="J26" s="1"/>
      <c r="K26" s="1"/>
    </row>
    <row r="27" spans="3:11" x14ac:dyDescent="0.15">
      <c r="C27" s="1" t="s">
        <v>18</v>
      </c>
      <c r="D27" s="2">
        <v>1</v>
      </c>
      <c r="E27" s="1"/>
      <c r="F27" s="1"/>
      <c r="G27" s="1"/>
      <c r="H27" s="2"/>
      <c r="I27" s="1"/>
      <c r="J27" s="1"/>
      <c r="K27" s="1"/>
    </row>
    <row r="28" spans="3:11" x14ac:dyDescent="0.15">
      <c r="C28" s="1" t="s">
        <v>19</v>
      </c>
      <c r="D28" s="2">
        <v>1</v>
      </c>
      <c r="E28" s="1"/>
      <c r="F28" s="1"/>
      <c r="G28" s="1"/>
      <c r="H28" s="2"/>
      <c r="I28" s="1"/>
      <c r="J28" s="1"/>
      <c r="K28" s="1"/>
    </row>
    <row r="29" spans="3:11" x14ac:dyDescent="0.15">
      <c r="C29" s="1" t="s">
        <v>20</v>
      </c>
      <c r="D29" s="2">
        <v>1</v>
      </c>
      <c r="E29" s="1"/>
      <c r="F29" s="1"/>
      <c r="G29" s="1"/>
      <c r="H29" s="2"/>
      <c r="I29" s="1"/>
      <c r="J29" s="1"/>
      <c r="K29" s="1"/>
    </row>
    <row r="30" spans="3:11" x14ac:dyDescent="0.15">
      <c r="C30" s="1" t="s">
        <v>21</v>
      </c>
      <c r="D30" s="2">
        <v>1</v>
      </c>
      <c r="E30" s="1"/>
      <c r="F30" s="1"/>
      <c r="G30" s="1"/>
      <c r="H30" s="2"/>
      <c r="I30" s="1"/>
      <c r="J30" s="1"/>
      <c r="K30" s="1"/>
    </row>
    <row r="31" spans="3:11" x14ac:dyDescent="0.15">
      <c r="C31" s="1" t="s">
        <v>22</v>
      </c>
      <c r="D31" s="2">
        <v>1</v>
      </c>
      <c r="E31" s="1"/>
      <c r="F31" s="1"/>
      <c r="G31" s="1"/>
      <c r="H31" s="2"/>
      <c r="I31" s="1"/>
      <c r="J31" s="1"/>
      <c r="K31" s="1"/>
    </row>
    <row r="32" spans="3:11" x14ac:dyDescent="0.15">
      <c r="C32" s="1" t="s">
        <v>23</v>
      </c>
      <c r="D32" s="2">
        <v>1</v>
      </c>
      <c r="E32" s="1"/>
      <c r="F32" s="1"/>
      <c r="G32" s="1"/>
      <c r="H32" s="2"/>
      <c r="I32" s="1"/>
      <c r="J32" s="1"/>
      <c r="K32" s="1"/>
    </row>
    <row r="33" spans="3:11" x14ac:dyDescent="0.15">
      <c r="C33" s="1" t="s">
        <v>24</v>
      </c>
      <c r="D33" s="2">
        <v>1</v>
      </c>
      <c r="E33" s="1"/>
      <c r="F33" s="1"/>
      <c r="G33" s="1"/>
      <c r="H33" s="2"/>
      <c r="I33" s="1"/>
      <c r="J33" s="1"/>
      <c r="K33" s="1"/>
    </row>
    <row r="34" spans="3:11" x14ac:dyDescent="0.15">
      <c r="C34" s="1" t="s">
        <v>25</v>
      </c>
      <c r="D34" s="2">
        <v>1</v>
      </c>
      <c r="E34" s="1"/>
      <c r="F34" s="1"/>
      <c r="G34" s="1"/>
      <c r="H34" s="2"/>
      <c r="I34" s="1"/>
      <c r="J34" s="1"/>
      <c r="K34" s="1"/>
    </row>
    <row r="35" spans="3:11" x14ac:dyDescent="0.15">
      <c r="C35" s="1" t="s">
        <v>26</v>
      </c>
      <c r="D35" s="2">
        <v>1</v>
      </c>
      <c r="E35" s="1"/>
      <c r="F35" s="1"/>
      <c r="G35" s="1"/>
      <c r="H35" s="2"/>
      <c r="I35" s="1"/>
      <c r="J35" s="1"/>
      <c r="K35" s="1"/>
    </row>
    <row r="36" spans="3:11" x14ac:dyDescent="0.15">
      <c r="C36" s="1" t="s">
        <v>27</v>
      </c>
      <c r="D36" s="2">
        <v>1</v>
      </c>
      <c r="E36" s="1"/>
      <c r="F36" s="1"/>
      <c r="G36" s="1"/>
      <c r="H36" s="2"/>
      <c r="I36" s="1"/>
      <c r="J36" s="1"/>
      <c r="K36" s="1"/>
    </row>
    <row r="37" spans="3:11" x14ac:dyDescent="0.15">
      <c r="C37" s="1" t="s">
        <v>28</v>
      </c>
      <c r="D37" s="2">
        <v>1</v>
      </c>
      <c r="E37" s="1"/>
      <c r="F37" s="1"/>
      <c r="G37" s="1"/>
      <c r="H37" s="2"/>
      <c r="I37" s="1"/>
      <c r="J37" s="1"/>
      <c r="K37" s="1"/>
    </row>
    <row r="38" spans="3:11" x14ac:dyDescent="0.15">
      <c r="C38" s="1" t="s">
        <v>29</v>
      </c>
      <c r="D38" s="2">
        <v>1</v>
      </c>
      <c r="E38" s="1"/>
      <c r="F38" s="1"/>
      <c r="G38" s="1"/>
      <c r="H38" s="2"/>
      <c r="I38" s="1"/>
      <c r="J38" s="1"/>
      <c r="K38" s="1"/>
    </row>
    <row r="39" spans="3:11" x14ac:dyDescent="0.15">
      <c r="C39" s="1" t="s">
        <v>30</v>
      </c>
      <c r="D39" s="2">
        <v>1</v>
      </c>
      <c r="E39" s="1"/>
      <c r="F39" s="1"/>
      <c r="G39" s="1"/>
      <c r="H39" s="2"/>
      <c r="I39" s="1"/>
      <c r="J39" s="1"/>
      <c r="K39" s="1"/>
    </row>
    <row r="40" spans="3:11" x14ac:dyDescent="0.15">
      <c r="C40" s="1" t="s">
        <v>31</v>
      </c>
      <c r="D40" s="2">
        <v>1</v>
      </c>
      <c r="E40" s="1"/>
      <c r="F40" s="1"/>
      <c r="G40" s="1"/>
      <c r="H40" s="2"/>
      <c r="I40" s="1"/>
      <c r="J40" s="1"/>
      <c r="K40" s="1"/>
    </row>
    <row r="41" spans="3:11" x14ac:dyDescent="0.15">
      <c r="C41" s="1" t="s">
        <v>32</v>
      </c>
      <c r="D41" s="2">
        <v>1</v>
      </c>
      <c r="E41" s="1"/>
      <c r="F41" s="1"/>
      <c r="G41" s="1"/>
      <c r="H41" s="2"/>
      <c r="I41" s="1"/>
      <c r="J41" s="1"/>
      <c r="K41" s="1"/>
    </row>
    <row r="42" spans="3:11" x14ac:dyDescent="0.15">
      <c r="C42" s="1" t="s">
        <v>33</v>
      </c>
      <c r="D42" s="2">
        <v>1</v>
      </c>
      <c r="E42" s="1"/>
      <c r="F42" s="1"/>
      <c r="G42" s="1"/>
      <c r="H42" s="2"/>
      <c r="I42" s="1"/>
      <c r="J42" s="1"/>
      <c r="K42" s="1"/>
    </row>
    <row r="45" spans="3:11" x14ac:dyDescent="0.15">
      <c r="C45" s="1" t="s">
        <v>79</v>
      </c>
      <c r="D45" s="2">
        <v>1</v>
      </c>
      <c r="E45" s="1">
        <v>1</v>
      </c>
      <c r="F45" s="1"/>
      <c r="G45" s="1"/>
      <c r="H45" s="2">
        <v>10000</v>
      </c>
      <c r="I45" s="1">
        <f>1*[1]节奏总纲!$P$63*24*'[1]功能-付费相关'!$S$65</f>
        <v>7.413510945944933E-2</v>
      </c>
      <c r="J45" s="1">
        <f>I45*H45</f>
        <v>741.35109459449325</v>
      </c>
      <c r="K45" s="1" t="s">
        <v>91</v>
      </c>
    </row>
    <row r="46" spans="3:11" x14ac:dyDescent="0.15">
      <c r="C46" s="1" t="s">
        <v>80</v>
      </c>
      <c r="D46" s="2">
        <v>1</v>
      </c>
      <c r="E46" s="1">
        <v>1</v>
      </c>
      <c r="F46" s="1"/>
      <c r="G46" s="1"/>
      <c r="H46" s="2">
        <v>10000</v>
      </c>
      <c r="I46" s="1">
        <f>1*[1]节奏总纲!$P$63*24*'[1]功能-付费相关'!$S$65</f>
        <v>7.413510945944933E-2</v>
      </c>
      <c r="J46" s="1">
        <f>I46*H46</f>
        <v>741.35109459449325</v>
      </c>
      <c r="K46" s="1" t="s">
        <v>91</v>
      </c>
    </row>
    <row r="47" spans="3:11" x14ac:dyDescent="0.15">
      <c r="C47" s="1" t="s">
        <v>81</v>
      </c>
      <c r="D47" s="2"/>
      <c r="E47" s="1">
        <v>1</v>
      </c>
      <c r="F47" s="1"/>
      <c r="G47" s="1"/>
      <c r="H47" s="2">
        <v>10000</v>
      </c>
      <c r="I47" s="1">
        <f>1*[1]节奏总纲!$P$63*24*'[1]功能-付费相关'!$S$65</f>
        <v>7.413510945944933E-2</v>
      </c>
      <c r="J47" s="1">
        <f>I47*H47</f>
        <v>741.35109459449325</v>
      </c>
      <c r="K47" s="1" t="s">
        <v>91</v>
      </c>
    </row>
    <row r="48" spans="3:11" x14ac:dyDescent="0.15">
      <c r="C48" s="1" t="s">
        <v>82</v>
      </c>
      <c r="D48" s="2">
        <v>1</v>
      </c>
      <c r="E48" s="1">
        <v>1</v>
      </c>
      <c r="F48" s="1"/>
      <c r="G48" s="1"/>
      <c r="H48" s="2">
        <v>10000</v>
      </c>
      <c r="I48" s="1">
        <f>1*[1]节奏总纲!$P$63*24*'[1]功能-付费相关'!$S$65</f>
        <v>7.413510945944933E-2</v>
      </c>
      <c r="J48" s="1">
        <f>I48*H48</f>
        <v>741.35109459449325</v>
      </c>
      <c r="K48" s="1" t="s">
        <v>91</v>
      </c>
    </row>
    <row r="49" spans="3:11" x14ac:dyDescent="0.15">
      <c r="C49" s="1" t="s">
        <v>83</v>
      </c>
      <c r="D49" s="2">
        <v>1</v>
      </c>
      <c r="E49" s="1">
        <v>1</v>
      </c>
      <c r="F49" s="1"/>
      <c r="G49" s="1"/>
      <c r="H49" s="2">
        <v>10000</v>
      </c>
      <c r="I49" s="1">
        <f>1*[1]节奏总纲!$P$63*24*'[1]功能-付费相关'!$S$65</f>
        <v>7.413510945944933E-2</v>
      </c>
      <c r="J49" s="1">
        <f t="shared" ref="J49:J55" si="1">H49*I49</f>
        <v>741.35109459449325</v>
      </c>
      <c r="K49" s="1" t="s">
        <v>91</v>
      </c>
    </row>
    <row r="50" spans="3:11" x14ac:dyDescent="0.15">
      <c r="C50" s="1" t="s">
        <v>84</v>
      </c>
      <c r="D50" s="2"/>
      <c r="E50" s="1">
        <v>1</v>
      </c>
      <c r="F50" s="1"/>
      <c r="G50" s="1"/>
      <c r="H50" s="2">
        <v>220</v>
      </c>
      <c r="I50" s="1">
        <f>1*[1]节奏总纲!$P$63*24*'[1]功能-付费相关'!$AQ$65</f>
        <v>1.8900000000000001</v>
      </c>
      <c r="J50" s="1">
        <f t="shared" si="1"/>
        <v>415.8</v>
      </c>
      <c r="K50" s="1" t="s">
        <v>91</v>
      </c>
    </row>
    <row r="51" spans="3:11" x14ac:dyDescent="0.15">
      <c r="C51" s="1" t="s">
        <v>34</v>
      </c>
      <c r="D51" s="5"/>
      <c r="E51" s="1">
        <v>1</v>
      </c>
      <c r="F51" s="1"/>
      <c r="G51" s="1"/>
      <c r="H51" s="11">
        <v>5.2999999999999999E-2</v>
      </c>
      <c r="I51" s="1" t="e">
        <f>[2]兵营招募!$CD$64/4*1*(#REF!+#REF!)*'[1]功能-付费相关'!$S$65</f>
        <v>#REF!</v>
      </c>
      <c r="J51" s="1" t="e">
        <f t="shared" si="1"/>
        <v>#REF!</v>
      </c>
      <c r="K51" s="1" t="s">
        <v>85</v>
      </c>
    </row>
    <row r="52" spans="3:11" x14ac:dyDescent="0.15">
      <c r="C52" s="1" t="s">
        <v>35</v>
      </c>
      <c r="D52" s="5"/>
      <c r="E52" s="1">
        <v>1</v>
      </c>
      <c r="F52" s="1"/>
      <c r="G52" s="1"/>
      <c r="H52" s="11">
        <v>5.2999999999999999E-2</v>
      </c>
      <c r="I52" s="1" t="e">
        <f>[2]兵营招募!$CD$64/4*1*(#REF!+#REF!)*'[1]功能-付费相关'!$S$65</f>
        <v>#REF!</v>
      </c>
      <c r="J52" s="1" t="e">
        <f t="shared" si="1"/>
        <v>#REF!</v>
      </c>
      <c r="K52" s="1" t="s">
        <v>89</v>
      </c>
    </row>
    <row r="53" spans="3:11" x14ac:dyDescent="0.15">
      <c r="C53" s="1" t="s">
        <v>36</v>
      </c>
      <c r="D53" s="5"/>
      <c r="E53" s="1">
        <v>1</v>
      </c>
      <c r="F53" s="1"/>
      <c r="G53" s="1"/>
      <c r="H53" s="11">
        <v>5.2999999999999999E-2</v>
      </c>
      <c r="I53" s="1" t="e">
        <f>[2]兵营招募!$CD$64/4*1*(#REF!+#REF!)*'[1]功能-付费相关'!$S$65</f>
        <v>#REF!</v>
      </c>
      <c r="J53" s="1" t="e">
        <f t="shared" si="1"/>
        <v>#REF!</v>
      </c>
      <c r="K53" s="1" t="s">
        <v>89</v>
      </c>
    </row>
    <row r="54" spans="3:11" x14ac:dyDescent="0.15">
      <c r="C54" s="1" t="s">
        <v>37</v>
      </c>
      <c r="D54" s="5"/>
      <c r="E54" s="1">
        <v>1</v>
      </c>
      <c r="F54" s="1"/>
      <c r="G54" s="1"/>
      <c r="H54" s="11">
        <v>5.2999999999999999E-2</v>
      </c>
      <c r="I54" s="1" t="e">
        <f>[2]兵营招募!$CD$64/4*1*(#REF!+#REF!)*'[1]功能-付费相关'!$S$65</f>
        <v>#REF!</v>
      </c>
      <c r="J54" s="1" t="e">
        <f t="shared" si="1"/>
        <v>#REF!</v>
      </c>
      <c r="K54" s="1" t="s">
        <v>89</v>
      </c>
    </row>
    <row r="55" spans="3:11" x14ac:dyDescent="0.15">
      <c r="C55" s="1" t="s">
        <v>38</v>
      </c>
      <c r="D55" s="5"/>
      <c r="E55" s="1">
        <v>1</v>
      </c>
      <c r="F55" s="1">
        <v>1</v>
      </c>
      <c r="G55" s="1"/>
      <c r="H55" s="11">
        <v>0.125</v>
      </c>
      <c r="I55" s="6">
        <v>1000</v>
      </c>
      <c r="J55" s="1">
        <f t="shared" si="1"/>
        <v>125</v>
      </c>
      <c r="K55" s="1"/>
    </row>
    <row r="56" spans="3:11" x14ac:dyDescent="0.15">
      <c r="C56" s="1" t="s">
        <v>39</v>
      </c>
      <c r="D56" s="2"/>
      <c r="E56" s="1">
        <v>1</v>
      </c>
      <c r="F56" s="1"/>
      <c r="G56" s="1"/>
      <c r="H56" s="2"/>
      <c r="I56" s="1"/>
      <c r="J56" s="1"/>
      <c r="K56" s="1"/>
    </row>
    <row r="57" spans="3:11" x14ac:dyDescent="0.15">
      <c r="C57" s="1" t="s">
        <v>40</v>
      </c>
      <c r="D57" s="2"/>
      <c r="E57" s="1">
        <v>1</v>
      </c>
      <c r="F57" s="1"/>
      <c r="G57" s="1"/>
      <c r="H57" s="2"/>
      <c r="I57" s="1"/>
      <c r="J57" s="1"/>
      <c r="K57" s="1"/>
    </row>
    <row r="58" spans="3:11" x14ac:dyDescent="0.15">
      <c r="C58" s="1" t="s">
        <v>96</v>
      </c>
      <c r="D58" s="2"/>
      <c r="E58" s="1">
        <v>1</v>
      </c>
      <c r="F58" s="1"/>
      <c r="G58" s="1"/>
      <c r="H58" s="2"/>
      <c r="I58" s="1"/>
      <c r="J58" s="1"/>
      <c r="K58" s="1"/>
    </row>
    <row r="59" spans="3:11" x14ac:dyDescent="0.15">
      <c r="C59" s="1" t="s">
        <v>41</v>
      </c>
      <c r="D59" s="2"/>
      <c r="E59" s="1">
        <v>1</v>
      </c>
      <c r="F59" s="1"/>
      <c r="G59" s="1"/>
      <c r="H59" s="11">
        <v>1.7999999999999999E-2</v>
      </c>
      <c r="I59" s="1">
        <f>'[1]功能-行军令'!$FB$64*1*'[1]功能-付费相关'!$AZ$65</f>
        <v>19464.984104762058</v>
      </c>
      <c r="J59" s="1">
        <f>I59*H59</f>
        <v>350.36971388571703</v>
      </c>
      <c r="K59" s="1"/>
    </row>
    <row r="60" spans="3:11" x14ac:dyDescent="0.15">
      <c r="C60" s="1" t="s">
        <v>92</v>
      </c>
      <c r="D60" s="2"/>
      <c r="E60" s="1">
        <v>1</v>
      </c>
      <c r="F60" s="1"/>
      <c r="G60" s="1"/>
      <c r="H60" s="2"/>
      <c r="I60" s="1"/>
      <c r="J60" s="1"/>
      <c r="K60" s="1"/>
    </row>
    <row r="61" spans="3:11" x14ac:dyDescent="0.15">
      <c r="C61" s="1" t="s">
        <v>93</v>
      </c>
      <c r="D61" s="2"/>
      <c r="E61" s="1">
        <v>1</v>
      </c>
      <c r="F61" s="1"/>
      <c r="G61" s="1"/>
      <c r="H61" s="2"/>
      <c r="I61" s="1"/>
      <c r="J61" s="1"/>
      <c r="K61" s="1"/>
    </row>
    <row r="62" spans="3:11" x14ac:dyDescent="0.15">
      <c r="C62" s="1" t="s">
        <v>94</v>
      </c>
      <c r="D62" s="2"/>
      <c r="E62" s="1">
        <v>1</v>
      </c>
      <c r="F62" s="1"/>
      <c r="G62" s="1"/>
      <c r="H62" s="2"/>
      <c r="I62" s="1"/>
      <c r="J62" s="1"/>
      <c r="K62" s="1"/>
    </row>
    <row r="63" spans="3:11" x14ac:dyDescent="0.15">
      <c r="C63" s="1" t="s">
        <v>95</v>
      </c>
      <c r="D63" s="2"/>
      <c r="E63" s="1">
        <v>1</v>
      </c>
      <c r="F63" s="1"/>
      <c r="G63" s="1"/>
      <c r="H63" s="2"/>
      <c r="I63" s="1"/>
      <c r="J63" s="1"/>
      <c r="K63" s="1"/>
    </row>
    <row r="64" spans="3:11" x14ac:dyDescent="0.15">
      <c r="C64" s="1" t="s">
        <v>42</v>
      </c>
      <c r="D64" s="2"/>
      <c r="E64" s="1">
        <v>1</v>
      </c>
      <c r="F64" s="1"/>
      <c r="G64" s="1"/>
      <c r="H64" s="18">
        <v>5.0000000000000001E-3</v>
      </c>
      <c r="I64" s="1">
        <f>求节点([1]节奏总纲!$AM$4:$AM$53,'[1]资源-玩家城池建筑时间'!$T$6:$T$55,[1]节奏总纲!$P$63)*1*'[1]功能-付费相关'!$AH$65</f>
        <v>0.19414859212134519</v>
      </c>
      <c r="J64" s="1">
        <f>I64*H64</f>
        <v>9.7074296060672602E-4</v>
      </c>
      <c r="K64" s="1"/>
    </row>
    <row r="65" spans="3:11" x14ac:dyDescent="0.15">
      <c r="C65" s="1" t="s">
        <v>43</v>
      </c>
      <c r="D65" s="2"/>
      <c r="E65" s="1">
        <v>1</v>
      </c>
      <c r="F65" s="1"/>
      <c r="G65" s="1"/>
      <c r="H65" s="2"/>
      <c r="I65" s="1"/>
      <c r="J65" s="1"/>
      <c r="K65" s="1"/>
    </row>
    <row r="66" spans="3:11" x14ac:dyDescent="0.15">
      <c r="C66" s="1" t="s">
        <v>44</v>
      </c>
      <c r="D66" s="2"/>
      <c r="E66" s="1">
        <v>1</v>
      </c>
      <c r="F66" s="1"/>
      <c r="G66" s="1"/>
      <c r="H66" s="2"/>
      <c r="I66" s="1"/>
      <c r="J66" s="1"/>
      <c r="K66" s="1"/>
    </row>
    <row r="67" spans="3:11" x14ac:dyDescent="0.15">
      <c r="C67" s="1" t="s">
        <v>45</v>
      </c>
      <c r="D67" s="2"/>
      <c r="E67" s="1">
        <v>1</v>
      </c>
      <c r="F67" s="1"/>
      <c r="G67" s="1"/>
      <c r="H67" s="2"/>
      <c r="I67" s="1"/>
      <c r="J67" s="1"/>
      <c r="K67" s="1"/>
    </row>
    <row r="68" spans="3:11" x14ac:dyDescent="0.15">
      <c r="C68" s="1" t="s">
        <v>46</v>
      </c>
      <c r="D68" s="2"/>
      <c r="E68" s="1">
        <v>1</v>
      </c>
      <c r="F68" s="1"/>
      <c r="G68" s="1"/>
      <c r="H68" s="2"/>
      <c r="I68" s="1"/>
      <c r="J68" s="1"/>
      <c r="K68" s="1"/>
    </row>
    <row r="69" spans="3:11" x14ac:dyDescent="0.15">
      <c r="C69" s="1" t="s">
        <v>88</v>
      </c>
      <c r="D69" s="2"/>
      <c r="E69" s="1">
        <v>1</v>
      </c>
      <c r="F69" s="1"/>
      <c r="G69" s="1"/>
      <c r="H69" s="2"/>
      <c r="I69" s="1"/>
      <c r="J69" s="1"/>
      <c r="K69" s="1"/>
    </row>
    <row r="71" spans="3:11" x14ac:dyDescent="0.15">
      <c r="C71" s="1" t="s">
        <v>47</v>
      </c>
      <c r="D71" s="2"/>
      <c r="E71" s="1"/>
      <c r="F71" s="1">
        <v>1</v>
      </c>
      <c r="G71" s="1"/>
      <c r="H71" s="2"/>
      <c r="I71" s="1"/>
      <c r="J71" s="1"/>
      <c r="K71" s="1"/>
    </row>
    <row r="72" spans="3:11" x14ac:dyDescent="0.15">
      <c r="C72" s="1" t="s">
        <v>48</v>
      </c>
      <c r="D72" s="2"/>
      <c r="E72" s="1"/>
      <c r="F72" s="1">
        <v>1</v>
      </c>
      <c r="G72" s="1"/>
      <c r="H72" s="2"/>
      <c r="I72" s="1"/>
      <c r="J72" s="1"/>
      <c r="K72" s="1"/>
    </row>
    <row r="73" spans="3:11" x14ac:dyDescent="0.15">
      <c r="C73" s="1" t="s">
        <v>49</v>
      </c>
      <c r="D73" s="2"/>
      <c r="E73" s="1"/>
      <c r="F73" s="1">
        <v>1</v>
      </c>
      <c r="G73" s="1"/>
      <c r="H73" s="2"/>
      <c r="I73" s="1"/>
      <c r="J73" s="1"/>
      <c r="K73" s="1"/>
    </row>
    <row r="74" spans="3:11" x14ac:dyDescent="0.15">
      <c r="C74" s="1" t="s">
        <v>50</v>
      </c>
      <c r="D74" s="2"/>
      <c r="E74" s="1"/>
      <c r="F74" s="1">
        <v>1</v>
      </c>
      <c r="G74" s="1"/>
      <c r="H74" s="2"/>
      <c r="I74" s="1"/>
      <c r="J74" s="1"/>
      <c r="K74" s="1"/>
    </row>
    <row r="75" spans="3:11" x14ac:dyDescent="0.15">
      <c r="C75" s="1" t="s">
        <v>51</v>
      </c>
      <c r="D75" s="2"/>
      <c r="E75" s="1"/>
      <c r="F75" s="1">
        <v>1</v>
      </c>
      <c r="G75" s="1"/>
      <c r="H75" s="2"/>
      <c r="I75" s="1"/>
      <c r="J75" s="1"/>
      <c r="K75" s="1"/>
    </row>
    <row r="76" spans="3:11" x14ac:dyDescent="0.15">
      <c r="C76" s="1" t="s">
        <v>52</v>
      </c>
      <c r="D76" s="2"/>
      <c r="E76" s="1"/>
      <c r="F76" s="1">
        <v>1</v>
      </c>
      <c r="G76" s="1"/>
      <c r="H76" s="2"/>
      <c r="I76" s="1"/>
      <c r="J76" s="1"/>
      <c r="K76" s="1"/>
    </row>
    <row r="77" spans="3:11" x14ac:dyDescent="0.15">
      <c r="C77" s="1" t="s">
        <v>53</v>
      </c>
      <c r="D77" s="2"/>
      <c r="E77" s="1"/>
      <c r="F77" s="1">
        <v>1</v>
      </c>
      <c r="G77" s="1"/>
      <c r="H77" s="2"/>
      <c r="I77" s="1"/>
      <c r="J77" s="1"/>
      <c r="K77" s="1"/>
    </row>
    <row r="78" spans="3:11" x14ac:dyDescent="0.15">
      <c r="C78" s="1" t="s">
        <v>54</v>
      </c>
      <c r="D78" s="2"/>
      <c r="E78" s="1"/>
      <c r="F78" s="1">
        <v>1</v>
      </c>
      <c r="G78" s="1"/>
      <c r="H78" s="2"/>
      <c r="I78" s="1"/>
      <c r="J78" s="1"/>
      <c r="K78" s="1"/>
    </row>
    <row r="79" spans="3:11" x14ac:dyDescent="0.15">
      <c r="C79" s="1" t="s">
        <v>55</v>
      </c>
      <c r="D79" s="2"/>
      <c r="E79" s="1"/>
      <c r="F79" s="1">
        <v>1</v>
      </c>
      <c r="G79" s="1"/>
      <c r="H79" s="2"/>
      <c r="I79" s="1"/>
      <c r="J79" s="1"/>
      <c r="K79" s="1"/>
    </row>
    <row r="80" spans="3:11" x14ac:dyDescent="0.15">
      <c r="C80" s="1" t="s">
        <v>56</v>
      </c>
      <c r="D80" s="2"/>
      <c r="E80" s="1"/>
      <c r="F80" s="1">
        <v>1</v>
      </c>
      <c r="G80" s="1"/>
      <c r="H80" s="2"/>
      <c r="I80" s="1"/>
      <c r="J80" s="1"/>
      <c r="K80" s="1"/>
    </row>
    <row r="81" spans="3:11" x14ac:dyDescent="0.15">
      <c r="C81" s="1" t="s">
        <v>57</v>
      </c>
      <c r="D81" s="2"/>
      <c r="E81" s="1"/>
      <c r="F81" s="1">
        <v>1</v>
      </c>
      <c r="G81" s="1"/>
      <c r="H81" s="2"/>
      <c r="I81" s="1"/>
      <c r="J81" s="1"/>
      <c r="K81" s="1"/>
    </row>
    <row r="82" spans="3:11" x14ac:dyDescent="0.15">
      <c r="C82" s="1" t="s">
        <v>58</v>
      </c>
      <c r="D82" s="2"/>
      <c r="E82" s="1"/>
      <c r="F82" s="1">
        <v>1</v>
      </c>
      <c r="G82" s="1"/>
      <c r="H82" s="2"/>
      <c r="I82" s="1"/>
      <c r="J82" s="1"/>
      <c r="K82" s="1"/>
    </row>
    <row r="83" spans="3:11" x14ac:dyDescent="0.15">
      <c r="C83" s="1" t="s">
        <v>59</v>
      </c>
      <c r="D83" s="2"/>
      <c r="E83" s="1"/>
      <c r="F83" s="1">
        <v>1</v>
      </c>
      <c r="G83" s="1"/>
      <c r="H83" s="2"/>
      <c r="I83" s="1"/>
      <c r="J83" s="1"/>
      <c r="K83" s="1"/>
    </row>
    <row r="84" spans="3:11" x14ac:dyDescent="0.15">
      <c r="C84" s="1" t="s">
        <v>60</v>
      </c>
      <c r="D84" s="2"/>
      <c r="E84" s="1"/>
      <c r="F84" s="1">
        <v>1</v>
      </c>
      <c r="G84" s="1"/>
      <c r="H84" s="2"/>
      <c r="I84" s="1"/>
      <c r="J84" s="1"/>
      <c r="K84" s="1"/>
    </row>
    <row r="85" spans="3:11" x14ac:dyDescent="0.15">
      <c r="C85" s="1" t="s">
        <v>61</v>
      </c>
      <c r="D85" s="2"/>
      <c r="E85" s="1"/>
      <c r="F85" s="1">
        <v>1</v>
      </c>
      <c r="G85" s="1"/>
      <c r="H85" s="2"/>
      <c r="I85" s="1"/>
      <c r="J85" s="1"/>
      <c r="K85" s="1"/>
    </row>
    <row r="86" spans="3:11" x14ac:dyDescent="0.15">
      <c r="C86" s="1" t="s">
        <v>62</v>
      </c>
      <c r="D86" s="2"/>
      <c r="E86" s="1"/>
      <c r="F86" s="1">
        <v>1</v>
      </c>
      <c r="G86" s="1"/>
      <c r="H86" s="2"/>
      <c r="I86" s="1"/>
      <c r="J86" s="1"/>
      <c r="K86" s="1"/>
    </row>
    <row r="87" spans="3:11" x14ac:dyDescent="0.15">
      <c r="C87" s="1" t="s">
        <v>63</v>
      </c>
      <c r="D87" s="2"/>
      <c r="E87" s="1"/>
      <c r="F87" s="1">
        <v>1</v>
      </c>
      <c r="G87" s="1"/>
      <c r="H87" s="2"/>
      <c r="I87" s="1"/>
      <c r="J87" s="1"/>
      <c r="K87" s="1"/>
    </row>
    <row r="88" spans="3:11" x14ac:dyDescent="0.15">
      <c r="C88" s="1" t="s">
        <v>64</v>
      </c>
      <c r="D88" s="2"/>
      <c r="E88" s="1"/>
      <c r="F88" s="1">
        <v>1</v>
      </c>
      <c r="G88" s="1"/>
      <c r="H88" s="2"/>
      <c r="I88" s="1"/>
      <c r="J88" s="1"/>
      <c r="K88" s="1"/>
    </row>
    <row r="89" spans="3:11" x14ac:dyDescent="0.15">
      <c r="C89" s="1" t="s">
        <v>65</v>
      </c>
      <c r="D89" s="2"/>
      <c r="E89" s="1"/>
      <c r="F89" s="1">
        <v>1</v>
      </c>
      <c r="G89" s="1"/>
      <c r="H89" s="2"/>
      <c r="I89" s="1"/>
      <c r="J89" s="1"/>
      <c r="K89" s="1"/>
    </row>
    <row r="90" spans="3:11" x14ac:dyDescent="0.15">
      <c r="C90" s="1" t="s">
        <v>66</v>
      </c>
      <c r="D90" s="2"/>
      <c r="E90" s="1"/>
      <c r="F90" s="1">
        <v>1</v>
      </c>
      <c r="G90" s="1"/>
      <c r="H90" s="2"/>
      <c r="I90" s="1"/>
      <c r="J90" s="1"/>
      <c r="K90" s="1"/>
    </row>
    <row r="91" spans="3:11" x14ac:dyDescent="0.15">
      <c r="C91" s="1" t="s">
        <v>67</v>
      </c>
      <c r="D91" s="2"/>
      <c r="E91" s="1"/>
      <c r="F91" s="1">
        <v>1</v>
      </c>
      <c r="G91" s="1"/>
      <c r="H91" s="2"/>
      <c r="I91" s="1"/>
      <c r="J91" s="1"/>
      <c r="K91" s="1"/>
    </row>
    <row r="92" spans="3:11" x14ac:dyDescent="0.15">
      <c r="C92" s="1" t="s">
        <v>68</v>
      </c>
      <c r="D92" s="2"/>
      <c r="E92" s="1"/>
      <c r="F92" s="1">
        <v>1</v>
      </c>
      <c r="G92" s="1"/>
      <c r="H92" s="2"/>
      <c r="I92" s="1"/>
      <c r="J92" s="1"/>
      <c r="K92" s="1"/>
    </row>
    <row r="93" spans="3:11" x14ac:dyDescent="0.15">
      <c r="C93" s="1" t="s">
        <v>69</v>
      </c>
      <c r="D93" s="2"/>
      <c r="E93" s="1"/>
      <c r="F93" s="1">
        <v>1</v>
      </c>
      <c r="G93" s="1"/>
      <c r="H93" s="2"/>
      <c r="I93" s="1"/>
      <c r="J93" s="1"/>
      <c r="K93" s="1"/>
    </row>
    <row r="94" spans="3:11" x14ac:dyDescent="0.15">
      <c r="C94" s="1" t="s">
        <v>70</v>
      </c>
      <c r="D94" s="2"/>
      <c r="E94" s="1"/>
      <c r="F94" s="1">
        <v>1</v>
      </c>
      <c r="G94" s="1"/>
      <c r="H94" s="2"/>
      <c r="I94" s="1"/>
      <c r="J94" s="1"/>
      <c r="K94" s="1"/>
    </row>
    <row r="95" spans="3:11" x14ac:dyDescent="0.15">
      <c r="D95" s="3"/>
      <c r="H95" s="3"/>
    </row>
  </sheetData>
  <mergeCells count="1">
    <mergeCell ref="D3:G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104"/>
  <sheetViews>
    <sheetView tabSelected="1" workbookViewId="0">
      <selection activeCell="T19" sqref="T19"/>
    </sheetView>
  </sheetViews>
  <sheetFormatPr defaultColWidth="6.625" defaultRowHeight="11.25" x14ac:dyDescent="0.15"/>
  <cols>
    <col min="1" max="1" width="6.625" style="15"/>
    <col min="2" max="2" width="23.875" style="15" bestFit="1" customWidth="1"/>
    <col min="3" max="3" width="17.25" style="19" customWidth="1"/>
    <col min="4" max="5" width="8.875" style="15" customWidth="1"/>
    <col min="6" max="6" width="6.375" style="19" customWidth="1"/>
    <col min="7" max="39" width="6.625" style="15" customWidth="1"/>
    <col min="40" max="16384" width="6.625" style="15"/>
  </cols>
  <sheetData>
    <row r="1" spans="1:57" x14ac:dyDescent="0.15">
      <c r="A1" s="24" t="s">
        <v>130</v>
      </c>
      <c r="D1" s="26" t="s">
        <v>132</v>
      </c>
    </row>
    <row r="2" spans="1:57" x14ac:dyDescent="0.15">
      <c r="A2" s="25" t="s">
        <v>131</v>
      </c>
    </row>
    <row r="4" spans="1:57" x14ac:dyDescent="0.15">
      <c r="B4" s="3"/>
      <c r="C4" s="4"/>
      <c r="D4" s="66" t="s">
        <v>97</v>
      </c>
      <c r="E4" s="67"/>
    </row>
    <row r="5" spans="1:57" s="17" customFormat="1" x14ac:dyDescent="0.15">
      <c r="B5" s="14"/>
      <c r="C5" s="14" t="s">
        <v>98</v>
      </c>
      <c r="D5" s="14" t="s">
        <v>128</v>
      </c>
      <c r="E5" s="14" t="s">
        <v>129</v>
      </c>
      <c r="F5" s="19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</row>
    <row r="6" spans="1:57" x14ac:dyDescent="0.15">
      <c r="B6" s="51" t="s">
        <v>115</v>
      </c>
      <c r="C6" s="20" t="s">
        <v>100</v>
      </c>
      <c r="D6" s="16">
        <f>SUMPRODUCT('[1]功能-付费相关'!$U$6:$U$85,节奏总纲!$Y$4:$Y$83)</f>
        <v>1.2825281669981821E-2</v>
      </c>
      <c r="E6" s="16">
        <f>D6</f>
        <v>1.2825281669981821E-2</v>
      </c>
    </row>
    <row r="7" spans="1:57" x14ac:dyDescent="0.15">
      <c r="B7" s="51" t="s">
        <v>116</v>
      </c>
      <c r="C7" s="20" t="s">
        <v>100</v>
      </c>
      <c r="D7" s="16">
        <f>D6</f>
        <v>1.2825281669981821E-2</v>
      </c>
      <c r="E7" s="16">
        <f t="shared" ref="E7:E11" si="0">D7</f>
        <v>1.2825281669981821E-2</v>
      </c>
    </row>
    <row r="8" spans="1:57" x14ac:dyDescent="0.15">
      <c r="B8" s="51" t="s">
        <v>117</v>
      </c>
      <c r="C8" s="20" t="s">
        <v>100</v>
      </c>
      <c r="D8" s="16">
        <f t="shared" ref="D8:D9" si="1">D7</f>
        <v>1.2825281669981821E-2</v>
      </c>
      <c r="E8" s="16">
        <f t="shared" si="0"/>
        <v>1.2825281669981821E-2</v>
      </c>
    </row>
    <row r="9" spans="1:57" x14ac:dyDescent="0.15">
      <c r="B9" s="51" t="s">
        <v>118</v>
      </c>
      <c r="C9" s="20" t="s">
        <v>100</v>
      </c>
      <c r="D9" s="16">
        <f t="shared" si="1"/>
        <v>1.2825281669981821E-2</v>
      </c>
      <c r="E9" s="16">
        <f t="shared" si="0"/>
        <v>1.2825281669981821E-2</v>
      </c>
    </row>
    <row r="10" spans="1:57" x14ac:dyDescent="0.15">
      <c r="B10" s="51" t="s">
        <v>119</v>
      </c>
      <c r="C10" s="20" t="s">
        <v>100</v>
      </c>
      <c r="D10" s="16">
        <f>D9*1.5</f>
        <v>1.9237922504972731E-2</v>
      </c>
      <c r="E10" s="16">
        <f t="shared" si="0"/>
        <v>1.9237922504972731E-2</v>
      </c>
    </row>
    <row r="11" spans="1:57" x14ac:dyDescent="0.15">
      <c r="B11" s="51" t="s">
        <v>120</v>
      </c>
      <c r="C11" s="20" t="s">
        <v>100</v>
      </c>
      <c r="D11" s="16">
        <f>SUMPRODUCT('[1]功能-付费相关'!$AS$6:$AS$85,节奏总纲!$Y$4:$Y$83)</f>
        <v>0.21678512085080837</v>
      </c>
      <c r="E11" s="16">
        <f t="shared" si="0"/>
        <v>0.21678512085080837</v>
      </c>
    </row>
    <row r="12" spans="1:57" x14ac:dyDescent="0.15">
      <c r="A12" s="15">
        <v>1</v>
      </c>
      <c r="B12" s="12" t="s">
        <v>253</v>
      </c>
      <c r="C12" s="13" t="s">
        <v>99</v>
      </c>
      <c r="D12" s="12">
        <f>SUMPRODUCT('[1]功能-付费相关'!$AJ$6:$AJ$85,'[1]资源-士兵招募时间'!$AE$6:$AE$85)/4*buff规划!$G$9</f>
        <v>76185.77508261094</v>
      </c>
      <c r="E12" s="12">
        <f>SUMPRODUCT('[1]功能-付费相关'!$AJ$6:$AJ$85,'[1]资源-士兵招募时间'!$AE$6:$AE$85,1+[1]养成buff汇总!$BH$6:$BH$85)/4*buff规划!$G$9</f>
        <v>92779.594324466074</v>
      </c>
    </row>
    <row r="13" spans="1:57" x14ac:dyDescent="0.15">
      <c r="A13" s="15">
        <v>1</v>
      </c>
      <c r="B13" s="12" t="s">
        <v>252</v>
      </c>
      <c r="C13" s="13" t="s">
        <v>99</v>
      </c>
      <c r="D13" s="12">
        <f>D12</f>
        <v>76185.77508261094</v>
      </c>
      <c r="E13" s="12">
        <f>E12</f>
        <v>92779.594324466074</v>
      </c>
    </row>
    <row r="14" spans="1:57" x14ac:dyDescent="0.15">
      <c r="A14" s="15">
        <v>1</v>
      </c>
      <c r="B14" s="12" t="s">
        <v>251</v>
      </c>
      <c r="C14" s="13" t="s">
        <v>99</v>
      </c>
      <c r="D14" s="12">
        <f t="shared" ref="D14:E15" si="2">D13</f>
        <v>76185.77508261094</v>
      </c>
      <c r="E14" s="12">
        <f t="shared" si="2"/>
        <v>92779.594324466074</v>
      </c>
    </row>
    <row r="15" spans="1:57" x14ac:dyDescent="0.15">
      <c r="A15" s="15">
        <v>1</v>
      </c>
      <c r="B15" s="12" t="s">
        <v>250</v>
      </c>
      <c r="C15" s="13" t="s">
        <v>99</v>
      </c>
      <c r="D15" s="12">
        <f t="shared" si="2"/>
        <v>76185.77508261094</v>
      </c>
      <c r="E15" s="12">
        <f t="shared" si="2"/>
        <v>92779.594324466074</v>
      </c>
    </row>
    <row r="16" spans="1:57" x14ac:dyDescent="0.15">
      <c r="B16" s="12" t="s">
        <v>249</v>
      </c>
      <c r="C16" s="13" t="s">
        <v>99</v>
      </c>
      <c r="D16" s="12">
        <f>SUMPRODUCT('[1]功能-付费相关'!$BT$6:$BT$85,[3]士兵治疗!$O$5:$O$84)*buff规划!$G$12</f>
        <v>79793.311414981305</v>
      </c>
      <c r="E16" s="12">
        <f>SUMPRODUCT('[1]功能-付费相关'!$BT$6:$BT$85,[3]士兵治疗!$O$5:$O$84,1+[1]养成buff汇总!$CE$6:$CE$85)*buff规划!$G$12</f>
        <v>94954.230756282486</v>
      </c>
    </row>
    <row r="17" spans="1:38" x14ac:dyDescent="0.15">
      <c r="A17" s="15">
        <v>1</v>
      </c>
      <c r="B17" s="12" t="s">
        <v>102</v>
      </c>
      <c r="C17" s="13" t="s">
        <v>99</v>
      </c>
      <c r="D17" s="12">
        <f>SUMPRODUCT('[1]功能-付费相关'!$BB$6:$BB$85,'[1]功能-行军令'!$EY$5:$EY$84)*0.35</f>
        <v>91324.855439999999</v>
      </c>
      <c r="E17" s="27">
        <f>SUMPRODUCT('[1]功能-付费相关'!$BB$6:$BB$85,'[1]功能-行军令'!$EY$5:$EY$84,1+[1]养成buff汇总!$CP$6:$CP$85)*0.35</f>
        <v>91324.855439999999</v>
      </c>
    </row>
    <row r="18" spans="1:38" x14ac:dyDescent="0.15">
      <c r="B18" s="12" t="s">
        <v>205</v>
      </c>
      <c r="C18" s="13" t="s">
        <v>99</v>
      </c>
      <c r="D18" s="12">
        <f>SUMPRODUCT('[1]功能-付费相关'!$AJ$6:$AJ$85,'[1]资源-玩家城池建筑时间'!$AL$6:$AL$85)*buff规划!$G$8</f>
        <v>991459.36112893699</v>
      </c>
      <c r="E18" s="12">
        <f>SUMPRODUCT('[1]功能-付费相关'!$AJ$6:$AJ$85,'[1]资源-玩家城池建筑时间'!$AL$6:$AL$85,1+[1]养成buff汇总!$AL$6:$AL$85)*buff规划!$G$8</f>
        <v>1181681.8896428624</v>
      </c>
      <c r="AE18" s="19"/>
    </row>
    <row r="19" spans="1:38" x14ac:dyDescent="0.15">
      <c r="A19" s="15">
        <v>1</v>
      </c>
      <c r="B19" s="46" t="s">
        <v>209</v>
      </c>
      <c r="C19" s="47" t="s">
        <v>99</v>
      </c>
      <c r="D19" s="46">
        <f>SUMPRODUCT('[1]资源-木石铜粮'!$BO$6:$BO$85,'[1]功能-付费相关'!$U$6:$U$85)/4</f>
        <v>79800.806943321397</v>
      </c>
      <c r="E19" s="48">
        <f>SUMPRODUCT('[1]资源-木石铜粮'!$BO$6:$BO$85,'[1]功能-付费相关'!$U$6:$U$85,1+[1]养成buff汇总!$FH$6:$FH$85)/4</f>
        <v>83001.509684354882</v>
      </c>
      <c r="N19" s="22"/>
      <c r="O19" s="22"/>
      <c r="P19" s="22"/>
      <c r="Q19" s="22"/>
      <c r="R19" s="22"/>
      <c r="T19" s="22"/>
      <c r="AE19" s="19"/>
    </row>
    <row r="20" spans="1:38" x14ac:dyDescent="0.15">
      <c r="A20" s="15">
        <v>1</v>
      </c>
      <c r="B20" s="46" t="s">
        <v>210</v>
      </c>
      <c r="C20" s="47" t="s">
        <v>99</v>
      </c>
      <c r="D20" s="46">
        <f>D19</f>
        <v>79800.806943321397</v>
      </c>
      <c r="E20" s="46">
        <f>E19</f>
        <v>83001.509684354882</v>
      </c>
      <c r="AE20" s="19"/>
    </row>
    <row r="21" spans="1:38" x14ac:dyDescent="0.15">
      <c r="A21" s="15">
        <v>1</v>
      </c>
      <c r="B21" s="46" t="s">
        <v>211</v>
      </c>
      <c r="C21" s="47" t="s">
        <v>99</v>
      </c>
      <c r="D21" s="46">
        <f>D20</f>
        <v>79800.806943321397</v>
      </c>
      <c r="E21" s="46">
        <f>E20</f>
        <v>83001.509684354882</v>
      </c>
      <c r="AE21" s="19"/>
    </row>
    <row r="22" spans="1:38" x14ac:dyDescent="0.15">
      <c r="A22" s="15">
        <v>1</v>
      </c>
      <c r="B22" s="46" t="s">
        <v>212</v>
      </c>
      <c r="C22" s="47" t="s">
        <v>99</v>
      </c>
      <c r="D22" s="46">
        <f>SUMPRODUCT('[1]资源-铁'!$BG$6:$BG$85,'[1]功能-付费相关'!$Z$6:$Z$85)</f>
        <v>0</v>
      </c>
      <c r="E22" s="48">
        <f>SUMPRODUCT('[1]资源-铁'!$BG$6:$BG$85,'[1]功能-付费相关'!$Z$6:$Z$85,1+[1]养成buff汇总!$FH$6:$FH$85)</f>
        <v>0</v>
      </c>
      <c r="H22" s="38"/>
      <c r="I22" s="38"/>
      <c r="L22" s="22"/>
      <c r="AE22" s="19"/>
    </row>
    <row r="23" spans="1:38" x14ac:dyDescent="0.15">
      <c r="A23" s="15">
        <v>1</v>
      </c>
      <c r="B23" s="12" t="s">
        <v>103</v>
      </c>
      <c r="C23" s="13" t="s">
        <v>99</v>
      </c>
      <c r="D23" s="13">
        <f>SUMPRODUCT('[1]功能-采集'!$BK$5:$BK$84,'[1]功能-付费相关'!$U$6:$U$85)/4*1.15</f>
        <v>17117.959893272993</v>
      </c>
      <c r="E23" s="28">
        <f>SUMPRODUCT('[1]功能-采集'!$BK$5:$BK$84,'[1]功能-付费相关'!$U$6:$U$85,1+[1]养成buff汇总!$EP$6:$EP$85)/4*1.15</f>
        <v>34261.811626981616</v>
      </c>
      <c r="H23" s="38"/>
      <c r="I23" s="38"/>
      <c r="L23" s="22"/>
      <c r="AE23" s="19"/>
    </row>
    <row r="24" spans="1:38" x14ac:dyDescent="0.15">
      <c r="A24" s="15">
        <v>1</v>
      </c>
      <c r="B24" s="12" t="s">
        <v>104</v>
      </c>
      <c r="C24" s="13" t="s">
        <v>99</v>
      </c>
      <c r="D24" s="13">
        <f>D23</f>
        <v>17117.959893272993</v>
      </c>
      <c r="E24" s="13">
        <f>E23</f>
        <v>34261.811626981616</v>
      </c>
      <c r="G24" s="38"/>
      <c r="H24" s="38"/>
      <c r="I24" s="38"/>
      <c r="AE24" s="19"/>
      <c r="AL24" s="23"/>
    </row>
    <row r="25" spans="1:38" x14ac:dyDescent="0.15">
      <c r="A25" s="15">
        <v>1</v>
      </c>
      <c r="B25" s="12" t="s">
        <v>105</v>
      </c>
      <c r="C25" s="13" t="s">
        <v>99</v>
      </c>
      <c r="D25" s="13">
        <f>D24</f>
        <v>17117.959893272993</v>
      </c>
      <c r="E25" s="13">
        <f>E24</f>
        <v>34261.811626981616</v>
      </c>
      <c r="G25" s="38"/>
      <c r="H25" s="38"/>
      <c r="I25" s="38"/>
      <c r="AE25" s="19"/>
    </row>
    <row r="26" spans="1:38" x14ac:dyDescent="0.15">
      <c r="A26" s="15">
        <v>1</v>
      </c>
      <c r="B26" s="12" t="s">
        <v>106</v>
      </c>
      <c r="C26" s="13" t="s">
        <v>99</v>
      </c>
      <c r="D26" s="13">
        <f>D23*1.5</f>
        <v>25676.93983990949</v>
      </c>
      <c r="E26" s="13">
        <f>E23*1.5</f>
        <v>51392.717440472421</v>
      </c>
      <c r="G26" s="38"/>
      <c r="H26" s="38"/>
      <c r="I26" s="38"/>
      <c r="AE26" s="19"/>
    </row>
    <row r="27" spans="1:38" x14ac:dyDescent="0.15">
      <c r="A27" s="15">
        <v>1</v>
      </c>
      <c r="B27" s="1" t="s">
        <v>107</v>
      </c>
      <c r="C27" s="13" t="s">
        <v>99</v>
      </c>
      <c r="D27" s="12">
        <f>SUMPRODUCT('[1]功能-城建'!$EZ$4:$EZ$83,'[1]功能-付费相关'!$U$6:$U$85)/4</f>
        <v>9419.4689619045457</v>
      </c>
      <c r="E27" s="16">
        <f>SUMPRODUCT('[1]功能-城建'!$EZ$4:$EZ$83,'[1]功能-付费相关'!$U$6:$U$85,1+[1]养成buff汇总!$E$6:$E$85)/4</f>
        <v>24438.047855621415</v>
      </c>
      <c r="G27" s="38"/>
      <c r="H27" s="38"/>
      <c r="I27" s="38"/>
      <c r="AE27" s="19"/>
    </row>
    <row r="28" spans="1:38" x14ac:dyDescent="0.15">
      <c r="A28" s="15">
        <v>1</v>
      </c>
      <c r="B28" s="1" t="s">
        <v>108</v>
      </c>
      <c r="C28" s="13" t="s">
        <v>99</v>
      </c>
      <c r="D28" s="12">
        <f t="shared" ref="D28:E30" si="3">D27</f>
        <v>9419.4689619045457</v>
      </c>
      <c r="E28" s="16">
        <f t="shared" si="3"/>
        <v>24438.047855621415</v>
      </c>
      <c r="G28" s="38"/>
      <c r="H28" s="38"/>
      <c r="I28" s="38"/>
      <c r="AE28" s="19"/>
    </row>
    <row r="29" spans="1:38" x14ac:dyDescent="0.15">
      <c r="A29" s="15">
        <v>1</v>
      </c>
      <c r="B29" s="1" t="s">
        <v>109</v>
      </c>
      <c r="C29" s="13" t="s">
        <v>99</v>
      </c>
      <c r="D29" s="12">
        <f t="shared" si="3"/>
        <v>9419.4689619045457</v>
      </c>
      <c r="E29" s="16">
        <f t="shared" si="3"/>
        <v>24438.047855621415</v>
      </c>
      <c r="G29" s="38"/>
      <c r="H29" s="38"/>
      <c r="I29" s="38"/>
      <c r="AE29" s="19"/>
    </row>
    <row r="30" spans="1:38" x14ac:dyDescent="0.15">
      <c r="A30" s="15">
        <v>1</v>
      </c>
      <c r="B30" s="1" t="s">
        <v>192</v>
      </c>
      <c r="C30" s="13" t="s">
        <v>99</v>
      </c>
      <c r="D30" s="12">
        <f t="shared" si="3"/>
        <v>9419.4689619045457</v>
      </c>
      <c r="E30" s="16">
        <f t="shared" si="3"/>
        <v>24438.047855621415</v>
      </c>
      <c r="G30" s="38"/>
      <c r="H30" s="38"/>
      <c r="I30" s="38"/>
      <c r="J30" s="15" t="s">
        <v>133</v>
      </c>
      <c r="AE30" s="19"/>
    </row>
    <row r="31" spans="1:38" x14ac:dyDescent="0.15">
      <c r="A31" s="15">
        <v>1</v>
      </c>
      <c r="B31" s="1" t="s">
        <v>110</v>
      </c>
      <c r="C31" s="13" t="s">
        <v>99</v>
      </c>
      <c r="D31" s="12">
        <f>D29*1.5</f>
        <v>14129.203442856819</v>
      </c>
      <c r="E31" s="12">
        <f>E29*1.5</f>
        <v>36657.071783432126</v>
      </c>
      <c r="G31" s="38"/>
      <c r="H31" s="38"/>
      <c r="I31" s="38"/>
      <c r="K31" s="15" t="s">
        <v>134</v>
      </c>
      <c r="AE31" s="19"/>
    </row>
    <row r="32" spans="1:38" x14ac:dyDescent="0.15">
      <c r="A32" s="15">
        <v>1</v>
      </c>
      <c r="B32" s="1" t="s">
        <v>111</v>
      </c>
      <c r="C32" s="13" t="s">
        <v>99</v>
      </c>
      <c r="D32" s="12">
        <f>SUMPRODUCT('[1]功能-城建'!$GH$4:$GH$83,'[1]功能-付费相关'!$AS$6:$AS$85)</f>
        <v>168829.88317644352</v>
      </c>
      <c r="E32" s="39">
        <f>SUMPRODUCT('[1]功能-城建'!$GH$4:$GH$83,'[1]功能-付费相关'!$AS$6:$AS$85,1+[1]养成buff汇总!$AA$6:$AA$85)</f>
        <v>190128.27875532911</v>
      </c>
      <c r="G32" s="38"/>
      <c r="H32" s="38"/>
      <c r="I32" s="38"/>
      <c r="K32" s="15" t="s">
        <v>190</v>
      </c>
      <c r="AE32" s="19"/>
    </row>
    <row r="33" spans="1:31" x14ac:dyDescent="0.15">
      <c r="A33" s="15">
        <v>1</v>
      </c>
      <c r="B33" s="12" t="s">
        <v>125</v>
      </c>
      <c r="C33" s="13" t="s">
        <v>99</v>
      </c>
      <c r="D33" s="12">
        <f>[4]国建支援!$F$5*节奏总纲!R83/10</f>
        <v>36067.199999999997</v>
      </c>
      <c r="E33" s="12">
        <f>D33*(1+[1]养成buff汇总!$GF$85)</f>
        <v>69383.681528511894</v>
      </c>
      <c r="G33" s="38"/>
      <c r="H33" s="38"/>
      <c r="I33" s="38"/>
      <c r="AE33" s="19"/>
    </row>
    <row r="34" spans="1:31" x14ac:dyDescent="0.15">
      <c r="A34" s="15">
        <v>1</v>
      </c>
      <c r="B34" s="12" t="s">
        <v>112</v>
      </c>
      <c r="C34" s="13" t="s">
        <v>99</v>
      </c>
      <c r="D34" s="13">
        <f>D45*1/50</f>
        <v>24617.235639178023</v>
      </c>
      <c r="E34" s="21">
        <f t="shared" ref="E34:E35" si="4">D34</f>
        <v>24617.235639178023</v>
      </c>
      <c r="G34" s="38"/>
      <c r="H34" s="38"/>
      <c r="I34" s="38"/>
      <c r="AE34" s="19"/>
    </row>
    <row r="35" spans="1:31" x14ac:dyDescent="0.15">
      <c r="B35" s="12" t="s">
        <v>113</v>
      </c>
      <c r="C35" s="13" t="s">
        <v>99</v>
      </c>
      <c r="D35" s="13">
        <f>D45*1/20</f>
        <v>61543.089097945056</v>
      </c>
      <c r="E35" s="21">
        <f t="shared" si="4"/>
        <v>61543.089097945056</v>
      </c>
      <c r="G35" s="38"/>
      <c r="H35" s="38"/>
      <c r="I35" s="38"/>
      <c r="AE35" s="19"/>
    </row>
    <row r="36" spans="1:31" x14ac:dyDescent="0.15">
      <c r="B36" s="12" t="s">
        <v>114</v>
      </c>
      <c r="C36" s="13" t="s">
        <v>99</v>
      </c>
      <c r="D36" s="12">
        <f>D23/2</f>
        <v>8558.9799466364966</v>
      </c>
      <c r="E36" s="12">
        <f>E23/2</f>
        <v>17130.905813490808</v>
      </c>
      <c r="F36" s="15"/>
      <c r="G36" s="38"/>
      <c r="H36" s="38"/>
      <c r="I36" s="38"/>
      <c r="AE36" s="19"/>
    </row>
    <row r="37" spans="1:31" x14ac:dyDescent="0.15">
      <c r="A37" s="15">
        <v>1</v>
      </c>
      <c r="B37" s="12" t="s">
        <v>213</v>
      </c>
      <c r="C37" s="13" t="s">
        <v>121</v>
      </c>
      <c r="D37" s="12">
        <f>SUMPRODUCT('[1]功能-付费相关'!$AJ$6:$AJ$85,'[1]资源-士兵训练时间'!$AD$6:$AD$85)*buff规划!$G$10</f>
        <v>499025.31270098942</v>
      </c>
      <c r="E37" s="12">
        <f>SUMPRODUCT('[1]功能-付费相关'!$AJ$6:$AJ$85,'[1]资源-士兵训练时间'!$AD$6:$AD$85,1+[1]养成buff汇总!$BT$6:$BT$85)*buff规划!$G$10</f>
        <v>568866.8933574406</v>
      </c>
      <c r="G37" s="38"/>
      <c r="H37" s="38"/>
      <c r="I37" s="38"/>
      <c r="AE37" s="19"/>
    </row>
    <row r="38" spans="1:31" x14ac:dyDescent="0.15">
      <c r="A38" s="15">
        <v>1</v>
      </c>
      <c r="B38" s="12" t="s">
        <v>123</v>
      </c>
      <c r="C38" s="13" t="s">
        <v>122</v>
      </c>
      <c r="D38" s="36"/>
      <c r="E38" s="37"/>
      <c r="G38" s="38"/>
      <c r="H38" s="38"/>
      <c r="I38" s="38"/>
      <c r="AE38" s="19"/>
    </row>
    <row r="39" spans="1:31" x14ac:dyDescent="0.15">
      <c r="B39" s="12" t="s">
        <v>220</v>
      </c>
      <c r="C39" s="13" t="s">
        <v>124</v>
      </c>
      <c r="D39" s="12">
        <f>(SUMPRODUCT('[1]功能-战损相关'!$GI$11:$GI$90,'[1]功能-战损相关'!$CH$11:$CH$90)-SUMPRODUCT('[1]功能-战损相关'!$FS$11:$FS$90,'[1]功能-付费相关'!$AI$6:$AI$85))/50%*buff规划!$G$11</f>
        <v>861973.82934432093</v>
      </c>
      <c r="E39" s="28">
        <f>(SUMPRODUCT('[1]功能-战损相关'!$GI$11:$GI$90,'[1]功能-战损相关'!$CH$11:$CH$90,1+[1]养成buff汇总!$EJ$6:$EJ$85)-SUMPRODUCT('[1]功能-战损相关'!$FS$11:$FS$90,'[1]功能-付费相关'!$AI$6:$AI$85,1+[1]养成buff汇总!$CE$6:$CE$85))/50%*buff规划!$G$11</f>
        <v>816076.88122589653</v>
      </c>
      <c r="G39" s="38"/>
      <c r="H39" s="38"/>
      <c r="I39" s="38"/>
      <c r="AE39" s="19"/>
    </row>
    <row r="40" spans="1:31" x14ac:dyDescent="0.15">
      <c r="A40" s="24"/>
      <c r="B40" s="46" t="s">
        <v>214</v>
      </c>
      <c r="C40" s="47" t="s">
        <v>99</v>
      </c>
      <c r="D40" s="46">
        <f>SUMPRODUCT('[1]功能-士兵训练'!$AU$6:$AU$85,'[1]功能-付费相关'!$AS$6:$AS$85)</f>
        <v>830318.2720553102</v>
      </c>
      <c r="E40" s="48">
        <f>SUMPRODUCT('[1]功能-士兵训练'!$AU$6:$AU$85,'[1]功能-付费相关'!$AS$6:$AS$85,1+[1]养成buff汇总!$FN$6:$FN$85)</f>
        <v>889421.3805288435</v>
      </c>
      <c r="G40" s="38"/>
      <c r="H40" s="38"/>
      <c r="I40" s="38"/>
      <c r="J40" s="62"/>
      <c r="AE40" s="19"/>
    </row>
    <row r="41" spans="1:31" x14ac:dyDescent="0.15">
      <c r="A41" s="15">
        <v>1</v>
      </c>
      <c r="B41" s="12" t="s">
        <v>126</v>
      </c>
      <c r="C41" s="13" t="s">
        <v>121</v>
      </c>
      <c r="D41" s="12">
        <f>辅助计算!$Z$2+D56*0.5</f>
        <v>46900.162397578279</v>
      </c>
      <c r="E41" s="16">
        <f>D41*1.8</f>
        <v>84420.292315640909</v>
      </c>
      <c r="I41" s="38"/>
      <c r="AE41" s="19"/>
    </row>
    <row r="42" spans="1:31" x14ac:dyDescent="0.15">
      <c r="B42" s="12" t="s">
        <v>127</v>
      </c>
      <c r="C42" s="13" t="s">
        <v>121</v>
      </c>
      <c r="D42" s="13"/>
      <c r="E42" s="16"/>
      <c r="I42" s="38"/>
      <c r="AE42" s="19"/>
    </row>
    <row r="43" spans="1:31" x14ac:dyDescent="0.15">
      <c r="B43" s="12" t="s">
        <v>186</v>
      </c>
      <c r="C43" s="13" t="s">
        <v>99</v>
      </c>
      <c r="D43" s="13" t="e">
        <f>辅助计算!$P$2</f>
        <v>#VALUE!</v>
      </c>
      <c r="E43" s="16" t="e">
        <f>SUMPRODUCT(辅助计算!$P$5:$P$84,1+[1]养成buff汇总!$AW$6:$AW$85)</f>
        <v>#VALUE!</v>
      </c>
      <c r="I43" s="38"/>
      <c r="AE43" s="19"/>
    </row>
    <row r="44" spans="1:31" ht="10.5" customHeight="1" x14ac:dyDescent="0.15">
      <c r="A44" s="15">
        <v>1</v>
      </c>
      <c r="B44" s="46" t="s">
        <v>215</v>
      </c>
      <c r="C44" s="47" t="s">
        <v>99</v>
      </c>
      <c r="D44" s="47">
        <f>SUMPRODUCT('[1]功能-战损相关'!$DZ$11:$DZ$90*'[1]功能-战损相关'!$EL$3,'[1]功能-付费相关'!$U$6:$U$85)</f>
        <v>71096.63253253435</v>
      </c>
      <c r="E44" s="48">
        <f>SUMPRODUCT('[1]功能-战损相关'!$DZ$11:$DZ$90*'[1]功能-战损相关'!$EL$3,'[1]功能-付费相关'!$U$6:$U$85,1+[1]养成buff汇总!$FB$6:$FB$85)</f>
        <v>71096.63253253435</v>
      </c>
      <c r="I44" s="38"/>
      <c r="AE44" s="19"/>
    </row>
    <row r="45" spans="1:31" x14ac:dyDescent="0.15">
      <c r="A45" s="15">
        <v>1</v>
      </c>
      <c r="B45" s="12" t="s">
        <v>141</v>
      </c>
      <c r="C45" s="13" t="s">
        <v>99</v>
      </c>
      <c r="D45" s="13">
        <f>SUM(D18:D22)</f>
        <v>1230861.7819589011</v>
      </c>
      <c r="E45" s="21">
        <f t="shared" ref="E45:E46" si="5">D45</f>
        <v>1230861.7819589011</v>
      </c>
      <c r="F45" s="15"/>
      <c r="I45" s="38"/>
      <c r="AE45" s="19"/>
    </row>
    <row r="46" spans="1:31" x14ac:dyDescent="0.15">
      <c r="B46" s="12" t="s">
        <v>171</v>
      </c>
      <c r="C46" s="13" t="s">
        <v>99</v>
      </c>
      <c r="D46" s="13" t="e">
        <f>辅助计算!$K$2</f>
        <v>#VALUE!</v>
      </c>
      <c r="E46" s="49" t="e">
        <f t="shared" si="5"/>
        <v>#VALUE!</v>
      </c>
      <c r="I46" s="38"/>
      <c r="AE46" s="19"/>
    </row>
    <row r="47" spans="1:31" x14ac:dyDescent="0.15">
      <c r="B47" s="12" t="s">
        <v>177</v>
      </c>
      <c r="C47" s="13" t="s">
        <v>176</v>
      </c>
      <c r="D47" s="13">
        <f>(SUM([5]中r将兵属性验证!$V$7:$V$86)/80+SUM([5]中r将兵属性验证!$AP$7:$AP$86)/80)/10000*1.5</f>
        <v>7827.3903927782339</v>
      </c>
      <c r="E47" s="28">
        <f>D47</f>
        <v>7827.3903927782339</v>
      </c>
      <c r="F47" s="15" t="s">
        <v>183</v>
      </c>
      <c r="I47" s="38"/>
      <c r="AE47" s="19"/>
    </row>
    <row r="48" spans="1:31" x14ac:dyDescent="0.15">
      <c r="A48" s="15">
        <v>1</v>
      </c>
      <c r="B48" s="12" t="s">
        <v>172</v>
      </c>
      <c r="C48" s="13" t="s">
        <v>99</v>
      </c>
      <c r="D48" s="13">
        <f>SUM([5]中r将兵属性验证!$Y$7:$Y$86)/80/10000*1.5</f>
        <v>866695.67300324631</v>
      </c>
      <c r="E48" s="28">
        <f t="shared" ref="E48:E61" si="6">D48</f>
        <v>866695.67300324631</v>
      </c>
      <c r="I48" s="40"/>
      <c r="AE48" s="19"/>
    </row>
    <row r="49" spans="1:31" x14ac:dyDescent="0.15">
      <c r="B49" s="12" t="s">
        <v>173</v>
      </c>
      <c r="C49" s="13" t="s">
        <v>99</v>
      </c>
      <c r="D49" s="13">
        <f>D48</f>
        <v>866695.67300324631</v>
      </c>
      <c r="E49" s="28">
        <f t="shared" si="6"/>
        <v>866695.67300324631</v>
      </c>
      <c r="I49" s="38"/>
      <c r="AE49" s="19"/>
    </row>
    <row r="50" spans="1:31" x14ac:dyDescent="0.15">
      <c r="B50" s="12" t="s">
        <v>174</v>
      </c>
      <c r="C50" s="13" t="s">
        <v>99</v>
      </c>
      <c r="D50" s="13">
        <f>SUM([5]中r将兵属性验证!$AA$7:$AA$86)/80/10000*1.5</f>
        <v>794544.38335637981</v>
      </c>
      <c r="E50" s="28">
        <f t="shared" si="6"/>
        <v>794544.38335637981</v>
      </c>
      <c r="I50" s="38"/>
      <c r="AE50" s="19"/>
    </row>
    <row r="51" spans="1:31" x14ac:dyDescent="0.15">
      <c r="A51" s="15">
        <v>1</v>
      </c>
      <c r="B51" s="12" t="s">
        <v>175</v>
      </c>
      <c r="C51" s="13" t="s">
        <v>99</v>
      </c>
      <c r="D51" s="13">
        <f>D50</f>
        <v>794544.38335637981</v>
      </c>
      <c r="E51" s="28">
        <f t="shared" si="6"/>
        <v>794544.38335637981</v>
      </c>
      <c r="I51" s="38"/>
      <c r="AE51" s="19"/>
    </row>
    <row r="52" spans="1:31" x14ac:dyDescent="0.15">
      <c r="A52" s="15">
        <v>1</v>
      </c>
      <c r="B52" s="12" t="s">
        <v>179</v>
      </c>
      <c r="C52" s="13" t="s">
        <v>99</v>
      </c>
      <c r="D52" s="13">
        <f>SUM([5]中r将兵属性验证!$AS$7:$AS$86)/80/10000*1.5</f>
        <v>1023658.5692617481</v>
      </c>
      <c r="E52" s="28">
        <f t="shared" si="6"/>
        <v>1023658.5692617481</v>
      </c>
      <c r="I52" s="38"/>
      <c r="AE52" s="19"/>
    </row>
    <row r="53" spans="1:31" x14ac:dyDescent="0.15">
      <c r="B53" s="12" t="s">
        <v>180</v>
      </c>
      <c r="C53" s="13" t="s">
        <v>99</v>
      </c>
      <c r="D53" s="13">
        <f>D52</f>
        <v>1023658.5692617481</v>
      </c>
      <c r="E53" s="28">
        <f t="shared" si="6"/>
        <v>1023658.5692617481</v>
      </c>
      <c r="I53" s="38"/>
      <c r="AE53" s="19"/>
    </row>
    <row r="54" spans="1:31" x14ac:dyDescent="0.15">
      <c r="B54" s="12" t="s">
        <v>181</v>
      </c>
      <c r="C54" s="13" t="s">
        <v>99</v>
      </c>
      <c r="D54" s="13">
        <f>SUM([5]中r将兵属性验证!$AU$7:$AU$86)/80/10000*1.5</f>
        <v>936740.5251114897</v>
      </c>
      <c r="E54" s="28">
        <f t="shared" si="6"/>
        <v>936740.5251114897</v>
      </c>
      <c r="I54" s="38"/>
      <c r="AE54" s="19"/>
    </row>
    <row r="55" spans="1:31" x14ac:dyDescent="0.15">
      <c r="A55" s="15">
        <v>1</v>
      </c>
      <c r="B55" s="12" t="s">
        <v>182</v>
      </c>
      <c r="C55" s="13" t="s">
        <v>99</v>
      </c>
      <c r="D55" s="13">
        <f>D54</f>
        <v>936740.5251114897</v>
      </c>
      <c r="E55" s="28">
        <f t="shared" si="6"/>
        <v>936740.5251114897</v>
      </c>
      <c r="I55" s="38"/>
      <c r="AE55" s="19"/>
    </row>
    <row r="56" spans="1:31" x14ac:dyDescent="0.15">
      <c r="A56" s="15">
        <v>1</v>
      </c>
      <c r="B56" s="12" t="s">
        <v>178</v>
      </c>
      <c r="C56" s="13" t="s">
        <v>99</v>
      </c>
      <c r="D56" s="13">
        <f>D48/10</f>
        <v>86669.567300324634</v>
      </c>
      <c r="E56" s="28">
        <f t="shared" si="6"/>
        <v>86669.567300324634</v>
      </c>
      <c r="I56" s="38"/>
      <c r="AE56" s="19"/>
    </row>
    <row r="57" spans="1:31" x14ac:dyDescent="0.15">
      <c r="B57" s="12" t="s">
        <v>184</v>
      </c>
      <c r="C57" s="13" t="s">
        <v>99</v>
      </c>
      <c r="D57" s="13">
        <f>D56*0.4</f>
        <v>34667.826920129854</v>
      </c>
      <c r="E57" s="28">
        <f t="shared" si="6"/>
        <v>34667.826920129854</v>
      </c>
      <c r="AE57" s="19"/>
    </row>
    <row r="58" spans="1:31" x14ac:dyDescent="0.15">
      <c r="B58" s="12" t="s">
        <v>191</v>
      </c>
      <c r="C58" s="13" t="s">
        <v>99</v>
      </c>
      <c r="D58" s="13">
        <f>D57</f>
        <v>34667.826920129854</v>
      </c>
      <c r="E58" s="28">
        <f t="shared" si="6"/>
        <v>34667.826920129854</v>
      </c>
      <c r="AE58" s="19"/>
    </row>
    <row r="59" spans="1:31" x14ac:dyDescent="0.15">
      <c r="B59" s="12" t="s">
        <v>193</v>
      </c>
      <c r="C59" s="13" t="s">
        <v>99</v>
      </c>
      <c r="D59" s="13">
        <f>[6]移动速度!$X$3*D56/[6]移动速度!$X$4</f>
        <v>49788.900364016263</v>
      </c>
      <c r="E59" s="28">
        <f t="shared" si="6"/>
        <v>49788.900364016263</v>
      </c>
      <c r="AE59" s="19"/>
    </row>
    <row r="60" spans="1:31" x14ac:dyDescent="0.15">
      <c r="B60" s="12" t="s">
        <v>254</v>
      </c>
      <c r="C60" s="13" t="s">
        <v>99</v>
      </c>
      <c r="D60" s="13">
        <f>SUMPRODUCT('[1]资源-圣人研究时间'!$AG$5:$AG$84,'[1]功能-付费相关'!$AJ$6:$AJ$85)*buff规划!$G$13</f>
        <v>550961.38273259904</v>
      </c>
      <c r="E60" s="28">
        <f>SUMPRODUCT('[1]资源-圣人研究时间'!$AG$5:$AG$84,'[1]功能-付费相关'!$AJ$6:$AJ$85,1+[1]养成buff汇总!$GL$6:$GL$85)*buff规划!$G$13</f>
        <v>612260.89217533707</v>
      </c>
      <c r="AE60" s="19"/>
    </row>
    <row r="61" spans="1:31" x14ac:dyDescent="0.15">
      <c r="B61" s="16" t="s">
        <v>244</v>
      </c>
      <c r="C61" s="13" t="s">
        <v>99</v>
      </c>
      <c r="D61" s="16" t="e">
        <f>D43*50%</f>
        <v>#VALUE!</v>
      </c>
      <c r="E61" s="28" t="e">
        <f t="shared" si="6"/>
        <v>#VALUE!</v>
      </c>
      <c r="AE61" s="19"/>
    </row>
    <row r="62" spans="1:31" x14ac:dyDescent="0.15">
      <c r="B62" s="12"/>
      <c r="C62" s="13"/>
      <c r="D62" s="13"/>
      <c r="E62" s="16"/>
      <c r="AE62" s="19"/>
    </row>
    <row r="63" spans="1:31" x14ac:dyDescent="0.15">
      <c r="B63" s="12"/>
      <c r="C63" s="13"/>
      <c r="D63" s="13"/>
      <c r="E63" s="16"/>
      <c r="AE63" s="19"/>
    </row>
    <row r="64" spans="1:31" x14ac:dyDescent="0.15">
      <c r="B64" s="12"/>
      <c r="C64" s="13"/>
      <c r="D64" s="13"/>
      <c r="E64" s="16"/>
      <c r="AE64" s="19"/>
    </row>
    <row r="65" spans="2:31" x14ac:dyDescent="0.15">
      <c r="B65" s="12"/>
      <c r="C65" s="13"/>
      <c r="D65" s="13"/>
      <c r="E65" s="16"/>
      <c r="AE65" s="19"/>
    </row>
    <row r="66" spans="2:31" x14ac:dyDescent="0.15">
      <c r="B66" s="12"/>
      <c r="C66" s="13"/>
      <c r="D66" s="13"/>
      <c r="E66" s="16"/>
      <c r="AE66" s="19"/>
    </row>
    <row r="67" spans="2:31" x14ac:dyDescent="0.15">
      <c r="B67" s="12"/>
      <c r="C67" s="13"/>
      <c r="D67" s="13"/>
      <c r="E67" s="16"/>
      <c r="AE67" s="19"/>
    </row>
    <row r="68" spans="2:31" x14ac:dyDescent="0.15">
      <c r="B68" s="12"/>
      <c r="C68" s="13"/>
      <c r="D68" s="13"/>
      <c r="E68" s="16"/>
      <c r="AE68" s="19"/>
    </row>
    <row r="69" spans="2:31" x14ac:dyDescent="0.15">
      <c r="AE69" s="19"/>
    </row>
    <row r="70" spans="2:31" x14ac:dyDescent="0.15">
      <c r="AE70" s="19"/>
    </row>
    <row r="71" spans="2:31" x14ac:dyDescent="0.15">
      <c r="AE71" s="19"/>
    </row>
    <row r="72" spans="2:31" x14ac:dyDescent="0.15">
      <c r="AE72" s="19"/>
    </row>
    <row r="73" spans="2:31" x14ac:dyDescent="0.15">
      <c r="AE73" s="19"/>
    </row>
    <row r="74" spans="2:31" x14ac:dyDescent="0.15">
      <c r="AE74" s="19"/>
    </row>
    <row r="75" spans="2:31" x14ac:dyDescent="0.15">
      <c r="AE75" s="19"/>
    </row>
    <row r="76" spans="2:31" x14ac:dyDescent="0.15">
      <c r="AE76" s="19"/>
    </row>
    <row r="77" spans="2:31" x14ac:dyDescent="0.15">
      <c r="AE77" s="19"/>
    </row>
    <row r="78" spans="2:31" x14ac:dyDescent="0.15">
      <c r="AE78" s="19"/>
    </row>
    <row r="79" spans="2:31" x14ac:dyDescent="0.15">
      <c r="AE79" s="19"/>
    </row>
    <row r="80" spans="2:31" x14ac:dyDescent="0.15">
      <c r="AE80" s="19"/>
    </row>
    <row r="81" spans="31:31" x14ac:dyDescent="0.15">
      <c r="AE81" s="19"/>
    </row>
    <row r="82" spans="31:31" x14ac:dyDescent="0.15">
      <c r="AE82" s="19"/>
    </row>
    <row r="83" spans="31:31" x14ac:dyDescent="0.15">
      <c r="AE83" s="19"/>
    </row>
    <row r="84" spans="31:31" x14ac:dyDescent="0.15">
      <c r="AE84" s="19"/>
    </row>
    <row r="85" spans="31:31" x14ac:dyDescent="0.15">
      <c r="AE85" s="19"/>
    </row>
    <row r="86" spans="31:31" x14ac:dyDescent="0.15">
      <c r="AE86" s="19"/>
    </row>
    <row r="87" spans="31:31" x14ac:dyDescent="0.15">
      <c r="AE87" s="19"/>
    </row>
    <row r="88" spans="31:31" x14ac:dyDescent="0.15">
      <c r="AE88" s="19"/>
    </row>
    <row r="89" spans="31:31" x14ac:dyDescent="0.15">
      <c r="AE89" s="19"/>
    </row>
    <row r="90" spans="31:31" x14ac:dyDescent="0.15">
      <c r="AE90" s="19"/>
    </row>
    <row r="91" spans="31:31" x14ac:dyDescent="0.15">
      <c r="AE91" s="19"/>
    </row>
    <row r="92" spans="31:31" x14ac:dyDescent="0.15">
      <c r="AE92" s="19"/>
    </row>
    <row r="93" spans="31:31" x14ac:dyDescent="0.15">
      <c r="AE93" s="19"/>
    </row>
    <row r="94" spans="31:31" x14ac:dyDescent="0.15">
      <c r="AE94" s="19"/>
    </row>
    <row r="95" spans="31:31" x14ac:dyDescent="0.15">
      <c r="AE95" s="19"/>
    </row>
    <row r="96" spans="31:31" x14ac:dyDescent="0.15">
      <c r="AE96" s="19"/>
    </row>
    <row r="97" spans="31:31" x14ac:dyDescent="0.15">
      <c r="AE97" s="19"/>
    </row>
    <row r="98" spans="31:31" x14ac:dyDescent="0.15">
      <c r="AE98" s="19"/>
    </row>
    <row r="99" spans="31:31" x14ac:dyDescent="0.15">
      <c r="AE99" s="19"/>
    </row>
    <row r="100" spans="31:31" x14ac:dyDescent="0.15">
      <c r="AE100" s="19"/>
    </row>
    <row r="101" spans="31:31" x14ac:dyDescent="0.15">
      <c r="AE101" s="19"/>
    </row>
    <row r="102" spans="31:31" x14ac:dyDescent="0.15">
      <c r="AE102" s="19"/>
    </row>
    <row r="103" spans="31:31" x14ac:dyDescent="0.15">
      <c r="AE103" s="19"/>
    </row>
    <row r="104" spans="31:31" x14ac:dyDescent="0.15">
      <c r="AE104" s="19"/>
    </row>
  </sheetData>
  <mergeCells count="1">
    <mergeCell ref="D4:E4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N65"/>
  <sheetViews>
    <sheetView workbookViewId="0">
      <selection activeCell="G12" sqref="G12"/>
    </sheetView>
  </sheetViews>
  <sheetFormatPr defaultRowHeight="11.25" x14ac:dyDescent="0.15"/>
  <cols>
    <col min="1" max="3" width="9" style="29"/>
    <col min="4" max="4" width="9" style="43"/>
    <col min="5" max="8" width="9" style="29"/>
    <col min="9" max="9" width="11.5" style="29" customWidth="1"/>
    <col min="10" max="10" width="7.375" style="29" customWidth="1"/>
    <col min="11" max="16384" width="9" style="29"/>
  </cols>
  <sheetData>
    <row r="2" spans="2:12" x14ac:dyDescent="0.15">
      <c r="B2" s="29" t="s">
        <v>199</v>
      </c>
    </row>
    <row r="4" spans="2:12" x14ac:dyDescent="0.15">
      <c r="C4" s="29" t="s">
        <v>133</v>
      </c>
    </row>
    <row r="5" spans="2:12" x14ac:dyDescent="0.15">
      <c r="D5" s="43" t="s">
        <v>200</v>
      </c>
    </row>
    <row r="7" spans="2:12" x14ac:dyDescent="0.15">
      <c r="B7" s="43" t="s">
        <v>219</v>
      </c>
      <c r="D7" s="43" t="s">
        <v>203</v>
      </c>
      <c r="E7" s="42" t="s">
        <v>202</v>
      </c>
      <c r="F7" s="42" t="s">
        <v>204</v>
      </c>
      <c r="G7" s="42" t="s">
        <v>207</v>
      </c>
      <c r="H7" s="43" t="s">
        <v>241</v>
      </c>
      <c r="J7" s="29" t="s">
        <v>216</v>
      </c>
    </row>
    <row r="8" spans="2:12" x14ac:dyDescent="0.15">
      <c r="C8" s="19" t="s">
        <v>201</v>
      </c>
      <c r="D8" s="35">
        <v>0.2</v>
      </c>
      <c r="E8" s="35">
        <v>0.1</v>
      </c>
      <c r="F8" s="35">
        <v>0</v>
      </c>
      <c r="G8" s="29">
        <f>((1-1/(1+SUM(D8:F8)))/SUM(D8:F8)+1)/2</f>
        <v>0.88461538461538469</v>
      </c>
      <c r="H8" s="29">
        <f>效果!D18/G8</f>
        <v>1120780.1473631461</v>
      </c>
      <c r="I8" s="43">
        <f>$H$8/H8*$D$8</f>
        <v>0.2</v>
      </c>
      <c r="J8" s="19">
        <f>D8/I8</f>
        <v>1</v>
      </c>
    </row>
    <row r="9" spans="2:12" x14ac:dyDescent="0.15">
      <c r="C9" s="30" t="s">
        <v>245</v>
      </c>
      <c r="D9" s="35">
        <v>0.4</v>
      </c>
      <c r="E9" s="35">
        <v>0.2</v>
      </c>
      <c r="F9" s="35">
        <v>0</v>
      </c>
      <c r="G9" s="43">
        <f>((1-1/(1+SUM(D9:F9)))/SUM(D9:F9)+1)/2</f>
        <v>0.8125</v>
      </c>
      <c r="H9" s="29">
        <f>效果!D12/G9</f>
        <v>93767.107793982694</v>
      </c>
      <c r="I9" s="43">
        <f>$H$8/H9*$D$8</f>
        <v>2.3905614105654855</v>
      </c>
      <c r="J9" s="19">
        <f t="shared" ref="J9:J11" si="0">D9/I9</f>
        <v>0.16732471219192829</v>
      </c>
    </row>
    <row r="10" spans="2:12" x14ac:dyDescent="0.15">
      <c r="C10" s="30" t="s">
        <v>208</v>
      </c>
      <c r="D10" s="35">
        <v>0.2</v>
      </c>
      <c r="E10" s="35">
        <v>0.1</v>
      </c>
      <c r="F10" s="35">
        <v>0</v>
      </c>
      <c r="G10" s="43">
        <f t="shared" ref="G10:G13" si="1">((1-1/(1+SUM(D10:F10)))/SUM(D10:F10)+1)/2</f>
        <v>0.88461538461538469</v>
      </c>
      <c r="H10" s="29">
        <f>效果!D37/G10</f>
        <v>564115.57087937929</v>
      </c>
      <c r="I10" s="43">
        <f t="shared" ref="I10:I12" si="2">$H$8/H10*$D$8</f>
        <v>0.39735834471507414</v>
      </c>
      <c r="J10" s="19">
        <f t="shared" si="0"/>
        <v>0.50332402140292298</v>
      </c>
    </row>
    <row r="11" spans="2:12" x14ac:dyDescent="0.15">
      <c r="C11" s="43" t="s">
        <v>218</v>
      </c>
      <c r="D11" s="35">
        <v>0.2</v>
      </c>
      <c r="E11" s="35">
        <v>0</v>
      </c>
      <c r="F11" s="35">
        <v>0</v>
      </c>
      <c r="G11" s="43">
        <f t="shared" si="1"/>
        <v>0.91666666666666652</v>
      </c>
      <c r="H11" s="29">
        <f>效果!D39/G11</f>
        <v>940335.08655744116</v>
      </c>
      <c r="I11" s="43">
        <f t="shared" si="2"/>
        <v>0.23837888501349297</v>
      </c>
      <c r="J11" s="19">
        <f t="shared" si="0"/>
        <v>0.83900048441236486</v>
      </c>
    </row>
    <row r="12" spans="2:12" x14ac:dyDescent="0.15">
      <c r="C12" s="43" t="s">
        <v>217</v>
      </c>
      <c r="D12" s="35">
        <v>0.4</v>
      </c>
      <c r="E12" s="35">
        <v>0.2</v>
      </c>
      <c r="F12" s="35">
        <v>0</v>
      </c>
      <c r="G12" s="43">
        <f t="shared" si="1"/>
        <v>0.8125</v>
      </c>
      <c r="H12" s="29">
        <f>效果!D16/G12</f>
        <v>98207.152510746222</v>
      </c>
      <c r="I12" s="43">
        <f t="shared" si="2"/>
        <v>2.2824817107705182</v>
      </c>
      <c r="J12" s="19">
        <f t="shared" ref="J12" si="3">D12/I12</f>
        <v>0.17524784453364509</v>
      </c>
    </row>
    <row r="13" spans="2:12" x14ac:dyDescent="0.15">
      <c r="C13" s="44" t="s">
        <v>248</v>
      </c>
      <c r="D13" s="35">
        <v>0</v>
      </c>
      <c r="E13" s="35">
        <v>0.2</v>
      </c>
      <c r="F13" s="35">
        <v>0</v>
      </c>
      <c r="G13" s="44">
        <f t="shared" si="1"/>
        <v>0.91666666666666652</v>
      </c>
      <c r="H13" s="29">
        <f>效果!D60/G13</f>
        <v>601048.78116283542</v>
      </c>
      <c r="I13" s="44">
        <f t="shared" ref="I13" si="4">$H$8/H13*$D$8</f>
        <v>0.37294149243420749</v>
      </c>
      <c r="J13" s="19">
        <f>E13/I13</f>
        <v>0.5362771481783648</v>
      </c>
    </row>
    <row r="14" spans="2:12" x14ac:dyDescent="0.15">
      <c r="E14" s="42"/>
      <c r="F14" s="35"/>
      <c r="G14" s="43"/>
      <c r="H14" s="45"/>
    </row>
    <row r="15" spans="2:12" x14ac:dyDescent="0.15">
      <c r="B15" s="43" t="s">
        <v>203</v>
      </c>
      <c r="D15" s="43" t="s">
        <v>203</v>
      </c>
      <c r="F15" s="35"/>
      <c r="G15" s="43"/>
      <c r="H15" s="43" t="s">
        <v>241</v>
      </c>
      <c r="J15" s="29" t="s">
        <v>216</v>
      </c>
      <c r="K15" s="43" t="s">
        <v>230</v>
      </c>
      <c r="L15" s="43" t="s">
        <v>242</v>
      </c>
    </row>
    <row r="16" spans="2:12" x14ac:dyDescent="0.15">
      <c r="C16" s="30" t="s">
        <v>221</v>
      </c>
      <c r="D16" s="35">
        <v>1.5</v>
      </c>
      <c r="F16" s="35"/>
      <c r="G16" s="43"/>
      <c r="H16" s="29">
        <f>效果!D27</f>
        <v>9419.4689619045457</v>
      </c>
      <c r="I16" s="43">
        <f>$H$8/H16*$D$8</f>
        <v>23.797098369259508</v>
      </c>
      <c r="J16" s="19">
        <f>D16/I16</f>
        <v>6.3032894881741644E-2</v>
      </c>
      <c r="K16" s="43">
        <v>4</v>
      </c>
      <c r="L16" s="43">
        <f>D16*H16*K16</f>
        <v>56516.813771427274</v>
      </c>
    </row>
    <row r="17" spans="3:14" x14ac:dyDescent="0.15">
      <c r="C17" s="19" t="s">
        <v>201</v>
      </c>
      <c r="D17" s="35">
        <f>D8</f>
        <v>0.2</v>
      </c>
      <c r="F17" s="35"/>
      <c r="G17" s="43"/>
      <c r="H17" s="43">
        <f>H8</f>
        <v>1120780.1473631461</v>
      </c>
      <c r="I17" s="43">
        <f t="shared" ref="I17:J17" si="5">I8</f>
        <v>0.2</v>
      </c>
      <c r="J17" s="43">
        <f t="shared" si="5"/>
        <v>1</v>
      </c>
      <c r="K17" s="43">
        <v>1</v>
      </c>
      <c r="L17" s="43">
        <f t="shared" ref="L17:L37" si="6">D17*H17*K17</f>
        <v>224156.02947262922</v>
      </c>
      <c r="N17" s="29" t="e">
        <f>SUM(L16:L39)</f>
        <v>#VALUE!</v>
      </c>
    </row>
    <row r="18" spans="3:14" x14ac:dyDescent="0.15">
      <c r="C18" s="30" t="s">
        <v>222</v>
      </c>
      <c r="D18" s="35">
        <v>1</v>
      </c>
      <c r="F18" s="35"/>
      <c r="G18" s="43"/>
      <c r="H18" s="29">
        <f>效果!D26</f>
        <v>25676.93983990949</v>
      </c>
      <c r="I18" s="43">
        <f>$H$8/H18*$D$8</f>
        <v>8.7298576415334761</v>
      </c>
      <c r="J18" s="19">
        <f>D18/I18</f>
        <v>0.11454940516353497</v>
      </c>
      <c r="K18" s="43">
        <v>1</v>
      </c>
      <c r="L18" s="43">
        <f t="shared" si="6"/>
        <v>25676.93983990949</v>
      </c>
    </row>
    <row r="19" spans="3:14" x14ac:dyDescent="0.15">
      <c r="C19" s="30" t="s">
        <v>229</v>
      </c>
      <c r="D19" s="35">
        <f>D11*2</f>
        <v>0.4</v>
      </c>
      <c r="F19" s="35"/>
      <c r="G19" s="43"/>
      <c r="H19" s="29">
        <f>H11*0.5</f>
        <v>470167.54327872058</v>
      </c>
      <c r="I19" s="29">
        <f t="shared" ref="I19:J19" si="7">I11</f>
        <v>0.23837888501349297</v>
      </c>
      <c r="J19" s="29">
        <f t="shared" si="7"/>
        <v>0.83900048441236486</v>
      </c>
      <c r="K19" s="43">
        <v>1</v>
      </c>
      <c r="L19" s="43">
        <f t="shared" si="6"/>
        <v>188067.01731148825</v>
      </c>
    </row>
    <row r="20" spans="3:14" x14ac:dyDescent="0.15">
      <c r="C20" s="30" t="s">
        <v>231</v>
      </c>
      <c r="D20" s="35">
        <f>D19/2</f>
        <v>0.2</v>
      </c>
      <c r="F20" s="35"/>
      <c r="G20" s="43"/>
      <c r="H20" s="29">
        <f>H11</f>
        <v>940335.08655744116</v>
      </c>
      <c r="I20" s="29">
        <f t="shared" ref="I20:J20" si="8">I19</f>
        <v>0.23837888501349297</v>
      </c>
      <c r="J20" s="29">
        <f t="shared" si="8"/>
        <v>0.83900048441236486</v>
      </c>
      <c r="K20" s="43">
        <v>1</v>
      </c>
      <c r="L20" s="43">
        <f t="shared" si="6"/>
        <v>188067.01731148825</v>
      </c>
    </row>
    <row r="21" spans="3:14" x14ac:dyDescent="0.15">
      <c r="C21" s="30" t="s">
        <v>223</v>
      </c>
      <c r="D21" s="35">
        <v>1</v>
      </c>
      <c r="F21" s="35"/>
      <c r="G21" s="43"/>
      <c r="H21" s="29">
        <f>效果!D23</f>
        <v>17117.959893272993</v>
      </c>
      <c r="I21" s="43">
        <f t="shared" ref="I21:I38" si="9">$H$8/H21*$D$8</f>
        <v>13.094786462300215</v>
      </c>
      <c r="J21" s="19">
        <f>D21/I21</f>
        <v>7.6366270109023304E-2</v>
      </c>
      <c r="K21" s="43">
        <v>4</v>
      </c>
      <c r="L21" s="43">
        <f t="shared" si="6"/>
        <v>68471.839573091973</v>
      </c>
    </row>
    <row r="22" spans="3:14" x14ac:dyDescent="0.15">
      <c r="C22" s="30" t="s">
        <v>224</v>
      </c>
      <c r="D22" s="35">
        <v>1</v>
      </c>
      <c r="F22" s="35"/>
      <c r="H22" s="29">
        <f>效果!D26</f>
        <v>25676.93983990949</v>
      </c>
      <c r="I22" s="43">
        <f t="shared" si="9"/>
        <v>8.7298576415334761</v>
      </c>
      <c r="J22" s="19">
        <f>D22/I22</f>
        <v>0.11454940516353497</v>
      </c>
      <c r="K22" s="43">
        <v>1</v>
      </c>
      <c r="L22" s="43">
        <f t="shared" si="6"/>
        <v>25676.93983990949</v>
      </c>
    </row>
    <row r="23" spans="3:14" x14ac:dyDescent="0.15">
      <c r="C23" s="30" t="s">
        <v>225</v>
      </c>
      <c r="D23" s="35">
        <v>0.2</v>
      </c>
      <c r="F23" s="35"/>
      <c r="H23" s="29">
        <f>(效果!D50+效果!D54)*0.5</f>
        <v>865642.45423393475</v>
      </c>
      <c r="I23" s="43">
        <f t="shared" si="9"/>
        <v>0.25894759248031568</v>
      </c>
      <c r="J23" s="19">
        <f t="shared" ref="J23:J37" si="10">D23/I23</f>
        <v>0.77235705528022369</v>
      </c>
      <c r="K23" s="43">
        <v>2</v>
      </c>
      <c r="L23" s="43">
        <f t="shared" si="6"/>
        <v>346256.98169357394</v>
      </c>
    </row>
    <row r="24" spans="3:14" x14ac:dyDescent="0.15">
      <c r="C24" s="30" t="s">
        <v>226</v>
      </c>
      <c r="D24" s="35">
        <v>0.4</v>
      </c>
      <c r="F24" s="35"/>
      <c r="H24" s="29">
        <f>效果!D35</f>
        <v>61543.089097945056</v>
      </c>
      <c r="I24" s="43">
        <f t="shared" si="9"/>
        <v>3.6422615887201846</v>
      </c>
      <c r="J24" s="19">
        <f t="shared" si="10"/>
        <v>0.10982187584735004</v>
      </c>
      <c r="K24" s="43">
        <v>1</v>
      </c>
      <c r="L24" s="43">
        <f t="shared" si="6"/>
        <v>24617.235639178023</v>
      </c>
    </row>
    <row r="25" spans="3:14" x14ac:dyDescent="0.15">
      <c r="C25" s="30" t="s">
        <v>227</v>
      </c>
      <c r="D25" s="35">
        <v>3</v>
      </c>
      <c r="F25" s="35"/>
      <c r="G25" s="42"/>
      <c r="H25" s="29">
        <f>效果!D57*1/6</f>
        <v>5777.9711533549753</v>
      </c>
      <c r="I25" s="43">
        <f t="shared" si="9"/>
        <v>38.794937448324433</v>
      </c>
      <c r="J25" s="19">
        <f t="shared" si="10"/>
        <v>7.7329677461036125E-2</v>
      </c>
      <c r="K25" s="43">
        <v>1</v>
      </c>
      <c r="L25" s="43">
        <f t="shared" si="6"/>
        <v>17333.913460064927</v>
      </c>
    </row>
    <row r="26" spans="3:14" x14ac:dyDescent="0.15">
      <c r="C26" s="30" t="s">
        <v>234</v>
      </c>
      <c r="D26" s="35">
        <v>0.6</v>
      </c>
      <c r="F26" s="35"/>
      <c r="G26" s="43"/>
      <c r="H26" s="29">
        <f>效果!D57*5/6</f>
        <v>28889.855766774879</v>
      </c>
      <c r="I26" s="43">
        <f t="shared" si="9"/>
        <v>7.7589874896648858</v>
      </c>
      <c r="J26" s="19">
        <f t="shared" si="10"/>
        <v>7.7329677461036125E-2</v>
      </c>
      <c r="K26" s="43">
        <v>1</v>
      </c>
      <c r="L26" s="43">
        <f t="shared" si="6"/>
        <v>17333.913460064927</v>
      </c>
    </row>
    <row r="27" spans="3:14" x14ac:dyDescent="0.15">
      <c r="C27" s="30" t="s">
        <v>228</v>
      </c>
      <c r="D27" s="35">
        <v>0.4</v>
      </c>
      <c r="E27" s="42"/>
      <c r="F27" s="42"/>
      <c r="G27" s="42"/>
      <c r="H27" s="29">
        <f>效果!D56*0.75</f>
        <v>65002.175475243479</v>
      </c>
      <c r="I27" s="43">
        <f t="shared" si="9"/>
        <v>3.4484388842955043</v>
      </c>
      <c r="J27" s="19">
        <f t="shared" si="10"/>
        <v>0.11599451619155421</v>
      </c>
      <c r="K27" s="43">
        <v>1</v>
      </c>
      <c r="L27" s="43">
        <f t="shared" si="6"/>
        <v>26000.870190097394</v>
      </c>
    </row>
    <row r="28" spans="3:14" x14ac:dyDescent="0.15">
      <c r="C28" s="30" t="s">
        <v>232</v>
      </c>
      <c r="D28" s="35">
        <v>0.4</v>
      </c>
      <c r="H28" s="29">
        <f>效果!D56*0.9</f>
        <v>78002.610570292178</v>
      </c>
      <c r="I28" s="43">
        <f t="shared" si="9"/>
        <v>2.8736990702462535</v>
      </c>
      <c r="J28" s="19">
        <f t="shared" si="10"/>
        <v>0.13919341942986507</v>
      </c>
      <c r="K28" s="43">
        <v>1</v>
      </c>
      <c r="L28" s="43">
        <f t="shared" si="6"/>
        <v>31201.044228116873</v>
      </c>
    </row>
    <row r="29" spans="3:14" x14ac:dyDescent="0.15">
      <c r="C29" s="30" t="s">
        <v>233</v>
      </c>
      <c r="D29" s="35">
        <f>D21</f>
        <v>1</v>
      </c>
      <c r="H29" s="29">
        <f>效果!D36</f>
        <v>8558.9799466364966</v>
      </c>
      <c r="I29" s="43">
        <f t="shared" si="9"/>
        <v>26.18957292460043</v>
      </c>
      <c r="J29" s="19">
        <f t="shared" si="10"/>
        <v>3.8183135054511652E-2</v>
      </c>
      <c r="K29" s="43">
        <v>1</v>
      </c>
      <c r="L29" s="43">
        <f t="shared" si="6"/>
        <v>8558.9799466364966</v>
      </c>
    </row>
    <row r="30" spans="3:14" x14ac:dyDescent="0.15">
      <c r="C30" s="30" t="s">
        <v>239</v>
      </c>
      <c r="D30" s="35">
        <v>0.3</v>
      </c>
      <c r="H30" s="29">
        <f>(效果!$D$51+效果!$D$55)*15%</f>
        <v>259692.73627018041</v>
      </c>
      <c r="I30" s="43">
        <f t="shared" si="9"/>
        <v>0.86315864160105227</v>
      </c>
      <c r="J30" s="19">
        <f t="shared" si="10"/>
        <v>0.34756067487610065</v>
      </c>
      <c r="K30" s="43">
        <v>1</v>
      </c>
      <c r="L30" s="43">
        <f t="shared" si="6"/>
        <v>77907.820881054125</v>
      </c>
    </row>
    <row r="31" spans="3:14" x14ac:dyDescent="0.15">
      <c r="C31" s="30" t="s">
        <v>238</v>
      </c>
      <c r="D31" s="35">
        <v>0.15</v>
      </c>
      <c r="H31" s="29">
        <f>(效果!$D$51+效果!$D$55)*33%</f>
        <v>571324.01979439694</v>
      </c>
      <c r="I31" s="43">
        <f t="shared" si="9"/>
        <v>0.39234483709138734</v>
      </c>
      <c r="J31" s="19">
        <f t="shared" si="10"/>
        <v>0.38231674236371072</v>
      </c>
      <c r="K31" s="43">
        <v>1</v>
      </c>
      <c r="L31" s="43">
        <f t="shared" si="6"/>
        <v>85698.602969159532</v>
      </c>
    </row>
    <row r="32" spans="3:14" x14ac:dyDescent="0.15">
      <c r="C32" s="30" t="s">
        <v>235</v>
      </c>
      <c r="D32" s="35">
        <f>D11</f>
        <v>0.2</v>
      </c>
      <c r="G32" s="43">
        <f>G11</f>
        <v>0.91666666666666652</v>
      </c>
      <c r="H32" s="29">
        <f>效果!D39/G32*2/5</f>
        <v>376134.03462297644</v>
      </c>
      <c r="I32" s="43">
        <f t="shared" si="9"/>
        <v>0.59594721253373251</v>
      </c>
      <c r="J32" s="19">
        <f t="shared" si="10"/>
        <v>0.33560019376494588</v>
      </c>
      <c r="K32" s="43">
        <v>1</v>
      </c>
      <c r="L32" s="43">
        <f t="shared" si="6"/>
        <v>75226.806924595294</v>
      </c>
    </row>
    <row r="33" spans="2:14" x14ac:dyDescent="0.15">
      <c r="C33" s="30" t="s">
        <v>236</v>
      </c>
      <c r="D33" s="35">
        <f>D32</f>
        <v>0.2</v>
      </c>
      <c r="G33" s="43">
        <f>G32</f>
        <v>0.91666666666666652</v>
      </c>
      <c r="H33" s="29">
        <f>效果!D39/G33*4/5</f>
        <v>752268.06924595288</v>
      </c>
      <c r="I33" s="43">
        <f t="shared" si="9"/>
        <v>0.29797360626686625</v>
      </c>
      <c r="J33" s="19">
        <f t="shared" si="10"/>
        <v>0.67120038752989175</v>
      </c>
      <c r="K33" s="43">
        <v>1</v>
      </c>
      <c r="L33" s="43">
        <f t="shared" si="6"/>
        <v>150453.61384919059</v>
      </c>
    </row>
    <row r="34" spans="2:14" x14ac:dyDescent="0.15">
      <c r="C34" s="30" t="s">
        <v>208</v>
      </c>
      <c r="D34" s="35">
        <f>D10</f>
        <v>0.2</v>
      </c>
      <c r="G34" s="43">
        <f>G10</f>
        <v>0.88461538461538469</v>
      </c>
      <c r="H34" s="29">
        <f t="shared" ref="H34" si="11">H10</f>
        <v>564115.57087937929</v>
      </c>
      <c r="I34" s="43">
        <f t="shared" si="9"/>
        <v>0.39735834471507414</v>
      </c>
      <c r="J34" s="19">
        <f t="shared" si="10"/>
        <v>0.50332402140292298</v>
      </c>
      <c r="K34" s="43">
        <v>1</v>
      </c>
      <c r="L34" s="43">
        <f t="shared" si="6"/>
        <v>112823.11417587586</v>
      </c>
    </row>
    <row r="35" spans="2:14" x14ac:dyDescent="0.15">
      <c r="C35" s="30" t="s">
        <v>237</v>
      </c>
      <c r="D35" s="35">
        <v>0.4</v>
      </c>
      <c r="G35" s="43"/>
      <c r="H35" s="29" t="e">
        <f>效果!D43</f>
        <v>#VALUE!</v>
      </c>
      <c r="I35" s="43" t="e">
        <f t="shared" si="9"/>
        <v>#VALUE!</v>
      </c>
      <c r="J35" s="19" t="e">
        <f t="shared" si="10"/>
        <v>#VALUE!</v>
      </c>
      <c r="K35" s="43">
        <v>1</v>
      </c>
      <c r="L35" s="43" t="e">
        <f t="shared" si="6"/>
        <v>#VALUE!</v>
      </c>
    </row>
    <row r="36" spans="2:14" x14ac:dyDescent="0.15">
      <c r="C36" s="43" t="s">
        <v>206</v>
      </c>
      <c r="D36" s="35">
        <f>D9</f>
        <v>0.4</v>
      </c>
      <c r="G36" s="43">
        <f>G9</f>
        <v>0.8125</v>
      </c>
      <c r="H36" s="29">
        <f t="shared" ref="H36" si="12">H9</f>
        <v>93767.107793982694</v>
      </c>
      <c r="I36" s="43">
        <f t="shared" si="9"/>
        <v>2.3905614105654855</v>
      </c>
      <c r="J36" s="19">
        <f t="shared" si="10"/>
        <v>0.16732471219192829</v>
      </c>
      <c r="K36" s="43">
        <v>1</v>
      </c>
      <c r="L36" s="43">
        <f t="shared" si="6"/>
        <v>37506.843117593082</v>
      </c>
    </row>
    <row r="37" spans="2:14" x14ac:dyDescent="0.15">
      <c r="C37" s="30" t="s">
        <v>240</v>
      </c>
      <c r="D37" s="35">
        <v>0.4</v>
      </c>
      <c r="H37" s="29">
        <f>效果!$D$41</f>
        <v>46900.162397578279</v>
      </c>
      <c r="I37" s="43">
        <f t="shared" si="9"/>
        <v>4.7794297079918779</v>
      </c>
      <c r="J37" s="19">
        <f t="shared" si="10"/>
        <v>8.3691993488500066E-2</v>
      </c>
      <c r="K37" s="43">
        <v>1</v>
      </c>
      <c r="L37" s="43">
        <f t="shared" si="6"/>
        <v>18760.064959031311</v>
      </c>
    </row>
    <row r="38" spans="2:14" x14ac:dyDescent="0.15">
      <c r="C38" s="29" t="s">
        <v>243</v>
      </c>
      <c r="D38" s="35">
        <f>D35*2</f>
        <v>0.8</v>
      </c>
      <c r="H38" s="29" t="e">
        <f>效果!D61</f>
        <v>#VALUE!</v>
      </c>
      <c r="I38" s="43" t="e">
        <f t="shared" si="9"/>
        <v>#VALUE!</v>
      </c>
      <c r="J38" s="19" t="e">
        <f t="shared" ref="J38" si="13">D38/I38</f>
        <v>#VALUE!</v>
      </c>
      <c r="K38" s="43">
        <v>1</v>
      </c>
      <c r="L38" s="43" t="e">
        <f t="shared" ref="L38" si="14">D38*H38*K38</f>
        <v>#VALUE!</v>
      </c>
    </row>
    <row r="39" spans="2:14" x14ac:dyDescent="0.15">
      <c r="C39" s="44" t="s">
        <v>217</v>
      </c>
      <c r="D39" s="35">
        <f>D12</f>
        <v>0.4</v>
      </c>
      <c r="G39" s="29">
        <f>G12</f>
        <v>0.8125</v>
      </c>
      <c r="H39" s="29">
        <f>H12</f>
        <v>98207.152510746222</v>
      </c>
      <c r="I39" s="44">
        <f t="shared" ref="I39:I40" si="15">$H$8/H39*$D$8</f>
        <v>2.2824817107705182</v>
      </c>
      <c r="J39" s="19">
        <f t="shared" ref="J39:J40" si="16">D39/I39</f>
        <v>0.17524784453364509</v>
      </c>
      <c r="K39" s="44">
        <v>1</v>
      </c>
      <c r="L39" s="44">
        <f t="shared" ref="L39:L40" si="17">D39*H39*K39</f>
        <v>39282.861004298487</v>
      </c>
    </row>
    <row r="40" spans="2:14" x14ac:dyDescent="0.15">
      <c r="C40" s="54" t="s">
        <v>265</v>
      </c>
      <c r="D40" s="35">
        <v>0.2</v>
      </c>
      <c r="H40" s="29">
        <f>效果!$D$40</f>
        <v>830318.2720553102</v>
      </c>
      <c r="I40" s="54">
        <f t="shared" si="15"/>
        <v>0.26996398491601237</v>
      </c>
      <c r="J40" s="19">
        <f t="shared" si="16"/>
        <v>0.74083956073704194</v>
      </c>
      <c r="K40" s="54">
        <v>1</v>
      </c>
      <c r="L40" s="54">
        <f t="shared" si="17"/>
        <v>166063.65441106205</v>
      </c>
    </row>
    <row r="41" spans="2:14" x14ac:dyDescent="0.15">
      <c r="B41" s="29" t="s">
        <v>255</v>
      </c>
      <c r="D41" s="35"/>
      <c r="I41" s="52"/>
      <c r="J41" s="19"/>
      <c r="K41" s="52"/>
      <c r="L41" s="52"/>
    </row>
    <row r="42" spans="2:14" x14ac:dyDescent="0.15">
      <c r="C42" s="50" t="s">
        <v>256</v>
      </c>
      <c r="D42" s="35">
        <f>25%</f>
        <v>0.25</v>
      </c>
      <c r="H42" s="29">
        <f>效果!E27</f>
        <v>24438.047855621415</v>
      </c>
      <c r="I42" s="52">
        <f>$H$8/H42*$D$8</f>
        <v>9.1724196137486178</v>
      </c>
      <c r="J42" s="19">
        <f>D42/I42</f>
        <v>2.7255621801827827E-2</v>
      </c>
      <c r="K42" s="52">
        <v>4</v>
      </c>
      <c r="L42" s="52">
        <f>D42*H42*K42</f>
        <v>24438.047855621415</v>
      </c>
      <c r="N42" s="29">
        <f>SUM(L42:L53)</f>
        <v>222844.61773699502</v>
      </c>
    </row>
    <row r="43" spans="2:14" x14ac:dyDescent="0.15">
      <c r="C43" s="30" t="s">
        <v>257</v>
      </c>
      <c r="D43" s="35">
        <v>0.1</v>
      </c>
      <c r="H43" s="29">
        <f>效果!E33</f>
        <v>69383.681528511894</v>
      </c>
      <c r="I43" s="52">
        <f>$H$8/H43*$D$8</f>
        <v>3.2306736185585168</v>
      </c>
      <c r="J43" s="19">
        <f>D43/I43</f>
        <v>3.0953296992166812E-2</v>
      </c>
      <c r="K43" s="52">
        <v>1</v>
      </c>
      <c r="L43" s="52">
        <f>D43*H43*K43</f>
        <v>6938.3681528511897</v>
      </c>
    </row>
    <row r="44" spans="2:14" x14ac:dyDescent="0.15">
      <c r="C44" s="30" t="s">
        <v>258</v>
      </c>
      <c r="D44" s="35">
        <v>0.3</v>
      </c>
      <c r="H44" s="29">
        <f>效果!$E$32</f>
        <v>190128.27875532911</v>
      </c>
      <c r="I44" s="53">
        <f t="shared" ref="I44:I53" si="18">$H$8/H44*$D$8</f>
        <v>1.1789725912424078</v>
      </c>
      <c r="J44" s="19">
        <f t="shared" ref="J44:J53" si="19">D44/I44</f>
        <v>0.25445884173088223</v>
      </c>
      <c r="K44" s="53">
        <v>1</v>
      </c>
      <c r="L44" s="53">
        <f t="shared" ref="L44:L53" si="20">D44*H44*K44</f>
        <v>57038.483626598732</v>
      </c>
    </row>
    <row r="45" spans="2:14" s="55" customFormat="1" x14ac:dyDescent="0.15">
      <c r="C45" s="30" t="s">
        <v>260</v>
      </c>
      <c r="D45" s="35">
        <v>0.5</v>
      </c>
      <c r="H45" s="55">
        <f>效果!$E$41*0.25</f>
        <v>21105.073078910227</v>
      </c>
      <c r="I45" s="53">
        <f t="shared" si="18"/>
        <v>10.620954906648619</v>
      </c>
      <c r="J45" s="19">
        <f t="shared" si="19"/>
        <v>4.7076746337281282E-2</v>
      </c>
      <c r="K45" s="53">
        <v>1</v>
      </c>
      <c r="L45" s="53">
        <f t="shared" si="20"/>
        <v>10552.536539455114</v>
      </c>
    </row>
    <row r="46" spans="2:14" s="55" customFormat="1" x14ac:dyDescent="0.15">
      <c r="C46" s="30" t="s">
        <v>261</v>
      </c>
      <c r="D46" s="35">
        <v>0.03</v>
      </c>
      <c r="H46" s="55">
        <f>效果!$E$39</f>
        <v>816076.88122589653</v>
      </c>
      <c r="I46" s="53">
        <f t="shared" si="18"/>
        <v>0.27467513739135202</v>
      </c>
      <c r="J46" s="19">
        <f t="shared" si="19"/>
        <v>0.10921993262628849</v>
      </c>
      <c r="K46" s="53">
        <v>1</v>
      </c>
      <c r="L46" s="53">
        <f t="shared" si="20"/>
        <v>24482.306436776897</v>
      </c>
    </row>
    <row r="47" spans="2:14" s="55" customFormat="1" x14ac:dyDescent="0.15">
      <c r="C47" s="30" t="s">
        <v>259</v>
      </c>
      <c r="D47" s="56">
        <v>2</v>
      </c>
      <c r="H47" s="55">
        <f>节奏总纲!$R$83*60</f>
        <v>10820.16</v>
      </c>
      <c r="I47" s="53">
        <f t="shared" si="18"/>
        <v>20.716517082245478</v>
      </c>
      <c r="J47" s="19">
        <f t="shared" si="19"/>
        <v>9.6541324589452596E-2</v>
      </c>
      <c r="K47" s="53">
        <v>1</v>
      </c>
      <c r="L47" s="53">
        <f t="shared" si="20"/>
        <v>21640.32</v>
      </c>
    </row>
    <row r="48" spans="2:14" x14ac:dyDescent="0.15">
      <c r="C48" s="30" t="s">
        <v>262</v>
      </c>
      <c r="D48" s="35">
        <v>0.1</v>
      </c>
      <c r="H48" s="29">
        <f>效果!$E$56</f>
        <v>86669.567300324634</v>
      </c>
      <c r="I48" s="53">
        <f t="shared" si="18"/>
        <v>2.5863291632216288</v>
      </c>
      <c r="J48" s="19">
        <f t="shared" si="19"/>
        <v>3.8664838730518063E-2</v>
      </c>
      <c r="K48" s="53">
        <v>1</v>
      </c>
      <c r="L48" s="53">
        <f t="shared" si="20"/>
        <v>8666.9567300324634</v>
      </c>
    </row>
    <row r="49" spans="2:14" x14ac:dyDescent="0.15">
      <c r="C49" s="30" t="s">
        <v>266</v>
      </c>
      <c r="D49" s="35">
        <v>0.1</v>
      </c>
      <c r="H49" s="29">
        <f>效果!$E$57*5/6</f>
        <v>28889.855766774879</v>
      </c>
      <c r="I49" s="53">
        <f t="shared" si="18"/>
        <v>7.7589874896648858</v>
      </c>
      <c r="J49" s="19">
        <f t="shared" si="19"/>
        <v>1.2888279576839355E-2</v>
      </c>
      <c r="K49" s="53">
        <v>1</v>
      </c>
      <c r="L49" s="53">
        <f t="shared" si="20"/>
        <v>2888.9855766774881</v>
      </c>
    </row>
    <row r="50" spans="2:14" x14ac:dyDescent="0.15">
      <c r="C50" s="30" t="s">
        <v>268</v>
      </c>
      <c r="D50" s="35">
        <v>0.05</v>
      </c>
      <c r="H50" s="29">
        <f>效果!$E$48</f>
        <v>866695.67300324631</v>
      </c>
      <c r="I50" s="53">
        <f t="shared" si="18"/>
        <v>0.25863291632216284</v>
      </c>
      <c r="J50" s="19">
        <f t="shared" si="19"/>
        <v>0.19332419365259035</v>
      </c>
      <c r="K50" s="53">
        <v>1</v>
      </c>
      <c r="L50" s="53">
        <f t="shared" si="20"/>
        <v>43334.783650162317</v>
      </c>
    </row>
    <row r="51" spans="2:14" x14ac:dyDescent="0.15">
      <c r="C51" s="30" t="s">
        <v>263</v>
      </c>
      <c r="D51" s="35">
        <v>0.5</v>
      </c>
      <c r="H51" s="29">
        <f>H45/1.5</f>
        <v>14070.048719273485</v>
      </c>
      <c r="I51" s="53">
        <f t="shared" si="18"/>
        <v>15.931432359972925</v>
      </c>
      <c r="J51" s="19">
        <f t="shared" si="19"/>
        <v>3.1384497558187528E-2</v>
      </c>
      <c r="K51" s="53">
        <v>1</v>
      </c>
      <c r="L51" s="53">
        <f t="shared" si="20"/>
        <v>7035.0243596367427</v>
      </c>
    </row>
    <row r="52" spans="2:14" x14ac:dyDescent="0.15">
      <c r="C52" s="30" t="s">
        <v>264</v>
      </c>
      <c r="D52" s="35">
        <v>0.25</v>
      </c>
      <c r="H52" s="29">
        <f>效果!$E$41*0.75</f>
        <v>63315.219236730685</v>
      </c>
      <c r="I52" s="53">
        <f t="shared" si="18"/>
        <v>3.5403183022162055</v>
      </c>
      <c r="J52" s="19">
        <f t="shared" si="19"/>
        <v>7.0615119505921933E-2</v>
      </c>
      <c r="K52" s="53">
        <v>1</v>
      </c>
      <c r="L52" s="53">
        <f t="shared" si="20"/>
        <v>15828.804809182671</v>
      </c>
    </row>
    <row r="53" spans="2:14" x14ac:dyDescent="0.15">
      <c r="C53" s="58" t="s">
        <v>267</v>
      </c>
      <c r="D53" s="60">
        <v>0.5</v>
      </c>
      <c r="H53" s="59"/>
      <c r="I53" s="53" t="e">
        <f t="shared" si="18"/>
        <v>#DIV/0!</v>
      </c>
      <c r="J53" s="19" t="e">
        <f t="shared" si="19"/>
        <v>#DIV/0!</v>
      </c>
      <c r="K53" s="53">
        <v>1</v>
      </c>
      <c r="L53" s="53">
        <f t="shared" si="20"/>
        <v>0</v>
      </c>
      <c r="M53" s="61" t="s">
        <v>269</v>
      </c>
    </row>
    <row r="54" spans="2:14" x14ac:dyDescent="0.15">
      <c r="C54" s="30"/>
      <c r="D54" s="35"/>
      <c r="I54" s="53"/>
      <c r="J54" s="19"/>
      <c r="K54" s="53"/>
      <c r="L54" s="53"/>
    </row>
    <row r="55" spans="2:14" x14ac:dyDescent="0.15">
      <c r="C55" s="52"/>
      <c r="D55" s="35"/>
      <c r="I55" s="52"/>
      <c r="J55" s="19"/>
      <c r="K55" s="52"/>
      <c r="L55" s="52"/>
    </row>
    <row r="56" spans="2:14" x14ac:dyDescent="0.15">
      <c r="B56" s="43" t="s">
        <v>202</v>
      </c>
      <c r="H56" s="43" t="s">
        <v>241</v>
      </c>
      <c r="K56" s="43" t="s">
        <v>230</v>
      </c>
      <c r="L56" s="43" t="s">
        <v>242</v>
      </c>
    </row>
    <row r="57" spans="2:14" x14ac:dyDescent="0.15">
      <c r="C57" s="30" t="s">
        <v>221</v>
      </c>
      <c r="D57" s="35">
        <v>1.5</v>
      </c>
      <c r="H57" s="29">
        <f>H16</f>
        <v>9419.4689619045457</v>
      </c>
      <c r="J57" s="19"/>
      <c r="K57" s="43">
        <v>4</v>
      </c>
      <c r="L57" s="43">
        <f>D57*H57*K57</f>
        <v>56516.813771427274</v>
      </c>
    </row>
    <row r="58" spans="2:14" x14ac:dyDescent="0.15">
      <c r="C58" s="30" t="s">
        <v>222</v>
      </c>
      <c r="D58" s="35">
        <v>1.5</v>
      </c>
      <c r="H58" s="29">
        <f>H18</f>
        <v>25676.93983990949</v>
      </c>
      <c r="K58" s="43">
        <v>1</v>
      </c>
      <c r="L58" s="43">
        <f>D58*H58*K58</f>
        <v>38515.409759864233</v>
      </c>
    </row>
    <row r="59" spans="2:14" x14ac:dyDescent="0.15">
      <c r="C59" s="19" t="s">
        <v>201</v>
      </c>
      <c r="D59" s="35">
        <f>E8</f>
        <v>0.1</v>
      </c>
      <c r="H59" s="29">
        <f>H17</f>
        <v>1120780.1473631461</v>
      </c>
      <c r="K59" s="43">
        <v>1</v>
      </c>
      <c r="L59" s="43">
        <f>D59*H59*K59</f>
        <v>112078.01473631461</v>
      </c>
      <c r="N59" s="29">
        <f>SUM(L57:L65)</f>
        <v>572535.44773844804</v>
      </c>
    </row>
    <row r="60" spans="2:14" x14ac:dyDescent="0.15">
      <c r="C60" s="30" t="s">
        <v>223</v>
      </c>
      <c r="D60" s="35">
        <v>1</v>
      </c>
      <c r="H60" s="29">
        <f>H21</f>
        <v>17117.959893272993</v>
      </c>
      <c r="K60" s="43">
        <v>4</v>
      </c>
      <c r="L60" s="43">
        <f t="shared" ref="L60:L62" si="21">D60*H60*K60</f>
        <v>68471.839573091973</v>
      </c>
    </row>
    <row r="61" spans="2:14" x14ac:dyDescent="0.15">
      <c r="C61" s="30" t="s">
        <v>224</v>
      </c>
      <c r="D61" s="35">
        <v>1</v>
      </c>
      <c r="H61" s="29">
        <f>H22</f>
        <v>25676.93983990949</v>
      </c>
      <c r="K61" s="43">
        <v>1</v>
      </c>
      <c r="L61" s="43">
        <f t="shared" si="21"/>
        <v>25676.93983990949</v>
      </c>
    </row>
    <row r="62" spans="2:14" x14ac:dyDescent="0.15">
      <c r="C62" s="30" t="s">
        <v>245</v>
      </c>
      <c r="D62" s="35">
        <f>E9</f>
        <v>0.2</v>
      </c>
      <c r="H62" s="29">
        <f>H9</f>
        <v>93767.107793982694</v>
      </c>
      <c r="K62" s="44">
        <v>4</v>
      </c>
      <c r="L62" s="43">
        <f t="shared" si="21"/>
        <v>75013.686235186164</v>
      </c>
    </row>
    <row r="63" spans="2:14" x14ac:dyDescent="0.15">
      <c r="C63" s="44" t="s">
        <v>246</v>
      </c>
      <c r="D63" s="35">
        <f>E12</f>
        <v>0.2</v>
      </c>
      <c r="H63" s="29">
        <f>H12</f>
        <v>98207.152510746222</v>
      </c>
      <c r="K63" s="44">
        <v>1</v>
      </c>
      <c r="L63" s="44">
        <f t="shared" ref="L63:L64" si="22">D63*H63*K63</f>
        <v>19641.430502149244</v>
      </c>
    </row>
    <row r="64" spans="2:14" x14ac:dyDescent="0.15">
      <c r="C64" s="50" t="s">
        <v>247</v>
      </c>
      <c r="D64" s="35">
        <f>E10</f>
        <v>0.1</v>
      </c>
      <c r="H64" s="29">
        <f>H10</f>
        <v>564115.57087937929</v>
      </c>
      <c r="K64" s="44">
        <v>1</v>
      </c>
      <c r="L64" s="44">
        <f t="shared" si="22"/>
        <v>56411.55708793793</v>
      </c>
    </row>
    <row r="65" spans="3:12" x14ac:dyDescent="0.15">
      <c r="C65" s="29" t="s">
        <v>248</v>
      </c>
      <c r="D65" s="35">
        <f>E13</f>
        <v>0.2</v>
      </c>
      <c r="H65" s="29">
        <f>H13</f>
        <v>601048.78116283542</v>
      </c>
      <c r="K65" s="44">
        <v>1</v>
      </c>
      <c r="L65" s="44">
        <f t="shared" ref="L65" si="23">D65*H65*K65</f>
        <v>120209.75623256709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AC104"/>
  <sheetViews>
    <sheetView topLeftCell="F1" workbookViewId="0">
      <selection activeCell="AD5" sqref="AD5"/>
    </sheetView>
  </sheetViews>
  <sheetFormatPr defaultColWidth="7.25" defaultRowHeight="11.25" x14ac:dyDescent="0.15"/>
  <cols>
    <col min="1" max="15" width="7.25" style="31"/>
    <col min="16" max="16" width="9.75" style="31" bestFit="1" customWidth="1"/>
    <col min="17" max="16384" width="7.25" style="31"/>
  </cols>
  <sheetData>
    <row r="1" spans="3:29" x14ac:dyDescent="0.15">
      <c r="C1" s="33" t="s">
        <v>149</v>
      </c>
      <c r="V1" s="30" t="s">
        <v>187</v>
      </c>
      <c r="W1" s="31">
        <v>20</v>
      </c>
    </row>
    <row r="2" spans="3:29" x14ac:dyDescent="0.15">
      <c r="K2" s="31" t="e">
        <f>SUM(K5:K84)</f>
        <v>#VALUE!</v>
      </c>
      <c r="P2" s="31" t="e">
        <f>SUM(P5:P84)</f>
        <v>#VALUE!</v>
      </c>
      <c r="S2" s="31">
        <v>20</v>
      </c>
      <c r="T2" s="31">
        <v>30</v>
      </c>
      <c r="U2" s="31">
        <v>40</v>
      </c>
      <c r="V2" s="31">
        <v>50</v>
      </c>
      <c r="W2" s="31">
        <v>60</v>
      </c>
      <c r="Z2" s="31">
        <f>SUM(Z5:Z84)</f>
        <v>3565.3787474159608</v>
      </c>
    </row>
    <row r="3" spans="3:29" x14ac:dyDescent="0.15">
      <c r="D3" s="63" t="s">
        <v>169</v>
      </c>
      <c r="E3" s="63"/>
      <c r="F3" s="63"/>
      <c r="G3" s="63"/>
      <c r="H3" s="63"/>
      <c r="I3" s="63" t="s">
        <v>170</v>
      </c>
      <c r="J3" s="63"/>
      <c r="K3" s="63"/>
      <c r="L3" s="63"/>
      <c r="M3" s="63"/>
      <c r="N3" s="63" t="s">
        <v>185</v>
      </c>
      <c r="O3" s="63"/>
      <c r="P3" s="63"/>
      <c r="Q3" s="63"/>
      <c r="R3" s="63"/>
      <c r="S3" s="63" t="s">
        <v>188</v>
      </c>
      <c r="T3" s="63"/>
      <c r="U3" s="63"/>
      <c r="V3" s="63"/>
      <c r="W3" s="63"/>
      <c r="X3" s="63" t="s">
        <v>189</v>
      </c>
      <c r="Y3" s="63"/>
      <c r="Z3" s="63"/>
      <c r="AA3" s="63"/>
      <c r="AB3" s="63"/>
    </row>
    <row r="4" spans="3:29" x14ac:dyDescent="0.15">
      <c r="C4" s="31" t="s">
        <v>194</v>
      </c>
      <c r="D4" s="32" t="s">
        <v>144</v>
      </c>
      <c r="E4" s="32" t="s">
        <v>145</v>
      </c>
      <c r="F4" s="32" t="s">
        <v>146</v>
      </c>
      <c r="G4" s="32" t="s">
        <v>147</v>
      </c>
      <c r="H4" s="32" t="s">
        <v>148</v>
      </c>
      <c r="I4" s="32" t="s">
        <v>144</v>
      </c>
      <c r="J4" s="32" t="s">
        <v>145</v>
      </c>
      <c r="K4" s="32" t="s">
        <v>146</v>
      </c>
      <c r="L4" s="32" t="s">
        <v>147</v>
      </c>
      <c r="M4" s="32" t="s">
        <v>148</v>
      </c>
      <c r="N4" s="32" t="s">
        <v>144</v>
      </c>
      <c r="O4" s="32" t="s">
        <v>145</v>
      </c>
      <c r="P4" s="32" t="s">
        <v>146</v>
      </c>
      <c r="Q4" s="32" t="s">
        <v>147</v>
      </c>
      <c r="R4" s="32" t="s">
        <v>148</v>
      </c>
      <c r="S4" s="32" t="s">
        <v>144</v>
      </c>
      <c r="T4" s="32" t="s">
        <v>145</v>
      </c>
      <c r="U4" s="32" t="s">
        <v>146</v>
      </c>
      <c r="V4" s="32" t="s">
        <v>147</v>
      </c>
      <c r="W4" s="32" t="s">
        <v>148</v>
      </c>
      <c r="X4" s="32" t="s">
        <v>144</v>
      </c>
      <c r="Y4" s="32" t="s">
        <v>145</v>
      </c>
      <c r="Z4" s="32" t="s">
        <v>146</v>
      </c>
      <c r="AA4" s="32" t="s">
        <v>147</v>
      </c>
      <c r="AB4" s="32" t="s">
        <v>148</v>
      </c>
    </row>
    <row r="5" spans="3:29" x14ac:dyDescent="0.15">
      <c r="C5" s="31">
        <v>1</v>
      </c>
      <c r="D5" s="31" t="e">
        <f>求节点([2]兵营招募!F$28:F$47,[2]兵营招募!$J$4:$J$23,节奏总纲!P4)*(1+[1]养成buff汇总!AA6)</f>
        <v>#VALUE!</v>
      </c>
      <c r="E5" s="31" t="e">
        <f>求节点([2]兵营招募!G$28:G$47,[2]兵营招募!$J$4:$J$23,节奏总纲!Q4)*(1+[1]养成buff汇总!AB6)</f>
        <v>#VALUE!</v>
      </c>
      <c r="F5" s="31" t="e">
        <f>求节点([2]兵营招募!H$28:H$47,[2]兵营招募!$J$4:$J$23,节奏总纲!R4)*(1+[1]养成buff汇总!AC6)</f>
        <v>#VALUE!</v>
      </c>
      <c r="G5" s="31" t="e">
        <f>求节点([2]兵营招募!I$28:I$47,[2]兵营招募!$J$4:$J$23,节奏总纲!S4)*(1+[1]养成buff汇总!AD6)</f>
        <v>#VALUE!</v>
      </c>
      <c r="H5" s="31" t="e">
        <f>求节点([2]兵营招募!J$28:J$47,[2]兵营招募!$J$4:$J$23,节奏总纲!T4)*(1+[1]养成buff汇总!AE6)</f>
        <v>#VALUE!</v>
      </c>
      <c r="I5" s="31" t="e">
        <f>100%*D5*'[1]功能-付费相关'!CJ6*节奏总纲!W4</f>
        <v>#VALUE!</v>
      </c>
      <c r="J5" s="31" t="e">
        <f>100%*E5*'[1]功能-付费相关'!CK6*节奏总纲!X4</f>
        <v>#VALUE!</v>
      </c>
      <c r="K5" s="31" t="e">
        <f>100%*F5*'[1]功能-付费相关'!CL6*节奏总纲!Y4</f>
        <v>#VALUE!</v>
      </c>
      <c r="L5" s="31" t="e">
        <f>100%*G5*'[1]功能-付费相关'!CM6*节奏总纲!Z4</f>
        <v>#VALUE!</v>
      </c>
      <c r="M5" s="31" t="e">
        <f>100%*H5*'[1]功能-付费相关'!CN6*节奏总纲!AA4</f>
        <v>#VALUE!</v>
      </c>
      <c r="N5" s="31" t="e">
        <f>D5*20%*'[1]功能-付费相关'!CJ6</f>
        <v>#VALUE!</v>
      </c>
      <c r="O5" s="31" t="e">
        <f>E5*20%*'[1]功能-付费相关'!CK6</f>
        <v>#VALUE!</v>
      </c>
      <c r="P5" s="31" t="e">
        <f>F5*20%*'[1]功能-付费相关'!CL6</f>
        <v>#VALUE!</v>
      </c>
      <c r="Q5" s="31" t="e">
        <f>G5*20%*'[1]功能-付费相关'!CM6</f>
        <v>#VALUE!</v>
      </c>
      <c r="R5" s="31" t="e">
        <f>H5*20%*'[1]功能-付费相关'!CN6</f>
        <v>#VALUE!</v>
      </c>
      <c r="S5" s="31">
        <f>$W$1*('[1]功能-行军令'!S4+S$2*[1]节奏总纲!BJ4)</f>
        <v>186.03158553338969</v>
      </c>
      <c r="T5" s="31">
        <f>$W$1*('[1]功能-行军令'!T4+T$2*[1]节奏总纲!BK4)</f>
        <v>263.71497435226109</v>
      </c>
      <c r="U5" s="31">
        <f>$W$1*('[1]功能-行军令'!U4+U$2*[1]节奏总纲!BL4)</f>
        <v>339.53007327352213</v>
      </c>
      <c r="V5" s="31">
        <f>$W$1*('[1]功能-行军令'!V4+V$2*[1]节奏总纲!BM4)</f>
        <v>409.12541310244274</v>
      </c>
      <c r="W5" s="31">
        <f>$W$1*('[1]功能-行军令'!W4+W$2*[1]节奏总纲!BN4)</f>
        <v>539.1003812125989</v>
      </c>
      <c r="X5" s="31">
        <f>S5*'[1]功能-付费相关'!AH6</f>
        <v>6.0177840426608418</v>
      </c>
      <c r="Y5" s="57">
        <f>T5*'[1]功能-付费相关'!AI6</f>
        <v>8.5307006330003698</v>
      </c>
      <c r="Z5" s="57">
        <f>U5*'[1]功能-付费相关'!AJ6</f>
        <v>10.983181437122907</v>
      </c>
      <c r="AA5" s="57">
        <f>V5*'[1]功能-付费相关'!AK6</f>
        <v>13.234464326881794</v>
      </c>
      <c r="AB5" s="57">
        <f>W5*'[1]功能-付费相关'!AL6</f>
        <v>17.438918569402155</v>
      </c>
    </row>
    <row r="6" spans="3:29" x14ac:dyDescent="0.15">
      <c r="C6" s="31">
        <v>2</v>
      </c>
      <c r="D6" s="31" t="e">
        <f>求节点([2]兵营招募!F$28:F$47,[2]兵营招募!$J$4:$J$23,节奏总纲!P5)*(1+[1]养成buff汇总!AA7)</f>
        <v>#VALUE!</v>
      </c>
      <c r="E6" s="31" t="e">
        <f>求节点([2]兵营招募!G$28:G$47,[2]兵营招募!$J$4:$J$23,节奏总纲!Q5)*(1+[1]养成buff汇总!AB7)</f>
        <v>#VALUE!</v>
      </c>
      <c r="F6" s="31" t="e">
        <f>求节点([2]兵营招募!H$28:H$47,[2]兵营招募!$J$4:$J$23,节奏总纲!R5)*(1+[1]养成buff汇总!AC7)</f>
        <v>#VALUE!</v>
      </c>
      <c r="G6" s="31" t="e">
        <f>求节点([2]兵营招募!I$28:I$47,[2]兵营招募!$J$4:$J$23,节奏总纲!S5)*(1+[1]养成buff汇总!AD7)</f>
        <v>#VALUE!</v>
      </c>
      <c r="H6" s="31" t="e">
        <f>求节点([2]兵营招募!J$28:J$47,[2]兵营招募!$J$4:$J$23,节奏总纲!T5)*(1+[1]养成buff汇总!AE7)</f>
        <v>#VALUE!</v>
      </c>
      <c r="I6" s="31" t="e">
        <f>100%*D6*'[1]功能-付费相关'!CJ7*节奏总纲!W5</f>
        <v>#VALUE!</v>
      </c>
      <c r="J6" s="31" t="e">
        <f>100%*E6*'[1]功能-付费相关'!CK7*节奏总纲!X5</f>
        <v>#VALUE!</v>
      </c>
      <c r="K6" s="31" t="e">
        <f>100%*F6*'[1]功能-付费相关'!CL7*节奏总纲!Y5</f>
        <v>#VALUE!</v>
      </c>
      <c r="L6" s="31" t="e">
        <f>100%*G6*'[1]功能-付费相关'!CM7*节奏总纲!Z5</f>
        <v>#VALUE!</v>
      </c>
      <c r="M6" s="31" t="e">
        <f>100%*H6*'[1]功能-付费相关'!CN7*节奏总纲!AA5</f>
        <v>#VALUE!</v>
      </c>
      <c r="N6" s="31" t="e">
        <f>D6*20%*'[1]功能-付费相关'!CJ7</f>
        <v>#VALUE!</v>
      </c>
      <c r="O6" s="31" t="e">
        <f>E6*20%*'[1]功能-付费相关'!CK7</f>
        <v>#VALUE!</v>
      </c>
      <c r="P6" s="31" t="e">
        <f>F6*20%*'[1]功能-付费相关'!CL7</f>
        <v>#VALUE!</v>
      </c>
      <c r="Q6" s="31" t="e">
        <f>G6*20%*'[1]功能-付费相关'!CM7</f>
        <v>#VALUE!</v>
      </c>
      <c r="R6" s="31" t="e">
        <f>H6*20%*'[1]功能-付费相关'!CN7</f>
        <v>#VALUE!</v>
      </c>
      <c r="S6" s="31">
        <f>$W$1*('[1]功能-行军令'!S5+S$2*[1]节奏总纲!BJ5)</f>
        <v>260.7709010638826</v>
      </c>
      <c r="T6" s="31">
        <f>$W$1*('[1]功能-行军令'!T5+T$2*[1]节奏总纲!BK5)</f>
        <v>378.15914982809761</v>
      </c>
      <c r="U6" s="31">
        <f>$W$1*('[1]功能-行军令'!U5+U$2*[1]节奏总纲!BL5)</f>
        <v>497.55835647756106</v>
      </c>
      <c r="V6" s="31">
        <f>$W$1*('[1]功能-行军令'!V5+V$2*[1]节奏总纲!BM5)</f>
        <v>618.22180676116898</v>
      </c>
      <c r="W6" s="31">
        <f>$W$1*('[1]功能-行军令'!W5+W$2*[1]节奏总纲!BN5)</f>
        <v>839.29548044409785</v>
      </c>
      <c r="X6" s="57">
        <f>S6*'[1]功能-付费相关'!AH7</f>
        <v>8.1861595337590565</v>
      </c>
      <c r="Y6" s="57">
        <f>T6*'[1]功能-付费相关'!AI7</f>
        <v>11.871229178615813</v>
      </c>
      <c r="Z6" s="57">
        <f>U6*'[1]功能-付费相关'!AJ7</f>
        <v>15.619427117301189</v>
      </c>
      <c r="AA6" s="57">
        <f>V6*'[1]功能-付费相关'!AK7</f>
        <v>19.407312383201461</v>
      </c>
      <c r="AB6" s="57">
        <f>W6*'[1]功能-付费相关'!AL7</f>
        <v>26.34729055599346</v>
      </c>
      <c r="AC6" s="57"/>
    </row>
    <row r="7" spans="3:29" x14ac:dyDescent="0.15">
      <c r="C7" s="31">
        <v>3</v>
      </c>
      <c r="D7" s="31" t="e">
        <f>求节点([2]兵营招募!F$28:F$47,[2]兵营招募!$J$4:$J$23,节奏总纲!P6)*(1+[1]养成buff汇总!AA8)</f>
        <v>#VALUE!</v>
      </c>
      <c r="E7" s="31" t="e">
        <f>求节点([2]兵营招募!G$28:G$47,[2]兵营招募!$J$4:$J$23,节奏总纲!Q6)*(1+[1]养成buff汇总!AB8)</f>
        <v>#VALUE!</v>
      </c>
      <c r="F7" s="31" t="e">
        <f>求节点([2]兵营招募!H$28:H$47,[2]兵营招募!$J$4:$J$23,节奏总纲!R6)*(1+[1]养成buff汇总!AC8)</f>
        <v>#VALUE!</v>
      </c>
      <c r="G7" s="31" t="e">
        <f>求节点([2]兵营招募!I$28:I$47,[2]兵营招募!$J$4:$J$23,节奏总纲!S6)*(1+[1]养成buff汇总!AD8)</f>
        <v>#VALUE!</v>
      </c>
      <c r="H7" s="31" t="e">
        <f>求节点([2]兵营招募!J$28:J$47,[2]兵营招募!$J$4:$J$23,节奏总纲!T6)*(1+[1]养成buff汇总!AE8)</f>
        <v>#VALUE!</v>
      </c>
      <c r="I7" s="31" t="e">
        <f>100%*D7*'[1]功能-付费相关'!CJ8*节奏总纲!W6</f>
        <v>#VALUE!</v>
      </c>
      <c r="J7" s="31" t="e">
        <f>100%*E7*'[1]功能-付费相关'!CK8*节奏总纲!X6</f>
        <v>#VALUE!</v>
      </c>
      <c r="K7" s="31" t="e">
        <f>100%*F7*'[1]功能-付费相关'!CL8*节奏总纲!Y6</f>
        <v>#VALUE!</v>
      </c>
      <c r="L7" s="31" t="e">
        <f>100%*G7*'[1]功能-付费相关'!CM8*节奏总纲!Z6</f>
        <v>#VALUE!</v>
      </c>
      <c r="M7" s="31" t="e">
        <f>100%*H7*'[1]功能-付费相关'!CN8*节奏总纲!AA6</f>
        <v>#VALUE!</v>
      </c>
      <c r="N7" s="31" t="e">
        <f>D7*20%*'[1]功能-付费相关'!CJ8</f>
        <v>#VALUE!</v>
      </c>
      <c r="O7" s="31" t="e">
        <f>E7*20%*'[1]功能-付费相关'!CK8</f>
        <v>#VALUE!</v>
      </c>
      <c r="P7" s="31" t="e">
        <f>F7*20%*'[1]功能-付费相关'!CL8</f>
        <v>#VALUE!</v>
      </c>
      <c r="Q7" s="31" t="e">
        <f>G7*20%*'[1]功能-付费相关'!CM8</f>
        <v>#VALUE!</v>
      </c>
      <c r="R7" s="31" t="e">
        <f>H7*20%*'[1]功能-付费相关'!CN8</f>
        <v>#VALUE!</v>
      </c>
      <c r="S7" s="31">
        <f>$W$1*('[1]功能-行军令'!S6+S$2*[1]节奏总纲!BJ6)</f>
        <v>335.85037368005078</v>
      </c>
      <c r="T7" s="31">
        <f>$W$1*('[1]功能-行军令'!T6+T$2*[1]节奏总纲!BK6)</f>
        <v>492.6321087806308</v>
      </c>
      <c r="U7" s="31">
        <f>$W$1*('[1]功能-行军令'!U6+U$2*[1]节奏总纲!BL6)</f>
        <v>655.52489174251923</v>
      </c>
      <c r="V7" s="31">
        <f>$W$1*('[1]功能-行军令'!V6+V$2*[1]节奏总纲!BM6)</f>
        <v>826.23214929248093</v>
      </c>
      <c r="W7" s="31">
        <f>$W$1*('[1]功能-行军令'!W6+W$2*[1]节奏总纲!BN6)</f>
        <v>1137.9289979072198</v>
      </c>
      <c r="X7" s="57">
        <f>S7*'[1]功能-付费相关'!AH8</f>
        <v>10.23147100303979</v>
      </c>
      <c r="Y7" s="57">
        <f>T7*'[1]功能-付费相关'!AI8</f>
        <v>15.007728236018217</v>
      </c>
      <c r="Z7" s="57">
        <f>U7*'[1]功能-付费相关'!AJ8</f>
        <v>19.970154709501138</v>
      </c>
      <c r="AA7" s="57">
        <f>V7*'[1]功能-付费相关'!AK8</f>
        <v>25.170644250402379</v>
      </c>
      <c r="AB7" s="57">
        <f>W7*'[1]功能-付费相关'!AL8</f>
        <v>34.666293260394873</v>
      </c>
      <c r="AC7" s="57"/>
    </row>
    <row r="8" spans="3:29" x14ac:dyDescent="0.15">
      <c r="C8" s="31">
        <v>4</v>
      </c>
      <c r="D8" s="31" t="e">
        <f>求节点([2]兵营招募!F$28:F$47,[2]兵营招募!$J$4:$J$23,节奏总纲!P7)*(1+[1]养成buff汇总!AA9)</f>
        <v>#VALUE!</v>
      </c>
      <c r="E8" s="31" t="e">
        <f>求节点([2]兵营招募!G$28:G$47,[2]兵营招募!$J$4:$J$23,节奏总纲!Q7)*(1+[1]养成buff汇总!AB9)</f>
        <v>#VALUE!</v>
      </c>
      <c r="F8" s="31" t="e">
        <f>求节点([2]兵营招募!H$28:H$47,[2]兵营招募!$J$4:$J$23,节奏总纲!R7)*(1+[1]养成buff汇总!AC9)</f>
        <v>#VALUE!</v>
      </c>
      <c r="G8" s="31" t="e">
        <f>求节点([2]兵营招募!I$28:I$47,[2]兵营招募!$J$4:$J$23,节奏总纲!S7)*(1+[1]养成buff汇总!AD9)</f>
        <v>#VALUE!</v>
      </c>
      <c r="H8" s="31" t="e">
        <f>求节点([2]兵营招募!J$28:J$47,[2]兵营招募!$J$4:$J$23,节奏总纲!T7)*(1+[1]养成buff汇总!AE9)</f>
        <v>#VALUE!</v>
      </c>
      <c r="I8" s="31" t="e">
        <f>100%*D8*'[1]功能-付费相关'!CJ9*节奏总纲!W7</f>
        <v>#VALUE!</v>
      </c>
      <c r="J8" s="31" t="e">
        <f>100%*E8*'[1]功能-付费相关'!CK9*节奏总纲!X7</f>
        <v>#VALUE!</v>
      </c>
      <c r="K8" s="31" t="e">
        <f>100%*F8*'[1]功能-付费相关'!CL9*节奏总纲!Y7</f>
        <v>#VALUE!</v>
      </c>
      <c r="L8" s="31" t="e">
        <f>100%*G8*'[1]功能-付费相关'!CM9*节奏总纲!Z7</f>
        <v>#VALUE!</v>
      </c>
      <c r="M8" s="31" t="e">
        <f>100%*H8*'[1]功能-付费相关'!CN9*节奏总纲!AA7</f>
        <v>#VALUE!</v>
      </c>
      <c r="N8" s="31" t="e">
        <f>D8*20%*'[1]功能-付费相关'!CJ9</f>
        <v>#VALUE!</v>
      </c>
      <c r="O8" s="31" t="e">
        <f>E8*20%*'[1]功能-付费相关'!CK9</f>
        <v>#VALUE!</v>
      </c>
      <c r="P8" s="31" t="e">
        <f>F8*20%*'[1]功能-付费相关'!CL9</f>
        <v>#VALUE!</v>
      </c>
      <c r="Q8" s="31" t="e">
        <f>G8*20%*'[1]功能-付费相关'!CM9</f>
        <v>#VALUE!</v>
      </c>
      <c r="R8" s="31" t="e">
        <f>H8*20%*'[1]功能-付费相关'!CN9</f>
        <v>#VALUE!</v>
      </c>
      <c r="S8" s="31">
        <f>$W$1*('[1]功能-行军令'!S7+S$2*[1]节奏总纲!BJ7)</f>
        <v>411.29441763373961</v>
      </c>
      <c r="T8" s="31">
        <f>$W$1*('[1]功能-行军令'!T7+T$2*[1]节奏总纲!BK7)</f>
        <v>606.92704612985972</v>
      </c>
      <c r="U8" s="31">
        <f>$W$1*('[1]功能-行军令'!U7+U$2*[1]节奏总纲!BL7)</f>
        <v>812.43788119223018</v>
      </c>
      <c r="V8" s="31">
        <f>$W$1*('[1]功能-行军令'!V7+V$2*[1]节奏总纲!BM7)</f>
        <v>1032.9446365337781</v>
      </c>
      <c r="W8" s="31">
        <f>$W$1*('[1]功能-行军令'!W7+W$2*[1]节奏总纲!BN7)</f>
        <v>1436.8439549642408</v>
      </c>
      <c r="X8" s="57">
        <f>S8*'[1]功能-付费相关'!AH9</f>
        <v>12.159514150234845</v>
      </c>
      <c r="Y8" s="57">
        <f>T8*'[1]功能-付费相关'!AI9</f>
        <v>17.943200026964988</v>
      </c>
      <c r="Z8" s="57">
        <f>U8*'[1]功能-付费相关'!AJ9</f>
        <v>24.018925346419167</v>
      </c>
      <c r="AA8" s="57">
        <f>V8*'[1]功能-付费相关'!AK9</f>
        <v>30.537990271306132</v>
      </c>
      <c r="AB8" s="57">
        <f>W8*'[1]功能-付费相关'!AL9</f>
        <v>42.478875601043079</v>
      </c>
      <c r="AC8" s="57"/>
    </row>
    <row r="9" spans="3:29" x14ac:dyDescent="0.15">
      <c r="C9" s="31">
        <v>5</v>
      </c>
      <c r="D9" s="31" t="e">
        <f>求节点([2]兵营招募!F$28:F$47,[2]兵营招募!$J$4:$J$23,节奏总纲!P8)*(1+[1]养成buff汇总!AA10)</f>
        <v>#VALUE!</v>
      </c>
      <c r="E9" s="31" t="e">
        <f>求节点([2]兵营招募!G$28:G$47,[2]兵营招募!$J$4:$J$23,节奏总纲!Q8)*(1+[1]养成buff汇总!AB10)</f>
        <v>#VALUE!</v>
      </c>
      <c r="F9" s="31" t="e">
        <f>求节点([2]兵营招募!H$28:H$47,[2]兵营招募!$J$4:$J$23,节奏总纲!R8)*(1+[1]养成buff汇总!AC10)</f>
        <v>#VALUE!</v>
      </c>
      <c r="G9" s="31" t="e">
        <f>求节点([2]兵营招募!I$28:I$47,[2]兵营招募!$J$4:$J$23,节奏总纲!S8)*(1+[1]养成buff汇总!AD10)</f>
        <v>#VALUE!</v>
      </c>
      <c r="H9" s="31" t="e">
        <f>求节点([2]兵营招募!J$28:J$47,[2]兵营招募!$J$4:$J$23,节奏总纲!T8)*(1+[1]养成buff汇总!AE10)</f>
        <v>#VALUE!</v>
      </c>
      <c r="I9" s="31" t="e">
        <f>100%*D9*'[1]功能-付费相关'!CJ10*节奏总纲!W8</f>
        <v>#VALUE!</v>
      </c>
      <c r="J9" s="31" t="e">
        <f>100%*E9*'[1]功能-付费相关'!CK10*节奏总纲!X8</f>
        <v>#VALUE!</v>
      </c>
      <c r="K9" s="31" t="e">
        <f>100%*F9*'[1]功能-付费相关'!CL10*节奏总纲!Y8</f>
        <v>#VALUE!</v>
      </c>
      <c r="L9" s="31" t="e">
        <f>100%*G9*'[1]功能-付费相关'!CM10*节奏总纲!Z8</f>
        <v>#VALUE!</v>
      </c>
      <c r="M9" s="31" t="e">
        <f>100%*H9*'[1]功能-付费相关'!CN10*节奏总纲!AA8</f>
        <v>#VALUE!</v>
      </c>
      <c r="N9" s="31" t="e">
        <f>D9*20%*'[1]功能-付费相关'!CJ10</f>
        <v>#VALUE!</v>
      </c>
      <c r="O9" s="31" t="e">
        <f>E9*20%*'[1]功能-付费相关'!CK10</f>
        <v>#VALUE!</v>
      </c>
      <c r="P9" s="31" t="e">
        <f>F9*20%*'[1]功能-付费相关'!CL10</f>
        <v>#VALUE!</v>
      </c>
      <c r="Q9" s="31" t="e">
        <f>G9*20%*'[1]功能-付费相关'!CM10</f>
        <v>#VALUE!</v>
      </c>
      <c r="R9" s="31" t="e">
        <f>H9*20%*'[1]功能-付费相关'!CN10</f>
        <v>#VALUE!</v>
      </c>
      <c r="S9" s="31">
        <f>$W$1*('[1]功能-行军令'!S8+S$2*[1]节奏总纲!BJ8)</f>
        <v>487.12919947218484</v>
      </c>
      <c r="T9" s="31">
        <f>$W$1*('[1]功能-行军令'!T8+T$2*[1]节奏总纲!BK8)</f>
        <v>719.80000539097</v>
      </c>
      <c r="U9" s="31">
        <f>$W$1*('[1]功能-行军令'!U8+U$2*[1]节奏总纲!BL8)</f>
        <v>966.29342936777857</v>
      </c>
      <c r="V9" s="31">
        <f>$W$1*('[1]功能-行军令'!V8+V$2*[1]节奏总纲!BM8)</f>
        <v>1236.5831641695308</v>
      </c>
      <c r="W9" s="31">
        <f>$W$1*('[1]功能-行军令'!W8+W$2*[1]节奏总纲!BN8)</f>
        <v>1732.4384012082216</v>
      </c>
      <c r="X9" s="57">
        <f>S9*'[1]功能-付费相关'!AH10</f>
        <v>13.97586625117542</v>
      </c>
      <c r="Y9" s="57">
        <f>T9*'[1]功能-付费相关'!AI10</f>
        <v>20.651253535693584</v>
      </c>
      <c r="Z9" s="57">
        <f>U9*'[1]功能-付费相关'!AJ10</f>
        <v>27.723215407465677</v>
      </c>
      <c r="AA9" s="57">
        <f>V9*'[1]功能-付费相关'!AK10</f>
        <v>35.4778997637884</v>
      </c>
      <c r="AB9" s="57">
        <f>W9*'[1]功能-付费相关'!AL10</f>
        <v>49.704118352833035</v>
      </c>
      <c r="AC9" s="57"/>
    </row>
    <row r="10" spans="3:29" x14ac:dyDescent="0.15">
      <c r="C10" s="31">
        <v>6</v>
      </c>
      <c r="D10" s="31" t="e">
        <f>求节点([2]兵营招募!F$28:F$47,[2]兵营招募!$J$4:$J$23,节奏总纲!P9)*(1+[1]养成buff汇总!AA11)</f>
        <v>#VALUE!</v>
      </c>
      <c r="E10" s="31" t="e">
        <f>求节点([2]兵营招募!G$28:G$47,[2]兵营招募!$J$4:$J$23,节奏总纲!Q9)*(1+[1]养成buff汇总!AB11)</f>
        <v>#VALUE!</v>
      </c>
      <c r="F10" s="31" t="e">
        <f>求节点([2]兵营招募!H$28:H$47,[2]兵营招募!$J$4:$J$23,节奏总纲!R9)*(1+[1]养成buff汇总!AC11)</f>
        <v>#VALUE!</v>
      </c>
      <c r="G10" s="31" t="e">
        <f>求节点([2]兵营招募!I$28:I$47,[2]兵营招募!$J$4:$J$23,节奏总纲!S9)*(1+[1]养成buff汇总!AD11)</f>
        <v>#VALUE!</v>
      </c>
      <c r="H10" s="31" t="e">
        <f>求节点([2]兵营招募!J$28:J$47,[2]兵营招募!$J$4:$J$23,节奏总纲!T9)*(1+[1]养成buff汇总!AE11)</f>
        <v>#VALUE!</v>
      </c>
      <c r="I10" s="31" t="e">
        <f>100%*D10*'[1]功能-付费相关'!CJ11*节奏总纲!W9</f>
        <v>#VALUE!</v>
      </c>
      <c r="J10" s="31" t="e">
        <f>100%*E10*'[1]功能-付费相关'!CK11*节奏总纲!X9</f>
        <v>#VALUE!</v>
      </c>
      <c r="K10" s="31" t="e">
        <f>100%*F10*'[1]功能-付费相关'!CL11*节奏总纲!Y9</f>
        <v>#VALUE!</v>
      </c>
      <c r="L10" s="31" t="e">
        <f>100%*G10*'[1]功能-付费相关'!CM11*节奏总纲!Z9</f>
        <v>#VALUE!</v>
      </c>
      <c r="M10" s="31" t="e">
        <f>100%*H10*'[1]功能-付费相关'!CN11*节奏总纲!AA9</f>
        <v>#VALUE!</v>
      </c>
      <c r="N10" s="31" t="e">
        <f>D10*20%*'[1]功能-付费相关'!CJ11</f>
        <v>#VALUE!</v>
      </c>
      <c r="O10" s="31" t="e">
        <f>E10*20%*'[1]功能-付费相关'!CK11</f>
        <v>#VALUE!</v>
      </c>
      <c r="P10" s="31" t="e">
        <f>F10*20%*'[1]功能-付费相关'!CL11</f>
        <v>#VALUE!</v>
      </c>
      <c r="Q10" s="31" t="e">
        <f>G10*20%*'[1]功能-付费相关'!CM11</f>
        <v>#VALUE!</v>
      </c>
      <c r="R10" s="31" t="e">
        <f>H10*20%*'[1]功能-付费相关'!CN11</f>
        <v>#VALUE!</v>
      </c>
      <c r="S10" s="31">
        <f>$W$1*('[1]功能-行军令'!S9+S$2*[1]节奏总纲!BJ9)</f>
        <v>506.71609713965199</v>
      </c>
      <c r="T10" s="31">
        <f>$W$1*('[1]功能-行军令'!T9+T$2*[1]节奏总纲!BK9)</f>
        <v>748.95000517177186</v>
      </c>
      <c r="U10" s="31">
        <f>$W$1*('[1]功能-行军令'!U9+U$2*[1]节奏总纲!BL9)</f>
        <v>1004.0535989117789</v>
      </c>
      <c r="V10" s="31">
        <f>$W$1*('[1]功能-行军令'!V9+V$2*[1]节奏总纲!BM9)</f>
        <v>1283.9629735953313</v>
      </c>
      <c r="W10" s="31">
        <f>$W$1*('[1]功能-行军令'!W9+W$2*[1]节奏总纲!BN9)</f>
        <v>1795.4282991407849</v>
      </c>
      <c r="X10" s="57">
        <f>S10*'[1]功能-付费相关'!AH11</f>
        <v>14.108162052777724</v>
      </c>
      <c r="Y10" s="57">
        <f>T10*'[1]功能-付费相关'!AI11</f>
        <v>20.852520971876636</v>
      </c>
      <c r="Z10" s="57">
        <f>U10*'[1]功能-付费相关'!AJ11</f>
        <v>27.955202061043</v>
      </c>
      <c r="AA10" s="57">
        <f>V10*'[1]功能-付费相关'!AK11</f>
        <v>35.748534146640587</v>
      </c>
      <c r="AB10" s="57">
        <f>W10*'[1]功能-付费相关'!AL11</f>
        <v>49.988925833236792</v>
      </c>
      <c r="AC10" s="57"/>
    </row>
    <row r="11" spans="3:29" x14ac:dyDescent="0.15">
      <c r="C11" s="31">
        <v>7</v>
      </c>
      <c r="D11" s="31" t="e">
        <f>求节点([2]兵营招募!F$28:F$47,[2]兵营招募!$J$4:$J$23,节奏总纲!P10)*(1+[1]养成buff汇总!AA12)</f>
        <v>#VALUE!</v>
      </c>
      <c r="E11" s="31" t="e">
        <f>求节点([2]兵营招募!G$28:G$47,[2]兵营招募!$J$4:$J$23,节奏总纲!Q10)*(1+[1]养成buff汇总!AB12)</f>
        <v>#VALUE!</v>
      </c>
      <c r="F11" s="31" t="e">
        <f>求节点([2]兵营招募!H$28:H$47,[2]兵营招募!$J$4:$J$23,节奏总纲!R10)*(1+[1]养成buff汇总!AC12)</f>
        <v>#VALUE!</v>
      </c>
      <c r="G11" s="31" t="e">
        <f>求节点([2]兵营招募!I$28:I$47,[2]兵营招募!$J$4:$J$23,节奏总纲!S10)*(1+[1]养成buff汇总!AD12)</f>
        <v>#VALUE!</v>
      </c>
      <c r="H11" s="31" t="e">
        <f>求节点([2]兵营招募!J$28:J$47,[2]兵营招募!$J$4:$J$23,节奏总纲!T10)*(1+[1]养成buff汇总!AE12)</f>
        <v>#VALUE!</v>
      </c>
      <c r="I11" s="31" t="e">
        <f>100%*D11*'[1]功能-付费相关'!CJ12*节奏总纲!W10</f>
        <v>#VALUE!</v>
      </c>
      <c r="J11" s="31" t="e">
        <f>100%*E11*'[1]功能-付费相关'!CK12*节奏总纲!X10</f>
        <v>#VALUE!</v>
      </c>
      <c r="K11" s="31" t="e">
        <f>100%*F11*'[1]功能-付费相关'!CL12*节奏总纲!Y10</f>
        <v>#VALUE!</v>
      </c>
      <c r="L11" s="31" t="e">
        <f>100%*G11*'[1]功能-付费相关'!CM12*节奏总纲!Z10</f>
        <v>#VALUE!</v>
      </c>
      <c r="M11" s="31" t="e">
        <f>100%*H11*'[1]功能-付费相关'!CN12*节奏总纲!AA10</f>
        <v>#VALUE!</v>
      </c>
      <c r="N11" s="31" t="e">
        <f>D11*20%*'[1]功能-付费相关'!CJ12</f>
        <v>#VALUE!</v>
      </c>
      <c r="O11" s="31" t="e">
        <f>E11*20%*'[1]功能-付费相关'!CK12</f>
        <v>#VALUE!</v>
      </c>
      <c r="P11" s="31" t="e">
        <f>F11*20%*'[1]功能-付费相关'!CL12</f>
        <v>#VALUE!</v>
      </c>
      <c r="Q11" s="31" t="e">
        <f>G11*20%*'[1]功能-付费相关'!CM12</f>
        <v>#VALUE!</v>
      </c>
      <c r="R11" s="31" t="e">
        <f>H11*20%*'[1]功能-付费相关'!CN12</f>
        <v>#VALUE!</v>
      </c>
      <c r="S11" s="31">
        <f>$W$1*('[1]功能-行军令'!S10+S$2*[1]节奏总纲!BJ10)</f>
        <v>526.75183477257383</v>
      </c>
      <c r="T11" s="31">
        <f>$W$1*('[1]功能-行军令'!T10+T$2*[1]节奏总纲!BK10)</f>
        <v>779.76290228375728</v>
      </c>
      <c r="U11" s="31">
        <f>$W$1*('[1]功能-行军令'!U10+U$2*[1]节奏总纲!BL10)</f>
        <v>1045.3139081061106</v>
      </c>
      <c r="V11" s="31">
        <f>$W$1*('[1]功能-行军令'!V10+V$2*[1]节奏总纲!BM10)</f>
        <v>1329.509281597966</v>
      </c>
      <c r="W11" s="31">
        <f>$W$1*('[1]功能-行军令'!W10+W$2*[1]节奏总纲!BN10)</f>
        <v>1850.9692031597447</v>
      </c>
      <c r="X11" s="57">
        <f>S11*'[1]功能-付费相关'!AH12</f>
        <v>14.232557960084646</v>
      </c>
      <c r="Y11" s="57">
        <f>T11*'[1]功能-付费相关'!AI12</f>
        <v>21.06878413944014</v>
      </c>
      <c r="Z11" s="57">
        <f>U11*'[1]功能-付费相关'!AJ12</f>
        <v>28.243832866811374</v>
      </c>
      <c r="AA11" s="57">
        <f>V11*'[1]功能-付费相关'!AK12</f>
        <v>35.922642617815086</v>
      </c>
      <c r="AB11" s="57">
        <f>W11*'[1]功能-付费相关'!AL12</f>
        <v>50.012215861909326</v>
      </c>
      <c r="AC11" s="57"/>
    </row>
    <row r="12" spans="3:29" x14ac:dyDescent="0.15">
      <c r="C12" s="31">
        <v>8</v>
      </c>
      <c r="D12" s="31" t="e">
        <f>求节点([2]兵营招募!F$28:F$47,[2]兵营招募!$J$4:$J$23,节奏总纲!P11)*(1+[1]养成buff汇总!AA13)</f>
        <v>#VALUE!</v>
      </c>
      <c r="E12" s="31" t="e">
        <f>求节点([2]兵营招募!G$28:G$47,[2]兵营招募!$J$4:$J$23,节奏总纲!Q11)*(1+[1]养成buff汇总!AB13)</f>
        <v>#VALUE!</v>
      </c>
      <c r="F12" s="31" t="e">
        <f>求节点([2]兵营招募!H$28:H$47,[2]兵营招募!$J$4:$J$23,节奏总纲!R11)*(1+[1]养成buff汇总!AC13)</f>
        <v>#VALUE!</v>
      </c>
      <c r="G12" s="31" t="e">
        <f>求节点([2]兵营招募!I$28:I$47,[2]兵营招募!$J$4:$J$23,节奏总纲!S11)*(1+[1]养成buff汇总!AD13)</f>
        <v>#VALUE!</v>
      </c>
      <c r="H12" s="31" t="e">
        <f>求节点([2]兵营招募!J$28:J$47,[2]兵营招募!$J$4:$J$23,节奏总纲!T11)*(1+[1]养成buff汇总!AE13)</f>
        <v>#VALUE!</v>
      </c>
      <c r="I12" s="31" t="e">
        <f>100%*D12*'[1]功能-付费相关'!CJ13*节奏总纲!W11</f>
        <v>#VALUE!</v>
      </c>
      <c r="J12" s="31" t="e">
        <f>100%*E12*'[1]功能-付费相关'!CK13*节奏总纲!X11</f>
        <v>#VALUE!</v>
      </c>
      <c r="K12" s="31" t="e">
        <f>100%*F12*'[1]功能-付费相关'!CL13*节奏总纲!Y11</f>
        <v>#VALUE!</v>
      </c>
      <c r="L12" s="31" t="e">
        <f>100%*G12*'[1]功能-付费相关'!CM13*节奏总纲!Z11</f>
        <v>#VALUE!</v>
      </c>
      <c r="M12" s="31" t="e">
        <f>100%*H12*'[1]功能-付费相关'!CN13*节奏总纲!AA11</f>
        <v>#VALUE!</v>
      </c>
      <c r="N12" s="31" t="e">
        <f>D12*20%*'[1]功能-付费相关'!CJ13</f>
        <v>#VALUE!</v>
      </c>
      <c r="O12" s="31" t="e">
        <f>E12*20%*'[1]功能-付费相关'!CK13</f>
        <v>#VALUE!</v>
      </c>
      <c r="P12" s="31" t="e">
        <f>F12*20%*'[1]功能-付费相关'!CL13</f>
        <v>#VALUE!</v>
      </c>
      <c r="Q12" s="31" t="e">
        <f>G12*20%*'[1]功能-付费相关'!CM13</f>
        <v>#VALUE!</v>
      </c>
      <c r="R12" s="31" t="e">
        <f>H12*20%*'[1]功能-付费相关'!CN13</f>
        <v>#VALUE!</v>
      </c>
      <c r="S12" s="31">
        <f>$W$1*('[1]功能-行军令'!S11+S$2*[1]节奏总纲!BJ11)</f>
        <v>547.26862716939524</v>
      </c>
      <c r="T12" s="31">
        <f>$W$1*('[1]功能-行军令'!T11+T$2*[1]节奏总纲!BK11)</f>
        <v>802.85898941374637</v>
      </c>
      <c r="U12" s="31">
        <f>$W$1*('[1]功能-行军令'!U11+U$2*[1]节奏总纲!BL11)</f>
        <v>1068.9071037049023</v>
      </c>
      <c r="V12" s="31">
        <f>$W$1*('[1]功能-行军令'!V11+V$2*[1]节奏总纲!BM11)</f>
        <v>1362.0453828162683</v>
      </c>
      <c r="W12" s="31">
        <f>$W$1*('[1]功能-行军令'!W11+W$2*[1]节奏总纲!BN11)</f>
        <v>1907.3410523131765</v>
      </c>
      <c r="X12" s="57">
        <f>S12*'[1]功能-付费相关'!AH13</f>
        <v>14.349891653969681</v>
      </c>
      <c r="Y12" s="57">
        <f>T12*'[1]功能-付费相关'!AI13</f>
        <v>21.051708319353001</v>
      </c>
      <c r="Z12" s="57">
        <f>U12*'[1]功能-付费相关'!AJ13</f>
        <v>28.027736955541062</v>
      </c>
      <c r="AA12" s="57">
        <f>V12*'[1]功能-付费相关'!AK13</f>
        <v>35.714094872011202</v>
      </c>
      <c r="AB12" s="57">
        <f>W12*'[1]功能-付费相关'!AL13</f>
        <v>50.012253743518109</v>
      </c>
      <c r="AC12" s="57"/>
    </row>
    <row r="13" spans="3:29" x14ac:dyDescent="0.15">
      <c r="C13" s="31">
        <v>9</v>
      </c>
      <c r="D13" s="31" t="e">
        <f>求节点([2]兵营招募!F$28:F$47,[2]兵营招募!$J$4:$J$23,节奏总纲!P12)*(1+[1]养成buff汇总!AA14)</f>
        <v>#VALUE!</v>
      </c>
      <c r="E13" s="31" t="e">
        <f>求节点([2]兵营招募!G$28:G$47,[2]兵营招募!$J$4:$J$23,节奏总纲!Q12)*(1+[1]养成buff汇总!AB14)</f>
        <v>#VALUE!</v>
      </c>
      <c r="F13" s="31" t="e">
        <f>求节点([2]兵营招募!H$28:H$47,[2]兵营招募!$J$4:$J$23,节奏总纲!R12)*(1+[1]养成buff汇总!AC14)</f>
        <v>#VALUE!</v>
      </c>
      <c r="G13" s="31" t="e">
        <f>求节点([2]兵营招募!I$28:I$47,[2]兵营招募!$J$4:$J$23,节奏总纲!S12)*(1+[1]养成buff汇总!AD14)</f>
        <v>#VALUE!</v>
      </c>
      <c r="H13" s="31" t="e">
        <f>求节点([2]兵营招募!J$28:J$47,[2]兵营招募!$J$4:$J$23,节奏总纲!T12)*(1+[1]养成buff汇总!AE14)</f>
        <v>#VALUE!</v>
      </c>
      <c r="I13" s="31" t="e">
        <f>100%*D13*'[1]功能-付费相关'!CJ14*节奏总纲!W12</f>
        <v>#VALUE!</v>
      </c>
      <c r="J13" s="31" t="e">
        <f>100%*E13*'[1]功能-付费相关'!CK14*节奏总纲!X12</f>
        <v>#VALUE!</v>
      </c>
      <c r="K13" s="31" t="e">
        <f>100%*F13*'[1]功能-付费相关'!CL14*节奏总纲!Y12</f>
        <v>#VALUE!</v>
      </c>
      <c r="L13" s="31" t="e">
        <f>100%*G13*'[1]功能-付费相关'!CM14*节奏总纲!Z12</f>
        <v>#VALUE!</v>
      </c>
      <c r="M13" s="31" t="e">
        <f>100%*H13*'[1]功能-付费相关'!CN14*节奏总纲!AA12</f>
        <v>#VALUE!</v>
      </c>
      <c r="N13" s="31" t="e">
        <f>D13*20%*'[1]功能-付费相关'!CJ14</f>
        <v>#VALUE!</v>
      </c>
      <c r="O13" s="31" t="e">
        <f>E13*20%*'[1]功能-付费相关'!CK14</f>
        <v>#VALUE!</v>
      </c>
      <c r="P13" s="31" t="e">
        <f>F13*20%*'[1]功能-付费相关'!CL14</f>
        <v>#VALUE!</v>
      </c>
      <c r="Q13" s="31" t="e">
        <f>G13*20%*'[1]功能-付费相关'!CM14</f>
        <v>#VALUE!</v>
      </c>
      <c r="R13" s="31" t="e">
        <f>H13*20%*'[1]功能-付费相关'!CN14</f>
        <v>#VALUE!</v>
      </c>
      <c r="S13" s="31">
        <f>$W$1*('[1]功能-行军令'!S12+S$2*[1]节奏总纲!BJ12)</f>
        <v>568.30100129619075</v>
      </c>
      <c r="T13" s="31">
        <f>$W$1*('[1]功能-行军令'!T12+T$2*[1]节奏总纲!BK12)</f>
        <v>835.80450178707167</v>
      </c>
      <c r="U13" s="31">
        <f>$W$1*('[1]功能-行军令'!U12+U$2*[1]节奏总纲!BL12)</f>
        <v>1119.9837649435437</v>
      </c>
      <c r="V13" s="31">
        <f>$W$1*('[1]功能-行军令'!V12+V$2*[1]节奏总纲!BM12)</f>
        <v>1427.3617599610398</v>
      </c>
      <c r="W13" s="31">
        <f>$W$1*('[1]功能-行军令'!W12+W$2*[1]节奏总纲!BN12)</f>
        <v>1978.4351184001712</v>
      </c>
      <c r="X13" s="57">
        <f>S13*'[1]功能-付费相关'!AH14</f>
        <v>14.460977700020448</v>
      </c>
      <c r="Y13" s="57">
        <f>T13*'[1]功能-付费相关'!AI14</f>
        <v>21.267867264622677</v>
      </c>
      <c r="Z13" s="57">
        <f>U13*'[1]功能-付费相关'!AJ14</f>
        <v>28.499088004936251</v>
      </c>
      <c r="AA13" s="57">
        <f>V13*'[1]功能-付费相关'!AK14</f>
        <v>36.32062328516065</v>
      </c>
      <c r="AB13" s="57">
        <f>W13*'[1]功能-付费相关'!AL14</f>
        <v>50.343226675419835</v>
      </c>
      <c r="AC13" s="57"/>
    </row>
    <row r="14" spans="3:29" x14ac:dyDescent="0.15">
      <c r="C14" s="31">
        <v>10</v>
      </c>
      <c r="D14" s="31" t="e">
        <f>求节点([2]兵营招募!F$28:F$47,[2]兵营招募!$J$4:$J$23,节奏总纲!P13)*(1+[1]养成buff汇总!AA15)</f>
        <v>#VALUE!</v>
      </c>
      <c r="E14" s="31" t="e">
        <f>求节点([2]兵营招募!G$28:G$47,[2]兵营招募!$J$4:$J$23,节奏总纲!Q13)*(1+[1]养成buff汇总!AB15)</f>
        <v>#VALUE!</v>
      </c>
      <c r="F14" s="31" t="e">
        <f>求节点([2]兵营招募!H$28:H$47,[2]兵营招募!$J$4:$J$23,节奏总纲!R13)*(1+[1]养成buff汇总!AC15)</f>
        <v>#VALUE!</v>
      </c>
      <c r="G14" s="31" t="e">
        <f>求节点([2]兵营招募!I$28:I$47,[2]兵营招募!$J$4:$J$23,节奏总纲!S13)*(1+[1]养成buff汇总!AD15)</f>
        <v>#VALUE!</v>
      </c>
      <c r="H14" s="31" t="e">
        <f>求节点([2]兵营招募!J$28:J$47,[2]兵营招募!$J$4:$J$23,节奏总纲!T13)*(1+[1]养成buff汇总!AE15)</f>
        <v>#VALUE!</v>
      </c>
      <c r="I14" s="31" t="e">
        <f>100%*D14*'[1]功能-付费相关'!CJ15*节奏总纲!W13</f>
        <v>#VALUE!</v>
      </c>
      <c r="J14" s="31" t="e">
        <f>100%*E14*'[1]功能-付费相关'!CK15*节奏总纲!X13</f>
        <v>#VALUE!</v>
      </c>
      <c r="K14" s="31" t="e">
        <f>100%*F14*'[1]功能-付费相关'!CL15*节奏总纲!Y13</f>
        <v>#VALUE!</v>
      </c>
      <c r="L14" s="31" t="e">
        <f>100%*G14*'[1]功能-付费相关'!CM15*节奏总纲!Z13</f>
        <v>#VALUE!</v>
      </c>
      <c r="M14" s="31" t="e">
        <f>100%*H14*'[1]功能-付费相关'!CN15*节奏总纲!AA13</f>
        <v>#VALUE!</v>
      </c>
      <c r="N14" s="31" t="e">
        <f>D14*20%*'[1]功能-付费相关'!CJ15</f>
        <v>#VALUE!</v>
      </c>
      <c r="O14" s="31" t="e">
        <f>E14*20%*'[1]功能-付费相关'!CK15</f>
        <v>#VALUE!</v>
      </c>
      <c r="P14" s="31" t="e">
        <f>F14*20%*'[1]功能-付费相关'!CL15</f>
        <v>#VALUE!</v>
      </c>
      <c r="Q14" s="31" t="e">
        <f>G14*20%*'[1]功能-付费相关'!CM15</f>
        <v>#VALUE!</v>
      </c>
      <c r="R14" s="31" t="e">
        <f>H14*20%*'[1]功能-付费相关'!CN15</f>
        <v>#VALUE!</v>
      </c>
      <c r="S14" s="31">
        <f>$W$1*('[1]功能-行军令'!S13+S$2*[1]节奏总纲!BJ13)</f>
        <v>589.88596223894115</v>
      </c>
      <c r="T14" s="31">
        <f>$W$1*('[1]功能-行军令'!T13+T$2*[1]节奏总纲!BK13)</f>
        <v>871.82231686183445</v>
      </c>
      <c r="U14" s="31">
        <f>$W$1*('[1]功能-行军令'!U13+U$2*[1]节奏总纲!BL13)</f>
        <v>1165.2869922800553</v>
      </c>
      <c r="V14" s="31">
        <f>$W$1*('[1]功能-行军令'!V13+V$2*[1]节奏总纲!BM13)</f>
        <v>1478.6014321699936</v>
      </c>
      <c r="W14" s="31">
        <f>$W$1*('[1]功能-行军令'!W13+W$2*[1]节奏总纲!BN13)</f>
        <v>2045.0111112497461</v>
      </c>
      <c r="X14" s="57">
        <f>S14*'[1]功能-付费相关'!AH15</f>
        <v>14.566608965032511</v>
      </c>
      <c r="Y14" s="57">
        <f>T14*'[1]功能-付费相关'!AI15</f>
        <v>21.528728584273232</v>
      </c>
      <c r="Z14" s="57">
        <f>U14*'[1]功能-付费相关'!AJ15</f>
        <v>28.775527873482037</v>
      </c>
      <c r="AA14" s="57">
        <f>V14*'[1]功能-付费相关'!AK15</f>
        <v>36.512496069253807</v>
      </c>
      <c r="AB14" s="57">
        <f>W14*'[1]功能-付费相关'!AL15</f>
        <v>50.499383090345972</v>
      </c>
      <c r="AC14" s="57"/>
    </row>
    <row r="15" spans="3:29" x14ac:dyDescent="0.15">
      <c r="C15" s="31">
        <v>11</v>
      </c>
      <c r="D15" s="31" t="e">
        <f>求节点([2]兵营招募!F$28:F$47,[2]兵营招募!$J$4:$J$23,节奏总纲!P14)*(1+[1]养成buff汇总!AA16)</f>
        <v>#VALUE!</v>
      </c>
      <c r="E15" s="31" t="e">
        <f>求节点([2]兵营招募!G$28:G$47,[2]兵营招募!$J$4:$J$23,节奏总纲!Q14)*(1+[1]养成buff汇总!AB16)</f>
        <v>#VALUE!</v>
      </c>
      <c r="F15" s="31" t="e">
        <f>求节点([2]兵营招募!H$28:H$47,[2]兵营招募!$J$4:$J$23,节奏总纲!R14)*(1+[1]养成buff汇总!AC16)</f>
        <v>#VALUE!</v>
      </c>
      <c r="G15" s="31" t="e">
        <f>求节点([2]兵营招募!I$28:I$47,[2]兵营招募!$J$4:$J$23,节奏总纲!S14)*(1+[1]养成buff汇总!AD16)</f>
        <v>#VALUE!</v>
      </c>
      <c r="H15" s="31" t="e">
        <f>求节点([2]兵营招募!J$28:J$47,[2]兵营招募!$J$4:$J$23,节奏总纲!T14)*(1+[1]养成buff汇总!AE16)</f>
        <v>#VALUE!</v>
      </c>
      <c r="I15" s="31" t="e">
        <f>100%*D15*'[1]功能-付费相关'!CJ16*节奏总纲!W14</f>
        <v>#VALUE!</v>
      </c>
      <c r="J15" s="31" t="e">
        <f>100%*E15*'[1]功能-付费相关'!CK16*节奏总纲!X14</f>
        <v>#VALUE!</v>
      </c>
      <c r="K15" s="31" t="e">
        <f>100%*F15*'[1]功能-付费相关'!CL16*节奏总纲!Y14</f>
        <v>#VALUE!</v>
      </c>
      <c r="L15" s="31" t="e">
        <f>100%*G15*'[1]功能-付费相关'!CM16*节奏总纲!Z14</f>
        <v>#VALUE!</v>
      </c>
      <c r="M15" s="31" t="e">
        <f>100%*H15*'[1]功能-付费相关'!CN16*节奏总纲!AA14</f>
        <v>#VALUE!</v>
      </c>
      <c r="N15" s="31" t="e">
        <f>D15*20%*'[1]功能-付费相关'!CJ16</f>
        <v>#VALUE!</v>
      </c>
      <c r="O15" s="31" t="e">
        <f>E15*20%*'[1]功能-付费相关'!CK16</f>
        <v>#VALUE!</v>
      </c>
      <c r="P15" s="31" t="e">
        <f>F15*20%*'[1]功能-付费相关'!CL16</f>
        <v>#VALUE!</v>
      </c>
      <c r="Q15" s="31" t="e">
        <f>G15*20%*'[1]功能-付费相关'!CM16</f>
        <v>#VALUE!</v>
      </c>
      <c r="R15" s="31" t="e">
        <f>H15*20%*'[1]功能-付费相关'!CN16</f>
        <v>#VALUE!</v>
      </c>
      <c r="S15" s="31">
        <f>$W$1*('[1]功能-行军令'!S14+S$2*[1]节奏总纲!BJ14)</f>
        <v>612.06317106677966</v>
      </c>
      <c r="T15" s="31">
        <f>$W$1*('[1]功能-行军令'!T14+T$2*[1]节奏总纲!BK14)</f>
        <v>902.65412367873614</v>
      </c>
      <c r="U15" s="31">
        <f>$W$1*('[1]功能-行军令'!U14+U$2*[1]节奏总纲!BL14)</f>
        <v>1208.7662544435884</v>
      </c>
      <c r="V15" s="31">
        <f>$W$1*('[1]功能-行军令'!V14+V$2*[1]节奏总纲!BM14)</f>
        <v>1524.5103061545376</v>
      </c>
      <c r="W15" s="31">
        <f>$W$1*('[1]功能-行军令'!W14+W$2*[1]节奏总纲!BN14)</f>
        <v>2107.6233117174397</v>
      </c>
      <c r="X15" s="57">
        <f>S15*'[1]功能-付费相关'!AH16</f>
        <v>14.667558001317095</v>
      </c>
      <c r="Y15" s="57">
        <f>T15*'[1]功能-付费相关'!AI16</f>
        <v>21.631315753094686</v>
      </c>
      <c r="Z15" s="57">
        <f>U15*'[1]功能-付费相关'!AJ16</f>
        <v>28.967024949703671</v>
      </c>
      <c r="AA15" s="57">
        <f>V15*'[1]功能-付费相关'!AK16</f>
        <v>36.533554698535625</v>
      </c>
      <c r="AB15" s="57">
        <f>W15*'[1]功能-付费相关'!AL16</f>
        <v>50.507347330935396</v>
      </c>
      <c r="AC15" s="57"/>
    </row>
    <row r="16" spans="3:29" x14ac:dyDescent="0.15">
      <c r="C16" s="31">
        <v>12</v>
      </c>
      <c r="D16" s="31" t="e">
        <f>求节点([2]兵营招募!F$28:F$47,[2]兵营招募!$J$4:$J$23,节奏总纲!P15)*(1+[1]养成buff汇总!AA17)</f>
        <v>#VALUE!</v>
      </c>
      <c r="E16" s="31" t="e">
        <f>求节点([2]兵营招募!G$28:G$47,[2]兵营招募!$J$4:$J$23,节奏总纲!Q15)*(1+[1]养成buff汇总!AB17)</f>
        <v>#VALUE!</v>
      </c>
      <c r="F16" s="31" t="e">
        <f>求节点([2]兵营招募!H$28:H$47,[2]兵营招募!$J$4:$J$23,节奏总纲!R15)*(1+[1]养成buff汇总!AC17)</f>
        <v>#VALUE!</v>
      </c>
      <c r="G16" s="31" t="e">
        <f>求节点([2]兵营招募!I$28:I$47,[2]兵营招募!$J$4:$J$23,节奏总纲!S15)*(1+[1]养成buff汇总!AD17)</f>
        <v>#VALUE!</v>
      </c>
      <c r="H16" s="31" t="e">
        <f>求节点([2]兵营招募!J$28:J$47,[2]兵营招募!$J$4:$J$23,节奏总纲!T15)*(1+[1]养成buff汇总!AE17)</f>
        <v>#VALUE!</v>
      </c>
      <c r="I16" s="31" t="e">
        <f>100%*D16*'[1]功能-付费相关'!CJ17*节奏总纲!W15</f>
        <v>#VALUE!</v>
      </c>
      <c r="J16" s="31" t="e">
        <f>100%*E16*'[1]功能-付费相关'!CK17*节奏总纲!X15</f>
        <v>#VALUE!</v>
      </c>
      <c r="K16" s="31" t="e">
        <f>100%*F16*'[1]功能-付费相关'!CL17*节奏总纲!Y15</f>
        <v>#VALUE!</v>
      </c>
      <c r="L16" s="31" t="e">
        <f>100%*G16*'[1]功能-付费相关'!CM17*节奏总纲!Z15</f>
        <v>#VALUE!</v>
      </c>
      <c r="M16" s="31" t="e">
        <f>100%*H16*'[1]功能-付费相关'!CN17*节奏总纲!AA15</f>
        <v>#VALUE!</v>
      </c>
      <c r="N16" s="31" t="e">
        <f>D16*20%*'[1]功能-付费相关'!CJ17</f>
        <v>#VALUE!</v>
      </c>
      <c r="O16" s="31" t="e">
        <f>E16*20%*'[1]功能-付费相关'!CK17</f>
        <v>#VALUE!</v>
      </c>
      <c r="P16" s="31" t="e">
        <f>F16*20%*'[1]功能-付费相关'!CL17</f>
        <v>#VALUE!</v>
      </c>
      <c r="Q16" s="31" t="e">
        <f>G16*20%*'[1]功能-付费相关'!CM17</f>
        <v>#VALUE!</v>
      </c>
      <c r="R16" s="31" t="e">
        <f>H16*20%*'[1]功能-付费相关'!CN17</f>
        <v>#VALUE!</v>
      </c>
      <c r="S16" s="31">
        <f>$W$1*('[1]功能-行军令'!S15+S$2*[1]节奏总纲!BJ15)</f>
        <v>634.87513546109869</v>
      </c>
      <c r="T16" s="31">
        <f>$W$1*('[1]功能-行军令'!T15+T$2*[1]节奏总纲!BK15)</f>
        <v>932.06141709909025</v>
      </c>
      <c r="U16" s="31">
        <f>$W$1*('[1]功能-行军令'!U15+U$2*[1]节奏总纲!BL15)</f>
        <v>1248.4435491335844</v>
      </c>
      <c r="V16" s="31">
        <f>$W$1*('[1]功能-行军令'!V15+V$2*[1]节奏总纲!BM15)</f>
        <v>1584.0157322542689</v>
      </c>
      <c r="W16" s="31">
        <f>$W$1*('[1]功能-行军令'!W15+W$2*[1]节奏总纲!BN15)</f>
        <v>2170.7338576078</v>
      </c>
      <c r="X16" s="57">
        <f>S16*'[1]功能-付费相关'!AH17</f>
        <v>14.764578400744918</v>
      </c>
      <c r="Y16" s="57">
        <f>T16*'[1]功能-付费相关'!AI17</f>
        <v>21.675906171808407</v>
      </c>
      <c r="Z16" s="57">
        <f>U16*'[1]功能-付费相关'!AJ17</f>
        <v>29.033650288886598</v>
      </c>
      <c r="AA16" s="57">
        <f>V16*'[1]功能-付费相关'!AK17</f>
        <v>36.83767588392908</v>
      </c>
      <c r="AB16" s="57">
        <f>W16*'[1]功能-付费相关'!AL17</f>
        <v>50.482320755126892</v>
      </c>
      <c r="AC16" s="57"/>
    </row>
    <row r="17" spans="3:29" x14ac:dyDescent="0.15">
      <c r="C17" s="31">
        <v>13</v>
      </c>
      <c r="D17" s="31" t="e">
        <f>求节点([2]兵营招募!F$28:F$47,[2]兵营招募!$J$4:$J$23,节奏总纲!P16)*(1+[1]养成buff汇总!AA18)</f>
        <v>#VALUE!</v>
      </c>
      <c r="E17" s="31" t="e">
        <f>求节点([2]兵营招募!G$28:G$47,[2]兵营招募!$J$4:$J$23,节奏总纲!Q16)*(1+[1]养成buff汇总!AB18)</f>
        <v>#VALUE!</v>
      </c>
      <c r="F17" s="31" t="e">
        <f>求节点([2]兵营招募!H$28:H$47,[2]兵营招募!$J$4:$J$23,节奏总纲!R16)*(1+[1]养成buff汇总!AC18)</f>
        <v>#VALUE!</v>
      </c>
      <c r="G17" s="31" t="e">
        <f>求节点([2]兵营招募!I$28:I$47,[2]兵营招募!$J$4:$J$23,节奏总纲!S16)*(1+[1]养成buff汇总!AD18)</f>
        <v>#VALUE!</v>
      </c>
      <c r="H17" s="31" t="e">
        <f>求节点([2]兵营招募!J$28:J$47,[2]兵营招募!$J$4:$J$23,节奏总纲!T16)*(1+[1]养成buff汇总!AE18)</f>
        <v>#VALUE!</v>
      </c>
      <c r="I17" s="31" t="e">
        <f>100%*D17*'[1]功能-付费相关'!CJ18*节奏总纲!W16</f>
        <v>#VALUE!</v>
      </c>
      <c r="J17" s="31" t="e">
        <f>100%*E17*'[1]功能-付费相关'!CK18*节奏总纲!X16</f>
        <v>#VALUE!</v>
      </c>
      <c r="K17" s="31" t="e">
        <f>100%*F17*'[1]功能-付费相关'!CL18*节奏总纲!Y16</f>
        <v>#VALUE!</v>
      </c>
      <c r="L17" s="31" t="e">
        <f>100%*G17*'[1]功能-付费相关'!CM18*节奏总纲!Z16</f>
        <v>#VALUE!</v>
      </c>
      <c r="M17" s="31" t="e">
        <f>100%*H17*'[1]功能-付费相关'!CN18*节奏总纲!AA16</f>
        <v>#VALUE!</v>
      </c>
      <c r="N17" s="31" t="e">
        <f>D17*20%*'[1]功能-付费相关'!CJ18</f>
        <v>#VALUE!</v>
      </c>
      <c r="O17" s="31" t="e">
        <f>E17*20%*'[1]功能-付费相关'!CK18</f>
        <v>#VALUE!</v>
      </c>
      <c r="P17" s="31" t="e">
        <f>F17*20%*'[1]功能-付费相关'!CL18</f>
        <v>#VALUE!</v>
      </c>
      <c r="Q17" s="31" t="e">
        <f>G17*20%*'[1]功能-付费相关'!CM18</f>
        <v>#VALUE!</v>
      </c>
      <c r="R17" s="31" t="e">
        <f>H17*20%*'[1]功能-付费相关'!CN18</f>
        <v>#VALUE!</v>
      </c>
      <c r="S17" s="31">
        <f>$W$1*('[1]功能-行军令'!S16+S$2*[1]节奏总纲!BJ16)</f>
        <v>658.36741402676853</v>
      </c>
      <c r="T17" s="31">
        <f>$W$1*('[1]功能-行军令'!T16+T$2*[1]节奏总纲!BK16)</f>
        <v>976.44818439949017</v>
      </c>
      <c r="U17" s="31">
        <f>$W$1*('[1]功能-行军令'!U16+U$2*[1]节奏总纲!BL16)</f>
        <v>1299.1016242839778</v>
      </c>
      <c r="V17" s="31">
        <f>$W$1*('[1]功能-行军令'!V16+V$2*[1]节奏总纲!BM16)</f>
        <v>1636.3491132975073</v>
      </c>
      <c r="W17" s="31">
        <f>$W$1*('[1]功能-行军令'!W16+W$2*[1]节奏总纲!BN16)</f>
        <v>2237.2766103022395</v>
      </c>
      <c r="X17" s="57">
        <f>S17*'[1]功能-付费相关'!AH18</f>
        <v>14.858406120413434</v>
      </c>
      <c r="Y17" s="57">
        <f>T17*'[1]功能-付费相关'!AI18</f>
        <v>22.037031861297546</v>
      </c>
      <c r="Z17" s="57">
        <f>U17*'[1]功能-付费相关'!AJ18</f>
        <v>29.318856179773299</v>
      </c>
      <c r="AA17" s="57">
        <f>V17*'[1]功能-付费相关'!AK18</f>
        <v>36.930047207901779</v>
      </c>
      <c r="AB17" s="57">
        <f>W17*'[1]功能-付费相关'!AL18</f>
        <v>50.492116971969423</v>
      </c>
      <c r="AC17" s="57"/>
    </row>
    <row r="18" spans="3:29" x14ac:dyDescent="0.15">
      <c r="C18" s="31">
        <v>14</v>
      </c>
      <c r="D18" s="31" t="e">
        <f>求节点([2]兵营招募!F$28:F$47,[2]兵营招募!$J$4:$J$23,节奏总纲!P17)*(1+[1]养成buff汇总!AA19)</f>
        <v>#VALUE!</v>
      </c>
      <c r="E18" s="31" t="e">
        <f>求节点([2]兵营招募!G$28:G$47,[2]兵营招募!$J$4:$J$23,节奏总纲!Q17)*(1+[1]养成buff汇总!AB19)</f>
        <v>#VALUE!</v>
      </c>
      <c r="F18" s="31" t="e">
        <f>求节点([2]兵营招募!H$28:H$47,[2]兵营招募!$J$4:$J$23,节奏总纲!R17)*(1+[1]养成buff汇总!AC19)</f>
        <v>#VALUE!</v>
      </c>
      <c r="G18" s="31" t="e">
        <f>求节点([2]兵营招募!I$28:I$47,[2]兵营招募!$J$4:$J$23,节奏总纲!S17)*(1+[1]养成buff汇总!AD19)</f>
        <v>#VALUE!</v>
      </c>
      <c r="H18" s="31" t="e">
        <f>求节点([2]兵营招募!J$28:J$47,[2]兵营招募!$J$4:$J$23,节奏总纲!T17)*(1+[1]养成buff汇总!AE19)</f>
        <v>#VALUE!</v>
      </c>
      <c r="I18" s="31" t="e">
        <f>100%*D18*'[1]功能-付费相关'!CJ19*节奏总纲!W17</f>
        <v>#VALUE!</v>
      </c>
      <c r="J18" s="31" t="e">
        <f>100%*E18*'[1]功能-付费相关'!CK19*节奏总纲!X17</f>
        <v>#VALUE!</v>
      </c>
      <c r="K18" s="31" t="e">
        <f>100%*F18*'[1]功能-付费相关'!CL19*节奏总纲!Y17</f>
        <v>#VALUE!</v>
      </c>
      <c r="L18" s="31" t="e">
        <f>100%*G18*'[1]功能-付费相关'!CM19*节奏总纲!Z17</f>
        <v>#VALUE!</v>
      </c>
      <c r="M18" s="31" t="e">
        <f>100%*H18*'[1]功能-付费相关'!CN19*节奏总纲!AA17</f>
        <v>#VALUE!</v>
      </c>
      <c r="N18" s="31" t="e">
        <f>D18*20%*'[1]功能-付费相关'!CJ19</f>
        <v>#VALUE!</v>
      </c>
      <c r="O18" s="31" t="e">
        <f>E18*20%*'[1]功能-付费相关'!CK19</f>
        <v>#VALUE!</v>
      </c>
      <c r="P18" s="31" t="e">
        <f>F18*20%*'[1]功能-付费相关'!CL19</f>
        <v>#VALUE!</v>
      </c>
      <c r="Q18" s="31" t="e">
        <f>G18*20%*'[1]功能-付费相关'!CM19</f>
        <v>#VALUE!</v>
      </c>
      <c r="R18" s="31" t="e">
        <f>H18*20%*'[1]功能-付费相关'!CN19</f>
        <v>#VALUE!</v>
      </c>
      <c r="S18" s="31">
        <f>$W$1*('[1]功能-行军令'!S17+S$2*[1]节奏总纲!BJ17)</f>
        <v>682.58883526747945</v>
      </c>
      <c r="T18" s="31">
        <f>$W$1*('[1]功能-行军令'!T17+T$2*[1]节奏总纲!BK17)</f>
        <v>997.69681057423077</v>
      </c>
      <c r="U18" s="31">
        <f>$W$1*('[1]功能-行军令'!U17+U$2*[1]节奏总纲!BL17)</f>
        <v>1330.0299674871253</v>
      </c>
      <c r="V18" s="31">
        <f>$W$1*('[1]功能-行军令'!V17+V$2*[1]节奏总纲!BM17)</f>
        <v>1668.4203804824776</v>
      </c>
      <c r="W18" s="31">
        <f>$W$1*('[1]功能-行军令'!W17+W$2*[1]节奏总纲!BN17)</f>
        <v>2285.8662327574884</v>
      </c>
      <c r="X18" s="57">
        <f>S18*'[1]功能-付费相关'!AH19</f>
        <v>14.949760781792037</v>
      </c>
      <c r="Y18" s="57">
        <f>T18*'[1]功能-付费相关'!AI19</f>
        <v>21.851117217580786</v>
      </c>
      <c r="Z18" s="57">
        <f>U18*'[1]功能-付费相关'!AJ19</f>
        <v>29.129732013204642</v>
      </c>
      <c r="AA18" s="57">
        <f>V18*'[1]功能-付费相关'!AK19</f>
        <v>36.541010170354639</v>
      </c>
      <c r="AB18" s="57">
        <f>W18*'[1]功能-付费相关'!AL19</f>
        <v>50.064037958531081</v>
      </c>
      <c r="AC18" s="57"/>
    </row>
    <row r="19" spans="3:29" x14ac:dyDescent="0.15">
      <c r="C19" s="31">
        <v>15</v>
      </c>
      <c r="D19" s="31" t="e">
        <f>求节点([2]兵营招募!F$28:F$47,[2]兵营招募!$J$4:$J$23,节奏总纲!P18)*(1+[1]养成buff汇总!AA20)</f>
        <v>#VALUE!</v>
      </c>
      <c r="E19" s="31" t="e">
        <f>求节点([2]兵营招募!G$28:G$47,[2]兵营招募!$J$4:$J$23,节奏总纲!Q18)*(1+[1]养成buff汇总!AB20)</f>
        <v>#VALUE!</v>
      </c>
      <c r="F19" s="31" t="e">
        <f>求节点([2]兵营招募!H$28:H$47,[2]兵营招募!$J$4:$J$23,节奏总纲!R18)*(1+[1]养成buff汇总!AC20)</f>
        <v>#VALUE!</v>
      </c>
      <c r="G19" s="31" t="e">
        <f>求节点([2]兵营招募!I$28:I$47,[2]兵营招募!$J$4:$J$23,节奏总纲!S18)*(1+[1]养成buff汇总!AD20)</f>
        <v>#VALUE!</v>
      </c>
      <c r="H19" s="31" t="e">
        <f>求节点([2]兵营招募!J$28:J$47,[2]兵营招募!$J$4:$J$23,节奏总纲!T18)*(1+[1]养成buff汇总!AE20)</f>
        <v>#VALUE!</v>
      </c>
      <c r="I19" s="31" t="e">
        <f>100%*D19*'[1]功能-付费相关'!CJ20*节奏总纲!W18</f>
        <v>#VALUE!</v>
      </c>
      <c r="J19" s="31" t="e">
        <f>100%*E19*'[1]功能-付费相关'!CK20*节奏总纲!X18</f>
        <v>#VALUE!</v>
      </c>
      <c r="K19" s="31" t="e">
        <f>100%*F19*'[1]功能-付费相关'!CL20*节奏总纲!Y18</f>
        <v>#VALUE!</v>
      </c>
      <c r="L19" s="31" t="e">
        <f>100%*G19*'[1]功能-付费相关'!CM20*节奏总纲!Z18</f>
        <v>#VALUE!</v>
      </c>
      <c r="M19" s="31" t="e">
        <f>100%*H19*'[1]功能-付费相关'!CN20*节奏总纲!AA18</f>
        <v>#VALUE!</v>
      </c>
      <c r="N19" s="31" t="e">
        <f>D19*20%*'[1]功能-付费相关'!CJ20</f>
        <v>#VALUE!</v>
      </c>
      <c r="O19" s="31" t="e">
        <f>E19*20%*'[1]功能-付费相关'!CK20</f>
        <v>#VALUE!</v>
      </c>
      <c r="P19" s="31" t="e">
        <f>F19*20%*'[1]功能-付费相关'!CL20</f>
        <v>#VALUE!</v>
      </c>
      <c r="Q19" s="31" t="e">
        <f>G19*20%*'[1]功能-付费相关'!CM20</f>
        <v>#VALUE!</v>
      </c>
      <c r="R19" s="31" t="e">
        <f>H19*20%*'[1]功能-付费相关'!CN20</f>
        <v>#VALUE!</v>
      </c>
      <c r="S19" s="31">
        <f>$W$1*('[1]功能-行军令'!S18+S$2*[1]节奏总纲!BJ18)</f>
        <v>707.59173227770304</v>
      </c>
      <c r="T19" s="31">
        <f>$W$1*('[1]功能-行军令'!T18+T$2*[1]节奏总纲!BK18)</f>
        <v>1038.0972337251721</v>
      </c>
      <c r="U19" s="31">
        <f>$W$1*('[1]功能-行军令'!U18+U$2*[1]节奏总纲!BL18)</f>
        <v>1382.4783635510105</v>
      </c>
      <c r="V19" s="31">
        <f>$W$1*('[1]功能-行军令'!V18+V$2*[1]节奏总纲!BM18)</f>
        <v>1731.9610439623543</v>
      </c>
      <c r="W19" s="31">
        <f>$W$1*('[1]功能-行军令'!W18+W$2*[1]节奏总纲!BN18)</f>
        <v>2361.6072001475513</v>
      </c>
      <c r="X19" s="57">
        <f>S19*'[1]功能-付费相关'!AH20</f>
        <v>15.039346945169347</v>
      </c>
      <c r="Y19" s="57">
        <f>T19*'[1]功能-付费相关'!AI20</f>
        <v>22.064000678128583</v>
      </c>
      <c r="Z19" s="57">
        <f>U19*'[1]功能-付费相关'!AJ20</f>
        <v>29.38357078693749</v>
      </c>
      <c r="AA19" s="57">
        <f>V19*'[1]功能-付费相关'!AK20</f>
        <v>36.811570638087758</v>
      </c>
      <c r="AB19" s="57">
        <f>W19*'[1]功能-付费相关'!AL20</f>
        <v>50.194241129558478</v>
      </c>
      <c r="AC19" s="57"/>
    </row>
    <row r="20" spans="3:29" x14ac:dyDescent="0.15">
      <c r="C20" s="31">
        <v>16</v>
      </c>
      <c r="D20" s="31" t="e">
        <f>求节点([2]兵营招募!F$28:F$47,[2]兵营招募!$J$4:$J$23,节奏总纲!P19)*(1+[1]养成buff汇总!AA21)</f>
        <v>#VALUE!</v>
      </c>
      <c r="E20" s="31" t="e">
        <f>求节点([2]兵营招募!G$28:G$47,[2]兵营招募!$J$4:$J$23,节奏总纲!Q19)*(1+[1]养成buff汇总!AB21)</f>
        <v>#VALUE!</v>
      </c>
      <c r="F20" s="31" t="e">
        <f>求节点([2]兵营招募!H$28:H$47,[2]兵营招募!$J$4:$J$23,节奏总纲!R19)*(1+[1]养成buff汇总!AC21)</f>
        <v>#VALUE!</v>
      </c>
      <c r="G20" s="31" t="e">
        <f>求节点([2]兵营招募!I$28:I$47,[2]兵营招募!$J$4:$J$23,节奏总纲!S19)*(1+[1]养成buff汇总!AD21)</f>
        <v>#VALUE!</v>
      </c>
      <c r="H20" s="31" t="e">
        <f>求节点([2]兵营招募!J$28:J$47,[2]兵营招募!$J$4:$J$23,节奏总纲!T19)*(1+[1]养成buff汇总!AE21)</f>
        <v>#VALUE!</v>
      </c>
      <c r="I20" s="31" t="e">
        <f>100%*D20*'[1]功能-付费相关'!CJ21*节奏总纲!W19</f>
        <v>#VALUE!</v>
      </c>
      <c r="J20" s="31" t="e">
        <f>100%*E20*'[1]功能-付费相关'!CK21*节奏总纲!X19</f>
        <v>#VALUE!</v>
      </c>
      <c r="K20" s="31" t="e">
        <f>100%*F20*'[1]功能-付费相关'!CL21*节奏总纲!Y19</f>
        <v>#VALUE!</v>
      </c>
      <c r="L20" s="31" t="e">
        <f>100%*G20*'[1]功能-付费相关'!CM21*节奏总纲!Z19</f>
        <v>#VALUE!</v>
      </c>
      <c r="M20" s="31" t="e">
        <f>100%*H20*'[1]功能-付费相关'!CN21*节奏总纲!AA19</f>
        <v>#VALUE!</v>
      </c>
      <c r="N20" s="31" t="e">
        <f>D20*20%*'[1]功能-付费相关'!CJ21</f>
        <v>#VALUE!</v>
      </c>
      <c r="O20" s="31" t="e">
        <f>E20*20%*'[1]功能-付费相关'!CK21</f>
        <v>#VALUE!</v>
      </c>
      <c r="P20" s="31" t="e">
        <f>F20*20%*'[1]功能-付费相关'!CL21</f>
        <v>#VALUE!</v>
      </c>
      <c r="Q20" s="31" t="e">
        <f>G20*20%*'[1]功能-付费相关'!CM21</f>
        <v>#VALUE!</v>
      </c>
      <c r="R20" s="31" t="e">
        <f>H20*20%*'[1]功能-付费相关'!CN21</f>
        <v>#VALUE!</v>
      </c>
      <c r="S20" s="31">
        <f>$W$1*('[1]功能-行军令'!S19+S$2*[1]节奏总纲!BJ19)</f>
        <v>733.43219427930478</v>
      </c>
      <c r="T20" s="31">
        <f>$W$1*('[1]功能-行军令'!T19+T$2*[1]节奏总纲!BK19)</f>
        <v>1076.5498592864624</v>
      </c>
      <c r="U20" s="31">
        <f>$W$1*('[1]功能-行军令'!U19+U$2*[1]节奏总纲!BL19)</f>
        <v>1426.4714856276732</v>
      </c>
      <c r="V20" s="31">
        <f>$W$1*('[1]功能-行军令'!V19+V$2*[1]节奏总纲!BM19)</f>
        <v>1790.5254270265984</v>
      </c>
      <c r="W20" s="31">
        <f>$W$1*('[1]功能-行军令'!W19+W$2*[1]节奏总纲!BN19)</f>
        <v>2434.9777722199747</v>
      </c>
      <c r="X20" s="57">
        <f>S20*'[1]功能-付费相关'!AH21</f>
        <v>15.127855361198954</v>
      </c>
      <c r="Y20" s="57">
        <f>T20*'[1]功能-付费相关'!AI21</f>
        <v>22.205039112590025</v>
      </c>
      <c r="Z20" s="57">
        <f>U20*'[1]功能-付费相关'!AJ21</f>
        <v>29.422562139714543</v>
      </c>
      <c r="AA20" s="57">
        <f>V20*'[1]功能-付费相关'!AK21</f>
        <v>36.931579895021905</v>
      </c>
      <c r="AB20" s="57">
        <f>W20*'[1]功能-付费相关'!AL21</f>
        <v>50.224126828894548</v>
      </c>
      <c r="AC20" s="57"/>
    </row>
    <row r="21" spans="3:29" x14ac:dyDescent="0.15">
      <c r="C21" s="31">
        <v>17</v>
      </c>
      <c r="D21" s="31" t="e">
        <f>求节点([2]兵营招募!F$28:F$47,[2]兵营招募!$J$4:$J$23,节奏总纲!P20)*(1+[1]养成buff汇总!AA22)</f>
        <v>#VALUE!</v>
      </c>
      <c r="E21" s="31" t="e">
        <f>求节点([2]兵营招募!G$28:G$47,[2]兵营招募!$J$4:$J$23,节奏总纲!Q20)*(1+[1]养成buff汇总!AB22)</f>
        <v>#VALUE!</v>
      </c>
      <c r="F21" s="31" t="e">
        <f>求节点([2]兵营招募!H$28:H$47,[2]兵营招募!$J$4:$J$23,节奏总纲!R20)*(1+[1]养成buff汇总!AC22)</f>
        <v>#VALUE!</v>
      </c>
      <c r="G21" s="31" t="e">
        <f>求节点([2]兵营招募!I$28:I$47,[2]兵营招募!$J$4:$J$23,节奏总纲!S20)*(1+[1]养成buff汇总!AD22)</f>
        <v>#VALUE!</v>
      </c>
      <c r="H21" s="31" t="e">
        <f>求节点([2]兵营招募!J$28:J$47,[2]兵营招募!$J$4:$J$23,节奏总纲!T20)*(1+[1]养成buff汇总!AE22)</f>
        <v>#VALUE!</v>
      </c>
      <c r="I21" s="31" t="e">
        <f>100%*D21*'[1]功能-付费相关'!CJ22*节奏总纲!W20</f>
        <v>#VALUE!</v>
      </c>
      <c r="J21" s="31" t="e">
        <f>100%*E21*'[1]功能-付费相关'!CK22*节奏总纲!X20</f>
        <v>#VALUE!</v>
      </c>
      <c r="K21" s="31" t="e">
        <f>100%*F21*'[1]功能-付费相关'!CL22*节奏总纲!Y20</f>
        <v>#VALUE!</v>
      </c>
      <c r="L21" s="31" t="e">
        <f>100%*G21*'[1]功能-付费相关'!CM22*节奏总纲!Z20</f>
        <v>#VALUE!</v>
      </c>
      <c r="M21" s="31" t="e">
        <f>100%*H21*'[1]功能-付费相关'!CN22*节奏总纲!AA20</f>
        <v>#VALUE!</v>
      </c>
      <c r="N21" s="31" t="e">
        <f>D21*20%*'[1]功能-付费相关'!CJ22</f>
        <v>#VALUE!</v>
      </c>
      <c r="O21" s="31" t="e">
        <f>E21*20%*'[1]功能-付费相关'!CK22</f>
        <v>#VALUE!</v>
      </c>
      <c r="P21" s="31" t="e">
        <f>F21*20%*'[1]功能-付费相关'!CL22</f>
        <v>#VALUE!</v>
      </c>
      <c r="Q21" s="31" t="e">
        <f>G21*20%*'[1]功能-付费相关'!CM22</f>
        <v>#VALUE!</v>
      </c>
      <c r="R21" s="31" t="e">
        <f>H21*20%*'[1]功能-付费相关'!CN22</f>
        <v>#VALUE!</v>
      </c>
      <c r="S21" s="31">
        <f>$W$1*('[1]功能-行军令'!S20+S$2*[1]节奏总纲!BJ20)</f>
        <v>760.17033621181497</v>
      </c>
      <c r="T21" s="31">
        <f>$W$1*('[1]功能-行军令'!T20+T$2*[1]节奏总纲!BK20)</f>
        <v>1104.3750761428503</v>
      </c>
      <c r="U21" s="31">
        <f>$W$1*('[1]功能-行军令'!U20+U$2*[1]节奏总纲!BL20)</f>
        <v>1461.3279889118305</v>
      </c>
      <c r="V21" s="31">
        <f>$W$1*('[1]功能-行军令'!V20+V$2*[1]节奏总纲!BM20)</f>
        <v>1827.4982801960084</v>
      </c>
      <c r="W21" s="31">
        <f>$W$1*('[1]功能-行军令'!W20+W$2*[1]节奏总纲!BN20)</f>
        <v>2472.5345254787671</v>
      </c>
      <c r="X21" s="57">
        <f>S21*'[1]功能-付费相关'!AH22</f>
        <v>15.215964201314288</v>
      </c>
      <c r="Y21" s="57">
        <f>T21*'[1]功能-付费相关'!AI22</f>
        <v>22.10574501914137</v>
      </c>
      <c r="Z21" s="57">
        <f>U21*'[1]功能-付费相关'!AJ22</f>
        <v>29.250699884539138</v>
      </c>
      <c r="AA21" s="57">
        <f>V21*'[1]功能-付费相关'!AK22</f>
        <v>36.580154584824086</v>
      </c>
      <c r="AB21" s="57">
        <f>W21*'[1]功能-付费相关'!AL22</f>
        <v>49.491535033689452</v>
      </c>
      <c r="AC21" s="57"/>
    </row>
    <row r="22" spans="3:29" x14ac:dyDescent="0.15">
      <c r="C22" s="31">
        <v>18</v>
      </c>
      <c r="D22" s="31" t="e">
        <f>求节点([2]兵营招募!F$28:F$47,[2]兵营招募!$J$4:$J$23,节奏总纲!P21)*(1+[1]养成buff汇总!AA23)</f>
        <v>#VALUE!</v>
      </c>
      <c r="E22" s="31" t="e">
        <f>求节点([2]兵营招募!G$28:G$47,[2]兵营招募!$J$4:$J$23,节奏总纲!Q21)*(1+[1]养成buff汇总!AB23)</f>
        <v>#VALUE!</v>
      </c>
      <c r="F22" s="31" t="e">
        <f>求节点([2]兵营招募!H$28:H$47,[2]兵营招募!$J$4:$J$23,节奏总纲!R21)*(1+[1]养成buff汇总!AC23)</f>
        <v>#VALUE!</v>
      </c>
      <c r="G22" s="31" t="e">
        <f>求节点([2]兵营招募!I$28:I$47,[2]兵营招募!$J$4:$J$23,节奏总纲!S21)*(1+[1]养成buff汇总!AD23)</f>
        <v>#VALUE!</v>
      </c>
      <c r="H22" s="31" t="e">
        <f>求节点([2]兵营招募!J$28:J$47,[2]兵营招募!$J$4:$J$23,节奏总纲!T21)*(1+[1]养成buff汇总!AE23)</f>
        <v>#VALUE!</v>
      </c>
      <c r="I22" s="31" t="e">
        <f>100%*D22*'[1]功能-付费相关'!CJ23*节奏总纲!W21</f>
        <v>#VALUE!</v>
      </c>
      <c r="J22" s="31" t="e">
        <f>100%*E22*'[1]功能-付费相关'!CK23*节奏总纲!X21</f>
        <v>#VALUE!</v>
      </c>
      <c r="K22" s="31" t="e">
        <f>100%*F22*'[1]功能-付费相关'!CL23*节奏总纲!Y21</f>
        <v>#VALUE!</v>
      </c>
      <c r="L22" s="31" t="e">
        <f>100%*G22*'[1]功能-付费相关'!CM23*节奏总纲!Z21</f>
        <v>#VALUE!</v>
      </c>
      <c r="M22" s="31" t="e">
        <f>100%*H22*'[1]功能-付费相关'!CN23*节奏总纲!AA21</f>
        <v>#VALUE!</v>
      </c>
      <c r="N22" s="31" t="e">
        <f>D22*20%*'[1]功能-付费相关'!CJ23</f>
        <v>#VALUE!</v>
      </c>
      <c r="O22" s="31" t="e">
        <f>E22*20%*'[1]功能-付费相关'!CK23</f>
        <v>#VALUE!</v>
      </c>
      <c r="P22" s="31" t="e">
        <f>F22*20%*'[1]功能-付费相关'!CL23</f>
        <v>#VALUE!</v>
      </c>
      <c r="Q22" s="31" t="e">
        <f>G22*20%*'[1]功能-付费相关'!CM23</f>
        <v>#VALUE!</v>
      </c>
      <c r="R22" s="31" t="e">
        <f>H22*20%*'[1]功能-付费相关'!CN23</f>
        <v>#VALUE!</v>
      </c>
      <c r="S22" s="31">
        <f>$W$1*('[1]功能-行军令'!S21+S$2*[1]节奏总纲!BJ21)</f>
        <v>787.87058767212397</v>
      </c>
      <c r="T22" s="31">
        <f>$W$1*('[1]功能-行军令'!T21+T$2*[1]节奏总纲!BK21)</f>
        <v>1156.1929985948041</v>
      </c>
      <c r="U22" s="31">
        <f>$W$1*('[1]功能-行军令'!U21+U$2*[1]节奏总纲!BL21)</f>
        <v>1540.4567266650388</v>
      </c>
      <c r="V22" s="31">
        <f>$W$1*('[1]功能-行军令'!V21+V$2*[1]节奏总纲!BM21)</f>
        <v>1906.7921247434724</v>
      </c>
      <c r="W22" s="31">
        <f>$W$1*('[1]功能-行军令'!W21+W$2*[1]节奏总纲!BN21)</f>
        <v>2557.2167900967584</v>
      </c>
      <c r="X22" s="57">
        <f>S22*'[1]功能-付费相关'!AH23</f>
        <v>15.304340268759949</v>
      </c>
      <c r="Y22" s="57">
        <f>T22*'[1]功能-付费相关'!AI23</f>
        <v>22.458981644605494</v>
      </c>
      <c r="Z22" s="57">
        <f>U22*'[1]功能-付费相关'!AJ23</f>
        <v>29.923282177393602</v>
      </c>
      <c r="AA22" s="57">
        <f>V22*'[1]功能-付费相关'!AK23</f>
        <v>37.039325944491502</v>
      </c>
      <c r="AB22" s="57">
        <f>W22*'[1]功能-付费相关'!AL23</f>
        <v>49.673787179010318</v>
      </c>
      <c r="AC22" s="57"/>
    </row>
    <row r="23" spans="3:29" x14ac:dyDescent="0.15">
      <c r="C23" s="31">
        <v>19</v>
      </c>
      <c r="D23" s="31" t="e">
        <f>求节点([2]兵营招募!F$28:F$47,[2]兵营招募!$J$4:$J$23,节奏总纲!P22)*(1+[1]养成buff汇总!AA24)</f>
        <v>#VALUE!</v>
      </c>
      <c r="E23" s="31" t="e">
        <f>求节点([2]兵营招募!G$28:G$47,[2]兵营招募!$J$4:$J$23,节奏总纲!Q22)*(1+[1]养成buff汇总!AB24)</f>
        <v>#VALUE!</v>
      </c>
      <c r="F23" s="31" t="e">
        <f>求节点([2]兵营招募!H$28:H$47,[2]兵营招募!$J$4:$J$23,节奏总纲!R22)*(1+[1]养成buff汇总!AC24)</f>
        <v>#VALUE!</v>
      </c>
      <c r="G23" s="31" t="e">
        <f>求节点([2]兵营招募!I$28:I$47,[2]兵营招募!$J$4:$J$23,节奏总纲!S22)*(1+[1]养成buff汇总!AD24)</f>
        <v>#VALUE!</v>
      </c>
      <c r="H23" s="31" t="e">
        <f>求节点([2]兵营招募!J$28:J$47,[2]兵营招募!$J$4:$J$23,节奏总纲!T22)*(1+[1]养成buff汇总!AE24)</f>
        <v>#VALUE!</v>
      </c>
      <c r="I23" s="31" t="e">
        <f>100%*D23*'[1]功能-付费相关'!CJ24*节奏总纲!W22</f>
        <v>#VALUE!</v>
      </c>
      <c r="J23" s="31" t="e">
        <f>100%*E23*'[1]功能-付费相关'!CK24*节奏总纲!X22</f>
        <v>#VALUE!</v>
      </c>
      <c r="K23" s="31" t="e">
        <f>100%*F23*'[1]功能-付费相关'!CL24*节奏总纲!Y22</f>
        <v>#VALUE!</v>
      </c>
      <c r="L23" s="31" t="e">
        <f>100%*G23*'[1]功能-付费相关'!CM24*节奏总纲!Z22</f>
        <v>#VALUE!</v>
      </c>
      <c r="M23" s="31" t="e">
        <f>100%*H23*'[1]功能-付费相关'!CN24*节奏总纲!AA22</f>
        <v>#VALUE!</v>
      </c>
      <c r="N23" s="31" t="e">
        <f>D23*20%*'[1]功能-付费相关'!CJ24</f>
        <v>#VALUE!</v>
      </c>
      <c r="O23" s="31" t="e">
        <f>E23*20%*'[1]功能-付费相关'!CK24</f>
        <v>#VALUE!</v>
      </c>
      <c r="P23" s="31" t="e">
        <f>F23*20%*'[1]功能-付费相关'!CL24</f>
        <v>#VALUE!</v>
      </c>
      <c r="Q23" s="31" t="e">
        <f>G23*20%*'[1]功能-付费相关'!CM24</f>
        <v>#VALUE!</v>
      </c>
      <c r="R23" s="31" t="e">
        <f>H23*20%*'[1]功能-付费相关'!CN24</f>
        <v>#VALUE!</v>
      </c>
      <c r="S23" s="31">
        <f>$W$1*('[1]功能-行军令'!S22+S$2*[1]节奏总纲!BJ22)</f>
        <v>816.60200259238184</v>
      </c>
      <c r="T23" s="31">
        <f>$W$1*('[1]功能-行军令'!T22+T$2*[1]节奏总纲!BK22)</f>
        <v>1194.8523687485822</v>
      </c>
      <c r="U23" s="31">
        <f>$W$1*('[1]功能-行军令'!U22+U$2*[1]节奏总纲!BL22)</f>
        <v>1574.8821352830196</v>
      </c>
      <c r="V23" s="31">
        <f>$W$1*('[1]功能-行军令'!V22+V$2*[1]节奏总纲!BM22)</f>
        <v>1945.833877786514</v>
      </c>
      <c r="W23" s="31">
        <f>$W$1*('[1]功能-行军令'!W22+W$2*[1]节奏总纲!BN22)</f>
        <v>2622.934465279352</v>
      </c>
      <c r="X23" s="57">
        <f>S23*'[1]功能-付费相关'!AH24</f>
        <v>15.393640191965909</v>
      </c>
      <c r="Y23" s="57">
        <f>T23*'[1]功能-付费相关'!AI24</f>
        <v>22.523980333924101</v>
      </c>
      <c r="Z23" s="57">
        <f>U23*'[1]功能-付费相关'!AJ24</f>
        <v>29.68786368186645</v>
      </c>
      <c r="AA23" s="57">
        <f>V23*'[1]功能-付费相关'!AK24</f>
        <v>36.680618579054659</v>
      </c>
      <c r="AB23" s="57">
        <f>W23*'[1]功能-付费相关'!AL24</f>
        <v>49.444538805241379</v>
      </c>
      <c r="AC23" s="57"/>
    </row>
    <row r="24" spans="3:29" x14ac:dyDescent="0.15">
      <c r="C24" s="31">
        <v>20</v>
      </c>
      <c r="D24" s="31" t="e">
        <f>求节点([2]兵营招募!F$28:F$47,[2]兵营招募!$J$4:$J$23,节奏总纲!P23)*(1+[1]养成buff汇总!AA25)</f>
        <v>#VALUE!</v>
      </c>
      <c r="E24" s="31" t="e">
        <f>求节点([2]兵营招募!G$28:G$47,[2]兵营招募!$J$4:$J$23,节奏总纲!Q23)*(1+[1]养成buff汇总!AB25)</f>
        <v>#VALUE!</v>
      </c>
      <c r="F24" s="31" t="e">
        <f>求节点([2]兵营招募!H$28:H$47,[2]兵营招募!$J$4:$J$23,节奏总纲!R23)*(1+[1]养成buff汇总!AC25)</f>
        <v>#VALUE!</v>
      </c>
      <c r="G24" s="31" t="e">
        <f>求节点([2]兵营招募!I$28:I$47,[2]兵营招募!$J$4:$J$23,节奏总纲!S23)*(1+[1]养成buff汇总!AD25)</f>
        <v>#VALUE!</v>
      </c>
      <c r="H24" s="31" t="e">
        <f>求节点([2]兵营招募!J$28:J$47,[2]兵营招募!$J$4:$J$23,节奏总纲!T23)*(1+[1]养成buff汇总!AE25)</f>
        <v>#VALUE!</v>
      </c>
      <c r="I24" s="31" t="e">
        <f>100%*D24*'[1]功能-付费相关'!CJ25*节奏总纲!W23</f>
        <v>#VALUE!</v>
      </c>
      <c r="J24" s="31" t="e">
        <f>100%*E24*'[1]功能-付费相关'!CK25*节奏总纲!X23</f>
        <v>#VALUE!</v>
      </c>
      <c r="K24" s="31" t="e">
        <f>100%*F24*'[1]功能-付费相关'!CL25*节奏总纲!Y23</f>
        <v>#VALUE!</v>
      </c>
      <c r="L24" s="31" t="e">
        <f>100%*G24*'[1]功能-付费相关'!CM25*节奏总纲!Z23</f>
        <v>#VALUE!</v>
      </c>
      <c r="M24" s="31" t="e">
        <f>100%*H24*'[1]功能-付费相关'!CN25*节奏总纲!AA23</f>
        <v>#VALUE!</v>
      </c>
      <c r="N24" s="31" t="e">
        <f>D24*20%*'[1]功能-付费相关'!CJ25</f>
        <v>#VALUE!</v>
      </c>
      <c r="O24" s="31" t="e">
        <f>E24*20%*'[1]功能-付费相关'!CK25</f>
        <v>#VALUE!</v>
      </c>
      <c r="P24" s="31" t="e">
        <f>F24*20%*'[1]功能-付费相关'!CL25</f>
        <v>#VALUE!</v>
      </c>
      <c r="Q24" s="31" t="e">
        <f>G24*20%*'[1]功能-付费相关'!CM25</f>
        <v>#VALUE!</v>
      </c>
      <c r="R24" s="31" t="e">
        <f>H24*20%*'[1]功能-付费相关'!CN25</f>
        <v>#VALUE!</v>
      </c>
      <c r="S24" s="31">
        <f>$W$1*('[1]功能-行军令'!S23+S$2*[1]节奏总纲!BJ23)</f>
        <v>846.43859114454926</v>
      </c>
      <c r="T24" s="31">
        <f>$W$1*('[1]功能-行军令'!T23+T$2*[1]节奏总纲!BK23)</f>
        <v>1226.597927750589</v>
      </c>
      <c r="U24" s="31">
        <f>$W$1*('[1]功能-行军令'!U23+U$2*[1]节奏总纲!BL23)</f>
        <v>1610.8559046131606</v>
      </c>
      <c r="V24" s="31">
        <f>$W$1*('[1]功能-行军令'!V23+V$2*[1]节奏总纲!BM23)</f>
        <v>1999.5117140962716</v>
      </c>
      <c r="W24" s="31">
        <f>$W$1*('[1]功能-行军令'!W23+W$2*[1]节奏总纲!BN23)</f>
        <v>2679.0312343926466</v>
      </c>
      <c r="X24" s="57">
        <f>S24*'[1]功能-付费相关'!AH25</f>
        <v>15.484511601972095</v>
      </c>
      <c r="Y24" s="57">
        <f>T24*'[1]功能-付费相关'!AI25</f>
        <v>22.439040518611442</v>
      </c>
      <c r="Z24" s="57">
        <f>U24*'[1]功能-付费相关'!AJ25</f>
        <v>29.468548817415726</v>
      </c>
      <c r="AA24" s="57">
        <f>V24*'[1]功能-付费相关'!AK25</f>
        <v>36.578509840078205</v>
      </c>
      <c r="AB24" s="57">
        <f>W24*'[1]功能-付费相关'!AL25</f>
        <v>49.009450496467593</v>
      </c>
      <c r="AC24" s="57"/>
    </row>
    <row r="25" spans="3:29" x14ac:dyDescent="0.15">
      <c r="C25" s="31">
        <v>21</v>
      </c>
      <c r="D25" s="31" t="e">
        <f>求节点([2]兵营招募!F$28:F$47,[2]兵营招募!$J$4:$J$23,节奏总纲!P24)*(1+[1]养成buff汇总!AA26)</f>
        <v>#VALUE!</v>
      </c>
      <c r="E25" s="31" t="e">
        <f>求节点([2]兵营招募!G$28:G$47,[2]兵营招募!$J$4:$J$23,节奏总纲!Q24)*(1+[1]养成buff汇总!AB26)</f>
        <v>#VALUE!</v>
      </c>
      <c r="F25" s="31" t="e">
        <f>求节点([2]兵营招募!H$28:H$47,[2]兵营招募!$J$4:$J$23,节奏总纲!R24)*(1+[1]养成buff汇总!AC26)</f>
        <v>#VALUE!</v>
      </c>
      <c r="G25" s="31" t="e">
        <f>求节点([2]兵营招募!I$28:I$47,[2]兵营招募!$J$4:$J$23,节奏总纲!S24)*(1+[1]养成buff汇总!AD26)</f>
        <v>#VALUE!</v>
      </c>
      <c r="H25" s="31" t="e">
        <f>求节点([2]兵营招募!J$28:J$47,[2]兵营招募!$J$4:$J$23,节奏总纲!T24)*(1+[1]养成buff汇总!AE26)</f>
        <v>#VALUE!</v>
      </c>
      <c r="I25" s="31" t="e">
        <f>100%*D25*'[1]功能-付费相关'!CJ26*节奏总纲!W24</f>
        <v>#VALUE!</v>
      </c>
      <c r="J25" s="31" t="e">
        <f>100%*E25*'[1]功能-付费相关'!CK26*节奏总纲!X24</f>
        <v>#VALUE!</v>
      </c>
      <c r="K25" s="31" t="e">
        <f>100%*F25*'[1]功能-付费相关'!CL26*节奏总纲!Y24</f>
        <v>#VALUE!</v>
      </c>
      <c r="L25" s="31" t="e">
        <f>100%*G25*'[1]功能-付费相关'!CM26*节奏总纲!Z24</f>
        <v>#VALUE!</v>
      </c>
      <c r="M25" s="31" t="e">
        <f>100%*H25*'[1]功能-付费相关'!CN26*节奏总纲!AA24</f>
        <v>#VALUE!</v>
      </c>
      <c r="N25" s="31" t="e">
        <f>D25*20%*'[1]功能-付费相关'!CJ26</f>
        <v>#VALUE!</v>
      </c>
      <c r="O25" s="31" t="e">
        <f>E25*20%*'[1]功能-付费相关'!CK26</f>
        <v>#VALUE!</v>
      </c>
      <c r="P25" s="31" t="e">
        <f>F25*20%*'[1]功能-付费相关'!CL26</f>
        <v>#VALUE!</v>
      </c>
      <c r="Q25" s="31" t="e">
        <f>G25*20%*'[1]功能-付费相关'!CM26</f>
        <v>#VALUE!</v>
      </c>
      <c r="R25" s="31" t="e">
        <f>H25*20%*'[1]功能-付费相关'!CN26</f>
        <v>#VALUE!</v>
      </c>
      <c r="S25" s="31">
        <f>$W$1*('[1]功能-行军令'!S24+S$2*[1]节奏总纲!BJ24)</f>
        <v>877.4596754668928</v>
      </c>
      <c r="T25" s="31">
        <f>$W$1*('[1]功能-行军令'!T24+T$2*[1]节奏总纲!BK24)</f>
        <v>1270.9647166771761</v>
      </c>
      <c r="U25" s="31">
        <f>$W$1*('[1]功能-行军令'!U24+U$2*[1]节奏总纲!BL24)</f>
        <v>1681.4771319725905</v>
      </c>
      <c r="V25" s="31">
        <f>$W$1*('[1]功能-行军令'!V24+V$2*[1]节奏总纲!BM24)</f>
        <v>2070.3316629252931</v>
      </c>
      <c r="W25" s="31">
        <f>$W$1*('[1]功能-行军令'!W24+W$2*[1]节奏总纲!BN24)</f>
        <v>2765.0357807320029</v>
      </c>
      <c r="X25" s="57">
        <f>S25*'[1]功能-付费相关'!AH26</f>
        <v>15.577594295594666</v>
      </c>
      <c r="Y25" s="57">
        <f>T25*'[1]功能-付费相关'!AI26</f>
        <v>22.5635129157106</v>
      </c>
      <c r="Z25" s="57">
        <f>U25*'[1]功能-付费相关'!AJ26</f>
        <v>29.851364468973138</v>
      </c>
      <c r="AA25" s="57">
        <f>V25*'[1]功能-付费相关'!AK26</f>
        <v>36.754722301299545</v>
      </c>
      <c r="AB25" s="57">
        <f>W25*'[1]功能-付费相关'!AL26</f>
        <v>49.087846210285647</v>
      </c>
      <c r="AC25" s="57"/>
    </row>
    <row r="26" spans="3:29" x14ac:dyDescent="0.15">
      <c r="C26" s="31">
        <v>22</v>
      </c>
      <c r="D26" s="31" t="e">
        <f>求节点([2]兵营招募!F$28:F$47,[2]兵营招募!$J$4:$J$23,节奏总纲!P25)*(1+[1]养成buff汇总!AA27)</f>
        <v>#VALUE!</v>
      </c>
      <c r="E26" s="31" t="e">
        <f>求节点([2]兵营招募!G$28:G$47,[2]兵营招募!$J$4:$J$23,节奏总纲!Q25)*(1+[1]养成buff汇总!AB27)</f>
        <v>#VALUE!</v>
      </c>
      <c r="F26" s="31" t="e">
        <f>求节点([2]兵营招募!H$28:H$47,[2]兵营招募!$J$4:$J$23,节奏总纲!R25)*(1+[1]养成buff汇总!AC27)</f>
        <v>#VALUE!</v>
      </c>
      <c r="G26" s="31" t="e">
        <f>求节点([2]兵营招募!I$28:I$47,[2]兵营招募!$J$4:$J$23,节奏总纲!S25)*(1+[1]养成buff汇总!AD27)</f>
        <v>#VALUE!</v>
      </c>
      <c r="H26" s="31" t="e">
        <f>求节点([2]兵营招募!J$28:J$47,[2]兵营招募!$J$4:$J$23,节奏总纲!T25)*(1+[1]养成buff汇总!AE27)</f>
        <v>#VALUE!</v>
      </c>
      <c r="I26" s="31" t="e">
        <f>100%*D26*'[1]功能-付费相关'!CJ27*节奏总纲!W25</f>
        <v>#VALUE!</v>
      </c>
      <c r="J26" s="31" t="e">
        <f>100%*E26*'[1]功能-付费相关'!CK27*节奏总纲!X25</f>
        <v>#VALUE!</v>
      </c>
      <c r="K26" s="31" t="e">
        <f>100%*F26*'[1]功能-付费相关'!CL27*节奏总纲!Y25</f>
        <v>#VALUE!</v>
      </c>
      <c r="L26" s="31" t="e">
        <f>100%*G26*'[1]功能-付费相关'!CM27*节奏总纲!Z25</f>
        <v>#VALUE!</v>
      </c>
      <c r="M26" s="31" t="e">
        <f>100%*H26*'[1]功能-付费相关'!CN27*节奏总纲!AA25</f>
        <v>#VALUE!</v>
      </c>
      <c r="N26" s="31" t="e">
        <f>D26*20%*'[1]功能-付费相关'!CJ27</f>
        <v>#VALUE!</v>
      </c>
      <c r="O26" s="31" t="e">
        <f>E26*20%*'[1]功能-付费相关'!CK27</f>
        <v>#VALUE!</v>
      </c>
      <c r="P26" s="31" t="e">
        <f>F26*20%*'[1]功能-付费相关'!CL27</f>
        <v>#VALUE!</v>
      </c>
      <c r="Q26" s="31" t="e">
        <f>G26*20%*'[1]功能-付费相关'!CM27</f>
        <v>#VALUE!</v>
      </c>
      <c r="R26" s="31" t="e">
        <f>H26*20%*'[1]功能-付费相关'!CN27</f>
        <v>#VALUE!</v>
      </c>
      <c r="S26" s="31">
        <f>$W$1*('[1]功能-行军令'!S25+S$2*[1]节奏总纲!BJ25)</f>
        <v>909.75027092219705</v>
      </c>
      <c r="T26" s="31">
        <f>$W$1*('[1]功能-行军令'!T25+T$2*[1]节奏总纲!BK25)</f>
        <v>1323.7521314804935</v>
      </c>
      <c r="U26" s="31">
        <f>$W$1*('[1]功能-行军令'!U25+U$2*[1]节奏总纲!BL25)</f>
        <v>1744.0288266896705</v>
      </c>
      <c r="V26" s="31">
        <f>$W$1*('[1]功能-行军令'!V25+V$2*[1]节奏总纲!BM25)</f>
        <v>2138.6414851293848</v>
      </c>
      <c r="W26" s="31">
        <f>$W$1*('[1]功能-行军令'!W25+W$2*[1]节奏总纲!BN25)</f>
        <v>2831.9583118186983</v>
      </c>
      <c r="X26" s="57">
        <f>S26*'[1]功能-付费相关'!AH27</f>
        <v>15.67352138601075</v>
      </c>
      <c r="Y26" s="57">
        <f>T26*'[1]功能-付费相关'!AI27</f>
        <v>22.806101856397483</v>
      </c>
      <c r="Z26" s="57">
        <f>U26*'[1]功能-付费相关'!AJ27</f>
        <v>30.046787548884957</v>
      </c>
      <c r="AA26" s="57">
        <f>V26*'[1]功能-付费相关'!AK27</f>
        <v>36.845323519614404</v>
      </c>
      <c r="AB26" s="57">
        <f>W26*'[1]功能-付费相关'!AL27</f>
        <v>48.790047756278469</v>
      </c>
      <c r="AC26" s="57"/>
    </row>
    <row r="27" spans="3:29" x14ac:dyDescent="0.15">
      <c r="C27" s="31">
        <v>23</v>
      </c>
      <c r="D27" s="31" t="e">
        <f>求节点([2]兵营招募!F$28:F$47,[2]兵营招募!$J$4:$J$23,节奏总纲!P26)*(1+[1]养成buff汇总!AA28)</f>
        <v>#VALUE!</v>
      </c>
      <c r="E27" s="31" t="e">
        <f>求节点([2]兵营招募!G$28:G$47,[2]兵营招募!$J$4:$J$23,节奏总纲!Q26)*(1+[1]养成buff汇总!AB28)</f>
        <v>#VALUE!</v>
      </c>
      <c r="F27" s="31" t="e">
        <f>求节点([2]兵营招募!H$28:H$47,[2]兵营招募!$J$4:$J$23,节奏总纲!R26)*(1+[1]养成buff汇总!AC28)</f>
        <v>#VALUE!</v>
      </c>
      <c r="G27" s="31" t="e">
        <f>求节点([2]兵营招募!I$28:I$47,[2]兵营招募!$J$4:$J$23,节奏总纲!S26)*(1+[1]养成buff汇总!AD28)</f>
        <v>#VALUE!</v>
      </c>
      <c r="H27" s="31" t="e">
        <f>求节点([2]兵营招募!J$28:J$47,[2]兵营招募!$J$4:$J$23,节奏总纲!T26)*(1+[1]养成buff汇总!AE28)</f>
        <v>#VALUE!</v>
      </c>
      <c r="I27" s="31" t="e">
        <f>100%*D27*'[1]功能-付费相关'!CJ28*节奏总纲!W26</f>
        <v>#VALUE!</v>
      </c>
      <c r="J27" s="31" t="e">
        <f>100%*E27*'[1]功能-付费相关'!CK28*节奏总纲!X26</f>
        <v>#VALUE!</v>
      </c>
      <c r="K27" s="31" t="e">
        <f>100%*F27*'[1]功能-付费相关'!CL28*节奏总纲!Y26</f>
        <v>#VALUE!</v>
      </c>
      <c r="L27" s="31" t="e">
        <f>100%*G27*'[1]功能-付费相关'!CM28*节奏总纲!Z26</f>
        <v>#VALUE!</v>
      </c>
      <c r="M27" s="31" t="e">
        <f>100%*H27*'[1]功能-付费相关'!CN28*节奏总纲!AA26</f>
        <v>#VALUE!</v>
      </c>
      <c r="N27" s="31" t="e">
        <f>D27*20%*'[1]功能-付费相关'!CJ28</f>
        <v>#VALUE!</v>
      </c>
      <c r="O27" s="31" t="e">
        <f>E27*20%*'[1]功能-付费相关'!CK28</f>
        <v>#VALUE!</v>
      </c>
      <c r="P27" s="31" t="e">
        <f>F27*20%*'[1]功能-付费相关'!CL28</f>
        <v>#VALUE!</v>
      </c>
      <c r="Q27" s="31" t="e">
        <f>G27*20%*'[1]功能-付费相关'!CM28</f>
        <v>#VALUE!</v>
      </c>
      <c r="R27" s="31" t="e">
        <f>H27*20%*'[1]功能-付费相关'!CN28</f>
        <v>#VALUE!</v>
      </c>
      <c r="S27" s="31">
        <f>$W$1*('[1]功能-行军令'!S26+S$2*[1]节奏总纲!BJ26)</f>
        <v>943.40149472020369</v>
      </c>
      <c r="T27" s="31">
        <f>$W$1*('[1]功能-行军令'!T26+T$2*[1]节奏总纲!BK26)</f>
        <v>1359.5834856635001</v>
      </c>
      <c r="U27" s="31">
        <f>$W$1*('[1]功能-行军令'!U26+U$2*[1]节奏总纲!BL26)</f>
        <v>1778.1572148136156</v>
      </c>
      <c r="V27" s="31">
        <f>$W$1*('[1]功能-行军令'!V26+V$2*[1]节奏总纲!BM26)</f>
        <v>2178.06627090865</v>
      </c>
      <c r="W27" s="31">
        <f>$W$1*('[1]功能-行军令'!W26+W$2*[1]节奏总纲!BN26)</f>
        <v>2877.8454513808983</v>
      </c>
      <c r="X27" s="57">
        <f>S27*'[1]功能-付费相关'!AH28</f>
        <v>15.772920442426699</v>
      </c>
      <c r="Y27" s="57">
        <f>T27*'[1]功能-付费相关'!AI28</f>
        <v>22.731151343540812</v>
      </c>
      <c r="Z27" s="57">
        <f>U27*'[1]功能-付费相关'!AJ28</f>
        <v>29.729370199588637</v>
      </c>
      <c r="AA27" s="57">
        <f>V27*'[1]功能-付费相关'!AK28</f>
        <v>36.415530610924108</v>
      </c>
      <c r="AB27" s="57">
        <f>W27*'[1]功能-付费相关'!AL28</f>
        <v>48.115280296108644</v>
      </c>
      <c r="AC27" s="57"/>
    </row>
    <row r="28" spans="3:29" x14ac:dyDescent="0.15">
      <c r="C28" s="31">
        <v>24</v>
      </c>
      <c r="D28" s="31" t="e">
        <f>求节点([2]兵营招募!F$28:F$47,[2]兵营招募!$J$4:$J$23,节奏总纲!P27)*(1+[1]养成buff汇总!AA29)</f>
        <v>#VALUE!</v>
      </c>
      <c r="E28" s="31" t="e">
        <f>求节点([2]兵营招募!G$28:G$47,[2]兵营招募!$J$4:$J$23,节奏总纲!Q27)*(1+[1]养成buff汇总!AB29)</f>
        <v>#VALUE!</v>
      </c>
      <c r="F28" s="31" t="e">
        <f>求节点([2]兵营招募!H$28:H$47,[2]兵营招募!$J$4:$J$23,节奏总纲!R27)*(1+[1]养成buff汇总!AC29)</f>
        <v>#VALUE!</v>
      </c>
      <c r="G28" s="31" t="e">
        <f>求节点([2]兵营招募!I$28:I$47,[2]兵营招募!$J$4:$J$23,节奏总纲!S27)*(1+[1]养成buff汇总!AD29)</f>
        <v>#VALUE!</v>
      </c>
      <c r="H28" s="31" t="e">
        <f>求节点([2]兵营招募!J$28:J$47,[2]兵营招募!$J$4:$J$23,节奏总纲!T27)*(1+[1]养成buff汇总!AE29)</f>
        <v>#VALUE!</v>
      </c>
      <c r="I28" s="31" t="e">
        <f>100%*D28*'[1]功能-付费相关'!CJ29*节奏总纲!W27</f>
        <v>#VALUE!</v>
      </c>
      <c r="J28" s="31" t="e">
        <f>100%*E28*'[1]功能-付费相关'!CK29*节奏总纲!X27</f>
        <v>#VALUE!</v>
      </c>
      <c r="K28" s="31" t="e">
        <f>100%*F28*'[1]功能-付费相关'!CL29*节奏总纲!Y27</f>
        <v>#VALUE!</v>
      </c>
      <c r="L28" s="31" t="e">
        <f>100%*G28*'[1]功能-付费相关'!CM29*节奏总纲!Z27</f>
        <v>#VALUE!</v>
      </c>
      <c r="M28" s="31" t="e">
        <f>100%*H28*'[1]功能-付费相关'!CN29*节奏总纲!AA27</f>
        <v>#VALUE!</v>
      </c>
      <c r="N28" s="31" t="e">
        <f>D28*20%*'[1]功能-付费相关'!CJ29</f>
        <v>#VALUE!</v>
      </c>
      <c r="O28" s="31" t="e">
        <f>E28*20%*'[1]功能-付费相关'!CK29</f>
        <v>#VALUE!</v>
      </c>
      <c r="P28" s="31" t="e">
        <f>F28*20%*'[1]功能-付费相关'!CL29</f>
        <v>#VALUE!</v>
      </c>
      <c r="Q28" s="31" t="e">
        <f>G28*20%*'[1]功能-付费相关'!CM29</f>
        <v>#VALUE!</v>
      </c>
      <c r="R28" s="31" t="e">
        <f>H28*20%*'[1]功能-付费相关'!CN29</f>
        <v>#VALUE!</v>
      </c>
      <c r="S28" s="31">
        <f>$W$1*('[1]功能-行军令'!S27+S$2*[1]节奏总纲!BJ27)</f>
        <v>978.51100386829319</v>
      </c>
      <c r="T28" s="31">
        <f>$W$1*('[1]功能-行军令'!T27+T$2*[1]节奏总纲!BK27)</f>
        <v>1419.4976994548208</v>
      </c>
      <c r="U28" s="31">
        <f>$W$1*('[1]功能-行军令'!U27+U$2*[1]节奏总纲!BL27)</f>
        <v>1864.5457160809749</v>
      </c>
      <c r="V28" s="31">
        <f>$W$1*('[1]功能-行军令'!V27+V$2*[1]节奏总纲!BM27)</f>
        <v>2262.8099212596935</v>
      </c>
      <c r="W28" s="31">
        <f>$W$1*('[1]功能-行军令'!W27+W$2*[1]节奏总纲!BN27)</f>
        <v>2967.3079523892693</v>
      </c>
      <c r="X28" s="57">
        <f>S28*'[1]功能-付费相关'!AH29</f>
        <v>15.876414620484942</v>
      </c>
      <c r="Y28" s="57">
        <f>T28*'[1]功能-付费相关'!AI29</f>
        <v>23.031456917987462</v>
      </c>
      <c r="Z28" s="57">
        <f>U28*'[1]功能-付费相关'!AJ29</f>
        <v>30.252394454763845</v>
      </c>
      <c r="AA28" s="57">
        <f>V28*'[1]功能-付费相关'!AK29</f>
        <v>36.71426113272539</v>
      </c>
      <c r="AB28" s="57">
        <f>W28*'[1]功能-付费相关'!AL29</f>
        <v>48.144794665114695</v>
      </c>
      <c r="AC28" s="57"/>
    </row>
    <row r="29" spans="3:29" x14ac:dyDescent="0.15">
      <c r="C29" s="31">
        <v>25</v>
      </c>
      <c r="D29" s="31" t="e">
        <f>求节点([2]兵营招募!F$28:F$47,[2]兵营招募!$J$4:$J$23,节奏总纲!P28)*(1+[1]养成buff汇总!AA30)</f>
        <v>#VALUE!</v>
      </c>
      <c r="E29" s="31" t="e">
        <f>求节点([2]兵营招募!G$28:G$47,[2]兵营招募!$J$4:$J$23,节奏总纲!Q28)*(1+[1]养成buff汇总!AB30)</f>
        <v>#VALUE!</v>
      </c>
      <c r="F29" s="31" t="e">
        <f>求节点([2]兵营招募!H$28:H$47,[2]兵营招募!$J$4:$J$23,节奏总纲!R28)*(1+[1]养成buff汇总!AC30)</f>
        <v>#VALUE!</v>
      </c>
      <c r="G29" s="31" t="e">
        <f>求节点([2]兵营招募!I$28:I$47,[2]兵营招募!$J$4:$J$23,节奏总纲!S28)*(1+[1]养成buff汇总!AD30)</f>
        <v>#VALUE!</v>
      </c>
      <c r="H29" s="31" t="e">
        <f>求节点([2]兵营招募!J$28:J$47,[2]兵营招募!$J$4:$J$23,节奏总纲!T28)*(1+[1]养成buff汇总!AE30)</f>
        <v>#VALUE!</v>
      </c>
      <c r="I29" s="31" t="e">
        <f>100%*D29*'[1]功能-付费相关'!CJ30*节奏总纲!W28</f>
        <v>#VALUE!</v>
      </c>
      <c r="J29" s="31" t="e">
        <f>100%*E29*'[1]功能-付费相关'!CK30*节奏总纲!X28</f>
        <v>#VALUE!</v>
      </c>
      <c r="K29" s="31" t="e">
        <f>100%*F29*'[1]功能-付费相关'!CL30*节奏总纲!Y28</f>
        <v>#VALUE!</v>
      </c>
      <c r="L29" s="31" t="e">
        <f>100%*G29*'[1]功能-付费相关'!CM30*节奏总纲!Z28</f>
        <v>#VALUE!</v>
      </c>
      <c r="M29" s="31" t="e">
        <f>100%*H29*'[1]功能-付费相关'!CN30*节奏总纲!AA28</f>
        <v>#VALUE!</v>
      </c>
      <c r="N29" s="31" t="e">
        <f>D29*20%*'[1]功能-付费相关'!CJ30</f>
        <v>#VALUE!</v>
      </c>
      <c r="O29" s="31" t="e">
        <f>E29*20%*'[1]功能-付费相关'!CK30</f>
        <v>#VALUE!</v>
      </c>
      <c r="P29" s="31" t="e">
        <f>F29*20%*'[1]功能-付费相关'!CL30</f>
        <v>#VALUE!</v>
      </c>
      <c r="Q29" s="31" t="e">
        <f>G29*20%*'[1]功能-付费相关'!CM30</f>
        <v>#VALUE!</v>
      </c>
      <c r="R29" s="31" t="e">
        <f>H29*20%*'[1]功能-付费相关'!CN30</f>
        <v>#VALUE!</v>
      </c>
      <c r="S29" s="31">
        <f>$W$1*('[1]功能-行军令'!S28+S$2*[1]节奏总纲!BJ28)</f>
        <v>1015.1834645554072</v>
      </c>
      <c r="T29" s="31">
        <f>$W$1*('[1]功能-行军令'!T28+T$2*[1]节奏总纲!BK28)</f>
        <v>1465.9487615988251</v>
      </c>
      <c r="U29" s="31">
        <f>$W$1*('[1]功能-行军令'!U28+U$2*[1]节奏总纲!BL28)</f>
        <v>1913.1730644566348</v>
      </c>
      <c r="V29" s="31">
        <f>$W$1*('[1]功能-行军令'!V28+V$2*[1]节奏总纲!BM28)</f>
        <v>2320.6029928314701</v>
      </c>
      <c r="W29" s="31">
        <f>$W$1*('[1]功能-行军令'!W28+W$2*[1]节奏总纲!BN28)</f>
        <v>3028.6591987512011</v>
      </c>
      <c r="X29" s="57">
        <f>S29*'[1]功能-付费相关'!AH30</f>
        <v>15.984623785057259</v>
      </c>
      <c r="Y29" s="57">
        <f>T29*'[1]功能-付费相关'!AI30</f>
        <v>23.082172100379886</v>
      </c>
      <c r="Z29" s="57">
        <f>U29*'[1]功能-付费相关'!AJ30</f>
        <v>30.123965508478125</v>
      </c>
      <c r="AA29" s="57">
        <f>V29*'[1]功能-付费相关'!AK30</f>
        <v>36.539174533476107</v>
      </c>
      <c r="AB29" s="57">
        <f>W29*'[1]功能-付费相关'!AL30</f>
        <v>47.687910171382285</v>
      </c>
      <c r="AC29" s="57"/>
    </row>
    <row r="30" spans="3:29" x14ac:dyDescent="0.15">
      <c r="C30" s="31">
        <v>26</v>
      </c>
      <c r="D30" s="31" t="e">
        <f>求节点([2]兵营招募!F$28:F$47,[2]兵营招募!$J$4:$J$23,节奏总纲!P29)*(1+[1]养成buff汇总!AA31)</f>
        <v>#VALUE!</v>
      </c>
      <c r="E30" s="31" t="e">
        <f>求节点([2]兵营招募!G$28:G$47,[2]兵营招募!$J$4:$J$23,节奏总纲!Q29)*(1+[1]养成buff汇总!AB31)</f>
        <v>#VALUE!</v>
      </c>
      <c r="F30" s="31" t="e">
        <f>求节点([2]兵营招募!H$28:H$47,[2]兵营招募!$J$4:$J$23,节奏总纲!R29)*(1+[1]养成buff汇总!AC31)</f>
        <v>#VALUE!</v>
      </c>
      <c r="G30" s="31" t="e">
        <f>求节点([2]兵营招募!I$28:I$47,[2]兵营招募!$J$4:$J$23,节奏总纲!S29)*(1+[1]养成buff汇总!AD31)</f>
        <v>#VALUE!</v>
      </c>
      <c r="H30" s="31" t="e">
        <f>求节点([2]兵营招募!J$28:J$47,[2]兵营招募!$J$4:$J$23,节奏总纲!T29)*(1+[1]养成buff汇总!AE31)</f>
        <v>#VALUE!</v>
      </c>
      <c r="I30" s="31" t="e">
        <f>100%*D30*'[1]功能-付费相关'!CJ31*节奏总纲!W29</f>
        <v>#VALUE!</v>
      </c>
      <c r="J30" s="31" t="e">
        <f>100%*E30*'[1]功能-付费相关'!CK31*节奏总纲!X29</f>
        <v>#VALUE!</v>
      </c>
      <c r="K30" s="31" t="e">
        <f>100%*F30*'[1]功能-付费相关'!CL31*节奏总纲!Y29</f>
        <v>#VALUE!</v>
      </c>
      <c r="L30" s="31" t="e">
        <f>100%*G30*'[1]功能-付费相关'!CM31*节奏总纲!Z29</f>
        <v>#VALUE!</v>
      </c>
      <c r="M30" s="31" t="e">
        <f>100%*H30*'[1]功能-付费相关'!CN31*节奏总纲!AA29</f>
        <v>#VALUE!</v>
      </c>
      <c r="N30" s="31" t="e">
        <f>D30*20%*'[1]功能-付费相关'!CJ31</f>
        <v>#VALUE!</v>
      </c>
      <c r="O30" s="31" t="e">
        <f>E30*20%*'[1]功能-付费相关'!CK31</f>
        <v>#VALUE!</v>
      </c>
      <c r="P30" s="31" t="e">
        <f>F30*20%*'[1]功能-付费相关'!CL31</f>
        <v>#VALUE!</v>
      </c>
      <c r="Q30" s="31" t="e">
        <f>G30*20%*'[1]功能-付费相关'!CM31</f>
        <v>#VALUE!</v>
      </c>
      <c r="R30" s="31" t="e">
        <f>H30*20%*'[1]功能-付费相关'!CN31</f>
        <v>#VALUE!</v>
      </c>
      <c r="S30" s="31">
        <f>$W$1*('[1]功能-行军令'!S29+S$2*[1]节奏总纲!BJ29)</f>
        <v>1053.5310552252749</v>
      </c>
      <c r="T30" s="31">
        <f>$W$1*('[1]功能-行军令'!T29+T$2*[1]节奏总纲!BK29)</f>
        <v>1515.4120907136753</v>
      </c>
      <c r="U30" s="31">
        <f>$W$1*('[1]功能-行军令'!U29+U$2*[1]节奏总纲!BL29)</f>
        <v>1974.1509344407132</v>
      </c>
      <c r="V30" s="31">
        <f>$W$1*('[1]功能-行军令'!V29+V$2*[1]节奏总纲!BM29)</f>
        <v>2376.8662634226039</v>
      </c>
      <c r="W30" s="31">
        <f>$W$1*('[1]功能-行军令'!W29+W$2*[1]节奏总纲!BN29)</f>
        <v>3101.8185402110789</v>
      </c>
      <c r="X30" s="57">
        <f>S30*'[1]功能-付费相关'!AH31</f>
        <v>16.098165627066717</v>
      </c>
      <c r="Y30" s="57">
        <f>T30*'[1]功能-付费相关'!AI31</f>
        <v>23.155800399592184</v>
      </c>
      <c r="Z30" s="57">
        <f>U30*'[1]功能-付费相关'!AJ31</f>
        <v>30.165421852381574</v>
      </c>
      <c r="AA30" s="57">
        <f>V30*'[1]功能-付费相关'!AK31</f>
        <v>36.318992774050223</v>
      </c>
      <c r="AB30" s="57">
        <f>W30*'[1]功能-付费相关'!AL31</f>
        <v>47.396408827025063</v>
      </c>
      <c r="AC30" s="57"/>
    </row>
    <row r="31" spans="3:29" x14ac:dyDescent="0.15">
      <c r="C31" s="31">
        <v>27</v>
      </c>
      <c r="D31" s="31" t="e">
        <f>求节点([2]兵营招募!F$28:F$47,[2]兵营招募!$J$4:$J$23,节奏总纲!P30)*(1+[1]养成buff汇总!AA32)</f>
        <v>#VALUE!</v>
      </c>
      <c r="E31" s="31" t="e">
        <f>求节点([2]兵营招募!G$28:G$47,[2]兵营招募!$J$4:$J$23,节奏总纲!Q30)*(1+[1]养成buff汇总!AB32)</f>
        <v>#VALUE!</v>
      </c>
      <c r="F31" s="31" t="e">
        <f>求节点([2]兵营招募!H$28:H$47,[2]兵营招募!$J$4:$J$23,节奏总纲!R30)*(1+[1]养成buff汇总!AC32)</f>
        <v>#VALUE!</v>
      </c>
      <c r="G31" s="31" t="e">
        <f>求节点([2]兵营招募!I$28:I$47,[2]兵营招募!$J$4:$J$23,节奏总纲!S30)*(1+[1]养成buff汇总!AD32)</f>
        <v>#VALUE!</v>
      </c>
      <c r="H31" s="31" t="e">
        <f>求节点([2]兵营招募!J$28:J$47,[2]兵营招募!$J$4:$J$23,节奏总纲!T30)*(1+[1]养成buff汇总!AE32)</f>
        <v>#VALUE!</v>
      </c>
      <c r="I31" s="31" t="e">
        <f>100%*D31*'[1]功能-付费相关'!CJ32*节奏总纲!W30</f>
        <v>#VALUE!</v>
      </c>
      <c r="J31" s="31" t="e">
        <f>100%*E31*'[1]功能-付费相关'!CK32*节奏总纲!X30</f>
        <v>#VALUE!</v>
      </c>
      <c r="K31" s="31" t="e">
        <f>100%*F31*'[1]功能-付费相关'!CL32*节奏总纲!Y30</f>
        <v>#VALUE!</v>
      </c>
      <c r="L31" s="31" t="e">
        <f>100%*G31*'[1]功能-付费相关'!CM32*节奏总纲!Z30</f>
        <v>#VALUE!</v>
      </c>
      <c r="M31" s="31" t="e">
        <f>100%*H31*'[1]功能-付费相关'!CN32*节奏总纲!AA30</f>
        <v>#VALUE!</v>
      </c>
      <c r="N31" s="31" t="e">
        <f>D31*20%*'[1]功能-付费相关'!CJ32</f>
        <v>#VALUE!</v>
      </c>
      <c r="O31" s="31" t="e">
        <f>E31*20%*'[1]功能-付费相关'!CK32</f>
        <v>#VALUE!</v>
      </c>
      <c r="P31" s="31" t="e">
        <f>F31*20%*'[1]功能-付费相关'!CL32</f>
        <v>#VALUE!</v>
      </c>
      <c r="Q31" s="31" t="e">
        <f>G31*20%*'[1]功能-付费相关'!CM32</f>
        <v>#VALUE!</v>
      </c>
      <c r="R31" s="31" t="e">
        <f>H31*20%*'[1]功能-付费相关'!CN32</f>
        <v>#VALUE!</v>
      </c>
      <c r="S31" s="31">
        <f>$W$1*('[1]功能-行军令'!S30+S$2*[1]节奏总纲!BJ30)</f>
        <v>1093.6740057569637</v>
      </c>
      <c r="T31" s="31">
        <f>$W$1*('[1]功能-行军令'!T30+T$2*[1]节奏总纲!BK30)</f>
        <v>1569.3044749083583</v>
      </c>
      <c r="U31" s="31">
        <f>$W$1*('[1]功能-行军令'!U30+U$2*[1]节奏总纲!BL30)</f>
        <v>2037.8232283795601</v>
      </c>
      <c r="V31" s="31">
        <f>$W$1*('[1]功能-行军令'!V30+V$2*[1]节奏总纲!BM30)</f>
        <v>2448.0038376471648</v>
      </c>
      <c r="W31" s="31">
        <f>$W$1*('[1]功能-行军令'!W30+W$2*[1]节奏总纲!BN30)</f>
        <v>3178.6507101818843</v>
      </c>
      <c r="X31" s="57">
        <f>S31*'[1]功能-付费相关'!AH32</f>
        <v>16.217656775978021</v>
      </c>
      <c r="Y31" s="57">
        <f>T31*'[1]功能-付费相关'!AI32</f>
        <v>23.270591800758012</v>
      </c>
      <c r="Z31" s="57">
        <f>U31*'[1]功能-付费相关'!AJ32</f>
        <v>30.218070022704069</v>
      </c>
      <c r="AA31" s="57">
        <f>V31*'[1]功能-付费相关'!AK32</f>
        <v>36.300475110735221</v>
      </c>
      <c r="AB31" s="57">
        <f>W31*'[1]功能-付费相关'!AL32</f>
        <v>47.134946937656387</v>
      </c>
      <c r="AC31" s="57"/>
    </row>
    <row r="32" spans="3:29" x14ac:dyDescent="0.15">
      <c r="C32" s="31">
        <v>28</v>
      </c>
      <c r="D32" s="31" t="e">
        <f>求节点([2]兵营招募!F$28:F$47,[2]兵营招募!$J$4:$J$23,节奏总纲!P31)*(1+[1]养成buff汇总!AA33)</f>
        <v>#VALUE!</v>
      </c>
      <c r="E32" s="31" t="e">
        <f>求节点([2]兵营招募!G$28:G$47,[2]兵营招募!$J$4:$J$23,节奏总纲!Q31)*(1+[1]养成buff汇总!AB33)</f>
        <v>#VALUE!</v>
      </c>
      <c r="F32" s="31" t="e">
        <f>求节点([2]兵营招募!H$28:H$47,[2]兵营招募!$J$4:$J$23,节奏总纲!R31)*(1+[1]养成buff汇总!AC33)</f>
        <v>#VALUE!</v>
      </c>
      <c r="G32" s="31" t="e">
        <f>求节点([2]兵营招募!I$28:I$47,[2]兵营招募!$J$4:$J$23,节奏总纲!S31)*(1+[1]养成buff汇总!AD33)</f>
        <v>#VALUE!</v>
      </c>
      <c r="H32" s="31" t="e">
        <f>求节点([2]兵营招募!J$28:J$47,[2]兵营招募!$J$4:$J$23,节奏总纲!T31)*(1+[1]养成buff汇总!AE33)</f>
        <v>#VALUE!</v>
      </c>
      <c r="I32" s="31" t="e">
        <f>100%*D32*'[1]功能-付费相关'!CJ33*节奏总纲!W31</f>
        <v>#VALUE!</v>
      </c>
      <c r="J32" s="31" t="e">
        <f>100%*E32*'[1]功能-付费相关'!CK33*节奏总纲!X31</f>
        <v>#VALUE!</v>
      </c>
      <c r="K32" s="31" t="e">
        <f>100%*F32*'[1]功能-付费相关'!CL33*节奏总纲!Y31</f>
        <v>#VALUE!</v>
      </c>
      <c r="L32" s="31" t="e">
        <f>100%*G32*'[1]功能-付费相关'!CM33*节奏总纲!Z31</f>
        <v>#VALUE!</v>
      </c>
      <c r="M32" s="31" t="e">
        <f>100%*H32*'[1]功能-付费相关'!CN33*节奏总纲!AA31</f>
        <v>#VALUE!</v>
      </c>
      <c r="N32" s="31" t="e">
        <f>D32*20%*'[1]功能-付费相关'!CJ33</f>
        <v>#VALUE!</v>
      </c>
      <c r="O32" s="31" t="e">
        <f>E32*20%*'[1]功能-付费相关'!CK33</f>
        <v>#VALUE!</v>
      </c>
      <c r="P32" s="31" t="e">
        <f>F32*20%*'[1]功能-付费相关'!CL33</f>
        <v>#VALUE!</v>
      </c>
      <c r="Q32" s="31" t="e">
        <f>G32*20%*'[1]功能-付费相关'!CM33</f>
        <v>#VALUE!</v>
      </c>
      <c r="R32" s="31" t="e">
        <f>H32*20%*'[1]功能-付费相关'!CN33</f>
        <v>#VALUE!</v>
      </c>
      <c r="S32" s="31">
        <f>$W$1*('[1]功能-行军令'!S31+S$2*[1]节奏总纲!BJ31)</f>
        <v>1135.7411753442461</v>
      </c>
      <c r="T32" s="31">
        <f>$W$1*('[1]功能-行军令'!T31+T$2*[1]节奏总纲!BK31)</f>
        <v>1621.4783338435452</v>
      </c>
      <c r="U32" s="31">
        <f>$W$1*('[1]功能-行军令'!U31+U$2*[1]节奏总纲!BL31)</f>
        <v>2091.5588564670902</v>
      </c>
      <c r="V32" s="31">
        <f>$W$1*('[1]功能-行军令'!V31+V$2*[1]节奏总纲!BM31)</f>
        <v>2518.209077227606</v>
      </c>
      <c r="W32" s="31">
        <f>$W$1*('[1]功能-行军令'!W31+W$2*[1]节奏总纲!BN31)</f>
        <v>3266.1866889349176</v>
      </c>
      <c r="X32" s="57">
        <f>S32*'[1]功能-付费相关'!AH33</f>
        <v>16.34371390959409</v>
      </c>
      <c r="Y32" s="57">
        <f>T32*'[1]功能-付费相关'!AI33</f>
        <v>23.333642007750299</v>
      </c>
      <c r="Z32" s="57">
        <f>U32*'[1]功能-付费相关'!AJ33</f>
        <v>30.098265623604497</v>
      </c>
      <c r="AA32" s="57">
        <f>V32*'[1]功能-付费相关'!AK33</f>
        <v>36.237911961126322</v>
      </c>
      <c r="AB32" s="57">
        <f>W32*'[1]功能-付费相关'!AL33</f>
        <v>47.001572169906197</v>
      </c>
      <c r="AC32" s="57"/>
    </row>
    <row r="33" spans="3:29" x14ac:dyDescent="0.15">
      <c r="C33" s="31">
        <v>29</v>
      </c>
      <c r="D33" s="31" t="e">
        <f>求节点([2]兵营招募!F$28:F$47,[2]兵营招募!$J$4:$J$23,节奏总纲!P32)*(1+[1]养成buff汇总!AA34)</f>
        <v>#VALUE!</v>
      </c>
      <c r="E33" s="31" t="e">
        <f>求节点([2]兵营招募!G$28:G$47,[2]兵营招募!$J$4:$J$23,节奏总纲!Q32)*(1+[1]养成buff汇总!AB34)</f>
        <v>#VALUE!</v>
      </c>
      <c r="F33" s="31" t="e">
        <f>求节点([2]兵营招募!H$28:H$47,[2]兵营招募!$J$4:$J$23,节奏总纲!R32)*(1+[1]养成buff汇总!AC34)</f>
        <v>#VALUE!</v>
      </c>
      <c r="G33" s="31" t="e">
        <f>求节点([2]兵营招募!I$28:I$47,[2]兵营招募!$J$4:$J$23,节奏总纲!S32)*(1+[1]养成buff汇总!AD34)</f>
        <v>#VALUE!</v>
      </c>
      <c r="H33" s="31" t="e">
        <f>求节点([2]兵营招募!J$28:J$47,[2]兵营招募!$J$4:$J$23,节奏总纲!T32)*(1+[1]养成buff汇总!AE34)</f>
        <v>#VALUE!</v>
      </c>
      <c r="I33" s="31" t="e">
        <f>100%*D33*'[1]功能-付费相关'!CJ34*节奏总纲!W32</f>
        <v>#VALUE!</v>
      </c>
      <c r="J33" s="31" t="e">
        <f>100%*E33*'[1]功能-付费相关'!CK34*节奏总纲!X32</f>
        <v>#VALUE!</v>
      </c>
      <c r="K33" s="31" t="e">
        <f>100%*F33*'[1]功能-付费相关'!CL34*节奏总纲!Y32</f>
        <v>#VALUE!</v>
      </c>
      <c r="L33" s="31" t="e">
        <f>100%*G33*'[1]功能-付费相关'!CM34*节奏总纲!Z32</f>
        <v>#VALUE!</v>
      </c>
      <c r="M33" s="31" t="e">
        <f>100%*H33*'[1]功能-付费相关'!CN34*节奏总纲!AA32</f>
        <v>#VALUE!</v>
      </c>
      <c r="N33" s="31" t="e">
        <f>D33*20%*'[1]功能-付费相关'!CJ34</f>
        <v>#VALUE!</v>
      </c>
      <c r="O33" s="31" t="e">
        <f>E33*20%*'[1]功能-付费相关'!CK34</f>
        <v>#VALUE!</v>
      </c>
      <c r="P33" s="31" t="e">
        <f>F33*20%*'[1]功能-付费相关'!CL34</f>
        <v>#VALUE!</v>
      </c>
      <c r="Q33" s="31" t="e">
        <f>G33*20%*'[1]功能-付费相关'!CM34</f>
        <v>#VALUE!</v>
      </c>
      <c r="R33" s="31" t="e">
        <f>H33*20%*'[1]功能-付费相关'!CN34</f>
        <v>#VALUE!</v>
      </c>
      <c r="S33" s="31">
        <f>$W$1*('[1]功能-行军令'!S32+S$2*[1]节奏总纲!BJ32)</f>
        <v>1179.87067185143</v>
      </c>
      <c r="T33" s="31">
        <f>$W$1*('[1]功能-行军令'!T32+T$2*[1]节奏总纲!BK32)</f>
        <v>1692.3999456985525</v>
      </c>
      <c r="U33" s="31">
        <f>$W$1*('[1]功能-行军令'!U32+U$2*[1]节奏总纲!BL32)</f>
        <v>2210.270003399437</v>
      </c>
      <c r="V33" s="31">
        <f>$W$1*('[1]功能-行军令'!V32+V$2*[1]节奏总纲!BM32)</f>
        <v>2645.0746614694549</v>
      </c>
      <c r="W33" s="31">
        <f>$W$1*('[1]功能-行军令'!W32+W$2*[1]节奏总纲!BN32)</f>
        <v>3359.531922277843</v>
      </c>
      <c r="X33" s="57">
        <f>S33*'[1]功能-付费相关'!AH34</f>
        <v>16.476954862800309</v>
      </c>
      <c r="Y33" s="57">
        <f>T33*'[1]功能-付费相关'!AI34</f>
        <v>23.634452639900957</v>
      </c>
      <c r="Z33" s="57">
        <f>U33*'[1]功能-付费相关'!AJ34</f>
        <v>30.866534739325949</v>
      </c>
      <c r="AA33" s="57">
        <f>V33*'[1]功能-付费相关'!AK34</f>
        <v>36.93860424327675</v>
      </c>
      <c r="AB33" s="57">
        <f>W33*'[1]功能-付费相关'!AL34</f>
        <v>46.916036786173372</v>
      </c>
      <c r="AC33" s="57"/>
    </row>
    <row r="34" spans="3:29" x14ac:dyDescent="0.15">
      <c r="C34" s="31">
        <v>30</v>
      </c>
      <c r="D34" s="31" t="e">
        <f>求节点([2]兵营招募!F$28:F$47,[2]兵营招募!$J$4:$J$23,节奏总纲!P33)*(1+[1]养成buff汇总!AA35)</f>
        <v>#VALUE!</v>
      </c>
      <c r="E34" s="31" t="e">
        <f>求节点([2]兵营招募!G$28:G$47,[2]兵营招募!$J$4:$J$23,节奏总纲!Q33)*(1+[1]养成buff汇总!AB35)</f>
        <v>#VALUE!</v>
      </c>
      <c r="F34" s="31" t="e">
        <f>求节点([2]兵营招募!H$28:H$47,[2]兵营招募!$J$4:$J$23,节奏总纲!R33)*(1+[1]养成buff汇总!AC35)</f>
        <v>#VALUE!</v>
      </c>
      <c r="G34" s="31" t="e">
        <f>求节点([2]兵营招募!I$28:I$47,[2]兵营招募!$J$4:$J$23,节奏总纲!S33)*(1+[1]养成buff汇总!AD35)</f>
        <v>#VALUE!</v>
      </c>
      <c r="H34" s="31" t="e">
        <f>求节点([2]兵营招募!J$28:J$47,[2]兵营招募!$J$4:$J$23,节奏总纲!T33)*(1+[1]养成buff汇总!AE35)</f>
        <v>#VALUE!</v>
      </c>
      <c r="I34" s="31" t="e">
        <f>100%*D34*'[1]功能-付费相关'!CJ35*节奏总纲!W33</f>
        <v>#VALUE!</v>
      </c>
      <c r="J34" s="31" t="e">
        <f>100%*E34*'[1]功能-付费相关'!CK35*节奏总纲!X33</f>
        <v>#VALUE!</v>
      </c>
      <c r="K34" s="31" t="e">
        <f>100%*F34*'[1]功能-付费相关'!CL35*节奏总纲!Y33</f>
        <v>#VALUE!</v>
      </c>
      <c r="L34" s="31" t="e">
        <f>100%*G34*'[1]功能-付费相关'!CM35*节奏总纲!Z33</f>
        <v>#VALUE!</v>
      </c>
      <c r="M34" s="31" t="e">
        <f>100%*H34*'[1]功能-付费相关'!CN35*节奏总纲!AA33</f>
        <v>#VALUE!</v>
      </c>
      <c r="N34" s="31" t="e">
        <f>D34*20%*'[1]功能-付费相关'!CJ35</f>
        <v>#VALUE!</v>
      </c>
      <c r="O34" s="31" t="e">
        <f>E34*20%*'[1]功能-付费相关'!CK35</f>
        <v>#VALUE!</v>
      </c>
      <c r="P34" s="31" t="e">
        <f>F34*20%*'[1]功能-付费相关'!CL35</f>
        <v>#VALUE!</v>
      </c>
      <c r="Q34" s="31" t="e">
        <f>G34*20%*'[1]功能-付费相关'!CM35</f>
        <v>#VALUE!</v>
      </c>
      <c r="R34" s="31" t="e">
        <f>H34*20%*'[1]功能-付费相关'!CN35</f>
        <v>#VALUE!</v>
      </c>
      <c r="S34" s="31">
        <f>$W$1*('[1]功能-行军令'!S33+S$2*[1]节奏总纲!BJ33)</f>
        <v>1226.2105156224329</v>
      </c>
      <c r="T34" s="31">
        <f>$W$1*('[1]功能-行军令'!T33+T$2*[1]节奏总纲!BK33)</f>
        <v>1752.1843599610656</v>
      </c>
      <c r="U34" s="31">
        <f>$W$1*('[1]功能-行军令'!U33+U$2*[1]节奏总纲!BL33)</f>
        <v>2266.3996899664003</v>
      </c>
      <c r="V34" s="31">
        <f>$W$1*('[1]功能-行军令'!V33+V$2*[1]节奏总纲!BM33)</f>
        <v>2686.7618271787019</v>
      </c>
      <c r="W34" s="31">
        <f>$W$1*('[1]功能-行军令'!W33+W$2*[1]节奏总纲!BN33)</f>
        <v>3417.8534433222399</v>
      </c>
      <c r="X34" s="57">
        <f>S34*'[1]功能-付费相关'!AH35</f>
        <v>16.617999736898575</v>
      </c>
      <c r="Y34" s="57">
        <f>T34*'[1]功能-付费相关'!AI35</f>
        <v>23.746166634405668</v>
      </c>
      <c r="Z34" s="57">
        <f>U34*'[1]功能-付费相关'!AJ35</f>
        <v>30.714978359527962</v>
      </c>
      <c r="AA34" s="57">
        <f>V34*'[1]功能-付费相关'!AK35</f>
        <v>36.411861396002514</v>
      </c>
      <c r="AB34" s="57">
        <f>W34*'[1]功能-付费相关'!AL35</f>
        <v>46.319850383158609</v>
      </c>
      <c r="AC34" s="57"/>
    </row>
    <row r="35" spans="3:29" x14ac:dyDescent="0.15">
      <c r="C35" s="31">
        <v>31</v>
      </c>
      <c r="D35" s="31" t="e">
        <f>求节点([2]兵营招募!F$28:F$47,[2]兵营招募!$J$4:$J$23,节奏总纲!P34)*(1+[1]养成buff汇总!AA36)</f>
        <v>#VALUE!</v>
      </c>
      <c r="E35" s="31" t="e">
        <f>求节点([2]兵营招募!G$28:G$47,[2]兵营招募!$J$4:$J$23,节奏总纲!Q34)*(1+[1]养成buff汇总!AB36)</f>
        <v>#VALUE!</v>
      </c>
      <c r="F35" s="31" t="e">
        <f>求节点([2]兵营招募!H$28:H$47,[2]兵营招募!$J$4:$J$23,节奏总纲!R34)*(1+[1]养成buff汇总!AC36)</f>
        <v>#VALUE!</v>
      </c>
      <c r="G35" s="31" t="e">
        <f>求节点([2]兵营招募!I$28:I$47,[2]兵营招募!$J$4:$J$23,节奏总纲!S34)*(1+[1]养成buff汇总!AD36)</f>
        <v>#VALUE!</v>
      </c>
      <c r="H35" s="31" t="e">
        <f>求节点([2]兵营招募!J$28:J$47,[2]兵营招募!$J$4:$J$23,节奏总纲!T34)*(1+[1]养成buff汇总!AE36)</f>
        <v>#VALUE!</v>
      </c>
      <c r="I35" s="31" t="e">
        <f>100%*D35*'[1]功能-付费相关'!CJ36*节奏总纲!W34</f>
        <v>#VALUE!</v>
      </c>
      <c r="J35" s="31" t="e">
        <f>100%*E35*'[1]功能-付费相关'!CK36*节奏总纲!X34</f>
        <v>#VALUE!</v>
      </c>
      <c r="K35" s="31" t="e">
        <f>100%*F35*'[1]功能-付费相关'!CL36*节奏总纲!Y34</f>
        <v>#VALUE!</v>
      </c>
      <c r="L35" s="31" t="e">
        <f>100%*G35*'[1]功能-付费相关'!CM36*节奏总纲!Z34</f>
        <v>#VALUE!</v>
      </c>
      <c r="M35" s="31" t="e">
        <f>100%*H35*'[1]功能-付费相关'!CN36*节奏总纲!AA34</f>
        <v>#VALUE!</v>
      </c>
      <c r="N35" s="31" t="e">
        <f>D35*20%*'[1]功能-付费相关'!CJ36</f>
        <v>#VALUE!</v>
      </c>
      <c r="O35" s="31" t="e">
        <f>E35*20%*'[1]功能-付费相关'!CK36</f>
        <v>#VALUE!</v>
      </c>
      <c r="P35" s="31" t="e">
        <f>F35*20%*'[1]功能-付费相关'!CL36</f>
        <v>#VALUE!</v>
      </c>
      <c r="Q35" s="31" t="e">
        <f>G35*20%*'[1]功能-付费相关'!CM36</f>
        <v>#VALUE!</v>
      </c>
      <c r="R35" s="31" t="e">
        <f>H35*20%*'[1]功能-付费相关'!CN36</f>
        <v>#VALUE!</v>
      </c>
      <c r="S35" s="31">
        <f>$W$1*('[1]功能-行军令'!S34+S$2*[1]节奏总纲!BJ34)</f>
        <v>1274.9193509337831</v>
      </c>
      <c r="T35" s="31">
        <f>$W$1*('[1]功能-行军令'!T34+T$2*[1]节奏总纲!BK34)</f>
        <v>1824.3373144018124</v>
      </c>
      <c r="U35" s="31">
        <f>$W$1*('[1]功能-行军令'!U34+U$2*[1]节奏总纲!BL34)</f>
        <v>2349.4474238926891</v>
      </c>
      <c r="V35" s="31">
        <f>$W$1*('[1]功能-行军令'!V34+V$2*[1]节奏总纲!BM34)</f>
        <v>2765.1382644899913</v>
      </c>
      <c r="W35" s="31">
        <f>$W$1*('[1]功能-行军令'!W34+W$2*[1]节奏总纲!BN34)</f>
        <v>3501.8882601095156</v>
      </c>
      <c r="X35" s="57">
        <f>S35*'[1]功能-付费相关'!AH36</f>
        <v>16.767472011182587</v>
      </c>
      <c r="Y35" s="57">
        <f>T35*'[1]功能-付费相关'!AI36</f>
        <v>23.99330187888658</v>
      </c>
      <c r="Z35" s="57">
        <f>U35*'[1]功能-付费相关'!AJ36</f>
        <v>30.899439947328688</v>
      </c>
      <c r="AA35" s="57">
        <f>V35*'[1]功能-付费相关'!AK36</f>
        <v>36.366518731500534</v>
      </c>
      <c r="AB35" s="57">
        <f>W35*'[1]功能-付费相关'!AL36</f>
        <v>46.056100211098673</v>
      </c>
      <c r="AC35" s="57"/>
    </row>
    <row r="36" spans="3:29" x14ac:dyDescent="0.15">
      <c r="C36" s="31">
        <v>32</v>
      </c>
      <c r="D36" s="31" t="e">
        <f>求节点([2]兵营招募!F$28:F$47,[2]兵营招募!$J$4:$J$23,节奏总纲!P35)*(1+[1]养成buff汇总!AA37)</f>
        <v>#VALUE!</v>
      </c>
      <c r="E36" s="31" t="e">
        <f>求节点([2]兵营招募!G$28:G$47,[2]兵营招募!$J$4:$J$23,节奏总纲!Q35)*(1+[1]养成buff汇总!AB37)</f>
        <v>#VALUE!</v>
      </c>
      <c r="F36" s="31" t="e">
        <f>求节点([2]兵营招募!H$28:H$47,[2]兵营招募!$J$4:$J$23,节奏总纲!R35)*(1+[1]养成buff汇总!AC37)</f>
        <v>#VALUE!</v>
      </c>
      <c r="G36" s="31" t="e">
        <f>求节点([2]兵营招募!I$28:I$47,[2]兵营招募!$J$4:$J$23,节奏总纲!S35)*(1+[1]养成buff汇总!AD37)</f>
        <v>#VALUE!</v>
      </c>
      <c r="H36" s="31" t="e">
        <f>求节点([2]兵营招募!J$28:J$47,[2]兵营招募!$J$4:$J$23,节奏总纲!T35)*(1+[1]养成buff汇总!AE37)</f>
        <v>#VALUE!</v>
      </c>
      <c r="I36" s="31" t="e">
        <f>100%*D36*'[1]功能-付费相关'!CJ37*节奏总纲!W35</f>
        <v>#VALUE!</v>
      </c>
      <c r="J36" s="31" t="e">
        <f>100%*E36*'[1]功能-付费相关'!CK37*节奏总纲!X35</f>
        <v>#VALUE!</v>
      </c>
      <c r="K36" s="31" t="e">
        <f>100%*F36*'[1]功能-付费相关'!CL37*节奏总纲!Y35</f>
        <v>#VALUE!</v>
      </c>
      <c r="L36" s="31" t="e">
        <f>100%*G36*'[1]功能-付费相关'!CM37*节奏总纲!Z35</f>
        <v>#VALUE!</v>
      </c>
      <c r="M36" s="31" t="e">
        <f>100%*H36*'[1]功能-付费相关'!CN37*节奏总纲!AA35</f>
        <v>#VALUE!</v>
      </c>
      <c r="N36" s="31" t="e">
        <f>D36*20%*'[1]功能-付费相关'!CJ37</f>
        <v>#VALUE!</v>
      </c>
      <c r="O36" s="31" t="e">
        <f>E36*20%*'[1]功能-付费相关'!CK37</f>
        <v>#VALUE!</v>
      </c>
      <c r="P36" s="31" t="e">
        <f>F36*20%*'[1]功能-付费相关'!CL37</f>
        <v>#VALUE!</v>
      </c>
      <c r="Q36" s="31" t="e">
        <f>G36*20%*'[1]功能-付费相关'!CM37</f>
        <v>#VALUE!</v>
      </c>
      <c r="R36" s="31" t="e">
        <f>H36*20%*'[1]功能-付费相关'!CN37</f>
        <v>#VALUE!</v>
      </c>
      <c r="S36" s="31">
        <f>$W$1*('[1]功能-行军令'!S35+S$2*[1]节奏总纲!BJ35)</f>
        <v>1326.1672085110627</v>
      </c>
      <c r="T36" s="31">
        <f>$W$1*('[1]功能-行军令'!T35+T$2*[1]节奏总纲!BK35)</f>
        <v>1887.0133766489128</v>
      </c>
      <c r="U36" s="31">
        <f>$W$1*('[1]功能-行军令'!U35+U$2*[1]节奏总纲!BL35)</f>
        <v>2417.584562204072</v>
      </c>
      <c r="V36" s="31">
        <f>$W$1*('[1]功能-行军令'!V35+V$2*[1]节奏总纲!BM35)</f>
        <v>2852.6666662930479</v>
      </c>
      <c r="W36" s="31">
        <f>$W$1*('[1]功能-行军令'!W35+W$2*[1]节奏总纲!BN35)</f>
        <v>3576.7049558861845</v>
      </c>
      <c r="X36" s="57">
        <f>S36*'[1]功能-付费相关'!AH37</f>
        <v>16.925999658411961</v>
      </c>
      <c r="Y36" s="57">
        <f>T36*'[1]功能-付费相关'!AI37</f>
        <v>24.084133255291437</v>
      </c>
      <c r="Z36" s="57">
        <f>U36*'[1]功能-付费相关'!AJ37</f>
        <v>30.855864337039822</v>
      </c>
      <c r="AA36" s="57">
        <f>V36*'[1]功能-付费相关'!AK37</f>
        <v>36.408859086064894</v>
      </c>
      <c r="AB36" s="57">
        <f>W36*'[1]功能-付费相关'!AL37</f>
        <v>45.649829428024887</v>
      </c>
      <c r="AC36" s="57"/>
    </row>
    <row r="37" spans="3:29" x14ac:dyDescent="0.15">
      <c r="C37" s="31">
        <v>33</v>
      </c>
      <c r="D37" s="31" t="e">
        <f>求节点([2]兵营招募!F$28:F$47,[2]兵营招募!$J$4:$J$23,节奏总纲!P36)*(1+[1]养成buff汇总!AA38)</f>
        <v>#VALUE!</v>
      </c>
      <c r="E37" s="31" t="e">
        <f>求节点([2]兵营招募!G$28:G$47,[2]兵营招募!$J$4:$J$23,节奏总纲!Q36)*(1+[1]养成buff汇总!AB38)</f>
        <v>#VALUE!</v>
      </c>
      <c r="F37" s="31" t="e">
        <f>求节点([2]兵营招募!H$28:H$47,[2]兵营招募!$J$4:$J$23,节奏总纲!R36)*(1+[1]养成buff汇总!AC38)</f>
        <v>#VALUE!</v>
      </c>
      <c r="G37" s="31" t="e">
        <f>求节点([2]兵营招募!I$28:I$47,[2]兵营招募!$J$4:$J$23,节奏总纲!S36)*(1+[1]养成buff汇总!AD38)</f>
        <v>#VALUE!</v>
      </c>
      <c r="H37" s="31" t="e">
        <f>求节点([2]兵营招募!J$28:J$47,[2]兵营招募!$J$4:$J$23,节奏总纲!T36)*(1+[1]养成buff汇总!AE38)</f>
        <v>#VALUE!</v>
      </c>
      <c r="I37" s="31" t="e">
        <f>100%*D37*'[1]功能-付费相关'!CJ38*节奏总纲!W36</f>
        <v>#VALUE!</v>
      </c>
      <c r="J37" s="31" t="e">
        <f>100%*E37*'[1]功能-付费相关'!CK38*节奏总纲!X36</f>
        <v>#VALUE!</v>
      </c>
      <c r="K37" s="31" t="e">
        <f>100%*F37*'[1]功能-付费相关'!CL38*节奏总纲!Y36</f>
        <v>#VALUE!</v>
      </c>
      <c r="L37" s="31" t="e">
        <f>100%*G37*'[1]功能-付费相关'!CM38*节奏总纲!Z36</f>
        <v>#VALUE!</v>
      </c>
      <c r="M37" s="31" t="e">
        <f>100%*H37*'[1]功能-付费相关'!CN38*节奏总纲!AA36</f>
        <v>#VALUE!</v>
      </c>
      <c r="N37" s="31" t="e">
        <f>D37*20%*'[1]功能-付费相关'!CJ38</f>
        <v>#VALUE!</v>
      </c>
      <c r="O37" s="31" t="e">
        <f>E37*20%*'[1]功能-付费相关'!CK38</f>
        <v>#VALUE!</v>
      </c>
      <c r="P37" s="31" t="e">
        <f>F37*20%*'[1]功能-付费相关'!CL38</f>
        <v>#VALUE!</v>
      </c>
      <c r="Q37" s="31" t="e">
        <f>G37*20%*'[1]功能-付费相关'!CM38</f>
        <v>#VALUE!</v>
      </c>
      <c r="R37" s="31" t="e">
        <f>H37*20%*'[1]功能-付费相关'!CN38</f>
        <v>#VALUE!</v>
      </c>
      <c r="S37" s="31">
        <f>$W$1*('[1]功能-行军令'!S36+S$2*[1]节奏总纲!BJ36)</f>
        <v>1380.1363227737406</v>
      </c>
      <c r="T37" s="31">
        <f>$W$1*('[1]功能-行军令'!T36+T$2*[1]节奏总纲!BK36)</f>
        <v>1933.6973677358937</v>
      </c>
      <c r="U37" s="31">
        <f>$W$1*('[1]功能-行军令'!U36+U$2*[1]节奏总纲!BL36)</f>
        <v>2482.6580353490085</v>
      </c>
      <c r="V37" s="31">
        <f>$W$1*('[1]功能-行军令'!V36+V$2*[1]节奏总纲!BM36)</f>
        <v>2926.1209847828127</v>
      </c>
      <c r="W37" s="31">
        <f>$W$1*('[1]功能-行军令'!W36+W$2*[1]节奏总纲!BN36)</f>
        <v>3655.1490975203105</v>
      </c>
      <c r="X37" s="57">
        <f>S37*'[1]功能-付费相关'!AH38</f>
        <v>17.094216265853355</v>
      </c>
      <c r="Y37" s="57">
        <f>T37*'[1]功能-付费相关'!AI38</f>
        <v>23.950562311378111</v>
      </c>
      <c r="Z37" s="57">
        <f>U37*'[1]功能-付费相关'!AJ38</f>
        <v>30.749928590475921</v>
      </c>
      <c r="AA37" s="57">
        <f>V37*'[1]功能-付费相关'!AK38</f>
        <v>36.242611768525578</v>
      </c>
      <c r="AB37" s="57">
        <f>W37*'[1]功能-付费相关'!AL38</f>
        <v>45.272273561627124</v>
      </c>
      <c r="AC37" s="57"/>
    </row>
    <row r="38" spans="3:29" x14ac:dyDescent="0.15">
      <c r="C38" s="31">
        <v>34</v>
      </c>
      <c r="D38" s="31" t="e">
        <f>求节点([2]兵营招募!F$28:F$47,[2]兵营招募!$J$4:$J$23,节奏总纲!P37)*(1+[1]养成buff汇总!AA39)</f>
        <v>#VALUE!</v>
      </c>
      <c r="E38" s="31" t="e">
        <f>求节点([2]兵营招募!G$28:G$47,[2]兵营招募!$J$4:$J$23,节奏总纲!Q37)*(1+[1]养成buff汇总!AB39)</f>
        <v>#VALUE!</v>
      </c>
      <c r="F38" s="31" t="e">
        <f>求节点([2]兵营招募!H$28:H$47,[2]兵营招募!$J$4:$J$23,节奏总纲!R37)*(1+[1]养成buff汇总!AC39)</f>
        <v>#VALUE!</v>
      </c>
      <c r="G38" s="31" t="e">
        <f>求节点([2]兵营招募!I$28:I$47,[2]兵营招募!$J$4:$J$23,节奏总纲!S37)*(1+[1]养成buff汇总!AD39)</f>
        <v>#VALUE!</v>
      </c>
      <c r="H38" s="31" t="e">
        <f>求节点([2]兵营招募!J$28:J$47,[2]兵营招募!$J$4:$J$23,节奏总纲!T37)*(1+[1]养成buff汇总!AE39)</f>
        <v>#VALUE!</v>
      </c>
      <c r="I38" s="31" t="e">
        <f>100%*D38*'[1]功能-付费相关'!CJ39*节奏总纲!W37</f>
        <v>#VALUE!</v>
      </c>
      <c r="J38" s="31" t="e">
        <f>100%*E38*'[1]功能-付费相关'!CK39*节奏总纲!X37</f>
        <v>#VALUE!</v>
      </c>
      <c r="K38" s="31" t="e">
        <f>100%*F38*'[1]功能-付费相关'!CL39*节奏总纲!Y37</f>
        <v>#VALUE!</v>
      </c>
      <c r="L38" s="31" t="e">
        <f>100%*G38*'[1]功能-付费相关'!CM39*节奏总纲!Z37</f>
        <v>#VALUE!</v>
      </c>
      <c r="M38" s="31" t="e">
        <f>100%*H38*'[1]功能-付费相关'!CN39*节奏总纲!AA37</f>
        <v>#VALUE!</v>
      </c>
      <c r="N38" s="31" t="e">
        <f>D38*20%*'[1]功能-付费相关'!CJ39</f>
        <v>#VALUE!</v>
      </c>
      <c r="O38" s="31" t="e">
        <f>E38*20%*'[1]功能-付费相关'!CK39</f>
        <v>#VALUE!</v>
      </c>
      <c r="P38" s="31" t="e">
        <f>F38*20%*'[1]功能-付费相关'!CL39</f>
        <v>#VALUE!</v>
      </c>
      <c r="Q38" s="31" t="e">
        <f>G38*20%*'[1]功能-付费相关'!CM39</f>
        <v>#VALUE!</v>
      </c>
      <c r="R38" s="31" t="e">
        <f>H38*20%*'[1]功能-付费相关'!CN39</f>
        <v>#VALUE!</v>
      </c>
      <c r="S38" s="31">
        <f>$W$1*('[1]功能-行军令'!S37+S$2*[1]节奏总纲!BJ37)</f>
        <v>1437.0220077365848</v>
      </c>
      <c r="T38" s="31">
        <f>$W$1*('[1]功能-行军令'!T37+T$2*[1]节奏总纲!BK37)</f>
        <v>2032.9757448919809</v>
      </c>
      <c r="U38" s="31">
        <f>$W$1*('[1]功能-行军令'!U37+U$2*[1]节奏总纲!BL37)</f>
        <v>2618.1570843189984</v>
      </c>
      <c r="V38" s="31">
        <f>$W$1*('[1]功能-行军令'!V37+V$2*[1]节奏总纲!BM37)</f>
        <v>3050.9027657648244</v>
      </c>
      <c r="W38" s="31">
        <f>$W$1*('[1]功能-行军令'!W37+W$2*[1]节奏总纲!BN37)</f>
        <v>3753.9910328995011</v>
      </c>
      <c r="X38" s="57">
        <f>S38*'[1]功能-付费相关'!AH39</f>
        <v>17.272762163572356</v>
      </c>
      <c r="Y38" s="57">
        <f>T38*'[1]功能-付费相关'!AI39</f>
        <v>24.436025570088105</v>
      </c>
      <c r="Z38" s="57">
        <f>U38*'[1]功能-付费相关'!AJ39</f>
        <v>31.469806572791011</v>
      </c>
      <c r="AA38" s="57">
        <f>V38*'[1]功能-付费相关'!AK39</f>
        <v>36.671336676494867</v>
      </c>
      <c r="AB38" s="57">
        <f>W38*'[1]功能-付费相关'!AL39</f>
        <v>45.1223390639556</v>
      </c>
      <c r="AC38" s="57"/>
    </row>
    <row r="39" spans="3:29" x14ac:dyDescent="0.15">
      <c r="C39" s="31">
        <v>35</v>
      </c>
      <c r="D39" s="31" t="e">
        <f>求节点([2]兵营招募!F$28:F$47,[2]兵营招募!$J$4:$J$23,节奏总纲!P38)*(1+[1]养成buff汇总!AA40)</f>
        <v>#VALUE!</v>
      </c>
      <c r="E39" s="31" t="e">
        <f>求节点([2]兵营招募!G$28:G$47,[2]兵营招募!$J$4:$J$23,节奏总纲!Q38)*(1+[1]养成buff汇总!AB40)</f>
        <v>#VALUE!</v>
      </c>
      <c r="F39" s="31" t="e">
        <f>求节点([2]兵营招募!H$28:H$47,[2]兵营招募!$J$4:$J$23,节奏总纲!R38)*(1+[1]养成buff汇总!AC40)</f>
        <v>#VALUE!</v>
      </c>
      <c r="G39" s="31" t="e">
        <f>求节点([2]兵营招募!I$28:I$47,[2]兵营招募!$J$4:$J$23,节奏总纲!S38)*(1+[1]养成buff汇总!AD40)</f>
        <v>#VALUE!</v>
      </c>
      <c r="H39" s="31" t="e">
        <f>求节点([2]兵营招募!J$28:J$47,[2]兵营招募!$J$4:$J$23,节奏总纲!T38)*(1+[1]养成buff汇总!AE40)</f>
        <v>#VALUE!</v>
      </c>
      <c r="I39" s="31" t="e">
        <f>100%*D39*'[1]功能-付费相关'!CJ40*节奏总纲!W38</f>
        <v>#VALUE!</v>
      </c>
      <c r="J39" s="31" t="e">
        <f>100%*E39*'[1]功能-付费相关'!CK40*节奏总纲!X38</f>
        <v>#VALUE!</v>
      </c>
      <c r="K39" s="31" t="e">
        <f>100%*F39*'[1]功能-付费相关'!CL40*节奏总纲!Y38</f>
        <v>#VALUE!</v>
      </c>
      <c r="L39" s="31" t="e">
        <f>100%*G39*'[1]功能-付费相关'!CM40*节奏总纲!Z38</f>
        <v>#VALUE!</v>
      </c>
      <c r="M39" s="31" t="e">
        <f>100%*H39*'[1]功能-付费相关'!CN40*节奏总纲!AA38</f>
        <v>#VALUE!</v>
      </c>
      <c r="N39" s="31" t="e">
        <f>D39*20%*'[1]功能-付费相关'!CJ40</f>
        <v>#VALUE!</v>
      </c>
      <c r="O39" s="31" t="e">
        <f>E39*20%*'[1]功能-付费相关'!CK40</f>
        <v>#VALUE!</v>
      </c>
      <c r="P39" s="31" t="e">
        <f>F39*20%*'[1]功能-付费相关'!CL40</f>
        <v>#VALUE!</v>
      </c>
      <c r="Q39" s="31" t="e">
        <f>G39*20%*'[1]功能-付费相关'!CM40</f>
        <v>#VALUE!</v>
      </c>
      <c r="R39" s="31" t="e">
        <f>H39*20%*'[1]功能-付费相关'!CN40</f>
        <v>#VALUE!</v>
      </c>
      <c r="S39" s="31">
        <f>$W$1*('[1]功能-行军令'!S38+S$2*[1]节奏总纲!BJ38)</f>
        <v>1497.0335957774796</v>
      </c>
      <c r="T39" s="31">
        <f>$W$1*('[1]功能-行军令'!T38+T$2*[1]节奏总纲!BK38)</f>
        <v>2127.056709542625</v>
      </c>
      <c r="U39" s="31">
        <f>$W$1*('[1]功能-行军令'!U38+U$2*[1]节奏总纲!BL38)</f>
        <v>2720.5065031490303</v>
      </c>
      <c r="V39" s="31">
        <f>$W$1*('[1]功能-行军令'!V38+V$2*[1]节奏总纲!BM38)</f>
        <v>3128.2771823178418</v>
      </c>
      <c r="W39" s="31">
        <f>$W$1*('[1]功能-行军令'!W38+W$2*[1]节奏总纲!BN38)</f>
        <v>3832.6904891697468</v>
      </c>
      <c r="X39" s="57">
        <f>S39*'[1]功能-付费相关'!AH40</f>
        <v>17.462285561671681</v>
      </c>
      <c r="Y39" s="57">
        <f>T39*'[1]功能-付费相关'!AI40</f>
        <v>24.811247905637558</v>
      </c>
      <c r="Z39" s="57">
        <f>U39*'[1]功能-付费相关'!AJ40</f>
        <v>31.733597405141065</v>
      </c>
      <c r="AA39" s="57">
        <f>V39*'[1]功能-付费相关'!AK40</f>
        <v>36.490075859203102</v>
      </c>
      <c r="AB39" s="57">
        <f>W39*'[1]功能-付费相关'!AL40</f>
        <v>44.706769427326471</v>
      </c>
      <c r="AC39" s="57"/>
    </row>
    <row r="40" spans="3:29" x14ac:dyDescent="0.15">
      <c r="C40" s="31">
        <v>36</v>
      </c>
      <c r="D40" s="31" t="e">
        <f>求节点([2]兵营招募!F$28:F$47,[2]兵营招募!$J$4:$J$23,节奏总纲!P39)*(1+[1]养成buff汇总!AA41)</f>
        <v>#VALUE!</v>
      </c>
      <c r="E40" s="31" t="e">
        <f>求节点([2]兵营招募!G$28:G$47,[2]兵营招募!$J$4:$J$23,节奏总纲!Q39)*(1+[1]养成buff汇总!AB41)</f>
        <v>#VALUE!</v>
      </c>
      <c r="F40" s="31" t="e">
        <f>求节点([2]兵营招募!H$28:H$47,[2]兵营招募!$J$4:$J$23,节奏总纲!R39)*(1+[1]养成buff汇总!AC41)</f>
        <v>#VALUE!</v>
      </c>
      <c r="G40" s="31" t="e">
        <f>求节点([2]兵营招募!I$28:I$47,[2]兵营招募!$J$4:$J$23,节奏总纲!S39)*(1+[1]养成buff汇总!AD41)</f>
        <v>#VALUE!</v>
      </c>
      <c r="H40" s="31" t="e">
        <f>求节点([2]兵营招募!J$28:J$47,[2]兵营招募!$J$4:$J$23,节奏总纲!T39)*(1+[1]养成buff汇总!AE41)</f>
        <v>#VALUE!</v>
      </c>
      <c r="I40" s="31" t="e">
        <f>100%*D40*'[1]功能-付费相关'!CJ41*节奏总纲!W39</f>
        <v>#VALUE!</v>
      </c>
      <c r="J40" s="31" t="e">
        <f>100%*E40*'[1]功能-付费相关'!CK41*节奏总纲!X39</f>
        <v>#VALUE!</v>
      </c>
      <c r="K40" s="31" t="e">
        <f>100%*F40*'[1]功能-付费相关'!CL41*节奏总纲!Y39</f>
        <v>#VALUE!</v>
      </c>
      <c r="L40" s="31" t="e">
        <f>100%*G40*'[1]功能-付费相关'!CM41*节奏总纲!Z39</f>
        <v>#VALUE!</v>
      </c>
      <c r="M40" s="31" t="e">
        <f>100%*H40*'[1]功能-付费相关'!CN41*节奏总纲!AA39</f>
        <v>#VALUE!</v>
      </c>
      <c r="N40" s="31" t="e">
        <f>D40*20%*'[1]功能-付费相关'!CJ41</f>
        <v>#VALUE!</v>
      </c>
      <c r="O40" s="31" t="e">
        <f>E40*20%*'[1]功能-付费相关'!CK41</f>
        <v>#VALUE!</v>
      </c>
      <c r="P40" s="31" t="e">
        <f>F40*20%*'[1]功能-付费相关'!CL41</f>
        <v>#VALUE!</v>
      </c>
      <c r="Q40" s="31" t="e">
        <f>G40*20%*'[1]功能-付费相关'!CM41</f>
        <v>#VALUE!</v>
      </c>
      <c r="R40" s="31" t="e">
        <f>H40*20%*'[1]功能-付费相关'!CN41</f>
        <v>#VALUE!</v>
      </c>
      <c r="S40" s="31">
        <f>$W$1*('[1]功能-行军令'!S39+S$2*[1]节奏总纲!BJ39)</f>
        <v>1560.3954437838852</v>
      </c>
      <c r="T40" s="31">
        <f>$W$1*('[1]功能-行军令'!T39+T$2*[1]节奏总纲!BK39)</f>
        <v>2210.8300953719263</v>
      </c>
      <c r="U40" s="31">
        <f>$W$1*('[1]功能-行军令'!U39+U$2*[1]节奏总纲!BL39)</f>
        <v>2790.456150790676</v>
      </c>
      <c r="V40" s="31">
        <f>$W$1*('[1]功能-行军令'!V39+V$2*[1]节奏总纲!BM39)</f>
        <v>3202.860374386124</v>
      </c>
      <c r="W40" s="31">
        <f>$W$1*('[1]功能-行军令'!W39+W$2*[1]节奏总纲!BN39)</f>
        <v>3886.1287701437859</v>
      </c>
      <c r="X40" s="57">
        <f>S40*'[1]功能-付费相关'!AH41</f>
        <v>17.663443698191884</v>
      </c>
      <c r="Y40" s="57">
        <f>T40*'[1]功能-付费相关'!AI41</f>
        <v>25.026266944982673</v>
      </c>
      <c r="Z40" s="57">
        <f>U40*'[1]功能-付费相关'!AJ41</f>
        <v>31.587547443897105</v>
      </c>
      <c r="AA40" s="57">
        <f>V40*'[1]功能-付费相关'!AK41</f>
        <v>36.255901746900079</v>
      </c>
      <c r="AB40" s="57">
        <f>W40*'[1]功能-付费相关'!AL41</f>
        <v>43.990398080696657</v>
      </c>
      <c r="AC40" s="57"/>
    </row>
    <row r="41" spans="3:29" x14ac:dyDescent="0.15">
      <c r="C41" s="31">
        <v>37</v>
      </c>
      <c r="D41" s="31" t="e">
        <f>求节点([2]兵营招募!F$28:F$47,[2]兵营招募!$J$4:$J$23,节奏总纲!P40)*(1+[1]养成buff汇总!AA42)</f>
        <v>#VALUE!</v>
      </c>
      <c r="E41" s="31" t="e">
        <f>求节点([2]兵营招募!G$28:G$47,[2]兵营招募!$J$4:$J$23,节奏总纲!Q40)*(1+[1]养成buff汇总!AB42)</f>
        <v>#VALUE!</v>
      </c>
      <c r="F41" s="31" t="e">
        <f>求节点([2]兵营招募!H$28:H$47,[2]兵营招募!$J$4:$J$23,节奏总纲!R40)*(1+[1]养成buff汇总!AC42)</f>
        <v>#VALUE!</v>
      </c>
      <c r="G41" s="31" t="e">
        <f>求节点([2]兵营招募!I$28:I$47,[2]兵营招募!$J$4:$J$23,节奏总纲!S40)*(1+[1]养成buff汇总!AD42)</f>
        <v>#VALUE!</v>
      </c>
      <c r="H41" s="31" t="e">
        <f>求节点([2]兵营招募!J$28:J$47,[2]兵营招募!$J$4:$J$23,节奏总纲!T40)*(1+[1]养成buff汇总!AE42)</f>
        <v>#VALUE!</v>
      </c>
      <c r="I41" s="31" t="e">
        <f>100%*D41*'[1]功能-付费相关'!CJ42*节奏总纲!W40</f>
        <v>#VALUE!</v>
      </c>
      <c r="J41" s="31" t="e">
        <f>100%*E41*'[1]功能-付费相关'!CK42*节奏总纲!X40</f>
        <v>#VALUE!</v>
      </c>
      <c r="K41" s="31" t="e">
        <f>100%*F41*'[1]功能-付费相关'!CL42*节奏总纲!Y40</f>
        <v>#VALUE!</v>
      </c>
      <c r="L41" s="31" t="e">
        <f>100%*G41*'[1]功能-付费相关'!CM42*节奏总纲!Z40</f>
        <v>#VALUE!</v>
      </c>
      <c r="M41" s="31" t="e">
        <f>100%*H41*'[1]功能-付费相关'!CN42*节奏总纲!AA40</f>
        <v>#VALUE!</v>
      </c>
      <c r="N41" s="31" t="e">
        <f>D41*20%*'[1]功能-付费相关'!CJ42</f>
        <v>#VALUE!</v>
      </c>
      <c r="O41" s="31" t="e">
        <f>E41*20%*'[1]功能-付费相关'!CK42</f>
        <v>#VALUE!</v>
      </c>
      <c r="P41" s="31" t="e">
        <f>F41*20%*'[1]功能-付费相关'!CL42</f>
        <v>#VALUE!</v>
      </c>
      <c r="Q41" s="31" t="e">
        <f>G41*20%*'[1]功能-付费相关'!CM42</f>
        <v>#VALUE!</v>
      </c>
      <c r="R41" s="31" t="e">
        <f>H41*20%*'[1]功能-付费相关'!CN42</f>
        <v>#VALUE!</v>
      </c>
      <c r="S41" s="31">
        <f>$W$1*('[1]功能-行军令'!S40+S$2*[1]节奏总纲!BJ40)</f>
        <v>1627.3480115139255</v>
      </c>
      <c r="T41" s="31">
        <f>$W$1*('[1]功能-行军令'!T40+T$2*[1]节奏总纲!BK40)</f>
        <v>2279.4781865341738</v>
      </c>
      <c r="U41" s="31">
        <f>$W$1*('[1]功能-行军令'!U40+U$2*[1]节奏总纲!BL40)</f>
        <v>2892.8921910469876</v>
      </c>
      <c r="V41" s="31">
        <f>$W$1*('[1]功能-行军令'!V40+V$2*[1]节奏总纲!BM40)</f>
        <v>3276.0224344543049</v>
      </c>
      <c r="W41" s="31">
        <f>$W$1*('[1]功能-行军令'!W40+W$2*[1]节奏总纲!BN40)</f>
        <v>4010.0282733398349</v>
      </c>
      <c r="X41" s="57">
        <f>S41*'[1]功能-付费相关'!AH42</f>
        <v>17.876903999410139</v>
      </c>
      <c r="Y41" s="57">
        <f>T41*'[1]功能-付费相关'!AI42</f>
        <v>25.040748764925283</v>
      </c>
      <c r="Z41" s="57">
        <f>U41*'[1]功能-付费相关'!AJ42</f>
        <v>31.779284832799092</v>
      </c>
      <c r="AA41" s="57">
        <f>V41*'[1]功能-付费相关'!AK42</f>
        <v>35.98808499859242</v>
      </c>
      <c r="AB41" s="57">
        <f>W41*'[1]功能-付费相关'!AL42</f>
        <v>44.051358388133686</v>
      </c>
      <c r="AC41" s="57"/>
    </row>
    <row r="42" spans="3:29" x14ac:dyDescent="0.15">
      <c r="C42" s="31">
        <v>38</v>
      </c>
      <c r="D42" s="31" t="e">
        <f>求节点([2]兵营招募!F$28:F$47,[2]兵营招募!$J$4:$J$23,节奏总纲!P41)*(1+[1]养成buff汇总!AA43)</f>
        <v>#VALUE!</v>
      </c>
      <c r="E42" s="31" t="e">
        <f>求节点([2]兵营招募!G$28:G$47,[2]兵营招募!$J$4:$J$23,节奏总纲!Q41)*(1+[1]养成buff汇总!AB43)</f>
        <v>#VALUE!</v>
      </c>
      <c r="F42" s="31" t="e">
        <f>求节点([2]兵营招募!H$28:H$47,[2]兵营招募!$J$4:$J$23,节奏总纲!R41)*(1+[1]养成buff汇总!AC43)</f>
        <v>#VALUE!</v>
      </c>
      <c r="G42" s="31" t="e">
        <f>求节点([2]兵营招募!I$28:I$47,[2]兵营招募!$J$4:$J$23,节奏总纲!S41)*(1+[1]养成buff汇总!AD43)</f>
        <v>#VALUE!</v>
      </c>
      <c r="H42" s="31" t="e">
        <f>求节点([2]兵营招募!J$28:J$47,[2]兵营招募!$J$4:$J$23,节奏总纲!T41)*(1+[1]养成buff汇总!AE43)</f>
        <v>#VALUE!</v>
      </c>
      <c r="I42" s="31" t="e">
        <f>100%*D42*'[1]功能-付费相关'!CJ43*节奏总纲!W41</f>
        <v>#VALUE!</v>
      </c>
      <c r="J42" s="31" t="e">
        <f>100%*E42*'[1]功能-付费相关'!CK43*节奏总纲!X41</f>
        <v>#VALUE!</v>
      </c>
      <c r="K42" s="31" t="e">
        <f>100%*F42*'[1]功能-付费相关'!CL43*节奏总纲!Y41</f>
        <v>#VALUE!</v>
      </c>
      <c r="L42" s="31" t="e">
        <f>100%*G42*'[1]功能-付费相关'!CM43*节奏总纲!Z41</f>
        <v>#VALUE!</v>
      </c>
      <c r="M42" s="31" t="e">
        <f>100%*H42*'[1]功能-付费相关'!CN43*节奏总纲!AA41</f>
        <v>#VALUE!</v>
      </c>
      <c r="N42" s="31" t="e">
        <f>D42*20%*'[1]功能-付费相关'!CJ43</f>
        <v>#VALUE!</v>
      </c>
      <c r="O42" s="31" t="e">
        <f>E42*20%*'[1]功能-付费相关'!CK43</f>
        <v>#VALUE!</v>
      </c>
      <c r="P42" s="31" t="e">
        <f>F42*20%*'[1]功能-付费相关'!CL43</f>
        <v>#VALUE!</v>
      </c>
      <c r="Q42" s="31" t="e">
        <f>G42*20%*'[1]功能-付费相关'!CM43</f>
        <v>#VALUE!</v>
      </c>
      <c r="R42" s="31" t="e">
        <f>H42*20%*'[1]功能-付费相关'!CN43</f>
        <v>#VALUE!</v>
      </c>
      <c r="S42" s="31">
        <f>$W$1*('[1]功能-行军令'!S41+S$2*[1]节奏总纲!BJ41)</f>
        <v>1698.1490173551595</v>
      </c>
      <c r="T42" s="31">
        <f>$W$1*('[1]功能-行军令'!T41+T$2*[1]节奏总纲!BK41)</f>
        <v>2368.8364057846657</v>
      </c>
      <c r="U42" s="31">
        <f>$W$1*('[1]功能-行军令'!U41+U$2*[1]节奏总纲!BL41)</f>
        <v>2967.3450587962916</v>
      </c>
      <c r="V42" s="31">
        <f>$W$1*('[1]功能-行军令'!V41+V$2*[1]节奏总纲!BM41)</f>
        <v>3381.8643859436247</v>
      </c>
      <c r="W42" s="31">
        <f>$W$1*('[1]功能-行军令'!W41+W$2*[1]节奏总纲!BN41)</f>
        <v>4086.0010828634881</v>
      </c>
      <c r="X42" s="57">
        <f>S42*'[1]功能-付费相关'!AH43</f>
        <v>18.103345254294826</v>
      </c>
      <c r="Y42" s="57">
        <f>T42*'[1]功能-付费相关'!AI43</f>
        <v>25.253298071363364</v>
      </c>
      <c r="Z42" s="57">
        <f>U42*'[1]功能-付费相关'!AJ43</f>
        <v>31.633779803189093</v>
      </c>
      <c r="AA42" s="57">
        <f>V42*'[1]功能-付费相关'!AK43</f>
        <v>36.05281866092951</v>
      </c>
      <c r="AB42" s="57">
        <f>W42*'[1]功能-付费相关'!AL43</f>
        <v>43.559362315391972</v>
      </c>
      <c r="AC42" s="57"/>
    </row>
    <row r="43" spans="3:29" x14ac:dyDescent="0.15">
      <c r="C43" s="31">
        <v>39</v>
      </c>
      <c r="D43" s="31" t="e">
        <f>求节点([2]兵营招募!F$28:F$47,[2]兵营招募!$J$4:$J$23,节奏总纲!P42)*(1+[1]养成buff汇总!AA44)</f>
        <v>#VALUE!</v>
      </c>
      <c r="E43" s="31" t="e">
        <f>求节点([2]兵营招募!G$28:G$47,[2]兵营招募!$J$4:$J$23,节奏总纲!Q42)*(1+[1]养成buff汇总!AB44)</f>
        <v>#VALUE!</v>
      </c>
      <c r="F43" s="31" t="e">
        <f>求节点([2]兵营招募!H$28:H$47,[2]兵营招募!$J$4:$J$23,节奏总纲!R42)*(1+[1]养成buff汇总!AC44)</f>
        <v>#VALUE!</v>
      </c>
      <c r="G43" s="31" t="e">
        <f>求节点([2]兵营招募!I$28:I$47,[2]兵营招募!$J$4:$J$23,节奏总纲!S42)*(1+[1]养成buff汇总!AD44)</f>
        <v>#VALUE!</v>
      </c>
      <c r="H43" s="31" t="e">
        <f>求节点([2]兵营招募!J$28:J$47,[2]兵营招募!$J$4:$J$23,节奏总纲!T42)*(1+[1]养成buff汇总!AE44)</f>
        <v>#VALUE!</v>
      </c>
      <c r="I43" s="31" t="e">
        <f>100%*D43*'[1]功能-付费相关'!CJ44*节奏总纲!W42</f>
        <v>#VALUE!</v>
      </c>
      <c r="J43" s="31" t="e">
        <f>100%*E43*'[1]功能-付费相关'!CK44*节奏总纲!X42</f>
        <v>#VALUE!</v>
      </c>
      <c r="K43" s="31" t="e">
        <f>100%*F43*'[1]功能-付费相关'!CL44*节奏总纲!Y42</f>
        <v>#VALUE!</v>
      </c>
      <c r="L43" s="31" t="e">
        <f>100%*G43*'[1]功能-付费相关'!CM44*节奏总纲!Z42</f>
        <v>#VALUE!</v>
      </c>
      <c r="M43" s="31" t="e">
        <f>100%*H43*'[1]功能-付费相关'!CN44*节奏总纲!AA42</f>
        <v>#VALUE!</v>
      </c>
      <c r="N43" s="31" t="e">
        <f>D43*20%*'[1]功能-付费相关'!CJ44</f>
        <v>#VALUE!</v>
      </c>
      <c r="O43" s="31" t="e">
        <f>E43*20%*'[1]功能-付费相关'!CK44</f>
        <v>#VALUE!</v>
      </c>
      <c r="P43" s="31" t="e">
        <f>F43*20%*'[1]功能-付费相关'!CL44</f>
        <v>#VALUE!</v>
      </c>
      <c r="Q43" s="31" t="e">
        <f>G43*20%*'[1]功能-付费相关'!CM44</f>
        <v>#VALUE!</v>
      </c>
      <c r="R43" s="31" t="e">
        <f>H43*20%*'[1]功能-付费相关'!CN44</f>
        <v>#VALUE!</v>
      </c>
      <c r="S43" s="31">
        <f>$W$1*('[1]功能-行军令'!S42+S$2*[1]节奏总纲!BJ42)</f>
        <v>1773.0746770361925</v>
      </c>
      <c r="T43" s="31">
        <f>$W$1*('[1]功能-行军令'!T42+T$2*[1]节奏总纲!BK42)</f>
        <v>2451.3634610367376</v>
      </c>
      <c r="U43" s="31">
        <f>$W$1*('[1]功能-行军令'!U42+U$2*[1]节奏总纲!BL42)</f>
        <v>3077.4589755673869</v>
      </c>
      <c r="V43" s="31">
        <f>$W$1*('[1]功能-行军令'!V42+V$2*[1]节奏总纲!BM42)</f>
        <v>3510.4101361084781</v>
      </c>
      <c r="W43" s="31">
        <f>$W$1*('[1]功能-行军令'!W42+W$2*[1]节奏总纲!BN42)</f>
        <v>4200.5905979429926</v>
      </c>
      <c r="X43" s="57">
        <f>S43*'[1]功能-付费相关'!AH44</f>
        <v>18.343458804900362</v>
      </c>
      <c r="Y43" s="57">
        <f>T43*'[1]功能-付费相关'!AI44</f>
        <v>25.360739311064844</v>
      </c>
      <c r="Z43" s="57">
        <f>U43*'[1]功能-付费相关'!AJ44</f>
        <v>31.838050970562097</v>
      </c>
      <c r="AA43" s="57">
        <f>V43*'[1]功能-付费相关'!AK44</f>
        <v>36.317175217711444</v>
      </c>
      <c r="AB43" s="57">
        <f>W43*'[1]功能-付费相关'!AL44</f>
        <v>43.45748184640405</v>
      </c>
      <c r="AC43" s="57"/>
    </row>
    <row r="44" spans="3:29" x14ac:dyDescent="0.15">
      <c r="C44" s="31">
        <v>40</v>
      </c>
      <c r="D44" s="31" t="e">
        <f>求节点([2]兵营招募!F$28:F$47,[2]兵营招募!$J$4:$J$23,节奏总纲!P43)*(1+[1]养成buff汇总!AA45)</f>
        <v>#VALUE!</v>
      </c>
      <c r="E44" s="31" t="e">
        <f>求节点([2]兵营招募!G$28:G$47,[2]兵营招募!$J$4:$J$23,节奏总纲!Q43)*(1+[1]养成buff汇总!AB45)</f>
        <v>#VALUE!</v>
      </c>
      <c r="F44" s="31" t="e">
        <f>求节点([2]兵营招募!H$28:H$47,[2]兵营招募!$J$4:$J$23,节奏总纲!R43)*(1+[1]养成buff汇总!AC45)</f>
        <v>#VALUE!</v>
      </c>
      <c r="G44" s="31" t="e">
        <f>求节点([2]兵营招募!I$28:I$47,[2]兵营招募!$J$4:$J$23,节奏总纲!S43)*(1+[1]养成buff汇总!AD45)</f>
        <v>#VALUE!</v>
      </c>
      <c r="H44" s="31" t="e">
        <f>求节点([2]兵营招募!J$28:J$47,[2]兵营招募!$J$4:$J$23,节奏总纲!T43)*(1+[1]养成buff汇总!AE45)</f>
        <v>#VALUE!</v>
      </c>
      <c r="I44" s="31" t="e">
        <f>100%*D44*'[1]功能-付费相关'!CJ45*节奏总纲!W43</f>
        <v>#VALUE!</v>
      </c>
      <c r="J44" s="31" t="e">
        <f>100%*E44*'[1]功能-付费相关'!CK45*节奏总纲!X43</f>
        <v>#VALUE!</v>
      </c>
      <c r="K44" s="31" t="e">
        <f>100%*F44*'[1]功能-付费相关'!CL45*节奏总纲!Y43</f>
        <v>#VALUE!</v>
      </c>
      <c r="L44" s="31" t="e">
        <f>100%*G44*'[1]功能-付费相关'!CM45*节奏总纲!Z43</f>
        <v>#VALUE!</v>
      </c>
      <c r="M44" s="31" t="e">
        <f>100%*H44*'[1]功能-付费相关'!CN45*节奏总纲!AA43</f>
        <v>#VALUE!</v>
      </c>
      <c r="N44" s="31" t="e">
        <f>D44*20%*'[1]功能-付费相关'!CJ45</f>
        <v>#VALUE!</v>
      </c>
      <c r="O44" s="31" t="e">
        <f>E44*20%*'[1]功能-付费相关'!CK45</f>
        <v>#VALUE!</v>
      </c>
      <c r="P44" s="31" t="e">
        <f>F44*20%*'[1]功能-付费相关'!CL45</f>
        <v>#VALUE!</v>
      </c>
      <c r="Q44" s="31" t="e">
        <f>G44*20%*'[1]功能-付费相关'!CM45</f>
        <v>#VALUE!</v>
      </c>
      <c r="R44" s="31" t="e">
        <f>H44*20%*'[1]功能-付费相关'!CN45</f>
        <v>#VALUE!</v>
      </c>
      <c r="S44" s="31">
        <f>$W$1*('[1]功能-行军令'!S43+S$2*[1]节奏总纲!BJ43)</f>
        <v>1852.4210312448647</v>
      </c>
      <c r="T44" s="31">
        <f>$W$1*('[1]功能-行军令'!T43+T$2*[1]节奏总纲!BK43)</f>
        <v>2547.9873380512918</v>
      </c>
      <c r="U44" s="31">
        <f>$W$1*('[1]功能-行军令'!U43+U$2*[1]节奏总纲!BL43)</f>
        <v>3231.4453482182171</v>
      </c>
      <c r="V44" s="31">
        <f>$W$1*('[1]功能-行军令'!V43+V$2*[1]节奏总纲!BM43)</f>
        <v>3667.4228054589803</v>
      </c>
      <c r="W44" s="31">
        <f>$W$1*('[1]功能-行军令'!W43+W$2*[1]节奏总纲!BN43)</f>
        <v>4319.3854401246854</v>
      </c>
      <c r="X44" s="57">
        <f>S44*'[1]功能-付费相关'!AH45</f>
        <v>18.597949754512857</v>
      </c>
      <c r="Y44" s="57">
        <f>T44*'[1]功能-付费相关'!AI45</f>
        <v>25.581301274887618</v>
      </c>
      <c r="Z44" s="57">
        <f>U44*'[1]功能-付费相关'!AJ45</f>
        <v>32.443087833131244</v>
      </c>
      <c r="AA44" s="57">
        <f>V44*'[1]功能-付费相关'!AK45</f>
        <v>36.820217387968498</v>
      </c>
      <c r="AB44" s="57">
        <f>W44*'[1]功能-付费相关'!AL45</f>
        <v>43.365796452779826</v>
      </c>
      <c r="AC44" s="57"/>
    </row>
    <row r="45" spans="3:29" x14ac:dyDescent="0.15">
      <c r="C45" s="31">
        <v>41</v>
      </c>
      <c r="D45" s="31" t="e">
        <f>求节点([2]兵营招募!F$28:F$47,[2]兵营招募!$J$4:$J$23,节奏总纲!P44)*(1+[1]养成buff汇总!AA46)</f>
        <v>#VALUE!</v>
      </c>
      <c r="E45" s="31" t="e">
        <f>求节点([2]兵营招募!G$28:G$47,[2]兵营招募!$J$4:$J$23,节奏总纲!Q44)*(1+[1]养成buff汇总!AB46)</f>
        <v>#VALUE!</v>
      </c>
      <c r="F45" s="31" t="e">
        <f>求节点([2]兵营招募!H$28:H$47,[2]兵营招募!$J$4:$J$23,节奏总纲!R44)*(1+[1]养成buff汇总!AC46)</f>
        <v>#VALUE!</v>
      </c>
      <c r="G45" s="31" t="e">
        <f>求节点([2]兵营招募!I$28:I$47,[2]兵营招募!$J$4:$J$23,节奏总纲!S44)*(1+[1]养成buff汇总!AD46)</f>
        <v>#VALUE!</v>
      </c>
      <c r="H45" s="31" t="e">
        <f>求节点([2]兵营招募!J$28:J$47,[2]兵营招募!$J$4:$J$23,节奏总纲!T44)*(1+[1]养成buff汇总!AE46)</f>
        <v>#VALUE!</v>
      </c>
      <c r="I45" s="31" t="e">
        <f>100%*D45*'[1]功能-付费相关'!CJ46*节奏总纲!W44</f>
        <v>#VALUE!</v>
      </c>
      <c r="J45" s="31" t="e">
        <f>100%*E45*'[1]功能-付费相关'!CK46*节奏总纲!X44</f>
        <v>#VALUE!</v>
      </c>
      <c r="K45" s="31" t="e">
        <f>100%*F45*'[1]功能-付费相关'!CL46*节奏总纲!Y44</f>
        <v>#VALUE!</v>
      </c>
      <c r="L45" s="31" t="e">
        <f>100%*G45*'[1]功能-付费相关'!CM46*节奏总纲!Z44</f>
        <v>#VALUE!</v>
      </c>
      <c r="M45" s="31" t="e">
        <f>100%*H45*'[1]功能-付费相关'!CN46*节奏总纲!AA44</f>
        <v>#VALUE!</v>
      </c>
      <c r="N45" s="31" t="e">
        <f>D45*20%*'[1]功能-付费相关'!CJ46</f>
        <v>#VALUE!</v>
      </c>
      <c r="O45" s="31" t="e">
        <f>E45*20%*'[1]功能-付费相关'!CK46</f>
        <v>#VALUE!</v>
      </c>
      <c r="P45" s="31" t="e">
        <f>F45*20%*'[1]功能-付费相关'!CL46</f>
        <v>#VALUE!</v>
      </c>
      <c r="Q45" s="31" t="e">
        <f>G45*20%*'[1]功能-付费相关'!CM46</f>
        <v>#VALUE!</v>
      </c>
      <c r="R45" s="31" t="e">
        <f>H45*20%*'[1]功能-付费相关'!CN46</f>
        <v>#VALUE!</v>
      </c>
      <c r="S45" s="31">
        <f>$W$1*('[1]功能-行军令'!S44+S$2*[1]节奏总纲!BJ44)</f>
        <v>1936.5053685342298</v>
      </c>
      <c r="T45" s="31">
        <f>$W$1*('[1]功能-行军令'!T44+T$2*[1]节奏总纲!BK44)</f>
        <v>2694.754865033738</v>
      </c>
      <c r="U45" s="31">
        <f>$W$1*('[1]功能-行军令'!U44+U$2*[1]节奏总纲!BL44)</f>
        <v>3394.3741119522088</v>
      </c>
      <c r="V45" s="31">
        <f>$W$1*('[1]功能-行军令'!V44+V$2*[1]节奏总纲!BM44)</f>
        <v>3803.1051369848556</v>
      </c>
      <c r="W45" s="31">
        <f>$W$1*('[1]功能-行军令'!W44+W$2*[1]节奏总纲!BN44)</f>
        <v>4438.9616508840618</v>
      </c>
      <c r="X45" s="57">
        <f>S45*'[1]功能-付费相关'!AH46</f>
        <v>18.867538195389752</v>
      </c>
      <c r="Y45" s="57">
        <f>T45*'[1]功能-付费相关'!AI46</f>
        <v>26.255228190624919</v>
      </c>
      <c r="Z45" s="57">
        <f>U45*'[1]功能-付费相关'!AJ46</f>
        <v>33.071678626522967</v>
      </c>
      <c r="AA45" s="57">
        <f>V45*'[1]功能-付费相关'!AK46</f>
        <v>37.053980122687378</v>
      </c>
      <c r="AB45" s="57">
        <f>W45*'[1]功能-付费相关'!AL46</f>
        <v>43.249184772112848</v>
      </c>
      <c r="AC45" s="57"/>
    </row>
    <row r="46" spans="3:29" x14ac:dyDescent="0.15">
      <c r="C46" s="31">
        <v>42</v>
      </c>
      <c r="D46" s="31" t="e">
        <f>求节点([2]兵营招募!F$28:F$47,[2]兵营招募!$J$4:$J$23,节奏总纲!P45)*(1+[1]养成buff汇总!AA47)</f>
        <v>#VALUE!</v>
      </c>
      <c r="E46" s="31" t="e">
        <f>求节点([2]兵营招募!G$28:G$47,[2]兵营招募!$J$4:$J$23,节奏总纲!Q45)*(1+[1]养成buff汇总!AB47)</f>
        <v>#VALUE!</v>
      </c>
      <c r="F46" s="31" t="e">
        <f>求节点([2]兵营招募!H$28:H$47,[2]兵营招募!$J$4:$J$23,节奏总纲!R45)*(1+[1]养成buff汇总!AC47)</f>
        <v>#VALUE!</v>
      </c>
      <c r="G46" s="31" t="e">
        <f>求节点([2]兵营招募!I$28:I$47,[2]兵营招募!$J$4:$J$23,节奏总纲!S45)*(1+[1]养成buff汇总!AD47)</f>
        <v>#VALUE!</v>
      </c>
      <c r="H46" s="31" t="e">
        <f>求节点([2]兵营招募!J$28:J$47,[2]兵营招募!$J$4:$J$23,节奏总纲!T45)*(1+[1]养成buff汇总!AE47)</f>
        <v>#VALUE!</v>
      </c>
      <c r="I46" s="31" t="e">
        <f>100%*D46*'[1]功能-付费相关'!CJ47*节奏总纲!W45</f>
        <v>#VALUE!</v>
      </c>
      <c r="J46" s="31" t="e">
        <f>100%*E46*'[1]功能-付费相关'!CK47*节奏总纲!X45</f>
        <v>#VALUE!</v>
      </c>
      <c r="K46" s="31" t="e">
        <f>100%*F46*'[1]功能-付费相关'!CL47*节奏总纲!Y45</f>
        <v>#VALUE!</v>
      </c>
      <c r="L46" s="31" t="e">
        <f>100%*G46*'[1]功能-付费相关'!CM47*节奏总纲!Z45</f>
        <v>#VALUE!</v>
      </c>
      <c r="M46" s="31" t="e">
        <f>100%*H46*'[1]功能-付费相关'!CN47*节奏总纲!AA45</f>
        <v>#VALUE!</v>
      </c>
      <c r="N46" s="31" t="e">
        <f>D46*20%*'[1]功能-付费相关'!CJ47</f>
        <v>#VALUE!</v>
      </c>
      <c r="O46" s="31" t="e">
        <f>E46*20%*'[1]功能-付费相关'!CK47</f>
        <v>#VALUE!</v>
      </c>
      <c r="P46" s="31" t="e">
        <f>F46*20%*'[1]功能-付费相关'!CL47</f>
        <v>#VALUE!</v>
      </c>
      <c r="Q46" s="31" t="e">
        <f>G46*20%*'[1]功能-付费相关'!CM47</f>
        <v>#VALUE!</v>
      </c>
      <c r="R46" s="31" t="e">
        <f>H46*20%*'[1]功能-付费相关'!CN47</f>
        <v>#VALUE!</v>
      </c>
      <c r="S46" s="31">
        <f>$W$1*('[1]功能-行军令'!S45+S$2*[1]节奏总纲!BJ45)</f>
        <v>2025.6677503554597</v>
      </c>
      <c r="T46" s="31">
        <f>$W$1*('[1]功能-行军令'!T45+T$2*[1]节奏总纲!BK45)</f>
        <v>2863.8629448870465</v>
      </c>
      <c r="U46" s="31">
        <f>$W$1*('[1]功能-行军令'!U45+U$2*[1]节奏总纲!BL45)</f>
        <v>3578.7819371193209</v>
      </c>
      <c r="V46" s="31">
        <f>$W$1*('[1]功能-行军令'!V45+V$2*[1]节奏总纲!BM45)</f>
        <v>3972.543712583848</v>
      </c>
      <c r="W46" s="31">
        <f>$W$1*('[1]功能-行军令'!W45+W$2*[1]节奏总纲!BN45)</f>
        <v>4550.9698788880296</v>
      </c>
      <c r="X46" s="57">
        <f>S46*'[1]功能-付费相关'!AH47</f>
        <v>19.152960457968593</v>
      </c>
      <c r="Y46" s="57">
        <f>T46*'[1]功能-付费相关'!AI47</f>
        <v>27.078208522023356</v>
      </c>
      <c r="Z46" s="57">
        <f>U46*'[1]功能-付费相关'!AJ47</f>
        <v>33.837863547618113</v>
      </c>
      <c r="AA46" s="57">
        <f>V46*'[1]功能-付费相关'!AK47</f>
        <v>37.560933984025169</v>
      </c>
      <c r="AB46" s="57">
        <f>W46*'[1]功能-付费相关'!AL47</f>
        <v>43.030031020858729</v>
      </c>
      <c r="AC46" s="57"/>
    </row>
    <row r="47" spans="3:29" x14ac:dyDescent="0.15">
      <c r="C47" s="31">
        <v>43</v>
      </c>
      <c r="D47" s="31" t="e">
        <f>求节点([2]兵营招募!F$28:F$47,[2]兵营招募!$J$4:$J$23,节奏总纲!P46)*(1+[1]养成buff汇总!AA48)</f>
        <v>#VALUE!</v>
      </c>
      <c r="E47" s="31" t="e">
        <f>求节点([2]兵营招募!G$28:G$47,[2]兵营招募!$J$4:$J$23,节奏总纲!Q46)*(1+[1]养成buff汇总!AB48)</f>
        <v>#VALUE!</v>
      </c>
      <c r="F47" s="31" t="e">
        <f>求节点([2]兵营招募!H$28:H$47,[2]兵营招募!$J$4:$J$23,节奏总纲!R46)*(1+[1]养成buff汇总!AC48)</f>
        <v>#VALUE!</v>
      </c>
      <c r="G47" s="31" t="e">
        <f>求节点([2]兵营招募!I$28:I$47,[2]兵营招募!$J$4:$J$23,节奏总纲!S46)*(1+[1]养成buff汇总!AD48)</f>
        <v>#VALUE!</v>
      </c>
      <c r="H47" s="31" t="e">
        <f>求节点([2]兵营招募!J$28:J$47,[2]兵营招募!$J$4:$J$23,节奏总纲!T46)*(1+[1]养成buff汇总!AE48)</f>
        <v>#VALUE!</v>
      </c>
      <c r="I47" s="31" t="e">
        <f>100%*D47*'[1]功能-付费相关'!CJ48*节奏总纲!W46</f>
        <v>#VALUE!</v>
      </c>
      <c r="J47" s="31" t="e">
        <f>100%*E47*'[1]功能-付费相关'!CK48*节奏总纲!X46</f>
        <v>#VALUE!</v>
      </c>
      <c r="K47" s="31" t="e">
        <f>100%*F47*'[1]功能-付费相关'!CL48*节奏总纲!Y46</f>
        <v>#VALUE!</v>
      </c>
      <c r="L47" s="31" t="e">
        <f>100%*G47*'[1]功能-付费相关'!CM48*节奏总纲!Z46</f>
        <v>#VALUE!</v>
      </c>
      <c r="M47" s="31" t="e">
        <f>100%*H47*'[1]功能-付费相关'!CN48*节奏总纲!AA46</f>
        <v>#VALUE!</v>
      </c>
      <c r="N47" s="31" t="e">
        <f>D47*20%*'[1]功能-付费相关'!CJ48</f>
        <v>#VALUE!</v>
      </c>
      <c r="O47" s="31" t="e">
        <f>E47*20%*'[1]功能-付费相关'!CK48</f>
        <v>#VALUE!</v>
      </c>
      <c r="P47" s="31" t="e">
        <f>F47*20%*'[1]功能-付费相关'!CL48</f>
        <v>#VALUE!</v>
      </c>
      <c r="Q47" s="31" t="e">
        <f>G47*20%*'[1]功能-付费相关'!CM48</f>
        <v>#VALUE!</v>
      </c>
      <c r="R47" s="31" t="e">
        <f>H47*20%*'[1]功能-付费相关'!CN48</f>
        <v>#VALUE!</v>
      </c>
      <c r="S47" s="31">
        <f>$W$1*('[1]功能-行军令'!S46+S$2*[1]节奏总纲!BJ46)</f>
        <v>2120.2726455474817</v>
      </c>
      <c r="T47" s="31">
        <f>$W$1*('[1]功能-行军令'!T46+T$2*[1]节奏总纲!BK46)</f>
        <v>2936.4245009633087</v>
      </c>
      <c r="U47" s="31">
        <f>$W$1*('[1]功能-行军令'!U46+U$2*[1]节奏总纲!BL46)</f>
        <v>3672.5474921748391</v>
      </c>
      <c r="V47" s="31">
        <f>$W$1*('[1]功能-行军令'!V46+V$2*[1]节奏总纲!BM46)</f>
        <v>4022.3659454676872</v>
      </c>
      <c r="W47" s="31">
        <f>$W$1*('[1]功能-行军令'!W46+W$2*[1]节奏总纲!BN46)</f>
        <v>4613.2540611646082</v>
      </c>
      <c r="X47" s="57">
        <f>S47*'[1]功能-付费相关'!AH48</f>
        <v>19.454970383454537</v>
      </c>
      <c r="Y47" s="57">
        <f>T47*'[1]功能-付费相关'!AI48</f>
        <v>26.943729062136839</v>
      </c>
      <c r="Z47" s="57">
        <f>U47*'[1]功能-付费相关'!AJ48</f>
        <v>33.698167470175804</v>
      </c>
      <c r="AA47" s="57">
        <f>V47*'[1]功能-付费相关'!AK48</f>
        <v>36.907994122748072</v>
      </c>
      <c r="AB47" s="57">
        <f>W47*'[1]功能-付费相关'!AL48</f>
        <v>42.329801933625397</v>
      </c>
      <c r="AC47" s="57"/>
    </row>
    <row r="48" spans="3:29" x14ac:dyDescent="0.15">
      <c r="C48" s="31">
        <v>44</v>
      </c>
      <c r="D48" s="31" t="e">
        <f>求节点([2]兵营招募!F$28:F$47,[2]兵营招募!$J$4:$J$23,节奏总纲!P47)*(1+[1]养成buff汇总!AA49)</f>
        <v>#VALUE!</v>
      </c>
      <c r="E48" s="31" t="e">
        <f>求节点([2]兵营招募!G$28:G$47,[2]兵营招募!$J$4:$J$23,节奏总纲!Q47)*(1+[1]养成buff汇总!AB49)</f>
        <v>#VALUE!</v>
      </c>
      <c r="F48" s="31" t="e">
        <f>求节点([2]兵营招募!H$28:H$47,[2]兵营招募!$J$4:$J$23,节奏总纲!R47)*(1+[1]养成buff汇总!AC49)</f>
        <v>#VALUE!</v>
      </c>
      <c r="G48" s="31" t="e">
        <f>求节点([2]兵营招募!I$28:I$47,[2]兵营招募!$J$4:$J$23,节奏总纲!S47)*(1+[1]养成buff汇总!AD49)</f>
        <v>#VALUE!</v>
      </c>
      <c r="H48" s="31" t="e">
        <f>求节点([2]兵营招募!J$28:J$47,[2]兵营招募!$J$4:$J$23,节奏总纲!T47)*(1+[1]养成buff汇总!AE49)</f>
        <v>#VALUE!</v>
      </c>
      <c r="I48" s="31" t="e">
        <f>100%*D48*'[1]功能-付费相关'!CJ49*节奏总纲!W47</f>
        <v>#VALUE!</v>
      </c>
      <c r="J48" s="31" t="e">
        <f>100%*E48*'[1]功能-付费相关'!CK49*节奏总纲!X47</f>
        <v>#VALUE!</v>
      </c>
      <c r="K48" s="31" t="e">
        <f>100%*F48*'[1]功能-付费相关'!CL49*节奏总纲!Y47</f>
        <v>#VALUE!</v>
      </c>
      <c r="L48" s="31" t="e">
        <f>100%*G48*'[1]功能-付费相关'!CM49*节奏总纲!Z47</f>
        <v>#VALUE!</v>
      </c>
      <c r="M48" s="31" t="e">
        <f>100%*H48*'[1]功能-付费相关'!CN49*节奏总纲!AA47</f>
        <v>#VALUE!</v>
      </c>
      <c r="N48" s="31" t="e">
        <f>D48*20%*'[1]功能-付费相关'!CJ49</f>
        <v>#VALUE!</v>
      </c>
      <c r="O48" s="31" t="e">
        <f>E48*20%*'[1]功能-付费相关'!CK49</f>
        <v>#VALUE!</v>
      </c>
      <c r="P48" s="31" t="e">
        <f>F48*20%*'[1]功能-付费相关'!CL49</f>
        <v>#VALUE!</v>
      </c>
      <c r="Q48" s="31" t="e">
        <f>G48*20%*'[1]功能-付费相关'!CM49</f>
        <v>#VALUE!</v>
      </c>
      <c r="R48" s="31" t="e">
        <f>H48*20%*'[1]功能-付费相关'!CN49</f>
        <v>#VALUE!</v>
      </c>
      <c r="S48" s="31">
        <f>$W$1*('[1]功能-行军令'!S47+S$2*[1]节奏总纲!BJ47)</f>
        <v>2220.7106821398347</v>
      </c>
      <c r="T48" s="31">
        <f>$W$1*('[1]功能-行军令'!T47+T$2*[1]节奏总纲!BK47)</f>
        <v>3063.0257956870391</v>
      </c>
      <c r="U48" s="31">
        <f>$W$1*('[1]功能-行军令'!U47+U$2*[1]节奏总纲!BL47)</f>
        <v>3791.19525990586</v>
      </c>
      <c r="V48" s="31">
        <f>$W$1*('[1]功能-行军令'!V47+V$2*[1]节奏总纲!BM47)</f>
        <v>4162.0722926641556</v>
      </c>
      <c r="W48" s="31">
        <f>$W$1*('[1]功能-行军令'!W47+W$2*[1]节奏总纲!BN47)</f>
        <v>4717.539611524764</v>
      </c>
      <c r="X48" s="57">
        <f>S48*'[1]功能-付费相关'!AH49</f>
        <v>19.774340621740482</v>
      </c>
      <c r="Y48" s="57">
        <f>T48*'[1]功能-付费相关'!AI49</f>
        <v>27.274744028668216</v>
      </c>
      <c r="Z48" s="57">
        <f>U48*'[1]功能-付费相关'!AJ49</f>
        <v>33.758736352215088</v>
      </c>
      <c r="AA48" s="57">
        <f>V48*'[1]功能-付费相关'!AK49</f>
        <v>37.061214623484616</v>
      </c>
      <c r="AB48" s="57">
        <f>W48*'[1]功能-付费相关'!AL49</f>
        <v>42.007378955350951</v>
      </c>
      <c r="AC48" s="57"/>
    </row>
    <row r="49" spans="3:29" x14ac:dyDescent="0.15">
      <c r="C49" s="31">
        <v>45</v>
      </c>
      <c r="D49" s="31" t="e">
        <f>求节点([2]兵营招募!F$28:F$47,[2]兵营招募!$J$4:$J$23,节奏总纲!P48)*(1+[1]养成buff汇总!AA50)</f>
        <v>#VALUE!</v>
      </c>
      <c r="E49" s="31" t="e">
        <f>求节点([2]兵营招募!G$28:G$47,[2]兵营招募!$J$4:$J$23,节奏总纲!Q48)*(1+[1]养成buff汇总!AB50)</f>
        <v>#VALUE!</v>
      </c>
      <c r="F49" s="31" t="e">
        <f>求节点([2]兵营招募!H$28:H$47,[2]兵营招募!$J$4:$J$23,节奏总纲!R48)*(1+[1]养成buff汇总!AC50)</f>
        <v>#VALUE!</v>
      </c>
      <c r="G49" s="31" t="e">
        <f>求节点([2]兵营招募!I$28:I$47,[2]兵营招募!$J$4:$J$23,节奏总纲!S48)*(1+[1]养成buff汇总!AD50)</f>
        <v>#VALUE!</v>
      </c>
      <c r="H49" s="31" t="e">
        <f>求节点([2]兵营招募!J$28:J$47,[2]兵营招募!$J$4:$J$23,节奏总纲!T48)*(1+[1]养成buff汇总!AE50)</f>
        <v>#VALUE!</v>
      </c>
      <c r="I49" s="31" t="e">
        <f>100%*D49*'[1]功能-付费相关'!CJ50*节奏总纲!W48</f>
        <v>#VALUE!</v>
      </c>
      <c r="J49" s="31" t="e">
        <f>100%*E49*'[1]功能-付费相关'!CK50*节奏总纲!X48</f>
        <v>#VALUE!</v>
      </c>
      <c r="K49" s="31" t="e">
        <f>100%*F49*'[1]功能-付费相关'!CL50*节奏总纲!Y48</f>
        <v>#VALUE!</v>
      </c>
      <c r="L49" s="31" t="e">
        <f>100%*G49*'[1]功能-付费相关'!CM50*节奏总纲!Z48</f>
        <v>#VALUE!</v>
      </c>
      <c r="M49" s="31" t="e">
        <f>100%*H49*'[1]功能-付费相关'!CN50*节奏总纲!AA48</f>
        <v>#VALUE!</v>
      </c>
      <c r="N49" s="31" t="e">
        <f>D49*20%*'[1]功能-付费相关'!CJ50</f>
        <v>#VALUE!</v>
      </c>
      <c r="O49" s="31" t="e">
        <f>E49*20%*'[1]功能-付费相关'!CK50</f>
        <v>#VALUE!</v>
      </c>
      <c r="P49" s="31" t="e">
        <f>F49*20%*'[1]功能-付费相关'!CL50</f>
        <v>#VALUE!</v>
      </c>
      <c r="Q49" s="31" t="e">
        <f>G49*20%*'[1]功能-付费相关'!CM50</f>
        <v>#VALUE!</v>
      </c>
      <c r="R49" s="31" t="e">
        <f>H49*20%*'[1]功能-付费相关'!CN50</f>
        <v>#VALUE!</v>
      </c>
      <c r="S49" s="31">
        <f>$W$1*('[1]功能-行军令'!S48+S$2*[1]节奏总纲!BJ48)</f>
        <v>2327.4005248882891</v>
      </c>
      <c r="T49" s="31">
        <f>$W$1*('[1]功能-行军令'!T48+T$2*[1]节奏总纲!BK48)</f>
        <v>3205.139510893127</v>
      </c>
      <c r="U49" s="31">
        <f>$W$1*('[1]功能-行军令'!U48+U$2*[1]节奏总纲!BL48)</f>
        <v>3950.1379480581641</v>
      </c>
      <c r="V49" s="31">
        <f>$W$1*('[1]功能-行军令'!V48+V$2*[1]节奏总纲!BM48)</f>
        <v>4317.8844336632546</v>
      </c>
      <c r="W49" s="31">
        <f>$W$1*('[1]功能-行军令'!W48+W$2*[1]节奏总纲!BN48)</f>
        <v>4837.2947417916212</v>
      </c>
      <c r="X49" s="57">
        <f>S49*'[1]功能-付费相关'!AH50</f>
        <v>20.111863956647493</v>
      </c>
      <c r="Y49" s="57">
        <f>T49*'[1]功能-付费相关'!AI50</f>
        <v>27.696706740345981</v>
      </c>
      <c r="Z49" s="57">
        <f>U49*'[1]功能-付费相关'!AJ50</f>
        <v>34.134493041394187</v>
      </c>
      <c r="AA49" s="57">
        <f>V49*'[1]功能-付费相关'!AK50</f>
        <v>37.312316200723323</v>
      </c>
      <c r="AB49" s="57">
        <f>W49*'[1]功能-付费相关'!AL50</f>
        <v>41.800718322768681</v>
      </c>
      <c r="AC49" s="57"/>
    </row>
    <row r="50" spans="3:29" x14ac:dyDescent="0.15">
      <c r="C50" s="31">
        <v>46</v>
      </c>
      <c r="D50" s="31" t="e">
        <f>求节点([2]兵营招募!F$28:F$47,[2]兵营招募!$J$4:$J$23,节奏总纲!P49)*(1+[1]养成buff汇总!AA51)</f>
        <v>#VALUE!</v>
      </c>
      <c r="E50" s="31" t="e">
        <f>求节点([2]兵营招募!G$28:G$47,[2]兵营招募!$J$4:$J$23,节奏总纲!Q49)*(1+[1]养成buff汇总!AB51)</f>
        <v>#VALUE!</v>
      </c>
      <c r="F50" s="31" t="e">
        <f>求节点([2]兵营招募!H$28:H$47,[2]兵营招募!$J$4:$J$23,节奏总纲!R49)*(1+[1]养成buff汇总!AC51)</f>
        <v>#VALUE!</v>
      </c>
      <c r="G50" s="31" t="e">
        <f>求节点([2]兵营招募!I$28:I$47,[2]兵营招募!$J$4:$J$23,节奏总纲!S49)*(1+[1]养成buff汇总!AD51)</f>
        <v>#VALUE!</v>
      </c>
      <c r="H50" s="31" t="e">
        <f>求节点([2]兵营招募!J$28:J$47,[2]兵营招募!$J$4:$J$23,节奏总纲!T49)*(1+[1]养成buff汇总!AE51)</f>
        <v>#VALUE!</v>
      </c>
      <c r="I50" s="31" t="e">
        <f>100%*D50*'[1]功能-付费相关'!CJ51*节奏总纲!W49</f>
        <v>#VALUE!</v>
      </c>
      <c r="J50" s="31" t="e">
        <f>100%*E50*'[1]功能-付费相关'!CK51*节奏总纲!X49</f>
        <v>#VALUE!</v>
      </c>
      <c r="K50" s="31" t="e">
        <f>100%*F50*'[1]功能-付费相关'!CL51*节奏总纲!Y49</f>
        <v>#VALUE!</v>
      </c>
      <c r="L50" s="31" t="e">
        <f>100%*G50*'[1]功能-付费相关'!CM51*节奏总纲!Z49</f>
        <v>#VALUE!</v>
      </c>
      <c r="M50" s="31" t="e">
        <f>100%*H50*'[1]功能-付费相关'!CN51*节奏总纲!AA49</f>
        <v>#VALUE!</v>
      </c>
      <c r="N50" s="31" t="e">
        <f>D50*20%*'[1]功能-付费相关'!CJ51</f>
        <v>#VALUE!</v>
      </c>
      <c r="O50" s="31" t="e">
        <f>E50*20%*'[1]功能-付费相关'!CK51</f>
        <v>#VALUE!</v>
      </c>
      <c r="P50" s="31" t="e">
        <f>F50*20%*'[1]功能-付费相关'!CL51</f>
        <v>#VALUE!</v>
      </c>
      <c r="Q50" s="31" t="e">
        <f>G50*20%*'[1]功能-付费相关'!CM51</f>
        <v>#VALUE!</v>
      </c>
      <c r="R50" s="31" t="e">
        <f>H50*20%*'[1]功能-付费相关'!CN51</f>
        <v>#VALUE!</v>
      </c>
      <c r="S50" s="31">
        <f>$W$1*('[1]功能-行军令'!S49+S$2*[1]节奏总纲!BJ49)</f>
        <v>2440.7908875677595</v>
      </c>
      <c r="T50" s="31">
        <f>$W$1*('[1]功能-行军令'!T49+T$2*[1]节奏总纲!BK49)</f>
        <v>3337.7397254918287</v>
      </c>
      <c r="U50" s="31">
        <f>$W$1*('[1]功能-行军令'!U49+U$2*[1]节奏总纲!BL49)</f>
        <v>4105.665437364959</v>
      </c>
      <c r="V50" s="31">
        <f>$W$1*('[1]功能-行军令'!V49+V$2*[1]节奏总纲!BM49)</f>
        <v>4454.6693150346437</v>
      </c>
      <c r="W50" s="31">
        <f>$W$1*('[1]功能-行军令'!W49+W$2*[1]节奏总纲!BN49)</f>
        <v>4914.2772491727756</v>
      </c>
      <c r="X50" s="57">
        <f>S50*'[1]功能-付费相关'!AH51</f>
        <v>20.468354660524525</v>
      </c>
      <c r="Y50" s="57">
        <f>T50*'[1]功能-付费相关'!AI51</f>
        <v>27.990124354310108</v>
      </c>
      <c r="Z50" s="57">
        <f>U50*'[1]功能-付费相关'!AJ51</f>
        <v>34.429912335990963</v>
      </c>
      <c r="AA50" s="57">
        <f>V50*'[1]功能-付费相关'!AK51</f>
        <v>37.356642021203747</v>
      </c>
      <c r="AB50" s="57">
        <f>W50*'[1]功能-付费相关'!AL51</f>
        <v>41.210891989378915</v>
      </c>
      <c r="AC50" s="57"/>
    </row>
    <row r="51" spans="3:29" x14ac:dyDescent="0.15">
      <c r="C51" s="31">
        <v>47</v>
      </c>
      <c r="D51" s="31" t="e">
        <f>求节点([2]兵营招募!F$28:F$47,[2]兵营招募!$J$4:$J$23,节奏总纲!P50)*(1+[1]养成buff汇总!AA52)</f>
        <v>#VALUE!</v>
      </c>
      <c r="E51" s="31" t="e">
        <f>求节点([2]兵营招募!G$28:G$47,[2]兵营招募!$J$4:$J$23,节奏总纲!Q50)*(1+[1]养成buff汇总!AB52)</f>
        <v>#VALUE!</v>
      </c>
      <c r="F51" s="31" t="e">
        <f>求节点([2]兵营招募!H$28:H$47,[2]兵营招募!$J$4:$J$23,节奏总纲!R50)*(1+[1]养成buff汇总!AC52)</f>
        <v>#VALUE!</v>
      </c>
      <c r="G51" s="31" t="e">
        <f>求节点([2]兵营招募!I$28:I$47,[2]兵营招募!$J$4:$J$23,节奏总纲!S50)*(1+[1]养成buff汇总!AD52)</f>
        <v>#VALUE!</v>
      </c>
      <c r="H51" s="31" t="e">
        <f>求节点([2]兵营招募!J$28:J$47,[2]兵营招募!$J$4:$J$23,节奏总纲!T50)*(1+[1]养成buff汇总!AE52)</f>
        <v>#VALUE!</v>
      </c>
      <c r="I51" s="31" t="e">
        <f>100%*D51*'[1]功能-付费相关'!CJ52*节奏总纲!W50</f>
        <v>#VALUE!</v>
      </c>
      <c r="J51" s="31" t="e">
        <f>100%*E51*'[1]功能-付费相关'!CK52*节奏总纲!X50</f>
        <v>#VALUE!</v>
      </c>
      <c r="K51" s="31" t="e">
        <f>100%*F51*'[1]功能-付费相关'!CL52*节奏总纲!Y50</f>
        <v>#VALUE!</v>
      </c>
      <c r="L51" s="31" t="e">
        <f>100%*G51*'[1]功能-付费相关'!CM52*节奏总纲!Z50</f>
        <v>#VALUE!</v>
      </c>
      <c r="M51" s="31" t="e">
        <f>100%*H51*'[1]功能-付费相关'!CN52*节奏总纲!AA50</f>
        <v>#VALUE!</v>
      </c>
      <c r="N51" s="31" t="e">
        <f>D51*20%*'[1]功能-付费相关'!CJ52</f>
        <v>#VALUE!</v>
      </c>
      <c r="O51" s="31" t="e">
        <f>E51*20%*'[1]功能-付费相关'!CK52</f>
        <v>#VALUE!</v>
      </c>
      <c r="P51" s="31" t="e">
        <f>F51*20%*'[1]功能-付费相关'!CL52</f>
        <v>#VALUE!</v>
      </c>
      <c r="Q51" s="31" t="e">
        <f>G51*20%*'[1]功能-付费相关'!CM52</f>
        <v>#VALUE!</v>
      </c>
      <c r="R51" s="31" t="e">
        <f>H51*20%*'[1]功能-付费相关'!CN52</f>
        <v>#VALUE!</v>
      </c>
      <c r="S51" s="31">
        <f>$W$1*('[1]功能-行军令'!S50+S$2*[1]节奏总纲!BJ50)</f>
        <v>2561.3626896945248</v>
      </c>
      <c r="T51" s="31">
        <f>$W$1*('[1]功能-行军令'!T50+T$2*[1]节奏总纲!BK50)</f>
        <v>3496.1216793695166</v>
      </c>
      <c r="U51" s="31">
        <f>$W$1*('[1]功能-行军令'!U50+U$2*[1]节奏总纲!BL50)</f>
        <v>4291.0236573077846</v>
      </c>
      <c r="V51" s="31">
        <f>$W$1*('[1]功能-行军令'!V50+V$2*[1]节奏总纲!BM50)</f>
        <v>4610.9897272212693</v>
      </c>
      <c r="W51" s="31">
        <f>$W$1*('[1]功能-行军令'!W50+W$2*[1]节奏总纲!BN50)</f>
        <v>5037.5421053859081</v>
      </c>
      <c r="X51" s="57">
        <f>S51*'[1]功能-付费相关'!AH52</f>
        <v>20.844649880291321</v>
      </c>
      <c r="Y51" s="57">
        <f>T51*'[1]功能-付费相关'!AI52</f>
        <v>28.451820836839399</v>
      </c>
      <c r="Z51" s="57">
        <f>U51*'[1]功能-付费相关'!AJ52</f>
        <v>34.920820126139724</v>
      </c>
      <c r="AA51" s="57">
        <f>V51*'[1]功能-付费相关'!AK52</f>
        <v>37.52473901968574</v>
      </c>
      <c r="AB51" s="57">
        <f>W51*'[1]功能-付费相关'!AL52</f>
        <v>40.996068954419783</v>
      </c>
      <c r="AC51" s="57"/>
    </row>
    <row r="52" spans="3:29" x14ac:dyDescent="0.15">
      <c r="C52" s="31">
        <v>48</v>
      </c>
      <c r="D52" s="31" t="e">
        <f>求节点([2]兵营招募!F$28:F$47,[2]兵营招募!$J$4:$J$23,节奏总纲!P51)*(1+[1]养成buff汇总!AA53)</f>
        <v>#VALUE!</v>
      </c>
      <c r="E52" s="31" t="e">
        <f>求节点([2]兵营招募!G$28:G$47,[2]兵营招募!$J$4:$J$23,节奏总纲!Q51)*(1+[1]养成buff汇总!AB53)</f>
        <v>#VALUE!</v>
      </c>
      <c r="F52" s="31" t="e">
        <f>求节点([2]兵营招募!H$28:H$47,[2]兵营招募!$J$4:$J$23,节奏总纲!R51)*(1+[1]养成buff汇总!AC53)</f>
        <v>#VALUE!</v>
      </c>
      <c r="G52" s="31" t="e">
        <f>求节点([2]兵营招募!I$28:I$47,[2]兵营招募!$J$4:$J$23,节奏总纲!S51)*(1+[1]养成buff汇总!AD53)</f>
        <v>#VALUE!</v>
      </c>
      <c r="H52" s="31" t="e">
        <f>求节点([2]兵营招募!J$28:J$47,[2]兵营招募!$J$4:$J$23,节奏总纲!T51)*(1+[1]养成buff汇总!AE53)</f>
        <v>#VALUE!</v>
      </c>
      <c r="I52" s="31" t="e">
        <f>100%*D52*'[1]功能-付费相关'!CJ53*节奏总纲!W51</f>
        <v>#VALUE!</v>
      </c>
      <c r="J52" s="31" t="e">
        <f>100%*E52*'[1]功能-付费相关'!CK53*节奏总纲!X51</f>
        <v>#VALUE!</v>
      </c>
      <c r="K52" s="31" t="e">
        <f>100%*F52*'[1]功能-付费相关'!CL53*节奏总纲!Y51</f>
        <v>#VALUE!</v>
      </c>
      <c r="L52" s="31" t="e">
        <f>100%*G52*'[1]功能-付费相关'!CM53*节奏总纲!Z51</f>
        <v>#VALUE!</v>
      </c>
      <c r="M52" s="31" t="e">
        <f>100%*H52*'[1]功能-付费相关'!CN53*节奏总纲!AA51</f>
        <v>#VALUE!</v>
      </c>
      <c r="N52" s="31" t="e">
        <f>D52*20%*'[1]功能-付费相关'!CJ53</f>
        <v>#VALUE!</v>
      </c>
      <c r="O52" s="31" t="e">
        <f>E52*20%*'[1]功能-付费相关'!CK53</f>
        <v>#VALUE!</v>
      </c>
      <c r="P52" s="31" t="e">
        <f>F52*20%*'[1]功能-付费相关'!CL53</f>
        <v>#VALUE!</v>
      </c>
      <c r="Q52" s="31" t="e">
        <f>G52*20%*'[1]功能-付费相关'!CM53</f>
        <v>#VALUE!</v>
      </c>
      <c r="R52" s="31" t="e">
        <f>H52*20%*'[1]功能-付费相关'!CN53</f>
        <v>#VALUE!</v>
      </c>
      <c r="S52" s="31">
        <f>$W$1*('[1]功能-行军令'!S51+S$2*[1]节奏总纲!BJ51)</f>
        <v>2689.6313680436551</v>
      </c>
      <c r="T52" s="31">
        <f>$W$1*('[1]功能-行军令'!T51+T$2*[1]节奏总纲!BK51)</f>
        <v>3636.0583297133917</v>
      </c>
      <c r="U52" s="31">
        <f>$W$1*('[1]功能-行军令'!U51+U$2*[1]节奏总纲!BL51)</f>
        <v>4488.8592239253467</v>
      </c>
      <c r="V52" s="31">
        <f>$W$1*('[1]功能-行军令'!V51+V$2*[1]节奏总纲!BM51)</f>
        <v>4697.3814976671893</v>
      </c>
      <c r="W52" s="31">
        <f>$W$1*('[1]功能-行军令'!W51+W$2*[1]节奏总纲!BN51)</f>
        <v>5154.9925456554756</v>
      </c>
      <c r="X52" s="57">
        <f>S52*'[1]功能-付费相关'!AH53</f>
        <v>21.241611057057074</v>
      </c>
      <c r="Y52" s="57">
        <f>T52*'[1]功能-付费相关'!AI53</f>
        <v>28.716105016548443</v>
      </c>
      <c r="Z52" s="57">
        <f>U52*'[1]功能-付费相关'!AJ53</f>
        <v>35.451178498806705</v>
      </c>
      <c r="AA52" s="57">
        <f>V52*'[1]功能-付费相关'!AK53</f>
        <v>37.098002330571859</v>
      </c>
      <c r="AB52" s="57">
        <f>W52*'[1]功能-付费相关'!AL53</f>
        <v>40.712027662173242</v>
      </c>
      <c r="AC52" s="57"/>
    </row>
    <row r="53" spans="3:29" x14ac:dyDescent="0.15">
      <c r="C53" s="31">
        <v>49</v>
      </c>
      <c r="D53" s="31" t="e">
        <f>求节点([2]兵营招募!F$28:F$47,[2]兵营招募!$J$4:$J$23,节奏总纲!P52)*(1+[1]养成buff汇总!AA54)</f>
        <v>#VALUE!</v>
      </c>
      <c r="E53" s="31" t="e">
        <f>求节点([2]兵营招募!G$28:G$47,[2]兵营招募!$J$4:$J$23,节奏总纲!Q52)*(1+[1]养成buff汇总!AB54)</f>
        <v>#VALUE!</v>
      </c>
      <c r="F53" s="31" t="e">
        <f>求节点([2]兵营招募!H$28:H$47,[2]兵营招募!$J$4:$J$23,节奏总纲!R52)*(1+[1]养成buff汇总!AC54)</f>
        <v>#VALUE!</v>
      </c>
      <c r="G53" s="31" t="e">
        <f>求节点([2]兵营招募!I$28:I$47,[2]兵营招募!$J$4:$J$23,节奏总纲!S52)*(1+[1]养成buff汇总!AD54)</f>
        <v>#VALUE!</v>
      </c>
      <c r="H53" s="31" t="e">
        <f>求节点([2]兵营招募!J$28:J$47,[2]兵营招募!$J$4:$J$23,节奏总纲!T52)*(1+[1]养成buff汇总!AE54)</f>
        <v>#VALUE!</v>
      </c>
      <c r="I53" s="31" t="e">
        <f>100%*D53*'[1]功能-付费相关'!CJ54*节奏总纲!W52</f>
        <v>#VALUE!</v>
      </c>
      <c r="J53" s="31" t="e">
        <f>100%*E53*'[1]功能-付费相关'!CK54*节奏总纲!X52</f>
        <v>#VALUE!</v>
      </c>
      <c r="K53" s="31" t="e">
        <f>100%*F53*'[1]功能-付费相关'!CL54*节奏总纲!Y52</f>
        <v>#VALUE!</v>
      </c>
      <c r="L53" s="31" t="e">
        <f>100%*G53*'[1]功能-付费相关'!CM54*节奏总纲!Z52</f>
        <v>#VALUE!</v>
      </c>
      <c r="M53" s="31" t="e">
        <f>100%*H53*'[1]功能-付费相关'!CN54*节奏总纲!AA52</f>
        <v>#VALUE!</v>
      </c>
      <c r="N53" s="31" t="e">
        <f>D53*20%*'[1]功能-付费相关'!CJ54</f>
        <v>#VALUE!</v>
      </c>
      <c r="O53" s="31" t="e">
        <f>E53*20%*'[1]功能-付费相关'!CK54</f>
        <v>#VALUE!</v>
      </c>
      <c r="P53" s="31" t="e">
        <f>F53*20%*'[1]功能-付费相关'!CL54</f>
        <v>#VALUE!</v>
      </c>
      <c r="Q53" s="31" t="e">
        <f>G53*20%*'[1]功能-付费相关'!CM54</f>
        <v>#VALUE!</v>
      </c>
      <c r="R53" s="31" t="e">
        <f>H53*20%*'[1]功能-付费相关'!CN54</f>
        <v>#VALUE!</v>
      </c>
      <c r="S53" s="31">
        <f>$W$1*('[1]功能-行军令'!S52+S$2*[1]节奏总纲!BJ52)</f>
        <v>2826.1493540723836</v>
      </c>
      <c r="T53" s="31">
        <f>$W$1*('[1]功能-行军令'!T52+T$2*[1]节奏总纲!BK52)</f>
        <v>3842.5719718584382</v>
      </c>
      <c r="U53" s="31">
        <f>$W$1*('[1]功能-行军令'!U52+U$2*[1]节奏总纲!BL52)</f>
        <v>4621.4210768519597</v>
      </c>
      <c r="V53" s="31">
        <f>$W$1*('[1]功能-行军令'!V52+V$2*[1]节奏总纲!BM52)</f>
        <v>4869.5604025075809</v>
      </c>
      <c r="W53" s="31">
        <f>$W$1*('[1]功能-行军令'!W52+W$2*[1]节奏总纲!BN52)</f>
        <v>5352.9355639166852</v>
      </c>
      <c r="X53" s="57">
        <f>S53*'[1]功能-付费相关'!AH54</f>
        <v>21.660125381507964</v>
      </c>
      <c r="Y53" s="57">
        <f>T53*'[1]功能-付费相关'!AI54</f>
        <v>29.450174166481915</v>
      </c>
      <c r="Z53" s="57">
        <f>U53*'[1]功能-付费相关'!AJ54</f>
        <v>35.419416111577945</v>
      </c>
      <c r="AA53" s="57">
        <f>V53*'[1]功能-付费相关'!AK54</f>
        <v>37.321201273087119</v>
      </c>
      <c r="AB53" s="57">
        <f>W53*'[1]功能-付费相关'!AL54</f>
        <v>41.025876890227096</v>
      </c>
      <c r="AC53" s="57"/>
    </row>
    <row r="54" spans="3:29" x14ac:dyDescent="0.15">
      <c r="C54" s="31">
        <v>50</v>
      </c>
      <c r="D54" s="31" t="e">
        <f>求节点([2]兵营招募!F$28:F$47,[2]兵营招募!$J$4:$J$23,节奏总纲!P53)*(1+[1]养成buff汇总!AA55)</f>
        <v>#VALUE!</v>
      </c>
      <c r="E54" s="31" t="e">
        <f>求节点([2]兵营招募!G$28:G$47,[2]兵营招募!$J$4:$J$23,节奏总纲!Q53)*(1+[1]养成buff汇总!AB55)</f>
        <v>#VALUE!</v>
      </c>
      <c r="F54" s="31" t="e">
        <f>求节点([2]兵营招募!H$28:H$47,[2]兵营招募!$J$4:$J$23,节奏总纲!R53)*(1+[1]养成buff汇总!AC55)</f>
        <v>#VALUE!</v>
      </c>
      <c r="G54" s="31" t="e">
        <f>求节点([2]兵营招募!I$28:I$47,[2]兵营招募!$J$4:$J$23,节奏总纲!S53)*(1+[1]养成buff汇总!AD55)</f>
        <v>#VALUE!</v>
      </c>
      <c r="H54" s="31" t="e">
        <f>求节点([2]兵营招募!J$28:J$47,[2]兵营招募!$J$4:$J$23,节奏总纲!T53)*(1+[1]养成buff汇总!AE55)</f>
        <v>#VALUE!</v>
      </c>
      <c r="I54" s="31" t="e">
        <f>100%*D54*'[1]功能-付费相关'!CJ55*节奏总纲!W53</f>
        <v>#VALUE!</v>
      </c>
      <c r="J54" s="31" t="e">
        <f>100%*E54*'[1]功能-付费相关'!CK55*节奏总纲!X53</f>
        <v>#VALUE!</v>
      </c>
      <c r="K54" s="31" t="e">
        <f>100%*F54*'[1]功能-付费相关'!CL55*节奏总纲!Y53</f>
        <v>#VALUE!</v>
      </c>
      <c r="L54" s="31" t="e">
        <f>100%*G54*'[1]功能-付费相关'!CM55*节奏总纲!Z53</f>
        <v>#VALUE!</v>
      </c>
      <c r="M54" s="31" t="e">
        <f>100%*H54*'[1]功能-付费相关'!CN55*节奏总纲!AA53</f>
        <v>#VALUE!</v>
      </c>
      <c r="N54" s="31" t="e">
        <f>D54*20%*'[1]功能-付费相关'!CJ55</f>
        <v>#VALUE!</v>
      </c>
      <c r="O54" s="31" t="e">
        <f>E54*20%*'[1]功能-付费相关'!CK55</f>
        <v>#VALUE!</v>
      </c>
      <c r="P54" s="31" t="e">
        <f>F54*20%*'[1]功能-付费相关'!CL55</f>
        <v>#VALUE!</v>
      </c>
      <c r="Q54" s="31" t="e">
        <f>G54*20%*'[1]功能-付费相关'!CM55</f>
        <v>#VALUE!</v>
      </c>
      <c r="R54" s="31" t="e">
        <f>H54*20%*'[1]功能-付费相关'!CN55</f>
        <v>#VALUE!</v>
      </c>
      <c r="S54" s="31">
        <f>$W$1*('[1]功能-行军令'!S53+S$2*[1]节奏总纲!BJ53)</f>
        <v>2971.50872915639</v>
      </c>
      <c r="T54" s="31">
        <f>$W$1*('[1]功能-行军令'!T53+T$2*[1]节奏总纲!BK53)</f>
        <v>4034.2746761025737</v>
      </c>
      <c r="U54" s="31">
        <f>$W$1*('[1]功能-行军令'!U53+U$2*[1]节奏总纲!BL53)</f>
        <v>4824.3998553395759</v>
      </c>
      <c r="V54" s="31">
        <f>$W$1*('[1]功能-行军令'!V53+V$2*[1]节奏总纲!BM53)</f>
        <v>5153.7635362055298</v>
      </c>
      <c r="W54" s="31">
        <f>$W$1*('[1]功能-行军令'!W53+W$2*[1]节奏总纲!BN53)</f>
        <v>5520.3365916160983</v>
      </c>
      <c r="X54" s="57">
        <f>S54*'[1]功能-付费相关'!AH55</f>
        <v>22.101107287304085</v>
      </c>
      <c r="Y54" s="57">
        <f>T54*'[1]功能-付费相关'!AI55</f>
        <v>30.005611818717409</v>
      </c>
      <c r="Z54" s="57">
        <f>U54*'[1]功能-付费相关'!AJ55</f>
        <v>35.88230374473271</v>
      </c>
      <c r="AA54" s="57">
        <f>V54*'[1]功能-付费相关'!AK55</f>
        <v>38.332002773355931</v>
      </c>
      <c r="AB54" s="57">
        <f>W54*'[1]功能-付费相关'!AL55</f>
        <v>41.058452925351247</v>
      </c>
      <c r="AC54" s="57"/>
    </row>
    <row r="55" spans="3:29" x14ac:dyDescent="0.15">
      <c r="C55" s="31">
        <v>51</v>
      </c>
      <c r="D55" s="31" t="e">
        <f>求节点([2]兵营招募!F$28:F$47,[2]兵营招募!$J$4:$J$23,节奏总纲!P54)*(1+[1]养成buff汇总!AA56)</f>
        <v>#VALUE!</v>
      </c>
      <c r="E55" s="31" t="e">
        <f>求节点([2]兵营招募!G$28:G$47,[2]兵营招募!$J$4:$J$23,节奏总纲!Q54)*(1+[1]养成buff汇总!AB56)</f>
        <v>#VALUE!</v>
      </c>
      <c r="F55" s="31" t="e">
        <f>求节点([2]兵营招募!H$28:H$47,[2]兵营招募!$J$4:$J$23,节奏总纲!R54)*(1+[1]养成buff汇总!AC56)</f>
        <v>#VALUE!</v>
      </c>
      <c r="G55" s="31" t="e">
        <f>求节点([2]兵营招募!I$28:I$47,[2]兵营招募!$J$4:$J$23,节奏总纲!S54)*(1+[1]养成buff汇总!AD56)</f>
        <v>#VALUE!</v>
      </c>
      <c r="H55" s="31" t="e">
        <f>求节点([2]兵营招募!J$28:J$47,[2]兵营招募!$J$4:$J$23,节奏总纲!T54)*(1+[1]养成buff汇总!AE56)</f>
        <v>#VALUE!</v>
      </c>
      <c r="I55" s="31" t="e">
        <f>100%*D55*'[1]功能-付费相关'!CJ56*节奏总纲!W54</f>
        <v>#VALUE!</v>
      </c>
      <c r="J55" s="31" t="e">
        <f>100%*E55*'[1]功能-付费相关'!CK56*节奏总纲!X54</f>
        <v>#VALUE!</v>
      </c>
      <c r="K55" s="31" t="e">
        <f>100%*F55*'[1]功能-付费相关'!CL56*节奏总纲!Y54</f>
        <v>#VALUE!</v>
      </c>
      <c r="L55" s="31" t="e">
        <f>100%*G55*'[1]功能-付费相关'!CM56*节奏总纲!Z54</f>
        <v>#VALUE!</v>
      </c>
      <c r="M55" s="31" t="e">
        <f>100%*H55*'[1]功能-付费相关'!CN56*节奏总纲!AA54</f>
        <v>#VALUE!</v>
      </c>
      <c r="N55" s="31" t="e">
        <f>D55*20%*'[1]功能-付费相关'!CJ56</f>
        <v>#VALUE!</v>
      </c>
      <c r="O55" s="31" t="e">
        <f>E55*20%*'[1]功能-付费相关'!CK56</f>
        <v>#VALUE!</v>
      </c>
      <c r="P55" s="31" t="e">
        <f>F55*20%*'[1]功能-付费相关'!CL56</f>
        <v>#VALUE!</v>
      </c>
      <c r="Q55" s="31" t="e">
        <f>G55*20%*'[1]功能-付费相关'!CM56</f>
        <v>#VALUE!</v>
      </c>
      <c r="R55" s="31" t="e">
        <f>H55*20%*'[1]功能-付费相关'!CN56</f>
        <v>#VALUE!</v>
      </c>
      <c r="S55" s="31">
        <f>$W$1*('[1]功能-行军令'!S54+S$2*[1]节奏总纲!BJ54)</f>
        <v>3126.3440704017912</v>
      </c>
      <c r="T55" s="31">
        <f>$W$1*('[1]功能-行军令'!T54+T$2*[1]节奏总纲!BK54)</f>
        <v>4087.1769087056564</v>
      </c>
      <c r="U55" s="31">
        <f>$W$1*('[1]功能-行军令'!U54+U$2*[1]节奏总纲!BL54)</f>
        <v>5021.2624236972752</v>
      </c>
      <c r="V55" s="31">
        <f>$W$1*('[1]功能-行军令'!V54+V$2*[1]节奏总纲!BM54)</f>
        <v>5361.5321727372793</v>
      </c>
      <c r="W55" s="31">
        <f>$W$1*('[1]功能-行军令'!W54+W$2*[1]节奏总纲!BN54)</f>
        <v>5610.3453765210406</v>
      </c>
      <c r="X55" s="57">
        <f>S55*'[1]功能-付费相关'!AH56</f>
        <v>22.565499984796453</v>
      </c>
      <c r="Y55" s="57">
        <f>T55*'[1]功能-付费相关'!AI56</f>
        <v>29.500652645505138</v>
      </c>
      <c r="Z55" s="57">
        <f>U55*'[1]功能-付费相关'!AJ56</f>
        <v>36.242746989469346</v>
      </c>
      <c r="AA55" s="57">
        <f>V55*'[1]功能-付费相关'!AK56</f>
        <v>38.698764895330264</v>
      </c>
      <c r="AB55" s="57">
        <f>W55*'[1]功能-付费相关'!AL56</f>
        <v>40.494662665941945</v>
      </c>
      <c r="AC55" s="57"/>
    </row>
    <row r="56" spans="3:29" x14ac:dyDescent="0.15">
      <c r="C56" s="31">
        <v>52</v>
      </c>
      <c r="D56" s="31" t="e">
        <f>求节点([2]兵营招募!F$28:F$47,[2]兵营招募!$J$4:$J$23,节奏总纲!P55)*(1+[1]养成buff汇总!AA57)</f>
        <v>#VALUE!</v>
      </c>
      <c r="E56" s="31" t="e">
        <f>求节点([2]兵营招募!G$28:G$47,[2]兵营招募!$J$4:$J$23,节奏总纲!Q55)*(1+[1]养成buff汇总!AB57)</f>
        <v>#VALUE!</v>
      </c>
      <c r="F56" s="31" t="e">
        <f>求节点([2]兵营招募!H$28:H$47,[2]兵营招募!$J$4:$J$23,节奏总纲!R55)*(1+[1]养成buff汇总!AC57)</f>
        <v>#VALUE!</v>
      </c>
      <c r="G56" s="31" t="e">
        <f>求节点([2]兵营招募!I$28:I$47,[2]兵营招募!$J$4:$J$23,节奏总纲!S55)*(1+[1]养成buff汇总!AD57)</f>
        <v>#VALUE!</v>
      </c>
      <c r="H56" s="31" t="e">
        <f>求节点([2]兵营招募!J$28:J$47,[2]兵营招募!$J$4:$J$23,节奏总纲!T55)*(1+[1]养成buff汇总!AE57)</f>
        <v>#VALUE!</v>
      </c>
      <c r="I56" s="31" t="e">
        <f>100%*D56*'[1]功能-付费相关'!CJ57*节奏总纲!W55</f>
        <v>#VALUE!</v>
      </c>
      <c r="J56" s="31" t="e">
        <f>100%*E56*'[1]功能-付费相关'!CK57*节奏总纲!X55</f>
        <v>#VALUE!</v>
      </c>
      <c r="K56" s="31" t="e">
        <f>100%*F56*'[1]功能-付费相关'!CL57*节奏总纲!Y55</f>
        <v>#VALUE!</v>
      </c>
      <c r="L56" s="31" t="e">
        <f>100%*G56*'[1]功能-付费相关'!CM57*节奏总纲!Z55</f>
        <v>#VALUE!</v>
      </c>
      <c r="M56" s="31" t="e">
        <f>100%*H56*'[1]功能-付费相关'!CN57*节奏总纲!AA55</f>
        <v>#VALUE!</v>
      </c>
      <c r="N56" s="31" t="e">
        <f>D56*20%*'[1]功能-付费相关'!CJ57</f>
        <v>#VALUE!</v>
      </c>
      <c r="O56" s="31" t="e">
        <f>E56*20%*'[1]功能-付费相关'!CK57</f>
        <v>#VALUE!</v>
      </c>
      <c r="P56" s="31" t="e">
        <f>F56*20%*'[1]功能-付费相关'!CL57</f>
        <v>#VALUE!</v>
      </c>
      <c r="Q56" s="31" t="e">
        <f>G56*20%*'[1]功能-付费相关'!CM57</f>
        <v>#VALUE!</v>
      </c>
      <c r="R56" s="31" t="e">
        <f>H56*20%*'[1]功能-付费相关'!CN57</f>
        <v>#VALUE!</v>
      </c>
      <c r="S56" s="31">
        <f>$W$1*('[1]功能-行军令'!S55+S$2*[1]节奏总纲!BJ55)</f>
        <v>3291.3355007109226</v>
      </c>
      <c r="T56" s="31">
        <f>$W$1*('[1]功能-行军令'!T55+T$2*[1]节奏总纲!BK55)</f>
        <v>4455.7374951019219</v>
      </c>
      <c r="U56" s="31">
        <f>$W$1*('[1]功能-行军令'!U55+U$2*[1]节奏总纲!BL55)</f>
        <v>5493.8172071617901</v>
      </c>
      <c r="V56" s="31">
        <f>$W$1*('[1]功能-行军令'!V55+V$2*[1]节奏总纲!BM55)</f>
        <v>5692.8381574703035</v>
      </c>
      <c r="W56" s="31">
        <f>$W$1*('[1]功能-行军令'!W55+W$2*[1]节奏总纲!BN55)</f>
        <v>5804.0956314301466</v>
      </c>
      <c r="X56" s="57">
        <f>S56*'[1]功能-付费相关'!AH57</f>
        <v>23.054277037433167</v>
      </c>
      <c r="Y56" s="57">
        <f>T56*'[1]功能-付费相关'!AI57</f>
        <v>31.210372384088483</v>
      </c>
      <c r="Z56" s="57">
        <f>U56*'[1]功能-付费相关'!AJ57</f>
        <v>38.481638793604539</v>
      </c>
      <c r="AA56" s="57">
        <f>V56*'[1]功能-付费相关'!AK57</f>
        <v>39.87568814642033</v>
      </c>
      <c r="AB56" s="57">
        <f>W56*'[1]功能-付费相关'!AL57</f>
        <v>40.654995095408424</v>
      </c>
      <c r="AC56" s="57"/>
    </row>
    <row r="57" spans="3:29" x14ac:dyDescent="0.15">
      <c r="C57" s="31">
        <v>53</v>
      </c>
      <c r="D57" s="31" t="e">
        <f>求节点([2]兵营招募!F$28:F$47,[2]兵营招募!$J$4:$J$23,节奏总纲!P56)*(1+[1]养成buff汇总!AA58)</f>
        <v>#VALUE!</v>
      </c>
      <c r="E57" s="31" t="e">
        <f>求节点([2]兵营招募!G$28:G$47,[2]兵营招募!$J$4:$J$23,节奏总纲!Q56)*(1+[1]养成buff汇总!AB58)</f>
        <v>#VALUE!</v>
      </c>
      <c r="F57" s="31" t="e">
        <f>求节点([2]兵营招募!H$28:H$47,[2]兵营招募!$J$4:$J$23,节奏总纲!R56)*(1+[1]养成buff汇总!AC58)</f>
        <v>#VALUE!</v>
      </c>
      <c r="G57" s="31" t="e">
        <f>求节点([2]兵营招募!I$28:I$47,[2]兵营招募!$J$4:$J$23,节奏总纲!S56)*(1+[1]养成buff汇总!AD58)</f>
        <v>#VALUE!</v>
      </c>
      <c r="H57" s="31" t="e">
        <f>求节点([2]兵营招募!J$28:J$47,[2]兵营招募!$J$4:$J$23,节奏总纲!T56)*(1+[1]养成buff汇总!AE58)</f>
        <v>#VALUE!</v>
      </c>
      <c r="I57" s="31" t="e">
        <f>100%*D57*'[1]功能-付费相关'!CJ58*节奏总纲!W56</f>
        <v>#VALUE!</v>
      </c>
      <c r="J57" s="31" t="e">
        <f>100%*E57*'[1]功能-付费相关'!CK58*节奏总纲!X56</f>
        <v>#VALUE!</v>
      </c>
      <c r="K57" s="31" t="e">
        <f>100%*F57*'[1]功能-付费相关'!CL58*节奏总纲!Y56</f>
        <v>#VALUE!</v>
      </c>
      <c r="L57" s="31" t="e">
        <f>100%*G57*'[1]功能-付费相关'!CM58*节奏总纲!Z56</f>
        <v>#VALUE!</v>
      </c>
      <c r="M57" s="31" t="e">
        <f>100%*H57*'[1]功能-付费相关'!CN58*节奏总纲!AA56</f>
        <v>#VALUE!</v>
      </c>
      <c r="N57" s="31" t="e">
        <f>D57*20%*'[1]功能-付费相关'!CJ58</f>
        <v>#VALUE!</v>
      </c>
      <c r="O57" s="31" t="e">
        <f>E57*20%*'[1]功能-付费相关'!CK58</f>
        <v>#VALUE!</v>
      </c>
      <c r="P57" s="31" t="e">
        <f>F57*20%*'[1]功能-付费相关'!CL58</f>
        <v>#VALUE!</v>
      </c>
      <c r="Q57" s="31" t="e">
        <f>G57*20%*'[1]功能-付费相关'!CM58</f>
        <v>#VALUE!</v>
      </c>
      <c r="R57" s="31" t="e">
        <f>H57*20%*'[1]功能-付费相关'!CN58</f>
        <v>#VALUE!</v>
      </c>
      <c r="S57" s="31">
        <f>$W$1*('[1]功能-行军令'!S56+S$2*[1]节奏总纲!BJ56)</f>
        <v>3467.2119577616108</v>
      </c>
      <c r="T57" s="31">
        <f>$W$1*('[1]功能-行军令'!T56+T$2*[1]节奏总纲!BK56)</f>
        <v>4736.1035061390539</v>
      </c>
      <c r="U57" s="31">
        <f>$W$1*('[1]功能-行军令'!U56+U$2*[1]节奏总纲!BL56)</f>
        <v>5797.0076789741734</v>
      </c>
      <c r="V57" s="31">
        <f>$W$1*('[1]功能-行军令'!V56+V$2*[1]节奏总纲!BM56)</f>
        <v>5825.387093689601</v>
      </c>
      <c r="W57" s="31">
        <f>$W$1*('[1]功能-行军令'!W56+W$2*[1]节奏总纲!BN56)</f>
        <v>5950.8108236377029</v>
      </c>
      <c r="X57" s="57">
        <f>S57*'[1]功能-付费相关'!AH58</f>
        <v>23.56844398329055</v>
      </c>
      <c r="Y57" s="57">
        <f>T57*'[1]功能-付费相关'!AI58</f>
        <v>32.193760157531997</v>
      </c>
      <c r="Z57" s="57">
        <f>U57*'[1]功能-付费相关'!AJ58</f>
        <v>39.405277905424711</v>
      </c>
      <c r="AA57" s="57">
        <f>V57*'[1]功能-付费相关'!AK58</f>
        <v>39.598187555641459</v>
      </c>
      <c r="AB57" s="57">
        <f>W57*'[1]功能-付费相关'!AL58</f>
        <v>40.450757917496581</v>
      </c>
      <c r="AC57" s="57"/>
    </row>
    <row r="58" spans="3:29" x14ac:dyDescent="0.15">
      <c r="C58" s="31">
        <v>54</v>
      </c>
      <c r="D58" s="31" t="e">
        <f>求节点([2]兵营招募!F$28:F$47,[2]兵营招募!$J$4:$J$23,节奏总纲!P57)*(1+[1]养成buff汇总!AA59)</f>
        <v>#VALUE!</v>
      </c>
      <c r="E58" s="31" t="e">
        <f>求节点([2]兵营招募!G$28:G$47,[2]兵营招募!$J$4:$J$23,节奏总纲!Q57)*(1+[1]养成buff汇总!AB59)</f>
        <v>#VALUE!</v>
      </c>
      <c r="F58" s="31" t="e">
        <f>求节点([2]兵营招募!H$28:H$47,[2]兵营招募!$J$4:$J$23,节奏总纲!R57)*(1+[1]养成buff汇总!AC59)</f>
        <v>#VALUE!</v>
      </c>
      <c r="G58" s="31" t="e">
        <f>求节点([2]兵营招募!I$28:I$47,[2]兵营招募!$J$4:$J$23,节奏总纲!S57)*(1+[1]养成buff汇总!AD59)</f>
        <v>#VALUE!</v>
      </c>
      <c r="H58" s="31" t="e">
        <f>求节点([2]兵营招募!J$28:J$47,[2]兵营招募!$J$4:$J$23,节奏总纲!T57)*(1+[1]养成buff汇总!AE59)</f>
        <v>#VALUE!</v>
      </c>
      <c r="I58" s="31" t="e">
        <f>100%*D58*'[1]功能-付费相关'!CJ59*节奏总纲!W57</f>
        <v>#VALUE!</v>
      </c>
      <c r="J58" s="31" t="e">
        <f>100%*E58*'[1]功能-付费相关'!CK59*节奏总纲!X57</f>
        <v>#VALUE!</v>
      </c>
      <c r="K58" s="31" t="e">
        <f>100%*F58*'[1]功能-付费相关'!CL59*节奏总纲!Y57</f>
        <v>#VALUE!</v>
      </c>
      <c r="L58" s="31" t="e">
        <f>100%*G58*'[1]功能-付费相关'!CM59*节奏总纲!Z57</f>
        <v>#VALUE!</v>
      </c>
      <c r="M58" s="31" t="e">
        <f>100%*H58*'[1]功能-付费相关'!CN59*节奏总纲!AA57</f>
        <v>#VALUE!</v>
      </c>
      <c r="N58" s="31" t="e">
        <f>D58*20%*'[1]功能-付费相关'!CJ59</f>
        <v>#VALUE!</v>
      </c>
      <c r="O58" s="31" t="e">
        <f>E58*20%*'[1]功能-付费相关'!CK59</f>
        <v>#VALUE!</v>
      </c>
      <c r="P58" s="31" t="e">
        <f>F58*20%*'[1]功能-付费相关'!CL59</f>
        <v>#VALUE!</v>
      </c>
      <c r="Q58" s="31" t="e">
        <f>G58*20%*'[1]功能-付费相关'!CM59</f>
        <v>#VALUE!</v>
      </c>
      <c r="R58" s="31" t="e">
        <f>H58*20%*'[1]功能-付费相关'!CN59</f>
        <v>#VALUE!</v>
      </c>
      <c r="S58" s="31">
        <f>$W$1*('[1]功能-行军令'!S57+S$2*[1]节奏总纲!BJ57)</f>
        <v>3654.7546976130152</v>
      </c>
      <c r="T58" s="31">
        <f>$W$1*('[1]功能-行军令'!T57+T$2*[1]节奏总纲!BK57)</f>
        <v>4987.663404610541</v>
      </c>
      <c r="U58" s="31">
        <f>$W$1*('[1]功能-行军令'!U57+U$2*[1]节奏总纲!BL57)</f>
        <v>5824.6074414484647</v>
      </c>
      <c r="V58" s="31">
        <f>$W$1*('[1]功能-行军令'!V57+V$2*[1]节奏总纲!BM57)</f>
        <v>5974.1500404177823</v>
      </c>
      <c r="W58" s="31">
        <f>$W$1*('[1]功能-行军令'!W57+W$2*[1]节奏总纲!BN57)</f>
        <v>6016.7164506913468</v>
      </c>
      <c r="X58" s="57">
        <f>S58*'[1]功能-付费相关'!AH59</f>
        <v>24.109040004244843</v>
      </c>
      <c r="Y58" s="57">
        <f>T58*'[1]功能-付费相关'!AI59</f>
        <v>32.901736641312624</v>
      </c>
      <c r="Z58" s="57">
        <f>U58*'[1]功能-付费相关'!AJ59</f>
        <v>38.422741177846419</v>
      </c>
      <c r="AA58" s="57">
        <f>V58*'[1]功能-付费相关'!AK59</f>
        <v>39.409217370966779</v>
      </c>
      <c r="AB58" s="57">
        <f>W58*'[1]功能-付费相关'!AL59</f>
        <v>39.690011944893371</v>
      </c>
      <c r="AC58" s="57"/>
    </row>
    <row r="59" spans="3:29" x14ac:dyDescent="0.15">
      <c r="C59" s="31">
        <v>55</v>
      </c>
      <c r="D59" s="31" t="e">
        <f>求节点([2]兵营招募!F$28:F$47,[2]兵营招募!$J$4:$J$23,节奏总纲!P58)*(1+[1]养成buff汇总!AA60)</f>
        <v>#VALUE!</v>
      </c>
      <c r="E59" s="31" t="e">
        <f>求节点([2]兵营招募!G$28:G$47,[2]兵营招募!$J$4:$J$23,节奏总纲!Q58)*(1+[1]养成buff汇总!AB60)</f>
        <v>#VALUE!</v>
      </c>
      <c r="F59" s="31" t="e">
        <f>求节点([2]兵营招募!H$28:H$47,[2]兵营招募!$J$4:$J$23,节奏总纲!R58)*(1+[1]养成buff汇总!AC60)</f>
        <v>#VALUE!</v>
      </c>
      <c r="G59" s="31" t="e">
        <f>求节点([2]兵营招募!I$28:I$47,[2]兵营招募!$J$4:$J$23,节奏总纲!S58)*(1+[1]养成buff汇总!AD60)</f>
        <v>#VALUE!</v>
      </c>
      <c r="H59" s="31" t="e">
        <f>求节点([2]兵营招募!J$28:J$47,[2]兵营招募!$J$4:$J$23,节奏总纲!T58)*(1+[1]养成buff汇总!AE60)</f>
        <v>#VALUE!</v>
      </c>
      <c r="I59" s="31" t="e">
        <f>100%*D59*'[1]功能-付费相关'!CJ60*节奏总纲!W58</f>
        <v>#VALUE!</v>
      </c>
      <c r="J59" s="31" t="e">
        <f>100%*E59*'[1]功能-付费相关'!CK60*节奏总纲!X58</f>
        <v>#VALUE!</v>
      </c>
      <c r="K59" s="31" t="e">
        <f>100%*F59*'[1]功能-付费相关'!CL60*节奏总纲!Y58</f>
        <v>#VALUE!</v>
      </c>
      <c r="L59" s="31" t="e">
        <f>100%*G59*'[1]功能-付费相关'!CM60*节奏总纲!Z58</f>
        <v>#VALUE!</v>
      </c>
      <c r="M59" s="31" t="e">
        <f>100%*H59*'[1]功能-付费相关'!CN60*节奏总纲!AA58</f>
        <v>#VALUE!</v>
      </c>
      <c r="N59" s="31" t="e">
        <f>D59*20%*'[1]功能-付费相关'!CJ60</f>
        <v>#VALUE!</v>
      </c>
      <c r="O59" s="31" t="e">
        <f>E59*20%*'[1]功能-付费相关'!CK60</f>
        <v>#VALUE!</v>
      </c>
      <c r="P59" s="31" t="e">
        <f>F59*20%*'[1]功能-付费相关'!CL60</f>
        <v>#VALUE!</v>
      </c>
      <c r="Q59" s="31" t="e">
        <f>G59*20%*'[1]功能-付费相关'!CM60</f>
        <v>#VALUE!</v>
      </c>
      <c r="R59" s="31" t="e">
        <f>H59*20%*'[1]功能-付费相关'!CN60</f>
        <v>#VALUE!</v>
      </c>
      <c r="S59" s="31">
        <f>$W$1*('[1]功能-行军令'!S58+S$2*[1]节奏总纲!BJ58)</f>
        <v>3854.8010497765854</v>
      </c>
      <c r="T59" s="31">
        <f>$W$1*('[1]功能-行军令'!T58+T$2*[1]节奏总纲!BK58)</f>
        <v>5096.0811921967634</v>
      </c>
      <c r="U59" s="31">
        <f>$W$1*('[1]功能-行军令'!U58+U$2*[1]节奏总纲!BL58)</f>
        <v>6062.474727633773</v>
      </c>
      <c r="V59" s="31">
        <f>$W$1*('[1]功能-行军令'!V58+V$2*[1]节奏总纲!BM58)</f>
        <v>6171.5809561279184</v>
      </c>
      <c r="W59" s="31">
        <f>$W$1*('[1]功能-行军令'!W58+W$2*[1]节奏总纲!BN58)</f>
        <v>6195.6779419728409</v>
      </c>
      <c r="X59" s="57">
        <f>S59*'[1]功能-付费相关'!AH60</f>
        <v>24.67713964535934</v>
      </c>
      <c r="Y59" s="57">
        <f>T59*'[1]功能-付费相关'!AI60</f>
        <v>32.623397576177737</v>
      </c>
      <c r="Z59" s="57">
        <f>U59*'[1]功能-付费相关'!AJ60</f>
        <v>38.809923915256576</v>
      </c>
      <c r="AA59" s="57">
        <f>V59*'[1]功能-付费相关'!AK60</f>
        <v>39.508385288998433</v>
      </c>
      <c r="AB59" s="57">
        <f>W59*'[1]功能-付费相关'!AL60</f>
        <v>39.662646086650199</v>
      </c>
      <c r="AC59" s="57"/>
    </row>
    <row r="60" spans="3:29" x14ac:dyDescent="0.15">
      <c r="C60" s="31">
        <v>56</v>
      </c>
      <c r="D60" s="31" t="e">
        <f>求节点([2]兵营招募!F$28:F$47,[2]兵营招募!$J$4:$J$23,节奏总纲!P59)*(1+[1]养成buff汇总!AA61)</f>
        <v>#VALUE!</v>
      </c>
      <c r="E60" s="31" t="e">
        <f>求节点([2]兵营招募!G$28:G$47,[2]兵营招募!$J$4:$J$23,节奏总纲!Q59)*(1+[1]养成buff汇总!AB61)</f>
        <v>#VALUE!</v>
      </c>
      <c r="F60" s="31" t="e">
        <f>求节点([2]兵营招募!H$28:H$47,[2]兵营招募!$J$4:$J$23,节奏总纲!R59)*(1+[1]养成buff汇总!AC61)</f>
        <v>#VALUE!</v>
      </c>
      <c r="G60" s="31" t="e">
        <f>求节点([2]兵营招募!I$28:I$47,[2]兵营招募!$J$4:$J$23,节奏总纲!S59)*(1+[1]养成buff汇总!AD61)</f>
        <v>#VALUE!</v>
      </c>
      <c r="H60" s="31" t="e">
        <f>求节点([2]兵营招募!J$28:J$47,[2]兵营招募!$J$4:$J$23,节奏总纲!T59)*(1+[1]养成buff汇总!AE61)</f>
        <v>#VALUE!</v>
      </c>
      <c r="I60" s="31" t="e">
        <f>100%*D60*'[1]功能-付费相关'!CJ61*节奏总纲!W59</f>
        <v>#VALUE!</v>
      </c>
      <c r="J60" s="31" t="e">
        <f>100%*E60*'[1]功能-付费相关'!CK61*节奏总纲!X59</f>
        <v>#VALUE!</v>
      </c>
      <c r="K60" s="31" t="e">
        <f>100%*F60*'[1]功能-付费相关'!CL61*节奏总纲!Y59</f>
        <v>#VALUE!</v>
      </c>
      <c r="L60" s="31" t="e">
        <f>100%*G60*'[1]功能-付费相关'!CM61*节奏总纲!Z59</f>
        <v>#VALUE!</v>
      </c>
      <c r="M60" s="31" t="e">
        <f>100%*H60*'[1]功能-付费相关'!CN61*节奏总纲!AA59</f>
        <v>#VALUE!</v>
      </c>
      <c r="N60" s="31" t="e">
        <f>D60*20%*'[1]功能-付费相关'!CJ61</f>
        <v>#VALUE!</v>
      </c>
      <c r="O60" s="31" t="e">
        <f>E60*20%*'[1]功能-付费相关'!CK61</f>
        <v>#VALUE!</v>
      </c>
      <c r="P60" s="31" t="e">
        <f>F60*20%*'[1]功能-付费相关'!CL61</f>
        <v>#VALUE!</v>
      </c>
      <c r="Q60" s="31" t="e">
        <f>G60*20%*'[1]功能-付费相关'!CM61</f>
        <v>#VALUE!</v>
      </c>
      <c r="R60" s="31" t="e">
        <f>H60*20%*'[1]功能-付费相关'!CN61</f>
        <v>#VALUE!</v>
      </c>
      <c r="S60" s="31">
        <f>$W$1*('[1]功能-行军令'!S59+S$2*[1]节奏总纲!BJ59)</f>
        <v>4068.2484418021841</v>
      </c>
      <c r="T60" s="31">
        <f>$W$1*('[1]功能-行军令'!T59+T$2*[1]节奏总纲!BK59)</f>
        <v>5327.5001178471957</v>
      </c>
      <c r="U60" s="31">
        <f>$W$1*('[1]功能-行军令'!U59+U$2*[1]节奏总纲!BL59)</f>
        <v>6378.0189645501923</v>
      </c>
      <c r="V60" s="31">
        <f>$W$1*('[1]功能-行军令'!V59+V$2*[1]节奏总纲!BM59)</f>
        <v>6431.8208917103475</v>
      </c>
      <c r="W60" s="31">
        <f>$W$1*('[1]功能-行军令'!W59+W$2*[1]节奏总纲!BN59)</f>
        <v>6375.7130812965734</v>
      </c>
      <c r="X60" s="57">
        <f>S60*'[1]功能-付费相关'!AH61</f>
        <v>25.273854587160244</v>
      </c>
      <c r="Y60" s="57">
        <f>T60*'[1]功能-付费相关'!AI61</f>
        <v>33.096912643786908</v>
      </c>
      <c r="Z60" s="57">
        <f>U60*'[1]功能-付费相关'!AJ61</f>
        <v>39.623225122599337</v>
      </c>
      <c r="AA60" s="57">
        <f>V60*'[1]功能-付费相关'!AK61</f>
        <v>39.957467758713364</v>
      </c>
      <c r="AB60" s="57">
        <f>W60*'[1]功能-付费相关'!AL61</f>
        <v>39.608899901590682</v>
      </c>
      <c r="AC60" s="57"/>
    </row>
    <row r="61" spans="3:29" x14ac:dyDescent="0.15">
      <c r="C61" s="31">
        <v>57</v>
      </c>
      <c r="D61" s="31" t="e">
        <f>求节点([2]兵营招募!F$28:F$47,[2]兵营招募!$J$4:$J$23,节奏总纲!P60)*(1+[1]养成buff汇总!AA62)</f>
        <v>#VALUE!</v>
      </c>
      <c r="E61" s="31" t="e">
        <f>求节点([2]兵营招募!G$28:G$47,[2]兵营招募!$J$4:$J$23,节奏总纲!Q60)*(1+[1]养成buff汇总!AB62)</f>
        <v>#VALUE!</v>
      </c>
      <c r="F61" s="31" t="e">
        <f>求节点([2]兵营招募!H$28:H$47,[2]兵营招募!$J$4:$J$23,节奏总纲!R60)*(1+[1]养成buff汇总!AC62)</f>
        <v>#VALUE!</v>
      </c>
      <c r="G61" s="31" t="e">
        <f>求节点([2]兵营招募!I$28:I$47,[2]兵营招募!$J$4:$J$23,节奏总纲!S60)*(1+[1]养成buff汇总!AD62)</f>
        <v>#VALUE!</v>
      </c>
      <c r="H61" s="31" t="e">
        <f>求节点([2]兵营招募!J$28:J$47,[2]兵营招募!$J$4:$J$23,节奏总纲!T60)*(1+[1]养成buff汇总!AE62)</f>
        <v>#VALUE!</v>
      </c>
      <c r="I61" s="31" t="e">
        <f>100%*D61*'[1]功能-付费相关'!CJ62*节奏总纲!W60</f>
        <v>#VALUE!</v>
      </c>
      <c r="J61" s="31" t="e">
        <f>100%*E61*'[1]功能-付费相关'!CK62*节奏总纲!X60</f>
        <v>#VALUE!</v>
      </c>
      <c r="K61" s="31" t="e">
        <f>100%*F61*'[1]功能-付费相关'!CL62*节奏总纲!Y60</f>
        <v>#VALUE!</v>
      </c>
      <c r="L61" s="31" t="e">
        <f>100%*G61*'[1]功能-付费相关'!CM62*节奏总纲!Z60</f>
        <v>#VALUE!</v>
      </c>
      <c r="M61" s="31" t="e">
        <f>100%*H61*'[1]功能-付费相关'!CN62*节奏总纲!AA60</f>
        <v>#VALUE!</v>
      </c>
      <c r="N61" s="31" t="e">
        <f>D61*20%*'[1]功能-付费相关'!CJ62</f>
        <v>#VALUE!</v>
      </c>
      <c r="O61" s="31" t="e">
        <f>E61*20%*'[1]功能-付费相关'!CK62</f>
        <v>#VALUE!</v>
      </c>
      <c r="P61" s="31" t="e">
        <f>F61*20%*'[1]功能-付费相关'!CL62</f>
        <v>#VALUE!</v>
      </c>
      <c r="Q61" s="31" t="e">
        <f>G61*20%*'[1]功能-付费相关'!CM62</f>
        <v>#VALUE!</v>
      </c>
      <c r="R61" s="31" t="e">
        <f>H61*20%*'[1]功能-付费相关'!CN62</f>
        <v>#VALUE!</v>
      </c>
      <c r="S61" s="31">
        <f>$W$1*('[1]功能-行军令'!S60+S$2*[1]节奏总纲!BJ60)</f>
        <v>4296.0587127223826</v>
      </c>
      <c r="T61" s="31">
        <f>$W$1*('[1]功能-行军令'!T60+T$2*[1]节奏总纲!BK60)</f>
        <v>5739.7424814528786</v>
      </c>
      <c r="U61" s="31">
        <f>$W$1*('[1]功能-行军令'!U60+U$2*[1]节奏总纲!BL60)</f>
        <v>6735.7748697721936</v>
      </c>
      <c r="V61" s="31">
        <f>$W$1*('[1]功能-行军令'!V60+V$2*[1]节奏总纲!BM60)</f>
        <v>6729.6018421687731</v>
      </c>
      <c r="W61" s="31">
        <f>$W$1*('[1]功能-行军令'!W60+W$2*[1]节奏总纲!BN60)</f>
        <v>6607.486329337491</v>
      </c>
      <c r="X61" s="57">
        <f>S61*'[1]功能-付费相关'!AH62</f>
        <v>25.900335473540895</v>
      </c>
      <c r="Y61" s="57">
        <f>T61*'[1]功能-付费相关'!AI62</f>
        <v>34.604102444204734</v>
      </c>
      <c r="Z61" s="57">
        <f>U61*'[1]功能-付费相关'!AJ62</f>
        <v>40.609042023728001</v>
      </c>
      <c r="AA61" s="57">
        <f>V61*'[1]功能-付费相关'!AK62</f>
        <v>40.571825706049999</v>
      </c>
      <c r="AB61" s="57">
        <f>W61*'[1]功能-付费相关'!AL62</f>
        <v>39.835608405414128</v>
      </c>
      <c r="AC61" s="57"/>
    </row>
    <row r="62" spans="3:29" x14ac:dyDescent="0.15">
      <c r="C62" s="31">
        <v>58</v>
      </c>
      <c r="D62" s="31" t="e">
        <f>求节点([2]兵营招募!F$28:F$47,[2]兵营招募!$J$4:$J$23,节奏总纲!P61)*(1+[1]养成buff汇总!AA63)</f>
        <v>#VALUE!</v>
      </c>
      <c r="E62" s="31" t="e">
        <f>求节点([2]兵营招募!G$28:G$47,[2]兵营招募!$J$4:$J$23,节奏总纲!Q61)*(1+[1]养成buff汇总!AB63)</f>
        <v>#VALUE!</v>
      </c>
      <c r="F62" s="31" t="e">
        <f>求节点([2]兵营招募!H$28:H$47,[2]兵营招募!$J$4:$J$23,节奏总纲!R61)*(1+[1]养成buff汇总!AC63)</f>
        <v>#VALUE!</v>
      </c>
      <c r="G62" s="31" t="e">
        <f>求节点([2]兵营招募!I$28:I$47,[2]兵营招募!$J$4:$J$23,节奏总纲!S61)*(1+[1]养成buff汇总!AD63)</f>
        <v>#VALUE!</v>
      </c>
      <c r="H62" s="31" t="e">
        <f>求节点([2]兵营招募!J$28:J$47,[2]兵营招募!$J$4:$J$23,节奏总纲!T61)*(1+[1]养成buff汇总!AE63)</f>
        <v>#VALUE!</v>
      </c>
      <c r="I62" s="31" t="e">
        <f>100%*D62*'[1]功能-付费相关'!CJ63*节奏总纲!W61</f>
        <v>#VALUE!</v>
      </c>
      <c r="J62" s="31" t="e">
        <f>100%*E62*'[1]功能-付费相关'!CK63*节奏总纲!X61</f>
        <v>#VALUE!</v>
      </c>
      <c r="K62" s="31" t="e">
        <f>100%*F62*'[1]功能-付费相关'!CL63*节奏总纲!Y61</f>
        <v>#VALUE!</v>
      </c>
      <c r="L62" s="31" t="e">
        <f>100%*G62*'[1]功能-付费相关'!CM63*节奏总纲!Z61</f>
        <v>#VALUE!</v>
      </c>
      <c r="M62" s="31" t="e">
        <f>100%*H62*'[1]功能-付费相关'!CN63*节奏总纲!AA61</f>
        <v>#VALUE!</v>
      </c>
      <c r="N62" s="31" t="e">
        <f>D62*20%*'[1]功能-付费相关'!CJ63</f>
        <v>#VALUE!</v>
      </c>
      <c r="O62" s="31" t="e">
        <f>E62*20%*'[1]功能-付费相关'!CK63</f>
        <v>#VALUE!</v>
      </c>
      <c r="P62" s="31" t="e">
        <f>F62*20%*'[1]功能-付费相关'!CL63</f>
        <v>#VALUE!</v>
      </c>
      <c r="Q62" s="31" t="e">
        <f>G62*20%*'[1]功能-付费相关'!CM63</f>
        <v>#VALUE!</v>
      </c>
      <c r="R62" s="31" t="e">
        <f>H62*20%*'[1]功能-付费相关'!CN63</f>
        <v>#VALUE!</v>
      </c>
      <c r="S62" s="31">
        <f>$W$1*('[1]功能-行军令'!S61+S$2*[1]节奏总纲!BJ61)</f>
        <v>4539.2627360872821</v>
      </c>
      <c r="T62" s="31">
        <f>$W$1*('[1]功能-行军令'!T61+T$2*[1]节奏总纲!BK61)</f>
        <v>5913.7551997442224</v>
      </c>
      <c r="U62" s="31">
        <f>$W$1*('[1]功能-行军令'!U61+U$2*[1]节奏总纲!BL61)</f>
        <v>7073.5167873375012</v>
      </c>
      <c r="V62" s="31">
        <f>$W$1*('[1]功能-行军令'!V61+V$2*[1]节奏总纲!BM61)</f>
        <v>7083.6231532406191</v>
      </c>
      <c r="W62" s="31">
        <f>$W$1*('[1]功能-行军令'!W61+W$2*[1]节奏总纲!BN61)</f>
        <v>6791.3897046985512</v>
      </c>
      <c r="X62" s="57">
        <f>S62*'[1]功能-付费相关'!AH63</f>
        <v>26.557773798128171</v>
      </c>
      <c r="Y62" s="57">
        <f>T62*'[1]功能-付费相关'!AI63</f>
        <v>34.599489393665145</v>
      </c>
      <c r="Z62" s="57">
        <f>U62*'[1]功能-付费相关'!AJ63</f>
        <v>41.384883342817702</v>
      </c>
      <c r="AA62" s="57">
        <f>V62*'[1]功能-付费相关'!AK63</f>
        <v>41.444012455887609</v>
      </c>
      <c r="AB62" s="57">
        <f>W62*'[1]功能-付费相关'!AL63</f>
        <v>39.73424805716126</v>
      </c>
      <c r="AC62" s="57"/>
    </row>
    <row r="63" spans="3:29" x14ac:dyDescent="0.15">
      <c r="C63" s="31">
        <v>59</v>
      </c>
      <c r="D63" s="31" t="e">
        <f>求节点([2]兵营招募!F$28:F$47,[2]兵营招募!$J$4:$J$23,节奏总纲!P62)*(1+[1]养成buff汇总!AA64)</f>
        <v>#VALUE!</v>
      </c>
      <c r="E63" s="31" t="e">
        <f>求节点([2]兵营招募!G$28:G$47,[2]兵营招募!$J$4:$J$23,节奏总纲!Q62)*(1+[1]养成buff汇总!AB64)</f>
        <v>#VALUE!</v>
      </c>
      <c r="F63" s="31" t="e">
        <f>求节点([2]兵营招募!H$28:H$47,[2]兵营招募!$J$4:$J$23,节奏总纲!R62)*(1+[1]养成buff汇总!AC64)</f>
        <v>#VALUE!</v>
      </c>
      <c r="G63" s="31" t="e">
        <f>求节点([2]兵营招募!I$28:I$47,[2]兵营招募!$J$4:$J$23,节奏总纲!S62)*(1+[1]养成buff汇总!AD64)</f>
        <v>#VALUE!</v>
      </c>
      <c r="H63" s="31" t="e">
        <f>求节点([2]兵营招募!J$28:J$47,[2]兵营招募!$J$4:$J$23,节奏总纲!T62)*(1+[1]养成buff汇总!AE64)</f>
        <v>#VALUE!</v>
      </c>
      <c r="I63" s="31" t="e">
        <f>100%*D63*'[1]功能-付费相关'!CJ64*节奏总纲!W62</f>
        <v>#VALUE!</v>
      </c>
      <c r="J63" s="31" t="e">
        <f>100%*E63*'[1]功能-付费相关'!CK64*节奏总纲!X62</f>
        <v>#VALUE!</v>
      </c>
      <c r="K63" s="31" t="e">
        <f>100%*F63*'[1]功能-付费相关'!CL64*节奏总纲!Y62</f>
        <v>#VALUE!</v>
      </c>
      <c r="L63" s="31" t="e">
        <f>100%*G63*'[1]功能-付费相关'!CM64*节奏总纲!Z62</f>
        <v>#VALUE!</v>
      </c>
      <c r="M63" s="31" t="e">
        <f>100%*H63*'[1]功能-付费相关'!CN64*节奏总纲!AA62</f>
        <v>#VALUE!</v>
      </c>
      <c r="N63" s="31" t="e">
        <f>D63*20%*'[1]功能-付费相关'!CJ64</f>
        <v>#VALUE!</v>
      </c>
      <c r="O63" s="31" t="e">
        <f>E63*20%*'[1]功能-付费相关'!CK64</f>
        <v>#VALUE!</v>
      </c>
      <c r="P63" s="31" t="e">
        <f>F63*20%*'[1]功能-付费相关'!CL64</f>
        <v>#VALUE!</v>
      </c>
      <c r="Q63" s="31" t="e">
        <f>G63*20%*'[1]功能-付费相关'!CM64</f>
        <v>#VALUE!</v>
      </c>
      <c r="R63" s="31" t="e">
        <f>H63*20%*'[1]功能-付费相关'!CN64</f>
        <v>#VALUE!</v>
      </c>
      <c r="S63" s="31">
        <f>$W$1*('[1]功能-行军令'!S62+S$2*[1]节奏总纲!BJ62)</f>
        <v>4798.9653748114779</v>
      </c>
      <c r="T63" s="31">
        <f>$W$1*('[1]功能-行军令'!T62+T$2*[1]节奏总纲!BK62)</f>
        <v>6377.2922499027791</v>
      </c>
      <c r="U63" s="31">
        <f>$W$1*('[1]功能-行军令'!U62+U$2*[1]节奏总纲!BL62)</f>
        <v>7497.050503909818</v>
      </c>
      <c r="V63" s="31">
        <f>$W$1*('[1]功能-行军令'!V62+V$2*[1]节奏总纲!BM62)</f>
        <v>7384.8622771134906</v>
      </c>
      <c r="W63" s="31">
        <f>$W$1*('[1]功能-行军令'!W62+W$2*[1]节奏总纲!BN62)</f>
        <v>7067.090417794333</v>
      </c>
      <c r="X63" s="57">
        <f>S63*'[1]功能-付费相关'!AH64</f>
        <v>27.247403852043004</v>
      </c>
      <c r="Y63" s="57">
        <f>T63*'[1]功能-付费相关'!AI64</f>
        <v>36.20877498463534</v>
      </c>
      <c r="Z63" s="57">
        <f>U63*'[1]功能-付费相关'!AJ64</f>
        <v>42.566500656866701</v>
      </c>
      <c r="AA63" s="57">
        <f>V63*'[1]功能-付费相关'!AK64</f>
        <v>41.929522124158659</v>
      </c>
      <c r="AB63" s="57">
        <f>W63*'[1]功能-付费相关'!AL64</f>
        <v>40.125287772077336</v>
      </c>
      <c r="AC63" s="57"/>
    </row>
    <row r="64" spans="3:29" x14ac:dyDescent="0.15">
      <c r="C64" s="31">
        <v>60</v>
      </c>
      <c r="D64" s="31" t="e">
        <f>求节点([2]兵营招募!F$28:F$47,[2]兵营招募!$J$4:$J$23,节奏总纲!P63)*(1+[1]养成buff汇总!AA65)</f>
        <v>#VALUE!</v>
      </c>
      <c r="E64" s="31" t="e">
        <f>求节点([2]兵营招募!G$28:G$47,[2]兵营招募!$J$4:$J$23,节奏总纲!Q63)*(1+[1]养成buff汇总!AB65)</f>
        <v>#VALUE!</v>
      </c>
      <c r="F64" s="31" t="e">
        <f>求节点([2]兵营招募!H$28:H$47,[2]兵营招募!$J$4:$J$23,节奏总纲!R63)*(1+[1]养成buff汇总!AC65)</f>
        <v>#VALUE!</v>
      </c>
      <c r="G64" s="31" t="e">
        <f>求节点([2]兵营招募!I$28:I$47,[2]兵营招募!$J$4:$J$23,节奏总纲!S63)*(1+[1]养成buff汇总!AD65)</f>
        <v>#VALUE!</v>
      </c>
      <c r="H64" s="31" t="e">
        <f>求节点([2]兵营招募!J$28:J$47,[2]兵营招募!$J$4:$J$23,节奏总纲!T63)*(1+[1]养成buff汇总!AE65)</f>
        <v>#VALUE!</v>
      </c>
      <c r="I64" s="31" t="e">
        <f>100%*D64*'[1]功能-付费相关'!CJ65*节奏总纲!W63</f>
        <v>#VALUE!</v>
      </c>
      <c r="J64" s="31" t="e">
        <f>100%*E64*'[1]功能-付费相关'!CK65*节奏总纲!X63</f>
        <v>#VALUE!</v>
      </c>
      <c r="K64" s="31" t="e">
        <f>100%*F64*'[1]功能-付费相关'!CL65*节奏总纲!Y63</f>
        <v>#VALUE!</v>
      </c>
      <c r="L64" s="31" t="e">
        <f>100%*G64*'[1]功能-付费相关'!CM65*节奏总纲!Z63</f>
        <v>#VALUE!</v>
      </c>
      <c r="M64" s="31" t="e">
        <f>100%*H64*'[1]功能-付费相关'!CN65*节奏总纲!AA63</f>
        <v>#VALUE!</v>
      </c>
      <c r="N64" s="31" t="e">
        <f>D64*20%*'[1]功能-付费相关'!CJ65</f>
        <v>#VALUE!</v>
      </c>
      <c r="O64" s="31" t="e">
        <f>E64*20%*'[1]功能-付费相关'!CK65</f>
        <v>#VALUE!</v>
      </c>
      <c r="P64" s="31" t="e">
        <f>F64*20%*'[1]功能-付费相关'!CL65</f>
        <v>#VALUE!</v>
      </c>
      <c r="Q64" s="31" t="e">
        <f>G64*20%*'[1]功能-付费相关'!CM65</f>
        <v>#VALUE!</v>
      </c>
      <c r="R64" s="31" t="e">
        <f>H64*20%*'[1]功能-付费相关'!CN65</f>
        <v>#VALUE!</v>
      </c>
      <c r="S64" s="31">
        <f>$W$1*('[1]功能-行军令'!S63+S$2*[1]节奏总纲!BJ63)</f>
        <v>5076.3507916460858</v>
      </c>
      <c r="T64" s="31">
        <f>$W$1*('[1]功能-行军令'!T63+T$2*[1]节奏总纲!BK63)</f>
        <v>6623.8434442989947</v>
      </c>
      <c r="U64" s="31">
        <f>$W$1*('[1]功能-行军令'!U63+U$2*[1]节奏总纲!BL63)</f>
        <v>7843.1580621814846</v>
      </c>
      <c r="V64" s="31">
        <f>$W$1*('[1]功能-行军令'!V63+V$2*[1]节奏总纲!BM63)</f>
        <v>7767.6314153238945</v>
      </c>
      <c r="W64" s="31">
        <f>$W$1*('[1]功能-行军令'!W63+W$2*[1]节奏总纲!BN63)</f>
        <v>7381.7482426199876</v>
      </c>
      <c r="X64" s="57">
        <f>S64*'[1]功能-付费相关'!AH65</f>
        <v>28.201948842478256</v>
      </c>
      <c r="Y64" s="57">
        <f>T64*'[1]功能-付费相关'!AI65</f>
        <v>36.799130246105527</v>
      </c>
      <c r="Z64" s="57">
        <f>U64*'[1]功能-付费相关'!AJ65</f>
        <v>43.573100345452694</v>
      </c>
      <c r="AA64" s="57">
        <f>V64*'[1]功能-付费相关'!AK65</f>
        <v>43.15350786291053</v>
      </c>
      <c r="AB64" s="57">
        <f>W64*'[1]功能-付费相关'!AL65</f>
        <v>41.009712458999935</v>
      </c>
      <c r="AC64" s="57"/>
    </row>
    <row r="65" spans="3:29" x14ac:dyDescent="0.15">
      <c r="C65" s="31">
        <v>61</v>
      </c>
      <c r="D65" s="31" t="e">
        <f>求节点([2]兵营招募!F$28:F$47,[2]兵营招募!$J$4:$J$23,节奏总纲!P64)*(1+[1]养成buff汇总!AA66)</f>
        <v>#VALUE!</v>
      </c>
      <c r="E65" s="31" t="e">
        <f>求节点([2]兵营招募!G$28:G$47,[2]兵营招募!$J$4:$J$23,节奏总纲!Q64)*(1+[1]养成buff汇总!AB66)</f>
        <v>#VALUE!</v>
      </c>
      <c r="F65" s="31" t="e">
        <f>求节点([2]兵营招募!H$28:H$47,[2]兵营招募!$J$4:$J$23,节奏总纲!R64)*(1+[1]养成buff汇总!AC66)</f>
        <v>#VALUE!</v>
      </c>
      <c r="G65" s="31" t="e">
        <f>求节点([2]兵营招募!I$28:I$47,[2]兵营招募!$J$4:$J$23,节奏总纲!S64)*(1+[1]养成buff汇总!AD66)</f>
        <v>#VALUE!</v>
      </c>
      <c r="H65" s="31" t="e">
        <f>求节点([2]兵营招募!J$28:J$47,[2]兵营招募!$J$4:$J$23,节奏总纲!T64)*(1+[1]养成buff汇总!AE66)</f>
        <v>#VALUE!</v>
      </c>
      <c r="I65" s="31" t="e">
        <f>100%*D65*'[1]功能-付费相关'!CJ66*节奏总纲!W64</f>
        <v>#VALUE!</v>
      </c>
      <c r="J65" s="31" t="e">
        <f>100%*E65*'[1]功能-付费相关'!CK66*节奏总纲!X64</f>
        <v>#VALUE!</v>
      </c>
      <c r="K65" s="31" t="e">
        <f>100%*F65*'[1]功能-付费相关'!CL66*节奏总纲!Y64</f>
        <v>#VALUE!</v>
      </c>
      <c r="L65" s="31" t="e">
        <f>100%*G65*'[1]功能-付费相关'!CM66*节奏总纲!Z64</f>
        <v>#VALUE!</v>
      </c>
      <c r="M65" s="31" t="e">
        <f>100%*H65*'[1]功能-付费相关'!CN66*节奏总纲!AA64</f>
        <v>#VALUE!</v>
      </c>
      <c r="N65" s="31" t="e">
        <f>D65*20%*'[1]功能-付费相关'!CJ66</f>
        <v>#VALUE!</v>
      </c>
      <c r="O65" s="31" t="e">
        <f>E65*20%*'[1]功能-付费相关'!CK66</f>
        <v>#VALUE!</v>
      </c>
      <c r="P65" s="31" t="e">
        <f>F65*20%*'[1]功能-付费相关'!CL66</f>
        <v>#VALUE!</v>
      </c>
      <c r="Q65" s="31" t="e">
        <f>G65*20%*'[1]功能-付费相关'!CM66</f>
        <v>#VALUE!</v>
      </c>
      <c r="R65" s="31" t="e">
        <f>H65*20%*'[1]功能-付费相关'!CN66</f>
        <v>#VALUE!</v>
      </c>
      <c r="S65" s="31">
        <f>$W$1*('[1]功能-行军令'!S64+S$2*[1]节奏总纲!BJ64)</f>
        <v>5372.6881408035806</v>
      </c>
      <c r="T65" s="31">
        <f>$W$1*('[1]功能-行军令'!T64+T$2*[1]节奏总纲!BK64)</f>
        <v>7124.1907623317866</v>
      </c>
      <c r="U65" s="31">
        <f>$W$1*('[1]功能-行军令'!U64+U$2*[1]节奏总纲!BL64)</f>
        <v>8364.9840692715243</v>
      </c>
      <c r="V65" s="31">
        <f>$W$1*('[1]功能-行军令'!V64+V$2*[1]节奏总纲!BM64)</f>
        <v>8251.8260523690496</v>
      </c>
      <c r="W65" s="31">
        <f>$W$1*('[1]功能-行军令'!W64+W$2*[1]节奏总纲!BN64)</f>
        <v>7547.1798572275929</v>
      </c>
      <c r="X65" s="57">
        <f>S65*'[1]功能-付费相关'!AH66</f>
        <v>29.848267448908782</v>
      </c>
      <c r="Y65" s="57">
        <f>T65*'[1]功能-付费相关'!AI66</f>
        <v>39.578837568509925</v>
      </c>
      <c r="Z65" s="57">
        <f>U65*'[1]功能-付费相关'!AJ66</f>
        <v>46.472133718175137</v>
      </c>
      <c r="AA65" s="57">
        <f>V65*'[1]功能-付费相关'!AK66</f>
        <v>45.843478068716941</v>
      </c>
      <c r="AB65" s="57">
        <f>W65*'[1]功能-付费相关'!AL66</f>
        <v>41.928776984597739</v>
      </c>
      <c r="AC65" s="57"/>
    </row>
    <row r="66" spans="3:29" x14ac:dyDescent="0.15">
      <c r="C66" s="31">
        <v>62</v>
      </c>
      <c r="D66" s="31" t="e">
        <f>求节点([2]兵营招募!F$28:F$47,[2]兵营招募!$J$4:$J$23,节奏总纲!P65)*(1+[1]养成buff汇总!AA67)</f>
        <v>#VALUE!</v>
      </c>
      <c r="E66" s="31" t="e">
        <f>求节点([2]兵营招募!G$28:G$47,[2]兵营招募!$J$4:$J$23,节奏总纲!Q65)*(1+[1]养成buff汇总!AB67)</f>
        <v>#VALUE!</v>
      </c>
      <c r="F66" s="31" t="e">
        <f>求节点([2]兵营招募!H$28:H$47,[2]兵营招募!$J$4:$J$23,节奏总纲!R65)*(1+[1]养成buff汇总!AC67)</f>
        <v>#VALUE!</v>
      </c>
      <c r="G66" s="31" t="e">
        <f>求节点([2]兵营招募!I$28:I$47,[2]兵营招募!$J$4:$J$23,节奏总纲!S65)*(1+[1]养成buff汇总!AD67)</f>
        <v>#VALUE!</v>
      </c>
      <c r="H66" s="31" t="e">
        <f>求节点([2]兵营招募!J$28:J$47,[2]兵营招募!$J$4:$J$23,节奏总纲!T65)*(1+[1]养成buff汇总!AE67)</f>
        <v>#VALUE!</v>
      </c>
      <c r="I66" s="31" t="e">
        <f>100%*D66*'[1]功能-付费相关'!CJ67*节奏总纲!W65</f>
        <v>#VALUE!</v>
      </c>
      <c r="J66" s="31" t="e">
        <f>100%*E66*'[1]功能-付费相关'!CK67*节奏总纲!X65</f>
        <v>#VALUE!</v>
      </c>
      <c r="K66" s="31" t="e">
        <f>100%*F66*'[1]功能-付费相关'!CL67*节奏总纲!Y65</f>
        <v>#VALUE!</v>
      </c>
      <c r="L66" s="31" t="e">
        <f>100%*G66*'[1]功能-付费相关'!CM67*节奏总纲!Z65</f>
        <v>#VALUE!</v>
      </c>
      <c r="M66" s="31" t="e">
        <f>100%*H66*'[1]功能-付费相关'!CN67*节奏总纲!AA65</f>
        <v>#VALUE!</v>
      </c>
      <c r="N66" s="31" t="e">
        <f>D66*20%*'[1]功能-付费相关'!CJ67</f>
        <v>#VALUE!</v>
      </c>
      <c r="O66" s="31" t="e">
        <f>E66*20%*'[1]功能-付费相关'!CK67</f>
        <v>#VALUE!</v>
      </c>
      <c r="P66" s="31" t="e">
        <f>F66*20%*'[1]功能-付费相关'!CL67</f>
        <v>#VALUE!</v>
      </c>
      <c r="Q66" s="31" t="e">
        <f>G66*20%*'[1]功能-付费相关'!CM67</f>
        <v>#VALUE!</v>
      </c>
      <c r="R66" s="31" t="e">
        <f>H66*20%*'[1]功能-付费相关'!CN67</f>
        <v>#VALUE!</v>
      </c>
      <c r="S66" s="31">
        <f>$W$1*('[1]功能-行军令'!S65+S$2*[1]节奏总纲!BJ65)</f>
        <v>5689.337668088483</v>
      </c>
      <c r="T66" s="31">
        <f>$W$1*('[1]功能-行军令'!T65+T$2*[1]节奏总纲!BK65)</f>
        <v>7464.6558808795044</v>
      </c>
      <c r="U66" s="31">
        <f>$W$1*('[1]功能-行军令'!U65+U$2*[1]节奏总纲!BL65)</f>
        <v>8885.1482963176004</v>
      </c>
      <c r="V66" s="31">
        <f>$W$1*('[1]功能-行军令'!V65+V$2*[1]节奏总纲!BM65)</f>
        <v>8696.4636746249889</v>
      </c>
      <c r="W66" s="31">
        <f>$W$1*('[1]功能-行军令'!W65+W$2*[1]节奏总纲!BN65)</f>
        <v>8007.3152768466762</v>
      </c>
      <c r="X66" s="57">
        <f>S66*'[1]功能-付费相关'!AH67</f>
        <v>31.607431489380463</v>
      </c>
      <c r="Y66" s="57">
        <f>T66*'[1]功能-付费相关'!AI67</f>
        <v>41.470310449330583</v>
      </c>
      <c r="Z66" s="57">
        <f>U66*'[1]功能-付费相关'!AJ67</f>
        <v>49.361934979542227</v>
      </c>
      <c r="AA66" s="57">
        <f>V66*'[1]功能-付费相关'!AK67</f>
        <v>48.313687081249938</v>
      </c>
      <c r="AB66" s="57">
        <f>W66*'[1]功能-付费相关'!AL67</f>
        <v>44.485084871370425</v>
      </c>
      <c r="AC66" s="57"/>
    </row>
    <row r="67" spans="3:29" x14ac:dyDescent="0.15">
      <c r="C67" s="31">
        <v>63</v>
      </c>
      <c r="D67" s="31" t="e">
        <f>求节点([2]兵营招募!F$28:F$47,[2]兵营招募!$J$4:$J$23,节奏总纲!P66)*(1+[1]养成buff汇总!AA68)</f>
        <v>#VALUE!</v>
      </c>
      <c r="E67" s="31" t="e">
        <f>求节点([2]兵营招募!G$28:G$47,[2]兵营招募!$J$4:$J$23,节奏总纲!Q66)*(1+[1]养成buff汇总!AB68)</f>
        <v>#VALUE!</v>
      </c>
      <c r="F67" s="31" t="e">
        <f>求节点([2]兵营招募!H$28:H$47,[2]兵营招募!$J$4:$J$23,节奏总纲!R66)*(1+[1]养成buff汇总!AC68)</f>
        <v>#VALUE!</v>
      </c>
      <c r="G67" s="31" t="e">
        <f>求节点([2]兵营招募!I$28:I$47,[2]兵营招募!$J$4:$J$23,节奏总纲!S66)*(1+[1]养成buff汇总!AD68)</f>
        <v>#VALUE!</v>
      </c>
      <c r="H67" s="31" t="e">
        <f>求节点([2]兵营招募!J$28:J$47,[2]兵营招募!$J$4:$J$23,节奏总纲!T66)*(1+[1]养成buff汇总!AE68)</f>
        <v>#VALUE!</v>
      </c>
      <c r="I67" s="31" t="e">
        <f>100%*D67*'[1]功能-付费相关'!CJ68*节奏总纲!W66</f>
        <v>#VALUE!</v>
      </c>
      <c r="J67" s="31" t="e">
        <f>100%*E67*'[1]功能-付费相关'!CK68*节奏总纲!X66</f>
        <v>#VALUE!</v>
      </c>
      <c r="K67" s="31" t="e">
        <f>100%*F67*'[1]功能-付费相关'!CL68*节奏总纲!Y66</f>
        <v>#VALUE!</v>
      </c>
      <c r="L67" s="31" t="e">
        <f>100%*G67*'[1]功能-付费相关'!CM68*节奏总纲!Z66</f>
        <v>#VALUE!</v>
      </c>
      <c r="M67" s="31" t="e">
        <f>100%*H67*'[1]功能-付费相关'!CN68*节奏总纲!AA66</f>
        <v>#VALUE!</v>
      </c>
      <c r="N67" s="31" t="e">
        <f>D67*20%*'[1]功能-付费相关'!CJ68</f>
        <v>#VALUE!</v>
      </c>
      <c r="O67" s="31" t="e">
        <f>E67*20%*'[1]功能-付费相关'!CK68</f>
        <v>#VALUE!</v>
      </c>
      <c r="P67" s="31" t="e">
        <f>F67*20%*'[1]功能-付费相关'!CL68</f>
        <v>#VALUE!</v>
      </c>
      <c r="Q67" s="31" t="e">
        <f>G67*20%*'[1]功能-付费相关'!CM68</f>
        <v>#VALUE!</v>
      </c>
      <c r="R67" s="31" t="e">
        <f>H67*20%*'[1]功能-付费相关'!CN68</f>
        <v>#VALUE!</v>
      </c>
      <c r="S67" s="31">
        <f>$W$1*('[1]功能-行军令'!S66+S$2*[1]节奏总纲!BJ66)</f>
        <v>6027.757248856582</v>
      </c>
      <c r="T67" s="31">
        <f>$W$1*('[1]功能-行军令'!T66+T$2*[1]节奏总纲!BK66)</f>
        <v>7995.5294585500405</v>
      </c>
      <c r="U67" s="31">
        <f>$W$1*('[1]功能-行军令'!U66+U$2*[1]节奏总纲!BL66)</f>
        <v>9351.1777543259523</v>
      </c>
      <c r="V67" s="31">
        <f>$W$1*('[1]功能-行军令'!V66+V$2*[1]节奏总纲!BM66)</f>
        <v>9177.144420231336</v>
      </c>
      <c r="W67" s="31">
        <f>$W$1*('[1]功能-行军令'!W66+W$2*[1]节奏总纲!BN66)</f>
        <v>8174.4672510096079</v>
      </c>
      <c r="X67" s="57">
        <f>S67*'[1]功能-付费相关'!AH68</f>
        <v>33.487540271425459</v>
      </c>
      <c r="Y67" s="57">
        <f>T67*'[1]功能-付费相关'!AI68</f>
        <v>44.419608103055779</v>
      </c>
      <c r="Z67" s="57">
        <f>U67*'[1]功能-付费相关'!AJ68</f>
        <v>51.950987524033067</v>
      </c>
      <c r="AA67" s="57">
        <f>V67*'[1]功能-付费相关'!AK68</f>
        <v>50.984135667951868</v>
      </c>
      <c r="AB67" s="57">
        <f>W67*'[1]功能-付费相关'!AL68</f>
        <v>45.413706950053381</v>
      </c>
      <c r="AC67" s="57"/>
    </row>
    <row r="68" spans="3:29" x14ac:dyDescent="0.15">
      <c r="C68" s="31">
        <v>64</v>
      </c>
      <c r="D68" s="31" t="e">
        <f>求节点([2]兵营招募!F$28:F$47,[2]兵营招募!$J$4:$J$23,节奏总纲!P67)*(1+[1]养成buff汇总!AA69)</f>
        <v>#VALUE!</v>
      </c>
      <c r="E68" s="31" t="e">
        <f>求节点([2]兵营招募!G$28:G$47,[2]兵营招募!$J$4:$J$23,节奏总纲!Q67)*(1+[1]养成buff汇总!AB69)</f>
        <v>#VALUE!</v>
      </c>
      <c r="F68" s="31" t="e">
        <f>求节点([2]兵营招募!H$28:H$47,[2]兵营招募!$J$4:$J$23,节奏总纲!R67)*(1+[1]养成buff汇总!AC69)</f>
        <v>#VALUE!</v>
      </c>
      <c r="G68" s="31" t="e">
        <f>求节点([2]兵营招募!I$28:I$47,[2]兵营招募!$J$4:$J$23,节奏总纲!S67)*(1+[1]养成buff汇总!AD69)</f>
        <v>#VALUE!</v>
      </c>
      <c r="H68" s="31" t="e">
        <f>求节点([2]兵营招募!J$28:J$47,[2]兵营招募!$J$4:$J$23,节奏总纲!T67)*(1+[1]养成buff汇总!AE69)</f>
        <v>#VALUE!</v>
      </c>
      <c r="I68" s="31" t="e">
        <f>100%*D68*'[1]功能-付费相关'!CJ69*节奏总纲!W67</f>
        <v>#VALUE!</v>
      </c>
      <c r="J68" s="31" t="e">
        <f>100%*E68*'[1]功能-付费相关'!CK69*节奏总纲!X67</f>
        <v>#VALUE!</v>
      </c>
      <c r="K68" s="31" t="e">
        <f>100%*F68*'[1]功能-付费相关'!CL69*节奏总纲!Y67</f>
        <v>#VALUE!</v>
      </c>
      <c r="L68" s="31" t="e">
        <f>100%*G68*'[1]功能-付费相关'!CM69*节奏总纲!Z67</f>
        <v>#VALUE!</v>
      </c>
      <c r="M68" s="31" t="e">
        <f>100%*H68*'[1]功能-付费相关'!CN69*节奏总纲!AA67</f>
        <v>#VALUE!</v>
      </c>
      <c r="N68" s="31" t="e">
        <f>D68*20%*'[1]功能-付费相关'!CJ69</f>
        <v>#VALUE!</v>
      </c>
      <c r="O68" s="31" t="e">
        <f>E68*20%*'[1]功能-付费相关'!CK69</f>
        <v>#VALUE!</v>
      </c>
      <c r="P68" s="31" t="e">
        <f>F68*20%*'[1]功能-付费相关'!CL69</f>
        <v>#VALUE!</v>
      </c>
      <c r="Q68" s="31" t="e">
        <f>G68*20%*'[1]功能-付费相关'!CM69</f>
        <v>#VALUE!</v>
      </c>
      <c r="R68" s="31" t="e">
        <f>H68*20%*'[1]功能-付费相关'!CN69</f>
        <v>#VALUE!</v>
      </c>
      <c r="S68" s="31">
        <f>$W$1*('[1]功能-行军令'!S67+S$2*[1]节奏总纲!BJ67)</f>
        <v>6389.5093952260013</v>
      </c>
      <c r="T68" s="31">
        <f>$W$1*('[1]功能-行军令'!T67+T$2*[1]节奏总纲!BK67)</f>
        <v>8421.5921342702713</v>
      </c>
      <c r="U68" s="31">
        <f>$W$1*('[1]功能-行军令'!U67+U$2*[1]节奏总纲!BL67)</f>
        <v>9951.1418346907667</v>
      </c>
      <c r="V68" s="31">
        <f>$W$1*('[1]功能-行军令'!V67+V$2*[1]节奏总纲!BM67)</f>
        <v>9645.6070895793091</v>
      </c>
      <c r="W68" s="31">
        <f>$W$1*('[1]功能-行军令'!W67+W$2*[1]节奏总纲!BN67)</f>
        <v>8366.2339412683305</v>
      </c>
      <c r="X68" s="57">
        <f>S68*'[1]功能-付费相关'!AH69</f>
        <v>35.497274417922227</v>
      </c>
      <c r="Y68" s="57">
        <f>T68*'[1]功能-付费相关'!AI69</f>
        <v>46.786622968168174</v>
      </c>
      <c r="Z68" s="57">
        <f>U68*'[1]功能-付费相关'!AJ69</f>
        <v>55.284121303837594</v>
      </c>
      <c r="AA68" s="57">
        <f>V68*'[1]功能-付费相关'!AK69</f>
        <v>53.586706053218386</v>
      </c>
      <c r="AB68" s="57">
        <f>W68*'[1]功能-付费相关'!AL69</f>
        <v>46.479077451490724</v>
      </c>
      <c r="AC68" s="57"/>
    </row>
    <row r="69" spans="3:29" x14ac:dyDescent="0.15">
      <c r="C69" s="31">
        <v>65</v>
      </c>
      <c r="D69" s="31" t="e">
        <f>求节点([2]兵营招募!F$28:F$47,[2]兵营招募!$J$4:$J$23,节奏总纲!P68)*(1+[1]养成buff汇总!AA70)</f>
        <v>#VALUE!</v>
      </c>
      <c r="E69" s="31" t="e">
        <f>求节点([2]兵营招募!G$28:G$47,[2]兵营招募!$J$4:$J$23,节奏总纲!Q68)*(1+[1]养成buff汇总!AB70)</f>
        <v>#VALUE!</v>
      </c>
      <c r="F69" s="31" t="e">
        <f>求节点([2]兵营招募!H$28:H$47,[2]兵营招募!$J$4:$J$23,节奏总纲!R68)*(1+[1]养成buff汇总!AC70)</f>
        <v>#VALUE!</v>
      </c>
      <c r="G69" s="31" t="e">
        <f>求节点([2]兵营招募!I$28:I$47,[2]兵营招募!$J$4:$J$23,节奏总纲!S68)*(1+[1]养成buff汇总!AD70)</f>
        <v>#VALUE!</v>
      </c>
      <c r="H69" s="31" t="e">
        <f>求节点([2]兵营招募!J$28:J$47,[2]兵营招募!$J$4:$J$23,节奏总纲!T68)*(1+[1]养成buff汇总!AE70)</f>
        <v>#VALUE!</v>
      </c>
      <c r="I69" s="31" t="e">
        <f>100%*D69*'[1]功能-付费相关'!CJ70*节奏总纲!W68</f>
        <v>#VALUE!</v>
      </c>
      <c r="J69" s="31" t="e">
        <f>100%*E69*'[1]功能-付费相关'!CK70*节奏总纲!X68</f>
        <v>#VALUE!</v>
      </c>
      <c r="K69" s="31" t="e">
        <f>100%*F69*'[1]功能-付费相关'!CL70*节奏总纲!Y68</f>
        <v>#VALUE!</v>
      </c>
      <c r="L69" s="31" t="e">
        <f>100%*G69*'[1]功能-付费相关'!CM70*节奏总纲!Z68</f>
        <v>#VALUE!</v>
      </c>
      <c r="M69" s="31" t="e">
        <f>100%*H69*'[1]功能-付费相关'!CN70*节奏总纲!AA68</f>
        <v>#VALUE!</v>
      </c>
      <c r="N69" s="31" t="e">
        <f>D69*20%*'[1]功能-付费相关'!CJ70</f>
        <v>#VALUE!</v>
      </c>
      <c r="O69" s="31" t="e">
        <f>E69*20%*'[1]功能-付费相关'!CK70</f>
        <v>#VALUE!</v>
      </c>
      <c r="P69" s="31" t="e">
        <f>F69*20%*'[1]功能-付费相关'!CL70</f>
        <v>#VALUE!</v>
      </c>
      <c r="Q69" s="31" t="e">
        <f>G69*20%*'[1]功能-付费相关'!CM70</f>
        <v>#VALUE!</v>
      </c>
      <c r="R69" s="31" t="e">
        <f>H69*20%*'[1]功能-付费相关'!CN70</f>
        <v>#VALUE!</v>
      </c>
      <c r="S69" s="31">
        <f>$W$1*('[1]功能-行军令'!S68+S$2*[1]节奏总纲!BJ68)</f>
        <v>6776.2687662198368</v>
      </c>
      <c r="T69" s="31">
        <f>$W$1*('[1]功能-行军令'!T68+T$2*[1]节奏总纲!BK68)</f>
        <v>8870.6153211270394</v>
      </c>
      <c r="U69" s="31">
        <f>$W$1*('[1]功能-行军令'!U68+U$2*[1]节奏总纲!BL68)</f>
        <v>10619.747625918939</v>
      </c>
      <c r="V69" s="31">
        <f>$W$1*('[1]功能-行军令'!V68+V$2*[1]节奏总纲!BM68)</f>
        <v>10035.167755167147</v>
      </c>
      <c r="W69" s="31">
        <f>$W$1*('[1]功能-行军令'!W68+W$2*[1]节奏总纲!BN68)</f>
        <v>8442.457298421039</v>
      </c>
      <c r="X69" s="57">
        <f>S69*'[1]功能-付费相关'!AH70</f>
        <v>37.645937590110208</v>
      </c>
      <c r="Y69" s="57">
        <f>T69*'[1]功能-付费相关'!AI70</f>
        <v>49.281196228483552</v>
      </c>
      <c r="Z69" s="57">
        <f>U69*'[1]功能-付费相关'!AJ70</f>
        <v>58.998597921771882</v>
      </c>
      <c r="AA69" s="57">
        <f>V69*'[1]功能-付费相关'!AK70</f>
        <v>55.75093197315082</v>
      </c>
      <c r="AB69" s="57">
        <f>W69*'[1]功能-付费相关'!AL70</f>
        <v>46.902540546783548</v>
      </c>
      <c r="AC69" s="57"/>
    </row>
    <row r="70" spans="3:29" x14ac:dyDescent="0.15">
      <c r="C70" s="31">
        <v>66</v>
      </c>
      <c r="D70" s="31" t="e">
        <f>求节点([2]兵营招募!F$28:F$47,[2]兵营招募!$J$4:$J$23,节奏总纲!P69)*(1+[1]养成buff汇总!AA71)</f>
        <v>#VALUE!</v>
      </c>
      <c r="E70" s="31" t="e">
        <f>求节点([2]兵营招募!G$28:G$47,[2]兵营招募!$J$4:$J$23,节奏总纲!Q69)*(1+[1]养成buff汇总!AB71)</f>
        <v>#VALUE!</v>
      </c>
      <c r="F70" s="31" t="e">
        <f>求节点([2]兵营招募!H$28:H$47,[2]兵营招募!$J$4:$J$23,节奏总纲!R69)*(1+[1]养成buff汇总!AC71)</f>
        <v>#VALUE!</v>
      </c>
      <c r="G70" s="31" t="e">
        <f>求节点([2]兵营招募!I$28:I$47,[2]兵营招募!$J$4:$J$23,节奏总纲!S69)*(1+[1]养成buff汇总!AD71)</f>
        <v>#VALUE!</v>
      </c>
      <c r="H70" s="31" t="e">
        <f>求节点([2]兵营招募!J$28:J$47,[2]兵营招募!$J$4:$J$23,节奏总纲!T69)*(1+[1]养成buff汇总!AE71)</f>
        <v>#VALUE!</v>
      </c>
      <c r="I70" s="31" t="e">
        <f>100%*D70*'[1]功能-付费相关'!CJ71*节奏总纲!W69</f>
        <v>#VALUE!</v>
      </c>
      <c r="J70" s="31" t="e">
        <f>100%*E70*'[1]功能-付费相关'!CK71*节奏总纲!X69</f>
        <v>#VALUE!</v>
      </c>
      <c r="K70" s="31" t="e">
        <f>100%*F70*'[1]功能-付费相关'!CL71*节奏总纲!Y69</f>
        <v>#VALUE!</v>
      </c>
      <c r="L70" s="31" t="e">
        <f>100%*G70*'[1]功能-付费相关'!CM71*节奏总纲!Z69</f>
        <v>#VALUE!</v>
      </c>
      <c r="M70" s="31" t="e">
        <f>100%*H70*'[1]功能-付费相关'!CN71*节奏总纲!AA69</f>
        <v>#VALUE!</v>
      </c>
      <c r="N70" s="31" t="e">
        <f>D70*20%*'[1]功能-付费相关'!CJ71</f>
        <v>#VALUE!</v>
      </c>
      <c r="O70" s="31" t="e">
        <f>E70*20%*'[1]功能-付费相关'!CK71</f>
        <v>#VALUE!</v>
      </c>
      <c r="P70" s="31" t="e">
        <f>F70*20%*'[1]功能-付费相关'!CL71</f>
        <v>#VALUE!</v>
      </c>
      <c r="Q70" s="31" t="e">
        <f>G70*20%*'[1]功能-付费相关'!CM71</f>
        <v>#VALUE!</v>
      </c>
      <c r="R70" s="31" t="e">
        <f>H70*20%*'[1]功能-付费相关'!CN71</f>
        <v>#VALUE!</v>
      </c>
      <c r="S70" s="31">
        <f>$W$1*('[1]功能-行军令'!S69+S$2*[1]节奏总纲!BJ69)</f>
        <v>7189.8302169377275</v>
      </c>
      <c r="T70" s="31">
        <f>$W$1*('[1]功能-行军令'!T69+T$2*[1]节奏总纲!BK69)</f>
        <v>9497.9521951228398</v>
      </c>
      <c r="U70" s="31">
        <f>$W$1*('[1]功能-行军令'!U69+U$2*[1]节奏总纲!BL69)</f>
        <v>11104.589306406553</v>
      </c>
      <c r="V70" s="31">
        <f>$W$1*('[1]功能-行军令'!V69+V$2*[1]节奏总纲!BM69)</f>
        <v>10118.274695290009</v>
      </c>
      <c r="W70" s="31">
        <f>$W$1*('[1]功能-行军令'!W69+W$2*[1]节奏总纲!BN69)</f>
        <v>8922.8464997715528</v>
      </c>
      <c r="X70" s="57">
        <f>S70*'[1]功能-付费相关'!AH71</f>
        <v>39.9435012052096</v>
      </c>
      <c r="Y70" s="57">
        <f>T70*'[1]功能-付费相关'!AI71</f>
        <v>52.766401084015776</v>
      </c>
      <c r="Z70" s="57">
        <f>U70*'[1]功能-付费相关'!AJ71</f>
        <v>61.692162813369741</v>
      </c>
      <c r="AA70" s="57">
        <f>V70*'[1]功能-付费相关'!AK71</f>
        <v>56.21263719605561</v>
      </c>
      <c r="AB70" s="57">
        <f>W70*'[1]功能-付费相关'!AL71</f>
        <v>49.571369443175293</v>
      </c>
      <c r="AC70" s="57"/>
    </row>
    <row r="71" spans="3:29" x14ac:dyDescent="0.15">
      <c r="C71" s="31">
        <v>67</v>
      </c>
      <c r="D71" s="31" t="e">
        <f>求节点([2]兵营招募!F$28:F$47,[2]兵营招募!$J$4:$J$23,节奏总纲!P70)*(1+[1]养成buff汇总!AA72)</f>
        <v>#VALUE!</v>
      </c>
      <c r="E71" s="31" t="e">
        <f>求节点([2]兵营招募!G$28:G$47,[2]兵营招募!$J$4:$J$23,节奏总纲!Q70)*(1+[1]养成buff汇总!AB72)</f>
        <v>#VALUE!</v>
      </c>
      <c r="F71" s="31" t="e">
        <f>求节点([2]兵营招募!H$28:H$47,[2]兵营招募!$J$4:$J$23,节奏总纲!R70)*(1+[1]养成buff汇总!AC72)</f>
        <v>#VALUE!</v>
      </c>
      <c r="G71" s="31" t="e">
        <f>求节点([2]兵营招募!I$28:I$47,[2]兵营招募!$J$4:$J$23,节奏总纲!S70)*(1+[1]养成buff汇总!AD72)</f>
        <v>#VALUE!</v>
      </c>
      <c r="H71" s="31" t="e">
        <f>求节点([2]兵营招募!J$28:J$47,[2]兵营招募!$J$4:$J$23,节奏总纲!T70)*(1+[1]养成buff汇总!AE72)</f>
        <v>#VALUE!</v>
      </c>
      <c r="I71" s="31" t="e">
        <f>100%*D71*'[1]功能-付费相关'!CJ72*节奏总纲!W70</f>
        <v>#VALUE!</v>
      </c>
      <c r="J71" s="31" t="e">
        <f>100%*E71*'[1]功能-付费相关'!CK72*节奏总纲!X70</f>
        <v>#VALUE!</v>
      </c>
      <c r="K71" s="31" t="e">
        <f>100%*F71*'[1]功能-付费相关'!CL72*节奏总纲!Y70</f>
        <v>#VALUE!</v>
      </c>
      <c r="L71" s="31" t="e">
        <f>100%*G71*'[1]功能-付费相关'!CM72*节奏总纲!Z70</f>
        <v>#VALUE!</v>
      </c>
      <c r="M71" s="31" t="e">
        <f>100%*H71*'[1]功能-付费相关'!CN72*节奏总纲!AA70</f>
        <v>#VALUE!</v>
      </c>
      <c r="N71" s="31" t="e">
        <f>D71*20%*'[1]功能-付费相关'!CJ72</f>
        <v>#VALUE!</v>
      </c>
      <c r="O71" s="31" t="e">
        <f>E71*20%*'[1]功能-付费相关'!CK72</f>
        <v>#VALUE!</v>
      </c>
      <c r="P71" s="31" t="e">
        <f>F71*20%*'[1]功能-付费相关'!CL72</f>
        <v>#VALUE!</v>
      </c>
      <c r="Q71" s="31" t="e">
        <f>G71*20%*'[1]功能-付费相关'!CM72</f>
        <v>#VALUE!</v>
      </c>
      <c r="R71" s="31" t="e">
        <f>H71*20%*'[1]功能-付费相关'!CN72</f>
        <v>#VALUE!</v>
      </c>
      <c r="S71" s="31">
        <f>$W$1*('[1]功能-行军令'!S70+S$2*[1]节奏总纲!BJ70)</f>
        <v>7632.1174254447087</v>
      </c>
      <c r="T71" s="31">
        <f>$W$1*('[1]功能-行军令'!T70+T$2*[1]节奏总纲!BK70)</f>
        <v>10073.410953621857</v>
      </c>
      <c r="U71" s="31">
        <f>$W$1*('[1]功能-行军令'!U70+U$2*[1]节奏总纲!BL70)</f>
        <v>11340.646580416742</v>
      </c>
      <c r="V71" s="31">
        <f>$W$1*('[1]功能-行军令'!V70+V$2*[1]节奏总纲!BM70)</f>
        <v>10629.434255265438</v>
      </c>
      <c r="W71" s="31">
        <f>$W$1*('[1]功能-行军令'!W70+W$2*[1]节奏总纲!BN70)</f>
        <v>9164.3194909839713</v>
      </c>
      <c r="X71" s="57">
        <f>S71*'[1]功能-付费相关'!AH72</f>
        <v>42.400652363581713</v>
      </c>
      <c r="Y71" s="57">
        <f>T71*'[1]功能-付费相关'!AI72</f>
        <v>55.963394186788094</v>
      </c>
      <c r="Z71" s="57">
        <f>U71*'[1]功能-付费相关'!AJ72</f>
        <v>63.003592113426343</v>
      </c>
      <c r="AA71" s="57">
        <f>V71*'[1]功能-付费相关'!AK72</f>
        <v>59.052412529252436</v>
      </c>
      <c r="AB71" s="57">
        <f>W71*'[1]功能-付费相关'!AL72</f>
        <v>50.912886061022064</v>
      </c>
      <c r="AC71" s="57"/>
    </row>
    <row r="72" spans="3:29" x14ac:dyDescent="0.15">
      <c r="C72" s="31">
        <v>68</v>
      </c>
      <c r="D72" s="31" t="e">
        <f>求节点([2]兵营招募!F$28:F$47,[2]兵营招募!$J$4:$J$23,节奏总纲!P71)*(1+[1]养成buff汇总!AA73)</f>
        <v>#VALUE!</v>
      </c>
      <c r="E72" s="31" t="e">
        <f>求节点([2]兵营招募!G$28:G$47,[2]兵营招募!$J$4:$J$23,节奏总纲!Q71)*(1+[1]养成buff汇总!AB73)</f>
        <v>#VALUE!</v>
      </c>
      <c r="F72" s="31" t="e">
        <f>求节点([2]兵营招募!H$28:H$47,[2]兵营招募!$J$4:$J$23,节奏总纲!R71)*(1+[1]养成buff汇总!AC73)</f>
        <v>#VALUE!</v>
      </c>
      <c r="G72" s="31" t="e">
        <f>求节点([2]兵营招募!I$28:I$47,[2]兵营招募!$J$4:$J$23,节奏总纲!S71)*(1+[1]养成buff汇总!AD73)</f>
        <v>#VALUE!</v>
      </c>
      <c r="H72" s="31" t="e">
        <f>求节点([2]兵营招募!J$28:J$47,[2]兵营招募!$J$4:$J$23,节奏总纲!T71)*(1+[1]养成buff汇总!AE73)</f>
        <v>#VALUE!</v>
      </c>
      <c r="I72" s="31" t="e">
        <f>100%*D72*'[1]功能-付费相关'!CJ73*节奏总纲!W71</f>
        <v>#VALUE!</v>
      </c>
      <c r="J72" s="31" t="e">
        <f>100%*E72*'[1]功能-付费相关'!CK73*节奏总纲!X71</f>
        <v>#VALUE!</v>
      </c>
      <c r="K72" s="31" t="e">
        <f>100%*F72*'[1]功能-付费相关'!CL73*节奏总纲!Y71</f>
        <v>#VALUE!</v>
      </c>
      <c r="L72" s="31" t="e">
        <f>100%*G72*'[1]功能-付费相关'!CM73*节奏总纲!Z71</f>
        <v>#VALUE!</v>
      </c>
      <c r="M72" s="31" t="e">
        <f>100%*H72*'[1]功能-付费相关'!CN73*节奏总纲!AA71</f>
        <v>#VALUE!</v>
      </c>
      <c r="N72" s="31" t="e">
        <f>D72*20%*'[1]功能-付费相关'!CJ73</f>
        <v>#VALUE!</v>
      </c>
      <c r="O72" s="31" t="e">
        <f>E72*20%*'[1]功能-付费相关'!CK73</f>
        <v>#VALUE!</v>
      </c>
      <c r="P72" s="31" t="e">
        <f>F72*20%*'[1]功能-付费相关'!CL73</f>
        <v>#VALUE!</v>
      </c>
      <c r="Q72" s="31" t="e">
        <f>G72*20%*'[1]功能-付费相关'!CM73</f>
        <v>#VALUE!</v>
      </c>
      <c r="R72" s="31" t="e">
        <f>H72*20%*'[1]功能-付费相关'!CN73</f>
        <v>#VALUE!</v>
      </c>
      <c r="S72" s="31">
        <f>$W$1*('[1]功能-行军令'!S71+S$2*[1]节奏总纲!BJ71)</f>
        <v>8105.1921388413029</v>
      </c>
      <c r="T72" s="31">
        <f>$W$1*('[1]功能-行军令'!T71+T$2*[1]节奏总纲!BK71)</f>
        <v>10422.818638739762</v>
      </c>
      <c r="U72" s="31">
        <f>$W$1*('[1]功能-行军令'!U71+U$2*[1]节奏总纲!BL71)</f>
        <v>11652.709073149788</v>
      </c>
      <c r="V72" s="31">
        <f>$W$1*('[1]功能-行军令'!V71+V$2*[1]节奏总纲!BM71)</f>
        <v>11335.031095779143</v>
      </c>
      <c r="W72" s="31">
        <f>$W$1*('[1]功能-行军令'!W71+W$2*[1]节奏总纲!BN71)</f>
        <v>9451.9362593536935</v>
      </c>
      <c r="X72" s="57">
        <f>S72*'[1]功能-付费相关'!AH73</f>
        <v>45.028845215785019</v>
      </c>
      <c r="Y72" s="57">
        <f>T72*'[1]功能-付费相关'!AI73</f>
        <v>57.90454799299868</v>
      </c>
      <c r="Z72" s="57">
        <f>U72*'[1]功能-付费相关'!AJ73</f>
        <v>64.737272628609944</v>
      </c>
      <c r="AA72" s="57">
        <f>V72*'[1]功能-付费相关'!AK73</f>
        <v>62.972394976550795</v>
      </c>
      <c r="AB72" s="57">
        <f>W72*'[1]功能-付费相关'!AL73</f>
        <v>52.510756996409413</v>
      </c>
      <c r="AC72" s="57"/>
    </row>
    <row r="73" spans="3:29" x14ac:dyDescent="0.15">
      <c r="C73" s="31">
        <v>69</v>
      </c>
      <c r="D73" s="31" t="e">
        <f>求节点([2]兵营招募!F$28:F$47,[2]兵营招募!$J$4:$J$23,节奏总纲!P72)*(1+[1]养成buff汇总!AA74)</f>
        <v>#VALUE!</v>
      </c>
      <c r="E73" s="31" t="e">
        <f>求节点([2]兵营招募!G$28:G$47,[2]兵营招募!$J$4:$J$23,节奏总纲!Q72)*(1+[1]养成buff汇总!AB74)</f>
        <v>#VALUE!</v>
      </c>
      <c r="F73" s="31" t="e">
        <f>求节点([2]兵营招募!H$28:H$47,[2]兵营招募!$J$4:$J$23,节奏总纲!R72)*(1+[1]养成buff汇总!AC74)</f>
        <v>#VALUE!</v>
      </c>
      <c r="G73" s="31" t="e">
        <f>求节点([2]兵营招募!I$28:I$47,[2]兵营招募!$J$4:$J$23,节奏总纲!S72)*(1+[1]养成buff汇总!AD74)</f>
        <v>#VALUE!</v>
      </c>
      <c r="H73" s="31" t="e">
        <f>求节点([2]兵营招募!J$28:J$47,[2]兵营招募!$J$4:$J$23,节奏总纲!T72)*(1+[1]养成buff汇总!AE74)</f>
        <v>#VALUE!</v>
      </c>
      <c r="I73" s="31" t="e">
        <f>100%*D73*'[1]功能-付费相关'!CJ74*节奏总纲!W72</f>
        <v>#VALUE!</v>
      </c>
      <c r="J73" s="31" t="e">
        <f>100%*E73*'[1]功能-付费相关'!CK74*节奏总纲!X72</f>
        <v>#VALUE!</v>
      </c>
      <c r="K73" s="31" t="e">
        <f>100%*F73*'[1]功能-付费相关'!CL74*节奏总纲!Y72</f>
        <v>#VALUE!</v>
      </c>
      <c r="L73" s="31" t="e">
        <f>100%*G73*'[1]功能-付费相关'!CM74*节奏总纲!Z72</f>
        <v>#VALUE!</v>
      </c>
      <c r="M73" s="31" t="e">
        <f>100%*H73*'[1]功能-付费相关'!CN74*节奏总纲!AA72</f>
        <v>#VALUE!</v>
      </c>
      <c r="N73" s="31" t="e">
        <f>D73*20%*'[1]功能-付费相关'!CJ74</f>
        <v>#VALUE!</v>
      </c>
      <c r="O73" s="31" t="e">
        <f>E73*20%*'[1]功能-付费相关'!CK74</f>
        <v>#VALUE!</v>
      </c>
      <c r="P73" s="31" t="e">
        <f>F73*20%*'[1]功能-付费相关'!CL74</f>
        <v>#VALUE!</v>
      </c>
      <c r="Q73" s="31" t="e">
        <f>G73*20%*'[1]功能-付费相关'!CM74</f>
        <v>#VALUE!</v>
      </c>
      <c r="R73" s="31" t="e">
        <f>H73*20%*'[1]功能-付费相关'!CN74</f>
        <v>#VALUE!</v>
      </c>
      <c r="S73" s="31">
        <f>$W$1*('[1]功能-行军令'!S72+S$2*[1]节奏总纲!BJ72)</f>
        <v>8611.2640829561969</v>
      </c>
      <c r="T73" s="31">
        <f>$W$1*('[1]功能-行军令'!T72+T$2*[1]节奏总纲!BK72)</f>
        <v>10868.674129342033</v>
      </c>
      <c r="U73" s="31">
        <f>$W$1*('[1]功能-行军令'!U72+U$2*[1]节奏总纲!BL72)</f>
        <v>12928.274127343044</v>
      </c>
      <c r="V73" s="31">
        <f>$W$1*('[1]功能-行军令'!V72+V$2*[1]节奏总纲!BM72)</f>
        <v>12064.354494391364</v>
      </c>
      <c r="W73" s="31">
        <f>$W$1*('[1]功能-行军令'!W72+W$2*[1]节奏总纲!BN72)</f>
        <v>9797.5773614606369</v>
      </c>
      <c r="X73" s="57">
        <f>S73*'[1]功能-付费相关'!AH74</f>
        <v>47.840356016423321</v>
      </c>
      <c r="Y73" s="57">
        <f>T73*'[1]功能-付费相关'!AI74</f>
        <v>60.381522940789075</v>
      </c>
      <c r="Z73" s="57">
        <f>U73*'[1]功能-付费相关'!AJ74</f>
        <v>71.823745151905797</v>
      </c>
      <c r="AA73" s="57">
        <f>V73*'[1]功能-付费相关'!AK74</f>
        <v>67.024191635507577</v>
      </c>
      <c r="AB73" s="57">
        <f>W73*'[1]功能-付费相关'!AL74</f>
        <v>54.430985341447986</v>
      </c>
      <c r="AC73" s="57"/>
    </row>
    <row r="74" spans="3:29" x14ac:dyDescent="0.15">
      <c r="C74" s="31">
        <v>70</v>
      </c>
      <c r="D74" s="31" t="e">
        <f>求节点([2]兵营招募!F$28:F$47,[2]兵营招募!$J$4:$J$23,节奏总纲!P73)*(1+[1]养成buff汇总!AA75)</f>
        <v>#VALUE!</v>
      </c>
      <c r="E74" s="31" t="e">
        <f>求节点([2]兵营招募!G$28:G$47,[2]兵营招募!$J$4:$J$23,节奏总纲!Q73)*(1+[1]养成buff汇总!AB75)</f>
        <v>#VALUE!</v>
      </c>
      <c r="F74" s="31" t="e">
        <f>求节点([2]兵营招募!H$28:H$47,[2]兵营招募!$J$4:$J$23,节奏总纲!R73)*(1+[1]养成buff汇总!AC75)</f>
        <v>#VALUE!</v>
      </c>
      <c r="G74" s="31" t="e">
        <f>求节点([2]兵营招募!I$28:I$47,[2]兵营招募!$J$4:$J$23,节奏总纲!S73)*(1+[1]养成buff汇总!AD75)</f>
        <v>#VALUE!</v>
      </c>
      <c r="H74" s="31" t="e">
        <f>求节点([2]兵营招募!J$28:J$47,[2]兵营招募!$J$4:$J$23,节奏总纲!T73)*(1+[1]养成buff汇总!AE75)</f>
        <v>#VALUE!</v>
      </c>
      <c r="I74" s="31" t="e">
        <f>100%*D74*'[1]功能-付费相关'!CJ75*节奏总纲!W73</f>
        <v>#VALUE!</v>
      </c>
      <c r="J74" s="31" t="e">
        <f>100%*E74*'[1]功能-付费相关'!CK75*节奏总纲!X73</f>
        <v>#VALUE!</v>
      </c>
      <c r="K74" s="31" t="e">
        <f>100%*F74*'[1]功能-付费相关'!CL75*节奏总纲!Y73</f>
        <v>#VALUE!</v>
      </c>
      <c r="L74" s="31" t="e">
        <f>100%*G74*'[1]功能-付费相关'!CM75*节奏总纲!Z73</f>
        <v>#VALUE!</v>
      </c>
      <c r="M74" s="31" t="e">
        <f>100%*H74*'[1]功能-付费相关'!CN75*节奏总纲!AA73</f>
        <v>#VALUE!</v>
      </c>
      <c r="N74" s="31" t="e">
        <f>D74*20%*'[1]功能-付费相关'!CJ75</f>
        <v>#VALUE!</v>
      </c>
      <c r="O74" s="31" t="e">
        <f>E74*20%*'[1]功能-付费相关'!CK75</f>
        <v>#VALUE!</v>
      </c>
      <c r="P74" s="31" t="e">
        <f>F74*20%*'[1]功能-付费相关'!CL75</f>
        <v>#VALUE!</v>
      </c>
      <c r="Q74" s="31" t="e">
        <f>G74*20%*'[1]功能-付费相关'!CM75</f>
        <v>#VALUE!</v>
      </c>
      <c r="R74" s="31" t="e">
        <f>H74*20%*'[1]功能-付费相关'!CN75</f>
        <v>#VALUE!</v>
      </c>
      <c r="S74" s="31">
        <f>$W$1*('[1]功能-行军令'!S73+S$2*[1]节奏总纲!BJ73)</f>
        <v>9152.7015832922425</v>
      </c>
      <c r="T74" s="31">
        <f>$W$1*('[1]功能-行军令'!T73+T$2*[1]节奏总纲!BK73)</f>
        <v>11931.49252601487</v>
      </c>
      <c r="U74" s="31">
        <f>$W$1*('[1]功能-行军令'!U73+U$2*[1]节奏总纲!BL73)</f>
        <v>13991.076665492405</v>
      </c>
      <c r="V74" s="31">
        <f>$W$1*('[1]功能-行军令'!V73+V$2*[1]节奏总纲!BM73)</f>
        <v>12654.214467302225</v>
      </c>
      <c r="W74" s="31">
        <f>$W$1*('[1]功能-行军令'!W73+W$2*[1]节奏总纲!BN73)</f>
        <v>10346.076763656882</v>
      </c>
      <c r="X74" s="57">
        <f>S74*'[1]功能-付费相关'!AH75</f>
        <v>50.848342129401352</v>
      </c>
      <c r="Y74" s="57">
        <f>T74*'[1]功能-付费相关'!AI75</f>
        <v>66.2860695889715</v>
      </c>
      <c r="Z74" s="57">
        <f>U74*'[1]功能-付费相关'!AJ75</f>
        <v>77.728203697180035</v>
      </c>
      <c r="AA74" s="57">
        <f>V74*'[1]功能-付费相关'!AK75</f>
        <v>70.301191485012367</v>
      </c>
      <c r="AB74" s="57">
        <f>W74*'[1]功能-付费相关'!AL75</f>
        <v>57.478204242538233</v>
      </c>
      <c r="AC74" s="57"/>
    </row>
    <row r="75" spans="3:29" x14ac:dyDescent="0.15">
      <c r="C75" s="31">
        <v>71</v>
      </c>
      <c r="D75" s="31" t="e">
        <f>求节点([2]兵营招募!F$28:F$47,[2]兵营招募!$J$4:$J$23,节奏总纲!P74)*(1+[1]养成buff汇总!AA76)</f>
        <v>#VALUE!</v>
      </c>
      <c r="E75" s="31" t="e">
        <f>求节点([2]兵营招募!G$28:G$47,[2]兵营招募!$J$4:$J$23,节奏总纲!Q74)*(1+[1]养成buff汇总!AB76)</f>
        <v>#VALUE!</v>
      </c>
      <c r="F75" s="31" t="e">
        <f>求节点([2]兵营招募!H$28:H$47,[2]兵营招募!$J$4:$J$23,节奏总纲!R74)*(1+[1]养成buff汇总!AC76)</f>
        <v>#VALUE!</v>
      </c>
      <c r="G75" s="31" t="e">
        <f>求节点([2]兵营招募!I$28:I$47,[2]兵营招募!$J$4:$J$23,节奏总纲!S74)*(1+[1]养成buff汇总!AD76)</f>
        <v>#VALUE!</v>
      </c>
      <c r="H75" s="31" t="e">
        <f>求节点([2]兵营招募!J$28:J$47,[2]兵营招募!$J$4:$J$23,节奏总纲!T74)*(1+[1]养成buff汇总!AE76)</f>
        <v>#VALUE!</v>
      </c>
      <c r="I75" s="31" t="e">
        <f>100%*D75*'[1]功能-付费相关'!CJ76*节奏总纲!W74</f>
        <v>#VALUE!</v>
      </c>
      <c r="J75" s="31" t="e">
        <f>100%*E75*'[1]功能-付费相关'!CK76*节奏总纲!X74</f>
        <v>#VALUE!</v>
      </c>
      <c r="K75" s="31" t="e">
        <f>100%*F75*'[1]功能-付费相关'!CL76*节奏总纲!Y74</f>
        <v>#VALUE!</v>
      </c>
      <c r="L75" s="31" t="e">
        <f>100%*G75*'[1]功能-付费相关'!CM76*节奏总纲!Z74</f>
        <v>#VALUE!</v>
      </c>
      <c r="M75" s="31" t="e">
        <f>100%*H75*'[1]功能-付费相关'!CN76*节奏总纲!AA74</f>
        <v>#VALUE!</v>
      </c>
      <c r="N75" s="31" t="e">
        <f>D75*20%*'[1]功能-付费相关'!CJ76</f>
        <v>#VALUE!</v>
      </c>
      <c r="O75" s="31" t="e">
        <f>E75*20%*'[1]功能-付费相关'!CK76</f>
        <v>#VALUE!</v>
      </c>
      <c r="P75" s="31" t="e">
        <f>F75*20%*'[1]功能-付费相关'!CL76</f>
        <v>#VALUE!</v>
      </c>
      <c r="Q75" s="31" t="e">
        <f>G75*20%*'[1]功能-付费相关'!CM76</f>
        <v>#VALUE!</v>
      </c>
      <c r="R75" s="31" t="e">
        <f>H75*20%*'[1]功能-付费相关'!CN76</f>
        <v>#VALUE!</v>
      </c>
      <c r="S75" s="31">
        <f>$W$1*('[1]功能-行军令'!S74+S$2*[1]节奏总纲!BJ74)</f>
        <v>9732.0429482738473</v>
      </c>
      <c r="T75" s="31">
        <f>$W$1*('[1]功能-行军令'!T74+T$2*[1]节奏总纲!BK74)</f>
        <v>12764.12740780477</v>
      </c>
      <c r="U75" s="31">
        <f>$W$1*('[1]功能-行军令'!U74+U$2*[1]节奏总纲!BL74)</f>
        <v>14502.327264376974</v>
      </c>
      <c r="V75" s="31">
        <f>$W$1*('[1]功能-行军令'!V74+V$2*[1]节奏总纲!BM74)</f>
        <v>13303.757992913856</v>
      </c>
      <c r="W75" s="31">
        <f>$W$1*('[1]功能-行军令'!W74+W$2*[1]节奏总纲!BN74)</f>
        <v>10787.055602630964</v>
      </c>
      <c r="X75" s="57">
        <f>S75*'[1]功能-付费相关'!AH76</f>
        <v>54.066905268188044</v>
      </c>
      <c r="Y75" s="57">
        <f>T75*'[1]功能-付费相关'!AI76</f>
        <v>70.911818932248721</v>
      </c>
      <c r="Z75" s="57">
        <f>U75*'[1]功能-付费相关'!AJ76</f>
        <v>80.568484802094304</v>
      </c>
      <c r="AA75" s="57">
        <f>V75*'[1]功能-付费相关'!AK76</f>
        <v>73.909766627299206</v>
      </c>
      <c r="AB75" s="57">
        <f>W75*'[1]功能-付费相关'!AL76</f>
        <v>59.928086681283133</v>
      </c>
      <c r="AC75" s="57"/>
    </row>
    <row r="76" spans="3:29" x14ac:dyDescent="0.15">
      <c r="C76" s="31">
        <v>72</v>
      </c>
      <c r="D76" s="31" t="e">
        <f>求节点([2]兵营招募!F$28:F$47,[2]兵营招募!$J$4:$J$23,节奏总纲!P75)*(1+[1]养成buff汇总!AA77)</f>
        <v>#VALUE!</v>
      </c>
      <c r="E76" s="31" t="e">
        <f>求节点([2]兵营招募!G$28:G$47,[2]兵营招募!$J$4:$J$23,节奏总纲!Q75)*(1+[1]养成buff汇总!AB77)</f>
        <v>#VALUE!</v>
      </c>
      <c r="F76" s="31" t="e">
        <f>求节点([2]兵营招募!H$28:H$47,[2]兵营招募!$J$4:$J$23,节奏总纲!R75)*(1+[1]养成buff汇总!AC77)</f>
        <v>#VALUE!</v>
      </c>
      <c r="G76" s="31" t="e">
        <f>求节点([2]兵营招募!I$28:I$47,[2]兵营招募!$J$4:$J$23,节奏总纲!S75)*(1+[1]养成buff汇总!AD77)</f>
        <v>#VALUE!</v>
      </c>
      <c r="H76" s="31" t="e">
        <f>求节点([2]兵营招募!J$28:J$47,[2]兵营招募!$J$4:$J$23,节奏总纲!T75)*(1+[1]养成buff汇总!AE77)</f>
        <v>#VALUE!</v>
      </c>
      <c r="I76" s="31" t="e">
        <f>100%*D76*'[1]功能-付费相关'!CJ77*节奏总纲!W75</f>
        <v>#VALUE!</v>
      </c>
      <c r="J76" s="31" t="e">
        <f>100%*E76*'[1]功能-付费相关'!CK77*节奏总纲!X75</f>
        <v>#VALUE!</v>
      </c>
      <c r="K76" s="31" t="e">
        <f>100%*F76*'[1]功能-付费相关'!CL77*节奏总纲!Y75</f>
        <v>#VALUE!</v>
      </c>
      <c r="L76" s="31" t="e">
        <f>100%*G76*'[1]功能-付费相关'!CM77*节奏总纲!Z75</f>
        <v>#VALUE!</v>
      </c>
      <c r="M76" s="31" t="e">
        <f>100%*H76*'[1]功能-付费相关'!CN77*节奏总纲!AA75</f>
        <v>#VALUE!</v>
      </c>
      <c r="N76" s="31" t="e">
        <f>D76*20%*'[1]功能-付费相关'!CJ77</f>
        <v>#VALUE!</v>
      </c>
      <c r="O76" s="31" t="e">
        <f>E76*20%*'[1]功能-付费相关'!CK77</f>
        <v>#VALUE!</v>
      </c>
      <c r="P76" s="31" t="e">
        <f>F76*20%*'[1]功能-付费相关'!CL77</f>
        <v>#VALUE!</v>
      </c>
      <c r="Q76" s="31" t="e">
        <f>G76*20%*'[1]功能-付费相关'!CM77</f>
        <v>#VALUE!</v>
      </c>
      <c r="R76" s="31" t="e">
        <f>H76*20%*'[1]功能-付费相关'!CN77</f>
        <v>#VALUE!</v>
      </c>
      <c r="S76" s="31">
        <f>$W$1*('[1]功能-行军令'!S75+S$2*[1]节奏总纲!BJ75)</f>
        <v>10352.00866951028</v>
      </c>
      <c r="T76" s="31">
        <f>$W$1*('[1]功能-行军令'!T75+T$2*[1]节奏总纲!BK75)</f>
        <v>13433.744826987629</v>
      </c>
      <c r="U76" s="31">
        <f>$W$1*('[1]功能-行军令'!U75+U$2*[1]节奏总纲!BL75)</f>
        <v>14999.203314216957</v>
      </c>
      <c r="V76" s="31">
        <f>$W$1*('[1]功能-行军令'!V75+V$2*[1]节奏总纲!BM75)</f>
        <v>13932.277697418045</v>
      </c>
      <c r="W76" s="31">
        <f>$W$1*('[1]功能-行军令'!W75+W$2*[1]节奏总纲!BN75)</f>
        <v>11139.134023636843</v>
      </c>
      <c r="X76" s="57">
        <f>S76*'[1]功能-付费相关'!AH77</f>
        <v>57.511159275057111</v>
      </c>
      <c r="Y76" s="57">
        <f>T76*'[1]功能-付费相关'!AI77</f>
        <v>74.631915705486833</v>
      </c>
      <c r="Z76" s="57">
        <f>U76*'[1]功能-付费相关'!AJ77</f>
        <v>83.328907301205319</v>
      </c>
      <c r="AA76" s="57">
        <f>V76*'[1]功能-付费相关'!AK77</f>
        <v>77.401542763433582</v>
      </c>
      <c r="AB76" s="57">
        <f>W76*'[1]功能-付费相关'!AL77</f>
        <v>61.884077909093577</v>
      </c>
      <c r="AC76" s="57"/>
    </row>
    <row r="77" spans="3:29" x14ac:dyDescent="0.15">
      <c r="C77" s="31">
        <v>73</v>
      </c>
      <c r="D77" s="31" t="e">
        <f>求节点([2]兵营招募!F$28:F$47,[2]兵营招募!$J$4:$J$23,节奏总纲!P76)*(1+[1]养成buff汇总!AA78)</f>
        <v>#VALUE!</v>
      </c>
      <c r="E77" s="31" t="e">
        <f>求节点([2]兵营招募!G$28:G$47,[2]兵营招募!$J$4:$J$23,节奏总纲!Q76)*(1+[1]养成buff汇总!AB78)</f>
        <v>#VALUE!</v>
      </c>
      <c r="F77" s="31" t="e">
        <f>求节点([2]兵营招募!H$28:H$47,[2]兵营招募!$J$4:$J$23,节奏总纲!R76)*(1+[1]养成buff汇总!AC78)</f>
        <v>#VALUE!</v>
      </c>
      <c r="G77" s="31" t="e">
        <f>求节点([2]兵营招募!I$28:I$47,[2]兵营招募!$J$4:$J$23,节奏总纲!S76)*(1+[1]养成buff汇总!AD78)</f>
        <v>#VALUE!</v>
      </c>
      <c r="H77" s="31" t="e">
        <f>求节点([2]兵营招募!J$28:J$47,[2]兵营招募!$J$4:$J$23,节奏总纲!T76)*(1+[1]养成buff汇总!AE78)</f>
        <v>#VALUE!</v>
      </c>
      <c r="I77" s="31" t="e">
        <f>100%*D77*'[1]功能-付费相关'!CJ78*节奏总纲!W76</f>
        <v>#VALUE!</v>
      </c>
      <c r="J77" s="31" t="e">
        <f>100%*E77*'[1]功能-付费相关'!CK78*节奏总纲!X76</f>
        <v>#VALUE!</v>
      </c>
      <c r="K77" s="31" t="e">
        <f>100%*F77*'[1]功能-付费相关'!CL78*节奏总纲!Y76</f>
        <v>#VALUE!</v>
      </c>
      <c r="L77" s="31" t="e">
        <f>100%*G77*'[1]功能-付费相关'!CM78*节奏总纲!Z76</f>
        <v>#VALUE!</v>
      </c>
      <c r="M77" s="31" t="e">
        <f>100%*H77*'[1]功能-付费相关'!CN78*节奏总纲!AA76</f>
        <v>#VALUE!</v>
      </c>
      <c r="N77" s="31" t="e">
        <f>D77*20%*'[1]功能-付费相关'!CJ78</f>
        <v>#VALUE!</v>
      </c>
      <c r="O77" s="31" t="e">
        <f>E77*20%*'[1]功能-付费相关'!CK78</f>
        <v>#VALUE!</v>
      </c>
      <c r="P77" s="31" t="e">
        <f>F77*20%*'[1]功能-付费相关'!CL78</f>
        <v>#VALUE!</v>
      </c>
      <c r="Q77" s="31" t="e">
        <f>G77*20%*'[1]功能-付费相关'!CM78</f>
        <v>#VALUE!</v>
      </c>
      <c r="R77" s="31" t="e">
        <f>H77*20%*'[1]功能-付费相关'!CN78</f>
        <v>#VALUE!</v>
      </c>
      <c r="S77" s="31">
        <f>$W$1*('[1]功能-行军令'!S76+S$2*[1]节奏总纲!BJ76)</f>
        <v>11015.514497713197</v>
      </c>
      <c r="T77" s="31">
        <f>$W$1*('[1]功能-行军令'!T76+T$2*[1]节奏总纲!BK76)</f>
        <v>13837.09524428801</v>
      </c>
      <c r="U77" s="31">
        <f>$W$1*('[1]功能-行军令'!U76+U$2*[1]节奏总纲!BL76)</f>
        <v>15988.343090091812</v>
      </c>
      <c r="V77" s="31">
        <f>$W$1*('[1]功能-行军令'!V76+V$2*[1]节奏总纲!BM76)</f>
        <v>14782.760466545207</v>
      </c>
      <c r="W77" s="31">
        <f>$W$1*('[1]功能-行军令'!W76+W$2*[1]节奏总纲!BN76)</f>
        <v>11628.256717563876</v>
      </c>
      <c r="X77" s="57">
        <f>S77*'[1]功能-付费相关'!AH78</f>
        <v>61.197302765073317</v>
      </c>
      <c r="Y77" s="57">
        <f>T77*'[1]功能-付费相关'!AI78</f>
        <v>76.872751357155607</v>
      </c>
      <c r="Z77" s="57">
        <f>U77*'[1]功能-付费相关'!AJ78</f>
        <v>88.824128278287844</v>
      </c>
      <c r="AA77" s="57">
        <f>V77*'[1]功能-付费相关'!AK78</f>
        <v>82.126447036362265</v>
      </c>
      <c r="AB77" s="57">
        <f>W77*'[1]功能-付费相关'!AL78</f>
        <v>64.601426208688196</v>
      </c>
      <c r="AC77" s="57"/>
    </row>
    <row r="78" spans="3:29" x14ac:dyDescent="0.15">
      <c r="C78" s="31">
        <v>74</v>
      </c>
      <c r="D78" s="31" t="e">
        <f>求节点([2]兵营招募!F$28:F$47,[2]兵营招募!$J$4:$J$23,节奏总纲!P77)*(1+[1]养成buff汇总!AA79)</f>
        <v>#VALUE!</v>
      </c>
      <c r="E78" s="31" t="e">
        <f>求节点([2]兵营招募!G$28:G$47,[2]兵营招募!$J$4:$J$23,节奏总纲!Q77)*(1+[1]养成buff汇总!AB79)</f>
        <v>#VALUE!</v>
      </c>
      <c r="F78" s="31" t="e">
        <f>求节点([2]兵营招募!H$28:H$47,[2]兵营招募!$J$4:$J$23,节奏总纲!R77)*(1+[1]养成buff汇总!AC79)</f>
        <v>#VALUE!</v>
      </c>
      <c r="G78" s="31" t="e">
        <f>求节点([2]兵营招募!I$28:I$47,[2]兵营招募!$J$4:$J$23,节奏总纲!S77)*(1+[1]养成buff汇总!AD79)</f>
        <v>#VALUE!</v>
      </c>
      <c r="H78" s="31" t="e">
        <f>求节点([2]兵营招募!J$28:J$47,[2]兵营招募!$J$4:$J$23,节奏总纲!T77)*(1+[1]养成buff汇总!AE79)</f>
        <v>#VALUE!</v>
      </c>
      <c r="I78" s="31" t="e">
        <f>100%*D78*'[1]功能-付费相关'!CJ79*节奏总纲!W77</f>
        <v>#VALUE!</v>
      </c>
      <c r="J78" s="31" t="e">
        <f>100%*E78*'[1]功能-付费相关'!CK79*节奏总纲!X77</f>
        <v>#VALUE!</v>
      </c>
      <c r="K78" s="31" t="e">
        <f>100%*F78*'[1]功能-付费相关'!CL79*节奏总纲!Y77</f>
        <v>#VALUE!</v>
      </c>
      <c r="L78" s="31" t="e">
        <f>100%*G78*'[1]功能-付费相关'!CM79*节奏总纲!Z77</f>
        <v>#VALUE!</v>
      </c>
      <c r="M78" s="31" t="e">
        <f>100%*H78*'[1]功能-付费相关'!CN79*节奏总纲!AA77</f>
        <v>#VALUE!</v>
      </c>
      <c r="N78" s="31" t="e">
        <f>D78*20%*'[1]功能-付费相关'!CJ79</f>
        <v>#VALUE!</v>
      </c>
      <c r="O78" s="31" t="e">
        <f>E78*20%*'[1]功能-付费相关'!CK79</f>
        <v>#VALUE!</v>
      </c>
      <c r="P78" s="31" t="e">
        <f>F78*20%*'[1]功能-付费相关'!CL79</f>
        <v>#VALUE!</v>
      </c>
      <c r="Q78" s="31" t="e">
        <f>G78*20%*'[1]功能-付费相关'!CM79</f>
        <v>#VALUE!</v>
      </c>
      <c r="R78" s="31" t="e">
        <f>H78*20%*'[1]功能-付费相关'!CN79</f>
        <v>#VALUE!</v>
      </c>
      <c r="S78" s="31">
        <f>$W$1*('[1]功能-行军令'!S77+S$2*[1]节奏总纲!BJ77)</f>
        <v>11725.68545711867</v>
      </c>
      <c r="T78" s="31">
        <f>$W$1*('[1]功能-行军令'!T77+T$2*[1]节奏总纲!BK77)</f>
        <v>15081.605002415534</v>
      </c>
      <c r="U78" s="31">
        <f>$W$1*('[1]功能-行军令'!U77+U$2*[1]节奏总纲!BL77)</f>
        <v>17580.098297127184</v>
      </c>
      <c r="V78" s="31">
        <f>$W$1*('[1]功能-行军令'!V77+V$2*[1]节奏总纲!BM77)</f>
        <v>15946.285318300352</v>
      </c>
      <c r="W78" s="31">
        <f>$W$1*('[1]功能-行军令'!W77+W$2*[1]节奏总纲!BN77)</f>
        <v>12325.450648492279</v>
      </c>
      <c r="X78" s="57">
        <f>S78*'[1]功能-付费相关'!AH79</f>
        <v>65.142696983992622</v>
      </c>
      <c r="Y78" s="57">
        <f>T78*'[1]功能-付费相关'!AI79</f>
        <v>83.786694457864087</v>
      </c>
      <c r="Z78" s="57">
        <f>U78*'[1]功能-付费相关'!AJ79</f>
        <v>97.667212761817694</v>
      </c>
      <c r="AA78" s="57">
        <f>V78*'[1]功能-付费相关'!AK79</f>
        <v>88.590473990557513</v>
      </c>
      <c r="AB78" s="57">
        <f>W78*'[1]功能-付费相关'!AL79</f>
        <v>68.474725824957105</v>
      </c>
      <c r="AC78" s="57"/>
    </row>
    <row r="79" spans="3:29" x14ac:dyDescent="0.15">
      <c r="C79" s="31">
        <v>75</v>
      </c>
      <c r="D79" s="31" t="e">
        <f>求节点([2]兵营招募!F$28:F$47,[2]兵营招募!$J$4:$J$23,节奏总纲!P78)*(1+[1]养成buff汇总!AA80)</f>
        <v>#VALUE!</v>
      </c>
      <c r="E79" s="31" t="e">
        <f>求节点([2]兵营招募!G$28:G$47,[2]兵营招募!$J$4:$J$23,节奏总纲!Q78)*(1+[1]养成buff汇总!AB80)</f>
        <v>#VALUE!</v>
      </c>
      <c r="F79" s="31" t="e">
        <f>求节点([2]兵营招募!H$28:H$47,[2]兵营招募!$J$4:$J$23,节奏总纲!R78)*(1+[1]养成buff汇总!AC80)</f>
        <v>#VALUE!</v>
      </c>
      <c r="G79" s="31" t="e">
        <f>求节点([2]兵营招募!I$28:I$47,[2]兵营招募!$J$4:$J$23,节奏总纲!S78)*(1+[1]养成buff汇总!AD80)</f>
        <v>#VALUE!</v>
      </c>
      <c r="H79" s="31" t="e">
        <f>求节点([2]兵营招募!J$28:J$47,[2]兵营招募!$J$4:$J$23,节奏总纲!T78)*(1+[1]养成buff汇总!AE80)</f>
        <v>#VALUE!</v>
      </c>
      <c r="I79" s="31" t="e">
        <f>100%*D79*'[1]功能-付费相关'!CJ80*节奏总纲!W78</f>
        <v>#VALUE!</v>
      </c>
      <c r="J79" s="31" t="e">
        <f>100%*E79*'[1]功能-付费相关'!CK80*节奏总纲!X78</f>
        <v>#VALUE!</v>
      </c>
      <c r="K79" s="31" t="e">
        <f>100%*F79*'[1]功能-付费相关'!CL80*节奏总纲!Y78</f>
        <v>#VALUE!</v>
      </c>
      <c r="L79" s="31" t="e">
        <f>100%*G79*'[1]功能-付费相关'!CM80*节奏总纲!Z78</f>
        <v>#VALUE!</v>
      </c>
      <c r="M79" s="31" t="e">
        <f>100%*H79*'[1]功能-付费相关'!CN80*节奏总纲!AA78</f>
        <v>#VALUE!</v>
      </c>
      <c r="N79" s="31" t="e">
        <f>D79*20%*'[1]功能-付费相关'!CJ80</f>
        <v>#VALUE!</v>
      </c>
      <c r="O79" s="31" t="e">
        <f>E79*20%*'[1]功能-付费相关'!CK80</f>
        <v>#VALUE!</v>
      </c>
      <c r="P79" s="31" t="e">
        <f>F79*20%*'[1]功能-付费相关'!CL80</f>
        <v>#VALUE!</v>
      </c>
      <c r="Q79" s="31" t="e">
        <f>G79*20%*'[1]功能-付费相关'!CM80</f>
        <v>#VALUE!</v>
      </c>
      <c r="R79" s="31" t="e">
        <f>H79*20%*'[1]功能-付费相关'!CN80</f>
        <v>#VALUE!</v>
      </c>
      <c r="S79" s="31">
        <f>$W$1*('[1]功能-行军令'!S78+S$2*[1]节奏总纲!BJ78)</f>
        <v>12485.870865772969</v>
      </c>
      <c r="T79" s="31">
        <f>$W$1*('[1]功能-行军令'!T78+T$2*[1]节奏总纲!BK78)</f>
        <v>16229.223039319404</v>
      </c>
      <c r="U79" s="31">
        <f>$W$1*('[1]功能-行军令'!U78+U$2*[1]节奏总纲!BL78)</f>
        <v>18621.526199486347</v>
      </c>
      <c r="V79" s="31">
        <f>$W$1*('[1]功能-行军令'!V78+V$2*[1]节奏总纲!BM78)</f>
        <v>16868.841599943731</v>
      </c>
      <c r="W79" s="31">
        <f>$W$1*('[1]功能-行军令'!W78+W$2*[1]节奏总纲!BN78)</f>
        <v>12986.96674405557</v>
      </c>
      <c r="X79" s="57">
        <f>S79*'[1]功能-付费相关'!AH80</f>
        <v>69.365949254294279</v>
      </c>
      <c r="Y79" s="57">
        <f>T79*'[1]功能-付费相关'!AI80</f>
        <v>90.162350218441134</v>
      </c>
      <c r="Z79" s="57">
        <f>U79*'[1]功能-付费相关'!AJ80</f>
        <v>103.45292333047971</v>
      </c>
      <c r="AA79" s="57">
        <f>V79*'[1]功能-付费相关'!AK80</f>
        <v>93.715786666354063</v>
      </c>
      <c r="AB79" s="57">
        <f>W79*'[1]功能-付费相关'!AL80</f>
        <v>72.149815244753171</v>
      </c>
      <c r="AC79" s="57"/>
    </row>
    <row r="80" spans="3:29" x14ac:dyDescent="0.15">
      <c r="C80" s="31">
        <v>76</v>
      </c>
      <c r="D80" s="31" t="e">
        <f>求节点([2]兵营招募!F$28:F$47,[2]兵营招募!$J$4:$J$23,节奏总纲!P79)*(1+[1]养成buff汇总!AA81)</f>
        <v>#VALUE!</v>
      </c>
      <c r="E80" s="31" t="e">
        <f>求节点([2]兵营招募!G$28:G$47,[2]兵营招募!$J$4:$J$23,节奏总纲!Q79)*(1+[1]养成buff汇总!AB81)</f>
        <v>#VALUE!</v>
      </c>
      <c r="F80" s="31" t="e">
        <f>求节点([2]兵营招募!H$28:H$47,[2]兵营招募!$J$4:$J$23,节奏总纲!R79)*(1+[1]养成buff汇总!AC81)</f>
        <v>#VALUE!</v>
      </c>
      <c r="G80" s="31" t="e">
        <f>求节点([2]兵营招募!I$28:I$47,[2]兵营招募!$J$4:$J$23,节奏总纲!S79)*(1+[1]养成buff汇总!AD81)</f>
        <v>#VALUE!</v>
      </c>
      <c r="H80" s="31" t="e">
        <f>求节点([2]兵营招募!J$28:J$47,[2]兵营招募!$J$4:$J$23,节奏总纲!T79)*(1+[1]养成buff汇总!AE81)</f>
        <v>#VALUE!</v>
      </c>
      <c r="I80" s="31" t="e">
        <f>100%*D80*'[1]功能-付费相关'!CJ81*节奏总纲!W79</f>
        <v>#VALUE!</v>
      </c>
      <c r="J80" s="31" t="e">
        <f>100%*E80*'[1]功能-付费相关'!CK81*节奏总纲!X79</f>
        <v>#VALUE!</v>
      </c>
      <c r="K80" s="31" t="e">
        <f>100%*F80*'[1]功能-付费相关'!CL81*节奏总纲!Y79</f>
        <v>#VALUE!</v>
      </c>
      <c r="L80" s="31" t="e">
        <f>100%*G80*'[1]功能-付费相关'!CM81*节奏总纲!Z79</f>
        <v>#VALUE!</v>
      </c>
      <c r="M80" s="31" t="e">
        <f>100%*H80*'[1]功能-付费相关'!CN81*节奏总纲!AA79</f>
        <v>#VALUE!</v>
      </c>
      <c r="N80" s="31" t="e">
        <f>D80*20%*'[1]功能-付费相关'!CJ81</f>
        <v>#VALUE!</v>
      </c>
      <c r="O80" s="31" t="e">
        <f>E80*20%*'[1]功能-付费相关'!CK81</f>
        <v>#VALUE!</v>
      </c>
      <c r="P80" s="31" t="e">
        <f>F80*20%*'[1]功能-付费相关'!CL81</f>
        <v>#VALUE!</v>
      </c>
      <c r="Q80" s="31" t="e">
        <f>G80*20%*'[1]功能-付费相关'!CM81</f>
        <v>#VALUE!</v>
      </c>
      <c r="R80" s="31" t="e">
        <f>H80*20%*'[1]功能-付费相关'!CN81</f>
        <v>#VALUE!</v>
      </c>
      <c r="S80" s="31">
        <f>$W$1*('[1]功能-行军令'!S79+S$2*[1]节奏总纲!BJ79)</f>
        <v>13299.660433875455</v>
      </c>
      <c r="T80" s="31">
        <f>$W$1*('[1]功能-行军令'!T79+T$2*[1]节奏总纲!BK79)</f>
        <v>17097.491296735272</v>
      </c>
      <c r="U80" s="31">
        <f>$W$1*('[1]功能-行军令'!U79+U$2*[1]节奏总纲!BL79)</f>
        <v>19481.557487424445</v>
      </c>
      <c r="V80" s="31">
        <f>$W$1*('[1]功能-行军令'!V79+V$2*[1]节奏总纲!BM79)</f>
        <v>17895.362893521164</v>
      </c>
      <c r="W80" s="31">
        <f>$W$1*('[1]功能-行军令'!W79+W$2*[1]节奏总纲!BN79)</f>
        <v>13708.583467472392</v>
      </c>
      <c r="X80" s="57">
        <f>S80*'[1]功能-付费相关'!AH81</f>
        <v>73.8870024104192</v>
      </c>
      <c r="Y80" s="57">
        <f>T80*'[1]功能-付费相关'!AI81</f>
        <v>94.986062759640404</v>
      </c>
      <c r="Z80" s="57">
        <f>U80*'[1]功能-付费相关'!AJ81</f>
        <v>108.23087493013581</v>
      </c>
      <c r="AA80" s="57">
        <f>V80*'[1]功能-付费相关'!AK81</f>
        <v>99.418682741784252</v>
      </c>
      <c r="AB80" s="57">
        <f>W80*'[1]功能-付费相关'!AL81</f>
        <v>76.158797041513296</v>
      </c>
      <c r="AC80" s="57"/>
    </row>
    <row r="81" spans="3:29" x14ac:dyDescent="0.15">
      <c r="C81" s="31">
        <v>77</v>
      </c>
      <c r="D81" s="31" t="e">
        <f>求节点([2]兵营招募!F$28:F$47,[2]兵营招募!$J$4:$J$23,节奏总纲!P80)*(1+[1]养成buff汇总!AA82)</f>
        <v>#VALUE!</v>
      </c>
      <c r="E81" s="31" t="e">
        <f>求节点([2]兵营招募!G$28:G$47,[2]兵营招募!$J$4:$J$23,节奏总纲!Q80)*(1+[1]养成buff汇总!AB82)</f>
        <v>#VALUE!</v>
      </c>
      <c r="F81" s="31" t="e">
        <f>求节点([2]兵营招募!H$28:H$47,[2]兵营招募!$J$4:$J$23,节奏总纲!R80)*(1+[1]养成buff汇总!AC82)</f>
        <v>#VALUE!</v>
      </c>
      <c r="G81" s="31" t="e">
        <f>求节点([2]兵营招募!I$28:I$47,[2]兵营招募!$J$4:$J$23,节奏总纲!S80)*(1+[1]养成buff汇总!AD82)</f>
        <v>#VALUE!</v>
      </c>
      <c r="H81" s="31" t="e">
        <f>求节点([2]兵营招募!J$28:J$47,[2]兵营招募!$J$4:$J$23,节奏总纲!T80)*(1+[1]养成buff汇总!AE82)</f>
        <v>#VALUE!</v>
      </c>
      <c r="I81" s="31" t="e">
        <f>100%*D81*'[1]功能-付费相关'!CJ82*节奏总纲!W80</f>
        <v>#VALUE!</v>
      </c>
      <c r="J81" s="31" t="e">
        <f>100%*E81*'[1]功能-付费相关'!CK82*节奏总纲!X80</f>
        <v>#VALUE!</v>
      </c>
      <c r="K81" s="31" t="e">
        <f>100%*F81*'[1]功能-付费相关'!CL82*节奏总纲!Y80</f>
        <v>#VALUE!</v>
      </c>
      <c r="L81" s="31" t="e">
        <f>100%*G81*'[1]功能-付费相关'!CM82*节奏总纲!Z80</f>
        <v>#VALUE!</v>
      </c>
      <c r="M81" s="31" t="e">
        <f>100%*H81*'[1]功能-付费相关'!CN82*节奏总纲!AA80</f>
        <v>#VALUE!</v>
      </c>
      <c r="N81" s="31" t="e">
        <f>D81*20%*'[1]功能-付费相关'!CJ82</f>
        <v>#VALUE!</v>
      </c>
      <c r="O81" s="31" t="e">
        <f>E81*20%*'[1]功能-付费相关'!CK82</f>
        <v>#VALUE!</v>
      </c>
      <c r="P81" s="31" t="e">
        <f>F81*20%*'[1]功能-付费相关'!CL82</f>
        <v>#VALUE!</v>
      </c>
      <c r="Q81" s="31" t="e">
        <f>G81*20%*'[1]功能-付费相关'!CM82</f>
        <v>#VALUE!</v>
      </c>
      <c r="R81" s="31" t="e">
        <f>H81*20%*'[1]功能-付费相关'!CN82</f>
        <v>#VALUE!</v>
      </c>
      <c r="S81" s="31">
        <f>$W$1*('[1]功能-行军令'!S80+S$2*[1]节奏总纲!BJ80)</f>
        <v>14170.901517556122</v>
      </c>
      <c r="T81" s="31">
        <f>$W$1*('[1]功能-行军令'!T80+T$2*[1]节奏总纲!BK80)</f>
        <v>18361.656889504175</v>
      </c>
      <c r="U81" s="31">
        <f>$W$1*('[1]功能-行军令'!U80+U$2*[1]节奏总纲!BL80)</f>
        <v>21109.819460217695</v>
      </c>
      <c r="V81" s="31">
        <f>$W$1*('[1]功能-行军令'!V80+V$2*[1]节奏总纲!BM80)</f>
        <v>19084.611896050061</v>
      </c>
      <c r="W81" s="31">
        <f>$W$1*('[1]功能-行军令'!W80+W$2*[1]节奏总纲!BN80)</f>
        <v>13686.432006843525</v>
      </c>
      <c r="X81" s="57">
        <f>S81*'[1]功能-付费相关'!AH82</f>
        <v>78.727230653089563</v>
      </c>
      <c r="Y81" s="57">
        <f>T81*'[1]功能-付费相关'!AI82</f>
        <v>102.00920494168986</v>
      </c>
      <c r="Z81" s="57">
        <f>U81*'[1]功能-付费相关'!AJ82</f>
        <v>117.2767747789872</v>
      </c>
      <c r="AA81" s="57">
        <f>V81*'[1]功能-付费相关'!AK82</f>
        <v>106.02562164472256</v>
      </c>
      <c r="AB81" s="57">
        <f>W81*'[1]功能-付费相关'!AL82</f>
        <v>76.035733371352919</v>
      </c>
      <c r="AC81" s="57"/>
    </row>
    <row r="82" spans="3:29" x14ac:dyDescent="0.15">
      <c r="C82" s="31">
        <v>78</v>
      </c>
      <c r="D82" s="31" t="e">
        <f>求节点([2]兵营招募!F$28:F$47,[2]兵营招募!$J$4:$J$23,节奏总纲!P81)*(1+[1]养成buff汇总!AA83)</f>
        <v>#VALUE!</v>
      </c>
      <c r="E82" s="31" t="e">
        <f>求节点([2]兵营招募!G$28:G$47,[2]兵营招募!$J$4:$J$23,节奏总纲!Q81)*(1+[1]养成buff汇总!AB83)</f>
        <v>#VALUE!</v>
      </c>
      <c r="F82" s="31" t="e">
        <f>求节点([2]兵营招募!H$28:H$47,[2]兵营招募!$J$4:$J$23,节奏总纲!R81)*(1+[1]养成buff汇总!AC83)</f>
        <v>#VALUE!</v>
      </c>
      <c r="G82" s="31" t="e">
        <f>求节点([2]兵营招募!I$28:I$47,[2]兵营招募!$J$4:$J$23,节奏总纲!S81)*(1+[1]养成buff汇总!AD83)</f>
        <v>#VALUE!</v>
      </c>
      <c r="H82" s="31" t="e">
        <f>求节点([2]兵营招募!J$28:J$47,[2]兵营招募!$J$4:$J$23,节奏总纲!T81)*(1+[1]养成buff汇总!AE83)</f>
        <v>#VALUE!</v>
      </c>
      <c r="I82" s="31" t="e">
        <f>100%*D82*'[1]功能-付费相关'!CJ83*节奏总纲!W81</f>
        <v>#VALUE!</v>
      </c>
      <c r="J82" s="31" t="e">
        <f>100%*E82*'[1]功能-付费相关'!CK83*节奏总纲!X81</f>
        <v>#VALUE!</v>
      </c>
      <c r="K82" s="31" t="e">
        <f>100%*F82*'[1]功能-付费相关'!CL83*节奏总纲!Y81</f>
        <v>#VALUE!</v>
      </c>
      <c r="L82" s="31" t="e">
        <f>100%*G82*'[1]功能-付费相关'!CM83*节奏总纲!Z81</f>
        <v>#VALUE!</v>
      </c>
      <c r="M82" s="31" t="e">
        <f>100%*H82*'[1]功能-付费相关'!CN83*节奏总纲!AA81</f>
        <v>#VALUE!</v>
      </c>
      <c r="N82" s="31" t="e">
        <f>D82*20%*'[1]功能-付费相关'!CJ83</f>
        <v>#VALUE!</v>
      </c>
      <c r="O82" s="31" t="e">
        <f>E82*20%*'[1]功能-付费相关'!CK83</f>
        <v>#VALUE!</v>
      </c>
      <c r="P82" s="31" t="e">
        <f>F82*20%*'[1]功能-付费相关'!CL83</f>
        <v>#VALUE!</v>
      </c>
      <c r="Q82" s="31" t="e">
        <f>G82*20%*'[1]功能-付费相关'!CM83</f>
        <v>#VALUE!</v>
      </c>
      <c r="R82" s="31" t="e">
        <f>H82*20%*'[1]功能-付费相关'!CN83</f>
        <v>#VALUE!</v>
      </c>
      <c r="S82" s="31">
        <f>$W$1*('[1]功能-行军令'!S81+S$2*[1]节奏总纲!BJ81)</f>
        <v>15103.717611015902</v>
      </c>
      <c r="T82" s="31">
        <f>$W$1*('[1]功能-行军令'!T81+T$2*[1]节奏总纲!BK81)</f>
        <v>19411.990918718628</v>
      </c>
      <c r="U82" s="31">
        <f>$W$1*('[1]功能-行军令'!U81+U$2*[1]节奏总纲!BL81)</f>
        <v>22387.350659899414</v>
      </c>
      <c r="V82" s="31">
        <f>$W$1*('[1]功能-行军令'!V81+V$2*[1]节奏总纲!BM81)</f>
        <v>19873.273375872541</v>
      </c>
      <c r="W82" s="31">
        <f>$W$1*('[1]功能-行军令'!W81+W$2*[1]节奏总纲!BN81)</f>
        <v>14247.456866973738</v>
      </c>
      <c r="X82" s="57">
        <f>S82*'[1]功能-付费相关'!AH83</f>
        <v>83.909542283421672</v>
      </c>
      <c r="Y82" s="57">
        <f>T82*'[1]功能-付费相关'!AI83</f>
        <v>107.84439399288127</v>
      </c>
      <c r="Z82" s="57">
        <f>U82*'[1]功能-付费相关'!AJ83</f>
        <v>124.37417033277453</v>
      </c>
      <c r="AA82" s="57">
        <f>V82*'[1]功能-付费相关'!AK83</f>
        <v>110.407074310403</v>
      </c>
      <c r="AB82" s="57">
        <f>W82*'[1]功能-付费相关'!AL83</f>
        <v>79.152538149854109</v>
      </c>
      <c r="AC82" s="57"/>
    </row>
    <row r="83" spans="3:29" x14ac:dyDescent="0.15">
      <c r="C83" s="31">
        <v>79</v>
      </c>
      <c r="D83" s="31" t="e">
        <f>求节点([2]兵营招募!F$28:F$47,[2]兵营招募!$J$4:$J$23,节奏总纲!P82)*(1+[1]养成buff汇总!AA84)</f>
        <v>#VALUE!</v>
      </c>
      <c r="E83" s="31" t="e">
        <f>求节点([2]兵营招募!G$28:G$47,[2]兵营招募!$J$4:$J$23,节奏总纲!Q82)*(1+[1]养成buff汇总!AB84)</f>
        <v>#VALUE!</v>
      </c>
      <c r="F83" s="31" t="e">
        <f>求节点([2]兵营招募!H$28:H$47,[2]兵营招募!$J$4:$J$23,节奏总纲!R82)*(1+[1]养成buff汇总!AC84)</f>
        <v>#VALUE!</v>
      </c>
      <c r="G83" s="31" t="e">
        <f>求节点([2]兵营招募!I$28:I$47,[2]兵营招募!$J$4:$J$23,节奏总纲!S82)*(1+[1]养成buff汇总!AD84)</f>
        <v>#VALUE!</v>
      </c>
      <c r="H83" s="31" t="e">
        <f>求节点([2]兵营招募!J$28:J$47,[2]兵营招募!$J$4:$J$23,节奏总纲!T82)*(1+[1]养成buff汇总!AE84)</f>
        <v>#VALUE!</v>
      </c>
      <c r="I83" s="31" t="e">
        <f>100%*D83*'[1]功能-付费相关'!CJ84*节奏总纲!W82</f>
        <v>#VALUE!</v>
      </c>
      <c r="J83" s="31" t="e">
        <f>100%*E83*'[1]功能-付费相关'!CK84*节奏总纲!X82</f>
        <v>#VALUE!</v>
      </c>
      <c r="K83" s="31" t="e">
        <f>100%*F83*'[1]功能-付费相关'!CL84*节奏总纲!Y82</f>
        <v>#VALUE!</v>
      </c>
      <c r="L83" s="31" t="e">
        <f>100%*G83*'[1]功能-付费相关'!CM84*节奏总纲!Z82</f>
        <v>#VALUE!</v>
      </c>
      <c r="M83" s="31" t="e">
        <f>100%*H83*'[1]功能-付费相关'!CN84*节奏总纲!AA82</f>
        <v>#VALUE!</v>
      </c>
      <c r="N83" s="31" t="e">
        <f>D83*20%*'[1]功能-付费相关'!CJ84</f>
        <v>#VALUE!</v>
      </c>
      <c r="O83" s="31" t="e">
        <f>E83*20%*'[1]功能-付费相关'!CK84</f>
        <v>#VALUE!</v>
      </c>
      <c r="P83" s="31" t="e">
        <f>F83*20%*'[1]功能-付费相关'!CL84</f>
        <v>#VALUE!</v>
      </c>
      <c r="Q83" s="31" t="e">
        <f>G83*20%*'[1]功能-付费相关'!CM84</f>
        <v>#VALUE!</v>
      </c>
      <c r="R83" s="31" t="e">
        <f>H83*20%*'[1]功能-付费相关'!CN84</f>
        <v>#VALUE!</v>
      </c>
      <c r="S83" s="31">
        <f>$W$1*('[1]功能-行军令'!S82+S$2*[1]节奏总纲!BJ82)</f>
        <v>16102.528165912394</v>
      </c>
      <c r="T83" s="31">
        <f>$W$1*('[1]功能-行军令'!T82+T$2*[1]节奏总纲!BK82)</f>
        <v>20929.828432130198</v>
      </c>
      <c r="U83" s="31">
        <f>$W$1*('[1]功能-行军令'!U82+U$2*[1]节奏总纲!BL82)</f>
        <v>23874.304294257836</v>
      </c>
      <c r="V83" s="31">
        <f>$W$1*('[1]功能-行军令'!V82+V$2*[1]节奏总纲!BM82)</f>
        <v>20321.749267996885</v>
      </c>
      <c r="W83" s="31">
        <f>$W$1*('[1]功能-行军令'!W82+W$2*[1]节奏总纲!BN82)</f>
        <v>15032.573260916779</v>
      </c>
      <c r="X83" s="57">
        <f>S83*'[1]功能-付费相关'!AH84</f>
        <v>89.458489810624414</v>
      </c>
      <c r="Y83" s="57">
        <f>T83*'[1]功能-付费相关'!AI84</f>
        <v>116.27682462294555</v>
      </c>
      <c r="Z83" s="57">
        <f>U83*'[1]功能-付费相关'!AJ84</f>
        <v>132.63502385698797</v>
      </c>
      <c r="AA83" s="57">
        <f>V83*'[1]功能-付费相关'!AK84</f>
        <v>112.89860704442715</v>
      </c>
      <c r="AB83" s="57">
        <f>W83*'[1]功能-付费相关'!AL84</f>
        <v>83.514295893982109</v>
      </c>
      <c r="AC83" s="57"/>
    </row>
    <row r="84" spans="3:29" x14ac:dyDescent="0.15">
      <c r="C84" s="31">
        <v>80</v>
      </c>
      <c r="D84" s="31" t="e">
        <f>求节点([2]兵营招募!F$28:F$47,[2]兵营招募!$J$4:$J$23,节奏总纲!P83)*(1+[1]养成buff汇总!AA85)</f>
        <v>#VALUE!</v>
      </c>
      <c r="E84" s="31" t="e">
        <f>求节点([2]兵营招募!G$28:G$47,[2]兵营招募!$J$4:$J$23,节奏总纲!Q83)*(1+[1]养成buff汇总!AB85)</f>
        <v>#VALUE!</v>
      </c>
      <c r="F84" s="31" t="e">
        <f>求节点([2]兵营招募!H$28:H$47,[2]兵营招募!$J$4:$J$23,节奏总纲!R83)*(1+[1]养成buff汇总!AC85)</f>
        <v>#VALUE!</v>
      </c>
      <c r="G84" s="31" t="e">
        <f>求节点([2]兵营招募!I$28:I$47,[2]兵营招募!$J$4:$J$23,节奏总纲!S83)*(1+[1]养成buff汇总!AD85)</f>
        <v>#VALUE!</v>
      </c>
      <c r="H84" s="31" t="e">
        <f>求节点([2]兵营招募!J$28:J$47,[2]兵营招募!$J$4:$J$23,节奏总纲!T83)*(1+[1]养成buff汇总!AE85)</f>
        <v>#VALUE!</v>
      </c>
      <c r="I84" s="31" t="e">
        <f>100%*D84*'[1]功能-付费相关'!CJ85*节奏总纲!W83</f>
        <v>#VALUE!</v>
      </c>
      <c r="J84" s="31" t="e">
        <f>100%*E84*'[1]功能-付费相关'!CK85*节奏总纲!X83</f>
        <v>#VALUE!</v>
      </c>
      <c r="K84" s="31" t="e">
        <f>100%*F84*'[1]功能-付费相关'!CL85*节奏总纲!Y83</f>
        <v>#VALUE!</v>
      </c>
      <c r="L84" s="31" t="e">
        <f>100%*G84*'[1]功能-付费相关'!CM85*节奏总纲!Z83</f>
        <v>#VALUE!</v>
      </c>
      <c r="M84" s="31" t="e">
        <f>100%*H84*'[1]功能-付费相关'!CN85*节奏总纲!AA83</f>
        <v>#VALUE!</v>
      </c>
      <c r="N84" s="31" t="e">
        <f>D84*20%*'[1]功能-付费相关'!CJ85</f>
        <v>#VALUE!</v>
      </c>
      <c r="O84" s="31" t="e">
        <f>E84*20%*'[1]功能-付费相关'!CK85</f>
        <v>#VALUE!</v>
      </c>
      <c r="P84" s="31" t="e">
        <f>F84*20%*'[1]功能-付费相关'!CL85</f>
        <v>#VALUE!</v>
      </c>
      <c r="Q84" s="31" t="e">
        <f>G84*20%*'[1]功能-付费相关'!CM85</f>
        <v>#VALUE!</v>
      </c>
      <c r="R84" s="31" t="e">
        <f>H84*20%*'[1]功能-付费相关'!CN85</f>
        <v>#VALUE!</v>
      </c>
      <c r="S84" s="31">
        <f>$W$1*('[1]功能-行军令'!S83+S$2*[1]节奏总纲!BJ83)</f>
        <v>17172.069833251153</v>
      </c>
      <c r="T84" s="31">
        <f>$W$1*('[1]功能-行军令'!T83+T$2*[1]节奏总纲!BK83)</f>
        <v>22250.274942096359</v>
      </c>
      <c r="U84" s="31">
        <f>$W$1*('[1]功能-行军令'!U83+U$2*[1]节奏总纲!BL83)</f>
        <v>24081.159932901359</v>
      </c>
      <c r="V84" s="31">
        <f>$W$1*('[1]功能-行军令'!V83+V$2*[1]节奏总纲!BM83)</f>
        <v>21428.937491438151</v>
      </c>
      <c r="W84" s="31">
        <f>$W$1*('[1]功能-行军令'!W83+W$2*[1]节奏总纲!BN83)</f>
        <v>15469.122661414</v>
      </c>
      <c r="X84" s="57">
        <f>S84*'[1]功能-付费相关'!AH85</f>
        <v>95.400387962506414</v>
      </c>
      <c r="Y84" s="57">
        <f>T84*'[1]功能-付费相关'!AI85</f>
        <v>123.612638567202</v>
      </c>
      <c r="Z84" s="57">
        <f>U84*'[1]功能-付费相关'!AJ85</f>
        <v>133.784221849452</v>
      </c>
      <c r="AA84" s="57">
        <f>V84*'[1]功能-付费相关'!AK85</f>
        <v>119.04965273021196</v>
      </c>
      <c r="AB84" s="57">
        <f>W84*'[1]功能-付费相关'!AL85</f>
        <v>85.939570341188883</v>
      </c>
      <c r="AC84" s="57"/>
    </row>
    <row r="85" spans="3:29" x14ac:dyDescent="0.15">
      <c r="C85" s="31">
        <v>81</v>
      </c>
      <c r="D85" s="31" t="e">
        <f>求节点([2]兵营招募!F$28:F$47,[2]兵营招募!$J$4:$J$23,节奏总纲!P84)*(1+[1]养成buff汇总!AA86)</f>
        <v>#VALUE!</v>
      </c>
      <c r="E85" s="31" t="e">
        <f>求节点([2]兵营招募!G$28:G$47,[2]兵营招募!$J$4:$J$23,节奏总纲!Q84)*(1+[1]养成buff汇总!AB86)</f>
        <v>#VALUE!</v>
      </c>
      <c r="F85" s="31" t="e">
        <f>求节点([2]兵营招募!H$28:H$47,[2]兵营招募!$J$4:$J$23,节奏总纲!R84)*(1+[1]养成buff汇总!AC86)</f>
        <v>#VALUE!</v>
      </c>
      <c r="G85" s="31" t="e">
        <f>求节点([2]兵营招募!I$28:I$47,[2]兵营招募!$J$4:$J$23,节奏总纲!S84)*(1+[1]养成buff汇总!AD86)</f>
        <v>#VALUE!</v>
      </c>
      <c r="H85" s="31" t="e">
        <f>求节点([2]兵营招募!J$28:J$47,[2]兵营招募!$J$4:$J$23,节奏总纲!T84)*(1+[1]养成buff汇总!AE86)</f>
        <v>#VALUE!</v>
      </c>
      <c r="I85" s="31" t="e">
        <f>100%*D85*'[1]功能-付费相关'!CJ86*节奏总纲!W84</f>
        <v>#VALUE!</v>
      </c>
      <c r="J85" s="31" t="e">
        <f>100%*E85*'[1]功能-付费相关'!CK86*节奏总纲!X84</f>
        <v>#VALUE!</v>
      </c>
      <c r="K85" s="31" t="e">
        <f>100%*F85*'[1]功能-付费相关'!CL86*节奏总纲!Y84</f>
        <v>#VALUE!</v>
      </c>
      <c r="L85" s="31" t="e">
        <f>100%*G85*'[1]功能-付费相关'!CM86*节奏总纲!Z84</f>
        <v>#VALUE!</v>
      </c>
      <c r="M85" s="31" t="e">
        <f>100%*H85*'[1]功能-付费相关'!CN86*节奏总纲!AA84</f>
        <v>#VALUE!</v>
      </c>
      <c r="N85" s="31" t="e">
        <f>D85*20%*'[1]功能-付费相关'!CJ86</f>
        <v>#VALUE!</v>
      </c>
      <c r="O85" s="31" t="e">
        <f>E85*20%*'[1]功能-付费相关'!CK86</f>
        <v>#VALUE!</v>
      </c>
      <c r="P85" s="31" t="e">
        <f>F85*20%*'[1]功能-付费相关'!CL86</f>
        <v>#VALUE!</v>
      </c>
      <c r="Q85" s="31" t="e">
        <f>G85*20%*'[1]功能-付费相关'!CM86</f>
        <v>#VALUE!</v>
      </c>
      <c r="R85" s="31" t="e">
        <f>H85*20%*'[1]功能-付费相关'!CN86</f>
        <v>#VALUE!</v>
      </c>
      <c r="S85" s="31">
        <f>$W$1*('[1]功能-行军令'!S84+S$2*[1]节奏总纲!BJ84)</f>
        <v>18304.085896547695</v>
      </c>
      <c r="T85" s="31">
        <f>$W$1*('[1]功能-行军令'!T84+T$2*[1]节奏总纲!BK84)</f>
        <v>22609.382361573837</v>
      </c>
      <c r="U85" s="31">
        <f>$W$1*('[1]功能-行军令'!U84+U$2*[1]节奏总纲!BL84)</f>
        <v>25423.159485428227</v>
      </c>
      <c r="V85" s="31">
        <f>$W$1*('[1]功能-行军令'!V84+V$2*[1]节奏总纲!BM84)</f>
        <v>22901.368354296461</v>
      </c>
      <c r="W85" s="31">
        <f>$W$1*('[1]功能-行军令'!W84+W$2*[1]节奏总纲!BN84)</f>
        <v>16344.629072254116</v>
      </c>
      <c r="X85" s="57">
        <f>S85*'[1]功能-付费相关'!AH86</f>
        <v>101.68936609193165</v>
      </c>
      <c r="Y85" s="57">
        <f>T85*'[1]功能-付费相关'!AI86</f>
        <v>125.60767978652132</v>
      </c>
      <c r="Z85" s="57">
        <f>U85*'[1]功能-付费相关'!AJ86</f>
        <v>141.23977491904571</v>
      </c>
      <c r="AA85" s="57">
        <f>V85*'[1]功能-付费相关'!AK86</f>
        <v>127.22982419053589</v>
      </c>
      <c r="AB85" s="57">
        <f>W85*'[1]功能-付费相关'!AL86</f>
        <v>90.803494845856207</v>
      </c>
      <c r="AC85" s="57"/>
    </row>
    <row r="86" spans="3:29" x14ac:dyDescent="0.15">
      <c r="C86" s="31">
        <v>82</v>
      </c>
      <c r="D86" s="31" t="e">
        <f>求节点([2]兵营招募!F$28:F$47,[2]兵营招募!$J$4:$J$23,节奏总纲!P85)*(1+[1]养成buff汇总!AA87)</f>
        <v>#VALUE!</v>
      </c>
      <c r="E86" s="31" t="e">
        <f>求节点([2]兵营招募!G$28:G$47,[2]兵营招募!$J$4:$J$23,节奏总纲!Q85)*(1+[1]养成buff汇总!AB87)</f>
        <v>#VALUE!</v>
      </c>
      <c r="F86" s="31" t="e">
        <f>求节点([2]兵营招募!H$28:H$47,[2]兵营招募!$J$4:$J$23,节奏总纲!R85)*(1+[1]养成buff汇总!AC87)</f>
        <v>#VALUE!</v>
      </c>
      <c r="G86" s="31" t="e">
        <f>求节点([2]兵营招募!I$28:I$47,[2]兵营招募!$J$4:$J$23,节奏总纲!S85)*(1+[1]养成buff汇总!AD87)</f>
        <v>#VALUE!</v>
      </c>
      <c r="H86" s="31" t="e">
        <f>求节点([2]兵营招募!J$28:J$47,[2]兵营招募!$J$4:$J$23,节奏总纲!T85)*(1+[1]养成buff汇总!AE87)</f>
        <v>#VALUE!</v>
      </c>
      <c r="I86" s="31" t="e">
        <f>100%*D86*'[1]功能-付费相关'!CJ87*节奏总纲!W85</f>
        <v>#VALUE!</v>
      </c>
      <c r="J86" s="31" t="e">
        <f>100%*E86*'[1]功能-付费相关'!CK87*节奏总纲!X85</f>
        <v>#VALUE!</v>
      </c>
      <c r="K86" s="31" t="e">
        <f>100%*F86*'[1]功能-付费相关'!CL87*节奏总纲!Y85</f>
        <v>#VALUE!</v>
      </c>
      <c r="L86" s="31" t="e">
        <f>100%*G86*'[1]功能-付费相关'!CM87*节奏总纲!Z85</f>
        <v>#VALUE!</v>
      </c>
      <c r="M86" s="31" t="e">
        <f>100%*H86*'[1]功能-付费相关'!CN87*节奏总纲!AA85</f>
        <v>#VALUE!</v>
      </c>
      <c r="N86" s="31" t="e">
        <f>D86*20%*'[1]功能-付费相关'!CJ87</f>
        <v>#VALUE!</v>
      </c>
      <c r="O86" s="31" t="e">
        <f>E86*20%*'[1]功能-付费相关'!CK87</f>
        <v>#VALUE!</v>
      </c>
      <c r="P86" s="31" t="e">
        <f>F86*20%*'[1]功能-付费相关'!CL87</f>
        <v>#VALUE!</v>
      </c>
      <c r="Q86" s="31" t="e">
        <f>G86*20%*'[1]功能-付费相关'!CM87</f>
        <v>#VALUE!</v>
      </c>
      <c r="R86" s="31" t="e">
        <f>H86*20%*'[1]功能-付费相关'!CN87</f>
        <v>#VALUE!</v>
      </c>
      <c r="S86" s="31">
        <f>$W$1*('[1]功能-行军令'!S85+S$2*[1]节奏总纲!BJ85)</f>
        <v>19517.350672353714</v>
      </c>
      <c r="T86" s="31">
        <f>$W$1*('[1]功能-行军令'!T85+T$2*[1]节奏总纲!BK85)</f>
        <v>24643.169656916172</v>
      </c>
      <c r="U86" s="31">
        <f>$W$1*('[1]功能-行军令'!U85+U$2*[1]节奏总纲!BL85)</f>
        <v>27908.599264477274</v>
      </c>
      <c r="V86" s="31">
        <f>$W$1*('[1]功能-行军令'!V85+V$2*[1]节奏总纲!BM85)</f>
        <v>24696.890332893377</v>
      </c>
      <c r="W86" s="31">
        <f>$W$1*('[1]功能-行军令'!W85+W$2*[1]节奏总纲!BN85)</f>
        <v>16950.539243256822</v>
      </c>
      <c r="X86" s="57">
        <f>S86*'[1]功能-付费相关'!AH87</f>
        <v>108.42972595752063</v>
      </c>
      <c r="Y86" s="57">
        <f>T86*'[1]功能-付费相关'!AI87</f>
        <v>136.90649809397874</v>
      </c>
      <c r="Z86" s="57">
        <f>U86*'[1]功能-付费相关'!AJ87</f>
        <v>155.04777369154041</v>
      </c>
      <c r="AA86" s="57">
        <f>V86*'[1]功能-付费相关'!AK87</f>
        <v>137.20494629385209</v>
      </c>
      <c r="AB86" s="57">
        <f>W86*'[1]功能-付费相关'!AL87</f>
        <v>94.1696624625379</v>
      </c>
      <c r="AC86" s="57"/>
    </row>
    <row r="87" spans="3:29" x14ac:dyDescent="0.15">
      <c r="C87" s="31">
        <v>83</v>
      </c>
      <c r="D87" s="31" t="e">
        <f>求节点([2]兵营招募!F$28:F$47,[2]兵营招募!$J$4:$J$23,节奏总纲!P86)*(1+[1]养成buff汇总!AA88)</f>
        <v>#VALUE!</v>
      </c>
      <c r="E87" s="31" t="e">
        <f>求节点([2]兵营招募!G$28:G$47,[2]兵营招募!$J$4:$J$23,节奏总纲!Q86)*(1+[1]养成buff汇总!AB88)</f>
        <v>#VALUE!</v>
      </c>
      <c r="F87" s="31" t="e">
        <f>求节点([2]兵营招募!H$28:H$47,[2]兵营招募!$J$4:$J$23,节奏总纲!R86)*(1+[1]养成buff汇总!AC88)</f>
        <v>#VALUE!</v>
      </c>
      <c r="G87" s="31" t="e">
        <f>求节点([2]兵营招募!I$28:I$47,[2]兵营招募!$J$4:$J$23,节奏总纲!S86)*(1+[1]养成buff汇总!AD88)</f>
        <v>#VALUE!</v>
      </c>
      <c r="H87" s="31" t="e">
        <f>求节点([2]兵营招募!J$28:J$47,[2]兵营招募!$J$4:$J$23,节奏总纲!T86)*(1+[1]养成buff汇总!AE88)</f>
        <v>#VALUE!</v>
      </c>
      <c r="I87" s="31" t="e">
        <f>100%*D87*'[1]功能-付费相关'!CJ88*节奏总纲!W86</f>
        <v>#VALUE!</v>
      </c>
      <c r="J87" s="31" t="e">
        <f>100%*E87*'[1]功能-付费相关'!CK88*节奏总纲!X86</f>
        <v>#VALUE!</v>
      </c>
      <c r="K87" s="31" t="e">
        <f>100%*F87*'[1]功能-付费相关'!CL88*节奏总纲!Y86</f>
        <v>#VALUE!</v>
      </c>
      <c r="L87" s="31" t="e">
        <f>100%*G87*'[1]功能-付费相关'!CM88*节奏总纲!Z86</f>
        <v>#VALUE!</v>
      </c>
      <c r="M87" s="31" t="e">
        <f>100%*H87*'[1]功能-付费相关'!CN88*节奏总纲!AA86</f>
        <v>#VALUE!</v>
      </c>
      <c r="N87" s="31" t="e">
        <f>D87*20%*'[1]功能-付费相关'!CJ88</f>
        <v>#VALUE!</v>
      </c>
      <c r="O87" s="31" t="e">
        <f>E87*20%*'[1]功能-付费相关'!CK88</f>
        <v>#VALUE!</v>
      </c>
      <c r="P87" s="31" t="e">
        <f>F87*20%*'[1]功能-付费相关'!CL88</f>
        <v>#VALUE!</v>
      </c>
      <c r="Q87" s="31" t="e">
        <f>G87*20%*'[1]功能-付费相关'!CM88</f>
        <v>#VALUE!</v>
      </c>
      <c r="R87" s="31" t="e">
        <f>H87*20%*'[1]功能-付费相关'!CN88</f>
        <v>#VALUE!</v>
      </c>
      <c r="S87" s="31">
        <f>$W$1*('[1]功能-行军令'!S86+S$2*[1]节奏总纲!BJ86)</f>
        <v>20817.695662093502</v>
      </c>
      <c r="T87" s="31">
        <f>$W$1*('[1]功能-行军令'!T86+T$2*[1]节奏总纲!BK86)</f>
        <v>26782.743049894227</v>
      </c>
      <c r="U87" s="31">
        <f>$W$1*('[1]功能-行军令'!U86+U$2*[1]节奏总纲!BL86)</f>
        <v>30590.417782400586</v>
      </c>
      <c r="V87" s="31">
        <f>$W$1*('[1]功能-行军令'!V86+V$2*[1]节奏总纲!BM86)</f>
        <v>26170.007568446414</v>
      </c>
      <c r="W87" s="31">
        <f>$W$1*('[1]功能-行军令'!W86+W$2*[1]节奏总纲!BN86)</f>
        <v>18163.246314034364</v>
      </c>
      <c r="X87" s="57">
        <f>S87*'[1]功能-付费相关'!AH88</f>
        <v>115.65386478940835</v>
      </c>
      <c r="Y87" s="57">
        <f>T87*'[1]功能-付费相关'!AI88</f>
        <v>148.79301694385683</v>
      </c>
      <c r="Z87" s="57">
        <f>U87*'[1]功能-付费相关'!AJ88</f>
        <v>169.94676545778103</v>
      </c>
      <c r="AA87" s="57">
        <f>V87*'[1]功能-付费相关'!AK88</f>
        <v>145.38893093581342</v>
      </c>
      <c r="AB87" s="57">
        <f>W87*'[1]功能-付费相关'!AL88</f>
        <v>100.90692396685759</v>
      </c>
      <c r="AC87" s="57"/>
    </row>
    <row r="88" spans="3:29" x14ac:dyDescent="0.15">
      <c r="C88" s="31">
        <v>84</v>
      </c>
      <c r="D88" s="31" t="e">
        <f>求节点([2]兵营招募!F$28:F$47,[2]兵营招募!$J$4:$J$23,节奏总纲!P87)*(1+[1]养成buff汇总!AA89)</f>
        <v>#VALUE!</v>
      </c>
      <c r="E88" s="31" t="e">
        <f>求节点([2]兵营招募!G$28:G$47,[2]兵营招募!$J$4:$J$23,节奏总纲!Q87)*(1+[1]养成buff汇总!AB89)</f>
        <v>#VALUE!</v>
      </c>
      <c r="F88" s="31" t="e">
        <f>求节点([2]兵营招募!H$28:H$47,[2]兵营招募!$J$4:$J$23,节奏总纲!R87)*(1+[1]养成buff汇总!AC89)</f>
        <v>#VALUE!</v>
      </c>
      <c r="G88" s="31" t="e">
        <f>求节点([2]兵营招募!I$28:I$47,[2]兵营招募!$J$4:$J$23,节奏总纲!S87)*(1+[1]养成buff汇总!AD89)</f>
        <v>#VALUE!</v>
      </c>
      <c r="H88" s="31" t="e">
        <f>求节点([2]兵营招募!J$28:J$47,[2]兵营招募!$J$4:$J$23,节奏总纲!T87)*(1+[1]养成buff汇总!AE89)</f>
        <v>#VALUE!</v>
      </c>
      <c r="I88" s="31" t="e">
        <f>100%*D88*'[1]功能-付费相关'!CJ89*节奏总纲!W87</f>
        <v>#VALUE!</v>
      </c>
      <c r="J88" s="31" t="e">
        <f>100%*E88*'[1]功能-付费相关'!CK89*节奏总纲!X87</f>
        <v>#VALUE!</v>
      </c>
      <c r="K88" s="31" t="e">
        <f>100%*F88*'[1]功能-付费相关'!CL89*节奏总纲!Y87</f>
        <v>#VALUE!</v>
      </c>
      <c r="L88" s="31" t="e">
        <f>100%*G88*'[1]功能-付费相关'!CM89*节奏总纲!Z87</f>
        <v>#VALUE!</v>
      </c>
      <c r="M88" s="31" t="e">
        <f>100%*H88*'[1]功能-付费相关'!CN89*节奏总纲!AA87</f>
        <v>#VALUE!</v>
      </c>
      <c r="N88" s="31" t="e">
        <f>D88*20%*'[1]功能-付费相关'!CJ89</f>
        <v>#VALUE!</v>
      </c>
      <c r="O88" s="31" t="e">
        <f>E88*20%*'[1]功能-付费相关'!CK89</f>
        <v>#VALUE!</v>
      </c>
      <c r="P88" s="31" t="e">
        <f>F88*20%*'[1]功能-付费相关'!CL89</f>
        <v>#VALUE!</v>
      </c>
      <c r="Q88" s="31" t="e">
        <f>G88*20%*'[1]功能-付费相关'!CM89</f>
        <v>#VALUE!</v>
      </c>
      <c r="R88" s="31" t="e">
        <f>H88*20%*'[1]功能-付费相关'!CN89</f>
        <v>#VALUE!</v>
      </c>
      <c r="S88" s="31">
        <f>$W$1*('[1]功能-行军令'!S87+S$2*[1]节奏总纲!BJ87)</f>
        <v>22211.370914237086</v>
      </c>
      <c r="T88" s="31">
        <f>$W$1*('[1]功能-行军令'!T87+T$2*[1]节奏总纲!BK87)</f>
        <v>28566.498693350033</v>
      </c>
      <c r="U88" s="31">
        <f>$W$1*('[1]功能-行军令'!U87+U$2*[1]节奏总纲!BL87)</f>
        <v>31572.234584851507</v>
      </c>
      <c r="V88" s="31">
        <f>$W$1*('[1]功能-行军令'!V87+V$2*[1]节奏总纲!BM87)</f>
        <v>27470.401065782931</v>
      </c>
      <c r="W88" s="31">
        <f>$W$1*('[1]功能-行军令'!W87+W$2*[1]节奏总纲!BN87)</f>
        <v>19178.941848809587</v>
      </c>
      <c r="X88" s="57">
        <f>S88*'[1]功能-付费相关'!AH89</f>
        <v>123.39650507909492</v>
      </c>
      <c r="Y88" s="57">
        <f>T88*'[1]功能-付费相关'!AI89</f>
        <v>158.70277051861129</v>
      </c>
      <c r="Z88" s="57">
        <f>U88*'[1]功能-付费相关'!AJ89</f>
        <v>175.40130324917504</v>
      </c>
      <c r="AA88" s="57">
        <f>V88*'[1]功能-付费相关'!AK89</f>
        <v>152.61333925434963</v>
      </c>
      <c r="AB88" s="57">
        <f>W88*'[1]功能-付费相关'!AL89</f>
        <v>106.54967693783104</v>
      </c>
      <c r="AC88" s="57"/>
    </row>
    <row r="89" spans="3:29" x14ac:dyDescent="0.15">
      <c r="C89" s="31">
        <v>85</v>
      </c>
      <c r="D89" s="31" t="e">
        <f>求节点([2]兵营招募!F$28:F$47,[2]兵营招募!$J$4:$J$23,节奏总纲!P88)*(1+[1]养成buff汇总!AA90)</f>
        <v>#VALUE!</v>
      </c>
      <c r="E89" s="31" t="e">
        <f>求节点([2]兵营招募!G$28:G$47,[2]兵营招募!$J$4:$J$23,节奏总纲!Q88)*(1+[1]养成buff汇总!AB90)</f>
        <v>#VALUE!</v>
      </c>
      <c r="F89" s="31" t="e">
        <f>求节点([2]兵营招募!H$28:H$47,[2]兵营招募!$J$4:$J$23,节奏总纲!R88)*(1+[1]养成buff汇总!AC90)</f>
        <v>#VALUE!</v>
      </c>
      <c r="G89" s="31" t="e">
        <f>求节点([2]兵营招募!I$28:I$47,[2]兵营招募!$J$4:$J$23,节奏总纲!S88)*(1+[1]养成buff汇总!AD90)</f>
        <v>#VALUE!</v>
      </c>
      <c r="H89" s="31" t="e">
        <f>求节点([2]兵营招募!J$28:J$47,[2]兵营招募!$J$4:$J$23,节奏总纲!T88)*(1+[1]养成buff汇总!AE90)</f>
        <v>#VALUE!</v>
      </c>
      <c r="I89" s="31" t="e">
        <f>100%*D89*'[1]功能-付费相关'!CJ90*节奏总纲!W88</f>
        <v>#VALUE!</v>
      </c>
      <c r="J89" s="31" t="e">
        <f>100%*E89*'[1]功能-付费相关'!CK90*节奏总纲!X88</f>
        <v>#VALUE!</v>
      </c>
      <c r="K89" s="31" t="e">
        <f>100%*F89*'[1]功能-付费相关'!CL90*节奏总纲!Y88</f>
        <v>#VALUE!</v>
      </c>
      <c r="L89" s="31" t="e">
        <f>100%*G89*'[1]功能-付费相关'!CM90*节奏总纲!Z88</f>
        <v>#VALUE!</v>
      </c>
      <c r="M89" s="31" t="e">
        <f>100%*H89*'[1]功能-付费相关'!CN90*节奏总纲!AA88</f>
        <v>#VALUE!</v>
      </c>
      <c r="N89" s="31" t="e">
        <f>D89*20%*'[1]功能-付费相关'!CJ90</f>
        <v>#VALUE!</v>
      </c>
      <c r="O89" s="31" t="e">
        <f>E89*20%*'[1]功能-付费相关'!CK90</f>
        <v>#VALUE!</v>
      </c>
      <c r="P89" s="31" t="e">
        <f>F89*20%*'[1]功能-付费相关'!CL90</f>
        <v>#VALUE!</v>
      </c>
      <c r="Q89" s="31" t="e">
        <f>G89*20%*'[1]功能-付费相关'!CM90</f>
        <v>#VALUE!</v>
      </c>
      <c r="R89" s="31" t="e">
        <f>H89*20%*'[1]功能-付费相关'!CN90</f>
        <v>#VALUE!</v>
      </c>
      <c r="S89" s="31">
        <f>$W$1*('[1]功能-行军令'!S88+S$2*[1]节奏总纲!BJ88)</f>
        <v>23705.075064879347</v>
      </c>
      <c r="T89" s="31">
        <f>$W$1*('[1]功能-行军令'!T88+T$2*[1]节奏总纲!BK88)</f>
        <v>29560.164003110869</v>
      </c>
      <c r="U89" s="31">
        <f>$W$1*('[1]功能-行军令'!U88+U$2*[1]节奏总纲!BL88)</f>
        <v>33265.735233289932</v>
      </c>
      <c r="V89" s="31">
        <f>$W$1*('[1]功能-行军令'!V88+V$2*[1]节奏总纲!BM88)</f>
        <v>29938.720104661475</v>
      </c>
      <c r="W89" s="31">
        <f>$W$1*('[1]功能-行军令'!W88+W$2*[1]节奏总纲!BN88)</f>
        <v>20064.088169518469</v>
      </c>
      <c r="X89" s="57">
        <f>S89*'[1]功能-付费相关'!AH90</f>
        <v>131.69486147155195</v>
      </c>
      <c r="Y89" s="57">
        <f>T89*'[1]功能-付费相关'!AI90</f>
        <v>164.22313335061594</v>
      </c>
      <c r="Z89" s="57">
        <f>U89*'[1]功能-付费相关'!AJ90</f>
        <v>184.80964018494407</v>
      </c>
      <c r="AA89" s="57">
        <f>V89*'[1]功能-付费相关'!AK90</f>
        <v>166.32622280367488</v>
      </c>
      <c r="AB89" s="57">
        <f>W89*'[1]功能-付费相关'!AL90</f>
        <v>111.46715649732484</v>
      </c>
      <c r="AC89" s="57"/>
    </row>
    <row r="90" spans="3:29" x14ac:dyDescent="0.15">
      <c r="C90" s="31">
        <v>86</v>
      </c>
      <c r="D90" s="31" t="e">
        <f>求节点([2]兵营招募!F$28:F$47,[2]兵营招募!$J$4:$J$23,节奏总纲!P89)*(1+[1]养成buff汇总!AA91)</f>
        <v>#VALUE!</v>
      </c>
      <c r="E90" s="31" t="e">
        <f>求节点([2]兵营招募!G$28:G$47,[2]兵营招募!$J$4:$J$23,节奏总纲!Q89)*(1+[1]养成buff汇总!AB91)</f>
        <v>#VALUE!</v>
      </c>
      <c r="F90" s="31" t="e">
        <f>求节点([2]兵营招募!H$28:H$47,[2]兵营招募!$J$4:$J$23,节奏总纲!R89)*(1+[1]养成buff汇总!AC91)</f>
        <v>#VALUE!</v>
      </c>
      <c r="G90" s="31" t="e">
        <f>求节点([2]兵营招募!I$28:I$47,[2]兵营招募!$J$4:$J$23,节奏总纲!S89)*(1+[1]养成buff汇总!AD91)</f>
        <v>#VALUE!</v>
      </c>
      <c r="H90" s="31" t="e">
        <f>求节点([2]兵营招募!J$28:J$47,[2]兵营招募!$J$4:$J$23,节奏总纲!T89)*(1+[1]养成buff汇总!AE91)</f>
        <v>#VALUE!</v>
      </c>
      <c r="I90" s="31" t="e">
        <f>100%*D90*'[1]功能-付费相关'!CJ91*节奏总纲!W89</f>
        <v>#VALUE!</v>
      </c>
      <c r="J90" s="31" t="e">
        <f>100%*E90*'[1]功能-付费相关'!CK91*节奏总纲!X89</f>
        <v>#VALUE!</v>
      </c>
      <c r="K90" s="31" t="e">
        <f>100%*F90*'[1]功能-付费相关'!CL91*节奏总纲!Y89</f>
        <v>#VALUE!</v>
      </c>
      <c r="L90" s="31" t="e">
        <f>100%*G90*'[1]功能-付费相关'!CM91*节奏总纲!Z89</f>
        <v>#VALUE!</v>
      </c>
      <c r="M90" s="31" t="e">
        <f>100%*H90*'[1]功能-付费相关'!CN91*节奏总纲!AA89</f>
        <v>#VALUE!</v>
      </c>
      <c r="N90" s="31" t="e">
        <f>D90*20%*'[1]功能-付费相关'!CJ91</f>
        <v>#VALUE!</v>
      </c>
      <c r="O90" s="31" t="e">
        <f>E90*20%*'[1]功能-付费相关'!CK91</f>
        <v>#VALUE!</v>
      </c>
      <c r="P90" s="31" t="e">
        <f>F90*20%*'[1]功能-付费相关'!CL91</f>
        <v>#VALUE!</v>
      </c>
      <c r="Q90" s="31" t="e">
        <f>G90*20%*'[1]功能-付费相关'!CM91</f>
        <v>#VALUE!</v>
      </c>
      <c r="R90" s="31" t="e">
        <f>H90*20%*'[1]功能-付费相关'!CN91</f>
        <v>#VALUE!</v>
      </c>
      <c r="S90" s="31">
        <f>$W$1*('[1]功能-行军令'!S89+S$2*[1]节奏总纲!BJ89)</f>
        <v>25305.987534417582</v>
      </c>
      <c r="T90" s="31">
        <f>$W$1*('[1]功能-行军令'!T89+T$2*[1]节奏总纲!BK89)</f>
        <v>31997.789907207218</v>
      </c>
      <c r="U90" s="31">
        <f>$W$1*('[1]功能-行军令'!U89+U$2*[1]节奏总纲!BL89)</f>
        <v>36299.098570592658</v>
      </c>
      <c r="V90" s="31">
        <f>$W$1*('[1]功能-行军令'!V89+V$2*[1]节奏总纲!BM89)</f>
        <v>32460.434816807825</v>
      </c>
      <c r="W90" s="31">
        <f>$W$1*('[1]功能-行军令'!W89+W$2*[1]节奏总纲!BN89)</f>
        <v>19088.958569077546</v>
      </c>
      <c r="X90" s="57">
        <f>S90*'[1]功能-付费相关'!AH91</f>
        <v>140.58881963565324</v>
      </c>
      <c r="Y90" s="57">
        <f>T90*'[1]功能-付费相关'!AI91</f>
        <v>177.76549948448454</v>
      </c>
      <c r="Z90" s="57">
        <f>U90*'[1]功能-付费相关'!AJ91</f>
        <v>201.66165872551477</v>
      </c>
      <c r="AA90" s="57">
        <f>V90*'[1]功能-付费相关'!AK91</f>
        <v>180.3357489822657</v>
      </c>
      <c r="AB90" s="57">
        <f>W90*'[1]功能-付费相关'!AL91</f>
        <v>106.0497698282086</v>
      </c>
      <c r="AC90" s="57"/>
    </row>
    <row r="91" spans="3:29" x14ac:dyDescent="0.15">
      <c r="C91" s="31">
        <v>87</v>
      </c>
      <c r="D91" s="31" t="e">
        <f>求节点([2]兵营招募!F$28:F$47,[2]兵营招募!$J$4:$J$23,节奏总纲!P90)*(1+[1]养成buff汇总!AA92)</f>
        <v>#VALUE!</v>
      </c>
      <c r="E91" s="31" t="e">
        <f>求节点([2]兵营招募!G$28:G$47,[2]兵营招募!$J$4:$J$23,节奏总纲!Q90)*(1+[1]养成buff汇总!AB92)</f>
        <v>#VALUE!</v>
      </c>
      <c r="F91" s="31" t="e">
        <f>求节点([2]兵营招募!H$28:H$47,[2]兵营招募!$J$4:$J$23,节奏总纲!R90)*(1+[1]养成buff汇总!AC92)</f>
        <v>#VALUE!</v>
      </c>
      <c r="G91" s="31" t="e">
        <f>求节点([2]兵营招募!I$28:I$47,[2]兵营招募!$J$4:$J$23,节奏总纲!S90)*(1+[1]养成buff汇总!AD92)</f>
        <v>#VALUE!</v>
      </c>
      <c r="H91" s="31" t="e">
        <f>求节点([2]兵营招募!J$28:J$47,[2]兵营招募!$J$4:$J$23,节奏总纲!T90)*(1+[1]养成buff汇总!AE92)</f>
        <v>#VALUE!</v>
      </c>
      <c r="I91" s="31" t="e">
        <f>100%*D91*'[1]功能-付费相关'!CJ92*节奏总纲!W90</f>
        <v>#VALUE!</v>
      </c>
      <c r="J91" s="31" t="e">
        <f>100%*E91*'[1]功能-付费相关'!CK92*节奏总纲!X90</f>
        <v>#VALUE!</v>
      </c>
      <c r="K91" s="31" t="e">
        <f>100%*F91*'[1]功能-付费相关'!CL92*节奏总纲!Y90</f>
        <v>#VALUE!</v>
      </c>
      <c r="L91" s="31" t="e">
        <f>100%*G91*'[1]功能-付费相关'!CM92*节奏总纲!Z90</f>
        <v>#VALUE!</v>
      </c>
      <c r="M91" s="31" t="e">
        <f>100%*H91*'[1]功能-付费相关'!CN92*节奏总纲!AA90</f>
        <v>#VALUE!</v>
      </c>
      <c r="N91" s="31" t="e">
        <f>D91*20%*'[1]功能-付费相关'!CJ92</f>
        <v>#VALUE!</v>
      </c>
      <c r="O91" s="31" t="e">
        <f>E91*20%*'[1]功能-付费相关'!CK92</f>
        <v>#VALUE!</v>
      </c>
      <c r="P91" s="31" t="e">
        <f>F91*20%*'[1]功能-付费相关'!CL92</f>
        <v>#VALUE!</v>
      </c>
      <c r="Q91" s="31" t="e">
        <f>G91*20%*'[1]功能-付费相关'!CM92</f>
        <v>#VALUE!</v>
      </c>
      <c r="R91" s="31" t="e">
        <f>H91*20%*'[1]功能-付费相关'!CN92</f>
        <v>#VALUE!</v>
      </c>
      <c r="S91" s="31">
        <f>$W$1*('[1]功能-行军令'!S90+S$2*[1]节奏总纲!BJ90)</f>
        <v>27021.80303511188</v>
      </c>
      <c r="T91" s="31">
        <f>$W$1*('[1]功能-行军令'!T90+T$2*[1]节奏总纲!BK90)</f>
        <v>34681.607493872682</v>
      </c>
      <c r="U91" s="31">
        <f>$W$1*('[1]功能-行军令'!U90+U$2*[1]节奏总纲!BL90)</f>
        <v>39678.058703874238</v>
      </c>
      <c r="V91" s="31">
        <f>$W$1*('[1]功能-行军令'!V90+V$2*[1]节奏总纲!BM90)</f>
        <v>31154.323208347483</v>
      </c>
      <c r="W91" s="31">
        <f>$W$1*('[1]功能-行军令'!W90+W$2*[1]节奏总纲!BN90)</f>
        <v>19893.215231321661</v>
      </c>
      <c r="X91" s="57">
        <f>S91*'[1]功能-付费相关'!AH92</f>
        <v>150.12112797284379</v>
      </c>
      <c r="Y91" s="57">
        <f>T91*'[1]功能-付费相关'!AI92</f>
        <v>192.67559718818157</v>
      </c>
      <c r="Z91" s="57">
        <f>U91*'[1]功能-付费相关'!AJ92</f>
        <v>220.43365946596799</v>
      </c>
      <c r="AA91" s="57">
        <f>V91*'[1]功能-付费相关'!AK92</f>
        <v>173.07957337970825</v>
      </c>
      <c r="AB91" s="57">
        <f>W91*'[1]功能-付费相关'!AL92</f>
        <v>110.51786239623145</v>
      </c>
      <c r="AC91" s="57"/>
    </row>
    <row r="92" spans="3:29" x14ac:dyDescent="0.15">
      <c r="C92" s="31">
        <v>88</v>
      </c>
      <c r="D92" s="31" t="e">
        <f>求节点([2]兵营招募!F$28:F$47,[2]兵营招募!$J$4:$J$23,节奏总纲!P91)*(1+[1]养成buff汇总!AA93)</f>
        <v>#VALUE!</v>
      </c>
      <c r="E92" s="31" t="e">
        <f>求节点([2]兵营招募!G$28:G$47,[2]兵营招募!$J$4:$J$23,节奏总纲!Q91)*(1+[1]养成buff汇总!AB93)</f>
        <v>#VALUE!</v>
      </c>
      <c r="F92" s="31" t="e">
        <f>求节点([2]兵营招募!H$28:H$47,[2]兵营招募!$J$4:$J$23,节奏总纲!R91)*(1+[1]养成buff汇总!AC93)</f>
        <v>#VALUE!</v>
      </c>
      <c r="G92" s="31" t="e">
        <f>求节点([2]兵营招募!I$28:I$47,[2]兵营招募!$J$4:$J$23,节奏总纲!S91)*(1+[1]养成buff汇总!AD93)</f>
        <v>#VALUE!</v>
      </c>
      <c r="H92" s="31" t="e">
        <f>求节点([2]兵营招募!J$28:J$47,[2]兵营招募!$J$4:$J$23,节奏总纲!T91)*(1+[1]养成buff汇总!AE93)</f>
        <v>#VALUE!</v>
      </c>
      <c r="I92" s="31" t="e">
        <f>100%*D92*'[1]功能-付费相关'!CJ93*节奏总纲!W91</f>
        <v>#VALUE!</v>
      </c>
      <c r="J92" s="31" t="e">
        <f>100%*E92*'[1]功能-付费相关'!CK93*节奏总纲!X91</f>
        <v>#VALUE!</v>
      </c>
      <c r="K92" s="31" t="e">
        <f>100%*F92*'[1]功能-付费相关'!CL93*节奏总纲!Y91</f>
        <v>#VALUE!</v>
      </c>
      <c r="L92" s="31" t="e">
        <f>100%*G92*'[1]功能-付费相关'!CM93*节奏总纲!Z91</f>
        <v>#VALUE!</v>
      </c>
      <c r="M92" s="31" t="e">
        <f>100%*H92*'[1]功能-付费相关'!CN93*节奏总纲!AA91</f>
        <v>#VALUE!</v>
      </c>
      <c r="N92" s="31" t="e">
        <f>D92*20%*'[1]功能-付费相关'!CJ93</f>
        <v>#VALUE!</v>
      </c>
      <c r="O92" s="31" t="e">
        <f>E92*20%*'[1]功能-付费相关'!CK93</f>
        <v>#VALUE!</v>
      </c>
      <c r="P92" s="31" t="e">
        <f>F92*20%*'[1]功能-付费相关'!CL93</f>
        <v>#VALUE!</v>
      </c>
      <c r="Q92" s="31" t="e">
        <f>G92*20%*'[1]功能-付费相关'!CM93</f>
        <v>#VALUE!</v>
      </c>
      <c r="R92" s="31" t="e">
        <f>H92*20%*'[1]功能-付费相关'!CN93</f>
        <v>#VALUE!</v>
      </c>
      <c r="S92" s="31">
        <f>$W$1*('[1]功能-行军令'!S91+S$2*[1]节奏总纲!BJ91)</f>
        <v>28860.76855536543</v>
      </c>
      <c r="T92" s="31">
        <f>$W$1*('[1]功能-行军令'!T91+T$2*[1]节奏总纲!BK91)</f>
        <v>37637.071153435274</v>
      </c>
      <c r="U92" s="31">
        <f>$W$1*('[1]功能-行军令'!U91+U$2*[1]节奏总纲!BL91)</f>
        <v>40284.680019234409</v>
      </c>
      <c r="V92" s="31">
        <f>$W$1*('[1]功能-行军令'!V91+V$2*[1]节奏总纲!BM91)</f>
        <v>31648.841747589391</v>
      </c>
      <c r="W92" s="31">
        <f>$W$1*('[1]功能-行军令'!W91+W$2*[1]节奏总纲!BN91)</f>
        <v>21202.965514880958</v>
      </c>
      <c r="X92" s="57">
        <f>S92*'[1]功能-付费相关'!AH93</f>
        <v>160.3376030853635</v>
      </c>
      <c r="Y92" s="57">
        <f>T92*'[1]功能-付费相关'!AI93</f>
        <v>209.09483974130708</v>
      </c>
      <c r="Z92" s="57">
        <f>U92*'[1]功能-付费相关'!AJ93</f>
        <v>223.80377788463562</v>
      </c>
      <c r="AA92" s="57">
        <f>V92*'[1]功能-付费相关'!AK93</f>
        <v>175.82689859771884</v>
      </c>
      <c r="AB92" s="57">
        <f>W92*'[1]功能-付费相关'!AL93</f>
        <v>117.79425286044977</v>
      </c>
      <c r="AC92" s="57"/>
    </row>
    <row r="93" spans="3:29" x14ac:dyDescent="0.15">
      <c r="C93" s="31">
        <v>89</v>
      </c>
      <c r="D93" s="31" t="e">
        <f>求节点([2]兵营招募!F$28:F$47,[2]兵营招募!$J$4:$J$23,节奏总纲!P92)*(1+[1]养成buff汇总!AA94)</f>
        <v>#VALUE!</v>
      </c>
      <c r="E93" s="31" t="e">
        <f>求节点([2]兵营招募!G$28:G$47,[2]兵营招募!$J$4:$J$23,节奏总纲!Q92)*(1+[1]养成buff汇总!AB94)</f>
        <v>#VALUE!</v>
      </c>
      <c r="F93" s="31" t="e">
        <f>求节点([2]兵营招募!H$28:H$47,[2]兵营招募!$J$4:$J$23,节奏总纲!R92)*(1+[1]养成buff汇总!AC94)</f>
        <v>#VALUE!</v>
      </c>
      <c r="G93" s="31" t="e">
        <f>求节点([2]兵营招募!I$28:I$47,[2]兵营招募!$J$4:$J$23,节奏总纲!S92)*(1+[1]养成buff汇总!AD94)</f>
        <v>#VALUE!</v>
      </c>
      <c r="H93" s="31" t="e">
        <f>求节点([2]兵营招募!J$28:J$47,[2]兵营招募!$J$4:$J$23,节奏总纲!T92)*(1+[1]养成buff汇总!AE94)</f>
        <v>#VALUE!</v>
      </c>
      <c r="I93" s="31" t="e">
        <f>100%*D93*'[1]功能-付费相关'!CJ94*节奏总纲!W92</f>
        <v>#VALUE!</v>
      </c>
      <c r="J93" s="31" t="e">
        <f>100%*E93*'[1]功能-付费相关'!CK94*节奏总纲!X92</f>
        <v>#VALUE!</v>
      </c>
      <c r="K93" s="31" t="e">
        <f>100%*F93*'[1]功能-付费相关'!CL94*节奏总纲!Y92</f>
        <v>#VALUE!</v>
      </c>
      <c r="L93" s="31" t="e">
        <f>100%*G93*'[1]功能-付费相关'!CM94*节奏总纲!Z92</f>
        <v>#VALUE!</v>
      </c>
      <c r="M93" s="31" t="e">
        <f>100%*H93*'[1]功能-付费相关'!CN94*节奏总纲!AA92</f>
        <v>#VALUE!</v>
      </c>
      <c r="N93" s="31" t="e">
        <f>D93*20%*'[1]功能-付费相关'!CJ94</f>
        <v>#VALUE!</v>
      </c>
      <c r="O93" s="31" t="e">
        <f>E93*20%*'[1]功能-付费相关'!CK94</f>
        <v>#VALUE!</v>
      </c>
      <c r="P93" s="31" t="e">
        <f>F93*20%*'[1]功能-付费相关'!CL94</f>
        <v>#VALUE!</v>
      </c>
      <c r="Q93" s="31" t="e">
        <f>G93*20%*'[1]功能-付费相关'!CM94</f>
        <v>#VALUE!</v>
      </c>
      <c r="R93" s="31" t="e">
        <f>H93*20%*'[1]功能-付费相关'!CN94</f>
        <v>#VALUE!</v>
      </c>
      <c r="S93" s="31">
        <f>$W$1*('[1]功能-行军令'!S92+S$2*[1]节奏总纲!BJ92)</f>
        <v>30831.722998491459</v>
      </c>
      <c r="T93" s="31">
        <f>$W$1*('[1]功能-行军令'!T92+T$2*[1]节奏总纲!BK92)</f>
        <v>38337.032081879908</v>
      </c>
      <c r="U93" s="31">
        <f>$W$1*('[1]功能-行军令'!U92+U$2*[1]节奏总纲!BL92)</f>
        <v>38815.200174894679</v>
      </c>
      <c r="V93" s="31">
        <f>$W$1*('[1]功能-行军令'!V92+V$2*[1]节奏总纲!BM92)</f>
        <v>33454.808301043442</v>
      </c>
      <c r="W93" s="31">
        <f>$W$1*('[1]功能-行军令'!W92+W$2*[1]节奏总纲!BN92)</f>
        <v>21188.620609280621</v>
      </c>
      <c r="X93" s="57">
        <f>S93*'[1]功能-付费相关'!AH94</f>
        <v>171.28734999161924</v>
      </c>
      <c r="Y93" s="57">
        <f>T93*'[1]功能-付费相关'!AI94</f>
        <v>212.98351156599949</v>
      </c>
      <c r="Z93" s="57">
        <f>U93*'[1]功能-付费相关'!AJ94</f>
        <v>215.64000097163711</v>
      </c>
      <c r="AA93" s="57">
        <f>V93*'[1]功能-付费相关'!AK94</f>
        <v>185.86004611690802</v>
      </c>
      <c r="AB93" s="57">
        <f>W93*'[1]功能-付费相关'!AL94</f>
        <v>117.7145589404479</v>
      </c>
      <c r="AC93" s="57"/>
    </row>
    <row r="94" spans="3:29" x14ac:dyDescent="0.15">
      <c r="C94" s="31">
        <v>90</v>
      </c>
      <c r="D94" s="31" t="e">
        <f>求节点([2]兵营招募!F$28:F$47,[2]兵营招募!$J$4:$J$23,节奏总纲!P93)*(1+[1]养成buff汇总!AA95)</f>
        <v>#VALUE!</v>
      </c>
      <c r="E94" s="31" t="e">
        <f>求节点([2]兵营招募!G$28:G$47,[2]兵营招募!$J$4:$J$23,节奏总纲!Q93)*(1+[1]养成buff汇总!AB95)</f>
        <v>#VALUE!</v>
      </c>
      <c r="F94" s="31" t="e">
        <f>求节点([2]兵营招募!H$28:H$47,[2]兵营招募!$J$4:$J$23,节奏总纲!R93)*(1+[1]养成buff汇总!AC95)</f>
        <v>#VALUE!</v>
      </c>
      <c r="G94" s="31" t="e">
        <f>求节点([2]兵营招募!I$28:I$47,[2]兵营招募!$J$4:$J$23,节奏总纲!S93)*(1+[1]养成buff汇总!AD95)</f>
        <v>#VALUE!</v>
      </c>
      <c r="H94" s="31" t="e">
        <f>求节点([2]兵营招募!J$28:J$47,[2]兵营招募!$J$4:$J$23,节奏总纲!T93)*(1+[1]养成buff汇总!AE95)</f>
        <v>#VALUE!</v>
      </c>
      <c r="I94" s="31" t="e">
        <f>100%*D94*'[1]功能-付费相关'!CJ95*节奏总纲!W93</f>
        <v>#VALUE!</v>
      </c>
      <c r="J94" s="31" t="e">
        <f>100%*E94*'[1]功能-付费相关'!CK95*节奏总纲!X93</f>
        <v>#VALUE!</v>
      </c>
      <c r="K94" s="31" t="e">
        <f>100%*F94*'[1]功能-付费相关'!CL95*节奏总纲!Y93</f>
        <v>#VALUE!</v>
      </c>
      <c r="L94" s="31" t="e">
        <f>100%*G94*'[1]功能-付费相关'!CM95*节奏总纲!Z93</f>
        <v>#VALUE!</v>
      </c>
      <c r="M94" s="31" t="e">
        <f>100%*H94*'[1]功能-付费相关'!CN95*节奏总纲!AA93</f>
        <v>#VALUE!</v>
      </c>
      <c r="N94" s="31" t="e">
        <f>D94*20%*'[1]功能-付费相关'!CJ95</f>
        <v>#VALUE!</v>
      </c>
      <c r="O94" s="31" t="e">
        <f>E94*20%*'[1]功能-付费相关'!CK95</f>
        <v>#VALUE!</v>
      </c>
      <c r="P94" s="31" t="e">
        <f>F94*20%*'[1]功能-付费相关'!CL95</f>
        <v>#VALUE!</v>
      </c>
      <c r="Q94" s="31" t="e">
        <f>G94*20%*'[1]功能-付费相关'!CM95</f>
        <v>#VALUE!</v>
      </c>
      <c r="R94" s="31" t="e">
        <f>H94*20%*'[1]功能-付费相关'!CN95</f>
        <v>#VALUE!</v>
      </c>
      <c r="S94" s="31">
        <f>$W$1*('[1]功能-行军令'!S93+S$2*[1]节奏总纲!BJ93)</f>
        <v>32944.139666502306</v>
      </c>
      <c r="T94" s="31">
        <f>$W$1*('[1]功能-行军令'!T93+T$2*[1]节奏总纲!BK93)</f>
        <v>37446.717598759817</v>
      </c>
      <c r="U94" s="31">
        <f>$W$1*('[1]功能-行军令'!U93+U$2*[1]节奏总纲!BL93)</f>
        <v>42135.156180956445</v>
      </c>
      <c r="V94" s="31">
        <f>$W$1*('[1]功能-行军令'!V93+V$2*[1]节奏总纲!BM93)</f>
        <v>34016.212500131143</v>
      </c>
      <c r="W94" s="31">
        <f>$W$1*('[1]功能-行军令'!W93+W$2*[1]节奏总纲!BN93)</f>
        <v>22075.03542756585</v>
      </c>
      <c r="X94" s="57">
        <f>S94*'[1]功能-付费相关'!AH95</f>
        <v>183.02299814723503</v>
      </c>
      <c r="Y94" s="57">
        <f>T94*'[1]功能-付费相关'!AI95</f>
        <v>208.03731999311009</v>
      </c>
      <c r="Z94" s="57">
        <f>U94*'[1]功能-付费相关'!AJ95</f>
        <v>234.08420100531359</v>
      </c>
      <c r="AA94" s="57">
        <f>V94*'[1]功能-付费相关'!AK95</f>
        <v>188.9789583340619</v>
      </c>
      <c r="AB94" s="57">
        <f>W94*'[1]功能-付费相关'!AL95</f>
        <v>122.63908570869917</v>
      </c>
      <c r="AC94" s="57"/>
    </row>
    <row r="95" spans="3:29" x14ac:dyDescent="0.15">
      <c r="C95" s="31">
        <v>91</v>
      </c>
      <c r="D95" s="31" t="e">
        <f>求节点([2]兵营招募!F$28:F$47,[2]兵营招募!$J$4:$J$23,节奏总纲!P94)*(1+[1]养成buff汇总!AA96)</f>
        <v>#VALUE!</v>
      </c>
      <c r="E95" s="31" t="e">
        <f>求节点([2]兵营招募!G$28:G$47,[2]兵营招募!$J$4:$J$23,节奏总纲!Q94)*(1+[1]养成buff汇总!AB96)</f>
        <v>#VALUE!</v>
      </c>
      <c r="F95" s="31" t="e">
        <f>求节点([2]兵营招募!H$28:H$47,[2]兵营招募!$J$4:$J$23,节奏总纲!R94)*(1+[1]养成buff汇总!AC96)</f>
        <v>#VALUE!</v>
      </c>
      <c r="G95" s="31" t="e">
        <f>求节点([2]兵营招募!I$28:I$47,[2]兵营招募!$J$4:$J$23,节奏总纲!S94)*(1+[1]养成buff汇总!AD96)</f>
        <v>#VALUE!</v>
      </c>
      <c r="H95" s="31" t="e">
        <f>求节点([2]兵营招募!J$28:J$47,[2]兵营招募!$J$4:$J$23,节奏总纲!T94)*(1+[1]养成buff汇总!AE96)</f>
        <v>#VALUE!</v>
      </c>
      <c r="I95" s="31" t="e">
        <f>100%*D95*'[1]功能-付费相关'!CJ96*节奏总纲!W94</f>
        <v>#VALUE!</v>
      </c>
      <c r="J95" s="31" t="e">
        <f>100%*E95*'[1]功能-付费相关'!CK96*节奏总纲!X94</f>
        <v>#VALUE!</v>
      </c>
      <c r="K95" s="31" t="e">
        <f>100%*F95*'[1]功能-付费相关'!CL96*节奏总纲!Y94</f>
        <v>#VALUE!</v>
      </c>
      <c r="L95" s="31" t="e">
        <f>100%*G95*'[1]功能-付费相关'!CM96*节奏总纲!Z94</f>
        <v>#VALUE!</v>
      </c>
      <c r="M95" s="31" t="e">
        <f>100%*H95*'[1]功能-付费相关'!CN96*节奏总纲!AA94</f>
        <v>#VALUE!</v>
      </c>
      <c r="N95" s="31" t="e">
        <f>D95*20%*'[1]功能-付费相关'!CJ96</f>
        <v>#VALUE!</v>
      </c>
      <c r="O95" s="31" t="e">
        <f>E95*20%*'[1]功能-付费相关'!CK96</f>
        <v>#VALUE!</v>
      </c>
      <c r="P95" s="31" t="e">
        <f>F95*20%*'[1]功能-付费相关'!CL96</f>
        <v>#VALUE!</v>
      </c>
      <c r="Q95" s="31" t="e">
        <f>G95*20%*'[1]功能-付费相关'!CM96</f>
        <v>#VALUE!</v>
      </c>
      <c r="R95" s="31" t="e">
        <f>H95*20%*'[1]功能-付费相关'!CN96</f>
        <v>#VALUE!</v>
      </c>
      <c r="S95" s="31">
        <f>$W$1*('[1]功能-行军令'!S94+S$2*[1]节奏总纲!BJ94)</f>
        <v>35208.171793095535</v>
      </c>
      <c r="T95" s="31">
        <f>$W$1*('[1]功能-行军令'!T94+T$2*[1]节奏总纲!BK94)</f>
        <v>44362.379895474034</v>
      </c>
      <c r="U95" s="31">
        <f>$W$1*('[1]功能-行军令'!U94+U$2*[1]节奏总纲!BL94)</f>
        <v>47223.305742572236</v>
      </c>
      <c r="V95" s="31">
        <f>$W$1*('[1]功能-行军令'!V94+V$2*[1]节奏总纲!BM94)</f>
        <v>40508.415118405021</v>
      </c>
      <c r="W95" s="31">
        <f>$W$1*('[1]功能-行军令'!W94+W$2*[1]节奏总纲!BN94)</f>
        <v>25266.584729695383</v>
      </c>
      <c r="X95" s="57">
        <f>S95*'[1]功能-付费相关'!AH96</f>
        <v>195.60095440608632</v>
      </c>
      <c r="Y95" s="57">
        <f>T95*'[1]功能-付费相关'!AI96</f>
        <v>246.45766608596688</v>
      </c>
      <c r="Z95" s="57">
        <f>U95*'[1]功能-付费相关'!AJ96</f>
        <v>262.35169856984578</v>
      </c>
      <c r="AA95" s="57">
        <f>V95*'[1]功能-付费相关'!AK96</f>
        <v>225.04675065780569</v>
      </c>
      <c r="AB95" s="57">
        <f>W95*'[1]功能-付费相关'!AL96</f>
        <v>140.36991516497434</v>
      </c>
      <c r="AC95" s="57"/>
    </row>
    <row r="96" spans="3:29" x14ac:dyDescent="0.15">
      <c r="C96" s="31">
        <v>92</v>
      </c>
      <c r="D96" s="31" t="e">
        <f>求节点([2]兵营招募!F$28:F$47,[2]兵营招募!$J$4:$J$23,节奏总纲!P95)*(1+[1]养成buff汇总!AA97)</f>
        <v>#VALUE!</v>
      </c>
      <c r="E96" s="31" t="e">
        <f>求节点([2]兵营招募!G$28:G$47,[2]兵营招募!$J$4:$J$23,节奏总纲!Q95)*(1+[1]养成buff汇总!AB97)</f>
        <v>#VALUE!</v>
      </c>
      <c r="F96" s="31" t="e">
        <f>求节点([2]兵营招募!H$28:H$47,[2]兵营招募!$J$4:$J$23,节奏总纲!R95)*(1+[1]养成buff汇总!AC97)</f>
        <v>#VALUE!</v>
      </c>
      <c r="G96" s="31" t="e">
        <f>求节点([2]兵营招募!I$28:I$47,[2]兵营招募!$J$4:$J$23,节奏总纲!S95)*(1+[1]养成buff汇总!AD97)</f>
        <v>#VALUE!</v>
      </c>
      <c r="H96" s="31" t="e">
        <f>求节点([2]兵营招募!J$28:J$47,[2]兵营招募!$J$4:$J$23,节奏总纲!T95)*(1+[1]养成buff汇总!AE97)</f>
        <v>#VALUE!</v>
      </c>
      <c r="I96" s="31" t="e">
        <f>100%*D96*'[1]功能-付费相关'!CJ97*节奏总纲!W95</f>
        <v>#VALUE!</v>
      </c>
      <c r="J96" s="31" t="e">
        <f>100%*E96*'[1]功能-付费相关'!CK97*节奏总纲!X95</f>
        <v>#VALUE!</v>
      </c>
      <c r="K96" s="31" t="e">
        <f>100%*F96*'[1]功能-付费相关'!CL97*节奏总纲!Y95</f>
        <v>#VALUE!</v>
      </c>
      <c r="L96" s="31" t="e">
        <f>100%*G96*'[1]功能-付费相关'!CM97*节奏总纲!Z95</f>
        <v>#VALUE!</v>
      </c>
      <c r="M96" s="31" t="e">
        <f>100%*H96*'[1]功能-付费相关'!CN97*节奏总纲!AA95</f>
        <v>#VALUE!</v>
      </c>
      <c r="N96" s="31" t="e">
        <f>D96*20%*'[1]功能-付费相关'!CJ97</f>
        <v>#VALUE!</v>
      </c>
      <c r="O96" s="31" t="e">
        <f>E96*20%*'[1]功能-付费相关'!CK97</f>
        <v>#VALUE!</v>
      </c>
      <c r="P96" s="31" t="e">
        <f>F96*20%*'[1]功能-付费相关'!CL97</f>
        <v>#VALUE!</v>
      </c>
      <c r="Q96" s="31" t="e">
        <f>G96*20%*'[1]功能-付费相关'!CM97</f>
        <v>#VALUE!</v>
      </c>
      <c r="R96" s="31" t="e">
        <f>H96*20%*'[1]功能-付费相关'!CN97</f>
        <v>#VALUE!</v>
      </c>
      <c r="S96" s="31">
        <f>$W$1*('[1]功能-行军令'!S95+S$2*[1]节奏总纲!BJ95)</f>
        <v>37634.701344707355</v>
      </c>
      <c r="T96" s="31">
        <f>$W$1*('[1]功能-行军令'!T95+T$2*[1]节奏总纲!BK95)</f>
        <v>45897.840712116187</v>
      </c>
      <c r="U96" s="31">
        <f>$W$1*('[1]功能-行军令'!U95+U$2*[1]节奏总纲!BL95)</f>
        <v>51531.156090528646</v>
      </c>
      <c r="V96" s="31">
        <f>$W$1*('[1]功能-行军令'!V95+V$2*[1]节奏总纲!BM95)</f>
        <v>43040.05793429038</v>
      </c>
      <c r="W96" s="31">
        <f>$W$1*('[1]功能-行军令'!W95+W$2*[1]节奏总纲!BN95)</f>
        <v>25971.997402098237</v>
      </c>
      <c r="X96" s="57">
        <f>S96*'[1]功能-付费相关'!AH97</f>
        <v>209.08167413726309</v>
      </c>
      <c r="Y96" s="57">
        <f>T96*'[1]功能-付费相关'!AI97</f>
        <v>254.98800395620106</v>
      </c>
      <c r="Z96" s="57">
        <f>U96*'[1]功能-付费相关'!AJ97</f>
        <v>286.28420050293693</v>
      </c>
      <c r="AA96" s="57">
        <f>V96*'[1]功能-付费相关'!AK97</f>
        <v>239.1114329682799</v>
      </c>
      <c r="AB96" s="57">
        <f>W96*'[1]功能-付费相关'!AL97</f>
        <v>144.28887445610133</v>
      </c>
      <c r="AC96" s="57"/>
    </row>
    <row r="97" spans="3:29" x14ac:dyDescent="0.15">
      <c r="C97" s="31">
        <v>93</v>
      </c>
      <c r="D97" s="31" t="e">
        <f>求节点([2]兵营招募!F$28:F$47,[2]兵营招募!$J$4:$J$23,节奏总纲!P96)*(1+[1]养成buff汇总!AA98)</f>
        <v>#VALUE!</v>
      </c>
      <c r="E97" s="31" t="e">
        <f>求节点([2]兵营招募!G$28:G$47,[2]兵营招募!$J$4:$J$23,节奏总纲!Q96)*(1+[1]养成buff汇总!AB98)</f>
        <v>#VALUE!</v>
      </c>
      <c r="F97" s="31" t="e">
        <f>求节点([2]兵营招募!H$28:H$47,[2]兵营招募!$J$4:$J$23,节奏总纲!R96)*(1+[1]养成buff汇总!AC98)</f>
        <v>#VALUE!</v>
      </c>
      <c r="G97" s="31" t="e">
        <f>求节点([2]兵营招募!I$28:I$47,[2]兵营招募!$J$4:$J$23,节奏总纲!S96)*(1+[1]养成buff汇总!AD98)</f>
        <v>#VALUE!</v>
      </c>
      <c r="H97" s="31" t="e">
        <f>求节点([2]兵营招募!J$28:J$47,[2]兵营招募!$J$4:$J$23,节奏总纲!T96)*(1+[1]养成buff汇总!AE98)</f>
        <v>#VALUE!</v>
      </c>
      <c r="I97" s="31" t="e">
        <f>100%*D97*'[1]功能-付费相关'!CJ98*节奏总纲!W96</f>
        <v>#VALUE!</v>
      </c>
      <c r="J97" s="31" t="e">
        <f>100%*E97*'[1]功能-付费相关'!CK98*节奏总纲!X96</f>
        <v>#VALUE!</v>
      </c>
      <c r="K97" s="31" t="e">
        <f>100%*F97*'[1]功能-付费相关'!CL98*节奏总纲!Y96</f>
        <v>#VALUE!</v>
      </c>
      <c r="L97" s="31" t="e">
        <f>100%*G97*'[1]功能-付费相关'!CM98*节奏总纲!Z96</f>
        <v>#VALUE!</v>
      </c>
      <c r="M97" s="31" t="e">
        <f>100%*H97*'[1]功能-付费相关'!CN98*节奏总纲!AA96</f>
        <v>#VALUE!</v>
      </c>
      <c r="N97" s="31" t="e">
        <f>D97*20%*'[1]功能-付费相关'!CJ98</f>
        <v>#VALUE!</v>
      </c>
      <c r="O97" s="31" t="e">
        <f>E97*20%*'[1]功能-付费相关'!CK98</f>
        <v>#VALUE!</v>
      </c>
      <c r="P97" s="31" t="e">
        <f>F97*20%*'[1]功能-付费相关'!CL98</f>
        <v>#VALUE!</v>
      </c>
      <c r="Q97" s="31" t="e">
        <f>G97*20%*'[1]功能-付费相关'!CM98</f>
        <v>#VALUE!</v>
      </c>
      <c r="R97" s="31" t="e">
        <f>H97*20%*'[1]功能-付费相关'!CN98</f>
        <v>#VALUE!</v>
      </c>
      <c r="S97" s="31">
        <f>$W$1*('[1]功能-行军令'!S96+S$2*[1]节奏总纲!BJ96)</f>
        <v>40235.391324186421</v>
      </c>
      <c r="T97" s="31">
        <f>$W$1*('[1]功能-行军令'!T96+T$2*[1]节奏总纲!BK96)</f>
        <v>50448.675853119377</v>
      </c>
      <c r="U97" s="31">
        <f>$W$1*('[1]功能-行军令'!U96+U$2*[1]节奏总纲!BL96)</f>
        <v>54947.440508396365</v>
      </c>
      <c r="V97" s="31">
        <f>$W$1*('[1]功能-行军令'!V96+V$2*[1]节奏总纲!BM96)</f>
        <v>45098.773590663768</v>
      </c>
      <c r="W97" s="31">
        <f>$W$1*('[1]功能-行军令'!W96+W$2*[1]节奏总纲!BN96)</f>
        <v>27931.637902748949</v>
      </c>
      <c r="X97" s="57">
        <f>S97*'[1]功能-付费相关'!AH98</f>
        <v>223.52995180103568</v>
      </c>
      <c r="Y97" s="57">
        <f>T97*'[1]功能-付费相关'!AI98</f>
        <v>280.27042140621876</v>
      </c>
      <c r="Z97" s="57">
        <f>U97*'[1]功能-付费相关'!AJ98</f>
        <v>305.26355837997983</v>
      </c>
      <c r="AA97" s="57">
        <f>V97*'[1]功能-付费相关'!AK98</f>
        <v>250.54874217035427</v>
      </c>
      <c r="AB97" s="57">
        <f>W97*'[1]功能-付费相关'!AL98</f>
        <v>155.17576612638305</v>
      </c>
      <c r="AC97" s="57"/>
    </row>
    <row r="98" spans="3:29" x14ac:dyDescent="0.15">
      <c r="C98" s="31">
        <v>94</v>
      </c>
      <c r="D98" s="31" t="e">
        <f>求节点([2]兵营招募!F$28:F$47,[2]兵营招募!$J$4:$J$23,节奏总纲!P97)*(1+[1]养成buff汇总!AA99)</f>
        <v>#VALUE!</v>
      </c>
      <c r="E98" s="31" t="e">
        <f>求节点([2]兵营招募!G$28:G$47,[2]兵营招募!$J$4:$J$23,节奏总纲!Q97)*(1+[1]养成buff汇总!AB99)</f>
        <v>#VALUE!</v>
      </c>
      <c r="F98" s="31" t="e">
        <f>求节点([2]兵营招募!H$28:H$47,[2]兵营招募!$J$4:$J$23,节奏总纲!R97)*(1+[1]养成buff汇总!AC99)</f>
        <v>#VALUE!</v>
      </c>
      <c r="G98" s="31" t="e">
        <f>求节点([2]兵营招募!I$28:I$47,[2]兵营招募!$J$4:$J$23,节奏总纲!S97)*(1+[1]养成buff汇总!AD99)</f>
        <v>#VALUE!</v>
      </c>
      <c r="H98" s="31" t="e">
        <f>求节点([2]兵营招募!J$28:J$47,[2]兵营招募!$J$4:$J$23,节奏总纲!T97)*(1+[1]养成buff汇总!AE99)</f>
        <v>#VALUE!</v>
      </c>
      <c r="I98" s="31" t="e">
        <f>100%*D98*'[1]功能-付费相关'!CJ99*节奏总纲!W97</f>
        <v>#VALUE!</v>
      </c>
      <c r="J98" s="31" t="e">
        <f>100%*E98*'[1]功能-付费相关'!CK99*节奏总纲!X97</f>
        <v>#VALUE!</v>
      </c>
      <c r="K98" s="31" t="e">
        <f>100%*F98*'[1]功能-付费相关'!CL99*节奏总纲!Y97</f>
        <v>#VALUE!</v>
      </c>
      <c r="L98" s="31" t="e">
        <f>100%*G98*'[1]功能-付费相关'!CM99*节奏总纲!Z97</f>
        <v>#VALUE!</v>
      </c>
      <c r="M98" s="31" t="e">
        <f>100%*H98*'[1]功能-付费相关'!CN99*节奏总纲!AA97</f>
        <v>#VALUE!</v>
      </c>
      <c r="N98" s="31" t="e">
        <f>D98*20%*'[1]功能-付费相关'!CJ99</f>
        <v>#VALUE!</v>
      </c>
      <c r="O98" s="31" t="e">
        <f>E98*20%*'[1]功能-付费相关'!CK99</f>
        <v>#VALUE!</v>
      </c>
      <c r="P98" s="31" t="e">
        <f>F98*20%*'[1]功能-付费相关'!CL99</f>
        <v>#VALUE!</v>
      </c>
      <c r="Q98" s="31" t="e">
        <f>G98*20%*'[1]功能-付费相关'!CM99</f>
        <v>#VALUE!</v>
      </c>
      <c r="R98" s="31" t="e">
        <f>H98*20%*'[1]功能-付费相关'!CN99</f>
        <v>#VALUE!</v>
      </c>
      <c r="S98" s="31">
        <f>$W$1*('[1]功能-行军令'!S97+S$2*[1]节奏总纲!BJ97)</f>
        <v>43022.741828474755</v>
      </c>
      <c r="T98" s="31">
        <f>$W$1*('[1]功能-行军令'!T97+T$2*[1]节奏总纲!BK97)</f>
        <v>53005.793194816681</v>
      </c>
      <c r="U98" s="31">
        <f>$W$1*('[1]功能-行军令'!U97+U$2*[1]节奏总纲!BL97)</f>
        <v>58235.635716679506</v>
      </c>
      <c r="V98" s="31">
        <f>$W$1*('[1]功能-行军令'!V97+V$2*[1]节奏总纲!BM97)</f>
        <v>47622.007773011646</v>
      </c>
      <c r="W98" s="31">
        <f>$W$1*('[1]功能-行军令'!W97+W$2*[1]节奏总纲!BN97)</f>
        <v>29143.08343155542</v>
      </c>
      <c r="X98" s="57">
        <f>S98*'[1]功能-付费相关'!AH99</f>
        <v>239.01523238041531</v>
      </c>
      <c r="Y98" s="57">
        <f>T98*'[1]功能-付费相关'!AI99</f>
        <v>294.47662886009266</v>
      </c>
      <c r="Z98" s="57">
        <f>U98*'[1]功能-付费相关'!AJ99</f>
        <v>323.53130953710837</v>
      </c>
      <c r="AA98" s="57">
        <f>V98*'[1]功能-付费相关'!AK99</f>
        <v>264.56670985006474</v>
      </c>
      <c r="AB98" s="57">
        <f>W98*'[1]功能-付费相关'!AL99</f>
        <v>161.90601906419678</v>
      </c>
      <c r="AC98" s="57"/>
    </row>
    <row r="99" spans="3:29" x14ac:dyDescent="0.15">
      <c r="C99" s="31">
        <v>95</v>
      </c>
      <c r="D99" s="31" t="e">
        <f>求节点([2]兵营招募!F$28:F$47,[2]兵营招募!$J$4:$J$23,节奏总纲!P98)*(1+[1]养成buff汇总!AA100)</f>
        <v>#VALUE!</v>
      </c>
      <c r="E99" s="31" t="e">
        <f>求节点([2]兵营招募!G$28:G$47,[2]兵营招募!$J$4:$J$23,节奏总纲!Q98)*(1+[1]养成buff汇总!AB100)</f>
        <v>#VALUE!</v>
      </c>
      <c r="F99" s="31" t="e">
        <f>求节点([2]兵营招募!H$28:H$47,[2]兵营招募!$J$4:$J$23,节奏总纲!R98)*(1+[1]养成buff汇总!AC100)</f>
        <v>#VALUE!</v>
      </c>
      <c r="G99" s="31" t="e">
        <f>求节点([2]兵营招募!I$28:I$47,[2]兵营招募!$J$4:$J$23,节奏总纲!S98)*(1+[1]养成buff汇总!AD100)</f>
        <v>#VALUE!</v>
      </c>
      <c r="H99" s="31" t="e">
        <f>求节点([2]兵营招募!J$28:J$47,[2]兵营招募!$J$4:$J$23,节奏总纲!T98)*(1+[1]养成buff汇总!AE100)</f>
        <v>#VALUE!</v>
      </c>
      <c r="I99" s="31" t="e">
        <f>100%*D99*'[1]功能-付费相关'!CJ100*节奏总纲!W98</f>
        <v>#VALUE!</v>
      </c>
      <c r="J99" s="31" t="e">
        <f>100%*E99*'[1]功能-付费相关'!CK100*节奏总纲!X98</f>
        <v>#VALUE!</v>
      </c>
      <c r="K99" s="31" t="e">
        <f>100%*F99*'[1]功能-付费相关'!CL100*节奏总纲!Y98</f>
        <v>#VALUE!</v>
      </c>
      <c r="L99" s="31" t="e">
        <f>100%*G99*'[1]功能-付费相关'!CM100*节奏总纲!Z98</f>
        <v>#VALUE!</v>
      </c>
      <c r="M99" s="31" t="e">
        <f>100%*H99*'[1]功能-付费相关'!CN100*节奏总纲!AA98</f>
        <v>#VALUE!</v>
      </c>
      <c r="N99" s="31" t="e">
        <f>D99*20%*'[1]功能-付费相关'!CJ100</f>
        <v>#VALUE!</v>
      </c>
      <c r="O99" s="31" t="e">
        <f>E99*20%*'[1]功能-付费相关'!CK100</f>
        <v>#VALUE!</v>
      </c>
      <c r="P99" s="31" t="e">
        <f>F99*20%*'[1]功能-付费相关'!CL100</f>
        <v>#VALUE!</v>
      </c>
      <c r="Q99" s="31" t="e">
        <f>G99*20%*'[1]功能-付费相关'!CM100</f>
        <v>#VALUE!</v>
      </c>
      <c r="R99" s="31" t="e">
        <f>H99*20%*'[1]功能-付费相关'!CN100</f>
        <v>#VALUE!</v>
      </c>
      <c r="S99" s="31">
        <f>$W$1*('[1]功能-行军令'!S98+S$2*[1]节奏总纲!BJ98)</f>
        <v>46010.150129758622</v>
      </c>
      <c r="T99" s="31">
        <f>$W$1*('[1]功能-行军令'!T98+T$2*[1]节奏总纲!BK98)</f>
        <v>58232.054926744051</v>
      </c>
      <c r="U99" s="31">
        <f>$W$1*('[1]功能-行军令'!U98+U$2*[1]节奏总纲!BL98)</f>
        <v>61043.527314983919</v>
      </c>
      <c r="V99" s="31">
        <f>$W$1*('[1]功能-行军令'!V98+V$2*[1]节奏总纲!BM98)</f>
        <v>50722.517544402217</v>
      </c>
      <c r="W99" s="31">
        <f>$W$1*('[1]功能-行军令'!W98+W$2*[1]节奏总纲!BN98)</f>
        <v>33075.975446492368</v>
      </c>
      <c r="X99" s="57">
        <f>S99*'[1]功能-付费相关'!AH100</f>
        <v>255.61194516532569</v>
      </c>
      <c r="Y99" s="57">
        <f>T99*'[1]功能-付费相关'!AI100</f>
        <v>323.51141625968921</v>
      </c>
      <c r="Z99" s="57">
        <f>U99*'[1]功能-付费相关'!AJ100</f>
        <v>339.13070730546622</v>
      </c>
      <c r="AA99" s="57">
        <f>V99*'[1]功能-付费相关'!AK100</f>
        <v>281.79176413556786</v>
      </c>
      <c r="AB99" s="57">
        <f>W99*'[1]功能-付费相关'!AL100</f>
        <v>183.75541914717982</v>
      </c>
      <c r="AC99" s="57"/>
    </row>
    <row r="100" spans="3:29" x14ac:dyDescent="0.15">
      <c r="C100" s="31">
        <v>96</v>
      </c>
      <c r="D100" s="31" t="e">
        <f>求节点([2]兵营招募!F$28:F$47,[2]兵营招募!$J$4:$J$23,节奏总纲!P99)*(1+[1]养成buff汇总!AA101)</f>
        <v>#VALUE!</v>
      </c>
      <c r="E100" s="31" t="e">
        <f>求节点([2]兵营招募!G$28:G$47,[2]兵营招募!$J$4:$J$23,节奏总纲!Q99)*(1+[1]养成buff汇总!AB101)</f>
        <v>#VALUE!</v>
      </c>
      <c r="F100" s="31" t="e">
        <f>求节点([2]兵营招募!H$28:H$47,[2]兵营招募!$J$4:$J$23,节奏总纲!R99)*(1+[1]养成buff汇总!AC101)</f>
        <v>#VALUE!</v>
      </c>
      <c r="G100" s="31" t="e">
        <f>求节点([2]兵营招募!I$28:I$47,[2]兵营招募!$J$4:$J$23,节奏总纲!S99)*(1+[1]养成buff汇总!AD101)</f>
        <v>#VALUE!</v>
      </c>
      <c r="H100" s="31" t="e">
        <f>求节点([2]兵营招募!J$28:J$47,[2]兵营招募!$J$4:$J$23,节奏总纲!T99)*(1+[1]养成buff汇总!AE101)</f>
        <v>#VALUE!</v>
      </c>
      <c r="I100" s="31" t="e">
        <f>100%*D100*'[1]功能-付费相关'!CJ101*节奏总纲!W99</f>
        <v>#VALUE!</v>
      </c>
      <c r="J100" s="31" t="e">
        <f>100%*E100*'[1]功能-付费相关'!CK101*节奏总纲!X99</f>
        <v>#VALUE!</v>
      </c>
      <c r="K100" s="31" t="e">
        <f>100%*F100*'[1]功能-付费相关'!CL101*节奏总纲!Y99</f>
        <v>#VALUE!</v>
      </c>
      <c r="L100" s="31" t="e">
        <f>100%*G100*'[1]功能-付费相关'!CM101*节奏总纲!Z99</f>
        <v>#VALUE!</v>
      </c>
      <c r="M100" s="31" t="e">
        <f>100%*H100*'[1]功能-付费相关'!CN101*节奏总纲!AA99</f>
        <v>#VALUE!</v>
      </c>
      <c r="N100" s="31" t="e">
        <f>D100*20%*'[1]功能-付费相关'!CJ101</f>
        <v>#VALUE!</v>
      </c>
      <c r="O100" s="31" t="e">
        <f>E100*20%*'[1]功能-付费相关'!CK101</f>
        <v>#VALUE!</v>
      </c>
      <c r="P100" s="31" t="e">
        <f>F100*20%*'[1]功能-付费相关'!CL101</f>
        <v>#VALUE!</v>
      </c>
      <c r="Q100" s="31" t="e">
        <f>G100*20%*'[1]功能-付费相关'!CM101</f>
        <v>#VALUE!</v>
      </c>
      <c r="R100" s="31" t="e">
        <f>H100*20%*'[1]功能-付费相关'!CN101</f>
        <v>#VALUE!</v>
      </c>
      <c r="S100" s="31">
        <f>$W$1*('[1]功能-行军令'!S99+S$2*[1]节奏总纲!BJ99)</f>
        <v>49211.975068835163</v>
      </c>
      <c r="T100" s="31">
        <f>$W$1*('[1]功能-行军令'!T99+T$2*[1]节奏总纲!BK99)</f>
        <v>59599.410260124598</v>
      </c>
      <c r="U100" s="31">
        <f>$W$1*('[1]功能-行军令'!U99+U$2*[1]节奏总纲!BL99)</f>
        <v>64881.320092313661</v>
      </c>
      <c r="V100" s="31">
        <f>$W$1*('[1]功能-行军令'!V99+V$2*[1]节奏总纲!BM99)</f>
        <v>56129.6586762878</v>
      </c>
      <c r="W100" s="31">
        <f>$W$1*('[1]功能-行军令'!W99+W$2*[1]节奏总纲!BN99)</f>
        <v>34751.487496675756</v>
      </c>
      <c r="X100" s="57">
        <f>S100*'[1]功能-付费相关'!AH101</f>
        <v>273.3998614935287</v>
      </c>
      <c r="Y100" s="57">
        <f>T100*'[1]功能-付费相关'!AI101</f>
        <v>331.10783477847002</v>
      </c>
      <c r="Z100" s="57">
        <f>U100*'[1]功能-付费相关'!AJ101</f>
        <v>360.45177829063147</v>
      </c>
      <c r="AA100" s="57">
        <f>V100*'[1]功能-付费相关'!AK101</f>
        <v>311.83143709048778</v>
      </c>
      <c r="AB100" s="57">
        <f>W100*'[1]功能-付费相关'!AL101</f>
        <v>193.06381942597642</v>
      </c>
      <c r="AC100" s="57"/>
    </row>
    <row r="101" spans="3:29" x14ac:dyDescent="0.15">
      <c r="C101" s="31">
        <v>97</v>
      </c>
      <c r="D101" s="31" t="e">
        <f>求节点([2]兵营招募!F$28:F$47,[2]兵营招募!$J$4:$J$23,节奏总纲!P100)*(1+[1]养成buff汇总!AA102)</f>
        <v>#VALUE!</v>
      </c>
      <c r="E101" s="31" t="e">
        <f>求节点([2]兵营招募!G$28:G$47,[2]兵营招募!$J$4:$J$23,节奏总纲!Q100)*(1+[1]养成buff汇总!AB102)</f>
        <v>#VALUE!</v>
      </c>
      <c r="F101" s="31" t="e">
        <f>求节点([2]兵营招募!H$28:H$47,[2]兵营招募!$J$4:$J$23,节奏总纲!R100)*(1+[1]养成buff汇总!AC102)</f>
        <v>#VALUE!</v>
      </c>
      <c r="G101" s="31" t="e">
        <f>求节点([2]兵营招募!I$28:I$47,[2]兵营招募!$J$4:$J$23,节奏总纲!S100)*(1+[1]养成buff汇总!AD102)</f>
        <v>#VALUE!</v>
      </c>
      <c r="H101" s="31" t="e">
        <f>求节点([2]兵营招募!J$28:J$47,[2]兵营招募!$J$4:$J$23,节奏总纲!T100)*(1+[1]养成buff汇总!AE102)</f>
        <v>#VALUE!</v>
      </c>
      <c r="I101" s="31" t="e">
        <f>100%*D101*'[1]功能-付费相关'!CJ102*节奏总纲!W100</f>
        <v>#VALUE!</v>
      </c>
      <c r="J101" s="31" t="e">
        <f>100%*E101*'[1]功能-付费相关'!CK102*节奏总纲!X100</f>
        <v>#VALUE!</v>
      </c>
      <c r="K101" s="31" t="e">
        <f>100%*F101*'[1]功能-付费相关'!CL102*节奏总纲!Y100</f>
        <v>#VALUE!</v>
      </c>
      <c r="L101" s="31" t="e">
        <f>100%*G101*'[1]功能-付费相关'!CM102*节奏总纲!Z100</f>
        <v>#VALUE!</v>
      </c>
      <c r="M101" s="31" t="e">
        <f>100%*H101*'[1]功能-付费相关'!CN102*节奏总纲!AA100</f>
        <v>#VALUE!</v>
      </c>
      <c r="N101" s="31" t="e">
        <f>D101*20%*'[1]功能-付费相关'!CJ102</f>
        <v>#VALUE!</v>
      </c>
      <c r="O101" s="31" t="e">
        <f>E101*20%*'[1]功能-付费相关'!CK102</f>
        <v>#VALUE!</v>
      </c>
      <c r="P101" s="31" t="e">
        <f>F101*20%*'[1]功能-付费相关'!CL102</f>
        <v>#VALUE!</v>
      </c>
      <c r="Q101" s="31" t="e">
        <f>G101*20%*'[1]功能-付费相关'!CM102</f>
        <v>#VALUE!</v>
      </c>
      <c r="R101" s="31" t="e">
        <f>H101*20%*'[1]功能-付费相关'!CN102</f>
        <v>#VALUE!</v>
      </c>
      <c r="S101" s="31">
        <f>$W$1*('[1]功能-行军令'!S100+S$2*[1]节奏总纲!BJ100)</f>
        <v>52643.606070223905</v>
      </c>
      <c r="T101" s="31">
        <f>$W$1*('[1]功能-行军令'!T100+T$2*[1]节奏总纲!BK100)</f>
        <v>64687.060585700412</v>
      </c>
      <c r="U101" s="31">
        <f>$W$1*('[1]功能-行军令'!U100+U$2*[1]节奏总纲!BL100)</f>
        <v>74554.946136551705</v>
      </c>
      <c r="V101" s="31">
        <f>$W$1*('[1]功能-行军令'!V100+V$2*[1]节奏总纲!BM100)</f>
        <v>63944.646291490208</v>
      </c>
      <c r="W101" s="31">
        <f>$W$1*('[1]功能-行军令'!W100+W$2*[1]节奏总纲!BN100)</f>
        <v>39755.94599858806</v>
      </c>
      <c r="X101" s="57">
        <f>S101*'[1]功能-付费相关'!AH102</f>
        <v>292.46447816791061</v>
      </c>
      <c r="Y101" s="57">
        <f>T101*'[1]功能-付费相关'!AI102</f>
        <v>359.37255880944673</v>
      </c>
      <c r="Z101" s="57">
        <f>U101*'[1]功能-付费相关'!AJ102</f>
        <v>414.19414520306503</v>
      </c>
      <c r="AA101" s="57">
        <f>V101*'[1]功能-付费相关'!AK102</f>
        <v>355.2480349527234</v>
      </c>
      <c r="AB101" s="57">
        <f>W101*'[1]功能-付费相关'!AL102</f>
        <v>220.86636665882256</v>
      </c>
      <c r="AC101" s="57"/>
    </row>
    <row r="102" spans="3:29" x14ac:dyDescent="0.15">
      <c r="C102" s="31">
        <v>98</v>
      </c>
      <c r="D102" s="31" t="e">
        <f>求节点([2]兵营招募!F$28:F$47,[2]兵营招募!$J$4:$J$23,节奏总纲!P101)*(1+[1]养成buff汇总!AA103)</f>
        <v>#VALUE!</v>
      </c>
      <c r="E102" s="31" t="e">
        <f>求节点([2]兵营招募!G$28:G$47,[2]兵营招募!$J$4:$J$23,节奏总纲!Q101)*(1+[1]养成buff汇总!AB103)</f>
        <v>#VALUE!</v>
      </c>
      <c r="F102" s="31" t="e">
        <f>求节点([2]兵营招募!H$28:H$47,[2]兵营招募!$J$4:$J$23,节奏总纲!R101)*(1+[1]养成buff汇总!AC103)</f>
        <v>#VALUE!</v>
      </c>
      <c r="G102" s="31" t="e">
        <f>求节点([2]兵营招募!I$28:I$47,[2]兵营招募!$J$4:$J$23,节奏总纲!S101)*(1+[1]养成buff汇总!AD103)</f>
        <v>#VALUE!</v>
      </c>
      <c r="H102" s="31" t="e">
        <f>求节点([2]兵营招募!J$28:J$47,[2]兵营招募!$J$4:$J$23,节奏总纲!T101)*(1+[1]养成buff汇总!AE103)</f>
        <v>#VALUE!</v>
      </c>
      <c r="I102" s="31" t="e">
        <f>100%*D102*'[1]功能-付费相关'!CJ103*节奏总纲!W101</f>
        <v>#VALUE!</v>
      </c>
      <c r="J102" s="31" t="e">
        <f>100%*E102*'[1]功能-付费相关'!CK103*节奏总纲!X101</f>
        <v>#VALUE!</v>
      </c>
      <c r="K102" s="31" t="e">
        <f>100%*F102*'[1]功能-付费相关'!CL103*节奏总纲!Y101</f>
        <v>#VALUE!</v>
      </c>
      <c r="L102" s="31" t="e">
        <f>100%*G102*'[1]功能-付费相关'!CM103*节奏总纲!Z101</f>
        <v>#VALUE!</v>
      </c>
      <c r="M102" s="31" t="e">
        <f>100%*H102*'[1]功能-付费相关'!CN103*节奏总纲!AA101</f>
        <v>#VALUE!</v>
      </c>
      <c r="N102" s="31" t="e">
        <f>D102*20%*'[1]功能-付费相关'!CJ103</f>
        <v>#VALUE!</v>
      </c>
      <c r="O102" s="31" t="e">
        <f>E102*20%*'[1]功能-付费相关'!CK103</f>
        <v>#VALUE!</v>
      </c>
      <c r="P102" s="31" t="e">
        <f>F102*20%*'[1]功能-付费相关'!CL103</f>
        <v>#VALUE!</v>
      </c>
      <c r="Q102" s="31" t="e">
        <f>G102*20%*'[1]功能-付费相关'!CM103</f>
        <v>#VALUE!</v>
      </c>
      <c r="R102" s="31" t="e">
        <f>H102*20%*'[1]功能-付费相关'!CN103</f>
        <v>#VALUE!</v>
      </c>
      <c r="S102" s="31">
        <f>$W$1*('[1]功能-行军令'!S101+S$2*[1]节奏总纲!BJ101)</f>
        <v>56321.53711073086</v>
      </c>
      <c r="T102" s="31">
        <f>$W$1*('[1]功能-行军令'!T101+T$2*[1]节奏总纲!BK101)</f>
        <v>72675.629542089329</v>
      </c>
      <c r="U102" s="31">
        <f>$W$1*('[1]功能-行军令'!U101+U$2*[1]节奏总纲!BL101)</f>
        <v>82449.131044455251</v>
      </c>
      <c r="V102" s="31">
        <f>$W$1*('[1]功能-行军令'!V101+V$2*[1]节奏总纲!BM101)</f>
        <v>70157.242724251264</v>
      </c>
      <c r="W102" s="31">
        <f>$W$1*('[1]功能-行军令'!W101+W$2*[1]节奏总纲!BN101)</f>
        <v>41870.981928873007</v>
      </c>
      <c r="X102" s="57">
        <f>S102*'[1]功能-付费相关'!AH103</f>
        <v>312.89742839294922</v>
      </c>
      <c r="Y102" s="57">
        <f>T102*'[1]功能-付费相关'!AI103</f>
        <v>403.75349745605183</v>
      </c>
      <c r="Z102" s="57">
        <f>U102*'[1]功能-付费相关'!AJ103</f>
        <v>458.05072802475144</v>
      </c>
      <c r="AA102" s="57">
        <f>V102*'[1]功能-付费相关'!AK103</f>
        <v>389.76245957917371</v>
      </c>
      <c r="AB102" s="57">
        <f>W102*'[1]功能-付费相关'!AL103</f>
        <v>232.61656627151672</v>
      </c>
      <c r="AC102" s="57"/>
    </row>
    <row r="103" spans="3:29" x14ac:dyDescent="0.15">
      <c r="C103" s="31">
        <v>99</v>
      </c>
      <c r="D103" s="31" t="e">
        <f>求节点([2]兵营招募!F$28:F$47,[2]兵营招募!$J$4:$J$23,节奏总纲!P102)*(1+[1]养成buff汇总!AA104)</f>
        <v>#VALUE!</v>
      </c>
      <c r="E103" s="31" t="e">
        <f>求节点([2]兵营招募!G$28:G$47,[2]兵营招募!$J$4:$J$23,节奏总纲!Q102)*(1+[1]养成buff汇总!AB104)</f>
        <v>#VALUE!</v>
      </c>
      <c r="F103" s="31" t="e">
        <f>求节点([2]兵营招募!H$28:H$47,[2]兵营招募!$J$4:$J$23,节奏总纲!R102)*(1+[1]养成buff汇总!AC104)</f>
        <v>#VALUE!</v>
      </c>
      <c r="G103" s="31" t="e">
        <f>求节点([2]兵营招募!I$28:I$47,[2]兵营招募!$J$4:$J$23,节奏总纲!S102)*(1+[1]养成buff汇总!AD104)</f>
        <v>#VALUE!</v>
      </c>
      <c r="H103" s="31" t="e">
        <f>求节点([2]兵营招募!J$28:J$47,[2]兵营招募!$J$4:$J$23,节奏总纲!T102)*(1+[1]养成buff汇总!AE104)</f>
        <v>#VALUE!</v>
      </c>
      <c r="I103" s="31" t="e">
        <f>100%*D103*'[1]功能-付费相关'!CJ104*节奏总纲!W102</f>
        <v>#VALUE!</v>
      </c>
      <c r="J103" s="31" t="e">
        <f>100%*E103*'[1]功能-付费相关'!CK104*节奏总纲!X102</f>
        <v>#VALUE!</v>
      </c>
      <c r="K103" s="31" t="e">
        <f>100%*F103*'[1]功能-付费相关'!CL104*节奏总纲!Y102</f>
        <v>#VALUE!</v>
      </c>
      <c r="L103" s="31" t="e">
        <f>100%*G103*'[1]功能-付费相关'!CM104*节奏总纲!Z102</f>
        <v>#VALUE!</v>
      </c>
      <c r="M103" s="31" t="e">
        <f>100%*H103*'[1]功能-付费相关'!CN104*节奏总纲!AA102</f>
        <v>#VALUE!</v>
      </c>
      <c r="N103" s="31" t="e">
        <f>D103*20%*'[1]功能-付费相关'!CJ104</f>
        <v>#VALUE!</v>
      </c>
      <c r="O103" s="31" t="e">
        <f>E103*20%*'[1]功能-付费相关'!CK104</f>
        <v>#VALUE!</v>
      </c>
      <c r="P103" s="31" t="e">
        <f>F103*20%*'[1]功能-付费相关'!CL104</f>
        <v>#VALUE!</v>
      </c>
      <c r="Q103" s="31" t="e">
        <f>G103*20%*'[1]功能-付费相关'!CM104</f>
        <v>#VALUE!</v>
      </c>
      <c r="R103" s="31" t="e">
        <f>H103*20%*'[1]功能-付费相关'!CN104</f>
        <v>#VALUE!</v>
      </c>
      <c r="S103" s="31">
        <f>$W$1*('[1]功能-行军令'!S102+S$2*[1]节奏总纲!BJ102)</f>
        <v>60263.445996982919</v>
      </c>
      <c r="T103" s="31">
        <f>$W$1*('[1]功能-行军令'!T102+T$2*[1]节奏总纲!BK102)</f>
        <v>77398.164270058507</v>
      </c>
      <c r="U103" s="31">
        <f>$W$1*('[1]功能-行军令'!U102+U$2*[1]节奏总纲!BL102)</f>
        <v>86083.281556534464</v>
      </c>
      <c r="V103" s="31">
        <f>$W$1*('[1]功能-行军令'!V102+V$2*[1]节奏总纲!BM102)</f>
        <v>72942.806664931122</v>
      </c>
      <c r="W103" s="31">
        <f>$W$1*('[1]功能-行军令'!W102+W$2*[1]节奏总纲!BN102)</f>
        <v>40536.45464210472</v>
      </c>
      <c r="X103" s="57">
        <f>S103*'[1]功能-付费相关'!AH104</f>
        <v>334.79692220546065</v>
      </c>
      <c r="Y103" s="57">
        <f>T103*'[1]功能-付费相关'!AI104</f>
        <v>429.98980150032503</v>
      </c>
      <c r="Z103" s="57">
        <f>U103*'[1]功能-付费相关'!AJ104</f>
        <v>478.24045309185817</v>
      </c>
      <c r="AA103" s="57">
        <f>V103*'[1]功能-付费相关'!AK104</f>
        <v>405.23781480517289</v>
      </c>
      <c r="AB103" s="57">
        <f>W103*'[1]功能-付费相关'!AL104</f>
        <v>225.20252578947068</v>
      </c>
      <c r="AC103" s="57"/>
    </row>
    <row r="104" spans="3:29" x14ac:dyDescent="0.15">
      <c r="C104" s="31">
        <v>100</v>
      </c>
      <c r="D104" s="31" t="e">
        <f>求节点([2]兵营招募!F$28:F$47,[2]兵营招募!$J$4:$J$23,节奏总纲!P103)*(1+[1]养成buff汇总!AA105)</f>
        <v>#VALUE!</v>
      </c>
      <c r="E104" s="31" t="e">
        <f>求节点([2]兵营招募!G$28:G$47,[2]兵营招募!$J$4:$J$23,节奏总纲!Q103)*(1+[1]养成buff汇总!AB105)</f>
        <v>#VALUE!</v>
      </c>
      <c r="F104" s="31" t="e">
        <f>求节点([2]兵营招募!H$28:H$47,[2]兵营招募!$J$4:$J$23,节奏总纲!R103)*(1+[1]养成buff汇总!AC105)</f>
        <v>#VALUE!</v>
      </c>
      <c r="G104" s="31" t="e">
        <f>求节点([2]兵营招募!I$28:I$47,[2]兵营招募!$J$4:$J$23,节奏总纲!S103)*(1+[1]养成buff汇总!AD105)</f>
        <v>#VALUE!</v>
      </c>
      <c r="H104" s="31" t="e">
        <f>求节点([2]兵营招募!J$28:J$47,[2]兵营招募!$J$4:$J$23,节奏总纲!T103)*(1+[1]养成buff汇总!AE105)</f>
        <v>#VALUE!</v>
      </c>
      <c r="I104" s="31" t="e">
        <f>100%*D104*'[1]功能-付费相关'!CJ105*节奏总纲!W103</f>
        <v>#VALUE!</v>
      </c>
      <c r="J104" s="31" t="e">
        <f>100%*E104*'[1]功能-付费相关'!CK105*节奏总纲!X103</f>
        <v>#VALUE!</v>
      </c>
      <c r="K104" s="31" t="e">
        <f>100%*F104*'[1]功能-付费相关'!CL105*节奏总纲!Y103</f>
        <v>#VALUE!</v>
      </c>
      <c r="L104" s="31" t="e">
        <f>100%*G104*'[1]功能-付费相关'!CM105*节奏总纲!Z103</f>
        <v>#VALUE!</v>
      </c>
      <c r="M104" s="31" t="e">
        <f>100%*H104*'[1]功能-付费相关'!CN105*节奏总纲!AA103</f>
        <v>#VALUE!</v>
      </c>
      <c r="N104" s="31" t="e">
        <f>D104*20%*'[1]功能-付费相关'!CJ105</f>
        <v>#VALUE!</v>
      </c>
      <c r="O104" s="31" t="e">
        <f>E104*20%*'[1]功能-付费相关'!CK105</f>
        <v>#VALUE!</v>
      </c>
      <c r="P104" s="31" t="e">
        <f>F104*20%*'[1]功能-付费相关'!CL105</f>
        <v>#VALUE!</v>
      </c>
      <c r="Q104" s="31" t="e">
        <f>G104*20%*'[1]功能-付费相关'!CM105</f>
        <v>#VALUE!</v>
      </c>
      <c r="R104" s="31" t="e">
        <f>H104*20%*'[1]功能-付费相关'!CN105</f>
        <v>#VALUE!</v>
      </c>
      <c r="S104" s="31">
        <f>$W$1*('[1]功能-行军令'!S103+S$2*[1]节奏总纲!BJ103)</f>
        <v>64488.279333004466</v>
      </c>
      <c r="T104" s="31">
        <f>$W$1*('[1]功能-行军令'!T103+T$2*[1]节奏总纲!BK103)</f>
        <v>81027.588759756938</v>
      </c>
      <c r="U104" s="31">
        <f>$W$1*('[1]功能-行军令'!U103+U$2*[1]节奏总纲!BL103)</f>
        <v>90399.283796984208</v>
      </c>
      <c r="V104" s="31">
        <f>$W$1*('[1]功能-行军令'!V103+V$2*[1]节奏总纲!BM103)</f>
        <v>71613.44968226651</v>
      </c>
      <c r="W104" s="31">
        <f>$W$1*('[1]功能-行军令'!W103+W$2*[1]节奏总纲!BN103)</f>
        <v>41267.259021168065</v>
      </c>
      <c r="X104" s="57">
        <f>S104*'[1]功能-付费相关'!AH105</f>
        <v>358.26821851669149</v>
      </c>
      <c r="Y104" s="57">
        <f>T104*'[1]功能-付费相关'!AI105</f>
        <v>450.15327088753855</v>
      </c>
      <c r="Z104" s="57">
        <f>U104*'[1]功能-付费相关'!AJ105</f>
        <v>502.21824331657893</v>
      </c>
      <c r="AA104" s="57">
        <f>V104*'[1]功能-付费相关'!AK105</f>
        <v>397.85249823481394</v>
      </c>
      <c r="AB104" s="57">
        <f>W104*'[1]功能-付费相关'!AL105</f>
        <v>229.26255011760037</v>
      </c>
      <c r="AC104" s="57"/>
    </row>
  </sheetData>
  <mergeCells count="5">
    <mergeCell ref="D3:H3"/>
    <mergeCell ref="I3:M3"/>
    <mergeCell ref="N3:R3"/>
    <mergeCell ref="S3:W3"/>
    <mergeCell ref="X3:AB3"/>
  </mergeCells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D4:D11"/>
  <sheetViews>
    <sheetView workbookViewId="0">
      <selection activeCell="G4" sqref="G4"/>
    </sheetView>
  </sheetViews>
  <sheetFormatPr defaultRowHeight="11.25" x14ac:dyDescent="0.15"/>
  <cols>
    <col min="1" max="16384" width="9" style="29"/>
  </cols>
  <sheetData>
    <row r="4" spans="4:4" x14ac:dyDescent="0.15">
      <c r="D4" s="29" t="s">
        <v>135</v>
      </c>
    </row>
    <row r="5" spans="4:4" x14ac:dyDescent="0.15">
      <c r="D5" s="29" t="s">
        <v>136</v>
      </c>
    </row>
    <row r="6" spans="4:4" x14ac:dyDescent="0.15">
      <c r="D6" s="29" t="s">
        <v>137</v>
      </c>
    </row>
    <row r="7" spans="4:4" x14ac:dyDescent="0.15">
      <c r="D7" s="29" t="s">
        <v>138</v>
      </c>
    </row>
    <row r="8" spans="4:4" x14ac:dyDescent="0.15">
      <c r="D8" s="29" t="s">
        <v>139</v>
      </c>
    </row>
    <row r="9" spans="4:4" x14ac:dyDescent="0.15">
      <c r="D9" s="29" t="s">
        <v>140</v>
      </c>
    </row>
    <row r="10" spans="4:4" x14ac:dyDescent="0.15">
      <c r="D10" s="29" t="s">
        <v>142</v>
      </c>
    </row>
    <row r="11" spans="4:4" x14ac:dyDescent="0.15">
      <c r="D11" s="29" t="s">
        <v>143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节奏总纲</vt:lpstr>
      <vt:lpstr>各个效果比例关系</vt:lpstr>
      <vt:lpstr>效果</vt:lpstr>
      <vt:lpstr>buff规划</vt:lpstr>
      <vt:lpstr>辅助计算</vt:lpstr>
      <vt:lpstr>城建效果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2022-10-24T10:25:16Z</dcterms:modified>
</cp:coreProperties>
</file>